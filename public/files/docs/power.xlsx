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xr:revisionPtr revIDLastSave="0" documentId="13_ncr:1_{D6CCBE49-7337-45ED-BB64-1254D8845302}" xr6:coauthVersionLast="47" xr6:coauthVersionMax="47" xr10:uidLastSave="{00000000-0000-0000-0000-000000000000}"/>
  <bookViews>
    <workbookView xWindow="-120" yWindow="-120" windowWidth="51840" windowHeight="21120" xr2:uid="{023A5D63-5241-4F64-A70A-9D195BC10C59}"/>
  </bookViews>
  <sheets>
    <sheet name="Power Cable Schedu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" hidden="1">#REF!</definedName>
    <definedName name="_______b1">{"'Komponenten'!$J$27"}</definedName>
    <definedName name="______b1">{"'Komponenten'!$J$27"}</definedName>
    <definedName name="_____b1">{"'Komponenten'!$J$27"}</definedName>
    <definedName name="____a11" hidden="1">{"'장비'!$A$3:$M$12"}</definedName>
    <definedName name="____H3" hidden="1">{"'장비'!$A$3:$M$12"}</definedName>
    <definedName name="___a11" hidden="1">{"'장비'!$A$3:$M$12"}</definedName>
    <definedName name="___FLL2" hidden="1">#REF!</definedName>
    <definedName name="___H3" hidden="1">{"'장비'!$A$3:$M$12"}</definedName>
    <definedName name="__123Graph_A" hidden="1">#REF!</definedName>
    <definedName name="__123Graph_AGraph1" hidden="1">#REF!</definedName>
    <definedName name="__123Graph_AGraph2" hidden="1">#REF!</definedName>
    <definedName name="__123Graph_AMPHISTG" hidden="1">#REF!</definedName>
    <definedName name="__123Graph_APERFORMANCE" hidden="1">#REF!</definedName>
    <definedName name="__123Graph_Aｶﾚﾝﾄ" hidden="1">#REF!</definedName>
    <definedName name="__123Graph_A뛴噴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BPERFORMANCE" hidden="1">#REF!</definedName>
    <definedName name="__123Graph_Bｶﾚﾝﾄ" hidden="1">#REF!</definedName>
    <definedName name="__123Graph_B뛴噴" hidden="1">#REF!</definedName>
    <definedName name="__123Graph_C" hidden="1">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C뛴噴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D뛴噴" hidden="1">#REF!</definedName>
    <definedName name="__123Graph_E" hidden="1">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E뛴噴" hidden="1">#REF!</definedName>
    <definedName name="__123Graph_F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F뛴噴" hidden="1">#REF!</definedName>
    <definedName name="__123Graph_X" hidden="1">#REF!</definedName>
    <definedName name="__123Graph_XMPHISTG" hidden="1">#REF!</definedName>
    <definedName name="__123Graph_XPERFORMANCE" hidden="1">#REF!</definedName>
    <definedName name="__A1">#REF!</definedName>
    <definedName name="__a11" hidden="1">{"'장비'!$A$3:$M$12"}</definedName>
    <definedName name="__b1">{"'Komponenten'!$J$27"}</definedName>
    <definedName name="__B10">[1]집계표!#REF!</definedName>
    <definedName name="__B2">[1]집계표!#REF!</definedName>
    <definedName name="__B3">[1]집계표!#REF!</definedName>
    <definedName name="__B4">[1]집계표!#REF!</definedName>
    <definedName name="__B5">[1]집계표!#REF!</definedName>
    <definedName name="__B6">[1]집계표!#REF!</definedName>
    <definedName name="__B7">[1]집계표!#REF!</definedName>
    <definedName name="__B8">[1]집계표!#REF!</definedName>
    <definedName name="__B9">[1]집계표!#REF!</definedName>
    <definedName name="__BP1">[1]집계표!#REF!</definedName>
    <definedName name="__BP5">[1]집계표!#REF!</definedName>
    <definedName name="__CC1">[1]집계표!#REF!</definedName>
    <definedName name="__CC5">[1]집계표!#REF!</definedName>
    <definedName name="__CD1">[1]집계표!#REF!</definedName>
    <definedName name="__CD5">[1]집계표!#REF!</definedName>
    <definedName name="__CO1">[1]집계표!#REF!</definedName>
    <definedName name="__CO5">[1]집계표!#REF!</definedName>
    <definedName name="__CON1">[1]집계표!#REF!</definedName>
    <definedName name="__CON5">[1]집계표!#REF!</definedName>
    <definedName name="__DP1">[1]집계표!#REF!</definedName>
    <definedName name="__DP5">[1]집계표!#REF!</definedName>
    <definedName name="__END1">'[1]개시대사 (2)'!$G$49</definedName>
    <definedName name="__END2">'[1]개시대사 (2)'!#REF!</definedName>
    <definedName name="__F1">[1]집계표!#REF!</definedName>
    <definedName name="__F5">[1]집계표!#REF!</definedName>
    <definedName name="__FLL2" hidden="1">#REF!</definedName>
    <definedName name="__H1">[1]집계표!#REF!</definedName>
    <definedName name="__H3" hidden="1">{"'장비'!$A$3:$M$12"}</definedName>
    <definedName name="__H5">[1]집계표!#REF!</definedName>
    <definedName name="__I1">[1]집계표!#REF!</definedName>
    <definedName name="__I5">[1]집계표!#REF!</definedName>
    <definedName name="__L1">[1]집계표!#REF!</definedName>
    <definedName name="__L5">[1]집계표!#REF!</definedName>
    <definedName name="__M1">[1]집계표!#REF!</definedName>
    <definedName name="__M5">[1]집계표!#REF!</definedName>
    <definedName name="__NOC1">[1]집계표!#REF!</definedName>
    <definedName name="__NOC5">[1]집계표!#REF!</definedName>
    <definedName name="__OUT1">[1]집계표!#REF!</definedName>
    <definedName name="__OUT4">[1]집계표!#REF!</definedName>
    <definedName name="__OUT5">[1]집계표!#REF!</definedName>
    <definedName name="__plc1">[2]INSTR!$A$5:$M$208</definedName>
    <definedName name="__PRN5">[3]본지점중!#REF!</definedName>
    <definedName name="__PW1">[1]집계표!#REF!</definedName>
    <definedName name="__PW5">[1]집계표!#REF!</definedName>
    <definedName name="__RI1">[1]집계표!#REF!</definedName>
    <definedName name="__RI5">[1]집계표!#REF!</definedName>
    <definedName name="__S1">[1]집계표!#REF!</definedName>
    <definedName name="__S5">[1]집계표!#REF!</definedName>
    <definedName name="__SI1">[1]집계표!#REF!</definedName>
    <definedName name="__SI5">[1]집계표!#REF!</definedName>
    <definedName name="__T1">[1]집계표!#REF!</definedName>
    <definedName name="__T5">[1]집계표!#REF!</definedName>
    <definedName name="__TB1">#REF!</definedName>
    <definedName name="__TBE1" hidden="1">{#N/A,#N/A,FALSE,"ENG'G(보호계전기)"}</definedName>
    <definedName name="__TV1">[1]집계표!#REF!</definedName>
    <definedName name="__TV5">[1]집계표!#REF!</definedName>
    <definedName name="__U11" hidden="1">#REF!</definedName>
    <definedName name="__V1">[1]집계표!#REF!</definedName>
    <definedName name="__V5">[1]집계표!#REF!</definedName>
    <definedName name="__W1">[1]집계표!#REF!</definedName>
    <definedName name="__W5">[1]집계표!#REF!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0__123Graph_CCHART_1" hidden="1">#REF!</definedName>
    <definedName name="_10__123Graph_DMOB_02" hidden="1">#REF!</definedName>
    <definedName name="_11__123Graph_EMOB_02" hidden="1">#REF!</definedName>
    <definedName name="_12__123Graph_DCHART_1" hidden="1">#REF!</definedName>
    <definedName name="_12__123Graph_FMOB_02" hidden="1">#REF!</definedName>
    <definedName name="_13__123Graph_LBL_AMOB_01" hidden="1">#REF!</definedName>
    <definedName name="_14__123Graph_LBL_AMOB_02" hidden="1">#REF!</definedName>
    <definedName name="_15__123Graph_LBL_BMOB_01" hidden="1">#REF!</definedName>
    <definedName name="_15_0_0_F" hidden="1">#REF!</definedName>
    <definedName name="_16__123Graph_LBL_BMOB_02" hidden="1">#REF!</definedName>
    <definedName name="_17__123Graph_LBL_CMOB_01" hidden="1">#REF!</definedName>
    <definedName name="_18__123Graph_LBL_CMOB_02" hidden="1">#REF!</definedName>
    <definedName name="_19__123Graph_LBL_DMOB_01" hidden="1">#REF!</definedName>
    <definedName name="_1F" hidden="1">#REF!</definedName>
    <definedName name="_1U11_" hidden="1">#REF!</definedName>
    <definedName name="_2_0_0_F" hidden="1">#REF!</definedName>
    <definedName name="_20__123Graph_LBL_DMOB_02" hidden="1">#REF!</definedName>
    <definedName name="_21__123Graph_LBL_EMOB_02" hidden="1">#REF!</definedName>
    <definedName name="_22__123Graph_LBL_FMOB_02" hidden="1">#REF!</definedName>
    <definedName name="_23__123Graph_XMOB_01" hidden="1">#REF!</definedName>
    <definedName name="_24__123Graph_XMOB_02" hidden="1">#REF!</definedName>
    <definedName name="_25F" hidden="1">#REF!</definedName>
    <definedName name="_2F" hidden="1">#REF!</definedName>
    <definedName name="_3__123Graph_AMOB_01" hidden="1">#REF!</definedName>
    <definedName name="_3_0__123Grap" hidden="1">#REF!</definedName>
    <definedName name="_32_0_0_F" hidden="1">#REF!</definedName>
    <definedName name="_4__123Graph_ACHART_1" hidden="1">#REF!</definedName>
    <definedName name="_4__123Graph_AMOB_02" hidden="1">#REF!</definedName>
    <definedName name="_4_0_0_F" hidden="1">#REF!</definedName>
    <definedName name="_41³_¿ª" hidden="1">{#N/A,#N/A,FALSE,"CCTV"}</definedName>
    <definedName name="_4U11_" hidden="1">#REF!</definedName>
    <definedName name="_5__123Graph_BMOB_01" hidden="1">#REF!</definedName>
    <definedName name="_5_0_0_F" hidden="1">#REF!</definedName>
    <definedName name="_6__123Graph_ACHART_2" hidden="1">#REF!</definedName>
    <definedName name="_6__123Graph_BMOB_02" hidden="1">#REF!</definedName>
    <definedName name="_6_0_0_F" hidden="1">#REF!</definedName>
    <definedName name="_7__123Graph_CMOB_01" hidden="1">#REF!</definedName>
    <definedName name="_8__123Graph_BCHART_2" hidden="1">#REF!</definedName>
    <definedName name="_8__123Graph_CMOB_02" hidden="1">#REF!</definedName>
    <definedName name="_9__123Graph_DMOB_01" hidden="1">#REF!</definedName>
    <definedName name="_A1">#REF!</definedName>
    <definedName name="_a11" hidden="1">{"'장비'!$A$3:$M$12"}</definedName>
    <definedName name="_b1">{"'Komponenten'!$J$27"}</definedName>
    <definedName name="_B10">[1]집계표!#REF!</definedName>
    <definedName name="_B2">[1]집계표!#REF!</definedName>
    <definedName name="_B3">[1]집계표!#REF!</definedName>
    <definedName name="_B4">[1]집계표!#REF!</definedName>
    <definedName name="_B5">[1]집계표!#REF!</definedName>
    <definedName name="_B6">[1]집계표!#REF!</definedName>
    <definedName name="_B7">[1]집계표!#REF!</definedName>
    <definedName name="_B8">[1]집계표!#REF!</definedName>
    <definedName name="_B9">[1]집계표!#REF!</definedName>
    <definedName name="_BP1">[1]집계표!#REF!</definedName>
    <definedName name="_BP5">[1]집계표!#REF!</definedName>
    <definedName name="_Builtin155" hidden="1">#N/A</definedName>
    <definedName name="_CC1">[1]집계표!#REF!</definedName>
    <definedName name="_CC5">[1]집계표!#REF!</definedName>
    <definedName name="_CD1">[1]집계표!#REF!</definedName>
    <definedName name="_CD5">[1]집계표!#REF!</definedName>
    <definedName name="_CO1">[1]집계표!#REF!</definedName>
    <definedName name="_CO5">[1]집계표!#REF!</definedName>
    <definedName name="_CON1">[1]집계표!#REF!</definedName>
    <definedName name="_CON5">[1]집계표!#REF!</definedName>
    <definedName name="_Dist_Bin" hidden="1">#REF!</definedName>
    <definedName name="_Dist_Values" hidden="1">#REF!</definedName>
    <definedName name="_DP1">[1]집계표!#REF!</definedName>
    <definedName name="_DP5">[1]집계표!#REF!</definedName>
    <definedName name="_END1">'[1]개시대사 (2)'!$G$49</definedName>
    <definedName name="_END2">'[1]개시대사 (2)'!#REF!</definedName>
    <definedName name="_F1">[1]집계표!#REF!</definedName>
    <definedName name="_F5">[1]집계표!#REF!</definedName>
    <definedName name="_Fill" hidden="1">#REF!</definedName>
    <definedName name="_xlnm._FilterDatabase" localSheetId="0" hidden="1">'Power Cable Schedule'!$A$7:$AT$2207</definedName>
    <definedName name="_xlnm._FilterDatabase" hidden="1">#REF!</definedName>
    <definedName name="_FLL2" hidden="1">#REF!</definedName>
    <definedName name="_H1">[1]집계표!#REF!</definedName>
    <definedName name="_H3" hidden="1">{"'장비'!$A$3:$M$12"}</definedName>
    <definedName name="_H5">[1]집계표!#REF!</definedName>
    <definedName name="_I1">[1]집계표!#REF!</definedName>
    <definedName name="_I5">[1]집계표!#REF!</definedName>
    <definedName name="_Key1" hidden="1">#REF!</definedName>
    <definedName name="_Key2" hidden="1">#REF!</definedName>
    <definedName name="_Key3" hidden="1">#REF!</definedName>
    <definedName name="_kfkf" hidden="1">#REF!</definedName>
    <definedName name="_L1">[1]집계표!#REF!</definedName>
    <definedName name="_L5">[1]집계표!#REF!</definedName>
    <definedName name="_M1">[1]집계표!#REF!</definedName>
    <definedName name="_M5">[1]집계표!#REF!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NOC1">[1]집계표!#REF!</definedName>
    <definedName name="_NOC5">[1]집계표!#REF!</definedName>
    <definedName name="_Order1" hidden="1">255</definedName>
    <definedName name="_Order2" hidden="1">255</definedName>
    <definedName name="_OUT1">[1]집계표!#REF!</definedName>
    <definedName name="_OUT4">[1]집계표!#REF!</definedName>
    <definedName name="_OUT5">[1]집계표!#REF!</definedName>
    <definedName name="_Parse_In" hidden="1">#REF!</definedName>
    <definedName name="_Parse_Out" hidden="1">#REF!</definedName>
    <definedName name="_plc1">[2]INSTR!$A$5:$M$208</definedName>
    <definedName name="_PRN5">[3]본지점중!#REF!</definedName>
    <definedName name="_PW1">[1]집계표!#REF!</definedName>
    <definedName name="_PW5">[1]집계표!#REF!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I1">[1]집계표!#REF!</definedName>
    <definedName name="_RI5">[1]집계표!#REF!</definedName>
    <definedName name="_S1">[1]집계표!#REF!</definedName>
    <definedName name="_S5">[1]집계표!#REF!</definedName>
    <definedName name="_SI1">[1]집계표!#REF!</definedName>
    <definedName name="_SI5">[1]집계표!#REF!</definedName>
    <definedName name="_Sort" hidden="1">#REF!</definedName>
    <definedName name="_T1">[1]집계표!#REF!</definedName>
    <definedName name="_T5">[1]집계표!#REF!</definedName>
    <definedName name="_Table1_In1" hidden="1">#REF!</definedName>
    <definedName name="_Table1_Out" hidden="1">#REF!</definedName>
    <definedName name="_TB1">#REF!</definedName>
    <definedName name="_TBE1" hidden="1">{#N/A,#N/A,FALSE,"ENG'G(보호계전기)"}</definedName>
    <definedName name="_THK1">#REF!</definedName>
    <definedName name="_TV1">[1]집계표!#REF!</definedName>
    <definedName name="_TV5">[1]집계표!#REF!</definedName>
    <definedName name="_U11" hidden="1">#REF!</definedName>
    <definedName name="_V1">[1]집계표!#REF!</definedName>
    <definedName name="_V5">[1]집계표!#REF!</definedName>
    <definedName name="_W1">[1]집계표!#REF!</definedName>
    <definedName name="_W5">[1]집계표!#REF!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Y200008">#REF!</definedName>
    <definedName name="_재ㅐ햐" hidden="1">#REF!</definedName>
    <definedName name="\a">#N/A</definedName>
    <definedName name="\C">[4]B!#REF!</definedName>
    <definedName name="\I">[4]B!#REF!</definedName>
    <definedName name="\L">[4]B!#REF!</definedName>
    <definedName name="\p">#REF!</definedName>
    <definedName name="\PP">[5]정산표2!#REF!</definedName>
    <definedName name="\q">#N/A</definedName>
    <definedName name="\S">[4]B!#REF!</definedName>
    <definedName name="\X">#REF!</definedName>
    <definedName name="\z">#N/A</definedName>
    <definedName name="A" hidden="1">#REF!</definedName>
    <definedName name="a_dash">#REF!</definedName>
    <definedName name="A1C1" hidden="1">#REF!</definedName>
    <definedName name="A3_">#REF!</definedName>
    <definedName name="A4_">#REF!</definedName>
    <definedName name="A5_">#REF!</definedName>
    <definedName name="A6_">#REF!</definedName>
    <definedName name="A7_">#REF!</definedName>
    <definedName name="AA">#REF!</definedName>
    <definedName name="AAA" hidden="1">{#N/A,#N/A,FALSE,"CCTV"}</definedName>
    <definedName name="aaaa" hidden="1">{#N/A,#N/A,FALSE,"CCTV"}</definedName>
    <definedName name="aaaaa" hidden="1">#REF!</definedName>
    <definedName name="aaaaaa" hidden="1">#REF!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fff" hidden="1">{"'장비'!$A$3:$M$12"}</definedName>
    <definedName name="ab" hidden="1">#REF!</definedName>
    <definedName name="abc" hidden="1">#REF!</definedName>
    <definedName name="abcd" hidden="1">{#N/A,#N/A,FALSE,"CCTV"}</definedName>
    <definedName name="ABG" hidden="1">{#N/A,#N/A,FALSE,"지침";#N/A,#N/A,FALSE,"환경분석";#N/A,#N/A,FALSE,"Sheet16"}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" hidden="1">#REF!</definedName>
    <definedName name="Access_Button" hidden="1">"Equip_21512_List"</definedName>
    <definedName name="AccessDatabase" hidden="1">"C:\홍성일\주간공정\96-10142.mdb"</definedName>
    <definedName name="ADFAEFEW" hidden="1">#REF!</definedName>
    <definedName name="ADITION" hidden="1">{"'장비'!$A$3:$M$12"}</definedName>
    <definedName name="ADSFAGFAWE" hidden="1">#REF!</definedName>
    <definedName name="ADSFASDF" hidden="1">#REF!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fg" hidden="1">{"'장비'!$A$3:$M$12"}</definedName>
    <definedName name="AH" hidden="1">{#N/A,#N/A,FALSE,"CCTV"}</definedName>
    <definedName name="ahg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M_TABLE">#REF!</definedName>
    <definedName name="AM_TABLE_MT">#REF!</definedName>
    <definedName name="AMLS_TABLE">#REF!</definedName>
    <definedName name="AMLS_TABLE_MT">#REF!</definedName>
    <definedName name="ANCB" hidden="1">#REF!</definedName>
    <definedName name="anchor">#REF!</definedName>
    <definedName name="anscount" hidden="1">1</definedName>
    <definedName name="AQAA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ea_sum">#REF!</definedName>
    <definedName name="Arial">#REF!</definedName>
    <definedName name="as" hidden="1">#REF!</definedName>
    <definedName name="ASD" hidden="1">#REF!</definedName>
    <definedName name="ASDASD">{"'Flow'!$A$1:$S$58"}</definedName>
    <definedName name="asdccccc" hidden="1">#REF!</definedName>
    <definedName name="ASDDD" hidden="1">#REF!</definedName>
    <definedName name="asdf" hidden="1">{#N/A,#N/A,FALSE,"양식(을)"}</definedName>
    <definedName name="ASDFASD" hidden="1">#REF!</definedName>
    <definedName name="asdfg" hidden="1">{#N/A,#N/A,FALSE,"양식(을)"}</definedName>
    <definedName name="asdfghj" hidden="1">{#N/A,#N/A,FALSE,"양식(을)"}</definedName>
    <definedName name="asdfsafaf" hidden="1">#REF!</definedName>
    <definedName name="asf" hidden="1">{#N/A,#N/A,FALSE,"CCTV"}</definedName>
    <definedName name="ASFasf" hidden="1">#REF!</definedName>
    <definedName name="ASFG" hidden="1">#REF!</definedName>
    <definedName name="ASG" hidden="1">#REF!</definedName>
    <definedName name="ass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" hidden="1">#REF!</definedName>
    <definedName name="b_dash">#REF!</definedName>
    <definedName name="babo">[6]VA_code!$Q$1:$R$31</definedName>
    <definedName name="bas" hidden="1">{#N/A,#N/A,FALSE,"양식(을)"}</definedName>
    <definedName name="basin" hidden="1">{"'장비'!$A$3:$M$12"}</definedName>
    <definedName name="BAT">#REF!</definedName>
    <definedName name="BB">#REF!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F">[1]집계표!#REF!</definedName>
    <definedName name="BBK">[1]집계표!#REF!</definedName>
    <definedName name="BF">[1]집계표!#REF!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FD">#REF!</definedName>
    <definedName name="BH">[1]집계표!#REF!</definedName>
    <definedName name="bl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M" hidden="1">{#N/A,#N/A,FALSE,"CCTV"}</definedName>
    <definedName name="bmsum">#REF!</definedName>
    <definedName name="BOQ_SUM_area">#REF!</definedName>
    <definedName name="BPB">[1]집계표!#REF!</definedName>
    <definedName name="BPBF">[1]집계표!#REF!</definedName>
    <definedName name="BPBK">[1]집계표!#REF!</definedName>
    <definedName name="BPF">[1]집계표!#REF!</definedName>
    <definedName name="BPH">[1]집계표!#REF!</definedName>
    <definedName name="BPM">[1]집계표!#REF!</definedName>
    <definedName name="BPS">[1]집계표!#REF!</definedName>
    <definedName name="BPSA">[1]집계표!#REF!</definedName>
    <definedName name="BS">[1]집계표!#REF!</definedName>
    <definedName name="BSA">[1]집계표!#REF!</definedName>
    <definedName name="BTW">#REF!</definedName>
    <definedName name="c_margin">#REF!</definedName>
    <definedName name="Cable">#REF!</definedName>
    <definedName name="CableLengthMargin" comment="0~15 %">#REF!</definedName>
    <definedName name="cal">#REF!</definedName>
    <definedName name="CalcAgencyPrice">#REF!</definedName>
    <definedName name="CAPAUNIT">#REF!</definedName>
    <definedName name="CBL600V">#REF!</definedName>
    <definedName name="CBL6KV">#REF!</definedName>
    <definedName name="CC">#REF!</definedName>
    <definedName name="CCB">[1]집계표!#REF!</definedName>
    <definedName name="CCBF">[1]집계표!#REF!</definedName>
    <definedName name="CCBK">[1]집계표!#REF!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hidden="1">{#N/A,#N/A,FALSE,"현장 NCR 분석";#N/A,#N/A,FALSE,"현장품질감사";#N/A,#N/A,FALSE,"현장품질감사"}</definedName>
    <definedName name="CCF">[1]집계표!#REF!</definedName>
    <definedName name="CCH">[1]집계표!#REF!</definedName>
    <definedName name="CCM">[1]집계표!#REF!</definedName>
    <definedName name="CCS">[1]집계표!#REF!</definedName>
    <definedName name="CCSA">[1]집계표!#REF!</definedName>
    <definedName name="CDB">[1]집계표!#REF!</definedName>
    <definedName name="CDBF">[1]집계표!#REF!</definedName>
    <definedName name="CDBK">[1]집계표!#REF!</definedName>
    <definedName name="CDF">[1]집계표!#REF!</definedName>
    <definedName name="CDFRRR" hidden="1">#REF!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H">[1]집계표!#REF!</definedName>
    <definedName name="CDM">[1]집계표!#REF!</definedName>
    <definedName name="CDS">[1]집계표!#REF!</definedName>
    <definedName name="CDSA">[1]집계표!#REF!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G" hidden="1">{#N/A,#N/A,FALSE,"양식(을)"}</definedName>
    <definedName name="CF요인" hidden="1">#REF!</definedName>
    <definedName name="chemical" hidden="1">{#N/A,#N/A,FALSE,"CCTV"}</definedName>
    <definedName name="CIB">#REF!</definedName>
    <definedName name="clss">[6]VA_code!$Q$1:$R$31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at">#REF!</definedName>
    <definedName name="COB">[1]집계표!#REF!</definedName>
    <definedName name="COBF">[1]집계표!#REF!</definedName>
    <definedName name="COBK">[1]집계표!#REF!</definedName>
    <definedName name="COF">[1]집계표!#REF!</definedName>
    <definedName name="COH">[1]집계표!#REF!</definedName>
    <definedName name="COM">[1]집계표!#REF!</definedName>
    <definedName name="Commission">#REF!</definedName>
    <definedName name="CONB">[1]집계표!#REF!</definedName>
    <definedName name="CONBF">[1]집계표!#REF!</definedName>
    <definedName name="CONBK">[1]집계표!#REF!</definedName>
    <definedName name="CONF">[1]집계표!#REF!</definedName>
    <definedName name="CONH">[1]집계표!#REF!</definedName>
    <definedName name="CONM">[1]집계표!#REF!</definedName>
    <definedName name="CONS">[1]집계표!#REF!</definedName>
    <definedName name="CONSA">[1]집계표!#REF!</definedName>
    <definedName name="CONTACTOR">#REF!</definedName>
    <definedName name="CONTRACT">#REF!</definedName>
    <definedName name="COS">[1]집계표!#REF!</definedName>
    <definedName name="COSA">[1]집계표!#REF!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ush_s">#REF!</definedName>
    <definedName name="C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CVB" hidden="1">{#N/A,#N/A,FALSE,"양식(을)"}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" hidden="1">#REF!</definedName>
    <definedName name="d_cooler_flow">#REF!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6.14" hidden="1">{#N/A,#N/A,FALSE,"ENG'G(보호계전기)"}</definedName>
    <definedName name="_xlnm.Database">#REF!</definedName>
    <definedName name="dataww" hidden="1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7per" hidden="1">#REF!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ooler_pdrop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 hidden="1">#REF!</definedName>
    <definedName name="d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ㅇ아ㅣ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f" hidden="1">{"'장비'!$A$3:$M$12"}</definedName>
    <definedName name="DDFD" hidden="1">{#N/A,#N/A,FALSE,"CCTV"}</definedName>
    <definedName name="DDFS" hidden="1">#REF!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esign">#REF!</definedName>
    <definedName name="DF" hidden="1">#REF!</definedName>
    <definedName name="DFAEW" hidden="1">#REF!</definedName>
    <definedName name="dfaf" hidden="1">{"'장비'!$A$3:$M$12"}</definedName>
    <definedName name="dfcvddddds" hidden="1">#REF!</definedName>
    <definedName name="dfd" hidden="1">{#N/A,#N/A,FALSE,"Pos 10"}</definedName>
    <definedName name="dfdf" hidden="1">{"'장비'!$A$3:$M$12"}</definedName>
    <definedName name="dfds" hidden="1">{#N/A,#N/A,FALSE,"Pos 10"}</definedName>
    <definedName name="DFDWE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FD아야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FGB" hidden="1">{#N/A,#N/A,FALSE,"양식(을)"}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DFGSDGSD" hidden="1">{"'장비'!$A$3:$M$12"}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n">#REF!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jkddd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kdkdkdkd" hidden="1">{#N/A,#N/A,FALSE,"명세표"}</definedName>
    <definedName name="dn" hidden="1">{#N/A,#N/A,FALSE,"혼합골재"}</definedName>
    <definedName name="DNCJFGHH" hidden="1">#REF!</definedName>
    <definedName name="DNOTE5">[3]본지점중!#REF!</definedName>
    <definedName name="DPB">[1]집계표!#REF!</definedName>
    <definedName name="DPBF">[1]집계표!#REF!</definedName>
    <definedName name="DPBK">[1]집계표!#REF!</definedName>
    <definedName name="DPF">[1]집계표!#REF!</definedName>
    <definedName name="DPH">[1]집계표!#REF!</definedName>
    <definedName name="DPM">[1]집계표!#REF!</definedName>
    <definedName name="DPS">[1]집계표!#REF!</definedName>
    <definedName name="DPSA">[1]집계표!#REF!</definedName>
    <definedName name="DR" hidden="1">#REF!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sdffsdfsdf" hidden="1">{#N/A,#N/A,FALSE,"ENG'G(보호계전기)"}</definedName>
    <definedName name="dss" hidden="1">{#N/A,#N/A,FALSE,"골재소요량";#N/A,#N/A,FALSE,"골재소요량"}</definedName>
    <definedName name="dtnps">#REF!</definedName>
    <definedName name="DTT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umppr">#REF!</definedName>
    <definedName name="DWPRICE" hidden="1">#REF!</definedName>
    <definedName name="dx_shape">#REF!</definedName>
    <definedName name="D사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_margin">#REF!</definedName>
    <definedName name="EC" hidden="1">{#N/A,#N/A,FALSE,"CCTV"}</definedName>
    <definedName name="ECL">#REF!</definedName>
    <definedName name="ED" hidden="1">{#N/A,#N/A,FALSE,"CCTV"}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e" hidden="1">{#N/A,#N/A,FALSE,"단가표지"}</definedName>
    <definedName name="eee" hidden="1">#REF!</definedName>
    <definedName name="EFDFFF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ND">#REF!</definedName>
    <definedName name="eq">[7]eq_data!$C$5:$C$54</definedName>
    <definedName name="eq_index">#REF!</definedName>
    <definedName name="eq_name">[8]eq_data!$C$5:$C$54</definedName>
    <definedName name="eqname">[9]eq_data!$C$5:$C$54</definedName>
    <definedName name="equip_date">#REF!</definedName>
    <definedName name="equip_rev">#REF!</definedName>
    <definedName name="equipData">OFFSET(#REF!,0,0,COUNTA(#REF!)-1,7)</definedName>
    <definedName name="equipData1">OFFSET(#REF!,0,0,COUNTA(#REF!)-1,2)</definedName>
    <definedName name="equipData2">OFFSET(#REF!,0,2,COUNTA(#REF!)-1,5)</definedName>
    <definedName name="Equipment">#REF!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FRFR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rrName245173930" hidden="1">#REF!</definedName>
    <definedName name="ErrName398932277" hidden="1">#REF!</definedName>
    <definedName name="ErrName579518615" hidden="1">#REF!</definedName>
    <definedName name="ErrName803330301" hidden="1">#REF!</definedName>
    <definedName name="ErrName954157947" hidden="1">#REF!</definedName>
    <definedName name="ert" hidden="1">{"'장비'!$A$3:$M$12"}</definedName>
    <definedName name="ertert" hidden="1">{#N/A,#N/A,FALSE,"Chi tiÆt"}</definedName>
    <definedName name="ERTTE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rty" hidden="1">{"'장비'!$A$3:$M$12"}</definedName>
    <definedName name="ET" hidden="1">{#N/A,#N/A,FALSE,"CCTV"}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hidden="1">{#N/A,#N/A,FALSE,"CCTV"}</definedName>
    <definedName name="EXTANK" hidden="1">#REF!</definedName>
    <definedName name="eyteyt" hidden="1">{#N/A,#N/A,FALSE,"CCTV"}</definedName>
    <definedName name="f">#REF!</definedName>
    <definedName name="f_a">#REF!</definedName>
    <definedName name="f_shape">#REF!</definedName>
    <definedName name="fall" hidden="1">#REF!</definedName>
    <definedName name="FB">[1]집계표!#REF!</definedName>
    <definedName name="FBF">[1]집계표!#REF!</definedName>
    <definedName name="FBK">[1]집계표!#REF!</definedName>
    <definedName name="fdcvgfty" hidden="1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F" hidden="1">{#N/A,#N/A,FALSE,"CCTV"}</definedName>
    <definedName name="fdn_no">#REF!</definedName>
    <definedName name="FDSA" hidden="1">{#N/A,#N/A,FALSE,"CCTV"}</definedName>
    <definedName name="FEE" hidden="1">#REF!</definedName>
    <definedName name="FF" hidden="1">#REF!</definedName>
    <definedName name="ffff" hidden="1">{"'장비'!$A$3:$M$12"}</definedName>
    <definedName name="FFFFA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FFFFF" hidden="1">{#N/A,#N/A,FALSE,"CCTV"}</definedName>
    <definedName name="ffffff" hidden="1">{#N/A,#N/A,FALSE,"CCTV"}</definedName>
    <definedName name="fffffffg" hidden="1">{"'장비'!$A$3:$M$12"}</definedName>
    <definedName name="ffgfg" hidden="1">{"'장비'!$A$3:$M$12"}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" hidden="1">{#N/A,#N/A,FALSE,"Pos 10"}</definedName>
    <definedName name="FGF" hidden="1">{#N/A,#N/A,FALSE,"CCTV"}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H">[1]집계표!#REF!</definedName>
    <definedName name="fhgjfghfghgf" hidden="1">{#N/A,#N/A,FALSE,"CCTV"}</definedName>
    <definedName name="FINC2">#REF!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low">#REF!</definedName>
    <definedName name="FM">[1]집계표!#REF!</definedName>
    <definedName name="FQWFF" hidden="1">#REF!</definedName>
    <definedName name="FR">#REF!</definedName>
    <definedName name="FRGTHGFRT" hidden="1">#REF!</definedName>
    <definedName name="FS">[1]집계표!#REF!</definedName>
    <definedName name="FSA">[1]집계표!#REF!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wefwef" hidden="1">{#N/A,#N/A,FALSE,"ENG'G(보호계전기)"}</definedName>
    <definedName name="FT">#REF!</definedName>
    <definedName name="fv" hidden="1">{#N/A,#N/A,FALSE,"전력간선"}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" hidden="1">#REF!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hdhg" hidden="1">{#N/A,#N/A,FALSE,"Chi tiÆt"}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h" hidden="1">{#N/A,#N/A,FALSE,"CCTV"}</definedName>
    <definedName name="GFDS" hidden="1">{#N/A,#N/A,FALSE,"CCTV"}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#REF!</definedName>
    <definedName name="gfhfgh" hidden="1">{#N/A,#N/A,FALSE,"Chi tiÆt"}</definedName>
    <definedName name="gfjgfh" hidden="1">{#N/A,#N/A,FALSE,"CCTV"}</definedName>
    <definedName name="gfjgfhfg" hidden="1">{#N/A,#N/A,FALSE,"CCTV"}</definedName>
    <definedName name="gg" hidden="1">{#N/A,#N/A,FALSE,"운반시간"}</definedName>
    <definedName name="GGG" hidden="1">{#N/A,#N/A,FALSE,"명세표"}</definedName>
    <definedName name="gggg" hidden="1">{"'장비'!$A$3:$M$12"}</definedName>
    <definedName name="ggggg" hidden="1">{"'장비'!$A$3:$M$12"}</definedName>
    <definedName name="GK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GLAND600V">#REF!</definedName>
    <definedName name="GLAND6KV">#REF!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rew" hidden="1">#REF!</definedName>
    <definedName name="grewgrhj" hidden="1">#REF!</definedName>
    <definedName name="grjhd" hidden="1">{#N/A,#N/A,FALSE,"CCTV"}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V" hidden="1">{#N/A,#N/A,FALSE,"CCTV"}</definedName>
    <definedName name="gwgw" hidden="1">#REF!</definedName>
    <definedName name="h">#REF!</definedName>
    <definedName name="h_af">#REF!</definedName>
    <definedName name="h_bf">#REF!</definedName>
    <definedName name="HaDong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an" hidden="1">#REF!</definedName>
    <definedName name="HB">[1]집계표!#REF!</definedName>
    <definedName name="HBF">[1]집계표!#REF!</definedName>
    <definedName name="HBK">[1]집계표!#REF!</definedName>
    <definedName name="heater1_flow">#REF!</definedName>
    <definedName name="heater1_pdrop">#REF!</definedName>
    <definedName name="heater2_flow">#REF!</definedName>
    <definedName name="heater2_pdrop">#REF!</definedName>
    <definedName name="heater3_flow">#REF!</definedName>
    <definedName name="heater3_pdrop">#REF!</definedName>
    <definedName name="heater4_flow">#REF!</definedName>
    <definedName name="heater4_pdrop">#REF!</definedName>
    <definedName name="HF">[1]집계표!#REF!</definedName>
    <definedName name="hfdgfdg" hidden="1">{#N/A,#N/A,FALSE,"CCTV"}</definedName>
    <definedName name="hfjhhjj" hidden="1">{#N/A,#N/A,FALSE,"CCTV"}</definedName>
    <definedName name="HGJCFGN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gjfgh" hidden="1">{#N/A,#N/A,FALSE,"CCTV"}</definedName>
    <definedName name="hgjgfhgh" hidden="1">{#N/A,#N/A,FALSE,"CCTV"}</definedName>
    <definedName name="hh" hidden="1">{#N/A,#N/A,FALSE,"CCTV"}</definedName>
    <definedName name="HHH" hidden="1">{#N/A,#N/A,FALSE,"CCTV"}</definedName>
    <definedName name="HJHHH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M">[1]집계표!#REF!</definedName>
    <definedName name="HOME">#REF!</definedName>
    <definedName name="HOME1">'[1]개시대사 (2)'!$A$1</definedName>
    <definedName name="HOME2">'[1]개시대사 (2)'!$H$1</definedName>
    <definedName name="HS">[1]집계표!#REF!</definedName>
    <definedName name="HSA">[1]집계표!#REF!</definedName>
    <definedName name="HT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TML" hidden="1">{"'장비'!$A$3:$M$12"}</definedName>
    <definedName name="HTML_CodePage" hidden="1">949</definedName>
    <definedName name="HTML_Control" hidden="1">{"'Flow'!$A$1:$S$58"}</definedName>
    <definedName name="HTML_Description" hidden="1">""</definedName>
    <definedName name="HTML_Email" hidden="1">""</definedName>
    <definedName name="HTML_Header" hidden="1">"Flow"</definedName>
    <definedName name="HTML_LastUpdate" hidden="1">"2000.11.22"</definedName>
    <definedName name="HTML_LineAfter" hidden="1">FALSE</definedName>
    <definedName name="HTML_LineBefore" hidden="1">FALSE</definedName>
    <definedName name="HTML_Name" hidden="1">"한중."</definedName>
    <definedName name="HTML_OBDlg2" hidden="1">TRUE</definedName>
    <definedName name="HTML_OBDlg4" hidden="1">TRUE</definedName>
    <definedName name="HTML_OS" hidden="1">0</definedName>
    <definedName name="HTML_PathFile" hidden="1">"C:\My Documents\WTR.htm"</definedName>
    <definedName name="HTML_Title" hidden="1">"Wtr_WWtr_Flow(Teluk)"</definedName>
    <definedName name="HTML1_1" hidden="1">"[mnsavg.xls]Sheet1!$A$1:$AD$11"</definedName>
    <definedName name="HTML2_1" hidden="1">"[mnsavg.xls]Sheet1!$A$4:$K$33"</definedName>
    <definedName name="HTML3_1" hidden="1">"[keb97avrg.xls]Sheet1!$A$4:$O$32"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y" hidden="1">{"'Sheet1'!$L$16"}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LAY">#REF!</definedName>
    <definedName name="I">#REF!</definedName>
    <definedName name="IB">[1]집계표!#REF!</definedName>
    <definedName name="IBF">[1]집계표!#REF!</definedName>
    <definedName name="IBK">[1]집계표!#REF!</definedName>
    <definedName name="ID">#REF!</definedName>
    <definedName name="ID600V">#REF!</definedName>
    <definedName name="ID6KV">#REF!</definedName>
    <definedName name="ie">#REF!</definedName>
    <definedName name="IELWSALES">#REF!</definedName>
    <definedName name="IELYSALES">#REF!</definedName>
    <definedName name="IEPLANSALES">#REF!</definedName>
    <definedName name="IESP">#REF!</definedName>
    <definedName name="IF">[1]집계표!#REF!</definedName>
    <definedName name="IFL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IH">[1]집계표!#REF!</definedName>
    <definedName name="ii" hidden="1">{#N/A,#N/A,FALSE,"CCTV"}</definedName>
    <definedName name="iiouolkll" hidden="1">{#N/A,#N/A,FALSE,"CCTV"}</definedName>
    <definedName name="IM">[1]집계표!#REF!</definedName>
    <definedName name="IN">[1]집계표!#REF!</definedName>
    <definedName name="Inflation_R">#REF!</definedName>
    <definedName name="instrumData">OFFSET(#REF!,0,0,COUNTA(#REF!)-1,13)</definedName>
    <definedName name="instrumData1">OFFSET(#REF!,0,0,COUNTA(#REF!)-1,2)</definedName>
    <definedName name="instrumData2">OFFSET(#REF!,0,2,COUNTA(#REF!)-1,11)</definedName>
    <definedName name="Instrument_Database1">#REF!</definedName>
    <definedName name="Instrument_Database2">#REF!</definedName>
    <definedName name="IntFreeCred">#REF!</definedName>
    <definedName name="IntroPrintArea" hidden="1">#REF!</definedName>
    <definedName name="Invest">#REF!</definedName>
    <definedName name="Invest_I">#REF!</definedName>
    <definedName name="Invest_IM">#REF!</definedName>
    <definedName name="IOH" hidden="1">{#N/A,#N/A,FALSE,"Pos 10"}</definedName>
    <definedName name="IS">[1]집계표!#REF!</definedName>
    <definedName name="ISA">[1]집계표!#REF!</definedName>
    <definedName name="itemData">OFFSET(#REF!,0,0,COUNTA(#REF!)-1,11)</definedName>
    <definedName name="itemData1">OFFSET(#REF!,0,0,COUNTA(#REF!)-1,2)</definedName>
    <definedName name="itemData2">OFFSET(#REF!,0,2,COUNTA(#REF!)-1,9)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 hidden="1">#REF!</definedName>
    <definedName name="j_filler">#REF!</definedName>
    <definedName name="jhhhh" hidden="1">{#N/A,#N/A,FALSE,"CCTV"}</definedName>
    <definedName name="JI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JJ">#REF!</definedName>
    <definedName name="jjj" hidden="1">{"'장비'!$A$3:$M$12"}</definedName>
    <definedName name="JJJJJJ" hidden="1">#REF!</definedName>
    <definedName name="jjmn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kh" hidden="1">{#N/A,#N/A,FALSE,"Chi tiÆt"}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_TBM2">#REF!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ghlgh" hidden="1">{#N/A,#N/A,FALSE,"CCTV"}</definedName>
    <definedName name="kib">#REF!</definedName>
    <definedName name="kim" hidden="1">#REF!</definedName>
    <definedName name="kiulil" hidden="1">{#N/A,#N/A,FALSE,"CCTV"}</definedName>
    <definedName name="kjfds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jh" hidden="1">{#N/A,#N/A,FALSE,"Chi tiÆt"}</definedName>
    <definedName name="kjhlh" hidden="1">{#N/A,#N/A,FALSE,"CCTV"}</definedName>
    <definedName name="kjhljhk" hidden="1">{#N/A,#N/A,FALSE,"CCTV"}</definedName>
    <definedName name="kjkgh" hidden="1">{"'장비'!$A$3:$M$12"}</definedName>
    <definedName name="kk" hidden="1">#REF!</definedName>
    <definedName name="KKK" hidden="1">{#N/A,#N/A,FALSE,"CCTV"}</definedName>
    <definedName name="KKKKK" hidden="1">#REF!</definedName>
    <definedName name="kkkl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T">#REF!</definedName>
    <definedName name="ktf" hidden="1">#REF!</definedName>
    <definedName name="kty" hidden="1">#REF!</definedName>
    <definedName name="L">#REF!</definedName>
    <definedName name="LAST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latent">#REF!</definedName>
    <definedName name="LB">[1]집계표!#REF!</definedName>
    <definedName name="LBF">[1]집계표!#REF!</definedName>
    <definedName name="LBK">[1]집계표!#REF!</definedName>
    <definedName name="lean">#REF!</definedName>
    <definedName name="level" hidden="1">{"'장비'!$A$3:$M$12"}</definedName>
    <definedName name="level1" hidden="1">{"'장비'!$A$3:$M$12"}</definedName>
    <definedName name="LF">[1]집계표!#REF!</definedName>
    <definedName name="LH">[1]집계표!#REF!</definedName>
    <definedName name="light">"Picture 1"</definedName>
    <definedName name="lineDat">OFFSET(#REF!,0,0,COUNTA(#REF!)-1,15)</definedName>
    <definedName name="lineDat1">OFFSET(#REF!,0,0,COUNTA(#REF!)-1,2)</definedName>
    <definedName name="lineDat2">OFFSET(#REF!,0,2,COUNTA(#REF!)-1,13)</definedName>
    <definedName name="lineData">OFFSET(#REF!,0,0,COUNTA(#REF!)-1,15)</definedName>
    <definedName name="lineData1">OFFSET(#REF!,0,0,COUNTA(#REF!)-1,2)</definedName>
    <definedName name="lineData2">OFFSET(#REF!,0,2,COUNTA(#REF!)-1,13)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k" hidden="1">{#N/A,#N/A,FALSE,"CCTV"}</definedName>
    <definedName name="LKGDSAEF" hidden="1">{#N/A,#N/A,FALSE,"CCTV"}</definedName>
    <definedName name="lklhlkjl" hidden="1">{#N/A,#N/A,FALSE,"CCTV"}</definedName>
    <definedName name="LL_LOCATION">#REF!</definedName>
    <definedName name="LLLL" hidden="1">{#N/A,#N/A,FALSE,"CCTV"}</definedName>
    <definedName name="LM">[1]집계표!#REF!</definedName>
    <definedName name="LOP" hidden="1">#REF!</definedName>
    <definedName name="LS">[1]집계표!#REF!</definedName>
    <definedName name="LSA">[1]집계표!#REF!</definedName>
    <definedName name="LT_95">[10]Languages!$E$109</definedName>
    <definedName name="LT_96">[10]Languages!$E$110</definedName>
    <definedName name="LT_97">[10]Languages!$E$111</definedName>
    <definedName name="LT_98">[10]Languages!$E$112</definedName>
    <definedName name="LT_99">[10]Languages!$E$113</definedName>
    <definedName name="LTR_현바제_93113_93.10.07">#REF!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WSALES">#REF!</definedName>
    <definedName name="l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cro1">[0]!Macro1</definedName>
    <definedName name="MAINT1">[1]집계표!#REF!</definedName>
    <definedName name="MAINT5">[1]집계표!#REF!</definedName>
    <definedName name="MAINTB">[1]집계표!#REF!</definedName>
    <definedName name="MAINTBF">[1]집계표!#REF!</definedName>
    <definedName name="MAINTBK">[1]집계표!#REF!</definedName>
    <definedName name="MAINTF">[1]집계표!#REF!</definedName>
    <definedName name="MAINTH">[1]집계표!#REF!</definedName>
    <definedName name="MAINTM">[1]집계표!#REF!</definedName>
    <definedName name="MAINTS">[1]집계표!#REF!</definedName>
    <definedName name="MAINTSA">[1]집계표!#REF!</definedName>
    <definedName name="manday">#REF!</definedName>
    <definedName name="MARGINPLAN">#REF!</definedName>
    <definedName name="MARGINPROJ">#REF!</definedName>
    <definedName name="material">#REF!</definedName>
    <definedName name="material_list">#REF!</definedName>
    <definedName name="MB">[1]집계표!#REF!</definedName>
    <definedName name="MBF">[1]집계표!#REF!</definedName>
    <definedName name="MBK">[1]집계표!#REF!</definedName>
    <definedName name="metering" hidden="1">#REF!</definedName>
    <definedName name="MF">[1]집계표!#REF!</definedName>
    <definedName name="MH">[1]집계표!#REF!</definedName>
    <definedName name="MM" hidden="1">{#N/A,#N/A,FALSE,"단가표지"}</definedName>
    <definedName name="mmm" hidden="1">{"'장비'!$A$3:$M$12"}</definedName>
    <definedName name="mmmm" hidden="1">{"'장비'!$A$3:$M$12"}</definedName>
    <definedName name="mmmmm" hidden="1">{#N/A,#N/A,FALSE,"CCTV"}</definedName>
    <definedName name="MN" hidden="1">{#N/A,#N/A,FALSE,"CCTV"}</definedName>
    <definedName name="Monthly_M">#REF!</definedName>
    <definedName name="Monthly_P">#REF!</definedName>
    <definedName name="MotorCap">#REF!</definedName>
    <definedName name="motorData">OFFSET(#REF!,0,0,COUNTA(#REF!)-1,8)</definedName>
    <definedName name="motorData1">OFFSET(#REF!,0,0,COUNTA(#REF!)-1,2)</definedName>
    <definedName name="motorData2">OFFSET(#REF!,0,2,COUNTA(#REF!)-1,6)</definedName>
    <definedName name="MotorTB">#REF!</definedName>
    <definedName name="MP" hidden="1">{#N/A,#N/A,FALSE,"CCTV"}</definedName>
    <definedName name="MS">[1]집계표!#REF!</definedName>
    <definedName name="MSA">[1]집계표!#REF!</definedName>
    <definedName name="n" hidden="1">#REF!</definedName>
    <definedName name="n_1_MinCrossSection_k">#REF!</definedName>
    <definedName name="NAME" hidden="1">{#N/A,#N/A,FALSE,"CCTV"}</definedName>
    <definedName name="NEWNAME" hidden="1">{#N/A,#N/A,FALSE,"CCTV"}</definedName>
    <definedName name="NHP">#REF!</definedName>
    <definedName name="nkknk" hidden="1">{#N/A,#N/A,FALSE,"CCTV"}</definedName>
    <definedName name="nm" hidden="1">#REF!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n" hidden="1">{"'장비'!$A$3:$M$12"}</definedName>
    <definedName name="NOCB">[1]집계표!#REF!</definedName>
    <definedName name="NOCBF">[1]집계표!#REF!</definedName>
    <definedName name="NOCBK">[1]집계표!#REF!</definedName>
    <definedName name="NOCF">[1]집계표!#REF!</definedName>
    <definedName name="NOCH">[1]집계표!#REF!</definedName>
    <definedName name="NOCM">[1]집계표!#REF!</definedName>
    <definedName name="NOCS">[1]집계표!#REF!</definedName>
    <definedName name="NOCSA">[1]집계표!#REF!</definedName>
    <definedName name="NON_TABLE">#REF!</definedName>
    <definedName name="NON_TABLE_MT">#REF!</definedName>
    <definedName name="NPS">#REF!</definedName>
    <definedName name="num">#REF!</definedName>
    <definedName name="n치강파2" hidden="1">{#N/A,#N/A,FALSE,"현장 NCR 분석";#N/A,#N/A,FALSE,"현장품질감사";#N/A,#N/A,FALSE,"현장품질감사"}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cf" hidden="1">#REF!</definedName>
    <definedName name="ODH" hidden="1">#REF!</definedName>
    <definedName name="oililui" hidden="1">{#N/A,#N/A,FALSE,"CCTV"}</definedName>
    <definedName name="oldData">OFFSET(#REF!,0,0,COUNTA(#REF!)-1,7)</definedName>
    <definedName name="OSBL" hidden="1">{#N/A,#N/A,FALSE,"CCTV"}</definedName>
    <definedName name="OUT">[1]집계표!#REF!</definedName>
    <definedName name="OUTA">[1]집계표!#REF!</definedName>
    <definedName name="OUTB">[1]집계표!#REF!</definedName>
    <definedName name="OUTBF">[1]집계표!#REF!</definedName>
    <definedName name="OUTBK">[1]집계표!#REF!</definedName>
    <definedName name="OUTF">[1]집계표!#REF!</definedName>
    <definedName name="OUTH">[1]집계표!#REF!</definedName>
    <definedName name="OUTK">[1]집계표!#REF!</definedName>
    <definedName name="OUTM">[1]집계표!#REF!</definedName>
    <definedName name="OUTN">[1]집계표!#REF!</definedName>
    <definedName name="OUTR">[1]집계표!#REF!</definedName>
    <definedName name="OUTS">[1]집계표!#REF!</definedName>
    <definedName name="OUTSA">[1]집계표!#REF!</definedName>
    <definedName name="OUTW">[1]집계표!#REF!</definedName>
    <definedName name="OUTY">[1]집계표!#REF!</definedName>
    <definedName name="Overhead">#REF!</definedName>
    <definedName name="P" hidden="1">#REF!</definedName>
    <definedName name="p_shape">#REF!</definedName>
    <definedName name="PABS_CATA">#REF!</definedName>
    <definedName name="Pac" hidden="1">#REF!</definedName>
    <definedName name="p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ed_no">#REF!</definedName>
    <definedName name="Period">#REF!</definedName>
    <definedName name="peroxide" hidden="1">{#N/A,#N/A,FALSE,"CCTV"}</definedName>
    <definedName name="PETROCHEMICAL">#REF!</definedName>
    <definedName name="PF_Default">#REF!</definedName>
    <definedName name="PF_Start_Default">#REF!</definedName>
    <definedName name="pile_no">#REF!</definedName>
    <definedName name="PIPE_TABLE">#REF!</definedName>
    <definedName name="PIPELENGTH">#REF!</definedName>
    <definedName name="PKAAA" hidden="1">#REF!</definedName>
    <definedName name="PKBB" hidden="1">#REF!</definedName>
    <definedName name="PKCC" hidden="1">#REF!</definedName>
    <definedName name="plant_no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I" hidden="1">#REF!</definedName>
    <definedName name="PP" hidden="1">{#N/A,#N/A,FALSE,"CCTV"}</definedName>
    <definedName name="PPP" hidden="1">{#N/A,#N/A,FALSE,"CCTV"}</definedName>
    <definedName name="PRAYER" hidden="1">{#N/A,#N/A,FALSE,"CCTV"}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SS">#REF!</definedName>
    <definedName name="_xlnm.Print_Area" localSheetId="0">'Power Cable Schedule'!$A$1:$AH$2200</definedName>
    <definedName name="_xlnm.Print_Area">#N/A</definedName>
    <definedName name="Print_Area_MI">#REF!</definedName>
    <definedName name="_xlnm.Print_Titles" localSheetId="0">'Power Cable Schedule'!$2:$6</definedName>
    <definedName name="Print_Titles_MI">[11]OUT!#REF!</definedName>
    <definedName name="proc_eng">#REF!</definedName>
    <definedName name="PRODUCT">#REF!</definedName>
    <definedName name="Profit_R">#REF!</definedName>
    <definedName name="PROJ">#REF!</definedName>
    <definedName name="proj_name">#REF!</definedName>
    <definedName name="proj_no">#REF!</definedName>
    <definedName name="PRS" hidden="1">#REF!</definedName>
    <definedName name="PSR">#REF!</definedName>
    <definedName name="PTN">[3]본지점중!#REF!</definedName>
    <definedName name="pump" hidden="1">{"'장비'!$A$3:$M$12"}</definedName>
    <definedName name="PWB">[1]집계표!#REF!</definedName>
    <definedName name="PWBF">[1]집계표!#REF!</definedName>
    <definedName name="PWBK">[1]집계표!#REF!</definedName>
    <definedName name="PWF">[1]집계표!#REF!</definedName>
    <definedName name="PWH">[1]집계표!#REF!</definedName>
    <definedName name="PWM">[1]집계표!#REF!</definedName>
    <definedName name="PWS">[1]집계표!#REF!</definedName>
    <definedName name="PWSA">[1]집계표!#REF!</definedName>
    <definedName name="QA" hidden="1">{#N/A,#N/A,FALSE,"양식(을)"}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GFTRT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qkqh1" hidden="1">{#N/A,#N/A,FALSE,"명세표"}</definedName>
    <definedName name="qor" hidden="1">#REF!</definedName>
    <definedName name="qq" hidden="1">{#N/A,#N/A,FALSE,"단가표지"}</definedName>
    <definedName name="qqq" hidden="1">#REF!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uery9">#REF!</definedName>
    <definedName name="qw" hidden="1">{#N/A,#N/A,FALSE,"단가표지"}</definedName>
    <definedName name="QWD" hidden="1">#REF!</definedName>
    <definedName name="QWER" hidden="1">{#N/A,#N/A,FALSE,"양식(을)"}</definedName>
    <definedName name="QWERCDFGV" hidden="1">#REF!</definedName>
    <definedName name="qws" hidden="1">#REF!</definedName>
    <definedName name="R_V_DL">#REF!</definedName>
    <definedName name="R_V_NPS">#REF!</definedName>
    <definedName name="rarewt" hidden="1">{#N/A,#N/A,FALSE,"CCTV"}</definedName>
    <definedName name="RATE">#REF!</definedName>
    <definedName name="RATING계산">#N/A</definedName>
    <definedName name="RATING계산_1">RATING계산</definedName>
    <definedName name="RATING계산_2">RATING계산</definedName>
    <definedName name="RATING계산_3">#N/A</definedName>
    <definedName name="RATIO_MOTORSTARTING">#REF!</definedName>
    <definedName name="RATIO_MOTORSTARTING_DC">#REF!</definedName>
    <definedName name="RawAgencyPrice">#REF!</definedName>
    <definedName name="RB">[1]집계표!#REF!</definedName>
    <definedName name="RBData">#REF!</definedName>
    <definedName name="RE">#REF!</definedName>
    <definedName name="re_bar">#REF!</definedName>
    <definedName name="RENT5">[1]집계표!#REF!</definedName>
    <definedName name="RENTBF">[1]집계표!#REF!</definedName>
    <definedName name="RENTBK">[1]집계표!#REF!</definedName>
    <definedName name="RENTS">[1]집계표!#REF!</definedName>
    <definedName name="Reselects">#REF!</definedName>
    <definedName name="ret" hidden="1">{#N/A,#N/A,FALSE,"Chi tiÆt"}</definedName>
    <definedName name="rett" hidden="1">{#N/A,#N/A,FALSE,"Chi tiÆt"}</definedName>
    <definedName name="RF" hidden="1">{#N/A,#N/A,FALSE,"CCTV"}</definedName>
    <definedName name="RFFV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RFV" hidden="1">{#N/A,#N/A,FALSE,"CCTV"}</definedName>
    <definedName name="rghberr" hidden="1">{#N/A,#N/A,FALSE,"Chi tiÆt"}</definedName>
    <definedName name="RH">[1]집계표!#REF!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M">[1]집계표!#REF!</definedName>
    <definedName name="RNAO" hidden="1">{"'장비'!$A$3:$M$12"}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ut_t">#REF!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" hidden="1">{#N/A,#N/A,FALSE,"CCTV"}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r" hidden="1">{"'장비'!$A$3:$M$12"}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">[1]집계표!#REF!</definedName>
    <definedName name="RSA">[1]집계표!#REF!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h" hidden="1">#REF!</definedName>
    <definedName name="rtytry" hidden="1">{"'장비'!$A$3:$M$12"}</definedName>
    <definedName name="RVI" hidden="1">#REF!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B" hidden="1">{#N/A,#N/A,FALSE,"양식(을)"}</definedName>
    <definedName name="SAD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LESPLAN">#REF!</definedName>
    <definedName name="SAND" hidden="1">#REF!</definedName>
    <definedName name="sasa" hidden="1">{#N/A,#N/A,FALSE,"CCTV"}</definedName>
    <definedName name="SAVEM_Y">[12]조명투자및환수계획!$F$149</definedName>
    <definedName name="Saving_I">#REF!</definedName>
    <definedName name="Saving_IM">#REF!</definedName>
    <definedName name="SB">[1]집계표!#REF!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F">[1]집계표!#REF!</definedName>
    <definedName name="SBK">[1]집계표!#REF!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le">#REF!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h" hidden="1">#REF!</definedName>
    <definedName name="sch.40">#REF!</definedName>
    <definedName name="SCOPE">#REF!</definedName>
    <definedName name="SC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AFASF" hidden="1">#REF!</definedName>
    <definedName name="SDAFE" hidden="1">#REF!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ggrt" hidden="1">#REF!</definedName>
    <definedName name="sderftg" hidden="1">#REF!</definedName>
    <definedName name="SDFASE" hidden="1">#REF!</definedName>
    <definedName name="sdfdf" hidden="1">{"'장비'!$A$3:$M$12"}</definedName>
    <definedName name="SDFWEF" hidden="1">#REF!</definedName>
    <definedName name="SDFWEFW" hidden="1">#REF!</definedName>
    <definedName name="sdg" hidden="1">#REF!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VG" hidden="1">{#N/A,#N/A,FALSE,"양식(을)"}</definedName>
    <definedName name="SF">[1]집계표!#REF!</definedName>
    <definedName name="SFASDFAE" hidden="1">#REF!</definedName>
    <definedName name="SH">[1]집계표!#REF!</definedName>
    <definedName name="sheet" hidden="1">{#N/A,#N/A,FALSE,"골재소요량";#N/A,#N/A,FALSE,"골재소요량"}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EET23" hidden="1">{#N/A,#N/A,FALSE,"S.G_AI";#N/A,#N/A,FALSE,"S.G_DI"}</definedName>
    <definedName name="shet" hidden="1">{#N/A,#N/A,FALSE,"Pos 10"}</definedName>
    <definedName name="shpe">#REF!</definedName>
    <definedName name="shsdj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utt" hidden="1">#REF!</definedName>
    <definedName name="SIB">[1]집계표!#REF!</definedName>
    <definedName name="SIBF">[1]집계표!#REF!</definedName>
    <definedName name="SIBK">[1]집계표!#REF!</definedName>
    <definedName name="SIF">[1]집계표!#REF!</definedName>
    <definedName name="SIH">[1]집계표!#REF!</definedName>
    <definedName name="SIM">[1]집계표!#REF!</definedName>
    <definedName name="SINC2">#REF!</definedName>
    <definedName name="SIS">[1]집계표!#REF!</definedName>
    <definedName name="SISA">[1]집계표!#REF!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 hidden="1">{#N/A,#N/A,FALSE,"양식(을)"}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lope">#REF!</definedName>
    <definedName name="SM">[1]집계표!#REF!</definedName>
    <definedName name="SORT" hidden="1">#REF!</definedName>
    <definedName name="SORTS" hidden="1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_pdrop">#REF!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S" hidden="1">#REF!</definedName>
    <definedName name="SSA">[1]집계표!#REF!</definedName>
    <definedName name="sss" hidden="1">{"'장비'!$A$3:$M$12"}</definedName>
    <definedName name="ssssssss">#REF!</definedName>
    <definedName name="STAIR" hidden="1">{"'장비'!$A$3:$M$12"}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valve_pdrop">#REF!</definedName>
    <definedName name="TA" hidden="1">{#N/A,#N/A,FALSE,"CCTV"}</definedName>
    <definedName name="Table">#REF!</definedName>
    <definedName name="Table1">#REF!</definedName>
    <definedName name="tank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B">[1]집계표!#REF!</definedName>
    <definedName name="TBF">[1]집계표!#REF!</definedName>
    <definedName name="TBK">[1]집계표!#REF!</definedName>
    <definedName name="temp" hidden="1">{"'장비'!$A$3:$M$12"}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t" hidden="1">{#N/A,#N/A,FALSE,"Pos 10"}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F">[1]집계표!#REF!</definedName>
    <definedName name="TG" hidden="1">{#N/A,#N/A,FALSE,"CCTV"}</definedName>
    <definedName name="TH">[1]집계표!#REF!</definedName>
    <definedName name="TI" hidden="1">#REF!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M">[1]집계표!#REF!</definedName>
    <definedName name="TOT_BM">[12]조명투자및환수계획!$C$187</definedName>
    <definedName name="tr" hidden="1">#REF!</definedName>
    <definedName name="trt" hidden="1">{#N/A,#N/A,FALSE,"Pos 10"}</definedName>
    <definedName name="TRTTR" hidden="1">{#N/A,#N/A,FALSE,"C_01 CASE 1";#N/A,#N/A,FALSE,"C_01 CASE 2"}</definedName>
    <definedName name="TS">[1]집계표!#REF!</definedName>
    <definedName name="TSA">[1]집계표!#REF!</definedName>
    <definedName name="TSUPPOT" hidden="1">{#N/A,#N/A,FALSE,"CCTV"}</definedName>
    <definedName name="TT" hidden="1">#REF!</definedName>
    <definedName name="ttt" hidden="1">{"'장비'!$A$3:$M$12"}</definedName>
    <definedName name="TUBE" hidden="1">{#N/A,#N/A,FALSE,"CCTV"}</definedName>
    <definedName name="tube_test_press1_12">#REF!</definedName>
    <definedName name="TV" hidden="1">{#N/A,#N/A,FALSE,"CCTV"}</definedName>
    <definedName name="TVB">[1]집계표!#REF!</definedName>
    <definedName name="TVBF">[1]집계표!#REF!</definedName>
    <definedName name="TVBK">[1]집계표!#REF!</definedName>
    <definedName name="TVF">[1]집계표!#REF!</definedName>
    <definedName name="TVH">[1]집계표!#REF!</definedName>
    <definedName name="TVM">[1]집계표!#REF!</definedName>
    <definedName name="TVS">[1]집계표!#REF!</definedName>
    <definedName name="TVSA">[1]집계표!#REF!</definedName>
    <definedName name="TY" hidden="1">#REF!</definedName>
    <definedName name="TYPE">#REF!</definedName>
    <definedName name="Typical_cable_table">#REF!</definedName>
    <definedName name="tyt" hidden="1">{"'장비'!$A$3:$M$12"}</definedName>
    <definedName name="tyyuy" hidden="1">{"'장비'!$A$3:$M$12"}</definedName>
    <definedName name="UANDO">#REF!</definedName>
    <definedName name="UB" hidden="1">{#N/A,#N/A,FALSE,"CCTV"}</definedName>
    <definedName name="UCOM_M">[12]제조중간결과!$C$59</definedName>
    <definedName name="UI" hidden="1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CATE">#REF!</definedName>
    <definedName name="UOM">#REF!</definedName>
    <definedName name="UPD" hidden="1">{#N/A,#N/A,FALSE,"ENG'G(보호계전기)"}</definedName>
    <definedName name="UPS">#REF!</definedName>
    <definedName name="uuuuuu" hidden="1">{"'장비'!$A$3:$M$12"}</definedName>
    <definedName name="uy" hidden="1">{"'장비'!$A$3:$M$12"}</definedName>
    <definedName name="uyedgnhgdf" hidden="1">#REF!</definedName>
    <definedName name="v" hidden="1">{"'장비'!$A$3:$M$12"}</definedName>
    <definedName name="V_Test" hidden="1">{"'Sheet1'!$L$16"}</definedName>
    <definedName name="VB">[1]집계표!#REF!</definedName>
    <definedName name="vbbbb" hidden="1">{#N/A,#N/A,FALSE,"양식(을)"}</definedName>
    <definedName name="VBF">[1]집계표!#REF!</definedName>
    <definedName name="VBK">[1]집계표!#REF!</definedName>
    <definedName name="VD_N_Board_Data">#REF!</definedName>
    <definedName name="VD_N_Board_Name">#REF!</definedName>
    <definedName name="VD_N_Default">#REF!</definedName>
    <definedName name="VD_N_Load_Data">#REF!</definedName>
    <definedName name="VD_N_Load_Name">#REF!</definedName>
    <definedName name="VD_Starting_LV_Default">#REF!</definedName>
    <definedName name="VD_Starting_LV_Default_Name">#REF!</definedName>
    <definedName name="VD_Starting_MV_Default">#REF!</definedName>
    <definedName name="VD_Starting_MV_Default_Name">#REF!</definedName>
    <definedName name="VD_TypeNames">#REF!</definedName>
    <definedName name="VF">[1]집계표!#REF!</definedName>
    <definedName name="VH">[1]집계표!#REF!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M">[1]집계표!#REF!</definedName>
    <definedName name="VS">[1]집계표!#REF!</definedName>
    <definedName name="VSA">[1]집계표!#REF!</definedName>
    <definedName name="vwo">#REF!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A" hidden="1">#REF!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B">[1]집계표!#REF!</definedName>
    <definedName name="WBF">[1]집계표!#REF!</definedName>
    <definedName name="WBK">[1]집계표!#REF!</definedName>
    <definedName name="WE" hidden="1">{#N/A,#N/A,FALSE,"CCTV"}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ight" hidden="1">{#N/A,#N/A,FALSE,"CCTV"}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F">[1]집계표!#REF!</definedName>
    <definedName name="WFC" hidden="1">#REF!</definedName>
    <definedName name="WH">[1]집계표!#REF!</definedName>
    <definedName name="WJO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js" hidden="1">{"'장비'!$A$3:$M$12"}</definedName>
    <definedName name="WLDJWO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LQ" hidden="1">{#N/A,#N/A,FALSE,"명세표"}</definedName>
    <definedName name="WM">[1]집계표!#REF!</definedName>
    <definedName name="wm.조골재1" hidden="1">{#N/A,#N/A,FALSE,"조골재"}</definedName>
    <definedName name="workshop" hidden="1">{#N/A,#N/A,FALSE,"CCTV"}</definedName>
    <definedName name="WR" hidden="1">{#N/A,#N/A,FALSE,"CCTV"}</definedName>
    <definedName name="WRITE" hidden="1">{#N/A,#N/A,FALSE,"CCTV"}</definedName>
    <definedName name="wrn.2번." hidden="1">{#N/A,#N/A,FALSE,"2~8번"}</definedName>
    <definedName name="wrn.BAT._.CHARGER." hidden="1">{#N/A,#N/A,TRUE,"BATTERY CHARGER COVER";#N/A,#N/A,TRUE,"BATTERY CHARGER"}</definedName>
    <definedName name="wrn.BM." hidden="1">{#N/A,#N/A,FALSE,"CCTV"}</definedName>
    <definedName name="wrn.C_01." hidden="1">{#N/A,#N/A,FALSE,"C_01 CASE 1";#N/A,#N/A,FALSE,"C_01 CASE 2"}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ENTIRE." hidden="1">{#N/A,#N/A,FALSE,"Cover";#N/A,#N/A,FALSE,"Mech (Eng)";#N/A,#N/A,FALSE,"Mech2 (Eng)";#N/A,#N/A,FALSE,"Mech3 (Eng)";#N/A,#N/A,FALSE,"Mech4 (Eng)"}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GEN." hidden="1">{#N/A,#N/A,TRUE,"GENERATOR COVER";#N/A,#N/A,TRUE,"GENERATOR"}</definedName>
    <definedName name="wrn.history." hidden="1">{#N/A,#N/A,FALSE,"model"}</definedName>
    <definedName name="wrn.histROIC." hidden="1">{#N/A,#N/A,FALSE,"model"}</definedName>
    <definedName name="wrn.HV._.SGWR." hidden="1">{#N/A,#N/A,TRUE,"HV SWGR COVER";#N/A,#N/A,TRUE,"HV SWGR"}</definedName>
    <definedName name="wrn.LDB." hidden="1">{#N/A,#N/A,TRUE,"LV DIST BOARD COVER";#N/A,#N/A,TRUE,"LV DIST BOARD"}</definedName>
    <definedName name="wrn.LV._.SGWR." hidden="1">{#N/A,#N/A,TRUE,"LV SWGR &amp; MCC COVER";#N/A,#N/A,TRUE,"LV SWGR &amp; MCC"}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Letter",#N/A,TRUE,"Results";"P2 Summary Letter",#N/A,TRUE,"Results";"Historical data Letter",#N/A,TRUE,"Historical Data";"P1 Inputs Letter",#N/A,TRUE,"Forecast Drivers";"P2 Inputs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Letter",#N/A,TRUE,"Valuation Summary";"Financial Statements Letter",#N/A,TRUE,"Results";"Results Letter",#N/A,TRUE,"Results";"Ratios Letter",#N/A,TRUE,"Results";"P2 Summary Letter",#N/A,TRUE,"Results"}</definedName>
    <definedName name="wrn.PRINTALL." hidden="1">{#N/A,#N/A,FALSE,"Caies";#N/A,#N/A,FALSE,"FIELD LENGTHS";#N/A,#N/A,FALSE,"CAIES REF";#N/A,#N/A,FALSE,"RelDPT01.xls"}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TAC_S.G_SUBSYS." hidden="1">{#N/A,#N/A,FALSE,"S.G_AI";#N/A,#N/A,FALSE,"S.G_DI"}</definedName>
    <definedName name="wrn.temp." hidden="1">{#N/A,#N/A,FALSE,"Pos 10"}</definedName>
    <definedName name="wrn.test1." hidden="1">{#N/A,#N/A,FALSE,"명세표"}</definedName>
    <definedName name="wrn.TR." hidden="1">{#N/A,#N/A,TRUE,"TRANSFORMER COVER";#N/A,#N/A,TRUE,"TRANSFORMER"}</definedName>
    <definedName name="wrn.UPS." hidden="1">{#N/A,#N/A,TRUE,"UPS COVER";#N/A,#N/A,TRUE,"UPS"}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zkušební._.tisk." hidden="1">{#N/A,#N/A,TRUE,"měření (3,4)";#N/A,#N/A,TRUE,"trafo (6,12,5,17)";#N/A,#N/A,TRUE,"trafo (23,18,26)";#N/A,#N/A,TRUE,"trafo (11)";#N/A,#N/A,TRUE,"mot(7až10,13až16,19až22,25,26)";#N/A,#N/A,TRUE,"spojka bez vyp (27)";#N/A,#N/A,TRUE,"spojka s vyp (28)";#N/A,#N/A,TRUE,"přívod (1,2)"}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고서." hidden="1">{#N/A,#N/A,FALSE,"양식(을)"}</definedName>
    <definedName name="wrn.보호계전기." hidden="1">{#N/A,#N/A,FALSE,"ENG'G(보호계전기)"}</definedName>
    <definedName name="wrn.부대1." hidden="1">{#N/A,#N/A,FALSE,"부대1"}</definedName>
    <definedName name="wrn.부대2." hidden="1">{#N/A,#N/A,FALSE,"부대2"}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속도." hidden="1">{#N/A,#N/A,FALSE,"속도"}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수." hidden="1">{#N/A,"수불부",FALSE,"사급자재수불서";#N/A,"수불부",FALSE,"사급자재수불서"}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S">[1]집계표!#REF!</definedName>
    <definedName name="WSA">[1]집계표!#REF!</definedName>
    <definedName name="wsq" hidden="1">#REF!</definedName>
    <definedName name="WTD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" hidden="1">{#N/A,#N/A,FALSE,"CCTV"}</definedName>
    <definedName name="www" hidden="1">{#N/A,#N/A,FALSE,"Pos 10"}</definedName>
    <definedName name="WWWW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WWWWWW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Z" hidden="1">{#N/A,#N/A,FALSE,"CCTV"}</definedName>
    <definedName name="XC" hidden="1">{#N/A,#N/A,FALSE,"CCTV"}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x" hidden="1">#REF!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#REF!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i" hidden="1">#REF!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">ROUND(Xs^4/(192+0.8*Xs^4),15)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yu" hidden="1">{"'장비'!$A$3:$M$12"}</definedName>
    <definedName name="yuyuyu" hidden="1">{"'장비'!$A$3:$M$12"}</definedName>
    <definedName name="yyy" hidden="1">{"'장비'!$A$3:$M$12"}</definedName>
    <definedName name="yyyyy" hidden="1">{"'장비'!$A$3:$M$12"}</definedName>
    <definedName name="za" hidden="1">#REF!</definedName>
    <definedName name="zd">#REF!</definedName>
    <definedName name="zx" hidden="1">{"'장비'!$A$3:$M$12"}</definedName>
    <definedName name="ZZ">#REF!</definedName>
    <definedName name="ㄱ" hidden="1">{#N/A,#N/A,FALSE,"기안지";#N/A,#N/A,FALSE,"통신지"}</definedName>
    <definedName name="ㄱㄱ" hidden="1">{#N/A,#N/A,FALSE,"명세표"}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ㄹㅇㄷ" hidden="1">#REF!</definedName>
    <definedName name="ㄱ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ㅈㅎ" hidden="1">#REF!</definedName>
    <definedName name="가나다" hidden="1">#REF!</definedName>
    <definedName name="간접경비" hidden="1">#REF!</definedName>
    <definedName name="갑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게이블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겡오" hidden="1">{#N/A,#N/A,FALSE,"CCTV"}</definedName>
    <definedName name="견적SHEET" hidden="1">{#N/A,#N/A,FALSE,"CCTV"}</definedName>
    <definedName name="견적조건" hidden="1">#REF!</definedName>
    <definedName name="견적조건8" hidden="1">{#N/A,#N/A,FALSE,"CCTV"}</definedName>
    <definedName name="견적품의서" hidden="1">{"'장비'!$A$3:$M$12"}</definedName>
    <definedName name="결선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결선리스트복사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경비1" hidden="1">#REF!</definedName>
    <definedName name="경비조정중기">#REF!</definedName>
    <definedName name="계장공사" hidden="1">{#N/A,#N/A,FALSE,"CCTV"}</definedName>
    <definedName name="계전2" hidden="1">#REF!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고문" hidden="1">{#N/A,#N/A,FALSE,"현장 NCR 분석";#N/A,#N/A,FALSE,"현장품질감사";#N/A,#N/A,FALSE,"현장품질감사"}</definedName>
    <definedName name="골재" hidden="1">{#N/A,#N/A,FALSE,"골재소요량";#N/A,#N/A,FALSE,"골재소요량"}</definedName>
    <definedName name="공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_NDE">[13]공사비_NDE!$A$1:$K$6295</definedName>
    <definedName name="공사_PAINT">[13]공사비_NDE!$A$1:$K$6295</definedName>
    <definedName name="공사손익.중국">#REF!</definedName>
    <definedName name="공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동" hidden="1">#REF!</definedName>
    <definedName name="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관리비" hidden="1">#REF!</definedName>
    <definedName name="교육" hidden="1">{#N/A,#N/A,FALSE,"전력간선"}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산갑지" hidden="1">#REF!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그런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계경비산출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니리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성3" hidden="1">{#N/A,#N/A,FALSE,"CCTV"}</definedName>
    <definedName name="기존도로상태" hidden="1">{#N/A,#N/A,FALSE,"혼합골재"}</definedName>
    <definedName name="김" hidden="1">{#N/A,#N/A,FALSE,"명세표"}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ㄱㄹ" hidden="1">#REF!</definedName>
    <definedName name="ㄴㄴ" hidden="1">{#N/A,#N/A,FALSE,"CCTV"}</definedName>
    <definedName name="ㄴㄴㄴ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ㄴ낭ㅇㄴ" hidden="1">{#N/A,#N/A,FALSE,"현장 NCR 분석";#N/A,#N/A,FALSE,"현장품질감사";#N/A,#N/A,FALSE,"현장품질감사"}</definedName>
    <definedName name="ㄴㄹㄴㅁㅎㅇㄹ" hidden="1">{#N/A,"수불부",FALSE,"사급자재수불서";#N/A,"수불부",FALSE,"사급자재수불서"}</definedName>
    <definedName name="ㄴㅁ" hidden="1">#REF!</definedName>
    <definedName name="ㄴㅁㄹㅈㄹ" hidden="1">#REF!</definedName>
    <definedName name="ㄴㅁㄻㄴㅇㄹㅇㄴㄹ" hidden="1">{#N/A,"수불부",FALSE,"사급자재수불서";#N/A,"수불부",FALSE,"사급자재수불서"}</definedName>
    <definedName name="ㄴㅁㅇㅁㄴ" hidden="1">#REF!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ㄴㅁ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ㄴㅇㄹㄴ" hidden="1">{#N/A,"수불부",FALSE,"사급자재수불서";#N/A,"수불부",FALSE,"사급자재수불서"}</definedName>
    <definedName name="ㄴㅇㅎㄴㅇ" hidden="1">#REF!</definedName>
    <definedName name="나" hidden="1">{#N/A,#N/A,FALSE,"전력간선"}</definedName>
    <definedName name="내역" hidden="1">{#N/A,#N/A,FALSE,"CCTV"}</definedName>
    <definedName name="내역서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노무비단가산출서" hidden="1">#REF!</definedName>
    <definedName name="ㄷㄳㄹ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숃ㄱ" hidden="1">#REF!</definedName>
    <definedName name="ㄷㅎㄹㅇ" hidden="1">#REF!</definedName>
    <definedName name="다음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단가_32WX1">[14]기본입력!$E$38</definedName>
    <definedName name="단위조장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대운반거리" hidden="1">#REF!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로" hidden="1">{#N/A,#N/A,FALSE,"2~8번"}</definedName>
    <definedName name="도면외주" hidden="1">#REF!</definedName>
    <definedName name="도면용역비" hidden="1">#REF!</definedName>
    <definedName name="도장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" hidden="1">{#N/A,#N/A,FALSE,"지침";#N/A,#N/A,FALSE,"환경분석";#N/A,#N/A,FALSE,"Sheet16"}</definedName>
    <definedName name="ㄹ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ㄹㄴㄹ" hidden="1">#REF!</definedName>
    <definedName name="ㄹㄴㅁㄹㄴ" hidden="1">{#N/A,"수불부",FALSE,"사급자재수불서";#N/A,"수불부",FALSE,"사급자재수불서"}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ㄹㄹ" hidden="1">{#N/A,#N/A,FALSE,"명세표"}</definedName>
    <definedName name="ㄹㅇㄴㄹ" hidden="1">{#N/A,"수불부",FALSE,"사급자재수불서";#N/A,"수불부",FALSE,"사급자재수불서"}</definedName>
    <definedName name="ㄹㅇㄶ" hidden="1">#REF!</definedName>
    <definedName name="ㄹㅇㄶ옿" hidden="1">#REF!</definedName>
    <definedName name="ㄹㅇㄹㅇㄴ" hidden="1">{#N/A,"수불부",FALSE,"사급자재수불서";#N/A,"수불부",FALSE,"사급자재수불서"}</definedName>
    <definedName name="ㄹ호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로ㅎㅎㄹ" hidden="1">{#N/A,#N/A,FALSE,"양식(을)"}</definedName>
    <definedName name="ㅀ허" hidden="1">{#N/A,#N/A,FALSE,"CCTV"}</definedName>
    <definedName name="ㅁ" hidden="1">{#N/A,#N/A,FALSE,"명세표"}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ㅇㄹㄴ" hidden="1">{#N/A,"수불부",FALSE,"사급자재수불서";#N/A,"수불부",FALSE,"사급자재수불서"}</definedName>
    <definedName name="ㅁㅁ" hidden="1">#REF!</definedName>
    <definedName name="ㅁㅁ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ㅁㅁ" hidden="1">{#N/A,#N/A,FALSE,"지침";#N/A,#N/A,FALSE,"환경분석";#N/A,#N/A,FALSE,"Sheet16"}</definedName>
    <definedName name="ㅁㅁㅁㅁㅁㅁ" hidden="1">#REF!</definedName>
    <definedName name="ㅁㅇㄹ" hidden="1">{#N/A,#N/A,FALSE,"지침";#N/A,#N/A,FALSE,"환경분석";#N/A,#N/A,FALSE,"Sheet16"}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" hidden="1">{#N/A,#N/A,FALSE,"양식(을)"}</definedName>
    <definedName name="만득이" hidden="1">{#N/A,#N/A,FALSE,"2~8번"}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머" hidden="1">{#N/A,#N/A,FALSE,"명세표"}</definedName>
    <definedName name="명단" hidden="1">{#N/A,"수불부",FALSE,"사급자재수불서";#N/A,"수불부",FALSE,"사급자재수불서"}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무수" hidden="1">{#N/A,#N/A,FALSE,"지침";#N/A,#N/A,FALSE,"환경분석";#N/A,#N/A,FALSE,"Sheet16"}</definedName>
    <definedName name="뭉" hidden="1">{"'장비'!$A$3:$M$12"}</definedName>
    <definedName name="뭐지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ㄷ" hidden="1">#REF!</definedName>
    <definedName name="ㅂㅂㅂ" hidden="1">{#N/A,#N/A,FALSE,"양식(을)"}</definedName>
    <definedName name="ㅂㅂㅂㅂ" hidden="1">{#N/A,#N/A,FALSE,"혼합골재"}</definedName>
    <definedName name="ㅂㅂㅂㅂㅂㅂㅂ" hidden="1">{#N/A,#N/A,FALSE,"명세표"}</definedName>
    <definedName name="ㅂㅈ" hidden="1">{#N/A,#N/A,FALSE,"Sheet1"}</definedName>
    <definedName name="바보" hidden="1">{#N/A,#N/A,FALSE,"표지목차"}</definedName>
    <definedName name="바보2" hidden="1">{#N/A,#N/A,FALSE,"운반시간"}</definedName>
    <definedName name="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박성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밥보" hidden="1">{#N/A,#N/A,FALSE,"표지목차"}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공수율" hidden="1">#REF!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벽체" hidden="1">{#N/A,#N/A,FALSE,"혼합골재"}</definedName>
    <definedName name="변겨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경서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변경확인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부지복구논" hidden="1">{#N/A,#N/A,FALSE,"현장 NCR 분석";#N/A,#N/A,FALSE,"현장품질감사";#N/A,#N/A,FALSE,"현장품질감사"}</definedName>
    <definedName name="비교표2" hidden="1">#REF!</definedName>
    <definedName name="비교하기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비교하김ㅁㅁ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ㅅㅎㅅㄱㄳ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사" hidden="1">#REF!</definedName>
    <definedName name="상각비2" hidden="1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석항" hidden="1">{#N/A,#N/A,FALSE,"명세표"}</definedName>
    <definedName name="설비" hidden="1">#REF!</definedName>
    <definedName name="설비powerload" hidden="1">#REF!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송변전공종단가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량_32W×1">[14]기본입력!$G$19</definedName>
    <definedName name="수량_32W×2">[14]기본입력!$G$18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승용교" hidden="1">{#N/A,#N/A,FALSE,"2~8번"}</definedName>
    <definedName name="시공조직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신설" hidden="1">{#N/A,#N/A,FALSE,"명세표"}</definedName>
    <definedName name="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1156">#REF!</definedName>
    <definedName name="ㅇㄴㄹㄴㅇ" hidden="1">{#N/A,"수불부",FALSE,"사급자재수불서";#N/A,"수불부",FALSE,"사급자재수불서"}</definedName>
    <definedName name="ㅇㄴㅁ" hidden="1">#REF!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ㄷ" hidden="1">{#N/A,#N/A,FALSE,"지침";#N/A,#N/A,FALSE,"환경분석";#N/A,#N/A,FALSE,"Sheet16"}</definedName>
    <definedName name="ㅇㄹ" hidden="1">#REF!</definedName>
    <definedName name="ㅇㄹㄴ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hidden="1">#REF!</definedName>
    <definedName name="ㅇㄹ알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ㄻㄴㅀ" hidden="1">{#N/A,"수불부",FALSE,"사급자재수불서";#N/A,"수불부",FALSE,"사급자재수불서"}</definedName>
    <definedName name="ㅇㅀㅎㅎㅎㅎㅎㄴㄷㄷㄷ" hidden="1">{#N/A,#N/A,FALSE,"현장 NCR 분석";#N/A,#N/A,FALSE,"현장품질감사";#N/A,#N/A,FALSE,"현장품질감사"}</definedName>
    <definedName name="ㅇㅁㄶㄴㅇㅁㅀㅇㄴ" hidden="1">{#N/A,"수불부",FALSE,"사급자재수불서";#N/A,"수불부",FALSE,"사급자재수불서"}</definedName>
    <definedName name="ㅇㅇ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ㅇㅇ" hidden="1">#REF!</definedName>
    <definedName name="ㅇㅎ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ㅎㅁㅇㅎㄴㅇㅁ" hidden="1">{#N/A,"수불부",FALSE,"사급자재수불서";#N/A,"수불부",FALSE,"사급자재수불서"}</definedName>
    <definedName name="아아아" hidden="1">{#N/A,#N/A,FALSE,"지침";#N/A,#N/A,FALSE,"환경분석";#N/A,#N/A,FALSE,"Sheet16"}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어랑너ㅣㄹㄴㅇ" hidden="1">{#N/A,"수불부",FALSE,"사급자재수불서";#N/A,"수불부",FALSE,"사급자재수불서"}</definedName>
    <definedName name="억이상" hidden="1">{#N/A,#N/A,FALSE,"2~8번"}</definedName>
    <definedName name="업체" hidden="1">#REF!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오" hidden="1">#REF!</definedName>
    <definedName name="오우오오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옹벽" hidden="1">{#N/A,#N/A,FALSE,"혼합골재"}</definedName>
    <definedName name="옹벽수량집계표" hidden="1">{#N/A,#N/A,FALSE,"2~8번"}</definedName>
    <definedName name="옹벽수량집계표총괄" hidden="1">{#N/A,#N/A,FALSE,"혼합골재"}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오수공" hidden="1">{#N/A,#N/A,FALSE,"기안지";#N/A,#N/A,FALSE,"통신지"}</definedName>
    <definedName name="원가" hidden="1">{#N/A,#N/A,FALSE,"운반시간"}</definedName>
    <definedName name="원가계획" hidden="1">{#N/A,#N/A,FALSE,"지침";#N/A,#N/A,FALSE,"환경분석";#N/A,#N/A,FALSE,"Sheet16"}</definedName>
    <definedName name="원가합계">[15]원가계산서!$F$25</definedName>
    <definedName name="원남내역" hidden="1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의" hidden="1">{#N/A,#N/A,FALSE,"운반시간"}</definedName>
    <definedName name="이" hidden="1">{#N/A,#N/A,FALSE,"명세표"}</definedName>
    <definedName name="이거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일" hidden="1">#REF!</definedName>
    <definedName name="임직" hidden="1">#REF!</definedName>
    <definedName name="입찰" hidden="1">{#N/A,#N/A,FALSE,"단가표지"}</definedName>
    <definedName name="입찰금액안" hidden="1">#REF!</definedName>
    <definedName name="ㅈ" hidden="1">{#N/A,#N/A,FALSE,"명세표"}</definedName>
    <definedName name="ㅈ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ㅈ" hidden="1">{"'장비'!$A$3:$M$12"}</definedName>
    <definedName name="ㅈㅈㅈ" hidden="1">{"'장비'!$A$3:$M$12"}</definedName>
    <definedName name="ㅈㅈㅈㅈ" hidden="1">{#N/A,#N/A,FALSE,"명세표"}</definedName>
    <definedName name="ㅈㅈㅈㅈㅈ" hidden="1">{"'장비'!$A$3:$M$12"}</definedName>
    <definedName name="자미" hidden="1">{#N/A,#N/A,FALSE,"명세표"}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재비">[16]원가계산서!#REF!</definedName>
    <definedName name="자재업" hidden="1">#REF!</definedName>
    <definedName name="잔액">#REF!</definedName>
    <definedName name="재료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전">#REF!</definedName>
    <definedName name="전계장금액" hidden="1">#REF!</definedName>
    <definedName name="전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1" hidden="1">#REF!</definedName>
    <definedName name="전기구" hidden="1">{"'장비'!$A$3:$M$12"}</definedName>
    <definedName name="전기기" hidden="1">#REF!</definedName>
    <definedName name="전기기기" hidden="1">{"'장비'!$A$3:$M$12"}</definedName>
    <definedName name="전기내역" hidden="1">{#N/A,#N/A,FALSE,"CCTV"}</definedName>
    <definedName name="전기마감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동기125">[17]전동기!$D$27</definedName>
    <definedName name="전동기40">[17]전동기!$D$24</definedName>
    <definedName name="전동기50">[17]전동기!$D$25</definedName>
    <definedName name="전동기75">[17]전동기!$D$26</definedName>
    <definedName name="전선조장" hidden="1">#REF!</definedName>
    <definedName name="전체sum">#REF!</definedName>
    <definedName name="제작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조건2" hidden="1">{#N/A,#N/A,FALSE,"CCTV"}</definedName>
    <definedName name="조사가" hidden="1">#REF!</definedName>
    <definedName name="종합" hidden="1">{#N/A,#N/A,FALSE,"지침";#N/A,#N/A,FALSE,"환경분석";#N/A,#N/A,FALSE,"Sheet16"}</definedName>
    <definedName name="주택사업본부">#REF!</definedName>
    <definedName name="중공업인원인건비" hidden="1">{#N/A,#N/A,FALSE,"지침";#N/A,#N/A,FALSE,"환경분석";#N/A,#N/A,FALSE,"Sheet16"}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지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집계" hidden="1">{#N/A,#N/A,FALSE,"명세표"}</definedName>
    <definedName name="ㅊ" hidden="1">#REF!</definedName>
    <definedName name="ㅊㅍ" hidden="1">#REF!</definedName>
    <definedName name="찰샇기" hidden="1">#REF!</definedName>
    <definedName name="철거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구사업본부">#REF!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총" hidden="1">{"'장비'!$A$3:$M$12"}</definedName>
    <definedName name="총공" hidden="1">{#N/A,#N/A,FALSE,"운반시간"}</definedName>
    <definedName name="총괄" hidden="1">#REF!</definedName>
    <definedName name="총괄표" hidden="1">#REF!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추가분" hidden="1">{"'장비'!$A$3:$M$12"}</definedName>
    <definedName name="ㅋㅁ" hidden="1">{#N/A,#N/A,FALSE,"명세표"}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ㅋ" hidden="1">{#N/A,#N/A,FALSE,"명세표"}</definedName>
    <definedName name="케이블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규격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케이블물량집게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변경내역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" hidden="1">#REF!</definedName>
    <definedName name="ㅌㄹ" hidden="1">{#N/A,#N/A,FALSE,"현장 NCR 분석";#N/A,#N/A,FALSE,"현장품질감사";#N/A,#N/A,FALSE,"현장품질감사"}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타이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토" hidden="1">#REF!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공량" hidden="1">{#N/A,#N/A,FALSE,"기안지";#N/A,#N/A,FALSE,"통신지"}</definedName>
    <definedName name="토목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대비" hidden="1">#REF!</definedName>
    <definedName name="토목변경" hidden="1">{"'장비'!$A$3:$M$12"}</definedName>
    <definedName name="토목설계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찰예정가50" hidden="1">{"'장비'!$A$3:$M$12"}</definedName>
    <definedName name="투찰예정본부장" hidden="1">{"'장비'!$A$3:$M$12"}</definedName>
    <definedName name="특시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티티도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ㅍ" hidden="1">{#N/A,#N/A,FALSE,"명세표"}</definedName>
    <definedName name="팔" hidden="1">#REF!</definedName>
    <definedName name="패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포서롣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포설최종으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준공종단가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지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ㅎㄹ" hidden="1">#REF!</definedName>
    <definedName name="ㅎㅎ" hidden="1">#REF!</definedName>
    <definedName name="ㅎㅎㅎ" hidden="1">#REF!</definedName>
    <definedName name="하늘1" hidden="1">{#N/A,#N/A,FALSE,"전력간선"}</definedName>
    <definedName name="하늘강아지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월가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하월가임형주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하하" hidden="1">{#N/A,#N/A,FALSE,"명세표"}</definedName>
    <definedName name="합계">#REF!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현조" hidden="1">#REF!</definedName>
    <definedName name="형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" hidden="1">{#N/A,#N/A,FALSE,"현장 NCR 분석";#N/A,#N/A,FALSE,"현장품질감사";#N/A,#N/A,FALSE,"현장품질감사"}</definedName>
    <definedName name="호호호" hidden="1">{#N/A,#N/A,FALSE,"명세표"}</definedName>
    <definedName name="호ㅓㅕㅏ6ㅅ서ㅛㅓ" hidden="1">#REF!</definedName>
    <definedName name="홍ㄹㄴㄷㄱ" hidden="1">#REF!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화" hidden="1">{#N/A,#N/A,FALSE,"기안지";#N/A,#N/A,FALSE,"통신지"}</definedName>
    <definedName name="확인하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환경소주3" hidden="1">{#N/A,#N/A,FALSE,"지침";#N/A,#N/A,FALSE,"환경분석";#N/A,#N/A,FALSE,"Sheet16"}</definedName>
    <definedName name="환차요약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훈">255</definedName>
    <definedName name="흄관" hidden="1">{#N/A,#N/A,FALSE,"기안지";#N/A,#N/A,FALSE,"통신지"}</definedName>
    <definedName name="ㅏ" hidden="1">{#N/A,#N/A,FALSE,"기안지";#N/A,#N/A,FALSE,"통신지"}</definedName>
    <definedName name="ㅏㅏㅏ" hidden="1">{#N/A,#N/A,FALSE,"명세표"}</definedName>
    <definedName name="ㅐㅐㅐ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ㄴㄱ" hidden="1">#REF!</definedName>
    <definedName name="ㅓㄹ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ㅇㅇ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ㅔㅔ" hidden="1">#REF!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ㅅ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ㅎ" hidden="1">{#N/A,#N/A,FALSE,"Sheet1"}</definedName>
    <definedName name="ㅗㅓ" hidden="1">#REF!</definedName>
    <definedName name="ㅗㅗ" hidden="1">{#N/A,#N/A,FALSE,"명세표"}</definedName>
    <definedName name="ㅗㅗㅗ" hidden="1">{"'장비'!$A$3:$M$12"}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ㅜ" hidden="1">{#N/A,#N/A,FALSE,"명세표"}</definedName>
    <definedName name="ㅠ">#REF!</definedName>
    <definedName name="ㅠ5">#REF!</definedName>
    <definedName name="ㅠ뮤ㅐ" hidden="1">#REF!</definedName>
    <definedName name="ㅠㅜ" hidden="1">#REF!</definedName>
    <definedName name="ㅠㅠ" hidden="1">{#N/A,#N/A,FALSE,"포장2"}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ㅡ" hidden="1">{#N/A,#N/A,FALSE,"명세표"}</definedName>
    <definedName name="ㅣㅑ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6" i="1" l="1"/>
  <c r="O985" i="1"/>
  <c r="O984" i="1"/>
  <c r="O983" i="1"/>
  <c r="AD1448" i="1" a="1"/>
  <c r="AD1447" i="1" a="1"/>
  <c r="AD1446" i="1" a="1"/>
  <c r="AD1445" i="1" a="1"/>
  <c r="AD1444" i="1" a="1"/>
  <c r="AD1443" i="1" a="1"/>
  <c r="AD1442" i="1" a="1"/>
  <c r="AD1441" i="1" a="1"/>
  <c r="AD1440" i="1" a="1"/>
  <c r="AD1439" i="1" a="1"/>
  <c r="AD1438" i="1" a="1"/>
  <c r="AD1437" i="1" a="1"/>
  <c r="AD1436" i="1" a="1"/>
  <c r="AD1435" i="1" a="1"/>
  <c r="AD1470" i="1" a="1"/>
  <c r="AD1469" i="1" a="1"/>
  <c r="AD1468" i="1" a="1"/>
  <c r="AD1467" i="1" a="1"/>
  <c r="AD1466" i="1" a="1"/>
  <c r="AD1465" i="1" a="1"/>
  <c r="AD1464" i="1" a="1"/>
  <c r="AD1463" i="1" a="1"/>
  <c r="AD1462" i="1" a="1"/>
  <c r="AD1455" i="1" a="1"/>
  <c r="AD1454" i="1" a="1"/>
  <c r="AD1453" i="1" a="1"/>
  <c r="AD1452" i="1" a="1"/>
  <c r="AD1451" i="1" a="1"/>
  <c r="AD1450" i="1" a="1"/>
  <c r="AD1449" i="1" a="1"/>
  <c r="AD1457" i="1" a="1"/>
  <c r="AD1456" i="1" a="1"/>
  <c r="AD1461" i="1" a="1"/>
  <c r="AD1460" i="1" a="1"/>
  <c r="AD1459" i="1" a="1"/>
  <c r="AD1458" i="1" a="1"/>
  <c r="AR3" i="1"/>
  <c r="AE3" i="1"/>
  <c r="AK3" i="1"/>
  <c r="AN3" i="1"/>
  <c r="S3" i="1"/>
  <c r="U3" i="1" s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0" i="1"/>
  <c r="O2147" i="1"/>
  <c r="O2139" i="1"/>
  <c r="O2138" i="1"/>
  <c r="O2137" i="1"/>
  <c r="O2136" i="1"/>
  <c r="O2135" i="1"/>
  <c r="O2145" i="1"/>
  <c r="O2144" i="1"/>
  <c r="O2143" i="1"/>
  <c r="O2142" i="1"/>
  <c r="O2141" i="1"/>
  <c r="O2140" i="1"/>
  <c r="O2134" i="1"/>
  <c r="O2133" i="1"/>
  <c r="O2132" i="1"/>
  <c r="O2131" i="1"/>
  <c r="O2130" i="1"/>
  <c r="O2129" i="1"/>
  <c r="O2128" i="1"/>
  <c r="O2127" i="1"/>
  <c r="O2151" i="1"/>
  <c r="O2149" i="1"/>
  <c r="O2148" i="1"/>
  <c r="O2146" i="1"/>
  <c r="O123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8" i="1"/>
  <c r="O2107" i="1"/>
  <c r="O2106" i="1"/>
  <c r="O2105" i="1"/>
  <c r="O2104" i="1"/>
  <c r="O2103" i="1"/>
  <c r="O2102" i="1"/>
  <c r="O2101" i="1"/>
  <c r="O2100" i="1"/>
  <c r="O2099" i="1"/>
  <c r="O2098" i="1"/>
  <c r="O2095" i="1"/>
  <c r="O2094" i="1"/>
  <c r="O2093" i="1"/>
  <c r="O2092" i="1"/>
  <c r="O2091" i="1"/>
  <c r="O2090" i="1"/>
  <c r="O2089" i="1"/>
  <c r="O2088" i="1"/>
  <c r="O2087" i="1"/>
  <c r="O2086" i="1"/>
  <c r="O2082" i="1"/>
  <c r="O2081" i="1"/>
  <c r="O2080" i="1"/>
  <c r="O2079" i="1"/>
  <c r="O2066" i="1"/>
  <c r="O2065" i="1"/>
  <c r="O2064" i="1"/>
  <c r="O2063" i="1"/>
  <c r="O2062" i="1"/>
  <c r="O2061" i="1"/>
  <c r="O2060" i="1"/>
  <c r="O2059" i="1"/>
  <c r="O2058" i="1"/>
  <c r="O2056" i="1"/>
  <c r="O2054" i="1"/>
  <c r="O2053" i="1"/>
  <c r="O2051" i="1"/>
  <c r="O2049" i="1"/>
  <c r="O2048" i="1"/>
  <c r="O2047" i="1"/>
  <c r="O2046" i="1"/>
  <c r="O2045" i="1"/>
  <c r="O2044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3" i="1"/>
  <c r="O1992" i="1"/>
  <c r="O1991" i="1"/>
  <c r="O1990" i="1"/>
  <c r="O1989" i="1"/>
  <c r="O1988" i="1"/>
  <c r="O1987" i="1"/>
  <c r="O1986" i="1"/>
  <c r="O1985" i="1"/>
  <c r="O1984" i="1"/>
  <c r="O1983" i="1"/>
  <c r="O1980" i="1"/>
  <c r="O1979" i="1"/>
  <c r="O1978" i="1"/>
  <c r="O1977" i="1"/>
  <c r="O1976" i="1"/>
  <c r="O1975" i="1"/>
  <c r="O1974" i="1"/>
  <c r="O1973" i="1"/>
  <c r="O1972" i="1"/>
  <c r="O1971" i="1"/>
  <c r="O1967" i="1"/>
  <c r="O1966" i="1"/>
  <c r="O1965" i="1"/>
  <c r="O1964" i="1"/>
  <c r="O1951" i="1"/>
  <c r="O1950" i="1"/>
  <c r="O1949" i="1"/>
  <c r="O1948" i="1"/>
  <c r="O1947" i="1"/>
  <c r="O1946" i="1"/>
  <c r="O1945" i="1"/>
  <c r="O1944" i="1"/>
  <c r="O1943" i="1"/>
  <c r="O1941" i="1"/>
  <c r="O1939" i="1"/>
  <c r="O1938" i="1"/>
  <c r="O1936" i="1"/>
  <c r="O1934" i="1"/>
  <c r="O1933" i="1"/>
  <c r="O1932" i="1"/>
  <c r="O1931" i="1"/>
  <c r="O1930" i="1"/>
  <c r="O1929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3" i="1"/>
  <c r="O1891" i="1"/>
  <c r="O1888" i="1"/>
  <c r="O1887" i="1"/>
  <c r="O1886" i="1"/>
  <c r="O1885" i="1"/>
  <c r="O1884" i="1"/>
  <c r="O1883" i="1"/>
  <c r="O1882" i="1"/>
  <c r="O1881" i="1"/>
  <c r="O1868" i="1"/>
  <c r="O1865" i="1"/>
  <c r="O1864" i="1"/>
  <c r="O1863" i="1"/>
  <c r="O1862" i="1"/>
  <c r="O1861" i="1"/>
  <c r="O1860" i="1"/>
  <c r="O1859" i="1"/>
  <c r="O1858" i="1"/>
  <c r="O1857" i="1"/>
  <c r="O1856" i="1"/>
  <c r="O1852" i="1"/>
  <c r="O1851" i="1"/>
  <c r="O1849" i="1"/>
  <c r="O1836" i="1"/>
  <c r="O1835" i="1"/>
  <c r="O1834" i="1"/>
  <c r="O1829" i="1"/>
  <c r="O1828" i="1"/>
  <c r="O1827" i="1"/>
  <c r="O1825" i="1"/>
  <c r="O1822" i="1"/>
  <c r="O182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2" i="1"/>
  <c r="O1781" i="1"/>
  <c r="O1780" i="1"/>
  <c r="O1779" i="1"/>
  <c r="O1778" i="1"/>
  <c r="O1777" i="1"/>
  <c r="O1776" i="1"/>
  <c r="O1773" i="1"/>
  <c r="O1772" i="1"/>
  <c r="O1771" i="1"/>
  <c r="O1770" i="1"/>
  <c r="O1769" i="1"/>
  <c r="O1768" i="1"/>
  <c r="O1767" i="1"/>
  <c r="O1766" i="1"/>
  <c r="O1753" i="1"/>
  <c r="O1751" i="1"/>
  <c r="O1750" i="1"/>
  <c r="O1749" i="1"/>
  <c r="O1748" i="1"/>
  <c r="O1747" i="1"/>
  <c r="O1746" i="1"/>
  <c r="O1745" i="1"/>
  <c r="O1744" i="1"/>
  <c r="O1743" i="1"/>
  <c r="O1742" i="1"/>
  <c r="O1741" i="1"/>
  <c r="O1737" i="1"/>
  <c r="O1736" i="1"/>
  <c r="O1735" i="1"/>
  <c r="O1734" i="1"/>
  <c r="O1721" i="1"/>
  <c r="O1720" i="1"/>
  <c r="O1719" i="1"/>
  <c r="O1714" i="1"/>
  <c r="O1713" i="1"/>
  <c r="O1694" i="1"/>
  <c r="O1693" i="1"/>
  <c r="O1692" i="1"/>
  <c r="O1685" i="1"/>
  <c r="O1684" i="1"/>
  <c r="O1683" i="1"/>
  <c r="O1682" i="1"/>
  <c r="O1681" i="1"/>
  <c r="O1680" i="1"/>
  <c r="O1679" i="1"/>
  <c r="O1678" i="1"/>
  <c r="O1677" i="1"/>
  <c r="O1676" i="1"/>
  <c r="O1675" i="1"/>
  <c r="O1667" i="1"/>
  <c r="O1666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29" i="1"/>
  <c r="O1528" i="1"/>
  <c r="O1527" i="1"/>
  <c r="O1526" i="1"/>
  <c r="O1525" i="1"/>
  <c r="O1500" i="1"/>
  <c r="O1499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79" i="1"/>
  <c r="O1472" i="1"/>
  <c r="O1471" i="1"/>
  <c r="O1470" i="1"/>
  <c r="O1469" i="1"/>
  <c r="O1468" i="1"/>
  <c r="O1465" i="1"/>
  <c r="O1434" i="1"/>
  <c r="O1433" i="1"/>
  <c r="O1432" i="1"/>
  <c r="O1426" i="1"/>
  <c r="O1422" i="1"/>
  <c r="O1421" i="1"/>
  <c r="O1420" i="1"/>
  <c r="O1419" i="1"/>
  <c r="O1418" i="1"/>
  <c r="O1417" i="1"/>
  <c r="O1413" i="1"/>
  <c r="O1412" i="1"/>
  <c r="O1411" i="1"/>
  <c r="O1410" i="1"/>
  <c r="O1409" i="1"/>
  <c r="O1408" i="1"/>
  <c r="O1406" i="1"/>
  <c r="O1398" i="1"/>
  <c r="O1397" i="1"/>
  <c r="O1396" i="1"/>
  <c r="O1395" i="1"/>
  <c r="O1394" i="1"/>
  <c r="O1393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50" i="1"/>
  <c r="O1349" i="1"/>
  <c r="O1348" i="1"/>
  <c r="O1347" i="1"/>
  <c r="O1346" i="1"/>
  <c r="O1334" i="1"/>
  <c r="O1333" i="1"/>
  <c r="O1332" i="1"/>
  <c r="O1328" i="1"/>
  <c r="O1318" i="1"/>
  <c r="O1317" i="1"/>
  <c r="O1316" i="1"/>
  <c r="O1313" i="1"/>
  <c r="O1312" i="1"/>
  <c r="O1311" i="1"/>
  <c r="O1310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44" i="1"/>
  <c r="O1243" i="1"/>
  <c r="O1241" i="1"/>
  <c r="O1240" i="1"/>
  <c r="O1239" i="1"/>
  <c r="O1238" i="1"/>
  <c r="O1237" i="1"/>
  <c r="O1234" i="1"/>
  <c r="O1233" i="1"/>
  <c r="O1232" i="1"/>
  <c r="O1231" i="1"/>
  <c r="O1230" i="1"/>
  <c r="O1229" i="1"/>
  <c r="O1228" i="1"/>
  <c r="O1227" i="1"/>
  <c r="O1226" i="1"/>
  <c r="O1225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79" i="1"/>
  <c r="O1178" i="1"/>
  <c r="O1175" i="1"/>
  <c r="O1174" i="1"/>
  <c r="O1172" i="1"/>
  <c r="O1171" i="1"/>
  <c r="O1169" i="1"/>
  <c r="O1168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1" i="1"/>
  <c r="O1140" i="1"/>
  <c r="O1139" i="1"/>
  <c r="O1138" i="1"/>
  <c r="O1137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062" i="1"/>
  <c r="O1061" i="1"/>
  <c r="O1060" i="1"/>
  <c r="O1059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19" i="1"/>
  <c r="O1018" i="1"/>
  <c r="O1017" i="1"/>
  <c r="O1016" i="1"/>
  <c r="O1012" i="1"/>
  <c r="O1011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3" i="1"/>
  <c r="O962" i="1"/>
  <c r="O961" i="1"/>
  <c r="O960" i="1"/>
  <c r="O959" i="1"/>
  <c r="O958" i="1"/>
  <c r="O954" i="1"/>
  <c r="O953" i="1"/>
  <c r="O952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3" i="1"/>
  <c r="O932" i="1"/>
  <c r="O931" i="1"/>
  <c r="O930" i="1"/>
  <c r="O929" i="1"/>
  <c r="O928" i="1"/>
  <c r="O927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5" i="1"/>
  <c r="O854" i="1"/>
  <c r="O853" i="1"/>
  <c r="O852" i="1"/>
  <c r="O851" i="1"/>
  <c r="O850" i="1"/>
  <c r="O849" i="1"/>
  <c r="O847" i="1"/>
  <c r="O846" i="1"/>
  <c r="O845" i="1"/>
  <c r="O844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67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0" i="1"/>
  <c r="O629" i="1"/>
  <c r="O628" i="1"/>
  <c r="O627" i="1"/>
  <c r="O626" i="1"/>
  <c r="O625" i="1"/>
  <c r="O624" i="1"/>
  <c r="O623" i="1"/>
  <c r="O621" i="1"/>
  <c r="O620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1" i="1"/>
  <c r="O370" i="1"/>
  <c r="O369" i="1"/>
  <c r="O368" i="1"/>
  <c r="O367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3" i="1"/>
  <c r="O332" i="1"/>
  <c r="O331" i="1"/>
  <c r="O330" i="1"/>
  <c r="O329" i="1"/>
  <c r="O327" i="1"/>
  <c r="O326" i="1"/>
  <c r="O325" i="1"/>
  <c r="O324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3" i="1"/>
  <c r="O262" i="1"/>
  <c r="O261" i="1"/>
  <c r="O260" i="1"/>
  <c r="O259" i="1"/>
  <c r="O258" i="1"/>
  <c r="O257" i="1"/>
  <c r="O256" i="1"/>
  <c r="O255" i="1"/>
  <c r="O254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6" i="1"/>
  <c r="O235" i="1"/>
  <c r="O234" i="1"/>
  <c r="O233" i="1"/>
  <c r="O232" i="1"/>
  <c r="O231" i="1"/>
  <c r="O230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5" i="1"/>
  <c r="O174" i="1"/>
  <c r="O173" i="1"/>
  <c r="O172" i="1"/>
  <c r="O171" i="1"/>
  <c r="O170" i="1"/>
  <c r="O169" i="1"/>
  <c r="O168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6" i="1"/>
  <c r="O85" i="1"/>
  <c r="O80" i="1"/>
  <c r="O79" i="1"/>
  <c r="O78" i="1"/>
  <c r="O77" i="1"/>
  <c r="O76" i="1"/>
  <c r="O75" i="1"/>
  <c r="O72" i="1"/>
  <c r="O71" i="1"/>
  <c r="O70" i="1"/>
  <c r="O68" i="1"/>
  <c r="O67" i="1"/>
  <c r="O66" i="1"/>
  <c r="O65" i="1"/>
  <c r="O64" i="1"/>
  <c r="O63" i="1"/>
  <c r="O62" i="1"/>
  <c r="O61" i="1"/>
  <c r="O60" i="1"/>
  <c r="O59" i="1"/>
  <c r="O58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0" i="1"/>
  <c r="O24" i="1"/>
  <c r="O22" i="1"/>
  <c r="O15" i="1"/>
  <c r="O56" i="1"/>
  <c r="O1536" i="1"/>
  <c r="O1535" i="1"/>
  <c r="O1534" i="1"/>
  <c r="O1533" i="1"/>
  <c r="O1532" i="1"/>
  <c r="O1531" i="1"/>
  <c r="O1530" i="1"/>
  <c r="O253" i="1"/>
  <c r="O1309" i="1"/>
  <c r="O842" i="1"/>
  <c r="O404" i="1"/>
  <c r="O403" i="1"/>
  <c r="O264" i="1"/>
  <c r="O2109" i="1"/>
  <c r="O2097" i="1"/>
  <c r="O2096" i="1"/>
  <c r="O2085" i="1"/>
  <c r="O2084" i="1"/>
  <c r="O2083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57" i="1"/>
  <c r="O2055" i="1"/>
  <c r="O2052" i="1"/>
  <c r="O2050" i="1"/>
  <c r="O2043" i="1"/>
  <c r="O1994" i="1"/>
  <c r="O1982" i="1"/>
  <c r="O1981" i="1"/>
  <c r="O1970" i="1"/>
  <c r="O1969" i="1"/>
  <c r="O1968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42" i="1"/>
  <c r="O1940" i="1"/>
  <c r="O1937" i="1"/>
  <c r="O1935" i="1"/>
  <c r="O1928" i="1"/>
  <c r="O1867" i="1"/>
  <c r="O1866" i="1"/>
  <c r="O1855" i="1"/>
  <c r="O1854" i="1"/>
  <c r="O1853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752" i="1"/>
  <c r="O1740" i="1"/>
  <c r="O1739" i="1"/>
  <c r="O1738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12" i="1"/>
  <c r="O1710" i="1"/>
  <c r="O1707" i="1"/>
  <c r="O1705" i="1"/>
  <c r="O856" i="1"/>
  <c r="O666" i="1"/>
  <c r="O665" i="1"/>
  <c r="O446" i="1"/>
  <c r="O215" i="1"/>
  <c r="O202" i="1"/>
  <c r="O177" i="1"/>
  <c r="O176" i="1"/>
  <c r="O167" i="1"/>
  <c r="O74" i="1"/>
  <c r="O73" i="1"/>
  <c r="O57" i="1"/>
  <c r="O1894" i="1"/>
  <c r="O1892" i="1"/>
  <c r="O1880" i="1"/>
  <c r="O1879" i="1"/>
  <c r="O1850" i="1"/>
  <c r="O1833" i="1"/>
  <c r="O1832" i="1"/>
  <c r="O1830" i="1"/>
  <c r="O1819" i="1"/>
  <c r="O1818" i="1"/>
  <c r="O1817" i="1"/>
  <c r="O1718" i="1"/>
  <c r="O1717" i="1"/>
  <c r="O1715" i="1"/>
  <c r="O1704" i="1"/>
  <c r="O1703" i="1"/>
  <c r="O1702" i="1"/>
  <c r="O1431" i="1"/>
  <c r="O1430" i="1"/>
  <c r="O1429" i="1"/>
  <c r="O1428" i="1"/>
  <c r="O1425" i="1"/>
  <c r="O1416" i="1"/>
  <c r="O1415" i="1"/>
  <c r="O1414" i="1"/>
  <c r="O1407" i="1"/>
  <c r="O1405" i="1"/>
  <c r="O1404" i="1"/>
  <c r="O1403" i="1"/>
  <c r="O1402" i="1"/>
  <c r="O1401" i="1"/>
  <c r="O1392" i="1"/>
  <c r="O1389" i="1"/>
  <c r="O1368" i="1"/>
  <c r="O1365" i="1"/>
  <c r="O1362" i="1"/>
  <c r="O1359" i="1"/>
  <c r="O1353" i="1"/>
  <c r="O1345" i="1"/>
  <c r="O1343" i="1"/>
  <c r="O1315" i="1"/>
  <c r="O1314" i="1"/>
  <c r="O1269" i="1"/>
  <c r="O1180" i="1"/>
  <c r="O1177" i="1"/>
  <c r="O1176" i="1"/>
  <c r="O1173" i="1"/>
  <c r="O1170" i="1"/>
  <c r="O1167" i="1"/>
  <c r="O1166" i="1"/>
  <c r="O1163" i="1"/>
  <c r="O1162" i="1"/>
  <c r="O1142" i="1"/>
  <c r="O1136" i="1"/>
  <c r="O1102" i="1"/>
  <c r="O1096" i="1"/>
  <c r="O1095" i="1"/>
  <c r="O1092" i="1"/>
  <c r="O1091" i="1"/>
  <c r="O1088" i="1"/>
  <c r="O1082" i="1"/>
  <c r="O1076" i="1"/>
  <c r="O1075" i="1"/>
  <c r="O1072" i="1"/>
  <c r="O1071" i="1"/>
  <c r="O1068" i="1"/>
  <c r="O1065" i="1"/>
  <c r="O1020" i="1"/>
  <c r="O1015" i="1"/>
  <c r="O1014" i="1"/>
  <c r="O1013" i="1"/>
  <c r="O1007" i="1"/>
  <c r="O1006" i="1"/>
  <c r="O1005" i="1"/>
  <c r="O1004" i="1"/>
  <c r="O1003" i="1"/>
  <c r="O966" i="1"/>
  <c r="O957" i="1"/>
  <c r="O951" i="1"/>
  <c r="O911" i="1"/>
  <c r="O699" i="1"/>
  <c r="O698" i="1"/>
  <c r="O697" i="1"/>
  <c r="O696" i="1"/>
  <c r="O631" i="1"/>
  <c r="O622" i="1"/>
  <c r="O619" i="1"/>
  <c r="O372" i="1"/>
  <c r="O366" i="1"/>
  <c r="O339" i="1"/>
  <c r="O338" i="1"/>
  <c r="O337" i="1"/>
  <c r="O336" i="1"/>
  <c r="O335" i="1"/>
  <c r="O334" i="1"/>
  <c r="O328" i="1"/>
  <c r="O323" i="1"/>
  <c r="O69" i="1"/>
  <c r="O1890" i="1"/>
  <c r="O1889" i="1"/>
  <c r="O1878" i="1"/>
  <c r="O1877" i="1"/>
  <c r="O1876" i="1"/>
  <c r="O1875" i="1"/>
  <c r="O1874" i="1"/>
  <c r="O1873" i="1"/>
  <c r="O1872" i="1"/>
  <c r="O1871" i="1"/>
  <c r="O1870" i="1"/>
  <c r="O1869" i="1"/>
  <c r="O1831" i="1"/>
  <c r="O1826" i="1"/>
  <c r="O1824" i="1"/>
  <c r="O1823" i="1"/>
  <c r="O1821" i="1"/>
  <c r="O1816" i="1"/>
  <c r="O1815" i="1"/>
  <c r="O1814" i="1"/>
  <c r="O1813" i="1"/>
  <c r="O1812" i="1"/>
  <c r="O1811" i="1"/>
  <c r="O1810" i="1"/>
  <c r="O1789" i="1"/>
  <c r="O1788" i="1"/>
  <c r="O1787" i="1"/>
  <c r="O1786" i="1"/>
  <c r="O1785" i="1"/>
  <c r="O1784" i="1"/>
  <c r="O1783" i="1"/>
  <c r="O1775" i="1"/>
  <c r="O1774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16" i="1"/>
  <c r="O1711" i="1"/>
  <c r="O1709" i="1"/>
  <c r="O1708" i="1"/>
  <c r="O1706" i="1"/>
  <c r="O1701" i="1"/>
  <c r="O1700" i="1"/>
  <c r="O1699" i="1"/>
  <c r="O1698" i="1"/>
  <c r="O1697" i="1"/>
  <c r="O1696" i="1"/>
  <c r="O1695" i="1"/>
  <c r="O1691" i="1"/>
  <c r="O1690" i="1"/>
  <c r="O1689" i="1"/>
  <c r="O1688" i="1"/>
  <c r="O1687" i="1"/>
  <c r="O1686" i="1"/>
  <c r="O1674" i="1"/>
  <c r="O1673" i="1"/>
  <c r="O1672" i="1"/>
  <c r="O1671" i="1"/>
  <c r="O1670" i="1"/>
  <c r="O1669" i="1"/>
  <c r="O1668" i="1"/>
  <c r="O1665" i="1"/>
  <c r="O1664" i="1"/>
  <c r="O1663" i="1"/>
  <c r="O1662" i="1"/>
  <c r="O1661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498" i="1"/>
  <c r="O1497" i="1"/>
  <c r="O1496" i="1"/>
  <c r="O1495" i="1"/>
  <c r="O1480" i="1"/>
  <c r="O1478" i="1"/>
  <c r="O1477" i="1"/>
  <c r="O1476" i="1"/>
  <c r="O1475" i="1"/>
  <c r="O1474" i="1"/>
  <c r="O1473" i="1"/>
  <c r="O1467" i="1"/>
  <c r="O1466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27" i="1"/>
  <c r="O1424" i="1"/>
  <c r="O1423" i="1"/>
  <c r="O1400" i="1"/>
  <c r="O1399" i="1"/>
  <c r="O1391" i="1"/>
  <c r="O1390" i="1"/>
  <c r="O1388" i="1"/>
  <c r="O1387" i="1"/>
  <c r="O1367" i="1"/>
  <c r="O1366" i="1"/>
  <c r="O1364" i="1"/>
  <c r="O1363" i="1"/>
  <c r="O1361" i="1"/>
  <c r="O1360" i="1"/>
  <c r="O1358" i="1"/>
  <c r="O1357" i="1"/>
  <c r="O1356" i="1"/>
  <c r="O1355" i="1"/>
  <c r="O1354" i="1"/>
  <c r="O1352" i="1"/>
  <c r="O1351" i="1"/>
  <c r="O1344" i="1"/>
  <c r="O1342" i="1"/>
  <c r="O1341" i="1"/>
  <c r="O1340" i="1"/>
  <c r="O1339" i="1"/>
  <c r="O1338" i="1"/>
  <c r="O1337" i="1"/>
  <c r="O1336" i="1"/>
  <c r="O1335" i="1"/>
  <c r="O1331" i="1"/>
  <c r="O1330" i="1"/>
  <c r="O1329" i="1"/>
  <c r="O1327" i="1"/>
  <c r="O1326" i="1"/>
  <c r="O1325" i="1"/>
  <c r="O1324" i="1"/>
  <c r="O1323" i="1"/>
  <c r="O1322" i="1"/>
  <c r="O1321" i="1"/>
  <c r="O1320" i="1"/>
  <c r="O1319" i="1"/>
  <c r="O1274" i="1"/>
  <c r="O1273" i="1"/>
  <c r="O1272" i="1"/>
  <c r="O1271" i="1"/>
  <c r="O1270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2" i="1"/>
  <c r="O1236" i="1"/>
  <c r="O123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65" i="1"/>
  <c r="O1164" i="1"/>
  <c r="O1161" i="1"/>
  <c r="O1160" i="1"/>
  <c r="O1101" i="1"/>
  <c r="O1100" i="1"/>
  <c r="O1099" i="1"/>
  <c r="O1098" i="1"/>
  <c r="O1097" i="1"/>
  <c r="O1094" i="1"/>
  <c r="O1093" i="1"/>
  <c r="O1090" i="1"/>
  <c r="O1089" i="1"/>
  <c r="O1087" i="1"/>
  <c r="O1086" i="1"/>
  <c r="O1085" i="1"/>
  <c r="O1084" i="1"/>
  <c r="O1083" i="1"/>
  <c r="O1081" i="1"/>
  <c r="O1080" i="1"/>
  <c r="O1079" i="1"/>
  <c r="O1078" i="1"/>
  <c r="O1077" i="1"/>
  <c r="O1074" i="1"/>
  <c r="O1073" i="1"/>
  <c r="O1070" i="1"/>
  <c r="O1069" i="1"/>
  <c r="O1067" i="1"/>
  <c r="O1066" i="1"/>
  <c r="O1064" i="1"/>
  <c r="O1063" i="1"/>
  <c r="O1058" i="1"/>
  <c r="O1057" i="1"/>
  <c r="O1040" i="1"/>
  <c r="O1039" i="1"/>
  <c r="O1038" i="1"/>
  <c r="O1037" i="1"/>
  <c r="O1036" i="1"/>
  <c r="O1035" i="1"/>
  <c r="O1034" i="1"/>
  <c r="O1033" i="1"/>
  <c r="O969" i="1"/>
  <c r="O968" i="1"/>
  <c r="O967" i="1"/>
  <c r="O965" i="1"/>
  <c r="O964" i="1"/>
  <c r="O956" i="1"/>
  <c r="O955" i="1"/>
  <c r="O936" i="1"/>
  <c r="O935" i="1"/>
  <c r="O934" i="1"/>
  <c r="O926" i="1"/>
  <c r="O925" i="1"/>
  <c r="O924" i="1"/>
  <c r="O848" i="1"/>
  <c r="O843" i="1"/>
  <c r="O815" i="1"/>
  <c r="O772" i="1"/>
  <c r="O717" i="1"/>
  <c r="O704" i="1"/>
  <c r="O703" i="1"/>
  <c r="O702" i="1"/>
  <c r="O701" i="1"/>
  <c r="O700" i="1"/>
  <c r="O695" i="1"/>
  <c r="O694" i="1"/>
  <c r="O693" i="1"/>
  <c r="O692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4" i="1"/>
  <c r="O238" i="1"/>
  <c r="O237" i="1"/>
  <c r="O229" i="1"/>
  <c r="O88" i="1"/>
  <c r="O87" i="1"/>
  <c r="O84" i="1"/>
  <c r="O83" i="1"/>
  <c r="O82" i="1"/>
  <c r="O81" i="1"/>
  <c r="O41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1" i="1"/>
  <c r="O20" i="1"/>
  <c r="O19" i="1"/>
  <c r="O18" i="1"/>
  <c r="O17" i="1"/>
  <c r="O16" i="1"/>
  <c r="O14" i="1"/>
  <c r="O13" i="1"/>
  <c r="O12" i="1"/>
  <c r="O11" i="1"/>
  <c r="O10" i="1"/>
  <c r="O9" i="1"/>
  <c r="O8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S1464" i="1"/>
  <c r="O23" i="1"/>
  <c r="A2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<sst xmlns="http://schemas.openxmlformats.org/spreadsheetml/2006/main" count="45479" uniqueCount="9603">
  <si>
    <t>POWER CABLE SCHEDULE</t>
    <phoneticPr fontId="3" type="noConversion"/>
  </si>
  <si>
    <t>DOC NO: CCP-W-B000-EL-353-0001</t>
    <phoneticPr fontId="3" type="noConversion"/>
  </si>
  <si>
    <t>PROJECT NAME: TURKISTAN TCCGT</t>
    <phoneticPr fontId="3" type="noConversion"/>
  </si>
  <si>
    <t>[REVISION: C01A]</t>
    <phoneticPr fontId="3" type="noConversion"/>
  </si>
  <si>
    <t>CABLE
NO.</t>
  </si>
  <si>
    <t>LOAD NUMBER</t>
  </si>
  <si>
    <t>S/N</t>
  </si>
  <si>
    <t>CABLE</t>
    <phoneticPr fontId="11" type="noConversion"/>
  </si>
  <si>
    <t>Rated Power</t>
    <phoneticPr fontId="3" type="noConversion"/>
  </si>
  <si>
    <t>VOLTAGE</t>
    <phoneticPr fontId="3" type="noConversion"/>
  </si>
  <si>
    <t>Power Source</t>
    <phoneticPr fontId="3" type="noConversion"/>
  </si>
  <si>
    <t>LENGTH</t>
    <phoneticPr fontId="11" type="noConversion"/>
  </si>
  <si>
    <t>PROCESS
/SYSTEM</t>
    <phoneticPr fontId="3" type="noConversion"/>
  </si>
  <si>
    <t>FROM</t>
    <phoneticPr fontId="12" type="noConversion"/>
  </si>
  <si>
    <t>TO</t>
    <phoneticPr fontId="12" type="noConversion"/>
  </si>
  <si>
    <t>CABLE ROUTE</t>
  </si>
  <si>
    <t>REMARK</t>
    <phoneticPr fontId="12" type="noConversion"/>
  </si>
  <si>
    <t>N</t>
    <phoneticPr fontId="3" type="noConversion"/>
  </si>
  <si>
    <t>PE</t>
    <phoneticPr fontId="3" type="noConversion"/>
  </si>
  <si>
    <t>NUMBER</t>
    <phoneticPr fontId="3" type="noConversion"/>
  </si>
  <si>
    <t>TYPE</t>
    <phoneticPr fontId="3" type="noConversion"/>
  </si>
  <si>
    <t>SPEC</t>
    <phoneticPr fontId="3" type="noConversion"/>
  </si>
  <si>
    <t>(kW)</t>
    <phoneticPr fontId="3" type="noConversion"/>
  </si>
  <si>
    <t>(V)</t>
    <phoneticPr fontId="3" type="noConversion"/>
  </si>
  <si>
    <t>(M)</t>
  </si>
  <si>
    <t>KKS NO.</t>
  </si>
  <si>
    <t>SWGR GROUP DESCRIPTION</t>
    <phoneticPr fontId="3" type="noConversion"/>
  </si>
  <si>
    <t>SWGR LOCATION</t>
    <phoneticPr fontId="3" type="noConversion"/>
  </si>
  <si>
    <t>T/B NUMBER</t>
    <phoneticPr fontId="3" type="noConversion"/>
  </si>
  <si>
    <t>LOAD DESCRIPTION</t>
    <phoneticPr fontId="3" type="noConversion"/>
  </si>
  <si>
    <t>LOAD LOCATION</t>
    <phoneticPr fontId="3" type="noConversion"/>
  </si>
  <si>
    <t>-</t>
    <phoneticPr fontId="3" type="noConversion"/>
  </si>
  <si>
    <t>01</t>
    <phoneticPr fontId="3" type="noConversion"/>
  </si>
  <si>
    <t>PE-L1-1C185-01</t>
  </si>
  <si>
    <t>0.6/1kV CU/XLPE/LSZH</t>
    <phoneticPr fontId="3" type="noConversion"/>
  </si>
  <si>
    <t>L1</t>
    <phoneticPr fontId="3" type="noConversion"/>
  </si>
  <si>
    <t>02</t>
    <phoneticPr fontId="3" type="noConversion"/>
  </si>
  <si>
    <t>L2</t>
    <phoneticPr fontId="3" type="noConversion"/>
  </si>
  <si>
    <t>03</t>
    <phoneticPr fontId="3" type="noConversion"/>
  </si>
  <si>
    <t>L3</t>
    <phoneticPr fontId="3" type="noConversion"/>
  </si>
  <si>
    <t>04</t>
    <phoneticPr fontId="3" type="noConversion"/>
  </si>
  <si>
    <t>05</t>
    <phoneticPr fontId="3" type="noConversion"/>
  </si>
  <si>
    <t>06</t>
    <phoneticPr fontId="3" type="noConversion"/>
  </si>
  <si>
    <t>07</t>
    <phoneticPr fontId="3" type="noConversion"/>
  </si>
  <si>
    <t>L1</t>
  </si>
  <si>
    <t>L2</t>
  </si>
  <si>
    <t>L3</t>
  </si>
  <si>
    <t>PE-L1-1C95-01</t>
  </si>
  <si>
    <t>1C x 95sqmm</t>
    <phoneticPr fontId="3" type="noConversion"/>
  </si>
  <si>
    <t>N</t>
  </si>
  <si>
    <t>PE-M1-3C120-01</t>
    <phoneticPr fontId="12" type="noConversion"/>
  </si>
  <si>
    <t>U1,V1,W1</t>
    <phoneticPr fontId="3" type="noConversion"/>
  </si>
  <si>
    <t>PE-M1-3C120-01</t>
  </si>
  <si>
    <t>FIELD RUN</t>
  </si>
  <si>
    <t>PE-L1-3C4-01</t>
  </si>
  <si>
    <t>25_ADMINSTRATIVE AND HOUSEHOLD BUILDING</t>
  </si>
  <si>
    <t>1C x 185sqmm</t>
  </si>
  <si>
    <t>PE-M1-3C120-02</t>
    <phoneticPr fontId="3" type="noConversion"/>
  </si>
  <si>
    <t>PE-M1-3C120-03</t>
    <phoneticPr fontId="3" type="noConversion"/>
  </si>
  <si>
    <t>PE-L1-3C25/16-01</t>
  </si>
  <si>
    <t>PE-L1-3C6-03</t>
    <phoneticPr fontId="12" type="noConversion"/>
  </si>
  <si>
    <t>PE-M1-3C120-18</t>
    <phoneticPr fontId="3" type="noConversion"/>
  </si>
  <si>
    <t>PE-M1-3C120-19</t>
    <phoneticPr fontId="3" type="noConversion"/>
  </si>
  <si>
    <t>PE-L1-3C6-05</t>
  </si>
  <si>
    <t>PE-L1-1C185-02</t>
  </si>
  <si>
    <t>PE-L1-1C185-04</t>
  </si>
  <si>
    <t>PE-L1-1C185-05</t>
  </si>
  <si>
    <t>PE-L1-5C120/70-01</t>
  </si>
  <si>
    <t>PE-L1-4C10-01</t>
  </si>
  <si>
    <t>PE-L1-4C6-01</t>
  </si>
  <si>
    <t>PE-L1-3C10-01</t>
  </si>
  <si>
    <t>PE-L1-4C4-01</t>
  </si>
  <si>
    <t>PE-L1-5C4-01</t>
  </si>
  <si>
    <t>08</t>
    <phoneticPr fontId="3" type="noConversion"/>
  </si>
  <si>
    <t>PE-L1-4C4-05</t>
  </si>
  <si>
    <t>09</t>
    <phoneticPr fontId="3" type="noConversion"/>
  </si>
  <si>
    <t>PE-L1-4C4-02</t>
    <phoneticPr fontId="3" type="noConversion"/>
  </si>
  <si>
    <t>PE-L1-2C6-01</t>
  </si>
  <si>
    <t>PE-L1-3C6-01</t>
  </si>
  <si>
    <t>PE-L1-3C4-21</t>
  </si>
  <si>
    <t>PE-L1-3C10-02</t>
  </si>
  <si>
    <t>PE-L1-2C4-04</t>
  </si>
  <si>
    <t>PE-L1-4C4-18</t>
  </si>
  <si>
    <t>PE-L1-2C6-02</t>
  </si>
  <si>
    <t>PE-L1-3C4-11</t>
  </si>
  <si>
    <t>PE-L1-3C4-16</t>
  </si>
  <si>
    <t>PE-L1-4C4-06</t>
  </si>
  <si>
    <t>PE-L1-5C95/50-01</t>
  </si>
  <si>
    <t>PE-L1-4C4-01</t>
    <phoneticPr fontId="3" type="noConversion"/>
  </si>
  <si>
    <t>PE-L1-4C25/16-01</t>
  </si>
  <si>
    <t>PE-L1-5C120/70-03</t>
  </si>
  <si>
    <t>PE-L1-4C4-03</t>
    <phoneticPr fontId="3" type="noConversion"/>
  </si>
  <si>
    <t>PE-L1-4C4-22</t>
  </si>
  <si>
    <t>PE-L1-4C16-01</t>
  </si>
  <si>
    <t>PE-L1-5C120/70-05</t>
  </si>
  <si>
    <t>PE-L1-4C4-23</t>
  </si>
  <si>
    <t>PE-L1-4C95/50-11</t>
    <phoneticPr fontId="12" type="noConversion"/>
  </si>
  <si>
    <t>PE-L1-4C95/50-20</t>
    <phoneticPr fontId="3" type="noConversion"/>
  </si>
  <si>
    <t>PE-L1-4C95/50-21</t>
    <phoneticPr fontId="3" type="noConversion"/>
  </si>
  <si>
    <t>PE-L1-4C95/50-19</t>
    <phoneticPr fontId="3" type="noConversion"/>
  </si>
  <si>
    <t>PE-L1-4C95/50-23</t>
    <phoneticPr fontId="3" type="noConversion"/>
  </si>
  <si>
    <t>PE-L1-4C95/50-33</t>
    <phoneticPr fontId="3" type="noConversion"/>
  </si>
  <si>
    <t>PE-L1-4C95/50-05</t>
    <phoneticPr fontId="3" type="noConversion"/>
  </si>
  <si>
    <t>PE-L1-4C95/50-13</t>
    <phoneticPr fontId="3" type="noConversion"/>
  </si>
  <si>
    <t>PE-L1-4C95/50-17</t>
    <phoneticPr fontId="3" type="noConversion"/>
  </si>
  <si>
    <t>PE-L1-4C95/50-24</t>
    <phoneticPr fontId="3" type="noConversion"/>
  </si>
  <si>
    <t>PE-L1-4C95/50-31</t>
    <phoneticPr fontId="3" type="noConversion"/>
  </si>
  <si>
    <t>PE-L1-4C95/50-30</t>
    <phoneticPr fontId="3" type="noConversion"/>
  </si>
  <si>
    <t>PE-L1-4C95/50-22</t>
    <phoneticPr fontId="3" type="noConversion"/>
  </si>
  <si>
    <t>PE-L1-4C95/50-26</t>
    <phoneticPr fontId="3" type="noConversion"/>
  </si>
  <si>
    <t>PE-L1-4C95/50-01</t>
    <phoneticPr fontId="12" type="noConversion"/>
  </si>
  <si>
    <t>PE-L1-4C95/50-01</t>
    <phoneticPr fontId="3" type="noConversion"/>
  </si>
  <si>
    <t>PE-L1-4C95/50-09</t>
    <phoneticPr fontId="3" type="noConversion"/>
  </si>
  <si>
    <t>PE-L1-4C95/50-27</t>
    <phoneticPr fontId="3" type="noConversion"/>
  </si>
  <si>
    <t>PE-L1-4C95/50-28</t>
    <phoneticPr fontId="3" type="noConversion"/>
  </si>
  <si>
    <t>PE-L1-3C4-02</t>
  </si>
  <si>
    <t>PE-L1-3C4-03</t>
  </si>
  <si>
    <t>PE-L1-3C4-04</t>
    <phoneticPr fontId="3" type="noConversion"/>
  </si>
  <si>
    <t>PE-L1-3C4-04</t>
  </si>
  <si>
    <t>PE-L1-3C6-02</t>
    <phoneticPr fontId="3" type="noConversion"/>
  </si>
  <si>
    <t>PE-L1-3C6-04</t>
    <phoneticPr fontId="12" type="noConversion"/>
  </si>
  <si>
    <t>PE-L1-4C95/50-18</t>
    <phoneticPr fontId="3" type="noConversion"/>
  </si>
  <si>
    <t>PE-L1-3C4-06</t>
  </si>
  <si>
    <t>PE-L1-5C25/16-01</t>
    <phoneticPr fontId="3" type="noConversion"/>
  </si>
  <si>
    <t>PE-L1-5C50/25-01</t>
  </si>
  <si>
    <t>PE-L1-5C95/50-02</t>
    <phoneticPr fontId="12" type="noConversion"/>
  </si>
  <si>
    <t>PE-L1-4C4-04</t>
    <phoneticPr fontId="3" type="noConversion"/>
  </si>
  <si>
    <t>PE-L1-4C95/50-03</t>
    <phoneticPr fontId="3" type="noConversion"/>
  </si>
  <si>
    <t>PE-L1-4C95/50-10</t>
    <phoneticPr fontId="3" type="noConversion"/>
  </si>
  <si>
    <t>PE-L1-4C95/50-02</t>
    <phoneticPr fontId="3" type="noConversion"/>
  </si>
  <si>
    <t>PE-L1-4C95/50-12</t>
    <phoneticPr fontId="3" type="noConversion"/>
  </si>
  <si>
    <t>PE-L1-4C95/50-29</t>
    <phoneticPr fontId="3" type="noConversion"/>
  </si>
  <si>
    <t>PE-L1-4C95/50-06</t>
    <phoneticPr fontId="3" type="noConversion"/>
  </si>
  <si>
    <t>PE-L1-4C95/50-07</t>
    <phoneticPr fontId="3" type="noConversion"/>
  </si>
  <si>
    <t>PE-L1-4C95/50-04</t>
    <phoneticPr fontId="3" type="noConversion"/>
  </si>
  <si>
    <t>PE-L1-4C95/50-32</t>
    <phoneticPr fontId="3" type="noConversion"/>
  </si>
  <si>
    <t>PE-L1-4C95/50-14</t>
    <phoneticPr fontId="3" type="noConversion"/>
  </si>
  <si>
    <t>PE-L1-4C95/50-25</t>
    <phoneticPr fontId="3" type="noConversion"/>
  </si>
  <si>
    <t>PE-L1-3C4-19</t>
    <phoneticPr fontId="12" type="noConversion"/>
  </si>
  <si>
    <t>PE-L1-3C4-24</t>
    <phoneticPr fontId="12" type="noConversion"/>
  </si>
  <si>
    <t>PE-L1-3C6-06</t>
    <phoneticPr fontId="12" type="noConversion"/>
  </si>
  <si>
    <t>PE-L1-3C6-07</t>
    <phoneticPr fontId="12" type="noConversion"/>
  </si>
  <si>
    <t>PE-L1-4C95/50-19</t>
  </si>
  <si>
    <t>PE-L1-3C4-15</t>
  </si>
  <si>
    <t>PE-L1-4C35/25-01</t>
  </si>
  <si>
    <t>PE-L1-5C25/16-03</t>
  </si>
  <si>
    <t>PE-L1-4C4-07</t>
  </si>
  <si>
    <t>PE-L1-4C4-09</t>
  </si>
  <si>
    <t>PE-L1-4C4-10</t>
  </si>
  <si>
    <t>PE-L1-4C4-04</t>
  </si>
  <si>
    <t>PE-L1-3C4-07</t>
  </si>
  <si>
    <t>부하추가</t>
  </si>
  <si>
    <t>PE-L1-4C25/16-01</t>
    <phoneticPr fontId="3" type="noConversion"/>
  </si>
  <si>
    <t>PE-L1-4C25/16-02</t>
    <phoneticPr fontId="3" type="noConversion"/>
  </si>
  <si>
    <t>PE-L1-4C25/16-03</t>
    <phoneticPr fontId="3" type="noConversion"/>
  </si>
  <si>
    <t>PE-L1-4C4-06</t>
    <phoneticPr fontId="3" type="noConversion"/>
  </si>
  <si>
    <t>PE-L1-4C4-05</t>
    <phoneticPr fontId="3" type="noConversion"/>
  </si>
  <si>
    <t>PE-L1-4C70/35-02</t>
    <phoneticPr fontId="3" type="noConversion"/>
  </si>
  <si>
    <t>PE-L1-4C70/35-01</t>
    <phoneticPr fontId="3" type="noConversion"/>
  </si>
  <si>
    <t>PE-L1-3C4-08</t>
  </si>
  <si>
    <t>PE-M1-3C120-04</t>
    <phoneticPr fontId="3" type="noConversion"/>
  </si>
  <si>
    <t>PE-M1-3C120-05</t>
    <phoneticPr fontId="3" type="noConversion"/>
  </si>
  <si>
    <t>PE-M1-3C120-06</t>
    <phoneticPr fontId="3" type="noConversion"/>
  </si>
  <si>
    <t>PE-L1-3C4-09</t>
  </si>
  <si>
    <t>PE-M1-3C120-20</t>
    <phoneticPr fontId="3" type="noConversion"/>
  </si>
  <si>
    <t>PE-L1-3C4-05</t>
  </si>
  <si>
    <t>PE-M1-3C120-21</t>
    <phoneticPr fontId="3" type="noConversion"/>
  </si>
  <si>
    <t>PE-M1-3C120-22</t>
  </si>
  <si>
    <t>PE-L1-4C50/25-01</t>
  </si>
  <si>
    <t>PE-L1-4C50/25-02</t>
    <phoneticPr fontId="3" type="noConversion"/>
  </si>
  <si>
    <t>PE-L1-4C95/50-15</t>
    <phoneticPr fontId="3" type="noConversion"/>
  </si>
  <si>
    <t>PE-L1-4C95/50-08</t>
    <phoneticPr fontId="3" type="noConversion"/>
  </si>
  <si>
    <t>PE-L1-4C95/50-16</t>
    <phoneticPr fontId="3" type="noConversion"/>
  </si>
  <si>
    <t>PE-L1-3C4-10</t>
  </si>
  <si>
    <t>PE-L1-4C4-07</t>
    <phoneticPr fontId="3" type="noConversion"/>
  </si>
  <si>
    <t>PE-L1-5C50/25-02</t>
    <phoneticPr fontId="3" type="noConversion"/>
  </si>
  <si>
    <t>PE-L1-5C150/95-01</t>
    <phoneticPr fontId="12" type="noConversion"/>
  </si>
  <si>
    <t>PE-M1-3C120-07</t>
    <phoneticPr fontId="3" type="noConversion"/>
  </si>
  <si>
    <t>PE-M1-3C120-08</t>
    <phoneticPr fontId="3" type="noConversion"/>
  </si>
  <si>
    <t>PE-M1-3C120-09</t>
    <phoneticPr fontId="3" type="noConversion"/>
  </si>
  <si>
    <t>PE-M1-3C120-10</t>
    <phoneticPr fontId="3" type="noConversion"/>
  </si>
  <si>
    <t>PE-M1-3C120-23</t>
  </si>
  <si>
    <t>PE-M1-3C120-24</t>
  </si>
  <si>
    <t>PE-M1-3C120-13</t>
    <phoneticPr fontId="3" type="noConversion"/>
  </si>
  <si>
    <t>PE-L1-5C150/95-03</t>
    <phoneticPr fontId="12" type="noConversion"/>
  </si>
  <si>
    <t>PE-L1-2C50-01</t>
  </si>
  <si>
    <t>PE-L1-4C70/35-03</t>
    <phoneticPr fontId="3" type="noConversion"/>
  </si>
  <si>
    <t>PE-L1-3C4-12</t>
  </si>
  <si>
    <t>PE-L1-4C4-08</t>
    <phoneticPr fontId="3" type="noConversion"/>
  </si>
  <si>
    <t>PE-L1-3C4-13</t>
  </si>
  <si>
    <t>PE-L1-4C4-08</t>
  </si>
  <si>
    <t>PE-L1-4C4-21</t>
  </si>
  <si>
    <t>PE-L1-4C4-11</t>
  </si>
  <si>
    <t>PE-L1-4C4-15</t>
    <phoneticPr fontId="3" type="noConversion"/>
  </si>
  <si>
    <t>PE-L1-4C4-14</t>
    <phoneticPr fontId="3" type="noConversion"/>
  </si>
  <si>
    <t>PE-L1-4C4-17</t>
  </si>
  <si>
    <t>PE-L1-4C4-09</t>
    <phoneticPr fontId="3" type="noConversion"/>
  </si>
  <si>
    <t>PE-L1-4C4-13</t>
  </si>
  <si>
    <t>PE-L1-4C4-12</t>
  </si>
  <si>
    <t>PE-L1-4C4-10</t>
    <phoneticPr fontId="3" type="noConversion"/>
  </si>
  <si>
    <t>PE-L1-4C4-11</t>
    <phoneticPr fontId="3" type="noConversion"/>
  </si>
  <si>
    <t>PE-L1-4C120/70-01</t>
    <phoneticPr fontId="12" type="noConversion"/>
  </si>
  <si>
    <t>PE-L1-4C4-12</t>
    <phoneticPr fontId="3" type="noConversion"/>
  </si>
  <si>
    <t>PE-L1-4C4-13</t>
    <phoneticPr fontId="3" type="noConversion"/>
  </si>
  <si>
    <t>PE-L1-4C95/50-18</t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</si>
  <si>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</si>
  <si>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</si>
  <si>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</si>
  <si>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</si>
  <si>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PE-L1-4C4-20</t>
  </si>
  <si>
    <t>14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</si>
  <si>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</si>
  <si>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</si>
  <si>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</si>
  <si>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</si>
  <si>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PE-L1-4C4-19</t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</si>
  <si>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</si>
  <si>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</si>
  <si>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</si>
  <si>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</si>
  <si>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PE-L1-5C6-01</t>
  </si>
  <si>
    <t>PE-L1-5C10-01</t>
  </si>
  <si>
    <t>PE-L1-5C16-01</t>
  </si>
  <si>
    <t>PE-L1-5C16-02</t>
  </si>
  <si>
    <t>PE-L1-5C16-02</t>
    <phoneticPr fontId="3" type="noConversion"/>
  </si>
  <si>
    <t>SUMP LCP</t>
  </si>
  <si>
    <t>PE-L1-3C16-02</t>
    <phoneticPr fontId="12" type="noConversion"/>
  </si>
  <si>
    <t>PE-L1-3C25/16-02</t>
  </si>
  <si>
    <t>PE-L1-3C16-01</t>
    <phoneticPr fontId="12" type="noConversion"/>
  </si>
  <si>
    <t>PE-L1-5C4-02</t>
    <phoneticPr fontId="3" type="noConversion"/>
  </si>
  <si>
    <t>PE-L1-5C4-02</t>
  </si>
  <si>
    <t>PE-L1-3C50/25-02</t>
    <phoneticPr fontId="12" type="noConversion"/>
  </si>
  <si>
    <t>PE-L1-3C16-01</t>
  </si>
  <si>
    <t>PE-L1-3C4-14</t>
  </si>
  <si>
    <t>PE-L1-3C10-02</t>
    <phoneticPr fontId="3" type="noConversion"/>
  </si>
  <si>
    <t>PE-L1-3C4-19</t>
  </si>
  <si>
    <t>PE-L1-1C185-03</t>
  </si>
  <si>
    <t>PE-L1-1C300-01</t>
  </si>
  <si>
    <t>PE-L1-1C300-02</t>
  </si>
  <si>
    <t>PE-L1-1C300-03</t>
  </si>
  <si>
    <t>PE-L1-1C300-04</t>
  </si>
  <si>
    <t>PE-L1-1C300-05</t>
  </si>
  <si>
    <t>PE-L1-1C300-06</t>
  </si>
  <si>
    <t>PE-L1-1C300-07</t>
  </si>
  <si>
    <t>PE-L1-1C300-08</t>
  </si>
  <si>
    <t>PE-L1-1C240-02</t>
    <phoneticPr fontId="12" type="noConversion"/>
  </si>
  <si>
    <t>PE-L1-2C10-01</t>
  </si>
  <si>
    <t>PE-L1-2C10-02</t>
    <phoneticPr fontId="12" type="noConversion"/>
  </si>
  <si>
    <t>PE-L1-2C4-02</t>
  </si>
  <si>
    <t>PE-L1-2C10-02</t>
  </si>
  <si>
    <t>PE-L1-2C4-06</t>
  </si>
  <si>
    <t>PE-L1-3C4-17</t>
  </si>
  <si>
    <t>PE-L1-2C4-05</t>
  </si>
  <si>
    <t>PE-L1-2C4-03</t>
  </si>
  <si>
    <t>PE-L1-2C16-01</t>
  </si>
  <si>
    <t>PE-L1-2C16-02</t>
  </si>
  <si>
    <t>PE-L1-1C500-31</t>
    <phoneticPr fontId="12" type="noConversion"/>
  </si>
  <si>
    <t>PE-L1-1C500-32</t>
    <phoneticPr fontId="12" type="noConversion"/>
  </si>
  <si>
    <t>PE-L1-1C240-01</t>
  </si>
  <si>
    <t>PE-L1-1C500-01</t>
  </si>
  <si>
    <t>PE-L1-1C500-02</t>
  </si>
  <si>
    <t>PE-L1-1C500-03</t>
  </si>
  <si>
    <t>PE-L1-1C500-04</t>
  </si>
  <si>
    <t>PE-L1-1C500-05</t>
  </si>
  <si>
    <t>PE-L1-1C500-06</t>
  </si>
  <si>
    <t>PE-L1-1C500-07</t>
  </si>
  <si>
    <t>PE-L1-1C500-08</t>
  </si>
  <si>
    <t>PE-L1-1C500-09</t>
  </si>
  <si>
    <t>PE-L1-1C500-10</t>
  </si>
  <si>
    <t>PE-L1-1C500-11</t>
  </si>
  <si>
    <t>PE-L1-1C500-12</t>
  </si>
  <si>
    <t>PE-L1-1C500-13</t>
  </si>
  <si>
    <t>PE-L1-1C500-14</t>
  </si>
  <si>
    <t>PE-L1-1C500-15</t>
  </si>
  <si>
    <t>PE-L1-1C500-16</t>
  </si>
  <si>
    <t>PE-L1-1C500-17</t>
  </si>
  <si>
    <t>PE-L1-1C500-18</t>
  </si>
  <si>
    <t>PE-L1-1C500-19</t>
  </si>
  <si>
    <t>PE-L1-1C500-20</t>
  </si>
  <si>
    <t>PE-L1-1C500-22</t>
  </si>
  <si>
    <t>PE-L1-1C500-23</t>
  </si>
  <si>
    <t>PE-L1-1C500-24</t>
  </si>
  <si>
    <t>PE-L1-1C500-25</t>
  </si>
  <si>
    <t>PE-L1-1C500-26</t>
  </si>
  <si>
    <t>PE-L1-1C500-27</t>
  </si>
  <si>
    <t>PE-L1-1C500-28</t>
  </si>
  <si>
    <t>PE-L1-3C4-25</t>
    <phoneticPr fontId="12" type="noConversion"/>
  </si>
  <si>
    <t>PE-M1-3C120-11</t>
    <phoneticPr fontId="3" type="noConversion"/>
  </si>
  <si>
    <t>PE-M1-3C120-12</t>
    <phoneticPr fontId="3" type="noConversion"/>
  </si>
  <si>
    <t>PE-M1-3C120-14</t>
    <phoneticPr fontId="3" type="noConversion"/>
  </si>
  <si>
    <t>PE-M1-3C120-25</t>
  </si>
  <si>
    <t>PE-M1-3C120-15</t>
    <phoneticPr fontId="3" type="noConversion"/>
  </si>
  <si>
    <t>PE-M1-3C120-09</t>
  </si>
  <si>
    <t>PE-M1-3C120-02</t>
  </si>
  <si>
    <t>PE-M1-3C120-10</t>
  </si>
  <si>
    <t>PE-M1-3C120-12</t>
  </si>
  <si>
    <t>PE-M1-3C120-26</t>
  </si>
  <si>
    <t>PE-M1-3C120-27</t>
  </si>
  <si>
    <t>PE-M1-3C120-28</t>
  </si>
  <si>
    <t>PE-M1-3C120-29</t>
  </si>
  <si>
    <t>PE-M1-3C120-30</t>
  </si>
  <si>
    <t>PE-M1-3C120-16</t>
    <phoneticPr fontId="3" type="noConversion"/>
  </si>
  <si>
    <t>PE-M1-3C120-17</t>
    <phoneticPr fontId="3" type="noConversion"/>
  </si>
  <si>
    <t>PE-M1-1C240-01</t>
    <phoneticPr fontId="12" type="noConversion"/>
  </si>
  <si>
    <t>U1</t>
    <phoneticPr fontId="3" type="noConversion"/>
  </si>
  <si>
    <t>V1</t>
    <phoneticPr fontId="3" type="noConversion"/>
  </si>
  <si>
    <t>W1</t>
    <phoneticPr fontId="3" type="noConversion"/>
  </si>
  <si>
    <t>U1</t>
  </si>
  <si>
    <t>V1</t>
  </si>
  <si>
    <t>W1</t>
  </si>
  <si>
    <t>PE-M1-1C185-07</t>
    <phoneticPr fontId="3" type="noConversion"/>
  </si>
  <si>
    <t>PE-M1-1C185-01</t>
    <phoneticPr fontId="3" type="noConversion"/>
  </si>
  <si>
    <t>PE-M1-1C240-02</t>
  </si>
  <si>
    <t>PE-M1-1C240-03</t>
  </si>
  <si>
    <t>PE-M1-1C240-04</t>
  </si>
  <si>
    <t>PE-M1-1C240-05</t>
  </si>
  <si>
    <t>PE-M1-1C240-06</t>
  </si>
  <si>
    <t>PE-M1-1C240-07</t>
  </si>
  <si>
    <t>PE-M1-1C240-08</t>
  </si>
  <si>
    <t>PE-M1-1C240-09</t>
  </si>
  <si>
    <t>PE-M1-1C240-10</t>
  </si>
  <si>
    <t>PE-M1-1C240-11</t>
  </si>
  <si>
    <t>PE-M1-1C240-12</t>
  </si>
  <si>
    <t>PE-M1-1C240-13</t>
  </si>
  <si>
    <t>PE-M1-1C185-07</t>
  </si>
  <si>
    <t>PE-M1-1C185-02</t>
  </si>
  <si>
    <t>PE-M1-1C185-03</t>
  </si>
  <si>
    <t>PE-M1-1C185-04</t>
  </si>
  <si>
    <t>PE-M1-1C185-05</t>
  </si>
  <si>
    <t>PE-M1-1C185-06</t>
  </si>
  <si>
    <t>PE-M1-1C185-01</t>
    <phoneticPr fontId="12" type="noConversion"/>
  </si>
  <si>
    <t>PE-M1-1C300-01</t>
    <phoneticPr fontId="3" type="noConversion"/>
  </si>
  <si>
    <t>UNIT AUXILIARY TRANSFORMER #1-1 FOR BLOCK#1</t>
    <phoneticPr fontId="3" type="noConversion"/>
  </si>
  <si>
    <t>6_UNIT AUXILIARY TRANSFORMER</t>
    <phoneticPr fontId="3" type="noConversion"/>
  </si>
  <si>
    <t>10KV SWITCHGEAR #1 FOR BLOCK #1</t>
  </si>
  <si>
    <t>1.2_LEB FOR BLOCK #1</t>
  </si>
  <si>
    <t>PE-M1-1C300-03</t>
    <phoneticPr fontId="3" type="noConversion"/>
  </si>
  <si>
    <t>UNIT AUXILIARY TRANSFORMER #1-2 FOR BLOCK#1</t>
    <phoneticPr fontId="3" type="noConversion"/>
  </si>
  <si>
    <t>10KV SWITCHGEAR #3 FOR BLOCK #1</t>
  </si>
  <si>
    <t>PE-M1-1C300-06</t>
    <phoneticPr fontId="3" type="noConversion"/>
  </si>
  <si>
    <t>PE-M1-1C300-07</t>
    <phoneticPr fontId="3" type="noConversion"/>
  </si>
  <si>
    <t>UNIT AUXILIARY TRANSFORMER #2-1 FOR BLOCK#1</t>
    <phoneticPr fontId="3" type="noConversion"/>
  </si>
  <si>
    <t>10KV SWITCHGEAR #2 FOR BLOCK #1</t>
  </si>
  <si>
    <t>UNIT AUXILIARY TRANSFORMER #2-2 FOR BLOCK#1</t>
    <phoneticPr fontId="3" type="noConversion"/>
  </si>
  <si>
    <t>10KV SWITCHGEAR #4 FOR BLOCK #1</t>
  </si>
  <si>
    <t>PE-M1-1C300-16</t>
    <phoneticPr fontId="3" type="noConversion"/>
  </si>
  <si>
    <t>10KV SWITCHGEAR #1 FOR BLOCK #2</t>
  </si>
  <si>
    <t>1.3_LEB FOR BLOCK #2</t>
  </si>
  <si>
    <t>PE-M1-1C300-25</t>
    <phoneticPr fontId="3" type="noConversion"/>
  </si>
  <si>
    <t>PE-M1-1C300-26</t>
    <phoneticPr fontId="3" type="noConversion"/>
  </si>
  <si>
    <t>PE-M1-1C300-27</t>
    <phoneticPr fontId="3" type="noConversion"/>
  </si>
  <si>
    <t>PE-M1-1C300-29</t>
    <phoneticPr fontId="3" type="noConversion"/>
  </si>
  <si>
    <t>PE-M1-1C300-30</t>
    <phoneticPr fontId="3" type="noConversion"/>
  </si>
  <si>
    <t>10KV SWITCHGEAR #3 FOR BLOCK #2</t>
  </si>
  <si>
    <t>PE-M1-1C300-02</t>
    <phoneticPr fontId="3" type="noConversion"/>
  </si>
  <si>
    <t>PE-M1-1C300-04</t>
    <phoneticPr fontId="3" type="noConversion"/>
  </si>
  <si>
    <t>PE-M1-1C300-05</t>
    <phoneticPr fontId="3" type="noConversion"/>
  </si>
  <si>
    <t>UNIT AUXILIARY TRANSFORMER #2-1 FOR BLOCK#2</t>
    <phoneticPr fontId="3" type="noConversion"/>
  </si>
  <si>
    <t>10KV SWITCHGEAR #2 FOR BLOCK #2</t>
  </si>
  <si>
    <t>UNIT AUXILIARY TRANSFORMER #2-2 FOR BLOCK#2</t>
    <phoneticPr fontId="3" type="noConversion"/>
  </si>
  <si>
    <t>10KV SWITCHGEAR #4 FOR BLOCK #2</t>
  </si>
  <si>
    <t>PE-L1-4C150/95-01</t>
  </si>
  <si>
    <t>PE-L1-4C150/95-02</t>
  </si>
  <si>
    <t>PE-L1-4C150/95-03</t>
  </si>
  <si>
    <t>PE-L1-4C150/95-04</t>
  </si>
  <si>
    <t>PE-M1-1C300-17</t>
    <phoneticPr fontId="3" type="noConversion"/>
  </si>
  <si>
    <t>BACK UP TRANSFORMER #1 (X WINDING)</t>
    <phoneticPr fontId="3" type="noConversion"/>
  </si>
  <si>
    <t>34_BACK UP TRANSFORMER</t>
  </si>
  <si>
    <t>10KV SWITCHGEAR FOR BACK UP - A</t>
  </si>
  <si>
    <t>BACK UP TRANSFORMER #1 (Y WINDING)</t>
    <phoneticPr fontId="3" type="noConversion"/>
  </si>
  <si>
    <t>34_BACK UP TRANSFORMER</t>
    <phoneticPr fontId="3" type="noConversion"/>
  </si>
  <si>
    <t>10KV SWITCHGEAR FOR BACK UP - B</t>
  </si>
  <si>
    <t>PE-M2-1C630-01</t>
    <phoneticPr fontId="3" type="noConversion"/>
  </si>
  <si>
    <t>AUTO TRANSFORMER</t>
    <phoneticPr fontId="3" type="noConversion"/>
  </si>
  <si>
    <t>39_500 MVA AUTO TRANSFORMER</t>
    <phoneticPr fontId="3" type="noConversion"/>
  </si>
  <si>
    <t>BACK UP TRANSFORMER #1</t>
  </si>
  <si>
    <t>PE-M2-1C630-02</t>
    <phoneticPr fontId="3" type="noConversion"/>
  </si>
  <si>
    <t>PE-M2-1C630-03</t>
    <phoneticPr fontId="3" type="noConversion"/>
  </si>
  <si>
    <t>PE-M2-1C630-04</t>
    <phoneticPr fontId="3" type="noConversion"/>
  </si>
  <si>
    <t>PE-M2-1C630-05</t>
    <phoneticPr fontId="3" type="noConversion"/>
  </si>
  <si>
    <t>PE-M2-1C630-06</t>
    <phoneticPr fontId="3" type="noConversion"/>
  </si>
  <si>
    <t>1.1_MAIN BUILDING COMPLEX / PCC #11</t>
  </si>
  <si>
    <t>SWGR to J/B : Doosan
J/B to consumer : SE
11MYB30GF202 -X03</t>
    <phoneticPr fontId="3" type="noConversion"/>
  </si>
  <si>
    <t>SWGR to J/B : Doosan
J/B to consumer : SE
12MYB30GF202 -X03</t>
    <phoneticPr fontId="3" type="noConversion"/>
  </si>
  <si>
    <t>1.1_MAIN BUILDING COMPLEX / PCC #12</t>
  </si>
  <si>
    <t>SWGR to J/B : Doosan
J/B to consumer : SE
21MYB30GF202 -X03</t>
    <phoneticPr fontId="3" type="noConversion"/>
  </si>
  <si>
    <t>1.1_MAIN BUILDING COMPLEX / PCC #21</t>
  </si>
  <si>
    <t>SWGR to J/B : Doosan
J/B to consumer : SE
22MYB30GF202 -X03</t>
    <phoneticPr fontId="3" type="noConversion"/>
  </si>
  <si>
    <t>4C x 150sqmm + 1C X 95sqmm</t>
  </si>
  <si>
    <t>B1-MCC-59601</t>
  </si>
  <si>
    <t>400V MCC FOR ST #1 FOR BLOCK #1 - A</t>
  </si>
  <si>
    <t>1.1_MAIN BUILDING COMPLEX / STG #1 LER</t>
  </si>
  <si>
    <t>1.1_MAIN BUILDING COMPLEX</t>
  </si>
  <si>
    <t>B1-MCC-59602</t>
  </si>
  <si>
    <t>400V MCC FOR ST #1 FOR BLOCK #1 - B</t>
  </si>
  <si>
    <t>B2-MCC-59601</t>
  </si>
  <si>
    <t>400V MCC FOR ST #2 FOR BLOCK #2 - A</t>
  </si>
  <si>
    <t>1.1_MAIN BUILDING COMPLEX / STG #2 LER</t>
  </si>
  <si>
    <t>B2-MCC-59602</t>
  </si>
  <si>
    <t>400V MCC FOR ST #2 FOR BLOCK #2 - B</t>
  </si>
  <si>
    <t>EXH-AIR FAN FU-GAS ENCL</t>
  </si>
  <si>
    <t>1.1_MAIN BUILDING COMPLEX / GT #22</t>
  </si>
  <si>
    <t>GTG-U1-001</t>
  </si>
  <si>
    <t>B1-SWG-64601-P2001</t>
  </si>
  <si>
    <t>B1-SWG-64601-P2002</t>
  </si>
  <si>
    <t>0.6/1kV CU/XLPE/LSZH</t>
  </si>
  <si>
    <t>B1-SWG-64601-P2003</t>
  </si>
  <si>
    <t>B1-SWG-64601-P2004</t>
  </si>
  <si>
    <t>B1-SWG-64601-P2005</t>
  </si>
  <si>
    <t>B1-SWG-64601-P2006</t>
  </si>
  <si>
    <t>B1-SWG-64601-P2007</t>
  </si>
  <si>
    <t>GTG-U1-002</t>
  </si>
  <si>
    <t>E</t>
  </si>
  <si>
    <t>B1-ESWG-64601-P2003</t>
  </si>
  <si>
    <t>B1-ESWG-64601-P2004</t>
  </si>
  <si>
    <t>GTG-U1-003</t>
  </si>
  <si>
    <t>B1-SWG-64301-P1001</t>
  </si>
  <si>
    <t>6/10kV CU/XLPE/CTS/LSZH</t>
  </si>
  <si>
    <t>3C x 120sqmm</t>
  </si>
  <si>
    <t>GTG-U1-004</t>
  </si>
  <si>
    <t>B1-SWG-64301-P1002</t>
  </si>
  <si>
    <t>GTG-U1-005</t>
  </si>
  <si>
    <t>B1-SWG-64301-P1003</t>
  </si>
  <si>
    <t>2C x 25sqmm + 1C X 16sqmm</t>
  </si>
  <si>
    <t>GTG-U1-007</t>
  </si>
  <si>
    <t>B1-SWG-64301-P2001</t>
  </si>
  <si>
    <t>3C x 4sqmm</t>
  </si>
  <si>
    <t>GTG-U1-009</t>
  </si>
  <si>
    <t>U</t>
  </si>
  <si>
    <t>GTG-U1-011</t>
  </si>
  <si>
    <t>B1-UPSP-64701-P2001</t>
  </si>
  <si>
    <t>GTG-U2-001</t>
  </si>
  <si>
    <t>B1-SWG-64604-P2001</t>
  </si>
  <si>
    <t>1C x 300sqmm</t>
  </si>
  <si>
    <t>B1-SWG-64604-P2002</t>
  </si>
  <si>
    <t>B1-SWG-64604-P2003</t>
  </si>
  <si>
    <t>B1-SWG-64604-P2004</t>
  </si>
  <si>
    <t>B1-SWG-64604-P2005</t>
  </si>
  <si>
    <t>B1-SWG-64604-P2006</t>
  </si>
  <si>
    <t>B1-SWG-64604-P2007</t>
  </si>
  <si>
    <t>GTG-U2-002</t>
  </si>
  <si>
    <t>B1-ESWG-64602-P2001</t>
  </si>
  <si>
    <t>B1-ESWG-64602-P2002</t>
  </si>
  <si>
    <t>B1-ESWG-64602-P2003</t>
  </si>
  <si>
    <t>GTG-U2-003</t>
  </si>
  <si>
    <t>B1-SWG-64302-P1001</t>
  </si>
  <si>
    <t>GTG-U2-004</t>
  </si>
  <si>
    <t>B1-SWG-64302-P1002</t>
  </si>
  <si>
    <t>GTG-U2-005</t>
  </si>
  <si>
    <t>B1-SWG-64302-P1003</t>
  </si>
  <si>
    <t>GTG-U2-007</t>
  </si>
  <si>
    <t>B1-SWG-64302-P2001</t>
  </si>
  <si>
    <t>GTG-U2-009</t>
  </si>
  <si>
    <t>B1-UPSP-73702-P2001</t>
  </si>
  <si>
    <t>GTG-U2-011</t>
  </si>
  <si>
    <t>B1-UPSP-64702-P2001</t>
  </si>
  <si>
    <t>3C x 6sqmm</t>
  </si>
  <si>
    <t>GTG-U3-001</t>
  </si>
  <si>
    <t>B2-SWG-64601-P2001</t>
  </si>
  <si>
    <t>B2-SWG-64601-P2002</t>
  </si>
  <si>
    <t>B2-SWG-64601-P2003</t>
  </si>
  <si>
    <t>B2-SWG-64601-P2004</t>
  </si>
  <si>
    <t>B2-SWG-64601-P2005</t>
  </si>
  <si>
    <t>B2-SWG-64601-P2006</t>
  </si>
  <si>
    <t>B2-SWG-64601-P2007</t>
  </si>
  <si>
    <t>GTG-U3-002</t>
  </si>
  <si>
    <t>B2-ESWG-64601-P2001</t>
  </si>
  <si>
    <t>B2-ESWG-64601-P2002</t>
  </si>
  <si>
    <t>B2-ESWG-64601-P2004</t>
  </si>
  <si>
    <t>GTG-U3-003</t>
  </si>
  <si>
    <t>B2-SWG-64301-P1001</t>
  </si>
  <si>
    <t>GTG-U3-004</t>
  </si>
  <si>
    <t>B2-SWG-64301-P1002</t>
  </si>
  <si>
    <t>GTG-U3-005</t>
  </si>
  <si>
    <t>B2-SWG-64301-P1003</t>
  </si>
  <si>
    <t>GTG-U3-007</t>
  </si>
  <si>
    <t>B2-SWG-64301-P2001</t>
  </si>
  <si>
    <t>GTG-U3-009</t>
  </si>
  <si>
    <t>B2-UPSP-73701-P2002</t>
  </si>
  <si>
    <t>GTG-U3-011</t>
  </si>
  <si>
    <t>B2-UPSP-64701-P2001</t>
  </si>
  <si>
    <t>GTG-U4-001</t>
  </si>
  <si>
    <t>B2-SWG-64604-P2001</t>
  </si>
  <si>
    <t>B2-SWG-64604-P2002</t>
  </si>
  <si>
    <t>B2-SWG-64604-P2003</t>
  </si>
  <si>
    <t>B2-SWG-64604-P2004</t>
  </si>
  <si>
    <t>B2-SWG-64604-P2005</t>
  </si>
  <si>
    <t>B2-SWG-64604-P2006</t>
  </si>
  <si>
    <t>B2-SWG-64604-P2007</t>
  </si>
  <si>
    <t>GTG-U4-002</t>
  </si>
  <si>
    <t>B2-ESWG-64602-P2001</t>
  </si>
  <si>
    <t>B2-ESWG-64602-P2002</t>
  </si>
  <si>
    <t>B2-ESWG-64602-P2003</t>
  </si>
  <si>
    <t>B2-ESWG-64602-P2004</t>
  </si>
  <si>
    <t>GTG-U4-003</t>
  </si>
  <si>
    <t>B2-SWG-64302-P1001</t>
  </si>
  <si>
    <t>GTG-U4-004</t>
  </si>
  <si>
    <t>B2-SWG-64302-P1002</t>
  </si>
  <si>
    <t>GTG-U4-005</t>
  </si>
  <si>
    <t>B2-SWG-64302-P1003</t>
  </si>
  <si>
    <t>GTG-U4-007</t>
  </si>
  <si>
    <t>B2-SWG-64302-P2001</t>
  </si>
  <si>
    <t>GTG-U4-009</t>
  </si>
  <si>
    <t>B2-UPSP-73702-P2002</t>
  </si>
  <si>
    <t>GTG-U4-011</t>
  </si>
  <si>
    <t>B2-UPSP-64702-P2001</t>
  </si>
  <si>
    <t>STG-B1-002</t>
  </si>
  <si>
    <t>B1-DCP-59701-P2001</t>
  </si>
  <si>
    <t>2C x 25sqmm</t>
  </si>
  <si>
    <t>D</t>
  </si>
  <si>
    <t>STG-B1-003</t>
  </si>
  <si>
    <t>B1-DCP-59702-P2001</t>
  </si>
  <si>
    <t>STG-B1-004</t>
  </si>
  <si>
    <t>B1-DB-59601-P2001</t>
  </si>
  <si>
    <t>STG-B1-005</t>
  </si>
  <si>
    <t>B1-EMCC-64601-P2001</t>
  </si>
  <si>
    <t>4C x 120sqmm + 1C X 70sqmm</t>
  </si>
  <si>
    <t>STG-B1-006</t>
  </si>
  <si>
    <t>B1-DB-59601-P2002</t>
  </si>
  <si>
    <t>STG-B1-007</t>
  </si>
  <si>
    <t>B1-EMCC-64601-P2002</t>
  </si>
  <si>
    <t>3C x 70sqmm + 1C X 35sqmm</t>
  </si>
  <si>
    <t>STG-B1-008</t>
  </si>
  <si>
    <t>B1-EMCC-64602-P2001</t>
  </si>
  <si>
    <t>STG-B1-009</t>
  </si>
  <si>
    <t>B1-EMCC-64601-P2003</t>
  </si>
  <si>
    <t>STG-B1-010</t>
  </si>
  <si>
    <t>B1-EMCC-64602-P2002</t>
  </si>
  <si>
    <t>STG-B1-011</t>
  </si>
  <si>
    <t>B1-EMCC-64602-P2003</t>
  </si>
  <si>
    <t>STG-B1-012</t>
  </si>
  <si>
    <t>B1-EMCC-64601-P2004</t>
  </si>
  <si>
    <t>STG-B1-012-001</t>
  </si>
  <si>
    <t>B1-EMCC-64602-P2004</t>
  </si>
  <si>
    <t>STG-B1-012-002</t>
  </si>
  <si>
    <t>B1-EMCC-64601-P2005</t>
  </si>
  <si>
    <t>4C x 4sqmm</t>
  </si>
  <si>
    <t>STG-B1-015</t>
  </si>
  <si>
    <t>B1-MCC-59602-P2001</t>
  </si>
  <si>
    <t>STG-B1-016</t>
  </si>
  <si>
    <t>B1-MCC-59601-P2002</t>
  </si>
  <si>
    <t>STG-B1-017</t>
  </si>
  <si>
    <t>B1-MCC-59602-P2002</t>
  </si>
  <si>
    <t>4C x 10sqmm</t>
  </si>
  <si>
    <t>STG-B1-018</t>
  </si>
  <si>
    <t>B1-MCC-59601-P2003</t>
  </si>
  <si>
    <t>4C x 6sqmm</t>
  </si>
  <si>
    <t>STG-B1-019</t>
  </si>
  <si>
    <t>B1-DB-59601-P2003</t>
  </si>
  <si>
    <t>3C x 10sqmm</t>
  </si>
  <si>
    <t>STG-B1-019-001</t>
  </si>
  <si>
    <t>B1-DB-59601-P2004</t>
  </si>
  <si>
    <t>STG-B1-020</t>
  </si>
  <si>
    <t>B1-MCC-59602-P2003</t>
  </si>
  <si>
    <t>STG-B1-021</t>
  </si>
  <si>
    <t>B1-MCC-59601-P2004</t>
  </si>
  <si>
    <t>STG-B1-022</t>
  </si>
  <si>
    <t>B1-MCC-59601-P2005</t>
  </si>
  <si>
    <t>STG-B1-023</t>
  </si>
  <si>
    <t>B1-MCC-59602-P2004</t>
  </si>
  <si>
    <t>STG-B1-030</t>
  </si>
  <si>
    <t>B1-MCC-59602-P2005</t>
  </si>
  <si>
    <t>STG-B1-031</t>
  </si>
  <si>
    <t>B1-MCC-59601-P2006</t>
  </si>
  <si>
    <t>STG-B1-032</t>
  </si>
  <si>
    <t>B1-MCC-59602-P2006</t>
  </si>
  <si>
    <t>5C x 4sqmm</t>
  </si>
  <si>
    <t>STG-B1-032-001</t>
  </si>
  <si>
    <t>B1-DB-59601-P2005</t>
  </si>
  <si>
    <t>STG-B1-032-002</t>
  </si>
  <si>
    <t>B1-DB-59602-P2001</t>
  </si>
  <si>
    <t>STG-B1-033</t>
  </si>
  <si>
    <t>B1-MCC-59601-P2007</t>
  </si>
  <si>
    <t>4C x 16sqmm</t>
  </si>
  <si>
    <t>STG-B1-034</t>
  </si>
  <si>
    <t>B1-MCC-59602-P2007</t>
  </si>
  <si>
    <t>STG-B1-036</t>
  </si>
  <si>
    <t>B1-DCP-59702-P2002</t>
  </si>
  <si>
    <t>2C x 4sqmm</t>
  </si>
  <si>
    <t>STG-B1-037</t>
  </si>
  <si>
    <t>B1-DCP-59701-P2002</t>
  </si>
  <si>
    <t>STG-B1-037-001</t>
  </si>
  <si>
    <t>B1-DB-59602-P2002</t>
  </si>
  <si>
    <t>STG-B1-038</t>
  </si>
  <si>
    <t>B1-MCC-59601-P2008</t>
  </si>
  <si>
    <t>STG-B1-039</t>
  </si>
  <si>
    <t>B1-MCC-59602-P2008</t>
  </si>
  <si>
    <t>STG-B1-040</t>
  </si>
  <si>
    <t>B1-MCC-59601-P2009</t>
  </si>
  <si>
    <t>STG-B1-041</t>
  </si>
  <si>
    <t>B1-MCC-59602-P2009</t>
  </si>
  <si>
    <t>STG-B1-044</t>
  </si>
  <si>
    <t>B1-MCC-59601-P2010</t>
  </si>
  <si>
    <t>STG-B1-045</t>
  </si>
  <si>
    <t>B1-MCC-59602-P2010</t>
  </si>
  <si>
    <t>STG-B1-046</t>
  </si>
  <si>
    <t>B1-MCC-59601-P2011</t>
  </si>
  <si>
    <t>STG-B1-047</t>
  </si>
  <si>
    <t>B1-MCC-59602-P2011</t>
  </si>
  <si>
    <t>STG-B1-048</t>
  </si>
  <si>
    <t>B1-MCC-59602-P2012</t>
  </si>
  <si>
    <t>STG-B1-048-001</t>
  </si>
  <si>
    <t>B1-MCC-59602-P2013</t>
  </si>
  <si>
    <t>STG-B1-048-002</t>
  </si>
  <si>
    <t>B1-MCC-59601-P2012</t>
  </si>
  <si>
    <t>STG-B1-048-003</t>
  </si>
  <si>
    <t>B1-MCC-59601-P2013</t>
  </si>
  <si>
    <t>STG-B1-048-004</t>
  </si>
  <si>
    <t>B1-MCC-59601-P2014</t>
  </si>
  <si>
    <t>STG-B1-048-005</t>
  </si>
  <si>
    <t>B1-MCC-59602-P2014</t>
  </si>
  <si>
    <t>STG-B1-049</t>
  </si>
  <si>
    <t>B1-DCP-59702-P2003</t>
  </si>
  <si>
    <t>2C x 6sqmm</t>
  </si>
  <si>
    <t>STG-B1-050</t>
  </si>
  <si>
    <t>B1-UPSP-59701-P2001</t>
  </si>
  <si>
    <t>STG-B1-051</t>
  </si>
  <si>
    <t>B1-DB-59601-P2006</t>
  </si>
  <si>
    <t>STG-B1-052</t>
  </si>
  <si>
    <t>B1-DCP-59701-P2003</t>
  </si>
  <si>
    <t>STG-B1-053</t>
  </si>
  <si>
    <t>B1-UPSP-59701-P2002</t>
  </si>
  <si>
    <t>STG-B1-054</t>
  </si>
  <si>
    <t>B1-DB-59602-P2003</t>
  </si>
  <si>
    <t>STG-B1-055</t>
  </si>
  <si>
    <t>B1-DCP-59701-P2004</t>
  </si>
  <si>
    <t>STG-B1-056</t>
  </si>
  <si>
    <t>B1-UPSP-59702-P2001</t>
  </si>
  <si>
    <t>STG-B1-057</t>
  </si>
  <si>
    <t>B1-DB-59601-P2007</t>
  </si>
  <si>
    <t>STG-B1-058</t>
  </si>
  <si>
    <t>B1-DCP-59701-P2005</t>
  </si>
  <si>
    <t>STG-B1-059</t>
  </si>
  <si>
    <t>B1-DCP-59702-P2004</t>
  </si>
  <si>
    <t>STG-B1-060</t>
  </si>
  <si>
    <t>B1-DB-59602-P2004</t>
  </si>
  <si>
    <t>STG-B1-061</t>
  </si>
  <si>
    <t>B1-DCP-59702-P2005</t>
  </si>
  <si>
    <t>STG-B1-062</t>
  </si>
  <si>
    <t>B1-DCP-59701-P2006</t>
  </si>
  <si>
    <t>STG-B1-063</t>
  </si>
  <si>
    <t>B1-DB-59601-P2008</t>
  </si>
  <si>
    <t>STG-B1-064</t>
  </si>
  <si>
    <t>B1-DCP-59702-P2006</t>
  </si>
  <si>
    <t>STG-B1-065</t>
  </si>
  <si>
    <t>B1-DCP-59701-P2007</t>
  </si>
  <si>
    <t>STG-B1-066</t>
  </si>
  <si>
    <t>B1-MCC-59602-P2015</t>
  </si>
  <si>
    <t>STG-B1-066-002</t>
  </si>
  <si>
    <t>B1-DB-59601-P2009</t>
  </si>
  <si>
    <t>STG-B1-066-003</t>
  </si>
  <si>
    <t>B1-UPSP-59702-P2002</t>
  </si>
  <si>
    <t>STG-B1-067-001</t>
  </si>
  <si>
    <t>B1-UPSP-73701-P2002</t>
  </si>
  <si>
    <t>2</t>
  </si>
  <si>
    <t>STG-B1-067-003</t>
  </si>
  <si>
    <t>B1-UPSP-73702-P2002</t>
  </si>
  <si>
    <t>STG-B1-070-001</t>
  </si>
  <si>
    <t>B1-UPSP-73701-P2003</t>
  </si>
  <si>
    <t>STG-B1-070-002</t>
  </si>
  <si>
    <t>B1-UPSP-73702-P2003</t>
  </si>
  <si>
    <t>STG-B1-071</t>
  </si>
  <si>
    <t>B1-DCP-59702-P2007</t>
  </si>
  <si>
    <t>STG-B1-072</t>
  </si>
  <si>
    <t>B1-DB-59601-P2010</t>
  </si>
  <si>
    <t>STG-B2-002</t>
  </si>
  <si>
    <t>B2-DCP-59701-P2001</t>
  </si>
  <si>
    <t>STG-B2-003</t>
  </si>
  <si>
    <t>B2-DCP-59702-P2001</t>
  </si>
  <si>
    <t>STG-B2-004</t>
  </si>
  <si>
    <t>B2-DB-59601-P2001</t>
  </si>
  <si>
    <t>STG-B2-005</t>
  </si>
  <si>
    <t>B2-EMCC-64601-P2001</t>
  </si>
  <si>
    <t>4C x 95sqmm + 1C X 50sqmm</t>
  </si>
  <si>
    <t>STG-B2-006</t>
  </si>
  <si>
    <t>B2-DB-59601-P2002</t>
  </si>
  <si>
    <t>STG-B2-007</t>
  </si>
  <si>
    <t>B2-EMCC-64601-P2002</t>
  </si>
  <si>
    <t>STG-B2-008</t>
  </si>
  <si>
    <t>B2-EMCC-64602-P2001</t>
  </si>
  <si>
    <t>STG-B2-009</t>
  </si>
  <si>
    <t>B2-EMCC-64601-P2003</t>
  </si>
  <si>
    <t>STG-B2-010</t>
  </si>
  <si>
    <t>B2-EMCC-64602-P2002</t>
  </si>
  <si>
    <t>STG-B2-011</t>
  </si>
  <si>
    <t>B2-EMCC-64602-P2003</t>
  </si>
  <si>
    <t>3C x 50sqmm + 1C X 25sqmm</t>
  </si>
  <si>
    <t>STG-B2-012</t>
  </si>
  <si>
    <t>B2-EMCC-64601-P2004</t>
  </si>
  <si>
    <t>STG-B2-012-001</t>
  </si>
  <si>
    <t>B2-EMCC-64602-P2004</t>
  </si>
  <si>
    <t>STG-B2-012-002</t>
  </si>
  <si>
    <t>B2-EMCC-64601-P2005</t>
  </si>
  <si>
    <t>STG-B2-013</t>
  </si>
  <si>
    <t>B2-MCC-59601-P2001</t>
  </si>
  <si>
    <t>B2-MCC-59601-P2002</t>
  </si>
  <si>
    <t>STG-B2-017</t>
  </si>
  <si>
    <t>B2-MCC-59602-P2002</t>
  </si>
  <si>
    <t>STG-B2-018</t>
  </si>
  <si>
    <t>B2-MCC-59601-P2003</t>
  </si>
  <si>
    <t>STG-B2-019</t>
  </si>
  <si>
    <t>B2-DB-59601-P2003</t>
  </si>
  <si>
    <t>STG-B2-019-001</t>
  </si>
  <si>
    <t>B2-DB-59601-P2004</t>
  </si>
  <si>
    <t>STG-B2-020</t>
  </si>
  <si>
    <t>B2-MCC-59602-P2003</t>
  </si>
  <si>
    <t>STG-B2-021</t>
  </si>
  <si>
    <t>B2-MCC-59601-P2004</t>
  </si>
  <si>
    <t>STG-B2-022</t>
  </si>
  <si>
    <t>B2-MCC-59601-P2005</t>
  </si>
  <si>
    <t>STG-B2-023</t>
  </si>
  <si>
    <t>B2-MCC-59602-P2004</t>
  </si>
  <si>
    <t>STG-B2-030</t>
  </si>
  <si>
    <t>B2-MCC-59602-P2005</t>
  </si>
  <si>
    <t>STG-B2-031</t>
  </si>
  <si>
    <t>B2-MCC-59601-P2006</t>
  </si>
  <si>
    <t>STG-B2-032</t>
  </si>
  <si>
    <t>B2-MCC-59602-P2006</t>
  </si>
  <si>
    <t>STG-B2-032-001</t>
  </si>
  <si>
    <t>B2-DB-59601-P2005</t>
  </si>
  <si>
    <t>STG-B2-032-002</t>
  </si>
  <si>
    <t>B2-DB-59602-P2001</t>
  </si>
  <si>
    <t>STG-B2-033</t>
  </si>
  <si>
    <t>B2-MCC-59601-P2007</t>
  </si>
  <si>
    <t>STG-B2-034</t>
  </si>
  <si>
    <t>B2-MCC-59602-P2007</t>
  </si>
  <si>
    <t>STG-B2-036</t>
  </si>
  <si>
    <t>B2-DCP-59702-P2002</t>
  </si>
  <si>
    <t>STG-B2-037</t>
  </si>
  <si>
    <t>B2-DCP-59701-P2002</t>
  </si>
  <si>
    <t>STG-B2-037-001</t>
  </si>
  <si>
    <t>B2-DB-59602-P2002</t>
  </si>
  <si>
    <t>STG-B2-038</t>
  </si>
  <si>
    <t>B2-MCC-59601-P2008</t>
  </si>
  <si>
    <t>STG-B2-039</t>
  </si>
  <si>
    <t>B2-MCC-59602-P2008</t>
  </si>
  <si>
    <t>STG-B2-040</t>
  </si>
  <si>
    <t>B2-MCC-59601-P2009</t>
  </si>
  <si>
    <t>STG-B2-041</t>
  </si>
  <si>
    <t>B2-MCC-59602-P2009</t>
  </si>
  <si>
    <t>STG-B2-044</t>
  </si>
  <si>
    <t>B2-MCC-59601-P2010</t>
  </si>
  <si>
    <t>STG-B2-045</t>
  </si>
  <si>
    <t>B2-MCC-59602-P2010</t>
  </si>
  <si>
    <t>STG-B2-046</t>
  </si>
  <si>
    <t>B2-MCC-59601-P2011</t>
  </si>
  <si>
    <t>STG-B2-047</t>
  </si>
  <si>
    <t>B2-MCC-59602-P2011</t>
  </si>
  <si>
    <t>STG-B2-048</t>
  </si>
  <si>
    <t>B2-MCC-59602-P2012</t>
  </si>
  <si>
    <t>STG-B2-048-001</t>
  </si>
  <si>
    <t>B2-MCC-59602-P2013</t>
  </si>
  <si>
    <t>STG-B2-048-002</t>
  </si>
  <si>
    <t>B2-MCC-59601-P2012</t>
  </si>
  <si>
    <t>STG-B2-048-003</t>
  </si>
  <si>
    <t>B2-MCC-59601-P2013</t>
  </si>
  <si>
    <t>STG-B2-048-004</t>
  </si>
  <si>
    <t>B2-MCC-59601-P2014</t>
  </si>
  <si>
    <t>STG-B2-048-005</t>
  </si>
  <si>
    <t>B2-MCC-59602-P2014</t>
  </si>
  <si>
    <t>STG-B2-049</t>
  </si>
  <si>
    <t>B2-DCP-59702-P2003</t>
  </si>
  <si>
    <t>STG-B2-050</t>
  </si>
  <si>
    <t>B2-UPSP-59701-P2001</t>
  </si>
  <si>
    <t>STG-B2-051</t>
  </si>
  <si>
    <t>B2-DB-59601-P2006</t>
  </si>
  <si>
    <t>STG-B2-052</t>
  </si>
  <si>
    <t>B2-DCP-59701-P2003</t>
  </si>
  <si>
    <t>STG-B2-053</t>
  </si>
  <si>
    <t>B2-UPSP-59701-P2002</t>
  </si>
  <si>
    <t>STG-B2-054</t>
  </si>
  <si>
    <t>B2-DB-59602-P2003</t>
  </si>
  <si>
    <t>STG-B2-055</t>
  </si>
  <si>
    <t>B2-DCP-59701-P2004</t>
  </si>
  <si>
    <t>STG-B2-056</t>
  </si>
  <si>
    <t>B2-UPSP-59702-P2003</t>
  </si>
  <si>
    <t>STG-B2-057</t>
  </si>
  <si>
    <t>B2-DB-59601-P2007</t>
  </si>
  <si>
    <t>STG-B2-058</t>
  </si>
  <si>
    <t>B2-DCP-59701-P2005</t>
  </si>
  <si>
    <t>STG-B2-059</t>
  </si>
  <si>
    <t>B2-DCP-59702-P2004</t>
  </si>
  <si>
    <t>STG-B2-060</t>
  </si>
  <si>
    <t>B2-DB-59602-P2004</t>
  </si>
  <si>
    <t>STG-B2-061</t>
  </si>
  <si>
    <t>B2-DCP-59702-P2005</t>
  </si>
  <si>
    <t>STG-B2-062</t>
  </si>
  <si>
    <t>B2-DCP-59701-P2006</t>
  </si>
  <si>
    <t>STG-B2-063</t>
  </si>
  <si>
    <t>B2-DB-59601-P2008</t>
  </si>
  <si>
    <t>STG-B2-064</t>
  </si>
  <si>
    <t>B2-DCP-59702-P2006</t>
  </si>
  <si>
    <t>STG-B2-065</t>
  </si>
  <si>
    <t>B2-DCP-59701-P2007</t>
  </si>
  <si>
    <t>STG-B2-066</t>
  </si>
  <si>
    <t>B2-MCC-59602-P2015</t>
  </si>
  <si>
    <t>STG-B2-066-003</t>
  </si>
  <si>
    <t>B2-UPSP-59702-P2001</t>
  </si>
  <si>
    <t>STG-B2-067-001</t>
  </si>
  <si>
    <t>B2-UPSP-73701-P2004</t>
  </si>
  <si>
    <t>STG-B2-067-003</t>
  </si>
  <si>
    <t>B2-UPSP-73702-P2004</t>
  </si>
  <si>
    <t>STG-B2-070-001</t>
  </si>
  <si>
    <t>B2-UPSP-73701-P2001</t>
  </si>
  <si>
    <t>STG-B2-070-002</t>
  </si>
  <si>
    <t>B2-UPSP-73702-P2001</t>
  </si>
  <si>
    <t>STG-B2-071</t>
  </si>
  <si>
    <t>B2-DCP-59702-P2007</t>
  </si>
  <si>
    <t>STG-B2-072</t>
  </si>
  <si>
    <t>B2-DB-59602-P2005</t>
  </si>
  <si>
    <t>HRSG-U1-001</t>
  </si>
  <si>
    <t>B1-MCC-64602-P2001</t>
  </si>
  <si>
    <t>HRSG-U1-002</t>
  </si>
  <si>
    <t>B1-MCC-64601-P2001</t>
  </si>
  <si>
    <t>HRSG-U1-005</t>
  </si>
  <si>
    <t>B1-MCC-64601-P2002</t>
  </si>
  <si>
    <t>HRSG-U1-006</t>
  </si>
  <si>
    <t>B1-MCC-64602-P2002</t>
  </si>
  <si>
    <t>HRSG-U1-007</t>
  </si>
  <si>
    <t>B1-MCC-64602-P2003</t>
  </si>
  <si>
    <t>HRSG-U1-011</t>
  </si>
  <si>
    <t>B1-UPSP-64701-P2002</t>
  </si>
  <si>
    <t>2C x 150sqmm + 1C X 95sqmm</t>
  </si>
  <si>
    <t>HRSG-U1-011-001</t>
  </si>
  <si>
    <t>B1-MCC-64602-P2004</t>
  </si>
  <si>
    <t>HRSG-U1-016</t>
  </si>
  <si>
    <t>B1-MCC-64601-P2003</t>
  </si>
  <si>
    <t>HRSG-U1-017</t>
  </si>
  <si>
    <t>B1-MCC-64602-P2005</t>
  </si>
  <si>
    <t>HRSG-U1-018</t>
  </si>
  <si>
    <t>B1-MCC-64602-P2006</t>
  </si>
  <si>
    <t>B1-MCC-64604-P2001</t>
  </si>
  <si>
    <t>3C x 25sqmm + 1C X 16sqmm</t>
  </si>
  <si>
    <t>B1-MCC-64603-P2001</t>
  </si>
  <si>
    <t>HRSG-U2-005</t>
  </si>
  <si>
    <t>B1-MCC-64603-P2002</t>
  </si>
  <si>
    <t>HRSG-U2-006</t>
  </si>
  <si>
    <t>B1-MCC-64604-P2002</t>
  </si>
  <si>
    <t>HRSG-U2-007</t>
  </si>
  <si>
    <t>B1-MCC-64604-P2003</t>
  </si>
  <si>
    <t>HRSG-U2-011</t>
  </si>
  <si>
    <t>B1-UPSP-64702-P2003</t>
  </si>
  <si>
    <t>HRSG-U2-011-001</t>
  </si>
  <si>
    <t>B1-UPSP-64701-P2003</t>
  </si>
  <si>
    <t>HRSG-U2-013</t>
  </si>
  <si>
    <t>B1-MCC-64603-P2003</t>
  </si>
  <si>
    <t>HRSG-U2-016</t>
  </si>
  <si>
    <t>B1-MCC-64603-P2004</t>
  </si>
  <si>
    <t>HRSG-U2-017</t>
  </si>
  <si>
    <t>B1-MCC-64604-P2004</t>
  </si>
  <si>
    <t>HRSG-U2-018</t>
  </si>
  <si>
    <t>B1-MCC-64603-P2005</t>
  </si>
  <si>
    <t>HRSG-U3-001</t>
  </si>
  <si>
    <t>HRSG-U3-002</t>
  </si>
  <si>
    <t>B2-MCC-64601-P2001</t>
  </si>
  <si>
    <t>HRSG-U3-005</t>
  </si>
  <si>
    <t>B2-MCC-64601-P2002</t>
  </si>
  <si>
    <t>HRSG-U3-006</t>
  </si>
  <si>
    <t>B2-MCC-64602-P2002</t>
  </si>
  <si>
    <t>HRSG-U3-007</t>
  </si>
  <si>
    <t>B2-MCC-64602-P2003</t>
  </si>
  <si>
    <t>HRSG-U3-011</t>
  </si>
  <si>
    <t>B2-UPSP-64701-P2002</t>
  </si>
  <si>
    <t>HRSG-U3-011-001</t>
  </si>
  <si>
    <t>B2-UPSP-64702-P2002</t>
  </si>
  <si>
    <t>HRSG-U3-016</t>
  </si>
  <si>
    <t>B2-MCC-64601-P2004</t>
  </si>
  <si>
    <t>HRSG-U3-017</t>
  </si>
  <si>
    <t>B2-MCC-64602-P2004</t>
  </si>
  <si>
    <t>HRSG-U3-018</t>
  </si>
  <si>
    <t>B2-MCC-64602-P2005</t>
  </si>
  <si>
    <t>HRSG-U4-001</t>
  </si>
  <si>
    <t>B2-MCC-64603-P2001</t>
  </si>
  <si>
    <t>HRSG-U4-002</t>
  </si>
  <si>
    <t>B2-MCC-64604-P2001</t>
  </si>
  <si>
    <t>HRSG-U4-005</t>
  </si>
  <si>
    <t>B2-MCC-64603-P2002</t>
  </si>
  <si>
    <t>HRSG-U4-006</t>
  </si>
  <si>
    <t>B2-MCC-64604-P2002</t>
  </si>
  <si>
    <t>4C x 70sqmm + 1C X 35sqmm</t>
  </si>
  <si>
    <t>HRSG-U4-011</t>
  </si>
  <si>
    <t>B2-UPSP-64702-P2003</t>
  </si>
  <si>
    <t>2C x 120sqmm + 1C X 70sqmm</t>
  </si>
  <si>
    <t>HRSG-U4-011-001</t>
  </si>
  <si>
    <t>B2-UPSP-64701-P2003</t>
  </si>
  <si>
    <t>HRSG-U4-013</t>
  </si>
  <si>
    <t>B2-MCC-64603-P2003</t>
  </si>
  <si>
    <t>HRSG-U4-016</t>
  </si>
  <si>
    <t>B2-MCC-64603-P2004</t>
  </si>
  <si>
    <t>HRSG-U4-017</t>
  </si>
  <si>
    <t>B2-MCC-64604-P2004</t>
  </si>
  <si>
    <t>HRSG-U4-018</t>
  </si>
  <si>
    <t>B2-MCC-64603-P2005</t>
  </si>
  <si>
    <t>ACC-B1-001</t>
  </si>
  <si>
    <t>B1-SWG-69601-P2001</t>
  </si>
  <si>
    <t>3C x 95sqmm + 1C X 50sqmm</t>
  </si>
  <si>
    <t>B1-SWG-69601-P2002</t>
  </si>
  <si>
    <t>ACC-B1-002</t>
  </si>
  <si>
    <t>B1-SWG-69601-P2003</t>
  </si>
  <si>
    <t>B1-SWG-69601-P2004</t>
  </si>
  <si>
    <t>ACC-B1-003</t>
  </si>
  <si>
    <t>B1-SWG-69601-P2005</t>
  </si>
  <si>
    <t>B1-SWG-69601-P2006</t>
  </si>
  <si>
    <t>ACC-B1-004</t>
  </si>
  <si>
    <t>B1-SWG-69601-P2007</t>
  </si>
  <si>
    <t>B1-SWG-69601-P2008</t>
  </si>
  <si>
    <t>ACC-B1-005</t>
  </si>
  <si>
    <t>B1-SWG-69601-P2009</t>
  </si>
  <si>
    <t>B1-SWG-69601-P2010</t>
  </si>
  <si>
    <t>ACC-B1-006</t>
  </si>
  <si>
    <t>B1-SWG-69601-P2011</t>
  </si>
  <si>
    <t>B1-SWG-69601-P2012</t>
  </si>
  <si>
    <t>ACC-B1-007</t>
  </si>
  <si>
    <t>B1-SWG-69601-P2013</t>
  </si>
  <si>
    <t>B1-SWG-69601-P2014</t>
  </si>
  <si>
    <t>ACC-B1-008</t>
  </si>
  <si>
    <t>B1-SWG-69601-P2015</t>
  </si>
  <si>
    <t>B1-SWG-69601-P2016</t>
  </si>
  <si>
    <t>ACC-B1-009</t>
  </si>
  <si>
    <t>B1-SWG-69601-P2017</t>
  </si>
  <si>
    <t>B1-SWG-69601-P2018</t>
  </si>
  <si>
    <t>ACC-B1-010</t>
  </si>
  <si>
    <t>B1-SWG-69601-P2019</t>
  </si>
  <si>
    <t>B1-SWG-69601-P2020</t>
  </si>
  <si>
    <t>ACC-B1-011</t>
  </si>
  <si>
    <t>B1-SWG-69601-P2021</t>
  </si>
  <si>
    <t>B1-SWG-69601-P2022</t>
  </si>
  <si>
    <t>ACC-B1-012</t>
  </si>
  <si>
    <t>B1-SWG-69601-P2023</t>
  </si>
  <si>
    <t>B1-SWG-69601-P2024</t>
  </si>
  <si>
    <t>ACC-B1-013</t>
  </si>
  <si>
    <t>B1-SWG-69603-P2001</t>
  </si>
  <si>
    <t>B1-SWG-69603-P2002</t>
  </si>
  <si>
    <t>ACC-B1-014</t>
  </si>
  <si>
    <t>B1-SWG-69603-P2003</t>
  </si>
  <si>
    <t>B1-SWG-69603-P2004</t>
  </si>
  <si>
    <t>ACC-B1-015</t>
  </si>
  <si>
    <t>B1-SWG-69603-P2005</t>
  </si>
  <si>
    <t>B1-SWG-69603-P2006</t>
  </si>
  <si>
    <t>ACC-B1-016</t>
  </si>
  <si>
    <t>B1-SWG-69603-P2007</t>
  </si>
  <si>
    <t>B1-SWG-69603-P2008</t>
  </si>
  <si>
    <t>ACC-B1-017</t>
  </si>
  <si>
    <t>B1-SWG-69603-P2009</t>
  </si>
  <si>
    <t>B1-SWG-69603-P2010</t>
  </si>
  <si>
    <t>ACC-B1-018</t>
  </si>
  <si>
    <t>B1-SWG-69603-P2011</t>
  </si>
  <si>
    <t>B1-SWG-69603-P2012</t>
  </si>
  <si>
    <t>ACC-B1-019</t>
  </si>
  <si>
    <t>B1-SWG-69603-P2013</t>
  </si>
  <si>
    <t>B1-SWG-69603-P2014</t>
  </si>
  <si>
    <t>ACC-B1-020</t>
  </si>
  <si>
    <t>B1-SWG-69603-P2015</t>
  </si>
  <si>
    <t>B1-SWG-69603-P2016</t>
  </si>
  <si>
    <t>ACC-B1-021</t>
  </si>
  <si>
    <t>B1-SWG-69603-P2017</t>
  </si>
  <si>
    <t>B1-SWG-69603-P2018</t>
  </si>
  <si>
    <t>ACC-B1-022</t>
  </si>
  <si>
    <t>B1-SWG-69603-P2019</t>
  </si>
  <si>
    <t>B1-SWG-69603-P2020</t>
  </si>
  <si>
    <t>ACC-B1-023</t>
  </si>
  <si>
    <t>B1-SWG-69603-P2021</t>
  </si>
  <si>
    <t>B1-SWG-69603-P2022</t>
  </si>
  <si>
    <t>ACC-B1-024</t>
  </si>
  <si>
    <t>B1-SWG-69603-P2023</t>
  </si>
  <si>
    <t>B1-SWG-69603-P2024</t>
  </si>
  <si>
    <t>ACC-B1-025</t>
  </si>
  <si>
    <t>B1-SWG-69601-P2025</t>
  </si>
  <si>
    <t>ACC-B1-026</t>
  </si>
  <si>
    <t>B1-SWG-69601-P2026</t>
  </si>
  <si>
    <t>ACC-B1-027</t>
  </si>
  <si>
    <t>B1-SWG-69601-P2027</t>
  </si>
  <si>
    <t>ACC-B1-028</t>
  </si>
  <si>
    <t>B1-SWG-69601-P2028</t>
  </si>
  <si>
    <t>ACC-B1-029</t>
  </si>
  <si>
    <t>B1-SWG-69601-P2029</t>
  </si>
  <si>
    <t>ACC-B1-030</t>
  </si>
  <si>
    <t>B1-SWG-69601-P2030</t>
  </si>
  <si>
    <t>ACC-B1-031</t>
  </si>
  <si>
    <t>B1-SWG-69601-P2031</t>
  </si>
  <si>
    <t>ACC-B1-032</t>
  </si>
  <si>
    <t>B1-SWG-69601-P2032</t>
  </si>
  <si>
    <t>ACC-B1-033</t>
  </si>
  <si>
    <t>B1-SWG-69601-P2033</t>
  </si>
  <si>
    <t>ACC-B1-034</t>
  </si>
  <si>
    <t>B1-SWG-69601-P2034</t>
  </si>
  <si>
    <t>ACC-B1-035</t>
  </si>
  <si>
    <t>B1-SWG-69601-P2035</t>
  </si>
  <si>
    <t>ACC-B1-036</t>
  </si>
  <si>
    <t>B1-SWG-69601-P2036</t>
  </si>
  <si>
    <t>ACC-B1-037</t>
  </si>
  <si>
    <t>B1-SWG-69603-P2025</t>
  </si>
  <si>
    <t>ACC-B1-038</t>
  </si>
  <si>
    <t>B1-SWG-69603-P2026</t>
  </si>
  <si>
    <t>ACC-B1-039</t>
  </si>
  <si>
    <t>B1-SWG-69603-P2027</t>
  </si>
  <si>
    <t>ACC-B1-040</t>
  </si>
  <si>
    <t>B1-SWG-69603-P2028</t>
  </si>
  <si>
    <t>ACC-B1-041</t>
  </si>
  <si>
    <t>B1-SWG-69603-P2029</t>
  </si>
  <si>
    <t>ACC-B1-042</t>
  </si>
  <si>
    <t>B1-SWG-69603-P2030</t>
  </si>
  <si>
    <t>ACC-B1-043</t>
  </si>
  <si>
    <t>B1-SWG-69603-P2031</t>
  </si>
  <si>
    <t>ACC-B1-044</t>
  </si>
  <si>
    <t>B1-SWG-69603-P2032</t>
  </si>
  <si>
    <t>ACC-B1-045</t>
  </si>
  <si>
    <t>B1-SWG-69603-P2033</t>
  </si>
  <si>
    <t>ACC-B1-046</t>
  </si>
  <si>
    <t>B1-SWG-69603-P2034</t>
  </si>
  <si>
    <t>ACC-B1-047</t>
  </si>
  <si>
    <t>B1-SWG-69603-P2035</t>
  </si>
  <si>
    <t>ACC-B1-048</t>
  </si>
  <si>
    <t>B1-SWG-69603-P2036</t>
  </si>
  <si>
    <t>ACC-B1-048-003</t>
  </si>
  <si>
    <t>B1-DB-69601-P2001</t>
  </si>
  <si>
    <t>ACC-B1-048-004</t>
  </si>
  <si>
    <t>B1-DB-69601-P2002</t>
  </si>
  <si>
    <t>ACC-B1-048-005</t>
  </si>
  <si>
    <t>B1-DB-69601-P2003</t>
  </si>
  <si>
    <t>ACC-B1-048-006</t>
  </si>
  <si>
    <t>B1-DB-69601-P2004</t>
  </si>
  <si>
    <t>ACC-B1-048-007</t>
  </si>
  <si>
    <t>B1-DB-69601-P2005</t>
  </si>
  <si>
    <t>ACC-B1-048-008</t>
  </si>
  <si>
    <t>B1-DB-69601-P2006</t>
  </si>
  <si>
    <t>ACC-B1-048-009</t>
  </si>
  <si>
    <t>B1-DB-69601-P2007</t>
  </si>
  <si>
    <t>ACC-B1-048-010</t>
  </si>
  <si>
    <t>B1-DB-69601-P2008</t>
  </si>
  <si>
    <t>ACC-B1-048-011</t>
  </si>
  <si>
    <t>B1-DB-69601-P2009</t>
  </si>
  <si>
    <t>ACC-B1-048-012</t>
  </si>
  <si>
    <t>B1-DB-69601-P2010</t>
  </si>
  <si>
    <t>ACC-B1-048-013</t>
  </si>
  <si>
    <t>B1-DB-69601-P2011</t>
  </si>
  <si>
    <t>ACC-B1-048-014</t>
  </si>
  <si>
    <t>B1-DB-69601-P2012</t>
  </si>
  <si>
    <t>ACC-B1-048-015</t>
  </si>
  <si>
    <t>B1-DB-69603-P2001</t>
  </si>
  <si>
    <t>ACC-B1-048-016</t>
  </si>
  <si>
    <t>B1-DB-69603-P2002</t>
  </si>
  <si>
    <t>ACC-B1-048-017</t>
  </si>
  <si>
    <t>B1-DB-69603-P2003</t>
  </si>
  <si>
    <t>ACC-B1-048-018</t>
  </si>
  <si>
    <t>B1-DB-69603-P2004</t>
  </si>
  <si>
    <t>ACC-B1-048-019</t>
  </si>
  <si>
    <t>B1-DB-69603-P2005</t>
  </si>
  <si>
    <t>ACC-B1-048-020</t>
  </si>
  <si>
    <t>B1-DB-69603-P2006</t>
  </si>
  <si>
    <t>ACC-B1-048-021</t>
  </si>
  <si>
    <t>B1-DB-69603-P2007</t>
  </si>
  <si>
    <t>ACC-B1-048-022</t>
  </si>
  <si>
    <t>B1-DB-69603-P2008</t>
  </si>
  <si>
    <t>ACC-B1-048-023</t>
  </si>
  <si>
    <t>B1-DB-69603-P2009</t>
  </si>
  <si>
    <t>ACC-B1-048-024</t>
  </si>
  <si>
    <t>B1-DB-69603-P2010</t>
  </si>
  <si>
    <t>ACC-B1-048-025</t>
  </si>
  <si>
    <t>B1-DB-69603-P2011</t>
  </si>
  <si>
    <t>ACC-B1-048-026</t>
  </si>
  <si>
    <t>B1-DB-69603-P2012</t>
  </si>
  <si>
    <t>ACC-B1-048-001</t>
  </si>
  <si>
    <t>B1-SWG-69603-P2037</t>
  </si>
  <si>
    <t>B1-SWG-69603-P2038</t>
  </si>
  <si>
    <t>ACC-B1-048-002</t>
  </si>
  <si>
    <t>B1-SWG-69603-P2039</t>
  </si>
  <si>
    <t>ACC-B1-049</t>
  </si>
  <si>
    <t>B1-SWG-69603-P2040</t>
  </si>
  <si>
    <t>B1-SWG-69603-P2041</t>
  </si>
  <si>
    <t>ACC-B1-050</t>
  </si>
  <si>
    <t>B1-SWG-69603-P2042</t>
  </si>
  <si>
    <t>ACC-B1-051</t>
  </si>
  <si>
    <t>B1-SWG-69601-P2037</t>
  </si>
  <si>
    <t>B1-SWG-69601-P2038</t>
  </si>
  <si>
    <t>ACC-B1-052</t>
  </si>
  <si>
    <t>B1-SWG-69601-P2039</t>
  </si>
  <si>
    <t>ACC-B1-052-001</t>
  </si>
  <si>
    <t>B1-MCC-69603-P2001</t>
  </si>
  <si>
    <t>ACC-B1-052-002</t>
  </si>
  <si>
    <t>B1-MCC-69603-P2002</t>
  </si>
  <si>
    <t>ACC-B1-052-003</t>
  </si>
  <si>
    <t>B1-MCC-69601-P2001</t>
  </si>
  <si>
    <t>ACC-B1-052-004</t>
  </si>
  <si>
    <t>B1-MCC-69603-P2003</t>
  </si>
  <si>
    <t>ACC-B1-052-005</t>
  </si>
  <si>
    <t>B1-MCC-69603-P2004</t>
  </si>
  <si>
    <t>ACC-B1-052-006</t>
  </si>
  <si>
    <t>B1-MCC-69601-P2002</t>
  </si>
  <si>
    <t>ACC-B1-053</t>
  </si>
  <si>
    <t>B1-MCC-64602-P2007</t>
  </si>
  <si>
    <t>3C x 35sqmm + 1C X 25sqmm</t>
  </si>
  <si>
    <t>ACC-B1-054</t>
  </si>
  <si>
    <t>B1-MCC-64601-P2004</t>
  </si>
  <si>
    <t>ACC-B1-058</t>
  </si>
  <si>
    <t>B1-MCC-69603-P2005</t>
  </si>
  <si>
    <t>ACC-B1-059</t>
  </si>
  <si>
    <t>B1-MCC-69601-P2003</t>
  </si>
  <si>
    <t>4C x 25sqmm + 1C X 16sqmm</t>
  </si>
  <si>
    <t>ACC-B1-059-001</t>
  </si>
  <si>
    <t>B1-MCC-69603-P2006</t>
  </si>
  <si>
    <t>4C x 50sqmm + 1C X 25sqmm</t>
  </si>
  <si>
    <t>ACC-B1-059-002</t>
  </si>
  <si>
    <t>B1-MCC-69603-P2007</t>
  </si>
  <si>
    <t>ACC-B1-061</t>
  </si>
  <si>
    <t>B1-MCC-69603-P2008</t>
  </si>
  <si>
    <t>ACC-B1-061-001</t>
  </si>
  <si>
    <t>B1-MCC-69603-P2009</t>
  </si>
  <si>
    <t>ACC-B1-064</t>
  </si>
  <si>
    <t>B1-MCC-69601-P2004</t>
  </si>
  <si>
    <t>ACC-B1-065</t>
  </si>
  <si>
    <t>B1-MCC-69601-P2005</t>
  </si>
  <si>
    <t>ACC-B1-066</t>
  </si>
  <si>
    <t>B1-MCC-69601-P2006</t>
  </si>
  <si>
    <t>ACC-B1-067</t>
  </si>
  <si>
    <t>B1-MCC-69601-P2007</t>
  </si>
  <si>
    <t>ACC-B2-001</t>
  </si>
  <si>
    <t>B2-SWG-69601-P2001</t>
  </si>
  <si>
    <t>B2-SWG-69601-P2002</t>
  </si>
  <si>
    <t>ACC-B2-002</t>
  </si>
  <si>
    <t>B2-SWG-69601-P2003</t>
  </si>
  <si>
    <t>B2-SWG-69601-P2004</t>
  </si>
  <si>
    <t>ACC-B2-003</t>
  </si>
  <si>
    <t>B2-SWG-69601-P2005</t>
  </si>
  <si>
    <t>B2-SWG-69601-P2006</t>
  </si>
  <si>
    <t>ACC-B2-004</t>
  </si>
  <si>
    <t>B2-SWG-69601-P2007</t>
  </si>
  <si>
    <t>B2-SWG-69601-P2008</t>
  </si>
  <si>
    <t>ACC-B2-005</t>
  </si>
  <si>
    <t>B2-SWG-69601-P2009</t>
  </si>
  <si>
    <t>B2-SWG-69601-P2010</t>
  </si>
  <si>
    <t>ACC-B2-006</t>
  </si>
  <si>
    <t>B2-SWG-69601-P2011</t>
  </si>
  <si>
    <t>B2-SWG-69601-P2012</t>
  </si>
  <si>
    <t>ACC-B2-007</t>
  </si>
  <si>
    <t>B2-SWG-69601-P2014</t>
  </si>
  <si>
    <t>ACC-B2-008</t>
  </si>
  <si>
    <t>B2-SWG-69601-P2015</t>
  </si>
  <si>
    <t>B2-SWG-69601-P2016</t>
  </si>
  <si>
    <t>ACC-B2-009</t>
  </si>
  <si>
    <t>B2-SWG-69601-P2017</t>
  </si>
  <si>
    <t>B2-SWG-69601-P2018</t>
  </si>
  <si>
    <t>ACC-B2-010</t>
  </si>
  <si>
    <t>B2-SWG-69601-P2019</t>
  </si>
  <si>
    <t>B2-SWG-69601-P2020</t>
  </si>
  <si>
    <t>ACC-B2-011</t>
  </si>
  <si>
    <t>B2-SWG-69601-P2021</t>
  </si>
  <si>
    <t>B2-SWG-69601-P2022</t>
  </si>
  <si>
    <t>ACC-B2-012</t>
  </si>
  <si>
    <t>B2-SWG-69601-P2023</t>
  </si>
  <si>
    <t>B2-SWG-69601-P2024</t>
  </si>
  <si>
    <t>ACC-B2-013</t>
  </si>
  <si>
    <t>B2-SWG-69603-P2001</t>
  </si>
  <si>
    <t>B2-SWG-69603-P2002</t>
  </si>
  <si>
    <t>ACC-B2-014</t>
  </si>
  <si>
    <t>B2-SWG-69603-P2003</t>
  </si>
  <si>
    <t>B2-SWG-69603-P2004</t>
  </si>
  <si>
    <t>ACC-B2-015</t>
  </si>
  <si>
    <t>B2-SWG-69603-P2005</t>
  </si>
  <si>
    <t>B2-SWG-69603-P2006</t>
  </si>
  <si>
    <t>ACC-B2-016</t>
  </si>
  <si>
    <t>B2-SWG-69603-P2007</t>
  </si>
  <si>
    <t>B2-SWG-69603-P2008</t>
  </si>
  <si>
    <t>ACC-B2-017</t>
  </si>
  <si>
    <t>B2-SWG-69603-P2009</t>
  </si>
  <si>
    <t>B2-SWG-69603-P2010</t>
  </si>
  <si>
    <t>ACC-B2-018</t>
  </si>
  <si>
    <t>B2-SWG-69603-P2011</t>
  </si>
  <si>
    <t>B2-SWG-69603-P2012</t>
  </si>
  <si>
    <t>ACC-B2-019</t>
  </si>
  <si>
    <t>B2-SWG-69603-P2013</t>
  </si>
  <si>
    <t>B2-SWG-69603-P2014</t>
  </si>
  <si>
    <t>ACC-B2-020</t>
  </si>
  <si>
    <t>B2-SWG-69603-P2015</t>
  </si>
  <si>
    <t>B2-SWG-69603-P2016</t>
  </si>
  <si>
    <t>ACC-B2-021</t>
  </si>
  <si>
    <t>B2-SWG-69603-P2017</t>
  </si>
  <si>
    <t>B2-SWG-69603-P2018</t>
  </si>
  <si>
    <t>ACC-B2-022</t>
  </si>
  <si>
    <t>B2-SWG-69603-P2019</t>
  </si>
  <si>
    <t>B2-SWG-69603-P2020</t>
  </si>
  <si>
    <t>ACC-B2-023</t>
  </si>
  <si>
    <t>B2-SWG-69603-P2021</t>
  </si>
  <si>
    <t>B2-SWG-69603-P2022</t>
  </si>
  <si>
    <t>ACC-B2-024</t>
  </si>
  <si>
    <t>B2-SWG-69603-P2023</t>
  </si>
  <si>
    <t>B2-SWG-69603-P2024</t>
  </si>
  <si>
    <t>ACC-B2-025</t>
  </si>
  <si>
    <t>B2-SWG-69601-P2025</t>
  </si>
  <si>
    <t>ACC-B2-026</t>
  </si>
  <si>
    <t>B2-SWG-69601-P2026</t>
  </si>
  <si>
    <t>ACC-B2-027</t>
  </si>
  <si>
    <t>B2-SWG-69601-P2027</t>
  </si>
  <si>
    <t>ACC-B2-028</t>
  </si>
  <si>
    <t>B2-SWG-69601-P2028</t>
  </si>
  <si>
    <t>ACC-B2-029</t>
  </si>
  <si>
    <t>B2-SWG-69601-P2029</t>
  </si>
  <si>
    <t>ACC-B2-030</t>
  </si>
  <si>
    <t>B2-SWG-69601-P2030</t>
  </si>
  <si>
    <t>ACC-B2-031</t>
  </si>
  <si>
    <t>B2-SWG-69601-P2031</t>
  </si>
  <si>
    <t>ACC-B2-032</t>
  </si>
  <si>
    <t>B2-SWG-69601-P2032</t>
  </si>
  <si>
    <t>ACC-B2-033</t>
  </si>
  <si>
    <t>B2-SWG-69601-P2033</t>
  </si>
  <si>
    <t>ACC-B2-034</t>
  </si>
  <si>
    <t>B2-SWG-69601-P2034</t>
  </si>
  <si>
    <t>ACC-B2-035</t>
  </si>
  <si>
    <t>B2-SWG-69601-P2035</t>
  </si>
  <si>
    <t>ACC-B2-036</t>
  </si>
  <si>
    <t>B2-SWG-69601-P2036</t>
  </si>
  <si>
    <t>ACC-B2-037</t>
  </si>
  <si>
    <t>B2-SWG-69603-P2025</t>
  </si>
  <si>
    <t>ACC-B2-038</t>
  </si>
  <si>
    <t>B2-SWG-69603-P2026</t>
  </si>
  <si>
    <t>ACC-B2-039</t>
  </si>
  <si>
    <t>B2-SWG-69603-P2027</t>
  </si>
  <si>
    <t>ACC-B2-040</t>
  </si>
  <si>
    <t>B2-SWG-69603-P2028</t>
  </si>
  <si>
    <t>ACC-B2-041</t>
  </si>
  <si>
    <t>B2-SWG-69603-P2029</t>
  </si>
  <si>
    <t>ACC-B2-042</t>
  </si>
  <si>
    <t>B2-SWG-69603-P2030</t>
  </si>
  <si>
    <t>ACC-B2-043</t>
  </si>
  <si>
    <t>B2-SWG-69603-P2031</t>
  </si>
  <si>
    <t>ACC-B2-044</t>
  </si>
  <si>
    <t>B2-SWG-69603-P2032</t>
  </si>
  <si>
    <t>ACC-B2-045</t>
  </si>
  <si>
    <t>B2-SWG-69603-P2033</t>
  </si>
  <si>
    <t>ACC-B2-046</t>
  </si>
  <si>
    <t>B2-SWG-69603-P2034</t>
  </si>
  <si>
    <t>ACC-B2-047</t>
  </si>
  <si>
    <t>B2-SWG-69603-P2035</t>
  </si>
  <si>
    <t>ACC-B2-048</t>
  </si>
  <si>
    <t>B2-SWG-69603-P2036</t>
  </si>
  <si>
    <t>ACC-B2-052-019</t>
  </si>
  <si>
    <t>B2-DB-69601-P2001</t>
  </si>
  <si>
    <t>ACC-B2-052-020</t>
  </si>
  <si>
    <t>B2-DB-69601-P2002</t>
  </si>
  <si>
    <t>ACC-B2-052-021</t>
  </si>
  <si>
    <t>B2-DB-69601-P2003</t>
  </si>
  <si>
    <t>ACC-B2-052-022</t>
  </si>
  <si>
    <t>B2-DB-69601-P2004</t>
  </si>
  <si>
    <t>ACC-B2-052-023</t>
  </si>
  <si>
    <t>B2-DB-69601-P2005</t>
  </si>
  <si>
    <t>ACC-B2-052-024</t>
  </si>
  <si>
    <t>B2-DB-69601-P2006</t>
  </si>
  <si>
    <t>ACC-B2-052-001</t>
  </si>
  <si>
    <t>B2-DB-69601-P2007</t>
  </si>
  <si>
    <t>ACC-B2-052-002</t>
  </si>
  <si>
    <t>B2-DB-69601-P2008</t>
  </si>
  <si>
    <t>ACC-B2-052-003</t>
  </si>
  <si>
    <t>B2-DB-69601-P2009</t>
  </si>
  <si>
    <t>ACC-B2-052-004</t>
  </si>
  <si>
    <t>B2-DB-69601-P2010</t>
  </si>
  <si>
    <t>ACC-B2-052-005</t>
  </si>
  <si>
    <t>B2-DB-69601-P2011</t>
  </si>
  <si>
    <t>ACC-B2-052-006</t>
  </si>
  <si>
    <t>B2-DB-69601-P2012</t>
  </si>
  <si>
    <t>ACC-B2-052-007</t>
  </si>
  <si>
    <t>B2-DB-69603-P2001</t>
  </si>
  <si>
    <t>ACC-B2-052-008</t>
  </si>
  <si>
    <t>B2-DB-69603-P2002</t>
  </si>
  <si>
    <t>ACC-B2-052-009</t>
  </si>
  <si>
    <t>B2-DB-69603-P2003</t>
  </si>
  <si>
    <t>ACC-B2-052-010</t>
  </si>
  <si>
    <t>B2-DB-69603-P2004</t>
  </si>
  <si>
    <t>ACC-B2-052-011</t>
  </si>
  <si>
    <t>B2-DB-69603-P2005</t>
  </si>
  <si>
    <t>ACC-B2-052-012</t>
  </si>
  <si>
    <t>B2-DB-69603-P2006</t>
  </si>
  <si>
    <t>ACC-B2-052-013</t>
  </si>
  <si>
    <t>B2-DB-69603-P2007</t>
  </si>
  <si>
    <t>ACC-B2-052-014</t>
  </si>
  <si>
    <t>B2-DB-69603-P2008</t>
  </si>
  <si>
    <t>ACC-B2-052-015</t>
  </si>
  <si>
    <t>B2-DB-69603-P2009</t>
  </si>
  <si>
    <t>ACC-B2-052-016</t>
  </si>
  <si>
    <t>B2-DB-69603-P2010</t>
  </si>
  <si>
    <t>ACC-B2-052-017</t>
  </si>
  <si>
    <t>B2-DB-69603-P2011</t>
  </si>
  <si>
    <t>ACC-B2-052-018</t>
  </si>
  <si>
    <t>B2-DB-69603-P2012</t>
  </si>
  <si>
    <t>ACC-B2-048-001</t>
  </si>
  <si>
    <t>B2-SWG-69603-P2037</t>
  </si>
  <si>
    <t>B2-SWG-69603-P2038</t>
  </si>
  <si>
    <t>ACC-B2-048-002</t>
  </si>
  <si>
    <t>B2-SWG-69603-P2039</t>
  </si>
  <si>
    <t>ACC-B2-049</t>
  </si>
  <si>
    <t>B2-SWG-69603-P2040</t>
  </si>
  <si>
    <t>B2-SWG-69603-P2041</t>
  </si>
  <si>
    <t>ACC-B2-050</t>
  </si>
  <si>
    <t>B2-SWG-69603-P2042</t>
  </si>
  <si>
    <t>ACC-B2-051</t>
  </si>
  <si>
    <t>B2-SWG-69601-P2037</t>
  </si>
  <si>
    <t>B2-SWG-69601-P2038</t>
  </si>
  <si>
    <t>ACC-B2-052</t>
  </si>
  <si>
    <t>B2-SWG-69601-P2039</t>
  </si>
  <si>
    <t>ACC-B2-053</t>
  </si>
  <si>
    <t>B2-MCC-64602-P2006</t>
  </si>
  <si>
    <t>ACC-B2-054</t>
  </si>
  <si>
    <t>B2-MCC-64601-P2005</t>
  </si>
  <si>
    <t>ACC-B2-058</t>
  </si>
  <si>
    <t>B2-MCC-69603-P2001</t>
  </si>
  <si>
    <t>ACC-B2-059</t>
  </si>
  <si>
    <t>B2-MCC-69601-P2001</t>
  </si>
  <si>
    <t>ACC-B2-059-001</t>
  </si>
  <si>
    <t>B2-MCC-69601-P2002</t>
  </si>
  <si>
    <t>ACC-B2-059-002</t>
  </si>
  <si>
    <t>B2-MCC-69601-P2003</t>
  </si>
  <si>
    <t>ACC-B2-061</t>
  </si>
  <si>
    <t>B2-MCC-69603-P2002</t>
  </si>
  <si>
    <t>ACC-B2-061-001</t>
  </si>
  <si>
    <t>B2-MCC-69603-P2003</t>
  </si>
  <si>
    <t>ACC-B2-064</t>
  </si>
  <si>
    <t>B2-MCC-69601-P2004</t>
  </si>
  <si>
    <t>ACC-B2-065</t>
  </si>
  <si>
    <t>B2-MCC-69601-P2005</t>
  </si>
  <si>
    <t>ACC-B2-066</t>
  </si>
  <si>
    <t>B2-MCC-69601-P2006</t>
  </si>
  <si>
    <t>ACC-B2-066-001</t>
  </si>
  <si>
    <t>B2-MCC-69603-P2004</t>
  </si>
  <si>
    <t>ACC-B2-066-002</t>
  </si>
  <si>
    <t>B2-MCC-69603-P2005</t>
  </si>
  <si>
    <t>ACC-B2-066-003</t>
  </si>
  <si>
    <t>B2-MCC-69601-P2007</t>
  </si>
  <si>
    <t>ACC-B2-066-004</t>
  </si>
  <si>
    <t>B2-MCC-69603-P2006</t>
  </si>
  <si>
    <t>ACC-B2-066-005</t>
  </si>
  <si>
    <t>B2-MCC-69603-P2007</t>
  </si>
  <si>
    <t>ACC-B2-066-006</t>
  </si>
  <si>
    <t>B2-MCC-69601-P2008</t>
  </si>
  <si>
    <t>ACC-B2-067</t>
  </si>
  <si>
    <t>B2-MCC-69601-P2009</t>
  </si>
  <si>
    <t>FIN-B1-001</t>
  </si>
  <si>
    <t>B1-MCC-64601-P2005</t>
  </si>
  <si>
    <t>FIN-B1-002</t>
  </si>
  <si>
    <t>B1-MCC-64602-P2008</t>
  </si>
  <si>
    <t>FIN-B1-003</t>
  </si>
  <si>
    <t>B1-MCC-64601-P2006</t>
  </si>
  <si>
    <t>FIN-B1-004</t>
  </si>
  <si>
    <t>B1-MCC-64602-P2009</t>
  </si>
  <si>
    <t>FIN-B1-005</t>
  </si>
  <si>
    <t>B1-MCC-64601-P2007</t>
  </si>
  <si>
    <t>FIN-B1-006</t>
  </si>
  <si>
    <t>B1-MCC-64602-P2010</t>
  </si>
  <si>
    <t>FIN-B1-007</t>
  </si>
  <si>
    <t>B1-MCC-64601-P2008</t>
  </si>
  <si>
    <t>FIN-B1-008</t>
  </si>
  <si>
    <t>B1-MCC-64602-P2011</t>
  </si>
  <si>
    <t>FIN-B1-009</t>
  </si>
  <si>
    <t>B1-MCC-64601-P2009</t>
  </si>
  <si>
    <t>FIN-B1-010</t>
  </si>
  <si>
    <t>B1-MCC-64602-P2012</t>
  </si>
  <si>
    <t>FIN-B1-011</t>
  </si>
  <si>
    <t>B1-MCC-64601-P2010</t>
  </si>
  <si>
    <t>FIN-B1-012</t>
  </si>
  <si>
    <t>B1-MCC-64602-P2013</t>
  </si>
  <si>
    <t>FIN-B1-019</t>
  </si>
  <si>
    <t>B1-MCC-64601-P2011</t>
  </si>
  <si>
    <t>FIN-B1-020</t>
  </si>
  <si>
    <t>B1-MCC-64602-P2014</t>
  </si>
  <si>
    <t>FIN-B1-021</t>
  </si>
  <si>
    <t>B1-MCC-64601-P2012</t>
  </si>
  <si>
    <t>FIN-B1-022</t>
  </si>
  <si>
    <t>B1-MCC-64602-P2015</t>
  </si>
  <si>
    <t>FIN-B1-023</t>
  </si>
  <si>
    <t>B1-MCC-64601-P2013</t>
  </si>
  <si>
    <t>FIN-B1-024</t>
  </si>
  <si>
    <t>B1-MCC-64602-P2016</t>
  </si>
  <si>
    <t>FIN-B1-025</t>
  </si>
  <si>
    <t>B1-MCC-64601-P2014</t>
  </si>
  <si>
    <t>FIN-B1-026</t>
  </si>
  <si>
    <t>B1-MCC-64602-P2017</t>
  </si>
  <si>
    <t>FIN-B1-027</t>
  </si>
  <si>
    <t>B1-MCC-64601-P2015</t>
  </si>
  <si>
    <t>FIN-B1-028</t>
  </si>
  <si>
    <t>B1-MCC-64602-P2018</t>
  </si>
  <si>
    <t>FIN-B1-029</t>
  </si>
  <si>
    <t>B1-MCC-64601-P2016</t>
  </si>
  <si>
    <t>FIN-B1-030</t>
  </si>
  <si>
    <t>B1-MCC-64602-P2019</t>
  </si>
  <si>
    <t>FIN-B1-037</t>
  </si>
  <si>
    <t>B1-MCC-64601-P2017</t>
  </si>
  <si>
    <t>FIN-B1-038</t>
  </si>
  <si>
    <t>B1-MCC-64602-P2020</t>
  </si>
  <si>
    <t>FIN-B1-038-004</t>
  </si>
  <si>
    <t>B1-MCC-64602-P2021</t>
  </si>
  <si>
    <t>FIN-B1-039</t>
  </si>
  <si>
    <t>B1-MCC-64602-P2022</t>
  </si>
  <si>
    <t>FIN-B1-040</t>
  </si>
  <si>
    <t>B1-DB-64602-P2017</t>
  </si>
  <si>
    <t>FIN-B2-001</t>
  </si>
  <si>
    <t>B2-MCC-64601-P2006</t>
  </si>
  <si>
    <t>FIN-B2-002</t>
  </si>
  <si>
    <t>B2-MCC-64602-P2007</t>
  </si>
  <si>
    <t>FIN-B2-003</t>
  </si>
  <si>
    <t>B2-MCC-64601-P2007</t>
  </si>
  <si>
    <t>FIN-B2-004</t>
  </si>
  <si>
    <t>B2-MCC-64602-P2008</t>
  </si>
  <si>
    <t>FIN-B2-005</t>
  </si>
  <si>
    <t>B2-MCC-64601-P2008</t>
  </si>
  <si>
    <t>FIN-B2-006</t>
  </si>
  <si>
    <t>B2-MCC-64602-P2009</t>
  </si>
  <si>
    <t>FIN-B2-007</t>
  </si>
  <si>
    <t>B2-MCC-64601-P2009</t>
  </si>
  <si>
    <t>FIN-B2-008</t>
  </si>
  <si>
    <t>B2-MCC-64602-P2010</t>
  </si>
  <si>
    <t>FIN-B2-009</t>
  </si>
  <si>
    <t>B2-MCC-64601-P2010</t>
  </si>
  <si>
    <t>FIN-B2-010</t>
  </si>
  <si>
    <t>B2-MCC-64602-P2011</t>
  </si>
  <si>
    <t>FIN-B2-011</t>
  </si>
  <si>
    <t>B2-MCC-64601-P2011</t>
  </si>
  <si>
    <t>FIN-B2-012</t>
  </si>
  <si>
    <t>B2-MCC-64602-P2012</t>
  </si>
  <si>
    <t>FIN-B2-019</t>
  </si>
  <si>
    <t>B2-MCC-64601-P2012</t>
  </si>
  <si>
    <t>FIN-B2-020</t>
  </si>
  <si>
    <t>B2-MCC-64602-P2013</t>
  </si>
  <si>
    <t>FIN-B2-021</t>
  </si>
  <si>
    <t>B2-MCC-64601-P2013</t>
  </si>
  <si>
    <t>FIN-B2-022</t>
  </si>
  <si>
    <t>B2-MCC-64602-P2014</t>
  </si>
  <si>
    <t>FIN-B2-023</t>
  </si>
  <si>
    <t>B2-MCC-64601-P2014</t>
  </si>
  <si>
    <t>FIN-B2-024</t>
  </si>
  <si>
    <t>B2-MCC-64602-P2015</t>
  </si>
  <si>
    <t>FIN-B2-025</t>
  </si>
  <si>
    <t>B2-MCC-64601-P2015</t>
  </si>
  <si>
    <t>FIN-B2-026</t>
  </si>
  <si>
    <t>B2-MCC-64602-P2016</t>
  </si>
  <si>
    <t>FIN-B2-027</t>
  </si>
  <si>
    <t>B2-MCC-64601-P2016</t>
  </si>
  <si>
    <t>FIN-B2-028</t>
  </si>
  <si>
    <t>B2-MCC-64602-P2017</t>
  </si>
  <si>
    <t>FIN-B2-029</t>
  </si>
  <si>
    <t>B2-MCC-64601-P2017</t>
  </si>
  <si>
    <t>FIN-B2-030</t>
  </si>
  <si>
    <t>B2-MCC-64602-P2018</t>
  </si>
  <si>
    <t>FIN-B2-037</t>
  </si>
  <si>
    <t>B2-MCC-64602-P2019</t>
  </si>
  <si>
    <t>FIN-B2-038</t>
  </si>
  <si>
    <t>B2-MCC-64601-P2018</t>
  </si>
  <si>
    <t>FIN-B2-038-004</t>
  </si>
  <si>
    <t>B2-MCC-64602-P2020</t>
  </si>
  <si>
    <t>FIN-B2-039</t>
  </si>
  <si>
    <t>B2-MCC-64602-P2021</t>
  </si>
  <si>
    <t>FIN-B2-040</t>
  </si>
  <si>
    <t>B2-DB-64602-P2008</t>
  </si>
  <si>
    <t>RWP-C-001</t>
  </si>
  <si>
    <t>B0-MCC-49601-P2001</t>
  </si>
  <si>
    <t>RWP-C-002</t>
  </si>
  <si>
    <t>B0-MCC-49602-P2001</t>
  </si>
  <si>
    <t>RWP-C-002-001</t>
  </si>
  <si>
    <t>B0-MCC-49601-P2002</t>
  </si>
  <si>
    <t>RWP-C-002-002</t>
  </si>
  <si>
    <t>B0-MCC-49602-P2002</t>
  </si>
  <si>
    <t>RWP-C-005</t>
  </si>
  <si>
    <t>B0-MCC-49601-P2003</t>
  </si>
  <si>
    <t>RWP-C-006</t>
  </si>
  <si>
    <t>B0-MCC-49602-P2003</t>
  </si>
  <si>
    <t>RWP-C-006-001</t>
  </si>
  <si>
    <t>B0-MCC-49601-P2004</t>
  </si>
  <si>
    <t>RWP-C-006-002</t>
  </si>
  <si>
    <t>B0-MCC-49602-P2004</t>
  </si>
  <si>
    <t>RWP-C-007</t>
  </si>
  <si>
    <t>B0-MCC-49602-P2005</t>
  </si>
  <si>
    <t>RWP-C-008</t>
  </si>
  <si>
    <t>B0-MCC-49601-P2005</t>
  </si>
  <si>
    <t>RWP-C-008-001</t>
  </si>
  <si>
    <t>B0-MCC-49602-P2006</t>
  </si>
  <si>
    <t>RWP-C-008-002</t>
  </si>
  <si>
    <t>B0-MCC-49601-P2006</t>
  </si>
  <si>
    <t>RWP-C-009</t>
  </si>
  <si>
    <t>B0-MCC-49602-P2007</t>
  </si>
  <si>
    <t>RWP-C-010</t>
  </si>
  <si>
    <t>B0-MCC-49601-P2007</t>
  </si>
  <si>
    <t>RWP-C-011</t>
  </si>
  <si>
    <t>B0-MCC-49602-P2008</t>
  </si>
  <si>
    <t>RWP-C-012</t>
  </si>
  <si>
    <t>B0-MCC-49601-P2008</t>
  </si>
  <si>
    <t>RWP-C-013</t>
  </si>
  <si>
    <t>B0-MCC-49601-P2009</t>
  </si>
  <si>
    <t>RWP-C-014</t>
  </si>
  <si>
    <t>B0-MCC-49602-P2009</t>
  </si>
  <si>
    <t>RWP-C-015</t>
  </si>
  <si>
    <t>B0-MCC-49601-P2010</t>
  </si>
  <si>
    <t>RWP-C-016</t>
  </si>
  <si>
    <t>B0-MCC-49602-P2010</t>
  </si>
  <si>
    <t>RWP-C-017</t>
  </si>
  <si>
    <t>B0-MCC-49601-P2011</t>
  </si>
  <si>
    <t>RWP-C-018</t>
  </si>
  <si>
    <t>B0-MCC-49602-P2011</t>
  </si>
  <si>
    <t>RWP-C-019</t>
  </si>
  <si>
    <t>B0-MCC-49601-P2012</t>
  </si>
  <si>
    <t>RWP-C-020</t>
  </si>
  <si>
    <t>B0-MCC-49602-P2012</t>
  </si>
  <si>
    <t>RWP-C-021</t>
  </si>
  <si>
    <t>B0-MCC-49601-P2013</t>
  </si>
  <si>
    <t>RWP-C-022</t>
  </si>
  <si>
    <t>B0-MCC-49602-P2013</t>
  </si>
  <si>
    <t>RWP-C-023</t>
  </si>
  <si>
    <t>B0-MCC-49601-P2014</t>
  </si>
  <si>
    <t>RWP-C-024</t>
  </si>
  <si>
    <t>B0-MCC-49602-P2014</t>
  </si>
  <si>
    <t>RWP-C-025</t>
  </si>
  <si>
    <t>B0-MCC-49601-P2015</t>
  </si>
  <si>
    <t>RWP-C-026</t>
  </si>
  <si>
    <t>B0-MCC-49602-P2015</t>
  </si>
  <si>
    <t>RWP-C-027</t>
  </si>
  <si>
    <t>B0-MCC-49602-P2016</t>
  </si>
  <si>
    <t>RWP-C-028</t>
  </si>
  <si>
    <t>B0-MCC-49601-P2016</t>
  </si>
  <si>
    <t>RWP-C-029</t>
  </si>
  <si>
    <t>B0-MCC-49602-P2017</t>
  </si>
  <si>
    <t>RWP-C-030</t>
  </si>
  <si>
    <t>B0-MCC-49601-P2017</t>
  </si>
  <si>
    <t>B0-MCC-49601-P2018</t>
  </si>
  <si>
    <t>DWP-C-002</t>
  </si>
  <si>
    <t>B0-MCC-49602-P2018</t>
  </si>
  <si>
    <t>DWP-C-003</t>
  </si>
  <si>
    <t>B0-MCC-49601-P2019</t>
  </si>
  <si>
    <t>DWP-C-003-001</t>
  </si>
  <si>
    <t>B0-MCC-49602-P2019</t>
  </si>
  <si>
    <t>DWP-C-004</t>
  </si>
  <si>
    <t>B0-MCC-49601-P2020</t>
  </si>
  <si>
    <t>DWP-C-005</t>
  </si>
  <si>
    <t>B0-MCC-49602-P2020</t>
  </si>
  <si>
    <t>DWP-C-006</t>
  </si>
  <si>
    <t>B0-MCC-49601-P2021</t>
  </si>
  <si>
    <t>DWP-C-006-001</t>
  </si>
  <si>
    <t>B0-MCC-49602-P2021</t>
  </si>
  <si>
    <t>CEP-B1-001</t>
  </si>
  <si>
    <t>B1-SWG-64303-P1001</t>
  </si>
  <si>
    <t>CEP-B1-002</t>
  </si>
  <si>
    <t>B1-SWG-64303-P2001</t>
  </si>
  <si>
    <t>CEP-B1-003</t>
  </si>
  <si>
    <t>B1-DB-69601-P2013</t>
  </si>
  <si>
    <t>CEP-B1-004</t>
  </si>
  <si>
    <t>B1-SWG-64304-P1001</t>
  </si>
  <si>
    <t>CEP-B1-005</t>
  </si>
  <si>
    <t>B1-SWG-64304-P2001</t>
  </si>
  <si>
    <t>CEP-B1-006</t>
  </si>
  <si>
    <t>B1-DB-69603-P2013</t>
  </si>
  <si>
    <t>CEP-B1-007</t>
  </si>
  <si>
    <t>B1-SWG-64303-P1002</t>
  </si>
  <si>
    <t>CEP-B1-008</t>
  </si>
  <si>
    <t>B1-SWG-64303-P2002</t>
  </si>
  <si>
    <t>CEP-B1-009</t>
  </si>
  <si>
    <t>B1-DB-69601-P2014</t>
  </si>
  <si>
    <t>CEP-B2-001</t>
  </si>
  <si>
    <t>B2-SWG-64303-P1001</t>
  </si>
  <si>
    <t>CEP-B2-002</t>
  </si>
  <si>
    <t>B2-SWG-64303-P2001</t>
  </si>
  <si>
    <t>CEP-B2-003</t>
  </si>
  <si>
    <t>B2-DB-69601-P2013</t>
  </si>
  <si>
    <t>CEP-B2-004</t>
  </si>
  <si>
    <t>B2-SWG-64304-P1001</t>
  </si>
  <si>
    <t>CEP-B2-005</t>
  </si>
  <si>
    <t>B2-SWG-64304-P2001</t>
  </si>
  <si>
    <t>CEP-B2-006</t>
  </si>
  <si>
    <t>B2-DB-69603-P2013</t>
  </si>
  <si>
    <t>CEP-B2-007</t>
  </si>
  <si>
    <t>B2-SWG-64303-P1002</t>
  </si>
  <si>
    <t>CEP-B2-008</t>
  </si>
  <si>
    <t>B2-SWG-64303-P2002</t>
  </si>
  <si>
    <t>CEP-B2-009</t>
  </si>
  <si>
    <t>B2-DB-69601-P2014</t>
  </si>
  <si>
    <t>FTD-B1-001</t>
  </si>
  <si>
    <t>B1-MCC-59602-P2016</t>
  </si>
  <si>
    <t>FTD-B1-002</t>
  </si>
  <si>
    <t>B1-MCC-59601-P2015</t>
  </si>
  <si>
    <t>B2-MCC-59602-P2016</t>
  </si>
  <si>
    <t>FTD-B1-003</t>
  </si>
  <si>
    <t>B1-MCC-59602-P2017</t>
  </si>
  <si>
    <t>FTD-B2-003</t>
  </si>
  <si>
    <t>B2-MCC-59601-P2016</t>
  </si>
  <si>
    <t>FOP-C-001</t>
  </si>
  <si>
    <t>B0-MCC-49601-P2022</t>
  </si>
  <si>
    <t>FOP-C-002</t>
  </si>
  <si>
    <t>B0-MCC-49602-P2022</t>
  </si>
  <si>
    <t>FOP-C-003</t>
  </si>
  <si>
    <t>B0-MCC-49601-P2023</t>
  </si>
  <si>
    <t>FOP-C-004</t>
  </si>
  <si>
    <t>B0-MCC-49601-P2024</t>
  </si>
  <si>
    <t>FOP-C-005</t>
  </si>
  <si>
    <t>B0-MCC-49602-P2023</t>
  </si>
  <si>
    <t>FOP-C-006</t>
  </si>
  <si>
    <t>B0-MCC-49601-P2025</t>
  </si>
  <si>
    <t>B0-SWG-49602-P2001</t>
  </si>
  <si>
    <t>B0-SWG-49602-P2002</t>
  </si>
  <si>
    <t>FOP-C-008</t>
  </si>
  <si>
    <t>B0-SWG-49601-P2001</t>
  </si>
  <si>
    <t>B0-SWG-49601-P2002</t>
  </si>
  <si>
    <t>B0-SWG-49602-P2003</t>
  </si>
  <si>
    <t>B0-SWG-49601-P2003</t>
  </si>
  <si>
    <t>FOP-C-011</t>
  </si>
  <si>
    <t>B0-MCC-49602-P2024</t>
  </si>
  <si>
    <t>FOP-C-012</t>
  </si>
  <si>
    <t>B0-MCC-49601-P2026</t>
  </si>
  <si>
    <t>FOP-C-013</t>
  </si>
  <si>
    <t>B0-MCC-49602-P2025</t>
  </si>
  <si>
    <t>FOP-C-014</t>
  </si>
  <si>
    <t>B0-MCC-49601-P2027</t>
  </si>
  <si>
    <t>OFS-C-001</t>
  </si>
  <si>
    <t>B0-MCC-72601-P2001</t>
  </si>
  <si>
    <t>OFS-C-002</t>
  </si>
  <si>
    <t>B0-MCC-72602-P2001</t>
  </si>
  <si>
    <t>OFS-C-003</t>
  </si>
  <si>
    <t>B0-MCC-72601-P2002</t>
  </si>
  <si>
    <t>OFS-C-004</t>
  </si>
  <si>
    <t>B0-MCC-72602-P2002</t>
  </si>
  <si>
    <t/>
  </si>
  <si>
    <t>OFS-C-004-004</t>
  </si>
  <si>
    <t>B0-MCC-72602-P2003</t>
  </si>
  <si>
    <t>OFS-C-004-005</t>
  </si>
  <si>
    <t>B0-MCC-72601-P2003</t>
  </si>
  <si>
    <t>FGS-C-024</t>
  </si>
  <si>
    <t>B0-MCC-64602-P2003</t>
  </si>
  <si>
    <t>FGS-C-025</t>
  </si>
  <si>
    <t>FGS-C-025-001</t>
  </si>
  <si>
    <t>FGS-C-026-003</t>
  </si>
  <si>
    <t>B1-MCC-64602-P2023</t>
  </si>
  <si>
    <t>FGS-C-026-004</t>
  </si>
  <si>
    <t>B1-MCC-64603-P2006</t>
  </si>
  <si>
    <t>B2-MCC-64601-P2019</t>
  </si>
  <si>
    <t>FGS-C-026-006</t>
  </si>
  <si>
    <t>B2-MCC-64603-P2006</t>
  </si>
  <si>
    <t>FGS-C-030</t>
  </si>
  <si>
    <t>B0-UPSP-64702-P2002</t>
  </si>
  <si>
    <t>FWP-U1-001</t>
  </si>
  <si>
    <t>B1-SWG-64303-P1003</t>
  </si>
  <si>
    <t>FWP-U1-002</t>
  </si>
  <si>
    <t>B1-SWG-64303-P2003</t>
  </si>
  <si>
    <t>FWP-U1-003</t>
  </si>
  <si>
    <t>B1-DB-64601-P2002</t>
  </si>
  <si>
    <t>FWP-U1-006</t>
  </si>
  <si>
    <t>B1-SWG-64304-P1002</t>
  </si>
  <si>
    <t>FWP-U1-007</t>
  </si>
  <si>
    <t>B1-SWG-64304-P2004</t>
  </si>
  <si>
    <t>FWP-U1-008</t>
  </si>
  <si>
    <t>B1-DB-64602-P2001</t>
  </si>
  <si>
    <t>FWP-U2-001</t>
  </si>
  <si>
    <t>B1-SWG-64304-P1003</t>
  </si>
  <si>
    <t>FWP-U2-002</t>
  </si>
  <si>
    <t>B1-SWG-64304-P2002</t>
  </si>
  <si>
    <t>FWP-U2-003</t>
  </si>
  <si>
    <t>B1-DB-64604-P2001</t>
  </si>
  <si>
    <t>FWP-U2-006</t>
  </si>
  <si>
    <t>B1-SWG-64303-P1004</t>
  </si>
  <si>
    <t>FWP-U2-007</t>
  </si>
  <si>
    <t>B1-SWG-64303-P2004</t>
  </si>
  <si>
    <t>FWP-U2-008</t>
  </si>
  <si>
    <t>B1-DB-64603-P2002</t>
  </si>
  <si>
    <t>FWP-U3-001</t>
  </si>
  <si>
    <t>B2-SWG-64303-P1003</t>
  </si>
  <si>
    <t>FWP-U3-002</t>
  </si>
  <si>
    <t>B2-SWG-64303-P2003</t>
  </si>
  <si>
    <t>FWP-U3-003</t>
  </si>
  <si>
    <t>B2-DB-64601-P2002</t>
  </si>
  <si>
    <t>FWP-U3-006</t>
  </si>
  <si>
    <t>B2-SWG-64304-P1002</t>
  </si>
  <si>
    <t>B2-SWG-64304-P2003</t>
  </si>
  <si>
    <t>FWP-U3-008</t>
  </si>
  <si>
    <t>FWP-U4-001</t>
  </si>
  <si>
    <t>B2-SWG-64304-P1003</t>
  </si>
  <si>
    <t>FWP-U4-002</t>
  </si>
  <si>
    <t>B2-SWG-64304-P2002</t>
  </si>
  <si>
    <t>FWP-U4-003</t>
  </si>
  <si>
    <t>B2-DB-64604-P2001</t>
  </si>
  <si>
    <t>FWP-U4-006</t>
  </si>
  <si>
    <t>B2-SWG-64303-P1004</t>
  </si>
  <si>
    <t>FWP-U4-007</t>
  </si>
  <si>
    <t>B2-SWG-64303-P2004</t>
  </si>
  <si>
    <t>FWP-U4-008</t>
  </si>
  <si>
    <t>B2-DB-64604-P2002</t>
  </si>
  <si>
    <t>EDG-C-001</t>
  </si>
  <si>
    <t>B0-SWG-64301-P1001</t>
  </si>
  <si>
    <t>EDG-C-002</t>
  </si>
  <si>
    <t>B0-SWG-64301-P1002</t>
  </si>
  <si>
    <t>EDG-C-003</t>
  </si>
  <si>
    <t>B0-SWG-64302-P1001</t>
  </si>
  <si>
    <t>EDG-C-004</t>
  </si>
  <si>
    <t>B0-SWG-64302-P1002</t>
  </si>
  <si>
    <t>EDG-C-005</t>
  </si>
  <si>
    <t>EDG-C-007</t>
  </si>
  <si>
    <t>B0-EMCC-64601-P2002</t>
  </si>
  <si>
    <t>EDG-C-009</t>
  </si>
  <si>
    <t>B0-EMCC-64602-P2001</t>
  </si>
  <si>
    <t>EDG-C-011</t>
  </si>
  <si>
    <t>B0-EMCC-64602-P2002</t>
  </si>
  <si>
    <t>EDG-C-015</t>
  </si>
  <si>
    <t>EDG-C-015-001</t>
  </si>
  <si>
    <t>B0-UPSP-64702-P2003</t>
  </si>
  <si>
    <t>EDG-C-016</t>
  </si>
  <si>
    <t>B0-DCP-64701-P2001</t>
  </si>
  <si>
    <t>2C x 50sqmm</t>
  </si>
  <si>
    <t>EDG-C-017</t>
  </si>
  <si>
    <t>B0-DCP-64702-P2001</t>
  </si>
  <si>
    <t>EDG-C-018</t>
  </si>
  <si>
    <t>B0-EMCC-64601-P2003</t>
  </si>
  <si>
    <t>CCW-C-0001</t>
  </si>
  <si>
    <t>B1-SWG-64602-P2001</t>
  </si>
  <si>
    <t>B1-SWG-64602-P2002</t>
  </si>
  <si>
    <t>CCW-C-0004</t>
  </si>
  <si>
    <t>B1-SWG-64602-P2003</t>
  </si>
  <si>
    <t>CCW-C-0002</t>
  </si>
  <si>
    <t>B1-SWG-64601-P2008</t>
  </si>
  <si>
    <t>B1-SWG-64601-P2009</t>
  </si>
  <si>
    <t>CCW-C-0005</t>
  </si>
  <si>
    <t>B1-SWG-64601-P2010</t>
  </si>
  <si>
    <t>CCW-C-0003</t>
  </si>
  <si>
    <t>B1-SWG-64602-P2004</t>
  </si>
  <si>
    <t>B1-SWG-64602-P2005</t>
  </si>
  <si>
    <t>CCW-C-0006</t>
  </si>
  <si>
    <t>B1-SWG-64602-P2006</t>
  </si>
  <si>
    <t>CCW-C-0007</t>
  </si>
  <si>
    <t>B1-MCC-64602-P2024</t>
  </si>
  <si>
    <t>CCW-C-0008</t>
  </si>
  <si>
    <t>B1-MCC-64601-P2018</t>
  </si>
  <si>
    <t>CCW-C-0009</t>
  </si>
  <si>
    <t>B1-MCC-64602-P2025</t>
  </si>
  <si>
    <t>CCW-C-0014</t>
  </si>
  <si>
    <t>B1-MCC-64602-P2026</t>
  </si>
  <si>
    <t>CCW-C-0015</t>
  </si>
  <si>
    <t>B1-MCC-64601-P2019</t>
  </si>
  <si>
    <t>CCW-C-0016</t>
  </si>
  <si>
    <t>B2-SWG-64602-P2001</t>
  </si>
  <si>
    <t>B2-SWG-64602-P2002</t>
  </si>
  <si>
    <t>CCW-C-0019</t>
  </si>
  <si>
    <t>B2-SWG-64602-P2003</t>
  </si>
  <si>
    <t>CCW-C-0017</t>
  </si>
  <si>
    <t>B2-SWG-64601-P2008</t>
  </si>
  <si>
    <t>B2-SWG-64601-P2009</t>
  </si>
  <si>
    <t>CCW-C-0020</t>
  </si>
  <si>
    <t>B2-SWG-64601-P2010</t>
  </si>
  <si>
    <t>CCW-C-0018</t>
  </si>
  <si>
    <t>B2-SWG-64602-P2004</t>
  </si>
  <si>
    <t>B2-SWG-64602-P2005</t>
  </si>
  <si>
    <t>CCW-C-0021</t>
  </si>
  <si>
    <t>B2-SWG-64602-P2006</t>
  </si>
  <si>
    <t>CCW-C-0022</t>
  </si>
  <si>
    <t>B2-MCC-64602-P2022</t>
  </si>
  <si>
    <t>CCW-C-0023</t>
  </si>
  <si>
    <t>B2-MCC-64601-P2020</t>
  </si>
  <si>
    <t>CCW-C-0024</t>
  </si>
  <si>
    <t>B2-MCC-64602-P2023</t>
  </si>
  <si>
    <t>CCW-C-0029</t>
  </si>
  <si>
    <t>B2-MCC-64602-P2024</t>
  </si>
  <si>
    <t>CCW-C-0030</t>
  </si>
  <si>
    <t>B2-MCC-64601-P2021</t>
  </si>
  <si>
    <t>DWST-C-001</t>
  </si>
  <si>
    <t>B0-MCC-49601-P2028</t>
  </si>
  <si>
    <t>DWST-C-002</t>
  </si>
  <si>
    <t>B0-MCC-49602-P2026</t>
  </si>
  <si>
    <t>COD-B1-001</t>
  </si>
  <si>
    <t>B1-MCC-69601-P2008</t>
  </si>
  <si>
    <t>COD-B1-002</t>
  </si>
  <si>
    <t>B1-MCC-69603-P2010</t>
  </si>
  <si>
    <t>COD-B1-003</t>
  </si>
  <si>
    <t>B1-MCC-69601-P2009</t>
  </si>
  <si>
    <t>COD-B2-001</t>
  </si>
  <si>
    <t>B2-MCC-69601-P2010</t>
  </si>
  <si>
    <t>COD-B2-002</t>
  </si>
  <si>
    <t>B2-MCC-69603-P2008</t>
  </si>
  <si>
    <t>COD-B2-003</t>
  </si>
  <si>
    <t>B2-MCC-69601-P2011</t>
  </si>
  <si>
    <t>BPSS-U1-003</t>
  </si>
  <si>
    <t>B1-MCC-64601-P2020</t>
  </si>
  <si>
    <t>BPSS-U1-004</t>
  </si>
  <si>
    <t>B1-MCC-64601-P2021</t>
  </si>
  <si>
    <t>BPSS-U1-006</t>
  </si>
  <si>
    <t>B1-MCC-64601-P2022</t>
  </si>
  <si>
    <t>BPSS-U1-007</t>
  </si>
  <si>
    <t>B1-MCC-64601-P2023</t>
  </si>
  <si>
    <t>BPSS-U2-004</t>
  </si>
  <si>
    <t>B1-MCC-64603-P2008</t>
  </si>
  <si>
    <t>BPSS-U2-006</t>
  </si>
  <si>
    <t>B1-MCC-64603-P2009</t>
  </si>
  <si>
    <t>BPSS-U2-007</t>
  </si>
  <si>
    <t>B1-MCC-64603-P2010</t>
  </si>
  <si>
    <t>BPSS-U3-004</t>
  </si>
  <si>
    <t>B2-MCC-64601-P2023</t>
  </si>
  <si>
    <t>BPSS-U3-006</t>
  </si>
  <si>
    <t>B2-MCC-64601-P2024</t>
  </si>
  <si>
    <t>BPSS-U3-007</t>
  </si>
  <si>
    <t>B2-MCC-64601-P2025</t>
  </si>
  <si>
    <t>BPSS-U4-003</t>
  </si>
  <si>
    <t>B2-MCC-64604-P2005</t>
  </si>
  <si>
    <t>BPSS-U4-004</t>
  </si>
  <si>
    <t>B2-MCC-64604-P2006</t>
  </si>
  <si>
    <t>BPSS-U4-006</t>
  </si>
  <si>
    <t>B2-MCC-64604-P2007</t>
  </si>
  <si>
    <t>BPSS-U4-007</t>
  </si>
  <si>
    <t>B2-MCC-64604-P2008</t>
  </si>
  <si>
    <t>BPSS-B1-001</t>
  </si>
  <si>
    <t>B1-MCC-59601-P2016</t>
  </si>
  <si>
    <t>BPSS-B1-003</t>
  </si>
  <si>
    <t>B1-MCC-59601-P2017</t>
  </si>
  <si>
    <t>BPSS-B1-004</t>
  </si>
  <si>
    <t>B1-MCC-59601-P2018</t>
  </si>
  <si>
    <t>BPSS-B1-006</t>
  </si>
  <si>
    <t>B1-MCC-59601-P2019</t>
  </si>
  <si>
    <t>BPSS-B1-008</t>
  </si>
  <si>
    <t>B1-MCC-59601-P2020</t>
  </si>
  <si>
    <t>BPSS-B1-009</t>
  </si>
  <si>
    <t>B1-MCC-59602-P2018</t>
  </si>
  <si>
    <t>BPSS-B1-010</t>
  </si>
  <si>
    <t>B1-MCC-59602-P2019</t>
  </si>
  <si>
    <t>BPSS-B1-011</t>
  </si>
  <si>
    <t>B1-MCC-59602-P2020</t>
  </si>
  <si>
    <t>BPSS-B1-012</t>
  </si>
  <si>
    <t>B1-MCC-59602-P2021</t>
  </si>
  <si>
    <t>BPSS-B2-001</t>
  </si>
  <si>
    <t>B2-MCC-59601-P2017</t>
  </si>
  <si>
    <t>BPSS-B2-003</t>
  </si>
  <si>
    <t>B2-MCC-59601-P2018</t>
  </si>
  <si>
    <t>BPSS-B2-004</t>
  </si>
  <si>
    <t>B2-MCC-59601-P2019</t>
  </si>
  <si>
    <t>BPSS-B2-006</t>
  </si>
  <si>
    <t>B2-MCC-59601-P2020</t>
  </si>
  <si>
    <t>BPSS-B2-008</t>
  </si>
  <si>
    <t>B2-MCC-59601-P2021</t>
  </si>
  <si>
    <t>BPSS-B2-010</t>
  </si>
  <si>
    <t>B2-MCC-59602-P2017</t>
  </si>
  <si>
    <t>BPSS-B2-011</t>
  </si>
  <si>
    <t>B2-MCC-59602-P2018</t>
  </si>
  <si>
    <t>BPSS-B2-012</t>
  </si>
  <si>
    <t>B2-MCC-59602-P2019</t>
  </si>
  <si>
    <t>BPSS-B2-014</t>
  </si>
  <si>
    <t>B0-MCC-64601-P2002</t>
  </si>
  <si>
    <t>BPSS-B2-015</t>
  </si>
  <si>
    <t>B0-MCC-64601-P2003</t>
  </si>
  <si>
    <t>FWS-U1-001</t>
  </si>
  <si>
    <t>B1-MCC-64601-P2024</t>
  </si>
  <si>
    <t>FWS-U1-002</t>
  </si>
  <si>
    <t>B1-MCC-64602-P2027</t>
  </si>
  <si>
    <t>FWS-U1-003</t>
  </si>
  <si>
    <t>B1-MCC-64602-P2028</t>
  </si>
  <si>
    <t>FWS-U1-004</t>
  </si>
  <si>
    <t>B1-MCC-64601-P2025</t>
  </si>
  <si>
    <t>FWS-U1-005</t>
  </si>
  <si>
    <t>B1-MCC-64601-P2026</t>
  </si>
  <si>
    <t>FWS-U1-006</t>
  </si>
  <si>
    <t>B1-MCC-64602-P2029</t>
  </si>
  <si>
    <t>FWS-U2-001</t>
  </si>
  <si>
    <t>B1-MCC-64604-P2005</t>
  </si>
  <si>
    <t>FWS-U2-002</t>
  </si>
  <si>
    <t>B1-MCC-64604-P2006</t>
  </si>
  <si>
    <t>FWS-U2-003</t>
  </si>
  <si>
    <t>B1-MCC-64604-P2007</t>
  </si>
  <si>
    <t>FWS-U2-004</t>
  </si>
  <si>
    <t>B1-MCC-64604-P2008</t>
  </si>
  <si>
    <t>FWS-U2-005</t>
  </si>
  <si>
    <t>B1-MCC-64604-P2009</t>
  </si>
  <si>
    <t>FWS-U2-006</t>
  </si>
  <si>
    <t>B1-MCC-64604-P2010</t>
  </si>
  <si>
    <t>FWS-U3-001</t>
  </si>
  <si>
    <t>B2-MCC-64601-P2026</t>
  </si>
  <si>
    <t>FWS-U3-002</t>
  </si>
  <si>
    <t>B2-MCC-64602-P2025</t>
  </si>
  <si>
    <t>FWS-U3-003</t>
  </si>
  <si>
    <t>B2-MCC-64602-P2026</t>
  </si>
  <si>
    <t>FWS-U3-004</t>
  </si>
  <si>
    <t>B2-MCC-64601-P2027</t>
  </si>
  <si>
    <t>FWS-U3-005</t>
  </si>
  <si>
    <t>B2-MCC-64601-P2028</t>
  </si>
  <si>
    <t>FWS-U3-006</t>
  </si>
  <si>
    <t>B2-MCC-64602-P2027</t>
  </si>
  <si>
    <t>FWS-U4-001</t>
  </si>
  <si>
    <t>B2-MCC-64603-P2007</t>
  </si>
  <si>
    <t>FWS-U4-003</t>
  </si>
  <si>
    <t>B2-MCC-64603-P2009</t>
  </si>
  <si>
    <t>FWS-U4-004</t>
  </si>
  <si>
    <t>B2-MCC-64603-P2010</t>
  </si>
  <si>
    <t>FWS-U4-005</t>
  </si>
  <si>
    <t>B2-MCC-64603-P2011</t>
  </si>
  <si>
    <t>FWS-U4-006</t>
  </si>
  <si>
    <t>B2-MCC-64603-P2012</t>
  </si>
  <si>
    <t>HWDS-B1-001</t>
  </si>
  <si>
    <t>B0-MCC-64601-P2004</t>
  </si>
  <si>
    <t>HWDS-B1-002</t>
  </si>
  <si>
    <t>B0-MCC-64601-P2005</t>
  </si>
  <si>
    <t>HWDS-B1-003</t>
  </si>
  <si>
    <t>B0-MCC-64602-P2004</t>
  </si>
  <si>
    <t>HWDS-B1-004</t>
  </si>
  <si>
    <t>B0-MCC-64602-P2005</t>
  </si>
  <si>
    <t>HWDS-B1-005</t>
  </si>
  <si>
    <t>B0-MCC-64601-P2006</t>
  </si>
  <si>
    <t>3C x 120sqmm + 1C X 70sqmm</t>
  </si>
  <si>
    <t>HWDS-B1-006</t>
  </si>
  <si>
    <t>B0-MCC-64601-P2007</t>
  </si>
  <si>
    <t>HWDS-B1-007</t>
  </si>
  <si>
    <t>B0-MCC-64601-P2008</t>
  </si>
  <si>
    <t>HWDS-B1-008</t>
  </si>
  <si>
    <t>B0-MCC-64602-P2006</t>
  </si>
  <si>
    <t>HWDS-B1-009</t>
  </si>
  <si>
    <t>B0-MCC-64601-P2009</t>
  </si>
  <si>
    <t>HWDS-B1-010</t>
  </si>
  <si>
    <t>B1-MCC-64602-P2030</t>
  </si>
  <si>
    <t>HWDS-B1-011</t>
  </si>
  <si>
    <t>B0-MCC-64601-P2010</t>
  </si>
  <si>
    <t>HWDS-B1-012</t>
  </si>
  <si>
    <t>B0-MCC-64601-P2011</t>
  </si>
  <si>
    <t>HWDS-B1-013</t>
  </si>
  <si>
    <t>B0-MCC-64601-P2012</t>
  </si>
  <si>
    <t>HWDS-B1-014</t>
  </si>
  <si>
    <t>B0-MCC-64601-P2013</t>
  </si>
  <si>
    <t>HWDS-B1-015</t>
  </si>
  <si>
    <t>B0-MCC-64601-P2014</t>
  </si>
  <si>
    <t>HWDS-B1-016</t>
  </si>
  <si>
    <t>B0-MCC-64601-P2015</t>
  </si>
  <si>
    <t>HWDS-B1-019</t>
  </si>
  <si>
    <t>B1-MCC-64602-P2031</t>
  </si>
  <si>
    <t>HWDS-B1-020</t>
  </si>
  <si>
    <t>B1-MCC-64604-P2011</t>
  </si>
  <si>
    <t>HWDS-B1-021</t>
  </si>
  <si>
    <t>B0-MCC-64601-P2016</t>
  </si>
  <si>
    <t>HWDS-B1-022</t>
  </si>
  <si>
    <t>B0-MCC-64601-P2017</t>
  </si>
  <si>
    <t>HWDS-B1-022-1</t>
  </si>
  <si>
    <t>B0-MCC-64601-P2018</t>
  </si>
  <si>
    <t>HWDS-B1-022-2</t>
  </si>
  <si>
    <t>B0-MCC-64601-P2019</t>
  </si>
  <si>
    <t>HWDS-B2-001</t>
  </si>
  <si>
    <t>B0-MCC-64602-P2007</t>
  </si>
  <si>
    <t>HWDS-B2-002</t>
  </si>
  <si>
    <t>B0-MCC-64602-P2008</t>
  </si>
  <si>
    <t>HWDS-B2-003</t>
  </si>
  <si>
    <t>B0-MCC-64601-P2020</t>
  </si>
  <si>
    <t>HWDS-B2-004</t>
  </si>
  <si>
    <t>B0-MCC-64601-P2021</t>
  </si>
  <si>
    <t>HWDS-B2-005</t>
  </si>
  <si>
    <t>B0-MCC-64602-P2009</t>
  </si>
  <si>
    <t>HWDS-B2-006</t>
  </si>
  <si>
    <t>B0-MCC-64602-P2010</t>
  </si>
  <si>
    <t>HWDS-B2-007</t>
  </si>
  <si>
    <t>B0-MCC-64602-P2011</t>
  </si>
  <si>
    <t>HWDS-B2-008</t>
  </si>
  <si>
    <t>B0-MCC-64601-P2022</t>
  </si>
  <si>
    <t>HWDS-B2-009</t>
  </si>
  <si>
    <t>B0-MCC-64602-P2012</t>
  </si>
  <si>
    <t>HWDS-B2-010</t>
  </si>
  <si>
    <t>B2-MCC-64601-P2029</t>
  </si>
  <si>
    <t>HWDS-B2-011</t>
  </si>
  <si>
    <t>B0-MCC-64602-P2013</t>
  </si>
  <si>
    <t>HWDS-B2-012</t>
  </si>
  <si>
    <t>B0-MCC-64602-P2014</t>
  </si>
  <si>
    <t>HWDS-B2-013</t>
  </si>
  <si>
    <t>B0-MCC-64602-P2015</t>
  </si>
  <si>
    <t>HWDS-B2-014</t>
  </si>
  <si>
    <t>B0-MCC-64602-P2016</t>
  </si>
  <si>
    <t>HWDS-B2-015</t>
  </si>
  <si>
    <t>B0-MCC-64602-P2017</t>
  </si>
  <si>
    <t>HWDS-B2-016</t>
  </si>
  <si>
    <t>B0-MCC-64602-P2018</t>
  </si>
  <si>
    <t>HWDS-B2-019</t>
  </si>
  <si>
    <t>B2-MCC-64601-P2030</t>
  </si>
  <si>
    <t>HWDS-B2-020</t>
  </si>
  <si>
    <t>B2-MCC-64604-P2009</t>
  </si>
  <si>
    <t>HWDS-B2-021</t>
  </si>
  <si>
    <t>B0-MCC-64602-P2019</t>
  </si>
  <si>
    <t>HWDS-B2-022</t>
  </si>
  <si>
    <t>B0-MCC-64602-P2020</t>
  </si>
  <si>
    <t>HWDS-B2-023</t>
  </si>
  <si>
    <t>B0-MCC-64602-P2021</t>
  </si>
  <si>
    <t>HWDS-B2-024</t>
  </si>
  <si>
    <t>B0-MCC-64602-P2022</t>
  </si>
  <si>
    <t>CRA-C-001</t>
  </si>
  <si>
    <t>CRA-C-003</t>
  </si>
  <si>
    <t>B1-MCC-64602-P2032</t>
  </si>
  <si>
    <t>5C x 6sqmm</t>
  </si>
  <si>
    <t>CRA-C-005</t>
  </si>
  <si>
    <t>B1-MCC-59602-P2022</t>
  </si>
  <si>
    <t>CRA-C-006</t>
  </si>
  <si>
    <t>B0-MCC-72602-P2004</t>
  </si>
  <si>
    <t>CRA-C-010-001</t>
  </si>
  <si>
    <t>B1-MCC-64602-P2033</t>
  </si>
  <si>
    <t>CRA-C-010-002</t>
  </si>
  <si>
    <t>B1-MCC-64604-P2012</t>
  </si>
  <si>
    <t>5C x 10sqmm</t>
  </si>
  <si>
    <t>CRA-C-010-003</t>
  </si>
  <si>
    <t>B2-MCC-64602-P2029</t>
  </si>
  <si>
    <t>CRA-C-010-004</t>
  </si>
  <si>
    <t>B2-MCC-64604-P2010</t>
  </si>
  <si>
    <t>5C x 16sqmm</t>
  </si>
  <si>
    <t>CRA-C-012</t>
  </si>
  <si>
    <t>B1-MCC-64603-P2012</t>
  </si>
  <si>
    <t>CRA-C-013</t>
  </si>
  <si>
    <t>B2-MCC-64602-P2030</t>
  </si>
  <si>
    <t>CRA-C-014</t>
  </si>
  <si>
    <t>B2-MCC-64604-P2011</t>
  </si>
  <si>
    <t>CRA-C-016</t>
  </si>
  <si>
    <t>B1-MCC-69603-P2011</t>
  </si>
  <si>
    <t>CRA-C-017</t>
  </si>
  <si>
    <t>B2-MCC-69601-P2012</t>
  </si>
  <si>
    <t>CRA-C-021-002</t>
  </si>
  <si>
    <t>B1-MCC-64604-P2013</t>
  </si>
  <si>
    <t>CRA-C-021-004</t>
  </si>
  <si>
    <t>B2-MCC-64604-P2012</t>
  </si>
  <si>
    <t>CRA-C-022</t>
  </si>
  <si>
    <t>B0-MCC-49602-P2027</t>
  </si>
  <si>
    <t>CRA-C-023</t>
  </si>
  <si>
    <t>B0-MCC-49602-P2028</t>
  </si>
  <si>
    <t>CRA-C-024</t>
  </si>
  <si>
    <t>B0-MCC-49602-P2029</t>
  </si>
  <si>
    <t>CRA-C-025-001</t>
  </si>
  <si>
    <t>B1-MCC-64601-P2027</t>
  </si>
  <si>
    <t>CRA-C-025-002</t>
  </si>
  <si>
    <t>B2-MCC-64602-P2032</t>
  </si>
  <si>
    <t>CRA-C-027</t>
  </si>
  <si>
    <t>B0-MCC-49602-P2030</t>
  </si>
  <si>
    <t>CRA-C-028-001</t>
  </si>
  <si>
    <t>B1-MCC-64602-P2036</t>
  </si>
  <si>
    <t>SUM-C-094</t>
  </si>
  <si>
    <t>B1-MCC-64602-P2037</t>
  </si>
  <si>
    <t>SUM-C-095</t>
  </si>
  <si>
    <t>B0-LCP-3901-P2001</t>
  </si>
  <si>
    <t>SUM-C-095-1</t>
  </si>
  <si>
    <t>B0-LCP-3901-P2002</t>
  </si>
  <si>
    <t>SUM-C-096</t>
  </si>
  <si>
    <t>B0-LCP-3901-P2003</t>
  </si>
  <si>
    <t>SUM-C-096-1</t>
  </si>
  <si>
    <t>B0-LCP-3901-P2004</t>
  </si>
  <si>
    <t>SUM-C-097</t>
  </si>
  <si>
    <t>B1-MCC-64603-P2013</t>
  </si>
  <si>
    <t>SUM-C-098</t>
  </si>
  <si>
    <t>B0-LCP-3903-P2001</t>
  </si>
  <si>
    <t>SUM-C-098-1</t>
  </si>
  <si>
    <t>B0-LCP-3903-P2002</t>
  </si>
  <si>
    <t>SUM-C-099</t>
  </si>
  <si>
    <t>B0-LCP-3903-P2003</t>
  </si>
  <si>
    <t>SUM-C-099-1</t>
  </si>
  <si>
    <t>B0-LCP-3903-P2004</t>
  </si>
  <si>
    <t>SUM-C-100</t>
  </si>
  <si>
    <t>B2-MCC-64602-P2034</t>
  </si>
  <si>
    <t>SUM-C-101</t>
  </si>
  <si>
    <t>B0-LCP-3905-P2001</t>
  </si>
  <si>
    <t>SUM-C-101-1</t>
  </si>
  <si>
    <t>B0-LCP-3905-P2002</t>
  </si>
  <si>
    <t>SUM-C-102</t>
  </si>
  <si>
    <t>B0-LCP-3905-P2003</t>
  </si>
  <si>
    <t>SUM-C-102-1</t>
  </si>
  <si>
    <t>B0-LCP-3905-P2004</t>
  </si>
  <si>
    <t>SUM-C-103</t>
  </si>
  <si>
    <t>B2-MCC-64603-P2013</t>
  </si>
  <si>
    <t>SUM-C-104</t>
  </si>
  <si>
    <t>B0-LCP-3907-P2001</t>
  </si>
  <si>
    <t>SUM-C-104-1</t>
  </si>
  <si>
    <t>B0-LCP-3907-P2002</t>
  </si>
  <si>
    <t>SUM-C-105</t>
  </si>
  <si>
    <t>B0-LCP-3907-P2003</t>
  </si>
  <si>
    <t>SUM-C-105-1</t>
  </si>
  <si>
    <t>B0-LCP-3907-P2004</t>
  </si>
  <si>
    <t>SUM-C-106</t>
  </si>
  <si>
    <t>B1-MCC-59601-P2021</t>
  </si>
  <si>
    <t>SUM-C-107</t>
  </si>
  <si>
    <t>B0-LCP-3909-P2001</t>
  </si>
  <si>
    <t>SUM-C-107-1</t>
  </si>
  <si>
    <t>B0-LCP-3909-P2002</t>
  </si>
  <si>
    <t>SUM-C-108</t>
  </si>
  <si>
    <t>B0-LCP-3909-P2003</t>
  </si>
  <si>
    <t>SUM-C-108-1</t>
  </si>
  <si>
    <t>SUM-C-112</t>
  </si>
  <si>
    <t>B2-MCC-59602-P2020</t>
  </si>
  <si>
    <t>SUM-C-113</t>
  </si>
  <si>
    <t>B0-LCP-3913-P2001</t>
  </si>
  <si>
    <t>SUM-C-113-1</t>
  </si>
  <si>
    <t>B0-LCP-3913-P2002</t>
  </si>
  <si>
    <t>SUM-C-114</t>
  </si>
  <si>
    <t>B0-LCP-3913-P2003</t>
  </si>
  <si>
    <t>SUM-C-114-1</t>
  </si>
  <si>
    <t>B0-LCP-3913-P2004</t>
  </si>
  <si>
    <t>CDS-C-001</t>
  </si>
  <si>
    <t>B1-MCC-64602-P2038</t>
  </si>
  <si>
    <t>CDS-C-002</t>
  </si>
  <si>
    <t>B2-MCC-64602-P2035</t>
  </si>
  <si>
    <t>SWA-B1-002</t>
  </si>
  <si>
    <t>B1-UPSP-64701-P2004</t>
  </si>
  <si>
    <t>3C x 16sqmm</t>
  </si>
  <si>
    <t>SWA-B1-003</t>
  </si>
  <si>
    <t>B0-UPSP-64701-P2003</t>
  </si>
  <si>
    <t>SWA-B2-001</t>
  </si>
  <si>
    <t>B2-MCC-64602-P2036</t>
  </si>
  <si>
    <t>SWA-B2-002</t>
  </si>
  <si>
    <t>B2-UPSP-64701-P2004</t>
  </si>
  <si>
    <t>SWA-B2-002-001</t>
  </si>
  <si>
    <t>B0-MCC-49602-P2031</t>
  </si>
  <si>
    <t>SWA-B2-003</t>
  </si>
  <si>
    <t>B0-UPSP-64702-P2004</t>
  </si>
  <si>
    <t>MWE-C-001</t>
  </si>
  <si>
    <t>B0-MCC-72601-P2004</t>
  </si>
  <si>
    <t>MWE-C-002</t>
  </si>
  <si>
    <t>B0-MCC-72602-P2005</t>
  </si>
  <si>
    <t>MWE-C-003</t>
  </si>
  <si>
    <t>B0-MCC-72602-P2006</t>
  </si>
  <si>
    <t>MWE-C-004</t>
  </si>
  <si>
    <t>B0-MCC-72601-P2005</t>
  </si>
  <si>
    <t>MWE-C-005</t>
  </si>
  <si>
    <t>B0-DB-72601-P2001</t>
  </si>
  <si>
    <t>MWE-C-006</t>
  </si>
  <si>
    <t>B0-MCC-72602-P2007</t>
  </si>
  <si>
    <t>MWE-C-007</t>
  </si>
  <si>
    <t>B0-MCC-72601-P2006</t>
  </si>
  <si>
    <t>MWE-C-008</t>
  </si>
  <si>
    <t>B0-DB-72601-P2002</t>
  </si>
  <si>
    <t>MWE-C-009</t>
  </si>
  <si>
    <t>B0-DB-72602-P2001</t>
  </si>
  <si>
    <t>MWE-C-010</t>
  </si>
  <si>
    <t>B0-DB-72601-P2003</t>
  </si>
  <si>
    <t>MWE-C-011</t>
  </si>
  <si>
    <t>B0-DB-72602-P2002</t>
  </si>
  <si>
    <t>MWE-C-012</t>
  </si>
  <si>
    <t>B0-DB-72601-P2004</t>
  </si>
  <si>
    <t>MWE-C-013</t>
  </si>
  <si>
    <t>B0-DB-72602-P2003</t>
  </si>
  <si>
    <t>MWE-C-014</t>
  </si>
  <si>
    <t>B0-DB-72601-P2005</t>
  </si>
  <si>
    <t>MWE-C-015</t>
  </si>
  <si>
    <t>B0-DB-72602-P2004</t>
  </si>
  <si>
    <t>MWE-C-016</t>
  </si>
  <si>
    <t>B0-DB-72601-P2006</t>
  </si>
  <si>
    <t>INC-0001</t>
  </si>
  <si>
    <t>B0-UPSP-64702-P2005</t>
  </si>
  <si>
    <t>2C x 50sqmm + 1C X 25sqmm</t>
  </si>
  <si>
    <t>INC-0002</t>
  </si>
  <si>
    <t>B0-UPSP-64701-P2004</t>
  </si>
  <si>
    <t>INC-0003</t>
  </si>
  <si>
    <t>B0-DB-64602-P2001</t>
  </si>
  <si>
    <t>INC-0004</t>
  </si>
  <si>
    <t>INC-0005</t>
  </si>
  <si>
    <t>INC-0006</t>
  </si>
  <si>
    <t>B0-DB-49601-P2001</t>
  </si>
  <si>
    <t>INC-0010</t>
  </si>
  <si>
    <t>B1-UPSP-73701-P2004</t>
  </si>
  <si>
    <t>INC-0011</t>
  </si>
  <si>
    <t>B1-UPSP-73702-P2004</t>
  </si>
  <si>
    <t>INC-0013</t>
  </si>
  <si>
    <t>B2-UPSP-73701-P2003</t>
  </si>
  <si>
    <t>INC-0014</t>
  </si>
  <si>
    <t>B2-UPSP-73702-P2003</t>
  </si>
  <si>
    <t>INC-0016</t>
  </si>
  <si>
    <t>B1-UPSP-64702-P2004</t>
  </si>
  <si>
    <t>INC-0017</t>
  </si>
  <si>
    <t>B1-UPSP-64701-P2005</t>
  </si>
  <si>
    <t>INC-0018</t>
  </si>
  <si>
    <t>B1-DB-64604-P2002</t>
  </si>
  <si>
    <t>INC-0019</t>
  </si>
  <si>
    <t>B2-UPSP-64702-P2004</t>
  </si>
  <si>
    <t>INC-0020</t>
  </si>
  <si>
    <t>B2-UPSP-64701-P2005</t>
  </si>
  <si>
    <t>INC-0022</t>
  </si>
  <si>
    <t>B1-UPSP-59701-P2003</t>
  </si>
  <si>
    <t>INC-0023</t>
  </si>
  <si>
    <t>B1-UPSP-59702-P2003</t>
  </si>
  <si>
    <t>INC-0024</t>
  </si>
  <si>
    <t>B1-DB-59601-P2011</t>
  </si>
  <si>
    <t>INC-0025</t>
  </si>
  <si>
    <t>B2-UPSP-59701-P2003</t>
  </si>
  <si>
    <t>INC-0026</t>
  </si>
  <si>
    <t>B2-UPSP-59702-P2002</t>
  </si>
  <si>
    <t>INC-0027</t>
  </si>
  <si>
    <t>B2-DB-59601-P2010</t>
  </si>
  <si>
    <t>INC-0028</t>
  </si>
  <si>
    <t>B0-UPSP-69702-P2001</t>
  </si>
  <si>
    <t>INC-0029</t>
  </si>
  <si>
    <t>B0-UPSP-69701-P2001</t>
  </si>
  <si>
    <t>INC-0030</t>
  </si>
  <si>
    <t>B1-DB-69601-P2015</t>
  </si>
  <si>
    <t>INC-0031</t>
  </si>
  <si>
    <t>B0-UPSP-69701-P2002</t>
  </si>
  <si>
    <t>INC-0032</t>
  </si>
  <si>
    <t>B0-UPSP-69702-P2002</t>
  </si>
  <si>
    <t>INC-0033</t>
  </si>
  <si>
    <t>B2-DB-69601-P2015</t>
  </si>
  <si>
    <t>INC-0035</t>
  </si>
  <si>
    <t>INC-0036</t>
  </si>
  <si>
    <t>INC-0037</t>
  </si>
  <si>
    <t>B0-DB-64601-P2001</t>
  </si>
  <si>
    <t>INC-0037-1</t>
  </si>
  <si>
    <t>B1-UPSP-64701-P2006</t>
  </si>
  <si>
    <t>INC-0037-2</t>
  </si>
  <si>
    <t>B1-UPSP-64702-P2005</t>
  </si>
  <si>
    <t>INC-0037-3</t>
  </si>
  <si>
    <t>B1-DB-64603-P2003</t>
  </si>
  <si>
    <t>INC-0037-4</t>
  </si>
  <si>
    <t>B2-UPSP-64701-P2006</t>
  </si>
  <si>
    <t>INC-0037-5</t>
  </si>
  <si>
    <t>B2-UPSP-64702-P2005</t>
  </si>
  <si>
    <t>INC-0037-6</t>
  </si>
  <si>
    <t>B2-DB-64603-P2002</t>
  </si>
  <si>
    <t>INC-0040</t>
  </si>
  <si>
    <t>INC-0041</t>
  </si>
  <si>
    <t>INC-0042</t>
  </si>
  <si>
    <t>B0-DB-49602-P2001</t>
  </si>
  <si>
    <t>INC-0047</t>
  </si>
  <si>
    <t>B1-UPSP-64701-P2007</t>
  </si>
  <si>
    <t>INC-0048</t>
  </si>
  <si>
    <t>B1-UPSP-64702-P2006</t>
  </si>
  <si>
    <t>INC-0049</t>
  </si>
  <si>
    <t>B1-DB-64603-P2004</t>
  </si>
  <si>
    <t>INC-0049-001</t>
  </si>
  <si>
    <t>B1-UPSP-64702-P2012</t>
  </si>
  <si>
    <t>INC-0049-002</t>
  </si>
  <si>
    <t>B1-UPSP-64701-P2013</t>
  </si>
  <si>
    <t>INC-0049-003</t>
  </si>
  <si>
    <t>B1-DB-64603-P2015</t>
  </si>
  <si>
    <t>INC-0050</t>
  </si>
  <si>
    <t>B2-UPSP-64701-P2007</t>
  </si>
  <si>
    <t>INC-0051</t>
  </si>
  <si>
    <t>B2-UPSP-64702-P2006</t>
  </si>
  <si>
    <t>INC-0052</t>
  </si>
  <si>
    <t>B2-DB-64603-P2003</t>
  </si>
  <si>
    <t>INC-0052-001</t>
  </si>
  <si>
    <t>INC-0052-002</t>
  </si>
  <si>
    <t>B2-UPSP-64701-P2014</t>
  </si>
  <si>
    <t>INC-0052-003</t>
  </si>
  <si>
    <t>B2-DB-64603-P2016</t>
  </si>
  <si>
    <t>INC-0053</t>
  </si>
  <si>
    <t>B0-UPSP-69701-P2003</t>
  </si>
  <si>
    <t>INC-0054</t>
  </si>
  <si>
    <t>B0-UPSP-69702-P2003</t>
  </si>
  <si>
    <t>INC-0055</t>
  </si>
  <si>
    <t>B1-DB-69603-P2014</t>
  </si>
  <si>
    <t>INC-0056</t>
  </si>
  <si>
    <t>B0-UPSP-69702-P2004</t>
  </si>
  <si>
    <t>INC-0057</t>
  </si>
  <si>
    <t>B0-UPSP-69701-P2004</t>
  </si>
  <si>
    <t>INC-0058</t>
  </si>
  <si>
    <t>B2-DB-69603-P2014</t>
  </si>
  <si>
    <t>B0-MCC-49601-P2030</t>
  </si>
  <si>
    <t>B0-MCC-49601-P2031</t>
  </si>
  <si>
    <t>B0-MCC-49601-P2032</t>
  </si>
  <si>
    <t>B0-MCC-49601-P2033</t>
  </si>
  <si>
    <t>INC-0059-002</t>
  </si>
  <si>
    <t>B0-MCC-64601-P2023</t>
  </si>
  <si>
    <t>B0-MCC-64601-P2024</t>
  </si>
  <si>
    <t>B0-MCC-64601-P2025</t>
  </si>
  <si>
    <t>B0-MCC-64601-P2026</t>
  </si>
  <si>
    <t>B0-MCC-64601-P2027</t>
  </si>
  <si>
    <t>B0-MCC-64601-P2028</t>
  </si>
  <si>
    <t>B0-MCC-64601-P2029</t>
  </si>
  <si>
    <t>B0-MCC-64601-P2030</t>
  </si>
  <si>
    <t>1C x 240sqmm</t>
  </si>
  <si>
    <t>B0-MCC-64602-P2028</t>
  </si>
  <si>
    <t>B0-MCC-64602-P2029</t>
  </si>
  <si>
    <t>B0-MCC-64602-P2030</t>
  </si>
  <si>
    <t>B1-SWG-59601-P2001</t>
  </si>
  <si>
    <t>B0-MCC-72602-P2008</t>
  </si>
  <si>
    <t>B2-MCC-69603-P2010</t>
  </si>
  <si>
    <t>B2-MCC-69603-P2011</t>
  </si>
  <si>
    <t>B2-MCC-69603-P2012</t>
  </si>
  <si>
    <t>B2-MCC-69603-P2013</t>
  </si>
  <si>
    <t>INC-0061</t>
  </si>
  <si>
    <t>B1-DB-59601-P2012</t>
  </si>
  <si>
    <t>INC-0062</t>
  </si>
  <si>
    <t>B1-DB-59601-P2013</t>
  </si>
  <si>
    <t>INC-0063</t>
  </si>
  <si>
    <t>B1-DB-59601-P2014</t>
  </si>
  <si>
    <t>INC-0064</t>
  </si>
  <si>
    <t>B1-DB-59601-P2015</t>
  </si>
  <si>
    <t>INC-0065</t>
  </si>
  <si>
    <t>B1-DB-64602-P2002</t>
  </si>
  <si>
    <t>INC-0066</t>
  </si>
  <si>
    <t>B1-DB-64602-P2003</t>
  </si>
  <si>
    <t>INC-0067</t>
  </si>
  <si>
    <t>B2-DB-59601-P2011</t>
  </si>
  <si>
    <t>INC-0068</t>
  </si>
  <si>
    <t>B2-DB-59601-P2012</t>
  </si>
  <si>
    <t>INC-0069</t>
  </si>
  <si>
    <t>B2-DB-59601-P2013</t>
  </si>
  <si>
    <t>INC-0070</t>
  </si>
  <si>
    <t>B2-DB-59601-P2014</t>
  </si>
  <si>
    <t>INC-0071</t>
  </si>
  <si>
    <t>B2-DB-64603-P2004</t>
  </si>
  <si>
    <t>INC-0072</t>
  </si>
  <si>
    <t>B2-DB-64603-P2005</t>
  </si>
  <si>
    <t>ELE-GCB-1001</t>
  </si>
  <si>
    <t>B1-DCP-64701-P2001</t>
  </si>
  <si>
    <t>2C x 10sqmm</t>
  </si>
  <si>
    <t>ELE-GCB-1002</t>
  </si>
  <si>
    <t>B1-DCP-64702-P2001</t>
  </si>
  <si>
    <t>ELE-GCB-1003</t>
  </si>
  <si>
    <t>B1-DB-64602-P2004</t>
  </si>
  <si>
    <t>ELE-GCB-1004</t>
  </si>
  <si>
    <t>B1-DB-64602-P2005</t>
  </si>
  <si>
    <t>ELE-GCB-2001</t>
  </si>
  <si>
    <t>B1-DCP-64701-P2002</t>
  </si>
  <si>
    <t>ELE-GCB-2002</t>
  </si>
  <si>
    <t>B1-DCP-64702-P2002</t>
  </si>
  <si>
    <t>ELE-GCB-2003</t>
  </si>
  <si>
    <t>B1-DB-64604-P2003</t>
  </si>
  <si>
    <t>ELE-GCB-2004</t>
  </si>
  <si>
    <t>B1-DB-64603-P2005</t>
  </si>
  <si>
    <t>ELE-GCB-3001</t>
  </si>
  <si>
    <t>B2-DCP-64701-P2001</t>
  </si>
  <si>
    <t>ELE-GCB-3002</t>
  </si>
  <si>
    <t>B2-DCP-64702-P2001</t>
  </si>
  <si>
    <t>ELE-GCB-3004</t>
  </si>
  <si>
    <t>B2-DB-64601-P2004</t>
  </si>
  <si>
    <t>ELE-GCB-4001</t>
  </si>
  <si>
    <t>B2-DCP-64701-P2002</t>
  </si>
  <si>
    <t>ELE-GCB-4002</t>
  </si>
  <si>
    <t>B2-DCP-64702-P2002</t>
  </si>
  <si>
    <t>ELE-GCB-4003</t>
  </si>
  <si>
    <t>B2-DB-64604-P2004</t>
  </si>
  <si>
    <t>ELE-GCB-4004</t>
  </si>
  <si>
    <t>B2-DB-64603-P2006</t>
  </si>
  <si>
    <t>B1-DCP-59702-P2008</t>
  </si>
  <si>
    <t>B1-DCP-59701-P2008</t>
  </si>
  <si>
    <t>ELE-GCB-5003</t>
  </si>
  <si>
    <t>B1-DB-59601-P2016</t>
  </si>
  <si>
    <t>ELE-GCB-5004</t>
  </si>
  <si>
    <t>B1-DB-59602-P2005</t>
  </si>
  <si>
    <t>B2-DCP-59702-P2008</t>
  </si>
  <si>
    <t>B2-DCP-59701-P2008</t>
  </si>
  <si>
    <t>ELE-GCB-6003</t>
  </si>
  <si>
    <t>B2-DB-59601-P2015</t>
  </si>
  <si>
    <t>ELE-GCB-6004</t>
  </si>
  <si>
    <t>B2-DB-59601-P2016</t>
  </si>
  <si>
    <t>ELE-IPB-1003</t>
  </si>
  <si>
    <t>B1-DB-64601-P2003</t>
  </si>
  <si>
    <t>ELE-IPB-2003</t>
  </si>
  <si>
    <t>ELE-IPB-3003</t>
  </si>
  <si>
    <t>B2-DB-64601-P2005</t>
  </si>
  <si>
    <t>ELE-IPB-4003</t>
  </si>
  <si>
    <t>B2-DB-64604-P2005</t>
  </si>
  <si>
    <t>ELE-IPB-5003</t>
  </si>
  <si>
    <t>B1-DB-59601-P2017</t>
  </si>
  <si>
    <t>ELE-IPB-6003</t>
  </si>
  <si>
    <t>B2-DB-59601-P2017</t>
  </si>
  <si>
    <t>ELE-SWG-1001</t>
  </si>
  <si>
    <t>B1-DCP-64701-P2003</t>
  </si>
  <si>
    <t>ELE-SWG-1002</t>
  </si>
  <si>
    <t>B1-DCP-64702-P2003</t>
  </si>
  <si>
    <t>ELE-SWG-1003</t>
  </si>
  <si>
    <t>ELE-SWG-1003-001</t>
  </si>
  <si>
    <t>B1-DCP-64701-P2004</t>
  </si>
  <si>
    <t>ELE-SWG-1003-002</t>
  </si>
  <si>
    <t>B1-DCP-64702-P2004</t>
  </si>
  <si>
    <t>ELE-SWG-1003-003</t>
  </si>
  <si>
    <t>ELE-SWG-1004</t>
  </si>
  <si>
    <t>B1-DCP-64701-P2005</t>
  </si>
  <si>
    <t>ELE-SWG-1005</t>
  </si>
  <si>
    <t>B1-DCP-64702-P2005</t>
  </si>
  <si>
    <t>ELE-SWG-1006</t>
  </si>
  <si>
    <t>ELE-SWG-1006-1</t>
  </si>
  <si>
    <t>ELE-SWG-1007</t>
  </si>
  <si>
    <t>B1-DCP-64701-P2006</t>
  </si>
  <si>
    <t>ELE-SWG-1008</t>
  </si>
  <si>
    <t>B1-DCP-64702-P2006</t>
  </si>
  <si>
    <t>ELE-SWG-1009</t>
  </si>
  <si>
    <t>B1-DB-64601-P2004</t>
  </si>
  <si>
    <t>ELE-SWG-1009-1</t>
  </si>
  <si>
    <t>B1-DB-64601-P2005</t>
  </si>
  <si>
    <t>ELE-SWG-1010</t>
  </si>
  <si>
    <t>B1-DCP-64701-P2007</t>
  </si>
  <si>
    <t>ELE-SWG-1011</t>
  </si>
  <si>
    <t>B1-DCP-64702-P2007</t>
  </si>
  <si>
    <t>ELE-SWG-1012</t>
  </si>
  <si>
    <t>B1-DB-64604-P2005</t>
  </si>
  <si>
    <t>ELE-SWG-1013</t>
  </si>
  <si>
    <t>B1-DCP-64701-P2008</t>
  </si>
  <si>
    <t>ELE-SWG-1014</t>
  </si>
  <si>
    <t>B1-DCP-64702-P2008</t>
  </si>
  <si>
    <t>ELE-SWG-1015</t>
  </si>
  <si>
    <t>B1-DB-64602-P2009</t>
  </si>
  <si>
    <t>ELE-SWG-2001</t>
  </si>
  <si>
    <t>B1-DCP-64701-P2009</t>
  </si>
  <si>
    <t>ELE-SWG-2002</t>
  </si>
  <si>
    <t>B1-DCP-64702-P2009</t>
  </si>
  <si>
    <t>ELE-SWG-2003</t>
  </si>
  <si>
    <t>B1-DB-64601-P2006</t>
  </si>
  <si>
    <t>ELE-SWG-2003-001</t>
  </si>
  <si>
    <t>B1-DCP-64701-P2010</t>
  </si>
  <si>
    <t>ELE-SWG-2003-002</t>
  </si>
  <si>
    <t>B1-DCP-64702-P2010</t>
  </si>
  <si>
    <t>ELE-SWG-2003-003</t>
  </si>
  <si>
    <t>B1-DB-64603-P2006</t>
  </si>
  <si>
    <t>ELE-SWG-2004</t>
  </si>
  <si>
    <t>B1-DCP-64701-P2011</t>
  </si>
  <si>
    <t>ELE-SWG-2005</t>
  </si>
  <si>
    <t>B1-DCP-64702-P2011</t>
  </si>
  <si>
    <t>ELE-SWG-2006</t>
  </si>
  <si>
    <t>B1-DB-64604-P2006</t>
  </si>
  <si>
    <t>ELE-SWG-2006-1</t>
  </si>
  <si>
    <t>B1-DB-64604-P2007</t>
  </si>
  <si>
    <t>ELE-SWG-2007</t>
  </si>
  <si>
    <t>B1-DCP-64701-P2012</t>
  </si>
  <si>
    <t>ELE-SWG-2008</t>
  </si>
  <si>
    <t>B1-DCP-64702-P2012</t>
  </si>
  <si>
    <t>ELE-SWG-2009</t>
  </si>
  <si>
    <t>B1-DB-64603-P2007</t>
  </si>
  <si>
    <t>ELE-SWG-2009-1</t>
  </si>
  <si>
    <t>B1-DB-64603-P2008</t>
  </si>
  <si>
    <t>ELE-SWG-2009-004</t>
  </si>
  <si>
    <t>B1-DCP-64701-P2013</t>
  </si>
  <si>
    <t>ELE-SWG-2009-005</t>
  </si>
  <si>
    <t>B1-DCP-64702-P2013</t>
  </si>
  <si>
    <t>ELE-SWG-2009-006</t>
  </si>
  <si>
    <t>B1-DB-64604-P2008</t>
  </si>
  <si>
    <t>ELE-SWG-2010</t>
  </si>
  <si>
    <t>B1-DCP-64701-P2014</t>
  </si>
  <si>
    <t>ELE-SWG-2011</t>
  </si>
  <si>
    <t>B1-DCP-64702-P2014</t>
  </si>
  <si>
    <t>ELE-SWG-2012</t>
  </si>
  <si>
    <t>B1-DB-64603-P2009</t>
  </si>
  <si>
    <t>ELE-SWG-3001</t>
  </si>
  <si>
    <t>B2-DCP-64701-P2003</t>
  </si>
  <si>
    <t>ELE-SWG-3002</t>
  </si>
  <si>
    <t>B2-DCP-64702-P2003</t>
  </si>
  <si>
    <t>ELE-SWG-3003</t>
  </si>
  <si>
    <t>B2-DB-64602-P2002</t>
  </si>
  <si>
    <t>ELE-SWG-3003-001</t>
  </si>
  <si>
    <t>B2-DCP-64701-P2004</t>
  </si>
  <si>
    <t>ELE-SWG-3003-002</t>
  </si>
  <si>
    <t>B2-DCP-64702-P2004</t>
  </si>
  <si>
    <t>ELE-SWG-3003-003</t>
  </si>
  <si>
    <t>B2-DB-64601-P2006</t>
  </si>
  <si>
    <t>ELE-SWG-3004</t>
  </si>
  <si>
    <t>B2-DCP-64701-P2005</t>
  </si>
  <si>
    <t>ELE-SWG-3005</t>
  </si>
  <si>
    <t>B2-DCP-64702-P2005</t>
  </si>
  <si>
    <t>ELE-SWG-3006</t>
  </si>
  <si>
    <t>B2-DB-64602-P2003</t>
  </si>
  <si>
    <t>ELE-SWG-3006-1</t>
  </si>
  <si>
    <t>B2-DB-64602-P2004</t>
  </si>
  <si>
    <t>ELE-SWG-3007</t>
  </si>
  <si>
    <t>B2-DCP-64701-P2006</t>
  </si>
  <si>
    <t>ELE-SWG-3008</t>
  </si>
  <si>
    <t>B2-DCP-64702-P2006</t>
  </si>
  <si>
    <t>ELE-SWG-3009</t>
  </si>
  <si>
    <t>B2-DB-64601-P2007</t>
  </si>
  <si>
    <t>ELE-SWG-3009-1</t>
  </si>
  <si>
    <t>B2-DB-64601-P2008</t>
  </si>
  <si>
    <t>ELE-SWG-3010</t>
  </si>
  <si>
    <t>B2-DCP-64701-P2007</t>
  </si>
  <si>
    <t>ELE-SWG-3011</t>
  </si>
  <si>
    <t>B2-DCP-64702-P2007</t>
  </si>
  <si>
    <t>ELE-SWG-3012</t>
  </si>
  <si>
    <t>B2-DB-64604-P2006</t>
  </si>
  <si>
    <t>ELE-SWG-3013</t>
  </si>
  <si>
    <t>B2-DCP-64701-P2008</t>
  </si>
  <si>
    <t>ELE-SWG-3014</t>
  </si>
  <si>
    <t>B2-DCP-64702-P2008</t>
  </si>
  <si>
    <t>ELE-SWG-3015</t>
  </si>
  <si>
    <t>B2-DB-64601-P2009</t>
  </si>
  <si>
    <t>ELE-SWG-4001</t>
  </si>
  <si>
    <t>B2-DCP-64701-P2009</t>
  </si>
  <si>
    <t>ELE-SWG-4002</t>
  </si>
  <si>
    <t>B2-DCP-64702-P2009</t>
  </si>
  <si>
    <t>ELE-SWG-4003</t>
  </si>
  <si>
    <t>B2-DB-64601-P2010</t>
  </si>
  <si>
    <t>ELE-SWG-4003-001</t>
  </si>
  <si>
    <t>B2-DCP-64701-P2010</t>
  </si>
  <si>
    <t>ELE-SWG-4003-002</t>
  </si>
  <si>
    <t>B2-DCP-64702-P2010</t>
  </si>
  <si>
    <t>ELE-SWG-4003-003</t>
  </si>
  <si>
    <t>B2-DB-64603-P2007</t>
  </si>
  <si>
    <t>ELE-SWG-4004</t>
  </si>
  <si>
    <t>B2-DCP-64701-P2011</t>
  </si>
  <si>
    <t>ELE-SWG-4005</t>
  </si>
  <si>
    <t>B2-DCP-64702-P2011</t>
  </si>
  <si>
    <t>ELE-SWG-4006</t>
  </si>
  <si>
    <t>B2-DB-64604-P2007</t>
  </si>
  <si>
    <t>ELE-SWG-4006-1</t>
  </si>
  <si>
    <t>B2-DB-64604-P2008</t>
  </si>
  <si>
    <t>ELE-SWG-4007</t>
  </si>
  <si>
    <t>B2-DCP-64701-P2012</t>
  </si>
  <si>
    <t>ELE-SWG-4008</t>
  </si>
  <si>
    <t>B2-DCP-64702-P2012</t>
  </si>
  <si>
    <t>ELE-SWG-4009</t>
  </si>
  <si>
    <t>B2-DB-64603-P2008</t>
  </si>
  <si>
    <t>ELE-SWG-4009-1</t>
  </si>
  <si>
    <t>B2-DB-64603-P2009</t>
  </si>
  <si>
    <t>ELE-SWG-4009-004</t>
  </si>
  <si>
    <t>B2-DCP-64701-P2013</t>
  </si>
  <si>
    <t>ELE-SWG-4009-005</t>
  </si>
  <si>
    <t>B2-DCP-64702-P2013</t>
  </si>
  <si>
    <t>ELE-SWG-4009-006</t>
  </si>
  <si>
    <t>B2-DB-64603-P2010</t>
  </si>
  <si>
    <t>ELE-SWG-4010</t>
  </si>
  <si>
    <t>B2-DCP-64701-P2014</t>
  </si>
  <si>
    <t>ELE-SWG-4011</t>
  </si>
  <si>
    <t>B2-DCP-64702-P2014</t>
  </si>
  <si>
    <t>ELE-SWG-4012</t>
  </si>
  <si>
    <t>B2-DB-64603-P2011</t>
  </si>
  <si>
    <t>ELE-SWG-6001</t>
  </si>
  <si>
    <t>B1-DCP-59702-P2009</t>
  </si>
  <si>
    <t>ELE-SWG-6002</t>
  </si>
  <si>
    <t>B1-DCP-59701-P2009</t>
  </si>
  <si>
    <t>ELE-SWG-6003</t>
  </si>
  <si>
    <t>B1-DB-59602-P2006</t>
  </si>
  <si>
    <t>ELE-SWG-6004</t>
  </si>
  <si>
    <t>B1-DCP-59702-P2010</t>
  </si>
  <si>
    <t>ELE-SWG-6005</t>
  </si>
  <si>
    <t>B1-DCP-59701-P2010</t>
  </si>
  <si>
    <t>ELE-SWG-6006</t>
  </si>
  <si>
    <t>B1-DB-59601-P2018</t>
  </si>
  <si>
    <t>ELE-SWG-6007</t>
  </si>
  <si>
    <t>B0-DCP-69701-P2001</t>
  </si>
  <si>
    <t>ELE-SWG-6008</t>
  </si>
  <si>
    <t>B0-DCP-69702-P2001</t>
  </si>
  <si>
    <t>ELE-SWG-6009</t>
  </si>
  <si>
    <t>B1-DB-69603-P2015</t>
  </si>
  <si>
    <t>ELE-SWG-6009-1</t>
  </si>
  <si>
    <t>B1-DB-69603-P2016</t>
  </si>
  <si>
    <t>ELE-SWG-6010</t>
  </si>
  <si>
    <t>B0-DCP-69702-P2002</t>
  </si>
  <si>
    <t>ELE-SWG-6011</t>
  </si>
  <si>
    <t>B0-DCP-69701-P2002</t>
  </si>
  <si>
    <t>ELE-SWG-6012</t>
  </si>
  <si>
    <t>B1-DB-69601-P2016</t>
  </si>
  <si>
    <t>ELE-SWG-6013</t>
  </si>
  <si>
    <t>B0-DCP-69701-P2003</t>
  </si>
  <si>
    <t>ELE-SWG-6014</t>
  </si>
  <si>
    <t>B0-DCP-69702-P2003</t>
  </si>
  <si>
    <t>ELE-SWG-6015</t>
  </si>
  <si>
    <t>B1-DB-69601-P2017</t>
  </si>
  <si>
    <t>ELE-SWG-6015-1</t>
  </si>
  <si>
    <t>B1-DB-69601-P2018</t>
  </si>
  <si>
    <t>ELE-SWG-6016</t>
  </si>
  <si>
    <t>B1-DCP-64701-P2015</t>
  </si>
  <si>
    <t>ELE-SWG-6017</t>
  </si>
  <si>
    <t>B1-DCP-64702-P2015</t>
  </si>
  <si>
    <t>ELE-SWG-6018</t>
  </si>
  <si>
    <t>B1-EDB-64602-P2001</t>
  </si>
  <si>
    <t>ELE-SWG-6018-1</t>
  </si>
  <si>
    <t>B1-EDB-64602-P2002</t>
  </si>
  <si>
    <t>ELE-SWG-6019</t>
  </si>
  <si>
    <t>ELE-SWG-6020</t>
  </si>
  <si>
    <t>B1-DCP-64702-P2016</t>
  </si>
  <si>
    <t>ELE-SWG-6021</t>
  </si>
  <si>
    <t>B1-EDB-64601-P2001</t>
  </si>
  <si>
    <t>ELE-SWG-6021-1</t>
  </si>
  <si>
    <t>B1-EDB-64601-P2002</t>
  </si>
  <si>
    <t>ELE-SWG-7001</t>
  </si>
  <si>
    <t>B2-DCP-59702-P2009</t>
  </si>
  <si>
    <t>ELE-SWG-7002</t>
  </si>
  <si>
    <t>B2-DCP-59701-P2009</t>
  </si>
  <si>
    <t>ELE-SWG-7003</t>
  </si>
  <si>
    <t>B2-DB-59602-P2006</t>
  </si>
  <si>
    <t>ELE-SWG-7004</t>
  </si>
  <si>
    <t>B2-DCP-59702-P2010</t>
  </si>
  <si>
    <t>ELE-SWG-7005</t>
  </si>
  <si>
    <t>B2-DCP-59701-P2010</t>
  </si>
  <si>
    <t>ELE-SWG-7006</t>
  </si>
  <si>
    <t>B2-DB-59601-P2018</t>
  </si>
  <si>
    <t>ELE-SWG-7007</t>
  </si>
  <si>
    <t>B0-DCP-69702-P2004</t>
  </si>
  <si>
    <t>ELE-SWG-7008</t>
  </si>
  <si>
    <t>B0-DCP-69701-P2004</t>
  </si>
  <si>
    <t>ELE-SWG-7009</t>
  </si>
  <si>
    <t>B2-DB-69603-P2015</t>
  </si>
  <si>
    <t>ELE-SWG-7009-1</t>
  </si>
  <si>
    <t>B2-DB-69603-P2016</t>
  </si>
  <si>
    <t>ELE-SWG-7010</t>
  </si>
  <si>
    <t>B0-DCP-69701-P2005</t>
  </si>
  <si>
    <t>ELE-SWG-7011</t>
  </si>
  <si>
    <t>B0-DCP-69702-P2005</t>
  </si>
  <si>
    <t>ELE-SWG-7012</t>
  </si>
  <si>
    <t>B2-DB-69601-P2016</t>
  </si>
  <si>
    <t>ELE-SWG-7013</t>
  </si>
  <si>
    <t>B0-DCP-69702-P2006</t>
  </si>
  <si>
    <t>ELE-SWG-7014</t>
  </si>
  <si>
    <t>B0-DCP-69701-P2006</t>
  </si>
  <si>
    <t>ELE-SWG-7015</t>
  </si>
  <si>
    <t>B2-DB-69601-P2017</t>
  </si>
  <si>
    <t>ELE-SWG-7015-1</t>
  </si>
  <si>
    <t>B2-DB-69601-P2018</t>
  </si>
  <si>
    <t>ELE-SWG-7016</t>
  </si>
  <si>
    <t>B2-DCP-64701-P2015</t>
  </si>
  <si>
    <t>ELE-SWG-7017</t>
  </si>
  <si>
    <t>B2-DCP-64702-P2015</t>
  </si>
  <si>
    <t>ELE-SWG-7018</t>
  </si>
  <si>
    <t>B2-EDB-64602-P2001</t>
  </si>
  <si>
    <t>ELE-SWG-7018-1</t>
  </si>
  <si>
    <t>B2-EDB-64602-P2002</t>
  </si>
  <si>
    <t>ELE-SWG-7019</t>
  </si>
  <si>
    <t>B2-DCP-64701-P2016</t>
  </si>
  <si>
    <t>ELE-SWG-7020</t>
  </si>
  <si>
    <t>B2-DCP-64702-P2016</t>
  </si>
  <si>
    <t>ELE-SWG-7021</t>
  </si>
  <si>
    <t>B2-EDB-64601-P2001</t>
  </si>
  <si>
    <t>ELE-SWG-7021-1</t>
  </si>
  <si>
    <t>B2-EDB-64601-P2002</t>
  </si>
  <si>
    <t>ELE-SWG-0001</t>
  </si>
  <si>
    <t>B0-DCP-64701-P2002</t>
  </si>
  <si>
    <t>ELE-SWG-0002</t>
  </si>
  <si>
    <t>B0-DCP-64702-P2002</t>
  </si>
  <si>
    <t>ELE-SWG-0003</t>
  </si>
  <si>
    <t>B0-DB-64602-P2003</t>
  </si>
  <si>
    <t>ELE-SWG-0004</t>
  </si>
  <si>
    <t>B0-DCP-64701-P2003</t>
  </si>
  <si>
    <t>ELE-SWG-0005</t>
  </si>
  <si>
    <t>B0-DCP-64702-P2003</t>
  </si>
  <si>
    <t>ELE-SWG-0006</t>
  </si>
  <si>
    <t>B0-DB-64601-P2002</t>
  </si>
  <si>
    <t>ELE-SWG-0006-001</t>
  </si>
  <si>
    <t>B0-DCP-64701-P2004</t>
  </si>
  <si>
    <t>ELE-SWG-0006-002</t>
  </si>
  <si>
    <t>B0-DCP-64702-P2004</t>
  </si>
  <si>
    <t>ELE-SWG-0006-003</t>
  </si>
  <si>
    <t>B0-DB-64602-P2004</t>
  </si>
  <si>
    <t>ELE-SWG-0006-004</t>
  </si>
  <si>
    <t>B0-DCP-64701-P2005</t>
  </si>
  <si>
    <t>ELE-SWG-0006-005</t>
  </si>
  <si>
    <t>B0-DCP-64702-P2005</t>
  </si>
  <si>
    <t>ELE-SWG-0006-006</t>
  </si>
  <si>
    <t>B0-DB-64601-P2003</t>
  </si>
  <si>
    <t>ELE-SWG-0008</t>
  </si>
  <si>
    <t>B0-DCP-64702-P2006</t>
  </si>
  <si>
    <t>ELE-SWG-0009</t>
  </si>
  <si>
    <t>B0-DB-64601-P2004</t>
  </si>
  <si>
    <t>ELE-SWG-00009-001</t>
  </si>
  <si>
    <t>B0-DCP-64701-P2007</t>
  </si>
  <si>
    <t>ELE-SWG-00009-002</t>
  </si>
  <si>
    <t>B0-DCP-64702-P2007</t>
  </si>
  <si>
    <t>ELE-SWG-00009-003</t>
  </si>
  <si>
    <t>B0-DB-64602-P2005</t>
  </si>
  <si>
    <t>ELE-SWG-0010</t>
  </si>
  <si>
    <t>B0-DCP-64701-P2008</t>
  </si>
  <si>
    <t>ELE-SWG-0011</t>
  </si>
  <si>
    <t>B0-DCP-64702-P2008</t>
  </si>
  <si>
    <t>ELE-SWG-0012</t>
  </si>
  <si>
    <t>B0-DB-64602-P2006</t>
  </si>
  <si>
    <t>ELE-SWG-0012-2</t>
  </si>
  <si>
    <t>B0-DB-64602-P2007</t>
  </si>
  <si>
    <t>ELE-SWG-0013</t>
  </si>
  <si>
    <t>B0-DCP-64701-P2009</t>
  </si>
  <si>
    <t>ELE-SWG-0014</t>
  </si>
  <si>
    <t>B0-DCP-64702-P2009</t>
  </si>
  <si>
    <t>ELE-SWG-0015</t>
  </si>
  <si>
    <t>B0-DB-64601-P2005</t>
  </si>
  <si>
    <t>ELE-SWG-0015-2</t>
  </si>
  <si>
    <t>B0-DB-64601-P2006</t>
  </si>
  <si>
    <t>ELE-SWG-0016</t>
  </si>
  <si>
    <t>B0-DCP-64701-P2010</t>
  </si>
  <si>
    <t>ELE-SWG-0017</t>
  </si>
  <si>
    <t>B0-DCP-64702-P2010</t>
  </si>
  <si>
    <t>ELE-SWG-0018</t>
  </si>
  <si>
    <t>B0-EDB-64602-P2001</t>
  </si>
  <si>
    <t>ELE-SWG-0019</t>
  </si>
  <si>
    <t>B0-DCP-64701-P2011</t>
  </si>
  <si>
    <t>ELE-SWG-0020</t>
  </si>
  <si>
    <t>B0-DCP-64702-P2011</t>
  </si>
  <si>
    <t>ELE-SWG-0021</t>
  </si>
  <si>
    <t>B0-EDB-64601-P2001</t>
  </si>
  <si>
    <t>ELE-SWG-0022</t>
  </si>
  <si>
    <t>B0-DCP-64701-P2012</t>
  </si>
  <si>
    <t>2C x 16sqmm</t>
  </si>
  <si>
    <t>ELE-SWG-0023</t>
  </si>
  <si>
    <t>B0-DCP-64702-P2012</t>
  </si>
  <si>
    <t>ELE-SWG-0024</t>
  </si>
  <si>
    <t>B0-DB-49602-P2002</t>
  </si>
  <si>
    <t>ELE-SWG-0024-1</t>
  </si>
  <si>
    <t>B0-DB-49602-P2003</t>
  </si>
  <si>
    <t>ELE-SWG-0025</t>
  </si>
  <si>
    <t>B0-DCP-64702-P2013</t>
  </si>
  <si>
    <t>ELE-SWG-0026</t>
  </si>
  <si>
    <t>B0-DCP-64701-P2013</t>
  </si>
  <si>
    <t>ELE-SWG-0027</t>
  </si>
  <si>
    <t>B0-DB-49601-P2002</t>
  </si>
  <si>
    <t>ELE-SWG-0027-1</t>
  </si>
  <si>
    <t>B0-DB-49601-P2003</t>
  </si>
  <si>
    <t>ELE-SWG-0036</t>
  </si>
  <si>
    <t>B0-DB-72602-P2005</t>
  </si>
  <si>
    <t>ELE-SWG-0039</t>
  </si>
  <si>
    <t>B0-DB-72601-P2007</t>
  </si>
  <si>
    <t>ELE-DU-6001</t>
  </si>
  <si>
    <t>B1-DB-64601-P2007</t>
  </si>
  <si>
    <t>ELE-DU-6002</t>
  </si>
  <si>
    <t>B1-DB-64602-P2010</t>
  </si>
  <si>
    <t>ELE-DU-6003</t>
  </si>
  <si>
    <t>B1-DCP-64701-P2017</t>
  </si>
  <si>
    <t>1C x 500sqmm</t>
  </si>
  <si>
    <t>B1-DCP-64701-P2018</t>
  </si>
  <si>
    <t>ELE-DU-6004</t>
  </si>
  <si>
    <t>B1-DCP-64702-P2017</t>
  </si>
  <si>
    <t>B1-DCP-64702-P2018</t>
  </si>
  <si>
    <t>ELE-DU-6005</t>
  </si>
  <si>
    <t>B1-DB-59601-P2019</t>
  </si>
  <si>
    <t>ELE-DU-6006</t>
  </si>
  <si>
    <t>B1-UPSP-64701-P2008</t>
  </si>
  <si>
    <t>ELE-DU-6007</t>
  </si>
  <si>
    <t>B1-UPSP-64702-P2007</t>
  </si>
  <si>
    <t>ELE-DU-6008</t>
  </si>
  <si>
    <t>B1-DB-59602-P2007</t>
  </si>
  <si>
    <t>ELE-DU-6009</t>
  </si>
  <si>
    <t>B1-ESWG-64601-P2005</t>
  </si>
  <si>
    <t>B1-ESWG-64601-P2006</t>
  </si>
  <si>
    <t>B1-ESWG-64601-P2007</t>
  </si>
  <si>
    <t>B1-ESWG-64601-P2008</t>
  </si>
  <si>
    <t>B1-ESWG-64601-P2009</t>
  </si>
  <si>
    <t>B1-ESWG-64601-P2010</t>
  </si>
  <si>
    <t>B1-ESWG-64601-P2011</t>
  </si>
  <si>
    <t>B1-ESWG-64601-P2012</t>
  </si>
  <si>
    <t>ELE-DU-6010</t>
  </si>
  <si>
    <t>B1-ESWG-64602-P2005</t>
  </si>
  <si>
    <t>B1-ESWG-64602-P2006</t>
  </si>
  <si>
    <t>B1-ESWG-64602-P2007</t>
  </si>
  <si>
    <t>B1-ESWG-64602-P2008</t>
  </si>
  <si>
    <t>B1-ESWG-64602-P2009</t>
  </si>
  <si>
    <t>B1-ESWG-64602-P2010</t>
  </si>
  <si>
    <t>B1-ESWG-64602-P2011</t>
  </si>
  <si>
    <t>B1-ESWG-64602-P2012</t>
  </si>
  <si>
    <t>ELE-DU-6011</t>
  </si>
  <si>
    <t>B1-DCP-64701-P2023</t>
  </si>
  <si>
    <t>B1-DCP-64701-P2024</t>
  </si>
  <si>
    <t>B1-DCP-64701-P2025</t>
  </si>
  <si>
    <t>B1-DCP-64701-P2026</t>
  </si>
  <si>
    <t>ELE-DU-6012</t>
  </si>
  <si>
    <t>B1-DCP-64702-P2023</t>
  </si>
  <si>
    <t>B1-DCP-64702-P2024</t>
  </si>
  <si>
    <t>B1-DCP-64702-P2025</t>
  </si>
  <si>
    <t>B1-DCP-64702-P2026</t>
  </si>
  <si>
    <t>ELE-DU-6013</t>
  </si>
  <si>
    <t>B1-EMCC-64601-P2006</t>
  </si>
  <si>
    <t>ELE-DU-6014</t>
  </si>
  <si>
    <t>B1-EMCC-64602-P2005</t>
  </si>
  <si>
    <t>ELE-DU-6015</t>
  </si>
  <si>
    <t>B1-DB-64602-P2011</t>
  </si>
  <si>
    <t>ELE-DU-6016</t>
  </si>
  <si>
    <t>B1-UPSP-64701-P2015</t>
  </si>
  <si>
    <t>ELE-DU-6017</t>
  </si>
  <si>
    <t>B1-UPSP-64702-P2014</t>
  </si>
  <si>
    <t>ELE-DU-7001</t>
  </si>
  <si>
    <t>B2-DB-64601-P2011</t>
  </si>
  <si>
    <t>ELE-DU-7002</t>
  </si>
  <si>
    <t>B2-DB-64602-P2005</t>
  </si>
  <si>
    <t>ELE-DU-7003</t>
  </si>
  <si>
    <t>B2-DCP-64701-P2017</t>
  </si>
  <si>
    <t>1C x 400sqmm</t>
  </si>
  <si>
    <t>B2-DCP-64701-P2018</t>
  </si>
  <si>
    <t>ELE-DU-7004</t>
  </si>
  <si>
    <t>B2-DCP-64702-P2017</t>
  </si>
  <si>
    <t>B2-DCP-64702-P2018</t>
  </si>
  <si>
    <t>ELE-DU-7005</t>
  </si>
  <si>
    <t>B2-DB-59601-P2019</t>
  </si>
  <si>
    <t>ELE-DU-7006</t>
  </si>
  <si>
    <t>B2-UPSP-64701-P2008</t>
  </si>
  <si>
    <t>ELE-DU-7007</t>
  </si>
  <si>
    <t>ELE-DU-7008</t>
  </si>
  <si>
    <t>B2-DB-59602-P2007</t>
  </si>
  <si>
    <t>ELE-DU-7009</t>
  </si>
  <si>
    <t>B2-ESWG-64601-P2005</t>
  </si>
  <si>
    <t>B2-ESWG-64601-P2006</t>
  </si>
  <si>
    <t>B2-ESWG-64601-P2007</t>
  </si>
  <si>
    <t>B2-ESWG-64601-P2008</t>
  </si>
  <si>
    <t>B2-ESWG-64601-P2009</t>
  </si>
  <si>
    <t>B2-ESWG-64601-P2010</t>
  </si>
  <si>
    <t>B2-ESWG-64601-P2011</t>
  </si>
  <si>
    <t>B2-ESWG-64601-P2012</t>
  </si>
  <si>
    <t>ELE-DU-7010</t>
  </si>
  <si>
    <t>B2-ESWG-64602-P2005</t>
  </si>
  <si>
    <t>B2-ESWG-64602-P2006</t>
  </si>
  <si>
    <t>B2-ESWG-64602-P2007</t>
  </si>
  <si>
    <t>B2-ESWG-64602-P2008</t>
  </si>
  <si>
    <t>B2-ESWG-64602-P2009</t>
  </si>
  <si>
    <t>B2-ESWG-64602-P2010</t>
  </si>
  <si>
    <t>B2-ESWG-64602-P2011</t>
  </si>
  <si>
    <t>B2-ESWG-64602-P2012</t>
  </si>
  <si>
    <t>ELE-DU-7011</t>
  </si>
  <si>
    <t>B2-DCP-64701-P2021</t>
  </si>
  <si>
    <t>B2-DCP-64701-P2022</t>
  </si>
  <si>
    <t>B2-DCP-64701-P2023</t>
  </si>
  <si>
    <t>B2-DCP-64701-P2024</t>
  </si>
  <si>
    <t>ELE-DU-7012</t>
  </si>
  <si>
    <t>B2-DCP-64702-P2021</t>
  </si>
  <si>
    <t>B2-DCP-64702-P2022</t>
  </si>
  <si>
    <t>B2-DCP-64702-P2023</t>
  </si>
  <si>
    <t>B2-DCP-64702-P2024</t>
  </si>
  <si>
    <t>ELE-DU-7013</t>
  </si>
  <si>
    <t>B2-EMCC-64601-P2006</t>
  </si>
  <si>
    <t>ELE-DU-7014</t>
  </si>
  <si>
    <t>B2-EMCC-64602-P2005</t>
  </si>
  <si>
    <t>ELE-DU-7015</t>
  </si>
  <si>
    <t>B2-DB-64602-P2006</t>
  </si>
  <si>
    <t>ELE-DU-7016</t>
  </si>
  <si>
    <t>B2-UPSP-64701-P2012</t>
  </si>
  <si>
    <t>ELE-DU-7017</t>
  </si>
  <si>
    <t>ELE-DU-0001</t>
  </si>
  <si>
    <t>B0-DB-64601-P2007</t>
  </si>
  <si>
    <t>ELE-DU-0002</t>
  </si>
  <si>
    <t>B0-DB-64601-P2008</t>
  </si>
  <si>
    <t>ELE-DU-0006</t>
  </si>
  <si>
    <t>B0-UPSP-64701-P2008</t>
  </si>
  <si>
    <t>ELE-DU-0007</t>
  </si>
  <si>
    <t>B0-UPSP-64702-P2009</t>
  </si>
  <si>
    <t>ELE-DU-0008</t>
  </si>
  <si>
    <t>B1-DB-69603-P2017</t>
  </si>
  <si>
    <t>ELE-DU-0009</t>
  </si>
  <si>
    <t>B0-ESWG-64601-P2001</t>
  </si>
  <si>
    <t>B0-ESWG-64601-P2002</t>
  </si>
  <si>
    <t>B0-ESWG-64601-P2003</t>
  </si>
  <si>
    <t>B0-ESWG-64601-P2004</t>
  </si>
  <si>
    <t>B0-ESWG-64601-P2005</t>
  </si>
  <si>
    <t>B0-ESWG-64601-P2006</t>
  </si>
  <si>
    <t>B0-ESWG-64601-P2007</t>
  </si>
  <si>
    <t>B0-ESWG-64601-P2008</t>
  </si>
  <si>
    <t>ELE-DU-0010</t>
  </si>
  <si>
    <t>B0-ESWG-64602-P2001</t>
  </si>
  <si>
    <t>B0-ESWG-64602-P2002</t>
  </si>
  <si>
    <t>B0-ESWG-64602-P2003</t>
  </si>
  <si>
    <t>B0-ESWG-64602-P2004</t>
  </si>
  <si>
    <t>B0-ESWG-64602-P2005</t>
  </si>
  <si>
    <t>B0-ESWG-64602-P2006</t>
  </si>
  <si>
    <t>B0-ESWG-64602-P2007</t>
  </si>
  <si>
    <t>B0-ESWG-64602-P2008</t>
  </si>
  <si>
    <t>ELE-DU-0011</t>
  </si>
  <si>
    <t>B0-DCP-64701-P2014</t>
  </si>
  <si>
    <t>B0-DCP-64701-P2015</t>
  </si>
  <si>
    <t>B0-DCP-64701-P2016</t>
  </si>
  <si>
    <t>B0-DCP-64701-P2017</t>
  </si>
  <si>
    <t>ELE-DU-0012</t>
  </si>
  <si>
    <t>B0-DCP-64702-P2014</t>
  </si>
  <si>
    <t>B0-DCP-64702-P2015</t>
  </si>
  <si>
    <t>B0-DCP-64702-P2016</t>
  </si>
  <si>
    <t>B0-DCP-64702-P2017</t>
  </si>
  <si>
    <t>ELE-DU-0013</t>
  </si>
  <si>
    <t>B0-EMCC-64601-P2004</t>
  </si>
  <si>
    <t>ELE-DU-0014</t>
  </si>
  <si>
    <t>B0-EMCC-64602-P2003</t>
  </si>
  <si>
    <t>ELE-DU-0015</t>
  </si>
  <si>
    <t>B0-DB-64601-P2009</t>
  </si>
  <si>
    <t>ELE-DU-0016</t>
  </si>
  <si>
    <t>B0-DCP-64701-P2018</t>
  </si>
  <si>
    <t>B0-DCP-64701-P2019</t>
  </si>
  <si>
    <t>ELE-DU-0017</t>
  </si>
  <si>
    <t>B0-DCP-64702-P2018</t>
  </si>
  <si>
    <t>B0-DCP-64702-P2019</t>
  </si>
  <si>
    <t>ELE-DU-0018</t>
  </si>
  <si>
    <t>B1-DB-69601-P2019</t>
  </si>
  <si>
    <t>ELE-PRP-1001</t>
  </si>
  <si>
    <t>B1-DCP-64701-P2027</t>
  </si>
  <si>
    <t>ELE-PRP-1002</t>
  </si>
  <si>
    <t>B1-DCP-64702-P2027</t>
  </si>
  <si>
    <t>ELE-PRP-1003</t>
  </si>
  <si>
    <t>B1-DB-64601-P2008</t>
  </si>
  <si>
    <t>ELE-PRP-1004</t>
  </si>
  <si>
    <t>B1-DCP-64701-P2028</t>
  </si>
  <si>
    <t>ELE-PRP-1005</t>
  </si>
  <si>
    <t>B1-DCP-64702-P2028</t>
  </si>
  <si>
    <t>ELE-PRP-1006</t>
  </si>
  <si>
    <t>B1-DB-64602-P2012</t>
  </si>
  <si>
    <t>ELE-PRP-1007</t>
  </si>
  <si>
    <t>B1-DCP-64702-P2029</t>
  </si>
  <si>
    <t>ELE-PRP-1008</t>
  </si>
  <si>
    <t>B1-DCP-64701-P2029</t>
  </si>
  <si>
    <t>ELE-PRP-1009</t>
  </si>
  <si>
    <t>B1-DB-64602-P2013</t>
  </si>
  <si>
    <t>ELE-PRP-2001</t>
  </si>
  <si>
    <t>B1-DCP-64702-P2030</t>
  </si>
  <si>
    <t>ELE-PRP-2002</t>
  </si>
  <si>
    <t>B1-DCP-64701-P2030</t>
  </si>
  <si>
    <t>ELE-PRP-2003</t>
  </si>
  <si>
    <t>B1-DB-64604-P2009</t>
  </si>
  <si>
    <t>ELE-PRP-2004</t>
  </si>
  <si>
    <t>B1-DCP-64701-P2031</t>
  </si>
  <si>
    <t>ELE-PRP-2005</t>
  </si>
  <si>
    <t>B1-DCP-64702-P2031</t>
  </si>
  <si>
    <t>ELE-PRP-2006</t>
  </si>
  <si>
    <t>B1-DB-64603-P2010</t>
  </si>
  <si>
    <t>ELE-PRP-2007</t>
  </si>
  <si>
    <t>B1-DCP-64702-P2032</t>
  </si>
  <si>
    <t>ELE-PRP-2008</t>
  </si>
  <si>
    <t>B1-DCP-64701-P2032</t>
  </si>
  <si>
    <t>ELE-PRP-2009</t>
  </si>
  <si>
    <t>B1-DB-64603-P2011</t>
  </si>
  <si>
    <t>ELE-PRP-3001</t>
  </si>
  <si>
    <t>B2-DCP-64701-P2025</t>
  </si>
  <si>
    <t>ELE-PRP-3002</t>
  </si>
  <si>
    <t>B2-DCP-64702-P2025</t>
  </si>
  <si>
    <t>ELE-PRP-3003</t>
  </si>
  <si>
    <t>B2-DB-64601-P2012</t>
  </si>
  <si>
    <t>ELE-PRP-3004</t>
  </si>
  <si>
    <t>B2-DCP-64701-P2026</t>
  </si>
  <si>
    <t>ELE-PRP-3005</t>
  </si>
  <si>
    <t>B2-DCP-64702-P2026</t>
  </si>
  <si>
    <t>ELE-PRP-3006</t>
  </si>
  <si>
    <t>B2-DB-64601-P2013</t>
  </si>
  <si>
    <t>ELE-PRP-3007</t>
  </si>
  <si>
    <t>B2-DCP-64702-P2027</t>
  </si>
  <si>
    <t>ELE-PRP-3008</t>
  </si>
  <si>
    <t>B2-DCP-64701-P2027</t>
  </si>
  <si>
    <t>ELE-PRP-3009</t>
  </si>
  <si>
    <t>B2-DB-64601-P2014</t>
  </si>
  <si>
    <t>ELE-PRP-4001</t>
  </si>
  <si>
    <t>B2-DCP-64702-P2028</t>
  </si>
  <si>
    <t>ELE-PRP-4002</t>
  </si>
  <si>
    <t>B2-DCP-64701-P2028</t>
  </si>
  <si>
    <t>ELE-PRP-4003</t>
  </si>
  <si>
    <t>B2-DB-64604-P2009</t>
  </si>
  <si>
    <t>ELE-PRP-4004</t>
  </si>
  <si>
    <t>B2-DCP-64701-P2029</t>
  </si>
  <si>
    <t>ELE-PRP-4005</t>
  </si>
  <si>
    <t>B2-DCP-64702-P2029</t>
  </si>
  <si>
    <t>ELE-PRP-4006</t>
  </si>
  <si>
    <t>B2-DB-64603-P2012</t>
  </si>
  <si>
    <t>ELE-PRP-4007</t>
  </si>
  <si>
    <t>B2-DCP-64702-P2030</t>
  </si>
  <si>
    <t>ELE-PRP-4008</t>
  </si>
  <si>
    <t>B2-DCP-64701-P2030</t>
  </si>
  <si>
    <t>ELE-PRP-4009</t>
  </si>
  <si>
    <t>B2-DB-64603-P2013</t>
  </si>
  <si>
    <t>ELE-PRP-5001</t>
  </si>
  <si>
    <t>B1-DCP-64702-P2033</t>
  </si>
  <si>
    <t>ELE-PRP-5002</t>
  </si>
  <si>
    <t>B1-DCP-64701-P2033</t>
  </si>
  <si>
    <t>ELE-PRP-5003</t>
  </si>
  <si>
    <t>B1-DB-64603-P2012</t>
  </si>
  <si>
    <t>ELE-PRP-5004</t>
  </si>
  <si>
    <t>B1-DCP-64702-P2034</t>
  </si>
  <si>
    <t>ELE-PRP-5005</t>
  </si>
  <si>
    <t>B1-DCP-64701-P2034</t>
  </si>
  <si>
    <t>ELE-PRP-5006</t>
  </si>
  <si>
    <t>B1-DB-64603-P2013</t>
  </si>
  <si>
    <t>ELE-PRP-6001</t>
  </si>
  <si>
    <t>B2-DCP-64702-P2031</t>
  </si>
  <si>
    <t>ELE-PRP-6002</t>
  </si>
  <si>
    <t>B2-DCP-64701-P2031</t>
  </si>
  <si>
    <t>ELE-PRP-6003</t>
  </si>
  <si>
    <t>B2-DB-64603-P2014</t>
  </si>
  <si>
    <t>ELE-PRP-6004</t>
  </si>
  <si>
    <t>B2-DCP-64702-P2032</t>
  </si>
  <si>
    <t>ELE-PRP-6005</t>
  </si>
  <si>
    <t>B2-DCP-64701-P2032</t>
  </si>
  <si>
    <t>ELE-PRP-6006</t>
  </si>
  <si>
    <t>B2-DB-64603-P2015</t>
  </si>
  <si>
    <t>ELE-PRP-7001</t>
  </si>
  <si>
    <t>B0-DCP-64702-P2022</t>
  </si>
  <si>
    <t>ELE-PRP-7002</t>
  </si>
  <si>
    <t>B0-DCP-64701-P2022</t>
  </si>
  <si>
    <t>ELE-PRP-7003</t>
  </si>
  <si>
    <t>B0-DB-64602-P2008</t>
  </si>
  <si>
    <t>ELE-FMS-1001</t>
  </si>
  <si>
    <t>B1-UPSP-64701-P2009</t>
  </si>
  <si>
    <t>ELE-FMS-1002</t>
  </si>
  <si>
    <t>ELE-FMS-1003</t>
  </si>
  <si>
    <t>B1-DB-64601-P2009</t>
  </si>
  <si>
    <t>ELE-FMS-1004</t>
  </si>
  <si>
    <t>B1-UPSP-64702-P2009</t>
  </si>
  <si>
    <t>ELE-FMS-1005</t>
  </si>
  <si>
    <t>B1-UPSP-64701-P2010</t>
  </si>
  <si>
    <t>ELE-FMS-1006</t>
  </si>
  <si>
    <t>B1-DB-64603-P2014</t>
  </si>
  <si>
    <t>ELE-FMS-1007</t>
  </si>
  <si>
    <t>B0-UPSP-69701-P2005</t>
  </si>
  <si>
    <t>ELE-FMS-1008</t>
  </si>
  <si>
    <t>B0-UPSP-69702-P2005</t>
  </si>
  <si>
    <t>ELE-FMS-1009</t>
  </si>
  <si>
    <t>B1-DB-69603-P2018</t>
  </si>
  <si>
    <t>ELE-FMS-2001</t>
  </si>
  <si>
    <t>B2-UPSP-64701-P2009</t>
  </si>
  <si>
    <t>ELE-FMS-2002</t>
  </si>
  <si>
    <t>B2-UPSP-64702-P2008</t>
  </si>
  <si>
    <t>ELE-FMS-2003</t>
  </si>
  <si>
    <t>B2-DB-64601-P2015</t>
  </si>
  <si>
    <t>ELE-FMS-2004</t>
  </si>
  <si>
    <t>B2-UPSP-64702-P2009</t>
  </si>
  <si>
    <t>ELE-FMS-2005</t>
  </si>
  <si>
    <t>B2-UPSP-64701-P2010</t>
  </si>
  <si>
    <t>ELE-FMS-2006</t>
  </si>
  <si>
    <t>B2-DB-64603-P2017</t>
  </si>
  <si>
    <t>ELE-FMS-2007</t>
  </si>
  <si>
    <t>B0-UPSP-69702-P2006</t>
  </si>
  <si>
    <t>ELE-FMS-2008</t>
  </si>
  <si>
    <t>B0-UPSP-69701-P2006</t>
  </si>
  <si>
    <t>ELE-FMS-2009</t>
  </si>
  <si>
    <t>B2-DB-69601-P2019</t>
  </si>
  <si>
    <t>ELE-FMS-3001</t>
  </si>
  <si>
    <t>B1-UPSP-59702-P2004</t>
  </si>
  <si>
    <t>ELE-FMS-3002</t>
  </si>
  <si>
    <t>B1-UPSP-59701-P2004</t>
  </si>
  <si>
    <t>ELE-FMS-3003</t>
  </si>
  <si>
    <t>B1-DB-59601-P2020</t>
  </si>
  <si>
    <t>ELE-FMS-0001</t>
  </si>
  <si>
    <t>B0-UPSP-64701-P2009</t>
  </si>
  <si>
    <t>ELE-FMS-0002</t>
  </si>
  <si>
    <t>ELE-FMS-0003</t>
  </si>
  <si>
    <t>B0-DB-64602-P2009</t>
  </si>
  <si>
    <t>ELE-FMS-0004</t>
  </si>
  <si>
    <t>ELE-FMS-0005</t>
  </si>
  <si>
    <t>B0-UPSP-64701-P2010</t>
  </si>
  <si>
    <t>ELE-FMS-0006</t>
  </si>
  <si>
    <t>B0-DB-64602-P2010</t>
  </si>
  <si>
    <t>ELE-FMS-0007</t>
  </si>
  <si>
    <t>B0-UPSP-64701-P2011</t>
  </si>
  <si>
    <t>ELE-FMS-0008</t>
  </si>
  <si>
    <t>B0-UPSP-64702-P2012</t>
  </si>
  <si>
    <t>ELE-FMS-0009</t>
  </si>
  <si>
    <t>B0-DB-64602-P2002</t>
  </si>
  <si>
    <t>ELE-FMS-0010</t>
  </si>
  <si>
    <t>B0-UPSP-64702-P2013</t>
  </si>
  <si>
    <t>ELE-FMS-0011</t>
  </si>
  <si>
    <t>B0-UPSP-64701-P2012</t>
  </si>
  <si>
    <t>ELE-FMS-0012</t>
  </si>
  <si>
    <t>B0-DB-49602-P2004</t>
  </si>
  <si>
    <t>ELE-AIS-0001</t>
  </si>
  <si>
    <t>B0-SWG-64601-P2001</t>
  </si>
  <si>
    <t>B0-SWG-64601-P2002</t>
  </si>
  <si>
    <t>B0-SWG-64601-P2003</t>
  </si>
  <si>
    <t>B0-SWG-64601-P2004</t>
  </si>
  <si>
    <t>B0-SWG-64601-P2005</t>
  </si>
  <si>
    <t>B0-SWG-64601-P2006</t>
  </si>
  <si>
    <t>B0-SWG-64601-P2007</t>
  </si>
  <si>
    <t>B0-SWG-64601-P2008</t>
  </si>
  <si>
    <t>B0-SWG-64601-P2009</t>
  </si>
  <si>
    <t>B0-SWG-64601-P2010</t>
  </si>
  <si>
    <t>B0-SWG-64601-P2011</t>
  </si>
  <si>
    <t>B0-SWG-64601-P2012</t>
  </si>
  <si>
    <t>B0-SWG-64601-P2013</t>
  </si>
  <si>
    <t>B0-SWG-64601-P2014</t>
  </si>
  <si>
    <t>ELE-AIS-0002</t>
  </si>
  <si>
    <t>B0-SWG-64602-P2001</t>
  </si>
  <si>
    <t>B0-SWG-64602-P2002</t>
  </si>
  <si>
    <t>B0-SWG-64602-P2003</t>
  </si>
  <si>
    <t>B0-SWG-64602-P2004</t>
  </si>
  <si>
    <t>B0-SWG-64602-P2005</t>
  </si>
  <si>
    <t>B0-SWG-64602-P2006</t>
  </si>
  <si>
    <t>B0-SWG-64602-P2007</t>
  </si>
  <si>
    <t>B0-SWG-64602-P2008</t>
  </si>
  <si>
    <t>B0-SWG-64602-P2009</t>
  </si>
  <si>
    <t>B0-SWG-64602-P2010</t>
  </si>
  <si>
    <t>B0-SWG-64602-P2011</t>
  </si>
  <si>
    <t>B0-SWG-64602-P2012</t>
  </si>
  <si>
    <t>B0-SWG-64602-P2013</t>
  </si>
  <si>
    <t>B0-SWG-64602-P2014</t>
  </si>
  <si>
    <t>ELE-AIS-0003</t>
  </si>
  <si>
    <t>B1-DB-64601-P2010</t>
  </si>
  <si>
    <t>ELE-AIS-0004</t>
  </si>
  <si>
    <t>B1-DCP-64701-P2035</t>
  </si>
  <si>
    <t>ELE-AIS-0005</t>
  </si>
  <si>
    <t>B1-DCP-64702-P2035</t>
  </si>
  <si>
    <t>ELE-AIS-0006</t>
  </si>
  <si>
    <t>B2-DB-64603-P2019</t>
  </si>
  <si>
    <t>ELE-AIS-0006-1</t>
  </si>
  <si>
    <t>B2-DB-64602-P2009</t>
  </si>
  <si>
    <t>ELE-AIS-0007</t>
  </si>
  <si>
    <t>B2-DCP-64701-P2033</t>
  </si>
  <si>
    <t>ELE-AIS-0008</t>
  </si>
  <si>
    <t>B2-DCP-64702-P2033</t>
  </si>
  <si>
    <t>ELE-TRF-6001</t>
  </si>
  <si>
    <t>B1-SWG-64301-P1004</t>
  </si>
  <si>
    <t>ELE-TRF-6002</t>
  </si>
  <si>
    <t>B1-SWG-64302-P1004</t>
  </si>
  <si>
    <t>ELE-TRF-6003</t>
  </si>
  <si>
    <t>B1-SWG-64301-P1005</t>
  </si>
  <si>
    <t>ELE-TRF-6004</t>
  </si>
  <si>
    <t>B1-SWG-64302-P1005</t>
  </si>
  <si>
    <t>ELE-TRF-6005</t>
  </si>
  <si>
    <t>B1-SWG-64303-P1005</t>
  </si>
  <si>
    <t>ELE-TRF-6006</t>
  </si>
  <si>
    <t>B0-SWG-64301-P1003</t>
  </si>
  <si>
    <t>ELE-TRF-6006-001</t>
  </si>
  <si>
    <t>B1-SWG-64303-P1006</t>
  </si>
  <si>
    <t>ELE-TRF-6006-002</t>
  </si>
  <si>
    <t>B1-SWG-64304-P1004</t>
  </si>
  <si>
    <t>ELE-TRF-6007</t>
  </si>
  <si>
    <t>B1-SWG-64303-P1007</t>
  </si>
  <si>
    <t>ELE-TRF-6008</t>
  </si>
  <si>
    <t>B2-SWG-64304-P1004</t>
  </si>
  <si>
    <t>ELE-TRF-6008-001</t>
  </si>
  <si>
    <t>B1-SWG-64304-P1005</t>
  </si>
  <si>
    <t>ELE-TRF-7001</t>
  </si>
  <si>
    <t>B2-SWG-64301-P1004</t>
  </si>
  <si>
    <t>ELE-TRF-7002</t>
  </si>
  <si>
    <t>B2-SWG-64302-P1004</t>
  </si>
  <si>
    <t>ELE-TRF-7003</t>
  </si>
  <si>
    <t>B2-SWG-64301-P1005</t>
  </si>
  <si>
    <t>ELE-TRF-7004</t>
  </si>
  <si>
    <t>B2-SWG-64302-P1005</t>
  </si>
  <si>
    <t>ELE-TRF-7007</t>
  </si>
  <si>
    <t>B2-SWG-64303-P1005</t>
  </si>
  <si>
    <t>ELE-TRF-7008</t>
  </si>
  <si>
    <t>B0-SWG-64302-P1003</t>
  </si>
  <si>
    <t>ELE-TRF-7008-001</t>
  </si>
  <si>
    <t>B2-SWG-64303-P1006</t>
  </si>
  <si>
    <t>ELE-TRF-7008-002</t>
  </si>
  <si>
    <t>B2-SWG-64304-P1005</t>
  </si>
  <si>
    <t>ELE-TRF-7009</t>
  </si>
  <si>
    <t>B2-SWG-64303-P1007</t>
  </si>
  <si>
    <t>ELE-TRF-7009-001</t>
  </si>
  <si>
    <t>B1-SWG-64304-P1006</t>
  </si>
  <si>
    <t>ELE-TRF-7009-002</t>
  </si>
  <si>
    <t>B2-SWG-64304-P1006</t>
  </si>
  <si>
    <t>ELE-TR-0001</t>
  </si>
  <si>
    <t>B0-SWG-64301-P1004</t>
  </si>
  <si>
    <t>ELE-TR-0002</t>
  </si>
  <si>
    <t>B0-SWG-64302-P1004</t>
  </si>
  <si>
    <t>ELE-TR-0003</t>
  </si>
  <si>
    <t>B0-SWG-64301-P1005</t>
  </si>
  <si>
    <t>ELE-TR-0004</t>
  </si>
  <si>
    <t>B0-SWG-64302-P1005</t>
  </si>
  <si>
    <t>ELE-TR-0005</t>
  </si>
  <si>
    <t>ELE-TR-0006</t>
  </si>
  <si>
    <t>B0-SWG-64302-P1006</t>
  </si>
  <si>
    <t>ELE-TIE-6001</t>
  </si>
  <si>
    <t>B1-SWG-64301-P1006</t>
  </si>
  <si>
    <t>B1-SWG-64301-P1007</t>
  </si>
  <si>
    <t>B1-SWG-64301-P1008</t>
  </si>
  <si>
    <t>B1-SWG-64301-P1009</t>
  </si>
  <si>
    <t>B1-SWG-64301-P1010</t>
  </si>
  <si>
    <t>B1-SWG-64301-P1011</t>
  </si>
  <si>
    <t>ELE-TIE-6002</t>
  </si>
  <si>
    <t>B1-SWG-64302-P1006</t>
  </si>
  <si>
    <t>B1-SWG-64302-P1007</t>
  </si>
  <si>
    <t>B1-SWG-64302-P1008</t>
  </si>
  <si>
    <t>B1-SWG-64302-P1009</t>
  </si>
  <si>
    <t>B1-SWG-64302-P1010</t>
  </si>
  <si>
    <t>B1-SWG-64302-P1011</t>
  </si>
  <si>
    <t>ELE-TIE-6003</t>
  </si>
  <si>
    <t>B0-SWG-64303-P1002</t>
  </si>
  <si>
    <t>B0-SWG-64303-P1003</t>
  </si>
  <si>
    <t>ELE-TIE-6004</t>
  </si>
  <si>
    <t>B0-SWG-64303-P1004</t>
  </si>
  <si>
    <t>B0-SWG-64303-P1005</t>
  </si>
  <si>
    <t>B0-SWG-64303-P1006</t>
  </si>
  <si>
    <t>ELE-TIE-6005</t>
  </si>
  <si>
    <t>B0-SWG-64304-P1001</t>
  </si>
  <si>
    <t>B0-SWG-64304-P1002</t>
  </si>
  <si>
    <t>B0-SWG-64304-P1003</t>
  </si>
  <si>
    <t>ELE-TIE-6006</t>
  </si>
  <si>
    <t>B0-SWG-64304-P1004</t>
  </si>
  <si>
    <t>B0-SWG-64304-P1005</t>
  </si>
  <si>
    <t>B0-SWG-64304-P1006</t>
  </si>
  <si>
    <t>ELE-TIE-7002</t>
  </si>
  <si>
    <t>B2-SWG-64301-P1006</t>
  </si>
  <si>
    <t>B2-SWG-64301-P1007</t>
  </si>
  <si>
    <t>B2-SWG-64301-P1008</t>
  </si>
  <si>
    <t>B2-SWG-64301-P1009</t>
  </si>
  <si>
    <t>B2-SWG-64301-P1010</t>
  </si>
  <si>
    <t>B2-SWG-64301-P1011</t>
  </si>
  <si>
    <t>ELE-TIE-7004</t>
  </si>
  <si>
    <t>B2-SWG-64302-P1006</t>
  </si>
  <si>
    <t>B2-SWG-64302-P1007</t>
  </si>
  <si>
    <t>B2-SWG-64302-P1008</t>
  </si>
  <si>
    <t>B2-SWG-64302-P1009</t>
  </si>
  <si>
    <t>B2-SWG-64302-P1010</t>
  </si>
  <si>
    <t>B2-SWG-64302-P1011</t>
  </si>
  <si>
    <t>ELE-TIE-7006</t>
  </si>
  <si>
    <t>B0-SWG-64303-P1007</t>
  </si>
  <si>
    <t>B0-SWG-64303-P1008</t>
  </si>
  <si>
    <t>B0-SWG-64303-P1009</t>
  </si>
  <si>
    <t>ELE-TIE-7007</t>
  </si>
  <si>
    <t>B0-SWG-64303-P1010</t>
  </si>
  <si>
    <t>B0-SWG-64303-P1011</t>
  </si>
  <si>
    <t>B0-SWG-64303-P1012</t>
  </si>
  <si>
    <t>ELE-TIE-7008</t>
  </si>
  <si>
    <t>B0-SWG-64304-P1007</t>
  </si>
  <si>
    <t>B0-SWG-64304-P1008</t>
  </si>
  <si>
    <t>B0-SWG-64304-P1009</t>
  </si>
  <si>
    <t>ELE-TIE-7009</t>
  </si>
  <si>
    <t>B0-SWG-64304-P1010</t>
  </si>
  <si>
    <t>B0-SWG-64304-P1011</t>
  </si>
  <si>
    <t>B0-SWG-64304-P1012</t>
  </si>
  <si>
    <t>ELE-INT-6001</t>
  </si>
  <si>
    <t>B1-XFR-20301-P1001</t>
  </si>
  <si>
    <t>B1-XFR-20301-P1002</t>
  </si>
  <si>
    <t>B1-XFR-20301-P1003</t>
  </si>
  <si>
    <t>B1-XFR-20301-P1004</t>
  </si>
  <si>
    <t>B1-XFR-20301-P1005</t>
  </si>
  <si>
    <t>B1-XFR-20301-P1006</t>
  </si>
  <si>
    <t>B1-XFR-20301-P1007</t>
  </si>
  <si>
    <t>B1-XFR-20301-P1008</t>
  </si>
  <si>
    <t>B1-XFR-20301-P1009</t>
  </si>
  <si>
    <t>ELE-INT-6001-001</t>
  </si>
  <si>
    <t>B1-XFR-20301-P1010</t>
  </si>
  <si>
    <t>B1-XFR-20301-P1011</t>
  </si>
  <si>
    <t>B1-XFR-20301-P1012</t>
  </si>
  <si>
    <t>B1-XFR-20301-P1013</t>
  </si>
  <si>
    <t>B1-XFR-20301-P1014</t>
  </si>
  <si>
    <t>B1-XFR-20301-P1015</t>
  </si>
  <si>
    <t>B1-XFR-20301-P1016</t>
  </si>
  <si>
    <t>B1-XFR-20301-P1017</t>
  </si>
  <si>
    <t>B1-XFR-20301-P1018</t>
  </si>
  <si>
    <t>ELE-INT-6002</t>
  </si>
  <si>
    <t>B1-XFR-21301-P1001</t>
  </si>
  <si>
    <t>B1-XFR-21301-P1002</t>
  </si>
  <si>
    <t>B1-XFR-21301-P103</t>
  </si>
  <si>
    <t>B1-XFR-21301-P104</t>
  </si>
  <si>
    <t>B1-XFR-21301-P105</t>
  </si>
  <si>
    <t>B1-XFR-21301-P106</t>
  </si>
  <si>
    <t>B1-XFR-21301-P107</t>
  </si>
  <si>
    <t>B1-XFR-21301-P108</t>
  </si>
  <si>
    <t>B1-XFR-21301-P109</t>
  </si>
  <si>
    <t>ELE-INT-6002-001</t>
  </si>
  <si>
    <t>B1-XFR-21301-P1010</t>
  </si>
  <si>
    <t>B1-XFR-21301-P1011</t>
  </si>
  <si>
    <t>B1-XFR-21301-P1012</t>
  </si>
  <si>
    <t>B1-XFR-21301-P1013</t>
  </si>
  <si>
    <t>B1-XFR-21301-P1014</t>
  </si>
  <si>
    <t>B1-XFR-21301-P1015</t>
  </si>
  <si>
    <t>B1-XFR-21301-P1016</t>
  </si>
  <si>
    <t>B1-XFR-21301-P1017</t>
  </si>
  <si>
    <t>B1-XFR-21301-P1018</t>
  </si>
  <si>
    <t>ELE-INT-7001</t>
  </si>
  <si>
    <t>B2-XFR-20301-P1001</t>
  </si>
  <si>
    <t>B2-XFR-20301-P1002</t>
  </si>
  <si>
    <t>B2-XFR-20301-P1003</t>
  </si>
  <si>
    <t>B2-XFR-20301-P1004</t>
  </si>
  <si>
    <t>B2-XFR-20301-P1005</t>
  </si>
  <si>
    <t>B2-XFR-20301-P1006</t>
  </si>
  <si>
    <t>B2-XFR-20301-P1007</t>
  </si>
  <si>
    <t>B2-XFR-20301-P1008</t>
  </si>
  <si>
    <t>B2-XFR-20301-P1009</t>
  </si>
  <si>
    <t>ELE-INT-7001-001</t>
  </si>
  <si>
    <t>B2-XFR-20301-P1010</t>
  </si>
  <si>
    <t>B2-XFR-20301-P1011</t>
  </si>
  <si>
    <t>B2-XFR-20301-P1012</t>
  </si>
  <si>
    <t>B2-XFR-20301-P1013</t>
  </si>
  <si>
    <t>B2-XFR-20301-P1014</t>
  </si>
  <si>
    <t>B2-XFR-20301-P1015</t>
  </si>
  <si>
    <t>B2-XFR-20301-P1016</t>
  </si>
  <si>
    <t>B2-XFR-20301-P1017</t>
  </si>
  <si>
    <t>B2-XFR-20301-P1018</t>
  </si>
  <si>
    <t>ELE-INT-7002</t>
  </si>
  <si>
    <t>B2-XFR-21301-P1001</t>
  </si>
  <si>
    <t>B2-XFR-21301-P1002</t>
  </si>
  <si>
    <t>B2-XFR-21301-P1003</t>
  </si>
  <si>
    <t>B2-XFR-21301-P1004</t>
  </si>
  <si>
    <t>B2-XFR-21301-P1005</t>
  </si>
  <si>
    <t>B2-XFR-21301-P1006</t>
  </si>
  <si>
    <t>B2-XFR-21301-P1007</t>
  </si>
  <si>
    <t>B2-XFR-21301-P1008</t>
  </si>
  <si>
    <t>B2-XFR-21301-P1009</t>
  </si>
  <si>
    <t>ELE-INT-7002-001</t>
  </si>
  <si>
    <t>B2-XFR-21301-P1010</t>
  </si>
  <si>
    <t>B2-XFR-21301-P1011</t>
  </si>
  <si>
    <t>B2-XFR-21301-P1012</t>
  </si>
  <si>
    <t>B2-XFR-21301-P1013</t>
  </si>
  <si>
    <t>B2-XFR-21301-P1014</t>
  </si>
  <si>
    <t>B2-XFR-21301-P1015</t>
  </si>
  <si>
    <t>B2-XFR-21301-P1016</t>
  </si>
  <si>
    <t>B2-XFR-21301-P1017</t>
  </si>
  <si>
    <t>B2-XFR-21301-P1018</t>
  </si>
  <si>
    <t>B0-MCC-64601-P2031</t>
  </si>
  <si>
    <t>3C x 150sqmm + 1C X 95sqmm</t>
  </si>
  <si>
    <t>ELE-INT-8003</t>
  </si>
  <si>
    <t>B0-MCC-64602-P2001</t>
  </si>
  <si>
    <t>B0-MCC-64602-P2002</t>
  </si>
  <si>
    <t>BAZIS-C-001</t>
  </si>
  <si>
    <t>B0-SWG-64301-P1007</t>
  </si>
  <si>
    <t>B0-SWG-64301-P1008</t>
  </si>
  <si>
    <t>B0-SWG-64301-P1009</t>
  </si>
  <si>
    <t>B0-SWG-64301-P1010</t>
  </si>
  <si>
    <t>B0-SWG-64301-P1011</t>
  </si>
  <si>
    <t>B0-SWG-64301-P1012</t>
  </si>
  <si>
    <t>B0-SWG-64301-P1013</t>
  </si>
  <si>
    <t>B0-SWG-64301-P1014</t>
  </si>
  <si>
    <t>B0-SWG-64301-P1015</t>
  </si>
  <si>
    <t>BAZIS-C-002</t>
  </si>
  <si>
    <t>B0-SWG-64302-P1007</t>
  </si>
  <si>
    <t>B0-SWG-64302-P1008</t>
  </si>
  <si>
    <t>B0-SWG-64302-P1009</t>
  </si>
  <si>
    <t>B0-SWG-64302-P1010</t>
  </si>
  <si>
    <t>B0-SWG-64302-P1011</t>
  </si>
  <si>
    <t>B0-SWG-64302-P1012</t>
  </si>
  <si>
    <t>B0-SWG-64302-P1013</t>
  </si>
  <si>
    <t>B0-SWG-64302-P1014</t>
  </si>
  <si>
    <t>B0-SWG-64302-P1015</t>
  </si>
  <si>
    <t>ELE-INT-0011</t>
  </si>
  <si>
    <t>B0-XFR-20301-P1001</t>
  </si>
  <si>
    <t>B0-XFR-20301-P1002</t>
  </si>
  <si>
    <t>B0-XFR-20301-P1003</t>
  </si>
  <si>
    <t>B0-XFR-20301-P1004</t>
  </si>
  <si>
    <t>B0-XFR-20301-P1005</t>
  </si>
  <si>
    <t>B0-XFR-20301-P1006</t>
  </si>
  <si>
    <t>B0-XFR-20301-P1007</t>
  </si>
  <si>
    <t>B0-XFR-20301-P1008</t>
  </si>
  <si>
    <t>B0-XFR-20301-P1009</t>
  </si>
  <si>
    <t>ELE-INT-0012</t>
  </si>
  <si>
    <t>B0-XFR-20301-P1010</t>
  </si>
  <si>
    <t>B0-XFR-20301-P1011</t>
  </si>
  <si>
    <t>B0-XFR-20301-P1012</t>
  </si>
  <si>
    <t>B0-XFR-20301-P1013</t>
  </si>
  <si>
    <t>B0-XFR-20301-P1014</t>
  </si>
  <si>
    <t>B0-XFR-20301-P1015</t>
  </si>
  <si>
    <t>B0-XFR-20301-P1016</t>
  </si>
  <si>
    <t>B0-XFR-20301-P1017</t>
  </si>
  <si>
    <t>B0-XFR-20301-P1018</t>
  </si>
  <si>
    <t>AUTO TR-001</t>
  </si>
  <si>
    <t>B0-XFR-24101-P1001</t>
  </si>
  <si>
    <t>12/20kV CU/XLPE/CTS/LSZH</t>
  </si>
  <si>
    <t>1C x 630sqmm</t>
  </si>
  <si>
    <t>B0-XFR-24101-P1002</t>
  </si>
  <si>
    <t>B0-XFR-24101-P1003</t>
  </si>
  <si>
    <t>B0-XFR-24101-P1004</t>
  </si>
  <si>
    <t>B0-XFR-24101-P1005</t>
  </si>
  <si>
    <t>B0-XFR-24101-P1006</t>
  </si>
  <si>
    <t>GT#1-1</t>
  </si>
  <si>
    <t>GT#1-1-11MBA18AA001 -Y01</t>
  </si>
  <si>
    <t>11BFA03.CB001-P2002</t>
  </si>
  <si>
    <t>GT#1-1-11MBA18AA002 -Y01</t>
  </si>
  <si>
    <t>11BFA03.CB002-P2003</t>
  </si>
  <si>
    <t>GT#1-1-11MBA18AA003 -Y01</t>
  </si>
  <si>
    <t>11BFA03.CB003-P2004</t>
  </si>
  <si>
    <t>GT#1-1-11MBA30AP001 -M01</t>
  </si>
  <si>
    <t>11BFA02.CB001-P2005</t>
  </si>
  <si>
    <t>GT#1-1-11MBA32AP001 -M01</t>
  </si>
  <si>
    <t>11BFA02.EA003-P2006</t>
  </si>
  <si>
    <t>GT#1-1-11MBA32GQ012 -X01</t>
  </si>
  <si>
    <t>11BFA53.DA002-P2007</t>
  </si>
  <si>
    <t>GT#1-1-11MBA33AP001 -M01</t>
  </si>
  <si>
    <t>11BFA02.EA004-P2008</t>
  </si>
  <si>
    <t>GT#1-1-11MBA51AP001 -M01</t>
  </si>
  <si>
    <t>11BFA02.CB002-P2009</t>
  </si>
  <si>
    <t>GT#1-1-11MBA51AP002 -M01</t>
  </si>
  <si>
    <t>11BFA02.CB003-P2010</t>
  </si>
  <si>
    <t>GT#1-1-11MBJ01GS091 -E01</t>
  </si>
  <si>
    <t>GT#1-1-11MBJ01GT002 -E01</t>
  </si>
  <si>
    <t>GT#1-1-11MBJ01GW035 -E01</t>
  </si>
  <si>
    <t>GT#1-1-11MBL10GH001 -E01</t>
  </si>
  <si>
    <t>11BFA53.HA002-P2012</t>
  </si>
  <si>
    <t>GT#1-1-11MBL20GH001 -E01</t>
  </si>
  <si>
    <t>11BFA53.HA003-P2013</t>
  </si>
  <si>
    <t>GT#1-1-11MBL25AT001 -E01</t>
  </si>
  <si>
    <t>11BFA51.HA001-P2014</t>
  </si>
  <si>
    <t>GT#1-1-11MBL30GH001 -E01</t>
  </si>
  <si>
    <t>11BFA03.JB001-P2015</t>
  </si>
  <si>
    <t>GT#1-1-11MBL40GH001 -E01</t>
  </si>
  <si>
    <t>11BFA53.HA004-P2016</t>
  </si>
  <si>
    <t>GT#1-1-11MBM12GT100 -E01</t>
  </si>
  <si>
    <t>11BFA03.CB004-P2017</t>
  </si>
  <si>
    <t>GT#1-1-11MBN12AA505 -Y01</t>
  </si>
  <si>
    <t>11BUA01.EA001-P2018</t>
  </si>
  <si>
    <t>GT#1-1-11MBN13AA501 -Y01</t>
  </si>
  <si>
    <t>11BUA01.EA002-P2019</t>
  </si>
  <si>
    <t>GT#1-1-11MBN13AA502 -Y01</t>
  </si>
  <si>
    <t>11BUA01.EA003-P2020</t>
  </si>
  <si>
    <t>GT#1-1-11MBN21AA001 -Y02</t>
  </si>
  <si>
    <t>11BUA51.JA001-P2021</t>
  </si>
  <si>
    <t>GT#1-1-11MBN21AA002 -Y01</t>
  </si>
  <si>
    <t>11BUA01.EA004-P2022</t>
  </si>
  <si>
    <t>GT#1-1-11MBN22AA001 -Y02</t>
  </si>
  <si>
    <t>11BUA51.KB001-P2023</t>
  </si>
  <si>
    <t>GT#1-1-11MBN22AA002 -Y01</t>
  </si>
  <si>
    <t>11BUA01.FB001-P2024</t>
  </si>
  <si>
    <t>GT#1-1-11MBN23AA501 -Y01</t>
  </si>
  <si>
    <t>11BUA01.FB002-P2025</t>
  </si>
  <si>
    <t>GT#1-1-11MBN25AA001 -Y02</t>
  </si>
  <si>
    <t>11BUA51.MA001-P2026</t>
  </si>
  <si>
    <t>GT#1-1-11MBN25AA501 -Y01</t>
  </si>
  <si>
    <t>11BUA01.FB003-P2027</t>
  </si>
  <si>
    <t>GT#1-1-11MBN26AA001 -Y02</t>
  </si>
  <si>
    <t>11BUA51.NB001-P2028</t>
  </si>
  <si>
    <t>GT#1-1-11MBN26AA501 -Y01</t>
  </si>
  <si>
    <t>11BUA01.FB004-P2029</t>
  </si>
  <si>
    <t>GT#1-1-11MBN27AA501 -Y01</t>
  </si>
  <si>
    <t>11BUA01.HA001-P2030</t>
  </si>
  <si>
    <t>GT#1-1-11MBN60AP001 -M01</t>
  </si>
  <si>
    <t>11BFA02.CB004-P2031</t>
  </si>
  <si>
    <t>GT#1-1-11MBN81AP001 -M01</t>
  </si>
  <si>
    <t>11BFA03.EA003-P2032</t>
  </si>
  <si>
    <t>GT#1-1-11MBN82AA001 -Y01</t>
  </si>
  <si>
    <t>11BUA01.HA002-P2033</t>
  </si>
  <si>
    <t>GT#1-1-11MBN82AA002 -Y01</t>
  </si>
  <si>
    <t>11BUA01.HA003-P2034</t>
  </si>
  <si>
    <t>GT#1-1-11MBP13AA501 -Y01</t>
  </si>
  <si>
    <t>11BUB01.EA001-P2035</t>
  </si>
  <si>
    <t>GT#1-1-11MBP14AA501 -Y01</t>
  </si>
  <si>
    <t>11BUB01.EA002-P2036</t>
  </si>
  <si>
    <t>GT#1-1-11MBP15AA501 -Y01</t>
  </si>
  <si>
    <t>11BUB01.EA003-P2037</t>
  </si>
  <si>
    <t>GT#1-1-11MBP21AA001 -E01</t>
  </si>
  <si>
    <t>11BUB51.JA001-P2038</t>
  </si>
  <si>
    <t>GT#1-1-11MBP21AA001 -Y02</t>
  </si>
  <si>
    <t>11BUB51.JA001-P2039</t>
  </si>
  <si>
    <t>GT#1-1-11MBP21AA002 -E01</t>
  </si>
  <si>
    <t>11BUB51.KB001-P2040</t>
  </si>
  <si>
    <t>GT#1-1-11MBP21AA002 -Y02</t>
  </si>
  <si>
    <t>11BUB51.KB001-P2041</t>
  </si>
  <si>
    <t>GT#1-1-11MBP21AA003 -E01</t>
  </si>
  <si>
    <t>11BUB51.MA001-P2042</t>
  </si>
  <si>
    <t>GT#1-1-11MBP21AA003 -Y02</t>
  </si>
  <si>
    <t>11BUB51.MA001-P2043</t>
  </si>
  <si>
    <t>GT#1-1-11MBP22AA001 -E01</t>
  </si>
  <si>
    <t>11BUB51.NB001-P2044</t>
  </si>
  <si>
    <t>GT#1-1-11MBP22AA001 -Y02</t>
  </si>
  <si>
    <t>11BUB51.NB001-P2045</t>
  </si>
  <si>
    <t>GT#1-1-11MBP22AA002 -E01</t>
  </si>
  <si>
    <t>11BUB51.QA001-P2046</t>
  </si>
  <si>
    <t>GT#1-1-11MBP22AA002 -Y02</t>
  </si>
  <si>
    <t>11BUB51.QA001-P2047</t>
  </si>
  <si>
    <t>GT#1-1-11MBP22AA003 -E01</t>
  </si>
  <si>
    <t>11BUB51.RB001-P2048</t>
  </si>
  <si>
    <t>GT#1-1-11MBP22AA003 -Y02</t>
  </si>
  <si>
    <t>11BUB51.RB001-P2049</t>
  </si>
  <si>
    <t>GT#1-1-11MBQ11AA001 -Y01</t>
  </si>
  <si>
    <t>11BFA03.EA001-P2050</t>
  </si>
  <si>
    <t>GT#1-1-11MBQ11AA002 -Y01</t>
  </si>
  <si>
    <t>11BFA03.EA002-P2051</t>
  </si>
  <si>
    <t>GT#1-1-11MBV21AP001 -M01</t>
  </si>
  <si>
    <t>11BMA52.PB001-P2054</t>
  </si>
  <si>
    <t>GT#1-1-11MBV21AP002 -M01</t>
  </si>
  <si>
    <t>11BFA02.PB001-P2055</t>
  </si>
  <si>
    <t>GT#1-1-11MBV21AP003 -E01</t>
  </si>
  <si>
    <t>11BUA51.RA001-P2056</t>
  </si>
  <si>
    <t>GT#1-1-11MBV21AP003 -M01</t>
  </si>
  <si>
    <t>11BUA51.RA001-P2057</t>
  </si>
  <si>
    <t>GT#1-1-11MBV21AP003 -R01</t>
  </si>
  <si>
    <t>11BUA51.RA001-P2058</t>
  </si>
  <si>
    <t>GT#1-1-11MBV30AP001 -M01</t>
  </si>
  <si>
    <t>11BMA51.SA001-P2059</t>
  </si>
  <si>
    <t>GT#1-1-11MBV30AP002 -M01</t>
  </si>
  <si>
    <t>11BFA02.SA001-P2060</t>
  </si>
  <si>
    <t>GT#1-1-11MBV50AN001 -M01</t>
  </si>
  <si>
    <t>11BMA52.CB001-P2061</t>
  </si>
  <si>
    <t>GT#1-1-11MBV50AN002 -M01</t>
  </si>
  <si>
    <t>11BFA02.EA001-P2062</t>
  </si>
  <si>
    <t>GT#1-1-11MBX01AH001 -E01</t>
  </si>
  <si>
    <t>11BFA02.FB001-P2063</t>
  </si>
  <si>
    <t>GT#1-1-11MBX01AH002 -E01</t>
  </si>
  <si>
    <t>11BFA02.FB002-P2064</t>
  </si>
  <si>
    <t>GT#1-1-11MBX02AP001 -M01</t>
  </si>
  <si>
    <t>11BFA02.HA002-P2065</t>
  </si>
  <si>
    <t>GT#1-1-11MBX02AP002 -M01</t>
  </si>
  <si>
    <t>11BFA02.HA003-P2066</t>
  </si>
  <si>
    <t>GT#1-1-11MBX06AH001 -M01</t>
  </si>
  <si>
    <t>11BFA02.HA001-P2067</t>
  </si>
  <si>
    <t>GT#1-1-11MBY10GF002 -E01</t>
  </si>
  <si>
    <t>11BFA02.JB001-P2068</t>
  </si>
  <si>
    <t>GT#1-1-11MBY40GH001 -E01</t>
  </si>
  <si>
    <t>11BFA52.HA001-P2069</t>
  </si>
  <si>
    <t>11BFA51.HA002-P2070</t>
  </si>
  <si>
    <t>GT#1-1-11MKA10AH010 -E01</t>
  </si>
  <si>
    <t>11BFA02.EA002-P2071</t>
  </si>
  <si>
    <t>GT#1-1-11MKC01GT002 -E01</t>
  </si>
  <si>
    <t>GT#1-1-11MKC01GW035 -E01</t>
  </si>
  <si>
    <t>GT#1-1-11MKC05GE001 -E01</t>
  </si>
  <si>
    <t>GT#1-1-11MKC10GP001 -E01</t>
  </si>
  <si>
    <t>GT#1-1-11MKC30GE001 -E01</t>
  </si>
  <si>
    <t>-</t>
  </si>
  <si>
    <t>GT#1-1-11MPB10GW011 -E01</t>
  </si>
  <si>
    <t>GT#1-1-11MPB10GW023 -E01</t>
  </si>
  <si>
    <t>GT#1-1-11MPB13GW011 -E01</t>
  </si>
  <si>
    <t>11BUA51.DA002-P2101</t>
  </si>
  <si>
    <t>GT#1-1-11MPB13GW023 -E01</t>
  </si>
  <si>
    <t>11BFA51.DA005-P2102</t>
  </si>
  <si>
    <t>GT#1-1-11MPB16GW011 -E01</t>
  </si>
  <si>
    <t>11BUA51.DA003-P2103</t>
  </si>
  <si>
    <t>GT#1-1-11MPB16GW023 -E01</t>
  </si>
  <si>
    <t>11BFA51.DA006-P2104</t>
  </si>
  <si>
    <t>GT#1-1-11SAM33AN001 -M01</t>
  </si>
  <si>
    <t>11BMA51.CB001-P2105</t>
  </si>
  <si>
    <t>GT#1-1-11SAM33AN002 -M01</t>
  </si>
  <si>
    <t>11BFA02.FB001-P2106</t>
  </si>
  <si>
    <t>GT#1-2-12BAB11GW023 -E01</t>
  </si>
  <si>
    <t>12BFA51.DA001-P2001</t>
  </si>
  <si>
    <t>GT#1-2-12MBA18AA001 -Y01</t>
  </si>
  <si>
    <t>GT#1-2-12MBA18AA002 -Y01</t>
  </si>
  <si>
    <t>12BFA03.CB002-P2003</t>
  </si>
  <si>
    <t>GT#1-2-12MBA18AA003 -Y01</t>
  </si>
  <si>
    <t>12BFA03.CB003-P2004</t>
  </si>
  <si>
    <t>GT#1-2-12MBA30AP001 -M01</t>
  </si>
  <si>
    <t>12BFA02.CB001-P2005</t>
  </si>
  <si>
    <t>GT#1-2-12MBA32AP001 -M01</t>
  </si>
  <si>
    <t>12BFA02.EA003-P2006</t>
  </si>
  <si>
    <t>GT#1-2-12MBA32GQ012 -X01</t>
  </si>
  <si>
    <t>GT#1-2-12MBA33AP001 -M01</t>
  </si>
  <si>
    <t>12BFA02.EA004-P2008</t>
  </si>
  <si>
    <t>GT#1-2-12MBA51AP001 -M01</t>
  </si>
  <si>
    <t>12BFA02.CB002-P2009</t>
  </si>
  <si>
    <t>GT#1-2-12MBA51AP002 -M01</t>
  </si>
  <si>
    <t>12BFA02.CB003-P2010</t>
  </si>
  <si>
    <t>GT#1-2-12MBJ01GS091 -E01</t>
  </si>
  <si>
    <t>GT#1-2-12MBJ01GT002 -E01</t>
  </si>
  <si>
    <t>GT#1-2-12MBJ01GW035 -E01</t>
  </si>
  <si>
    <t>GT#1-2-12MBL10GH001 -E01</t>
  </si>
  <si>
    <t>12BFA53.HA002-P2012</t>
  </si>
  <si>
    <t>GT#1-2-12MBL20GH001 -E01</t>
  </si>
  <si>
    <t>12BFA53.HA003-P2013</t>
  </si>
  <si>
    <t>GT#1-2-12MBL25AT001 -E01</t>
  </si>
  <si>
    <t>12BFA51.HA001-P2014</t>
  </si>
  <si>
    <t>GT#1-2-12MBL30GH001 -E01</t>
  </si>
  <si>
    <t>12BFA03.JB001-P2015</t>
  </si>
  <si>
    <t>GT#1-2-12MBL40GH001 -E01</t>
  </si>
  <si>
    <t>12BFA53.HA004-P2016</t>
  </si>
  <si>
    <t>GT#1-2-12MBM12GT100 -E01</t>
  </si>
  <si>
    <t>12BFA03.CB004-P2017</t>
  </si>
  <si>
    <t>GT#1-2-12MBN12AA505 -Y01</t>
  </si>
  <si>
    <t>12BUA01.EA001-P2018</t>
  </si>
  <si>
    <t>GT#1-2-12MBN13AA501 -Y01</t>
  </si>
  <si>
    <t>12BUA01.EA002-P2019</t>
  </si>
  <si>
    <t>GT#1-2-12MBN13AA502 -Y01</t>
  </si>
  <si>
    <t>12BUA01.EA003-P2020</t>
  </si>
  <si>
    <t>GT#1-2-12MBN21AA001 -Y02</t>
  </si>
  <si>
    <t>12BUA51.JA001-P2021</t>
  </si>
  <si>
    <t>GT#1-2-12MBN21AA002 -Y01</t>
  </si>
  <si>
    <t>12BUA01.EA004-P2022</t>
  </si>
  <si>
    <t>GT#1-2-12MBN22AA001 -Y02</t>
  </si>
  <si>
    <t>12BUA51.KB001-P2023</t>
  </si>
  <si>
    <t>GT#1-2-12MBN22AA002 -Y01</t>
  </si>
  <si>
    <t>12BUA01.FB001-P2024</t>
  </si>
  <si>
    <t>GT#1-2-12MBN23AA501 -Y01</t>
  </si>
  <si>
    <t>12BUA01.FB002-P2025</t>
  </si>
  <si>
    <t>GT#1-2-12MBN25AA001 -Y02</t>
  </si>
  <si>
    <t>12BUA51.MA001-P2026</t>
  </si>
  <si>
    <t>GT#1-2-12MBN25AA501 -Y01</t>
  </si>
  <si>
    <t>12BUA01.FB003-P2027</t>
  </si>
  <si>
    <t>GT#1-2-12MBN26AA001 -Y02</t>
  </si>
  <si>
    <t>12BUA51.NB001-P2028</t>
  </si>
  <si>
    <t>GT#1-2-12MBN26AA501 -Y01</t>
  </si>
  <si>
    <t>12BUA01.FB004-P2029</t>
  </si>
  <si>
    <t>GT#1-2-12MBN27AA501 -Y01</t>
  </si>
  <si>
    <t>12BUA01.HA001-P2030</t>
  </si>
  <si>
    <t>GT#1-2-12MBN60AP001 -M01</t>
  </si>
  <si>
    <t>12BFA02.CB004-P2031</t>
  </si>
  <si>
    <t>GT#1-2-12MBN81AP001 -M01</t>
  </si>
  <si>
    <t>12BFA03.EA003-P2032</t>
  </si>
  <si>
    <t>GT#1-2-12MBN82AA001 -Y01</t>
  </si>
  <si>
    <t>12BUA01.HA002-P2033</t>
  </si>
  <si>
    <t>GT#1-2-12MBN82AA002 -Y01</t>
  </si>
  <si>
    <t>12BUA01.HA003-P2034</t>
  </si>
  <si>
    <t>GT#1-2-12MBP13AA501 -Y01</t>
  </si>
  <si>
    <t>12BUB01.EA001-P2035</t>
  </si>
  <si>
    <t>GT#1-2-12MBP14AA501 -Y01</t>
  </si>
  <si>
    <t>12BUB01.EA002-P2036</t>
  </si>
  <si>
    <t>GT#1-2-12MBP15AA501 -Y01</t>
  </si>
  <si>
    <t>12BUB01.EA003-P2037</t>
  </si>
  <si>
    <t>GT#1-2-12MBP21AA001 -E01</t>
  </si>
  <si>
    <t>12BUB51.JA001-P2038</t>
  </si>
  <si>
    <t>GT#1-2-12MBP21AA001 -Y02</t>
  </si>
  <si>
    <t>GT#1-2-12MBP21AA002 -E01</t>
  </si>
  <si>
    <t>12BUB51.KB001-P2040</t>
  </si>
  <si>
    <t>GT#1-2-12MBP21AA002 -Y02</t>
  </si>
  <si>
    <t>12BUB51.KB001-P2041</t>
  </si>
  <si>
    <t>GT#1-2-12MBP21AA003 -E01</t>
  </si>
  <si>
    <t>12BUB51.MA001-P2042</t>
  </si>
  <si>
    <t>GT#1-2-12MBP21AA003 -Y02</t>
  </si>
  <si>
    <t>12BUB51.MA001-P2043</t>
  </si>
  <si>
    <t>GT#1-2-12MBP22AA001 -E01</t>
  </si>
  <si>
    <t>12BUB51.NB001-P2044</t>
  </si>
  <si>
    <t>GT#1-2-12MBP22AA001 -Y02</t>
  </si>
  <si>
    <t>12BUB51.NB001-P2045</t>
  </si>
  <si>
    <t>GT#1-2-12MBP22AA002 -E01</t>
  </si>
  <si>
    <t>12BUB51.QA001-P2046</t>
  </si>
  <si>
    <t>GT#1-2-12MBP22AA002 -Y02</t>
  </si>
  <si>
    <t>12BUB51.QA001-P2047</t>
  </si>
  <si>
    <t>GT#1-2-12MBP22AA003 -E01</t>
  </si>
  <si>
    <t>12BUB51.RB001-P2048</t>
  </si>
  <si>
    <t>GT#1-2-12MBP22AA003 -Y02</t>
  </si>
  <si>
    <t>12BUB51.RB001-P2049</t>
  </si>
  <si>
    <t>GT#1-2-12MBQ11AA001 -Y01</t>
  </si>
  <si>
    <t>12BFA03.EA001-P2050</t>
  </si>
  <si>
    <t>GT#1-2-12MBQ11AA002 -Y01</t>
  </si>
  <si>
    <t>GT#1-2-12MBV21AP001 -M01</t>
  </si>
  <si>
    <t>12BMA52.PB001-P2054</t>
  </si>
  <si>
    <t>GT#1-2-12MBV21AP002 -M01</t>
  </si>
  <si>
    <t>12BFA02.PB001-P2055</t>
  </si>
  <si>
    <t>GT#1-2-12MBV21AP003 -E01</t>
  </si>
  <si>
    <t>12BUA51.RA001-P2056</t>
  </si>
  <si>
    <t>GT#1-2-12MBV21AP003 -M01</t>
  </si>
  <si>
    <t>12BUA51.RA001-P2057</t>
  </si>
  <si>
    <t>GT#1-2-12MBV21AP003 -R01</t>
  </si>
  <si>
    <t>12BUA51.RA001-P2058</t>
  </si>
  <si>
    <t>GT#1-2-12MBV30AP001 -M01</t>
  </si>
  <si>
    <t>12BMA51.SA001-P2059</t>
  </si>
  <si>
    <t>GT#1-2-12MBV30AP002 -M01</t>
  </si>
  <si>
    <t>12BFA02.SA001-P2060</t>
  </si>
  <si>
    <t>GT#1-2-12MBV50AN001 -M01</t>
  </si>
  <si>
    <t>12BMA52.CB001-P2061</t>
  </si>
  <si>
    <t>GT#1-2-12MBV50AN002 -M01</t>
  </si>
  <si>
    <t>12BFA02.EA001-P2062</t>
  </si>
  <si>
    <t>GT#1-2-12MBX01AH001 -E01</t>
  </si>
  <si>
    <t>12BFA02.FB001-P2063</t>
  </si>
  <si>
    <t>GT#1-2-12MBX01AH002 -E01</t>
  </si>
  <si>
    <t>12BFA02.FB002-P2064</t>
  </si>
  <si>
    <t>GT#1-2-12MBX02AP001 -M01</t>
  </si>
  <si>
    <t>12BFA02.HA002-P2065</t>
  </si>
  <si>
    <t>GT#1-2-12MBX02AP002 -M01</t>
  </si>
  <si>
    <t>12BFA02.HA003-P2066</t>
  </si>
  <si>
    <t>GT#1-2-12MBX06AH001 -M01</t>
  </si>
  <si>
    <t>12BFA02.HA001-P2067</t>
  </si>
  <si>
    <t>GT#1-2-12MBY10GF002 -E01</t>
  </si>
  <si>
    <t>12BFA02.JB001-P2068</t>
  </si>
  <si>
    <t>GT#1-2-12MBY40GH001 -E01</t>
  </si>
  <si>
    <t>12BFA52.HA001-P2069</t>
  </si>
  <si>
    <t>GT#1-2-12MBY80GH001 -E01</t>
  </si>
  <si>
    <t>12BFA51.HA002-P2070</t>
  </si>
  <si>
    <t>GT#1-2-12MKA10AH010 -E01</t>
  </si>
  <si>
    <t>12BFA02.EA002-P2071</t>
  </si>
  <si>
    <t>GT#1-2-12MKC01GT002 -E01</t>
  </si>
  <si>
    <t>GT#1-2-12MKC01GW035 -E01</t>
  </si>
  <si>
    <t>GT#1-2-12MKC05GE001 -E01</t>
  </si>
  <si>
    <t>12BFA51.HA003-P2091</t>
  </si>
  <si>
    <t>GT#1-2-12MKC10GP001 -E01</t>
  </si>
  <si>
    <t>12BFA51.DA003-P2092</t>
  </si>
  <si>
    <t>GT#1-2-12MKC30GE001 -E01</t>
  </si>
  <si>
    <t>GT#1-2-12MPB10GW011 -E01</t>
  </si>
  <si>
    <t>12BUA51.DA001-P2099</t>
  </si>
  <si>
    <t>GT#1-2-12MPB10GW023 -E01</t>
  </si>
  <si>
    <t>12BFA51.DA004-P2100</t>
  </si>
  <si>
    <t>GT#1-2-12MPB13GW011 -E01</t>
  </si>
  <si>
    <t>12BUA51.DA002-P2101</t>
  </si>
  <si>
    <t>GT#1-2-12MPB13GW023 -E01</t>
  </si>
  <si>
    <t>12BFA51.DA005-P2102</t>
  </si>
  <si>
    <t>GT#1-2-12MPB16GW011 -E01</t>
  </si>
  <si>
    <t>12BUA51.DA003-P2103</t>
  </si>
  <si>
    <t>GT#1-2-12MPB16GW023 -E01</t>
  </si>
  <si>
    <t>12BFA51.DA006-P2104</t>
  </si>
  <si>
    <t>GT#1-2-12SAM33AN001 -M01</t>
  </si>
  <si>
    <t>12BMA51.CB001-P2105</t>
  </si>
  <si>
    <t>GT#1-2-12SAM33AN002 -M01</t>
  </si>
  <si>
    <t>12BFA02.FB001-P2106</t>
  </si>
  <si>
    <t>GT#2-1-21BAB11GW023 -E01</t>
  </si>
  <si>
    <t>21BFA51.DA001-P2001</t>
  </si>
  <si>
    <t>GT#2-1-21MBA18AA001 -Y01</t>
  </si>
  <si>
    <t>21BFA03.CB001-P2002</t>
  </si>
  <si>
    <t>GT#2-1-21MBA18AA002 -Y01</t>
  </si>
  <si>
    <t>21BFA03.CB002-P2003</t>
  </si>
  <si>
    <t>GT#2-1-21MBA18AA003 -Y01</t>
  </si>
  <si>
    <t>21BFA03.CB003-P2004</t>
  </si>
  <si>
    <t>GT#2-1-21MBA30AP001 -M01</t>
  </si>
  <si>
    <t>21BFA02.CB001-P2005</t>
  </si>
  <si>
    <t>GT#2-1-21MBA32AP001 -M01</t>
  </si>
  <si>
    <t>21BFA02.EA003-P2006</t>
  </si>
  <si>
    <t>GT#2-1-21MBA32GQ012 -X01</t>
  </si>
  <si>
    <t>21BFA53.DA002-P2007</t>
  </si>
  <si>
    <t>GT#2-1-21MBA33AP001 -M01</t>
  </si>
  <si>
    <t>21BFA02.EA004-P2008</t>
  </si>
  <si>
    <t>GT#2-1-21MBA51AP001 -M01</t>
  </si>
  <si>
    <t>21BFA02.CB002-P2009</t>
  </si>
  <si>
    <t>GT#2-1-21MBA51AP002 -M01</t>
  </si>
  <si>
    <t>21BFA02.CB003-P2010</t>
  </si>
  <si>
    <t>GT#2-1-21MBJ01GS091 -E01</t>
  </si>
  <si>
    <t>GT#2-1-21MBJ01GT002 -E01</t>
  </si>
  <si>
    <t>GT#2-1-21MBJ01GW035 -E01</t>
  </si>
  <si>
    <t>GT#2-1-21MBL10GH001 -E01</t>
  </si>
  <si>
    <t>21BFA53.HA002-P2012</t>
  </si>
  <si>
    <t>GT#2-1-21MBL20GH001 -E01</t>
  </si>
  <si>
    <t>21BFA53.HA003-P2013</t>
  </si>
  <si>
    <t>GT#2-1-21MBL25AT001 -E01</t>
  </si>
  <si>
    <t>21BFA51.HA001-P2014</t>
  </si>
  <si>
    <t>GT#2-1-21MBL30GH001 -E01</t>
  </si>
  <si>
    <t>21BFA03.JB001-P2015</t>
  </si>
  <si>
    <t>GT#2-1-21MBL40GH001 -E01</t>
  </si>
  <si>
    <t>21BFA53.HA004-P2016</t>
  </si>
  <si>
    <t>GT#2-1-21MBM12GT100 -E01</t>
  </si>
  <si>
    <t>21BFA03.CB004-P2017</t>
  </si>
  <si>
    <t>GT#2-1-21MBN12AA505 -Y01</t>
  </si>
  <si>
    <t>21BUA01.EA001-P2018</t>
  </si>
  <si>
    <t>GT#2-1-21MBN13AA501 -Y01</t>
  </si>
  <si>
    <t>21BUA01.EA002-P2019</t>
  </si>
  <si>
    <t>GT#2-1-21MBN13AA502 -Y01</t>
  </si>
  <si>
    <t>21BUA01.EA003-P2020</t>
  </si>
  <si>
    <t>GT#2-1-21MBN21AA001 -Y02</t>
  </si>
  <si>
    <t>21BUA51.JA001-P2021</t>
  </si>
  <si>
    <t>GT#2-1-21MBN21AA002 -Y01</t>
  </si>
  <si>
    <t>21BUA01.EA004-P2022</t>
  </si>
  <si>
    <t>GT#2-1-21MBN22AA001 -Y02</t>
  </si>
  <si>
    <t>21BUA51.KB001-P2023</t>
  </si>
  <si>
    <t>GT#2-1-21MBN22AA002 -Y01</t>
  </si>
  <si>
    <t>21BUA01.FB001-P2024</t>
  </si>
  <si>
    <t>GT#2-1-21MBN23AA501 -Y01</t>
  </si>
  <si>
    <t>21BUA01.FB002-P2025</t>
  </si>
  <si>
    <t>GT#2-1-21MBN25AA001 -Y02</t>
  </si>
  <si>
    <t>21BUA51.MA001-P2026</t>
  </si>
  <si>
    <t>GT#2-1-21MBN25AA501 -Y01</t>
  </si>
  <si>
    <t>21BUA01.FB003-P2027</t>
  </si>
  <si>
    <t>GT#2-1-21MBN26AA001 -Y02</t>
  </si>
  <si>
    <t>21BUA51.NB001-P2028</t>
  </si>
  <si>
    <t>GT#2-1-21MBN26AA501 -Y01</t>
  </si>
  <si>
    <t>21BUA01.FB004-P2029</t>
  </si>
  <si>
    <t>GT#2-1-21MBN27AA501 -Y01</t>
  </si>
  <si>
    <t>21BUA01.HA001-P2030</t>
  </si>
  <si>
    <t>GT#2-1-21MBN60AP001 -M01</t>
  </si>
  <si>
    <t>21BFA02.CB004-P2031</t>
  </si>
  <si>
    <t>GT#2-1-21MBN81AP001 -M01</t>
  </si>
  <si>
    <t>21BFA03.EA003-P2032</t>
  </si>
  <si>
    <t>GT#2-1-21MBN82AA001 -Y01</t>
  </si>
  <si>
    <t>21BUA01.HA002-P2033</t>
  </si>
  <si>
    <t>GT#2-1-21MBN82AA002 -Y01</t>
  </si>
  <si>
    <t>21BUA01.HA003-P2034</t>
  </si>
  <si>
    <t>GT#2-1-21MBP13AA501 -Y01</t>
  </si>
  <si>
    <t>21BUB01.EA001-P2035</t>
  </si>
  <si>
    <t>GT#2-1-21MBP14AA501 -Y01</t>
  </si>
  <si>
    <t>21BUB01.EA002-P2036</t>
  </si>
  <si>
    <t>GT#2-1-21MBP15AA501 -Y01</t>
  </si>
  <si>
    <t>21BUB01.EA003-P2037</t>
  </si>
  <si>
    <t>GT#2-1-21MBP21AA001 -E01</t>
  </si>
  <si>
    <t>21BUB51.JA001-P2038</t>
  </si>
  <si>
    <t>GT#2-1-21MBP21AA001 -Y02</t>
  </si>
  <si>
    <t>21BUB51.JA001-P2039</t>
  </si>
  <si>
    <t>GT#2-1-21MBP21AA002 -E01</t>
  </si>
  <si>
    <t>21BUB51.KB001-P2040</t>
  </si>
  <si>
    <t>GT#2-1-21MBP21AA002 -Y02</t>
  </si>
  <si>
    <t>21BUB51.KB001-P2041</t>
  </si>
  <si>
    <t>GT#2-1-21MBP21AA003 -E01</t>
  </si>
  <si>
    <t>21BUB51.MA001-P2042</t>
  </si>
  <si>
    <t>GT#2-1-21MBP21AA003 -Y02</t>
  </si>
  <si>
    <t>21BUB51.MA001-P2043</t>
  </si>
  <si>
    <t>GT#2-1-21MBP22AA001 -E01</t>
  </si>
  <si>
    <t>21BUB51.NB001-P2044</t>
  </si>
  <si>
    <t>GT#2-1-21MBP22AA001 -Y02</t>
  </si>
  <si>
    <t>21BUB51.NB001-P2045</t>
  </si>
  <si>
    <t>GT#2-1-21MBP22AA002 -E01</t>
  </si>
  <si>
    <t>21BUB51.QA001-P2046</t>
  </si>
  <si>
    <t>GT#2-1-21MBP22AA002 -Y02</t>
  </si>
  <si>
    <t>21BUB51.QA001-P2047</t>
  </si>
  <si>
    <t>GT#2-1-21MBP22AA003 -E01</t>
  </si>
  <si>
    <t>21BUB51.RB001-P2048</t>
  </si>
  <si>
    <t>GT#2-1-21MBP22AA003 -Y02</t>
  </si>
  <si>
    <t>21BUB51.RB001-P2049</t>
  </si>
  <si>
    <t>GT#2-1-21MBQ11AA001 -Y01</t>
  </si>
  <si>
    <t>21BFA03.EA001-P2050</t>
  </si>
  <si>
    <t>GT#2-1-21MBQ11AA002 -Y01</t>
  </si>
  <si>
    <t>21BFA03.EA002-P2051</t>
  </si>
  <si>
    <t>GT#2-1-21MBV21AP001 -M01</t>
  </si>
  <si>
    <t>21BMA52.PB001-P2054</t>
  </si>
  <si>
    <t>GT#2-1-21MBV21AP002 -M01</t>
  </si>
  <si>
    <t>21BFA02.PB001-P2055</t>
  </si>
  <si>
    <t>GT#2-1-21MBV21AP003 -E01</t>
  </si>
  <si>
    <t>21BUA51.RA001-P2056</t>
  </si>
  <si>
    <t>GT#2-1-21MBV21AP003 -M01</t>
  </si>
  <si>
    <t>21BUA51.RA001-P2057</t>
  </si>
  <si>
    <t>GT#2-1-21MBV21AP003 -R01</t>
  </si>
  <si>
    <t>21BUA51.RA001-P2058</t>
  </si>
  <si>
    <t>GT#2-1-21MBV30AP001 -M01</t>
  </si>
  <si>
    <t>21BMA51.SA001-P2059</t>
  </si>
  <si>
    <t>GT#2-1-21MBV30AP002 -M01</t>
  </si>
  <si>
    <t>21BFA02.SA001-P2060</t>
  </si>
  <si>
    <t>GT#2-1-21MBV50AN001 -M01</t>
  </si>
  <si>
    <t>21BMA52.CB001-P2061</t>
  </si>
  <si>
    <t>GT#2-1-21MBV50AN002 -M01</t>
  </si>
  <si>
    <t>21BFA02.EA001-P2062</t>
  </si>
  <si>
    <t>GT#2-1-21MBX01AH001 -E01</t>
  </si>
  <si>
    <t>21BFA02.FB001-P2063</t>
  </si>
  <si>
    <t>GT#2-1-21MBX01AH002 -E01</t>
  </si>
  <si>
    <t>GT#2-1-21MBX02AP001 -M01</t>
  </si>
  <si>
    <t>21BFA02.HA002-P2065</t>
  </si>
  <si>
    <t>GT#2-1-21MBX02AP002 -M01</t>
  </si>
  <si>
    <t>21BFA02.HA003-P2066</t>
  </si>
  <si>
    <t>GT#2-1-21MBX06AH001 -M01</t>
  </si>
  <si>
    <t>21BFA02.HA001-P2067</t>
  </si>
  <si>
    <t>GT#2-1-21MBY10GF002 -E01</t>
  </si>
  <si>
    <t>21BFA02.JB001-P2068</t>
  </si>
  <si>
    <t>GT#2-1-21MBY40GH001 -E01</t>
  </si>
  <si>
    <t>21BFA52.HA001-P2069</t>
  </si>
  <si>
    <t>GT#2-1-21MBY80GH001 -E01</t>
  </si>
  <si>
    <t>21BFA51.HA002-P2070</t>
  </si>
  <si>
    <t>GT#2-1-21MKA10AH010 -E01</t>
  </si>
  <si>
    <t>21BFA02.EA002-P2071</t>
  </si>
  <si>
    <t>GT#2-1-21MKC01GT002 -E01</t>
  </si>
  <si>
    <t>GT#2-1-21MKC01GW035 -E01</t>
  </si>
  <si>
    <t>GT#2-1-21MKC05GE001 -E01</t>
  </si>
  <si>
    <t>21BFA51.HA003-P2091</t>
  </si>
  <si>
    <t>GT#2-1-21MKC10GP001 -E01</t>
  </si>
  <si>
    <t>21BFA51.DA003-P2092</t>
  </si>
  <si>
    <t>GT#2-1-21MKC30GE001 -E01</t>
  </si>
  <si>
    <t>GT#2-1-21MPB10GW011 -E01</t>
  </si>
  <si>
    <t>21BUA51.DA001-P2099</t>
  </si>
  <si>
    <t>GT#2-1-21MPB10GW023 -E01</t>
  </si>
  <si>
    <t>21BFA51.DA004-P2100</t>
  </si>
  <si>
    <t>GT#2-1-21MPB13GW011 -E01</t>
  </si>
  <si>
    <t>21BUA51.DA002-P2101</t>
  </si>
  <si>
    <t>GT#2-1-21MPB13GW023 -E01</t>
  </si>
  <si>
    <t>21BFA51.DA005-P2102</t>
  </si>
  <si>
    <t>GT#2-1-21MPB16GW011 -E01</t>
  </si>
  <si>
    <t>21BUA51.DA003-P2103</t>
  </si>
  <si>
    <t>GT#2-1-21MPB16GW023 -E01</t>
  </si>
  <si>
    <t>21BFA51.DA006-P2104</t>
  </si>
  <si>
    <t>GT#2-1-21SAM33AN001 -M01</t>
  </si>
  <si>
    <t>21BMA51.CB001-P2105</t>
  </si>
  <si>
    <t>GT#2-1-21SAM33AN002 -M01</t>
  </si>
  <si>
    <t>21BFA02.FB001-P2106</t>
  </si>
  <si>
    <t>GT#2-2-22BAB11GW023 -E01</t>
  </si>
  <si>
    <t>22BFA51.DA001-P2001</t>
  </si>
  <si>
    <t>-P20</t>
  </si>
  <si>
    <t>GT#2-2-22MBA18AA001 -Y01</t>
  </si>
  <si>
    <t>22BFA03.CB001-P2002</t>
  </si>
  <si>
    <t>GT#2-2-22MBA18AA002 -Y01</t>
  </si>
  <si>
    <t>22BFA03.CB002-P2003</t>
  </si>
  <si>
    <t>GT#2-2-22MBA18AA003 -Y01</t>
  </si>
  <si>
    <t>22BFA03.CB003-P2004</t>
  </si>
  <si>
    <t>GT#2-2-22MBA30AP001 -M01</t>
  </si>
  <si>
    <t>22BFA02.CB001-P2005</t>
  </si>
  <si>
    <t>GT#2-2-22MBA32AP001 -M01</t>
  </si>
  <si>
    <t>22BFA02.EA003-P2006</t>
  </si>
  <si>
    <t>GT#2-2-22MBA32GQ012 -X01</t>
  </si>
  <si>
    <t>22BFA53.DA002-P2007</t>
  </si>
  <si>
    <t>GT#2-2-22MBA33AP001 -M01</t>
  </si>
  <si>
    <t>22BFA02.EA004-P2008</t>
  </si>
  <si>
    <t>GT#2-2-22MBA51AP001 -M01</t>
  </si>
  <si>
    <t>22BFA02.CB002-P2009</t>
  </si>
  <si>
    <t>GT#2-2-22MBA51AP002 -M01</t>
  </si>
  <si>
    <t>22BFA02.CB003-P2010</t>
  </si>
  <si>
    <t>GT#2-2-22MBJ01GS091 -E01</t>
  </si>
  <si>
    <t>GT#2-2-22MBJ01GT002 -E01</t>
  </si>
  <si>
    <t>GT#2-2-22MBJ01GW035 -E01</t>
  </si>
  <si>
    <t>GT#2-2-22MBL10GH001 -E01</t>
  </si>
  <si>
    <t>22BFA53.HA002-P2012</t>
  </si>
  <si>
    <t>GT#2-2-22MBL20GH001 -E01</t>
  </si>
  <si>
    <t>22BFA53.HA003-P2013</t>
  </si>
  <si>
    <t>GT#2-2-22MBL25AT001 -E01</t>
  </si>
  <si>
    <t>22BFA51.HA001-P2014</t>
  </si>
  <si>
    <t>GT#2-2-22MBL30GH001 -E01</t>
  </si>
  <si>
    <t>22BFA03.JB001-P2015</t>
  </si>
  <si>
    <t>GT#2-2-22MBL40GH001 -E01</t>
  </si>
  <si>
    <t>22BFA53.HA004-P2016</t>
  </si>
  <si>
    <t>GT#2-2-22MBM12GT100 -E01</t>
  </si>
  <si>
    <t>22BFA03.CB004-P2017</t>
  </si>
  <si>
    <t>GT#2-2-22MBN12AA505 -Y01</t>
  </si>
  <si>
    <t>22BUA01.EA001-P2018</t>
  </si>
  <si>
    <t>GT#2-2-22MBN13AA501 -Y01</t>
  </si>
  <si>
    <t>22BUA01.EA002-P2019</t>
  </si>
  <si>
    <t>GT#2-2-22MBN13AA502 -Y01</t>
  </si>
  <si>
    <t>22BUA01.EA003-P2020</t>
  </si>
  <si>
    <t>GT#2-2-22MBN21AA001 -Y02</t>
  </si>
  <si>
    <t>22BUA51.JA001-P2021</t>
  </si>
  <si>
    <t>GT#2-2-22MBN21AA002 -Y01</t>
  </si>
  <si>
    <t>22BUA01.EA004-P2022</t>
  </si>
  <si>
    <t>GT#2-2-22MBN22AA001 -Y02</t>
  </si>
  <si>
    <t>22BUA51.KB001-P2023</t>
  </si>
  <si>
    <t>GT#2-2-22MBN22AA002 -Y01</t>
  </si>
  <si>
    <t>22BUA01.FB001-P2024</t>
  </si>
  <si>
    <t>GT#2-2-22MBN23AA501 -Y01</t>
  </si>
  <si>
    <t>22BUA01.FB002-P2025</t>
  </si>
  <si>
    <t>GT#2-2-22MBN25AA001 -Y02</t>
  </si>
  <si>
    <t>22BUA51.MA001-P2026</t>
  </si>
  <si>
    <t>GT#2-2-22MBN25AA501 -Y01</t>
  </si>
  <si>
    <t>22BUA01.FB003-P2027</t>
  </si>
  <si>
    <t>GT#2-2-22MBN26AA001 -Y02</t>
  </si>
  <si>
    <t>22BUA51.NB001-P2028</t>
  </si>
  <si>
    <t>GT#2-2-22MBN26AA501 -Y01</t>
  </si>
  <si>
    <t>22BUA01.FB004-P2029</t>
  </si>
  <si>
    <t>GT#2-2-22MBN27AA501 -Y01</t>
  </si>
  <si>
    <t>22BUA01.HA001-P2030</t>
  </si>
  <si>
    <t>GT#2-2-22MBN60AP001 -M01</t>
  </si>
  <si>
    <t>22BFA02.CB004-P2031</t>
  </si>
  <si>
    <t>GT#2-2-22MBN81AP001 -M01</t>
  </si>
  <si>
    <t>22BFA03.EA003-P2032</t>
  </si>
  <si>
    <t>GT#2-2-22MBN82AA001 -Y01</t>
  </si>
  <si>
    <t>22BUA01.HA002-P2033</t>
  </si>
  <si>
    <t>GT#2-2-22MBN82AA002 -Y01</t>
  </si>
  <si>
    <t>22BUA01.HA003-P2034</t>
  </si>
  <si>
    <t>GT#2-2-22MBP13AA501 -Y01</t>
  </si>
  <si>
    <t>22BUB01.EA001-P2035</t>
  </si>
  <si>
    <t>GT#2-2-22MBP14AA501 -Y01</t>
  </si>
  <si>
    <t>22BUB01.EA002-P2036</t>
  </si>
  <si>
    <t>GT#2-2-22MBP15AA501 -Y01</t>
  </si>
  <si>
    <t>22BUB01.EA003-P2037</t>
  </si>
  <si>
    <t>GT#2-2-22MBP21AA001 -Y02</t>
  </si>
  <si>
    <t>22BUB51.JA001-P2039</t>
  </si>
  <si>
    <t>GT#2-2-22MBP21AA002 -E01</t>
  </si>
  <si>
    <t>22BUB51.KB001-P2040</t>
  </si>
  <si>
    <t>GT#2-2-22MBP21AA002 -Y02</t>
  </si>
  <si>
    <t>22BUB51.KB001-P2041</t>
  </si>
  <si>
    <t>GT#2-2-22MBP21AA003 -E01</t>
  </si>
  <si>
    <t>22BUB51.MA001-P2042</t>
  </si>
  <si>
    <t>GT#2-2-22MBP21AA003 -Y02</t>
  </si>
  <si>
    <t>22BUB51.MA001-P2043</t>
  </si>
  <si>
    <t>GT#2-2-22MBP22AA001 -E01</t>
  </si>
  <si>
    <t>22BUB51.NB001-P2044</t>
  </si>
  <si>
    <t>GT#2-2-22MBP22AA001 -Y02</t>
  </si>
  <si>
    <t>22BUB51.NB001-P2045</t>
  </si>
  <si>
    <t>GT#2-2-22MBP22AA002 -E01</t>
  </si>
  <si>
    <t>22BUB51.QA001-P2046</t>
  </si>
  <si>
    <t>GT#2-2-22MBP22AA002 -Y02</t>
  </si>
  <si>
    <t>22BUB51.QA001-P2047</t>
  </si>
  <si>
    <t>GT#2-2-22MBP22AA003 -E01</t>
  </si>
  <si>
    <t>22BUB51.RB001-P2048</t>
  </si>
  <si>
    <t>GT#2-2-22MBP22AA003 -Y02</t>
  </si>
  <si>
    <t>22BUB51.RB001-P2049</t>
  </si>
  <si>
    <t>GT#2-2-22MBQ11AA001 -Y01</t>
  </si>
  <si>
    <t>22BFA03.EA001-P2050</t>
  </si>
  <si>
    <t>GT#2-2-22MBQ11AA002 -Y01</t>
  </si>
  <si>
    <t>22BFA03.EA002-P2051</t>
  </si>
  <si>
    <t>GT#2-2-22MBV21AP001 -M01</t>
  </si>
  <si>
    <t>22BMA52.PB001-P2054</t>
  </si>
  <si>
    <t>GT#2-2-22MBV21AP002 -M01</t>
  </si>
  <si>
    <t>22BFA02.PB001-P2055</t>
  </si>
  <si>
    <t>GT#2-2-22MBV21AP003 -E01</t>
  </si>
  <si>
    <t>22BUA51.RA001-P2056</t>
  </si>
  <si>
    <t>GT#2-2-22MBV21AP003 -M01</t>
  </si>
  <si>
    <t>22BUA51.RA001-P2057</t>
  </si>
  <si>
    <t>GT#2-2-22MBV21AP003 -R01</t>
  </si>
  <si>
    <t>22BUA51.RA001-P2058</t>
  </si>
  <si>
    <t>GT#2-2-22MBV30AP001 -M01</t>
  </si>
  <si>
    <t>22BMA51.SA001-P2059</t>
  </si>
  <si>
    <t>GT#2-2-22MBV30AP002 -M01</t>
  </si>
  <si>
    <t>22BFA02.SA001-P2060</t>
  </si>
  <si>
    <t>GT#2-2-22MBV50AN001 -M01</t>
  </si>
  <si>
    <t>22BMA52.CB001-P2061</t>
  </si>
  <si>
    <t>GT#2-2-22MBV50AN002 -M01</t>
  </si>
  <si>
    <t>22BFA02.EA001-P2062</t>
  </si>
  <si>
    <t>GT#2-2-22MBX01AH001 -E01</t>
  </si>
  <si>
    <t>22BFA02.FB001-P2063</t>
  </si>
  <si>
    <t>GT#2-2-22MBX01AH002 -E01</t>
  </si>
  <si>
    <t>22BFA02.FB002-P2064</t>
  </si>
  <si>
    <t>GT#2-2-22MBX02AP001 -M01</t>
  </si>
  <si>
    <t>22BFA02.HA002-P2065</t>
  </si>
  <si>
    <t>GT#2-2-22MBX02AP002 -M01</t>
  </si>
  <si>
    <t>22BFA02.HA003-P2066</t>
  </si>
  <si>
    <t>GT#2-2-22MBX06AH001 -M01</t>
  </si>
  <si>
    <t>22BFA02.HA001-P2067</t>
  </si>
  <si>
    <t>GT#2-2-22MBY10GF002 -E01</t>
  </si>
  <si>
    <t>22BFA02.JB001-P2068</t>
  </si>
  <si>
    <t>22BFA52.HA001-P2069</t>
  </si>
  <si>
    <t>GT#2-2-22MBY80GH001 -E01</t>
  </si>
  <si>
    <t>GT#2-2-22MKA10AH010 -E01</t>
  </si>
  <si>
    <t>22BFA02.EA002-P2071</t>
  </si>
  <si>
    <t>GT#2-2-22MKC01GT002 -E01</t>
  </si>
  <si>
    <t>GT#2-2-22MKC01GW035 -E01</t>
  </si>
  <si>
    <t>GT#2-2-22MKC05GE001 -E01</t>
  </si>
  <si>
    <t>22BFA51.HA003-P2091</t>
  </si>
  <si>
    <t>GT#2-2-22MKC10GP001 -E01</t>
  </si>
  <si>
    <t>22BFA51.DA003-P2092</t>
  </si>
  <si>
    <t>GT#2-2-22MKC30GE001 -E01</t>
  </si>
  <si>
    <t>GT#2-2-22MPB10GW011 -E01</t>
  </si>
  <si>
    <t>22BUA51.DA001-P2099</t>
  </si>
  <si>
    <t>GT#2-2-22MPB10GW023 -E01</t>
  </si>
  <si>
    <t>22BFA51.DA004-P2100</t>
  </si>
  <si>
    <t>GT#2-2-22MPB13GW011 -E01</t>
  </si>
  <si>
    <t>22BUA51.DA002-P2101</t>
  </si>
  <si>
    <t>GT#2-2-22MPB13GW023 -E01</t>
  </si>
  <si>
    <t>22BFA51.DA005-P2102</t>
  </si>
  <si>
    <t>GT#2-2-22MPB16GW011 -E01</t>
  </si>
  <si>
    <t>22BUA51.DA003-P2103</t>
  </si>
  <si>
    <t>GT#2-2-22MPB16GW023 -E01</t>
  </si>
  <si>
    <t>22BFA51.DA006-P2104</t>
  </si>
  <si>
    <t>GT#2-2-22SAM33AN001 -M01</t>
  </si>
  <si>
    <t>22BMA51.CB001-P2105</t>
  </si>
  <si>
    <t>GT#2-2-22SAM33AN002 -M01</t>
  </si>
  <si>
    <t>22BFA02.FB001-P2106</t>
  </si>
  <si>
    <t>GTG</t>
  </si>
  <si>
    <t>B1-SWG-64601</t>
  </si>
  <si>
    <t>400V SWITCHGEAR FOR GT/HRSG #1 FOR BLOCK #1 - A</t>
  </si>
  <si>
    <t>11BFA00GS001-E01</t>
  </si>
  <si>
    <t>GTG #11 LV SWGR INCMR FDR / PCC</t>
  </si>
  <si>
    <t>1.1_MAIN BUILDING COMPLEX / GT #11</t>
  </si>
  <si>
    <t>B164-016CT0098 → B164-016CT0099 → B164-996CT0022 → M0504 → D0531-L24 → M0510 → D0502-L24 → M0326 → B111-996BT0021 → B111-016BT0004 → B111-016BT0005 → B111-016BT0006 → B111-016BT0025 → END</t>
  </si>
  <si>
    <t>B1-ESWG-64601</t>
  </si>
  <si>
    <t>400V EMERGENCY SWITCHGEAR FOR BLOCK #1 - A</t>
  </si>
  <si>
    <t>11BMA00GS001-E01</t>
  </si>
  <si>
    <t>GTG #11 STBY LV-SWGR INCM FDR / PCC</t>
  </si>
  <si>
    <t>B164-016FT0096 → B164-016FT0095 → B164-016FT0094 → B164-016FT0093 → B164-016FT0092 → B164-996FT0022 → M0504 → D0531-L32 → M0510 → D0502-L32 → M0326 → D0329-L23 → M0327 → B111-996AT0023 → END</t>
  </si>
  <si>
    <t>B1-SWG-64301</t>
  </si>
  <si>
    <t>11MBJ01GT001-E01</t>
  </si>
  <si>
    <t>GTG #11 HV-SIDE SUFC TFR</t>
  </si>
  <si>
    <t>U1,V1,W1</t>
  </si>
  <si>
    <t>B064-013DT0056 → B064-013DT0260 → B064-013DT0261 → B064-013DT0262 → B064-993DT0024 → M0504 → D0531-M17 → M0510 → D0502-M17 → M0326 → B161-003BC0002 → END</t>
  </si>
  <si>
    <t>11MKC01GT001-E01</t>
  </si>
  <si>
    <t>B064-013DT0056 → B064-013DT0260 → B064-013DT0261 → B064-013DT0262 → B064-993DT0024 → M0504 → D0531-M15 → M0510 → D0502-M15 → M0326 → D0320-M11 → M0325 → B161-003BC0006 → END</t>
  </si>
  <si>
    <t>11MBN12AP001-M01</t>
  </si>
  <si>
    <t>GTG #11 INJECTION PUMP FUEL OIL</t>
  </si>
  <si>
    <t>B064-013DT0056 → B064-013DT0260 → B064-013DT0261 → B064-013DT0262 → B064-993DT0024 → M0504 → D0531-M16 → M0510 → D0502-M16 → M0326 → B161-003BC0001 → END</t>
  </si>
  <si>
    <t>B1-DB-64601</t>
  </si>
  <si>
    <t>400V-230V DIST. BOARD FOR GT/HRSG #1 FOR BLOCK #1 - A</t>
  </si>
  <si>
    <t>11MBN12AP001-E01</t>
  </si>
  <si>
    <t>GTG #11 INJECTION PUMP FUEL OIL SPACE HEATER</t>
  </si>
  <si>
    <t>B164-016AT0056 → B164-016AT0055 → B164-016AT0215 → B164-016AT0216 → B164-016AT0091 → B164-996AT0022 → M0504 → D0531-L27 → M0510 → D0502-L27 → M0326 → B161-007BC0007 → END</t>
  </si>
  <si>
    <t>B1-UPSP-73701</t>
  </si>
  <si>
    <t>400/230V AC UPS LOCAL DISTRIBUTION PANEL FOR ADMIN. - BLOCK#1 - A</t>
  </si>
  <si>
    <t>11CRY01GW021-E01</t>
  </si>
  <si>
    <t>GTG #11 SERVER/LAN CABINET</t>
  </si>
  <si>
    <t>25_ADMINISTRATIVE AND HOUSEHOLD BUILDING / SERVER ROOM</t>
  </si>
  <si>
    <t>B073-016AT0013 → B073-016AT0015 → B073-016AT0011 → END</t>
  </si>
  <si>
    <t>B1-UPSP-64701</t>
  </si>
  <si>
    <t xml:space="preserve">400/230V AC UPS MAIN DISTRIBUTION PANEL FOR BLOCK #1 - A </t>
  </si>
  <si>
    <t>11CRU01GE001-E01</t>
  </si>
  <si>
    <t>GTG #11 POWER SUPPLY OPERATOR TERMINAL</t>
  </si>
  <si>
    <t>B164-006GT0201 → B164-006GT0001 → B164-006GT0002 → B164-006GT0003 → B064-006AC0008 → M0501 → D0517-L21 → M0510 → D0502-L27 → M0326 → B111-996AT0021 → B111-016AT0004 → B111-016AT0005 → B111-016AT0006 → B111-016AT0025 → END</t>
  </si>
  <si>
    <t>B1-SWG-64604</t>
  </si>
  <si>
    <t>400V SWITCHGEAR FOR GT/HRSG #2 FOR BLOCK #1 - B</t>
  </si>
  <si>
    <t>12BFA00GS001-E01</t>
  </si>
  <si>
    <t>GTG #12 LV SWGR INCMR FDR / PCC</t>
  </si>
  <si>
    <t>1.1_MAIN BUILDING COMPLEX / GT #12</t>
  </si>
  <si>
    <t>B164-016DT0110 → B164-016DT0109 → B164-016DT0108 → B164-016DT0107 → B164-996DT0024 → M0504 → D0531-L33 → M0510 → D0502-L33 → M0326 → D0320-L35 → M0325 → D0319-L22 → M0324 → D0327-L22 → M0321 → D0318-L21 → M0322 → D0328-L23 → M0323 → B111-996DT0022 → END</t>
  </si>
  <si>
    <t>B1-ESWG-64602</t>
  </si>
  <si>
    <t>400V EMERGENCY SWITCHGEAR FOR BLOCK #1 - B</t>
  </si>
  <si>
    <t>12BMA00GS001-E01</t>
  </si>
  <si>
    <t>GTG #12 STBY LV-SWGR INCM FDR / PCC</t>
  </si>
  <si>
    <t>B164-016AT0121 → B164-016AT0120 → B164-016AT0119 → B164-016AT0118 → B164-016AT0117 → B164-016AT0116 → B164-996AT0023 → M0504 → D0531-L34 → M0510 → D0502-L34 → M0326 → D0320-L27 → M0325 → D0319-L31 → M0324 → D0327-L31 → M0321 → D0318-L23 → M0322 → B111-996CT0021 → B111-016CT0004 → B111-016CT0003 → B111-016CT0002 → B111-016CT0001 → END</t>
  </si>
  <si>
    <t>B1-SWG-64302</t>
  </si>
  <si>
    <t>12MBJ01GT001-E01</t>
  </si>
  <si>
    <t>GTG #12 HV-SIDE SUFC TFR</t>
  </si>
  <si>
    <t>B164-013AT0083 → B164-013AT0262 → B164-993AT0024 → M0504 → D0531-M13 → M0510 → D0502-M13 → M0326 → D0320-M14 → M0325 → D0319-M14 → M0324 → D0327-M14 → M0321 → D0318-M14 → M0322 → B161-003DC0002 → END</t>
  </si>
  <si>
    <t>12MKC01GT001-E01</t>
  </si>
  <si>
    <t>GTG #12 HV-SIDE EXCN TFR</t>
  </si>
  <si>
    <t>B164-013AT0083 → B164-013AT0262 → B164-993AT0024 → M0504 → D0531-M21 → M0510 → D0502-M21 → M0326 → D0320-M15 → M0325 → D0319-M13 → M0324 → D0327-M13 → M0321 → B161-003DC0006 → END</t>
  </si>
  <si>
    <t>12MBN12AP001-M01</t>
  </si>
  <si>
    <t>GTG #12 INJECTION PUMP FUEL OIL</t>
  </si>
  <si>
    <t>B164-013AT0083 → B164-013AT0262 → B164-993AT0024 → M0504 → D0531-M14 → M0510 → D0502-M14 → M0326 → D0320-M13 → M0325 → D0319-M15 → M0324 → D0327-M15 → M0321 → D0318-M15 → M0322 → B161-003DC0001 → END</t>
  </si>
  <si>
    <t>B1-DB-64603</t>
  </si>
  <si>
    <t>400V-230V DIST. BOARD FOR GT/HRSG #2 FOR BLOCK #1 - A</t>
  </si>
  <si>
    <t>12MBN12AP001-E01</t>
  </si>
  <si>
    <t>GTG #12 INJECTION PUMP FUEL OIL SPACE HEATER</t>
  </si>
  <si>
    <t>B064-016AT0075 → B064-016AT0074 → B064-016AT0073 → B064-016AT0215 → B064-016AT0214 → B064-016AT0213 → B064-016AT0032 → B064-996AT0120 → M0504 → D0531-L26 → M0510 → D0502-L34 → M0326 → D0320-L34 → M0325 → D0319-L26 → M0324 → D0327-L24 → M0321 → D0318-L24 → M0322 → B161-007DC0007 → END</t>
  </si>
  <si>
    <t>B1-UPSP-73702</t>
  </si>
  <si>
    <t>400/230V AC UPS LOCAL DISTRIBUTION PANEL FOR ADMIN. - BLOCK#1 - B</t>
  </si>
  <si>
    <t>12CRY01GW021-E01</t>
  </si>
  <si>
    <t>GTG #12 SERVER/LAN CABINET</t>
  </si>
  <si>
    <t>B1-UPSP-64702</t>
  </si>
  <si>
    <t>400/230V AC UPS MAIN DISTRIBUTION PANEL FOR BLOCK #1 - B</t>
  </si>
  <si>
    <t>12CRU01GE001-E01</t>
  </si>
  <si>
    <t>GTG #12 POWER SUPPLY OPERATOR TERMINAL</t>
  </si>
  <si>
    <t>B164-006HT0202 → B164-006HT0007 → B164-006HT0008 → B164-006HT0009 → B164-006HT0010 → B164-006HT0210 → B164-006HT0209 → B164-006HT0006 → B064-006AC0008 → M0501 → D0517-L15 → M0510 → D0502-L26 → M0326 → D0320-L26 → M0325 → D0319-L22 → M0324 → D0327-L22 → M0321 → D0318-L22 → M0322 → D0328-L31 → M0323 → B111-996CT0023 → B111-016CT0024 → END</t>
  </si>
  <si>
    <t>B2-SWG-64601</t>
  </si>
  <si>
    <t>400V SWITCHGEAR FOR GT/HRSG #1 FOR BLOCK #2 - A</t>
  </si>
  <si>
    <t>21BFA00GS001-E01</t>
  </si>
  <si>
    <t>GTG #21 LV SWGR INCMR FDR / PCC</t>
  </si>
  <si>
    <t>1.1_MAIN BUILDING COMPLEX / GT #21</t>
  </si>
  <si>
    <t>B264-016AT0025 → B264-016AT0026 → B264-016AT0027 → B264-016AT0028 → B264-996AT0012 → M0407 → D0302-L32 → M0302 → D0303-L32 → M0303 → D0305-L23 → M0306 → D0321-L23 → M0307 → D0306-L21 → M0308 → D0322-L23 → M0309 → B212-996BT0022 → END</t>
  </si>
  <si>
    <t>B2-ESWG-64601</t>
  </si>
  <si>
    <t>400V EMERGENCY SWITCHGEAR FOR BLOCK #2 - A</t>
  </si>
  <si>
    <t>21BMA00GS001-E01</t>
  </si>
  <si>
    <t>GTG #21 STBY LV-SWGR INCM FDR / PCC</t>
  </si>
  <si>
    <t>B264-016BT0030 → B264-016BT0029 → B264-996BT0012 → M0407 → D0302-L33 → M0302 → D0303-L33 → M0303 → D0305-L24 → M0306 → D0321-L24 → M0307 → D0306-L25 → M0308 → D0322-L25 → M0309 → B212-996AT0023 → END</t>
  </si>
  <si>
    <t>B2-SWG-64301</t>
  </si>
  <si>
    <t>21MBJ01GT001-E01</t>
  </si>
  <si>
    <t>GTG #21 HV-SIDE SUFC TFR</t>
  </si>
  <si>
    <t>B264-013JT0003 → B264-013JT0210 → B264-013JT0039 → B264-013JT0040 → B264-993JT0012 → M0407 → D0302-M11 → M0302 → D0303-M11 → M0303 → D0305-M12 → M0306 → D0321-M12 → M0307 → D0306-M17 → M0308 → B261-003DC0002 → END</t>
  </si>
  <si>
    <t>21MKC01GT001-E01</t>
  </si>
  <si>
    <t>GTG #21 HV-SIDE EXCN TFR</t>
  </si>
  <si>
    <t>B264-013JT0003 → B264-013JT0210 → B264-013JT0039 → B264-013JT0040 → B264-993JT0012 → M0407 → D0302-M21 → M0302 → D0303-M21 → M0303 → D0305-M11 → M0306 → D0321-M11 → M0307 → B261-003DC0006 → END</t>
  </si>
  <si>
    <t>21MBN12AP001-M01</t>
  </si>
  <si>
    <t>GTG #21 INJECTION PUMP FUEL OIL</t>
  </si>
  <si>
    <t>B264-013JT0003 → B264-013JT0210 → B264-013JT0039 → B264-013JT0040 → B264-993JT0012 → M0407 → D0302-M14 → M0302 → D0303-M14 → M0303 → D0305-M15 → M0306 → D0321-M15 → M0307 → D0306-M11 → M0308 → D0308-M11 → M0310 → B261-003DC0001 → END</t>
  </si>
  <si>
    <t>B2-DB-64601</t>
  </si>
  <si>
    <t>400V-230V DIST. BOARD FOR GT/HRSG #1 FOR BLOCK #2 - A</t>
  </si>
  <si>
    <t>21MBN12AP001-E01</t>
  </si>
  <si>
    <t>GTG #21 INJECTION PUMP FUEL OIL SPACE HEATER</t>
  </si>
  <si>
    <t>B264-016AT0008 → B264-016AT0211 → B264-016AT0212 → B264-016AT0027 → B264-016AT0028 → B264-996AT0012 → M0407 → D0302-L34 → M0302 → D0303-L34 → M0303 → D0305-L25 → M0306 → D0321-L25 → M0307 → D0306-L23 → M0308 → D0308-L23 → M0310 → B261-007DC0007 → END</t>
  </si>
  <si>
    <t>B2-UPSP-73701</t>
  </si>
  <si>
    <t>400/230V AC UPS LOCAL DISTRIBUTION PANEL FOR ADMIN. - BLOCK#2 - A</t>
  </si>
  <si>
    <t>21CRY01GW021-E01</t>
  </si>
  <si>
    <t>GTG #21 SERVER/LAN CABINET</t>
  </si>
  <si>
    <t>B073-016AT0013 → END</t>
  </si>
  <si>
    <t>B2-UPSP-64701</t>
  </si>
  <si>
    <t xml:space="preserve">400/230V AC UPS MAIN DISTRIBUTION PANEL FOR BLOCK #2 - A </t>
  </si>
  <si>
    <t>21CRU01GE001-E01</t>
  </si>
  <si>
    <t>GTG #21 POWER SUPPLY OPERATOR TERMINAL</t>
  </si>
  <si>
    <t>B264-016FT0061 → B264-016FT0248 → B264-016FT0062 → B264-006AC0010 → M0407 → D0302-L26 → M0302 → D0303-L26 → M0303 → D0305-L26 → M0306 → D0321-L22 → M0307 → D0306-L22 → M0308 → D0322-L31 → M0309 → B212-996AT0021 → B212-016AT0016 → END</t>
  </si>
  <si>
    <t>B2-SWG-64604</t>
  </si>
  <si>
    <t>400V SWITCHGEAR FOR GT/HRSG #2 FOR BLOCK #2 - B</t>
  </si>
  <si>
    <t>22BFA00GS001-E01</t>
  </si>
  <si>
    <t>GTG #22 LV SWGR INCMR FDR / PCC</t>
  </si>
  <si>
    <t>B264-016CT0047 → B264-996CT0017 → M0407 → D0302-L33 → M0302 → D0303-L33 → M0303 → D0304-L21 → M0304 → D0307-L23 → M0305 → B212-996DT0022 → END</t>
  </si>
  <si>
    <t>B2-ESWG-64602</t>
  </si>
  <si>
    <t>400V EMERGENCY SWITCHGEAR FOR BLOCK #2 - B</t>
  </si>
  <si>
    <t>22BMA00GS001-E01</t>
  </si>
  <si>
    <t>GTG #22 STBY LV-SWGR INCM FDR / PCC</t>
  </si>
  <si>
    <t>B2-SWG-64302</t>
  </si>
  <si>
    <t>22MBJ01GT001-E01</t>
  </si>
  <si>
    <t>GTG #22 HV-SIDE SUFC TFR</t>
  </si>
  <si>
    <t>B264-013KT0018 → B264-013KT0209 → B264-013KT0047 → B264-993KT0013 → M0407 → D0302-M17 → M0302 → D0303-M17 → M0303 → D0304-M11 → M0304 → B261-003BC0002 → END</t>
  </si>
  <si>
    <t>22MKC01GT001-E01</t>
  </si>
  <si>
    <t>GTG #22 HV-SIDE EXCN TFR</t>
  </si>
  <si>
    <t>B264-013KT0018 → B264-013KT0209 → B264-013KT0047 → B264-993KT0013 → M0407 → D0302-M15 → M0302 → D0303-M15 → M0303 → B261-003BC0006 → END</t>
  </si>
  <si>
    <t>22MBN12AP001-M01</t>
  </si>
  <si>
    <t>GTG #22 INJECTION PUMP FUEL OIL</t>
  </si>
  <si>
    <t>B264-013KT0018 → B264-013KT0209 → B264-013KT0047 → B264-993KT0013 → M0407 → D0302-M16 → M0302 → D0303-M16 → M0303 → D0304-M12 → M0304 → B261-003BC0001 → END</t>
  </si>
  <si>
    <t>B2-DB-64603</t>
  </si>
  <si>
    <t>400V-230V DIST. BOARD FOR GT/HRSG #2 FOR BLOCK #2 - A</t>
  </si>
  <si>
    <t>22MBN12AP001-E01</t>
  </si>
  <si>
    <t>GTG #22 INJECTION PUMP FUEL OIL SPACE HEATER</t>
  </si>
  <si>
    <t>B264-016AT0013 → B264-016AT0212 → B264-016AT0027 → B264-016AT0028 → B264-996AT0012 → M0407 → D0302-L27 → M0302 → D0303-L27 → M0303 → D0304-L23 → M0304 → B261-007BC0007 → END</t>
  </si>
  <si>
    <t>B2-UPSP-73702</t>
  </si>
  <si>
    <t>400/230V AC UPS LOCAL DISTRIBUTION PANEL FOR ADMIN. - BLOCK#2 - B</t>
  </si>
  <si>
    <t>22CRY01GW021-E01</t>
  </si>
  <si>
    <t>GTG #22 SERVER/LAN CABINET</t>
  </si>
  <si>
    <t>B2-UPSP-64702</t>
  </si>
  <si>
    <t>400/230V AC UPS MAIN DISTRIBUTION PANEL FOR BLOCK #2 - B</t>
  </si>
  <si>
    <t>22CRU01GE001-E01</t>
  </si>
  <si>
    <t>GTG #22 POWER SUPPLY OPERATOR TERMINAL</t>
  </si>
  <si>
    <t>B264-016FT0061 → B264-016FT0248 → B264-016FT0062 → B264-006AC0009 → M0407 → D0302-L32 → M0302 → D0303-L32 → M0303 → D0304-L22 → M0304 → D0307-L31 → M0305 → B212-996CT0023 → B212-016CT0024 → END</t>
  </si>
  <si>
    <t>STG / Lubricant oil system</t>
  </si>
  <si>
    <t>B1-DCP-59701</t>
  </si>
  <si>
    <t>220V DC LOCAL DISTRIBUTION PANEL FOR STG #1 - A</t>
  </si>
  <si>
    <t xml:space="preserve">B1-MS-13701 </t>
  </si>
  <si>
    <t>DC STARTER EOP (MAIN)</t>
  </si>
  <si>
    <t>1.1_MAIN BUILDING COMPLEX / STG #1</t>
  </si>
  <si>
    <t>B159-006AT0014 → B159-006AT0003 → END</t>
  </si>
  <si>
    <t>B1-DCP-59702</t>
  </si>
  <si>
    <t>220V DC LOCAL DISTRIBUTION PANEL FOR STG #1 - B</t>
  </si>
  <si>
    <t>DC STARTER EOP (BACK UP)</t>
  </si>
  <si>
    <t>B159-006BT0005 → B159-006BT0006 → B159-006BT0019 → B159-006BT0001 → END</t>
  </si>
  <si>
    <t>B1-DB-59601</t>
  </si>
  <si>
    <t>400V-230V DIST. BOARD FOR ST #1 FOR BLOCK #1 - A</t>
  </si>
  <si>
    <t>DC STARTER EOP (AUX. POWER)</t>
  </si>
  <si>
    <t>B159-006AT0003 → END</t>
  </si>
  <si>
    <t>STG</t>
  </si>
  <si>
    <t>B1-EMCC-64601</t>
  </si>
  <si>
    <t>400V EMERGENCY MCC FOR BLOCK #1 - A</t>
  </si>
  <si>
    <t>B1-VSD-13601</t>
  </si>
  <si>
    <t>FRQ.CONV.TURN.GEAR POWER SUPPLY</t>
  </si>
  <si>
    <t>B164-016BT0105 → B164-016BT0104 → B164-016BT0103 → B164-016BT0102 → B164-016BT0101 → B164-016BT0100 → B164-996BT0024 → M0504 → D0531-L44 → M0510 → D0502-L24 → M0326 → D0320-L24 → M0325 → D0319-L21 → M0324 → D0327-L21 → M0321 → D0317-L21 → M0320 → D0323-L21 → M0319 → D0316-L21 → M0318 → D0315-L24 → M0315 → D0314-L24 → B159-006BT0013 → B159-006BT0024 → B159-006BT0023 → B159-006BT0022 → B159-006BT0010 → B159-006BT0018 → B159-006BT0006 → B159-006BT0019 → B159-006BT0001 → END</t>
  </si>
  <si>
    <t>FRQ.CONV.TURN.GEAR POWER SUPPLY (AUX. POWER)</t>
  </si>
  <si>
    <t>B1-SKD-13-201-P73A (B1-JBP-1309)</t>
  </si>
  <si>
    <t>MOTOR MAIN OIL PUMP 1</t>
  </si>
  <si>
    <t>B164-016BT0105 → B164-016BT0104 → B164-016BT0103 → B164-016BT0102 → B164-016BT0101 → B164-016BT0100 → B164-996BT0024 → M0504 → D0531-L44 → M0510 → D0502-L35 → M0326 → D0320-L24 → M0325 → D0319-L21 → M0324 → D0327-L21 → M0321 → D0317-L21 → M0320 → D0323-L21 → M0319 → D0316-L21 → M0318 → D0315-L24 → M0315 → D0314-L25 → B159-006AT0017 → B159-006AT0018 → B159-006AT0006 → B159-006AT0019 → B159-006AT0003 → B159-006AT0025 → D0326-L11 → M0316 → B113-997AT0010 → B113-017AT0009 → B113-017AT0002 → B113-017AT0001 → B113-016BC0001 → END</t>
  </si>
  <si>
    <t>B1-EMCC-64602</t>
  </si>
  <si>
    <t>400V EMERGENCY MCC FOR BLOCK #1 - B</t>
  </si>
  <si>
    <t>B1-SKD-13-201-P73B (B1-JBP-1309)</t>
  </si>
  <si>
    <t>MOTOR MAIN OIL PUMP 2</t>
  </si>
  <si>
    <t>B164-016AT0121 → B164-016AT0120 → B164-016AT0119 → B164-016AT0118 → B164-016AT0117 → B164-016AT0116 → B164-996AT0023 → M0504 → D0531-L34 → M0510 → D0502-L36 → M0326 → D0320-L36 → M0325 → D0319-L32 → M0324 → D0327-L26 → M0321 → D0317-L15 → M0320 → D0323-L22 → M0319 → D0316-L22 → M0318 → D0315-L21 → M0315 → D0314-L26 → B159-006BT0013 → B159-006BT0024 → B159-006BT0023 → B159-006BT0022 → B159-006BT0010 → B159-006BT0018 → B159-006BT0006 → B159-006BT0019 → B159-006BT0001 → D0326-L12 → M0316 → B113-996AT0012 → B113-016AT0011 → B113-016AT0002 → B113-016AT0001 → B113-016BC0002 → END</t>
  </si>
  <si>
    <t>B1-SKD-13-201-P73A</t>
  </si>
  <si>
    <t>MOTOR MAIN OIL PUMP 1 MOTER HEATER</t>
  </si>
  <si>
    <t>B164-016BT0105 → B164-016BT0104 → B164-016BT0103 → B164-016BT0102 → B164-016BT0101 → B164-016BT0100 → B164-996BT0024 → M0504 → D0531-L44 → M0510 → D0502-L35 → M0326 → D0320-L24 → M0325 → D0319-L21 → M0324 → D0327-L21 → M0321 → D0317-L21 → M0320 → D0323-L21 → M0319 → D0316-L21 → M0318 → D0315-L24 → M0315 → D0314-L25 → B159-006BT0013 → B159-006BT0024 → B159-006BT0023 → B159-006BT0022 → B159-006BT0010 → B159-006BT0018 → B159-006BT0006 → B159-006BT0019 → B159-006BT0001 → D0326-L11 → M0316 → B113-996AT0012 → B113-016AT0011 → B113-016AT0002 → B113-016AT0001 → B113-016BC0001 → END</t>
  </si>
  <si>
    <t>B1-SKD-13-201-P73B</t>
  </si>
  <si>
    <t>MOTOR MAIN OIL PUMP 2 MOTER HEATER</t>
  </si>
  <si>
    <t>B164-016AT0121 → B164-016AT0120 → B164-016AT0119 → B164-016AT0118 → B164-016AT0117 → B164-016AT0116 → B164-996AT0023 → M0504 → D0531-L34 → M0510 → D0502-L36 → M0326 → D0320-L36 → M0325 → D0319-L21 → M0324 → D0327-L21 → M0321 → D0317-L21 → M0320 → D0323-L21 → M0319 → D0316-L21 → M0318 → D0315-L21 → M0315 → D0314-L26 → B159-006BT0013 → B159-006BT0024 → B159-006BT0023 → B159-006BT0022 → B159-006BT0010 → B159-006BT0018 → B159-006BT0006 → B159-006BT0019 → B159-006BT0001 → D0326-L12 → M0316 → B113-996AT0012 → B113-016AT0011 → B113-016AT0002 → B113-016AT0001 → B113-016BC0002 → END</t>
  </si>
  <si>
    <t>B1-SKD-13-201-P78A</t>
  </si>
  <si>
    <t>MOTOR JACKING OIL PUMP 1</t>
  </si>
  <si>
    <t>B164-016AT0121 → B164-016AT0120 → B164-016AT0119 → B164-016AT0118 → B164-016AT0117 → B164-016AT0116 → B164-996AT0023 → M0504 → D0531-L44 → M0510 → D0502-L35 → M0326 → D0320-L35 → M0325 → D0319-L31 → M0324 → D0327-L25 → M0321 → D0317-L14 → M0320 → D0323-L14 → M0319 → D0316-L14 → M0318 → D0315-L25 → M0315 → D0314-L25 → B159-006AT0017 → B159-006AT0018 → B159-006AT0006 → B159-006AT0019 → B159-006AT0003 → B159-006AT0025 → D0326-L11 → M0316 → B113-997AT0010 → B113-017AT0009 → B113-017AT0002 → B113-017AT0001 → B113-016BC0003 → END</t>
  </si>
  <si>
    <t>B1-SKD-13-201-P78B</t>
  </si>
  <si>
    <t>MOTOR JACKING OIL PUMP 2</t>
  </si>
  <si>
    <t>B164-016BT0105 → B164-016BT0104 → B164-016BT0103 → B164-016BT0102 → B164-016BT0101 → B164-016BT0100 → B164-996BT0024 → M0504 → D0531-L34 → M0510 → D0502-L36 → M0326 → D0320-L36 → M0325 → D0319-L32 → M0324 → D0327-L26 → M0321 → D0317-L15 → M0320 → D0323-L22 → M0319 → D0316-L15 → M0318 → D0315-L16 → M0315 → D0314-L26 → B159-006BT0013 → B159-006BT0024 → B159-006BT0023 → B159-006BT0022 → B159-006BT0010 → B159-006BT0018 → B159-006BT0006 → B159-006BT0019 → B159-006BT0001 → D0326-L12 → M0316 → B113-996AT0012 → B113-016AT0011 → B113-016AT0002 → B113-016AT0001 → B113-016BC0004 → END</t>
  </si>
  <si>
    <t>MOTOR JACKING OIL PUMP 1 MOTER HEATER</t>
  </si>
  <si>
    <t>B164-016AT0121 → B164-016AT0120 → B164-016AT0119 → B164-016AT0118 → B164-016AT0117 → B164-016AT0116 → B164-996AT0023 → M0504 → D0531-L44 → M0510 → D0502-L35 → M0326 → D0320-L35 → M0325 → D0319-L31 → M0324 → D0327-L25 → M0321 → D0317-L14 → M0320 → D0323-L14 → M0319 → D0316-L14 → M0318 → D0315-L25 → M0315 → D0314-L25 → B159-006BT0013 → B159-006BT0024 → B159-006BT0023 → B159-006BT0022 → B159-006BT0010 → B159-006BT0018 → B159-006BT0006 → B159-006BT0019 → B159-006BT0001 → D0326-L11 → M0316 → B113-996AT0012 → B113-016AT0011 → B113-016AT0002 → B113-016AT0001 → B113-016BC0003 → END</t>
  </si>
  <si>
    <t>MOTOR JACKING OIL PUMP 2 MOTER HEATER</t>
  </si>
  <si>
    <t>B1-SKD-13-202</t>
  </si>
  <si>
    <t>OIL CLEANING UNIT POWER SUPPLY- A</t>
  </si>
  <si>
    <t>B159-006AT0003 → B159-006AT0025 → D0326-L11 → M0316 → B113-006AC0001 → END</t>
  </si>
  <si>
    <t>B1-SKD-13-201-DR80A</t>
  </si>
  <si>
    <t>MOTOR OIL VAPOUR EXHAUSTION DEVICE 1</t>
  </si>
  <si>
    <t>B159-006AT0006 → B159-006AT0005 → B159-006AT0014 → B159-006AT0025 → D0326-L11 → M0316 → B113-997AT0010 → B113-017AT0009 → B113-017AT0002 → B113-017AT0001 → B113-016BC0004 → END</t>
  </si>
  <si>
    <t>B1-SKD-13-201-DR80B</t>
  </si>
  <si>
    <t>MOTOR OIL VAPOUR EXHAUSTION DEVICE 2</t>
  </si>
  <si>
    <t>B159-006BT0003 → B159-006BT0001 → D0326-L12 → M0316 → B113-996AT0012 → B113-016AT0011 → B113-016AT0002 → B113-016AT0001 → B113-016BC0003 → END</t>
  </si>
  <si>
    <t>STG / Control Oil System</t>
  </si>
  <si>
    <t>B1-SKD-13-101-M01A</t>
  </si>
  <si>
    <t>MOTOR CONTROL OIL PUMP 1</t>
  </si>
  <si>
    <t>B159-006AT0006 → B159-006AT0005 → B159-006AT0014 → B159-006AT0025 → D0326-L11 → M0316 → B113-997AT0010 → B113-017AT0009 → B113-017AT0002 → B113-017AT0001 → B113-016BC0006 → END</t>
  </si>
  <si>
    <t>B1-SKD-13-101-M01B</t>
  </si>
  <si>
    <t>MOTOR CONTROL OIL PUMP 2</t>
  </si>
  <si>
    <t>B159-006BT0003 → B159-006BT0001 → D0326-L12 → M0316 → B113-996AT0012 → B113-016AT0011 → B113-016AT0002 → B113-016AT0001 → B113-016BC0006 → END</t>
  </si>
  <si>
    <t>B1-JB-13702</t>
  </si>
  <si>
    <t>JB HPH SOCKET POWER SUPPLY- A</t>
  </si>
  <si>
    <t>B159-006AT0003 → B159-006AT0025 → D0326-L11 → M0316 → B113-996AT0012 → B113-016AT0011 → B113-016AT0002 → B113-016AT0001 → B113-016BC0006 → END</t>
  </si>
  <si>
    <t>B1-JB-13602</t>
  </si>
  <si>
    <t>JB HPH MOTORS POWER SUPPLY- A</t>
  </si>
  <si>
    <t>B159-006AT0003 → B159-006AT0025 → D0326-L12 → M0316 → B113-996AT0012 → B113-016AT0011 → B113-016AT0002 → B113-016AT0001 → B113-016BC0006 → END</t>
  </si>
  <si>
    <t>B1-SKD-13-921-DR02A</t>
  </si>
  <si>
    <t>MOTOR OF VENT STEAM COND. EXHAUST FAN 1</t>
  </si>
  <si>
    <t>B1-SKD-13-921-DR02B</t>
  </si>
  <si>
    <t>MOTOR OF VENT STEAM COND. EXHAUST FAN 2</t>
  </si>
  <si>
    <t>B1-SKD-13-201-MOV01</t>
  </si>
  <si>
    <t>EDF MAIN OIL PUMP 1 DISCHARGE</t>
  </si>
  <si>
    <t>B159-006AT0003 → B159-006AT0025 → D0326-L13 → M0316 → B113-996AT0012 → B113-016AT0011 → B113-016AT0002 → B113-016AT0001 → B113-016BC0006 → END</t>
  </si>
  <si>
    <t>B1-SKD-13-201-MOV13</t>
  </si>
  <si>
    <t>EDF MAIN OIL PUMP 2 DISCHARGE</t>
  </si>
  <si>
    <t>B159-006AT0006 → B159-006AT0005 → B159-006AT0014 → B159-006AT0025 → D0326-L14 → M0316 → B113-996AT0012 → B113-016AT0011 → B113-016AT0002 → B113-016AT0001 → B113-016BC0006 → END</t>
  </si>
  <si>
    <t>B1-P-13-502A</t>
  </si>
  <si>
    <t>MOTOR VACUUM FLASH TANK PUMP 1</t>
  </si>
  <si>
    <t>1.1_MAIN BUILDING COMPLEX / STG AREA PIT</t>
  </si>
  <si>
    <t>B159-006AT0006 → B159-006AT0005 → B159-006AT0014 → B159-006AT0025 → D0326-L13 → M0316 → B113-997AT0010 → B113-017AT0009 → B113-017AT0003 → B113-017AT0004 → B113-017AT0005 → B113-017AT0006 → B113-017AT0007 → B113-006AC0005 → B113-016AC0011 → B113-016AC0009 → B113-016AC0006 → END</t>
  </si>
  <si>
    <t>B1-P-13-502B</t>
  </si>
  <si>
    <t>MOTOR VACUUM FLASH TANK PUMP 2</t>
  </si>
  <si>
    <t>B159-006BT0003 → B159-006BT0001 → D0326-L14 → M0316 → B113-996AT0012 → B113-016AT0011 → B113-016AT0003 → B113-016AT0004 → B113-016AT0005 → B113-016AT0006 → B113-016AT0007 → B113-006AC0006 → B113-016AC0012 → B113-016AC0010 → B113-016AC0005 → END</t>
  </si>
  <si>
    <t>B1-JB-13601</t>
  </si>
  <si>
    <t>JB GENERATOR POWER SUPPLY- A</t>
  </si>
  <si>
    <t>B159-006AT0006 → B159-006AT0005 → B159-006AT0014 → B159-006AT0025 → D0326-L13 → M0316 → B113-996AT0012 → B113-016AT0011 → B113-016AT0003 → B113-016AT0004 → B113-016BC0031 → END</t>
  </si>
  <si>
    <t>B1-JB-13710</t>
  </si>
  <si>
    <t>GENERATOR CT BOX (AUX. POWER)</t>
  </si>
  <si>
    <t>B159-006AT0003 → B159-006AT0025 → D0326-L14 → B113-996AT0012 → B113-016AT0011 → B113-016AT0003 → B113-016AT0004 → B113-016AT0005 → B113-016BC0030 → END</t>
  </si>
  <si>
    <t>B1-DB-59602</t>
  </si>
  <si>
    <t>400V-230V DIST. BOARD FOR ST #1 FOR BLOCK #1 - B</t>
  </si>
  <si>
    <t>B1-JB-13720</t>
  </si>
  <si>
    <t>NEUTRAL CUBICLE BOX (AUX. POWER)</t>
  </si>
  <si>
    <t>B159-006AT0006 → B159-006AT0005 → B159-006AT0014 → B159-006AT0025 → D0326-L13 → M0316 → B113-996AT0012 → B113-016AT0011 → B113-016AT0003 → B113-017BC0001 → END</t>
  </si>
  <si>
    <t>B1-SKD-13-201-H71</t>
  </si>
  <si>
    <t>HEATER MAIN OIL TANK</t>
  </si>
  <si>
    <t>B159-006AT0003 → B159-006AT0025 → D0326-L14 → M0316 → B113-996AT0012 → B113-016AT0011 → B113-016AT0002 → B113-016AT0001 → B113-016BC0004 → END</t>
  </si>
  <si>
    <t>B1-SKD-13-201-H72</t>
  </si>
  <si>
    <t>HEATER 2 MAIN OIL TANK</t>
  </si>
  <si>
    <t>B159-006AT0006 → B159-006AT0005 → B159-006AT0014 → B159-006AT0025 → D0326-L13 → M0316 → B113-996AT0012 → B113-016AT0011 → B113-016AT0002 → B113-016AT0001 → B113-016BC0003 → END</t>
  </si>
  <si>
    <t>B1-PA-13701</t>
  </si>
  <si>
    <t>GEN.ONLINE MONITORING POWER SUPPLY (MAIN)</t>
  </si>
  <si>
    <t>B159-006AT0014 → B159-006AT0025 → D0326-L13 → M0316 → B113-997AT0010 → B113-017AT0009 → B113-017AT0003 → B113-017AT0004 → B113-017AT0005 → B113-017AT0006 → B113-017AT0007 → B113-016BC0026 → END</t>
  </si>
  <si>
    <t>GEN.ONLINE MONITORING POWER SUPPLY (BACK UP)</t>
  </si>
  <si>
    <t>B159-006BT0005 → B159-006BT0006 → B159-006BT0019 → B159-006BT0001 → D0326-L14 → M0316 → B113-996AT0012 → B113-016AT0011 → B113-016AT0003 → B113-016AT0004 → B113-016AT0005 → B113-016AT0006 → B113-016AT0007 → B113-016BC0027 → END</t>
  </si>
  <si>
    <t>GEN.ONLINE MONITORING POWER SUPPLY (AUX. POWER)</t>
  </si>
  <si>
    <t>B159-006AT0006 → B159-006AT0005 → B159-006AT0014 → B159-006AT0025 → D0326-L13 → M0316 → B113-996AT0012 → B113-016AT0011 → B113-016AT0003 → B113-016AT0004 → B113-016AT0005 → B113-016AT0006 → B113-016AT0007 → B113-016BC0027 → END</t>
  </si>
  <si>
    <t>B1-MOV-13-566</t>
  </si>
  <si>
    <t>EDSV DRAIN T1</t>
  </si>
  <si>
    <t>B159-006AT0003 → B159-006AT0025 → D0314-L22 → M0315 → D0315-L22 → M0318 → D0331-L14 → M0317 → B113-016BC0046 → END</t>
  </si>
  <si>
    <t>B1-MOV-13-561</t>
  </si>
  <si>
    <t>EDSV DRAIN T2</t>
  </si>
  <si>
    <t>B159-006AT0006 → B159-006AT0005 → B159-006AT0014 → B159-006AT0025 → D0314-L21 → M0315 → D0315-L21 → M0318 → D0331-L15 → M0317 → B113-016BC0047 → END</t>
  </si>
  <si>
    <t>B1-MOV-13-564</t>
  </si>
  <si>
    <t>EDSV DRAIN T3</t>
  </si>
  <si>
    <t>B159-006AT0003 → B159-006AT0025 → D0314-L22 → M0315 → D0315-L22 → M0318 → D0331-L14 → M0317 → B113-016BC0045 → END</t>
  </si>
  <si>
    <t>B1-MOV-13-565</t>
  </si>
  <si>
    <t>EDSV DRAIN T5</t>
  </si>
  <si>
    <t>B159-006AT0006 → B159-006AT0005 → B159-006AT0014 → B159-006AT0025 → D0314-L21 → M0315 → D0315-L21 → M0318 → D0331-L15 → M0317 → B113-016BC0044 → END</t>
  </si>
  <si>
    <t>B1-MOV-13-405</t>
  </si>
  <si>
    <t>EDSV DRAIN L1</t>
  </si>
  <si>
    <t>B159-006AT0003 → B159-006AT0025 → D0314-L22 → M0315 → D0315-L22 → M0318 → D0331-L14 → M0317 → B113-016BC0042 → END</t>
  </si>
  <si>
    <t>B1-MOV-13-409</t>
  </si>
  <si>
    <t>EDSV DRAIN L2</t>
  </si>
  <si>
    <t>B159-006AT0006 → B159-006AT0005 → B159-006AT0014 → B159-006AT0025 → D0314-L21 → M0315 → D0315-L21 → M0318 → D0331-L15 → M0317 → B113-016BC0041 → END</t>
  </si>
  <si>
    <t>B1-PCV-13-659</t>
  </si>
  <si>
    <t>EDCV SEALING GLAND</t>
  </si>
  <si>
    <t>B159-006AT0003 → B159-006AT0025 → D0326-L12 → M0316 → B113-996AT0012 → B113-016AT0011 → B113-016AT0003 → B113-016AT0004 → B113-016AT0005 → B113-016AT0006 → B113-016AT0007 → B113-016BC0050 → END</t>
  </si>
  <si>
    <t>B1-PCV-13-651</t>
  </si>
  <si>
    <t>EDCV REAR GLAND TO VACUUM FLASH TANK</t>
  </si>
  <si>
    <t>B159-006AT0006 → B159-006AT0005 → B159-006AT0014 → B159-006AT0025 → D0326-L12 → M0316 → B113-996AT0012 → B113-016AT0011 → B113-016AT0003 → B113-016AT0004 → B113-016AT0005 → B113-016AT0006 → B113-016AT0007 → B113-016BC0051 → END</t>
  </si>
  <si>
    <t>B1-PCV-13-601</t>
  </si>
  <si>
    <t>EDCV INNER GLD.STEAM</t>
  </si>
  <si>
    <t>B159-006AT0006 → B159-006AT0005 → B159-006AT0014 → B159-006AT0025 → D0326-L12 → M0316 → B113-996AT0012 → B113-016AT0011 → B113-016AT0003 → B113-016AT0004 → B113-016AT0005 → B113-016AT0006 → B113-016AT0007 → B113-016BC0052 → END</t>
  </si>
  <si>
    <t>B1-MOV-13-607</t>
  </si>
  <si>
    <t>EDSV DRAIN G1</t>
  </si>
  <si>
    <t>B159-006AT0006 → B159-006AT0005 → B159-006AT0014 → B159-006AT0025 → D0314-L21 → M0315 → D0315-L21 → M0318 → D0331-L15 → M0317 → B113-016BC0043 → END</t>
  </si>
  <si>
    <t>B1-LCV-13-501</t>
  </si>
  <si>
    <t>EDCV COND.MINIMAL FROM FLT TO COND.</t>
  </si>
  <si>
    <t>B159-006AT0003 → B159-006AT0025 → D0326-L12 → M0316 → B113-996AT0012 → B113-016AT0011 → B113-016AT0003 → B113-016AT0004 → B113-016AT0005 → B113-016AT0006 → B113-016AT0007 → B113-016BC0054 → END</t>
  </si>
  <si>
    <t>B1-FCV-13-531</t>
  </si>
  <si>
    <t>EDCV SPRAY.FLT</t>
  </si>
  <si>
    <t>B159-006AT0003 → B159-006AT0025 → D0326-L12 → M0316 → B113-996AT0012 → B113-016AT0011 → B113-016AT0003 → B113-016AT0004 → B113-016AT0005 → B113-016AT0006 → B113-016AT0007 → B113-016BC0055 → END</t>
  </si>
  <si>
    <t>B1-MOV-13-772</t>
  </si>
  <si>
    <t>EDSV SPRAY.1 STG OUTLET</t>
  </si>
  <si>
    <t>B159-006AT0003 → B159-006AT0025 → D0314-L22 → M0315 → D0315-L22 → M0318 → D0331-L14 → M0317 → B113-016BC0040 → END</t>
  </si>
  <si>
    <t>B1-MOV-13-777</t>
  </si>
  <si>
    <t>EDSV SPRAY.2 STG OUTLET</t>
  </si>
  <si>
    <t>B159-006AT0006 → B159-006AT0005 → B159-006AT0014 → B159-006AT0025 → D0314-L23 → M0315 → D0315-L23 → M0318 → D0331-L21 → M0317 → B113-016BC0039 → END</t>
  </si>
  <si>
    <t>B1-TCS-1301A</t>
  </si>
  <si>
    <t>TPS/TCS POWER SUPPLY (MAIN)</t>
  </si>
  <si>
    <t>B159-007AT0016 → B159-007AT0017 → B159-007AT0012 → END</t>
  </si>
  <si>
    <t>B1-UPSP-59701</t>
  </si>
  <si>
    <t>400/230V AC UPS LOCAL DISTRIBUTION PANEL FOR STG #1 - A</t>
  </si>
  <si>
    <t>TPS/TCS POWER SUPPLY (BACK UP)</t>
  </si>
  <si>
    <t>B159-006BT0003 → B159-006BT0019 → B159-006BT0006 → B159-006BT0018 → B159-006BT0010 → B159-006BT0022 → B159-006BT0023 → END</t>
  </si>
  <si>
    <t>TPS/TCS POWER SUPPLY (AUX. POWER)</t>
  </si>
  <si>
    <t>B159-006BT0003 → B159-006BT0019 → B159-006BT0006 → B159-006BT0018 → B159-006BT0010 → B159-006BT0022 → B159-006BT0023 → B159-006BT0012 → END</t>
  </si>
  <si>
    <t>B1-TCS-1311</t>
  </si>
  <si>
    <t>TPC POWER SUPPLY (MAIN)</t>
  </si>
  <si>
    <t>1.1_MAIN BUILDING COMPLEX / EXCITATION ROOM</t>
  </si>
  <si>
    <t>B159-007AT0014 → B159-007AT0015 → B159-007AT0016 → B159-007AT0011 → END</t>
  </si>
  <si>
    <t>TPC POWER SUPPLY (BACK UP)</t>
  </si>
  <si>
    <t>B159-006BT0003 → B159-006BT0019 → B159-006BT0006 → B159-006BT0018 → B159-006BT0010 → B159-006BT0022 → B159-006BT0011 → END</t>
  </si>
  <si>
    <t>TPC POWER SUPPLY (AUX. POWER)</t>
  </si>
  <si>
    <t>B159-006BT0005 → B159-006BT0018 → B159-006BT0010 → B159-006BT0022 → B159-006BT0011 → END</t>
  </si>
  <si>
    <t>B1-TCS-1321</t>
  </si>
  <si>
    <t>VMS POWER SUPPLY (MAIN)</t>
  </si>
  <si>
    <t>B1-UPSP-59702</t>
  </si>
  <si>
    <t>400/230V AC UPS LOCAL DISTRIBUTION PANEL FOR STG #1 - B</t>
  </si>
  <si>
    <t>VMS POWER SUPPLY (BACK UP)</t>
  </si>
  <si>
    <t>VMS POWER SUPPLY (AUX. POWER)</t>
  </si>
  <si>
    <t>B1-PRP-13701</t>
  </si>
  <si>
    <t>GEN. PROTECTION PANEL (MAIN)</t>
  </si>
  <si>
    <t>GEN. PROTECTION PANEL (BACK UP)</t>
  </si>
  <si>
    <t>B159-006BT0005 → B159-006BT0018 → B159-006BT0010 → B159-006BT0022 → B159-006BT0023 → B159-006BT0012 → END</t>
  </si>
  <si>
    <t>GEN. PROTECTION PANEL (AUX. POWER)</t>
  </si>
  <si>
    <t>B159-006BT0018 → B159-006BT0010 → B159-006BT0022 → B159-006BT0023 → B159-006BT0012 → END</t>
  </si>
  <si>
    <t>B1-CP-13701</t>
  </si>
  <si>
    <t>GEN. AVR, SYNCH. AND MEAS. PANEL (MAIN)</t>
  </si>
  <si>
    <t>GEN. AVR, SYNCH. AND MEAS. PANEL (BACK UP)</t>
  </si>
  <si>
    <t>GEN. AVR, SYNCH. AND MEAS. PANEL (AUX. POWER)</t>
  </si>
  <si>
    <t>B1-CP-13501</t>
  </si>
  <si>
    <t>GEN EXCITATION PANEL (MAIN)</t>
  </si>
  <si>
    <t>B159-006AT0005 → B159-006AT0006 → B159-006AT0019 → B113-007CC0001 → END</t>
  </si>
  <si>
    <t>GEN EXCITATION PANEL (BACK UP)</t>
  </si>
  <si>
    <t>B159-006BT0005 → B159-006BT0006 → B159-006BT0019 → B113-007CC0002 → END</t>
  </si>
  <si>
    <t>GEN EXCITATION PANEL (AUX. POWER)</t>
  </si>
  <si>
    <t>B159-006BT0006 → B159-006BT0019 → B113-006CC0005 → END</t>
  </si>
  <si>
    <t>B1-JB-13730</t>
  </si>
  <si>
    <t>EXCIT.TRANSF.POWER SUPPLY- A</t>
  </si>
  <si>
    <t>1.1_MAIN BUILDING COMPLEX / EXCITATION TR ROOM</t>
  </si>
  <si>
    <t>B159-006AT0003 → B159-006AT0014 → B159-006AT0005 → B159-006AT0018 → B159-006AT0017 → D0314-L23 → M0315 → D0315-L23 → M0318 → B113-007CC0006 → END</t>
  </si>
  <si>
    <t>EXCIT.TRANSF.POWER SUPPLY- B</t>
  </si>
  <si>
    <t>B159-006BT0003 → B159-006BT0019 → B159-006BT0006 → B159-006BT0018 → B159-006BT0010 → B159-006BT0022 → B159-006BT0023 → B159-006BT0024 → B159-006BT0013 → D0314-L22 → M0315 → D0315-L22 → M0318 → B113-007CC0006 → END</t>
  </si>
  <si>
    <t>B1-TCS-1320</t>
  </si>
  <si>
    <t>TCS SERVER(TLCS) CABINET (MAIN)</t>
  </si>
  <si>
    <t>B073-017AT0013 → B073-017AT0015 → B073-017AT0011 → END</t>
  </si>
  <si>
    <t>TCS SERVER(TLCS) CABINET (BACK UP)</t>
  </si>
  <si>
    <t>B1-TCS-1310S</t>
  </si>
  <si>
    <t>HIS.SERVER POWER SUPPLY-A</t>
  </si>
  <si>
    <t>B1-TCS-1300A</t>
  </si>
  <si>
    <t>FOPP POWER SUPPLY</t>
  </si>
  <si>
    <t>B1-JBX-1302</t>
  </si>
  <si>
    <t>JB EWV</t>
  </si>
  <si>
    <t>B159-006BT0005 → B159-006BT0006 → B159-006BT0019 → B159-006BT0001 → D0326-L15 → M0316 → B213-996AT0012 → B213-016AT0011 → B213-016AT0003 → B213-016AT0004 → B213-016AT0005 → B113-016BC0027 → END</t>
  </si>
  <si>
    <t>B1-JB-13701</t>
  </si>
  <si>
    <t>JB GENERATOR COLLECTOR HOUSING</t>
  </si>
  <si>
    <t>B159-006AT0003 → B159-006AT0025 → D0326-L21 → M0316 → B113-996AT0012 → B113-016AT0011 → B113-016AT0003 → B113-017BC0002 → END</t>
  </si>
  <si>
    <t>B2-DCP-59701</t>
  </si>
  <si>
    <t>220V DC LOCAL DISTRIBUTION PANEL FOR STG #2 - A</t>
  </si>
  <si>
    <t xml:space="preserve">B2-MS-13701 </t>
  </si>
  <si>
    <t>1.1_MAIN BUILDING COMPLEX / STG #2</t>
  </si>
  <si>
    <t>B259-006AT0014 → B259-006AT0003 → END</t>
  </si>
  <si>
    <t>B2-DCP-59702</t>
  </si>
  <si>
    <t>220V DC LOCAL DISTRIBUTION PANEL FOR STG #2 - B</t>
  </si>
  <si>
    <t>B259-006BT0005 → B259-006BT0006 → B259-006BT0019 → B259-006BT0001 → END</t>
  </si>
  <si>
    <t>B2-DB-59601</t>
  </si>
  <si>
    <t>400V-230V DIST. BOARD FOR ST #2 FOR BLOCK #2 - A</t>
  </si>
  <si>
    <t>B259-006AT0003 → END</t>
  </si>
  <si>
    <t>B2-EMCC-64601</t>
  </si>
  <si>
    <t>400V EMERGENCY MCC FOR BLOCK #2 - A</t>
  </si>
  <si>
    <t>B2-VSD-13601</t>
  </si>
  <si>
    <t>B264-016BT0030 → B264-016BT0029 → B264-996BT0012 → M0407 → D0302-L36 → M0302 → D0303-L36 → M0303 → D0305-L27 → M0306 → D0321-L27 → M0307 → D0306-L25 → M0308 → D0308-L15 → M0310 → D0309-L15 → M0311 → D0310-L25 → B259-006BT0013 → B259-006BT0024 → B259-006BT0023 → B259-006BT0022 → B259-006BT0010 → B259-006BT0018 → B259-006BT0006 → B259-006BT0019 → B259-006BT0001 → END</t>
  </si>
  <si>
    <t>B2-SKD-13-201-P73A</t>
  </si>
  <si>
    <t>B264-016BT0030 → B264-016BT0029 → B264-996BT0012 → M0407 → D0302-L35 → M0302 → D0303-L36 → M0303 → D0305-L26 → M0306 → D0321-L22 → M0307 → D0306-L23 → M0308 → D0308-L24 → M0310 → D0309-L24 → M0311 → D0310-L24 → B259-007AT0017 → B259-007AT0016 → B259-007AT0015 → B259-007AT0014 → B259-007AT0025 → D0325-L11 → M0313 → B213-997AT0010 → B213-017AT0009 → B213-017AT0002 → B213-017AT0001 → B213-016BC0002 → END</t>
  </si>
  <si>
    <t>B2-EMCC-64602</t>
  </si>
  <si>
    <t>400V EMERGENCY MCC FOR BLOCK #2 - B</t>
  </si>
  <si>
    <t>B2-SKD-13-201-P73B</t>
  </si>
  <si>
    <t>B264-016CT0049 → B264-016CT0048 → B264-996CT0017 → M0407 → D0302-L37 → M0302 → D0303-L37 → M0303 → D0305-L32 → M0306 → D0321-L32 → M0307 → D0306-L32 → M0308 → D0308-L21 → M0310 → D0309-L21 → M0311 → D0310-L21 → B259-006BT0013 → B259-006BT0024 → B259-006BT0023 → B259-006BT0022 → B259-006BT0010 → B259-006BT0018 → B259-006BT0006 → B259-006BT0019 → B259-006BT0001 → D0325-L12 → M0313 → B213-996AT0012 → B213-016AT0011 → B213-016AT0002 → B213-016AT0001 → B213-016BC0001 → END</t>
  </si>
  <si>
    <t>B264-016BT0030 → B264-016BT0029 → B264-996BT0012 → M0407 → D0302-L35 → M0302 → D0303-L36 → M0303 → D0305-L26 → M0306 → D0321-L22 → M0307 → D0306-L23 → M0308 → D0308-L24 → M0310 → D0309-L24 → M0311 → D0310-L24 → B259-006BT0013 → B259-006BT0024 → B259-006BT0023 → B259-006BT0022 → B259-006BT0010 → B259-006BT0018 → B259-006BT0006 → B259-006BT0019 → B259-006BT0001 → D0325-L11 → M0313 → B213-996AT0012 → B213-016AT0011 → B213-016AT0002 → B213-016AT0001 → B213-016BC0002 → END</t>
  </si>
  <si>
    <t>B2-SKD-13-201-P78A</t>
  </si>
  <si>
    <t>B264-016CT0049 → B264-016CT0048 → B264-996CT0017 → M0407 → D0302-L35 → M0302 → D0303-L36 → M0303 → D0305-L26 → M0306 → D0321-L22 → M0307 → D0306-L24 → M0308 → D0308-L24 → M0310 → D0309-L24 → M0311 → D0310-L24 → B259-007AT0017 → B259-007AT0016 → B259-007AT0015 → B259-007AT0014 → B259-007AT0025 → D0325-L11 → M0313 → B213-997AT0010 → B213-017AT0009 → B213-017AT0002 → B213-017AT0001 → B213-016BC0004 → END</t>
  </si>
  <si>
    <t>B2-SKD-13-201-P78B</t>
  </si>
  <si>
    <t>B264-016BT0030 → B264-016BT0029 → B264-996BT0012 → M0407 → D0302-L37 → M0302 → D0303-L37 → M0303 → D0305-L32 → M0306 → D0321-L32 → M0307 → D0306-L32 → M0308 → D0308-L21 → M0310 → D0309-L21 → M0311 → D0310-L21 → B259-006BT0013 → B259-006BT0024 → B259-006BT0023 → B259-006BT0022 → B259-006BT0010 → B259-006BT0018 → B259-006BT0006 → B259-006BT0019 → B259-006BT0001 → D0325-L12 → M0313 → B213-996AT0012 → B213-016AT0011 → B213-016AT0002 → B213-016AT0001 → B213-016BC0003 → END</t>
  </si>
  <si>
    <t>B264-016CT0049 → B264-016CT0048 → B264-996CT0017 → M0407 → D0302-L35 → M0302 → D0303-L36 → M0303 → D0305-L26 → M0306 → D0321-L22 → M0307 → D0306-L24 → M0308 → D0308-L24 → M0310 → D0309-L24 → M0311 → D0310-L24 → B259-006AT0017 → B259-006AT0016 → B259-006AT0015 → B259-006AT0014 → B259-006AT0025 → D0325-L11 → M0313 → B213-996AT0012 → B213-016AT0011 → B213-016AT0002 → B213-016AT0001 → B213-016BC0004 → END</t>
  </si>
  <si>
    <t>B264-016BT0030 → B264-016BT0029 → B264-996BT0012 → M0407 → D0302-L37 → M0302 → D0303-L37 → M0303 → D0305-L32 → M0306 → D0321-L32 → M0307 → D0306-L32 → M0308 → D0308-L21 → M0310 → D0309-L21 → M0311 → D0310-L21 → B259-006AT0017 → B259-006AT0016 → B259-006AT0015 → B259-006AT0014 → B259-006AT0025 → D0325-L12 → M0313 → B213-996AT0012 → B213-016AT0011 → B213-016AT0002 → B213-016AT0001 → B213-016BC0003 → END</t>
  </si>
  <si>
    <t>B2-SKD-13-202</t>
  </si>
  <si>
    <t>B259-006AT0003 → B259-006AT0025 → D0325-L11 → M0313 → B213-006AC0001 → END</t>
  </si>
  <si>
    <t>B2-SKD-13-201-DR80A</t>
  </si>
  <si>
    <t>B2-SKD-13-201-DR80B</t>
  </si>
  <si>
    <t>B2-SKD-13-101-M01A</t>
  </si>
  <si>
    <t>B259-006AT0006 → B259-006AT0005 → B259-006AT0014 → B259-006AT0025 → D0325-L15 → M0313 → B213-997AT0010 → B213-017AT0009 → B213-017AT0002 → B213-017AT0001 → B213-016BC0006 → END</t>
  </si>
  <si>
    <t>B2-SKD-13-101-M01B</t>
  </si>
  <si>
    <t>B259-006BT0003 → B259-006BT0001 → D0325-L11 → M0313 → B213-996AT0012 → B213-016AT0011 → B213-016AT0002 → B213-016AT0001 → B113-016BC0006 → END</t>
  </si>
  <si>
    <t>B2-JB-13702</t>
  </si>
  <si>
    <t>B259-006AT0003 → B259-006AT0025 → D0325-L11 → M0313 → B213-996AT0012 → B213-016AT0011 → B213-016AT0002 → B213-016AT0001 → B213-016BC0006 → END</t>
  </si>
  <si>
    <t>B2-JB-13602</t>
  </si>
  <si>
    <t>B2-SKD-13-921-DR02A</t>
  </si>
  <si>
    <t>B2-SKD-13-921-DR02B</t>
  </si>
  <si>
    <t>B2-SKD-13-201-MOV01</t>
  </si>
  <si>
    <t>B259-006AT0003 → B259-006AT0025 → D0325-L13 → M0313 → B213-996AT0012 → B213-016AT0011 → B213-016AT0002 → B213-016AT0001 → B213-016BC0004 → END</t>
  </si>
  <si>
    <t>B2-SKD-13-201-MOV13</t>
  </si>
  <si>
    <t>B259-006AT0006 → B259-006AT0005 → B259-006AT0014 → B259-006AT0025 → D0325-L14 → M0313 → B213-996AT0012 → B213-016AT0011 → B213-016AT0002 → B213-016AT0001 → B213-016BC0003 → END</t>
  </si>
  <si>
    <t>B2-P-13-502A</t>
  </si>
  <si>
    <t>B259-006AT0006 → B259-006AT0005 → B259-006AT0014 → B259-006AT0025 → D0325-L13 → M0313 → B213-997AT0010 → B213-017AT0009 → B213-017AT0003 → B213-017AT0004 → B213-017AT0005 → B213-017AT0006 → B213-017AT0007 → B213-016BC0037 → B213-006AC0006 → B213-016AC0012 → B213-016AC0010 → B213-016AC0006 → END</t>
  </si>
  <si>
    <t>B2-P-13-502B</t>
  </si>
  <si>
    <t>B259-006BT0003 → B259-006BT0001 → D0325-L14 → M0313 → B213-996AT0012 → B213-016AT0011 → B213-016AT0003 → B213-016AT0004 → B213-016AT0005 → B213-016AT0006 → B213-016AT0007 → B213-016BC0036 → B213-006AC0005 → B213-016AC0011 → B213-016AC0009 → B213-016AC0005 → END</t>
  </si>
  <si>
    <t>B2-JB-13601</t>
  </si>
  <si>
    <t>B259-006AT0006 → B259-006AT0005 → B259-006AT0014 → B259-006AT0025 → D0325-L13 → M0313 → B213-996AT0012 → B213-016AT0011 → B213-016AT0003 → B213-016AT0004 → B213-016BC0031 → END</t>
  </si>
  <si>
    <t>B2-JB-13710</t>
  </si>
  <si>
    <t>B259-006AT0003 → B259-006AT0025 → D0325-L14 → M0313 → B213-996AT0012 → B213-016AT0011 → B213-016AT0003 → B213-016AT0004 → B213-016AT0005 → B213-016BC0030 → END</t>
  </si>
  <si>
    <t>B2-DB-59602</t>
  </si>
  <si>
    <t>400V-230V DIST. BOARD FOR ST #2 FOR BLOCK #2 - B</t>
  </si>
  <si>
    <t>B2-JB-13720</t>
  </si>
  <si>
    <t>B259-006AT0006 → B259-006AT0005 → B259-006AT0014 → B259-006AT0025 → D0325-L13 → M0313 → B213-996AT0012 → B213-016AT0011 → B213-016AT0003 → B213-017BC0001 → END</t>
  </si>
  <si>
    <t>B2-SKD-13-201-H71</t>
  </si>
  <si>
    <t>B259-006AT0003 → B259-006AT0025 → D0325-L14 → M0313 → B213-996AT0012 → B213-016AT0011 → B213-016AT0002 → B213-016AT0001 → B213-016BC0004 → END</t>
  </si>
  <si>
    <t>B2-SKD-13-201-H72</t>
  </si>
  <si>
    <t>B259-006AT0006 → B259-006AT0005 → B259-006AT0014 → B259-006AT0025 → D0325-L13 → M0313 → B213-996AT0012 → B213-016AT0011 → B213-016AT0002 → B213-016AT0001 → B213-016BC0003 → END</t>
  </si>
  <si>
    <t>B2-PA-13701</t>
  </si>
  <si>
    <t>B259-006AT0014 → B259-006AT0025 → D0325-L13 → M0313 → B213-997AT0010 → B213-017AT0009 → B213-017AT0003 → B213-017AT0004 → B213-017AT0005 → B213-017AT0006 → B213-017AT0007 → B213-016BC0026 → END</t>
  </si>
  <si>
    <t>B259-006BT0005 → B259-006BT0006 → B259-006BT0019 → B259-006BT0001 → D0325-L14 → M0313 → B213-996AT0012 → B213-016AT0011 → B213-016AT0003 → B213-016AT0004 → B213-016AT0005 → B213-016AT0006 → B213-016AT0007 → B213-016BC0026 → END</t>
  </si>
  <si>
    <t>B259-006AT0006 → B259-006AT0005 → B259-006AT0014 → B259-006AT0025 → D0325-L13 → M0313 → B213-996AT0012 → B213-016AT0011 → B213-016AT0003 → B213-016AT0004 → B213-016AT0005 → B213-016AT0006 → B213-016AT0007 → B213-016BC0026 → END</t>
  </si>
  <si>
    <t>B2-MOV-13-566</t>
  </si>
  <si>
    <t>B259-006AT0003 → B259-006AT0025 → B259-006AT0014 → B259-006AT0015 → B259-006AT0016 → B259-006AT0017 → D0310-L21 → M0311 → D0311-L14 → M0312 → D0330-L15 → M0314 → B213-016BC0048 → END</t>
  </si>
  <si>
    <t>B2-MOV-13-561</t>
  </si>
  <si>
    <t>B259-006AT0006 → B259-006AT0005 → B259-006AT0014 → B259-006AT0025 → B259-006AT0015 → B259-006AT0016 → B259-006AT0017 → D0310-L22 → M0311 → D0311-L15 → M0312 → D0330-L14 → M0314 → B213-016BC0049 → END</t>
  </si>
  <si>
    <t>B2-MOV-13-564</t>
  </si>
  <si>
    <t>B259-006AT0003 → B259-006AT0025 → B259-006AT0014 → B259-006AT0015 → B259-006AT0016 → B259-006AT0017 → D0310-L21 → M0311 → D0311-L14 → M0312 → D0330-L15 → M0314 → B213-016BC0047 → END</t>
  </si>
  <si>
    <t>B2-MOV-13-565</t>
  </si>
  <si>
    <t>B259-006AT0006 → B259-006AT0005 → B259-006AT0014 → B259-006AT0025 → B259-006AT0015 → B259-006AT0016 → B259-006AT0017 → D0310-L22 → M0311 → D0311-L15 → M0312 → D0330-L14 → M0314 → B213-016BC0046 → END</t>
  </si>
  <si>
    <t>B2-MOV-13-405</t>
  </si>
  <si>
    <t>B259-006AT0003 → B259-006AT0025 → B259-006AT0014 → B259-006AT0015 → B259-006AT0016 → B259-006AT0017 → D0310-L21 → M0311 → D0311-L14 → M0312 → D0330-L15 → M0314 → B213-016BC0044 → END</t>
  </si>
  <si>
    <t>B2-MOV-13-409</t>
  </si>
  <si>
    <t>B259-006AT0006 → B259-006AT0005 → B259-006AT0014 → B259-006AT0025 → B259-006AT0015 → B259-006AT0016 → B259-006AT0017 → D0310-L22 → M0311 → D0311-L15 → M0312 → D0330-L14 → M0314 → B213-016BC0043 → END</t>
  </si>
  <si>
    <t>B2-PCV-13-659</t>
  </si>
  <si>
    <t>B259-006AT0003 → B259-006AT0025 → D0325-L12 → M0313 → B213-996AT0012 → B213-016AT0011 → B213-016AT0003 → B213-016AT0004 → B213-016AT0005 → B213-016AT0006 → B213-016AT0007 → B213-016BC0052 → END</t>
  </si>
  <si>
    <t>B2-PCV-13-651</t>
  </si>
  <si>
    <t>B259-006AT0006 → B259-006AT0005 → B259-006AT0014 → B259-006AT0025 → D0325-L12 → M0313 → B213-996AT0012 → B213-016AT0011 → B213-016AT0003 → B213-016AT0004 → B213-016AT0005 → B213-016AT0006 → B213-016AT0007 → B213-016BC0053 → END</t>
  </si>
  <si>
    <t>B2-PCV-13-601</t>
  </si>
  <si>
    <t>B259-006AT0006 → B259-006AT0005 → B259-006AT0014 → B259-006AT0025 → D0325-L12 → M0313 → B213-996AT0012 → B213-016AT0011 → B213-016AT0003 → B213-016AT0004 → B213-016AT0005 → B213-016AT0006 → B213-016AT0007 → B213-016BC0054 → END</t>
  </si>
  <si>
    <t>B2-MOV-13-607</t>
  </si>
  <si>
    <t>B259-006AT0006 → B259-006AT0005 → B259-006AT0014 → B259-006AT0025 → B259-006AT0015 → B259-006AT0016 → B259-006AT0017 → D0310-L22 → M0311 → D0311-L15 → M0312 → D0330-L14 → M0314 → B213-016BC0045 → END</t>
  </si>
  <si>
    <t>B2-LCV-13-501</t>
  </si>
  <si>
    <t>B259-006AT0003 → B259-006AT0025 → D0325-L12 → M0313 → B213-996AT0012 → B213-016AT0011 → B213-016AT0003 → B213-016AT0004 → B213-016AT0005 → B213-016AT0006 → B213-016AT0007 → B213-016BC0055 → END</t>
  </si>
  <si>
    <t>B2-FCV-13-531</t>
  </si>
  <si>
    <t>B259-006AT0003 → B259-006AT0025 → D0325-L12 → M0313 → B213-996AT0012 → B213-016AT0011 → B213-016AT0003 → B213-016AT0004 → B213-016AT0005 → B213-016AT0006 → B213-016AT0007 → B213-016BC0056 → END</t>
  </si>
  <si>
    <t>B2-MOV-13-772</t>
  </si>
  <si>
    <t>B259-006AT0003 → B259-006AT0025 → B259-006AT0014 → B259-006AT0015 → B259-006AT0016 → B259-006AT0017 → D0310-L21 → M0311 → D0311-L14 → M0312 → D0330-L15 → M0314 → B213-016BC0042 → END</t>
  </si>
  <si>
    <t>B2-MOV-13-777</t>
  </si>
  <si>
    <t>B259-006AT0006 → B259-006AT0005 → B259-006AT0014 → B259-006AT0025 → B259-006AT0015 → B259-006AT0016 → B259-006AT0017 → D0310-L22 → M0311 → D0311-L15 → M0312 → D0330-L14 → M0314 → B213-016BC0041 → END</t>
  </si>
  <si>
    <t>B2-TCS-1301A</t>
  </si>
  <si>
    <t>TPS/TEC POWER SUPPLY (MAIN)</t>
  </si>
  <si>
    <t>B259-007AT0016 → B259-007AT0017 → B259-007AT0012 → END</t>
  </si>
  <si>
    <t>B2-UPSP-59701</t>
  </si>
  <si>
    <t>400/230V AC UPS LOCAL DISTRIBUTION PANEL FOR STG #2 - A</t>
  </si>
  <si>
    <t>TPS/TEC POWER SUPPLY (BACK UP)</t>
  </si>
  <si>
    <t>B259-006BT0003 → B259-006BT0019 → B259-006BT0006 → B259-006BT0018 → B259-006BT0010 → B259-006BT0022 → B259-006BT0023 → B259-006BT0012 → END</t>
  </si>
  <si>
    <t>B2-TCS-1311</t>
  </si>
  <si>
    <t>B259-007AT0014 → B259-007AT0015 → B259-007AT0016 → B259-007AT0011 → END</t>
  </si>
  <si>
    <t>B259-006BT0003 → B259-006BT0019 → B259-006BT0006 → B259-006BT0018 → B259-006BT0010 → B259-006BT0022 → B259-006BT0011 → END</t>
  </si>
  <si>
    <t>B259-006BT0018 → B259-006BT0010 → B259-006BT0022 → B259-006BT0011 → END</t>
  </si>
  <si>
    <t>B2-TCS-1321</t>
  </si>
  <si>
    <t>B2-UPSP-59702</t>
  </si>
  <si>
    <t>400/230V AC UPS LOCAL DISTRIBUTION PANEL FOR STG #2 - B</t>
  </si>
  <si>
    <t>B2-PRP-13701</t>
  </si>
  <si>
    <t>B259-007AT0006 → B259-007AT0007 → B259-007AT0009 → B259-007AT0021 → B259-007AT0010 → END</t>
  </si>
  <si>
    <t>B259-006BT0005 → B259-006BT0018 → B259-006BT0010 → B259-006BT0022 → B259-006BT0023 → B259-006BT0012 → END</t>
  </si>
  <si>
    <t>B259-006BT0018 → B259-006BT0010 → B259-006BT0022 → B259-006BT0023 → B259-006BT0012 → END</t>
  </si>
  <si>
    <t>B2-CP-13701</t>
  </si>
  <si>
    <t>GEN. AVR, SYNCH. AND MEAS. PANEL (BACK BUP)</t>
  </si>
  <si>
    <t>B2-CP-13501</t>
  </si>
  <si>
    <t xml:space="preserve"> GEN EXCITATION PANEL (MAIN)</t>
  </si>
  <si>
    <t>B259-006AT0005 → B259-006AT0006 → B259-006AT0019 → B213-007CC0001 → END</t>
  </si>
  <si>
    <t>B259-006BT0005 → B259-006BT0006 → B259-006BT0019 → B213-007CC0002 → END</t>
  </si>
  <si>
    <t>B259-006BT0006 → B259-006BT0019 → B213-006CC0005 → END</t>
  </si>
  <si>
    <t>B2-JB-13730</t>
  </si>
  <si>
    <t>B259-006BT0003 → B259-006BT0019 → B259-006BT0006 → B259-006BT0018 → B259-006BT0010 → B259-006BT0022 → B259-006BT0023 → B259-006BT0024 → B259-006BT0013 → D0310-L26 → M0311 → D0311-L16 → M0312 → B213-007CC0006 → END</t>
  </si>
  <si>
    <t>B2-TCS-1320</t>
  </si>
  <si>
    <t>B073-017AT0013 → END</t>
  </si>
  <si>
    <t>B2-TCS-1310S</t>
  </si>
  <si>
    <t>B2-TCS-1300A</t>
  </si>
  <si>
    <t>B2-JBX-1302</t>
  </si>
  <si>
    <t>B259-006BT0005 → B259-006BT0006 → B259-006BT0019 → B259-006BT0001 → D0325-L15 → M0313 → B213-996AT0012 → B213-016AT0011 → B213-016AT0003 → B213-016AT0004 → B213-016AT0005 → B213-016AT0006 → B213-016AT0007 → B213-016BC0027 → END</t>
  </si>
  <si>
    <t>B2-JB-13701</t>
  </si>
  <si>
    <t>B259-006AT0006 → B259-006AT0005 → B259-006AT0014 → B259-006AT0025 → D0325-L21 → M0313 → B213-996AT0012 → B213-016AT0011 → B213-016AT0003 → B213-017BC0002 → END</t>
  </si>
  <si>
    <t>HRSG</t>
  </si>
  <si>
    <t>B1-MCC-64602</t>
  </si>
  <si>
    <t>400V MCC FOR GT/HRSG #1 FOR BLOCK #1 - B</t>
  </si>
  <si>
    <t>B1-P-14011A</t>
  </si>
  <si>
    <t>1.1_MAIN BUILDING COMPLEX / HRSG #11</t>
  </si>
  <si>
    <t>B164-016ET0106 → B164-996ET0022 → M0504 → D0531-L24 → M0510 → D0517-L14 → M0501 → D0503-L35 → M0502 → D0504-L35 → M0503 → D0501-L35 → M0328 → B161-006AC0009 → END</t>
  </si>
  <si>
    <t>B1-MCC-64601</t>
  </si>
  <si>
    <t>400V MCC FOR GT/HRSG #1 FOR BLOCK #1 - A</t>
  </si>
  <si>
    <t>B1-P-14011B</t>
  </si>
  <si>
    <t>B164-016CT0098 → B164-016CT0099 → B164-996CT0022 → M0504 → D0531-L25 → M0510 → D0517-L15 → M0501 → D0503-L36 → M0502 → D0504-L36 → M0503 → D0501-L36 → M0328 → B161-006AC0008 → END</t>
  </si>
  <si>
    <t>B1-P-14012A</t>
  </si>
  <si>
    <t>HRSG #11 ABD EXTRACTION PUMP A - MOTOR</t>
  </si>
  <si>
    <t>B164-016CT0098 → B164-016CT0099 → B164-996CT0022 → M0504 → D0531-L24 → M0510 → D0517-L14 → M0501 → D0503-L35 → M0502 → D0504-L35 → M0503 → D0501-L35 → M0328 → D0324-L35 → M0329 → B161-016AC0020 → END</t>
  </si>
  <si>
    <t>B1-P-14012B</t>
  </si>
  <si>
    <t>HRSG #11 ABD EXTRACTION PUMP B - MOTOR</t>
  </si>
  <si>
    <t>B164-016ET0106 → B164-996ET0022 → M0504 → D0531-L25 → M0510 → D0517-L15 → M0501 → D0503-L36 → M0502 → D0504-L36 → M0503 → D0501-L36 → M0328 → D0324-L36 → M0329 → B161-016AC0021 → END</t>
  </si>
  <si>
    <t>B1-PDP-1401</t>
  </si>
  <si>
    <t>B164-016ET0106 → B164-996ET0022 → M0504 → D0531-L26 → M0510 → D0517-L25 → M0501 → D0503-L37 → M0502 → D0504-L37 → M0503 → D0501-L37 → M0328 → D0324-L37 → M0329 → B114-996DT0081 → B114-016DT0082 → B114-016DT0083 → B114-016DT0084 → B114-016DT0096 → B114-016DT0097 → B114-016DT0100 → B161-016AC0003 → END</t>
  </si>
  <si>
    <t>B1-UPSP-1401A</t>
  </si>
  <si>
    <t>HRSG #11 UPS DISTRIBUTION BOARD (MAIN)</t>
  </si>
  <si>
    <t>B164-006HT0202 → B164-006HT0201 → B164-006HT0001 → B164-006HT0002 → B164-006HT0003 → B064-006AC0001 → M0501 → D0503-L38 → M0502 → D0504-L38 → M0503 → D0501-L38 → M0328 → D0324-L38 → M0329 → B114-996DT0081 → B114-016DT0082 → B114-016DT0083 → B114-016DT0084 → B114-016DT0096 → B114-016DT0097 → B114-016DT0100 → B161-017AC0005 → END</t>
  </si>
  <si>
    <t>B1-UPSP-1401B</t>
  </si>
  <si>
    <t>HRSG #11 UPS DISTRIBUTION BOARD (BACK UP)</t>
  </si>
  <si>
    <t>B1-PC-1404</t>
  </si>
  <si>
    <t>HRSG #11 HPU POWER DISTRIBUTION</t>
  </si>
  <si>
    <t>B1-MOV-14010</t>
  </si>
  <si>
    <t>HRSG #11 HP MAIN STEAM STOP VALVE - MOV</t>
  </si>
  <si>
    <t>B164-016CT0098 → B164-016CT0099 → B164-996CT0022 → M0504 → D0531-L24 → M0510 → D0517-L14 → M0501 → D0503-L35 → M0502 → D0504-L35 → M0503 → D0501-L35 → M0328 → D0324-L35 → M0329 → B114-996DT0081 → B114-016DT0082 → B114-016DT0083 → B114-016DT0084 → B114-016DT0096 → B114-016DT0097 → B161-016AC0005 → END</t>
  </si>
  <si>
    <t>B1-MOV-14019</t>
  </si>
  <si>
    <t>HRSG #11 LP MAIN STEAM STOP VALVE - MOV</t>
  </si>
  <si>
    <t>B164-016ET0106 → B164-996ET0022 → M0504 → D0531-L26 → M0510 → D0517-L15 → M0501 → D0503-L37 → M0502 → D0504-L37 → M0503 → D0501-L37 → M0328 → D0324-L37 → M0329 → B114-996DT0081 → B114-016DT0082 → B114-016DT0083 → B114-016DT0084 → B114-016DT0096 → B114-016DT0097 → B161-016AC0006 → END</t>
  </si>
  <si>
    <t>B1-MOV-14011</t>
  </si>
  <si>
    <t>B164-016ET0106 → B164-996ET0022 → M0504 → D0531-L25 → M0510 → D0517-L15 → M0501 → D0503-L36 → M0502 → D0504-L36 → M0503 → D0501-L36 → M0328 → D0324-L36 → M0329 → B114-996DT0081 → B114-016DT0082 → B114-016DT0083 → B114-016DT0084 → B114-016DT0096 → B114-016DT0097 → B161-016AC0024 → END</t>
  </si>
  <si>
    <t>B1-MCC-64604</t>
  </si>
  <si>
    <t>400V MCC FOR GT/HRSG#2 FOR BLOCK #1 - B</t>
  </si>
  <si>
    <t>B1-P-15011A</t>
  </si>
  <si>
    <t>HRSG #12 FW RECIRCULATION PUMP A - MOTOR</t>
  </si>
  <si>
    <t>1.1_MAIN BUILDING COMPLEX / HRSG #12</t>
  </si>
  <si>
    <t>B1-MCC-64603</t>
  </si>
  <si>
    <t>400V MCC FOR GT/HRSG #2 FOR BLOCK #1 - A</t>
  </si>
  <si>
    <t>B1-P-15011B</t>
  </si>
  <si>
    <t>HRSG #12 FW RECIRCULATION PUMP B - MOTOR</t>
  </si>
  <si>
    <t>B1-P-15012A</t>
  </si>
  <si>
    <t>HRSG #12 ABD EXTRACTION PUMP A - MOTOR</t>
  </si>
  <si>
    <t>B164-016BT0103 → B164-016BT0102 → B164-016BT0101 → B164-016BT0100 → B164-996BT0024 → M0504 → D0531-L26 → M0510 → D0517-L16 → M0501 → D0503-L37 → M0502 → D0504-L37 → M0503 → D0501-L37 → M0328 → D0324-L37 → M0329 → B114-996BT0046 → B114-016BT0045 → B114-016BT0044 → B114-016BT0043 → B114-016BT0042 → B114-016BT0041 → B161-006CC0006 → B161-006CC0006 → B161-016CC0022 → B161-016CC0023 → END</t>
  </si>
  <si>
    <t>B1-P-15012B</t>
  </si>
  <si>
    <t>HRSG #12 ABD EXTRACTION PUMP B - MOTOR</t>
  </si>
  <si>
    <t>B164-016AT0118 → B164-016AT0117 → B164-016AT0116 → B164-996AT0023 → M0504 → D0531-L27 → M0510 → D0517-L21 → M0501 → D0503-L38 → M0502 → D0504-L38 → M0503 → D0501-L38 → M0328 → D0324-L38 → M0329 → B114-996CT0071 → B114-016CT0072 → B114-016CT0073 → B114-016CT0074 → B114-016CT0075 → B114-016CT0076 → B161-016CC0026 → B161-006CC0007 → B161-016CC0025 → B161-016CC0024 → END</t>
  </si>
  <si>
    <t>B1-PDP-1501</t>
  </si>
  <si>
    <t>HRSG #12 LV PANEL DISTRIBUTION BOARD</t>
  </si>
  <si>
    <t>B164-016DT0109 → B164-016DT0108 → B164-016DT0107 → B164-996DT0024 → M0504 → D0531-L36 → M0510 → D0517-L31 → M0501 → D0503-L45 → M0502 → D0504-L45 → M0503 → D0501-L47 → M0328 → D0324-L47 → M0329 → B114-996CT0071 → B114-016CT0072 → B114-016CT0073 → B114-016CT0074 → B114-016CT0075 → B114-016CT0076 → B114-016CT0087 → B114-016CT0088 → B114-016CT0091 → B161-016CC0003 → END</t>
  </si>
  <si>
    <t>B1-UPSP-1501A</t>
  </si>
  <si>
    <t>HRSG #12 UPS DISTRIBUTION BOARD (MAIN)</t>
  </si>
  <si>
    <t>B164-006GT0202 → B164-006GT0007 → B164-006GT0008 → B164-006GT0009 → B164-006GT0208 → B164-006GT0207 → B164-006GT0005 → B064-006AC0001 → M0501 → D0503-L38 → M0502 → D0504-L38 → M0503 → D0501-L38 → M0328 → D0324-L38 → M0329 → B114-996CT0071 → B114-016CT0072 → B114-016CT0073 → B114-016CT0074 → B114-016CT0075 → B114-016CT0076 → B114-016CT0087 → B114-016CT0088 → B114-016CT0091 → B161-017CC0005 → END</t>
  </si>
  <si>
    <t>B1-UPSP-1501B</t>
  </si>
  <si>
    <t>HRSG #12 UPS DISTRIBUTION BOARD (BACK UP)</t>
  </si>
  <si>
    <t>B164-006HT0202 → B164-006HT0201 → B164-006HT0001 → B164-006HT0002 → B164-006HT0003 → B064-006AC0002 → M0501 → D0503-L37 → M0502 → D0504-L37 → M0503 → D0501-L37 → M0328 → D0324-L37 → M0329 → B114-996BT0046 → B114-016BT0045 → B114-016BT0044 → B114-016BT0043 → B114-016BT0042 → B114-016BT0041 → B161-017CC0006 → END</t>
  </si>
  <si>
    <t>B1-PC-1504</t>
  </si>
  <si>
    <t>B164-016AT0094 → B164-016AT0093 → B164-016AT0092 → B164-996AT0022 → M0504 → D0531-L33 → M0510 → D0517-L15 → M0501 → D0503-L44 → M0502 → D0504-L44 → M0503 → D0501-L48 → M0328 → D0324-L48 → M0329 → B114-996CT0071 → B114-016CT0072 → B114-016CT0073 → B114-016CT0074 → B114-016CT0075 → B161-016CC0019 → B161-006CC0010 → B161-006CC0011 → END</t>
  </si>
  <si>
    <t>B1-MOV-15010</t>
  </si>
  <si>
    <t>HRSG #12 HP MAIN STEAM STOP VALVE - MOV</t>
  </si>
  <si>
    <t>B164-016AT0094 → B164-016AT0093 → B164-016AT0092 → B164-996AT0022 → M0504 → D0531-L26 → M0510 → D0517-L16 → M0501 → D0503-L37 → M0502 → D0504-L37 → M0503 → D0501-L37 → M0328 → D0324-L37 → M0329 → B114-996CT0071 → B114-016CT0072 → B114-016CT0073 → B114-016CT0074 → B114-016CT0075 → B114-016CT0076 → B114-016CT0087 → B161-016CC0033 → END</t>
  </si>
  <si>
    <t>B1-MOV-15019</t>
  </si>
  <si>
    <t>HRSG #12 LP MAIN STEAM STOP VALVE - MOV</t>
  </si>
  <si>
    <t>B164-016AT0118 → B164-016AT0117 → B164-016AT0116 → B164-996AT0023 → M0504 → D0531-L27 → M0510 → D0517-L21 → M0501 → D0503-L38 → M0502 → D0504-L38 → M0503 → D0501-L38 → M0328 → D0324-L38 → M0329 → B114-996CT0071 → B114-016CT0072 → B114-016CT0073 → B114-016CT0074 → B114-016CT0075 → B114-016CT0076 → B114-016CT0087 → B161-016CC0032 → END</t>
  </si>
  <si>
    <t>B1-MOV-15011</t>
  </si>
  <si>
    <t>HRSG #12 HP MAIN STEAM STOP BYPASS VALVE - MOV</t>
  </si>
  <si>
    <t>B164-016AT0094 → B164-016AT0093 → B164-016AT0092 → B164-996AT0022 → M0504 → D0531-L26 → M0510 → D0517-L16 → M0501 → D0503-L37 → M0502 → D0504-L37 → M0503 → D0501-L37 → M0328 → D0324-L37 → M0329 → B114-996CT0071 → B114-016CT0072 → B114-016CT0073 → B114-016CT0074 → B114-016CT0075 → B114-016CT0076 → B114-016CT0087 → B161-016CC0034 → END</t>
  </si>
  <si>
    <t>B2-MCC-64602</t>
  </si>
  <si>
    <t>400V MCC FOR GT/HRSG #1 FOR BLOCK #2 - B</t>
  </si>
  <si>
    <t>B2-P-14011A</t>
  </si>
  <si>
    <t>HRSG #21 FW RECIRCULATION PUMP A - MOTOR</t>
  </si>
  <si>
    <t>1.1_MAIN BUILDING COMPLEX / HRSG #21</t>
  </si>
  <si>
    <t>B264-016AT0045 → B264-016AT0046 → B264-016AT0209 → B264-016AT0026 → B264-016AT0027 → B264-016AT0225 → B264-996AT0011 → M0405 → D0421-L26 → M0406 → D0301-L22 → M0301 → B215-997AT0026 → B215-017AT0027 → B215-017AT0028 → B215-017AT0029 → B215-017AT0030 → B215-017AT0006 → B215-017AT0007 → B215-017AT0008 → B215-017AT0009 → B261-016CC0027 → B261-006CC0009 → END</t>
  </si>
  <si>
    <t>B2-MCC-64601</t>
  </si>
  <si>
    <t>400V MCC FOR GT/HRSG #1 FOR BLOCK #2 - A</t>
  </si>
  <si>
    <t>B2-P-14011B</t>
  </si>
  <si>
    <t>HRSG #21 FW RECIRCULATION PUMP B - MOTOR</t>
  </si>
  <si>
    <t>B264-016CT0024 → B264-016CT0025 → B264-016CT0026 → B264-016CT0027 → B264-016CT0221 → B264-996CT0009 → M0405 → D0421-L27 → M0406 → D0301-L21 → M0301 → B215-996BT0001 → B215-016BT0002 → B215-016BT0003 → B215-016BT0004 → B215-016BT0005 → B215-016BT0031 → B215-016BT0032 → B215-016BT0033 → B215-016BT0034 → B261-016CC0026 → B261-006CC0008 → END</t>
  </si>
  <si>
    <t>B2-P-14012A</t>
  </si>
  <si>
    <t>HRSG #21 ABD EXTRACTION PUMP A - MOTOR</t>
  </si>
  <si>
    <t>B264-016CT0024 → B264-016CT0025 → B264-016CT0026 → B264-016CT0027 → B264-016CT0221 → B264-996CT0009 → M0405 → D0421-L26 → M0406 → D0301-L22 → M0301 → B215-997AT0026 → B215-017AT0027 → B215-017AT0028 → B215-017AT0029 → B215-017AT0030 → B215-017AT0006 → B215-017AT0007 → B215-017AT0008 → B215-017AT0009 → B215-017AT0010 → B261-016CC0025 → B261-006CC0006 → B261-016CC0019 → B261-016CC0020 → END</t>
  </si>
  <si>
    <t>B2-P-14012B</t>
  </si>
  <si>
    <t>HRSG #21 ABD EXTRACTION PUMP B - MOTOR</t>
  </si>
  <si>
    <t>B264-016AT0045 → B264-016AT0046 → B264-016AT0209 → B264-016AT0026 → B264-016AT0027 → B264-016AT0225 → B264-996AT0011 → M0405 → D0421-L27 → M0406 → D0301-L21 → M0301 → B215-996BT0001 → B215-016BT0002 → B215-016BT0003 → B215-016BT0004 → B215-016BT0005 → B215-016BT0031 → B215-016BT0032 → B215-016BT0033 → B215-016BT0034 → B215-016BT0035 → B261-016CC0030 → B261-006CC0007 → B261-016CC0029 → B261-016CC0021 → END</t>
  </si>
  <si>
    <t>B2-PDP-1401</t>
  </si>
  <si>
    <t>HRSG #21 LV PANEL DISTRIBUTION BOARD</t>
  </si>
  <si>
    <t>B264-016AT0045 → B264-016AT0046 → B264-016AT0209 → B264-016AT0026 → B264-016AT0027 → B264-016AT0225 → B264-996AT0011 → M0405 → D0421-L33 → M0406 → D0301-L35 → M0301 → B215-996AT0026 → B215-016AT0048 → B215-016AT0049 → B215-016AT0050 → B215-016AT0051 → B215-016AT0064 → B215-016AT0065 → B215-016AT0066 → B215-016AT0055 → B215-016AT0056 → B261-016CC0003 → END</t>
  </si>
  <si>
    <t>B2-UPSP-1401A</t>
  </si>
  <si>
    <t>HRSG #21 UPS DISTRIBUTION BOARD (MAIN)</t>
  </si>
  <si>
    <t>B264-016DT0061 → B264-016DT0060 → B264-006AC0003 → M0405 → D0421-L32 → M0406 → D0301-L36 → M0301 → B215-996BT0001 → B215-016BT0002 → B215-016BT0003 → B215-016BT0004 → B215-016BT0005 → B215-016BT0031 → B215-016BT0032 → B215-016BT0033 → B215-016BT0034 → B261-017CC0005 → END</t>
  </si>
  <si>
    <t>B2-UPSP-1401B</t>
  </si>
  <si>
    <t>HRSG #21 UPS DISTRIBUTION BOARD (BACK UP)</t>
  </si>
  <si>
    <t>B264-016ET0061 → B264-016ET0060 → B264-006AC0002 → M0405 → D0421-L33 → M0406 → D0301-L35 → M0301 → B215-996AT0026 → B215-016AT0048 → B215-016AT0049 → B215-016AT0050 → B215-016AT0051 → B215-016AT0064 → B215-016AT0065 → B215-016AT0066 → B215-016AT0055 → B215-016AT0056 → B215-016AT0059 → B261-017CC0006 → END</t>
  </si>
  <si>
    <t>B2-PC-1404</t>
  </si>
  <si>
    <t>HRSG #21 HPU POWER DISTRIBUTION</t>
  </si>
  <si>
    <t>B2-MOV-14010</t>
  </si>
  <si>
    <t>HRSG #21 HP MAIN STEAM STOP VALVE - MOV</t>
  </si>
  <si>
    <t>B264-016CT0024 → B264-016CT0025 → B264-016CT0026 → B264-016CT0027 → B264-016CT0221 → B264-996CT0009 → M0405 → D0421-L33 → M0406 → D0301-L35 → M0301 → B215-996AT0026 → B215-016AT0048 → B215-016AT0049 → B215-016AT0050 → B215-016AT0051 → B215-016AT0064 → B215-016AT0065 → B215-016AT0066 → B215-016AT0055 → B261-016CC0005 → END</t>
  </si>
  <si>
    <t>B2-MOV-14019</t>
  </si>
  <si>
    <t>HRSG #21 LP MAIN STEAM STOP VALVE - MOV</t>
  </si>
  <si>
    <t>B264-016AT0045 → B264-016AT0046 → B264-016AT0209 → B264-016AT0026 → B264-016AT0027 → B264-016AT0225 → B264-996AT0011 → M0405 → D0421-L33 → M0406 → D0301-L35 → M0301 → B215-996AT0026 → B215-016AT0048 → B215-016AT0049 → B215-016AT0050 → B215-016AT0051 → B215-016AT0064 → B215-016AT0065 → B215-016AT0066 → B215-016AT0055 → B261-016CC0006 → END</t>
  </si>
  <si>
    <t>B2-MOV-14011</t>
  </si>
  <si>
    <t>HRSG #21 HP MAIN STEAM STOP BYPASS VALVE - MOV</t>
  </si>
  <si>
    <t>B264-016AT0045 → B264-016AT0046 → B264-016AT0209 → B264-016AT0026 → B264-016AT0027 → B264-016AT0225 → B264-996AT0011 → M0405 → D0421-L33 → M0406 → D0301-L35 → M0301 → B215-996AT0026 → B215-016AT0048 → B215-016AT0049 → B215-016AT0050 → B215-016AT0051 → B215-016AT0064 → B215-016AT0065 → B215-016AT0066 → B215-016AT0055 → B215-016AT0056 → B261-016CC0031 → END</t>
  </si>
  <si>
    <t>B2-MCC-64603</t>
  </si>
  <si>
    <t>400V MCC FOR GT/HRSG #2 FOR BLOCK #2 - A</t>
  </si>
  <si>
    <t>B2-P-15011A</t>
  </si>
  <si>
    <t>1.1_MAIN BUILDING COMPLEX / HRSG #22</t>
  </si>
  <si>
    <t>B264-016AT0027 → B264-016AT0225 → B264-996AT0011 → M0405 → D0421-L26 → M0406 → D0301-L22 → M0301 → B215-996BT0001 → B215-016BT0002 → B215-016BT0003 → B215-016BT0004 → B215-016BT0005 → B215-016BT0031 → B215-016BT0032 → B261-016AC0014 → B261-006AC0009 → END</t>
  </si>
  <si>
    <t>B2-MCC-64604</t>
  </si>
  <si>
    <t>400V MCC FOR GT/HRSG #2 FOR BLOCK #2 - B</t>
  </si>
  <si>
    <t>B2-P-15011B</t>
  </si>
  <si>
    <t>HRSG #22 FW RECIRCULATION PUMP B - MOTOR</t>
  </si>
  <si>
    <t>B264-016CT0047 → B264-016CT0048 → B264-016CT0235 → B264-016CT0029 → B264-016CT0028 → B264-016CT0221 → B264-996CT0009 → M0405 → D0421-L27 → M0406 → D0301-L21 → M0301 → B215-996AT0026 → B215-016AT0048 → B215-016AT0049 → B215-016AT0050 → B215-016AT0051 → B215-016AT0064 → B215-016AT0065 → B261-016AC0013 → B261-006AC0008 → END</t>
  </si>
  <si>
    <t>B2-P-15012A</t>
  </si>
  <si>
    <t>HRSG #22 ABD EXTRACTION PUMP A - MOTOR</t>
  </si>
  <si>
    <t>B264-016AT0027 → B264-016AT0225 → B264-996AT0011 → M0405 → D0421-L26 → M0406 → D0301-L22 → M0301 → B215-996BT0001 → B215-016BT0002 → B215-016BT0003 → B215-016BT0004 → B215-016BT0005 → B215-016BT0031 → B215-016BT0032 → B261-016AC0012 → B261-006AC0007 → B261-016AC0021 → B261-016AC0019 → END</t>
  </si>
  <si>
    <t>B2-P-15012B</t>
  </si>
  <si>
    <t>HRSG #22 ABD EXTRACTION PUMP B - MOTOR</t>
  </si>
  <si>
    <t>B264-016CT0047 → B264-016CT0048 → B264-016CT0235 → B264-016CT0029 → B264-016CT0028 → B264-016CT0221 → B264-996CT0009 → M0405 → D0421-L27 → M0406 → D0301-L21 → M0301 → B215-996AT0026 → B215-016AT0048 → B215-016AT0049 → B215-016AT0050 → B215-016AT0051 → B215-016AT0064 → B215-016AT0065 → B261-016AC0012 → B261-006AC0007 → B261-016AC0021 → B261-016AC0020 → END</t>
  </si>
  <si>
    <t>B2-PDP-1501</t>
  </si>
  <si>
    <t>HRSG #22 LV PANEL DISTRIBUTION BOARD</t>
  </si>
  <si>
    <t>B2-UPSP-1501A</t>
  </si>
  <si>
    <t>B264-016ET0061 → B264-016ET0060 → B264-006AC0003 → M0405 → D0421-L31 → M0406 → D0301-L37 → M0301 → B215-996AT0026 → B215-016AT0048 → B215-016AT0049 → B215-016AT0105 → B261-017AC0005 → END</t>
  </si>
  <si>
    <t>B2-UPSP-1501B</t>
  </si>
  <si>
    <t>HRSG #22 UPS DISTRIBUTION BOARD (BACK UP)</t>
  </si>
  <si>
    <t>B264-016DT0061 → B264-016DT0060 → B264-006AC0002 → M0405 → D0421-L33 → M0406 → D0301-L35 → M0301 → B215-996BT0001 → B215-016BT0002 → B215-016BT0003 → B215-016BT0004 → B215-016BT0005 → B215-016BT0031 → B261-017AC0006 → END</t>
  </si>
  <si>
    <t>B2-PC-1504</t>
  </si>
  <si>
    <t>HRSG #22 HPU POWER DISTRIBUTION</t>
  </si>
  <si>
    <t>B264-016CT0027 → B264-016CT0221 → B264-996CT0009 → M0405 → D0421-L31 → M0406 → D0301-L37 → M0301 → B215-996BT0001 → B215-016BT0002 → B215-016BT0003 → B215-016BT0004 → B215-016BT0005 → B215-016BT0031 → B215-016BT0032 → B215-016BT0033 → B261-016AC0015 → B261-006AC0010 → B261-006AC0011 → END</t>
  </si>
  <si>
    <t>B2-MOV-15010</t>
  </si>
  <si>
    <t>HRSG #22 HP MAIN STEAM STOP VALVE - MOV</t>
  </si>
  <si>
    <t>B264-016CT0027 → B264-016CT0221 → B264-996CT0009 → M0405 → D0421-L32 → M0406 → D0301-L36 → M0301 → B215-996BT0001 → B215-016BT0002 → B215-016BT0003 → B215-016BT0004 → B261-016AC0029 → END</t>
  </si>
  <si>
    <t>B2-MOV-15019</t>
  </si>
  <si>
    <t>HRSG #22 LP MAIN STEAM STOP VALVE - MOV</t>
  </si>
  <si>
    <t>B264-016CT0047 → B264-016CT0209 → B264-016CT0026 → B264-016CT0027 → B264-016CT0221 → B264-996CT0009 → M0405 → D0421-L31 → M0406 → D0301-L37 → M0301 → B215-996BT0001 → B215-016BT0002 → B215-016BT0003 → B215-016BT0004 → B261-016AC0028 → END</t>
  </si>
  <si>
    <t>B2-MOV-15011</t>
  </si>
  <si>
    <t>HRSG #22 HP MAIN STEAM STOP BYPASS VALVE - MOV</t>
  </si>
  <si>
    <t>B264-016CT0027 → B264-016CT0221 → B264-996CT0009 → M0405 → D0421-L32 → M0406 → D0301-L36 → M0301 → B215-996BT0001 → B215-016BT0002 → B215-016BT0003 → B215-016BT0004 → B261-016AC0030 → END</t>
  </si>
  <si>
    <t>AIR COOLED CONDENSER</t>
  </si>
  <si>
    <t>B1-SWG-69601</t>
  </si>
  <si>
    <t>400V SWITCHGEAR FOR ACC#1 FOR BLOCK #1 - A</t>
  </si>
  <si>
    <t>16_CEP BUILDING W/ACC LER</t>
  </si>
  <si>
    <t>B1-C(M)-16111</t>
  </si>
  <si>
    <t>ACC STREET 1 FAN 1 MOTOR</t>
  </si>
  <si>
    <t>2.1_AIR COOLED CONDENSER (ACC) #1</t>
  </si>
  <si>
    <t>B169-006CT0015 → B169-006CT0030 → B169-006CT0001 → B169-006CT0002 → B169-006CT0003 → B169-006CT0045 → D0113-L23 → M0113 → D0115-L13 → M0115 → B116-916ET0006 → B116-016ET0006 → B116-926ET0006 → B116-026ET0006 → B116-036ET0006 → B116-036ET0015 → B116-036ET0017 → END</t>
  </si>
  <si>
    <t>B1-C(M)-16112</t>
  </si>
  <si>
    <t>ACC STREET 1 FAN 2 MOTOR</t>
  </si>
  <si>
    <t>B169-006CT0015 → B169-006CT0030 → B169-006CT0001 → B169-006CT0002 → B169-006CT0003 → B169-006CT0045 → D0113-L24 → M0113 → D0115-L14 → M0115 → B116-916ET0006 → B116-016ET0006 → B116-926ET0006 → B116-026ET0006 → B116-036ET0006 → B116-036ET0015 → END</t>
  </si>
  <si>
    <t>B1-C(M)-16113</t>
  </si>
  <si>
    <t>ACC STREET 1 FAN 3 MOTOR</t>
  </si>
  <si>
    <t>B169-006CT0015 → B169-006CT0030 → B169-006CT0001 → B169-006CT0002 → B169-006CT0003 → B169-006CT0045 → D0113-L31 → M0113 → D0115-L15 → M0115 → B116-916ET0006 → B116-016ET0006 → B116-926ET0006 → B116-026ET0006 → B116-036ET0006 → B116-036ET0015 → END</t>
  </si>
  <si>
    <t>B1-C(M)-16114</t>
  </si>
  <si>
    <t>ACC STREET 1 FAN 4 MOTOR</t>
  </si>
  <si>
    <t>B169-006CT0015 → B169-006CT0030 → B169-006CT0001 → B169-006CT0002 → B169-006CT0003 → B169-006CT0045 → D0113-L21 → M0113 → D0112-L24 → M0114 → D0116-L12 → M0116 → B116-916FT0005 → B116-016FT0005 → B116-926FT0005 → B116-026FT0005 → B116-036FT0005 → B116-036ET0015 → END</t>
  </si>
  <si>
    <t>B1-C(M)-16115</t>
  </si>
  <si>
    <t>ACC STREET 1 FAN 5 MOTOR</t>
  </si>
  <si>
    <t>B169-006CT0015 → B169-006CT0030 → B169-006CT0001 → B169-006CT0002 → B169-006CT0003 → B169-006CT0045 → D0113-L21 → M0113 → D0112-L15 → M0114 → D0116-L15 → M0116 → B116-916FT0005 → B116-016FT0005 → B116-926FT0005 → B116-026FT0005 → B116-036FT0005 → B116-036ET0015 → END</t>
  </si>
  <si>
    <t>B1-C(M)-16116</t>
  </si>
  <si>
    <t>ACC STREET 1 FAN 6 MOTOR</t>
  </si>
  <si>
    <t>B169-006BT0031 → B169-006BT0009 → B169-006BT0010 → B169-006BT0044 → D0113-L22 → M0113 → D0112-L22 → M0114 → D0116-L15 → M0116 → B116-916FT0005 → B116-016FT0005 → B116-926FT0005 → B116-026FT0005 → B116-036FT0005 → B116-036ET0015 → B116-036ET0016 → END</t>
  </si>
  <si>
    <t>B1-C(M)-16121</t>
  </si>
  <si>
    <t>ACC STREET 2 FAN 1 MOTOR</t>
  </si>
  <si>
    <t>B169-006BT0031 → B169-006BT0009 → B169-006BT0010 → B169-006BT0044 → D0113-L22 → M0113 → D0115-L12 → M0115 → B116-916GT0008 → B116-016GT0008 → B116-926GT0008 → B116-026GT0008 → B116-036GT0008 → B116-036GT0018 → B116-036GT0020 → END</t>
  </si>
  <si>
    <t>B1-C(M)-16122</t>
  </si>
  <si>
    <t>ACC STREET 2 FAN 2 MOTOR</t>
  </si>
  <si>
    <t>B169-006BT0031 → B169-006BT0009 → B169-006BT0010 → B169-006BT0044 → D0113-L23 → M0113 → D0115-L23 → M0115 → B116-916GT0008 → B116-016GT0008 → B116-926GT0008 → B116-026GT0008 → B116-036GT0008 → B116-036GT0018 → END</t>
  </si>
  <si>
    <t>B1-C(M)-16123</t>
  </si>
  <si>
    <t>ACC STREET 2 FAN 3 MOTOR</t>
  </si>
  <si>
    <t>B169-006BT0016 → B169-006BT0017 → B169-006BT0018 → B169-006BT0054 → B169-006BT0005 → B169-006BT0006 → B169-006BT0047 → D0114-L23 → M0114 → D0112-L23 → M0113 → D0115-L13 → M0115 → B116-916GT0008 → B116-016GT0008 → B116-926GT0008 → B116-026GT0008 → B116-036GT0008 → B116-036GT0018 → END</t>
  </si>
  <si>
    <t>B1-C(M)-16124</t>
  </si>
  <si>
    <t>ACC STREET 2 FAN 4 MOTOR</t>
  </si>
  <si>
    <t>B169-006BT0016 → B169-006BT0017 → B169-006BT0018 → B169-006BT0054 → B169-006BT0005 → B169-006BT0006 → B169-006BT0047 → D0114-L24 → M0114 → D0116-L23 → M0116 → B116-916HT0007 → B116-016HT0007 → B116-926HT0007 → B116-026HT0007 → B116-036HT0007 → B116-036GT0018 → END</t>
  </si>
  <si>
    <t>B1-C(M)-16125</t>
  </si>
  <si>
    <t>ACC STREET 2 FAN 5 MOTOR</t>
  </si>
  <si>
    <t>B169-006BT0016 → B169-006BT0017 → B169-006BT0018 → B169-006BT0054 → B169-006BT0005 → B169-006BT0006 → B169-006BT0047 → D0114-L21 → M0114 → D0116-L13 → M0116 → B116-916HT0007 → B116-016HT0007 → B116-926HT0007 → B116-026HT0007 → B116-036HT0007 → B116-036GT0018 → END</t>
  </si>
  <si>
    <t>B1-C(M)-16126</t>
  </si>
  <si>
    <t>ACC STREET 2 FAN 6 MOTOR</t>
  </si>
  <si>
    <t>B169-006BT0016 → B169-006BT0017 → B169-006BT0018 → B169-006BT0054 → B169-006BT0005 → B169-006BT0006 → B169-006BT0047 → D0114-L22 → M0114 → D0116-L13 → M0116 → B116-916HT0007 → B116-016HT0007 → B116-926HT0007 → B116-026HT0007 → B116-036HT0007 → B116-036GT0018 → B116-036GT0019 → END</t>
  </si>
  <si>
    <t>B1-SWG-69603</t>
  </si>
  <si>
    <t>400V SWITCHGEAR FOR ACC#1 FOR BLOCK #1 - C</t>
  </si>
  <si>
    <t>B1-C(M)-16131</t>
  </si>
  <si>
    <t>ACC STREET 3 FAN 1 MOTOR</t>
  </si>
  <si>
    <t>B169-006DT0003 → B169-006DT0045 → D0113-L33 → M0113 → D0115-L11 → M0115 → B116-916AT0002 → B116-016AT0002 → B116-926AT0002 → B116-026AT0002 → B116-036AT0002 → B116-036AT0009 → B116-036AT0011 → END</t>
  </si>
  <si>
    <t>B1-C(M)-16132</t>
  </si>
  <si>
    <t>ACC STREET 3 FAN 2 MOTOR</t>
  </si>
  <si>
    <t>B169-006DT0003 → B169-006DT0045 → D0113-L33 → M0113 → D0115-L11 → M0115 → B116-916AT0002 → B116-016AT0002 → B116-926AT0002 → B116-026AT0002 → B116-036AT0002 → B116-036AT0009 → END</t>
  </si>
  <si>
    <t>B1-C(M)-16133</t>
  </si>
  <si>
    <t>ACC STREET 3 FAN 3 MOTOR</t>
  </si>
  <si>
    <t>B169-006DT0003 → B169-006DT0045 → D0113-L34 → M0113 → D0115-L23 → M0115 → B116-916AT0002 → B116-016AT0002 → B116-926AT0002 → B116-026AT0002 → B116-036AT0002 → B116-036AT0009 → END</t>
  </si>
  <si>
    <t>B1-C(M)-16134</t>
  </si>
  <si>
    <t>ACC STREET 3 FAN 4 MOTOR</t>
  </si>
  <si>
    <t>B169-006DT0003 → B169-006DT0045 → D0113-L34 → M0113 → D0112-L22 → M0114 → D0116-L22 → M0116 → B116-916BT0001 → B116-016BT0001 → B116-926BT0001 → B116-026BT0001 → B116-036BT0001 → B116-036AT0009 → END</t>
  </si>
  <si>
    <t>B1-C(M)-16135</t>
  </si>
  <si>
    <t>ACC STREET 3 FAN 5 MOTOR</t>
  </si>
  <si>
    <t>B169-006DT0003 → B169-006DT0045 → D0113-L35 → M0113 → D0112-L21 → M0114 → D0116-L22 → M0116 → B116-916BT0001 → B116-016BT0001 → B116-926BT0001 → B116-026BT0001 → B116-036BT0001 → B116-036AT0009 → END → 0</t>
  </si>
  <si>
    <t>B169-006DT0003 → B169-006DT0045 → D0113-L35 → M0113 → D0112-L21 → M0114 → D0116-L14 → M0116 → B116-916BT0001 → B116-016BT0001 → B116-926BT0001 → B116-026BT0001 → B116-036BT0001 → B116-036AT0009 → END</t>
  </si>
  <si>
    <t>B1-C(M)-16136</t>
  </si>
  <si>
    <t>ACC STREET 3 FAN 6 MOTOR</t>
  </si>
  <si>
    <t>B169-006ET0003 → B169-006ET0045 → D0113-L35 → M0113 → D0112-L21 → M0114 → D0116-L14 → M0116 → B116-916BT0001 → B116-016BT0001 → B116-926BT0001 → B116-026BT0001 → B116-036BT0001 → B116-036AT0009 → B116-036AT0010 → END</t>
  </si>
  <si>
    <t>B1-C(M)-16141</t>
  </si>
  <si>
    <t>ACC STREET 4 FAN 1 MOTOR</t>
  </si>
  <si>
    <t>B169-006ET0003 → B169-006ET0045 → D0113-L41 → M0113 → D0115-L21 → M0115 → B116-916DT0004 → B116-016DT0004 → B116-926DT0004 → B116-026DT0004 → B116-036DT0004 → B116-036CT0012 → B116-036CT0014 → END</t>
  </si>
  <si>
    <t>B1-C(M)-16142</t>
  </si>
  <si>
    <t>ACC STREET 4 FAN 2 MOTOR</t>
  </si>
  <si>
    <t>B169-006ET0003 → B169-006ET0045 → D0113-L41 → M0113 → D0115-L14 → M0115 → B116-916DT0004 → B116-016DT0004 → B116-926DT0004 → B116-026DT0004 → B116-036DT0004 → B116-036CT0012 → END</t>
  </si>
  <si>
    <t>B1-C(M)-16143</t>
  </si>
  <si>
    <t>ACC STREET 4 FAN 3 MOTOR</t>
  </si>
  <si>
    <t>B169-006ET0003 → B169-006ET0045 → D0113-L42 → M0113 → D0115-L21 → M0115 → B116-916DT0004 → B116-016DT0004 → B116-926DT0004 → B116-026DT0004 → B116-036DT0004 → B116-036CT0012 → END</t>
  </si>
  <si>
    <t>B1-C(M)-16144</t>
  </si>
  <si>
    <t>ACC STREET 4 FAN 4 MOTOR</t>
  </si>
  <si>
    <t>B169-006ET0003 → B169-006ET0045 → D0113-L42 → M0113 → D0112-L24 → M0114 → D0116-L11 → M0116 → B116-916CT0003 → B116-016CT0003 → B116-926CT0003 → B116-026CT0003 → B116-036CT0003 → B116-036CT0012 → END</t>
  </si>
  <si>
    <t>B1-C(M)-16145</t>
  </si>
  <si>
    <t>ACC STREET 4 FAN 5 MOTOR</t>
  </si>
  <si>
    <t>B169-006BT0031 → B169-006BT0009 → B169-006BT0010 → B169-006BT0044 → D0113-L43 → M0113 → D0115-L22 → M0115 → B116-916CT0003 → B116-016CT0003 → B116-926CT0003 → B116-026CT0003 → B116-036CT0003 → B116-036CT0012 → END</t>
  </si>
  <si>
    <t>B1-C(M)-16146</t>
  </si>
  <si>
    <t>ACC STREET 4 FAN 6 MOTOR</t>
  </si>
  <si>
    <t>B169-006BT0031 → B169-006BT0009 → B169-006BT0010 → B169-006BT0044 → D0113-L43 → M0113 → D0115-L22 → M0115 → B116-916CT0003 → B116-016CT0003 → B116-926CT0003 → B116-026CT0003 → B116-036CT0003 → B116-036CT0012 → B116-036CT0013 → END</t>
  </si>
  <si>
    <t>B1-C(MH)-16111</t>
  </si>
  <si>
    <t>ACC STREET 1 FAN 1 MOTOR SPACE HEATER</t>
  </si>
  <si>
    <t>B1-C(MH)-16112</t>
  </si>
  <si>
    <t>ACC STREET 1 FAN 2 MOTOR SPACE HEATER</t>
  </si>
  <si>
    <t>B1-C(MH)-16113</t>
  </si>
  <si>
    <t>ACC STREET 1 FAN 3 MOTOR SPACE HEATER</t>
  </si>
  <si>
    <t>B1-C(MH)-16114</t>
  </si>
  <si>
    <t>ACC STREET 1 FAN 4 MOTOR SPACE HEATER</t>
  </si>
  <si>
    <t>B169-006CT0015 → B169-006CT0030 → B169-006CT0001 → B169-006CT0002 → B169-006CT0003 → B169-006CT0045 → D0113-L32 → M0113 → D0112-L24 → M0114 → D0116-L14 → M0116 → B116-916FT0005 → B116-016FT0005 → B116-926FT0005 → B116-026FT0005 → B116-036FT0005 → B116-036ET0015 → END</t>
  </si>
  <si>
    <t>B1-C(MH)-16115</t>
  </si>
  <si>
    <t>ACC STREET 1 FAN 5 MOTOR SPACE HEATER</t>
  </si>
  <si>
    <t>B169-006CT0015 → B169-006CT0030 → B169-006CT0001 → B169-006CT0002 → B169-006CT0003 → B169-006CT0045 → D0113-L31 → M0113 → D0112-L25 → M0114 → D0116-L14 → M0116 → B116-916FT0005 → B116-016FT0005 → B116-926FT0005 → B116-026FT0005 → B116-036FT0005 → B116-036ET0015 → END</t>
  </si>
  <si>
    <t>B1-C(MH)-16116</t>
  </si>
  <si>
    <t>ACC STREET 1 FAN 6 MOTOR SPACE HEATER</t>
  </si>
  <si>
    <t>B169-006BT0031 → B169-006BT0009 → B169-006BT0010 → B169-006BT0044 → D0113-L31 → M0113 → D0112-L25 → M0114 → D0116-L14 → M0116 → B116-916FT0005 → B116-016FT0005 → B116-926FT0005 → B116-026FT0005 → B116-036FT0005 → B116-036ET0015 → B116-036ET0016 → END</t>
  </si>
  <si>
    <t>B1-C(MH)-16121</t>
  </si>
  <si>
    <t>ACC STREET 2 FAN 1 MOTOR SPACE HEATER</t>
  </si>
  <si>
    <t>B169-006BT0031 → B169-006BT0009 → B169-006BT0010 → B169-006BT0044 → D0113-L32 → M0113 → D0115-L21 → M0115 → B116-916GT0008 → B116-016GT0008 → B116-926GT0008 → B116-026GT0008 → B116-036GT0008 → B116-036GT0018 → B116-036GT0020 → END</t>
  </si>
  <si>
    <t>B1-C(MH)-16122</t>
  </si>
  <si>
    <t>ACC STREET 2 FAN 2 MOTOR SPACE HEATER</t>
  </si>
  <si>
    <t>B169-006BT0031 → B169-006BT0009 → B169-006BT0010 → B169-006BT0044 → D0113-L32 → M0113 → D0115-L21 → M0115 → B116-916GT0008 → B116-016GT0008 → B116-926GT0008 → B116-026GT0008 → B116-036GT0008 → B116-036GT0018 → END</t>
  </si>
  <si>
    <t>B1-C(MH)-16123</t>
  </si>
  <si>
    <t>ACC STREET 2 FAN 3 MOTOR SPACE HEATER</t>
  </si>
  <si>
    <t>B169-006BT0016 → B169-006BT0017 → B169-006BT0018 → B169-006BT0054 → B169-006BT0005 → B169-006BT0006 → B169-006BT0047 → D0114-L21 → M0114 → D0112-L21 → M0113 → D0115-L21 → M0115 → B116-916GT0008 → B116-016GT0008 → B116-926GT0008 → B116-026GT0008 → B116-036GT0008 → B116-036GT0018 → END</t>
  </si>
  <si>
    <t>B1-C(MH)-16124</t>
  </si>
  <si>
    <t>ACC STREET 2 FAN 4 MOTOR SPACE HEATER</t>
  </si>
  <si>
    <t>B169-006BT0016 → B169-006BT0017 → B169-006BT0018 → B169-006BT0054 → B169-006BT0005 → B169-006BT0006 → B169-006BT0047 → D0114-L24 → M0114 → D0116-L21 → M0116 → B116-916HT0007 → B116-016HT0007 → B116-926HT0007 → B116-026HT0007 → B116-036HT0007 → B116-036GT0018 → END</t>
  </si>
  <si>
    <t>B1-C(MH)-16125</t>
  </si>
  <si>
    <t>ACC STREET 2 FAN 5 MOTOR SPACE HEATER</t>
  </si>
  <si>
    <t>B169-006BT0016 → B169-006BT0017 → B169-006BT0018 → B169-006BT0054 → B169-006BT0005 → B169-006BT0006 → B169-006BT0047 → D0114-L21 → M0114 → D0116-L21 → M0116 → B116-916HT0007 → B116-016HT0007 → B116-926HT0007 → B116-026HT0007 → B116-036HT0007 → B116-036GT0018 → END</t>
  </si>
  <si>
    <t>B1-C(MH)-16126</t>
  </si>
  <si>
    <t>ACC STREET 2 FAN 6 MOTOR SPACE HEATER</t>
  </si>
  <si>
    <t>B169-006BT0016 → B169-006BT0017 → B169-006BT0018 → B169-006BT0054 → B169-006BT0005 → B169-006BT0006 → B169-006BT0047 → D0114-L22 → M0114 → D0116-L21 → M0116 → B116-916HT0007 → B116-016HT0007 → B116-926HT0007 → B116-026HT0007 → B116-036HT0007 → B116-036GT0018 → B116-036GT0019 → END</t>
  </si>
  <si>
    <t>B1-C(MH)-16131</t>
  </si>
  <si>
    <t>ACC STREET 3 FAN 1 MOTOR SPACE HEATER</t>
  </si>
  <si>
    <t>B1-C(MH)-16132</t>
  </si>
  <si>
    <t>ACC STREET 3 FAN 2 MOTOR SPACE HEATER</t>
  </si>
  <si>
    <t>B1-C(MH)-16133</t>
  </si>
  <si>
    <t>ACC STREET 3 FAN 3 MOTOR SPACE HEATER</t>
  </si>
  <si>
    <t>B1-C(MH)-16134</t>
  </si>
  <si>
    <t>ACC STREET 3 FAN 4 MOTOR SPACE HEATER</t>
  </si>
  <si>
    <t>B169-006DT0003 → B169-006DT0045 → D0113-L34 → M0113 → D0112-L22 → M0114 → D0116-L13 → M0116 → B116-916BT0001 → B116-016BT0001 → B116-926BT0001 → B116-026BT0001 → B116-036BT0001 → B116-036AT0009 → END</t>
  </si>
  <si>
    <t>B1-C(MH)-16135</t>
  </si>
  <si>
    <t>ACC STREET 3 FAN 5 MOTOR SPACE HEATER</t>
  </si>
  <si>
    <t>B169-006DT0003 → B169-006DT0045 → D0113-L35 → M0113 → D0112-L21 → M0114 → D0116-L15 → M0116 → B116-916BT0001 → B116-016BT0001 → B116-926BT0001 → B116-026BT0001 → B116-036BT0001 → B116-036AT0009 → END</t>
  </si>
  <si>
    <t>B1-C(MH)-16136</t>
  </si>
  <si>
    <t>ACC STREET 3 FAN 6 MOTOR SPACE HEATER</t>
  </si>
  <si>
    <t>B169-006ET0003 → B169-006ET0045 → D0113-L35 → M0113 → D0112-L21 → M0114 → D0116-L15 → M0116 → B116-916BT0001 → B116-016BT0001 → B116-926BT0001 → B116-026BT0001 → B116-036BT0001 → B116-036AT0009 → B116-036AT0010 → END</t>
  </si>
  <si>
    <t>B1-C(MH)-16141</t>
  </si>
  <si>
    <t>ACC STREET 4 FAN 1 MOTOR SPACE HEATER</t>
  </si>
  <si>
    <t>B169-006ET0003 → B169-006ET0045 → D0113-L41 → M0113 → D0115-L14 → M0115 → B116-916DT0004 → B116-016DT0004 → B116-926DT0004 → B116-026DT0004 → B116-036DT0004 → B116-036CT0012 → B116-036CT0014 → END</t>
  </si>
  <si>
    <t>B1-C(MH)-16142</t>
  </si>
  <si>
    <t>ACC STREET 4 FAN 2 MOTOR SPACE HEATER</t>
  </si>
  <si>
    <t>B1-C(MH)-16143</t>
  </si>
  <si>
    <t>ACC STREET 4 FAN 3 MOTOR SPACE HEATER</t>
  </si>
  <si>
    <t>B1-C(MH)-16144</t>
  </si>
  <si>
    <t>ACC STREET 4 FAN 4 MOTOR SPACE HEATER</t>
  </si>
  <si>
    <t>B169-006ET0003 → B169-006ET0045 → D0113-L42 → M0113 → D0112-L24 → M0114 → D0116-L22 → M0116 → B116-916CT0003 → B116-016CT0003 → B116-926CT0003 → B116-026CT0003 → B116-036CT0003 → B116-036CT0012 → END</t>
  </si>
  <si>
    <t>B1-C(MH)-16145</t>
  </si>
  <si>
    <t>ACC STREET 4 FAN 5 MOTOR SPACE HEATER</t>
  </si>
  <si>
    <t>B1-C(MH)-16146</t>
  </si>
  <si>
    <t>ACC STREET 4 FAN 6 MOTOR SPACE HEATER</t>
  </si>
  <si>
    <t>B1-DB-69601</t>
  </si>
  <si>
    <t>400V-230V DIST. BOARD FOR ACC#1 FOR BLOCK #1 - A</t>
  </si>
  <si>
    <t>B1-C(GH)-16111</t>
  </si>
  <si>
    <t>ACC STREET 1 FAN 1 GEARBOX OIL HEATER</t>
  </si>
  <si>
    <t>B1-C(GH)-16112</t>
  </si>
  <si>
    <t>ACC STREET 1 FAN 2 GEARBOX OIL HEATER</t>
  </si>
  <si>
    <t>B1-C(GH)-16113</t>
  </si>
  <si>
    <t>ACC STREET 1 FAN 3 GEARBOX OIL HEATER</t>
  </si>
  <si>
    <t>B1-C(GH)-16114</t>
  </si>
  <si>
    <t>ACC STREET 1 FAN 4 GEARBOX OIL HEATER</t>
  </si>
  <si>
    <t>B169-006CT0015 → B169-006CT0030 → B169-006CT0001 → B169-006CT0002 → B169-006CT0003 → B169-006CT0045 → D0113-L32 → M0113 → D0112-L21 → M0114 → D0116-L14 → M0116 → B116-916FT0005 → B116-016FT0005 → B116-926FT0005 → B116-026FT0005 → B116-036FT0005 → B116-036ET0015 → END</t>
  </si>
  <si>
    <t>B1-C(GH)-16115</t>
  </si>
  <si>
    <t>ACC STREET 1 FAN 5 GEARBOX OIL HEATER</t>
  </si>
  <si>
    <t>B1-C(GH)-16116</t>
  </si>
  <si>
    <t>ACC STREET 1 FAN 6 GEARBOX OIL HEATER</t>
  </si>
  <si>
    <t>B1-C(GH)-16121</t>
  </si>
  <si>
    <t>ACC STREET 2 FAN 1 GEARBOX OIL HEATER</t>
  </si>
  <si>
    <t>B1-C(GH)-16122</t>
  </si>
  <si>
    <t>ACC STREET 2 FAN 2 GEARBOX OIL HEATER</t>
  </si>
  <si>
    <t>B1-C(GH)-16123</t>
  </si>
  <si>
    <t>ACC STREET 2 FAN 3 GEARBOX OIL HEATER</t>
  </si>
  <si>
    <t>B169-006BT0017 → B169-006BT0018 → B169-006BT0054 → B169-006BT0005 → B169-006BT0006 → B169-006BT0047 → D0114-L21 → M0114 → D0112-L21 → M0113 → D0115-L21 → M0115 → B116-916GT0008 → B116-016GT0008 → B116-926GT0008 → B116-026GT0008 → B116-036GT0008 → B116-036GT0018 → END</t>
  </si>
  <si>
    <t>B1-C(GH)-16124</t>
  </si>
  <si>
    <t>ACC STREET 2 FAN 4 GEARBOX OIL HEATER</t>
  </si>
  <si>
    <t>B169-006BT0017 → B169-006BT0018 → B169-006BT0054 → B169-006BT0005 → B169-006BT0006 → B169-006BT0047 → D0114-L24 → M0114 → D0116-L21 → M0116 → B116-916HT0007 → B116-016HT0007 → B116-926HT0007 → B116-026HT0007 → B116-036HT0007 → B116-036GT0018 → END</t>
  </si>
  <si>
    <t>B1-C(GH)-16125</t>
  </si>
  <si>
    <t>ACC STREET 2 FAN 5 GEARBOX OIL HEATER</t>
  </si>
  <si>
    <t>B169-006BT0017 → B169-006BT0018 → B169-006BT0054 → B169-006BT0005 → B169-006BT0006 → B169-006BT0047 → D0114-L21 → M0114 → D0116-L21 → M0116 → B116-916HT0007 → B116-016HT0007 → B116-926HT0007 → B116-026HT0007 → B116-036HT0007 → B116-036GT0018 → END</t>
  </si>
  <si>
    <t>B1-C(GH)-16126</t>
  </si>
  <si>
    <t>ACC STREET 2 FAN 6 GEARBOX OIL HEATER</t>
  </si>
  <si>
    <t>B169-006BT0017 → B169-006BT0018 → B169-006BT0054 → B169-006BT0005 → B169-006BT0006 → B169-006BT0047 → D0114-L22 → M0114 → D0116-L21 → M0116 → B116-916HT0007 → B116-016HT0007 → B116-926HT0007 → B116-026HT0007 → B116-036HT0007 → B116-036GT0018 → B116-036GT0019 → END</t>
  </si>
  <si>
    <t>B1-DB-69603</t>
  </si>
  <si>
    <t>400V-230V DIST. BOARD FOR ACC#1 FOR BLOCK #1 - C</t>
  </si>
  <si>
    <t>B1-C(GH)-16131</t>
  </si>
  <si>
    <t>ACC STREET 3 FAN 1 GEARBOX OIL HEATER</t>
  </si>
  <si>
    <t>B169-006DT0045 → D0113-L44 → M0113 → D0115-L23 → M0115 → B116-916AT0002 → B116-016AT0002 → B116-926AT0002 → B116-026AT0002 → B116-036AT0002 → B116-036AT0009 → B116-036AT0011 → END</t>
  </si>
  <si>
    <t>B1-C(GH)-16132</t>
  </si>
  <si>
    <t>ACC STREET 3 FAN 2 GEARBOX OIL HEATER</t>
  </si>
  <si>
    <t>B169-006DT0045 → D0113-L44 → M0113 → D0115-L23 → M0115 → B116-916AT0002 → B116-016AT0002 → B116-926AT0002 → B116-026AT0002 → B116-036AT0002 → B116-036AT0009 → END</t>
  </si>
  <si>
    <t>B1-C(GH)-16133</t>
  </si>
  <si>
    <t>ACC STREET 3 FAN 3 GEARBOX OIL HEATER</t>
  </si>
  <si>
    <t>B1-C(GH)-16134</t>
  </si>
  <si>
    <t>ACC STREET 3 FAN 4 GEARBOX OIL HEATER</t>
  </si>
  <si>
    <t>B169-006DT0045 → D0113-L44 → M0113 → D0112-L22 → M0114 → D0116-L14 → M0116 → B116-916BT0001 → B116-016BT0001 → B116-926BT0001 → B116-026BT0001 → B116-036BT0001 → B116-036AT0009 → END</t>
  </si>
  <si>
    <t>B1-C(GH)-16135</t>
  </si>
  <si>
    <t>ACC STREET 3 FAN 5 GEARBOX OIL HEATER</t>
  </si>
  <si>
    <t>B1-C(GH)-16136</t>
  </si>
  <si>
    <t>ACC STREET 3 FAN 6 GEARBOX OIL HEATER</t>
  </si>
  <si>
    <t>B169-006ET0045 → D0113-L44 → M0113 → D0112-L22 → M0114 → D0116-L14 → M0116 → B116-916BT0001 → B116-016BT0001 → B116-926BT0001 → B116-026BT0001 → B116-036BT0001 → B116-036AT0009 → B116-036AT0010 → END</t>
  </si>
  <si>
    <t>B1-C(GH)-16141</t>
  </si>
  <si>
    <t>ACC STREET 4 FAN 1 GEARBOX OIL HEATER</t>
  </si>
  <si>
    <t>B169-006ET0003 → B169-006ET0045 → D0113-L44 → M0113 → D0115-L23 → M0115 → B116-916DT0004 → B116-016DT0004 → B116-926DT0004 → B116-026DT0004 → B116-036DT0004 → B116-036CT0012 → B116-036CT0014 → END</t>
  </si>
  <si>
    <t>B1-C(GH)-16142</t>
  </si>
  <si>
    <t>ACC STREET 4 FAN 2 GEARBOX OIL HEATER</t>
  </si>
  <si>
    <t>B169-006ET0003 → B169-006ET0045 → D0113-L44 → M0113 → D0115-L23 → M0115 → B116-916DT0004 → B116-016DT0004 → B116-926DT0004 → B116-026DT0004 → B116-036DT0004 → B116-036CT0012 → END</t>
  </si>
  <si>
    <t>B1-C(GH)-16143</t>
  </si>
  <si>
    <t>ACC STREET 4 FAN 3 GEARBOX OIL HEATER</t>
  </si>
  <si>
    <t>B1-C(GH)-16144</t>
  </si>
  <si>
    <t>ACC STREET 4 FAN 4 GEARBOX OIL HEATER</t>
  </si>
  <si>
    <t>B169-006ET0003 → B169-006ET0045 → D0113-L44 → M0113 → D0112-L22 → M0114 → D0116-L14 → M0116 → B116-916CT0003 → B116-016CT0003 → B116-926CT0003 → B116-026CT0003 → B116-036CT0003 → B116-036CT0012 → END</t>
  </si>
  <si>
    <t>B1-C(GH)-16145</t>
  </si>
  <si>
    <t>ACC STREET 4 FAN 5 GEARBOX OIL HEATER</t>
  </si>
  <si>
    <t>B169-006BT0031 → B169-006BT0009 → B169-006BT0010 → B169-006BT0044 → D0113-L44 → M0113 → D0115-L23 → M0115 → B116-916CT0003 → B116-016CT0003 → B116-926CT0003 → B116-026CT0003 → B116-036CT0003 → B116-036CT0012 → END</t>
  </si>
  <si>
    <t>B1-C(GH)-16146</t>
  </si>
  <si>
    <t>ACC STREET 4 FAN 6 GEARBOX OIL HEATER</t>
  </si>
  <si>
    <t>B169-006BT0031 → B169-006BT0009 → B169-006BT0010 → B169-006BT0044 → D0113-L44 → M0113 → D0115-L23 → M0115 → B116-916CT0003 → B116-016CT0003 → B116-926CT0003 → B116-026CT0003 → B116-036CT0003 → B116-036CT0012 → B116-036CT0013 → END</t>
  </si>
  <si>
    <t>B1-P(M)-16070</t>
  </si>
  <si>
    <t>ACC LRVP A MOTOR</t>
  </si>
  <si>
    <t>B169-006AT0009 → B169-006AT0010 → B169-006AT0011 → B016-006AC0005 → END</t>
  </si>
  <si>
    <t>B169-006AT0009 → B169-006AT0010 → B169-006AT0011 → B016-006AC0006 → END</t>
  </si>
  <si>
    <t>B1-P(MH)-16070</t>
  </si>
  <si>
    <t>ACC LRVP A MOTOR SPACE HEATER</t>
  </si>
  <si>
    <t>B169-006AT0009 → B169-006AT0010 → B169-006AT0011 → B016-007AC0003 → END</t>
  </si>
  <si>
    <t>B1-P(M)-16080</t>
  </si>
  <si>
    <t>ACC LRVP B MOTOR</t>
  </si>
  <si>
    <t>B169-007AT0002 → B169-007AT0003 → B169-007AT0004 → B169-007AT0005 → B169-007AT0006 → B016-006AC0003 → END</t>
  </si>
  <si>
    <t>B169-007AT0002 → B169-007AT0003 → B169-007AT0004 → B169-007AT0005 → B169-007AT0006 → B016-006AC0004 → END</t>
  </si>
  <si>
    <t>B1-P(MH)-16080</t>
  </si>
  <si>
    <t>ACC LRVP B MOTOR SPACE HEATER</t>
  </si>
  <si>
    <t>B169-006AT0009 → B169-006AT0010 → B169-006AT0011 → B169-006AT0012 → B169-006AT0013 → B016-007AC0002 → END</t>
  </si>
  <si>
    <t>B1-P(M)-16090</t>
  </si>
  <si>
    <t>ACC LRVP C MOTOR</t>
  </si>
  <si>
    <t>B169-006AT0016 → B169-006AT0017 → B169-006AT0018 → B169-006AT0019 → B169-006AT0020 → B169-006AT0021 → B169-006AT0039 → B016-006AC0001 → END</t>
  </si>
  <si>
    <t>B169-006AT0016 → B169-006AT0017 → B169-006AT0018 → B169-006AT0019 → B169-006AT0020 → B169-006AT0021 → B169-006AT0039 → B016-006AC0002 → END</t>
  </si>
  <si>
    <t>B1-P(MH)-16090</t>
  </si>
  <si>
    <t>ACC LRVP C MOTOR SPACE HEATER</t>
  </si>
  <si>
    <t>B169-006AT0016 → B169-006AT0017 → B169-006AT0018 → B169-006AT0019 → B169-006AT0020 → B169-006AT0021 → B169-006AT0039 → B016-007AC0001 → END</t>
  </si>
  <si>
    <t>B1-MCC-69603</t>
  </si>
  <si>
    <t>400V MCC FOR ACC#1 FOR BLOCK #1 - C</t>
  </si>
  <si>
    <t>B1-MOV-16075</t>
  </si>
  <si>
    <t>ACC LRVP A COOLING WATER INLET MOV</t>
  </si>
  <si>
    <t>B169-006AT0009 → B169-006AT0010 → B169-006AT0011 → B016-017AC0011 → B016-006AC0018 → END</t>
  </si>
  <si>
    <t>B1-MOV-16085</t>
  </si>
  <si>
    <t>ACC LRVP B COOLING WATER INLET MOV</t>
  </si>
  <si>
    <t>B169-006AT0009 → B169-006AT0010 → B169-006AT0011 → B169-006AT0012 → B169-006AT0013 → B016-017AC0010 → B016-006AC0017 → END</t>
  </si>
  <si>
    <t>B1-MCC-69601</t>
  </si>
  <si>
    <t>400V MCC FOR ACC#1 FOR BLOCK #1 - A</t>
  </si>
  <si>
    <t>B1-MOV-16095</t>
  </si>
  <si>
    <t>ACC LRVP C COOLING WATER INLET MOV</t>
  </si>
  <si>
    <t>B169-006AT0016 → B169-006AT0017 → B169-006AT0018 → B169-006AT0019 → B169-006AT0020 → B169-006AT0021 → B169-006AT0039 → B016-017AC0007 → B016-006AC0016 → END</t>
  </si>
  <si>
    <t>B1-MOV-16073</t>
  </si>
  <si>
    <t>ACC LRVP A MOTIVE LINE MOV</t>
  </si>
  <si>
    <t>B169-006AT0009 → B169-006AT0010 → B169-006AT0011 → B016-017AC0012 → B016-006AC0018 → END</t>
  </si>
  <si>
    <t>B1-MOV-16083</t>
  </si>
  <si>
    <t>ACC LRVP B MOTIVE LINE MOV</t>
  </si>
  <si>
    <t>B169-006AT0009 → B169-006AT0010 → B169-006AT0011 → B169-006AT0012 → B169-006AT0013 → B016-017AC0009 → B016-006AC0017 → END</t>
  </si>
  <si>
    <t>B1-MOV-16093</t>
  </si>
  <si>
    <t>ACC LRVP C MOTIVE LINE MOV</t>
  </si>
  <si>
    <t>B169-006AT0016 → B169-006AT0017 → B169-006AT0018 → B169-006AT0019 → B169-006AT0020 → B169-006AT0021 → B169-006AT0039 → B016-017AC0006 → B016-006AC0016 → END</t>
  </si>
  <si>
    <t>B1-P(M)-16021</t>
  </si>
  <si>
    <t>STEAM TURBINE EXHAUST DUCT DRAIN PUMP A</t>
  </si>
  <si>
    <t>1.1_MAIN BUILDING COMPLEX (BELOW ACCDUCT NEARYBY ST)</t>
  </si>
  <si>
    <t>B164-016ET0106 → B164-996ET0022 → M0504 → D0531-L26 → M0510 → D0517-L15 → M0501 → D0503-L37 → M0502 → D0504-L37 → M0503 → D0501-L37 → M0328 → D0324-L37 → M0329 → B114-997AT0021 → B114-017AT0020 → B114-017AT0019 → B114-017AT0018 → B114-017AT0017 → B114-017AT0016 → B114-017AT0015 → B114-017AT0014 → B113-016BC0032 → B113-006AC0002 → B113-016AC0001 → B113-016AC0003 → END</t>
  </si>
  <si>
    <t>B1-P(M)-16022</t>
  </si>
  <si>
    <t>STEAM TURBINE EXHAUST DUCT DRAIN PUMP B</t>
  </si>
  <si>
    <t>B164-016CT0098 → B164-016CT0099 → B164-996CT0022 → M0504 → D0531-L27 → M0510 → D0517-L26 → M0501 → D0503-L38 → M0502 → D0504-L38 → M0503 → D0501-L38 → M0328 → D0324-L38 → M0329 → B114-996BT0046 → B114-016BT0045 → B114-016BT0044 → B114-016BT0043 → B114-016BT0042 → B114-016BT0041 → B114-016BT0040 → B114-016BT0039 → B113-016BC0033 → B113-006AC0003 → B113-016AC0002 → B113-016AC0004 → END</t>
  </si>
  <si>
    <t>B1-HO(M)-16001</t>
  </si>
  <si>
    <t>ACC ELECTRICAL HOIST FOR MAINTENANCE</t>
  </si>
  <si>
    <t>B169-006CT0001 → B169-006CT0002 → B169-006CT0003 → B169-006CT0045 → D0113-L44 → M0113 → D0112-L25 → M0114 → D0116-L14 → M0116 → B116-916FT0005 → B116-016FT0005 → B116-926FT0005 → B116-026FT0005 → B116-036FT0005 → B116-036ET0015 → B116-036ET0016 → B116-036CC0006 → B116-936CC0006 → END</t>
  </si>
  <si>
    <t>B1-HTP-16601</t>
  </si>
  <si>
    <t>ACC HEAT TRACING PANEL</t>
  </si>
  <si>
    <t>B169-006BT0016 → B169-006BT0031 → B169-006BT0009 → B169-006BT0010 → B169-006BT0044 → D0113-L23 → M0113 → D0115-L15 → M0115 → B116-916DT0004 → B116-016DT0004 → B116-926DT0004 → B116-026DT0004 → B116-036DT0004 → B116-036CT0012 → B116-036CT0014 → B116-936CT0021 → B116-026CT0021 → B116-926CT0021 → B116-016CT0021 → END</t>
  </si>
  <si>
    <t>B1-LP-16601</t>
  </si>
  <si>
    <t>ACC LIGHTING PANEL</t>
  </si>
  <si>
    <t>B169-006AT0009 → B169-006AT0010 → B169-006AT0044 → D0113-L31 → M0113 → D0112-L25 → M0114 → D0116-L22 → M0116 → B116-916DT0004 → B116-016DT0004  → B116-926DT0004 → B116-026DT0004 → B116-036DT0004 → B116-036CT0012 → B116-036CT0014 → END</t>
  </si>
  <si>
    <t>B1-RP-16601</t>
  </si>
  <si>
    <t>ACC POWER SOCKET PANEL</t>
  </si>
  <si>
    <t>B169-006CT0001 → B169-006CT0002 → B169-006CT0003 → B169-006CT0045 → D0113-L31 → M0113 → D0112-L25 → M0114 → D0116-L15 → M0116 → B116-916DT0004 → B116-016DT0004  → B116-926DT0004 → B116-026DT0004 → B116-036DT0004 → B116-036CT0012 → B116-036CT0014 → END</t>
  </si>
  <si>
    <t>B1-MOV-16001</t>
  </si>
  <si>
    <t>ACC VACUUM BREAKER MOV A</t>
  </si>
  <si>
    <t>B169-006CT0001 → B169-006CT0002 → B169-006CT0003 → B169-006CT0045 → D0113-L21 → M0113 → D0115-L11 → M0115 → B116-916DT0004 → B116-016DT0004 → B116-926DT0004 → B116-026DT0004 → B116-036DT0004 → B116-036CT0012 → B116-036CT0014 → B116-936CT0022 → B116-036CT0022 → B116-026CT0022 → B116-926CT0022 → B116-026CT0023 → B116-926CT0024 → B116-026CT0024 → B116-926CC0003 → END</t>
  </si>
  <si>
    <t>B1-MOV-16002</t>
  </si>
  <si>
    <t>ACC VACUUM BREAKER MOV B</t>
  </si>
  <si>
    <t>B169-006CT0001 → B169-006CT0002 → B169-006CT0003 → B169-006CT0045 → D0113-L44 → M0113 → D0115-L23 → M0115 → B116-916DT0004 → B116-016DT0004 → B116-926DT0004 → B116-026DT0004 → B116-036DT0004 → B116-036CT0012 → B116-036CT0014 → B116-936CT0022 → B116-036CT0022 → B116-026CT0022 → B116-926CT0022 → B116-026CT0023 → B116-926CT0024 → B116-026CT0024 → B116-926CC0004 → END</t>
  </si>
  <si>
    <t>B1-MOV-16071</t>
  </si>
  <si>
    <t>ACC LRVP A AIR INLET MOV</t>
  </si>
  <si>
    <t>B169-006AT0017 → B169-006AT0018 → B169-006AT0019 → B169-006AT0033 → B169-006AT0012 → B016-017AC0013 → B016-006AC0018 → END</t>
  </si>
  <si>
    <t>B1-MOV-16081</t>
  </si>
  <si>
    <t>ACC LRVP B AIR INLET MOV</t>
  </si>
  <si>
    <t>B169-006AT0017 → B169-006AT0018 → B169-006AT0019 → B169-006AT0033 → B169-006AT0013 → B016-017AC0008 → B016-006AC0017 → END</t>
  </si>
  <si>
    <t>B1-MOV-16091</t>
  </si>
  <si>
    <t>ACC LRVP C AIR INLET MOV</t>
  </si>
  <si>
    <t>B169-006AT0016 → B169-006AT0017 → B169-006AT0018 → B169-006AT0019 → B169-006AT0020 → B169-006AT0021 → B169-006AT0039 → B016-017AC0005 → B016-006AC0016 → END</t>
  </si>
  <si>
    <t>B1-MOV-16005</t>
  </si>
  <si>
    <t>ACC QUICK AIR TAKEOFF MOV</t>
  </si>
  <si>
    <t>B169-006BT0016 → B169-006BT0031 → B169-006BT0009 → B169-006BT0010 → B169-006BT0044 → D0113-L21 → M0113 → D0115-L11 → M0115 → B116-916DT0004 → B116-016DT0004 → B116-926DT0004 → B116-026DT0004 → B116-036DT0004 → B116-036CT0012 → B116-036CT0014 → B116-936CT0022 → B116-036CT0022 → B116-026CT0022 → B116-926CT0022 → B116-026CT0023 → B116-026CC0002 → END</t>
  </si>
  <si>
    <t>B2-SWG-69601</t>
  </si>
  <si>
    <t>400V SWITCHGEAR FOR ACC#2 FOR BLOCK #2 - A</t>
  </si>
  <si>
    <t>B2-C(M)-16111</t>
  </si>
  <si>
    <t>2.2_AIR COOLED CONDENSER (ACC) #2</t>
  </si>
  <si>
    <t>B269-006BT0025 → B269-006BT0048 → D0106-L23 → M0107 → D0108-L22 → M0109 → B216-916DT0004 → B216-016DT0004 → B216-926DT0004 → B216-026DT0004 → B216-036DT0004 → B216-036CT0012 → B216-036CT0014 → END</t>
  </si>
  <si>
    <t>B2-C(M)-16112</t>
  </si>
  <si>
    <t>B269-006BT0025 → B269-006BT0048 → D0106-L21 → M0107 → D0108-L11 → M0109 → B216-916DT0004 → B216-016DT0004 → B216-926DT0004 → B216-026DT0004 → B216-036DT0004 → B216-036CT0012 → END</t>
  </si>
  <si>
    <t>B2-C(M)-16113</t>
  </si>
  <si>
    <t>B269-006BT0025 → B269-006BT0048 → D0106-L23 → M0107 → D0108-L22 → M0109 → B216-916DT0004 → B216-016DT0004 → B216-926DT0004 → B216-026DT0004 → B216-036DT0004 → B216-036CT0012 → END</t>
  </si>
  <si>
    <t>B269-006BT0025 → B269-006BT0048 → D0106-L22 → M0107 → D0108-L12 → M0109 → B216-916DT0004 → B216-016DT0004 → B216-926DT0004 → B216-026DT0004 → B216-036DT0004 → B216-036CT0012 → END</t>
  </si>
  <si>
    <t>B2-C(M)-16114</t>
  </si>
  <si>
    <t>B269-006BT0025 → B269-006BT0048 → D0106-L22 → M0107 → D0108-L12 → M0109 → B216-916CT0003 → B216-016CT0003 → B216-926CT0003 → B216-026CT0003 → B216-036CT0003 → B216-036CT0012 → END</t>
  </si>
  <si>
    <t>B2-C(M)-16115</t>
  </si>
  <si>
    <t>B269-006BT0026 → B269-006BT0027 → B269-006BT0051 → D0107-L33 → M0108 → D0109-L23 → M0110 → B216-916CT0003 → B216-016CT0003 → B216-926CT0003 → B216-026CT0003 → B216-036CT0003 → B216-036CT0012 → END</t>
  </si>
  <si>
    <t>B2-C(M)-16116</t>
  </si>
  <si>
    <t>B269-006BT0026 → B269-006BT0027 → B269-006BT0051 → D0107-L33 → M0108 → D0109-L23 → M0110 → B216-916CT0003 → B216-016CT0003 → B216-926CT0003 → B216-026CT0003 → B216-036CT0003 → B216-036CT0012 → B216-036CT0013 → END</t>
  </si>
  <si>
    <t>B2-C(M)-16121</t>
  </si>
  <si>
    <t>B269-006BT0026 → B269-006BT0027 → B269-006BT0051 → D0107-L34 → M0108 → D0105-L25 → M0107 → D0108-L23 → M0109 → B216-916AT0002 → B216-016AT0002 → B216-926AT0002 → B216-026AT0002 → B216-036AT0002 → B216-036AT0009 → B216-036AT0011 → END</t>
  </si>
  <si>
    <t>B2-C(M)-16122</t>
  </si>
  <si>
    <t>B269-006BT0026 → B269-006BT0027 → B269-006BT0051 → D0107-L34 → M0108 → D0105-L25 → M0107 → D0108-L23 → M0109 → B216-916AT0002 → B216-016AT0002 → B216-926AT0002 → B216-026AT0002 → B216-036AT0002 → B216-036AT0009 → END</t>
  </si>
  <si>
    <t>B2-C(M)-16123</t>
  </si>
  <si>
    <t>B269-006BT0026 → B269-006BT0027 → B269-006BT0051 → D0107-L35 → M0108 → D0105-L15 → M0107 → D0108-L15 → M0109 → B216-916AT0002 → B216-016AT0002 → B216-926AT0002 → B216-026AT0002 → B216-036AT0002 → B216-036AT0009 → END</t>
  </si>
  <si>
    <t>B2-C(M)-16124</t>
  </si>
  <si>
    <t>B269-006CT0027 → B269-006CT0051 → D0107-L42 → M0108 → D0109-L11 → M0110 → B216-916BT0001 → B216-016BT0001 → B216-926BT0001 → B216-026BT0001 → B216-036BT0001 → B216-036AT0009 → END</t>
  </si>
  <si>
    <t>B2-C(M)-16125</t>
  </si>
  <si>
    <t>B269-006CT0027 → B269-006CT0051 → D0107-L41 → M0108 → D0109-L21 → M0110 → B216-916BT0001 → B216-016BT0001 → B216-926BT0001 → B216-026BT0001 → B216-036BT0001 → B216-036AT0009 → END</t>
  </si>
  <si>
    <t>B2-C(M)-16126</t>
  </si>
  <si>
    <t>B269-006CT0027 → B269-006CT0051 → D0107-L41 → M0108 → D0109-L21 → M0110 → B216-916BT0001 → B216-016BT0001 → B216-926BT0001 → B216-026BT0001 → B216-036BT0001 → B216-036AT0009 → B216-036AT0010 → END</t>
  </si>
  <si>
    <t>B2-SWG-69603</t>
  </si>
  <si>
    <t>400V SWITCHGEAR FOR ACC#2 FOR BLOCK #2 - C</t>
  </si>
  <si>
    <t>B2-C(M)-16131</t>
  </si>
  <si>
    <t>B269-006DT0036 → B269-006DT0050 → D0107-L24 → M0108 → D0105-L22 → M0107 → D0108-L21 → M0109 → B216-916GT0008 → B216-016GT0008 → B216-926GT0008 → B216-026GT0008 → B216-036GT0008 → B216-036GT0018 → B216-036GT0020 → END</t>
  </si>
  <si>
    <t>B269-006DT0036 → B269-006DT0050 → D0107-L34 → M0108 → D0105-L22 → M0107 → D0108-L21 → M0109 → B216-916GT0008 → B216-016GT0008 → B216-926GT0008 → B216-026GT0008 → B216-036GT0008 → B216-036GT0018 → B216-036GT0020 → END</t>
  </si>
  <si>
    <t>B2-C(M)-16132</t>
  </si>
  <si>
    <t>B269-006DT0036 → B269-006DT0050 → D0107-L21 → M0108 → D0105-L15 → M0107 → D0108-L11 → M0109 → B216-916GT0008 → B216-016GT0008 → B216-926GT0008 → B216-026GT0008 → B216-036GT0008 → B216-036GT0018 → END</t>
  </si>
  <si>
    <t>B2-C(M)-16133</t>
  </si>
  <si>
    <t>B269-006DT0036 → B269-006DT0050 → D0107-L22 → M0108 → D0105-L24 → M0107 → D0108-L12 → M0109 → B216-916GT0008 → B216-016GT0008 → B216-926GT0008 → B216-026GT0008 → B216-036GT0008 → B216-036GT0018 → END</t>
  </si>
  <si>
    <t>B2-C(M)-16134</t>
  </si>
  <si>
    <t>B269-006DT0036 → B269-006DT0050 → D0107-L23 → M0108 → D0109-L13 → M0110 → B216-916HT0007 → B216-016HT0007 → B216-926HT0007 → B216-026HT0007 → B216-036HT0007 → B216-036GT0018 → END</t>
  </si>
  <si>
    <t>B2-C(M)-16135</t>
  </si>
  <si>
    <t>B269-006DT0036 → B269-006DT0050 → D0107-L31 → M0108 → D0109-L11 → M0110 → B216-916HT0007 → B216-016HT0007 → B216-926HT0007 → B216-026HT0007 → B216-036HT0007 → B216-036GT0018 → END</t>
  </si>
  <si>
    <t>B2-C(M)-16136</t>
  </si>
  <si>
    <t>B2-C(M)-16141</t>
  </si>
  <si>
    <t>B2-C(M)-16142</t>
  </si>
  <si>
    <t>B2-C(M)-16143</t>
  </si>
  <si>
    <t>B2-C(M)-16144</t>
  </si>
  <si>
    <t>B2-C(M)-16145</t>
  </si>
  <si>
    <t>B269-006CT0013 → B269-006CT0034 → B269-006CT0027 → B269-006CT0051 → D0107-L24 → M0108 → D0109-L14 → M0110 → B216-916FT0005 → B216-016FT0005 → B216-926FT0005 → B216-026FT0005 → B216-036FT0005 → B216-036ET0015 → END</t>
  </si>
  <si>
    <t>B2-C(M)-16146</t>
  </si>
  <si>
    <t>B269-006CT0013 → B269-006CT0034 → B269-006CT0027 → B269-006CT0051 → D0107-L25 → M0108 → D0109-L15 → M0110 → B216-916FT0005 → B216-016FT0005 → B216-926FT0005 → B216-026FT0005 → B216-036FT0005 → B216-036ET0015 → B216-036ET0016 → END</t>
  </si>
  <si>
    <t>B2-C(MH)-16111</t>
  </si>
  <si>
    <t>B269-006BT0025 → B269-006BT0048 → D0106-L23 → M0107 → D0108-L13 → M0109 → B216-916DT0004 → B216-016DT0004 → B216-926DT0004 → B216-026DT0004 → B216-036DT0004 → B216-036CT0012 → B216-036CT0014 → END</t>
  </si>
  <si>
    <t>B2-C(MH)-16112</t>
  </si>
  <si>
    <t>B269-006BT0025 → B269-006BT0048 → D0106-L23 → M0107 → D0108-L13 → M0109 → B216-916DT0004 → B216-016DT0004 → B216-926DT0004 → B216-026DT0004 → B216-036DT0004 → B216-036CT0012 → END</t>
  </si>
  <si>
    <t>B2-C(MH)-16113</t>
  </si>
  <si>
    <t>B269-006BT0025 → B269-006BT0048 → D0106-L24 → M0107 → D0108-L14 → M0109 → B216-916DT0004 → B216-016DT0004 → B216-926DT0004 → B216-026DT0004 → B216-036DT0004 → B216-036CT0012 → END</t>
  </si>
  <si>
    <t>B2-C(MH)-16114</t>
  </si>
  <si>
    <t>B269-006BT0025 → B269-006BT0048 → D0106-L24 → M0107 → D0108-L14 → M0109 → B216-916CT0003 → B216-016CT0003 → B216-926CT0003 → B216-026CT0003 → B216-036CT0003 → B216-036CT0012 → END</t>
  </si>
  <si>
    <t>B2-C(MH)-16115</t>
  </si>
  <si>
    <t>B269-006BT0026 → B269-006BT0027 → B269-006BT0051 → D0107-L42 → M0108 → D0109-L22 → M0110 → B216-916CT0003 → B216-016CT0003 → B216-926CT0003 → B216-026CT0003 → B216-036CT0003 → B216-036CT0012 → END</t>
  </si>
  <si>
    <t>B2-C(MH)-16116</t>
  </si>
  <si>
    <t>B269-006BT0026 → B269-006BT0027 → B269-006BT0051 → D0107-L42 → M0108 → D0109-L22 → M0110 → B216-916CT0003 → B216-016CT0003 → B216-926CT0003 → B216-026CT0003 → B216-036CT0003 → B216-036CT0012 → B216-036CT0013 → END</t>
  </si>
  <si>
    <t>B2-C(MH)-16121</t>
  </si>
  <si>
    <t>B269-006BT0026 → B269-006BT0027 → B269-006BT0051 → D0107-L43 → M0108 → D0105-L23 → M0107 → D0108-L13 → M0109 → B216-916AT0002 → B216-016AT0002 → B216-926AT0002 → B216-026AT0002 → B216-036AT0002 → B216-036AT0009 → B216-036AT0011 → END</t>
  </si>
  <si>
    <t>B2-C(MH)-16122</t>
  </si>
  <si>
    <t>B269-006BT0026 → B269-006BT0027 → B269-006BT0051 → D0107-L43 → M0108 → D0105-L23 → M0107 → D0108-L13 → M0109 → B216-916AT0002 → B216-016AT0002 → B216-926AT0002 → B216-026AT0002 → B216-036AT0002 → B216-036AT0009 → END</t>
  </si>
  <si>
    <t>B2-C(MH)-16123</t>
  </si>
  <si>
    <t>B2-C(MH)-16124</t>
  </si>
  <si>
    <t>B269-006CT0027 → B269-006CT0051 → D0107-L43 → M0108 → D0109-L23 → M0110 → B216-916BT0001 → B216-016BT0001 → B216-926BT0001 → B216-026BT0001 → B216-036BT0001 → B216-036AT0009 → END</t>
  </si>
  <si>
    <t>B2-C(MH)-16125</t>
  </si>
  <si>
    <t>B2-C(MH)-16126</t>
  </si>
  <si>
    <t>B269-006CT0027 → B269-006CT0051 → D0107-L43 → M0108 → D0109-L23 → M0110 → B216-916BT0001 → B216-016BT0001 → B216-926BT0001 → B216-026BT0001 → B216-036BT0001 → B216-036AT0009 → B216-036AT0010 → END</t>
  </si>
  <si>
    <t>B2-C(MH)-16131</t>
  </si>
  <si>
    <t>B269-006DT0036 → B269-006DT0050 → D0107-L31 → M0108 → D0105-L15 → M0107 → D0108-L11 → M0109 → B216-916GT0008 → B216-016GT0008 → B216-926GT0008 → B216-026GT0008 → B216-036GT0008 → B216-036GT0018 → B216-036GT0020 → END</t>
  </si>
  <si>
    <t>B2-C(MH)-16132</t>
  </si>
  <si>
    <t>B269-006DT0036 → B269-006DT0050 → D0107-L31 → M0108 → D0105-L15 → M0107 → D0108-L11 → M0109 → B216-916GT0008 → B216-016GT0008 → B216-926GT0008 → B216-026GT0008 → B216-036GT0008 → B216-036GT0018 → END</t>
  </si>
  <si>
    <t>B2-C(MH)-16133</t>
  </si>
  <si>
    <t>B2-C(MH)-16134</t>
  </si>
  <si>
    <t>B269-006DT0036 → B269-006DT0050 → D0107-L31 → M0108 → D0109-L21 → M0110 → B216-916HT0007 → B216-016HT0007 → B216-926HT0007 → B216-026HT0007 → B216-036HT0007 → B216-036GT0018 → END</t>
  </si>
  <si>
    <t>B2-C(MH)-16135</t>
  </si>
  <si>
    <t>B2-C(MH)-16136</t>
  </si>
  <si>
    <t>B2-C(MH)-16141</t>
  </si>
  <si>
    <t>B2-C(MH)-16142</t>
  </si>
  <si>
    <t>B2-C(MH)-16143</t>
  </si>
  <si>
    <t>B2-C(MH)-16144</t>
  </si>
  <si>
    <t>B2-C(MH)-16145</t>
  </si>
  <si>
    <t>B269-006CT0013 → B269-006CT0034 → B269-006CT0027 → B269-006CT0051 → D0107-L32 → M0108 → D0109-L22 → M0110 → B216-916FT0005 → B216-016FT0005 → B216-926FT0005 → B216-026FT0005 → B216-036FT0005 → B216-036ET0015 → END</t>
  </si>
  <si>
    <t>B2-C(MH)-16146</t>
  </si>
  <si>
    <t>B269-006CT0013 → B269-006CT0034 → B269-006CT0027 → B269-006CT0051 → D0107-L32 → M0108 → D0109-L22 → M0110 → B216-916FT0005 → B216-016FT0005 → B216-926FT0005 → B216-026FT0005 → B216-036FT0005 → B216-036ET0015 → B216-036ET0016 → END</t>
  </si>
  <si>
    <t>B2-DB-69601</t>
  </si>
  <si>
    <t>400V-230V DIST. BOARD FOR ACC#1 FOR BLOCK #2 - A</t>
  </si>
  <si>
    <t>B2-C(GH)-16111</t>
  </si>
  <si>
    <t>B2-C(GH)-16112</t>
  </si>
  <si>
    <t>B2-C(GH)-16113</t>
  </si>
  <si>
    <t>B2-C(GH)-16114</t>
  </si>
  <si>
    <t>B2-C(GH)-16115</t>
  </si>
  <si>
    <t>B2-C(GH)-16116</t>
  </si>
  <si>
    <t>B2-C(GH)-16121</t>
  </si>
  <si>
    <t>B2-C(GH)-16122</t>
  </si>
  <si>
    <t>B2-C(GH)-16123</t>
  </si>
  <si>
    <t>B2-C(GH)-16124</t>
  </si>
  <si>
    <t>B2-C(GH)-16125</t>
  </si>
  <si>
    <t>B2-C(GH)-16126</t>
  </si>
  <si>
    <t>B2-DB-69603</t>
  </si>
  <si>
    <t>400V-230V DIST. BOARD FOR ACC#1 FOR BLOCK #2 - C</t>
  </si>
  <si>
    <t>B2-C(GH)-16131</t>
  </si>
  <si>
    <t>B269-006DT0036 → B269-006DT0050 → D0107-L31 → M0108 → D0105-L15 → M0107 → D0108-L21 → M0109 → B216-916GT0008 → B216-016GT0008 → B216-926GT0008 → B216-026GT0008 → B216-036GT0008 → B216-036GT0018 → B216-036GT0020 → END</t>
  </si>
  <si>
    <t>B2-C(GH)-16132</t>
  </si>
  <si>
    <t>B269-006DT0036 → B269-006DT0050 → D0107-L31 → M0108 → D0105-L15 → M0107 → D0108-L21 → M0109 → B216-916GT0008 → B216-016GT0008 → B216-926GT0008 → B216-026GT0008 → B216-036GT0008 → B216-036GT0018 → END</t>
  </si>
  <si>
    <t>B2-C(GH)-16133</t>
  </si>
  <si>
    <t>B2-C(GH)-16134</t>
  </si>
  <si>
    <t>B2-C(GH)-16135</t>
  </si>
  <si>
    <t>B2-C(GH)-16136</t>
  </si>
  <si>
    <t>B2-C(GH)-16141</t>
  </si>
  <si>
    <t>B2-C(GH)-16142</t>
  </si>
  <si>
    <t>B2-C(GH)-16143</t>
  </si>
  <si>
    <t>B2-C(GH)-16144</t>
  </si>
  <si>
    <t>B2-C(GH)-16145</t>
  </si>
  <si>
    <t>B269-006CT0013 → B269-006CT0034 → B269-006CT0027 → B269-006CT0051 → D0107-L32 → M0108 → D0109-L15 → M0110 → B216-916FT0005 → B216-016FT0005 → B216-926FT0005 → B216-026FT0005 → B216-036FT0005 → B216-036ET0015 → END</t>
  </si>
  <si>
    <t>B2-C(GH)-16146</t>
  </si>
  <si>
    <t>B269-006CT0013 → B269-006CT0034 → B269-006CT0027 → B269-006CT0051 → D0107-L32 → M0108 → D0109-L15 → M0110 → B216-916FT0005 → B216-016FT0005 → B216-926FT0005 → B216-026FT0005 → B216-036FT0005 → B216-036ET0015 → B216-036ET0016 → END</t>
  </si>
  <si>
    <t>B2-P(M)-16070</t>
  </si>
  <si>
    <t>B169-006AT0013 → B169-006AT0033 → B169-006AT0019 → B016-006BC0005 → END</t>
  </si>
  <si>
    <t>B169-006AT0013 → B169-006AT0033 → B169-006AT0019 → B016-006BC0006 → END</t>
  </si>
  <si>
    <t>B2-P(MH)-16070</t>
  </si>
  <si>
    <t>B169-006AT0013 → B169-006AT0033 → B169-006AT0019 → B016-007BC0003 → END</t>
  </si>
  <si>
    <t>B2-P(M)-16080</t>
  </si>
  <si>
    <t>B269-006CT0013 → B269-006CT0034 → B016-006BC0003 → END</t>
  </si>
  <si>
    <t>B269-006CT0013 → B269-006CT0034 → B016-006BC0004 → END</t>
  </si>
  <si>
    <t>B2-P(MH)-16080</t>
  </si>
  <si>
    <t>B169-006AT0013 → B169-006AT0033 → B169-006AT0020 → B016-007BC0002 → END</t>
  </si>
  <si>
    <t>B2-P(M)-16090</t>
  </si>
  <si>
    <t>B169-006AT0020 → B169-006AT0021 → B016-006BC0001 → END</t>
  </si>
  <si>
    <t>B169-006AT0020 → B169-006AT0021 → B016-006BC0002 → END</t>
  </si>
  <si>
    <t>B2-P(MH)-16090</t>
  </si>
  <si>
    <t>B169-006AT0020 → B169-006AT0021 → B016-007BC0001 → END</t>
  </si>
  <si>
    <t>B2-P(M)-16021</t>
  </si>
  <si>
    <t>B264-016AT0045 → B264-016AT0046 → B264-016AT0209 → B264-016AT0026 → B264-016AT0027 → B264-016AT0225 → B264-996AT0011 → M0405 → D0421-L31 → M0406 → D0301-L37 → M0301 → B215-997AT0026 → B215-017AT0027 → B215-017AT0028 → B215-017AT0029 → B215-017AT0030 → B215-017AT0006 → B215-017AT0007 → B215-017AT0008 → B215-017AT0009 → B215-017AT0010 → B215-017AT0011 → B213-016BC0032 → B213-006AC0002 → B213-016AC0001 → B213-016AC0003 → END</t>
  </si>
  <si>
    <t>B2-P(M)-16022</t>
  </si>
  <si>
    <t>B264-016CT0024 → B264-016CT0025 → B264-016CT0026 → B264-016CT0027 → B264-016CT0221 → B264-996CT0009 → M0405 → D0421-L32 → M0406 → D0301-L36 → M0301 → B215-996BT0001 → B215-016BT0002 → B215-016BT0003 → B215-016BT0004 → B215-016BT0005 → B215-016BT0031 → B215-016BT0032 → B215-016BT0033 → B215-016BT0034 → B215-016BT0035 → B215-016BT0036 → B215-016BT0103 → B215-016BT0104 → B213-016BC0033 → B213-006AC0003 → B213-016AC0002 → B213-016AC0004 → END</t>
  </si>
  <si>
    <t>B2-MCC-69603</t>
  </si>
  <si>
    <t>400V MCC FOR ACC#2 FOR BLOCK #2 - C</t>
  </si>
  <si>
    <t>B2-HO(M)-16001</t>
  </si>
  <si>
    <t>B269-006CT0034 → B269-006CT0027 → B269-006CT0051 → D0107-L42 → M0108 → D0105-L22 → M0107 → D0108-L13 → M0109 → B216-916CT0003 → B216-016CT0003 → B216-926CT0003 → B216-026CT0003 → B216-036CT0003 → B216-036CT0012 → B216-036CT0013 → B216-036CC0006 → B216-936CC0006 → END</t>
  </si>
  <si>
    <t>B2-MCC-69601</t>
  </si>
  <si>
    <t>400V MCC FOR ACC#2 FOR BLOCK #2 - A</t>
  </si>
  <si>
    <t>B2-HTP-16601</t>
  </si>
  <si>
    <t>B269-006BT0026 → B269-006BT0027 → B269-006BT0051 → D0107-L42 → M0108 → D0105-L22 → M0107 → D0108-L13 → M0109 → B216-916DT0004 → B216-016DT0004 → B216-926DT0004 → B216-026DT0004 → B216-036DT0004 → B216-036CT0012 → B216-036CT0014 → B216-936CT0021 → B216-026CT0021 → B216-926CT0021 → B216-016CT0021 → END</t>
  </si>
  <si>
    <t>B2-LP-16601</t>
  </si>
  <si>
    <t>B269-006CT0027 → B269-006CT0051 → D0107-L42 → M0108 → D0105-L22 → M0107 → D0108-L14 → M0109 → B216-916DT0004 → B216-016DT0004 → B216-926DT0004 → B216-026DT0004 → B216-036DT0004 → B216-036CT0012 → B216-036CT0014 → END</t>
  </si>
  <si>
    <t>B2-RP-16601</t>
  </si>
  <si>
    <t>B269-006BT0026 → B269-006BT0027 → B269-006BT0051 → D0107-L42 → M0108 → D0105-L22 → M0107 → D0108-L13 → M0109 → B216-916DT0004 → B216-016DT0004 → B216-926DT0004 → B216-026DT0004 → B216-036DT0004 → B216-036CT0012 → B216-036CT0014 → END</t>
  </si>
  <si>
    <t>B2-MOV-16001</t>
  </si>
  <si>
    <t>B269-006CT0034 → B269-006CT0027 → B269-006CT0051 → D0107-L42 → M0108 → D0105-L22 → M0107 → D0108-L13 → M0109 → B216-916DT0004 → B216-016DT0004 → B216-926DT0004 → B216-026DT0004 → B216-036DT0004 → B216-036CT0012 → B216-036CT0014 → B216-936CT0022 → B216-036CT0022 → B216-026CT0022 → B216-926CT0022 → B216-026CT0023 → B216-926CT0024 → B216-026CT0024 → B216-926CC0003 → END</t>
  </si>
  <si>
    <t>B2-MOV-16002</t>
  </si>
  <si>
    <t>B269-006CT0034 → B269-006CT0027 → B269-006CT0051 → D0107-L42 → M0108 → D0105-L22 → M0107 → D0108-L13 → M0109 → B216-916DT0004 → B216-016DT0004 → B216-926DT0004 → B216-026DT0004 → B216-036DT0004 → B216-036CT0012 → B216-036CT0014 → B216-936CT0022 → B216-036CT0022 → B216-026CT0022 → B216-926CT0022 → B216-026CT0023 → B216-926CT0024 → B216-026CT0024 → B216-926CC0004 → END</t>
  </si>
  <si>
    <t>B2-MOV-16071</t>
  </si>
  <si>
    <t>B169-006AT0020 → B169-006AT0019 → B016-017BC0011 → B016-006BC0018 → END</t>
  </si>
  <si>
    <t>B2-MOV-16081</t>
  </si>
  <si>
    <t>B169-006AT0020 → B016-017BC0008 → B016-006BC0017 → END</t>
  </si>
  <si>
    <t>B2-MOV-16091</t>
  </si>
  <si>
    <t>B169-006AT0020 → B169-006AT0021 → B016-017BC0005 → B016-006BC0016 → END</t>
  </si>
  <si>
    <t>B2-MOV-16075</t>
  </si>
  <si>
    <t>B169-006AT0013 → B169-006AT0033 → B169-006AT0019 → B016-017BC0012 → B016-006BC0018 → END</t>
  </si>
  <si>
    <t>B2-MOV-16085</t>
  </si>
  <si>
    <t>B169-006AT0013 → B169-006AT0033 → B169-006AT0020 → B016-017BC0009 → B016-006BC0017 → END</t>
  </si>
  <si>
    <t>B2-MOV-16095</t>
  </si>
  <si>
    <t>B169-006AT0020 → B169-006AT0021 → B016-017BC0006 → B016-006BC0016 → END</t>
  </si>
  <si>
    <t>B2-MOV-16073</t>
  </si>
  <si>
    <t>B169-006AT0013 → B169-006AT0033 → B169-006AT0019 → B016-017BC0013 → B016-006BC0018 → END</t>
  </si>
  <si>
    <t>B2-MOV-16083</t>
  </si>
  <si>
    <t>B169-006AT0013 → B169-006AT0033 → B169-006AT0020 → B016-017BC0010 → B016-006BC0017 → END</t>
  </si>
  <si>
    <t>B2-MOV-16093</t>
  </si>
  <si>
    <t>B169-006AT0020 → B169-006AT0021 → B016-017BC0007 → B016-006BC0016 → END</t>
  </si>
  <si>
    <t>B2-MOV-16005</t>
  </si>
  <si>
    <t>B269-006CT0034 → B269-006CT0027 → B269-006CT0051 → D0107-L42 → M0108 → D0105-L22 → M0107 → D0108-L13 → M0109 → B216-916DT0004 → B216-016DT0004 → B216-926DT0004 → B216-026DT0004 → B216-036DT0004 → B216-036CT0012 → B216-036CT0014 → B216-936CT0022 → B216-036CT0022 → B216-026CT0022 → B216-926CT0022 → B216-026CT0023 → B216-026CC0002 → END</t>
  </si>
  <si>
    <t>CLOSED COOLING WATER</t>
  </si>
  <si>
    <t>B1-C(M)-66001</t>
  </si>
  <si>
    <t>FIN FAN COOLER PACKAGE (CCW)_FAN MOTOR #1</t>
  </si>
  <si>
    <t>7.1_FIN FAN COOLER FOR CLOSED COOLING WATER(CCW) CLOSED TYPE</t>
  </si>
  <si>
    <t>B164-016CT0098 → B164-016CT0099 → B164-996CT0022 → M0504 → D0531-L35 → M0510 → D0517-L24 → M0501 → D0503-L46 → M0502 → D0504-L46 → M0503 → B132-006AC0003 → B182-017AT0001 → B182-037AT0001 → FIELD RUN</t>
  </si>
  <si>
    <t>B1-C(M)-66002</t>
  </si>
  <si>
    <t>FIN FAN COOLER PACKAGE (CCW)_FAN MOTOR #2</t>
  </si>
  <si>
    <t>B164-016ET0106 → B164-996ET0022 → M0504 → D0531-L35 → M0510 → D0517-L24 → M0501 → D0503-L46 → M0502 → D0504-L46 → M0503 → B132-006AC0003 → B182-017AT0001 → B182-037AT0001 → FIELD RUN</t>
  </si>
  <si>
    <t>B1-C(M)-66003</t>
  </si>
  <si>
    <t>FIN FAN COOLER PACKAGE (CCW)_FAN MOTOR #3</t>
  </si>
  <si>
    <t>B164-016CT0098 → B164-016CT0099 → B164-996CT0022 → M0504 → D0531-L35 → M0510 → D0517-L24 → M0501 → D0503-L46 → M0502 → D0504-L46 → M0503 → B132-006AC0004 → B182-017AT0001 → B182-037AT0002 → FIELD RUN</t>
  </si>
  <si>
    <t>B1-C(M)-66004</t>
  </si>
  <si>
    <t>FIN FAN COOLER PACKAGE (CCW)_FAN MOTOR #4</t>
  </si>
  <si>
    <t>B164-016ET0106 → B164-996ET0022 → M0504 → D0531-L35 → M0510 → D0517-L24 → M0501 → D0503-L46 → M0502 → D0504-L46 → M0503 → B132-006AC0004 → B182-017AT0001 → B182-037AT0002 → FIELD RUN</t>
  </si>
  <si>
    <t>B1-C(M)-66005</t>
  </si>
  <si>
    <t>FIN FAN COOLER PACKAGE (CCW)_FAN MOTOR #5</t>
  </si>
  <si>
    <t>B164-016CT0098 → B164-016CT0099 → B164-996CT0022 → M0504 → D0531-L36 → M0510 → D0517-L25 → M0501 → D0503-L47 → M0502 → D0504-L47 → M0503 → B132-006AC0005 → B182-017AT0001 → B182-037AT0002 → B182-037AT0003 → FIELD RUN</t>
  </si>
  <si>
    <t>B1-C(M)-66006</t>
  </si>
  <si>
    <t>FIN FAN COOLER PACKAGE (CCW)_FAN MOTOR #6</t>
  </si>
  <si>
    <t>B164-016ET0106 → B164-996ET0022 → M0504 → D0531-L36 → M0510 → D0517-L25 → M0501 → D0503-L47 → M0502 → D0504-L47 → M0503 → B132-006AC0005 → B182-017AT0001 → B182-037AT0002 → B182-037AT0003 → FIELD RUN</t>
  </si>
  <si>
    <t>B1-C(M)-66007</t>
  </si>
  <si>
    <t>FIN FAN COOLER PACKAGE (CCW)_FAN MOTOR #7</t>
  </si>
  <si>
    <t>B164-016CT0098 → B164-016CT0099 → B164-996CT0022 → M0504 → D0531-L36 → M0510 → D0517-L25 → M0501 → D0503-L47 → M0502 → D0504-L47 → M0503 → B132-006AC0006 → B182-017AT0001 → B182-037AT0002 → B182-037AT0003 → FIELD RUN</t>
  </si>
  <si>
    <t>B1-C(M)-66008</t>
  </si>
  <si>
    <t>FIN FAN COOLER PACKAGE (CCW)_FAN MOTOR #8</t>
  </si>
  <si>
    <t>B164-016ET0106 → B164-996ET0022 → M0504 → D0531-L36 → M0510 → D0517-L25 → M0501 → D0503-L47 → M0502 → D0504-L47 → M0503 → B132-006AC0006 → B182-017AT0001 → B182-037AT0002 → B182-037AT0003 → FIELD RUN</t>
  </si>
  <si>
    <t>B1-C(M)-66009</t>
  </si>
  <si>
    <t>FIN FAN COOLER PACKAGE (CCW)_FAN MOTOR #9</t>
  </si>
  <si>
    <t>B164-016CT0098 → B164-016CT0099 → B164-996CT0022 → M0504 → D0531-L37 → M0510 → D0517-L26 → M0501 → D0503-L48 → M0502 → D0504-L48 → M0503 → B132-006AC0007 → B182-017AT0001 → B182-037AT0002 → B182-037AT0003 → FIELD RUN</t>
  </si>
  <si>
    <t>B1-C(M)-66010</t>
  </si>
  <si>
    <t>FIN FAN COOLER PACKAGE (CCW)_FAN MOTOR #10</t>
  </si>
  <si>
    <t>B164-016ET0106 → B164-996ET0022 → M0504 → D0531-L37 → M0510 → D0517-L26 → M0501 → D0503-L48 → M0502 → D0504-L48 → M0503 → B132-006AC0007 → B182-017AT0001 → B182-037AT0002 → B182-037AT0003 → FIELD RUN</t>
  </si>
  <si>
    <t>B1-C(M)-66011</t>
  </si>
  <si>
    <t>FIN FAN COOLER PACKAGE (CCW)_FAN MOTOR #11</t>
  </si>
  <si>
    <t>B164-016CT0098 → B164-016CT0099 → B164-996CT0022 → M0504 → D0531-L37 → M0510 → D0517-L26 → M0501 → D0503-L48 → M0502 → D0504-L48 → M0503 → B132-006AC0008 → B182-017AT0001 → B182-037AT0002 → B182-037AT0003 → FIELD RUN</t>
  </si>
  <si>
    <t>B1-C(M)-66012</t>
  </si>
  <si>
    <t>FIN FAN COOLER PACKAGE (CCW)_FAN MOTOR #12</t>
  </si>
  <si>
    <t>B164-016ET0106 → B164-996ET0022 → M0504 → D0531-L37 → M0510 → D0517-L26 → M0501 → D0503-L48 → M0502 → D0504-L48 → M0503 → B132-006AC0008 → B182-017AT0001 → B182-037AT0002 → B182-037AT0003 → FIELD RUN</t>
  </si>
  <si>
    <t>B1-C(MH)-66001</t>
  </si>
  <si>
    <t>FIN FAN COOLER PACKAGE (CCW)_FAN MOTOR #1_SPACE HEATER</t>
  </si>
  <si>
    <t>B164-016AT0091 → B164-996AT0022 → M0504 → D0531-L35 → M0510 → D0517-L24 → M0501 → D0503-L46 → M0502 → D0504-L46 → M0503 → B132-006AC0003 → B182-017AT0001 → B182-037AT0001 → FIELD RUN</t>
  </si>
  <si>
    <t>B1-C(MH)-66002</t>
  </si>
  <si>
    <t>FIN FAN COOLER PACKAGE (CCW)_FAN MOTOR #2_SPACE HEATER</t>
  </si>
  <si>
    <t>B164-016AT0115 → B164-996AT0023 → M0504 → D0531-L35 → M0510 → D0517-L24 → M0501 → D0503-L46 → M0502 → D0504-L46 → M0503 → B132-006AC0003 → B182-017AT0001 → B182-037AT0001 → FIELD RUN</t>
  </si>
  <si>
    <t>B1-C(MH)-66003</t>
  </si>
  <si>
    <t>FIN FAN COOLER PACKAGE (CCW)_FAN MOTOR #3_SPACE HEATER</t>
  </si>
  <si>
    <t>B164-016AT0091 → B164-996AT0022 → M0504 → D0531-L35 → M0510 → D0517-L24 → M0501 → D0503-L46 → M0502 → D0504-L46 → M0503 → B132-006AC0004 → B182-017AT0001 → B182-037AT0002 → FIELD RUN</t>
  </si>
  <si>
    <t>B1-C(MH)-66004</t>
  </si>
  <si>
    <t>FIN FAN COOLER PACKAGE (CCW)_FAN MOTOR #4_SPACE HEATER</t>
  </si>
  <si>
    <t>B164-016AT0115 → B164-996AT0023 → M0504 → D0531-L35 → M0510 → D0517-L24 → M0501 → D0503-L46 → M0502 → D0504-L46 → M0503 → B132-006AC0004 → B182-017AT0001 → B182-037AT0002 → FIELD RUN</t>
  </si>
  <si>
    <t>B1-C(MH)-66005</t>
  </si>
  <si>
    <t>FIN FAN COOLER PACKAGE (CCW)_FAN MOTOR #5_SPACE HEATER</t>
  </si>
  <si>
    <t>B164-016AT0091 → B164-996AT0022 → M0504 → D0531-L36 → M0510 → D0517-L25 → M0501 → D0503-L47 → M0502 → D0504-L47 → M0503 → B132-006AC0005 → B182-017AT0001 → B182-037AT0002 → B182-037AT0003 → FIELD RUN</t>
  </si>
  <si>
    <t>B1-C(MH)-66006</t>
  </si>
  <si>
    <t>FIN FAN COOLER PACKAGE (CCW)_FAN MOTOR #6_SPACE HEATER</t>
  </si>
  <si>
    <t>B164-016AT0115 → B164-996AT0023 → M0504 → D0531-L36 → M0510 → D0517-L25 → M0501 → D0503-L47 → M0502 → D0504-L47 → M0503 → B132-006AC0005 → B182-017AT0001 → B182-037AT0002 → B182-037AT0003 → FIELD RUN</t>
  </si>
  <si>
    <t>B1-C(MH)-66007</t>
  </si>
  <si>
    <t>FIN FAN COOLER PACKAGE (CCW)_FAN MOTOR #7_SPACE HEATER</t>
  </si>
  <si>
    <t>B164-016AT0091 → B164-996AT0022 → M0504 → D0531-L36 → M0510 → D0517-L25 → M0501 → D0503-L47 → M0502 → D0504-L47 → M0503 → B132-006AC0006 → B182-017AT0001 → B182-037AT0002 → B182-037AT0003 → FIELD RUN</t>
  </si>
  <si>
    <t>B1-C(MH)-66008</t>
  </si>
  <si>
    <t>FIN FAN COOLER PACKAGE (CCW)_FAN MOTOR #8_SPACE HEATER</t>
  </si>
  <si>
    <t>B164-016AT0115 → B164-996AT0023 → M0504 → D0531-L36 → M0510 → D0517-L25 → M0501 → D0503-L47 → M0502 → D0504-L47 → M0503 → B132-006AC0006 → B182-017AT0001 → B182-037AT0002 → B182-037AT0003 → FIELD RUN</t>
  </si>
  <si>
    <t>B1-C(MH)-66009</t>
  </si>
  <si>
    <t>FIN FAN COOLER PACKAGE (CCW)_FAN MOTOR #9_SPACE HEATER</t>
  </si>
  <si>
    <t>B164-016AT0091 → B164-996AT0022 → M0504 → D0531-L37 → M0510 → D0517-L26 → M0501 → D0503-L48 → M0502 → D0504-L48 → M0503 → B132-006AC0007 → B182-017AT0001 → B182-037AT0002 → B182-037AT0003 → FIELD RUN</t>
  </si>
  <si>
    <t>B1-C(MH)-66010</t>
  </si>
  <si>
    <t>FIN FAN COOLER PACKAGE (CCW)_FAN MOTOR #10_SPACE HEATER</t>
  </si>
  <si>
    <t>B164-016AT0115 → B164-996AT0023 → M0504 → D0531-L37 → M0510 → D0517-L26 → M0501 → D0503-L48 → M0502 → D0504-L48 → M0503 → B132-006AC0007 → B182-017AT0001 → B182-037AT0002 → B182-037AT0003 → FIELD RUN</t>
  </si>
  <si>
    <t>B1-C(MH)-66011</t>
  </si>
  <si>
    <t>FIN FAN COOLER PACKAGE (CCW)_FAN MOTOR #11_SPACE HEATER</t>
  </si>
  <si>
    <t>B164-016AT0091 → B164-996AT0022 → M0504 → D0531-L37 → M0510 → D0517-L26 → M0501 → D0503-L48 → M0502 → D0504-L48 → M0503 → B132-006AC0008 → B182-017AT0001 → B182-037AT0002 → B182-037AT0003 → FIELD RUN</t>
  </si>
  <si>
    <t>B1-C(MH)-66012</t>
  </si>
  <si>
    <t>FIN FAN COOLER PACKAGE (CCW)_FAN MOTOR #12_SPACE HEATER</t>
  </si>
  <si>
    <t>B164-016AT0115 → B164-996AT0023 → M0504 → D0531-L37 → M0510 → D0517-L26 → M0501 → D0503-L48 → M0502 → D0504-L48 → M0503 → B132-006AC0008 → B182-017AT0001 → B182-037AT0002 → B182-037AT0003 → FIELD RUN</t>
  </si>
  <si>
    <t>B1-P-66001</t>
  </si>
  <si>
    <t>DELUGE SPRAY PUMP_MOTOR #1</t>
  </si>
  <si>
    <t>B164-016CT0098 → B164-016CT0099 → B164-996CT0022 → M0504 → D0531-L25 → M0510 → D0517-L14 → M0501 → D0503-L46 → M0502 → D0504-L46 → M0503 → B132-006AC0003 → B182-017AT0001 → B182-037AT0002 → B182-037AT0003 → B182-037AT0004 → B182-037AT0005 → B182-017AT0003 → FIELD RUN</t>
  </si>
  <si>
    <t>B1-P-66002</t>
  </si>
  <si>
    <t>DELUGE SPRAY PUMP_MOTOR #2</t>
  </si>
  <si>
    <t>B164-016ET0106 → B164-996ET0022 → M0504 → D0531-L26 → M0510 → D0517-L15 → M0501 → D0503-L47 → M0502 → D0504-L47 → M0503 → B132-006AC0004 → B182-017AT0001 → B182-037AT0002 → B182-037AT0003 → B182-037AT0004 → B182-037AT0005 → B182-017AT0003 → FIELD RUN</t>
  </si>
  <si>
    <t>B1-PDP-66001</t>
  </si>
  <si>
    <t>PDP FOR HEAT TRACING &amp; LIGHTING)</t>
  </si>
  <si>
    <t>B164-016ET0106 → B164-996ET0022 → M0504 → D0531-L36 → M0510 → D0517-L15 → M0501 → D0503-L47 → M0502 → D0504-L47 → M0503 → B132-006AC0002 → END</t>
  </si>
  <si>
    <t>B1-MOV-66001</t>
  </si>
  <si>
    <t>M.O.V. FOR DELUGE TANK</t>
  </si>
  <si>
    <t>B164-016ET0106 → B164-996ET0022 → M0504 → D0531-L36 → M0510 → D0517-L15 → M0501 → D0503-L47 → M0502 → D0504-L47 → M0503 → B132-006AC0005 → B182-017AT0001 → B182-037AT0002 → B182-037AT0003 → B182-037AT0004 → B182-037AT0005 → B182-017AT0003 → FIELD RUN</t>
  </si>
  <si>
    <t>B1-DB-64602</t>
  </si>
  <si>
    <t>400V-230V DIST. BOARD FOR GT/HRSG #1 FOR BLOCK #1 - B</t>
  </si>
  <si>
    <t>B1-C(SH)-66013</t>
  </si>
  <si>
    <t>FIN FAN COOLER PACKAGE (CCW)_PIT INSTRUMENT BOX_SPACE HEATER</t>
  </si>
  <si>
    <t>B164-016AT0115 → B164-996AT0023 → M0504 → D0531-L41 → M0510 → D0517-L16 → M0501 → D0503-L48 → M0502 → D0504-L48 → M0503 → B132-006AC0008 → B182-017AT0001 → B182-037AT0002 → B182-037AT0003 → B182-037AT0004 → B182-037AT0005 → B182-017AT0003 → B132-016AC0002 → END</t>
  </si>
  <si>
    <t>B2-C(M)-66001</t>
  </si>
  <si>
    <t>7.2_FIN FAN COOLER FOR CLOSED COOLING WATER(CCW) CLOSED TYPE</t>
  </si>
  <si>
    <t>B264-016AT0024 → B264-016AT0206 → B264-996AT0001 → M0401 → D0403-L13 → M0402 → D0402-L13 → M0424 → D0422-L13 → M0403 → B232-006AC0003 → B282-017AT0001 → B282-037AT0001 → FIELD RUN</t>
  </si>
  <si>
    <t>B2-C(M)-66002</t>
  </si>
  <si>
    <t>B264-016BT0045 → B264-016BT0205 → B264-016BT0024 → B264-016BT0206 → B264-996BT0001 → M0401 → D0403-L13 → M0402 → D0402-L13 → M0424 → D0422-L13 → M0403 → B232-006AC0003 → B282-017AT0001 → B282-037AT0001 → FIELD RUN</t>
  </si>
  <si>
    <t>B2-C(M)-66003</t>
  </si>
  <si>
    <t>B264-016AT0024 → B264-016AT0206 → B264-996AT0001 → M0401 → D0403-L13 → M0402 → D0402-L13 → M0424 → D0422-L13 → M0403 → B232-006AC0004 → B282-017AT0001 → B282-037AT0002 → FIELD RUN</t>
  </si>
  <si>
    <t>B2-C(M)-66004</t>
  </si>
  <si>
    <t>B264-016BT0045 → B264-016BT0205 → B264-016BT0024 → B264-016BT0206 → B264-996BT0001 → M0401 → D0403-L13 → M0402 → D0402-L13 → M0424 → D0422-L13 → M0403 → B232-006AC0004 → B282-017AT0001 → B282-037AT0002 → FIELD RUN</t>
  </si>
  <si>
    <t>B2-C(M)-66005</t>
  </si>
  <si>
    <t>B264-016AT0024 → B264-016AT0206 → B264-996AT0001 → M0401 → D0403-L14 → M0402 → D0402-L14 → M0424 → D0422-L12 → M0403 → B232-006AC0005 → B282-017AT0001 → B282-037AT0002 → B282-037AT0003 → FIELD RUN</t>
  </si>
  <si>
    <t>B2-C(M)-66006</t>
  </si>
  <si>
    <t>B264-016BT0045 → B264-016BT0205 → B264-016BT0024 → B264-016BT0206 → B264-996BT0001 → M0401 → D0403-L14 → M0402 → D0402-L14 → M0424 → D0422-L12 → M0403 → B232-006AC0005 → B282-017AT0001 → B282-037AT0002 → B282-037AT0003 → FIELD RUN</t>
  </si>
  <si>
    <t>B2-C(M)-66007</t>
  </si>
  <si>
    <t>B264-016AT0024 → B264-016AT0206 → B264-996AT0001 → M0401 → D0403-L14 → M0402 → D0402-L14 → M0424 → D0422-L12 → M0403 → B232-006AC0006 → B282-017AT0001 → B282-037AT0002 → B282-037AT0003 → FIELD RUN</t>
  </si>
  <si>
    <t>B2-C(M)-66008</t>
  </si>
  <si>
    <t>B264-016BT0045 → B264-016BT0205 → B264-016BT0024 → B264-016BT0206 → B264-996BT0001 → M0401 → D0403-L14 → M0402 → D0402-L14 → M0424 → D0422-L12 → M0403 → B232-006AC0006 → B282-017AT0001 → B282-037AT0002 → B282-037AT0003 → FIELD RUN</t>
  </si>
  <si>
    <t>B2-C(M)-66009</t>
  </si>
  <si>
    <t>B264-016AT0024 → B264-016AT0206 → B264-996AT0001 → M0401 → D0403-L15 → M0402 → D0402-L15 → M0424 → D0422-L11 → M0403 → B232-006AC0007 → B282-017AT0001 → B282-037AT0002 → B282-037AT0003 → FIELD RUN</t>
  </si>
  <si>
    <t>B2-C(M)-66010</t>
  </si>
  <si>
    <t>B264-016BT0045 → B264-016BT0205 → B264-016BT0024 → B264-016BT0206 → B264-996BT0001 → M0401 → D0403-L15 → M0402 → D0402-L15 → M0424 → D0422-L11 → M0403 → B232-006AC0007 → B282-017AT0001 → B282-037AT0002 → B282-037AT0003 → FIELD RUN</t>
  </si>
  <si>
    <t>B2-C(M)-66011</t>
  </si>
  <si>
    <t>B264-016AT0024 → B264-016AT0206 → B264-996AT0001 → M0401 → D0403-L15 → M0402 → D0402-L15 → M0424 → D0422-L11 → M0403 → B232-006AC0008 → B282-017AT0001 → B282-037AT0002 → B282-037AT0003 → FIELD RUN</t>
  </si>
  <si>
    <t>B2-C(M)-66012</t>
  </si>
  <si>
    <t>B264-016BT0045 → B264-016BT0205 → B264-016BT0024 → B264-016BT0206 → B264-996BT0001 → M0401 → D0403-L15 → M0402 → D0402-L15 → M0424 → D0422-L13 → M0403 → B232-006AC0008 → B282-017AT0001 → B282-037AT0002 → B282-037AT0003 → FIELD RUN</t>
  </si>
  <si>
    <t>B2-C(MH)-66001</t>
  </si>
  <si>
    <t>B2-C(MH)-66002</t>
  </si>
  <si>
    <t>B2-C(MH)-66003</t>
  </si>
  <si>
    <t>B2-C(MH)-66004</t>
  </si>
  <si>
    <t>B2-C(MH)-66005</t>
  </si>
  <si>
    <t>B2-C(MH)-66006</t>
  </si>
  <si>
    <t>B2-C(MH)-66007</t>
  </si>
  <si>
    <t>B2-C(MH)-66008</t>
  </si>
  <si>
    <t>B2-C(MH)-66009</t>
  </si>
  <si>
    <t>B2-C(MH)-66010</t>
  </si>
  <si>
    <t>B2-C(MH)-66011</t>
  </si>
  <si>
    <t>B2-C(MH)-66012</t>
  </si>
  <si>
    <t>B264-016BT0045 → B264-016BT0205 → B264-016BT0024 → B264-016BT0206 → B264-996BT0001 → M0401 → D0403-L15 → M0402 → D0402-L15 → M0424 → D0422-L11 → M0403 → B232-006AC0008 → B282-017AT0001 → B282-037AT0002 → B282-037AT0003 → FIELD RUN</t>
  </si>
  <si>
    <t>B2-P-66001</t>
  </si>
  <si>
    <t>B264-016BT0045 → B264-016BT0205 → B264-016BT0024 → B264-016BT0206 → B264-996BT0001 → M0401 → D0403-L14 → M0402 → D0402-L14 → M0424 → D0422-L11 → M0403 → B232-006AC0003 → B282-017AT0001 → B282-037AT0002 → B282-037AT0003 → B282-037AT0004 → B282-037AT0005 → B282-017AT0003 → FIELD RUN</t>
  </si>
  <si>
    <t>B2-P-66002</t>
  </si>
  <si>
    <t>B264-016AT0024 → B264-016AT0206 → B264-996AT0001 → M0401 → D0403-L13 → M0402 → D0402-L13 → M0424 → D0422-L13 → M0403 → B232-006AC0004 → B282-017AT0001 → B282-037AT0002 → B282-037AT0003 → B282-037AT0004 → B282-037AT0005 → B282-017AT0003 → FIELD RUN</t>
  </si>
  <si>
    <t>B2-PDP-66001</t>
  </si>
  <si>
    <t>B264-016BT0045 → B264-016BT0205 → B264-016BT0024 → B264-016BT0206 → B264-996BT0001 → M0401 → D0403-L11 → M0402 → D0402-L11 → M0424 → D0422-L11 → M0403 → B232-006AC0002 → END</t>
  </si>
  <si>
    <t>B2-MOV-66001</t>
  </si>
  <si>
    <t>B264-016BT0045 → B264-016BT0205 → B264-016BT0024 → B264-016BT0206 → B264-996BT0001 → M0401 → D0403-L11 → M0402 → D0402-L11 → M0424 → D0422-L11 → M0403 → B232-006AC0005 → B282-017AT0001 → B282-037AT0002 → B282-037AT0003 → B282-037AT0004 → B282-037AT0005 → B282-017AT0003 → FIELD RUN</t>
  </si>
  <si>
    <t>B2-DB-64602</t>
  </si>
  <si>
    <t>400V-230V DIST. BOARD FOR GT/HRSG #1 FOR BLOCK #2 - B</t>
  </si>
  <si>
    <t>B2-C(SH)-66013</t>
  </si>
  <si>
    <t>B264-016AT0027 → B264-016AT0026 → B264-016AT0025 → B264-016AT0206 → B264-996AT0001 → M0401 → D0403-L15 → M0402 → D0402-L15 → M0424 → D0422-L11 → M0403 → B232-006AC0008 → B282-017AT0001 → B282-037AT0002 → B282-037AT0003 → B282-037AT0004 → B282-037AT0005 → B282-017AT0003 → B232-016AC0002 → END</t>
  </si>
  <si>
    <t>RAW WATER SYSTEM</t>
  </si>
  <si>
    <t>B0-MCC-49601</t>
  </si>
  <si>
    <t>400V MCC FOR WATER TREATMENT - A</t>
  </si>
  <si>
    <t>10_WATER TREATMENT OF PROCESS AND DEMINERALIZED WATER ZLD BUILDING</t>
  </si>
  <si>
    <t>B0-P-38001A</t>
  </si>
  <si>
    <t>RAW WATER DISTRIBUTION PUMP MOTOR - A</t>
  </si>
  <si>
    <t>12.1_RAW WATER&amp;FIRE WATER PUMP HOUSE</t>
  </si>
  <si>
    <t>B049-006AT0004 → B049-006AT0003 → B049-006AT0002 → D0204-L15 → M0207 → D0203-L21 → M0206 → D0205-L21 → M0205 → B025-996FT0005 → B025-016FT0029 → B025-016FT0028 → B038-017AC0501 → B038-006AC0011 → B038-006AC0006 → END</t>
  </si>
  <si>
    <t>B0-MCC-49602</t>
  </si>
  <si>
    <t>400V MCC FOR WATER TREATMENT - B</t>
  </si>
  <si>
    <t>B0-P-38001B</t>
  </si>
  <si>
    <t>RAW WATER DISTRIBUTION PUMP MOTOR - B</t>
  </si>
  <si>
    <t>B049-006AT0008 → B049-006AT0009 → B049-006AT0011 → B049-006AT0003 → B049-006AT0002 → D0204-L18 → M0207 → D0203-L24 → M0206 → D0205-L24 → M0205 → B025-996FT0005 → B025-016FT0029 → B025-016FT0028 → B038-017AC0501 → B038-006AC0011 → B038-006AC0005 → END</t>
  </si>
  <si>
    <t>B0-P-38001C</t>
  </si>
  <si>
    <t>RAW WATER DISTRIBUTION PUMP MOTOR - C</t>
  </si>
  <si>
    <t>B049-006BT0004 → B049-006BT0003 → B049-006BT0001 → D0204-L15 → M0207 → D0203-L21 → M0206 → D0205-L21 → M0205 → B025-996ET0004 → B025-016ET0022 → B025-016ET0021 → B038-016AC0001 → B038-006AC0010 → B038-006AC0002 → END</t>
  </si>
  <si>
    <t>B0-P-38001D</t>
  </si>
  <si>
    <t>RAW WATER DISTRIBUTION PUMP MOTOR - D</t>
  </si>
  <si>
    <t>B049-006BT0008 → B049-006BT0009 → B049-006BT0014 → B049-006BT0003 → B049-006BT0001 → D0204-L18 → M0207 → D0203-L24 → M0206 → D0205-L24 → M0205 → B025-996ET0004 → B025-016ET0022 → B025-016ET0021 → B038-016AC0001 → B038-006AC0010 → B038-006AC0001 → END</t>
  </si>
  <si>
    <t>SERVICE WATER SYSTEM</t>
  </si>
  <si>
    <t>B0-P-36001A</t>
  </si>
  <si>
    <t>SERVICE WATER DISTRIBUTION PUMP MOTOR - A</t>
  </si>
  <si>
    <t>15.1_WATER DISTRIBUTION PUMP STATION</t>
  </si>
  <si>
    <t>B049-006AT0004 → B049-006AT0003 → B049-006AT0002 → D0204-L17 → M0207 → D0203-L23 → M0206 → D0205-L23 → M0205 → B025-996FT0005 → B025-016FT0029 → B025-016FT0028 → B025-016FT0030 → B025-016FT0031 → B025-016FT0032 → B025-016FT0033 → B025-016FT0034 → B025-996FT0006 → M0202 → D0201-L11 → M0201 → B079-006AC0008 → END</t>
  </si>
  <si>
    <t>B0-P-36001B</t>
  </si>
  <si>
    <t>B049-006AT0008 → B049-006AT0009 → B049-006AT0011 → B049-006AT0003 → B049-006AT0002 → D0204-L18 → M0207 → D0203-L24 → M0206 → D0205-L24 → M0205 → B025-996FT0005 → B025-016FT0029 → B025-016FT0028 → B025-016FT0030 → B025-016FT0031 → B025-016FT0032 → B025-016FT0033 → B025-016FT0034 → B025-996FT0006 → M0202 → D0201-L12 → M0201 → B079-006AC0006 → END</t>
  </si>
  <si>
    <t>B0-P-36001C</t>
  </si>
  <si>
    <t>SERVICE WATER DISTRIBUTION PUMP MOTOR - C</t>
  </si>
  <si>
    <t>B049-006BT0004 → B049-006BT0003 → B049-006BT0001 → D0204-L17 → M0207 → D0203-L23 → M0206 → D0205-L23 → M0205 → B025-996ET0004 → B025-016ET0022 → B025-016ET0021 → B025-016ET0030 → B025-016ET0031 → B025-016ET0032 → B025-016ET0033 → B025-016ET0034 → B025-996ET0006 → M0202 → D0201-L11 → M0201 → B079-006AC0004 → END</t>
  </si>
  <si>
    <t>B0-P-36001D</t>
  </si>
  <si>
    <t>SERVICE WATER DISTRIBUTION PUMP MOTOR - D</t>
  </si>
  <si>
    <t>B049-006BT0008 → B049-006BT0009 → B049-006BT0014 → B049-006BT0003 → B049-006BT0001 → D0204-L18 → M0207 → D0203-L24 → M0206 → D0205-L24 → M0205 → B025-996ET0004 → B025-016ET0022 → B025-016ET0021 → B025-016ET0030 → B025-016ET0031 → B025-016ET0032 → B025-016ET0033 → B025-016ET0034 → B025-996ET0006 → M0202 → D0201-L12 → M0201 → B079-006AC0002 → END</t>
  </si>
  <si>
    <t>POTABLE WATER SYSTEM</t>
  </si>
  <si>
    <t>B0-P-37001A</t>
  </si>
  <si>
    <t>13.4_WATER SUPPLY PUMPING STATION</t>
  </si>
  <si>
    <t>B049-006AT0008 → B049-006AT0009 → B049-006AT0011 → B049-006AT0003 → B049-006AT0002 → D0204-L16 → M0207 → D0206-L11 → M0208 → D0207-L11 → M0210 → D0209-L11 → M0209 → B038-006BC0009 → END</t>
  </si>
  <si>
    <t>B0-P-37001B</t>
  </si>
  <si>
    <t>POTABLE WATER DISTRIBUTION PUMP MOTOR - B</t>
  </si>
  <si>
    <t>B049-006AT0004 → B049-006AT0003 → B049-006AT0002 → D0204-L16 → M0207 → D0206-L11 → M0208 → D0207-L11 → M0210 → D0209-L11 → M0209 → B038-006BC0007 → END</t>
  </si>
  <si>
    <t>B0-P-37001C</t>
  </si>
  <si>
    <t>POTABLE WATER DISTRIBUTION PUMP MOTOR - C</t>
  </si>
  <si>
    <t>B049-006BT0008 → B049-006BT0009 → B049-006BT0014 → B049-006BT0003 → B049-006BT0001 → D0204-L17 → M0207 → D0206-L12 → M0208 → D0207-L12 → M0210 → D0209-L12 → M0209 → B038-006BC0005 → END</t>
  </si>
  <si>
    <t>B0-P-37001D</t>
  </si>
  <si>
    <t>POTABLE WATER DISTRIBUTION PUMP MOTOR - D</t>
  </si>
  <si>
    <t>B049-006BT0004 → B049-006BT0003 → B049-006BT0001 → D0204-L17 → M0207 → D0206-L12 → M0208 → D0207-L12 → M0210 → D0209-L12 → M0209 → B038-006BC0003 → END</t>
  </si>
  <si>
    <t>POTABLE WATER DISTRIBUTION PUMP MOTOR - A_SPACE HEATER</t>
  </si>
  <si>
    <t>B049-006BT0008 → B049-006BT0009 → B049-006BT0014 → B049-006BT0003 → B049-006BT0001 → D0204-L16 → M0207 → D0206-L11 → M0208 → D0207-L11 → M0210 → D0209-L11 → M0209 → B038-007BC0004 → END</t>
  </si>
  <si>
    <t>POTABLE WATER DISTRIBUTION PUMP MOTOR - B_SPACE HEATER</t>
  </si>
  <si>
    <t>B049-006AT0004 → B049-006AT0003 → B049-006AT0002 → D0204-L16 → M0207 → D0206-L11 → M0208 → D0207-L11 → M0210 → D0209-L11 → M0209 → B038-007BC0003 → END</t>
  </si>
  <si>
    <t>POTABLE WATER DISTRIBUTION PUMP MOTOR - C_SPACE HEATER</t>
  </si>
  <si>
    <t>B049-006BT0008 → B049-006BT0009 → B049-006BT0014 → B049-006BT0003 → B049-006BT0001 → D0204-L18 → M0207 → D0206-L12 → M0208 → D0207-L12 → M0210 → D0209-L12 → M0209 → B038-007BC0002 → END</t>
  </si>
  <si>
    <t>POTABLE WATER DISTRIBUTION PUMP MOTOR - D_SPACE HEATER</t>
  </si>
  <si>
    <t>B049-006AT0004 → B049-006AT0003 → B049-006AT0002 → D0204-L18 → M0207 → D0206-L12 → M0208 → D0207-L12 → M0210 → D0209-L12 → M0209 → B038-007BC0001 → END</t>
  </si>
  <si>
    <t>B0-MOV-38001</t>
  </si>
  <si>
    <t>EXTERNAL RAW WATER SUPPLY TO RAW WATER TANK INLET MOV A</t>
  </si>
  <si>
    <t>B049-006AT0004 → B049-006AT0003 → B049-006AT0002 → D0204-L14 → M0207 → D0203-L15 → M0206 → D0205-L15 → M0205 → B025-996ET0004 → B025-016ET0022 → B025-016ET0023 → B025-016ET0024 → B025-016ET0025 → B025-016ET0026 → B038-016BC0006 → B038-006BC0016 → END</t>
  </si>
  <si>
    <t>B0-MOV-38002</t>
  </si>
  <si>
    <t>EXTERNAL RAW WATER SUPPLY TO RAW WATER TANK INLET MOV B</t>
  </si>
  <si>
    <t>B049-006BT0008 → B049-006BT0009 → B049-006BT0014 → B049-006BT0003 → B049-006BT0001 → D0204-L15 → M0207 → D0203-L21 → M0206 → D0205-L21 → M0205 → B025-996ET0004 → B025-016ET0022 → B025-016ET0023 → B025-016ET0024 → B025-016ET0025 → B025-016ET0026 → B038-016BC0005 → B038-006BC0015 → END</t>
  </si>
  <si>
    <t>B0-MOV-38003</t>
  </si>
  <si>
    <t>RAW WATER DISCHARGE TO RAW WATER DISTRIBUTION LINE COMMON MOV A</t>
  </si>
  <si>
    <t>B049-006AT0004 → B049-006AT0003 → B049-006AT0002 → D0204-L14 → M0207 → D0203-L15 → M0206 → D0205-L15 → M0205 → B025-996ET0004 → B025-016ET0022 → B025-016ET0021 → B038-017AC0501 → B038-006AC0011 → B038-006AC0008 → END</t>
  </si>
  <si>
    <t>B0-MOV-38004</t>
  </si>
  <si>
    <t>RAW WATER DISCHARGE TO RAW WATER DISTRIBUTION LINE COMMON MOV B</t>
  </si>
  <si>
    <t>B049-006BT0008 → B049-006BT0009 → B049-006BT0014 → B049-006BT0003 → B049-006BT0001 → D0204-L15 → M0207 → D0203-L21 → M0206 → D0205-L21 → M0205 → B025-996ET0004 → B025-016ET0022 → B025-016ET0021 → B038-017AC0501 → B038-006AC0011 → B038-006AC0007 → END</t>
  </si>
  <si>
    <t>B0-MOV-38005</t>
  </si>
  <si>
    <t>RAW WATER DISCHARGE TO RAW WATER DISTRIBUTION LINE COMMON MOV C</t>
  </si>
  <si>
    <t>B049-006AT0004 → B049-006AT0003 → B049-006AT0002 → D0204-L14 → M0207 → D0203-L15 → M0206 → D0205-L15 → M0205 → B025-996ET0004 → B025-016ET0022 → B025-016ET0021 → B038-016AC0001 → B038-006AC0010 → B038-006AC0004 → END</t>
  </si>
  <si>
    <t>B0-MOV-38006</t>
  </si>
  <si>
    <t>RAW WATER DISCHARGE TO RAW WATER DISTRIBUTION LINE COMMON MOV D</t>
  </si>
  <si>
    <t>B049-006BT0008 → B049-006BT0009 → B049-006BT0014 → B049-006BT0003 → B049-006BT0001 → D0204-L15 → M0207 → D0203-L21 → M0206 → D0205-L21 → M0205 → B025-996ET0004 → B025-016ET0022 → B025-016ET0021 → B038-016AC0001 → B038-006AC0010 → B038-006AC0003 → END</t>
  </si>
  <si>
    <t>B0-MOV-36001</t>
  </si>
  <si>
    <t>EXTERNAL SERVICE WATER SUPPLY TO SERVICE WATER TANK INLET MOV A</t>
  </si>
  <si>
    <t>B049-006AT0004 → B049-006AT0003 → B049-006AT0002 → D0204-L15 → M0207 → D0203-L21 → M0206 → B038-006AC0013 → END</t>
  </si>
  <si>
    <t>B0-MOV-36002</t>
  </si>
  <si>
    <t>EXTERNAL SERVICE WATER SUPPLY TO SERVICE WATER TANK INLET MOV B</t>
  </si>
  <si>
    <t>B049-006BT0008 → B049-006BT0009 → B049-006BT0014 → B049-006BT0003 → B049-006BT0001 → D0204-L15 → M0207 → D0203-L21 → M0206 → B038-006AC0012 → END</t>
  </si>
  <si>
    <t>B0-MOV-36003</t>
  </si>
  <si>
    <t>SERVICE WATER DISCHARGE TO SERVICE WATER DISTRIBUTION LINE COMMON MOV A</t>
  </si>
  <si>
    <t>B049-006AT0004 → B049-006AT0003 → B049-006AT0002 → D0204-L14 → M0207 → D0203-L15 → M0206 → D0205-L15 → M0205 → B025-996ET0004 → B025-016ET0022 → B025-016ET0021 → B025-016ET0030 → B025-016ET0031 → B025-016ET0032 → B025-016ET0033 → B025-016ET0034 → B025-996ET0006 → M0202 → D0201-L11 → M0201 → B079-006AC0007 → END</t>
  </si>
  <si>
    <t>B0-MOV-36004</t>
  </si>
  <si>
    <t>SERVICE WATER DISCHARGE TO SERVICE WATER DISTRIBUTION LINE COMMON MOV B</t>
  </si>
  <si>
    <t>B049-006BT0008 → B049-006BT0009 → B049-006BT0014 → B049-006BT0003 → B049-006BT0001 → D0204-L15 → M0207 → D0203-L21 → M0206 → D0205-L21 → M0205 → B025-996ET0004 → B025-016ET0022 → B025-016ET0021 → B025-016ET0030 → B025-016ET0031 → B025-016ET0032 → B025-016ET0033 → B025-016ET0034 → B025-996ET0006 → M0202 → D0201-L12 → M0201 → B079-006AC0005 → END</t>
  </si>
  <si>
    <t>B0-MOV-36005</t>
  </si>
  <si>
    <t>SERVICE WATER DISCHARGE TO SERVICE WATER DISTRIBUTION LINE COMMON MOV C</t>
  </si>
  <si>
    <t>B049-006AT0004 → B049-006AT0003 → B049-006AT0002 → D0204-L14 → M0207 → D0203-L15 → M0206 → D0205-L15 → M0205 → B025-996ET0004 → B025-016ET0022 → B025-016ET0021 → B025-016ET0030 → B025-016ET0031 → B025-016ET0032 → B025-016ET0033 → B025-016ET0034 → B025-996ET0006 → M0202 → D0201-L11 → M0201 → B079-006AC0003 → END</t>
  </si>
  <si>
    <t>B0-MOV-36006</t>
  </si>
  <si>
    <t>SERVICE WATER DISCHARGE TO SERVICE WATER DISTRIBUTION LINE COMMON MOV D</t>
  </si>
  <si>
    <t>B049-006BT0008 → B049-006BT0009 → B049-006BT0014 → B049-006BT0003 → B049-006BT0001 → D0204-L15 → M0207 → D0203-L21 → M0206 → D0205-L21 → M0205 → B025-996ET0004 → B025-016ET0022 → B025-016ET0021 → B025-016ET0030 → B025-016ET0031 → B025-016ET0032 → B025-016ET0033 → B025-016ET0034 → B025-996ET0006 → M0202 → D0201-L12 → M0201 → B079-006AC0001 → END</t>
  </si>
  <si>
    <t>B0-MOV-37001</t>
  </si>
  <si>
    <t>EXTERNAL POTABLE WATER SUPPLY TO POTABLE WATER TANK INLET MOV B</t>
  </si>
  <si>
    <t>B049-006AT0004 → B049-006AT0003 → B049-006AT0002 → D0204-L14 → M0207 → D0206-L12 → M0208 → D0207-L12 → M0210 → D0209-L12 → M0209 → B038-006BC0013 → END</t>
  </si>
  <si>
    <t>B0-MOV-37002</t>
  </si>
  <si>
    <t>EXTERNAL POTABLE WATER SUPPLY TO POTABLE WATER TANK INLET MOV A</t>
  </si>
  <si>
    <t>B049-006BT0008 → B049-006BT0009 → B049-006BT0014 → B049-006BT0003 → B049-006BT0001 → D0204-L14 → M0207 → D0206-L11 → M0208 → D0207-L11 → M0210 → D0209-L11 → M0209 → B038-006BC0014 → END</t>
  </si>
  <si>
    <t>B0-MOV-37003</t>
  </si>
  <si>
    <t>POTABLE WATER DISCHARGE TO POTABLE WATER DISTRIBUTION LINE COMMON MOV A</t>
  </si>
  <si>
    <t>B049-006BT0008 → B049-006BT0009 → B049-006BT0014 → B049-006BT0003 → B049-006BT0001 → D0204-L14 → M0207 → D0206-L11 → M0208 → D0207-L11 → M0210 → D0209-L11 → M0209 → B038-006BC0008 → END</t>
  </si>
  <si>
    <t>B0-MOV-37004</t>
  </si>
  <si>
    <t>POTABLE WATER DISCHARGE TO POTABLE WATER DISTRIBUTION LINE COMMON MOV B</t>
  </si>
  <si>
    <t>B049-006AT0004 → B049-006AT0003 → B049-006AT0002 → D0204-L14 → M0207 → D0206-L11 → M0208 → D0207-L11 → M0210 → D0209-L11 → M0209 → B038-006BC0006 → END</t>
  </si>
  <si>
    <t>B0-MOV-37005</t>
  </si>
  <si>
    <t>POTABLE WATER DISCHARGE TO POTABLE WATER DISTRIBUTION LINE COMMON MOV C</t>
  </si>
  <si>
    <t>B049-006BT0008 → B049-006BT0009 → B049-006BT0014 → B049-006BT0003 → B049-006BT0001 → D0204-L14 → M0207 → D0206-L11 → M0208 → D0207-L11 → M0210 → D0209-L11 → M0209 → B038-006BC0004 → END</t>
  </si>
  <si>
    <t>B0-MOV-37006</t>
  </si>
  <si>
    <t>POTABLE WATER DISCHARGE TO POTABLE WATER DISTRIBUTION LINE COMMON MOV D</t>
  </si>
  <si>
    <t>B049-006AT0004 → B049-006AT0003 → B049-006AT0002 → D0204-L14 → M0207 → D0206-L11 → M0208 → D0207-L11 → M0210 → D0209-L11 → M0209 → B038-006BC0002 → END</t>
  </si>
  <si>
    <t>DEMINERALIZED WATER SYSTEM</t>
  </si>
  <si>
    <t>B0-P-35001A</t>
  </si>
  <si>
    <t>DEMI PUMP MOTOR - A</t>
  </si>
  <si>
    <t>B049-006AT0004 → B049-006AT0003 → B049-006AT0002 → D0204-L16 → M0207 → D0203-L23 → M0206 → D0205-L22 → M0205 → B025-996FT0005 → B025-016FT0029 → B025-016FT0028 → B025-016FT0030 → B025-016FT0031 → B025-016FT0032 → B025-016FT0033 → B025-016FT0034 → B025-996FT0006 → M0202 → D0201-L11 → M0201 → B079-006AC0012 → END</t>
  </si>
  <si>
    <t>B0-P-35001B</t>
  </si>
  <si>
    <t>DEMI PUMP MOTOR - B</t>
  </si>
  <si>
    <t>B049-006AT0008 → B049-006AT0009 → B049-006AT0011 → B049-006AT0003 → B049-006AT0002 → D0204-L17 → M0207 → D0203-L24 → M0206 → D0205-L23 → M0205 → B025-996FT0005 → B025-016FT0029 → B025-016FT0028 → B025-016FT0030 → B025-016FT0031 → B025-016FT0032 → B025-016FT0033 → B025-016FT0034 → B025-996FT0006 → M0202 → D0201-L11 → M0201 → B079-006AC0011 → END</t>
  </si>
  <si>
    <t>B0-P-35001C</t>
  </si>
  <si>
    <t>DEMI PUMP MOTOR - C</t>
  </si>
  <si>
    <t>B049-006BT0004 → B049-006BT0003 → B049-006BT0001 → D0204-L16 → M0207 → D0203-L23 → M0206 → D0205-L22 → M0205 → B025-996ET0004 → B025-016ET0022 → B025-016ET0021 → B025-016ET0030 → B025-016ET0031 → B025-016ET0032 → B025-016ET0033 → B025-016ET0034 → B025-996ET0006 → M0202 → D0201-L12 → M0201 → B079-006AC0010 → END</t>
  </si>
  <si>
    <t>B0-P-35001D</t>
  </si>
  <si>
    <t>DEMI PUMP MOTOR - D</t>
  </si>
  <si>
    <t>B049-006BT0008 → B049-006BT0009 → B049-006BT0014 → B049-006BT0003 → B049-006BT0001 → D0204-L17 → M0207 → D0203-L24 → M0206 → D0205-L23 → M0205 → B025-996ET0004 → B025-016ET0022 → B025-016ET0021 → B025-016ET0030 → B025-016ET0031 → B025-016ET0032 → B025-016ET0033 → B025-016ET0034 → B025-996ET0006 → M0202 → D0201-L12 → M0201 → B079-006AC0009 → END</t>
  </si>
  <si>
    <t>DEMI PUMP - A_SPACE HEATER</t>
  </si>
  <si>
    <t>B049-006AT0004 → B049-006AT0003 → B049-006AT0002 → D0204-L16 → M0207 → D0203-L23 → M0206 → D0205-L22 → M0205 → B025-996ET0004 → B025-016ET0022 → B025-016ET0021 → B025-016ET0030 → B025-016ET0031 → B025-016ET0032 → B025-016ET0033 → B025-016ET0034 → B025-996ET0006 → M0202 → D0201-L11 → M0201 → B079-007AC0004 → END</t>
  </si>
  <si>
    <t>DEMI PUMP - B_SPACE HEATER</t>
  </si>
  <si>
    <t>B049-006BT0008 → B049-006BT0009 → B049-006BT0014 → B049-006BT0003 → B049-006BT0001 → D0204-L17 → M0207 → D0203-L23 → M0206 → D0205-L23 → M0205 → B025-996ET0004 → B025-016ET0022 → B025-016ET0021 → B025-016ET0030 → B025-016ET0031 → B025-016ET0032 → B025-016ET0033 → B025-016ET0034 → B025-996ET0006 → M0202 → D0201-L12 → M0201 → B079-007AC0003 → END</t>
  </si>
  <si>
    <t>DEMI PUMP - C_SPACE HEATER</t>
  </si>
  <si>
    <t>B049-006AT0004 → B049-006AT0003 → B049-006AT0002 → D0204-L16 → M0207 → D0203-L23 → M0206 → D0205-L22 → M0205 → B025-996ET0004 → B025-016ET0022 → B025-016ET0021 → B025-016ET0030 → B025-016ET0031 → B025-016ET0032 → B025-016ET0033 → B025-016ET0034 → B025-996ET0006 → M0202 → D0201-L11 → M0201 → B079-007AC0002 → END</t>
  </si>
  <si>
    <t>DEMI PUMP - D_SPACE HEATER</t>
  </si>
  <si>
    <t>B049-006BT0008 → B049-006BT0009 → B049-006BT0014 → B049-006BT0003 → B049-006BT0001 → D0204-L17 → M0207 → D0203-L23 → M0206 → D0205-L23 → M0205 → B025-996ET0004 → B025-016ET0022 → B025-016ET0021 → B025-016ET0030 → B025-016ET0031 → B025-016ET0032 → B025-016ET0033 → B025-016ET0034 → B025-996ET0006 → M0202 → D0201-L12 → M0201 → B079-007AC0001 → END</t>
  </si>
  <si>
    <t>CONDENSATE SYSTEM</t>
  </si>
  <si>
    <t>B1-SWG-64303</t>
  </si>
  <si>
    <t>B1-M-29001</t>
  </si>
  <si>
    <t>MOTOR FOR CONDENSATE EXTRACTION PUMP #A</t>
  </si>
  <si>
    <t>B164-013BT0290 → B164-013BT0054 → B164-013BT0053 → B164-013BT0052 → B164-013BT0228 → B164-013BT0227 → B164-013BT0226 → B164-993BT0019 → M0501 → D0503-M11 → M0502 → D0504-M11 → M0503 → D0501-M11 → M0328 → D0324-M11 → M0329 → B114-993CT0021 → B114-013CT0020 → B114-013CT0019 → B114-013CT0018 → B114-013CT0017 → B114-013CT0016 → B114-013CT0015 → B114-013CT0014 → B114-013CT0013 → B114-013CT0024 → B025-013CT0126 → B025-013CT0127 → B025-013CT0128 → B025-993CT0014 → M0105 → D0110-M13 → M0112 → D0111-M11 → M0113 → D0113-M11 → B169-003AT0045 → B169-003AT0003 → B169-003AT0002 → B016-003AC0003 → END</t>
  </si>
  <si>
    <t>MOTOR SPACE HEATER FOR CONDENSATE EXTRACTION PUMP #A</t>
  </si>
  <si>
    <t>B064-016AT0068 → B064-016AT0067 → B064-016AT0066 → B064-016AT0065 → B064-016AT0064 → B064-016AT0063 → B064-016AT0214 → B064-016AT0213 → B064-016AT0032 → B064-996AT0120 → M0501 → D0503-L41 → M0502 → D0504-L41 → M0503 → D0501-L41 → M0328 → D0324-L41 → M0329 → B114-996BT0046 → B114-016BT0045 → B114-016BT0044 → B114-016BT0043 → B114-016BT0042 → B114-016BT0041 → B114-016BT0040 → B114-016BT0039 → B114-016BT0038 → B215-016BT0023 → B025-016BT0123 → B025-016BT0124 → B025-016BT0125 → B025-996BT0013 → M0105 → D0110-L24 → M0112 → D0111-L24 → M0113 → D0113-L21 → B169-006AT0044 → B169-006AT0010 → B169-006AT0009 → B169-006AT0008 → B016-007AC0009 → END</t>
  </si>
  <si>
    <t>REVERSE ROTATION SENSOR FOR CEP #A</t>
  </si>
  <si>
    <t>B169-006AT0016 → B169-006AT0053 → B169-006AT0008 → B016-007AC0008 → END</t>
  </si>
  <si>
    <t>B1-SWG-64304</t>
  </si>
  <si>
    <t>B1-M-29002</t>
  </si>
  <si>
    <t>MOTOR FOR CONDENSATE EXTRACTION PUMP #B</t>
  </si>
  <si>
    <t>B164-013BT0291 → B164-013BT0290 → B164-013BT0054 → B164-013BT0053 → B164-013BT0052 → B164-013BT0228 → B164-013BT0227 → B164-013BT0226 → B164-993BT0019 → M0501 → D0503-M12 → M0502 → D0504-M12 → M0503 → D0501-M12 → M0328 → D0324-M12 → M0329 → B114-993CT0021 → B114-013CT0020 → B114-013CT0019 → B114-013CT0018 → B114-013CT0017 → B114-013CT0016 → B114-013CT0015 → B114-013CT0014 → B114-013CT0013 → B114-013CT0024 → B025-013CT0126 → B025-013CT0127 → B025-013CT0128 → B025-993CT0014 → M0105 → D0110-M14 → M0112 → D0111-M12 → M0113 → D0113-M12 → B169-003AT0045 → B169-003AT0003 → B169-003AT0002 → B016-003AC0002 → END</t>
  </si>
  <si>
    <t>MOTOR SPACE HEATER FOR CONDENSATE EXTRACTION PUMP #B</t>
  </si>
  <si>
    <t>B064-016AT0079 → B064-016AT0078 → B064-016AT0077 → B064-016AT0076 → B064-016AT0075 → B064-016AT0074 → B064-016AT0073 → B064-016AT0215 → B064-016AT0214 → B064-016AT0213 → B064-016AT0032 → B064-996AT0120 → M0501 → D0503-L36 → M0502 → D0504-L36 → M0503 → D0501-L36 → M0328 → D0324-L36 → M0329 → B114-996BT0046 → B114-016BT0045 → B114-016BT0044 → B114-016BT0043 → B114-016BT0042 → B114-016BT0041 → B114-016BT0040 → B114-016BT0039 → B114-016BT0038 → B215-016BT0023 → B025-016BT0123 → B025-016BT0124 → B025-016BT0125 → B025-996BT0013 → M0105 → D0110-L25 → M0112 → D0111-L25 → M0113 → D0113-L22 → B169-006AT0044 → B169-006AT0010 → B169-006AT0009 → B169-006AT0008 → B016-007AC0007 → END</t>
  </si>
  <si>
    <t>REVERSE ROTATION SENSOR FOR CEP #B</t>
  </si>
  <si>
    <t>B169-006AT0009 → B016-007AC0006 → END</t>
  </si>
  <si>
    <t>B1-M-29003</t>
  </si>
  <si>
    <t>MOTOR FOR CONDENSATE EXTRACTION PUMP #C</t>
  </si>
  <si>
    <t>B164-013AT0058 → B164-013AT0275 → B164-013AT0052 → B164-013AT0228 → B164-013AT0227 → B164-013AT0226 → B164-993AT0019 → M0501 → D0503-M13 → M0502 → D0504-M13 → M0503 → D0501-M13 → M0328 → D0324-M13 → M0329 → B114-993DT0046 → B114-013DT0045 → B114-013DT0019 → B114-013DT0018 → B114-013DT0017 → B114-013DT0016 → B114-013DT0015 → B114-013DT0014 → B114-013DT0013 → B114-013DT0024 → B025-013DT0126 → B025-013DT0127 → B025-013DT0128 → B025-993DT0014 → M0105 → D0110-M15 → M0112 → D0111-M13 → M0113 → D0113-M13 → B016-003AC0001 → END</t>
  </si>
  <si>
    <t>MOTOR SPACE HEATER FOR CONDENSATE EXTRACTION PUMP #C</t>
  </si>
  <si>
    <t>B064-016AT0068 → B064-016AT0067 → B064-016AT0066 → B064-016AT0065 → B064-016AT0064 → B064-016AT0063 → B064-016AT0214 → B064-016AT0213 → B064-016AT0032 → B064-996AT0120 → M0501 → D0503-L42 → M0502 → D0504-L42 → M0503 → D0501-L42 → M0328 → D0324-L42 → M0329 → B114-996BT0046 → B114-016BT0045 → B114-016BT0044 → B114-016BT0043 → B114-016BT0042 → B114-016BT0041 → B114-016BT0040 → B114-016BT0039 → B114-016BT0038 → B215-016BT0023 → B025-016BT0123 → B025-016BT0124 → B025-016BT0125 → B025-996BT0013 → M0105 → D0110-L31 → M0112 → D0111-L31 → M0113 → D0113-L23 → B169-006AT0044 → B169-006AT0010 → B169-006AT0009 → B016-007AC0005 → END</t>
  </si>
  <si>
    <t>REVERSE ROTATION SENSOR FOR CEP #C</t>
  </si>
  <si>
    <t>B169-006AT0016 → B169-006AT0053 → B169-006AT0009 → B016-007AC0004 → END</t>
  </si>
  <si>
    <t>B2-SWG-64303</t>
  </si>
  <si>
    <t>B2-M-29001</t>
  </si>
  <si>
    <t>B264-013LT0005 → B264-013LT0215 → B264-993LT0004 → M0405 → D0421-M11 → M0406 → D0301-M17 → M0301 → B215-993AT0001 → B215-013AT0002 → B215-013AT0003 → B215-013AT0004 → B215-013AT0005 → B215-013AT0006 → B215-013AT0007 → B215-013AT0008 → B215-013AT0009 → B215-013AT0010 → B215-013AT0011 → B215-013AT0012 → B215-013AT0023 → B025-013AT0123 → B025-013AT0124 → B025-013AT0125 → B025-993AT0013 → M0105 → D0103-M14 → M0106 → D0104-M14 → M0107 → D0106-M13 → B169-003AT0049 → B169-003AT0024 → B169-003AT0023 → B016-003BC0003 → END</t>
  </si>
  <si>
    <t>B264-016AT0011 → B264-016AT0233 → B264-016AT0015 → B264-996AT0011 → M0405 → D0421-L31 → M0406 → D0301-L37 → M0301 → B215-996BT0001 → B215-016BT0002 → B215-016BT0003 → B215-016BT0004 → B215-016BT0005 → B215-016BT0031 → B215-016BT0032 → B215-016BT0033 → B215-016BT0034 → B215-016BT0035 → B215-016BT0036 → B215-016BT0037 → B215-016BT0023 → B025-016BT0123 → B025-016BT0124 → B025-016BT0125 → B025-996BT0013 → M0105 → D0103-L24 → M0106 → D0104-L24 → M0107 → D0106-L23 → B169-006AT0049 → B169-006AT0017 → B169-006AT0016 → B169-006AT0015 → B016-007BC0009 → END</t>
  </si>
  <si>
    <t>B169-006AT0020 → B169-006AT0019 → B169-006AT0018 → B169-006AT0017 → B169-006AT0016 → B169-006AT0015 → B016-007BC0008 → END</t>
  </si>
  <si>
    <t>B2-SWG-64304</t>
  </si>
  <si>
    <t>B2-M-29002</t>
  </si>
  <si>
    <t>B264-013NT0020 → B264-013NT0216 → B264-993NT0005 → M0405 → D0421-M12 → M0406 → D0301-M16 → M0301 → B215-993AT0001 → B215-013AT0002 → B215-013AT0003 → B215-013AT0004 → B215-013AT0005 → B215-013AT0006 → B215-013AT0007 → B215-013AT0008 → B215-013AT0009 → B215-013AT0010 → B215-013AT0011 → B215-013AT0012 → B215-013AT0023 → B025-013AT0123 → B025-013AT0124 → B025-013AT0125 → B025-993AT0013 → M0105 → D0103-M15 → M0106 → D0104-M15 → M0107 → D0106-M12 → B169-003AT0049 → B169-003AT0024 → B169-003AT0023 → B016-003BC0002 → END</t>
  </si>
  <si>
    <t>B264-016BT0015 → B264-996CT0009 → M0405 → D0421-L32 → M0406 → D0301-L36 → M0301 → B215-996BT0001 → B215-016BT0002 → B215-016BT0003 → B215-016BT0004 → B215-016BT0005 → B215-016BT0031 → B215-016BT0032 → B215-016BT0033 → B215-016BT0034 → B215-016BT0035 → B215-016BT0036 → B215-016BT0037 → B215-016BT0023 → B025-016BT0123 → B025-016BT0124 → B025-016BT0125 → B025-996BT0013 → M0105 → D0103-L25 → M0106 → D0104-L25 → M0107 → D0106-L24 → B169-006AT0049 → B169-006AT0017 → B169-006AT0016 → B169-006AT0015 → B016-007BC0007 → END</t>
  </si>
  <si>
    <t>B169-006AT0013 → B169-006AT0033 → B169-006AT0020 → B016-007BC0006 → END</t>
  </si>
  <si>
    <t>B2-M-29003</t>
  </si>
  <si>
    <t>B264-013MT0005 → B264-013MT0218 → B264-993MT0006 → M0405 → D0421-M13 → M0406 → D0301-M15 → M0301 → B215-993BT0001 → B215-013BT0002 → B215-013BT0003 → B215-013BT0004 → B215-013BT0005 → B215-013BT0006 → B215-013BT0007 → B215-013BT0008 → B215-013BT0009 → B215-013BT0010 → B215-013BT0011 → B215-013BT0012 → B215-013BT0023 → B025-013BT0123 → B025-013BT0124 → B025-013BT0125 → B025-993BT0013 → M0105 → D0103-M21 → M0106 → D0104-M21 → M0107 → D0106-M11 → B016-003BC0001 → END</t>
  </si>
  <si>
    <t>B264-016AT0011 → B264-016AT0233 → B264-016AT0015 → B264-996AT0011 → M0405 → D0421-L33 → M0406 → D0301-L35 → M0301 → B215-996BT0001 → B215-016BT0002 → B215-016BT0003 → B215-016BT0004 → B215-016BT0005 → B215-016BT0031 → B215-016BT0032 → B215-016BT0033 → B215-016BT0034 → B215-016BT0035 → B215-016BT0036 → B215-016BT0037 → B215-016BT0023 → B025-016BT0123 → B025-016BT0124 → B025-016BT0125 → B025-996BT0013 → M0105 → D0103-L31 → M0106 → D0104-L31 → M0107 → D0106-L31 → B169-006AT0049 → B169-006AT0017 → B016-007BC0005 → END</t>
  </si>
  <si>
    <t>B169-006AT0020 → B169-006AT0019 → B169-006AT0018 → B169-006AT0017 → B016-007BC0004 → END</t>
  </si>
  <si>
    <t>ATMOSPHERIC FLASH TANK SYSTEM</t>
  </si>
  <si>
    <t>B1-P-33001A</t>
  </si>
  <si>
    <t>ATMOSPHERIC FLASH TANK DRAIN PUMP MOTER - A FOR BLOCK #1</t>
  </si>
  <si>
    <t>B159-006AT0006 → B159-006AT0005 → B159-006AT0014 → B159-006AT0025 → D0326-L15 → M0316 → B113-997AT0010 → B113-017AT0009 → B113-017AT0003 → B113-017AT0004 → B113-017AT0005 → B113-017AT0006 → B113-017AT0007 → B113-016BC0037 → B113-006AC0006 → B113-016AC0012 → B113-016AC0010 → B113-016AC0008 → END</t>
  </si>
  <si>
    <t>B1-P-33001B</t>
  </si>
  <si>
    <t>ATMOSPHERIC FLASH TANK DRAIN PUMP MOTER - B FOR BLOCK #1</t>
  </si>
  <si>
    <t>B159-006BT0003 → B159-006BT0001 → D0326-L21 → M0316 → B113-996AT0012 → B113-016AT0011 → B113-016AT0003 → B113-016AT0004 → B113-016AT0005 → B113-016AT0006 → B113-016AT0007 → B113-016BC0036 → B113-006AC0005 → B113-016AC0011 → B113-016AC0009 → B113-016AC0007 → END</t>
  </si>
  <si>
    <t>B2-P-33001A</t>
  </si>
  <si>
    <t>ATMOSPHERIC FLASH TANK DRAIN PUMP MOTER - A FOR BLOCK #2</t>
  </si>
  <si>
    <t>B2-P-33001B</t>
  </si>
  <si>
    <t>ATMOSPHERIC FLASH TANK DRAIN PUMP MOTOR - B FOR BLOCK #2</t>
  </si>
  <si>
    <t>B1-MOV-33001</t>
  </si>
  <si>
    <t>DRAIN QUENCHING MOV - FOR BLOCK #1</t>
  </si>
  <si>
    <t>B159-006AT0006 → B159-006AT0005 → B159-006AT0014 → B159-006AT0025 → D0326-L12 → M0316 → B113-996AT0012 → B113-016AT0011 → B113-016AT0003 → B113-016AT0004 → B113-016AT0005 → B113-016AT0006 → B113-016AT0007 → B113-016BC0036 → B113-006AC0006 → B113-016AC0017 → END</t>
  </si>
  <si>
    <t>B2-MOV-33001</t>
  </si>
  <si>
    <t>DRAIN QUENCHING MOV - FOR BLOCK #2</t>
  </si>
  <si>
    <t>B259-006AT0003 → B259-006AT0025 → D0325-L12 → M0313 → B213-996AT0012 → B213-016AT0011 → B213-016AT0003 → B213-016AT0004 → B213-016AT0005 → B213-016AT0006 → B213-016AT0007 → B213-016BC0036 → B213-006AC0006 → B213-016AC0017 → END</t>
  </si>
  <si>
    <t>FUEL OIL SYSTEM</t>
  </si>
  <si>
    <t>B0-P-46001A</t>
  </si>
  <si>
    <t>FUEL OIL UNLOADING PUMP MOTOR - A</t>
  </si>
  <si>
    <t>21_DIESEL OIL PUMP STATION</t>
  </si>
  <si>
    <t>B049-006AT0004 → B049-006AT0003 → B049-006AT0002 → D0204-L14 → M0207 → D0203-L15 → M0206 → D0205-L15 → M0205 → B025-996ET0004 → B025-016ET0022 → B025-016ET0021 → B025-016ET0020 → B025-016ET0019 → B025-016ET0018 → B025-016ET0017 → B025-016ET0016 → B025-996ET0003 → M0103 → B070-006AC0007 → END</t>
  </si>
  <si>
    <t>B0-P-46001B</t>
  </si>
  <si>
    <t>FUEL OIL UNLOADING PUMP MOTOR - B</t>
  </si>
  <si>
    <t>B049-006AT0008 → B049-006AT0009 → B049-006AT0011 → B049-006AT0003 → B049-006AT0002 → D0204-L15 → M0207 → D0203-L21 → M0206 → D0205-L21 → M0205 → B025-996ET0004 → B025-016ET0022 → B025-016ET0021 → B025-016ET0020 → B025-016ET0019 → B025-016ET0018 → B025-016ET0017 → B025-016ET0016 → B025-996ET0003 → M0103 → B070-006AC0008 → END</t>
  </si>
  <si>
    <t>B0-P-46001C</t>
  </si>
  <si>
    <t>FUEL OIL UNLOADING PUMP MOTOR - C</t>
  </si>
  <si>
    <t>FUEL OIL UNLOADING PUMP MOTOR - A_SPACE HEATER</t>
  </si>
  <si>
    <t>B049-006AT0004 → B049-006AT0003 → B049-006AT0002 → D0204-L18 → M0207 → D0203-L21 → M0206 → D0205-L15 → M0205 → B025-996ET0004 → B025-016ET0022 → B025-016ET0021 → B025-016ET0020 → B025-016ET0019 → B025-016ET0018 → B025-016ET0017 → B025-016ET0016 → B025-996ET0003 → M0103 → B070-007AC0003 → END</t>
  </si>
  <si>
    <t>FUEL OIL UNLOADING PUMP MOTOR - B_SPACE HEATER</t>
  </si>
  <si>
    <t>B049-006BT0008 → B049-006BT0009 → B049-006BT0014 → B049-006BT0003 → B049-006BT0001 → D0204-L15 → M0207 → D0203-L22 → M0206 → D0205-L21 → M0205 → B025-996ET0004 → B025-016ET0022 → B025-016ET0021 → B025-016ET0020 → B025-016ET0019 → B025-016ET0018 → B025-016ET0017 → B025-016ET0016 → B025-996ET0003 → M0103 → B070-007AC0004 → END</t>
  </si>
  <si>
    <t>FUEL OIL UNLOADING PUMP MOTOR - C_SPACE HEATER</t>
  </si>
  <si>
    <t>B049-006AT0004 → B049-006AT0003 → B049-006AT0002 → D0204-L18 → M0207 → D0203-L22 → M0206 → D0205-L15 → M0205 → B025-996ET0004 → B025-016ET0022 → B025-016ET0021 → B025-016ET0020 → B025-016ET0019 → B025-016ET0018 → B025-016ET0017 → B025-016ET0016 → B025-996ET0003 → M0103 → B070-007AC0005 → END</t>
  </si>
  <si>
    <t>B0-SWG-49602</t>
  </si>
  <si>
    <t>400V SWITCHGEAR FOR WATER TREATMENT - B</t>
  </si>
  <si>
    <t>B0-P-46002A</t>
  </si>
  <si>
    <t>FUEL OIL TRANSFER PUMP MOTOR - A</t>
  </si>
  <si>
    <t>B0-SWG-49601</t>
  </si>
  <si>
    <t>400V SWITCHGEAR FOR WATER TREATMENT - A</t>
  </si>
  <si>
    <t>B0-P-46002B</t>
  </si>
  <si>
    <t>FUEL OIL TRANSFER PUMP MOTOR - B</t>
  </si>
  <si>
    <t>FUEL OIL TRANSFER PUMP MOTOR - A_SPACE HEATER</t>
  </si>
  <si>
    <t>FUEL OIL TRANSFER PUMP MOTOR - B_SPACE HEATER</t>
  </si>
  <si>
    <t>B0-P-46003A</t>
  </si>
  <si>
    <t>DRAIN OIL PUMP MOTOR - A</t>
  </si>
  <si>
    <t>23.7_DIESEL FUEL DRAINAGE RESERVOIR</t>
  </si>
  <si>
    <t>B049-006AT0008 → B049-006AT0009 → B049-006AT0011 → B049-006AT0003 → B049-006AT0002 → D0204-L16 → M0207 → D0203-L22 → M0206 → D0205-L22 → M0205 → B025-996ET0004 → B025-016ET0022 → B025-016ET0021 → B025-016ET0020 → B025-016ET0019 → B025-016ET0018 → B025-016ET0017 → B025-016ET0016 → B070-016AC0004 → B070-006AC0014 → B070-016AC0005 → B070-016AC0002 → END</t>
  </si>
  <si>
    <t>B0-P-46003B</t>
  </si>
  <si>
    <t>DRAIN OIL PUMP MOTOR - B</t>
  </si>
  <si>
    <t>B049-006BT0004 → B049-006BT0003 → B049-006BT0001 → D0204-L17 → M0207 → D0203-L23 → M0206 → D0205-L23 → M0205 → B025-996FT0005 → B025-016FT0028 → B025-016FT0020 → B025-016FT0019 → B025-016FT0018 → B070-016AC0006 → B070-006AC0017 → B070-016AC0003 → B070-016AC0001 → END</t>
  </si>
  <si>
    <t>B0-MOV-46001</t>
  </si>
  <si>
    <t>FUEL OIL TRANSFER PUMP A DISCHARGE MOV</t>
  </si>
  <si>
    <t>B049-006BT0008 → B049-006BT0009 → B049-006BT0014 → B049-006BT0003 → B049-006BT0001 → D0204-L16 → M0207 → D0203-L22 → M0206 → D0205-L22 → M0205 → B025-996ET0004 → B025-016ET0022 → B025-016ET0021 → B025-016ET0020 → B025-016ET0019 → B025-016ET0018 → B025-016ET0017 → B025-016ET0016 → B025-996ET0003 → M0103 → B070-006AC0001 → END</t>
  </si>
  <si>
    <t>B0-MOV-46002</t>
  </si>
  <si>
    <t>FUEL OIL TRANSFER PUMP B DISCHARGE MOV</t>
  </si>
  <si>
    <t>B049-006AT0004 → B049-006AT0003 → B049-006AT0002 → D0204-L16 → M0207 → D0203-L22 → M0206 → D0205-L22 → M0205 → B025-996ET0004 → B025-016ET0022 → B025-016ET0021 → B025-016ET0020 → B025-016ET0019 → B025-016ET0018 → B025-016ET0017 → B025-016ET0016 → B025-996ET0003 → M0103 → B070-006AC0004 → END</t>
  </si>
  <si>
    <t>OIL FACILITY SYSTEM</t>
  </si>
  <si>
    <t>B0-MCC-72601</t>
  </si>
  <si>
    <t>400V MCC FOR WORKSHOP - A</t>
  </si>
  <si>
    <t>24_WORKSHOP AND STORAGE RADIATION SHELTER</t>
  </si>
  <si>
    <t>B0-P-52001A</t>
  </si>
  <si>
    <t>FRESH LUBE OIL UNLOADING PUMP MOTOR - A</t>
  </si>
  <si>
    <t>35_TURBINE LUBRICANT OIL(LO) PUMP STATION</t>
  </si>
  <si>
    <t>B071-007AT0001 → D0101-L11 → M0102 → B025-996AT0001 → B025-016AT0004 → B025-016AT0005 → B025-016AT0006 → B025-996AT0015 → B025-016AT0007 → B025-996AT0002 → M0101 → B052-006AC0006 → END</t>
  </si>
  <si>
    <t>B0-MCC-72602</t>
  </si>
  <si>
    <t>400V MCC FOR WORKSHOP - B</t>
  </si>
  <si>
    <t>B0-P-52001B</t>
  </si>
  <si>
    <t>FRESH LUBE OIL UNLOADING PUMP MOTOR - B</t>
  </si>
  <si>
    <t>B071-006AT0001 → D0101-L11 → M0102 → B025-997AT0001 → B025-017AT0004 → B025-017AT0005 → B025-017AT0006 → B025-997AT0015 → B025-017AT0007 → B025-997AT0002 → M0101 → B052-006AC0005 → END</t>
  </si>
  <si>
    <t>B0-P-52003A</t>
  </si>
  <si>
    <t>LUBE OIL FORWARDING PUMP MOTOR - A</t>
  </si>
  <si>
    <t>B071-007AT0001 → D0101-L12 → M0102 → B025-996AT0001 → B025-016AT0004 → B025-016AT0005 → B025-016AT0006 → B025-996AT0015 → B025-016AT0007 → B025-996AT0002 → M0101 → B052-006AC0004 → END</t>
  </si>
  <si>
    <t>B0-P-52003B</t>
  </si>
  <si>
    <t>LUBE OIL FORWARDING PUMP MOTOR - B</t>
  </si>
  <si>
    <t>B071-006AT0001 → D0101-L12 → M0102 → B025-997AT0001 → B025-017AT0004 → B025-017AT0005 → B025-017AT0006 → B025-997AT0015 → B025-017AT0007 → B025-997AT0002 → M0101 → B052-006AC0003 → END</t>
  </si>
  <si>
    <t>B0-MCC-64602</t>
  </si>
  <si>
    <t>400V MCC FOR COMMON - B</t>
  </si>
  <si>
    <t>B0-MCC-64601</t>
  </si>
  <si>
    <t>400V MCC FOR COMMON - A</t>
  </si>
  <si>
    <t>B0-P-52004A</t>
  </si>
  <si>
    <t>DRAIN LUBE OIL PUMP - A</t>
  </si>
  <si>
    <t>35.1_TURBINE OIL DRAINAGE RESERVOIR</t>
  </si>
  <si>
    <t>B071-007AT0001 → D0101-L13 → M0102 → B025-996AT0001 → B025-016AT0004 → B025-016AT0005 → B025-016AT0006 → B025-996AT0015 → B025-016AT0007 → B025-016AT0008 → B052-016AC0005 → B052-006AC0001 → B052-016AC0006 → B052-016AC0003 → END</t>
  </si>
  <si>
    <t>B0-P-52004B</t>
  </si>
  <si>
    <t>DRAIN LUBE OIL PUMP - B</t>
  </si>
  <si>
    <t>B071-006AT0001 → D0101-L13 → M0102 → B025-997AT0001 → B025-017AT0004 → B025-017AT0005 → B025-017AT0006 → B025-997AT0015 → B025-017AT0007 → B025-017AT0008 → B052-016AC0007 → B052-006AC0010 → B052-016AC0001 → B052-016AC0002</t>
  </si>
  <si>
    <t>FUEL GAS SUPPLY SYSTEM</t>
  </si>
  <si>
    <t>B0-PP-44601</t>
  </si>
  <si>
    <t>LV PDP FOR FGSS</t>
  </si>
  <si>
    <t>18_AUXILIARY BOILER / LER</t>
  </si>
  <si>
    <t>B0-UPSP-64701</t>
  </si>
  <si>
    <t xml:space="preserve">400/230V AC UPS MAIN DISTRIBUTION PANEL FOR COMMON - A </t>
  </si>
  <si>
    <t>B0-P-4401</t>
  </si>
  <si>
    <t>PLC PANEL CONTROL POWER (MAIN)</t>
  </si>
  <si>
    <t>B0-UPSP-64702</t>
  </si>
  <si>
    <t xml:space="preserve">400/230V AC UPS MAIN DISTRIBUTION PANEL FOR COMMON - B </t>
  </si>
  <si>
    <t>PLC PANEL CONTROL POWER (REDUNDANT)</t>
  </si>
  <si>
    <t>B1-LCP-4403</t>
  </si>
  <si>
    <t>FUEL GAS CONDENSATE PUMP FOR FINAL FILTER #11</t>
  </si>
  <si>
    <t>1.1_MAIN BUILDING COMPLEX (NEAR HRSG #11)</t>
  </si>
  <si>
    <t>B164-016ET0106 → B164-996ET0022 → M0504 → D0531-L31 → M0510 → D0517-L22 → M0501 → D0503-L41 → M0502 → D0504-L41 → M0503 → D0501-L41 → M0328 → D0324-L41 → M0329 → B114-996DT0081 → B114-016DT0082 → B114-016DT0083 → B114-016DT0084 → B114-016DT0096 → B114-016DT0097 → B114-016DT0098 → B114-016DT0099 → B161-016AC0004 → B161-006AC0005 → END</t>
  </si>
  <si>
    <t>B1-LCP-4404</t>
  </si>
  <si>
    <t>FUEL GAS CONDENSATE PUMP FOR FINAL FILTER #12</t>
  </si>
  <si>
    <t>1.1_MAIN BUILDING COMPLEX (NEAR HRSG #12)</t>
  </si>
  <si>
    <t>B164-016AT0094 → B164-016AT0093 → B164-016AT0092 → B164-996AT0022 → M0504 → D0531-L32 → M0510 → D0517-L23 → M0501 → D0503-L42 → M0502 → D0504-L42 → M0503 → D0501-L42 → M0328 → D0324-L42 → M0329 → B114-996CT0071 → B114-016CT0072 → B114-016CT0073 → B114-016CT0074 → B114-016CT0075 → B114-016CT0076 → B114-016CT0087 → B114-016CT0088 → B114-016CT0089 → B114-016CT0090 → B161-016CC0004 → B161-006CC0005 → END</t>
  </si>
  <si>
    <t>B2-LCP-4405</t>
  </si>
  <si>
    <t>FUEL GAS CONDENSATE PUMP FOR FINAL FILTER #21</t>
  </si>
  <si>
    <t>1.1_MAIN BUILDING COMPLEX (NEAR HRSG #21)</t>
  </si>
  <si>
    <t>B264-016CT0024 → B264-016CT0025 → B264-016CT0026 → B264-016CT0027 → B264-016CT0221 → B264-996CT0009 → M0405 → D0421-L33 → M0406 → D0301-L35 → M0301 → B215-996AT0026 → B215-016AT0048 → B215-016AT0049 → B215-016AT0050 → B215-016AT0051 → B215-016AT0064 → B215-016AT0065 → B215-016AT0066 → B215-016AT0055 → B215-016AT0056 → B215-016AT0057 → B215-016AT0058 → B261-016CC0004 → B261-006CC0005 → END</t>
  </si>
  <si>
    <t>B2-LCP-4406</t>
  </si>
  <si>
    <t>FUEL GAS CONDENSATE PUMP FOR FINAL FILTER #22</t>
  </si>
  <si>
    <t>1.1_MAIN BUILDING COMPLEX (NEAR HRSG #22)</t>
  </si>
  <si>
    <t>B264-016CT0027 → B264-016CT0221 → B264-996CT0009 → M0405 → D0421-L33 → M0406 → D0301-L35 → M0301 → B261-006AC0005 → END</t>
  </si>
  <si>
    <t>B0-UPSP-44701</t>
  </si>
  <si>
    <t>UPS PDP FOR FGSS</t>
  </si>
  <si>
    <t>FEEDWATER SYSTEM</t>
  </si>
  <si>
    <t>B1-M-30001A</t>
  </si>
  <si>
    <t>MOTOR FOR BOILER FEEDWATER PUMP #A</t>
  </si>
  <si>
    <t>B164-013AT0058 → B164-013AT0275 → B164-013AT0052 → B164-013AT0228 → B164-013AT0227 → B164-013AT0226 → B164-993AT0019 → M0501 → D0503-M14 → M0502 → D0504-M14 → M0503 → D0501-M14 → M0328 → D0324-M14 → M0329 → B114-993ET0081 → B114-013ET0082 → B114-013ET0083 → B114-013ET0084 → B114-013ET0096 → B114-013ET0097 → B114-013ET0098 → B161-013AC0002 → B161-003AC0002 → END</t>
  </si>
  <si>
    <t>MOTOR SPACE HEATER FOR BOILER FEEDWATER PUMP #A</t>
  </si>
  <si>
    <t>B064-016AT0068 → B064-016AT0067 → B064-016AT0066 → B064-016AT0065 → B064-016AT0064 → B064-016AT0063 → B064-016AT0214 → B064-016AT0213 → B064-016AT0032 → B064-996AT0120 → M0501 → D0503-L41 → M0502 → D0504-L41 → M0503 → D0501-L41 → M0328 → D0324-L41 → M0329 → B114-996DT0081 → B114-016DT0082 → B114-016DT0083 → B114-016DT0084 → B114-016DT0096 → B114-016DT0097 → B114-016DT0098 → B161-017AC0004 → B161-007AC0004 → END</t>
  </si>
  <si>
    <t>REVERSE ROTATION SENSOR FOR BFP #A</t>
  </si>
  <si>
    <t>B164-016AT0090 → B164-016AT0091 → B164-996AT0022 → M0504 → D0531-L31 → M0510 → D0517-L22 → M0501 → D0503-L41 → M0502 → D0504-L41 → M0503 → D0501-L41 → M0328 → D0324-L41 → M0329 → B114-996DT0081 → B114-016DT0082 → B114-016DT0083 → B114-016DT0084 → B114-016DT0096 → B114-016DT0097 → B114-016DT0098 → B161-017AC0003 → B161-007AC0003 → END</t>
  </si>
  <si>
    <t>B1-M-30001B</t>
  </si>
  <si>
    <t>MOTOR FOR BOILER FEEDWATER PUMP #B</t>
  </si>
  <si>
    <t>B164-013BT0085 → B164-013BT0291 → B164-013BT0290 → B164-013BT0054 → B164-013BT0053 → B164-013BT0052 → B164-013BT0228 → B164-013BT0227 → B164-013BT0226 → B164-993BT0019 → M0501 → D0503-M15 → M0502 → D0504-M15 → M0503 → D0501-M15 → M0328 → D0324-M15 → M0329 → B114-993FT0071 → B114-013FT0072 → B114-013FT0073 → B114-013FT0074 → B114-013FT0092 → B114-013FT0093 → B114-013FT0094 → B161-013AC0001 → B161-003AC0001 → END</t>
  </si>
  <si>
    <t>MOTOR SPACE HEATER FOR BOILER FEEDWATER PUMP #B</t>
  </si>
  <si>
    <t>B064-016AT0079 → B064-016AT0078 → B064-016AT0077 → B064-016AT0076 → B064-016AT0075 → B064-016AT0074 → B064-016AT0073 → B064-016AT0215 → B064-016AT0214 → B064-016AT0213 → B064-016AT0032 → B064-996AT0120 → M0501 → D0503-L42 → M0502 → D0504-L42 → M0503 → D0501-L42 → M0328 → D0324-L42 → M0329 → B114-996DT0081 → B114-016DT0082 → B114-016DT0083 → B114-016DT0084 → B114-016DT0096 → B114-016DT0097 → B114-016DT0098 → B161-017AC0002 → B161-007AC0002 → END</t>
  </si>
  <si>
    <t>REVERSE ROTATION SENSOR FOR BFP #B</t>
  </si>
  <si>
    <t>B164-016AT0115 → B164-996AT0023 → M0504 → D0531-L32 → M0510 → D0517-L23 → M0501 → D0503-L42 → M0502 → D0504-L42 → M0503 → D0501-L42 → M0328 → D0324-L42 → M0329 → B114-996DT0081 → B114-016DT0082 → B114-016DT0083 → B114-016DT0084 → B114-016DT0096 → B114-016DT0097 → B114-016DT0098 → B161-017AC0001 → B161-007AC0001 → END</t>
  </si>
  <si>
    <t>B1-M-31001A</t>
  </si>
  <si>
    <t>B164-013BT0085 → B164-013BT0291 → B164-013BT0290 → B164-013BT0054 → B164-013BT0053 → B164-013BT0052 → B164-013BT0228 → B164-013BT0227 → B164-013BT0226 → B164-993BT0019 → M0501 → D0503-M16 → M0502 → D0504-M16 → M0503 → D0501-M16 → M0328 → D0324-M16 → M0329 → B114-993FT0071 → B114-013FT0072 → B114-013FT0073 → B114-013FT0074 → B114-013FT0075 → B114-013FT0076 → B114-013FT0077 → B114-013FT0078 → B114-013FT0079 → B161-013CC0002 → B161-003CC0002 → END</t>
  </si>
  <si>
    <t>B064-016AT0079 → B064-016AT0078 → B064-016AT0077 → B064-016AT0076 → B064-016AT0075 → B064-016AT0074 → B064-016AT0073 → B064-016AT0215 → B064-016AT0214 → B064-016AT0213 → B064-016AT0032 → B064-996AT0120 → M0501 → D0503-L41 → M0502 → D0504-L41 → M0503 → D0501-L41 → M0328 → D0324-L41 → M0329 → B114-996CT0071 → B114-016CT0072 → B114-016CT0073 → B114-016CT0074 → B114-016CT0075 → B114-016CT0076 → B114-016CT0087 → B114-016CT0088 → B114-016CT0089 → B161-017CC0004 → B161-007CC0004 → END</t>
  </si>
  <si>
    <t>B1-DB-64604</t>
  </si>
  <si>
    <t>400V-230V DIST. BOARD FOR GT/HRSG #2 FOR BLOCK #1 - B</t>
  </si>
  <si>
    <t>B164-016AT0118 → B164-016AT0117 → B164-016AT0116 → B164-996AT0023 → M0504 → D0531-L31 → M0510 → D0517-L22 → M0501 → D0503-L41 → M0502 → D0504-L41 → M0503 → D0501-L41 → M0328 → D0324-L41 → M0329 → B114-996CT0071 → B114-016CT0072 → B114-016CT0073 → B114-016CT0074 → B114-016CT0075 → B114-016CT0076 → B114-016CT0087 → B114-016CT0088 → B114-016CT0089 → B161-017CC0003 → B161-007CC0003 → END</t>
  </si>
  <si>
    <t>B1-M-31001B</t>
  </si>
  <si>
    <t>B164-013AT0059 → B164-013AT0058 → B164-013AT0275 → B164-013AT0052 → B164-013AT0228 → B164-013AT0227 → B164-013AT0226 → B164-993AT0019 → M0501 → D0503-M17 → M0502 → D0504-M17 → M0503 → D0501-M17 → M0328 → D0324-M17 → M0329 → B114-993ET0081 → B114-013ET0082 → B114-013ET0083 → B114-013ET0084 → B114-013ET0085 → B114-013ET0086 → B114-013ET0087 → B114-013ET0088 → B114-013ET0089 → B161-013CC0001 → B161-003CC0001 → END</t>
  </si>
  <si>
    <t>B064-016AT0068 → B064-016AT0067 → B064-016AT0066 → B064-016AT0065 → B064-016AT0064 → B064-016AT0063 → B064-016AT0214 → B064-016AT0213 → B064-016AT0032 → B064-996AT0120 → M0501 → D0503-L42 → M0502 → D0504-L42 → M0503 → D0501-L42 → M0328 → D0324-L42 → M0329 → B114-996CT0071 → B114-016CT0072 → B114-016CT0073 → B114-016CT0074 → B114-016CT0075 → B114-016CT0076 → B114-016CT0087 → B114-016CT0088 → B114-016CT0089 → B161-017CC0002 → B161-007CC0002 → END</t>
  </si>
  <si>
    <t>B164-016AT0094 → B164-016AT0093 → B164-016AT0092 → B164-996AT0022 → M0504 → D0531-L32 → M0510 → D0517-L23 → M0501 → D0503-L42 → M0502 → D0504-L42 → M0503 → D0501-L42 → M0328 → D0324-L42 → M0329 → B114-996CT0071 → B114-016CT0072 → B114-016CT0073 → B114-016CT0074 → B114-016CT0075 → B114-016CT0076 → B114-016CT0087 → B114-016CT0088 → B114-016CT0089 → B161-017CC0001 → B161-007CC0001 → END</t>
  </si>
  <si>
    <t>B2-M-30001A</t>
  </si>
  <si>
    <t>B264-013LT0005 → B264-013LT0215 → B264-993LT0004 → M0405 → D0421-M14 → M0406 → D0301-M14 → M0301 → B215-993CT0026 → B215-013CT0048 → B215-013CT0061 → B215-013CT0062 → B215-013CT0063 → B215-013CT0064 → B215-013CT0065 → B215-013CT0066 → B215-013CT0067 → B215-013CT0068 → B215-013CT0069 → B261-013CC0002 → B261-003CC0002 → END</t>
  </si>
  <si>
    <t>B264-016AT0011 → B264-016AT0233 → B264-016AT0015 → B264-996AT0011 → M0405 → D0421-L32 → M0406 → D0301-L36 → M0301 → B215-996AT0026 → B215-016AT0048 → B215-016AT0049 → B215-016AT0050 → B215-016AT0051 → B215-016AT0064 → B215-016AT0065 → B215-016AT0066 → B215-016AT0055 → B215-016AT0056 → B215-016AT0057 → B261-017CC0004 → B261-007CC0004 → END</t>
  </si>
  <si>
    <t>B264-016CT0024 → B264-016CT0025 → B264-016CT0026 → B264-016CT0027 → B264-016CT0221 → B264-996CT0009 → M0405 → D0421-L32 → M0406 → D0301-L36 → M0301 → B215-996AT0026 → B215-016AT0048 → B215-016AT0049 → B215-016AT0050 → B215-016AT0051 → B215-016AT0064 → B215-016AT0065 → B215-016AT0066 → B215-016AT0055 → B215-016AT0056 → B215-016AT0057 → B261-017CC0003 → B261-007CC0003 → END</t>
  </si>
  <si>
    <t>B2-M-30001B</t>
  </si>
  <si>
    <t>B264-016AT0045 → B264-016AT0046 → B264-016AT0209 → B264-016AT0026 → B264-016AT0027 → B264-016AT0225 → B264-996AT0011 → M0405 → D0421-L32 → M0406 → D0301-L36 → M0301 → B215-996AT0026 → B215-016AT0048 → B215-016AT0049 → B215-016AT0050 → B215-016AT0051 → B215-016AT0064 → B215-016AT0065 → B215-016AT0066 → B215-016AT0055 → B215-016AT0056 → B215-016AT0057 → B261-017CC0001 → B261-007CC0001 → END</t>
  </si>
  <si>
    <t>B2-M-31001A</t>
  </si>
  <si>
    <t>B264-013PT0020 → B264-013PT0219 → B264-993PT0007 → M0405 → D0421-M16 → M0406 → D0301-M12 → M0301 → B215-993DT0001 → B215-013DT0002 → B215-013DT0003 → B215-013DT0004 → B261-013AC0002 → B261-003AC0002 → END</t>
  </si>
  <si>
    <t>B264-016BT0015 → B264-996CT0009 → M0405 → D0421-L32 → M0406 → D0301-L36 → M0301 → B215-996AT0026 → B215-016AT0048 → B215-016AT0049 → B261-017AC0004 → B261-007AC0004 → END</t>
  </si>
  <si>
    <t>B2-DB-64604</t>
  </si>
  <si>
    <t>400V-230V DIST. BOARD FOR GT/HRSG #2 FOR BLOCK #2 - B</t>
  </si>
  <si>
    <t>B264-016CT0047 → B264-016CT0209 → B264-016CT0026 → B264-016CT0027 → B264-016CT0221 → B264-996CT0009 → M0405 → D0421-L32 → M0406 → D0301-L36 → M0301 → B215-996AT0026 → B215-016AT0048 → B215-016AT0049 → B261-017AC0003 → B261-007AC0003 → END</t>
  </si>
  <si>
    <t>B2-M-31001B</t>
  </si>
  <si>
    <t>B264-016BT0015 → B264-996CT0009 → M0405 → D0421-L32 → M0406 → D0301-L36 → M0301 → B215-996AT0026 → B215-016AT0048 → B215-016AT0049 → B261-017AC0002 → B261-007AC0002 → END</t>
  </si>
  <si>
    <t>B264-016CT0047 → B264-016CT0209 → B264-016CT0026 → B264-016CT0027 → B264-016CT0221 → B264-996CT0009 → M0405 → D0421-L32 → M0406 → D0301-L36 → M0301 → B215-996AT0026 → B215-016AT0048 → B215-016AT0049 → B261-017AC0001 → B261-007AC0001 → END</t>
  </si>
  <si>
    <t>BSEDG</t>
  </si>
  <si>
    <t>B0-SWG-64301</t>
  </si>
  <si>
    <t>10KV SWITCHGEAR FOR COMMON - A</t>
  </si>
  <si>
    <t>B0-CB-43301A</t>
  </si>
  <si>
    <t>BSEDG GENERATOR VCB PANEL - A</t>
  </si>
  <si>
    <t>9_BLACK START DIESEL GENERATOR (CONTAINER TYPE)</t>
  </si>
  <si>
    <t>B064-013CT0040 → B064-013CT0041 → B064-013CT0042 → B064-013CT0043 → B064-013CT0044 → B064-013CT0246 → B064-013CT0297 → B064-013CT0298 → B064-013CT0299 → B064-013CT0112 → B064-993CT0026 → M0509 → D0507-M17 → M0524 → D0509-M14 → M0511 → D0518-M13 → B043-021MVT0001 → END</t>
  </si>
  <si>
    <t>B0-CB-43301B</t>
  </si>
  <si>
    <t>BSEDG GENERATOR VCB PANEL - B</t>
  </si>
  <si>
    <t>B064-013CT0040 → B064-013CT0041 → B064-013CT0042 → B064-013CT0043 → B064-013CT0044 → B064-013CT0246 → B064-013CT0297 → B064-013CT0298 → B064-013CT0299 → B064-013CT0112 → B064-993CT0026 → M0509 → D0507-M16 → M0524 → D0509-M13 → M0511 → D0510-M13 → M0512 → D0519-M13 → B043-021MVT0002 → END</t>
  </si>
  <si>
    <t>B0-SWG-64302</t>
  </si>
  <si>
    <t>10KV SWITCHGEAR FOR COMMON - B</t>
  </si>
  <si>
    <t>B0-CB-43301C</t>
  </si>
  <si>
    <t>BSEDG GENERATOR VCB PANEL - C</t>
  </si>
  <si>
    <t>B064-013CT0042 → B064-013CT0043 → B064-013CT0044 → B064-013CT0246 → B064-013CT0297 → B064-013CT0298 → B064-013CT0299 → B064-013CT0112 → B064-993CT0026 → M0509 → D0507-M15 → M0524 → D0509-M12 → M0511 → D0510-M12 → M0512 → D0511-M12 → M0513 → D0520-M13 → B043-021MVT0003 → END</t>
  </si>
  <si>
    <t>B0-CB-43301D</t>
  </si>
  <si>
    <t>BSEDG GENERATOR VCB PANEL - D</t>
  </si>
  <si>
    <t>B064-013CT0042 → B064-013CT0043 → B064-013CT0044 → B064-013CT0246 → B064-013CT0297 → B064-013CT0298 → B064-013CT0299 → B064-013CT0112 → B064-993CT0026 → M0509 → D0507-M14 → M0524 → D0509-M11 → M0511 → D0510-M11 → M0512 → D0511-M11 → M0513 → D0512-M11 → M0514 → D0521-M13 → B043-021MVT0004 → END</t>
  </si>
  <si>
    <t>B0-EMCC-64601</t>
  </si>
  <si>
    <t>400V EMERGENCY MCC FOR COMMON - A</t>
  </si>
  <si>
    <t>B0-PP-43301A</t>
  </si>
  <si>
    <t>DISTRIBUTION PANEL FOR BSEDG - A</t>
  </si>
  <si>
    <t>B064-016BT0015 → B064-016BT0016 → B064-016BT0309 → B064-016BT0038 → B064-016BT0249 → B064-016BT0250 → B064-016BT0061 → B064-016BT0062 → B064-016BT0305 → B064-016BT0306 → B064-016BT0307 → B064-016BT0105 → B064-996BT0027 → M0509 → D0507-L27 → M0524 → D0509-L23 → M0511 → D0518-L11 → B043-016LVT0001 → END</t>
  </si>
  <si>
    <t>B0-PP-43301B</t>
  </si>
  <si>
    <t>DISTRIBUTION PANEL FOR BSEDG - B</t>
  </si>
  <si>
    <t>B064-016BT0015 → B064-016BT0016 → B064-016BT0309 → B064-016BT0038 → B064-016BT0249 → B064-016BT0250 → B064-016BT0061 → B064-016BT0062 → B064-016BT0305 → B064-016BT0306 → B064-016BT0307 → B064-016BT0105 → B064-996BT0027 → M0509 → D0507-L35 → M0524 → D0509-L21 → M0511 → D0510-L21 → M0512 → D0519-L11 → B043-016LVT0002 → END</t>
  </si>
  <si>
    <t>B0-EMCC-64602</t>
  </si>
  <si>
    <t>400V EMERGENCY MCC FOR COMMON - B</t>
  </si>
  <si>
    <t>B0-PP-43301C</t>
  </si>
  <si>
    <t>DISTRIBUTION PANEL FOR BSEDG - C</t>
  </si>
  <si>
    <t>B064-016BT0037 → B064-016BT0038 → B064-016BT0249 → B064-016BT0250 → B064-016BT0061 → B064-016BT0062 → B064-016BT0305 → B064-016BT0306 → B064-016BT0307 → B064-016BT0105 → B064-996BT0027 → M0509 → D0507-L36 → M0524 → D0509-L22 → M0511 → D0510-L22 → M0512 → D0511-L22 → M0513 → D0520-L11 → B043-016LVT0003 → END</t>
  </si>
  <si>
    <t>B0-PP-43301D</t>
  </si>
  <si>
    <t>DISTRIBUTION PANEL FOR BSEDG - D</t>
  </si>
  <si>
    <t>B064-016BT0037 → B064-016BT0038 → B064-016BT0249 → B064-016BT0250 → B064-016BT0061 → B064-016BT0062 → B064-016BT0305 → B064-016BT0306 → B064-016BT0307 → B064-016BT0105 → B064-996BT0027 → M0509 → D0507-L37 → M0524 → D0509-L23 → M0511 → D0510-L23 → M0512 → D0511-L23 → M0513 → D0512-L13 → M0514 → D0521-L11 → B043-016LVT0004 → END</t>
  </si>
  <si>
    <t>B0-PMS-43301</t>
  </si>
  <si>
    <t>UPS-A FOR BSEDG MASTER PLC PANEL</t>
  </si>
  <si>
    <t>B064-006FT0205 → B064-006FT0003 → B064-006AC0006 → M0501 → B064-996BT0020 → B064-016BT0033 → B064-016BT0034 → B064-016BT0035 → B064-016BT0036 → B064-016BT0037 → B064-016BT0038 → B064-016BT0249 → B064-016BT0250 → B064-016BT0061 → B064-016BT0062 → B064-016BT0305 → B064-016BT0306 → B064-016BT0307 → B064-016BT0105 → B064-996BT0027 → M0509 → D0507-L27 → M0524 → D0509-L23 → M0511 → D0510-L23 → M0512 → D0511-L23 → M0513 → D0512-L13 → M0514 → D0513-L11 → M0515 → D0522-L13 → B043-011LVT0005 → END</t>
  </si>
  <si>
    <t>UPS-B FOR BSEDG MASTER PLC PANEL</t>
  </si>
  <si>
    <t>B164-006HT0206 → B164-006HT0205 → B164-006HT0004 → B164-006HT0005 → B064-006AC0006 → M0501 → B064-996AT0120 → B064-016AT0032 → B064-016AT0213 → B064-016AT0214 → B064-016AT0215 → B064-016AT0073 → B064-016AT0074 → B064-016AT0075 → B064-016AT0076 → B064-016AT0077 → B064-016AT0078 → B064-016AT0079 → B064-016AT0080 → B064-016AT0081 → B064-016AT0082 → B064-016AT0307 → B064-016AT0308 → B064-016AT0113 → B064-996AT0025 → M0509 → D0507-L35 → M0524 → D0509-L21 → M0511 → D0510-L21 → M0512 → D0511-L21 → M0513 → D0512-L21 → M0514 → D0513-L11 → M0515 → D0522-L13 → B043-011LVT0005 → END</t>
  </si>
  <si>
    <t>B0-DCP-64701</t>
  </si>
  <si>
    <t>220V DC MAIN DISTRIBUTION PANEL FOR COMMON - A</t>
  </si>
  <si>
    <t>DC-A FOR BSEDG MASTER PLC PANEL</t>
  </si>
  <si>
    <t>B164-006GT0207 → B164-006GT0005 → B064-006AC0005 → M0501 → B064-996BT0020 → B064-016BT0033 → B064-016BT0034 → B064-016BT0035 → B064-016BT0036 → B064-016BT0037 → B064-016BT0038 → B064-016BT0249 → B064-016BT0250 → B064-016BT0061 → B064-016BT0062 → B064-016BT0305 → B064-016BT0306 → B064-016BT0307 → B064-016BT0105 → B064-996BT0027 → M0509 → D0507-L36 → M0524 → D0509-L22 → M0511 → D0510-L22 → M0512 → D0511-L22 → M0513 → D0512-L21 → M0514 → D0513-L11 → M0515 → D0522-L13 → B043-011LVT0005 → END</t>
  </si>
  <si>
    <t>B0-DCP-64702</t>
  </si>
  <si>
    <t>220V DC MAIN DISTRIBUTION PANEL FOR COMMON - B</t>
  </si>
  <si>
    <t>DC-B FOR BSEDG MASTER PLC PANEL</t>
  </si>
  <si>
    <t>B164-006HT0210 → B164-006HT0209 → B164-006HT0006 → B064-006AC0005 → M0501 → B064-996AT0120 → B064-016AT0032 → B064-016AT0213 → B064-016AT0214 → B064-016AT0215 → B064-016AT0073 → B064-016AT0074 → B064-016AT0075 → B064-016AT0076 → B064-016AT0077 → B064-016AT0078 → B064-016AT0079 → B064-016AT0080 → B064-016AT0081 → B064-016AT0082 → B064-016AT0307 → B064-016AT0308 → B064-016AT0113 → B064-996AT0025 → M0509 → D0507-L37 → M0524 → D0509-L23 → M0511 → D0510-L23 → M0512 → D0511-L23 → M0513 → D0512-L13 → M0514 → D0513-L11 → M0515 → D0522-L13 →  B043-011LVT0005 → END</t>
  </si>
  <si>
    <t>B0-PP-43302</t>
  </si>
  <si>
    <t>DISTRIBUTION PANEL FOR MASTER PLC</t>
  </si>
  <si>
    <t>B064-016BT0015 → B064-016BT0016 → B064-016BT0309 → B064-016BT0038 → B064-016BT0249 → B064-016BT0250 → B064-016BT0061 → B064-016BT0062 → B064-016BT0305 → B064-016BT0306 → B064-016BT0307 → B064-016BT0105 → B064-996BT0027 → M0509 → D0507-L37 → M0524 → D0509-L23 → M0511 → D0510-L23 → M0512 → D0511-L23 → M0513 → D0512-L13 → M0514 → D0513-L11 → M0515 → D0522-L13 → B043-016LVT0005 → END</t>
  </si>
  <si>
    <t>B1-SWG-64602</t>
  </si>
  <si>
    <t>400V SWITCHGEAR FOR GT/HRSG #1 FOR BLOCK #1 - B</t>
  </si>
  <si>
    <t>B1-M-32001A</t>
  </si>
  <si>
    <t>CLOSED COOLING WATER PUMP #1-1</t>
  </si>
  <si>
    <t>8.1_CCW PUMP/HEAT EXCHANGER BUILDING</t>
  </si>
  <si>
    <t>B164-016AT0115 → B164-016AT0114 → B164-016AT0217 → B164-016AT0090 → B164-016AT0216 → B164-016AT0215 → B164-016AT0055 → B164-016AT0056 → B164-016AT0057 → B164-016AT0058 → B164-016AT0059 → B164-016AT0060 → B164-016AT0254 → B164-016AT0253 → B164-996AT0021 → M0505 → D0524-L11 → M0506 → D0505-L11 → M0507 → D0506-L11 → M0508 → B132-006AC0059 → END</t>
  </si>
  <si>
    <t>CLOSED COOLING WATER PUMP #1-1_SPACE HEATER</t>
  </si>
  <si>
    <t>B164-016AT0115 → B164-016AT0114 → B164-016AT0217 → B164-016AT0090 → B164-016AT0216 → B164-016AT0215 → B164-016AT0055 → B164-016AT0056 → B164-016AT0057 → B164-016AT0058 → B164-016AT0059 → B164-016AT0060 → B164-016AT0254 → B164-016AT0253 → B164-996AT0021 → M0505 → D0524-L11 → M0506 → D0505-L11 → M0507 → D0506-L11 → M0508 → B132-007AC0053 → END</t>
  </si>
  <si>
    <t>B1-M-32001B</t>
  </si>
  <si>
    <t>CLOSED COOLING WATER PUMP #1-2</t>
  </si>
  <si>
    <t>B164-016AT0090 → B164-016AT0216 → B164-016AT0215 → B164-016AT0055 → B164-016AT0056 → B164-016AT0057 → B164-016AT0058 → B164-016AT0059 → B164-016AT0060 → B164-016AT0254 → B164-016AT0253 → B164-016AT0252 → B164-996AT0021 → M0505 → D0524-L12 → M0506 → D0505-L12 → M0507 → D0506-L12 → M0508 → B132-006AC0056 → END</t>
  </si>
  <si>
    <t>B164-016AT0090 → B164-016AT0216 → B164-016AT0215 → B164-016AT0055 → B164-016AT0056 → B164-016AT0057 → B164-016AT0058 → B164-016AT0059 → B164-016AT0060 → B164-016AT0254 → B164-016AT0253 → M0505 → D0524-L12 → M0506 → D0505-L12 → M0507 → D0506-L12 → M0508 → B132-006AC0057 → END</t>
  </si>
  <si>
    <t>CLOSED COOLING WATER PUMP #1-2_SPACE HEATER</t>
  </si>
  <si>
    <t>B164-016AT0090 → B164-016AT0216 → B164-016AT0215 → B164-016AT0055 → B164-016AT0056 → B164-016AT0057 → B164-016AT0058 → B164-016AT0059 → B164-016AT0060 → B164-016AT0254 → B164-016AT0253 → B164-016AT0252 → B164-996AT0021 → M0505 → D0524-L12 → M0506 → D0505-L12 → M0507 → D0506-L12 → M0508 → B132-007AC0052 → END</t>
  </si>
  <si>
    <t>B1-M-32001C</t>
  </si>
  <si>
    <t>CLOSED COOLING WATER PUMP #1-3</t>
  </si>
  <si>
    <t>B064-016AT0106 → B064-016AT0217 → B064-016AT0090 → B064-016AT0091 → B064-016AT0092 → B064-016AT0093 → B064-016AT0278 → B064-016AT0077 → B064-016AT0078 → B064-016AT0079 → B064-016AT0080 → B064-016AT0081 → B064-016AT0082 → B064-016AT0306 → B064-016AT0072 → B064-016AT0312 → B064-016AT0051 → B064-016AT0245 → B064-016AT0309 → B064-016AT0017 → B064-016AT0251 → B064-996AT0021 → M0505 → D0524-L13 → M0506 → D0505-L13 → M0507 → D0506-L13 → M0508 → B132-006AC0053 → END</t>
  </si>
  <si>
    <t>B064-016AT0106 → B064-016AT0217 → B064-016AT0090 → B064-016AT0091 → B064-016AT0092 → B064-016AT0093 → B064-016AT0278 → B064-016AT0077 → B064-016AT0078 → B064-016AT0079 → B064-016AT0080 → B064-016AT0081 → B064-016AT0082 → B064-016AT0306 → B064-016AT0072 → B064-016AT0312 → B064-016AT0051 → B064-016AT0245 → B064-016AT0309 → B064-016AT0017 → B064-016AT0251 → B064-996AT0021 → M0505 → D0524-L13 → M0506 → D0505-L13 → M0507 → D0506-L13 → M0508 → B132-006AC0054 → END</t>
  </si>
  <si>
    <t>CLOSED COOLING WATER PUMP #1-3_SPACE HEATER</t>
  </si>
  <si>
    <t>B164-016AT0115 → B164-016AT0114 → B164-016AT0217 → B164-016AT0090 → B164-016AT0216 → B164-016AT0215 → B164-016AT0055 → B164-016AT0056 → B164-016AT0057 → B164-016AT0058 → B164-016AT0059 → B164-016AT0060 → B164-016AT0254 → B164-016AT0253 → B164-996AT0021 → M0505 → D0524-L13 → M0506 → D0505-L13 → M0507 → D0506-L13 → M0508 → B132-007AC0051 → END</t>
  </si>
  <si>
    <t>B1-MOV-32001</t>
  </si>
  <si>
    <t>MOV CCWP DISCHARGE #1-1</t>
  </si>
  <si>
    <t>B164-016AT0115 → B164-016AT0114 → B164-016AT0217 → B164-016AT0090 → B164-016AT0216 → B164-016AT0215 → B164-016AT0055 → B164-016AT0056 → B164-016AT0057 → B164-016AT0058 → B164-016AT0059 → B164-016AT0060 → B164-016AT0254 → B164-016AT0253 → B164-016AT0252 → B164-996AT0021 → M0505 → D0524-L11 → M0506 → D0505-L11 → M0507 → D0506-L11 → M0508 → B132-006AC0058 → END</t>
  </si>
  <si>
    <t>B1-MOV-32002</t>
  </si>
  <si>
    <t>MOV CCWP DISCHARGE #1-2</t>
  </si>
  <si>
    <t>B164-016AT0090 → B164-016AT0216 → B164-016AT0215 → B164-016AT0055 → B164-016AT0056 → B164-016AT0057 → B164-016AT0058 → B164-016AT0059 → B164-016AT0060 → B164-016AT0254 → B164-016AT0253 → B164-016AT0252 → B164-996AT0021 → M0505 → D0524-L12 → M0506 → D0505-L12 → M0507 → D0506-L12 → M0508 → B132-006AC0055 → END</t>
  </si>
  <si>
    <t>B1-MOV-32003</t>
  </si>
  <si>
    <t>MOV CCWP DISCHARGE #1-3</t>
  </si>
  <si>
    <t>B164-016AT0115 → B164-016AT0114 → B164-016AT0217 → B164-016AT0090 → B164-016AT0216 → B164-016AT0215 → B164-016AT0055 → B164-016AT0056 → B164-016AT0057 → B164-016AT0058 → B164-016AT0059 → B164-016AT0060 → B164-016AT0254 → B164-016AT0253 → B164-016AT0252 → B164-996AT0021 → M0505 → D0524-L13 → M0506 → D0505-L13 → M0507 → D0506-L13 → M0508 → B132-006AC0052 → END</t>
  </si>
  <si>
    <t>B1-MOV-32005</t>
  </si>
  <si>
    <t>MOV CCW HEAD TANK MAKE UP #1</t>
  </si>
  <si>
    <t>B164-016ET0106 → B164-996ET0022 → M0504 → D0531-L32 → M0510 → D0517-L23 → M0501 → D0503-L42 → M0502 → D0504-L42 → M0503 → D0501-L42 → M0328 → D0324-L42 → M0329 → B114-996BT0046 → B114-016BT0045 → B114-016BT0044 → B161-016AC0017 → END</t>
  </si>
  <si>
    <t>B1-MOV-32004</t>
  </si>
  <si>
    <t>CCW H/E BYPASS #1</t>
  </si>
  <si>
    <t xml:space="preserve">7.1_FIN FAN COOLER FOR CLOSED COOLING WATER(CCW) CLOSED TYPE </t>
  </si>
  <si>
    <t>B164-016AT0091 → B164-996AT0022 → M0504 → D0531-L37 → M0510 → D0517-L25 → M0501 → D0503-L47 → M0502 → D0504-L47 → M0503 → B132-006AC0005 → B182-017AT0001 → B182-037AT0002 → B182-037AT0003 → B182-037AT0004 → B182-037AT0005 → B132-006AC0001 → END</t>
  </si>
  <si>
    <t>B2-SWG-64602</t>
  </si>
  <si>
    <t>400V SWITCHGEAR FOR GT/HRSG #1 FOR BLOCK #2 - B</t>
  </si>
  <si>
    <t>B2-M-32001A</t>
  </si>
  <si>
    <t>CLOSED COOLING WATER PUMP #2-1</t>
  </si>
  <si>
    <t>8.2_CCW PUMP/HEAT EXCHANGER BUILDING</t>
  </si>
  <si>
    <t>B264-016BT0046 → B264-016BT0209 → B264-016BT0025 → B264-016BT0206 → B264-996BT0001 → M0401 → D0403-L11 → M0402 → D0402-L11 → M0424 → D0401-L11 → M0404 → B232-006AC0059 → END</t>
  </si>
  <si>
    <t>B264-016BT0046 → B264-016BT0209 → B264-016BT0025 → B264-016BT0206 → B264-996BT0001 → M0401 → D0403-L11 → M0402 → D0402-L11 → M0424 → D0401-L11 → M0404 → B232-006AC0060 → END</t>
  </si>
  <si>
    <t>CLOSED COOLING WATER PUMP #2-1_SPACE HEATER</t>
  </si>
  <si>
    <t>B264-016BT0046 → B264-016BT0209 → B264-016BT0025 → B264-016BT0206 → B264-996BT0001 → M0401 → D0403-L11 → M0402 → D0402-L11 → M0424 → D0401-L11 → M0404 → B232-007AC0053 → END</t>
  </si>
  <si>
    <t>B2-M-32001B</t>
  </si>
  <si>
    <t>CLOSED COOLING WATER PUMP #2-2</t>
  </si>
  <si>
    <t>B264-016AT0025 → B264-016AT0206 → B264-996AT0001 → M0401 → D0403-L12 → M0402 → D0402-L12 → M0424 → D0401-L12 → M0404 → B232-006AC0057 → END</t>
  </si>
  <si>
    <t>CLOSED COOLING WATER PUMP #2-2_SPACE HEATER</t>
  </si>
  <si>
    <t>B264-016AT0025 → B264-016AT0206 → B264-996AT0001 → M0401 → D0403-L12 → M0402 → D0402-L12 → M0424 → D0401-L12 → M0404 → B232-007AC0052 → END</t>
  </si>
  <si>
    <t>B2-M-32001C</t>
  </si>
  <si>
    <t>CLOSED COOLING WATER PUMP #2-3</t>
  </si>
  <si>
    <t>B264-016BT0046 → B264-016BT0209 → B264-016BT0025 → B264-016BT0206 → B264-996BT0001 → M0401 → D0403-L13 → M0402 → D0402-L13 → M0424 → D0401-L13 → M0404 → B232-006AC0054 → END</t>
  </si>
  <si>
    <t>CLOSED COOLING WATER PUMP #2-3_SPACE HEATER</t>
  </si>
  <si>
    <t>B264-016BT0046 → B264-016BT0209 → B264-016BT0025 → B264-016BT0206 → B264-996BT0001 → M0401 → D0403-L13 → M0402 → D0402-L13 → M0424 → D0401-L13 → M0404 → B232-007AC0051 → END</t>
  </si>
  <si>
    <t>B2-MOV-32001</t>
  </si>
  <si>
    <t>MOV CCWP DISCHARGE #2-1</t>
  </si>
  <si>
    <t>B264-016BT0045 → B264-016BT0205 → B264-016BT0024 → B264-016BT0206 → B264-996BT0001 → M0401 → D0403-L11 → M0402 → D0402-L11 → M0424 → D0401-L11 → M0404 → B232-006AC0058 → END</t>
  </si>
  <si>
    <t>B2-MOV-32002</t>
  </si>
  <si>
    <t>MOV CCWP DISCHARGE #2-2</t>
  </si>
  <si>
    <t>B264-016AT0025 → B264-016AT0206 → B264-996AT0001 → M0401 → D0403-L12 → M0402 → D0402-L12 → M0424 → D0401-L12 → M0404 → B232-006AC0055 → END</t>
  </si>
  <si>
    <t>B2-MOV-32003</t>
  </si>
  <si>
    <t>MOV CCWP DISCHARGE #2-3</t>
  </si>
  <si>
    <t>B264-016BT0045 → B264-016BT0205 → B264-016BT0024 → B264-016BT0206 → B264-996BT0001 → M0401 → D0403-L13 → M0402 → D0402-L13 → M0424 → D0401-L13 → M0404 → B232-006AC0052 → END</t>
  </si>
  <si>
    <t>B2-MOV-32005</t>
  </si>
  <si>
    <t>MOV CCW HEAD TANK MAKE UP #2</t>
  </si>
  <si>
    <t>B264-016AT0045 → B264-016AT0046 → B264-016AT0209 → B264-016AT0026 → B264-016AT0027 → B264-016AT0225 → B264-996AT0011 → M0405 → D0421-L33 → M0406 → D0301-L35 → M0301 → B215-996BT0001 → B215-016BT0002 → B215-016BT0003 → B215-016BT0004 → B215-016BT0005 → B215-016BT0031 → B215-016BT0032 → B261-016AC0009 → END</t>
  </si>
  <si>
    <t>B2-MOV-32004</t>
  </si>
  <si>
    <t>CCW H/E BYPASS #2</t>
  </si>
  <si>
    <t xml:space="preserve">7.2_FIN FAN COOLER FOR CLOSED COOLING WATER(CCW) CLOSED TYPE </t>
  </si>
  <si>
    <t>B264-016AT0025 → B264-016AT0206 → B264-996AT0001 → M0401 → D0403-L14 → M0402 → D0402-L14 → M0424 → D0422-L12 → M0403 → B232-006AC0005 → B282-017AT0001 → B282-037AT0002 → B282-037AT0003 → B282-037AT0004 → B282-037AT0005 → B232-006AC0001 → END</t>
  </si>
  <si>
    <t>DEMINERALIZED WATER STORAGE AND TRANSFER SYSTEM</t>
  </si>
  <si>
    <t>B0-MOV-35001</t>
  </si>
  <si>
    <t>DEMI PLANT TO DEMI WATER TANK A INLET MOV</t>
  </si>
  <si>
    <t>15.4_DEMI WATER STORAGE TANK</t>
  </si>
  <si>
    <t>B049-006AT0004 → B049-006AT0003 → B049-006AT0002 → D0204-L18 → M0207 → D0203-L23 → M0206 → D0205-L24 → M0205 → B025-996ET0004 → B025-016ET0022 → B025-016ET0021 → B025-016ET0030 → B025-016ET0031 → B079-016AC0001 → B079-006AC0014 → B079-006AC0015 → B079-006AC0017 → END</t>
  </si>
  <si>
    <t>B0-MOV-35002</t>
  </si>
  <si>
    <t>DEMI PLANT TO DEMI WATER TANK B INLET MOV</t>
  </si>
  <si>
    <t>15.5_DEMI WATER STORAGE TANK</t>
  </si>
  <si>
    <t>B049-006BT0008 → B169-006AT0016 → B169-006AT0053 → B169-006AT0008 → B049-006BT0001 → D0204-L18 → M0207 → D0203-L23 → M0206 → D0205-L24 → M0205 → B025-996ET0004 → B025-016ET0022 → B025-016ET0021 → B025-016ET0030 → B025-016ET0031 → B079-016AC0001 → B079-006AC0014 → B079-006AC0015 → B079-006AC0016 → END</t>
  </si>
  <si>
    <t>B1-MOV-29001</t>
  </si>
  <si>
    <t>#1 CONDENSATE EXTRACTION PUMP A DISCHARGE MOV</t>
  </si>
  <si>
    <t>B169-006AT0016 → B169-006AT0053 → B169-006AT0008 → B016-006AC0010 → END</t>
  </si>
  <si>
    <t>B1-MOV-29002</t>
  </si>
  <si>
    <t>#1 CONDENSATE EXTRACTION PUMP B DISCHARGE MOV</t>
  </si>
  <si>
    <t>B169-006AT0009 → B016-006AC0009 → END</t>
  </si>
  <si>
    <t>B1-MOV-29003</t>
  </si>
  <si>
    <t>#1 CONDENSATE EXTRACTION PUMP C DISCHARGE MOV</t>
  </si>
  <si>
    <t>B169-006AT0016 → B169-006AT0053 → B169-006AT0009 → B016-006AC0008 → END</t>
  </si>
  <si>
    <t>B2-MOV-29001</t>
  </si>
  <si>
    <t>#2 CONDENSATE EXTRACTION PUMP A DISCHARGE MOV</t>
  </si>
  <si>
    <t>B169-006AT0020 → B169-006AT0019 → B169-006AT0018 → B169-006AT0017 → B169-006AT0016 → B169-006AT0015 → B016-006BC0010 → END</t>
  </si>
  <si>
    <t>B2-MOV-29002</t>
  </si>
  <si>
    <t>#2 CONDENSATE EXTRACTION PUMP B DISCHARGE MOV</t>
  </si>
  <si>
    <t>B169-006AT0013 → B169-006AT0033 → B169-006AT0020 → B016-006BC0009 → END</t>
  </si>
  <si>
    <t>B2-MOV-29003</t>
  </si>
  <si>
    <t>#2 CONDENSATE EXTRACTION PUMP C DISCHARGE MOV</t>
  </si>
  <si>
    <t>B169-006AT0020 → B169-006AT0019 → B169-006AT0018 → B169-006AT0017 → B016-006BC0008 → END</t>
  </si>
  <si>
    <t>STEAM</t>
  </si>
  <si>
    <t>B1-MOV-26001</t>
  </si>
  <si>
    <t>HRSG #11 HP STEAM WARM-UP LINE DRAIN MOV (BEFORE CHECK V/V)</t>
  </si>
  <si>
    <t>1.1_MAIN BUILDING COMPLEX(HRSG#11)</t>
  </si>
  <si>
    <t>B164-016AT0091 → B164-996AT0022 → M0504 → D0531-L35 → M0510 → D0517-L26 → M0501 → D0503-L45 → M0502 → D0504-L45 → M0503 → D0501-L45 → M0328 → D0324-L45 → M0329 → B114-996BT0046 → B114-016BT0045 → B114-016BT0044 → B114-016BT0043 → B114-016BT0042 → B161-016CC0035 → END</t>
  </si>
  <si>
    <t>B1-MOV-26003</t>
  </si>
  <si>
    <t>HRSG #11 HP STEAM WARM-UP LINE DRAIN MOV (AFTER CHECK V/V)</t>
  </si>
  <si>
    <t>B164-016AT0091 → B164-996AT0022 → M0504 → D0531-L34 → M0510 → D0517-L25 → M0501 → D0503-L44 → M0502 → D0504-L44 → M0503 → D0501-L44 → M0328 → D0324-L44 → M0329 → B114-996DT0081 → B114-016DT0082 → B114-016DT0083 → B114-016DT0084 → B114-016DT0096 → B114-016DT0097 → B161-016AC0007 → END</t>
  </si>
  <si>
    <t>B1-MOV-27001</t>
  </si>
  <si>
    <t>HRSG #11 LP STEAM WARM-UP LINE DRAIN MOV (BEFORE CHECK V/V)</t>
  </si>
  <si>
    <t>B164-016AT0091 → B164-996AT0022 → M0504 → D0531-L35 → M0510 → D0517-L26 → M0501 → D0503-L45 → M0502 → D0504-L45 → M0503 → D0501-L45 → M0328 → D0324-L45 → M0329 → B114-996DT0081 → B114-016DT0082 → B114-016DT0083 → B114-016DT0084 → B114-016DT0096 → B114-016DT0097 → B161-016AC0008 → END</t>
  </si>
  <si>
    <t>B1-MOV-27003</t>
  </si>
  <si>
    <t>HRSG #11 LP STEAM WARM-UP LINE DRAIN MOV (AFTER CHECK V/V)</t>
  </si>
  <si>
    <t>B164-016AT0091 → B164-996AT0022 → M0504 → D0531-L34 → M0510 → D0517-L25 → M0501 → D0503-L44 → M0502 → D0504-L44 → M0503 → D0501-L44 → M0328 → D0324-L44 → M0329 → B114-996DT0081 → B114-016DT0082 → B114-016DT0083 → B114-016DT0084 → B114-016DT0096 → B114-016DT0097 → B161-016AC0009 → END</t>
  </si>
  <si>
    <t>1.1_MAIN BUILDING COMPLEX(HRSG#12)</t>
  </si>
  <si>
    <t>B1-MOV-26004</t>
  </si>
  <si>
    <t>HRSG #12 HP STEAM WARM-UP LINE DRAIN MOV (AFTER CHECK V/V)</t>
  </si>
  <si>
    <t>B164-016AT0094 → B164-016AT0093 → B164-016AT0092 → B164-996AT0022 → M0504 → D0531-L34 → M0510 → D0517-L25 → M0501 → D0503-L44 → M0502 → D0504-L44 → M0503 → D0501-L44 → M0328 → D0324-L44 → M0329 → B114-996CT0071 → B114-016CT0072 → B114-016CT0073 → B114-016CT0074 → B114-016CT0075 → B114-016CT0076 → B114-016CT0087 → B161-016CC0028 → END</t>
  </si>
  <si>
    <t>B1-MOV-27002</t>
  </si>
  <si>
    <t>HRSG #12 LP STEAM WARM-UP LINE DRAIN MOV (BEFORE CHECK V/V)</t>
  </si>
  <si>
    <t>B164-016AT0094 → B164-016AT0093 → B164-016AT0092 → B164-996AT0022 → M0504 → D0531-L35 → M0510 → D0517-L26 → M0501 → D0503-L45 → M0502 → D0504-L45 → M0503 → D0501-L45 → M0328 → D0324-L44 → M0329 → B114-996CT0071 → B114-016CT0072 → B114-016CT0073 → B114-016CT0074 → B114-016CT0075 → B114-016CT0076 → B114-016CT0087 → B161-016CC0029 → END</t>
  </si>
  <si>
    <t>B1-MOV-27004</t>
  </si>
  <si>
    <t>HRSG #12 LP STEAM WARM-UP LINE DRAIN MOV (AFTER CHECK V/V)</t>
  </si>
  <si>
    <t>B164-016AT0094 → B164-016AT0093 → B164-016AT0092 → B164-996AT0022 → M0504 → D0531-L34 → M0510 → D0517-L25 → M0501 → D0503-L44 → M0502 → D0504-L44 → M0503 → D0501-L44 → M0328 → D0324-L44 → M0329 → B114-996CT0071 → B114-016CT0072 → B114-016CT0073 → B114-016CT0074 → B114-016CT0075 → B114-016CT0076 → B114-016CT0087 → B161-016CC0027 → END</t>
  </si>
  <si>
    <t>1.1_MAIN BUILDING COMPLEX(HRSG#21)</t>
  </si>
  <si>
    <t>B2-MOV-26003</t>
  </si>
  <si>
    <t>HRSG #21 HP STEAM WARM-UP LINE DRAIN MOV (AFTER CHECK V/V)</t>
  </si>
  <si>
    <t>B264-016CT0024 → B264-016CT0025 → B264-016CT0026 → B264-016CT0027 → B264-016CT0221 → B264-996CT0009 → M0405 → D0421-L26 → M0406 → D0301-L22 → M0301 → B215-996AT0026 → B215-016AT0048 → B215-016AT0049 → B215-016AT0050 → B215-016AT0051 → B215-016AT0064 → B215-016AT0065 → B215-016AT0066 → B215-016AT0055 → B261-016CC0007 → END</t>
  </si>
  <si>
    <t>B2-MOV-27001</t>
  </si>
  <si>
    <t>HRSG #21 LP STEAM WARM-UP LINE DRAIN MOV (BEFORE CHECK V/V)</t>
  </si>
  <si>
    <t>B264-016CT0024 → B264-016CT0025 → B264-016CT0026 → B264-016CT0027 → B264-016CT0221 → B264-996CT0009 → M0405 → D0421-L26 → M0406 → D0301-L22 → M0301 → B215-996AT0026 → B215-016AT0048 → B215-016AT0049 → B215-016AT0050 → B215-016AT0051 → B215-016AT0064 → B215-016AT0065 → B215-016AT0066 → B215-016AT0055 → B215-016AT0056 → B261-016CC0008 → END</t>
  </si>
  <si>
    <t>B2-MOV-27003</t>
  </si>
  <si>
    <t>HRSG #21 LP STEAM WARM-UP LINE DRAIN MOV (AFTER CHECK V/V)</t>
  </si>
  <si>
    <t>B264-016CT0024 → B264-016CT0025 → B264-016CT0026 → B264-016CT0027 → B264-016CT0221 → B264-996CT0009 → M0405 → D0421-L26 → M0406 → D0301-L22 → M0301 → B215-996AT0026 → B215-016AT0048 → B215-016AT0049 → B215-016AT0050 → B215-016AT0051 → B215-016AT0064 → B215-016AT0065 → B215-016AT0066 → B215-016AT0055 → B261-016CC0009 → END</t>
  </si>
  <si>
    <t>B2-MOV-26002</t>
  </si>
  <si>
    <t>HRSG #22 HP STEAM WARM-UP LINE DRAIN MOV (BEFORE CHECK V/V)</t>
  </si>
  <si>
    <t>1.1_MAIN BUILDING COMPLEX(HRSG#22)</t>
  </si>
  <si>
    <t>B264-016CT0047 → B264-016CT0048 → B264-016CT0235 → B264-016CT0029 → B264-016CT0028 → B264-016CT0221 → B264-996CT0009 → M0405 → D0421-L27 → M0406 → D0301-L21 → M0301 → B215-996AT0026 → B215-016AT0048 → B215-016AT0049 → B215-016AT0050 → B215-016AT0051 → B215-016AT0064 → B215-016AT0065 → B261-016AC0033 → END</t>
  </si>
  <si>
    <t>B2-MOV-26004</t>
  </si>
  <si>
    <t>HRSG #22 HP STEAM WARM-UP LINE DRAIN MOV (AFTER CHECK V/V)</t>
  </si>
  <si>
    <t>B264-016CT0047 → B264-016CT0048 → B264-016CT0235 → B264-016CT0029 → B264-016CT0028 → B264-016CT0221 → B264-996CT0009 → M0405 → D0421-L27 → M0406 → D0301-L21 → M0301 → B215-996AT0026 → B215-016AT0048 → B215-016AT0049 → B215-016AT0050 → B261-016AC0024 → END</t>
  </si>
  <si>
    <t>B2-MOV-27002</t>
  </si>
  <si>
    <t>HRSG #22 LP STEAM WARM-UP LINE DRAIN MOV (BEFORE CHECK V/V)</t>
  </si>
  <si>
    <t>B264-016CT0047 → B264-016CT0048 → B264-016CT0235 → B264-016CT0029 → B264-016CT0028 → B264-016CT0221 → B264-996CT0009 → M0405 → D0421-L27 → M0406 → D0301-L21 → M0301 → B215-996AT0026 → B215-016AT0048 → B215-016AT0049 → B215-016AT0050 → B261-016AC0025 → END</t>
  </si>
  <si>
    <t>B2-MOV-27004</t>
  </si>
  <si>
    <t>HRSG #22 LP STEAM WARM-UP LINE DRAIN MOV (AFTER CHECK V/V)</t>
  </si>
  <si>
    <t>B264-016CT0047 → B264-016CT0048 → B264-016CT0235 → B264-016CT0029 → B264-016CT0028 → B264-016CT0221 → B264-996CT0009 → M0405 → D0421-L27 → M0406 → D0301-L21 → M0301 → B215-996AT0026 → B215-016AT0048 → B215-016AT0049 → B215-016AT0050 → B261-016AC0023 → END</t>
  </si>
  <si>
    <t>B1-MOV-26012</t>
  </si>
  <si>
    <t>COMMOM HP STEAM WARM-UP LINE DRAIN MOV</t>
  </si>
  <si>
    <t>B159-006AT0003 → B159-006AT0025 → D0326-L21 → M0316 → B113-996AT0012 → B113-016AT0011 → B113-016AT0002 → B113-016BC0007 → END</t>
  </si>
  <si>
    <t>B1-MOV-26011</t>
  </si>
  <si>
    <t>COMMOM HP STEAM TO AUX. STEAM SUPPLY MOV</t>
  </si>
  <si>
    <t>B159-006AT0003 → B159-006AT0019 → B113-006CC0006 → M0317 → B113-006AC0007 → B113-016BC0038 → B114-016BT0102 → B114-016BT0101 → B114-016BT0040 → B114-016BT0041 → B161-016CC0009 → END</t>
  </si>
  <si>
    <t>B1-MOV-26021</t>
  </si>
  <si>
    <t>HP STEAM DRAIN MOV FOR  START-UP TO MAIN STOP V/V</t>
  </si>
  <si>
    <t>1.1_MAIN BUILDING COMPLEX(ST#1)</t>
  </si>
  <si>
    <t>B159-006AT0003 → B159-006AT0025 → D0326-L21 → M0316 → B113-996AT0012 → B113-016AT0011 → B113-016AT0003 → B113-016AT0004 → B113-016AT0005 → B113-016AT0006 → B113-016AT0007 → B113-016BC0015 → END</t>
  </si>
  <si>
    <t>B1-MOV-27011</t>
  </si>
  <si>
    <t>LP STEAM DRAIN MOV FOR  START-UP</t>
  </si>
  <si>
    <t>B1-MOV-28011</t>
  </si>
  <si>
    <t>AUX STEAM HEADER STOP MOV FORM BLOCK #2 HEADER</t>
  </si>
  <si>
    <t>B159-006AT0003 → B159-006AT0019 → B113-006CC0006 → M0317 → B113-006AC0007 → B113-016BC0038 → B114-016BT0102 → B114-016BT0101 → B114-016BT0040 → B114-016BT0041 → B161-016CC0012 → END</t>
  </si>
  <si>
    <t>B0-MOV-28021</t>
  </si>
  <si>
    <t>AUX STEAM HEADER STOP MOV FORM AUX BOILER</t>
  </si>
  <si>
    <t>B159-006AT0006 → B159-006AT0019 → B113-006CC0006 → M0317 → B113-006AC0007 → B113-016BC0038 → B114-016BT0102 → B114-016BT0101 → B114-016BT0040 → B114-016BT0041 → B161-016CC0011 → END</t>
  </si>
  <si>
    <t>B1-MOV-28012</t>
  </si>
  <si>
    <t>AUX STEAM TO TURBINE GLAND SEAL STEAM HEADER MOV</t>
  </si>
  <si>
    <t>B159-006AT0006 → B159-006AT0005 → B159-006AT0014 → B159-006AT0025 → D0326-L21 → M0316 → B113-016AT0007 → B113-016AT0006 → B113-016AT0005 → B113-016AT0004 → B113-016AT0003 → B113-016AT0011 → B113-996AT0012 → B113-016BC0025 → END</t>
  </si>
  <si>
    <t>B1-MOV-28013</t>
  </si>
  <si>
    <t>TURBINE GLAND SEAL STEAM WARM-UP DRAIN MOV</t>
  </si>
  <si>
    <t>B159-006AT0006 → B159-006AT0005 → B159-006AT0014 → B159-006AT0025 → D0326-L15 → M0316 → B113-996AT0012 → B113-016AT0011 → B113-016AT0003 → B113-016AT0004 → B113-016AT0005 → B113-016AT0006 → B113-016AT0007 → B113-016BC0036 → END</t>
  </si>
  <si>
    <t>B1-MOV-28001</t>
  </si>
  <si>
    <t>AUX STEAM PRDS BODY DRAIN</t>
  </si>
  <si>
    <t>B159-006AT0006 → B159-006AT0019 → B113-006CC0006 → M0317 → B113-006AC0007 → B113-016BC0038 → B114-016BT0102 → B114-016BT0101 → B114-016BT0040 → B114-016BT0041 → B161-016CC0010 → END</t>
  </si>
  <si>
    <t>B2-MOV-26012</t>
  </si>
  <si>
    <t>B259-006AT0003 → B259-006AT0025 → D0325-L21 → M0313 → B213-996AT0012 → B213-016AT0011 → B213-016AT0002 → B213-016BC0007 → END</t>
  </si>
  <si>
    <t>B2-MOV-26011</t>
  </si>
  <si>
    <t>B259-006AT0003 → B259-006AT0019 → B213-006CC0006 → M0314 → B213-006AC0007 → B213-016BC0038 → B215-016BT0104 → B215-016BT0103 → B213-016BC0040 → END</t>
  </si>
  <si>
    <t>B2-MOV-26021</t>
  </si>
  <si>
    <t>1.1_MAIN BUILDING COMPLEX(ST#2)</t>
  </si>
  <si>
    <t>B259-006AT0003 → B259-006AT0025 → D0325-L15 → M0313 → B213-996AT0012 → B213-016AT0011 → B213-016AT0003 → B213-016AT0004 → B213-016AT0005 → B213-016AT0006 → B213-016AT0007 → B213-016BC0015 → END</t>
  </si>
  <si>
    <t>B2-MOV-27011</t>
  </si>
  <si>
    <t>B259-006AT0003 → B259-006AT0025 → D0325-L21 → M0313 → B213-996AT0012 → B213-016AT0011 → B213-016AT0003 → B213-016AT0004 → B213-016AT0005 → B213-016AT0006 → B213-016AT0007 → B213-016BC0033 → B213-006AC0011 → END</t>
  </si>
  <si>
    <t>B2-MOV-28011</t>
  </si>
  <si>
    <t>AUX STEAM HEADER STOP MOV FORM BLOCK #1 HEADER</t>
  </si>
  <si>
    <t>B259-006AT0003 → B259-006AT0019 → B213-006CC0006 → M0314 → B213-006AC0007 → B213-016BC0038 → B215-016BT0104 → B215-016BT0103 → B215-016BT0036 → B215-016BT0035 → B215-016BT0034 → B215-016BT0033 → B215-016BT0032 → B215-016BT0031 → B261-016AC0008 → END</t>
  </si>
  <si>
    <t>B2-MOV-28012</t>
  </si>
  <si>
    <t>B259-006AT0006 → B259-006AT0005 → B259-006AT0014 → B259-006AT0025 → D0325-L21 → M0313 → B213-996AT0012 → B213-016AT0011 → B213-016AT0003 → B213-016AT0004 → B213-016AT0005 → B213-016AT0006 → B213-016AT0007 → B213-016BC0025 → END</t>
  </si>
  <si>
    <t>B2-MOV-28013</t>
  </si>
  <si>
    <t>B259-006AT0006 → B259-006AT0005 → B259-006AT0014 → B259-006AT0025 → D0325-L15 → M0313 → B213-996AT0012 → B213-016AT0011 → B213-016AT0003 → B213-016AT0004 → B213-016AT0005 → B213-016AT0006 → B213-016AT0007 → B213-016BC0036 → END</t>
  </si>
  <si>
    <t>B2-MOV-28001</t>
  </si>
  <si>
    <t>B259-006AT0006 → B259-006AT0019 → B213-006CC0006 → M0314 → B213-006AC0007 → B213-016BC0038 → B215-016BT0104 → B215-016BT0103 → B213-016BC0039 → END</t>
  </si>
  <si>
    <t>STB-TEMP-01</t>
  </si>
  <si>
    <t>B064-016AT0012 → B064-996AT0020 → M0501 → D0517-L23 → M0510 → D0502-L35 → M0326 → D0320-L25 → M0325 → D0319-L31 → M0324 → D0327-L25 → M0321 → D0317-L14 → M0320 → D0323-L14 → M0319 → D0316-L14 → M0318 → D0315-L25 → M0315 → D0314-L25 → B159-006AT0017 → B159-006AT0018 → B159-006AT0005 → B159-006AT0014 → B159-006AT0025 → D0326-L13 → M0316 → B113-006AC0041 → END</t>
  </si>
  <si>
    <t>STB-TEMP-02</t>
  </si>
  <si>
    <t>MOV SPARE (MARTYR VALVE FOR LP STEAM BLOWING, TEMP)</t>
  </si>
  <si>
    <t>B064-016AT0012 → B064-996AT0020 → M0501 → D0517-L23 → M0510 → D0502-L35 → M0326 → D0320-L25 → M0325 → D0319-L31 → M0324 → D0327-L25 → M0321 → D0317-L14 → M0320 → D0323-L14 → M0319 → D0316-L14 → M0318 → D0315-L25 → M0315 → D0313-L11 → M0312 → D0311-L14 → M0311 → D0310-L21 → B259-006AT0017 → B259-006AT0018 → B259-006AT0005 → B259-006AT0014 → B259-006AT0025 → D0325-L13 → B213-996AT0012 → B213-016AT0011 → B213-016AT0003 → B213-016AT0004 → B213-016BC0057 → END</t>
  </si>
  <si>
    <t>B1-MOV-30001A</t>
  </si>
  <si>
    <t>#11 BOILER FEED PUMP A INTERSTAGE DISCHARGE MOV</t>
  </si>
  <si>
    <t>B164-016AT0091 → B164-996AT0022 → M0504 → D0531-L43 → M0510 → D0517-L14 → M0501 → D0503-L43 → M0502 → D0504-L43 → M0503 → D0501-L43 → M0328 → D0324-L43 → M0329 → B114-996DT0081 → B114-016DT0082 → B114-016DT0083 → B114-016DT0084 → B114-016DT0096 → B114-016DT0097 → B114-016DT0098 → B161-016AC0010 → END</t>
  </si>
  <si>
    <t>B1-MOV-30001B</t>
  </si>
  <si>
    <t>#11 BOILER FEED PUMP B INTERSTAGE DISCHARGE MOV</t>
  </si>
  <si>
    <t>B164-016ET0106 → B164-996ET0022 → M0504 → D0531-L31 → M0510 → D0517-L22 → M0501 → D0503-L41 → M0502 → D0504-L41 → M0503 → D0501-L41 → M0328 → D0324-L41 → M0329 → B114-996DT0081 → B114-016DT0082 → B114-016DT0083 → B114-016DT0084 → B114-016DT0096 → B114-016DT0097 → B161-016AC0011 → END</t>
  </si>
  <si>
    <t>B1-MOV-30002A</t>
  </si>
  <si>
    <t>#11 BOILER FEED PUMP A HP DISCHARGE MOV</t>
  </si>
  <si>
    <t>B164-016ET0106 → B164-996ET0022 → M0504 → D0531-L43 → M0510 → D0517-L14 → M0501 → D0503-L43 → M0502 → D0504-L43 → M0503 → D0501-L43 → M0328 → D0324-L43 → M0329 → B114-996DT0081 → B114-016DT0082 → B114-016DT0083 → B114-016DT0084 → B114-016DT0096 → B114-016DT0097 → B114-016DT0098 → B161-016AC0012 → END</t>
  </si>
  <si>
    <t>B1-MOV-30002B</t>
  </si>
  <si>
    <t>#11 BOILER FEED PUMP B HP DISCHARGE MOV</t>
  </si>
  <si>
    <t>B164-016AT0091 → B164-996AT0022 → M0504 → D0531-L34 → M0510 → D0517-L25 → M0501 → D0503-L44 → M0502 → D0504-L44 → M0503 → D0501-L44 → M0328 → D0324-L44 → M0329 → B114-996DT0081 → B114-016DT0082 → B114-016DT0083 → B114-016DT0084 → B114-016DT0096 → B114-016DT0097 → B114-016DT0098 → B161-016AC0013 → END</t>
  </si>
  <si>
    <t>B1-MOV-30003A</t>
  </si>
  <si>
    <t>#11 BOILER FEED PUMP A HP DISCHARGE BYPASS MOV</t>
  </si>
  <si>
    <t>B164-016AT0091 → B164-996AT0022 → M0504 → D0531-L27 → M0510 → D0517-L26 → M0501 → D0503-L38 → M0502 → D0504-L38 → M0503 → D0501-L38 → M0328 → D0324-L38 → M0329 → B114-996DT0081 → B114-016DT0082 → B114-016DT0083 → B114-016DT0084 → B114-016DT0096 → B114-016DT0097 → B114-016DT0098 → B161-016AC0014 → END</t>
  </si>
  <si>
    <t>B1-MOV-30003B</t>
  </si>
  <si>
    <t>#11 BOILER FEED PUMP B HP DISCHARGE BYPASS MOV</t>
  </si>
  <si>
    <t>B164-016ET0106 → B164-996ET0022 → M0504 → D0531-L34 → M0510 → D0517-L25 → M0501 → D0503-L44 → M0502 → D0504-L44 → M0503 → D0501-L44 → M0328 → D0324-L44 → M0329 → B114-996DT0081 → B114-016DT0082 → B114-016DT0083 → B114-016DT0084 → B114-016DT0096 → B114-016DT0097 → B114-016DT0098 → B161-016AC0015 → END</t>
  </si>
  <si>
    <t>B1-MOV-31001A</t>
  </si>
  <si>
    <t>#12 BOILER FEED PUMP A INTERSTAGE DISCHARGE MOV</t>
  </si>
  <si>
    <t>B164-016AT0118 → B164-016AT0117 → B164-016AT0116 → B164-996AT0023 → M0504 → D0531-L35 → M0510 → D0517-L26 → M0501 → D0503-L45 → M0502 → D0504-L45 → M0503 → D0501-L45 → M0328 → D0324-L45 → M0329 → B114-996CT0071 → B114-016CT0072 → B114-016CT0073 → B114-016CT0074 → B114-016CT0075 → B114-016CT0076 → B114-016CT0087 → B114-016CT0088 → B114-016CT0089 → B161-016CC0008 → END</t>
  </si>
  <si>
    <t>B1-MOV-31001B</t>
  </si>
  <si>
    <t>#12 BOILER FEED PUMP B INTERSTAGE DISCHARGE MOV</t>
  </si>
  <si>
    <t>B164-016AT0118 → B164-016AT0117 → B164-016AT0116 → B164-996AT0023 → M0504 → D0531-L25 → M0510 → D0517-L14 → M0501 → D0503-L46 → M0502 → D0504-L46 → M0503 → D0501-L46 → M0328 → D0324-L46 → M0329 → B114-996CT0071 → B114-016CT0072 → B114-016CT0073 → B114-016CT0074 → B114-016CT0075 → B114-016CT0076 → B114-016CT0087 → B114-016CT0088 → B114-016CT0089 → B161-016CC0005 → END</t>
  </si>
  <si>
    <t>B1-MOV-31002A</t>
  </si>
  <si>
    <t>#12 BOILER FEED PUMP A HP DISCHARGE MOV</t>
  </si>
  <si>
    <t>B164-016AT0118 → B164-016AT0117 → B164-016AT0116 → B164-996AT0023 → M0504 → D0531-L25 → M0510 → D0517-L24 → M0501 → D0503-L46 → M0502 → D0504-L46 → M0503 → D0501-L46 → M0328 → D0324-L46 → M0329 → B114-996CT0071 → B114-016CT0072 → B114-016CT0073 → B114-016CT0074 → B114-016CT0075 → B114-016CT0076 → B114-016CT0087 → B114-016CT0088 → B114-016CT0089 → B161-016CC0007 → END</t>
  </si>
  <si>
    <t>B1-MOV-31002B</t>
  </si>
  <si>
    <t>#12 BOILER FEED PUMP B HP DISCHARGE MOV</t>
  </si>
  <si>
    <t>B164-016AT0118 → B164-016AT0117 → B164-016AT0116 → B164-996AT0023 → M0504 → D0531-L25 → M0510 → D0517-L24 → M0501 → D0503-L46 → M0502 → D0504-L46 → M0503 → D0501-L46 → M0328 → D0324-L46 → M0329 → B114-996CT0071 → B114-016CT0072 → B114-016CT0073 → B114-016CT0074 → B114-016CT0075 → B114-016CT0076 → B114-016CT0087 → B114-016CT0088 → B114-016CT0089 → B161-016CC0006 → END</t>
  </si>
  <si>
    <t>B1-MOV-31003A</t>
  </si>
  <si>
    <t>#12 BOILER FEED PUMP A HP DISCHARGE BYPASS MOV</t>
  </si>
  <si>
    <t>B164-016AT0118 → B164-016AT0117 → B164-016AT0116 → B164-996AT0023 → M0504 → D0531-L35 → M0510 → D0517-L26 → M0501 → D0503-L45 → M0502 → D0504-L45 → M0503 → D0501-L45 → M0328 → D0324-L45 → M0329 → B114-996CT0071 → B114-016CT0072 → B114-016CT0073 → B114-016CT0074 → B114-016CT0075 → B114-016CT0076 → B114-016CT0087 → B114-016CT0088 → B114-016CT0089 → B161-016CC0030 → END</t>
  </si>
  <si>
    <t>B1-MOV-31003B</t>
  </si>
  <si>
    <t>#12 BOILER FEED PUMP B HP DISCHARGE BYPASS MOV</t>
  </si>
  <si>
    <t>B164-016AT0118 → B164-016AT0117 → B164-016AT0116 → B164-996AT0023 → M0504 → D0531-L24 → M0510 → D0517-L14 → M0501 → D0503-L46 → M0502 → D0504-L46 → M0503 → D0501-L35 → M0328 → D0324-L46 → M0329 → B114-996CT0071 → B114-016CT0072 → B114-016CT0073 → B114-016CT0074 → B114-016CT0075 → B114-016CT0076 → B114-016CT0087 → B114-016CT0088 → B114-016CT0089 → B161-016CC0031 → END</t>
  </si>
  <si>
    <t>B2-MOV-30001A</t>
  </si>
  <si>
    <t>#21 BOILER FEED PUMP A INTERSTAGE DISCHARGE MOV</t>
  </si>
  <si>
    <t>B264-016CT0024 → B264-016CT0025 → B264-016CT0026 → B264-016CT0027 → B264-016CT0221 → B264-996CT0009 → M0405 → D0421-L26 → M0406 → D0301-L22 → M0301 → B215-996AT0026 → B215-016AT0048 → B215-016AT0049 → B215-016AT0050 → B215-016AT0051 → B215-016AT0064 → B215-016AT0065 → B215-016AT0066 → B215-016AT0055 → B215-016AT0056 → B215-016AT0057 → B261-016CC0010 → END</t>
  </si>
  <si>
    <t>B2-MOV-30001B</t>
  </si>
  <si>
    <t>#21 BOILER FEED PUMP B INTERSTAGE DISCHARGE MOV</t>
  </si>
  <si>
    <t>B264-016AT0045 → B264-016AT0046 → B264-016AT0209 → B264-016AT0026 → B264-016AT0027 → B264-016AT0225 → B264-996AT0011 → M0405 → D0421-L26 → M0406 → D0301-L22 → M0301 → B215-996AT0026 → B215-016AT0048 → B215-016AT0049 → B215-016AT0050 → B215-016AT0051 → B215-016AT0064 → B215-016AT0065 → B215-016AT0066 → B215-016AT0055 → B215-016AT0056 → B261-016CC0011 → END</t>
  </si>
  <si>
    <t>B2-MOV-30002A</t>
  </si>
  <si>
    <t>#21 BOILER FEED PUMP A HP DISCHARGE MOV</t>
  </si>
  <si>
    <t>B264-016AT0045 → B264-016AT0046 → B264-016AT0209 → B264-016AT0026 → B264-016AT0027 → B264-016AT0225 → B264-996AT0011 → M0405 → D0421-L26 → M0406 → D0301-L22 → M0301 → B215-996AT0026 → B215-016AT0048 → B215-016AT0049 → B215-016AT0050 → B215-016AT0051 → B215-016AT0064 → B215-016AT0065 → B215-016AT0066 → B215-016AT0055 → B215-016AT0056 → B215-016AT0057 → B261-016CC0012 → END</t>
  </si>
  <si>
    <t>B2-MOV-30002B</t>
  </si>
  <si>
    <t>#21 BOILER FEED PUMP B HP DISCHARGE MOV</t>
  </si>
  <si>
    <t>B264-016CT0024 → B264-016CT0025 → B264-016CT0026 → B264-016CT0027 → B264-016CT0221 → B264-996CT0009 → M0405 → D0421-L26 → M0406 → D0301-L22 → M0301 → B215-996AT0026 → B215-016AT0048 → B215-016AT0049 → B215-016AT0050 → B215-016AT0051 → B215-016AT0064 → B215-016AT0065 → B215-016AT0066 → B215-016AT0055 → B215-016AT0056 → B215-016AT0057 → B261-016CC0013 → END</t>
  </si>
  <si>
    <t>B2-MOV-30003A</t>
  </si>
  <si>
    <t>#21 BOILER FEED PUMP A HP DISCHARGE BYPASS MOV</t>
  </si>
  <si>
    <t>B264-016CT0024 → B264-016CT0025 → B264-016CT0026 → B264-016CT0027 → B264-016CT0221 → B264-996CT0009 → M0405 → D0421-L26 → M0406 → D0301-L22 → M0301 → B215-996AT0026 → B215-016AT0048 → B215-016AT0049 → B215-016AT0050 → B215-016AT0051 → B215-016AT0064 → B215-016AT0065 → B215-016AT0066 → B215-016AT0055 → B215-016AT0056 → B215-016AT0057 → B261-016CC0014 → END</t>
  </si>
  <si>
    <t>B2-MOV-30003B</t>
  </si>
  <si>
    <t>#21 BOILER FEED PUMP B HP DISCHARGE BYPASS MOV</t>
  </si>
  <si>
    <t>B264-016AT0045 → B264-016AT0046 → B264-016AT0209 → B264-016AT0026 → B264-016AT0027 → B264-016AT0225 → B264-996AT0011 → M0405 → D0421-L26 → M0406 → D0301-L22 → M0301 → B215-996AT0026 → B215-016AT0048 → B215-016AT0049 → B215-016AT0050 → B215-016AT0051 → B215-016AT0064 → B215-016AT0065 → B215-016AT0066 → B215-016AT0056 → B215-016AT0057 → END → B261-016CC0015 → END</t>
  </si>
  <si>
    <t>B2-MOV-31001A</t>
  </si>
  <si>
    <t>#22 BOILER FEED PUMP A INTERSTAGE DISCHARGE MOV</t>
  </si>
  <si>
    <t>B264-016CT0027 → B264-016CT0221 → B264-996CT0009 → M0405 → D0421-L27 → M0406 → D0301-L21 → M0301 → B215-996BT0001 → B215-016BT0002 → B215-016BT0003 → B215-016BT0004 → B261-016AC0007 → END</t>
  </si>
  <si>
    <t>B2-MOV-31001B</t>
  </si>
  <si>
    <t>#22 BOILER FEED PUMP B INTERSTAGE DISCHARGE MOV</t>
  </si>
  <si>
    <t>B264-016CT0027 → B264-016CT0221 → B264-996CT0009 → M0405 → D0421-L27 → M0406 → D0301-L21 → M0301 → B215-996BT0001 → B215-016BT0002 → B215-016BT0003 → B215-016BT0004 → B261-016AC0004 → END</t>
  </si>
  <si>
    <t>B2-MOV-31002A</t>
  </si>
  <si>
    <t>#22 BOILER FEED PUMP A HP DISCHARGE MOV</t>
  </si>
  <si>
    <t>B264-016CT0027 → B264-016CT0221 → B264-996CT0009 → M0405 → D0421-L27 → M0406 → D0301-L21 → M0301 → B215-996BT0001 → B215-016BT0002 → B215-016BT0003 → B215-016BT0004 → B261-016AC0006 → END</t>
  </si>
  <si>
    <t>B2-MOV-31002B</t>
  </si>
  <si>
    <t>#22 BOILER FEED PUMP B HP DISCHARGE MOV</t>
  </si>
  <si>
    <t>B264-016CT0027 → B264-016CT0221 → B264-996CT0009 → M0405 → D0421-L27 → M0406 → D0301-L21 → M0301 → B215-996BT0001 → B215-016BT0002 → B215-016BT0003 → B215-016BT0004 → B261-016AC0005 → END</t>
  </si>
  <si>
    <t>B2-MOV-31003A</t>
  </si>
  <si>
    <t>#22 BOILER FEED PUMP A HP DISCHARGE BYPASS MOV</t>
  </si>
  <si>
    <t>B264-016CT0027 → B264-016CT0221 → B264-996CT0009 → M0405 → D0421-L27 → M0406 → D0301-L21 → M0301 → B215-996BT0001 → B215-016BT0002 → B215-016BT0003 → B215-016BT0004 → B261-016AC0026 → END</t>
  </si>
  <si>
    <t>B2-MOV-31003B</t>
  </si>
  <si>
    <t>#22 BOILER FEED PUMP B HP DISCHARGE BYPASS MOV</t>
  </si>
  <si>
    <t>B264-016CT0027 → B264-016CT0221 → B264-996CT0009 → M0405 → D0421-L27 → M0406 → D0301-L21 → M0301 → B215-996BT0001 → B215-016BT0002 → B215-016BT0003 → B215-016BT0004 → B261-016AC0027 → END</t>
  </si>
  <si>
    <t>HOT WATER DISTRIBUTION SYSTEM</t>
  </si>
  <si>
    <t>B1-P-34001</t>
  </si>
  <si>
    <t>32_HOT WATER SUPPLY BUILDING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</si>
  <si>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B025-016CT0090 → B025-016CT0089 → B025-016CT0067 → B025-016CT0066 → B025-016CT0065 → B025-016CT0064 → B025-016CT0063 → B025-016CT0062 → B025-016CT0061 → B025-016CT0060 → B025-996CT0020 → B025-016CT0059 → B025-016CT0055 → B025-996CT0019 → B025-016CT0056 → B025-016CT0133 → B078-016AC0012 → B078-006AC0043 → B078-007AC0004 → END</t>
  </si>
  <si>
    <t>B1-P-34002</t>
  </si>
  <si>
    <t>#1 HOT WATER SUPPLY PUMP B</t>
  </si>
  <si>
    <t>B064-016BT0032 → B064-016BT0033 → B064-016BT0034 → B064-016BT0035 → B064-016BT0036 → B064-016BT0242 → B064-016BT0243 → B064-016BT0244 → B064-016BT0292 → B064-016BT0293 → B064-016BT0294 → B064-016BT0295 → B025-016CT0090 → B025-016CT0089 → B025-016CT0067 → B025-016CT0066 → B025-016CT0065 → B025-016CT0064 → B025-016CT0063 → B025-016CT0062 → B025-016CT0061 → B025-016CT0060 → B025-996CT0020 → B025-016CT0059 → B025-016CT0055 → B025-996CT0019 → B025-016CT0056 → B025-016CT0133 → B078-016AC0011 → B078-006AC0044 → B078-007AC0005 → END</t>
  </si>
  <si>
    <t>B1-P-34003</t>
  </si>
  <si>
    <t>B064-016AT0012 → B064-016AT0011 → B064-016AT0212 → B064-016AT0213 → B064-016AT0045 → B064-016AT0046 → B064-016AT0047 → B064-016AT0048 → B064-016AT0049 → B064-016AT0240 → B064-016AT0290 → B064-016AT0068 → B064-016AT0067 → B064-016AT0277 → B064-016AT0278 → B064-016AT0094 → B064-016AT0296 → B064-016AT0110 → B064-016AT0109 → B064-016AT0285 → B025-016CT0090 → B025-016CT0089 → B025-016CT0067 → B025-016CT0066 → B025-016CT0065 → B025-016CT0064 → B025-016CT0063 → B025-016CT0062 → B025-016CT0061 → B025-016CT0060 → B025-996CT0020 → B025-016CT0059 → B025-016CT0055 → B025-996CT0019 → B025-016CT0056 → B025-016CT0133 → B078-016AC0010 → B078-006AC0045 → B078-006AC0028 → END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</si>
  <si>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B025-016CT0090 → B025-016CT0089 → B025-016CT0067 → B025-016CT0066 → B025-016CT0065 → B025-016CT0064 → B025-016CT0063 → B025-016CT0062 → B025-016CT0061 → B025-016CT0060 → B025-996CT0020 → B025-016CT0059 → B025-016CT0055 → B025-996CT0019 → B025-016CT0056 → B025-016CT0133 → B078-016AC0010 → B078-006AC0045 → B078-007AC0006 → END</t>
  </si>
  <si>
    <t>B1-MOV-34001</t>
  </si>
  <si>
    <t>#1 HOT WATER SUPPLY PUMP A DISCHARGE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</si>
  <si>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B078-016AC0012 → B078-006AC0043 → B078-006AC0020 → END</t>
  </si>
  <si>
    <t>B1-MOV-34002</t>
  </si>
  <si>
    <t>#1 HOT WATER SUPPLY PUMP B DISCHARGE MOV</t>
  </si>
  <si>
    <t>B064-016BT0032 → B064-016BT0033 → B064-016BT0034 → B064-016BT0035 → B064-016BT0036 → B064-016BT0242 → B064-016BT0243 → B064-016BT0244 → B064-016BT0292 → B064-016BT0293 → B064-016BT0294 → B064-016BT0295 → B025-016CT0090 → B025-016CT0089 → B025-016CT0067 → B025-016CT0066 → B025-016CT0065 → B025-016CT0064 → B025-016CT0063 → B025-016CT0062 → B025-016CT0061 → B025-016CT0060 → B025-996CT0020 → B025-016CT0059 → B025-016CT0055 → B025-996CT0019 → B025-016CT0056 → B025-016CT0133 → B078-016AC0011 → B078-006AC0044 → B078-006AC0021 → END</t>
  </si>
  <si>
    <t>B1-MOV-34003</t>
  </si>
  <si>
    <t>#1 HOT WATER SUPPLY PUMP C DISCHARGE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</si>
  <si>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B025-016CT0090 → B025-016CT0089 → B025-016CT0067 → B025-016CT0066 → B025-016CT0065 → B025-016CT0064 → B025-016CT0063 → B025-016CT0062 → B025-016CT0061 → B025-016CT0060 → B025-996CT0020 → B025-016CT0059 → B025-016CT0055 → B025-996CT0019 → B025-016CT0056 → B025-016CT0133 → B078-016AC0010 → B078-006AC0045 → B078-006AC0022 → END</t>
  </si>
  <si>
    <t>B1-MOV-34004</t>
  </si>
  <si>
    <t>#1 HOT WATER HEAD TANK MAKE-UP LINE MOV</t>
  </si>
  <si>
    <t>B164-016ET0106 → B164-996ET0022 → M0504 → D0531-L27 → M0510 → D0517-L16 → M0501 → D0503-L38 → M0502 → D0504-L38 → M0503 → D0501-L38 → M0328 → D0324-L38 → M0329 → B114-996BT0046 → B114-016BT0045 → B114-016BT0044 → B161-016AC0016 → END</t>
  </si>
  <si>
    <t>B1-MOV-34005</t>
  </si>
  <si>
    <t>#1 STEAM HEATER A TUBE SIDE INLET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</si>
  <si>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B078-016AC0004 → B078-006AC0015 → B078-006AC0009 → END</t>
  </si>
  <si>
    <t>B1-MOV-34008</t>
  </si>
  <si>
    <t>#1 STEAM HEATER B TUBE SIDE INLET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</si>
  <si>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B078-016AC0005 → B078-006AC0016 → B078-006AC0012 → END</t>
  </si>
  <si>
    <t>B1-MOV-34006</t>
  </si>
  <si>
    <t>#1 STEAM HEATER A SHELL SIDE INLET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</si>
  <si>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B078-016AC0004 → B078-006AC0015 → B078-006AC0007 → END</t>
  </si>
  <si>
    <t>B1-MOV-34009</t>
  </si>
  <si>
    <t>#1 STEAM HEATER B SHELL SIDE INLET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</si>
  <si>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B078-016AC0005 → B078-006AC0016 → B078-006AC0010 → END</t>
  </si>
  <si>
    <t>B1-MOV-34011</t>
  </si>
  <si>
    <t>#1 STEAM HEATER A TUBE SIDE OUTLET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</si>
  <si>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B078-016AC0004 → B078-006AC0015 → B078-006AC0008 → END</t>
  </si>
  <si>
    <t>B1-MOV-34013</t>
  </si>
  <si>
    <t>#1 STEAM HEATER B TUBE SIDE OUTLET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</si>
  <si>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B078-016AC0005 → B078-006AC0016 → B078-006AC0011 → END</t>
  </si>
  <si>
    <t>B1-MOV-34015</t>
  </si>
  <si>
    <t>#11 GT AIR INTAKE SYSTEM HOT WATER INLET MOV</t>
  </si>
  <si>
    <t>1.1_MAIN BUILDING COMPLEX(GT#11)</t>
  </si>
  <si>
    <t>B164-016ET0106 → B164-996ET0022 → M0504 → D0531-L42 → M0510 → D0502-L32 → M0326 → D0320-L25 → M0325 → D0319-L22 → M0324 → B161-006BC0001 → END</t>
  </si>
  <si>
    <t>B1-MOV-34017</t>
  </si>
  <si>
    <t>#12 GT AIR INTAKE SYSTEM HOT WATER INLET MOV</t>
  </si>
  <si>
    <t>1.1_MAIN BUILDING COMPLEX(GT#12)</t>
  </si>
  <si>
    <t>B164-016AT0118 → B164-016AT0117 → B164-016AT0116 → B164-996AT0023 → M0504 → D0531-L32 → M0510 → D0502-L32 → M0326 → D0320-L36 → M0325 → D0319-L32 → M0324 → D0327-L26 → M0321 → D0317-L15 → M0320 → B161-006DC0001 → END</t>
  </si>
  <si>
    <t>B1-MOV-34007</t>
  </si>
  <si>
    <t>#1 STEAM HEATER A SHELL SIDE BYPASS VENT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</si>
  <si>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B078-016AC0001 → B078-006AC0013 → B078-006AC0032 → END</t>
  </si>
  <si>
    <t>B1-MOV-34010</t>
  </si>
  <si>
    <t>#1 STEAM HEATER B SHELL SIDE BYPASS VENT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</si>
  <si>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B078-016AC0002 → B078-006AC0014 → B078-006AC0034 → END</t>
  </si>
  <si>
    <t>B1-MOV-34012</t>
  </si>
  <si>
    <t>#1 STEAM HEATER A SHELL SIDE OUTLET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</si>
  <si>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B078-016AC0001 → B078-006AC0013 → B078-006AC0033 → END</t>
  </si>
  <si>
    <t>B1-MOV-34014</t>
  </si>
  <si>
    <t>#1 STEAM HEATER B SHELL SIDE OUTLET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</si>
  <si>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B078-016AC0002 → B078-006AC0014 → B078-006AC0035 → END</t>
  </si>
  <si>
    <t>B2-P-34001</t>
  </si>
  <si>
    <t>#2 HOT WATER SUPPLY PUMP A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</si>
  <si>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B078-016AC0007 → B078-006AC0040 → B078-006AC0023 → END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</si>
  <si>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B078-016AC0007 → B078-006AC0040 → B078-007AC0001 → END</t>
  </si>
  <si>
    <t>B2-P-34002</t>
  </si>
  <si>
    <t>#2 HOT WATER SUPPLY PUMP B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</si>
  <si>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B078-016AC0008 → B078-006AC0041 → B078-006AC0024 → END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</si>
  <si>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B078-016AC0008 → B078-006AC0041 → B078-007AC0002 → END</t>
  </si>
  <si>
    <t>B2-P-34003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</si>
  <si>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B078-016AC0009 → B078-006AC0042 → B078-007AC0003 → END</t>
  </si>
  <si>
    <t>B2-MOV-34001</t>
  </si>
  <si>
    <t>B2-MOV-34002</t>
  </si>
  <si>
    <t>#2 HOT WATER SUPPLY PUMP B DISCHARGE MOV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</si>
  <si>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B078-016AC0008 → B078-006AC0041 → B078-006AC0018 → END</t>
  </si>
  <si>
    <t>B2-MOV-34003</t>
  </si>
  <si>
    <t>#2 HOT WATER SUPPLY PUMP C DISCHARGE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</si>
  <si>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B078-016AC0009 → B078-006AC0042 → B078-006AC0019 → END</t>
  </si>
  <si>
    <t>B2-MOV-34004</t>
  </si>
  <si>
    <t>#2 HOT WATER HEAD TANK MAKE-UP LINE MOV</t>
  </si>
  <si>
    <t>B264-016CT0024 → B264-016CT0025 → B264-016CT0026 → B264-016CT0027 → B264-016CT0221 → B264-996CT0009 → M0405 → D0421-L31 → M0406 → D0301-L37 → M0301 → B215-996BT0001 → B215-016BT0002 → B215-016BT0003 → B215-016BT0004 → B215-016BT0005 → B215-016BT0031 → B215-016BT0032 → B261-016AC0010 → END</t>
  </si>
  <si>
    <t>B2-MOV-34005</t>
  </si>
  <si>
    <t>#2 STEAM HEATER A TUBE SIDE INLET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</si>
  <si>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B078-016AC0002 → B078-006AC0014 → B078-006AC0003 → END</t>
  </si>
  <si>
    <t>B2-MOV-34008</t>
  </si>
  <si>
    <t>#2 STEAM HEATER B TUBE SIDE INLET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</si>
  <si>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B078-016AC0001 → B078-006AC0013 → B078-006AC0006 → END</t>
  </si>
  <si>
    <t>B2-MOV-34006</t>
  </si>
  <si>
    <t>#2 STEAM HEATER A SHELL SIDE INLET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</si>
  <si>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B078-016AC0001 → B078-006AC0013 → B078-006AC0001 → END</t>
  </si>
  <si>
    <t>B2-MOV-34009</t>
  </si>
  <si>
    <t>#2 STEAM HEATER B SHELL SIDE INLET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</si>
  <si>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B078-016AC0002 → B078-006AC0014 → B078-006AC0004 → END</t>
  </si>
  <si>
    <t>B2-MOV-34011</t>
  </si>
  <si>
    <t>#2 STEAM HEATER A TUBE SIDE OUTLET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</si>
  <si>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B078-016AC0001 → B078-006AC0013 → B078-006AC0002 → END</t>
  </si>
  <si>
    <t>B2-MOV-34013</t>
  </si>
  <si>
    <t>#2 STEAM HEATER B TUBE SIDE OUTLET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</si>
  <si>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B025-016DT0058 → B078-016AC0002 → B078-006AC0014 → B078-006AC0005 → END</t>
  </si>
  <si>
    <t>B2-MOV-34015</t>
  </si>
  <si>
    <t>#21 GT AIR INTAKE SYSTEM HOT WATER INLET MOV</t>
  </si>
  <si>
    <t>1.1_MAIN BUILDING COMPLEX(GT#21)</t>
  </si>
  <si>
    <t>B264-016AT0025 → B264-016AT0026 → B264-016AT0027 → B264-016AT0028 → B264-996AT0012 → M0407 → D0302-L31 → M0302 → D0303-L31 → M0303 → D0305-L22 → M0306 → B261-006DC0001 → END</t>
  </si>
  <si>
    <t>B2-MOV-34017</t>
  </si>
  <si>
    <t>#22 GT AIR INTAKE SYSTEM HOT WATER INLET MOV</t>
  </si>
  <si>
    <t>1.1_MAIN BUILDING COMPLEX(GT#22)</t>
  </si>
  <si>
    <t>B264-016CT0047 → B264-996CT0017 → M0407 → D0302-L41 → M0302 → B261-006BC0001 → END</t>
  </si>
  <si>
    <t>B2-MOV-34007</t>
  </si>
  <si>
    <t>#2 STEAM HEATER A SHELL SIDE BYPASS VENT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</si>
  <si>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B078-016AC0004 → B078-006AC0015 → B078-006AC0036 → END</t>
  </si>
  <si>
    <t>B2-MOV-34010</t>
  </si>
  <si>
    <t>#2 STEAM HEATER B SHELL SIDE BYPASS VENT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</si>
  <si>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B078-016AC0005 → B078-006AC0016 → B078-006AC0038 → END</t>
  </si>
  <si>
    <t>B2-MOV-34012</t>
  </si>
  <si>
    <t>#2 STEAM HEATER A SHELL SIDE OUTLET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</si>
  <si>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B078-016AC0004 → B078-006AC0015 → B078-006AC0037 → END</t>
  </si>
  <si>
    <t>B2-MOV-34014</t>
  </si>
  <si>
    <t>#2 STEAM HEATER B SHELL SIDE OUTLET MOV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</si>
  <si>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B078-016AC0005 → B078-006AC0016 → B078-006AC0039 → END</t>
  </si>
  <si>
    <t>CRANE &amp; HOIST</t>
  </si>
  <si>
    <t>B0-HO-55010</t>
  </si>
  <si>
    <t>B1-HO-55011</t>
  </si>
  <si>
    <t xml:space="preserve">JIB CRANE FOR GT AIR INLET FILTER #1A </t>
  </si>
  <si>
    <t>1.1_MAIN BUILDING COMPLEX (NEARBY INLET FILTER, ON THE ROOF OF BLDG)</t>
  </si>
  <si>
    <t>B164-016ET0106 → B164-996ET0022 → M0504 → D0531-L26 → M0510 → D0502-L26 → M0326 → D0320-L26 → M0325 → B161-006BC0011 → END</t>
  </si>
  <si>
    <t>B2-HO-55012</t>
  </si>
  <si>
    <t>JIB CRANE FOR GT AIR INLET FILTER #2A</t>
  </si>
  <si>
    <t>B0-HO-55030</t>
  </si>
  <si>
    <t>OVERHEAD CRANE FOR STEAM TURBINE</t>
  </si>
  <si>
    <t>1.1_MAIN BUILDING COMPLEX / STEAM TURBINE (ST)</t>
  </si>
  <si>
    <t>B0-HO-55040</t>
  </si>
  <si>
    <t>SUSPENSION CRANE FOR WORKSHOP &amp; STORAGE</t>
  </si>
  <si>
    <t>B071-006AT0001 → B071-006BT0002 → B071-016AC0005 → B071-016AC0003 → B071-016AC0007 → END</t>
  </si>
  <si>
    <t>B1-HO-55021</t>
  </si>
  <si>
    <t>SUSPENSION CRANE FOR GENERATOR COOLER #A</t>
  </si>
  <si>
    <t>B164-016ET0106 → B164-996ET0022 → M0504 → D0531-L26 → M0510 → D0502-L26 → M0326 → D0320-L26 → M0325 → D0319-L22 → M0324 → B161-006BC0002 → B161-006BC0024 → END</t>
  </si>
  <si>
    <t>B1-HO-55022</t>
  </si>
  <si>
    <t>SUSPENSION CRANE FOR GENERATOR COOLER #B</t>
  </si>
  <si>
    <t>B164-016AT0118 → B164-016AT0117 → B164-016AT0116 → B164-996AT0023 → M0504 → D0531-L25 → M0510 → D0502-L25 → M0326 → D0320-L35 → M0325 → D0319-L31 → M0324 → D0327-L25 → M0321 → D0317-L25 → M0320 → B161-006DC0024 → END</t>
  </si>
  <si>
    <t>B2-HO-55023</t>
  </si>
  <si>
    <t>SUSPENSION CRANE FOR GENERATOR COOLER #C</t>
  </si>
  <si>
    <t>B264-016BT0045 → B264-016BT0046 → B264-016BT0047 → B264-996BT0013 → M0407 → D0302-L33 → M0302 → D0303-L33 → M0303 → D0305-L24 → M0306 → B261-006DC0002 → B261-006DC0024 → END</t>
  </si>
  <si>
    <t>B2-HO-55024</t>
  </si>
  <si>
    <t>SUSPENSION CRANE FOR GENERATOR COOLER #D</t>
  </si>
  <si>
    <t>B264-016CT0047 → B264-996CT0017 → M0407 → D0302-L26 → M0302 → B261-006BC0002 → B261-006BC0024 → END</t>
  </si>
  <si>
    <t>B1-HO-55066</t>
  </si>
  <si>
    <t>ELECTRIC HOIST FOR HRSG FEEDWATER PUMP #A</t>
  </si>
  <si>
    <t>B1-HO-55067</t>
  </si>
  <si>
    <t>ELECTRIC HOIST FOR HRSG FEEDWATER PUMP #B</t>
  </si>
  <si>
    <t>B164-016AT0094 → B164-016AT0093 → B164-016AT0092 → B164-996AT0022 → M0504 → D0531-L25 → M0510 → D0517-L15 → M0501 → D0503-L36 → M0502 → D0504-L36 → M0503 → D0501-L36 → M0328 → D0324-L36 → M0329 → B114-996CT0071 → B114-016CT0072 → B114-016CT0073 → B114-016CT0074 → B114-016CT0075 → B114-016CT0076 → B114-016CT0087 → B161-016CC0002 → END</t>
  </si>
  <si>
    <t>B2-HO-55068</t>
  </si>
  <si>
    <t xml:space="preserve">ELECTRIC HOIST FOR HRSG FEEDWATER PUMP #C </t>
  </si>
  <si>
    <t>B264-016AT0045 → B264-016AT0046 → B264-016AT0209 → B264-016AT0026 → B264-016AT0027 → B264-016AT0225 → B264-996AT0011 → M0405 → D0421-L31 → M0406 → D0301-L37 → M0301 → B215-996AT0026 → B215-016AT0048 → B215-016AT0049 → B215-016AT0050 → B215-016AT0051 → B215-016AT0064 → B215-016AT0065 → B215-016AT0066 → B215-016AT0055 → B261-016CC0002 → END</t>
  </si>
  <si>
    <t>B2-HO-55069</t>
  </si>
  <si>
    <t xml:space="preserve">ELECTRIC HOIST FOR HRSG FEEDWATER PUMP #D </t>
  </si>
  <si>
    <t>B264-016CT0047 → B264-016CT0209 → B264-016CT0026 → B264-016CT0027 → B264-016CT0221 → B264-996CT0009 → M0405 → D0421-L32 → M0406 → D0301-L36 → M0301 → B215-996BT0001 → B215-016BT0002 → B215-016BT0003 → B215-016BT0004 → B261-016AC0002 → END</t>
  </si>
  <si>
    <t>B1-HO-55070</t>
  </si>
  <si>
    <t>ELECTRIC HOIST FOR CEP #A</t>
  </si>
  <si>
    <t>B169-006AT0009 → B169-006AT0010 → B169-006AT0011 → B169-006AT0012 → B169-006AT0013 → B169-006AT0014 → B016-006AC0011 → END</t>
  </si>
  <si>
    <t>B2-HO-55071</t>
  </si>
  <si>
    <t>ELECTRIC HOIST FOR CEP #B</t>
  </si>
  <si>
    <t>B169-006AT0020 → B169-006AT0021 → B016-006BC0011 → END</t>
  </si>
  <si>
    <t>B1-HO-55061</t>
  </si>
  <si>
    <t>ELECTRIC HOIST FOR HRSG #1 Drum Area Hoist</t>
  </si>
  <si>
    <t>1.1_MAIN BUILDING COMPLEX / HRSG #11 (Above Drum level)</t>
  </si>
  <si>
    <t>B1-HO-55062</t>
  </si>
  <si>
    <t>ELECTRIC HOIST FOR HRSG #2 Drum Area Hoist</t>
  </si>
  <si>
    <t>1.1_MAIN BUILDING COMPLEX / HRSG #12 (Above Drum level)</t>
  </si>
  <si>
    <t>B164-016AT0118 → B164-016AT0117 → B164-016AT0116 → B164-996AT0023 → M0504 → D0531-L25 → M0510 → D0517-L15 → M0501 → D0503-L36 → M0502 → D0504-L36 → M0503 → D0501-L36 → M0328 → D0324-L36 → M0329 → B114-996CT0071 → B114-016CT0072 → B114-016CT0073 → B114-016CT0074 → B114-016CT0075 → B114-016CT0076 → B114-016CT0087 → B114-016CT0088 → B114-016CT0089 → B161-016CC0021 → END</t>
  </si>
  <si>
    <t>B2-HO-55063</t>
  </si>
  <si>
    <t>ELECTRIC HOIST FOR HRSG #3 Drum Area Hoist</t>
  </si>
  <si>
    <t>1.1_MAIN BUILDING COMPLEX / HRSG #21 (Above Drum level)</t>
  </si>
  <si>
    <t>B2-HO-55064</t>
  </si>
  <si>
    <t>ELECTRIC HOIST FOR HRSG #4 Drum Area Hoist</t>
  </si>
  <si>
    <t>1.1_MAIN BUILDING COMPLEX / HRSG #22 (Above Drum level)</t>
  </si>
  <si>
    <t>B264-016CT0047 → B264-016CT0209 → B264-016CT0026 → B264-016CT0027 → B264-016CT0221 → B264-996CT0009 → M0405 → D0421-L31 → M0406 → D0301-L37 → M0301 → B215-996BT0001 → B215-016BT0002 → B215-016BT0003 → B215-016BT0004 → B261-016AC0017 → END</t>
  </si>
  <si>
    <t>B0-HO-55050</t>
  </si>
  <si>
    <t>SUSPENSION CRANE FOR WATER DISTRIBUTION PUMP STATION</t>
  </si>
  <si>
    <t>B049-006BT0008 → B049-006BT0009 → B049-006BT0014 → B049-006BT0003 → B049-006BT0001 → D0204-L16 → M0207 → D0203-L22 → M0206 → D0205-L22 → M0205 → B025-996ET0004 → B025-016ET0022 → B025-016ET0021 → B025-016ET0030 → B025-016ET0031 → B025-016ET0032 → B025-016ET0033 → B025-016ET0034 → B025-996ET0006 → M0202 → D0201-L13 → M0201 → B079-006AC0013 → END</t>
  </si>
  <si>
    <t>B0-HO-55051</t>
  </si>
  <si>
    <t>SUSPENSION CRANE FOR WATER SUPPLY PUMPING STATION</t>
  </si>
  <si>
    <t>B049-006BT0008 → B049-006BT0009 → B049-006BT0014 → B049-006BT0003 → B049-006BT0001 → D0204-L14 → M0207 → D0206-L11 → M0208 → D0207-L11 → M0210 → D0209-L11 → M0209 → B038-006BC0010 → END</t>
  </si>
  <si>
    <t>B0-HO-55053</t>
  </si>
  <si>
    <t>SUSPENSION CRANE FOR RAW WATER &amp; FIRE WATER PUMP HOUSE</t>
  </si>
  <si>
    <t>B049-006BT0008 → B049-006BT0009 → B049-006BT0014 → B049-006BT0003 → B049-006BT0001 → D0204-L16 → M0207 → D0203-L22 → M0206 → D0205-L22 → M0205 → B025-996ET0004 → B025-016ET0022 → B025-016ET0021 → B038-016AC0004 → END</t>
  </si>
  <si>
    <t>B1-HO-55052</t>
  </si>
  <si>
    <t>SUSPENSION CRANE FOR CCW PUMP BUILDING</t>
  </si>
  <si>
    <t>B164-016AT0090 → B164-016AT0216 → B164-016AT0215 → B164-016AT0055 → B164-016AT0056 → B164-016AT0057 → B164-016AT0058 → B164-016AT0059 → B164-016AT0060 → B164-016AT0254 → B164-016AT0253 → B164-016AT0252 → B164-996AT0021 → M0505 → D0524-L11 → M0506 → D0505-L11 → M0507 → D0506-L11 → M0508 → B132-006AC0051 → END</t>
  </si>
  <si>
    <t>B2-HO-55054</t>
  </si>
  <si>
    <t>B264-016BT0045 → B264-016BT0205 → B264-016BT0024 → B264-016BT0206 → B264-996BT0001 → M0401 → D0403-L11 → M0402 → D0402-L11 → M0424 → D0401-L11 → M0404 → B232-006AC0051 → END</t>
  </si>
  <si>
    <t>B0-HO-55060</t>
  </si>
  <si>
    <t>SUSPENSION CRANE FOR DIESEL OIL PUMP STATION</t>
  </si>
  <si>
    <t>B049-006BT0008 → B049-006BT0009 → B049-006BT0014 → B049-006BT0003 → B049-006BT0001 → D0204-L15 → M0207 → D0203-L21 → M0206 → D0205-L21 → M0205 → B025-996ET0004 → B025-016ET0022 → B025-016ET0021 → B025-016ET0020 → B025-016ET0019 → B025-016ET0018 → B025-016ET0017 → B025-016ET0016 → B025-996ET0003 → M0103 → B070-006AC0010 → END</t>
  </si>
  <si>
    <t>B1-HO-55015</t>
  </si>
  <si>
    <t>ELECTRIC HOIST FOR GT GCB #1A</t>
  </si>
  <si>
    <t>B164-016ET0106 → B164-996ET0022 → M0504 → D0531-L37 → M0510 → D0502-L41 → M0326 → D0320-L41 → M0325 → B161-006BC0016 → END</t>
  </si>
  <si>
    <t>B2-HO-55016</t>
  </si>
  <si>
    <t>ELECTRIC HOIST FOR GT GCB #2A</t>
  </si>
  <si>
    <t>WASTE WATER TRANSFER SYSTEM</t>
  </si>
  <si>
    <t>B0-LCP-3901</t>
  </si>
  <si>
    <t>HRSG #1 BLOWDOWN TANK AREA SUMP PUMP_LCP</t>
  </si>
  <si>
    <t>1.1_MAIN BUILDING COMPLEX / HRSG BLOWDOWN PIT</t>
  </si>
  <si>
    <t>B164-016ET0106 → B164-996ET0022 → M0504 → D0531-L24 → M0510 → D0517-L14 → M0501 → D0503-L35 → M0502 → D0504-L35 → M0503 → D0501-L35 → M0328 → D0324-L35 → M0329 → B161-006AC0006 → B161-016AC0019 → B161-016AC0022 → END</t>
  </si>
  <si>
    <t>B0-M-39001A</t>
  </si>
  <si>
    <t>UNIT #11 HRSG BLOWDOWN AREA CHEMICAL SUMP PUMP #1_MOTOR (FROM LCP, CABLE ONLY)</t>
  </si>
  <si>
    <t>B161-016AC0025 → END</t>
  </si>
  <si>
    <t>UNIT #11 HRSG BLOWDOWN AREA CHEMICAL SUMP PUMP #1_MOTOR S/H (FROM LCP, CABLE ONLY)</t>
  </si>
  <si>
    <t>B161-017AC0007 → END</t>
  </si>
  <si>
    <t>B0-M-39001B</t>
  </si>
  <si>
    <t>UNIT #1 HRSG BLOWDOWN TANK  AREA  SUMP PUMP #2_MOTOR (FROM LCP, CABLE ONLY)</t>
  </si>
  <si>
    <t>B161-016AC0026 → END</t>
  </si>
  <si>
    <t>UNIT #11 HRSG BLOWDOWN AREA CHEMICAL SUMP PUMP #2_MOTOR S/H (FROM LCP, CABLE ONLY)</t>
  </si>
  <si>
    <t>B161-017AC0008 → END</t>
  </si>
  <si>
    <t>B0-LCP-3903</t>
  </si>
  <si>
    <t>HRSG #2 BLOWDOWN TANK AREA SUMP PUMP_LCP</t>
  </si>
  <si>
    <t>B164-016AT0094 → B164-016AT0093 → B164-016AT0092 → B164-996AT0022 → M0504 → D0531-L25 → M0510 → D0517-L15 → M0501 → D0503-L36 → M0502 → D0504-L36 → M0503 → D0501-L36 → M0328 → D0324-L36 → M0329 → B114-996CT0071 → B114-016CT0072 → B114-016CT0073 → B114-016CT0074 → B114-016CT0075 → B161-016CC0026 → B161-006CC0006 → B161-016CC0022 → B161-016CC0015 → END</t>
  </si>
  <si>
    <t>B0-M-39003A</t>
  </si>
  <si>
    <t>UNIT #2 HRSG BLOWDOWN TANK  AREA  SUMP PUMP #1_MOTOR (FROM LCP, CABLE ONLY)</t>
  </si>
  <si>
    <t>B161-016CC0036 → END</t>
  </si>
  <si>
    <t>UNIT #2 HRSG BLOWDOWN AREA CHEMICAL SUMP PUMP #1_MOTOR S/H (FROM LCP, CABLE ONLY)</t>
  </si>
  <si>
    <t>B161-017CC0007 → END</t>
  </si>
  <si>
    <t>B0-M-39003B</t>
  </si>
  <si>
    <t>UNIT #2 HRSG BLOWDOWN TANK  AREA  SUMP PUMP #2_MOTOR (FROM LCP, CABLE ONLY)</t>
  </si>
  <si>
    <t>B161-016CC0037 → END</t>
  </si>
  <si>
    <t>UNIT #2 HRSG BLOWDOWN AREA CHEMICAL SUMP PUMP #2_MOTOR S/H (FROM LCP, CABLE ONLY)</t>
  </si>
  <si>
    <t>B161-017CC0008 → END</t>
  </si>
  <si>
    <t>B0-LCP-3905</t>
  </si>
  <si>
    <t>HRSG #3 BLOWDOWN TANK AREA SUMP PUMP_LCP</t>
  </si>
  <si>
    <t>B264-016AT0045 → B264-016AT0046 → B264-016AT0209 → B264-016AT0026 → B264-016AT0027 → B264-016AT0225 → B264-996AT0011 → M0405 → D0421-L31 → M0406 → D0301-L37 → M0301 → B215-996BT0001 → B215-016BT0002 → B215-016BT0003 → B215-016BT0004 → B215-016BT0005 → B215-016BT0031 → B215-016BT0032 → B215-016BT0033 → B261-016CC0025 → B261-006CC0006 → B261-016CC0019 → B261-016CC0024 → END</t>
  </si>
  <si>
    <t>B0-M-39005A</t>
  </si>
  <si>
    <t>UNIT #3 HRSG BLOWDOWN TANK  AREA  SUMP PUMP #1_MOTOR (FROM LCP, CABLE ONLY)</t>
  </si>
  <si>
    <t>B261-016AC0031 → END</t>
  </si>
  <si>
    <t>UNIT #21 HRSG BLOWDOWN AREA CHEMICAL SUMP PUMP #1_MOTOR S/H (FROM LCP, CABLE ONLY)</t>
  </si>
  <si>
    <t>B261-017AC0007 → END</t>
  </si>
  <si>
    <t>B0-M-39005B</t>
  </si>
  <si>
    <t>UNIT #3 HRSG BLOWDOWN TANK  AREA  SUMP PUMP #2_MOTOR (FROM LCP, CABLE ONLY)</t>
  </si>
  <si>
    <t>B261-016AC0032 → END</t>
  </si>
  <si>
    <t>UNIT #21 HRSG BLOWDOWN AREA CHEMICAL SUMP PUMP #2_MOTOR S/H (FROM LCP, CABLE ONLY)</t>
  </si>
  <si>
    <t>B261-017AC0008 → END</t>
  </si>
  <si>
    <t>B0-LCP-3907</t>
  </si>
  <si>
    <t>HRSG #4 BLOWDOWN TANK AREA SUMP PUMP_LCP</t>
  </si>
  <si>
    <t>B264-016CT0028 → B264-016CT0221 → B264-996CT0009 → M0405 → D0421-L32 → M0406 → D0301-L36 → M0301 → B215-996AT0026 → B215-016AT0048 → B215-016AT0049 → B215-016AT0050 → B215-016AT0051 → B215-016AT0064 → B215-016AT0065 → B261-016AC0022 → B261-006AC0006 → B261-016AC0018 → B261-016AC0011 → END</t>
  </si>
  <si>
    <t>B0-M-39007A</t>
  </si>
  <si>
    <t>UNIT #4 HRSG BLOWDOWN TANK  AREA  SUMP PUMP #1_MOTOR (FROM LCP, CABLE ONLY)</t>
  </si>
  <si>
    <t>B261-016CC0032 → END</t>
  </si>
  <si>
    <t>UNIT #22 HRSG BLOWDOWN AREA CHEMICAL SUMP PUMP #1_MOTOR S/H (FROM LCP, CABLE ONLY)</t>
  </si>
  <si>
    <t>B261-017CC0007 → END</t>
  </si>
  <si>
    <t>B0-M-39007B</t>
  </si>
  <si>
    <t>UNIT #4 HRSG BLOWDOWN TANK  AREA  SUMP PUMP #2_MOTOR (FROM LCP, CABLE ONLY)</t>
  </si>
  <si>
    <t>B261-016CC0033 → END</t>
  </si>
  <si>
    <t>UNIT #22 HRSG BLOWDOWN AREA CHEMICAL SUMP PUMP #2_MOTOR S/H (FROM LCP, CABLE ONLY)</t>
  </si>
  <si>
    <t>B261-017CC0008 → END</t>
  </si>
  <si>
    <t>B0-LCP-3909</t>
  </si>
  <si>
    <t>BLOCK #1 TURBINE AREA SUMP_LOCAL CONTROL PANEL</t>
  </si>
  <si>
    <t>1.1_MAIN BUILDING COMPLEX / FLASH TANK PIT</t>
  </si>
  <si>
    <t>B159-006AT0003 → B159-006AT0025 → D0326-L21 → M0316 → B113-996AT0012 → B113-016AT0011 → B113-016AT0004 → B113-016AT0003 → B113-016AT0005 → B113-016AT0006 → B113-016AT0007 → B113-006AC0004 → B113-016AC0013 → B113-016AC0010 → END</t>
  </si>
  <si>
    <t>B0-M-39009A</t>
  </si>
  <si>
    <t>BLOCK #1   TURBINE AREA  SUMP PUMP #1_MOTOR (FROM LCP, CABLE ONLY)</t>
  </si>
  <si>
    <t>B113-016AC0015 → END</t>
  </si>
  <si>
    <t>BLOCK #1 FLASH TANK AREA CHEMICAL SUMP PUMP #1_MOTOR S/H (FROM LCP, CABLE ONLY)</t>
  </si>
  <si>
    <t>B113-017AC0001 → END</t>
  </si>
  <si>
    <t>B0-M-39009B</t>
  </si>
  <si>
    <t>BLOCK #1 TURBINE AREA  SUMP PUMPP #2_MOTOR (FROM LCP, CABLE ONLY)</t>
  </si>
  <si>
    <t>B113-016AC0016 → END</t>
  </si>
  <si>
    <t>BLOCK #1 FLASH TANK AREA CHEMICAL SUMP PUMP #2_MOTOR S/H (FROM LCP, CABLE ONLY)</t>
  </si>
  <si>
    <t>B113-017AC0002 → END</t>
  </si>
  <si>
    <t>B0-LCP-3913</t>
  </si>
  <si>
    <t>BLOCK #2  TURBINE AREA  SUMP_LOCAL CONTROL PANEL</t>
  </si>
  <si>
    <t>B259-006AT0006 → B259-006AT0005 → B259-006AT0014 → B259-006AT0025 → D0325-L21 → M0313 → B213-996AT0012 → B213-016AT0011 → B213-016AT0004 → B213-016AT0003 → B213-016AT0005 → B213-016AT0006 → B213-016AT0007 → B213-006AC0004 → B213-016AC0013 → B213-016AC0010 → END</t>
  </si>
  <si>
    <t>B0-M-39013A</t>
  </si>
  <si>
    <t>BLOCK #2  TURBINE AREA  SUMP PUMP #1_MOTOR (FROM LCP, CABLE ONLY)</t>
  </si>
  <si>
    <t>B213-016AC0015 → END</t>
  </si>
  <si>
    <t>BLOCK #2 FLASH TANK AREA CHEMICAL SUMP PUMP #1_MOTOR S/H (FROM LCP, CABLE ONLY)</t>
  </si>
  <si>
    <t>B213-017AC0001 → END</t>
  </si>
  <si>
    <t>B0-M-39013B</t>
  </si>
  <si>
    <t>BLOCK #2   TURBINE AREA  SUMP PUMPP #2_MOTOR (FROM LCP, CABLE ONLY)</t>
  </si>
  <si>
    <t>B213-016AC0016 → END</t>
  </si>
  <si>
    <t>BLOCK #2 FLASH TANK AREA CHEMICAL SUMP PUMP #2_MOTOR S/H (FROM LCP, CABLE ONLY)</t>
  </si>
  <si>
    <t>B213-017AC0002 → END</t>
  </si>
  <si>
    <t>CHEMICAL DOSING SYSTEM</t>
  </si>
  <si>
    <t>B1-LCP-4201</t>
  </si>
  <si>
    <t>CHEMICAL DOSING SYSTEM FOR BLOCK#1</t>
  </si>
  <si>
    <t>1.1_MAIN BUILDING COMPLEX (CHEMICAL DOSING SKID)</t>
  </si>
  <si>
    <t>B164-016AT0115 → B164-996AT0023 → M0504 → D0531-L24 → M0510 → D0517-L14 → M0501 → D0503-L35 → M0502 → D0504-L35 → M0503 → D0501-L35 → M0328 → D0324-L35 → M0329 → B114-996CT0071 → B114-016CT0072 → B114-016CT0073 → B114-016CT0074 → B114-016CT0075 → B161-016CC0020 → B161-006CC0014 → END</t>
  </si>
  <si>
    <t>B2-LCP-4202</t>
  </si>
  <si>
    <t>CHEMICAL DOSING SYSTEM FOR BLOCK#2</t>
  </si>
  <si>
    <t>B264-016AT0045 → B264-016AT0046 → B264-016AT0209 → B264-016AT0026 → B264-016AT0027 → B264-016AT0225 → B264-996AT0011 → M0405 → D0421-L31 → M0406 → D0301-L37 → M0301 → B215-996BT0001 → B215-016BT0002 → B215-016BT0003 → B215-016BT0004 → B215-016BT0005 → B215-016BT0031 → B215-016BT0032 → B215-016BT0033 → B261-016AC0016 → B261-006AC0012 → END</t>
  </si>
  <si>
    <t>STEAM AND WATER ANALYSIS SYSTEM</t>
  </si>
  <si>
    <t>B1-LCP-4101</t>
  </si>
  <si>
    <t>STEAM AND WATER ANALYSIS SYSTEM FOR BLOCK#1</t>
  </si>
  <si>
    <t>23.1_EMERGENCY LUBE OIL PIT FOR GT BLOCK#1 (SWAS CONTAINER)</t>
  </si>
  <si>
    <t>B164-006GT0201 → B164-006GT0001 → B164-006GT0002 → B164-006GT0003 → B064-006AC0007 → M0501 → D0503-L38 → M0502 → D0504-L38 → M0503 → D0501-L38 → M0328 → D0324-L38 → M0329 → B114-996BT0046 → B114-016BT0045 → B114-016BT0044 → B114-016BT0043 → B114-016BT0042 → B114-016BT0041 → B161-016CC0014 → B161-006CC0013 → END</t>
  </si>
  <si>
    <t>B1-A-4101</t>
  </si>
  <si>
    <t>GLYCOL ANALYZER CABINET (B #1)</t>
  </si>
  <si>
    <t>B064-006FT0205 → B064-006FT0003 → B064-006AC0008 → M0501 → B064-996AT0120 → B064-016AT0033 → B064-016AT0034 → B064-016AT0233 → B064-016AT0234 → B064-016AT0048 → B064-016AT0049 → B064-016AT0240 → B064-016AT0290 → B064-016AT0068 → B064-016AT0067 → B064-016AT0277 → B064-016AT0278 → B064-016AT0094 → B064-016AT0296 → B064-016AT0110 → B064-016AT0109 → B064-016AT0285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B078-016AC0011 → B078-006AC0044 → B078-007AC0007 → END</t>
  </si>
  <si>
    <t>B2-LCP-4101</t>
  </si>
  <si>
    <t>STEAM AND WATER ANALYSIS SYSTEM FOR BLOCK#2</t>
  </si>
  <si>
    <t>23.1_EMERGENCY LUBE OIL PIT FOR GT BLOCK#2 (SWAS CONTAINER)</t>
  </si>
  <si>
    <t>B264-016AT0045 → B264-016AT0046 → B264-016AT0209 → B264-016AT0026 → B264-016AT0027 → B264-016AT0225 → B264-996AT0011 → M0405 → D0421-L33 → M0406 → D0301-L35 → M0301 → B215-996BT0001 → B215-016BT0002 → B215-016BT0003 → B215-016BT0004 → B215-016BT0005 → B215-016BT0031 → B215-016BT0032 → B215-016BT0033 → B215-016BT0034 → B261-016CC0022 → B261-006CC0012 → END</t>
  </si>
  <si>
    <t>B264-016FT0061 → B264-016FT0060 → B264-006AC0001 → M0405 → D0421-L33 → M0406 → D0301-L35 → M0301 → B215-996BT0001 → B215-016BT0002 → B215-016BT0003 → B215-016BT0004 → B215-016BT0005 → B215-016BT0031 → B215-016BT0032 → B215-016BT0033 → B215-016BT0034 → B261-016CC0023 → B261-006CC0013 → END</t>
  </si>
  <si>
    <t>B0-E-37001</t>
  </si>
  <si>
    <t>POTABLE WATER CHILLER UNIT</t>
  </si>
  <si>
    <t>B049-006BT0008 → B049-006BT0009 → B049-006BT0014 → B049-006BT0003 → B049-006BT0001 → D0204-L14 → M0207 → D0206-L11 → M0208 → D0207-L11 → M0210 → D0209-L11 → M0209 → B038-006BC0001 → END</t>
  </si>
  <si>
    <t>B2-A-4101</t>
  </si>
  <si>
    <t>B164-006HT0206 → B164-006HT0009 → B164-006HT0010 → B164-006HT0210 → B164-006HT0209 → B164-006HT0006 → B064-006AC0008 → M0501 → B064-996BT0019 → B064-016BT0013 → B064-016BT0014 → B064-016BT0015 → B064-016BT0016 → B064-016BT0309 → B064-016BT0037 → B064-016BT0242 → B064-016BT0243 → B064-016BT0244 → B064-016BT0292 → B064-016BT0293 → B064-016BT0294 → B025-016CT0090 → B025-016CT0089 → B025-016CT0067 → B025-016CT0066 → B025-016CT0065 → B025-016CT0064 → B025-016CT0063 → B025-016CT0062 → B025-016CT0061 → B025-016CT0060 → B025-996CT0020 → B025-016CT0059 → B025-016CT0055 → B025-996CT0019 → B025-016CT0056 → B025-016CT0133 → B078-016AC0010 → B078-006AC0045 → B078-007AC0008 → END</t>
  </si>
  <si>
    <t>WORKSHOP EQUIPMENT</t>
  </si>
  <si>
    <t>MILLING MACHINE (C1)</t>
  </si>
  <si>
    <t>B071-006AT0001 → B071-006BT0002 → B071-016AC0005 → B071-006AC0007 → END</t>
  </si>
  <si>
    <t>LATHE MACHINE (C2)</t>
  </si>
  <si>
    <t>B071-006AT0001 → B071-006BT0002 → B071-016AC0005 → B071-006AC0006 → END</t>
  </si>
  <si>
    <t>HACKSAW (3)</t>
  </si>
  <si>
    <t>B071-006AT0001 → B071-006BT0002 → B071-016AC0005 → B071-016AC0003 → B071-006AC0008 → END</t>
  </si>
  <si>
    <t>POWER SOCKET FOR GRINDING MACHINE (P1)</t>
  </si>
  <si>
    <t>B071-006AT0001 → B071-006BT0002 → B071-016AC0005 → B071-006AC0005 → END</t>
  </si>
  <si>
    <t>B0-DB-72601</t>
  </si>
  <si>
    <t>400V-230V DIST. BOARD FOR WORKSHOP - A</t>
  </si>
  <si>
    <t>POWER SOCKET FOR DRILLING MACHINE (P2)</t>
  </si>
  <si>
    <t>B071-006AT0001 → B071-006BT0002 → B071-016AC0005 → B071-007AC0003 → END</t>
  </si>
  <si>
    <t>POWER SOCKET FOR ARGON ARC WELDING MACHINE (P3)</t>
  </si>
  <si>
    <t>B071-006AT0001 → B071-006BT0002 → B071-016AC0005 → B071-016AC0002 → B071-016AC0001 → B071-006AC0009 → END</t>
  </si>
  <si>
    <t>POWER SOCKET FOR ELECTRICAL WELDING MACHINE (P4)</t>
  </si>
  <si>
    <t>B071-006AT0001 → B071-006BT0002 → B071-016AC0005 → B071-016AC0002 → B071-016AC0001 → B071-006AC0010 → END</t>
  </si>
  <si>
    <t>POWER SOCKET FOR DRYING OVEN (P5)</t>
  </si>
  <si>
    <t>B071-006AT0001 → B071-006BT0002 → B071-016AC0005 → B071-016AC0002 → B071-016AC0001 → B071-007AC0009 → END</t>
  </si>
  <si>
    <t>B0-DB-72602</t>
  </si>
  <si>
    <t>400V-230V DIST. BOARD FOR WORKSHOP - B</t>
  </si>
  <si>
    <t>POWER SOCKET FOR HYDROSTATIC TESTING MACHINE (P6)</t>
  </si>
  <si>
    <t>B071-006AT0001 → B071-006BT0002 → B071-016AC0004 → B071-016AC0003 → B071-007AC0004 → END</t>
  </si>
  <si>
    <t>POWER SOCKET FOR STEAM CLEANING MACHINE (P7)</t>
  </si>
  <si>
    <t>B071-006AT0001 → B071-006BT0002 → B071-016AC0004 → B071-016AC0003 → B071-007AC0005 → END</t>
  </si>
  <si>
    <t>POWER SOCKET FOR WATER JET MACHINE (P8)</t>
  </si>
  <si>
    <t>B071-006AT0001 → B071-006BT0002 → B071-016AC0004 → B071-016AC0003 → B071-007AC0006 → END</t>
  </si>
  <si>
    <t>POWER SOCKET FOR VACUUM CLEANER (P9)</t>
  </si>
  <si>
    <t>B071-006AT0001 → B071-006BT0002 → B071-016AC0004 → B071-016AC0003 → B071-007AC0007 → END</t>
  </si>
  <si>
    <t>POWER SOCKET FOR VACUUM CLEANER (P10)</t>
  </si>
  <si>
    <t>B071-006AT0001 → B071-006BT0002 → B071-016AC0004 → B071-016AC0002 → B071-007AC0008 → END</t>
  </si>
  <si>
    <t>POWER SOCKET FOR WELDING DUST COLLECTOR (P11)</t>
  </si>
  <si>
    <t>B071-006AT0001 → B071-006BT0002 → B071-016AC0005 → B071-016AC0002 → B071-016AC0001 → B071-007AC0010 → END</t>
  </si>
  <si>
    <t>POWER SOCKET FOR INSTRUMENT WORKBENCH (P12)</t>
  </si>
  <si>
    <t>B071-006AT0001 → B071-006BT0002 → B071-017AC0001 → B071-007AC0001 → END</t>
  </si>
  <si>
    <t>POWER SOCKET FOR PNEMATIC WORKBENCH (P13)</t>
  </si>
  <si>
    <t>B071-006AT0001 → B071-006BT0002 → B071-017AC0001 → B071-007AC0002 → END</t>
  </si>
  <si>
    <t>DCS</t>
  </si>
  <si>
    <t>B0-PDP-0003</t>
  </si>
  <si>
    <t>COMMON DCS (CER) PDP PRIMARY</t>
  </si>
  <si>
    <t>B064-006FT0206 → B064-006FT0009 → B064-006FT0208 → B064-006FT0207 → B064-006FT0005 → B064-006AC0014 → M0501 → B064-996GT0020 → B064-016GT0033 → B064-016GT0229 → B064-016GT0230 → B064-016GT0047 → B064-016GT0048 → B064-016GT0239 → B064-996GT0013 → B064-996GT0053 → B064-996GT0073 → B064-037AT0214 → B064-037AT0213 → B064-037AT0212 → B064-037AT0211 → B064-037AT0210 → B064-037AT0015 → B064-037AT0014 → END</t>
  </si>
  <si>
    <t>COMMON DCS (CER) PDP SECONDARY</t>
  </si>
  <si>
    <t>B164-006HT0205 → B164-006HT0004 → B164-006HT0005 → B064-006AC0015 → M0501 → B064-996AT0020 → B064-016AT0222 → B064-996AT0005 → B064-996AT0045 → B064-996AT0065 → B064-036AT0008 → B064-036AT0203 → B064-036AT0013 → B064-036AT0014 → END</t>
  </si>
  <si>
    <t>B0-DB-64602</t>
  </si>
  <si>
    <t>400V-230V DIST. BOARD FOR COMMON - B</t>
  </si>
  <si>
    <t>COMMON DCS (CER) NORMAL</t>
  </si>
  <si>
    <t>B064-016AT0032 → B064-016AT0033 → B064-016AT0034 → B064-016AT0232 → B064-016AT0013 → B064-016AT0222 → B064-996AT0005 → B064-996AT0045 → B064-996AT0065 → B064-036AT0008 → B064-036AT0203 → B064-036AT0013 → B064-036AT0014 → END</t>
  </si>
  <si>
    <t>B0-D-0011</t>
  </si>
  <si>
    <t>WT/WWT DCS CONTROLLER CABINET SECONDARY</t>
  </si>
  <si>
    <t>B164-006HT0206 → B164-006HT0205 → B164-006HT0004 → B164-006HT0005 → B064-006AC0011 → M0501 → D0503-L38 → M0502 → D0504-L38 → M0503 → D0501-L38 → M0328 → D0324-L38 → M0329 → B114-996AT0021 → B114-016AT0020 → B114-016AT0025 → B025-016FT0042 → B025-016FT0041 → B025-016FT0040 → B025-996FT0016 → B025-016FT0039 → B025-016FT0038 → B025-016FT0036 → B025-016FT0035 → B025-016FT0033 → B025-016FT0032 → B025-016FT0031 → B025-016FT0030 → B025-016FT0028 → B025-016FT0029 → B025-996FT0005 → M0205 → D0205-L23 → M0206 → D0203-L22 → M0207 → D0204-L17 → B049-006AT0002 → B049-006AT0003 → B049-006AT0012 → B049-996AT0013 → B049-996AT0017 → B049-016AT0018 → B049-016AT0019 → B049-016AT0020 → B049-016AT0027 → B049-016AT0028 → B049-016AT0029 → END</t>
  </si>
  <si>
    <t>B0-DB-49601</t>
  </si>
  <si>
    <t>400V-230V DIST. BOARD FOR WATER TREATMENT - A</t>
  </si>
  <si>
    <t>WT/WWT DCS CONTROLLER CABINET NORMAL</t>
  </si>
  <si>
    <t>B049-006AT0004 → B049-006AT0012 → B049-996AT0013 → B049-996AT0017 → B049-016AT0018 → B049-016AT0019 → B049-016AT0020 → B049-016AT0027 → B049-016AT0028 → B049-016AT0029 → END</t>
  </si>
  <si>
    <t>B1-PDP-0001</t>
  </si>
  <si>
    <t>BLOCK #1 DCS (SERVER ROOM) PDP PRIMARY</t>
  </si>
  <si>
    <t>25_ADMINISTRATIVE AND HOUSEHOLD BUILDING</t>
  </si>
  <si>
    <t>BLOCK #1 DCS (SERVER ROOM) PDP  SECONDARY</t>
  </si>
  <si>
    <t>B2-PDP-0001</t>
  </si>
  <si>
    <t>BLOCK #2 DCS (SERVER ROOM) PDP PRIMARY</t>
  </si>
  <si>
    <t>BLOCK #2 DCS (SERVER ROOM) PDP  SECONDARY</t>
  </si>
  <si>
    <t>B1-PDP-0011</t>
  </si>
  <si>
    <t>B164-006GT0202 → B164-006GT0201 → B164-006GT0001 → B164-006GT0002 → B164-006GT0003 → B064-006AC0014 → M0501 → B064-996GT0020 → B064-016GT0033 → B064-016GT0229 → B064-016GT0230 → B064-016GT0047 → B064-016GT0048 → B064-016GT0239 → B064-016GT0239 → B064-996GT0013 → B064-996GT0053 → B064-996GT0073 → B064-037AT0214 → B064-037AT0213 → B064-037AT0212 → B064-037AT0211 → B064-037AT0210 → B064-037AT0016 → B064-037AT0017 → B064-037AT0018 → END</t>
  </si>
  <si>
    <t>BLOCK #1 DCS (LER) PDP SECONDARY</t>
  </si>
  <si>
    <t>B164-006HT0202 → B164-006HT0007 → B164-006HT0008 → B164-006HT0009 → B164-006HT0010 → B164-006HT0210 → B164-006HT0209 → B164-006HT0006 → B064-006AC0015 → M0501 → B064-996AT0020 → B064-016AT0222 → B064-996AT0005 → B064-996AT0045 → B064-996AT0065 → B064-036AT0008 → B064-036AT0203 → B064-036AT0013 → B064-036AT0014 → B064-036AT0015 → B064-036AT0016 → B064-036AT0017 → B064-036AT0018 → END</t>
  </si>
  <si>
    <t xml:space="preserve">BLOCK #1 DCS (LER) PDP NORMAL </t>
  </si>
  <si>
    <t>B064-016AT0111 → B064-016AT0296 → B064-016AT0094 → B064-016AT0278 → B064-016AT0277 → B064-016AT0067 → B064-016AT0068 → B064-016AT0290 → B064-016AT0240 → B064-016AT0049 → B064-016AT0048 → B064-016AT0234 → B064-016AT0233 → B064-016AT0232 → B064-016AT0013 → B064-016AT0222 → B064-996AT0005 → B064-996AT0045 → B064-996AT0065 → B064-036AT0008 → B064-036AT0203 → B064-036AT0013 → B064-036AT0014 → B064-036AT0015 → B064-036AT0016 → B064-036AT0017 → B064-036AT0018 → END</t>
  </si>
  <si>
    <t>B2-PDP-0011</t>
  </si>
  <si>
    <t>BLOCK #2 DCS (LER) PDP PRIMARY</t>
  </si>
  <si>
    <t>B264-016ET0061 → B264-016ET0248 → B264-016ET0062 → B264-006AC0006 → M0407 → B264-996BT0013 → B264-016BT0048 → B264-016BT0049 → B264-016BT0050 → B264-016BT0240 → B264-016BT0055 → B264-016BT0242 → END</t>
  </si>
  <si>
    <t>BLOCK #2 DCS (LER) PDP SECONDARY</t>
  </si>
  <si>
    <t>B264-016DT0061 → B264-016DT0248 → B264-016ET0062 → B264-006AC0006 → M0407 → B264-996AT0013 → B264-016AT0048 → B264-016AT0049 → B264-016AT0050 → B264-016AT0240 → B264-016AT0055 → B264-016AT0056 → B264-016AT0243 → END</t>
  </si>
  <si>
    <t xml:space="preserve">BLOCK #2 DCS (LER) PDP NORMAL </t>
  </si>
  <si>
    <t>B1-D-0030</t>
  </si>
  <si>
    <t>STG #1 DCS CONTROLLER CABINET PRIMARY</t>
  </si>
  <si>
    <t>1.1_MAIN BUILDING COMPLEX (STG LER #1)</t>
  </si>
  <si>
    <t>B159-007AT0003 → B159-007AT0004 → B159-007AT0020 → B159-007AT0009 → B159-007AT0021 → END</t>
  </si>
  <si>
    <t>STG #1 DCS CONTROLLER CABINET SECONDARY</t>
  </si>
  <si>
    <t>B159-006BT0003 → B159-006BT0019 → B159-006BT0006 → B159-006BT0018 → B159-006BT0010 → END</t>
  </si>
  <si>
    <t xml:space="preserve">STG #1 DCS CONTROLLER CABINET NORMAL </t>
  </si>
  <si>
    <t>B2-D-0030</t>
  </si>
  <si>
    <t>STG #2 DCS CONTROLLER CABINET PRIMARY</t>
  </si>
  <si>
    <t>1.1_MAIN BUILDING COMPLEX (STG LER #2)</t>
  </si>
  <si>
    <t>B259-007AT0003 → B259-007AT0004 → B259-007AT0020 → B259-007AT0009 → B259-007AT0021 → B259-007AT0010 → END</t>
  </si>
  <si>
    <t>STG #2 DCS CONTROLLER CABINET SECONDARY</t>
  </si>
  <si>
    <t>B259-006BT0003 → B259-006BT0019 → B259-006BT0006 → B259-006BT0018 → B259-006BT0010 → END</t>
  </si>
  <si>
    <t xml:space="preserve">STG #2 DCS CONTROLLER CABINET NORMAL </t>
  </si>
  <si>
    <t>B0-UPSP-69702</t>
  </si>
  <si>
    <t>400/230V AC UPS LOCAL DISTRIBUTION PANEL FOR ACC - B</t>
  </si>
  <si>
    <t>B1-D-0040</t>
  </si>
  <si>
    <t>ACC #1 DCS REMOTE IO CABINET PRIMARY</t>
  </si>
  <si>
    <t>B169-007AT0005 → B169-007AT0006 → B169-007AT0007 → B169-007AT0040 → B169-007AT0041 → END</t>
  </si>
  <si>
    <t>B0-UPSP-69701</t>
  </si>
  <si>
    <t>400/230V AC UPS LOCAL DISTRIBUTION PANEL FOR ACC - A</t>
  </si>
  <si>
    <t>ACC #1 DCS REMOTE IO CABINET SECONDARY</t>
  </si>
  <si>
    <t>B169-006AT0013 → B169-006AT0014 → B169-006AT0040 → END</t>
  </si>
  <si>
    <t xml:space="preserve">ACC #1 DCS REMOTE IO CABINET NORMAL </t>
  </si>
  <si>
    <t>B169-006AT0017 → B169-006AT0018 → B169-006AT0019 → B169-006AT0020 → B169-006AT0021 → B169-006AT0039 → B169-006AT0040 → END</t>
  </si>
  <si>
    <t>B2-D-0040</t>
  </si>
  <si>
    <t>ACC #2 DCS REMOTE IO CABINET PRIMARY</t>
  </si>
  <si>
    <t>B169-007AT0005 → B169-007AT0006 → B169-007AT0007 → B169-007AT0039 → B169-007AT0038 → B169-007AT0037 → END</t>
  </si>
  <si>
    <t>ACC #2 DCS REMOTE IO CABINET SECONDARY</t>
  </si>
  <si>
    <t>B169-006AT0013 → B169-006AT0014 → B169-006AT0039 → B169-006AT0038 → END</t>
  </si>
  <si>
    <t xml:space="preserve">ACC #2 DCS REMOTE IO CABINET NORMAL </t>
  </si>
  <si>
    <t>B169-006AT0020 → B169-006AT0021 → B169-006AT0038 → END</t>
  </si>
  <si>
    <t>GAS METERING SYSTEM</t>
  </si>
  <si>
    <t>B0-FM-4401</t>
  </si>
  <si>
    <t>GAS METERING PANEL (COMMON) PRIMARY</t>
  </si>
  <si>
    <t>GAS METERING PANEL (COMMON) SEONDARY</t>
  </si>
  <si>
    <t>B0-DB-64601</t>
  </si>
  <si>
    <t>400V-230V DIST. BOARD FOR COMMON - A</t>
  </si>
  <si>
    <t>GAS METERING PANEL (COMMON) NORMAL</t>
  </si>
  <si>
    <t>B1-FM-4402</t>
  </si>
  <si>
    <t>GAS METERING PANEL (BLOCK #1) PRIMARY</t>
  </si>
  <si>
    <t>B164-006GT0201 → B164-006GT0001 → B164-006GT0002 → B164-006GT0003 → B064-006AC0018 → M0501 → B064-996GT0020 → B064-016GT0033 → B064-016GT0229 → B064-016GT0230 → B064-016GT0047 → B064-016GT0048 → B064-016GT0239 → B064-996GT0013 → B064-996GT0053 → B064-996GT0073 → B064-037AT0214 → B064-037AT0039 → B064-037AT0040 → B064-037AT0041 → B064-037AT0228 → B064-037AT0227 → END</t>
  </si>
  <si>
    <t>GAS METERING PANEL (BLOCK #1) SECONDARY</t>
  </si>
  <si>
    <t>B164-006HT0202 → B164-006HT0007 → B164-006HT0008 → B164-006HT0009 → B164-006HT0010 → B164-006HT0210 → B164-006HT0209 → B164-006HT0006 → B064-006AC0019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B064-036AT0030 → B064-036AT0031 → END</t>
  </si>
  <si>
    <t>GAS METERING PANEL (BLOCK #1) NORMAL</t>
  </si>
  <si>
    <t>B064-016AT0095 → B064-016AT0094 → B064-016AT0278 → B064-016AT0277 → B064-016AT0067 → B064-016AT0068 → B064-016AT0290 → B064-016AT0240 → B064-016AT0049 → B064-016AT0048 → B064-016AT0234 → B064-016AT0233 → B064-016AT0232 → B064-016AT0013 → B064-016AT0222 → B064-996AT0005 → B064-996AT0045 → B064-996AT0065 → B064-036AT0008 → B064-036AT0203 → B064-036AT0013 → B064-036AT0014 → B064-036AT0015 → B064-036AT0016 → B064-036AT0217 → B064-036AT0218 → B064-036AT0219 → B064-036AT0030 → B064-036AT0031 → END</t>
  </si>
  <si>
    <t>B2-FM-4403</t>
  </si>
  <si>
    <t>GAS METERING PANEL (BLOCK #2) PRIMARY</t>
  </si>
  <si>
    <t>B264-016DT0061 → B264-016DT0248 → B264-016ET0062 → B264-006AC0015 → M0407 → B264-996AT0013 → B264-016AT0048 → B264-016AT0049 → B264-016AT0050 → B264-016AT0240 → B264-016AT0055 → B264-016AT0056 → B264-016AT0243 → END</t>
  </si>
  <si>
    <t>GAS METERING PANEL (BLOCK #2) SECONDARY</t>
  </si>
  <si>
    <t>B264-016ET0061 → B264-016ET0248 → B264-016ET0062 → B264-006AC0015 → M0407 → B264-996BT0013 → B264-016BT0048 → B264-016BT0049 → B264-016BT0050 → B264-016BT0240 → B264-016BT0055 → B264-016BT0056 → B264-016BT0243 → END</t>
  </si>
  <si>
    <t>GAS METERING PANEL (BLOCK #2) NORMAL</t>
  </si>
  <si>
    <t>B264-016AT0027 → B264-016AT0028 → B264-016AT0029 → B264-016AT0030 → B264-016AT0031 → B264-016AT0032 → END</t>
  </si>
  <si>
    <t>OIL METERING SYSTEM</t>
  </si>
  <si>
    <t>B0-FM-4601</t>
  </si>
  <si>
    <t>B064-006FT0206 → B064-006FT0009 → B064-006FT0208 → B064-006FT0207 → B064-006FT0005 → B064-006AC0024 → M0501 → D0503-L35 → M0502 → D0504-L35 → M0503 → D0501-L35 → M0328 → D0324-L35 → M0329 → B114-997AT0021 → B114-017AT0020 → B114-017AT0025 → B025-017ET0032 → B025-017ET0031 → B025-017ET0030 → B025-017ET0020 → B025-017ET0019 → B025-017ET0018 → B025-017ET0017 → B025-017ET0016 → B025-997ET0003 → M0103 → B070-007AC0007 → END</t>
  </si>
  <si>
    <t>OIL METERING PANEL SECONDARY</t>
  </si>
  <si>
    <t>B164-006HT0205 → B164-006HT0004 → B164-006HT0005 → B064-006AC0011 → M0501 → D0503-L35 → M0502 → D0504-L35 → M0503 → D0501-L35 → M0328 → D0324-L35 → M0329 → B114-996AT0021 → B114-016AT0020 → B114-016AT0025 → B025-016FT0042 → B025-016FT0041 → B025-016FT0040 → B025-996FT0016 → B025-016FT0039 → B025-016FT0038 → B025-016FT0036 → B025-016FT0035 → B025-016FT0033 → B025-016FT0032 → B025-016FT0031 → B025-016FT0030 → B025-016FT0020 → B025-016FT0019 → B025-016FT0018 → B025-016FT0017 → B025-016FT0016 → B025-996FT0003 → M0103 → B070-007AC0008 → END</t>
  </si>
  <si>
    <t>B0-DB-49602</t>
  </si>
  <si>
    <t>400V-230V DIST. BOARD FOR WATER TREATMENT - B</t>
  </si>
  <si>
    <t>OIL METERING PANEL NORMAL</t>
  </si>
  <si>
    <t>B049-006BT0008 → B049-006BT0009 → B049-006BT0014 → B049-006BT0003 → B049-006BT0001 → D0204-L14 → M0207 → D0203-L21 → M0206 → D0205-L21 → M0205 → B025-996ET0004 → B025-016ET0022 → B025-016ET0021 → B025-016ET0020 → B025-016ET0019 → B025-016ET0018 → B025-016ET0017 → B025-016ET0016 → B025-996ET0003 → M0103 → B070-007AC0009 → END</t>
  </si>
  <si>
    <t>VMS</t>
  </si>
  <si>
    <t>B1-K-0011</t>
  </si>
  <si>
    <t>BLOCK #1 VMS (LER) PANEL PRIMARY</t>
  </si>
  <si>
    <t>B164-006GT0201 → B164-006GT0001 → B164-006GT0002 → B164-006GT0003 → B064-006AC0014 → M0501 → B064-996GT0020 → B064-016CT0033 → B064-016GT0229 → B064-016GT0230 → B064-016GT0047 → B064-016GT0048 → B064-016GT0239 → B064-996GT0013 → B064-996GT0053 → B064-996GT0073 → B064-037AT0214 → B064-037AT0039 → B064-037AT0040 → B064-037AT0041 → B064-037AT0228 → B064-037AT0227 → B064-037AT0226 → B064-037AT0027 → END</t>
  </si>
  <si>
    <t>BLOCK #1 VMS (LER) PANEL SECONDARY</t>
  </si>
  <si>
    <t>B164-006HT0202 → B164-006HT0201 → B164-006HT0001 → B164-006HT0002 → B164-006HT0003 → B064-006AC0015 → M0501 → B064-996AT0020 → B064-016AT0222 → B064-996AT0005 → B064-996AT0045 → B064-996AT0065 → B064-036AT0008 → B064-036AT0203 → B064-036AT0013 → B064-036AT0014 → B064-036AT0015 → B064-036AT0016 → B064-036AT0217 → B064-036AT0218 → B064-036AT0026 → B064-036AT0027 → END</t>
  </si>
  <si>
    <t xml:space="preserve">BLOCK #1 VMS (LER) PANEL NORMAL </t>
  </si>
  <si>
    <t>B064-016AT0095 → B064-016AT0094 → B064-016AT0278 → B064-016AT0277 → B064-016AT0067 → B064-016AT0068 → B064-016AT0290 → B064-016AT0240 → B064-016AT0049 → B064-016AT0048 → B064-016AT0234 → B064-016AT0233 → B064-016AT0232 → B064-016AT0013 → B064-016AT0222 → B064-996AT0005 → B064-996AT0045 → B064-996AT0065 → B064-036AT0008 → B064-036AT0203 → B064-036AT0013 → B064-036AT0014 → B064-036AT0015 → B064-036AT0016 → B064-036AT0217 → B064-036AT0218 → B064-036AT0026 → B064-036AT0027 → END</t>
  </si>
  <si>
    <t>B1-K-0012</t>
  </si>
  <si>
    <t>B164-006GT0201 → B164-006GT0001 → B164-006GT0002 → B164-006GT0003 → B064-006AC0018 → M0501 → B064-996GT0020 → B064-016CT0033 → B064-016GT0229 → B064-016GT0230 → B064-016GT0047 → B064-016GT0048 → B064-016GT0239 → B064-996GT0013 → B064-996GT0053 → B064-996GT0073 → B064-037AT0214 → B064-037AT0039 → B064-037AT0040 → B064-037AT0041 → B064-037AT0228 → B064-037AT0227 → B064-037AT0226 → B064-037AT0027 → END</t>
  </si>
  <si>
    <t>B2-K-0021</t>
  </si>
  <si>
    <t>BLOCK #2 VMS (LER) PANEL PRIMARY</t>
  </si>
  <si>
    <t>B264-016DT0061 → B264-016DT0248 → B264-016ET0062 → B264-006AC0008 → M0407 → B264-996AT0013 → B264-016AT0048 → B264-016AT0049 → B264-016AT0050 → B264-016AT0240 → B264-016AT0055 → B264-016AT0056 → B264-016AT0243 → END</t>
  </si>
  <si>
    <t>BLOCK #2 VMS (LER) PANEL SECONDARY</t>
  </si>
  <si>
    <t>B264-016ET0061 → B264-016ET0248 → B264-016ET0062 → B264-006AC0006 → M0407 → B264-996BT0013 → B264-016BT0048 → B264-016BT0049 → B264-016BT0050 → B264-016BT0240 → B264-016BT0055 → B264-016BT0056 → B264-016BT0243 → END</t>
  </si>
  <si>
    <t xml:space="preserve">BLOCK #2 VMS (LER) PANEL NORMAL </t>
  </si>
  <si>
    <t>B264-016AT0027 → B264-016AT0028 → B264-016AT0029 → B264-016AT0030 → B264-016AT0031 → B264-016AT0032 → B264-016AT0033 → B264-016AT0243 → END</t>
  </si>
  <si>
    <t>B2-K-0022</t>
  </si>
  <si>
    <t>B1-K-0013</t>
  </si>
  <si>
    <t>BLOCK #1 VMS (ACC LER) PANEL PRIMARY</t>
  </si>
  <si>
    <t>B169-007AT0006 → B169-007AT0007 → B169-007AT0040 → B169-007AT0043 → END</t>
  </si>
  <si>
    <t>BLOCK #1 VMS (ACC LER) PANEL SECONDARY</t>
  </si>
  <si>
    <t>B169-006AT0014 → B169-006AT0040 → END</t>
  </si>
  <si>
    <t>BLOCK #1 VMS (ACC LER) PANEL NORMAL</t>
  </si>
  <si>
    <t>B169-006AT0010 → B169-006AT0011 → B169-006AT0012 → B169-006AT0013 → B169-006AT0014 → B169-006AT0040 → END</t>
  </si>
  <si>
    <t>B2-K-0023</t>
  </si>
  <si>
    <t>BLOCK #2 VMS (ACC LER) PANEL PRIMARY</t>
  </si>
  <si>
    <t>B169-007AT0006 → B169-007AT0007 → B169-007AT0039 → B169-007AT0038 → B169-007AT0042 → END</t>
  </si>
  <si>
    <t>BLOCK #2 VMS (ACC LER) PANEL SECONDARY</t>
  </si>
  <si>
    <t>B169-006AT0014 → B169-006AT0039 → B169-006AT0038 → END</t>
  </si>
  <si>
    <t>BLOCK #2 VMS (ACC LER) PANEL NORMAL</t>
  </si>
  <si>
    <t>EHT</t>
  </si>
  <si>
    <t>B0-HTP-00701</t>
  </si>
  <si>
    <t xml:space="preserve">EHT MAIN PDB PANEL (WWT BLD) </t>
  </si>
  <si>
    <t>B049-006CT0004 → B049-006CT0006 → B049-006CT0008 → END</t>
  </si>
  <si>
    <t>PE</t>
  </si>
  <si>
    <t>B0-HTP-00704</t>
  </si>
  <si>
    <t xml:space="preserve">EHT MAIN PDB PANEL (DIST OIL P/P ST BLD) </t>
  </si>
  <si>
    <t>B0-HTP-00703</t>
  </si>
  <si>
    <t xml:space="preserve">EHT MAIN PDB PANEL (AUX BOILER BLD) </t>
  </si>
  <si>
    <t>B0-HTP-00702</t>
  </si>
  <si>
    <t xml:space="preserve">EHT MAIN PDB PANEL (DIST POINT 10kV) </t>
  </si>
  <si>
    <t>19_DISTRIBUTION POINT 10KV WITH TP 10/0.4KV</t>
  </si>
  <si>
    <t>8.2 CCW PUMP/HEAT EXCHANGER BUILDING/PIPE-RACK</t>
  </si>
  <si>
    <t>B264-016BT0026 → B264-016BT0025 → B264-016BT0206 → B264-996BT0001 → M0401 → D0403-L11 → M0402 → D0402-L11 → M0424 → B232-006AC0063 → END</t>
  </si>
  <si>
    <t>B1-SWG-59601</t>
  </si>
  <si>
    <t>B0-HTP-00725</t>
  </si>
  <si>
    <t>4.2 STG GENERATOR STEP UP TR/PIPE-RACK</t>
  </si>
  <si>
    <t xml:space="preserve">33.1_OIL STORAGE DYKE (nearby, field area) </t>
  </si>
  <si>
    <t xml:space="preserve">24_WORKSHOP AND STORAGE RADIATION SHELTER (nearby, field area) </t>
  </si>
  <si>
    <t xml:space="preserve">EHT MAIN PDB PANEL (CEP BLD W/ACC LER) </t>
  </si>
  <si>
    <t>B0-HTP-00706</t>
  </si>
  <si>
    <t>B169-006AT0013 → B169-006AT0012 → B169-006AT0011 → B169-006AT0010 → B169-006AT0009 → B169-006AT0008 → END</t>
  </si>
  <si>
    <t>INST</t>
  </si>
  <si>
    <t>B1-M-2601</t>
  </si>
  <si>
    <t>INSTRUMENT BOX 1</t>
  </si>
  <si>
    <t>1.1_MAIN BUILDING COMPLEX (STG #1)</t>
  </si>
  <si>
    <t>B159-006AT0003 → B159-006AT0014 → B159-006AT0005 → B159-006AT0018 → B159-006AT0017 → D0314-L24 → M0315 → D0315-L24 → M0318 → D0331-L14 → M0317 → B114-016BT0102 → B114-016BT0101 → B114-016BT0039 → B114-016BT0038 → B215-016BT0023 → B025-016BT0123 → END</t>
  </si>
  <si>
    <t>B1-M-2602</t>
  </si>
  <si>
    <t>INSTRUMENT BOX 2</t>
  </si>
  <si>
    <t>B1-M-2701</t>
  </si>
  <si>
    <t>INSTRUMENT BOX 3</t>
  </si>
  <si>
    <t>B159-006AT0003 → B159-006AT0014 → B159-006AT0005 → B159-006AT0018 → B159-006AT0017 → D0314-L24 → M0315 → D0315-L24 → M0318 → D0331-L14 → M0317 → B114-016BT0102 → B114-016BT0101 → B114-016BT0039 → B114-016BT0038 → B215-016BT0023 → B025-016BT0123 → B025-016BT0124 → END</t>
  </si>
  <si>
    <t>B1-M-2702</t>
  </si>
  <si>
    <t>INSTRUMENT BOX 4</t>
  </si>
  <si>
    <t>B1-M-3201</t>
  </si>
  <si>
    <t>INSTRUMENT BOX 5</t>
  </si>
  <si>
    <t>B164-016AT0115 → B164-996AT0023 → M0504 → D0531-L41 → M0510 → D0517-L16 → M0501 → D0503-L48 → M0502 → D0504-L48 → M0503 → B132-006AC0005 → B182-017AT0001 → B182-037AT0002 → B182-037AT0003 → B182-037AT0004 → B182-037AT0005 → B132-007AC0001 → END</t>
  </si>
  <si>
    <t>B1-M-3202</t>
  </si>
  <si>
    <t>INSTRUMENT BOX 6</t>
  </si>
  <si>
    <t>B164-016AT0115 → B164-996AT0023 → M0504 → D0531-L41 → M0510 → D0517-L16 → M0501 → D0503-L48 → M0502 → D0504-L48 → M0503 → B132-006AC0005 → B182-017AT0001 → B182-037AT0002 → B182-037AT0003 → B182-037AT0004 → B182-037AT0005 → B132-007AC0002 → END</t>
  </si>
  <si>
    <t>B2-M-2601</t>
  </si>
  <si>
    <t>INSTRUMENT BOX 7</t>
  </si>
  <si>
    <t>1.1_MAIN BUILDING COMPLEX (STG #2)</t>
  </si>
  <si>
    <t>B259-006AT0003 → B259-006AT0014 → B259-006AT0015 → B259-006AT0016 → B259-006AT0017 → D0310-L25 → M0311 → D0311-L15 → M0312 → D0330-L14 → M0314 → B215-016BT0104 → B215-016BT0103 → B215-016BT0037 → B215-016BT0023 → B025-016BT0123 → END</t>
  </si>
  <si>
    <t>B2-M-2602</t>
  </si>
  <si>
    <t>INSTRUMENT BOX 8</t>
  </si>
  <si>
    <t>B2-M-2701</t>
  </si>
  <si>
    <t>INSTRUMENT BOX 9</t>
  </si>
  <si>
    <t>B259-006AT0003 → B259-006AT0014 → B259-006AT0015 → B259-006AT0016 → B259-006AT0017 → D0310-L26 → M0311 → D0311-L16 → M0312 → D0330-L15 → M0314 → B215-016BT0104 → B215-016BT0103 → B215-016BT0037 → B215-016BT0023 → B025-016BT0123 → B025-016BT0124 → END</t>
  </si>
  <si>
    <t>B2-M-2702</t>
  </si>
  <si>
    <t>INSTRUMENT BOX 10</t>
  </si>
  <si>
    <t>B2-M-3201</t>
  </si>
  <si>
    <t>INSTRUMENT BOX 11</t>
  </si>
  <si>
    <t>B264-016AT0027 → B264-016AT0026 → B264-016AT0025 → B264-016AT0206 → B264-996AT0001 → M0401 → D0403-L15 → M0402 → D0402-L15 → M0424 → D0422-L11 → M0403 → B232-006AC0005 → B282-017AT0001 → B282-037AT0002 → B282-037AT0003 → B282-037AT0004 → B282-037AT0005 → B232-007AC0001 → END</t>
  </si>
  <si>
    <t>B2-M-3202</t>
  </si>
  <si>
    <t>INSTRUMENT BOX 12</t>
  </si>
  <si>
    <t>B264-016AT0027 → B264-016AT0026 → B264-016AT0025 → B264-016AT0206 → B264-996AT0001 → M0401 → D0403-L15 → M0402 → D0402-L15 → M0424 → D0422-L11 → M0403 → B232-006AC0005 → B282-017AT0001 → B282-037AT0002 → B282-037AT0003 → B282-037AT0004 → B282-037AT0005 → B232-007AC0002 → END</t>
  </si>
  <si>
    <t>ELE - GCB</t>
  </si>
  <si>
    <t>B1-DCP-64701</t>
  </si>
  <si>
    <t xml:space="preserve">220V DC MAIN DISTRIBUTION PANEL FOR BLOCK #1 - A </t>
  </si>
  <si>
    <t>B1-CB-11301</t>
  </si>
  <si>
    <t>BLOCK #1 GENERATOR CIRCUIT BREAKER FOR GT#1</t>
  </si>
  <si>
    <t>B164-006GT0203 → B164-006GT0002 → B164-006GT0003 → B064-006AC0009 → M0501 → D0517-L16 → M0510 → D0502-L41 → M0326 → D0320-L41 → M0325 → B161-007BC0017 → B161-017BC0004 → END</t>
  </si>
  <si>
    <t>B1-DCP-64702</t>
  </si>
  <si>
    <t xml:space="preserve">220V DC MAIN DISTRIBUTION PANEL FOR BLOCK #1 - B </t>
  </si>
  <si>
    <t>B164-006HT0204 → B164-006HT0008 → B164-006HT0009 → B164-006HT0010 → B164-006HT0210 → B164-006HT0209 → B164-006HT0006 → B064-006AC0009 → M0501 → D0517-L16 → M0510 → D0502-L41 → M0326 → D0320-L41 → M0325 → B161-007BC0017 → B161-017BC0004 → END</t>
  </si>
  <si>
    <t>BLOCK #1 GENERATOR CIRCUIT BREAKER FOR GT#1 - AUX. POWER</t>
  </si>
  <si>
    <t>B164-016AT0115 → B164-996AT0023 → M0504 → D0531-L31 → M0510 → D0502-L41 → M0326 → D0320-L41 → M0325 → B161-007BC0018 → B161-017BC0005 → END</t>
  </si>
  <si>
    <t>BLOCK #1 GENERATOR CIRCUIT BREAKER FOR GT#1 - MOTOR</t>
  </si>
  <si>
    <t>B1-CB-12301</t>
  </si>
  <si>
    <t>BLOCK #1 GENERATOR CIRCUIT BREAKER FOR GT#2</t>
  </si>
  <si>
    <t>B164-006GT0203 → B164-006GT0002 → B164-006GT0003 → B064-006AC0008 → M0501 → D0517-L22 → M0510 → D0502-L31 → M0326 → D0320-L27 → M0325 → D0319-L23 → M0324 → D0327-L23 → M0327 → B161-007DC0017 → B161-017DC0004 → END</t>
  </si>
  <si>
    <t>B164-006HT0204 → B164-006HT0008 → B164-006HT0009 → B164-006HT0010 → B164-006HT0210 → B164-006HT0209 → B164-006HT0006 → B064-006AC0008 → M0501 → D0517-L22 → M0510 → D0502-L31 → M0326 → D0320-L27 → M0325 → D0319-L23 → M0324 → D0327-L23 → M0327 → B161-007DC0017 → B161-017DC0004 → END</t>
  </si>
  <si>
    <t>BLOCK #1 GENERATOR CIRCUIT BREAKER FOR GT#2 - AUX. POWER</t>
  </si>
  <si>
    <t>B164-016AT0118 → B164-016AT0117 → B164-016AT0116 → B164-996AT0023 → M0504 → D0531-L31 → M0510 → D0502-L31 → M0326 → D0320-L27 → M0325 → D0319-L23 → M0324 → D0327-L23 → M0321 → B161-007DC0018 → B161-017DC0005 → END</t>
  </si>
  <si>
    <t>BLOCK #1 GENERATOR CIRCUIT BREAKER FOR GT#2 - MOTOR</t>
  </si>
  <si>
    <t>B164-016AT0094 → B164-016AT0093 → B164-016AT0092 → B164-996AT0022 → M0504 → D0531-L31 → M0510 → D0502-L31 → M0326 → D0320-L31 → M0325 → D0319-L23 → M0324 → D0327-L23 → M0321 → B161-007DC0018 → B161-017DC0005 → END</t>
  </si>
  <si>
    <t>B2-DCP-64701</t>
  </si>
  <si>
    <t>220V DC MAIN DISTRIBUTION PANEL FOR BLOCK #2 - A</t>
  </si>
  <si>
    <t>B2-CB-11301</t>
  </si>
  <si>
    <t>BLOCK #2 GENERATOR CIRCUIT BREAKER FOR GT#1</t>
  </si>
  <si>
    <t>B264-016FT0063 → B264-016FT0062 → B264-006AC0006 → M0407 → D0302-L41 → M0302 → D0303-L41 → M0303 → D0305-L31 → M0306 → D0321-L31 → M0307 → B261-007DC0017 → B261-017DC0004 → END</t>
  </si>
  <si>
    <t>B2-DCP-64702</t>
  </si>
  <si>
    <t xml:space="preserve">220V DC MAIN DISTRIBUTION PANEL FOR BLOCK #2 - B </t>
  </si>
  <si>
    <t>B264-016ET0063 → B264-016ET0062 → B264-006AC0008 → M0407 → D0302-L41 → M0302 → D0303-L41 → M0303 → D0305-L31 → M0306 → D0321-L31 → M0307 → B261-007DC0017 → B261-017DC0004 → END</t>
  </si>
  <si>
    <t>BLOCK #2 GENERATOR CIRCUIT BREAKER FOR GT#1 - AUX. POWER</t>
  </si>
  <si>
    <t>B264-016AT0025 → B264-016AT0026 → B264-016AT0027 → B264-016AT0028 → B264-996AT0012 → M0407 → D0302-L41 → M0302 → D0303-L41 → M0303 → D0305-L31 → M0306 → D0321-L31 → M0307 → B261-007DC0018 → B261-017DC0005 → END</t>
  </si>
  <si>
    <t>BLOCK #2 GENERATOR CIRCUIT BREAKER FOR GT#1 - MOTOR</t>
  </si>
  <si>
    <t>B2-CB-12301</t>
  </si>
  <si>
    <t>BLOCK #2 GENERATOR CIRCUIT BREAKER FOR GT#2</t>
  </si>
  <si>
    <t>B264-016FT0063 → B264-016FT0062 → B264-006AC0011 → M0407 → D0302-L31 → M0302 → D0303-L31 → M0303 → B261-007BC0017 → B261-017BC0004 → END</t>
  </si>
  <si>
    <t>B264-016ET0063 → B264-016ET0062 → B264-006AC0011 → M0407 → D0302-L31 → M0302 → D0303-L31 → M0303 → B261-007BC0017 → B261-017BC0004 → END</t>
  </si>
  <si>
    <t>BLOCK #2 GENERATOR CIRCUIT BREAKER FOR GT#2 - AUX. POWER</t>
  </si>
  <si>
    <t>B264-016CT0047 → B264-996CT0017 → M0407 → D0302-L31 → M0302 → D0303-L31 → M0303 → B261-007BC0018 → B261-017BC0005 → END</t>
  </si>
  <si>
    <t>BLOCK #2 GENERATOR CIRCUIT BREAKER FOR GT#2 - MOTOR</t>
  </si>
  <si>
    <t>B264-016BT0027 → B264-016BT0028 → B264-996BT0012 → M0407 → D0302-L31 → M0302 → D0303-L31 → M0303 → B261-007BC0018 → B261-017BC0005 → END</t>
  </si>
  <si>
    <t>B1-CB-13301</t>
  </si>
  <si>
    <t>BLOCK #1 GENERATOR CIRCUIT BREAKER FOR ST</t>
  </si>
  <si>
    <t>B159-006AT0005 → B159-006AT0018 → B159-006AT0017 → D0314-L23 → M0315 → D0315-L23 → M0318 → B113-007CC0004 → B113-017CC0001 → END</t>
  </si>
  <si>
    <t>B159-006BT0005 → B159-006BT0018 → B159-006BT0010 → B159-006BT0022 → B159-006BT0023 → B159-006BT0024 → B159-006BT0013 → D0314-L23 → M0315 → D0315-L23 → M0318 → B113-007CC0004 → B113-017CC0001 → END</t>
  </si>
  <si>
    <t>BLOCK #1 GENERATOR CIRCUIT BREAKER FOR ST - AUX. POWER</t>
  </si>
  <si>
    <t>B159-006AT0003 → B159-006AT0019 → B159-006AT0006 → B159-006AT0018 → B159-006AT0017 → D0314-L23 → M0315 → D0315-L23 → M0318 → B113-006CC0016 → B113-016CC0001 → END</t>
  </si>
  <si>
    <t>BLOCK #1 GENERATOR CIRCUIT BREAKER FOR ST - MOTOR</t>
  </si>
  <si>
    <t>B159-006AT0006 → B159-006AT0018 → B159-006AT0017 → D0314-L23 → M0315 → D0315-L23 → M0318 → B113-006CC0016 → B113-016CC0001 → END</t>
  </si>
  <si>
    <t>B2-CB-13301</t>
  </si>
  <si>
    <t>BLOCK #2 GENERATOR CIRCUIT BREAKER FOR ST</t>
  </si>
  <si>
    <t>B259-006BT0005 → B259-006BT0018 → B259-006BT0010 → B259-006BT0022 → B259-006BT0023 → B259-006BT0024 → B259-006BT0013 → D0310-L26 → M0311 → D0311-L16 → M0312 → B213-007CC0004 → B213-017CC0001 → END</t>
  </si>
  <si>
    <t>BLOCK #2 GENERATOR CIRCUIT BREAKER FOR ST - AUX. POWER</t>
  </si>
  <si>
    <t>B259-006AT0003 → B259-006AT0019 → B259-006AT0006 → B259-006AT0005 → B259-006AT0015 → B259-006AT0016 → B259-006AT0017 → D0310-L26 → M0311 → D0311-L16 → M0312 → B213-006CC0016 → B213-016CC0001 → END</t>
  </si>
  <si>
    <t>BLOCK #2 GENERATOR CIRCUIT BREAKER FOR ST - MOTOR</t>
  </si>
  <si>
    <t>B259-006AT0006 → B259-006AT0005 → B259-006AT0015 → B259-006AT0016 → B259-006AT0017 → D0310-L26 → M0311 → D0311-L16 → M0312 → B213-006CC0016 → B213-016CC0001 → END</t>
  </si>
  <si>
    <t>ELE - IPB</t>
  </si>
  <si>
    <t>B1-BD-11301</t>
  </si>
  <si>
    <t>PRESSURIZATION CABINET FOR BLOCK #1 GTG #1</t>
  </si>
  <si>
    <t>B164-016AT0090 → B164-016AT0091 → B164-996AT0022 → M0504 → D0531-L37 → M0510 → D0502-L41 → M0326 → D0320-L41 → M0325 → B161-007BC0018 → B161-017BC0005 → END</t>
  </si>
  <si>
    <t>B1-BD-12301</t>
  </si>
  <si>
    <t>PRESSURIZATION CABINET FOR BLOCK #1 GTG #2</t>
  </si>
  <si>
    <t>B164-016AT0118 → B164-016AT0117 → B164-016AT0116 → B164-996AT0023 → M0504 → D0531-L31 → M0510 → D0502-L31 → M0326 → D0320-L31 → M0325 → D0319-L23 → M0324 → D0327-L23 → M0321 → B161-007DC0018 → B161-017DC0005 → END</t>
  </si>
  <si>
    <t>B2-BD-11301</t>
  </si>
  <si>
    <t>PRESSURIZATION CABINET FOR BLOCK #2 GTG #1</t>
  </si>
  <si>
    <t>B2-BD-12301</t>
  </si>
  <si>
    <t>PRESSURIZATION CABINET FOR BLOCK #2 GTG #2</t>
  </si>
  <si>
    <t>B1-BD-13301</t>
  </si>
  <si>
    <t>PRESSURIZATION CABINET FOR BLOCK #1 STG #1</t>
  </si>
  <si>
    <t>B159-006AT0003 → B159-006AT0014 → B159-006AT0005 → B159-006AT0018 → B159-006AT0017 → D0314-L23 → M0315 → D0315-L23 → M0318 → B113-007CC0005 → END</t>
  </si>
  <si>
    <t>PRESSURIZATION CABINET FOR BLOCK #2 STG #1</t>
  </si>
  <si>
    <t>B259-006AT0003 → B259-006AT0014 → B259-006AT0015 → B259-006AT0016 → B259-006AT0017 → D0310-L26 → M0311 → D0311-L16 → M0312 → B213-007CC0005 → END</t>
  </si>
  <si>
    <t>SWGR &amp; MCC</t>
  </si>
  <si>
    <t>10KV SWITCHGEAR #1 FOR BLOCK #1 (DC CONTROL-1)</t>
  </si>
  <si>
    <t>B164-006GT0203 → B164-006GT0002 → B164-006GT0003 → B064-006AC0016 → M0501 → B064-996GT0020 → B064-016GT0033 → B064-016GT0229 → B064-016GT0230 → B064-016GT0047 → B064-016GT0048 → B064-016GT0239 → B064-016GT0053 → B064-016GT0275 → B064-016GT0276 → B064-016GT0277 → B064-016GT0066 → END</t>
  </si>
  <si>
    <t>10KV SWITCHGEAR #1 FOR BLOCK #1 (DC CONTROL-2)</t>
  </si>
  <si>
    <t>B164-006HT0204 → B164-006HT0008 → B164-006HT0009 → B164-006HT0010 → B164-006HT0210 → B164-006HT0209 → B164-006HT0006 → B064-006AC0016 → M0501 → B064-996AT0020 → B064-016AT0012 → B064-016AT0011 → B064-016AT0212 → B064-016AT0213 → B064-016AT0214 → B064-016AT0063 → B064-016AT0064 → B064-016AT0065 → END</t>
  </si>
  <si>
    <t>10KV SWITCHGEAR #1 FOR BLOCK #1 (AUX. POWER)</t>
  </si>
  <si>
    <t>B064-016AT0217 → B064-016AT0090 → B064-016AT0216 → B064-016AT0215 → B064-016AT0063 → B064-016AT0064 → B064-016AT0065 → END</t>
  </si>
  <si>
    <t>B1-ATS-64701</t>
  </si>
  <si>
    <t>HSBT - 10KV SWGR #1 FOR BLOCK #1 (DC CONTROL-1)</t>
  </si>
  <si>
    <t>B164-006GT0203 → B164-006GT0002 → B164-006GT0003 → B064-006AC0014 → M0501 → B064-996BT0020 → B064-016BT0033 → B064-016BT0034 → B064-016BT0035 → B064-016BT0036 → B064-016BT0242 → B064-016BT0243 → B064-016BT0244 → B064-016BT0292 → B064-016BT0293 → B164-016AT0094 → B164-016AT0093 → B164-016AT0092 → B164-016AT0091 → B164-016AT0216 → B164-016AT0215 → END</t>
  </si>
  <si>
    <t>HSBT - 10KV SWGR #1 FOR BLOCK #1 (DC CONTROL-2)</t>
  </si>
  <si>
    <t>B164-006HT0204 → B164-006HT0008 → B164-006HT0009 → B164-006HT0010 → B164-006HT0210 → B164-006HT0209 → B164-006HT0006 → B064-006AC0015 → M0501 → B064-996AT0020 → B064-016AT0012 → B064-016AT0011 → B064-016AT0212 → B064-016AT0213 → B064-016AT0214 → B064-016AT0215 → END</t>
  </si>
  <si>
    <t>HSBT - 10KV SWGR #1 FOR BLOCK #1 (AUX. POWER)</t>
  </si>
  <si>
    <t>B064-016AT0106 → B164-016AT0217 → B164-016AT0090 → B164-016AT0216 → END</t>
  </si>
  <si>
    <t>400V SWITCHGEAR FOR GT/HRSG #1 FOR BLOCK #1 - A (DC CONTROL-1)</t>
  </si>
  <si>
    <t>B164-006GT0203 → B164-006GT0002 → B164-006GT0003 → B064-006AC0014 → M0501 → B064-996BT0020 → B064-016BT0033 → B064-016BT0034 → B064-016BT0035 → B064-016BT0036 → B064-016BT0242 → B064-016BT0243 → B064-016BT0244 → B064-016BT0292 → B064-016BT0293 → B164-016AT0094 → B164-016AT0093 → B164-016AT0092 → END</t>
  </si>
  <si>
    <t>400V SWITCHGEAR FOR GT/HRSG #1 FOR BLOCK #1 - A (DC CONTROL-2)</t>
  </si>
  <si>
    <t>B164-006HT0204 → B164-006HT0008 → B164-006HT0009 → B164-006HT0010 → B164-006HT0210 → B164-006HT0209 → B164-006HT0006 → B064-006AC0015 → M0501 → B064-996AT0120 → B064-016AT0032 → B064-016AT0213 → B064-016AT0214 → B064-016AT0215 → B064-016AT0216 → B064-016AT0091 → END</t>
  </si>
  <si>
    <t>400V SWITCHGEAR FOR GT/HRSG #1 FOR BLOCK #1 - A (AC AUX. POWER)</t>
  </si>
  <si>
    <t>B064-016AT0106 → B064-016AT0217 → B064-016AT0090 → B064-016AT0091 → END</t>
  </si>
  <si>
    <t>400V SWITCHGEAR FOR GT/HRSG #1 FOR BLOCK #1 - A (MOTOR SPACE HEATER)</t>
  </si>
  <si>
    <t>400V SWITCHGEAR FOR GT/HRSG #1 FOR BLOCK #1 - B (DC CONTROL-1)</t>
  </si>
  <si>
    <t>B164-006GT0203 → B164-006GT0002 → B164-006GT0003 → B064-006AC0016 → M0501 → B064-996BT0020 → B064-016BT0033 → B064-016BT0034 → B064-016BT0035 → B064-016BT0036 → B064-016BT0242 → B064-016BT0243 → B064-016BT0244 → B064-016BT0292 → B064-016BT0293 → B164-016AT0094 → B164-016AT0093 → B164-016AT0092 → B164-016AT0091 → B164-016AT0090 → B164-016AT0217 → B164-016AT0114 → END</t>
  </si>
  <si>
    <t>400V SWITCHGEAR FOR GT/HRSG #1 FOR BLOCK #1 - B (DC CONTROL-2)</t>
  </si>
  <si>
    <t>B164-006HT0204 → B164-006HT0008 → B164-006HT0009 → B164-006HT0010 → B164-006HT0210 → B164-006HT0209 → B164-006HT0006 → B064-006AC0017 → M0501 → B064-996AT0120 → B064-016AT0032 → B064-016AT0213 → B064-016AT0214 → B064-016AT0215 → B064-016AT0216 → B064-016AT0090 → B064-016AT0217 → B064-016AT0106 → B064-016AT0107 → END</t>
  </si>
  <si>
    <t>400V SWITCHGEAR FOR GT/HRSG #1 FOR BLOCK #1 - B (AC AUX. POWER)</t>
  </si>
  <si>
    <t>B064-016AT0217 → B064-016AT0106 → B064-016AT0107 → END</t>
  </si>
  <si>
    <t>400V SWITCHGEAR FOR GT/HRSG #1 FOR BLOCK #1 - B (MOTOR SPACE HEATER)</t>
  </si>
  <si>
    <t>10KV SWITCHGEAR #3 FOR BLOCK #1 (DC CONTROL-1)</t>
  </si>
  <si>
    <t>B164-006GT0203 → B164-006GT0002 → B164-006GT0003 → B064-006AC0017 → M0501 → B064-996GT0020 → B064-016GT0033 → B064-016GT0229 → B064-016GT0230 → B064-016GT0047 → B064-016GT0048 → B064-016GT0239 → B064-016GT0053 → B064-016GT0275 → B064-016GT0276 → B064-016GT0277 → B064-016GT0067 → END</t>
  </si>
  <si>
    <t>10KV SWITCHGEAR #3 FOR BLOCK #1 (DC CONTROL-2)</t>
  </si>
  <si>
    <t>B164-006HT0204 → B164-006HT0008 → B164-006HT0009 → B164-006HT0010 → B164-006HT0210 → B164-006HT0209 → B164-006HT0006 → B064-006AC0017 → M0501 → B064-996AT0020 → B064-016AT0012 → B064-016AT0011 → B064-016AT0212 → B064-016AT0213 → B064-016AT0214 → B064-016AT0063 → B064-016AT0064 → B064-016AT0065 → B064-016AT0066 → B064-016AT0067 → B064-016AT0068 → END</t>
  </si>
  <si>
    <t>10KV SWITCHGEAR #3 FOR BLOCK #1 (AUX. POWER)</t>
  </si>
  <si>
    <t>B064-016AT0111 → B064-016AT0296 → B064-016AT0094 → B064-016AT0278 → B064-016AT0277 → B064-016AT0067 → B064-016AT0068 → END</t>
  </si>
  <si>
    <t>B1-ATS-64703</t>
  </si>
  <si>
    <t>HSBT - 10KV SWGR #3 FOR BLOCK #1 (DC CONTROL-1)</t>
  </si>
  <si>
    <t>B164-006GT0203 → B164-006GT0002 → B164-006GT0003 → B064-006AC0016 → M0501 → B064-996BT0020 → B064-016BT0033 → B064-016BT0034 → B064-016BT0035 → B064-016BT0036 → B064-016BT0242 → B064-016BT0243 → B064-016BT0244 → B064-016BT0292 → B064-016BT0293 → B164-016AT0094 → B164-016AT0093 → B164-016AT0092 → B164-016AT0091 → B164-016AT0216 → B164-016AT0215 → END</t>
  </si>
  <si>
    <t>HSBT - 10KV SWGR #3 FOR BLOCK #1 (DC CONTROL-2)</t>
  </si>
  <si>
    <t>B164-006HT0204 → B164-006HT0008 → B164-006HT0009 → B164-006HT0010 → B164-006HT0210 → B164-006HT0209 → B164-006HT0006 → B064-006AC0017 → M0501 → B064-996AT0020 → B064-016AT0012 → B064-016AT0011 → B064-016AT0212 → B064-016AT0213 → B064-016AT0214 → B064-016AT0215 → END</t>
  </si>
  <si>
    <t>HSBT - 10KV SWGR #3 FOR BLOCK #1 (AUX. POWER)</t>
  </si>
  <si>
    <t>B064-016AT0106 → B064-016AT0217 → B064-016AT0090 → B064-016AT0216 → END</t>
  </si>
  <si>
    <t>10KV SWITCHGEAR #2 FOR BLOCK #1 (DC CONTROL-1)</t>
  </si>
  <si>
    <t>B164-006GT0203 → B164-006GT0002 → B164-006GT0003 → B064-006AC0018 → M0501 → B064-996GT0020 → B064-016CT0033 → B064-016GT0229 → B064-016GT0230 → B064-016GT0047 → B064-016GT0048 → B064-016GT0239 → B064-016GT0053 → B064-016GT0275 → B064-016GT0276 → B064-016GT0277 → B064-016GT0076 → END</t>
  </si>
  <si>
    <t>10KV SWITCHGEAR #2 FOR BLOCK #1 (DC CONTROL-2)</t>
  </si>
  <si>
    <t>B164-006HT0204 → B164-006HT0008 → B164-006HT0009 → B164-006HT0010 → B164-006HT0210 → B164-006HT0209 → B164-006HT0006 → B064-006AC0018 → M0501 → B064-996AT0020 → B064-016AT0012 → B064-016AT0011 → B064-016AT0212 → B064-016AT0213 → B064-016AT0214 → B064-016AT0215 → B064-016AT0073 → B064-016AT0074 → B064-016AT0075 → END</t>
  </si>
  <si>
    <t>10KV SWITCHGEAR #2 FOR BLOCK #1 (AUX. POWER)</t>
  </si>
  <si>
    <t>B064-016AT0217 → B064-016AT0090 → B064-016AT0216 → B064-016AT0073 → B064-016AT0074 → B064-016AT0075 → END</t>
  </si>
  <si>
    <t>B1-ATS-64702</t>
  </si>
  <si>
    <t>HSBT - 10KV SWGR #2 FOR BLOCK #1 (DC CONTROL-1)</t>
  </si>
  <si>
    <t>B164-006GT0203 → B164-006GT0002 → B164-006GT0003 → B064-006AC0001 → M0501 → B064-996BT0020 → B064-016BT0033 → B064-016BT0034 → B064-016BT0035 → B064-016BT0036 → B064-016BT0242 → B064-016BT0243 → B064-016BT0244 → B064-016BT0292 → B064-016BT0293 → B164-016AT0094 → B164-016AT0093 → B164-016AT0092 → B164-016AT0091 → B164-016AT0216 → B164-016AT0215 → END</t>
  </si>
  <si>
    <t>HSBT - 10KV SWGR #2 FOR BLOCK #1 (DC CONTROL-2)</t>
  </si>
  <si>
    <t>B164-006HT0204 → B164-006HT0008 → B164-006HT0009 → B164-006HT0010 → B164-006HT0210 → B164-006HT0209 → B164-006HT0006 → B064-006AC0016 → M0501 → B064-996AT0020 → B064-016AT0012 → B064-016AT0011 → B064-016AT0212 → B064-016AT0213 → B064-016AT0214 → B064-016AT0215 → END</t>
  </si>
  <si>
    <t>HSBT - 10KV SWGR #2 FOR BLOCK #1 (AUX. POWER)</t>
  </si>
  <si>
    <t>B064-016AT0095 → B064-016AT0094 → B064-016AT0278 → B064-016AT0076 → B064-016AT0075 → B064-016AT0074 → B064-016AT0073 → END</t>
  </si>
  <si>
    <t>B1-SWG-64603</t>
  </si>
  <si>
    <t>400V SWITCHGEAR FOR GT/HRSG #2 FOR BLOCK #1 - A (DC CONTROL-1)</t>
  </si>
  <si>
    <t>B164-006GT0203 → B164-006GT0002 → B164-006GT0003 → B064-006AC0022 → M0501 → B064-996BT0020 → B064-016BT0033 → B064-016BT0034 → B064-016BT0035 → B064-016BT0036 → B064-016BT0242 → B064-016BT0243 → B064-016BT0244 → B064-016BT0292 → B064-016BT0293 → B164-016AT0094 → B164-016AT0093 → END</t>
  </si>
  <si>
    <t>400V SWITCHGEAR FOR GT/HRSG #2 FOR BLOCK #1 - A (DC CONTROL-2)</t>
  </si>
  <si>
    <t>B164-006HT0204 → B164-006HT0008 → B164-006HT0009 → B164-006HT0010 → B164-006HT0210 → B164-006HT0209 → B164-006HT0006 → B064-006AC0006 → M0501 → B064-996AT0120 → B064-016AT0032 → B064-016AT0213 → B064-016AT0214 → B064-016AT0215 → B064-016AT0216 → B064-016AT0091 → B064-016AT0092 → B064-016AT0093 → B064-016AT0094 → END</t>
  </si>
  <si>
    <t>400V SWITCHGEAR FOR GT/HRSG #2 FOR BLOCK #1 - A (AUX. POWER)</t>
  </si>
  <si>
    <t>B064-016AT0111 → B064-016AT0296 → B064-016AT0094 → END</t>
  </si>
  <si>
    <t>400V SWITCHGEAR FOR GT/HRSG #2 FOR BLOCK #1 - A (MOTOR SPACE HEATER)</t>
  </si>
  <si>
    <t>400V SWITCHGEAR FOR GT/HRSG #2 FOR BLOCK #1 - B (DC CONTROL-1)</t>
  </si>
  <si>
    <t>B164-006GT0203 → B164-006GT0002 → B164-006GT0003 → B064-006AC0006 → M0501 → B064-996BT0020 → B064-016BT0033 → B064-016BT0034 → B064-016BT0035 → B064-016BT0036 → B064-016BT0242 → B064-016BT0243 → B064-016BT0244 → B064-016BT0292 → B064-016BT0293 → B164-016AT0094 → B164-016AT0093 → B164-016AT0092 → B164-016AT0091 → B164-016AT0090 → B164-016AT0217 → B164-016AT0114 → B164-016AT0115 → B164-016AT0116 → B164-016AT0117 → END</t>
  </si>
  <si>
    <t>400V SWITCHGEAR FOR GT/HRSG #2 FOR BLOCK #1 - B (DC CONTROL-2)</t>
  </si>
  <si>
    <t>B164-006HT0204 → B164-006HT0008 → B164-006HT0009 → B164-006HT0010 → B164-006HT0210 → B164-006HT0209 → B164-006HT0006 → B064-006AC0021 → M0501 → B064-996AT0120 → B064-016AT0032 → B064-016AT0213 → B064-016AT0214 → B064-016AT0215 → B064-016AT0216 → B064-016AT0091 → B064-016AT0092 → B064-016AT0093 → B064-016AT0094 → B064-016AT0296 → B064-016AT0110 → END</t>
  </si>
  <si>
    <t>400V SWITCHGEAR FOR GT/HRSG #2 FOR BLOCK #1 - B (AUX. POWER)</t>
  </si>
  <si>
    <t>B064-016AT0095 → B064-016AT0296 → B064-016AT0110 → B064-016AT0109 → END</t>
  </si>
  <si>
    <t>400V SWITCHGEAR FOR GT/HRSG #2 FOR BLOCK #1 - B (MOTOR SPACE HEATER)</t>
  </si>
  <si>
    <t>10KV SWITCHGEAR #4 FOR BLOCK #1 (DC CONTROL-1)</t>
  </si>
  <si>
    <t>B164-006GT0203 → B164-006GT0002 → B164-006GT0003 → B064-006AC0019 → M0501 → B064-996GT0020 → B064-016GT0033 → B064-016GT0229 → B064-016GT0230 → B064-016GT0047 → B064-016GT0048 → B064-016GT0239 → B064-016GT0053 → B064-016GT0275 → B064-016GT0276 → B064-016GT0277 → B064-016GT0077 → END</t>
  </si>
  <si>
    <t>10KV SWITCHGEAR #4 FOR BLOCK #1 (DC CONTROL-2)</t>
  </si>
  <si>
    <t>B164-006HT0204 → B164-006HT0008 → B164-006HT0009 → B164-006HT0010 → B164-006HT0210 → B164-006HT0209 → B164-006HT0006 → B064-006AC0019 → M0501 → B064-996AT0020 → B064-016AT0012 → B064-016AT0011 → B064-016AT0212 → B064-016AT0213 → B064-016AT0214 → B064-016AT0215 → B064-016AT0073 → B064-016AT0074 → B064-016AT0075 → B064-016AT0076 → B064-016AT0077 → B064-016AT0078 → B064-016AT0079 → END</t>
  </si>
  <si>
    <t>10KV SWITCHGEAR #4 FOR BLOCK #1 (AUX. POWER)</t>
  </si>
  <si>
    <t>B064-016AT0111 → B064-016AT0296 → B064-016AT0094 → B064-016AT0278 → B064-016AT0077 → B064-016AT0078 → B064-016AT0079 → END</t>
  </si>
  <si>
    <t>B1-ATS-64704</t>
  </si>
  <si>
    <t>HSBT - 10KV SWGR #4 FOR BLOCK #1 (DC CONTROL-1)</t>
  </si>
  <si>
    <t>B164-006GT0203 → B164-006GT0002 → B164-006GT0003 → B064-006AC0009 → M0501 → B064-996BT0020 → B064-016BT0033 → B064-016BT0034 → B064-016BT0035 → B064-016BT0036 → B064-016BT0242 → B064-016BT0243 → B064-016BT0244 → B064-016BT0292 → B064-016BT0293 → B164-016AT0094 → B164-016AT0093 → B164-016AT0092 → B164-016AT0091 → B164-016AT0216 → B164-016AT0215 → END</t>
  </si>
  <si>
    <t>HSBT - 10KV SWGR #4 FOR BLOCK #1 (DC CONTROL-2)</t>
  </si>
  <si>
    <t>B164-006HT0204 → B164-006HT0008 → B164-006HT0009 → B164-006HT0010 → B164-006HT0210 → B164-006HT0209 → B164-006HT0006 → B064-006AC0009 → M0501 → B064-996AT0020 → B064-016AT0012 → B064-016AT0011 → B064-016AT0212 → B064-016AT0213 → B064-016AT0214 → B064-016AT0215 → END</t>
  </si>
  <si>
    <t>HSBT - 10KV SWGR #4 FOR BLOCK #1 (AUX. POWER)</t>
  </si>
  <si>
    <t>10KV SWITCHGEAR #1 FOR BLOCK #2 (DC CONTROL-1)</t>
  </si>
  <si>
    <t>B264-017ET0063 → B264-017ET0248 → B264-017ET0060 → B264-006AC0001 → M0405 → B264-996AT0011 → B264-016AT0014 → B264-016AT0211 → B264-016AT0008 → END</t>
  </si>
  <si>
    <t>10KV SWITCHGEAR #1 FOR BLOCK #2 (DC CONTROL-2)</t>
  </si>
  <si>
    <t>B264-016ET0063 → B264-016ET0248 → B264-016ET0060 → B264-006AC0001 → M0405 → B264-996CT0009 → B264-016BT0014 → B264-016BT0211 → B264-016BT0008 → END</t>
  </si>
  <si>
    <t>10KV SWITCHGEAR #1 FOR BLOCK #2 (AUX. POWER)</t>
  </si>
  <si>
    <t>B264-016AT0045 → B264-016AT0205 → B264-016AT0204 → B264-016AT0203 → B264-016AT0007 → B264-016AT0008 → END</t>
  </si>
  <si>
    <t>B2-ATS-64701</t>
  </si>
  <si>
    <t>HSBT - 10KV SWGR #1 FOR BLOCK #2 (DC CONTROL-1)</t>
  </si>
  <si>
    <t>B264-017ET0063 → B264-017ET0248 → B264-017ET0060 → B264-006AC0001 → M0405 → B264-996AT0011 → B264-016AT0014 → B264-016AT0013 → END</t>
  </si>
  <si>
    <t>HSBT - 10KV SWGR #1 FOR BLOCK #2 (DC CONTROL-2)</t>
  </si>
  <si>
    <t>B264-016ET0063 → B264-016ET0248 → B264-016ET0060 → B264-006AC0001 → M0405 → B264-996CT0009 → B264-016BT0014 → B264-016BT0013 → END</t>
  </si>
  <si>
    <t>HSBT - 10KV SWGR #1 FOR BLOCK #2 (AUX. POWER)</t>
  </si>
  <si>
    <t>B264-016AT0024 → B264-016AT0204 → END</t>
  </si>
  <si>
    <t>400V SWITCHGEAR FOR GT/HRSG #1 FOR BLOCK #2 - A (DC CONTROL-1)</t>
  </si>
  <si>
    <t>B264-017ET0063 → B264-017ET0062 → B264-006AC0008 → M0407 → B264-996AT0012 → B264-016AT0028 → B264-016AT0027 → B264-016AT0026 → B264-016AT0025 → END</t>
  </si>
  <si>
    <t>400V SWITCHGEAR FOR GT/HRSG #1 FOR BLOCK #2 - A (DC CONTROL-2)</t>
  </si>
  <si>
    <t>B264-016ET0063 → B264-016ET0062 → B264-006AC0009 → M0407 → B264-996BT0012 → B264-016BT0028 → B264-016BT0027 → B264-016BT0026 → B264-016BT0025 → END</t>
  </si>
  <si>
    <t>400V SWITCHGEAR FOR GT/HRSG #1 FOR BLOCK #2 - A (AC AUX. POWER)</t>
  </si>
  <si>
    <t>B264-016AT0045 → B264-016AT0205 → B264-016AT0024 → B264-016AT0025 → END</t>
  </si>
  <si>
    <t>400V SWITCHGEAR FOR GT/HRSG #1 FOR BLOCK #2 - A (MOTOR SPACE HEATER)</t>
  </si>
  <si>
    <t>400V SWITCHGEAR FOR GT/HRSG #1 FOR BLOCK #2 - B (DC CONTROL-1)</t>
  </si>
  <si>
    <t>B264-016DT0063 → B264-016DT0062 → B264-006AC0008 → M0407 → B264-996AT0013 → B264-016AT0047 → B264-016BT0046 → END</t>
  </si>
  <si>
    <t>400V SWITCHGEAR FOR GT/HRSG #1 FOR BLOCK #2 - B (DC CONTROL-2)</t>
  </si>
  <si>
    <t>B264-016ET0063 → B264-016ET0062 → B264-006AC0009 → M0407 → B264-996BT0013 → B264-016BT0047 → B264-016BT0046 → END</t>
  </si>
  <si>
    <t>400V SWITCHGEAR FOR GT/HRSG #1 FOR BLOCK #2 - B (AC AUX. POWER)</t>
  </si>
  <si>
    <t>B264-016AT0024 → B264-016AT0025 → B264-016AT0209 → B264-016AT0046 → END</t>
  </si>
  <si>
    <t>400V SWITCHGEAR FOR GT/HRSG #1 FOR BLOCK #2 - B (MOTOR SPACE HEATER)</t>
  </si>
  <si>
    <t>10KV SWITCHGEAR #3 FOR BLOCK #2 (DC CONTROL-1)</t>
  </si>
  <si>
    <t>B264-016FT0063 → B264-016FT0248 → B264-016FT0060 → B264-006AC0001 → M0405 → B264-996AT0011 → B264-016AT0014 → B264-016AT0211 → B264-016AT0009 → END</t>
  </si>
  <si>
    <t>B264-016ET0063 → B264-016ET0248 → B264-016ET0060 → B264-006AC0002 → M0405 → B264-996CT0009 → B264-016BT0014 → B264-016BT0211 → B264-016BT0009 → END</t>
  </si>
  <si>
    <t>10KV SWITCHGEAR #3 FOR BLOCK #2 (AUX. POWER)</t>
  </si>
  <si>
    <t>B264-016BT0047 → B264-016BT0209 → B264-016BT0026 → B264-016BT0212 → B264-016BT0211 → B264-016BT0009 → END</t>
  </si>
  <si>
    <t>B2-ATS-64703</t>
  </si>
  <si>
    <t>HSBT - 10KV SWGR #3 FOR BLOCK #2 (DC CONTROL-1)</t>
  </si>
  <si>
    <t>B264-017ET0063 → B264-017ET0247 → B264-017ET0061 → B264-017ET0060 → B264-006AC0001 → M0405 → B264-996AT0011 → B264-016AT0014 → B264-016AT0013 → END</t>
  </si>
  <si>
    <t>HSBT - 10KV SWGR #3 FOR BLOCK #2 (DC CONTROL-2)</t>
  </si>
  <si>
    <t>HSBT - 10KV SWGR #3 FOR BLOCK #2 (AUX. POWER)</t>
  </si>
  <si>
    <t>10KV SWITCHGEAR #2 FOR BLOCK #2 (DC CONTROL-1)</t>
  </si>
  <si>
    <t>B264-017ET0063 → B264-017ET0248 → B264-017ET0060 → B264-006AC0001 → M0405 → B264-996AT0011 → B264-016AT0014 → END</t>
  </si>
  <si>
    <t>B264-016ET0063 → B264-016ET0248 → B264-016ET0060 → B264-006AC0002 → M0405 → B264-996CT0009 → B264-016BT0014 → B264-016BT0013 → END</t>
  </si>
  <si>
    <t>10KV SWITCHGEAR #2 FOR BLOCK #2 (AUX. POWER)</t>
  </si>
  <si>
    <t>B264-016AT0024 → B264-016AT0204 → B264-016AT0013 → END</t>
  </si>
  <si>
    <t>B2-ATS-64702</t>
  </si>
  <si>
    <t>HSBT - 10KV SWGR #2 FOR BLOCK #2 (DC CONTROL-1)</t>
  </si>
  <si>
    <t>B264-017ET0063 → B264-017ET0248 → B264-017ET0060 → B264-006AC0003 → M0405 → B264-996AT0011 → B264-016AT0014 → B264-016AT0013 → END</t>
  </si>
  <si>
    <t>HSBT - 10KV SWGR #2 FOR BLOCK #2 (DC CONTROL-2)</t>
  </si>
  <si>
    <t>HSBT - 10KV SWGR #2 FOR BLOCK #2 (AUX. POWER)</t>
  </si>
  <si>
    <t>B264-016BT0027 → B264-016BT0026 → B264-016BT0025 → B264-016BT0024 → B264-016BT0204 → END</t>
  </si>
  <si>
    <t>B2-SWG-64603</t>
  </si>
  <si>
    <t>400V SWITCHGEAR FOR GT/HRSG #2 FOR BLOCK #2 - A (DC CONTROL-1)</t>
  </si>
  <si>
    <t>B264-016DT0063 → B264-016DT0062 → B264-006AC0015 → M0407 → B264-996AT0012 → B264-016AT0028 → B264-016AT0027 → B264-016AT0026 → END</t>
  </si>
  <si>
    <t>400V SWITCHGEAR FOR GT/HRSG #2 FOR BLOCK #2 - A (DC CONTROL-2)</t>
  </si>
  <si>
    <t>B264-016ET0063 → B264-016ET0062 → B264-006AC0016 → M0407 → B264-996BT0012 → B264-016BT0028 → B264-016BT0027 → B264-016BT0026 → END</t>
  </si>
  <si>
    <t>400V SWITCHGEAR FOR GT/HRSG #2 FOR BLOCK #2 - A (AUX. POWER)</t>
  </si>
  <si>
    <t>B264-016AT0047 → B264-016AT0209 → B264-016AT0026 → END</t>
  </si>
  <si>
    <t>400V SWITCHGEAR FOR GT/HRSG #2 FOR BLOCK #2 - A (MOTOR SPACE HEATER)</t>
  </si>
  <si>
    <t>400V SWITCHGEAR FOR GT/HRSG #2 FOR BLOCK #2 - B (DC CONTROL-1)</t>
  </si>
  <si>
    <t>B264-017ET0063 → B264-017ET0062 → B264-006AC0010 → M0407 → B264-996AT0013 → B264-016AT0047 → END</t>
  </si>
  <si>
    <t>400V SWITCHGEAR FOR GT/HRSG #2 FOR BLOCK #2 - B (DC CONTROL-2)</t>
  </si>
  <si>
    <t>B264-016ET0063 → B264-016ET0062 → B264-006AC0011 → M0407 → B264-996BT0013 → B264-016BT0047 → END</t>
  </si>
  <si>
    <t>400V SWITCHGEAR FOR GT/HRSG #2 FOR BLOCK #2 - B (AUX. POWER)</t>
  </si>
  <si>
    <t>B264-016BT0027 → B264-016BT0026 → B264-016BT0209 → B264-016BT0047 → END</t>
  </si>
  <si>
    <t>400V SWITCHGEAR FOR GT/HRSG #2 FOR BLOCK #2 - B (MOTOR SPACE HEATER)</t>
  </si>
  <si>
    <t>10KV SWITCHGEAR #4 FOR BLOCK #2 (DC CONTROL-1)</t>
  </si>
  <si>
    <t>B264-016ET0063 → B264-016ET0248 → B264-016ET0060 → B264-006AC0002 → M0405 → B264-996CT0009 → B264-016BT0014 → END</t>
  </si>
  <si>
    <t>10KV SWITCHGEAR #4 FOR BLOCK #2 (AUX. POWER)</t>
  </si>
  <si>
    <t>B264-016BT0027 → B264-016BT0212 → B264-016BT0014 → END</t>
  </si>
  <si>
    <t>B2-ATS-64704</t>
  </si>
  <si>
    <t>HSBT - 10KV SWGR #4 FOR BLOCK #2 (DC CONTROL-1)</t>
  </si>
  <si>
    <t>HSBT - 10KV SWGR #4 FOR BLOCK #2 (DC CONTROL-2)</t>
  </si>
  <si>
    <t>HSBT - 10KV SWGR #4 FOR BLOCK #2 (AUX. POWER)</t>
  </si>
  <si>
    <t>400V SWITCHGEAR FOR ST #1 FOR BLOCK #1 - A (DC CONTROL-1)</t>
  </si>
  <si>
    <t>B159-006AT0005 → B159-006AT0006 → B159-006AT0019 → B159-006AT0003 → END</t>
  </si>
  <si>
    <t>400V SWITCHGEAR FOR ST #1 FOR BLOCK #1 - A (DC CONTROL-2)</t>
  </si>
  <si>
    <t>B159-006BT0005 → B159-006BT0006 → B159-006BT0019 → B159-006BT0003 → END</t>
  </si>
  <si>
    <t>400V SWITCHGEAR FOR ST #1 FOR BLOCK #1 - A (AUX. POWER)</t>
  </si>
  <si>
    <t>B159-006AT0005 → B159-006AT0014 → B159-006AT0003 → END</t>
  </si>
  <si>
    <t>B1-SWG-59602</t>
  </si>
  <si>
    <t>400V SWITCHGEAR FOR ST #1 FOR BLOCK #1 - B (DC CONTROL-1)</t>
  </si>
  <si>
    <t>B159-006AT0005 → B159-006AT0006 → END</t>
  </si>
  <si>
    <t>400V SWITCHGEAR FOR ST #1 FOR BLOCK #1 - B (DC CONTROL-2)</t>
  </si>
  <si>
    <t>B159-006BT0005 → B159-006BT0006 → END</t>
  </si>
  <si>
    <t>400V SWITCHGEAR FOR ST #1 FOR BLOCK #1 - B (AUX. POWER)</t>
  </si>
  <si>
    <t>B159-006AT0003 → B159-006AT0019 → B159-006AT0006 → END</t>
  </si>
  <si>
    <t>B0-DCP-69701</t>
  </si>
  <si>
    <t>220V DC LOCAL DISTRIBUTION PANEL FOR FOR ACC - A</t>
  </si>
  <si>
    <t>400V SWITCHGEAR FOR ACC#1 FOR BLOCK #1 - A (DC CONTROL-1)</t>
  </si>
  <si>
    <t>B169-006BT0054 → B169-006BT0018 → B169-006BT0017 → B169-006BT0016 → END</t>
  </si>
  <si>
    <t>B0-DCP-69702</t>
  </si>
  <si>
    <t>220V DC LOCAL DISTRIBUTION PANEL FOR FOR ACC - B</t>
  </si>
  <si>
    <t>400V SWITCHGEAR FOR ACC#1 FOR BLOCK #1 - A (DC CONTROL-2)</t>
  </si>
  <si>
    <t>B169-006AT0033 → B169-006AT0018 → B169-006AT0017 → B169-006AT0016 → B169-006AT0015 → END</t>
  </si>
  <si>
    <t>400V SWITCHGEAR FOR ACC#1 FOR BLOCK #1 - A (AUX. POWER)</t>
  </si>
  <si>
    <t>B169-006AT0011 → B169-006AT0010 → B169-006AT0009 → B169-006AT0053 → B169-006AT0015 → END</t>
  </si>
  <si>
    <t>400V SWITCHGEAR FOR ACC#1 FOR BLOCK #1 - A (MOTOR SPACE HEATER)</t>
  </si>
  <si>
    <t>B1-SWG-69602</t>
  </si>
  <si>
    <t>400V SWITCHGEAR FOR ACC#1 FOR BLOCK #1 - B (DC CONTROL-1)</t>
  </si>
  <si>
    <t>B169-006BT0054 → B169-006BT0018 → END</t>
  </si>
  <si>
    <t>400V SWITCHGEAR FOR ACC#1 FOR BLOCK #1 - B (DC CONTROL-2)</t>
  </si>
  <si>
    <t>B169-006AT0012 → B169-006AT0011 → B169-006AT0010 → B169-006AT0009 → B169-006AT0053 → B169-006AT0016 → B169-006AT0017 → B169-006AT0018 → END</t>
  </si>
  <si>
    <t>400V SWITCHGEAR FOR ACC#1 FOR BLOCK #1 - B (AUX. POWER)</t>
  </si>
  <si>
    <t>B169-006AT0015 → B169-006AT0016 → B169-006AT0017 → B169-006AT0018 → END</t>
  </si>
  <si>
    <t>400V SWITCHGEAR FOR ACC#1 FOR BLOCK #1 - C (DC CONTROL-1)</t>
  </si>
  <si>
    <t>B169-006BT0054 → B169-006BT0018 → B169-006BT0017 → B169-006BT0016 → B169-006BT0031 → B169-006BT0009 → B169-006BT0010 → END</t>
  </si>
  <si>
    <t>400V SWITCHGEAR FOR ACC#1 FOR BLOCK #1 - C (DC CONTROL-2)</t>
  </si>
  <si>
    <t>B169-006AT0033 → B169-006AT0012 → B169-006AT0011 → END</t>
  </si>
  <si>
    <t>400V SWITCHGEAR FOR ACC#1 FOR BLOCK #1 - C (AUX. POWER)</t>
  </si>
  <si>
    <t>B169-006AT0015 → B169-006AT0053 → B169-006AT0009 → B169-006AT0010 → B169-006AT0011 → END</t>
  </si>
  <si>
    <t>400V SWITCHGEAR FOR ACC#1 FOR BLOCK #1 - C (MOTOR SPACE HEATER)</t>
  </si>
  <si>
    <t>400V EMERGENCY SWITCHGEAR FOR BLOCK #1 - A (DC CONTROL-1)</t>
  </si>
  <si>
    <t>B164-006GT0203 → B164-006GT0002 → B164-006GT0003 → B064-006AC0004 → M0501 → B064-996BT0020 → B064-016BT0033 → B064-016BT0034 → B064-016BT0035 → B064-016BT0036 → B064-016BT0037 → B064-016BT0038 → B064-016BT0249 → B064-016BT0250 → B064-016BT0061 → B064-016BT0062 → B064-016BT0305 → B064-016BT0306 → B064-016BT0307 → B064-016BT0105 → END</t>
  </si>
  <si>
    <t>400V EMERGENCY SWITCHGEAR FOR BLOCK #1 - A (DC CONTROL-2)</t>
  </si>
  <si>
    <t>B164-006HT0204 → B164-006HT0008 → B164-006HT0009 → B164-006HT0010 → B164-006HT0210 → B164-006HT0209 → B164-006HT0006 → B064-006AC0004 → M0501 → B064-996AT0020 → B064-016AT0013 → B064-016AT0014 → B064-016AT0015 → B064-016AT0016 → B064-016AT0309 → B064-016AT0245 → B064-016AT0051 → B064-016AT0312 → B064-016AT0072 → B064-016AT0306 → B064-016AT0307 → B064-016AT0097 → END</t>
  </si>
  <si>
    <t>B1-EDB-64602</t>
  </si>
  <si>
    <t>400V-230V EMERGENCY.DIST. BOARD FOR BLOCK #1 - B</t>
  </si>
  <si>
    <t>400V EMERGENCY SWITCHGEAR FOR BLOCK #1 - A (AUX. POWER)</t>
  </si>
  <si>
    <t>B064-016AT0113 → B064-016AT0308 → B064-016AT0097 → B064-016AT0096 → END</t>
  </si>
  <si>
    <t>400V EMERGENCY SWITCHGEAR FOR BLOCK #1 - A (MOTOR SPACE HEATER)</t>
  </si>
  <si>
    <t>400V EMERGENCY SWITCHGEAR FOR BLOCK #1 - B (DC CONTROL-1)</t>
  </si>
  <si>
    <t>B164-006GT0203 → B164-006GT0002 → B164-006GT0003 → B064-006AC0022 → M0501 → B064-996AT0020 → B064-016AT0033 → B064-016AT0034 → B064-016AT0233 → B064-016AT0234 → B064-016AT0048 → B064-016AT0049 → B064-016AT0240 → B064-016AT0290 → B064-016AT0068 → B064-016AT0067 → B064-016AT0277 → B064-016AT0278 → B064-016AT0094 → B064-016AT0296 → B064-016AT0111 → B064-016AT0112 → END</t>
  </si>
  <si>
    <t>400V EMERGENCY SWITCHGEAR FOR BLOCK #1 - B (DC CONTROL-2)</t>
  </si>
  <si>
    <t>B164-006HT0204 → B164-006HT0008 → B164-006HT0009 → B164-006HT0010 → B164-006HT0210 → B164-006HT0209 → B164-006HT0006 → B064-006AC0004 → M0501 → B064-996AT0020 → B064-016AT0013 → B064-016AT0014 → B064-016AT0015 → B064-016AT0016 → B064-016AT0309 → B064-016AT0245 → B064-016AT0051 → B064-016AT0312 → B064-016AT0072 → B064-016AT0306 → B064-016AT0307 → B064-016AT0308 → B064-016AT0113 → END</t>
  </si>
  <si>
    <t>B1-EDB-64601</t>
  </si>
  <si>
    <t>400V-230V EMERGENCY.DIST. BOARD FOR BLOCK #1 - A</t>
  </si>
  <si>
    <t>400V EMERGENCY SWITCHGEAR FOR BLOCK #1 - B (AUX. POWER)</t>
  </si>
  <si>
    <t>B064-016AT0097 → B064-016AT0308 → B064-016AT0113 → END</t>
  </si>
  <si>
    <t>400V EMERGENCY SWITCHGEAR FOR BLOCK #1 - B (MOTOR SPACE HEATER)</t>
  </si>
  <si>
    <t>B2-SWG-59601</t>
  </si>
  <si>
    <t>400V SWITCHGEAR FOR ST #2 FOR BLOCK #2 - A (DC CONTROL-1)</t>
  </si>
  <si>
    <t>B259-006AT0005 → B259-006AT0006 → B259-006AT0019 → B259-006AT0003 → END</t>
  </si>
  <si>
    <t>400V SWITCHGEAR FOR ST #2 FOR BLOCK #2 - A (DC CONTROL-2)</t>
  </si>
  <si>
    <t>B259-006BT0005 → B259-006BT0006 → B259-006BT0019 → B259-006BT0003 → END</t>
  </si>
  <si>
    <t>400V SWITCHGEAR FOR ST #2 FOR BLOCK #2 - A (AUX. POWER)</t>
  </si>
  <si>
    <t>B2-SWG-59602</t>
  </si>
  <si>
    <t>400V SWITCHGEAR FOR ST #2 FOR BLOCK #2 - B (DC CONTROL-1)</t>
  </si>
  <si>
    <t>B259-006AT0005 → B259-006AT0006 → END</t>
  </si>
  <si>
    <t>400V SWITCHGEAR FOR ST #2 FOR BLOCK #2 - B (DC CONTROL-2)</t>
  </si>
  <si>
    <t>B259-006BT0005 → B259-006BT0006 → END</t>
  </si>
  <si>
    <t>400V SWITCHGEAR FOR ST #2 FOR BLOCK #2 - B (AUX. POWER)</t>
  </si>
  <si>
    <t>B259-006AT0003 → B259-006AT0019 → END</t>
  </si>
  <si>
    <t>400V SWITCHGEAR FOR ACC#2 FOR BLOCK #2 - A (DC CONTROL-1)</t>
  </si>
  <si>
    <t>B169-007AT0005 → B169-007AT0006 → B169-007AT0007 → B169-007AT0039 → B169-007AT0028 → B169-007AT0027 → END</t>
  </si>
  <si>
    <t>400V SWITCHGEAR FOR ACC#2 FOR BLOCK #2 - A (DC CONTROL-2)</t>
  </si>
  <si>
    <t>B169-006AT0033 → B169-006AT0020 → END</t>
  </si>
  <si>
    <t>400V SWITCHGEAR FOR ACC#2 FOR BLOCK #2 - A (AUX. POWER)</t>
  </si>
  <si>
    <t>B169-006AT0014 → B169-006AT0013 → B169-006AT0033 → B169-006AT0019 → END</t>
  </si>
  <si>
    <t>400V SWITCHGEAR FOR ACC#2 FOR BLOCK #2 - A (MOTOR SPACE HEATER)</t>
  </si>
  <si>
    <t>B2-SWG-69602</t>
  </si>
  <si>
    <t>400V SWITCHGEAR FOR ACC#2 FOR BLOCK #2 - B (DC CONTROL-1)</t>
  </si>
  <si>
    <t>B169-007AT0005 → B169-007AT0006 → B169-007AT0007 → B169-007AT0039 → B169-007AT0028 → END</t>
  </si>
  <si>
    <t>400V SWITCHGEAR FOR ACC#2 FOR BLOCK #2 - B (DC CONTROL-2)</t>
  </si>
  <si>
    <t>B169-006AT0018 → B169-006AT0017 → B169-006AT0016 → B169-006AT0053 → B169-006AT0009 → B169-006AT0010 → B169-006AT0011 → B169-006AT0012 → END</t>
  </si>
  <si>
    <t>400V SWITCHGEAR FOR ACC#2 FOR BLOCK #2 - B (AUX. POWER)</t>
  </si>
  <si>
    <t>B169-006AT0019 → B169-006AT0020 → B169-006AT0021 → END</t>
  </si>
  <si>
    <t>400V SWITCHGEAR FOR ACC#2 FOR BLOCK #2 - C (DC CONTROL-1)</t>
  </si>
  <si>
    <t>B169-007AT0005 → B169-007AT0006 → B169-007AT0007 → END</t>
  </si>
  <si>
    <t>400V SWITCHGEAR FOR ACC#2 FOR BLOCK #2 - C (DC CONTROL-2)</t>
  </si>
  <si>
    <t>B169-006AT0033 → B169-006AT0013 → B169-006AT0014 → END</t>
  </si>
  <si>
    <t>400V SWITCHGEAR FOR ACC#2 FOR BLOCK #2 - C (AUX. POWER)</t>
  </si>
  <si>
    <t>B169-006AT0019 → B169-006AT0033 → B169-006AT0013 → B169-006AT0014 → END</t>
  </si>
  <si>
    <t>400V SWITCHGEAR FOR ACC#2 FOR BLOCK #2 - C (MOTOR SPACE HEATER)</t>
  </si>
  <si>
    <t>400V EMERGENCY SWITCHGEAR FOR BLOCK #2 - A (DC CONTROL-1)</t>
  </si>
  <si>
    <t>B264-017ET0063 → B264-017ET0248 → B264-017ET0060 → B264-006AC0001 → M0405 → B264-996AT0011 → B264-016AT0015 → B264-016AT0234 → B264-016AT0030 → END</t>
  </si>
  <si>
    <t>400V EMERGENCY SWITCHGEAR FOR BLOCK #2 - A (DC CONTROL-2)</t>
  </si>
  <si>
    <t>B264-016ET0063 → B264-016ET0248 → B264-016ET0060 → B264-006AC0003 → M0405 → B264-996CT0009 → B264-016BT0014 → B264-016BT0015 → B264-013BT0234 → B264-016BT0030 → END</t>
  </si>
  <si>
    <t>B2-EDB-64602</t>
  </si>
  <si>
    <t>400V-230V EMERGENCY.DIST. BOARD FOR BLOCK #2 - B</t>
  </si>
  <si>
    <t>400V EMERGENCY SWITCHGEAR FOR BLOCK #2 - A (AUX. POWER)</t>
  </si>
  <si>
    <t>B264-016CT0049 → B264-016CT0238 → B264-016CT0030 → END</t>
  </si>
  <si>
    <t>400V EMERGENCY SWITCHGEAR FOR BLOCK #2 - A (MOTOR SPACE HEATER)</t>
  </si>
  <si>
    <t>400V EMERGENCY SWITCHGEAR FOR BLOCK #2 - B (DC CONTROL-1)</t>
  </si>
  <si>
    <t>B264-017ET0063 → B264-017ET0248 → B264-017ET0060 → B264-006AC0001 → M0405 → B264-996AT0011 → B264-016AT0015 → B264-016AT0234 → B264-016AT0235 → B264-016AT0049 → END</t>
  </si>
  <si>
    <t>400V EMERGENCY SWITCHGEAR FOR BLOCK #2 - B (DC CONTROL-2)</t>
  </si>
  <si>
    <t>B264-016ET0063 → B264-016ET0248 → B264-016ET0060 → B264-006AC0003 → M0405 → B264-996CT0009 → B264-016BT0014 → B264-016BT0015 → B264-013BT0234 → B264-013BT0235 → B264-016BT0049 → END</t>
  </si>
  <si>
    <t>B2-EDB-64601</t>
  </si>
  <si>
    <t>400V-230V EMERGENCY.DIST. BOARD FOR BLOCK #2 - A</t>
  </si>
  <si>
    <t>400V EMERGENCY SWITCHGEAR FOR BLOCK #2 - B (AUX. POWER)</t>
  </si>
  <si>
    <t>B264-016CT0030 → B264-016CT0238 → B264-016CT0049 → END</t>
  </si>
  <si>
    <t>400V EMERGENCY SWITCHGEAR FOR BLOCK #2 - B (MOTOR SPACE HEATER)</t>
  </si>
  <si>
    <t>10KV SWITCHGEAR FOR COMMON - A (DC CONTROL-1)</t>
  </si>
  <si>
    <t>B064-006FT0207 → B064-006FT0005 → B064-006AC0020 → M0501 → B064-996AT0020 → B064-016AT0032 → B064-016AT0213 → B064-016AT0045 → B064-016AT0046 → END</t>
  </si>
  <si>
    <t>10KV SWITCHGEAR FOR COMMON - A (DC CONTROL-2)</t>
  </si>
  <si>
    <t>B164-006HT0210 → B164-006HT0209 → B164-006HT0006 → B064-006AC0020 → M0501 → B064-996AT0020 → B064-016AT0013 → B064-016AT0232 → B064-016AT0233 → B064-016AT0234 → B064-016AT0047 → B064-016AT0046 → END</t>
  </si>
  <si>
    <t>10KV SWITCHGEAR FOR COMMON - A (AUX. POWER)</t>
  </si>
  <si>
    <t>B064-016AT0032 → B064-016AT0213 → B064-016AT0045 → B064-016AT0046 → END</t>
  </si>
  <si>
    <t>10KV SWITCHGEAR FOR COMMON - B (DC CONTROL-1)</t>
  </si>
  <si>
    <t>B064-006FT0207 → B064-006FT0005 → B064-006AC0021 → M0501 → B064-996AT0020 → B064-016AT0032 → B064-016AT0213 → B064-016AT0045 → B064-016AT0046 → B064-016AT0047 → B064-016AT0048 → B064-016AT0049 → B064-016AT0050 → END</t>
  </si>
  <si>
    <t>10KV SWITCHGEAR FOR COMMON - B (DC CONTROL-2)</t>
  </si>
  <si>
    <t>B164-006HT0210 → B164-006HT0209 → B164-006HT0006 → B064-006AC0021 → M0501 → B064-996AT0020 → B064-016AT0013 → B064-016AT0232 → B064-016AT0233 → B064-016AT0234 → B064-016AT0048 → B064-016AT0049 → END</t>
  </si>
  <si>
    <t>10KV SWITCHGEAR FOR COMMON - B (AUX. POWER)</t>
  </si>
  <si>
    <t>B064-016AT0012 → B064-016AT0013 → B064-016AT0232 → B064-016AT0233 → B064-016AT0234 → B064-016AT0048 → B064-016AT0049 → END</t>
  </si>
  <si>
    <t>B0-SWG-64303</t>
  </si>
  <si>
    <t>10KV SWITCHGEAR FOR BACK UP - A (DC CONTROL-1)</t>
  </si>
  <si>
    <t>B164-006JT0209 → B164-006JT0006 → B064-006AC0021 → M0501 → B064-996BT0019 → B064-016BT0013 → B064-016BT0014 → B064-016BT0015 → B064-016BT0016 → B064-016BT0309 → B064-016BT0038 → B064-016BT0249 → B064-016BT0250 → B064-016BT0061 → B064-016BT0062 → B064-016BT0305 → END</t>
  </si>
  <si>
    <t>10KV SWITCHGEAR FOR BACK UP - A (DC CONTROL-2)</t>
  </si>
  <si>
    <t>B164-006HT0210 → B164-006HT0209 → B164-006HT0006 → B064-006AC0022 → M0501 → B064-996AT0020 → B064-016AT0013 → B064-016AT0232 → B064-016AT0233 → B064-016AT0234 → B064-016AT0048 → B064-016AT0049 → B064-016AT0050 → B064-016AT0051 → B064-016AT0312 → B064-016AT0072 → END</t>
  </si>
  <si>
    <t>10KV SWITCHGEAR FOR BACK UP - A (AUX. POWER)</t>
  </si>
  <si>
    <t>B064-016AT0032 → B064-016AT0213 → B064-016AT0214 → B064-016AT0063 → B064-016AT0064 → B064-016AT0065 → B064-016AT0066 → B064-016AT0067 → B064-016AT0068 → B064-016AT0069 → B064-016AT0070 → B064-016AT0071 → B064-016AT0072 → END</t>
  </si>
  <si>
    <t>B0-SWG-64304</t>
  </si>
  <si>
    <t>10KV SWITCHGEAR FOR BACK UP - B (DC CONTROL-1)</t>
  </si>
  <si>
    <t>B164-006JT0209 → B164-006JT0006 → B064-006AC0021 → M0501 → B064-996BT0019 → B064-016BT0013 → B064-016BT0014 → B064-016BT0015 → B064-016BT0016 → B064-016BT0309 → B064-016BT0038 → B064-016BT0249 → B064-016BT0250 → B064-016BT0061 → B064-016BT0062 → B064-016BT0305 → B064-016BT0306 → END</t>
  </si>
  <si>
    <t>10KV SWITCHGEAR FOR BACK UP - B (DC CONTROL-2)</t>
  </si>
  <si>
    <t>B164-006HT0210 → B164-006HT0209 → B164-006HT0006 → B064-006AC0022 → M0501 → B064-996AT0020 → B064-016AT0013 → B064-016AT0232 → B064-016AT0233 → B064-016AT0234 → B064-016AT0048 → B064-016AT0049 → B064-016AT0050 → B064-016AT0051 → B064-016AT0312 → B064-016AT0072 → B064-016AT0306 → B064-016AT0082 → B064-016AT0081 → END</t>
  </si>
  <si>
    <t>10KV SWITCHGEAR FOR BACK UP - B (AUX. POWER)</t>
  </si>
  <si>
    <t>B064-016AT0012 → B064-016AT0013 → B064-016AT0232 → B064-016AT0233 → B064-016AT0234 → B064-016AT0048 → B064-016AT0049 → B064-016AT0050 → B064-016AT0051 → B064-016AT0312 → B064-016AT0072 → B064-016AT0306 → B064-016AT0082 → B064-016AT0081 → END</t>
  </si>
  <si>
    <t>B0-ATS-64701</t>
  </si>
  <si>
    <t>HSBT - 10KV SWGR FOR COMMON - A (DC CONTROL-1)</t>
  </si>
  <si>
    <t>B064-006FT0207 → B064-006FT0005 → B064-006AC0018 → M0501 → B064-996AT0020 → B064-016AT0033 → B064-016AT0034 → B064-016AT0233 → END</t>
  </si>
  <si>
    <t>HSBT - 10KV SWGR FOR COMMON - A (DC CONTROL-2)</t>
  </si>
  <si>
    <t>B164-006HT0210 → B164-006HT0209 → B164-006HT0006 → B064-006AC0009 → M0501 → B064-996AT0020 → B064-016AT0013 → B064-016AT0232 → B064-016AT0233 → END</t>
  </si>
  <si>
    <t>HSBT - 10KV SWGR FOR COMMON - A (AUX. POWER)</t>
  </si>
  <si>
    <t>B064-016AT0012 → B064-016AT0013 → B064-016AT0232 → B064-016AT0233 → END</t>
  </si>
  <si>
    <t>B0-ATS-64702</t>
  </si>
  <si>
    <t>HSBT - 10KV SWGR FOR COMMON - B (DC CONTROL-1)</t>
  </si>
  <si>
    <t>B064-006FT0207 → B064-006FT0005 → B064-006AC0019 → M0501 → B064-996AT0020 → B064-016AT0033 → B064-016AT0034 → B064-016AT0233 → END</t>
  </si>
  <si>
    <t>HSBT - 10KV SWGR FOR COMMON - B (DC CONTROL-2)</t>
  </si>
  <si>
    <t>HSBT - 10KV SWGR FOR COMMON - B (AUX. POWER)</t>
  </si>
  <si>
    <t>B064-016AT0032 → B064-016AT0033 → B064-016AT0034 → B064-016AT0233 → END</t>
  </si>
  <si>
    <t>B0-SWG-64601</t>
  </si>
  <si>
    <t>400V SWITCHGEAR FOR COMMON - A (DC CONTROL-1)</t>
  </si>
  <si>
    <t>B064-006FT0207 → B064-006FT0005 → B064-006AC0018 → M0501 → B064-996BT0019 → B064-016BT0013 → END</t>
  </si>
  <si>
    <t>400V SWITCHGEAR FOR COMMON - A (DC CONTROL-2)</t>
  </si>
  <si>
    <t>B164-006HT0210 → B164-006HT0209 → B164-006HT0006 → B064-006AC0022 → M0501 → B064-996AT0020 → B064-016AT0013 → END</t>
  </si>
  <si>
    <t>400V SWITCHGEAR FOR COMMON - A (AUX. POWER)</t>
  </si>
  <si>
    <t>B064-016AT0032 → B064-016AT0212 → B064-016AT0011 → B064-016AT0012 → B064-016AT0013 → END</t>
  </si>
  <si>
    <t>400V SWITCHGEAR FOR COMMON - A (MOTOR SPACE HEATER)</t>
  </si>
  <si>
    <t>B0-SWG-64602</t>
  </si>
  <si>
    <t>400V SWITCHGEAR FOR COMMON - B (DC CONTROL-1)</t>
  </si>
  <si>
    <t>B064-006FT0207 → B064-006FT0005 → B064-006AC0019 → M0501 → B064-996BT0020 → B064-016BT0033 → END</t>
  </si>
  <si>
    <t>400V SWITCHGEAR FOR COMMON - B (DC CONTROL-2)</t>
  </si>
  <si>
    <t>B164-006HT0210 → B164-006HT0209 → B164-006HT0006 → B064-006AC0022 → M0501 → B064-996AT0020 → B064-016AT0012 → B064-016AT0011 → B064-016AT0212 → B064-016AT0032 → END</t>
  </si>
  <si>
    <t>400V SWITCHGEAR FOR COMMON - B (AUX. POWER)</t>
  </si>
  <si>
    <t>B064-016AT0012 → B064-016AT0013 → B064-016AT0232 → B064-016AT0034 → END</t>
  </si>
  <si>
    <t>400V SWITCHGEAR FOR COMMON - B (MOTOR SPACE HEATER)</t>
  </si>
  <si>
    <t>B0-ESWG-64601</t>
  </si>
  <si>
    <t>400V EMERGENCY SWITCHGEAR FOR COMMON - A (DC CONTROL-1)</t>
  </si>
  <si>
    <t>B064-006FT0207 → B064-006FT0005 → B064-006AC0018 → M0501 → B064-996BT0019 → B064-016BT0013 → B064-016BT0014 → END</t>
  </si>
  <si>
    <t>400V EMERGENCY SWITCHGEAR FOR COMMON - A (DC CONTROL-2)</t>
  </si>
  <si>
    <t>B164-006HT0210 → B164-006HT0209 → B164-006HT0006 → B064-006AC0004 → M0501 → B064-996AT0020 → B064-016AT0013 → B064-016AT0014 → B064-016AT0015 → END</t>
  </si>
  <si>
    <t>B0-EDB-64602</t>
  </si>
  <si>
    <t>400V-230V EMERGENCY.DIST. BOARD FOR COMMON - B</t>
  </si>
  <si>
    <t>400V EMERGENCY SWITCHGEAR FOR COMMON - A (AUX. POWER)</t>
  </si>
  <si>
    <t>B064-016AT0037 → B064-016AT0309 → B064-016AT0016 → B064-016AT0015 → END</t>
  </si>
  <si>
    <t>B0-ESWG-64602</t>
  </si>
  <si>
    <t>400V EMERGENCY SWITCHGEAR FOR COMMON - B (DC CONTROL-1)</t>
  </si>
  <si>
    <t>B064-006FT0207 → B064-006FT0005 → B064-006AC0019 → M0501 → B064-996BT0020 → B064-016BT0033 → B064-016BT0034 → B064-016BT0035 → B064-016BT0036 → END</t>
  </si>
  <si>
    <t>400V EMERGENCY SWITCHGEAR FOR COMMON - B (DC CONTROL-2)</t>
  </si>
  <si>
    <t>B164-006HT0210 → B164-006HT0209 → B164-006HT0006 → B064-006AC0004 → M0501 → B064-996AT0020 → B064-016AT0013 → B064-016AT0232 → B064-016AT0035 → B064-016AT0036 → END</t>
  </si>
  <si>
    <t>B0-EDB-64601</t>
  </si>
  <si>
    <t>400V-230V EMERGENCY.DIST. BOARD FOR COMMON - A</t>
  </si>
  <si>
    <t>400V EMERGENCY SWITCHGEAR FOR COMMON - B (AUX. POWER)</t>
  </si>
  <si>
    <t>B064-016AT0016 → B064-016AT0309 → B064-016AT0037 → B064-016AT0036 → B064-016AT0035 → END</t>
  </si>
  <si>
    <t>400V SWITCHGEAR FOR WATER TREATMENT - A (DC CONTROL-1)</t>
  </si>
  <si>
    <t>B064-006FT0207 → B064-006FT0005 → B064-006AC0006 → M0501 → D0503-L44 → M0502 → D0504-L44 → M0503 → D0501-L44 → M0328 → D0324-L44 → M0329 → B114-997AT0021 → B114-017AT0020 → B114-017AT0025 → B025-017ET0042 → B025-017ET0041 → B025-017ET0040 → B025-017ET0016 → B025-017ET0039 → B025-017ET0038 → B025-017ET0036 → B025-017ET0035 → B025-017ET0033 → B025-017ET0032 → B025-017ET0031 → B025-017ET0030 → B025-017ET0021 → B025-017ET0022 → B025-997ET0004 → M0205 → D0205-L23 → M0206 → D0203-L15 → M0207 → D0204-L17 → B049-006AT0002 → B049-006AT0003 → END</t>
  </si>
  <si>
    <t>B164-006JT0209 → B164-006JT0006 → B064-006AC0007 → M0501 → D0503-L43 → M0502 → D0504-L43 → M0503 → D0501-L43 → M0328 → D0324-L43 → M0329 → B114-996AT0021 → B114-016AT0020 → B114-016AT0025 → B025-016FT0042 → B025-016FT0041 → B025-016FT0040 → B025-996FT0016 → B025-016FT0039 → B025-016FT0038 → B025-016FT0036 → B025-016FT0035 → B025-016FT0033 → B025-016FT0032 → B025-016FT0031 → B025-016FT0030 → B025-016FT0028 → B025-016FT0029 → B025-996FT0005 → M0205 → D0205-L15 → M0206 → D0203-L15 → M0207 → D0204-L18 → B049-006BT0001 → B049-006BT0003 → END</t>
  </si>
  <si>
    <t>400V SWITCHGEAR FOR WATER TREATMENT - A (AUX. POWER)</t>
  </si>
  <si>
    <t>B049-006BT0008 → B049-006BT0009 → B049-006BT0014 → B049-006BT0004 → END</t>
  </si>
  <si>
    <t>400V SWITCHGEAR FOR WATER TREATMENT - A (MOTOR SPACE HEATER)</t>
  </si>
  <si>
    <t>400V SWITCHGEAR FOR WATER TREATMENT - B (DC CONTROL-1)</t>
  </si>
  <si>
    <t>B064-006FT0208 → B064-006FT0207 → B064-006FT0005 → B064-006AC0008 → M0501 → D0503-L43 → M0502 → D0504-L43 → M0503 → D0501-L43 → M0328 → D0324-L43 → M0329 → B114-997AT0021 → B114-017AT0020 → B114-017AT0025 → B025-017ET0042 → B025-017ET0041 → B025-017ET0040 → B025-017ET0016 → B025-017ET0039 → B025-017ET0038 → B025-017ET0036 → B025-017ET0035 → B025-017ET0033 → B025-017ET0032 → B025-017ET0031 → B025-017ET0030 → B025-017ET0021 → B025-017ET0022 → B025-997ET0004 → M0205 → D0205-L15 → M0206 → D0203-L15 → M0207 → D0204-L18 → B049-006AT0002 → B049-006AT0003 → B049-006AT0011 → END</t>
  </si>
  <si>
    <t>B164-006JT0209 → B164-006JT0006 → B064-006AC0007 → M0501 → D0503-L44 → M0502 → D0504-L44 → M0503 → D0501-L44 → M0328 → D0324-L44 → M0329 → B114-996AT0021 → B114-016AT0020 → B114-016AT0025 → B025-016FT0042 → B025-016FT0041 → B025-016FT0040 → B025-996FT0016 → B025-016FT0039 → B025-016FT0038 → B025-016FT0036 → B025-016FT0035 → B025-016FT0033 → B025-016FT0032 → B025-016FT0031 → B025-016FT0030 → B025-016FT0028 → B025-016FT0029 → B025-996FT0005 → M0205 → D0205-L23 → M0206 → D0203-L23 → M0207 → D0204-L17 → B049-006BT0001 → B049-006BT0003 → B049-006BT0014 → END</t>
  </si>
  <si>
    <t>400V SWITCHGEAR FOR WATER TREATMENT - B (AUX. POWER)</t>
  </si>
  <si>
    <t>B049-006BT0004 → B049-006BT0014 → END</t>
  </si>
  <si>
    <t>400V SWITCHGEAR FOR WATER TREATMENT - B (MOTOR SPACE HEATER)</t>
  </si>
  <si>
    <t>400V MCC FOR WORKSHOP - A (AUX. POWER)</t>
  </si>
  <si>
    <t>B071-006AT0001 → B071-006BT0002 → END</t>
  </si>
  <si>
    <t>400V MCC FOR WORKSHOP - B (AUX. POWER)</t>
  </si>
  <si>
    <t>DC &amp; UPS</t>
  </si>
  <si>
    <t>B1-CH-64701</t>
  </si>
  <si>
    <t>BLOCK #1 BATTERY CHARGER - A AUX. POWER</t>
  </si>
  <si>
    <t>B064-016AT0090 → B064-016AT0216 → B064-016AT0215 → B064-016AT0214 → B064-016AT0213 → B064-016AT0032 → B064-996AT0120 → M0501 → B064-006AC0020 → B164-006GT0003 → B164-006GT0002 → B164-006GT0203 → END</t>
  </si>
  <si>
    <t>B1-UPS-64701</t>
  </si>
  <si>
    <t>BLOCK #1 UPS INVERTER - A AUX. POWER</t>
  </si>
  <si>
    <t>B064-016AT0106 → B064-016AT0217 → B064-016AT0090 → B064-016AT0216 → B064-016AT0215 → B064-016AT0214 → B064-016AT0213 → B064-016AT0032 → B064-996AT0120 → M0501 → B064-006AC0020 → B164-006GT0003 → B164-006GT0002 → B164-006GT0001 → B164-006GT0201 → END</t>
  </si>
  <si>
    <t>1.1_MAIN BUILDING COMPLEX (BLOCK #1 ST#1)</t>
  </si>
  <si>
    <t>B164-006GT0203 → B164-006GT0002 → B164-006GT0003 → B064-006AC0009 → M0501 → D0517-L23 → M0510 → D0502-L35 → M0326 → D0320-L25 → M0325 → D0319-L31 → M0324 → D0327-L25 → M0321 → D0317-L14 → M0320 → D0323-L14 → M0319 → D0316-L14 → M0318 → D0315-L25 → M0315 → D0314-L25 → B159-006AT0017 → B159-006AT0018 → B159-006AT0005 → END</t>
  </si>
  <si>
    <t>B164-006HT0204 → B164-006HT0203 → B164-006HT0002 → B164-006HT0003 → B064-006AC0010 → M0501 → D0517-L24 → M0510 → D0502-L36 → M0326 → D0320-L36 → M0325 → D0319-L32 → M0324 → D0327-L26 → M0321 → D0317-L15 → M0320 → D0323-L15 → M0319 → D0316-L15 → M0318 → D0315-L16 → M0315 → D0314-L26 → B159-006BT0013 → B159-006BT0024 → B159-006BT0023 → B159-006BT0022 → B159-006BT0010 → B159-006BT0018 → B159-006BT0005 → END</t>
  </si>
  <si>
    <t>B159-006AT0003 → B159-006AT0014 → END</t>
  </si>
  <si>
    <t>B164-006GT0201 → B164-006GT0001 → B164-006GT0002 → B164-006GT0003 → B064-006AC0022 → M0501 → D0517-L23 → M0510 → D0502-L35 → M0326 → D0320-L33 → M0325 → D0319-L24 → M0324 → D0327-L24 → M0321 → D0317-L23 → M0320 → D0323-L22 → M0319 → D0316-L22 → M0318 → D0315-L23 → M0315 → D0314-L23 → B159-006AT0017 → B159-006AT0018 → B159-006AT0005 → B159-006AT0014 → END</t>
  </si>
  <si>
    <t>B164-006HT0202 → B164-006HT0007 → B164-006HT0008 → B164-006HT0009 → B164-006HT0010 → B164-006HT0210 → B164-006HT0209 → B164-006HT0006 → B064-006AC0022 → M0501 → D0517-L23 → M0510 → D0502-L36 → M0326 → D0320-L36 → M0325 → D0319-L32 → M0324 → D0327-L26 → M0321 → D0317-L15 → M0320 → D0323-L15 → M0319 → D0316-L15 → M0318 → D0315-L16 → M0315 → D0314-L26 → B159-006BT0013 → B159-006BT0024 → B159-006BT0023 → B159-006BT0022 → B159-006BT0010 → B159-006BT0018 → B159-006BT0006 → B159-006BT0019 → B159-006BT0003 → END</t>
  </si>
  <si>
    <t>B159-006AT0005 → B159-006AT0014 → END</t>
  </si>
  <si>
    <t>BLOCK #1 BATTERY CHARGER - A</t>
  </si>
  <si>
    <t>B164-016BT0105 → B164-016BT0104 → B164-016BT0103 → B164-016BT0102 → B164-016BT0101 → B164-016BT0100 → B164-996BT0024 → M0504 → D0531-L41 → M0510 → D0517-L21 → M0501 → B064-006AC0014 → B164-006HT0003 → B164-006HT0002 → B164-006HT0203 → END</t>
  </si>
  <si>
    <t>B164-016BT0105 → B164-016BT0104 → B164-016BT0103 → B164-016BT0102 → B164-016BT0101 → B164-016BT0100 → B164-996BT0024 → M0504 → D0531-L41 → M0510 → D0517-L21 → M0501 → B064-006AC0015 → B164-006HT0003 → B164-006HT0002 → B164-006HT0203 → END</t>
  </si>
  <si>
    <t>B1-CH-64702</t>
  </si>
  <si>
    <t>BLOCK #1 BATTERY CHARGER - B</t>
  </si>
  <si>
    <t>B164-016FT0112 → B164-016FT0299 → B164-016FT0095 → B164-016FT0094 → B164-016FT0093 → B164-016FT0092 → B164-996FT0022 → M0504 → D0531-L42 → M0510 → D0517-L22 → M0501 → B064-006AC0016 → B164-006GT0005 → B164-006GT0207 → B164-006GT0208 → B164-006GT0009 → B164-006GT0204 → END</t>
  </si>
  <si>
    <t>B164-016FT0112 → B164-016FT0299 → B164-016FT0095 → B164-016FT0094 → B164-016FT0093 → B164-016FT0092 → B164-996FT0022 → M0504 → D0531-L42 → M0510 → D0517-L22 → M0501 → B064-006AC0017 → B164-006GT0005 → B164-006GT0207 → B164-006GT0208 → B164-006GT0009 → B164-006GT0204 → END</t>
  </si>
  <si>
    <t>BLOCK #1 UPS INVERTER - A</t>
  </si>
  <si>
    <t>B164-006GT0203 → B164-006GT0001 → B164-006GT0201 → END</t>
  </si>
  <si>
    <t>B1-UPS-64702</t>
  </si>
  <si>
    <t>BLOCK #1 UPS INVERTER - B</t>
  </si>
  <si>
    <t>B164-006HT0204 → B164-006HT0007 → B164-006HT0202 → END</t>
  </si>
  <si>
    <t>B1-AVR-64701</t>
  </si>
  <si>
    <t>B164-016BT0105 → B164-016BT0104 → B164-016BT0103 → B164-016BT0102 → B164-016BT0101 → B164-016BT0100 → B164-996BT0024 → M0504 → D0531-L41 → M0510 → D0517-L31 → M0501 → B064-006AC0018 → B164-006GT0003 → B164-006GT0002 → B164-006GT0001 → B164-006GT0201 → END</t>
  </si>
  <si>
    <t>B1-AVR-64702</t>
  </si>
  <si>
    <t>BLOCK #1 UPS BYPASS LINE - B</t>
  </si>
  <si>
    <t>B164-016FT0112 → B164-016FT0299 → B164-016FT0095 → B164-016FT0094 → B164-016FT0093 → B164-016FT0092 → B164-996FT0022 → M0504 → D0531-L42 → M0510 → D0517-L31 → M0501 → B064-006AC0019 → B164-006HT0005 → B164-006HT0004 → B164-006HT0205 → B164-006HT0206 → B164-006HT0008 → B164-006HT0007 → B164-006HT0202 → END</t>
  </si>
  <si>
    <t>B1-FC-64701</t>
  </si>
  <si>
    <t>BLOCK #1 BATTERY FUSE BOX</t>
  </si>
  <si>
    <t>B064-016AT0106 → B064-016AT0217 → B064-016AT0090 → B064-016AT0216 → B064-016AT0215 → B064-016AT0214 → B064-016AT0213 → B064-016AT0032 → B064-996AT0120 → M0501 → B064-006AC0020 → B164-006HT0005 → B164-006HT0207 → B164-006HT0208 → B164-006HT0009 → B164-006HT0008 → B164-006HT0007 → END</t>
  </si>
  <si>
    <t>B164-006GT0201 → B164-006GT0001 → B164-006GT0002 → B164-006GT0003 → B064-006AC0007 → M0501 → B064-996AT0120 → B064-016AT0033 → B064-016AT0034 → B064-016AT0035 → B064-016AT0036 → B064-016AT0037 → B064-016AT0309 → B064-016AT0017 → B064-016AT0122 → B064-016AT0314 → B064-016AC0001 → B064-006AC0025 → B064-016AC0009 → B073-006AT0102 → B073-006AT0104 → B073-006AT0106 → B073-006AT0108 → B073-006AT0001 → B073-006AT0003 → B073-006AT0006 → B073-006AT0007 → B073-996AT0009 → B073-996AT0021 → B073-016AT0001 → B073-016AT0014 → B073-016AT0015 → B073-016AT0013 → END</t>
  </si>
  <si>
    <t>B164-006HT0202 → B164-006HT0007 → B164-006HT0008 → B164-006HT0206 → B164-006HT0205 → B164-006HT0004 → B164-006HT0005 → B064-006AC0008 → M0501 → B064-996AT0120 → B064-016AT0032 → B064-016AT0212 → B064-016AT0011 → B064-016AT0012 → B064-016AT0013 → B064-016AT0014 → B064-016AT0015 → B064-016AT0016 → B064-016AT0017 → B064-016AT0122 → B064-016AT0314 → B064-016AC0004 → B064-006AC0028 → B064-016AC0012 → B073-006AT0102 → B073-006AT0104 → B073-006AT0106 → B073-006AT0108 → B073-006AT0001 → B073-006AT0003 → B073-006AT0006 → B073-006AT0007 → B073-996AT0009 → B073-996AT0021 → B073-016AT0001 → B073-016AT0014 → B073-016AT0015 → B073-016AT0013 → END</t>
  </si>
  <si>
    <t>B2-CH-64701</t>
  </si>
  <si>
    <t>BLOCK #2 BATTERY CHARGER - A AUX. POWER</t>
  </si>
  <si>
    <t>B264-016BT0024 → B264-016BT0025 → B264-016BT0026 → B264-016BT0027 → B264-016BT0028 → B264-996BT0012 → M0407 → B264-006AC0011 → B264-017ET0062 → B264-017ET0063 → END</t>
  </si>
  <si>
    <t>B2-UPS-64701</t>
  </si>
  <si>
    <t>BLOCK #2 UPS INVERTER - A AUX. POWER</t>
  </si>
  <si>
    <t>B264-016BT0045 → B264-016BT0046 → B264-016BT0047 → B264-996BT0013 → M0407 → B264-006AC0011 → B264-016ET0062 → B264-016ET0063 → END</t>
  </si>
  <si>
    <t>1.1_MAIN BUILDING COMPLEX (BLOCK #2 ST#2)</t>
  </si>
  <si>
    <t>B264-016FT0063 → B264-016FT0062 → B264-006AC0005 → M0407 → D0302-L34 → M0302 → D0303-L34 → M0303 → D0305-L25 → M0306 → D0321-L25 → M0307 → D0306-L23 → M0308 → D0308-L23 → M0310 → D0309-L23 → M0311 → D0310-L23 → B259-006BT0013 → B259-006BT0024 → B259-006BT0023 → B259-006BT0022 → B259-006BT0010 → B259-006BT0018 → B259-006BT0005 → END</t>
  </si>
  <si>
    <t>B259-006AT0003 → B259-006AT0014 → END</t>
  </si>
  <si>
    <t>B264-016DT0061 → B264-016DT0248 → B264-016ET0062 → B264-006AC0007 → M0407 → D0302-L36 → M0302 → D0303-L36 → M0303 → D0305-L26 → M0306 → D0321-L26 → M0307 → D0306-L33 → M0308 → D0308-L24 → M0310 → D0309-L24 → M0311 → D0310-L24 → B259-006BT0013 → B259-006BT0024 → B259-006BT0023 → B259-006BT0022 → B259-006BT0010 → B259-006BT0018 → B259-006BT0006 → B259-006BT0019 → B259-006BT0003 → END</t>
  </si>
  <si>
    <t>B259-006AT0005 → B259-006AT0014 → END</t>
  </si>
  <si>
    <t>BLOCK #2 BATTERY CHARGER - A</t>
  </si>
  <si>
    <t>B264-016BT0030 → B264-016BT0029 → B264-996BT0012 → M0407 → B264-006AC0013 → B264-016DT0062 → B264-016DT0063 → END</t>
  </si>
  <si>
    <t>B264-016BT0030 → B264-016BT0029 → B264-996BT0012 → M0407 → B264-006AC0014 → B264-016DT0062 → B264-016DT0063 → END</t>
  </si>
  <si>
    <t>B2-CH-64702</t>
  </si>
  <si>
    <t>BLOCK #2 BATTERY CHARGER - B</t>
  </si>
  <si>
    <t>B264-016CT0049 → B264-016CT0048 → B264-016CT0227 → B264-996CT0017 → M0407 → B264-006AC0006 → B264-016FT0062 → B264-016FT0063 → END</t>
  </si>
  <si>
    <t>B264-016CT0049 → B264-016CT0048 → B264-016CT0227 → B264-996CT0017 → M0407 → B264-006AC0007 → B264-016FT0062 → B264-016FT0063 → END</t>
  </si>
  <si>
    <t>BLOCK #2 UPS INVERTER - A</t>
  </si>
  <si>
    <t>B2-UPS-64702</t>
  </si>
  <si>
    <t>BLOCK #2 UPS INVERTER - B</t>
  </si>
  <si>
    <t>B264-016ET0063 → B264-016ET0247 → B264-016ET0061 → END</t>
  </si>
  <si>
    <t>B2-AVR-64701</t>
  </si>
  <si>
    <t>BLOCK #2 UPS BYPASS LINE - A</t>
  </si>
  <si>
    <t>B264-016BT0030 → B264-016BT0029 → B264-996BT0012 → M0407 → B264-006AC0010 → B264-016DT0062 → B264-016DT0063 → END</t>
  </si>
  <si>
    <t>B2-AVR-64702</t>
  </si>
  <si>
    <t>BLOCK #2 UPS BYPASS LINE - B</t>
  </si>
  <si>
    <t>B264-016CT0049 → B264-016CT0048 → B264-996CT0017 → M0407 → B264-006AC0011 → B264-016ET0062 → B264-016ET0063 → END</t>
  </si>
  <si>
    <t>B2-FC-64701</t>
  </si>
  <si>
    <t>BLOCK #2 BATTERY FUSE BOX</t>
  </si>
  <si>
    <t>B264-016BT0045 → B264-016BT0046 → B264-016BT0047 → B264-996BT0013 → M0407 → B264-016FT0062 → B264-016FT0248 → B264-016FT0060 → END</t>
  </si>
  <si>
    <t>B264-016DT0061 → B264-016DT0248 → B264-016DT0062 → B264-006AC0015 → M0407 → B025-016CT0106 → B025-016CT0105 → B025-016CT0104 → B025-016CT0103 → B025-016CT0102 → B025-016CT0101 → B025-016CT0100 → B025-016CT0099 → B025-016CT0098 → B025-016CT0097 → B025-016CT0096 → B025-016CT0095 → B025-016CT0094 → B025-016CT0093 → B164-016AT0263 → B164-016AT0115 → B164-016AT0114 → B164-016AT0217 → B164-016AT0090 → B164-016AT0216 → B164-016AT0215 → B164-016AT0055 → B164-016AT0056 → B164-016AT0057 → B164-016AT0058 → B164-016AT0059 → B164-016AT0060 → B164-016AT0254 → B164-016AT0253 → B164-016AT0123 → B164-016AT0313 → B164-016AT0314 → B064-016AC0002 → B064-006AC0026 → B064-016AC0010 → B073-007AT0102 → B073-007AT0104 → B073-007AT0106 → B073-007AT0108 → B073-007AT0001 → B073-007AT0003 → B073-007AT0006 → B073-007AT0007 → B073-997AT0009 → B073-997AT0021 → B073-017AT0001 → B073-017AT0014 → B073-017AT0015 → B073-017AT0013 → END</t>
  </si>
  <si>
    <t>B264-016DT0061 → B264-016DT0248 → B264-016DT0062 → B264-006AC0016 → M0407 → B025-016CT0106 → B025-016CT0105 → B025-016CT0104 → B025-016CT0103 → B025-016CT0102 → B025-016CT0101 → B025-016CT0100 → B025-016CT0099 → B025-016CT0098 → B025-016CT0097 → B025-016CT0096 → B025-016CT0095 → B025-016CT0094 → B025-016CT0093 → B164-016AT0263 → B164-016AT0115 → B164-016AT0114 → B164-016AT0217 → B164-016AT0090 → B164-016AT0216 → B164-016AT0215 → B164-016AT0055 → B164-016AT0056 → B164-016AT0057 → B164-016AT0058 → B164-016AT0059 → B164-016AT0060 → B164-016AT0254 → B164-016AT0253 → B164-016AT0123 → B164-016AT0313 → B164-016AT0314 → B064-016AC0003 → B064-006AC0027 → B064-016AC0011 → B073-007AT0102 → B073-007AT0104 → B073-007AT0106 → B073-007AT0108 → B073-007AT0001 → B073-007AT0003 → B073-007AT0006 → B073-007AT0007 → B073-997AT0009 → B073-997AT0021 → B073-017AT0001 → B073-017AT0014 → B073-017AT0015 → B073-017AT0013 → END</t>
  </si>
  <si>
    <t>B0-CH-64701</t>
  </si>
  <si>
    <t>COMMON BATTERY CHARGER - A AUX. POWER</t>
  </si>
  <si>
    <t>B064-016AT0012 → B064-996AT0020 → M0501 → B064-006AC0020 → B064-006FT0005 → B064-006FT0207 → END</t>
  </si>
  <si>
    <t>B0-UPS-64701</t>
  </si>
  <si>
    <t>COMMON UPS INVERTER - A AUX. POWER</t>
  </si>
  <si>
    <t>B064-016AT0012 → B064-996AT0020 → M0501 → B064-006AC0020 → B164-006GT0203 → B164-006GT0002 → B164-006GT0003 → END</t>
  </si>
  <si>
    <t>B164-006HT0205 → B164-006HT0004 → B164-006HT0005 → B064-006AC0005 → M0501 → D0503-L41 → M0502 → D0504-L41 → M0503 → D0501-L41 → M0328 → D0324-L41 → M0329 → B114-997AT0021 → B114-017AT0020 → B114-017AT0019 → B114-017AT0018 → B114-017AT0017 → B114-017AT0016 → B114-017AT0015 → B114-017AT0014 → B114-017AT0013 → B114-017AT0024 → B025-017BT0126 → B025-017BT0127 → B025-017BT0128 → B025-997BT0014 → M0105 → D0110-L24 → M0112 → D0111-L24 → M0113 → D0113-L44 → B169-007AT0044 → B169-007AT0004 → B169-007AT0005 → END</t>
  </si>
  <si>
    <t>B064-006FT0206 → B064-006FT0009 → B064-006FT0208 → B064-006FT0207 → B064-006FT0005 → B064-006AC0006 → M0501 → D0503-L36 → M0502 → D0504-L36 → M0503 → D0501-L36 → M0328 → D0324-L36 → M0329 → B114-996BT0046 → B114-016BT0045 → B114-016BT0044 → B114-016BT0043 → B114-016BT0042 → B114-016BT0041 → B114-016BT0040 → B114-016BT0039 → B114-016BT0038 → B215-016BT0023 → B025-016BT0123 → B025-016BT0124 → B025-016BT0125 → B025-996BT0013 → M0105 → D0110-L25 → M0112 → D0111-L25 → M0113 → D0113-L35 → B169-006AT0044 → B169-006AT0011 → B169-006AT0012 → END</t>
  </si>
  <si>
    <t>B169-006AT0015 → B169-006AT0053 → B169-006AT0009 → B169-006AT0010 → B169-006AT0011 → B169-006AT0012 → END</t>
  </si>
  <si>
    <t>400V EMERGENCY SWITCHGEAR FOR COMMON - A</t>
  </si>
  <si>
    <t>COMMON BATTERY CHARGER - A</t>
  </si>
  <si>
    <t>B064-016AT0015 → B064-016AT0014 → B064-016AT0232 → B064-016AT0034 → B064-016AT0033 → B064-996AT0120 → M0501 → B064-006AC0012 → B164-006JT0209 → END</t>
  </si>
  <si>
    <t>400V EMERGENCY SWITCHGEAR FOR COMMON - B</t>
  </si>
  <si>
    <t>COMMON BATTERY CHARGER - B</t>
  </si>
  <si>
    <t>B064-016CT0036 → B064-016CT0035 → B064-016CT0034 → B064-016CT0033 → B064-996CT0020 → M0501 → B064-006AC0013 → B064-006FT0003 → B064-006FT0205 → B064-006FT0206 → B064-006FT0009 → B064-006FT0208 → END</t>
  </si>
  <si>
    <t>COMMON UPS INVERTER - A</t>
  </si>
  <si>
    <t>B164-006HT0207 → B164-006HT0004 → B164-006HT0205 → END</t>
  </si>
  <si>
    <t>B0-UPS-64702</t>
  </si>
  <si>
    <t>COMMON UPS INVERTER - B</t>
  </si>
  <si>
    <t>B064-006FT0208 → B064-006FT0009 → B064-006FT0206 → END</t>
  </si>
  <si>
    <t>B0-AVR-64701</t>
  </si>
  <si>
    <t>COMMON UPS BYPASS LINE - A</t>
  </si>
  <si>
    <t>B064-016AT0016 → B064-016AT0015 → B064-016AT0014 → B064-016AT0232 → B064-016AT0034 → B064-016AT0033 → B064-996AT0120 → M0501 → B064-006AC0020 → B064-006FT0003 → B064-006FT0205 → END</t>
  </si>
  <si>
    <t>B0-AVR-64702</t>
  </si>
  <si>
    <t>COMMON UPS BYPASS LINE - B</t>
  </si>
  <si>
    <t>B064-016CT0036 → B064-016CT0035 → B064-016CT0034 → B064-016CT0033 → B064-996CT0020 → M0501 → B064-006AC0021 → B164-006HT0006 → B164-006HT0209 → B164-006HT0210 → B164-006HT0010 → B164-006HT0009 → B164-006HT0206 → END</t>
  </si>
  <si>
    <t>B0-FC-64701</t>
  </si>
  <si>
    <t>COMMON BATTERY FUSE BOX</t>
  </si>
  <si>
    <t>B064-016AT0012 → B064-996AT0020 → M0501 → B064-006AC0020 → B164-006HT0005 → B164-006HT0207 → B164-006HT0208 → B164-006HT0009 → END</t>
  </si>
  <si>
    <t>220V DC LOCAL DISTRIBUTION PANEL FOR ACC - A</t>
  </si>
  <si>
    <t>B164-006HT0207 → B164-006HT0005 → B064-006AC0003 → M0501 → D0503-L42 → M0502 → D0504-L42 → M0503 → D0501-L42 → M0328 → D0324-L42 → M0329 → B114-997AT0021 → B114-017AT0020 → B114-017AT0019 → B114-017AT0018 → B114-017AT0017 → B114-017AT0016 → B114-017AT0015 → B114-017AT0014 → B114-017AT0013 → B114-017AT0024 → B025-017BT0126 → B025-017BT0127 → B025-017BT0128 → B025-997BT0014 → M0105 → D0110-L31 → M0112 → D0111-L24 → M0113 → D0113-L44 → B169-007AT0044 → B169-007AT0004 → B169-007AT0005 → END</t>
  </si>
  <si>
    <t>220V DC LOCAL DISTRIBUTION PANEL FOR ACC - B</t>
  </si>
  <si>
    <t>B164-006JT0210 → B164-006JT0209 → B164-006JT0006 → B064-006AC0004 → M0501 → D0503-L42 → M0502 → D0504-L42 → M0503 → D0501-L42 → M0328 → D0324-L42 → M0329 → B114-996BT0046 → B114-016BT0045 → B114-016BT0044 → B114-016BT0043 → B114-016BT0042 → B114-016BT0041 → B114-016BT0040 → B114-016BT0039 → B114-016BT0038 → B215-016BT0023 → B025-016BT0123 → B025-016BT0124 → B025-016BT0125 → B025-996BT0013 → M0105 → D0110-L32 → M0112 → D0111-L32 → M0113 → D0113-L32 → B169-006AT0044 → B169-006AT0011 → B169-006AT0012 → END</t>
  </si>
  <si>
    <t>PROTECTION</t>
  </si>
  <si>
    <t>B1-PRP-64701</t>
  </si>
  <si>
    <t>BLOCK #1 PROTECTION RELAY PANEL FOR GSUT GTG #1</t>
  </si>
  <si>
    <t>B164-006GT0203 → B164-006GT0002 → B164-006GT0003 → B064-006AC0018 → M0501 → B064-996GT0020 → B064-016GT0033 → B064-016GT0229 → B064-016GT0230 → B064-016GT0047 → B064-016GT0048 → B064-016GT0239 → B064-996GT0013 → B064-996GT0053 → B064-996GT0073 → B064-037AT0214 → B064-037AT0039 → B064-037AT0040 → B064-037AT0041 → B064-037AT0228 → B064-037AT0227 → B064-037AT0031 → END</t>
  </si>
  <si>
    <t>B164-006HT0204 → B164-006HT0008 → B164-006HT0009 → B164-006HT0010 → B164-006HT0210 → B164-006HT0209 → B164-006HT0006 → B064-006AC0023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B064-036AT0030 → B064-036AT0031 → END</t>
  </si>
  <si>
    <t>B064-016AT0090 → B064-016AT0216 → B064-016AT0215 → B064-016AT0214 → B064-016AT0213 → B064-016AT0212 → B064-016AT0011 → B064-016AT0012 → B064-016AT0222 → B064-996AT0005 → B064-996AT0045 → B064-996AT0065 → B064-036AT0008 → B064-036AT0203 → B064-036AT0013 → B064-036AT0014 → B064-036AT0015 → B064-036AT0016 → B064-036AT0217 → B064-036AT0218 → B064-036AT0219 → B064-036AT0030 → B064-036AT0031 → END</t>
  </si>
  <si>
    <t>B1-PRP-64702</t>
  </si>
  <si>
    <t>BLOCK #1 PROTECTION RELAY PANEL FOR UAT GTG #1</t>
  </si>
  <si>
    <t>B164-006GT0203 → B164-006GT0002 → B164-006GT0003 → B064-006AC0019 → M0501 → B064-996GT0020 → B064-016CT0033 → B064-016GT0229 → B064-016GT0230 → B064-016GT0047 → B064-016GT0048 → B064-016GT0239 → B064-996GT0013 → B064-996GT0053 → B064-996GT0073 → B064-037AT0214 → B064-037AT0039 → B064-037AT0040 → B064-037AT0041 → B064-037AT0228 → B064-037AT0227 → B064-037AT0031 → END</t>
  </si>
  <si>
    <t>B064-016AT0106 → B064-016AT0217 → B064-016AT0090 → B064-016AT0216 → B064-016AT0215 → B064-016AT0214 → B064-016AT0213 → B064-016AT0212 → B064-016AT0011 → B064-016AT0012 → B064-016AT0222 → B064-996AT0005 → B064-996AT0045 → B064-996AT0065 → B064-036AT0008 → B064-036AT0203 → B064-036AT0013 → B064-036AT0014 → B064-036AT0015 → B064-036AT0016 → B064-036AT0217 → B064-036AT0218 → B064-036AT0219 → B064-036AT0030 → B064-036AT0031 → END</t>
  </si>
  <si>
    <t>B1-PRP-64703</t>
  </si>
  <si>
    <t>BLOCK #1 PROTECTION RELAY PANEL FOR OVERALL GTG #1</t>
  </si>
  <si>
    <t>B164-006HT0204 → B164-006HT0008 → B164-006HT0009 → B164-006HT0010 → B164-006HT0210 → B164-006HT0209 → B164-006HT0006 → B064-006AC0018 → M0501 → B064-996GT0020 → B064-016CT0033 → B064-016GT0229 → B064-016GT0230 → B064-016GT0047 → B064-016GT0048 → B064-016GT0239 → B064-996GT0013 → B064-996GT0053 → B064-996GT0073 → B064-037AT0214 → B064-037AT0039 → B064-037AT0040 → B064-037AT0041 → B064-037AT0228 → B064-037AT0227 → B064-037AT0031 → END</t>
  </si>
  <si>
    <t>B164-006GT0203 → B164-006GT0002 → B164-006GT0003 → B064-006AC0023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B064-036AT0030 → B064-036AT0031 → END</t>
  </si>
  <si>
    <t>B1-PRP-64704</t>
  </si>
  <si>
    <t>BLOCK #1 PROTECTION RELAY PANEL FOR GSUT GTG #2</t>
  </si>
  <si>
    <t>B164-006HT0204 → B164-006HT0008 → B164-006HT0009 → B164-006HT0010 → B164-006HT0210 → B164-006HT0209 → B164-006HT0006 → B064-006AC0019 → M0501 → B064-996GT0020 → B064-016CT0033 → B064-016GT0229 → B064-016GT0230 → B064-016GT0047 → B064-016GT0048 → B064-016GT0239 → B064-996GT0013 → B064-996GT0053 → B064-996GT0073 → B064-037AT0214 → B064-037AT0039 → B064-037AT0040 → B064-037AT0041 → B064-037AT0228 → B064-037AT0035 → END</t>
  </si>
  <si>
    <t>B164-006GT0203 → B164-006GT0002 → B164-006GT0003 → B064-006AC0023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B064-036AT0035 → END</t>
  </si>
  <si>
    <t>B064-016AT0111 → B064-016AT0296 → B064-016AT0094 → B064-016AT0278 → B064-016AT0277 → B064-016AT0067 → B064-016AT0068 → B064-016AT0290 → B064-016AT0240 → B064-016AT0049 → B064-016AT0048 → B064-016AT0234 → B064-016AT0233 → B064-016AT0232 → B064-016AT0013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B064-036AT0035 → END</t>
  </si>
  <si>
    <t>B1-PRP-64705</t>
  </si>
  <si>
    <t>BLOCK #1 PROTECTION RELAY PANEL FOR UAT GTG #2</t>
  </si>
  <si>
    <t>B164-006GT0203 → B164-006GT0002 → B164-006GT0003 → B064-006AC0023 → M0501 → B064-996GT0020 → B064-016CT0033 → B064-016GT0229 → B064-016GT0230 → B064-016GT0047 → B064-016GT0048 → B064-016GT0239 → B064-996GT0013 → B064-996GT0053 → B064-996GT0073 → B064-037AT0214 → B064-037AT0039 → B064-037AT0040 → B064-037AT0041 → B064-037AT0228 → B064-037AT0035 → END</t>
  </si>
  <si>
    <t>B164-006HT0204 → B164-006HT0008 → B164-006HT0009 → B164-006HT0010 → B164-006HT0210 → B164-006HT0209 → B164-006HT0006 → B064-006AC0024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B064-036AT0035 → END</t>
  </si>
  <si>
    <t>B064-016AT0095 → B064-016AT0094 → B064-016AT0278 → B064-016AT0277 → B064-016AT0067 → B064-016AT0068 → B064-016AT0290 → B064-016AT0240 → B064-016AT0049 → B064-016AT0048 → B064-016AT0234 → B064-016AT0233 → B064-016AT0232 → B064-016AT0013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B064-036AT0035 → END</t>
  </si>
  <si>
    <t>B1-PRP-64706</t>
  </si>
  <si>
    <t>BLOCK #1 PROTECTION RELAY PANEL FOR OVERALL GTG #2</t>
  </si>
  <si>
    <t>B164-006HT0204 → B164-006HT0008 → B164-006HT0009 → B164-006HT0010 → B164-006HT0210 → B164-006HT0209 → B164-006HT0006 → B064-006AC0024 → M0501 → B064-996GT0020 → B064-016CT0033 → B064-016GT0229 → B064-016GT0230 → B064-016GT0047 → B064-016GT0048 → B064-016GT0239 → B064-996GT0013 → B064-996GT0053 → B064-996GT0073 → B064-037AT0214 → B064-037AT0039 → B064-037AT0040 → B064-037AT0041 → B064-037AT0228 → B064-037AT0035 → END</t>
  </si>
  <si>
    <t>B164-006GT0203 → B164-006GT0002 → B164-006GT0003 → B064-006AC0022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B064-036AT0035 → END</t>
  </si>
  <si>
    <t>B2-PRP-64701</t>
  </si>
  <si>
    <t>BLOCK #2 PROTECTION RELAY PANEL FOR GSUT GTG #1</t>
  </si>
  <si>
    <t>B264-016FT0063 → B264-016FT0062 → B264-006AC0009 → M0407 → B264-996AT0013 → B264-016AT0048 → B264-016AT0049 → B264-016AT0050 → B264-016AT0240 → B264-016AT0055 → B264-016AT0056 → B264-016AT0057 → B264-016AT0244 → END</t>
  </si>
  <si>
    <t>B264-017ET0063 → B264-017ET0062 → B264-006AC0010 → M0407 → B264-996BT0013 → B264-016BT0048 → B264-016BT0049 → B264-016BT0050 → B264-016BT0240 → B264-016BT0055 → B264-016BT0056 → B264-016BT0057 → B264-016BT0244 → END</t>
  </si>
  <si>
    <t>B264-016AT0024 → B264-016AT0025 → B264-016AT0026 → B264-016AT0027 → B264-016AT0028 → B264-016AT0029 → B264-016AT0030 → B264-016AT0031 → B264-016AT0032 → B264-016AT0033 → B264-016AT0034 → B264-016AT0244 → END</t>
  </si>
  <si>
    <t>B2-PRP-64702</t>
  </si>
  <si>
    <t>BLOCK #2 PROTECTION RELAY PANEL FOR UAT GTG #1</t>
  </si>
  <si>
    <t>B264-017ET0063 → B264-017ET0062 → B264-006AC0015 → M0407 → B264-996AT0013 → B264-016AT0048 → B264-016AT0049 → B264-016AT0050 → B264-016AT0240 → B264-016AT0055 → B264-016AT0056 → B264-016AT0057 → B264-016AT0244 → END</t>
  </si>
  <si>
    <t>B264-016FT0063 → B264-016FT0062 → B264-006AC0016 → M0407 → B264-996BT0013 → B264-016BT0048 → B264-016BT0049 → B264-016BT0050 → B264-016BT0240 → B264-016BT0055 → B264-016BT0056 → B264-016BT0057 → B264-016BT0244 → END</t>
  </si>
  <si>
    <t>B264-016BT0024 → B264-016BT0025 → B264-016BT0026 → B264-016BT0027 → B264-016BT0028 → B264-016BT0029 → B264-016BT0030 → B264-016BT0031 → B264-016BT0032 → B264-016BT0033 → B264-016BT0034 → B264-016BT0244 → END</t>
  </si>
  <si>
    <t>B2-PRP-64703</t>
  </si>
  <si>
    <t>BLOCK #2 PROTECTION RELAY PANEL FOR OVERALL GTG #1</t>
  </si>
  <si>
    <t>B264-016FT0063 → B264-016FT0062 → B264-006AC0015 → M0407 → B264-996BT0013 → B264-016BT0048 → B264-016BT0049 → B264-016BT0050 → B264-016BT0240 → B264-016BT0055 → B264-016BT0056 → B264-016BT0057 → B264-016BT0244 → END</t>
  </si>
  <si>
    <t>B264-016DT0063 → B264-016DT0062 → B264-006AC0016 → M0407 → B264-996AT0013 → B264-016AT0048 → B264-016AT0049 → B264-016AT0050 → B264-016AT0240 → B264-016AT0055 → B264-016AT0056 → B264-016AT0057 → B264-016AT0244 → END</t>
  </si>
  <si>
    <t>B2-PRP-64704</t>
  </si>
  <si>
    <t>BLOCK #2 PROTECTION RELAY PANEL FOR GSUT GTG #2</t>
  </si>
  <si>
    <t>B264-016FT0063 → B264-016FT0062 → B264-006AC0016 → M0407 → B264-996BT0013 → B264-016BT0048 → B264-016BT0049 → B264-016BT0050 → B264-016BT0240 → B264-016BT0055 → B264-016BT0056 → B264-016BT0057 → B264-016BT0058 → B264-016BT0245 → END</t>
  </si>
  <si>
    <t>B264-016DT0063 → B264-016DT0062 → B264-006AC0015 → M0407 → B264-996AT0013 → B264-016AT0048 → B264-016AT0049 → B264-016AT0050 → B264-016AT0240 → B264-016AT0055 → B264-016AT0056 → B264-016AT0057 → B264-016AT0058 → B264-016AT0245 → END</t>
  </si>
  <si>
    <t>B264-016BT0047 → B264-016BT0048 → B264-016BT0049 → B264-016BT0050 → B264-016BT0240 → B264-016BT0055 → B264-016BT0056 → B264-016BT0057 → B264-016BT0058 → B264-016BT0245 → END</t>
  </si>
  <si>
    <t>B2-PRP-64705</t>
  </si>
  <si>
    <t>BLOCK #2 PROTECTION RELAY PANEL FOR UAT GTG #2</t>
  </si>
  <si>
    <t>B264-016DT0063 → B264-016DT0062 → B264-006AC0005 → M0407 → B264-996AT0013 → B264-016AT0048 → B264-016AT0049 → B264-016AT0050 → B264-016AT0240 → B264-016AT0055 → B264-016AT0056 → B264-016AT0057 → B264-016AT0058 → B264-016AT0245 → END</t>
  </si>
  <si>
    <t>B264-016FT0063 → B264-016FT0062 → B264-006AC0006 → M0407 → B264-996BT0013 → B264-016BT0048 → B264-016BT0049 → B264-016BT0050 → B264-016BT0240 → B264-016BT0055 → B264-016BT0056 → B264-016BT0057 → B264-016BT0058 → B264-016BT0245 → END</t>
  </si>
  <si>
    <t>B264-016AT0027 → B264-016AT0028 → B264-016AT0029 → B264-016AT0030 → B264-016AT0031 → B264-016AT0032 → B264-016AT0033 → B264-016AT0034 → B264-016AT0035 → B264-016AT0245 → END</t>
  </si>
  <si>
    <t>B2-PRP-64706</t>
  </si>
  <si>
    <t>BLOCK #2 PROTECTION RELAY PANEL FOR OVERALL GTG #2</t>
  </si>
  <si>
    <t>B264-016FT0063 → B264-016FT0062 → B264-006AC0008 → M0407 → B264-996BT0013 → B264-016BT0048 → B264-016BT0049 → B264-016BT0050 → B264-016BT0240 → B264-016BT0055 → B264-016BT0056 → B264-016BT0057 → B264-016BT0058 → B264-016BT0245 → END</t>
  </si>
  <si>
    <t>B264-016DT0063 → B264-016DT0062 → B264-006AC0008 → M0407 → B264-996AT0013 → B264-016AT0048 → B264-016AT0049 → B264-016AT0050 → B264-016AT0240 → B264-016AT0055 → B264-016AT0056 → B264-016AT0057 → B264-016AT0058 → B264-016AT0245 → END</t>
  </si>
  <si>
    <t>B1-PRP-64707</t>
  </si>
  <si>
    <t>BLOCK #1 PROTECTION RELAY PANEL FOR GSUT STG</t>
  </si>
  <si>
    <t>B164-006GT0204 → B164-006GT0203 → B164-006GT0002 → B164-006GT0003 → B064-006AC0003 → M0501 → B064-996GT0020 → B064-016GT0033 → B064-016GT0229 → B064-016GT0230 → B064-016GT0047 → B064-016GT0048 → B064-016GT0239 → B064-996GT0013 → B064-996GT0053 → B064-996GT0073 → B064-037AT0214 → B064-037AT0039 → B064-037AT0040 → B064-037AT0041 → B064-037AT0228 → B064-037AT0035 → B064-037AT0034 → END</t>
  </si>
  <si>
    <t>B164-006HT0203 → B164-006HT0002 → B164-006HT0003 → B064-006AC0003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END</t>
  </si>
  <si>
    <t>B064-016AT0095 → B064-016AT0094 → B064-016AT0278 → B064-016AT0277 → B064-016AT0067 → B064-016AT0068 → B064-016AT0290 → B064-016AT0240 → B064-016AT0049 → B064-016AT0048 → B064-016AT0234 → B064-016AT0233 → B064-016AT0232 → B064-016AT0013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END</t>
  </si>
  <si>
    <t>B1-PRP-64708</t>
  </si>
  <si>
    <t>BLOCK #1 PROTECTION RELAY PANEL FOR OVERALL STG</t>
  </si>
  <si>
    <t>B2-PRP-64707</t>
  </si>
  <si>
    <t>BLOCK #2 PROTECTION RELAY PANEL FOR GSUT STG</t>
  </si>
  <si>
    <t>B264-016ET0063 → B264-016ET0062 → B264-006AC0001 → M0407 → B264-996AT0012 → B264-016AT0029 → B264-016AT0030 → B264-016AT0031 → B264-016AT0032 → B264-016AT0033 → B264-016AT0034 → B264-016AT0035 → B264-016AT0036 → END</t>
  </si>
  <si>
    <t>B264-017ET0063 → B264-017ET0062 → B264-006AC0001 → M0407 → B264-996BT0012 → B264-016BT0030 → B264-016BT0031 → B264-016BT0032 → B264-016BT0033 → B264-016BT0034 → B264-016BT0035 → B264-016BT0036 → END</t>
  </si>
  <si>
    <t>B264-016BT0027 → B264-016BT0028 → B264-016BT0029 → B264-016BT0030 → B264-016BT0031 → B264-016BT0032 → B264-016BT0033 → B264-016BT0034 → B264-016BT0035 → B264-016BT0036 → END</t>
  </si>
  <si>
    <t>B2-PRP-64708</t>
  </si>
  <si>
    <t>BLOCK #2 PROTECTION RELAY PANEL FOR OVERALL STG</t>
  </si>
  <si>
    <t>B264-016DT0063 → B264-016DT0062 → B264-006AC0001 → M0407 → B264-996AT0012 → B264-016AT0030 → B264-016AT0031 → B264-016AT0032 → B264-016AT0033 → B264-016AT0034 → B264-016AT0035 → B264-016AT0036 → END</t>
  </si>
  <si>
    <t>B264-017ET0063 → B264-017ET0062 → B264-006AC0001 → M0407 → B264-996BT0012 → B264-016BT0030 → B264-016BT0031 → B264-016BT0032 → B264-016BT0033 → B264-016BT0034 → B264-016BT0035 → B264-016BT0036 → END → B264-016BT0031 → B264-016BT0032 → B264-016BT0033 → B264-016BT0034 → B264-016BT0035 → B264-016BT0036 → END</t>
  </si>
  <si>
    <t>B0-PRP-64701</t>
  </si>
  <si>
    <t>PROTECTION RELAY PANEL FOR BACK UP TRANSFORMER</t>
  </si>
  <si>
    <t>B164-006HT0210 → B164-006HT0209 → B164-006HT0006 → B064-006AC0022 → M0501 → B064-996GT0020 → B064-016CT0033 → B064-016GT0229 → B064-016GT0230 → B064-016GT0047 → B064-016GT0048 → B064-016GT0239 → B064-996GT0013 → B064-996GT0053 → B064-996GT0073 → B064-037AT0214 → B064-037AT0039 → B064-037AT0040 → B064-037AT0041 → B064-037AT0228 → B064-037AT0227 → B064-037AT0031 → END</t>
  </si>
  <si>
    <t>B164-006GT0207 → B164-006GT0005 → B064-006AC0022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B064-036AT0030 → END</t>
  </si>
  <si>
    <t>B064-016AT0032 → B064-016AT0033 → B064-016AT0034 → B064-016AT0232 → B064-016AT0013 → B064-016AT0222 → B064-996AT0005 → B064-996AT0045 → B064-996AT0065 → B064-036AT0008 → B064-036AT0203 → B064-036AT0013 → B064-036AT0205 → B064-036AT0024 → B064-036AT0025 → END</t>
  </si>
  <si>
    <t>FMS</t>
  </si>
  <si>
    <t>B1-PMCS-64701</t>
  </si>
  <si>
    <t>SUB HUB PANEL FOR BLOCK #1 MAIN</t>
  </si>
  <si>
    <t>B164-006GT0201 → B164-006GT0001 → B164-006GT0002 → B164-006GT0003 → B064-006AC0016 → M0501 → B064-996AT0120 → B064-016AT0032 → B064-016AT0213 → B064-016AT0214 → B064-016AT0063 → END</t>
  </si>
  <si>
    <t>B164-006HT0202 → B164-006HT0201 → B164-006HT0001 → B164-006HT0002 → B164-006HT0003 → B064-006AC0017 → M0501 → B064-996AT0020 → B064-016AT0012 → B064-016AT0011 → B064-016AT0212 → B064-016AT0213 → B064-016AT0214 → END</t>
  </si>
  <si>
    <t>B064-016AT0217 → B064-016AT0090 → B064-016AT0216 → B064-016AT0215 → END</t>
  </si>
  <si>
    <t>B1-PMCS-64702</t>
  </si>
  <si>
    <t>SUB HUB PANEL FOR BLOCK #1 BACK UP</t>
  </si>
  <si>
    <t>B164-006HT0202 → B164-006HT0201 → B164-006HT0001 → B164-006HT0002 → B164-006HT0003 → B064-006AC0017 → M0501 → B064-996AT0120 → B064-016AT0032 → B064-016AT0213 → B064-016AT0214 → B064-016AT0063 → END</t>
  </si>
  <si>
    <t>B164-006GT0201 → B164-006GT0001 → B164-006GT0002 → B164-006GT0003 → B064-006AC0016 → M0501 → B064-996AT0020 → B064-016AT0012 → B064-016AT0011 → B064-016AT0212 → B064-016AT0213 → B064-016AT0214 → END</t>
  </si>
  <si>
    <t>B064-016AT0095 → B064-016AT0094 → B064-016AT0278 → B064-016AT0277 → B064-016AT0066 → B064-016AT0065 → B064-016AT0064 → B064-016AT0063 → END</t>
  </si>
  <si>
    <t>B1-PMCS-69701</t>
  </si>
  <si>
    <t>SUB HUB PANEL FOR BLOCK #1 ACC</t>
  </si>
  <si>
    <t>B169-006BT0054 → B169-006BT0018 → B169-006BT0017 → B169-006BT0016 → B169-006BT0031 → END</t>
  </si>
  <si>
    <t>B169-006AT0012 → B169-006AT0011 → B169-006AT0010 → B169-006AT0009 → B169-006AT0008 → END</t>
  </si>
  <si>
    <t>B169-006AT0009 → B169-006AT0008 → END</t>
  </si>
  <si>
    <t>B2-PMCS-64701</t>
  </si>
  <si>
    <t>SUB HUB PANEL FOR BLOCK #2 MAIN</t>
  </si>
  <si>
    <t>B264-016DT0061 → B264-016DT0060 → B264-006AC0001 → M0405 → B264-996AT0011 → B264-016AT0014 → B264-016AT0211 → B264-016AT0008 → B264-016AT0007 → END</t>
  </si>
  <si>
    <t>B264-016ET0061 → B264-016ET0060 → B264-006AC0002 → M0405 → B264-016CT0209 → B264-016BT0014 → B264-016BT0211 → B264-016BT0008 → B264-016BT0007 → END</t>
  </si>
  <si>
    <t>B264-016BT0024 → B264-016BT0204 → B264-016BT0203 → END</t>
  </si>
  <si>
    <t>B2-PMCS-64702</t>
  </si>
  <si>
    <t>SUB HUB PANEL FOR BLOCK #2 BACK UP</t>
  </si>
  <si>
    <t>B264-016ET0061 → B264-016ET0060 → B264-006AC0003 → M0405 → B264-016CT0209 → B264-016BT0014 → B264-016BT0211 → B264-016BT0008 → B264-016BT0007 → END</t>
  </si>
  <si>
    <t>B264-016BT0027 → B264-016BT0026 → B264-016BT0025 → B264-016BT0024 → B264-016BT0204 → B264-016BT0203 → END</t>
  </si>
  <si>
    <t>B2-PMCS-69701</t>
  </si>
  <si>
    <t>SUB HUB PANEL FOR BLOCK #2 ACC</t>
  </si>
  <si>
    <t>B169-007AT0005 → END</t>
  </si>
  <si>
    <t>B169-006AT0012 → END</t>
  </si>
  <si>
    <t>B169-006AT0021 → B169-006AT0020 → B169-006AT0033 → END</t>
  </si>
  <si>
    <t>B1-PMCS-59701</t>
  </si>
  <si>
    <t>SUB HUB PANEL FOR STG</t>
  </si>
  <si>
    <t>B159-006BT0003 → END</t>
  </si>
  <si>
    <t>B0-PMCS-64702</t>
  </si>
  <si>
    <t>DB &amp; COMM SERVER PANEL</t>
  </si>
  <si>
    <t>B064-006FT0205 → B064-006FT0003 → B064-006AC0018 → M0501 → B064-996GT0020 → B064-016CT0033 → B064-016GT0229 → B064-016GT0230 → B064-016GT0047 → B064-016GT0048 → B064-016GT0239 → B064-996GT0013 → B064-996GT0053 → B064-996GT0073 → B064-037AT0214 → B064-037AT0213 → B064-037AT0212 → B064-037AT0211 → B064-037AT0025 → END</t>
  </si>
  <si>
    <t>B164-006HT0206 → B164-006HT0205 → B164-006HT0004 → B164-006HT0005 → B064-006AC0019 → M0501 → B064-996GT0020 → B064-016CT0033 → B064-016GT0229 → B064-016GT0230 → B064-016GT0047 → B064-016GT0048 → B064-016GT0239 → B064-996GT0013 → B064-996GT0053 → B064-996GT0073 → B064-037AT0214 → B064-037AT0213 → B064-037AT0212 → B064-037AT0211 → B064-037AT0025 → END</t>
  </si>
  <si>
    <t>B0-PMCS-64701</t>
  </si>
  <si>
    <t>MAIN HUB PANEL</t>
  </si>
  <si>
    <t>B064-006FT0206 → B064-006FT0009 → B064-006FT0208 → B064-006FT0207 → B064-006FT0005 → B064-006AC0017 → M0501 → B064-996GT0020 → B064-016CT0033 → B064-016GT0229 → B064-016GT0230 → B064-016GT0047 → B064-016GT0048 → B064-016GT0239 → B064-996GT0013 → B064-996GT0053 → B064-996GT0073 → B064-037AT0214 → B064-037AT0213 → B064-037AT0212 → B064-037AT0211 → B064-037AT0025 → END</t>
  </si>
  <si>
    <t>B164-006HT0205 → B164-006HT0004 → B164-006HT0005 → B064-006AC0016 → M0501 → B064-996AT0020 → B064-016AT0222 → B064-996AT0005 → B064-996AT0045 → B064-996AT0065 → B064-036AT0008 → B064-036AT0203 → B064-036AT0013 → B064-036AT0205 → B064-036AT0024 → B064-036AT0025 → END</t>
  </si>
  <si>
    <t>B0-PMCS-64703</t>
  </si>
  <si>
    <t>SUB HUB PANEL FOR COMMON</t>
  </si>
  <si>
    <t>B164-006HT0205 → B164-006HT0004 → B164-006HT0005 → B064-006AC0016 → M0501 → B064-996CT0020 → B064-016CT0033 → B064-016CT0034 → B064-016CT0035 → END</t>
  </si>
  <si>
    <t>B064-006FT0206 → B064-006FT0009 → B064-006FT0208 → B064-006FT0207 → B064-006FT0005 → B064-006AC0017 → M0501 → B064-996AT0020 → B064-016AT0013 → B064-016AT0232 → B064-016AT0233 → END</t>
  </si>
  <si>
    <t>B0-PMCS-49701</t>
  </si>
  <si>
    <t>SUB HUB PANEL FOR WT</t>
  </si>
  <si>
    <t>B064-006FT0206 → B064-006FT0009 → B064-006FT0208 → B064-006FT0207 → B064-006FT0005 → B064-006AC0010 → M0501 → D0503-L35 → M0502 → D0504-L35 → M0503 → D0501-L35 → M0328 → D0324-L35 → M0329 → B114-997AT0021 → B114-017AT0020 → B114-017AT0025 → B025-017ET0042 → B025-017ET0041 → B025-017ET0040 → B025-017ET0016 → B025-017ET0039 → B025-017ET0038 → B025-017ET0036 → B025-017ET0035 → B025-017ET0033 → B025-017ET0032 → B025-017ET0031 → B025-017ET0030 → B025-017ET0021 → B025-017ET0022 → B025-997ET0004 → M0205 → D0205-L15 → M0206 → D0203-L15 → M0207 → D0204-L18 → B049-006AT0002 → B049-006AT0003 → B049-006AT0004 → B049-006AT0005 → END</t>
  </si>
  <si>
    <t>B164-006HT0205 → B164-006HT0004 → B164-006HT0005 → B064-006AC0010 → M0501 → D0503-L36 → M0502 → D0504-L36 → M0503 → D0501-L36 → M0328 → D0324-L36 → M0329 → B114-996AT0021 → B114-016AT0020 → B114-016AT0025 → B025-016FT0042 → B025-016FT0041 → B025-016FT0040 → B025-996FT0016 → B025-016FT0039 → B025-016FT0038 → B025-016FT0036 → B025-016FT0035 → B025-016FT0033 → B025-016FT0032 → B025-016FT0031 → B025-016FT0030 → B025-016FT0028 → B025-016FT0029 → B025-996FT0005 → M0205 → D0205-L21 → M0206 → D0203-L21 → M0207 → D0204-L16 → B049-006BT0001 → B049-006BT0003 → B049-006BT0004 → END</t>
  </si>
  <si>
    <t>B049-006CT0008 → B049-006CT0006 → END</t>
  </si>
  <si>
    <t>AIS</t>
  </si>
  <si>
    <t>400V SWITCHGEAR FOR COMMON - A</t>
  </si>
  <si>
    <t>B0-SWG-22601</t>
  </si>
  <si>
    <t>400V AIS SWITCHGEAR BUS - A</t>
  </si>
  <si>
    <t>38_OPERATIONAL CONTROL POINT</t>
  </si>
  <si>
    <t>400V SWITCHGEAR FOR COMMON - B</t>
  </si>
  <si>
    <t>B0-SWG-22602</t>
  </si>
  <si>
    <t>400V AIS SWITCHGEAR BUS - B</t>
  </si>
  <si>
    <t>B04+S_B04/2</t>
  </si>
  <si>
    <t>MARSHALLING KIOSKS INTERFACE PANEL FOR GTG11</t>
  </si>
  <si>
    <t>B164-016AT0092 → B164-016AT0091 → B064-016AT0216 → B164-016AT0215 → B064-016AT0214 → B064-016AT0213 → B064-016AT0212 → B064-016AT0011 → B064-016AT0012 → B064-016AT0013 → B064-016AT0014 → B064-016AT0015 → B064-016AT0016 → B064-016AT0017 → B064-016AT0222 → END</t>
  </si>
  <si>
    <t>B03+S_B03/2</t>
  </si>
  <si>
    <t>MARSHALLING KIOSKS INTERFACE PANEL FOR GTG12</t>
  </si>
  <si>
    <t>B02+S_B02/2</t>
  </si>
  <si>
    <t>MARSHALLING KIOSKS INTERFACE PANEL FOR STG13</t>
  </si>
  <si>
    <t>K00+P91</t>
  </si>
  <si>
    <t>BLOCK#1 GENERATOR METERING CABINET</t>
  </si>
  <si>
    <t>B164-006GT0203 → B164-006GT0002 → B164-006GT0003 → B064-006AC0021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B064-036AT0035 → END</t>
  </si>
  <si>
    <t>K00+P93</t>
  </si>
  <si>
    <t>BLOCK#1 SWGR METERING CABINET</t>
  </si>
  <si>
    <t>B164-006HT0204 → B164-006HT0008 → B164-006HT0009 → B164-006HT0010 → B164-006HT0210 → B164-006HT0209 → B164-006HT0006 → B064-006AC0007 → M0501 → B064-996AT0020 → B064-016AT0222 → B064-996AT0005 → B064-996AT0045 → B064-996AT0065 → B064-036AT0008 → B064-036AT0203 → B064-036AT0013 → B064-036AT0014 → B064-036AT0015 → B064-036AT0016 → B064-036AT0217 → B064-036AT0218 → B064-036AT0219 → B064-036AT0220 → B064-036AT0034 → B064-036AT0035 → END</t>
  </si>
  <si>
    <t>D11+S_D11/2</t>
  </si>
  <si>
    <t>MARSHALLING KIOSKS INTERFACE PANEL FOR GTG21</t>
  </si>
  <si>
    <t>B264-016AT0026 → B264-016AT0027 → B264-016AT0028 → B264-016AT0029 → B264-016AT0234 → B264-016AT0233 → B264-016AT0012 → B264-016AT0237 → END</t>
  </si>
  <si>
    <t>D13+S_D13/2</t>
  </si>
  <si>
    <t>MARSHALLING KIOSKS INTERFACE PANEL FOR GTG22</t>
  </si>
  <si>
    <t>B264-016AT0045 → B264-016AT0046 → B264-016AT0209 → B264-016AT0026 → B264-016AT0027 → B264-016AT0028 → B264-016AT0029 → B264-016AT0234 → B264-016AT0233 → B264-016AT0012 → B264-016AT0237 → END</t>
  </si>
  <si>
    <t>D09+S_D09/2</t>
  </si>
  <si>
    <t>MARSHALLING KIOSKS INTERFACE PANEL FOR STG23</t>
  </si>
  <si>
    <t>K00+P92</t>
  </si>
  <si>
    <t>BLOCK#2 GENERATOR METERING CABINET</t>
  </si>
  <si>
    <t>B264-017ET0063 → B264-017ET0062 → B264-006AC0013 → M0407 → B264-996AT0013 → B264-016AT0048 → B264-016AT0049 → B264-016AT0050 → B264-016AT0240 → B264-016AT0055 → B264-016AT0056 → B264-016AT0057 → B264-016AT0244 → END</t>
  </si>
  <si>
    <t>K00+P94</t>
  </si>
  <si>
    <t>BLOCK#2 SWGR METERING CABINET</t>
  </si>
  <si>
    <t>B264-016ET0063 → B264-016ET0062 → B264-006AC0014 → M0407 → B264-996BT0013 → B264-016BT0048 → B264-016BT0049 → B264-016BT0050 → B264-016BT0240 → B264-016BT0055 → B264-016BT0056 → B264-016BT0057 → B264-016BT0244 → END</t>
  </si>
  <si>
    <t>TR FEEDER</t>
  </si>
  <si>
    <t>B1-XFR-64601</t>
  </si>
  <si>
    <t>10/0.4KV TRANSFORMER - GT / HRSG #1A FOR BLOCK #1</t>
  </si>
  <si>
    <t>B164-013ET0066 → B164-013ET0269 → B164-013ET0270 → B164-013ET0101 → B164-013ET0100 → END</t>
  </si>
  <si>
    <t>B1-XFR-64602</t>
  </si>
  <si>
    <t>10/0.4KV TRANSFORMER - GT / HRSG #1B FOR BLOCK #1</t>
  </si>
  <si>
    <t>B064-013HT0083 → B064-013HT0273 → B064-013HT0274 → B064-013HT0107 → END</t>
  </si>
  <si>
    <t>B1-XFR-64603</t>
  </si>
  <si>
    <t>10/0.4KV TRANSFORMER - GT / HRSG #2A FOR BLOCK #1</t>
  </si>
  <si>
    <t>B164-013ET0066 → B164-013ET0269 → B164-013ET0270 → B164-013ET0102 → END</t>
  </si>
  <si>
    <t>B1-XFR-64604</t>
  </si>
  <si>
    <t>10/0.4KV TRANSFORMER - GT / HRSG #2B FOR BLOCK #1</t>
  </si>
  <si>
    <t>B064-013HT0083 → B064-013HT0273 → B064-013HT0274 → B064-013HT0108 → END</t>
  </si>
  <si>
    <t>B1-XFR-64605</t>
  </si>
  <si>
    <t>10/0.4KV TRANSFORMER - EMERGENCY-A FOR BLOCK #1</t>
  </si>
  <si>
    <t>B064-013DT0059 → B064-013DT0060 → B064-013DT0301 → B064-013DT0302 → END</t>
  </si>
  <si>
    <t>B1-XFR-64606</t>
  </si>
  <si>
    <t>10/0.4KV TRANSFORMER - EMERGENCY-B FOR BLOCK #1</t>
  </si>
  <si>
    <t>B064-013CT0040 → B064-013CT0041 → B064-013CT0042 → B064-013CT0043 → B064-013CT0044 → B064-013CT0246 → B064-013CT0297 → B064-013CT0298 → B064-013CT0299 → B064-013CT0112 → END</t>
  </si>
  <si>
    <t>B1-XFR-59601</t>
  </si>
  <si>
    <t>10/0.4KV TRANSFORMER - ST #1A FOR BLOCK #1</t>
  </si>
  <si>
    <t>B064-013DT0059 → B064-013DT0058 → B064-013DT0057 → B064-013DT0056 → B064-013DT0260 → B064-013DT0261 → B064-013DT0262 → B064-993DT0024 → M0504 → D0531-M12 → M0510 → D0502-M12 → M0326 → D0320-M16 → M0325 → D0319-M12 → M0324 → D0327-M12 → M0321 → D0317-M12 → M0320 → D0323-M12 → M0319 → D0316-M12 → M0318 → D0315-M12 → M0315 → D0314-M12 → B159-003BT0017 → B159-003BT0016 → B159-003BT0008 → B159-003BT0009 → B159-003BT0020 → END</t>
  </si>
  <si>
    <t>B1-XFR-59602</t>
  </si>
  <si>
    <t>10/0.4KV TRANSFORMER - ST #1B FOR BLOCK #1</t>
  </si>
  <si>
    <t>B164-013AT0086 → B164-013AT0085 → B164-013AT0084 → B164-013AT0083 → B164-013AT0262 → B164-993AT0024 → M0504 → D0531-M11 → M0510 → D0502-M11 → M0326 → D0320-M17 → M0325 → D0319-M11 → M0324 → D0327-M11 → M0321 → D0317-M11 → M0320 → D0323-M11 → M0319 → D0316-M11 → M0318 → D0315-M11 → M0315 → D0314-M11 → B159-003AT0017 → B159-003AT0016 → B159-003AT0008 → B159-003AT0009 → END</t>
  </si>
  <si>
    <t>B1-XFR-69601</t>
  </si>
  <si>
    <t>10/0.4KV TRANSFORMER - ACC #1A FOR BLOCK #1</t>
  </si>
  <si>
    <t>B164-013AT0059 → B164-013AT0058 → B164-013AT0275 → B164-013AT0052 → B164-013AT0228 → B164-013AT0227 → B164-013AT0226 → B164-993AT0019 → M0501 → D0503-M18 → M0502 → D0504-M18 → M0503 → D0501-M18 → M0328 → D0324-M18 → M0329 → B114-993CT0021 → B114-013CT0020 → B114-013CT0019 → B114-013CT0018 → B114-013CT0017 → B114-013CT0016 → B114-013CT0015 → B114-013CT0014 → B114-013CT0013 → B114-013CT0024 → B025-013CT0126 → B025-013CT0127 → B025-013CT0128 → B025-993CT0014 → M0105 → D0110-M11 → M0112 → D0111-M15 → M0113 → D0112-M13 → M0114 → D0114-M13 → B169-003AT0047 → B169-003AT0006 → B169-003AT0005 → B169-003AT0004 → B169-003AT0003 → B169-003AT0032 → B169-003AT0023 → END</t>
  </si>
  <si>
    <t>B1-XFR-69602</t>
  </si>
  <si>
    <t>10/0.4KV TRANSFORMER - ACC #1B FOR BLOCK #1</t>
  </si>
  <si>
    <t>B264-013PT0020 → B264-013PT0219 → B264-993PT0007 → M0405 → D0421-M21 → M0406 → D0301-M27 → M0301 → B215-993AT0001 → B215-013AT0002 → B215-013AT0003 → B215-013AT0004 → B215-013AT0005 → B215-013AT0006 → B215-013AT0007 → B215-013AT0008 → B215-013AT0009 → B215-013AT0010 → B215-013AT0011 → B215-013AT0012 → B215-013AT0023 → B025-013AT0123 → B025-013AT0124 → B025-013AT0125 → B025-993AT0013 → M0105 → D0103-M11 → M0106 → D0104-M11 → M0107 → D0105-M11 → M0108 → D0107-M11 → B169-003BT0051 → B169-003BT0027 → B169-003BT0026 → B169-003BT0025 → END</t>
  </si>
  <si>
    <t>B1-XFR-69603</t>
  </si>
  <si>
    <t>10/0.4KV TRANSFORMER - ACC #1C FOR BLOCK #1</t>
  </si>
  <si>
    <t>B164-013AT0086 → B164-013AT0291 → B164-013AT0058 → B164-013AT0275 → B164-013AT0052 → B164-013AT0228 → B164-013AT0227 → B164-013AT0226 → B164-993AT0019 → M0501 → D0503-M21 → M0502 → D0504-M21 → M0503 → D0501-M21 → M0328 → D0324-M21 → M0329 → B114-993DT0046 → B114-013DT0045 → B114-013DT0019 → B114-013DT0018 → B114-013DT0017 → B114-013DT0016 → B114-013DT0015 → B114-013DT0014 → B114-013DT0013 → B114-013DT0024 → B025-013DT0126 → B025-013DT0127 → B025-013DT0128 → B025-993DT0014 → M0105 → D0110-M21 → M0112 → D0111-M21 → M0113 → D0112-M11 → M0114 → D0114-M11 → B169-003AT0047 → B169-003AT0006 → B169-003AT0005 → B169-003AT0004 → B169-003AT0003 → END</t>
  </si>
  <si>
    <t>B2-XFR-64601</t>
  </si>
  <si>
    <t>10/0.4KV TRANSFORMER - GT / HRSG #1A FOR BLOCK #2</t>
  </si>
  <si>
    <t>B264-013JT0002 → B264-013JT0003 → B264-013JT0210 → END</t>
  </si>
  <si>
    <t>B2-XFR-64602</t>
  </si>
  <si>
    <t>10/0.4KV TRANSFORMER - GT / HRSG #1B FOR BLOCK #2</t>
  </si>
  <si>
    <t>B264-013KT0017 → B264-013KT0018 → B264-013KT0209 → B264-013KT0046 → END</t>
  </si>
  <si>
    <t>B2-XFR-64603</t>
  </si>
  <si>
    <t>10/0.4KV TRANSFORMER - GT / HRSG #2A FOR BLOCK #2</t>
  </si>
  <si>
    <t>B264-013JT0002 → B264-013JT0003 → B264-013JT0210 → B264-013JT0039 → END</t>
  </si>
  <si>
    <t>B2-XFR-64604</t>
  </si>
  <si>
    <t>10/0.4KV TRANSFORMER - GT / HRSG #2B FOR BLOCK #2</t>
  </si>
  <si>
    <t>B264-013KT0017 → B264-013KT0018 → B264-013KT0209 → B264-013KT0047 → END</t>
  </si>
  <si>
    <t>B2-XFR-64605</t>
  </si>
  <si>
    <t>10/0.4KV TRANSFORMER - EMERGENCY-A FOR BLOCK #2</t>
  </si>
  <si>
    <t>B264-013AT0005 → B264-013AT0233 → B264-013AT0234 → END</t>
  </si>
  <si>
    <t>B2-XFR-64606</t>
  </si>
  <si>
    <t>10/0.4KV TRANSFORMER - EMERGENCY-B FOR BLOCK #2</t>
  </si>
  <si>
    <t>B064-013FT0042 → B064-013FT0041 → B064-013FT0040 → B064-013FT0039 → B064-013FT0214 → B064-013FT0215 → B064-013FT0216 → B064-013FT0219 → B064-013FT0115 → B064-013FT0259 → B025-013FT0109 → B025-013FT0110 → B025-013FT0111 → B025-013FT0112 → B025-013FT0113 → B025-013FT0114 → B025-013FT0115 → B025-013FT0116 → B025-013FT0117 → B025-013FT0118 → B025-013FT0119 → B025-013FT0120 → B025-013FT0121 → B025-013FT0122 → B264-013BT0249 → B264-013BT0236 → END</t>
  </si>
  <si>
    <t>B2-XFR-59601</t>
  </si>
  <si>
    <t>10/0.4KV TRANSFORMER - ST #2A FOR BLOCK #2</t>
  </si>
  <si>
    <t>B264-013LT0005 → B264-013LT0215 → B264-993LT0004 → M0407 → D0302-M13 → M0302 → D0303-M13 → M0303 → D0305-M14 → M0306 → D0321-M14 → M0307 → D0306-M12 → M0308 → D0308-M12 → M0310 → D0309-M12 → M0311 → D0310-M11 → B259-003BT0017 → B259-003BT0016 → B259-003BT0008 → B259-003BT0009 → B259-003BT0020 → END</t>
  </si>
  <si>
    <t>B2-XFR-59602</t>
  </si>
  <si>
    <t>10/0.4KV TRANSFORMER - ST #2B FOR BLOCK #2</t>
  </si>
  <si>
    <t>B264-013PT0020 → B264-013PT0219 → B264-993PT0007 → M0407 → D0302-M12 → M0302 → D0303-M12 → M0303 → D0305-M13 → M0306 → D0321-M13 → M0307 → D0306-M13 → M0308 → D0308-M13 → M0310 → D0309-M11 → M0311 → D0310-M12 → B259-003AT0017 → B259-003AT0016 → B259-003AT0008 → B259-003AT0009 → END</t>
  </si>
  <si>
    <t>B2-XFR-69601</t>
  </si>
  <si>
    <t>10/0.4KV TRANSFORMER - ACC #2A FOR BLOCK #2</t>
  </si>
  <si>
    <t>B264-013LT0005 → B264-013LT0215 → B264-993LT0004 → M0405 → D0421-M22 → M0406 → D0301-M26 → M0301 → B215-993BT0001 → B215-013BT0002 → B215-013BT0003 → B215-013BT0004 → B215-013BT0005 → B215-013BT0006 → B215-013BT0007 → B215-013BT0008 → B215-013BT0009 → B215-013BT0010 → B215-013BT0011 → B215-013BT0012 → B215-013BT0023 → B025-013BT0123 → B025-013BT0124 → B025-013BT0125 → B025-993BT0013 → M0105 → D0103-M12 → M0106 → D0104-M12 → M0107 → D0105-M12 → M0108 → D0107-M12 → B169-003BT0051 → B169-003BT0027 → B169-003BT0026 → END</t>
  </si>
  <si>
    <t>B2-XFR-69602</t>
  </si>
  <si>
    <t>10/0.4KV TRANSFORMER - ACC #2B FOR BLOCK #2</t>
  </si>
  <si>
    <t>B164-013BT0086 → B164-013BT0291 → B164-013BT0290 → B164-013BT0054 → B164-013BT0053 → B164-013BT0052 → B164-013BT0228 → B164-013BT0227 → B164-013BT0226 → B164-993BT0019 → M0501 → D0503-M22 → M0502 → D0504-M22 → M0503 → D0501-M22 → M0328 → D0324-M22 → M0329 → B114-993DT0046 → B114-013DT0045 → B114-013DT0019 → B114-013DT0018 → B114-013DT0017 → B114-013DT0016 → B114-013DT0015 → B114-013DT0014 → B114-013DT0013 → B114-013DT0024 → B025-013DT0126 → B025-013DT0127 → B025-013DT0128 → B025-993DT0014 → M0105 → D0103-M13 → M0106 → D0104-M13 → M0107 → D0105-M13 → M0108 → D0107-M13 → B169-003CT0028 → END</t>
  </si>
  <si>
    <t>B2-XFR-69603</t>
  </si>
  <si>
    <t>10/0.4KV TRANSFORMER - ACC #2C FOR BLOCK #2</t>
  </si>
  <si>
    <t>B264-013CT0020 → B264-013CT0231 → B264-993CT0014 → M0405 → D0421-M23 → M0406 → D0301-M25 → M0301 → B215-993BT0001 → B215-013BT0002 → B215-013BT0003 → B215-013BT0004 → B215-013BT0005 → B215-013BT0006 → B215-013BT0007 → B215-013BT0008 → B215-013BT0009 → B215-013BT0010 → B215-013BT0011 → B215-013BT0012 → B215-013BT0023 → B025-013BT0123 → B025-013BT0124 → B025-013BT0125 → B025-993BT0013 → M0105 → D0110-M22 → M0112 → D0111-M22 → M0113 → D0112-M12 → M0114 → D0114-M12 → B169-003AT0047 → B169-003AT0007 → END</t>
  </si>
  <si>
    <t>B0-XFR-64601</t>
  </si>
  <si>
    <t>10/0.4KV TRANSFORMER FOR COMMON - A</t>
  </si>
  <si>
    <t>B064-013AT0040 → B064-013AT0229 → B064-013AT0027 → B064-013AT0232 → B064-013AT0013 → END</t>
  </si>
  <si>
    <t>B0-XFR-64602</t>
  </si>
  <si>
    <t>10/0.4KV TRANSFORMER FOR COMMON - B</t>
  </si>
  <si>
    <t>B064-013BT0043 → B064-013BT0241 → B064-013BT0036 → B064-013BT0035 → B064-013BT0034 → END</t>
  </si>
  <si>
    <t>B0-XFR-64603</t>
  </si>
  <si>
    <t>10/0.4KV TRANSFORMER FOR COMMON EMERGENCY - A</t>
  </si>
  <si>
    <t>B064-013AT0040 → B064-013AT0229 → B064-013AT0027 → B064-013AT0232 → B064-013AT0014 → END</t>
  </si>
  <si>
    <t>B0-XFR-64604</t>
  </si>
  <si>
    <t>10/0.4KV TRANSFORMER FOR COMMON EMERGENCY - B</t>
  </si>
  <si>
    <t>B064-013BT0043 → B064-013BT0241 → B064-013BT0036 → B064-013BT0035 → END</t>
  </si>
  <si>
    <t>B0-XFR-49601</t>
  </si>
  <si>
    <t>10/0.4KV TRANSFORMER FOR WATER TREATMENT - A</t>
  </si>
  <si>
    <t>B0-XFR-49602</t>
  </si>
  <si>
    <t>10/0.4KV TRANSFORMER FOR WATER TREATMENT - B</t>
  </si>
  <si>
    <t>B064-013BT0043 → B064-013BT0241 → B064-013BT0036 → B064-013BT0035 → B064-013BT0034 → B064-013BT0033 → B064-993BT0019 → M0501 → D0503-M24 → M0502 → D0504-M24 → M0503 → D0501-M24 → M0328 → D0324-M24 → M0329 → B114-993BT0021 → B114-013BT0020 → B114-013BT0025 → B025-013ST0042 → B025-013ST0041 → B025-013ST0040 → B025-993ST0016 → B025-013ST0039 → B025-013ST0038 → B025-013ST0036 → B025-013ST0035 → B025-013ST0033 → B025-013ST0032 → B025-013ST0031 → B025-013ST0030 → B025-013ST0028 → B025-013ST0029 → B025-993ST0005 → M0205 → D0205-M12 → M0206 → D0203-M12 → M0207 → D0204-M12 → B049-003BT0001 → B049-003BT0003 → END</t>
  </si>
  <si>
    <t>INCOMER FEEDER</t>
  </si>
  <si>
    <t>TO 10KV SWGR COMMON - A</t>
  </si>
  <si>
    <t>B064-013HT0271 → B064-013HT0231 → END</t>
  </si>
  <si>
    <t>TO 10KV SWGR COMMON - B</t>
  </si>
  <si>
    <t>B064-013HT0083 → B064-013HT0272 → B064-013HT0271 → B064-013HT0231 → B064-013HT0047 → B064-013HT0048 → END</t>
  </si>
  <si>
    <t>TIE FEEDER</t>
  </si>
  <si>
    <t>TO 10KV SWGR #1 FOR BLOCK #1</t>
  </si>
  <si>
    <t>B064-013JT0061 → B064-013JT0060 → B064-013JT0059 → B064-013JT0058 → B064-013JT0057 → END</t>
  </si>
  <si>
    <t>TO 10KV SWGR #2 FOR BLOCK #1</t>
  </si>
  <si>
    <t>B064-013JT0062 → B064-013JT0305 → B064-013JT0306 → B064-013JT0089 → B064-013JT0088 → B064-013JT0087 → B064-013JT0086 → B064-013JT0085 → B064-013JT0084 → END</t>
  </si>
  <si>
    <t>TO 10KV SWGR #3 FOR BLOCK #1</t>
  </si>
  <si>
    <t>B064-013JT0089 → B064-013JT0088 → B064-013JT0301 → B064-013JT0060 → B064-013JT0059 → END</t>
  </si>
  <si>
    <t>TO 10KV SWGR #4 FOR BLOCK #1</t>
  </si>
  <si>
    <t>B064-013JT0089 → B064-013JT0088 → B064-013JT0087 → B064-013JT0086 → END</t>
  </si>
  <si>
    <t>B264-013AT0004 → B264-013AT0005 → B264-013AT0233 → B264-013AT0234 → B264-013AT0235 → B264-013AT0236 → B264-013AT0249 → B025-013ET0122 → B025-013ET0121 → B025-013ET0120 → B025-013ET0119 → B025-013ET0118 → B025-013ET0117 → B025-013ET0116 → B025-013ET0115 → B025-013ET0114 → B025-013ET0113 → B025-013ET0112 → B025-013ET0111 → B025-013ET0110 → B025-013ET0109 → B064-013GT0259 → B064-013GT0115 → B064-013GT0219 → B064-013GT0216 → B064-013GT0215 → B064-013GT0214 → B064-013GT0045 → B064-013GT0046 → END</t>
  </si>
  <si>
    <t>B264-013BT0019 → B264-013BT0020 → B264-013BT0234 → B264-013BT0235 → B264-013BT0236 → B264-013BT0249 → B025-013FT0122 → B025-013FT0121 → B025-013FT0120 → B025-013FT0119 → B025-013FT0118 → B025-013FT0117 → B025-013FT0116 → B025-013FT0115 → B025-013FT0114 → B025-013FT0113 → B025-013FT0112 → B025-013FT0111 → B025-013FT0110 → B025-013FT0109 → B064-013FT0259 → B064-013FT0115 → B064-013FT0219 → B064-013FT0216 → B064-013FT0215 → B064-013GT0214 → B064-013FT0039 → B064-013FT0040 → B064-013FT0041 → B064-013FT0042 → END</t>
  </si>
  <si>
    <t>TO 10KV SWGR #1 FOR BLOCK #2</t>
  </si>
  <si>
    <t>B064-013DT0061 → B064-013DT0062 → B064-013DT0305 → B064-013DT0306 → B064-013DT0307 → B064-013DT0308 → B064-013DT0121 → B064-013DT0120 → B064-013DT0119 → B064-013DT0118 → B064-013DT0117 → B064-013DT0116 → B064-013DT0263 → B025-013GT0093 → B025-013GT0094 → B025-013GT0095 → B025-013GT0096 → B025-013GT0097 → B025-013GT0098 → B025-013GT0099 → B025-013GT0100 → B025-013GT0101 → B025-013GT0102 → B025-013GT0103 → B025-013GT0104 → B025-013GT0105 → B025-013GT0106 → B264-013CT0232 → B264-013CT0231 → B264-013CT0020 → B264-013CT0019 → B264-013CT0210 → B264-013CT0003 → END</t>
  </si>
  <si>
    <t>TO 10KV SWGR #2 FOR BLOCK #2</t>
  </si>
  <si>
    <t>B064-013DT0062 → B064-013DT0305 → B064-013DT0306 → B064-013DT0307 → B064-013DT0308 → B064-013DT0121 → B064-013DT0120 → B064-013DT0119 → B064-013DT0118 → B064-013DT0117 → B064-013DT0116 → B064-013DT0263 → B025-013GT0093 → B025-013GT0094 → B025-013GT0095 → B025-013GT0096 → B025-013GT0097 → B025-013GT0098 → B025-013GT0099 → B025-013GT0100 → B025-013GT0101 → B025-013GT0102 → B025-013GT0103 → B025-013GT0104 → B025-013GT0105 → B025-013GT0106 → B264-013CT0232 → B264-013CT0231 → B264-013CT0020 → B264-013CT0019 → B264-013CT0018 → END</t>
  </si>
  <si>
    <t>TO 10KV SWGR #3 FOR BLOCK #2</t>
  </si>
  <si>
    <t>B064-013ET0088 → B064-013ET0089 → B064-013ET0307 → B064-013ET0308 → B064-013ET0121 → B064-013ET0120 → B064-013ET0119 → B064-013ET0118 → B064-013ET0117 → B064-013ET0116 → B064-013ET0263 → B025-013HT0093 → B025-013HT0094 → B025-013HT0095 → B025-013HT0096 → B025-013HT0097 → B025-013HT0098 → B025-013HT0099 → B025-013HT0100 → B025-013HT0101 → B025-013HT0102 → B025-013HT0103 → B025-013HT0104 → B025-013HT0105 → B025-013HT0106 → B264-013DT0232 → B264-013DT0231 → B264-013DT0230 → B264-013DT0005 → END</t>
  </si>
  <si>
    <t>TO 10KV SWGR #4 FOR BLOCK #2</t>
  </si>
  <si>
    <t>B064-013ET0089 → B064-013ET0307 → B064-013ET0308 → B064-013ET0121 → B064-013ET0120 → B064-013ET0119 → B064-013ET0118 → B064-013ET0117 → B064-013ET0116 → B064-013ET0263 → B025-013HT0093 → B025-013HT0094 → B025-013HT0095 → B025-013HT0096 → B025-013HT0097 → B025-013HT0098 → B025-013HT0099 → B025-013HT0100 → B025-013HT0101 → B025-013HT0102 → B025-013HT0103 → B025-013HT0104 → B025-013HT0105 → B025-013HT0106 → B264-013DT0232 → B264-013DT0231 → B264-013DT0020 → END</t>
  </si>
  <si>
    <t>B1-XFR-20301</t>
  </si>
  <si>
    <t>UNIT AUXILIARY TRANSFORMER #1-1 FOR BLOCK#1</t>
  </si>
  <si>
    <t>6_UNIT AUXILIARY TRANSFORMER</t>
  </si>
  <si>
    <t>UNIT AUXILIARY TRANSFORMER #1-2 FOR BLOCK#1</t>
  </si>
  <si>
    <t>B1-XFR-21301</t>
  </si>
  <si>
    <t>UNIT AUXILIARY TRANSFORMER #2-1 FOR BLOCK#1</t>
  </si>
  <si>
    <t>UNIT AUXILIARY TRANSFORMER #2-2 FOR BLOCK#1</t>
  </si>
  <si>
    <t>B2-XFR-20301</t>
  </si>
  <si>
    <t>UNIT AUXILIARY TRANSFORMER #1-1 FOR BLOCK#2</t>
  </si>
  <si>
    <t>UNIT AUXILIARY TRANSFORMER #1-2 FOR BLOCK#2</t>
  </si>
  <si>
    <t>B2-XFR-21301</t>
  </si>
  <si>
    <t>UNIT AUXILIARY TRANSFORMER #2-1 FOR BLOCK#2</t>
  </si>
  <si>
    <t>UNIT AUXILIARY TRANSFORMER #2-2 FOR BLOCK#2</t>
  </si>
  <si>
    <t>B064-016AT0012 → B064-996AT0020 → M0501 → D0503-L44 → M0502 → D0504-L44 → M0503 → D0501-L44 → M0328 → D0324-L44 → M0329 → B114-996BT0046 → B114-016BT0045 → B114-016BT0044 → B114-016BT0043 → B114-016BT0042 → B114-016BT0041 → B114-016BT0040 → B114-016BT0039 → B114-016BT0038 → B215-016BT0037 → B215-016BT0036 → B215-016BT0035 → B215-016BT0034 → B215-016BT0033 → B215-016BT0032 → B215-016BT0022 → B025-016AT0001 → B025-016AT0002 → B025-016AT0003 → B025-996AT0001 → M0102 → D0101-L11 → B071-006AT0001 → END</t>
  </si>
  <si>
    <t>B064-016BT0034 → B064-016BT0033 → B064-996BT0020 → M0501 → D0503-L35 → M0502 → D0504-L35 → M0503 → D0501-L35 → M0328 → D0324-L35 → M0329 → B114-997AT0021 → B114-017AT0020 → B114-017AT0019 → B114-017AT0018 → B114-017AT0017 → B114-017AT0016 → B114-017AT0015 → B114-017AT0014 → B114-017AT0013 → B215-017AT0012 → B215-017AT0011 → B215-017AT0010 → B215-017AT0009 → B215-017AT0008 → B215-017AT0007 → B215-017AT0022 → B025-017AT0001 → B025-017AT0002 → B025-017AT0003 → B025-997AT0001 → M0102 → D0101-L12 → B071-007AT0001 → END</t>
  </si>
  <si>
    <t>B064-016BT0034 → B064-016BT0033 → B064-996BT0020 → M0501 → D0503-L46 → M0502 → D0504-L46 → M0503 → D0501-L45 → M0328 → D0324-L45 → M0329 → B114-997AT0021 → B114-017AT0020 → B114-017AT0019 → B114-017AT0018 → B114-017AT0017 → B114-017AT0016 → B114-017AT0015 → B114-017AT0014 → B114-017AT0013 → B215-017AT0012 → B215-017AT0011 → B215-017AT0010 → B215-017AT0009 → B215-017AT0008 → B215-017AT0007 → B215-017AT0022 → B025-017AT0001 → B025-017AT0002 → B025-017AT0003 → B025-997AT0001 → M0102 → D0101-L12 → B071-007AT0001 → END</t>
  </si>
  <si>
    <t>TRANSFORMER</t>
  </si>
  <si>
    <t>BUS-1900-A</t>
  </si>
  <si>
    <t>10KV SWGR TO DIST. POINT 10KV WITH TP 10/0.4KV - A</t>
  </si>
  <si>
    <t>BUS-1900-B</t>
  </si>
  <si>
    <t>10KV SWGR TO DIST. POINT 10KV WITH TP 10/0.4KV - B</t>
  </si>
  <si>
    <t>B0-XFR-20301</t>
  </si>
  <si>
    <t>BACK UP TRANSFORMER #1 (X WINDING)</t>
  </si>
  <si>
    <t>BACK UP TRANSFORMER #1 (Y WINDING)</t>
  </si>
  <si>
    <t>B0-XFR-24101</t>
  </si>
  <si>
    <t>AUTO TRANSFORMER</t>
  </si>
  <si>
    <t>39_500 MVA AUTO TRANSFORMER</t>
  </si>
  <si>
    <t>11BFA51.DA001</t>
  </si>
  <si>
    <t>11BAB11GW023 -E01</t>
  </si>
  <si>
    <t>GEN NEUT GND CAB</t>
  </si>
  <si>
    <t>B111-016AT0011 → B111-016AT0010 → B111-016AT0009 → B111-016AT0015 → B111-016AT0016 → END</t>
  </si>
  <si>
    <t>11BFA03.CB001</t>
  </si>
  <si>
    <t>11MBA18AA001 -Y01</t>
  </si>
  <si>
    <t>DRN-VLV 1 FU-OIL</t>
  </si>
  <si>
    <t>B111-016AT0011 → B111-996AT0023 → M0327 → D0329-L31 → M0326 → D0320-L31 → M0325 → D0319-L26 → M0324 → B161-006BC0002 → B161-006BC0023 → END</t>
  </si>
  <si>
    <t>11BFA03.CB002</t>
  </si>
  <si>
    <t>11MBA18AA002 -Y01</t>
  </si>
  <si>
    <t>DRN-VLV 2 FU-OIL</t>
  </si>
  <si>
    <t>11BFA03.CB003</t>
  </si>
  <si>
    <t>11MBA18AA003 -Y01</t>
  </si>
  <si>
    <t>DRN-VLV 3 FU-OIL</t>
  </si>
  <si>
    <t>11BFA02.CB001</t>
  </si>
  <si>
    <t>11MBA30AP001 -M01</t>
  </si>
  <si>
    <t>MXG-PP</t>
  </si>
  <si>
    <t>B111-016AT0011 → B111-996AT0023 → M0327 → D0329-L31 → M0326 → D0320-L31 → M0325 → D0319-L26 → M0324 → B161-006BC0002 → B161-017BC0112 → END</t>
  </si>
  <si>
    <t>11BFA02.EA003</t>
  </si>
  <si>
    <t>11MBA32AP001 -M01</t>
  </si>
  <si>
    <t>CLNG-AGT-PP</t>
  </si>
  <si>
    <t>B111-016AT0011 → B111-996AT0023 → M0327 → D0329-L31 → M0326 → D0320-L31 → M0325 → D0319-L26 → M0324 → B161-006BC0002 → B161-017BC0113 → END</t>
  </si>
  <si>
    <t>11BFA53.DA002</t>
  </si>
  <si>
    <t>11MBA32GQ012 -X01</t>
  </si>
  <si>
    <t>EL-SCKT JUNCT-BOX</t>
  </si>
  <si>
    <t>B111-016AT0011 → B111-996AT0023 → M0327 → D0329-L31 → M0326 → D0320-L31 → M0325 → D0319-L26 → M0324 → B161-006BC0002 → B161-017BC0114 → END</t>
  </si>
  <si>
    <t>11BFA02.EA004</t>
  </si>
  <si>
    <t>11MBA33AP001 -M01</t>
  </si>
  <si>
    <t>ANTIFRZ-AGT-PP</t>
  </si>
  <si>
    <t>B111-016AT0011 → B111-996AT0023 → M0327 → D0329-L31 → M0326 → D0320-L31 → M0325 → D0319-L26 → M0324 → B161-006BC0002 → B161-017BC0115 → END</t>
  </si>
  <si>
    <t>11BFA02.CB002</t>
  </si>
  <si>
    <t>11MBA51AP001 -M01</t>
  </si>
  <si>
    <t>HYDRC-PP 1 HCO</t>
  </si>
  <si>
    <t>B111-016BT0001 → B111-016BT0002 → B111-016BT0012 → B111-996BT0026 → B161-016BC0117 → END</t>
  </si>
  <si>
    <t>11BFA02.CB003</t>
  </si>
  <si>
    <t>11MBA51AP002 -M01</t>
  </si>
  <si>
    <t>HYDRC-PP 2 HCO</t>
  </si>
  <si>
    <t>B111-016BT0001 → B111-016BT0002 → B111-016BT0012 → B111-996BT0026 → B161-016BC0118 → END</t>
  </si>
  <si>
    <t>11BFA52.DA001</t>
  </si>
  <si>
    <t>11MBJ01GW035 -E01</t>
  </si>
  <si>
    <t>MBJ 1AC AUX-VOLT SUP</t>
  </si>
  <si>
    <t>B111-016AT0011 → B111-996AT0023 → M0327 → D0329-L23 → M0326 → B161-007BC0010 → END</t>
  </si>
  <si>
    <t>11BFA53.HA002</t>
  </si>
  <si>
    <t>11MBL10GH001 -E01</t>
  </si>
  <si>
    <t>CABINET AIR INTAKE</t>
  </si>
  <si>
    <t>B111-016AT0011 → B111-996AT0023 → M0327 → D0329-L25 → M0326 → D0320-L25 → M0325 → D0319-L23 → M0324 → D0327-L22 → M0321 → B161-006DC0025 → B161-026EC0006 → B161-026EC0005 → B161-026EC0002 → END</t>
  </si>
  <si>
    <t>11BFA53.HA003</t>
  </si>
  <si>
    <t>11MBL20GH001 -E01</t>
  </si>
  <si>
    <t>CAB AIR-INTK-FLP</t>
  </si>
  <si>
    <t>B111-016AT0011 → B111-996AT0023 → M0327 → D0329-L25 → M0326 → D0320-L25 → M0325 → D0319-L23 → M0324 → B161-006BC0004 → B161-016BC0101 → END</t>
  </si>
  <si>
    <t>11BFA51.HA001</t>
  </si>
  <si>
    <t>11MBL25AT001 -E01</t>
  </si>
  <si>
    <t>STANDSTL AIR DEHUMI</t>
  </si>
  <si>
    <t>B111-016AT0011 → B111-996AT0023 → M0327 → D0329-L25 → M0326 → D0320-L25 → M0325 → D0319-L23 → M0324 → B161-006BC0005 → B161-007BC0001 → END</t>
  </si>
  <si>
    <t>11BFA03.JB001</t>
  </si>
  <si>
    <t>11MBL30GH001 -E01</t>
  </si>
  <si>
    <t>CAB PULS-AIR</t>
  </si>
  <si>
    <t>B111-016AT0011 → B111-996AT0023 → M0327 → D0329-L31 → M0326 → D0320-L31 → M0325 → D0319-L26 → M0324 → B161-006BC0007 → END</t>
  </si>
  <si>
    <t>11BFA53.HA004</t>
  </si>
  <si>
    <t>11MBL40GH001 -E01</t>
  </si>
  <si>
    <t>CAB EVAP COOL</t>
  </si>
  <si>
    <t>B111-016AT0011 → B111-996AT0023 → M0327 → D0329-L25 → M0326 → D0320-L25 → M0325 → D0319-L23 → M0324 → B161-006BC0006 → B161-016BC0103 → END</t>
  </si>
  <si>
    <t>11BFA03.CB004</t>
  </si>
  <si>
    <t>11MBM12GT100 -E01</t>
  </si>
  <si>
    <t>IGNITION TRANSFORMERS</t>
  </si>
  <si>
    <t>B111-016AT0011 → B111-996AT0023 → M0327 → D0329-L24 → M0326 → D0320-L24 → M0325 → D0319-L22 → M0324 → B161-006BC0005 → B161-006BC0003 → B161-017BC0103 → END</t>
  </si>
  <si>
    <t>11MBN12AA505 -Y01</t>
  </si>
  <si>
    <t>RL-VLV FEED FU-OIL</t>
  </si>
  <si>
    <t>B111-016AT0011 → B111-996AT0023 → M0327 → B161-006BC0014 → B161-017BC0132 → END</t>
  </si>
  <si>
    <t>11BUA01.EA002</t>
  </si>
  <si>
    <t>11MBN13AA501 -Y01</t>
  </si>
  <si>
    <t>STOP-VLV FUEL OIL SUPPLY</t>
  </si>
  <si>
    <t>B111-016AT0011 → B111-996AT0023 → M0327 → B161-006BC0013 → B161-017BC0133 → END</t>
  </si>
  <si>
    <t>11BUA01.EA003</t>
  </si>
  <si>
    <t>11MBN13AA502 -Y01</t>
  </si>
  <si>
    <t>RL-VLV RETN DIFFU FU-OIL</t>
  </si>
  <si>
    <t>B111-016AT0011 → B111-996AT0023 → M0327 → B161-006BC0013 → B161-017BC0134 → END</t>
  </si>
  <si>
    <t>11BUA51.JA001</t>
  </si>
  <si>
    <t>11MBN21AA001 -Y02</t>
  </si>
  <si>
    <t>BLL-VLV ASSY LFT FU-OIL</t>
  </si>
  <si>
    <t>B111-016AT0011 → B111-996AT0023 → M0327 → D0329-L24 → M0326 → D0320-L24 → M0325 → D0319-L22 → M0324 → B161-006BC0005 → B161-006BC0003 → B161-017BC0104 → END</t>
  </si>
  <si>
    <t>11BUA01.EA004</t>
  </si>
  <si>
    <t>11MBN21AA002 -Y01</t>
  </si>
  <si>
    <t>BYP-VLV LFT FU-OIL</t>
  </si>
  <si>
    <t>B111-016AT0011 → B111-996AT0023 → M0327 → D0329-L24 → M0326 → D0320-L24 → M0325 → D0319-L22 → M0324 → B161-006BC0005 → B161-006BC0003 → B161-017BC0105 → END</t>
  </si>
  <si>
    <t>11BUA51.KB001</t>
  </si>
  <si>
    <t>BLL-VLV ASSY RGHT FU-OIL</t>
  </si>
  <si>
    <t>B111-016AT0011 → B111-996AT0023 → M0327 → D0329-L24 → M0326 → D0320-L24 → M0325 → D0319-L22 → M0324 → B161-006BC0005 → B161-006BC0003 → B161-017BC0106 → END</t>
  </si>
  <si>
    <t>11BUA01.FB001</t>
  </si>
  <si>
    <t>11MBN22AA002 -Y01</t>
  </si>
  <si>
    <t>BYP-VLV RGHT FU-OIL</t>
  </si>
  <si>
    <t>B111-016AT0011 → B111-996AT0023 → M0327 → D0329-L24 → M0326 → D0320-L24 → M0325 → D0319-L22 → M0324 → B161-006BC0005 → B161-006BC0003 → B161-017BC0107 → END</t>
  </si>
  <si>
    <t>11BUA01.FB002</t>
  </si>
  <si>
    <t>11MBN23AA501 -Y01</t>
  </si>
  <si>
    <t>DRN-VLV FEED PREM FU-OIL</t>
  </si>
  <si>
    <t>B111-016AT0011 → B111-996AT0023 → M0327 → D0329-L24 → M0326 → D0320-L24 → M0325 → D0319-L22 → M0324 → B161-006BC0005 → B161-006BC0003 → B161-017BC0108 → END</t>
  </si>
  <si>
    <t>11BUA51.MA001</t>
  </si>
  <si>
    <t>11MBN25AA001 -Y02</t>
  </si>
  <si>
    <t>BLL-VLV PREM LFT FU-OIL</t>
  </si>
  <si>
    <t>B111-016AT0011 → B111-996AT0023 → M0327 → D0329-L24 → M0326 → D0320-L24 → M0325 → D0319-L22 → M0324 → B161-006BC0005 → B161-006BC0003 → B161-017BC0109 → END</t>
  </si>
  <si>
    <t>11BUA01.FB003</t>
  </si>
  <si>
    <t>11MBN25AA501 -Y01</t>
  </si>
  <si>
    <t>FIL-VLV PREM LFT FU-OIL</t>
  </si>
  <si>
    <t>B111-016AT0011 → B111-996AT0023 → M0327 → D0329-L24 → M0326 → D0320-L24 → M0325 → D0319-L22 → M0324 → B161-006BC0005 → B161-006BC0003 → B161-017BC0110 → END</t>
  </si>
  <si>
    <t>11BUA51.NB001</t>
  </si>
  <si>
    <t>11MBN26AA001 -Y02</t>
  </si>
  <si>
    <t>BLL-VLV PREM RGHT FU-OIL</t>
  </si>
  <si>
    <t>B111-016AT0011 → B111-996AT0023 → M0327 → D0329-L24 → M0326 → D0320-L24 → M0325 → D0319-L22 → M0324 → B161-006BC0005 → B161-006BC0003 → B161-017BC0111 → END</t>
  </si>
  <si>
    <t>11BUA01.FB004</t>
  </si>
  <si>
    <t>11MBN26AA501 -Y01</t>
  </si>
  <si>
    <t>FIL-VLV PREM RGHT FU-OIL</t>
  </si>
  <si>
    <t>B111-016AT0011 → B111-016AT0010 → B111-016AT0009 → B111-016AT0015 → B111-016AT0016 → B161-017BC0006 → B161-017BC0116 → END</t>
  </si>
  <si>
    <t>11BUA01.HA001</t>
  </si>
  <si>
    <t>11MBN27AA501 -Y01</t>
  </si>
  <si>
    <t>LKG VLV PREM FU-OIL</t>
  </si>
  <si>
    <t>B111-016AT0011 → B111-016AT0010 → B111-016AT0009 → B111-016AT0015 → B111-016AT0016 → B161-017BC0006 → B161-017BC0117 → END</t>
  </si>
  <si>
    <t>11BFA02.CB004</t>
  </si>
  <si>
    <t>11MBN60AP001 -M01</t>
  </si>
  <si>
    <t>DRNG PP AUX-TNK 1 FU-OIL</t>
  </si>
  <si>
    <t>B111-016AT0011 → B111-996AT0023 → M0327 → B161-006BC0014 → B161-016BC0105 → END</t>
  </si>
  <si>
    <t>11BFA03.EA003</t>
  </si>
  <si>
    <t>11MBN81AP001 -M01</t>
  </si>
  <si>
    <t>PP FLUSH-WTR FU-OIL</t>
  </si>
  <si>
    <t>B111-016AT0011 → B111-996AT0023 → M0327 → B161-006BC0014 → B161-016BC0106 → END</t>
  </si>
  <si>
    <t>11BUA01.HA002</t>
  </si>
  <si>
    <t>11MBN82AA001 -Y01</t>
  </si>
  <si>
    <t>FLUSHING WATER VALVE 1</t>
  </si>
  <si>
    <t>B111-016AT0011 → B111-996AT0023 → M0327 → B161-006BC0014 → B161-017BC0135 → END</t>
  </si>
  <si>
    <t>11BUA01.HA003</t>
  </si>
  <si>
    <t>11MBN82AA002 -Y01</t>
  </si>
  <si>
    <t>FLUSHING WATER VALVE 2</t>
  </si>
  <si>
    <t>B111-016AT0011 → B111-996AT0023 → M0327 → B161-006BC0014 → B161-017BC0136 → END</t>
  </si>
  <si>
    <t>11BUB01.EA001</t>
  </si>
  <si>
    <t>11MBP13AA501 -Y01</t>
  </si>
  <si>
    <t>VENT-VLV MN SUP NAT-GAS</t>
  </si>
  <si>
    <t>B111-016BT0001 → B111-016BT0002 → B111-016BT0012 → B111-996BT0026 → B161-017BC0137 → END</t>
  </si>
  <si>
    <t>11BUB01.EA002</t>
  </si>
  <si>
    <t>11MBP14AA501 -Y01</t>
  </si>
  <si>
    <t>SOL-VLV VENTG NAT-GAS</t>
  </si>
  <si>
    <t>B111-016BT0001 → B111-016BT0002 → B111-016BT0012 → B111-996BT0026 → B161-017BC0138 → END</t>
  </si>
  <si>
    <t>11BUB01.EA003</t>
  </si>
  <si>
    <t>11MBP15AA501 -Y01</t>
  </si>
  <si>
    <t>VENT-VLV CLD SUP NAT-GAS</t>
  </si>
  <si>
    <t>B111-016BT0001 → B111-016BT0002 → B111-016BT0012 → B111-996BT0026 → B161-017BC0139 → END</t>
  </si>
  <si>
    <t>11BUB51.JA001</t>
  </si>
  <si>
    <t>11MBP21AA001 -E01</t>
  </si>
  <si>
    <t>SO-VLV LFT DIFFU NAT-GAS</t>
  </si>
  <si>
    <t>B111-016AT0011 → B111-016AT0010 → B111-016AT0009 → B111-016AT0015 → B111-016AT0016 → B161-017BC0006 → B161-017BC0118 → END</t>
  </si>
  <si>
    <t>11MBP21AA001 -Y02</t>
  </si>
  <si>
    <t>B111-016AT0011 → B111-016AT0010 → B111-016AT0009 → B111-016AT0015 → B111-016AT0016 → B161-017BC0006 → B161-017BC0119 → END</t>
  </si>
  <si>
    <t>11BUB51.KB001</t>
  </si>
  <si>
    <t>11MBP21AA002 -E01</t>
  </si>
  <si>
    <t>SO-VLV LFT PREM NAT-GAS</t>
  </si>
  <si>
    <t>B111-016AT0011 → B111-016AT0010 → B111-016AT0009 → B111-016AT0015 → B111-016AT0016 → B161-017BC0006 → B161-017BC0120 → END</t>
  </si>
  <si>
    <t>11MBP21AA002 -Y02</t>
  </si>
  <si>
    <t>B111-016AT0011 → B111-016AT0010 → B111-016AT0009 → B111-016AT0015 → B111-016AT0016 → B161-017BC0006 → B161-017BC0121 → END</t>
  </si>
  <si>
    <t>11BUB51.MA001</t>
  </si>
  <si>
    <t>11MBP21AA003 -E01</t>
  </si>
  <si>
    <t>SO-VLV LFT PILOT NAT-GAS</t>
  </si>
  <si>
    <t>B111-016AT0011 → B111-016AT0010 → B111-016AT0009 → B111-016AT0015 → B111-016AT0016 → B161-017BC0006 → B161-017BC0122 → END</t>
  </si>
  <si>
    <t>11MBP21AA003 -Y02</t>
  </si>
  <si>
    <t>B111-016AT0011 → B111-016AT0010 → B111-016AT0009 → B111-016AT0015 → B111-016AT0016 → B161-017BC0006 → B161-017BC0123 → END</t>
  </si>
  <si>
    <t>11BUB51.NB001</t>
  </si>
  <si>
    <t>11MBP22AA001 -E01</t>
  </si>
  <si>
    <t>SO-VLV RGHT DIFFU NAT-GAS</t>
  </si>
  <si>
    <t>B111-016AT0011 → B111-016AT0010 → B111-016AT0009 → B111-016AT0015 → B111-016AT0016 → B161-017BC0006 → B161-017BC0124 → END</t>
  </si>
  <si>
    <t>11MBP22AA001 -Y02</t>
  </si>
  <si>
    <t>B111-016AT0011 → B111-016AT0010 → B111-016AT0009 → B111-016AT0015 → B111-016AT0016 → B161-017BC0006 → B161-017BC0125 → END</t>
  </si>
  <si>
    <t>11BUB51.QA001</t>
  </si>
  <si>
    <t>11MBP22AA002 -E01</t>
  </si>
  <si>
    <t>SO-VLV RGHT PREM NAT-GAS</t>
  </si>
  <si>
    <t>B111-016AT0011 → B111-016AT0010 → B111-016AT0009 → B111-016AT0015 → B111-016AT0016 → B161-017BC0006 → B161-017BC0126 → END</t>
  </si>
  <si>
    <t>11MBP22AA002 -Y02</t>
  </si>
  <si>
    <t>B111-016AT0011 → B111-016AT0010 → B111-016AT0009 → B111-016AT0015 → B111-016AT0016 → B161-017BC0006 → B161-017BC0127 → END</t>
  </si>
  <si>
    <t>11BUB51.RB001</t>
  </si>
  <si>
    <t>11MBP22AA003 -E01</t>
  </si>
  <si>
    <t>SO-VLV RGHT PILOT NAT-GAS</t>
  </si>
  <si>
    <t>B111-016AT0011 → B111-016AT0010 → B111-016AT0009 → B111-016AT0015 → B111-016AT0016 → B161-017BC0006 → B161-017BC0128 → END</t>
  </si>
  <si>
    <t>11MBP22AA003 -Y02</t>
  </si>
  <si>
    <t>B111-016AT0011 → B111-016AT0010 → B111-016AT0009 → B111-016AT0015 → B111-016AT0016 → B161-017BC0006 → B161-017BC0129 → END</t>
  </si>
  <si>
    <t>11BFA03.EA001</t>
  </si>
  <si>
    <t>11MBQ11AA001 -Y01</t>
  </si>
  <si>
    <t>SOL-VLV 1 IGN-GAS</t>
  </si>
  <si>
    <t>B111-016AT0011 → B111-016AT0010 → B111-016AT0009 → B111-016AT0015 → B111-016AT0016 → B161-017BC0006 → B161-017BC0130 → END</t>
  </si>
  <si>
    <t>11BFA03.EA002</t>
  </si>
  <si>
    <t>11MBQ11AA002 -Y01</t>
  </si>
  <si>
    <t>SOL-VLV 2 IGN-GAS</t>
  </si>
  <si>
    <t>B111-016AT0011 → B111-016AT0010 → B111-016AT0009 → B111-016AT0015 → B111-016AT0016 → B161-017BC0006 → B161-017BC0131 → END</t>
  </si>
  <si>
    <t>11BMA52.PB001</t>
  </si>
  <si>
    <t>11MBV21AP001 -M01</t>
  </si>
  <si>
    <t>LUBRICATING OIL PUMP 1</t>
  </si>
  <si>
    <t>B111-016BT0025 → B111-016BT0007 → B111-016BT0008 → B111-016BT0009 → B111-016BT0010 → B111-016BT0002 → B111-016BT0012 → B111-996BT0026 → B161-016BC0107 → END</t>
  </si>
  <si>
    <t>11BFA02.PB001</t>
  </si>
  <si>
    <t>11MBV21AP002 -M01</t>
  </si>
  <si>
    <t>LUBRICATING OIL PUMP 2</t>
  </si>
  <si>
    <t>B111-016BT0025 → B111-016BT0007 → B111-016BT0008 → B111-016BT0009 → B111-016BT0010 → B111-016BT0002 → B111-016BT0012 → B111-996BT0026 → B161-016BC0108 → END</t>
  </si>
  <si>
    <t>11BUA51.RA001</t>
  </si>
  <si>
    <t>11MBV21AP003 -E01</t>
  </si>
  <si>
    <t>EMERGENCY LUB-OIL-PP</t>
  </si>
  <si>
    <t>B111-016BT0001 → B111-016BT0002 → B111-016BT0012 → B111-996BT0026 → B161-017BC0142 → END</t>
  </si>
  <si>
    <t>11MBV21AP003 -M01</t>
  </si>
  <si>
    <t>B111-016BT0001 → B111-016BT0002 → B111-016BT0012 → B111-996BT0026 → B161-017BC0143 → END</t>
  </si>
  <si>
    <t>11MBV21AP003 -R01</t>
  </si>
  <si>
    <t>B111-016BT0001 → B111-016BT0002 → B111-016BT0012 → B111-996BT0026 → B161-017BC0144 → END</t>
  </si>
  <si>
    <t>11BMA51.SA001</t>
  </si>
  <si>
    <t>11MBV30AP001 -M01</t>
  </si>
  <si>
    <t>LIFTING OIL PUMP 1</t>
  </si>
  <si>
    <t>B111-016BT0025 → B111-016BT0007 → B111-016BT0008 → B111-016BT0009 → B111-016BT0010 → B111-016BT0002 → B111-016BT0012 → B111-996BT0026 → B161-016BC0111 → END</t>
  </si>
  <si>
    <t>11BFA02.SA001</t>
  </si>
  <si>
    <t>11MBV30AP002 -M01</t>
  </si>
  <si>
    <t>LIFTING OIL PUMP 2</t>
  </si>
  <si>
    <t>B111-016BT0001 → B111-016BT0002 → B111-016BT0012 → B111-996BT0026 → B161-016BC0112 → END</t>
  </si>
  <si>
    <t>11BMA52.CB001</t>
  </si>
  <si>
    <t>11MBV50AN001 -M01</t>
  </si>
  <si>
    <t>OIL-VAP-EXTR1 LUB-OIL-TNK</t>
  </si>
  <si>
    <t>B111-016BT0025 → B111-016BT0007 → B111-016BT0008 → B111-016BT0009 → B111-016BT0010 → B111-016BT0002 → B111-016BT0012 → B111-996BT0026 → B161-016BC0123</t>
  </si>
  <si>
    <t>11BFA02.EA001</t>
  </si>
  <si>
    <t>11MBV50AN002 -M01</t>
  </si>
  <si>
    <t>OIL-VAP-EXTR2 LUB-OIL-TNK</t>
  </si>
  <si>
    <t>B111-016BT0001 → B111-016BT0002 → B111-016BT0012 → B111-996BT0026 → B161-016BC0121 → END</t>
  </si>
  <si>
    <t>11BFA02.FB001</t>
  </si>
  <si>
    <t>11MBX01AH001 -E01</t>
  </si>
  <si>
    <t>TNK HTG 1 HYDRC OIL</t>
  </si>
  <si>
    <t>B111-016BT0001 → B111-016BT0002 → B111-016BT0012 → B111-996BT0026 → B161-016BC0124 → END</t>
  </si>
  <si>
    <t>11BFA02.FB002</t>
  </si>
  <si>
    <t>11MBX01AH002 -E01</t>
  </si>
  <si>
    <t>TNK HTG 2 HYDRC OIL</t>
  </si>
  <si>
    <t>B111-016BT0001 → B111-016BT0002 → B111-016BT0012 → B111-996BT0026 → B161-016BC0122 → END</t>
  </si>
  <si>
    <t>11BFA02.HA002</t>
  </si>
  <si>
    <t>11MBX02AP001 -M01</t>
  </si>
  <si>
    <t>MN PP 1 HYDRC OIL</t>
  </si>
  <si>
    <t>B111-016BT0025 → B111-016BT0007 → B111-016BT0008 → B111-016BT0009 → B111-016BT0010 → B111-016BT0002 → B111-016BT0012 → B111-996BT0026 → B161-016BC0114 → END</t>
  </si>
  <si>
    <t>11BFA02.HA003</t>
  </si>
  <si>
    <t>11MBX02AP002 -M01</t>
  </si>
  <si>
    <t>MN PP 2 HYDRC OIL</t>
  </si>
  <si>
    <t>B111-016BT0001 → B111-016BT0002 → B111-016BT0012 → B111-996BT0026 → B161-016BC0115 → END</t>
  </si>
  <si>
    <t>11BFA02.HA001</t>
  </si>
  <si>
    <t>11MBX06AH001 -M01</t>
  </si>
  <si>
    <t>FAN COOL-CCT HYDRC OIL</t>
  </si>
  <si>
    <t>B111-016BT0025 → B111-016BT0007 → B111-016BT0008 → B111-016BT0009 → B111-016BT0010 → B111-016BT0002 → B111-016BT0012 → B111-996BT0026 → B161-016BC0116 → END</t>
  </si>
  <si>
    <t>11BFA02.JB001</t>
  </si>
  <si>
    <t>11MBY10GF002 -E01</t>
  </si>
  <si>
    <t>JUNCT BOX HTG LUB-OIL TNK</t>
  </si>
  <si>
    <t>B111-016BT0001 → B111-016BT0002 → B111-016BT0012 → B111-996BT0026 → B161-016BC0113 → END</t>
  </si>
  <si>
    <t>11BFA52.HA001</t>
  </si>
  <si>
    <t>11MBY40GH001 -E01</t>
  </si>
  <si>
    <t>JB INSTR AIR SYST</t>
  </si>
  <si>
    <t>B111-016AT0011 → B111-996AT0023 → M0327 → B161-006BC0012 → B161-016BC0104 → END</t>
  </si>
  <si>
    <t>11BFA51.HA002</t>
  </si>
  <si>
    <t>11MBY80GH001 -E01</t>
  </si>
  <si>
    <t>TRACE HEATING CABINET</t>
  </si>
  <si>
    <t>B111-016AT0011 → B111-016AT0010 → B111-016AT0009 → B111-016AT0015 → B111-016AT0016 → B161-016BC0019 → B161-016BC0102 → END</t>
  </si>
  <si>
    <t>11BFA02.EA002</t>
  </si>
  <si>
    <t>11MKA10AH010 -E01</t>
  </si>
  <si>
    <t>GENERATOR SPACE HEATER</t>
  </si>
  <si>
    <t>B111-016BT0025 → B111-016BT0007 → B111-016BT0019 → B111-016BT0020 → END</t>
  </si>
  <si>
    <t>11MKC01GT002 -E01</t>
  </si>
  <si>
    <t>11BFA52.DA002</t>
  </si>
  <si>
    <t>11MKC01GW035 -E01</t>
  </si>
  <si>
    <t>MKC 1AC AUX-VOLT SUP</t>
  </si>
  <si>
    <t>B111-016AT0011 → B111-996AT0023 → M0327 → D0329-L24 → M0326 → D0320-L34 → M0325 → B161-007BC0012 → END</t>
  </si>
  <si>
    <t>11BFA51.HA003</t>
  </si>
  <si>
    <t>11MKC05GE001 -E01</t>
  </si>
  <si>
    <t>TERBO POW-SUP SLRNGRM-VEN</t>
  </si>
  <si>
    <t>11BFA51.DA003</t>
  </si>
  <si>
    <t>11MKC10GP001 -E01</t>
  </si>
  <si>
    <t>LIGHTING EXCITER HOUSING</t>
  </si>
  <si>
    <t>11MKC30GE001 -E01</t>
  </si>
  <si>
    <t>GEN EXCN BRSH</t>
  </si>
  <si>
    <t>B111-016BT0005 → B111-016BT0006 → B111-016BT0007 → B111-016BT0019 → B111-016BT0020 → END</t>
  </si>
  <si>
    <t>11MPB10GW011 -E01</t>
  </si>
  <si>
    <t>GAS-TURB ENCL EMERG LITG</t>
  </si>
  <si>
    <t>B111-016AT0011 → B111-996AT0023 → M0327 → D0329-L24 → M0326 → D0320-L24 → M0325 → D0319-L22 → M0324 → B161-006BC0005 → B161-006BC0003 → B161-017BC0101 → END</t>
  </si>
  <si>
    <t>11BFA51.DA004</t>
  </si>
  <si>
    <t>11MPB10GW023 -E01</t>
  </si>
  <si>
    <t>GAS-TURB ENCL LITG</t>
  </si>
  <si>
    <t>B111-016AT0011 → B111-996AT0023 → M0327 → D0329-L24 → M0326 → D0320-L24 → M0325 → D0319-L22 → M0324 → B161-006BC0005 → B161-006BC0003 → B161-017BC0102 → END</t>
  </si>
  <si>
    <t>11BUA51.DA002</t>
  </si>
  <si>
    <t>11MPB13GW011 -E01</t>
  </si>
  <si>
    <t>FGS ENCL EMERG LITG</t>
  </si>
  <si>
    <t>B111-016BT0001 → B111-996BT0022 → M0327 → B161-006BC0021 → END</t>
  </si>
  <si>
    <t>11BFA51.DA005</t>
  </si>
  <si>
    <t>11MPB13GW023 -E01</t>
  </si>
  <si>
    <t>FGS ENCL LITG</t>
  </si>
  <si>
    <t>B111-016BT0001 → B111-996BT0022 → M0327 → B161-006BC0020 → END</t>
  </si>
  <si>
    <t>11BUA51.DA003</t>
  </si>
  <si>
    <t>11MPB16GW011 -E01</t>
  </si>
  <si>
    <t>IMS + GEN ENCL EMERG LITG</t>
  </si>
  <si>
    <t>11BFA51.DA006</t>
  </si>
  <si>
    <t>11MPB16GW023 -E01</t>
  </si>
  <si>
    <t>IMS + GEN ENCL LITG</t>
  </si>
  <si>
    <t>11SAM33AN001 -M01</t>
  </si>
  <si>
    <t>B111-016BT0025 → B111-016BT0007 → B111-016BT0008 → B111-016BT0009 → B111-016BT0010 → B111-016BT0002 → B111-016BT0012 → B111-996BT0026 → B161-016BC0109 → END</t>
  </si>
  <si>
    <t>B111-016BT0025 → B111-016BT0007 → B111-016BT0008 → B111-016BT0009 → B111-016BT0010 → B111-016BT0002 → B111-016BT0012 → B111-996BT0026 → B161-016BC0110 → END</t>
  </si>
  <si>
    <t>12BAB11GW023 -E01</t>
  </si>
  <si>
    <t>B111-016CT0001 → B111-016CT0010 → B111-016CT0009 → B111-016CT0015 → B111-016CT0016 → END</t>
  </si>
  <si>
    <t>12BFA03.CB001</t>
  </si>
  <si>
    <t>12MBA18AA001 -Y01</t>
  </si>
  <si>
    <t>B111-996CT0021 → B111-016CT0004 → B111-016CT0003 → B111-016CT0002 → B111-016CT0001 → M0322 → D0318-L24 → M0321 → D0317-L24 → M0320 → B161-006DC0004 → B161-007DC0001 → B161-006DC0023 → END</t>
  </si>
  <si>
    <t>12BFA03.CB002</t>
  </si>
  <si>
    <t>12MBA18AA002 -Y01</t>
  </si>
  <si>
    <t>12BFA03.CB003</t>
  </si>
  <si>
    <t>12MBA18AA003 -Y01</t>
  </si>
  <si>
    <t>12BFA02.CB001</t>
  </si>
  <si>
    <t>12MBA30AP001 -M01</t>
  </si>
  <si>
    <t>B111-996CT0021 → B111-016CT0004 → B111-016CT0003 → B111-016CT0002 → B111-016CT0001 → M0322 → D0318-L24 → M0321 → D0317-L24 → M0320 → B161-006DC0002 → B161-017DC0112 → END</t>
  </si>
  <si>
    <t>12BFA02.EA003</t>
  </si>
  <si>
    <t>12MBA32AP001 -M01</t>
  </si>
  <si>
    <t>B111-996CT0021 → B111-016CT0004 → B111-016CT0003 → B111-016CT0002 → B111-016CT0001 → M0322 → D0318-L24 → M0321 → D0317-L24 → M0320 → B161-006DC0002 → B161-017DC0113 → END</t>
  </si>
  <si>
    <t>12BFA53.DA002</t>
  </si>
  <si>
    <t>12MBA32GQ012 -X01</t>
  </si>
  <si>
    <t>B111-996CT0021 → B111-016CT0004 → B111-016CT0003 → B111-016CT0002 → B111-016CT0001 → M0322 → D0318-L24 → M0321 → D0317-L24 → M0320 → B161-006DC0002 → B161-017DC0114 → END</t>
  </si>
  <si>
    <t>12BFA02.EA004</t>
  </si>
  <si>
    <t>12MBA33AP001 -M01</t>
  </si>
  <si>
    <t>B111-996CT0021 → B111-016CT0004 → B111-016CT0003 → B111-016CT0002 → B111-016CT0001 → M0322 → D0318-L24 → M0321 → D0317-L24 → M0320 → B161-006DC0002 → B161-017DC0115 → END</t>
  </si>
  <si>
    <t>12BFA02.CB002</t>
  </si>
  <si>
    <t>12MBA51AP001 -M01</t>
  </si>
  <si>
    <t>B111-016DT0001 → B111-016DT0002 → B111-016DT0012 → B111-996DT0026 → B161-016DC0117 → END</t>
  </si>
  <si>
    <t>12BFA02.CB003</t>
  </si>
  <si>
    <t>12MBA51AP002 -M01</t>
  </si>
  <si>
    <t>B111-016DT0025 → B111-016DT0007 → B111-016DT0008 → B111-016DT0009 → B111-016DT0010 → B111-016DT0002 → B111-016DT0012 → B111-996DT0026 → B161-016DC0118 → END</t>
  </si>
  <si>
    <t>12MBJ01GW035 -E01</t>
  </si>
  <si>
    <t>B111-016CT0001 → B111-016CT0002 → B111-016CT0003 → B111-016CT0004 → B111-996CT0021 → M0322 → B161-007DC0010 → END</t>
  </si>
  <si>
    <t>12BFA53.HA002</t>
  </si>
  <si>
    <t>12MBL10GH001 -E01</t>
  </si>
  <si>
    <t>B111-016CT0001 → B111-016CT0002 → B111-016CT0003 → B111-016CT0004 → B111-996CT0021 → M0322 → D0318-L31 → M0321 → B161-006DC0025 → B161-026EC0006 → B161-026EC0004 → B161-026EC0003 → B161-026EC0001 → END</t>
  </si>
  <si>
    <t>12BFA53.HA003</t>
  </si>
  <si>
    <t>12MBL20GH001 -E01</t>
  </si>
  <si>
    <t>B111-016CT0001 → B111-016CT0002 → B111-016CT0003 → B111-016CT0004 → B111-996CT0021 → M0322 → D0318-L24 → M0321 → D0317-L25 → M0320 → B161-006DC0004 → B161-016DC0101 → END</t>
  </si>
  <si>
    <t>12BFA51.HA001</t>
  </si>
  <si>
    <t>12MBL25AT001 -E01</t>
  </si>
  <si>
    <t>B111-016CT0001 → B111-016CT0002 → B111-016CT0003 → B111-016CT0004 → B111-996CT0021 → M0322 → D0318-L24 → M0321 → D0317-L25 → M0320 → B161-006DC0006 → B161-016DC0037 → END</t>
  </si>
  <si>
    <t>12BFA03.JB001</t>
  </si>
  <si>
    <t>12MBL30GH001 -E01</t>
  </si>
  <si>
    <t>B111-016CT0001 → B111-016CT0002 → B111-016CT0003 → B111-016CT0004 → B111-996CT0021 → M0322 → D0318-L22 → M0321 → D0317-L25 → M0320 → B161-006DC0007 → END</t>
  </si>
  <si>
    <t>12BFA53.HA004</t>
  </si>
  <si>
    <t>12MBL40GH001 -E01</t>
  </si>
  <si>
    <t>B111-016CT0001 → B111-016CT0002 → B111-016CT0003 → B111-016CT0004 → B111-996CT0021 → M0322 → D0318-L24 → M0321 → D0317-L25 → M0320 → B161-006DC0006 → B161-016DC0103 → END</t>
  </si>
  <si>
    <t>12BFA03.CB004</t>
  </si>
  <si>
    <t>12MBM12GT100 -E01</t>
  </si>
  <si>
    <t>B111-016CT0001 → B111-016CT0002 → B111-016CT0003 → B111-016CT0004 → B111-996CT0021 → M0322 → D0318-L23 → M0321 → D0317-L22 → M0320 → B161-006DC0005 → B161-006DC0003 → B161-017DC0103 → END</t>
  </si>
  <si>
    <t>12MBN12AA505 -Y01</t>
  </si>
  <si>
    <t>B111-016CT0001 → B111-016CT0010 → B111-016CT0009 → B111-016CT0008 → B111-016CT0007 → B111-016CT0024 → B111-996CT0023 → M0323 → B161-006DC0014 → B161-017DC0132 → END</t>
  </si>
  <si>
    <t>12BUA01.EA002</t>
  </si>
  <si>
    <t>12MBN13AA501 -Y01</t>
  </si>
  <si>
    <t>B111-016CT0001 → B111-016CT0010 → B111-016CT0009 → B111-016CT0008 → B111-016CT0007 → B111-016CT0024 → B111-996CT0023 → M0323 → B161-006DC0014 → B161-017DC0133 → END</t>
  </si>
  <si>
    <t>12BUA01.EA003</t>
  </si>
  <si>
    <t>12MBN13AA502 -Y01</t>
  </si>
  <si>
    <t>B111-016CT0001 → B111-016CT0010 → B111-016CT0009 → B111-016CT0008 → B111-016CT0007 → B111-016CT0024 → B111-996CT0023 → M0323 → B161-006DC0014 → B161-017DC0134 → END</t>
  </si>
  <si>
    <t>12BUA51.JA001</t>
  </si>
  <si>
    <t>12MBN21AA001 -Y02</t>
  </si>
  <si>
    <t>B111-016CT0001 → B111-016CT0002 → B111-016CT0003 → B111-016CT0004 → B111-996CT0021 → M0322 → D0318-L23 → M0321 → D0317-L22 → M0320 → B161-006DC0005 → B161-006DC0003 → B161-017DC0104 → END</t>
  </si>
  <si>
    <t>12BUA01.EA004</t>
  </si>
  <si>
    <t>12MBN21AA002 -Y01</t>
  </si>
  <si>
    <t>B111-016CT0001 → B111-016CT0002 → B111-016CT0003 → B111-016CT0004 → B111-996CT0021 → M0322 → D0318-L23 → M0321 → D0317-L22 → M0320 → B161-006DC0005 → B161-006DC0003 → B161-017DC0105 → END</t>
  </si>
  <si>
    <t>12BUA51.KB001</t>
  </si>
  <si>
    <t>12MBN22AA001 -Y02</t>
  </si>
  <si>
    <t>B111-016CT0001 → B111-016CT0002 → B111-016CT0003 → B111-016CT0004 → B111-996CT0021 → M0322 → D0318-L23 → M0321 → D0317-L22 → M0320 → B161-006DC0005 → B161-006DC0003 → B161-017DC0106 → END</t>
  </si>
  <si>
    <t>12BUA01.FB001</t>
  </si>
  <si>
    <t>12MBN22AA002 -Y01</t>
  </si>
  <si>
    <t>B111-016CT0001 → B111-016CT0002 → B111-016CT0003 → B111-016CT0004 → B111-996CT0021 → M0322 → D0318-L23 → M0321 → D0317-L22 → M0320 → B161-006DC0005 → B161-006DC0003 → B161-017DC0107 → END</t>
  </si>
  <si>
    <t>12BUA01.FB002</t>
  </si>
  <si>
    <t>12MBN23AA501 -Y01</t>
  </si>
  <si>
    <t>B111-016CT0001 → B111-016CT0002 → B111-016CT0003 → B111-016CT0004 → B111-996CT0021 → M0322 → D0318-L23 → M0321 → D0317-L22 → M0320 → B161-006DC0005 → B161-006DC0003 → B161-017DC0108 → END</t>
  </si>
  <si>
    <t>12BUA51.MA001</t>
  </si>
  <si>
    <t>12MBN25AA001 -Y02</t>
  </si>
  <si>
    <t>B111-016CT0001 → B111-016CT0002 → B111-016CT0003 → B111-016CT0004 → B111-996CT0021 → M0322 → D0318-L23 → M0321 → D0317-L22 → M0320 → B161-006DC0005 → B161-006DC0003 → B161-017DC0109 → END</t>
  </si>
  <si>
    <t>12BUA01.FB003</t>
  </si>
  <si>
    <t>12MBN25AA501 -Y01</t>
  </si>
  <si>
    <t>B111-016CT0001 → B111-016CT0002 → B111-016CT0003 → B111-016CT0004 → B111-996CT0021 → M0322 → D0318-L23 → M0321 → D0317-L22 → M0320 → B161-006DC0005 → B161-006DC0003 → B161-017DC0110 → END</t>
  </si>
  <si>
    <t>12BUA51.NB001</t>
  </si>
  <si>
    <t>12MBN26AA001 -Y02</t>
  </si>
  <si>
    <t>B111-016CT0001 → B111-016CT0002 → B111-016CT0003 → B111-016CT0004 → B111-996CT0021 → M0322 → D0318-L23 → M0321 → D0317-L22 → M0320 → B161-006DC0005 → B161-006DC0003 → B161-017DC0111 → END</t>
  </si>
  <si>
    <t>12BUA01.FB004</t>
  </si>
  <si>
    <t>12MBN26AA501 -Y01</t>
  </si>
  <si>
    <t>B111-016CT0001 → B111-016CT0010 → B111-016CT0009 → B111-016CT0015 → B111-016CT0016 → B161-017DC0006 → B161-017DC0116 → END</t>
  </si>
  <si>
    <t>12BUA01.HA001</t>
  </si>
  <si>
    <t>12MBN27AA501 -Y01</t>
  </si>
  <si>
    <t>B111-016CT0001 → B111-016CT0010 → B111-016CT0009 → B111-016CT0015 → B111-016CT0016 → B161-017DC0006 → B161-017DC0117 → END</t>
  </si>
  <si>
    <t>12BFA02.CB004</t>
  </si>
  <si>
    <t>12MBN60AP001 -M01</t>
  </si>
  <si>
    <t>B111-016CT0001 → B111-016CT0010 → B111-016CT0009 → B111-016CT0008 → B111-016CT0007 → B111-016CT0024 → B111-996CT0023 → M0323 → B161-006DC0014 → B161-016DC0105 → END</t>
  </si>
  <si>
    <t>12BFA03.EA003</t>
  </si>
  <si>
    <t>12MBN81AP001 -M01</t>
  </si>
  <si>
    <t>B111-016CT0001 → B111-016CT0010 → B111-016CT0009 → B111-016CT0008 → B111-016CT0007 → B111-016CT0024 → B111-996CT0023 → M0323 → B161-006DC0014 → B161-016DC0106 → END</t>
  </si>
  <si>
    <t>12BUA01.HA002</t>
  </si>
  <si>
    <t>12MBN82AA001 -Y01</t>
  </si>
  <si>
    <t>B111-016CT0001 → B111-016CT0010 → B111-016CT0009 → B111-016CT0008 → B111-016CT0007 → B111-016CT0024 → B111-996CT0023 → M0323 → B161-006DC0014 → B161-017DC0135 → END</t>
  </si>
  <si>
    <t>12BUA01.HA003</t>
  </si>
  <si>
    <t>12MBN82AA002 -Y01</t>
  </si>
  <si>
    <t>B111-016CT0001 → B111-016CT0010 → B111-016CT0009 → B111-016CT0008 → B111-016CT0007 → B111-016CT0024 → B111-996CT0023 → M0323 → B161-006DC0014 → B161-017DC0136 → END</t>
  </si>
  <si>
    <t>12BUB01.EA001</t>
  </si>
  <si>
    <t>12MBP13AA501 -Y01</t>
  </si>
  <si>
    <t>B111-016DT0001 → B111-016DT0002 → B111-016DT0012 → B111-996DT0026 → B161-017DC0137 → END</t>
  </si>
  <si>
    <t>12BUB01.EA002</t>
  </si>
  <si>
    <t>12MBP14AA501 -Y01</t>
  </si>
  <si>
    <t>B111-016DT0001 → B111-016DT0002 → B111-016DT0012 → B111-996DT0026 → B161-017DC0138 → END</t>
  </si>
  <si>
    <t>12BUB01.EA003</t>
  </si>
  <si>
    <t>12MBP15AA501 -Y01</t>
  </si>
  <si>
    <t>B111-016DT0001 → B111-016DT0002 → B111-016DT0012 → B111-996DT0026 → B161-017DC0139 → END</t>
  </si>
  <si>
    <t>12BUB51.JA001</t>
  </si>
  <si>
    <t>12MBP21AA001 -E01</t>
  </si>
  <si>
    <t>B111-016CT0001 → B111-016CT0010 → B111-016CT0009 → B111-016CT0015 → B111-016CT0016 → B161-017DC0006 → B161-017DC0118 → END</t>
  </si>
  <si>
    <t>12MBP21AA001 -Y02</t>
  </si>
  <si>
    <t>B111-016CT0001 → B111-016CT0010 → B111-016CT0009 → B111-016CT0015 → B111-016CT0016 → B161-017DC0006 → B161-017DC0119 → END</t>
  </si>
  <si>
    <t>12BUB51.KB001</t>
  </si>
  <si>
    <t>12MBP21AA002 -E01</t>
  </si>
  <si>
    <t>B111-016CT0001 → B111-016CT0010 → B111-016CT0009 → B111-016CT0015 → B111-016CT0016 → B161-017DC0006 → B161-017DC0120 → END</t>
  </si>
  <si>
    <t>12MBP21AA002 -Y02</t>
  </si>
  <si>
    <t>B111-016CT0001 → B111-016CT0010 → B111-016CT0009 → B111-016CT0015 → B111-016CT0016 → B161-017DC0006 → B161-017DC0121 → END</t>
  </si>
  <si>
    <t>12BUB51.MA001</t>
  </si>
  <si>
    <t>12MBP21AA003 -E01</t>
  </si>
  <si>
    <t>B111-016CT0001 → B111-016CT0010 → B111-016CT0009 → B111-016CT0015 → B111-016CT0016 → B161-017DC0006 → B161-017DC0122 → END</t>
  </si>
  <si>
    <t>12MBP21AA003 -Y02</t>
  </si>
  <si>
    <t>B111-016CT0001 → B111-016CT0010 → B111-016CT0009 → B111-016CT0015 → B111-016CT0016 → B161-017DC0006 → B161-017DC0123 → END</t>
  </si>
  <si>
    <t>12BUB51.NB001</t>
  </si>
  <si>
    <t>12MBP22AA001 -E01</t>
  </si>
  <si>
    <t>B111-016CT0001 → B111-016CT0010 → B111-016CT0009 → B111-016CT0015 → B111-016CT0016 → B161-017DC0006 → B161-017DC0124 → END</t>
  </si>
  <si>
    <t>12MBP22AA001 -Y02</t>
  </si>
  <si>
    <t>B111-016CT0001 → B111-016CT0010 → B111-016CT0009 → B111-016CT0015 → B111-016CT0016 → B161-017DC0006 → B161-017DC0125 → END</t>
  </si>
  <si>
    <t>12BUB51.QA001</t>
  </si>
  <si>
    <t>12MBP22AA002 -E01</t>
  </si>
  <si>
    <t>B111-016CT0001 → B111-016CT0010 → B111-016CT0009 → B111-016CT0015 → B111-016CT0016 → B161-017DC0006 → B161-017DC0126 → END</t>
  </si>
  <si>
    <t>12MBP22AA002 -Y02</t>
  </si>
  <si>
    <t>B111-016CT0001 → B111-016CT0010 → B111-016CT0009 → B111-016CT0015 → B111-016CT0016 → B161-017DC0006 → B161-017DC0127 → END</t>
  </si>
  <si>
    <t>12BUB51.RB001</t>
  </si>
  <si>
    <t>12MBP22AA003 -E01</t>
  </si>
  <si>
    <t>B111-016CT0001 → B111-016CT0010 → B111-016CT0009 → B111-016CT0015 → B111-016CT0016 → B161-017DC0006 → B161-017DC0128 → END</t>
  </si>
  <si>
    <t>12MBP22AA003 -Y02</t>
  </si>
  <si>
    <t>B111-016CT0001 → B111-016CT0010 → B111-016CT0009 → B111-016CT0015 → B111-016CT0016 → B161-017DC0006 → B161-017DC0129 → END</t>
  </si>
  <si>
    <t>12BFA03.EA001</t>
  </si>
  <si>
    <t>12MBQ11AA001 -Y01</t>
  </si>
  <si>
    <t>B111-016CT0001 → B111-016CT0010 → B111-016CT0009 → B111-016CT0015 → B111-016CT0016 → B161-017DC0006 → B161-017DC0130 → END</t>
  </si>
  <si>
    <t>12BFA03.EA002</t>
  </si>
  <si>
    <t>12MBQ11AA002 -Y01</t>
  </si>
  <si>
    <t>B111-016CT0001 → B111-016CT0010 → B111-016CT0009 → B111-016CT0015 → B111-016CT0016 → B161-017DC0006 → B161-017DC0131 → END</t>
  </si>
  <si>
    <t>12MBV21AP001 -M01</t>
  </si>
  <si>
    <t>B111-016DT0025 → B111-016DT0007 → B111-016DT0008 → B111-016DT0009 → B111-016DT0010 → B111-016DT0002 → B111-016DT0012 → B111-996DT0026 → B161-016DC0107 → END</t>
  </si>
  <si>
    <t>12BFA02.PB001</t>
  </si>
  <si>
    <t>12MBV21AP002 -M01</t>
  </si>
  <si>
    <t>B111-016DT0025 → B111-016DT0007 → B111-016DT0008 → B111-016DT0009 → B111-016DT0010 → B111-016DT0002 → B111-016DT0012 → B111-996DT0026 → B161-016DC0108 → END</t>
  </si>
  <si>
    <t>12BUA51.RA001</t>
  </si>
  <si>
    <t>12MBV21AP003 -E01</t>
  </si>
  <si>
    <t>B111-016DT0001 → B111-016DT0002 → B111-016DT0012 → B111-996DT0026 → B161-017DC0142 → END</t>
  </si>
  <si>
    <t>12MBV21AP003 -M01</t>
  </si>
  <si>
    <t>B111-016DT0001 → B111-016DT0002 → B111-016DT0012 → B111-996DT0026 → B161-017DC0143 → END</t>
  </si>
  <si>
    <t>12MBV21AP003 -R01</t>
  </si>
  <si>
    <t>B111-016DT0001 → B111-016DT0002 → B111-016DT0012 → B111-996DT0026 → B161-017DC0144 → END</t>
  </si>
  <si>
    <t>12BMA51.SA001</t>
  </si>
  <si>
    <t>12MBV30AP001 -M01</t>
  </si>
  <si>
    <t>B111-016DT0025 → B111-016DT0007 → B111-016DT0008 → B111-016DT0009 → B111-016DT0010 → B111-016DT0002 → B111-016DT0012 → B111-996DT0026 → B161-016DC0111 → END</t>
  </si>
  <si>
    <t>12BFA02.SA001</t>
  </si>
  <si>
    <t>12MBV30AP002 -M01</t>
  </si>
  <si>
    <t>B111-016DT0001 → B111-016DT0002 → B111-016DT0012 → B111-996DT0026 → B161-016DC0112 → END</t>
  </si>
  <si>
    <t>12BMA52.CB001</t>
  </si>
  <si>
    <t>12MBV50AN001 -M01</t>
  </si>
  <si>
    <t>B111-016DT0025 → B111-016DT0007 → B111-016DT0008 → B111-016DT0009 → B111-016DT0010 → B111-016DT0002 → B111-016DT0012 → B111-996DT0026 → B161-016DC0123 → END</t>
  </si>
  <si>
    <t>12BFA02.EA001</t>
  </si>
  <si>
    <t>12MBV50AN002 -M01</t>
  </si>
  <si>
    <t>B111-016DT0001 → B111-016DT0002 → B111-016DT0012 → B111-996DT0026 → B161-016DC0121 → END</t>
  </si>
  <si>
    <t>12BFA02.FB001</t>
  </si>
  <si>
    <t>12MBX01AH001 -E01</t>
  </si>
  <si>
    <t>B111-016DT0001 → B111-016DT0002 → B111-016DT0012 → B111-996DT0026 → B161-016DC0124 → END</t>
  </si>
  <si>
    <t>12BFA02.FB002</t>
  </si>
  <si>
    <t>12MBX01AH002 -E01</t>
  </si>
  <si>
    <t>B111-016DT0001 → B111-016DT0002 → B111-016DT0012 → B111-996DT0026 → B161-016DC0122 → END</t>
  </si>
  <si>
    <t>12BFA02.HA002</t>
  </si>
  <si>
    <t>12MBX02AP001 -M01</t>
  </si>
  <si>
    <t>B111-016DT0025 → B111-016DT0007 → B111-016DT0008 → B111-016DT0009 → B111-016DT0010 → B111-016DT0002 → B111-016DT0012 → B111-996DT0026 → B161-016DC0114 → END</t>
  </si>
  <si>
    <t>12BFA02.HA003</t>
  </si>
  <si>
    <t>12MBX02AP002 -M01</t>
  </si>
  <si>
    <t>B111-016DT0025 → B111-016DT0007 → B111-016DT0008 → B111-016DT0009 → B111-016DT0010 → B111-016DT0002 → B111-016DT0012 → B111-996DT0026 → B161-016DC0115 → END</t>
  </si>
  <si>
    <t>12BFA02.HA001</t>
  </si>
  <si>
    <t>12MBX06AH001 -M01</t>
  </si>
  <si>
    <t>B111-016DT0025 → B111-016DT0007 → B111-016DT0008 → B111-016DT0009 → B111-016DT0010 → B111-016DT0002 → B111-016DT0012 → B111-996DT0026 → B161-016DC0116 → END</t>
  </si>
  <si>
    <t>12BFA02.JB001</t>
  </si>
  <si>
    <t>12MBY10GF002 -E01</t>
  </si>
  <si>
    <t>B111-016DT0001 → B111-016DT0002 → B111-016DT0012 → B111-996DT0026 → B161-016DC0113 → END</t>
  </si>
  <si>
    <t>12BFA52.HA001</t>
  </si>
  <si>
    <t>12MBY40GH001 -E01</t>
  </si>
  <si>
    <t>B111-016CT0001 → B111-016CT0010 → B111-016CT0009 → B111-016CT0008 → B111-016CT0007 → B111-016CT0024 → B111-996CT0023 → M0323 → B161-006DC0012 → B161-016DC0104 → END</t>
  </si>
  <si>
    <t>12BFA51.HA002</t>
  </si>
  <si>
    <t>12MBY80GH001 -E01</t>
  </si>
  <si>
    <t>B111-016CT0001 → B111-016CT0010 → B111-016CT0009 → B111-016CT0015 → B111-016CT0016 → B161-016DC0019 → B161-016DC0102 → END</t>
  </si>
  <si>
    <t>12BFA02.EA002</t>
  </si>
  <si>
    <t>12MKA10AH010 -E01</t>
  </si>
  <si>
    <t>B111-016DT0025 → B111-016DT0007 → B111-016DT0019 → B111-016DT0020 → END</t>
  </si>
  <si>
    <t>12MKC01GT002 -E01</t>
  </si>
  <si>
    <t>12BFA52.DA002</t>
  </si>
  <si>
    <t>12MKC01GW035 -E01</t>
  </si>
  <si>
    <t>B111-016CT0001 → B111-016CT0002 → B111-016CT0003 → B111-016CT0004 → B111-996CT0021 → M0322 → B161-007DC0012 → END</t>
  </si>
  <si>
    <t>12BFA51.HA003</t>
  </si>
  <si>
    <t>12MKC05GE001 -E01</t>
  </si>
  <si>
    <t>B111-016CT0001 → B111-016CT0002 → B111-016CT0003 → B111-016CT0004 → B111-996CT0021 → M0322 → D0318-L22 → M0321 → B161-007DC0012 → END</t>
  </si>
  <si>
    <t>12BFA51.DA003</t>
  </si>
  <si>
    <t>12MKC10GP001 -E01</t>
  </si>
  <si>
    <t>12MKC30GE001 -E01</t>
  </si>
  <si>
    <t>B111-016DT0005 → B111-016DT0006 → B111-016DT0007 → B111-016DT0019 → B111-016DT0020 → END</t>
  </si>
  <si>
    <t>12BUA51.DA001</t>
  </si>
  <si>
    <t>12MPB10GW011 -E01</t>
  </si>
  <si>
    <t>B111-016CT0001 → B111-016CT0002 → B111-016CT0003 → B111-016CT0004 → B111-996CT0021 → M0322 → D0318-L23 → M0321 → D0317-L22 → M0320 → B161-006DC0005 → B161-006DC0003 → B161-017DC0101 → END</t>
  </si>
  <si>
    <t>12BFA51.DA004</t>
  </si>
  <si>
    <t>12MPB10GW023 -E01</t>
  </si>
  <si>
    <t>B111-016CT0001 → B111-016CT0002 → B111-016CT0003 → B111-016CT0004 → B111-996CT0021 → M0322 → D0318-L23 → M0321 → D0317-L22 → M0320 → B161-006DC0005 → B161-006DC0003 → B161-017DC0102 → END</t>
  </si>
  <si>
    <t>12BUA51.DA002</t>
  </si>
  <si>
    <t>12MPB13GW011 -E01</t>
  </si>
  <si>
    <t>B111-016DT0025 → B111-996DT0022 → M0323 → B161-006DC0021 → END</t>
  </si>
  <si>
    <t>12BFA51.DA005</t>
  </si>
  <si>
    <t>12MPB13GW023 -E01</t>
  </si>
  <si>
    <t>B111-016DT0025 → B111-996DT0022 → M0323 → B161-006DC0020 → END</t>
  </si>
  <si>
    <t>12BUA51.DA003</t>
  </si>
  <si>
    <t>12MPB16GW011 -E01</t>
  </si>
  <si>
    <t>12BFA51.DA006</t>
  </si>
  <si>
    <t>12MPB16GW023 -E01</t>
  </si>
  <si>
    <t>12BMA51.CB001</t>
  </si>
  <si>
    <t>12SAM33AN001 -M01</t>
  </si>
  <si>
    <t>B111-016DT0025 → B111-016DT0007 → B111-016DT0008 → B111-016DT0009 → B111-016DT0010 → B111-016DT0002 → B111-016DT0012 → B111-996DT0026 → B161-016DC0109 → END</t>
  </si>
  <si>
    <t>12SAM33AN002 -M01</t>
  </si>
  <si>
    <t>B111-016DT0025 → B111-016DT0007 → B111-016DT0008 → B111-016DT0009 → B111-016DT0010 → B111-016DT0002 → B111-016DT0012 → B111-996DT0026 → B161-016DC0110 → END</t>
  </si>
  <si>
    <t>21BAB11GW023 -E01</t>
  </si>
  <si>
    <t>B212-016AT0011 → B212-016AT0010 → B212-016AT0009 → B212-016AT0015 → B212-016AT0016 → END</t>
  </si>
  <si>
    <t>21BFA03.CB001</t>
  </si>
  <si>
    <t>21MBA18AA001 -Y01</t>
  </si>
  <si>
    <t>B212-016AT0011 → B212-996AT0023 → M0309 → D0322-L31 → M0308 → D0306-L31 → M0307 → D0321-L27 → M0306 → B261-006DC0004 → B261-007DC0001 → B261-006DC0023 → END</t>
  </si>
  <si>
    <t>21BFA03.CB002</t>
  </si>
  <si>
    <t>21MBA18AA002 -Y01</t>
  </si>
  <si>
    <t>21BFA03.CB003</t>
  </si>
  <si>
    <t>21MBA18AA003 -Y01</t>
  </si>
  <si>
    <t>21BFA02.CB001</t>
  </si>
  <si>
    <t>21MBA30AP001 -M01</t>
  </si>
  <si>
    <t>21BFA02.EA003</t>
  </si>
  <si>
    <t>21MBA32AP001 -M01</t>
  </si>
  <si>
    <t>21BFA53.DA002</t>
  </si>
  <si>
    <t>21MBA32GQ012 -X01</t>
  </si>
  <si>
    <t>21BFA02.EA004</t>
  </si>
  <si>
    <t>21MBA33AP001 -M01</t>
  </si>
  <si>
    <t>21BFA02.CB002</t>
  </si>
  <si>
    <t>21MBA51AP001 -M01</t>
  </si>
  <si>
    <t>21BFA02.CB003</t>
  </si>
  <si>
    <t>21MBA51AP002 -M01</t>
  </si>
  <si>
    <t>21BFA52.DA001</t>
  </si>
  <si>
    <t>21MBJ01GW035 -E01</t>
  </si>
  <si>
    <t>B212-016AT0011 → B212-996AT0023 → M0309 → D0322-L23 → M0308 → B261-007DC0010 → END</t>
  </si>
  <si>
    <t>21BFA53.HA002</t>
  </si>
  <si>
    <t>21MBL10GH001 -E01</t>
  </si>
  <si>
    <t>B212-016AT0011 → B212-996AT0023 → M0309 → D0322-L23 → M0308 → D0306-L31 → M0307 → D0321-L27 → M0306 → D0305-L27 → M0303 → B261-006BC0025 → B261-026EC0006 → B261-026EC0005 → B261-026EC0002 → END</t>
  </si>
  <si>
    <t>21BFA53.HA003</t>
  </si>
  <si>
    <t>21MBL20GH001 -E01</t>
  </si>
  <si>
    <t>21BFA51.HA001</t>
  </si>
  <si>
    <t>21MBL25AT001 -E01</t>
  </si>
  <si>
    <t>21BFA03.JB001</t>
  </si>
  <si>
    <t>21MBL30GH001 -E01</t>
  </si>
  <si>
    <t>B212-016AT0011 → B212-996AT0023 → M0309 → D0322-L23 → M0308 → D0306-L21 → M0307 → D0321-L27 → M0306 → B261-006DC0007 → END</t>
  </si>
  <si>
    <t>21BFA53.HA004</t>
  </si>
  <si>
    <t>21MBL40GH001 -E01</t>
  </si>
  <si>
    <t>21BFA03.CB004</t>
  </si>
  <si>
    <t>21MBM12GT100 -E01</t>
  </si>
  <si>
    <t>21MBN12AA505 -Y01</t>
  </si>
  <si>
    <t>21BUA01.EA002</t>
  </si>
  <si>
    <t>21MBN13AA501 -Y01</t>
  </si>
  <si>
    <t>21BUA01.EA003</t>
  </si>
  <si>
    <t>21MBN13AA502 -Y01</t>
  </si>
  <si>
    <t>21BUA51.JA001</t>
  </si>
  <si>
    <t>21MBN21AA001 -Y02</t>
  </si>
  <si>
    <t>21BUA01.EA004</t>
  </si>
  <si>
    <t>21MBN21AA002 -Y01</t>
  </si>
  <si>
    <t>21BUA51.KB001</t>
  </si>
  <si>
    <t>21MBN22AA001 -Y02</t>
  </si>
  <si>
    <t>21BUA01.FB001</t>
  </si>
  <si>
    <t>21MBN22AA002 -Y01</t>
  </si>
  <si>
    <t>21BUA01.FB002</t>
  </si>
  <si>
    <t>21MBN23AA501 -Y01</t>
  </si>
  <si>
    <t>21BUA51.MA001</t>
  </si>
  <si>
    <t>21MBN25AA001 -Y02</t>
  </si>
  <si>
    <t>21BUA01.FB003</t>
  </si>
  <si>
    <t>21MBN25AA501 -Y01</t>
  </si>
  <si>
    <t>21BUA51.NB001</t>
  </si>
  <si>
    <t>21MBN26AA001 -Y02</t>
  </si>
  <si>
    <t>21BUA01.FB004</t>
  </si>
  <si>
    <t>21MBN26AA501 -Y01</t>
  </si>
  <si>
    <t>21BUA01.HA001</t>
  </si>
  <si>
    <t>21MBN27AA501 -Y01</t>
  </si>
  <si>
    <t>21BFA02.CB004</t>
  </si>
  <si>
    <t>21MBN60AP001 -M01</t>
  </si>
  <si>
    <t>21BFA03.EA003</t>
  </si>
  <si>
    <t>21MBN81AP001 -M01</t>
  </si>
  <si>
    <t>21BUA01.HA002</t>
  </si>
  <si>
    <t>21MBN82AA001 -Y01</t>
  </si>
  <si>
    <t>21BUA01.HA003</t>
  </si>
  <si>
    <t>21MBN82AA002 -Y01</t>
  </si>
  <si>
    <t>21MBP13AA501 -Y01</t>
  </si>
  <si>
    <t>21BUB01.EA002</t>
  </si>
  <si>
    <t>21MBP14AA501 -Y01</t>
  </si>
  <si>
    <t>21BUB01.EA003</t>
  </si>
  <si>
    <t>21MBP15AA501 -Y01</t>
  </si>
  <si>
    <t>21BUB51.JA001</t>
  </si>
  <si>
    <t>21MBP21AA001 -E01</t>
  </si>
  <si>
    <t>21MBP21AA001 -Y02</t>
  </si>
  <si>
    <t>21BUB51.KB001</t>
  </si>
  <si>
    <t>21MBP21AA002 -E01</t>
  </si>
  <si>
    <t>21MBP21AA002 -Y02</t>
  </si>
  <si>
    <t>21BUB51.MA001</t>
  </si>
  <si>
    <t>21MBP21AA003 -E01</t>
  </si>
  <si>
    <t>21MBP21AA003 -Y02</t>
  </si>
  <si>
    <t>21BUB51.NB001</t>
  </si>
  <si>
    <t>21MBP22AA001 -E01</t>
  </si>
  <si>
    <t>21MBP22AA001 -Y02</t>
  </si>
  <si>
    <t>21BUB51.QA001</t>
  </si>
  <si>
    <t>21MBP22AA002 -E01</t>
  </si>
  <si>
    <t>21MBP22AA002 -Y02</t>
  </si>
  <si>
    <t>21BUB51.RB001</t>
  </si>
  <si>
    <t>21MBP22AA003 -E01</t>
  </si>
  <si>
    <t>21MBP22AA003 -Y02</t>
  </si>
  <si>
    <t>21BFA03.EA001</t>
  </si>
  <si>
    <t>21MBQ11AA001 -Y01</t>
  </si>
  <si>
    <t>21BFA03.EA002</t>
  </si>
  <si>
    <t>21MBQ11AA002 -Y01</t>
  </si>
  <si>
    <t>21BMA52.PB001</t>
  </si>
  <si>
    <t>21MBV21AP001 -M01</t>
  </si>
  <si>
    <t>21BFA02.PB001</t>
  </si>
  <si>
    <t>21MBV21AP002 -M01</t>
  </si>
  <si>
    <t>21BUA51.RA001</t>
  </si>
  <si>
    <t>21MBV21AP003 -E01</t>
  </si>
  <si>
    <t>21MBV21AP003 -M01</t>
  </si>
  <si>
    <t>21MBV21AP003 -R01</t>
  </si>
  <si>
    <t>21BMA51.SA001</t>
  </si>
  <si>
    <t>21MBV30AP001 -M01</t>
  </si>
  <si>
    <t>21BFA02.SA001</t>
  </si>
  <si>
    <t>21MBV30AP002 -M01</t>
  </si>
  <si>
    <t>21BMA52.CB001</t>
  </si>
  <si>
    <t>21MBV50AN001 -M01</t>
  </si>
  <si>
    <t>21BFA02.EA001</t>
  </si>
  <si>
    <t>21MBV50AN002 -M01</t>
  </si>
  <si>
    <t>21BFA02.FB001</t>
  </si>
  <si>
    <t>21MBX01AH001 -E01</t>
  </si>
  <si>
    <t>21BFA02.FB002</t>
  </si>
  <si>
    <t>21MBX01AH002 -E01</t>
  </si>
  <si>
    <t>21BFA02.HA002</t>
  </si>
  <si>
    <t>21MBX02AP001 -M01</t>
  </si>
  <si>
    <t>21BFA02.HA003</t>
  </si>
  <si>
    <t>21MBX02AP002 -M01</t>
  </si>
  <si>
    <t>21BFA02.HA001</t>
  </si>
  <si>
    <t>21MBX06AH001 -M01</t>
  </si>
  <si>
    <t>21BFA02.JB001</t>
  </si>
  <si>
    <t>21MBY10GF002 -E01</t>
  </si>
  <si>
    <t>21BFA52.HA001</t>
  </si>
  <si>
    <t>21MBY40GH001 -E01</t>
  </si>
  <si>
    <t>21BFA51.HA002</t>
  </si>
  <si>
    <t>21MBY80GH001 -E01</t>
  </si>
  <si>
    <t>21BFA02.EA002</t>
  </si>
  <si>
    <t>21MKA10AH010 -E01</t>
  </si>
  <si>
    <t>B212-016BT0025 → B212-016BT0007 → B212-016BT0019 → B212-016BT0020 → END</t>
  </si>
  <si>
    <t>21MKC01GT002 -E01</t>
  </si>
  <si>
    <t>21BFA52.DA002</t>
  </si>
  <si>
    <t>21MKC01GW035 -E01</t>
  </si>
  <si>
    <t>B212-016AT0011 → B212-996AT0023 → M0309 → D0322-L24 → M0308 → D0306-L24 → M0307 → B261-007DC0012 → END</t>
  </si>
  <si>
    <t>21BFA51.HA003</t>
  </si>
  <si>
    <t>21MKC05GE001 -E01</t>
  </si>
  <si>
    <t>21BFA51.DA003</t>
  </si>
  <si>
    <t>21MKC10GP001 -E01</t>
  </si>
  <si>
    <t>B212-016AT0011 → B212-996AT0023 → M0309 → D0322-L23 → M0308 → B261-007DC0012 → END</t>
  </si>
  <si>
    <t>21MKC30GE001 -E01</t>
  </si>
  <si>
    <t>B212-016BT0005 → B212-016BT0006 → B212-016BT0007 → B212-016BT0019 → B212-016BT0020 → END</t>
  </si>
  <si>
    <t>21BUA51.DA001</t>
  </si>
  <si>
    <t>21MPB10GW011 -E01</t>
  </si>
  <si>
    <t>21BFA51.DA004</t>
  </si>
  <si>
    <t>21MPB10GW023 -E01</t>
  </si>
  <si>
    <t>21BUA51.DA002</t>
  </si>
  <si>
    <t>21MPB13GW011 -E01</t>
  </si>
  <si>
    <t>B212-016BT0001 → B212-996BT0022 → M0309 → B261-006DC0021 → END</t>
  </si>
  <si>
    <t>21BFA51.DA005</t>
  </si>
  <si>
    <t>21MPB13GW023 -E01</t>
  </si>
  <si>
    <t>B212-016BT0001 → B212-996BT0022 → M0309 → B261-006DC0020 → END</t>
  </si>
  <si>
    <t>21MPB16GW011 -E01</t>
  </si>
  <si>
    <t>21BFA51.DA006</t>
  </si>
  <si>
    <t>21MPB16GW023 -E01</t>
  </si>
  <si>
    <t>21BMA51.CB001</t>
  </si>
  <si>
    <t>21SAM33AN001 -M01</t>
  </si>
  <si>
    <t>21SAM33AN002 -M01</t>
  </si>
  <si>
    <t>22BFA51.DA001</t>
  </si>
  <si>
    <t>1.1_MAIN BUILDING COMPLEX / PCC #22</t>
  </si>
  <si>
    <t>22BAB11GW023 -E01</t>
  </si>
  <si>
    <t>B212-016CT0001 → B212-016CT0010 → B212-016CT0009 → B212-016CT0015 → B212-016CT0016 → END</t>
  </si>
  <si>
    <t>22BFA03.CB001</t>
  </si>
  <si>
    <t>22MBA18AA001 -Y01</t>
  </si>
  <si>
    <t>B212-016CT0001 → B212-016CT0002 → B212-016CT0003 → B212-016CT0004 → B212-996CT0021 → M0304 → D0304-L31 → M0303 → D0303-L37 → M0302 → B261-006BC0004 → B261-007BC0001 → B261-006BC0023 → END</t>
  </si>
  <si>
    <t>22BFA03.CB002</t>
  </si>
  <si>
    <t>22MBA18AA002 -Y01</t>
  </si>
  <si>
    <t>22BFA03.CB003</t>
  </si>
  <si>
    <t>22MBA18AA003 -Y01</t>
  </si>
  <si>
    <t>22BFA02.CB001</t>
  </si>
  <si>
    <t>22MBA30AP001 -M01</t>
  </si>
  <si>
    <t>22BFA02.EA003</t>
  </si>
  <si>
    <t>22MBA32AP001 -M01</t>
  </si>
  <si>
    <t>22BFA53.DA002</t>
  </si>
  <si>
    <t>22MBA32GQ012 -X01</t>
  </si>
  <si>
    <t>22BFA02.EA004</t>
  </si>
  <si>
    <t>22MBA33AP001 -M01</t>
  </si>
  <si>
    <t>22BFA02.CB002</t>
  </si>
  <si>
    <t>22MBA51AP001 -M01</t>
  </si>
  <si>
    <t>22BFA02.CB003</t>
  </si>
  <si>
    <t>22MBA51AP002 -M01</t>
  </si>
  <si>
    <t>22BFA52.DA001</t>
  </si>
  <si>
    <t>22MBJ01GW035 -E01</t>
  </si>
  <si>
    <t>B212-013BT0001 → B212-013BT0002 → B212-013BT0003 → B212-013BT0004 → B212-993BT0021 → M0304 → B261-007BC0010 → END</t>
  </si>
  <si>
    <t>22BFA53.HA002</t>
  </si>
  <si>
    <t>22MBL10GH001 -E01</t>
  </si>
  <si>
    <t>B212-013BT0001 → B212-013BT0002 → B212-013BT0003 → B212-013BT0004 → B212-993BT0021 → M0304 → D0304-L21 → M0303 → B261-006BC0025 → B261-026EC0006 → B261-026EC0004 → B261-026EC0003 → B261-026EC0001 → END</t>
  </si>
  <si>
    <t>22BFA53.HA003</t>
  </si>
  <si>
    <t>22MBL20GH001 -E01</t>
  </si>
  <si>
    <t>22BFA51.HA001</t>
  </si>
  <si>
    <t>22MBL25AT001 -E01</t>
  </si>
  <si>
    <t>22BFA03.JB001</t>
  </si>
  <si>
    <t>22MBL30GH001 -E01</t>
  </si>
  <si>
    <t>B212-013BT0001 → B212-013BT0002 → B212-013BT0003 → B212-013BT0004 → B212-993BT0021 → M0304 → D0304-L21 → M0303 → D0303-L35 → M0302 → B261-006BC0007 → END</t>
  </si>
  <si>
    <t>22BFA53.HA004</t>
  </si>
  <si>
    <t>22MBL40GH001 -E01</t>
  </si>
  <si>
    <t>22BFA03.CB004</t>
  </si>
  <si>
    <t>22MBM12GT100 -E01</t>
  </si>
  <si>
    <t>22BUA01.EA001</t>
  </si>
  <si>
    <t>22MBN12AA505 -Y01</t>
  </si>
  <si>
    <t>22BUA01.EA002</t>
  </si>
  <si>
    <t>22MBN13AA501 -Y01</t>
  </si>
  <si>
    <t>22BUA01.EA003</t>
  </si>
  <si>
    <t>22MBN13AA502 -Y01</t>
  </si>
  <si>
    <t>22BUA51.JA001</t>
  </si>
  <si>
    <t>22MBN21AA001 -Y02</t>
  </si>
  <si>
    <t>22BUA01.EA004</t>
  </si>
  <si>
    <t>22MBN21AA002 -Y01</t>
  </si>
  <si>
    <t>22BUA51.KB001</t>
  </si>
  <si>
    <t>22MBN22AA001 -Y02</t>
  </si>
  <si>
    <t>22BUA01.FB001</t>
  </si>
  <si>
    <t>22MBN22AA002 -Y01</t>
  </si>
  <si>
    <t>22BUA01.FB002</t>
  </si>
  <si>
    <t>22MBN23AA501 -Y01</t>
  </si>
  <si>
    <t>22BUA51.MA001</t>
  </si>
  <si>
    <t>22MBN25AA001 -Y02</t>
  </si>
  <si>
    <t>22BUA01.FB003</t>
  </si>
  <si>
    <t>22MBN25AA501 -Y01</t>
  </si>
  <si>
    <t>22BUA51.NB001</t>
  </si>
  <si>
    <t>22MBN26AA001 -Y02</t>
  </si>
  <si>
    <t>22BUA01.FB004</t>
  </si>
  <si>
    <t>22MBN26AA501 -Y01</t>
  </si>
  <si>
    <t>22BUA01.HA001</t>
  </si>
  <si>
    <t>22MBN27AA501 -Y01</t>
  </si>
  <si>
    <t>22BFA02.CB004</t>
  </si>
  <si>
    <t>22MBN60AP001 -M01</t>
  </si>
  <si>
    <t>22BFA03.EA003</t>
  </si>
  <si>
    <t>22MBN81AP001 -M01</t>
  </si>
  <si>
    <t>22BUA01.HA002</t>
  </si>
  <si>
    <t>22MBN82AA001 -Y01</t>
  </si>
  <si>
    <t>22BUA01.HA003</t>
  </si>
  <si>
    <t>22MBN82AA002 -Y01</t>
  </si>
  <si>
    <t>22MBP13AA501 -Y01</t>
  </si>
  <si>
    <t>22BUB01.EA002</t>
  </si>
  <si>
    <t>22MBP14AA501 -Y01</t>
  </si>
  <si>
    <t>22BUB01.EA003</t>
  </si>
  <si>
    <t>22MBP15AA501 -Y01</t>
  </si>
  <si>
    <t>22BUB51.JA001</t>
  </si>
  <si>
    <t>22MBP21AA001 -E01</t>
  </si>
  <si>
    <t>22MBP21AA001 -Y02</t>
  </si>
  <si>
    <t>22BUB51.KB001</t>
  </si>
  <si>
    <t>22MBP21AA002 -E01</t>
  </si>
  <si>
    <t>22MBP21AA002 -Y02</t>
  </si>
  <si>
    <t>22BUB51.MA001</t>
  </si>
  <si>
    <t>22MBP21AA003 -E01</t>
  </si>
  <si>
    <t>22MBP21AA003 -Y02</t>
  </si>
  <si>
    <t>22BUB51.NB001</t>
  </si>
  <si>
    <t>22MBP22AA001 -E01</t>
  </si>
  <si>
    <t>22MBP22AA001 -Y02</t>
  </si>
  <si>
    <t>22BUB51.QA001</t>
  </si>
  <si>
    <t>22MBP22AA002 -E01</t>
  </si>
  <si>
    <t>22MBP22AA002 -Y02</t>
  </si>
  <si>
    <t>22BUB51.RB001</t>
  </si>
  <si>
    <t>22MBP22AA003 -E01</t>
  </si>
  <si>
    <t>22MBP22AA003 -Y02</t>
  </si>
  <si>
    <t>22BFA03.EA001</t>
  </si>
  <si>
    <t>22MBQ11AA001 -Y01</t>
  </si>
  <si>
    <t>22BFA03.EA002</t>
  </si>
  <si>
    <t>22MBQ11AA002 -Y01</t>
  </si>
  <si>
    <t>22BMA52.PB001</t>
  </si>
  <si>
    <t>22MBV21AP001 -M01</t>
  </si>
  <si>
    <t>22BFA02.PB001</t>
  </si>
  <si>
    <t>22MBV21AP002 -M01</t>
  </si>
  <si>
    <t>22BUA51.RA001</t>
  </si>
  <si>
    <t>22MBV21AP003 -E01</t>
  </si>
  <si>
    <t>22MBV21AP003 -M01</t>
  </si>
  <si>
    <t>22MBV21AP003 -R01</t>
  </si>
  <si>
    <t>22BMA51.SA001</t>
  </si>
  <si>
    <t>22MBV30AP001 -M01</t>
  </si>
  <si>
    <t>22BFA02.SA001</t>
  </si>
  <si>
    <t>22MBV30AP002 -M01</t>
  </si>
  <si>
    <t>22BMA52.CB001</t>
  </si>
  <si>
    <t>22MBV50AN001 -M01</t>
  </si>
  <si>
    <t>22BFA02.EA001</t>
  </si>
  <si>
    <t>22MBV50AN002 -M01</t>
  </si>
  <si>
    <t>22BFA02.FB001</t>
  </si>
  <si>
    <t>22MBX01AH001 -E01</t>
  </si>
  <si>
    <t>22BFA02.FB002</t>
  </si>
  <si>
    <t>22MBX01AH002 -E01</t>
  </si>
  <si>
    <t>22BFA02.HA002</t>
  </si>
  <si>
    <t>22MBX02AP001 -M01</t>
  </si>
  <si>
    <t>22BFA02.HA003</t>
  </si>
  <si>
    <t>22MBX02AP002 -M01</t>
  </si>
  <si>
    <t>22BFA02.HA001</t>
  </si>
  <si>
    <t>22MBX06AH001 -M01</t>
  </si>
  <si>
    <t>22BFA02.JB001</t>
  </si>
  <si>
    <t>22MBY10GF002 -E01</t>
  </si>
  <si>
    <t>22BFA52.HA001</t>
  </si>
  <si>
    <t>22MBY40GH001 -E01</t>
  </si>
  <si>
    <t>22BFA51.HA002</t>
  </si>
  <si>
    <t>22MBY80GH001 -E01</t>
  </si>
  <si>
    <t>22BFA02.EA002</t>
  </si>
  <si>
    <t>22MKA10AH010 -E01</t>
  </si>
  <si>
    <t>B212-016DT0025 → B212-016DT0007 → B212-016DT0019 → B212-016DT0020 → END</t>
  </si>
  <si>
    <t>22MKC01GT002 -E01</t>
  </si>
  <si>
    <t>22BFA52.DA002</t>
  </si>
  <si>
    <t>22MKC01GW035 -E01</t>
  </si>
  <si>
    <t>B212-016CT0001 → B212-016CT0002 → B212-016CT0003 → B212-016CT0004 → B212-996CT0021 → M0304 → D0304-L23 → M0303 → B261-007BC0012 → END</t>
  </si>
  <si>
    <t>22BFA51.HA003</t>
  </si>
  <si>
    <t>22MKC05GE001 -E01</t>
  </si>
  <si>
    <t>22BFA51.DA003</t>
  </si>
  <si>
    <t>22MKC10GP001 -E01</t>
  </si>
  <si>
    <t>B212-016CT0001 → B212-016CT0002 → B212-016CT0003 → B212-016CT0004 → B212-996CT0021 → M0304 → B261-007BC0012 → END</t>
  </si>
  <si>
    <t>22MKC30GE001 -E01</t>
  </si>
  <si>
    <t>B212-016DT0005 → B212-016DT0006 → B212-016DT0007 → B212-016DT0019 → B212-016DT0020 → END</t>
  </si>
  <si>
    <t>22BUA51.DA001</t>
  </si>
  <si>
    <t>22MPB10GW011 -E01</t>
  </si>
  <si>
    <t>22BFA51.DA004</t>
  </si>
  <si>
    <t>22MPB10GW023 -E01</t>
  </si>
  <si>
    <t>22BUA51.DA002</t>
  </si>
  <si>
    <t>22MPB13GW011 -E01</t>
  </si>
  <si>
    <t>B212-016DT0025 → B212-996DT0022 → M0305 → B261-006BC0021 → END</t>
  </si>
  <si>
    <t>22BFA51.DA005</t>
  </si>
  <si>
    <t>22MPB13GW023 -E01</t>
  </si>
  <si>
    <t>B212-016DT0025 → B212-996DT0022 → M0305 → B261-006BC0020 → END</t>
  </si>
  <si>
    <t>22BUA51.DA003</t>
  </si>
  <si>
    <t>22MPB16GW011 -E01</t>
  </si>
  <si>
    <t>22BFA51.DA006</t>
  </si>
  <si>
    <t>22MPB16GW023 -E01</t>
  </si>
  <si>
    <t>22BMA51.CB001</t>
  </si>
  <si>
    <t>22SAM33AN001 -M01</t>
  </si>
  <si>
    <t>22SAM33AN002 -M01</t>
  </si>
  <si>
    <t>GENERATOR SPACE HEATER</t>
    <phoneticPr fontId="3" type="noConversion"/>
  </si>
  <si>
    <t>GTG #11 HV-SIDE EXCN TFR</t>
    <phoneticPr fontId="3" type="noConversion"/>
  </si>
  <si>
    <t>1C x 240sqmm</t>
    <phoneticPr fontId="3" type="noConversion"/>
  </si>
  <si>
    <t>11CJT21</t>
    <phoneticPr fontId="3" type="noConversion"/>
  </si>
  <si>
    <t>GTG #11 SEE CABINET</t>
    <phoneticPr fontId="3" type="noConversion"/>
  </si>
  <si>
    <t>GT PKG</t>
  </si>
  <si>
    <t>B1-SWG-64301</t>
    <phoneticPr fontId="3" type="noConversion"/>
  </si>
  <si>
    <t>10KV SWITCHGEAR #1 FOR BLOCK #1</t>
    <phoneticPr fontId="3" type="noConversion"/>
  </si>
  <si>
    <t>3C x 4sqmm</t>
    <phoneticPr fontId="3" type="noConversion"/>
  </si>
  <si>
    <t>L1, N, PE</t>
    <phoneticPr fontId="3" type="noConversion"/>
  </si>
  <si>
    <t>11MKC1001</t>
    <phoneticPr fontId="3" type="noConversion"/>
  </si>
  <si>
    <t>11MKC1004</t>
  </si>
  <si>
    <t>11MKC1007</t>
  </si>
  <si>
    <t>11MKC1002</t>
  </si>
  <si>
    <t>11MKC1005</t>
  </si>
  <si>
    <t>11MKC1008</t>
  </si>
  <si>
    <t>11MKC1003</t>
  </si>
  <si>
    <t>11MKC1006</t>
  </si>
  <si>
    <t>11MKC1009</t>
  </si>
  <si>
    <t>11CJT91
(11MBJ01GS091 -E01)</t>
    <phoneticPr fontId="3" type="noConversion"/>
  </si>
  <si>
    <t>11CJT0001</t>
    <phoneticPr fontId="3" type="noConversion"/>
  </si>
  <si>
    <t>11CJT0004</t>
    <phoneticPr fontId="3" type="noConversion"/>
  </si>
  <si>
    <t>11CJT0007</t>
    <phoneticPr fontId="3" type="noConversion"/>
  </si>
  <si>
    <t>11CJT0002</t>
    <phoneticPr fontId="3" type="noConversion"/>
  </si>
  <si>
    <t>11CJT0005</t>
    <phoneticPr fontId="3" type="noConversion"/>
  </si>
  <si>
    <t>11CJT0008</t>
    <phoneticPr fontId="3" type="noConversion"/>
  </si>
  <si>
    <t>11CJT0003</t>
    <phoneticPr fontId="3" type="noConversion"/>
  </si>
  <si>
    <t>11CJT0006</t>
    <phoneticPr fontId="3" type="noConversion"/>
  </si>
  <si>
    <t>11CJT0009</t>
    <phoneticPr fontId="3" type="noConversion"/>
  </si>
  <si>
    <t>11CJT91</t>
    <phoneticPr fontId="3" type="noConversion"/>
  </si>
  <si>
    <t>GTG #11 SFC CABINET</t>
    <phoneticPr fontId="3" type="noConversion"/>
  </si>
  <si>
    <t>11MBJ0001</t>
    <phoneticPr fontId="3" type="noConversion"/>
  </si>
  <si>
    <t>11MBJ0004</t>
    <phoneticPr fontId="3" type="noConversion"/>
  </si>
  <si>
    <t>11MBJ0007</t>
    <phoneticPr fontId="3" type="noConversion"/>
  </si>
  <si>
    <t>11MBJ0002</t>
    <phoneticPr fontId="3" type="noConversion"/>
  </si>
  <si>
    <t>11MBJ0005</t>
    <phoneticPr fontId="3" type="noConversion"/>
  </si>
  <si>
    <t>11MBJ0008</t>
    <phoneticPr fontId="3" type="noConversion"/>
  </si>
  <si>
    <t>11MBJ0003</t>
    <phoneticPr fontId="3" type="noConversion"/>
  </si>
  <si>
    <t>11MBJ0006</t>
    <phoneticPr fontId="3" type="noConversion"/>
  </si>
  <si>
    <t>11MBJ0009</t>
    <phoneticPr fontId="3" type="noConversion"/>
  </si>
  <si>
    <t>DRUM
NO.</t>
    <phoneticPr fontId="3" type="noConversion"/>
  </si>
  <si>
    <t>PE-L1-3C4-01</t>
    <phoneticPr fontId="12" type="noConversion"/>
  </si>
  <si>
    <t>PE-L1-5C4-01</t>
    <phoneticPr fontId="12" type="noConversion"/>
  </si>
  <si>
    <t>PE-L1-2C6-02</t>
    <phoneticPr fontId="12" type="noConversion"/>
  </si>
  <si>
    <t>PE-L1-5C70/35-01</t>
    <phoneticPr fontId="12" type="noConversion"/>
  </si>
  <si>
    <t>PE-L1-3C4-03</t>
    <phoneticPr fontId="12" type="noConversion"/>
  </si>
  <si>
    <t>PE-L1-3C4-06</t>
    <phoneticPr fontId="12" type="noConversion"/>
  </si>
  <si>
    <t>PE-L1-3C4-02</t>
    <phoneticPr fontId="12" type="noConversion"/>
  </si>
  <si>
    <t>PE-L1-3C4-14</t>
    <phoneticPr fontId="12" type="noConversion"/>
  </si>
  <si>
    <t>PE-L1-3C4-07</t>
    <phoneticPr fontId="12" type="noConversion"/>
  </si>
  <si>
    <t>PE-L1-3C4-20</t>
    <phoneticPr fontId="12" type="noConversion"/>
  </si>
  <si>
    <t>PE-L1-3C4-12</t>
    <phoneticPr fontId="12" type="noConversion"/>
  </si>
  <si>
    <t>PE-L1-4C4-16</t>
    <phoneticPr fontId="12" type="noConversion"/>
  </si>
  <si>
    <t>PE-L1-2C10-01</t>
    <phoneticPr fontId="12" type="noConversion"/>
  </si>
  <si>
    <t>PE-L1-1C500-21</t>
    <phoneticPr fontId="12" type="noConversion"/>
  </si>
  <si>
    <t>LUBRICATING OIL PUMP 1</t>
    <phoneticPr fontId="3" type="noConversion"/>
  </si>
  <si>
    <t>EMERGENCY LUB-OIL-PP</t>
    <phoneticPr fontId="3" type="noConversion"/>
  </si>
  <si>
    <t>PE-L1-1C500-29</t>
    <phoneticPr fontId="12" type="noConversion"/>
  </si>
  <si>
    <t>PE-L1-3C50/25-01</t>
    <phoneticPr fontId="12" type="noConversion"/>
  </si>
  <si>
    <t>PE-L1-3C120/70-01</t>
    <phoneticPr fontId="12" type="noConversion"/>
  </si>
  <si>
    <t>PE-L1-4C4-02</t>
  </si>
  <si>
    <t>PE-L1-4C4-24</t>
    <phoneticPr fontId="12" type="noConversion"/>
  </si>
  <si>
    <t>PE-L1-5C150/95-03</t>
  </si>
  <si>
    <t>SERVICE WATER DISTRIBUTION PUMP MOTOR - B</t>
    <phoneticPr fontId="3" type="noConversion"/>
  </si>
  <si>
    <t>POTABLE WATER DISTRIBUTION PUMP MOTOR - A</t>
    <phoneticPr fontId="3" type="noConversion"/>
  </si>
  <si>
    <t>EL-SCKT JUNCT-BOX</t>
    <phoneticPr fontId="3" type="noConversion"/>
  </si>
  <si>
    <t>DRN-VLV 1 FU-OIL</t>
    <phoneticPr fontId="3" type="noConversion"/>
  </si>
  <si>
    <t>MXG-PP</t>
    <phoneticPr fontId="3" type="noConversion"/>
  </si>
  <si>
    <t>CLNG-AGT-PP</t>
    <phoneticPr fontId="3" type="noConversion"/>
  </si>
  <si>
    <t>ANTIFRZ-AGT-PP</t>
    <phoneticPr fontId="3" type="noConversion"/>
  </si>
  <si>
    <t>HYDRC-PP 1 HCO</t>
    <phoneticPr fontId="3" type="noConversion"/>
  </si>
  <si>
    <t>11MBJ01GT002 -E01</t>
    <phoneticPr fontId="3" type="noConversion"/>
  </si>
  <si>
    <t>MBJ 1AC AUX-VOLT SUP</t>
    <phoneticPr fontId="3" type="noConversion"/>
  </si>
  <si>
    <t>CABINET AIR INTAKE</t>
    <phoneticPr fontId="3" type="noConversion"/>
  </si>
  <si>
    <t>CAB AIR-INTK-FLP</t>
    <phoneticPr fontId="3" type="noConversion"/>
  </si>
  <si>
    <t>STANDSTL AIR DEHUMI</t>
    <phoneticPr fontId="3" type="noConversion"/>
  </si>
  <si>
    <t>CAB PULS-AIR</t>
    <phoneticPr fontId="3" type="noConversion"/>
  </si>
  <si>
    <t>CAB EVAP COOL</t>
    <phoneticPr fontId="3" type="noConversion"/>
  </si>
  <si>
    <t>IGNITION TRANSFORMERS</t>
    <phoneticPr fontId="3" type="noConversion"/>
  </si>
  <si>
    <t>RL-VLV FEED FU-OIL</t>
    <phoneticPr fontId="3" type="noConversion"/>
  </si>
  <si>
    <t>STOP-VLV FUEL OIL SUPPLY</t>
    <phoneticPr fontId="3" type="noConversion"/>
  </si>
  <si>
    <t>RL-VLV RETN DIFFU FU-OIL</t>
    <phoneticPr fontId="3" type="noConversion"/>
  </si>
  <si>
    <t>BLL-VLV ASSY LFT FU-OIL</t>
    <phoneticPr fontId="3" type="noConversion"/>
  </si>
  <si>
    <t>BYP-VLV LFT FU-OIL</t>
    <phoneticPr fontId="3" type="noConversion"/>
  </si>
  <si>
    <t>BLL-VLV ASSY RGHT FU-OIL</t>
    <phoneticPr fontId="3" type="noConversion"/>
  </si>
  <si>
    <t>BYP-VLV RGHT FU-OIL</t>
    <phoneticPr fontId="3" type="noConversion"/>
  </si>
  <si>
    <t>DRN-VLV FEED PREM FU-OIL</t>
    <phoneticPr fontId="3" type="noConversion"/>
  </si>
  <si>
    <t>BLL-VLV PREM LFT FU-OIL</t>
    <phoneticPr fontId="3" type="noConversion"/>
  </si>
  <si>
    <t>FIL-VLV PREM LFT FU-OIL</t>
    <phoneticPr fontId="3" type="noConversion"/>
  </si>
  <si>
    <t>BLL-VLV PREM RGHT FU-OIL</t>
    <phoneticPr fontId="3" type="noConversion"/>
  </si>
  <si>
    <t>FIL-VLV PREM RGHT FU-OIL</t>
    <phoneticPr fontId="3" type="noConversion"/>
  </si>
  <si>
    <t>LKG VLV PREM FU-OIL</t>
    <phoneticPr fontId="3" type="noConversion"/>
  </si>
  <si>
    <t>DRNG PP AUX-TNK 1 FU-OIL</t>
    <phoneticPr fontId="3" type="noConversion"/>
  </si>
  <si>
    <t>PP FLUSH-WTR FU-OIL</t>
    <phoneticPr fontId="3" type="noConversion"/>
  </si>
  <si>
    <t>FLUSHING WATER VALVE 1</t>
    <phoneticPr fontId="3" type="noConversion"/>
  </si>
  <si>
    <t>FLUSHING WATER VALVE 2</t>
    <phoneticPr fontId="3" type="noConversion"/>
  </si>
  <si>
    <t>VENT-VLV MN SUP NAT-GAS</t>
    <phoneticPr fontId="3" type="noConversion"/>
  </si>
  <si>
    <t>SOL-VLV VENTG NAT-GAS</t>
    <phoneticPr fontId="3" type="noConversion"/>
  </si>
  <si>
    <t>VENT-VLV CLD SUP NAT-GAS</t>
    <phoneticPr fontId="3" type="noConversion"/>
  </si>
  <si>
    <t>SO-VLV LFT DIFFU NAT-GAS</t>
    <phoneticPr fontId="3" type="noConversion"/>
  </si>
  <si>
    <t>SO-VLV LFT PILOT NAT-GAS</t>
    <phoneticPr fontId="3" type="noConversion"/>
  </si>
  <si>
    <t>SO-VLV RGHT PREM NAT-GAS</t>
    <phoneticPr fontId="3" type="noConversion"/>
  </si>
  <si>
    <t>SO-VLV RGHT PILOT NAT-GAS</t>
    <phoneticPr fontId="3" type="noConversion"/>
  </si>
  <si>
    <t>SOL-VLV 1 IGN-GAS</t>
    <phoneticPr fontId="3" type="noConversion"/>
  </si>
  <si>
    <t>LIFTING OIL PUMP 1</t>
    <phoneticPr fontId="3" type="noConversion"/>
  </si>
  <si>
    <t>OIL-VAP-EXTR1 LUB-OIL-TNK</t>
    <phoneticPr fontId="3" type="noConversion"/>
  </si>
  <si>
    <t>TNK HTG 1 HYDRC OIL</t>
    <phoneticPr fontId="3" type="noConversion"/>
  </si>
  <si>
    <t>MN PP 1 HYDRC OIL</t>
    <phoneticPr fontId="3" type="noConversion"/>
  </si>
  <si>
    <t>FAN COOL-CCT HYDRC OIL</t>
    <phoneticPr fontId="3" type="noConversion"/>
  </si>
  <si>
    <t>JUNCT BOX HTG LUB-OIL TNK</t>
    <phoneticPr fontId="3" type="noConversion"/>
  </si>
  <si>
    <t>JB INSTR AIR SYST</t>
    <phoneticPr fontId="3" type="noConversion"/>
  </si>
  <si>
    <t>TRACE HEATING CABINET</t>
    <phoneticPr fontId="3" type="noConversion"/>
  </si>
  <si>
    <t>GT PKG</t>
    <phoneticPr fontId="3" type="noConversion"/>
  </si>
  <si>
    <t>PE-L1-5C4-01</t>
    <phoneticPr fontId="3" type="noConversion"/>
  </si>
  <si>
    <t>4C x 4sqmm</t>
    <phoneticPr fontId="3" type="noConversion"/>
  </si>
  <si>
    <t>GTG #11 LV-SIDE EXCN TFR</t>
    <phoneticPr fontId="3" type="noConversion"/>
  </si>
  <si>
    <t>GTG #12 LV-SIDE EXCN TFR</t>
    <phoneticPr fontId="3" type="noConversion"/>
  </si>
  <si>
    <t>12CJT21</t>
  </si>
  <si>
    <t>12CJT21</t>
    <phoneticPr fontId="3" type="noConversion"/>
  </si>
  <si>
    <t>GTG #12 SEE CABINET</t>
  </si>
  <si>
    <t>GTG #12 SEE CABINET</t>
    <phoneticPr fontId="3" type="noConversion"/>
  </si>
  <si>
    <t>12MKC1001</t>
  </si>
  <si>
    <t>12MKC1004</t>
  </si>
  <si>
    <t>12MKC1007</t>
  </si>
  <si>
    <t>12MKC1002</t>
  </si>
  <si>
    <t>12MKC1005</t>
  </si>
  <si>
    <t>12MKC1008</t>
  </si>
  <si>
    <t>12MKC1003</t>
  </si>
  <si>
    <t>12MKC1006</t>
  </si>
  <si>
    <t>12MKC1009</t>
  </si>
  <si>
    <t>MKC 1AC AUX-VOLT SUP</t>
    <phoneticPr fontId="3" type="noConversion"/>
  </si>
  <si>
    <t>PE-L1-3C4-01</t>
    <phoneticPr fontId="3" type="noConversion"/>
  </si>
  <si>
    <t>TERBO POW-SUP SLRNGRM-VEN</t>
    <phoneticPr fontId="3" type="noConversion"/>
  </si>
  <si>
    <t>LIGHTING EXCITER HOUSING</t>
    <phoneticPr fontId="3" type="noConversion"/>
  </si>
  <si>
    <t>GEN EXCN BRSH</t>
    <phoneticPr fontId="3" type="noConversion"/>
  </si>
  <si>
    <t>1.1_MAIN BUILDING COMPLEX / GT #11</t>
    <phoneticPr fontId="3" type="noConversion"/>
  </si>
  <si>
    <t>11CJT1001</t>
    <phoneticPr fontId="3" type="noConversion"/>
  </si>
  <si>
    <t>11CJT1002</t>
    <phoneticPr fontId="3" type="noConversion"/>
  </si>
  <si>
    <t>11CJT1003</t>
    <phoneticPr fontId="3" type="noConversion"/>
  </si>
  <si>
    <t>11CJT1004</t>
    <phoneticPr fontId="3" type="noConversion"/>
  </si>
  <si>
    <t>L+</t>
    <phoneticPr fontId="3" type="noConversion"/>
  </si>
  <si>
    <t>L-</t>
    <phoneticPr fontId="3" type="noConversion"/>
  </si>
  <si>
    <t>11CJT1005</t>
    <phoneticPr fontId="3" type="noConversion"/>
  </si>
  <si>
    <t>11CJT1006</t>
    <phoneticPr fontId="3" type="noConversion"/>
  </si>
  <si>
    <t>1C x 240sqmm</t>
    <phoneticPr fontId="3" type="noConversion"/>
  </si>
  <si>
    <t>PE-L1-1C240-01</t>
    <phoneticPr fontId="12" type="noConversion"/>
  </si>
  <si>
    <t>11CJT1007</t>
    <phoneticPr fontId="3" type="noConversion"/>
  </si>
  <si>
    <t>1.1_MAIN BUILDING COMPLEX / PCC #12(UBA3310)</t>
  </si>
  <si>
    <t>12CJT1008</t>
  </si>
  <si>
    <t>12CJT1001</t>
  </si>
  <si>
    <t>12CJT1002</t>
  </si>
  <si>
    <t>12CJT1003</t>
  </si>
  <si>
    <t>12CJT1004</t>
  </si>
  <si>
    <t>12CJT1005</t>
  </si>
  <si>
    <t>12CJT1006</t>
  </si>
  <si>
    <t>12CJT1007</t>
  </si>
  <si>
    <t>GTG #11 SEE CABINET</t>
    <phoneticPr fontId="3" type="noConversion"/>
  </si>
  <si>
    <t>GAS-TURB ENCL EMERG LITG</t>
    <phoneticPr fontId="3" type="noConversion"/>
  </si>
  <si>
    <t>11BUA51.DA001</t>
    <phoneticPr fontId="3" type="noConversion"/>
  </si>
  <si>
    <t>GTG #12 SEE CABINET</t>
    <phoneticPr fontId="3" type="noConversion"/>
  </si>
  <si>
    <t>GTG #12 220V DC SWITCHGEAR</t>
    <phoneticPr fontId="3" type="noConversion"/>
  </si>
  <si>
    <t>GTG #21 220V DC SWITCHGEAR</t>
    <phoneticPr fontId="3" type="noConversion"/>
  </si>
  <si>
    <t>GAS-TURB ENCL LITG</t>
    <phoneticPr fontId="3" type="noConversion"/>
  </si>
  <si>
    <t>FGS ENCL EMERG LITG</t>
    <phoneticPr fontId="3" type="noConversion"/>
  </si>
  <si>
    <t>FGS ENCL LITG</t>
    <phoneticPr fontId="3" type="noConversion"/>
  </si>
  <si>
    <t>IMS + GEN ENCL EMERG LITG</t>
    <phoneticPr fontId="3" type="noConversion"/>
  </si>
  <si>
    <t>PE-L1-2C4-01</t>
    <phoneticPr fontId="3" type="noConversion"/>
  </si>
  <si>
    <t>IMS + GEN ENCL LITG</t>
    <phoneticPr fontId="3" type="noConversion"/>
  </si>
  <si>
    <t>EXH-AIR FAN FU-GAS ENCL</t>
    <phoneticPr fontId="3" type="noConversion"/>
  </si>
  <si>
    <t>PE-L1-4C4-01</t>
    <phoneticPr fontId="3" type="noConversion"/>
  </si>
  <si>
    <t>GEN NEUT GND CAB</t>
    <phoneticPr fontId="3" type="noConversion"/>
  </si>
  <si>
    <t>PE-L1-5C4-02</t>
    <phoneticPr fontId="3" type="noConversion"/>
  </si>
  <si>
    <t>2C x 4sqmm</t>
    <phoneticPr fontId="3" type="noConversion"/>
  </si>
  <si>
    <t>PE-L1-3C4-18</t>
    <phoneticPr fontId="3" type="noConversion"/>
  </si>
  <si>
    <t>GT#1-1-11BAB11GW023 -E01</t>
    <phoneticPr fontId="3" type="noConversion"/>
  </si>
  <si>
    <t>4C x 25sqmm + 1C X 16sqmm</t>
    <phoneticPr fontId="3" type="noConversion"/>
  </si>
  <si>
    <t>GT#1-2</t>
    <phoneticPr fontId="3" type="noConversion"/>
  </si>
  <si>
    <t>GT#2-2</t>
    <phoneticPr fontId="3" type="noConversion"/>
  </si>
  <si>
    <t>GT#2-1</t>
    <phoneticPr fontId="3" type="noConversion"/>
  </si>
  <si>
    <t>B161-013BC0001 → B161-003BC0007 → M0325 → D0320-M11 → M0326 → D0329-M11 → M0327 → B111-993AT0022 → B111-013AT0001 → END</t>
  </si>
  <si>
    <t>B161-003BC0003 → M0326 → B111-993AT0021 → B111-013AT0004 → B111-013AT0005 → END</t>
  </si>
  <si>
    <t>B161-007BC0013 → M0325 → D0320-L27 → M0326 → B111-996AT0021 → B111-016AT0004 → B111-016AT0005 → END</t>
  </si>
  <si>
    <t>PE-M3-1C240-01</t>
    <phoneticPr fontId="12" type="noConversion"/>
  </si>
  <si>
    <t>PE-M3-1C240-02</t>
    <phoneticPr fontId="12" type="noConversion"/>
  </si>
  <si>
    <t>PE-L1-2C4-04</t>
    <phoneticPr fontId="3" type="noConversion"/>
  </si>
  <si>
    <t>DRN-VLV 2 FU-OIL</t>
    <phoneticPr fontId="3" type="noConversion"/>
  </si>
  <si>
    <t>PE-L1-3C4-22</t>
    <phoneticPr fontId="3" type="noConversion"/>
  </si>
  <si>
    <t>DRN-VLV 3 FU-OIL</t>
    <phoneticPr fontId="3" type="noConversion"/>
  </si>
  <si>
    <t>PE-L1-2C4-07</t>
    <phoneticPr fontId="3" type="noConversion"/>
  </si>
  <si>
    <t>PE-L1-4C4-24</t>
    <phoneticPr fontId="3" type="noConversion"/>
  </si>
  <si>
    <t>PE-L1-4C4-02</t>
    <phoneticPr fontId="3" type="noConversion"/>
  </si>
  <si>
    <t>12BFA51.DA001</t>
    <phoneticPr fontId="3" type="noConversion"/>
  </si>
  <si>
    <t>21BFA51.DA001</t>
    <phoneticPr fontId="3" type="noConversion"/>
  </si>
  <si>
    <t>21BUA51.DA003</t>
    <phoneticPr fontId="3" type="noConversion"/>
  </si>
  <si>
    <t>21BUA01.EA001</t>
    <phoneticPr fontId="3" type="noConversion"/>
  </si>
  <si>
    <t>EMERGENCY LUB-OIL-PP</t>
    <phoneticPr fontId="3" type="noConversion"/>
  </si>
  <si>
    <t>11BUA51.RA001</t>
    <phoneticPr fontId="3" type="noConversion"/>
  </si>
  <si>
    <t>11BUA01.EA001</t>
    <phoneticPr fontId="3" type="noConversion"/>
  </si>
  <si>
    <t>12BUA01.EA001</t>
    <phoneticPr fontId="3" type="noConversion"/>
  </si>
  <si>
    <t>PE-L1-2C4-08</t>
    <phoneticPr fontId="3" type="noConversion"/>
  </si>
  <si>
    <t>11BMA51.CB001</t>
    <phoneticPr fontId="3" type="noConversion"/>
  </si>
  <si>
    <t>12BMA52.PB001</t>
    <phoneticPr fontId="3" type="noConversion"/>
  </si>
  <si>
    <t>21BUB01.EA001</t>
    <phoneticPr fontId="3" type="noConversion"/>
  </si>
  <si>
    <t>22BUB01.EA001</t>
    <phoneticPr fontId="3" type="noConversion"/>
  </si>
  <si>
    <t>PE-L1-3C4-17</t>
    <phoneticPr fontId="3" type="noConversion"/>
  </si>
  <si>
    <t>12CJT91
(12MBJ01GS091 -E01)</t>
    <phoneticPr fontId="3" type="noConversion"/>
  </si>
  <si>
    <t>BLOCK #1 GENERATOR CIRCUIT BREAKER FOR GT#2</t>
    <phoneticPr fontId="3" type="noConversion"/>
  </si>
  <si>
    <t>B161-013DC0001 → B161-003DC0007 → M0321 → D0318-M11 → M0322 → B111-993BT0021 → B111-013BT0004 → B111-013BT0003 → B111-013BT0002 → B111-013BT0001 → END</t>
  </si>
  <si>
    <t>B161-013DC0002 → B161-003DC0008 → M0321 → D0318-M12 → M0322 → B111-993BT0021 → B111-013BT0004 → B111-013BT0003 → B111-013BT0002 → B111-013BT0001 → END</t>
  </si>
  <si>
    <t>B161-013DC0003 → B161-003DC0009 → M0321 → D0318-M13 → M0322 → B111-993BT0021 → B111-013BT0004 → B111-013BT0003 → B111-013BT0002 → B111-013BT0001 → END</t>
  </si>
  <si>
    <t>21CJT91
(21MBJ01GS091 -E01)</t>
    <phoneticPr fontId="3" type="noConversion"/>
  </si>
  <si>
    <t>BLOCK #2 GENERATOR CIRCUIT BREAKER FOR GT#1</t>
    <phoneticPr fontId="3" type="noConversion"/>
  </si>
  <si>
    <t>1.1_MAIN BUILDING COMPLEX / GT #21</t>
    <phoneticPr fontId="3" type="noConversion"/>
  </si>
  <si>
    <t>22CJT91
(22MBJ01GS091 -E01)</t>
    <phoneticPr fontId="3" type="noConversion"/>
  </si>
  <si>
    <t>BLOCK #2 GENERATOR CIRCUIT BREAKER FOR GT#2</t>
    <phoneticPr fontId="3" type="noConversion"/>
  </si>
  <si>
    <t>1.1_MAIN BUILDING COMPLEX / GT #22</t>
    <phoneticPr fontId="3" type="noConversion"/>
  </si>
  <si>
    <t>12MBJ0009</t>
    <phoneticPr fontId="3" type="noConversion"/>
  </si>
  <si>
    <t>12MBJ01GT002 -E01</t>
    <phoneticPr fontId="3" type="noConversion"/>
  </si>
  <si>
    <t>1.1_MAIN BUILDING COMPLEX / GT #12</t>
    <phoneticPr fontId="3" type="noConversion"/>
  </si>
  <si>
    <t>12CJT91</t>
    <phoneticPr fontId="3" type="noConversion"/>
  </si>
  <si>
    <t>GTG #12 SFC CABINET</t>
    <phoneticPr fontId="3" type="noConversion"/>
  </si>
  <si>
    <t>B161-003DC0003 → M0322 → B111-993BT0021 → B111-013BT0004 → B111-013BT0003 → END</t>
  </si>
  <si>
    <t>B161-003DC0004 → M0322 → B111-993BT0021 → B111-013BT0004 → B111-013BT0003 → END</t>
  </si>
  <si>
    <t>B161-003DC0005 → M0322 → B111-993BT0021 → B111-013BT0004 → B111-013BT0003 → END</t>
  </si>
  <si>
    <t>21MBJ0009</t>
    <phoneticPr fontId="3" type="noConversion"/>
  </si>
  <si>
    <t>21MBJ01GT002 -E01</t>
    <phoneticPr fontId="3" type="noConversion"/>
  </si>
  <si>
    <t>21CJT91</t>
    <phoneticPr fontId="3" type="noConversion"/>
  </si>
  <si>
    <t>GTG #21 SFC CABINET</t>
    <phoneticPr fontId="3" type="noConversion"/>
  </si>
  <si>
    <t>22MBJ0009</t>
    <phoneticPr fontId="3" type="noConversion"/>
  </si>
  <si>
    <t>22MBJ01GT002 -E01</t>
    <phoneticPr fontId="3" type="noConversion"/>
  </si>
  <si>
    <t>22CJT91</t>
    <phoneticPr fontId="3" type="noConversion"/>
  </si>
  <si>
    <t>GTG #22 SFC CABINET</t>
    <phoneticPr fontId="3" type="noConversion"/>
  </si>
  <si>
    <t>12BFA52.DA001</t>
  </si>
  <si>
    <t>B161-007DC0013 → M0321 → D0318-L23 → M0322 → B111-996DT0021 → B111-016DT0004 → B111-016DT0003 → END</t>
  </si>
  <si>
    <t>B161-007DC0014 → M0321 → D0318-L23 → M0322 → B111-996DT0021 → B111-016DT0004 → B111-016DT0003 → END</t>
  </si>
  <si>
    <t>B161-007DC0015 → M0321 → D0318-L22 → M0322 → B111-996DT0021 → B111-016DT0004 → B111-016DT0003 → END</t>
  </si>
  <si>
    <t>21MKC1001</t>
    <phoneticPr fontId="3" type="noConversion"/>
  </si>
  <si>
    <t>21MKC1004</t>
    <phoneticPr fontId="3" type="noConversion"/>
  </si>
  <si>
    <t>21MKC1007</t>
    <phoneticPr fontId="3" type="noConversion"/>
  </si>
  <si>
    <t>21MKC1002</t>
    <phoneticPr fontId="3" type="noConversion"/>
  </si>
  <si>
    <t>21MKC1005</t>
    <phoneticPr fontId="3" type="noConversion"/>
  </si>
  <si>
    <t>21MKC1008</t>
    <phoneticPr fontId="3" type="noConversion"/>
  </si>
  <si>
    <t>21MKC1003</t>
    <phoneticPr fontId="3" type="noConversion"/>
  </si>
  <si>
    <t>21MKC1006</t>
    <phoneticPr fontId="3" type="noConversion"/>
  </si>
  <si>
    <t>21MKC1009</t>
    <phoneticPr fontId="3" type="noConversion"/>
  </si>
  <si>
    <t>22MKC1001</t>
    <phoneticPr fontId="3" type="noConversion"/>
  </si>
  <si>
    <t>22MKC1004</t>
    <phoneticPr fontId="3" type="noConversion"/>
  </si>
  <si>
    <t>22MKC1007</t>
    <phoneticPr fontId="3" type="noConversion"/>
  </si>
  <si>
    <t>22MKC1002</t>
    <phoneticPr fontId="3" type="noConversion"/>
  </si>
  <si>
    <t>22MKC1005</t>
    <phoneticPr fontId="3" type="noConversion"/>
  </si>
  <si>
    <t>22MKC1008</t>
    <phoneticPr fontId="3" type="noConversion"/>
  </si>
  <si>
    <t>22MKC1003</t>
    <phoneticPr fontId="3" type="noConversion"/>
  </si>
  <si>
    <t>22MKC1006</t>
    <phoneticPr fontId="3" type="noConversion"/>
  </si>
  <si>
    <t>22MKC1009</t>
    <phoneticPr fontId="3" type="noConversion"/>
  </si>
  <si>
    <t>GTG #21 LV-SIDE EXCN TFR</t>
    <phoneticPr fontId="3" type="noConversion"/>
  </si>
  <si>
    <t>21MKC01GT002 -E01</t>
    <phoneticPr fontId="3" type="noConversion"/>
  </si>
  <si>
    <t>22MKC01GT002 -E01</t>
    <phoneticPr fontId="3" type="noConversion"/>
  </si>
  <si>
    <t>GTG #22 LV-SIDE EXCN TFR</t>
    <phoneticPr fontId="3" type="noConversion"/>
  </si>
  <si>
    <t>21CJT21</t>
    <phoneticPr fontId="3" type="noConversion"/>
  </si>
  <si>
    <t>22CJT21</t>
    <phoneticPr fontId="3" type="noConversion"/>
  </si>
  <si>
    <t>GTG #21 SEE CABINET</t>
    <phoneticPr fontId="3" type="noConversion"/>
  </si>
  <si>
    <t>GTG #22 SEE CABINET</t>
    <phoneticPr fontId="3" type="noConversion"/>
  </si>
  <si>
    <t>21CJT1001</t>
    <phoneticPr fontId="3" type="noConversion"/>
  </si>
  <si>
    <t>21CJT1002</t>
    <phoneticPr fontId="3" type="noConversion"/>
  </si>
  <si>
    <t>21CJT1003</t>
    <phoneticPr fontId="3" type="noConversion"/>
  </si>
  <si>
    <t>21CJT1004</t>
    <phoneticPr fontId="3" type="noConversion"/>
  </si>
  <si>
    <t>21CJT1005</t>
    <phoneticPr fontId="3" type="noConversion"/>
  </si>
  <si>
    <t>21CJT1006</t>
    <phoneticPr fontId="3" type="noConversion"/>
  </si>
  <si>
    <t>11CJT1008</t>
    <phoneticPr fontId="3" type="noConversion"/>
  </si>
  <si>
    <t>21CJT1007</t>
    <phoneticPr fontId="3" type="noConversion"/>
  </si>
  <si>
    <t>21CJT1008</t>
    <phoneticPr fontId="3" type="noConversion"/>
  </si>
  <si>
    <t>22CJT1001</t>
  </si>
  <si>
    <t>22CJT1002</t>
  </si>
  <si>
    <t>22CJT1003</t>
  </si>
  <si>
    <t>22CJT1004</t>
  </si>
  <si>
    <t>22CJT1005</t>
  </si>
  <si>
    <t>22CJT1006</t>
  </si>
  <si>
    <t>22CJT1007</t>
  </si>
  <si>
    <t>22CJT1008</t>
  </si>
  <si>
    <t>12CJT0001</t>
  </si>
  <si>
    <t>12CJT0004</t>
  </si>
  <si>
    <t>12CJT0007</t>
  </si>
  <si>
    <t>12CJT0002</t>
  </si>
  <si>
    <t>12CJT0005</t>
  </si>
  <si>
    <t>12CJT0008</t>
  </si>
  <si>
    <t>12CJT0003</t>
  </si>
  <si>
    <t>12CJT0006</t>
  </si>
  <si>
    <t>12CJT0009</t>
  </si>
  <si>
    <t>21CJT0001</t>
  </si>
  <si>
    <t>21CJT0004</t>
  </si>
  <si>
    <t>21CJT0007</t>
  </si>
  <si>
    <t>21CJT0002</t>
  </si>
  <si>
    <t>21CJT0005</t>
  </si>
  <si>
    <t>21CJT0008</t>
  </si>
  <si>
    <t>21CJT0003</t>
  </si>
  <si>
    <t>21CJT0006</t>
  </si>
  <si>
    <t>21CJT0009</t>
  </si>
  <si>
    <t>22CJT0001</t>
  </si>
  <si>
    <t>22CJT0004</t>
  </si>
  <si>
    <t>22CJT0007</t>
  </si>
  <si>
    <t>22CJT0002</t>
  </si>
  <si>
    <t>22CJT0005</t>
  </si>
  <si>
    <t>22CJT0008</t>
  </si>
  <si>
    <t>22CJT0003</t>
  </si>
  <si>
    <t>22CJT0006</t>
  </si>
  <si>
    <t>22CJT0009</t>
  </si>
  <si>
    <t>PE-L1-4C4-23</t>
    <phoneticPr fontId="12" type="noConversion"/>
  </si>
  <si>
    <t>PE-L1-4C4-01</t>
    <phoneticPr fontId="3" type="noConversion"/>
  </si>
  <si>
    <t>PE-L1-4C4-23</t>
    <phoneticPr fontId="3" type="noConversion"/>
  </si>
  <si>
    <t>BLOCK #1 GENERATOR CIRCUIT BREAKER FOR GT#1</t>
    <phoneticPr fontId="3" type="noConversion"/>
  </si>
  <si>
    <t>PE-M3-1C240-03</t>
    <phoneticPr fontId="12" type="noConversion"/>
  </si>
  <si>
    <t>PE-M3-1C240-04</t>
    <phoneticPr fontId="12" type="noConversion"/>
  </si>
  <si>
    <t>PE-M3-1C240-05</t>
    <phoneticPr fontId="12" type="noConversion"/>
  </si>
  <si>
    <t>PE-L1-5C6-02</t>
    <phoneticPr fontId="3" type="noConversion"/>
  </si>
  <si>
    <t>PE-L1-5C25/16-04</t>
    <phoneticPr fontId="12" type="noConversion"/>
  </si>
  <si>
    <t>PE-L1-5C25/16-02</t>
    <phoneticPr fontId="3" type="noConversion"/>
  </si>
  <si>
    <t>PE-L1-5C6-02</t>
    <phoneticPr fontId="12" type="noConversion"/>
  </si>
  <si>
    <t>5C x 6sqmm</t>
    <phoneticPr fontId="3" type="noConversion"/>
  </si>
  <si>
    <t>PE-L1-2C25-01</t>
    <phoneticPr fontId="3" type="noConversion"/>
  </si>
  <si>
    <t>PE-L1-3C4-22</t>
    <phoneticPr fontId="3" type="noConversion"/>
  </si>
  <si>
    <t>PE-L1-3C4-23</t>
    <phoneticPr fontId="3" type="noConversion"/>
  </si>
  <si>
    <t>PE-L1-3C4-24</t>
    <phoneticPr fontId="3" type="noConversion"/>
  </si>
  <si>
    <t>PE-L1-4C50/25-03</t>
    <phoneticPr fontId="3" type="noConversion"/>
  </si>
  <si>
    <t>PE-L1-3C4-23</t>
    <phoneticPr fontId="3" type="noConversion"/>
  </si>
  <si>
    <t>PE-L1-3C4-24</t>
    <phoneticPr fontId="3" type="noConversion"/>
  </si>
  <si>
    <t>PE-L1-2C4-02</t>
    <phoneticPr fontId="3" type="noConversion"/>
  </si>
  <si>
    <t>PE-L1-4C6-02</t>
    <phoneticPr fontId="3" type="noConversion"/>
  </si>
  <si>
    <t>PE-L1-2C4-08</t>
    <phoneticPr fontId="3" type="noConversion"/>
  </si>
  <si>
    <t>GT PKG</t>
    <phoneticPr fontId="3" type="noConversion"/>
  </si>
  <si>
    <t>SO-VLV LFT PREM NAT-GAS</t>
    <phoneticPr fontId="3" type="noConversion"/>
  </si>
  <si>
    <t>SO-VLV RGHT DIFFU NAT-GAS</t>
    <phoneticPr fontId="3" type="noConversion"/>
  </si>
  <si>
    <t>PE-L1-3C4-15</t>
    <phoneticPr fontId="3" type="noConversion"/>
  </si>
  <si>
    <t>EMERGENCY LUB-OIL-PP</t>
    <phoneticPr fontId="3" type="noConversion"/>
  </si>
  <si>
    <t>IMS + GEN ENCL EMERG LITG</t>
    <phoneticPr fontId="3" type="noConversion"/>
  </si>
  <si>
    <t>PE-L1-4C35/25-02</t>
    <phoneticPr fontId="3" type="noConversion"/>
  </si>
  <si>
    <t>OIL-VAP-EXTR2 LUB-OIL-TNK</t>
    <phoneticPr fontId="3" type="noConversion"/>
  </si>
  <si>
    <t>PE-L1-4C4-01</t>
    <phoneticPr fontId="12" type="noConversion"/>
  </si>
  <si>
    <t>PE-L1-4C4-23</t>
    <phoneticPr fontId="3" type="noConversion"/>
  </si>
  <si>
    <t>4C X 16sqmm</t>
    <phoneticPr fontId="3" type="noConversion"/>
  </si>
  <si>
    <t>PE-L1-4C16-02</t>
    <phoneticPr fontId="3" type="noConversion"/>
  </si>
  <si>
    <t>HRSG #22 FW RECIRCULATION PUMP A - MOTOR</t>
    <phoneticPr fontId="3" type="noConversion"/>
  </si>
  <si>
    <t>PE-L1-1C240-02</t>
    <phoneticPr fontId="3" type="noConversion"/>
  </si>
  <si>
    <t>PE-L1-1C240-03</t>
    <phoneticPr fontId="3" type="noConversion"/>
  </si>
  <si>
    <t>PE-L1-1C240-01</t>
    <phoneticPr fontId="3" type="noConversion"/>
  </si>
  <si>
    <t>PE-L1-1C240-03</t>
    <phoneticPr fontId="12" type="noConversion"/>
  </si>
  <si>
    <t>B111-016CT0001 → B111-016CT0010 → B111-016CT0009 → B111-016CT0015 → B111-016CT0016 → END</t>
    <phoneticPr fontId="3" type="noConversion"/>
  </si>
  <si>
    <t>IMS + GEN ENCL LITG</t>
    <phoneticPr fontId="3" type="noConversion"/>
  </si>
  <si>
    <t>N</t>
    <phoneticPr fontId="3" type="noConversion"/>
  </si>
  <si>
    <t>PE-L1-4C70/35-05</t>
    <phoneticPr fontId="3" type="noConversion"/>
  </si>
  <si>
    <t>PE-L1-4C70/35-06</t>
    <phoneticPr fontId="3" type="noConversion"/>
  </si>
  <si>
    <t>PE-L1-4C4-24</t>
    <phoneticPr fontId="3" type="noConversion"/>
  </si>
  <si>
    <t>PE-L1-3C4-25</t>
    <phoneticPr fontId="3" type="noConversion"/>
  </si>
  <si>
    <t>BLL-VLV ASSY RGHT FU-OIL</t>
    <phoneticPr fontId="3" type="noConversion"/>
  </si>
  <si>
    <t>PP FLUSH-WTR FU-OIL</t>
    <phoneticPr fontId="3" type="noConversion"/>
  </si>
  <si>
    <t>PSP/INTEGRA TRAY → B025-013LT0129 → B025-013LT0072 → B025-013LT0071 → B025-013LT0070 → B025-013LT0090 → B164-013ET0285 → B164-013ET0284 → B164-013ET0283 → B164-013ET0077 → B164-013ET0280 → B164-013ET0066 → END</t>
  </si>
  <si>
    <t>PSP/INTEGRA TRAY → B025-013MT0073 → B025-013MT0072 → B025-013MT0071 → B025-013MT0070 → B025-013MT0090 → B164-013DT0285 → B164-013DT0284 → B164-013DT0283 → B164-013DT0282 → END</t>
  </si>
  <si>
    <t>PSP/INTEGRA TRAY → B025-013KT0075 → B025-013KT0096 → B025-013KT0095 → B025-013KT0094 → B025-013KT0092 → B025-013KT0091 → B164-013CT0288 → B164-013CT0287 → B164-013CT0286 → B164-013CT0084 → END</t>
  </si>
  <si>
    <t>PSP/INTEGRA TRAY → B025-013JT0130 → B025-013JT0096 → B025-013JT0095 → B025-013JT0094 → B025-013JT0092 → B025-013JT0091 → B164-013BT0288 → B164-013BT0287 → B164-013BT0286 → B164-013BT0085 → END</t>
  </si>
  <si>
    <t>PSP/INTEGRA TRAY → B025-013NT0131 → B025-013NT0102 → B025-013NT0103 → B025-013NT0104 → B025-013NT0105 → B025-013NT0107 → B025-013NT0108 → B264-013GT0214 → B264-013GT0052 → B264-013GT0251 → B264-013GT0201 → B264-013GT0250 → B264-013GT0001 → B264-013GT0002 → B264-013GT0003 → B264-013GT0004 → END</t>
  </si>
  <si>
    <t>PSP/INTEGRA TRAY → B025-013PT0081 → B025-013PT0102 → B025-013PT0103 → B025-013PT0104 → B025-013PT0105 → B025-013PT0107 → B025-013PT0108 → B264-013HT0214 → B264-013HT0052 → B264-013HT0251 → B264-013HT0201 → B264-013HT0250 → B264-013HT0001 → B264-013HT0002 → B264-013HT0003 → B264-013HT0004 → END</t>
  </si>
  <si>
    <t>PSP/INTEGRA TRAY → B025-013QT0132 → B025-013QT0085 → B025-013QT0086 → B025-013QT0087 → B025-013QT0088 → B264-013ET0217 → B264-013ET0051 → B264-013ET0202 → B264-013ET0016 → B264-013ET0017 → B264-013ET0018 → END</t>
  </si>
  <si>
    <t>PSP/INTEGRA TRAY → B025-013RT0084 → B025-013RT0085 → B025-013RT0086 → B025-013RT0087 → B025-013RT0088 → B264-013FT0217 → B264-013FT0051 → B264-013FT0202 → B264-013FT0016 → B264-013FT0017 → B264-013FT0018 → B264-013FT0019 → END</t>
  </si>
  <si>
    <t>PSP/INTEGRA TRAY → M0524 → D0507-M11 → M0509 → B064-993DT0025 → B064-013DT0302 → B064-013DT0301 → B064-013DT0061 → END</t>
  </si>
  <si>
    <t>PSP/INTEGRA TRAY → M0524 → D0507-M12 → M0509 → B064-993DT0025 → B064-013DT0302 → B064-013DT0301 → B064-013DT0061 → END</t>
  </si>
  <si>
    <t>PSP/INTEGRA TRAY → M0524 → D0507-M13 → M0509 → B064-993DT0025 → B064-013DT0302 → B064-013DT0301 → B064-013DT0061 → END</t>
  </si>
  <si>
    <t>PSP/INTEGRA TRAY → M0524 → D0507-M21 → M0509 → B064-993ET0026 → B064-013ET0304 → B064-013ET0088 → END</t>
  </si>
  <si>
    <t>PSP/INTEGRA TRAY → M0524 → D0507-M22 → M0509 → B064-993ET0026 → B064-013ET0304 → B064-013ET0088 → END</t>
  </si>
  <si>
    <t>PSP/INTEGRA TRAY → M0524 → D0507-M23 → M0509 → B064-993ET0026 → B064-013ET0304 → B064-013ET0088 → END</t>
  </si>
  <si>
    <t>M0417 → D0413-M11 → M0416 → D0412-M11 → M0415 → D0411-M11 → M0414 → D0419-M14 → M0421 → D0418-M11 → M0422 → D0415-M11 → M0420 → D0416-M11 → M0423 → D0420-M13 → M0425 → D0527-M15 → M0519 → D0516-M15 → M0518 → D0515-M15 → M0517 → D0523-M15 → M0516 → D0514-M11 → M0520 → PSP/INTEGRA TRAY</t>
  </si>
  <si>
    <t>M0417 → D0413-M12 → M0416 → D0412-M12 → M0415 → D0411-M12 → M0414 → D0419-M13 → M0421 → D0418-M12 → M0422 → D0415-M12 → M0420 → D0416-M12 → M0423 → D0420-M14 → M0425 → D0527-M14 → M0519 → D0516-M14 → M0518 → D0515-M14 → M0517 → D0523-M14 → M0516 → D0514-M12 → M0520 → PSP/INTEGRA TRAY</t>
  </si>
  <si>
    <t>B1-CH-64701</t>
    <phoneticPr fontId="3" type="noConversion"/>
  </si>
  <si>
    <t>PE-L1-1C240-04</t>
    <phoneticPr fontId="3" type="noConversion"/>
  </si>
  <si>
    <t>PE-L1-1C240-05</t>
    <phoneticPr fontId="3" type="noConversion"/>
  </si>
  <si>
    <t>PE-L1-1C240-06</t>
    <phoneticPr fontId="3" type="noConversion"/>
  </si>
  <si>
    <t>B0-CH-64702</t>
  </si>
  <si>
    <t>B1-DCP-59701</t>
    <phoneticPr fontId="3" type="noConversion"/>
  </si>
  <si>
    <t>PE-L1-1C500-30</t>
    <phoneticPr fontId="12" type="noConversion"/>
  </si>
  <si>
    <t>220V DC LOCAL DISTRIBUTION PANEL FOR STG #1 - A</t>
    <phoneticPr fontId="3" type="noConversion"/>
  </si>
  <si>
    <t>PE-L1-1C400-01</t>
    <phoneticPr fontId="3" type="noConversion"/>
  </si>
  <si>
    <t>PE-L1-1C400-02</t>
    <phoneticPr fontId="3" type="noConversion"/>
  </si>
  <si>
    <t>PE-L1-1C185-03</t>
    <phoneticPr fontId="3" type="noConversion"/>
  </si>
  <si>
    <t>BLOCK #1 BATTERY CHARGER - A</t>
    <phoneticPr fontId="3" type="noConversion"/>
  </si>
  <si>
    <t>1C x 500sqmm</t>
    <phoneticPr fontId="3" type="noConversion"/>
  </si>
  <si>
    <t>PE-L1-1C500-33</t>
    <phoneticPr fontId="12" type="noConversion"/>
  </si>
  <si>
    <t>PE-L1-1C500-34</t>
    <phoneticPr fontId="12" type="noConversion"/>
  </si>
  <si>
    <t>PE-L1-1C500-35</t>
    <phoneticPr fontId="12" type="noConversion"/>
  </si>
  <si>
    <t>PE-L1-1C500-36</t>
    <phoneticPr fontId="12" type="noConversion"/>
  </si>
  <si>
    <t>BLOCK #1 UPS BYPASS LINE - A</t>
    <phoneticPr fontId="3" type="noConversion"/>
  </si>
  <si>
    <t>4C x 120sqmm + 1C X 70sqmm</t>
    <phoneticPr fontId="3" type="noConversion"/>
  </si>
  <si>
    <t>PE-L1-5C120/70-06</t>
    <phoneticPr fontId="3" type="noConversion"/>
  </si>
  <si>
    <t>PE-L1-5C120/70-07</t>
    <phoneticPr fontId="3" type="noConversion"/>
  </si>
  <si>
    <t>FRQ.CONV.TURN.GEAR POWER SUPPLY</t>
    <phoneticPr fontId="3" type="noConversion"/>
  </si>
  <si>
    <t>HRSG #11 LV PANEL DISTRIBUTION BOARD</t>
    <phoneticPr fontId="3" type="noConversion"/>
  </si>
  <si>
    <t>HRSG #12 HPU POWER DISTRIBUTION</t>
    <phoneticPr fontId="3" type="noConversion"/>
  </si>
  <si>
    <t xml:space="preserve">OVERHEAD CRANE FOR GAS TURBINE #A </t>
    <phoneticPr fontId="3" type="noConversion"/>
  </si>
  <si>
    <t>PE-L1-3C150/95-01</t>
  </si>
  <si>
    <t>PE-L1-3C150/95-02</t>
    <phoneticPr fontId="3" type="noConversion"/>
  </si>
  <si>
    <t>PE-L1-3C150/95-03</t>
    <phoneticPr fontId="3" type="noConversion"/>
  </si>
  <si>
    <t>2C x 35sqmm + 1C X 25sqmm</t>
    <phoneticPr fontId="3" type="noConversion"/>
  </si>
  <si>
    <t>PE-L1-3C35/25-01</t>
    <phoneticPr fontId="12" type="noConversion"/>
  </si>
  <si>
    <t>OIL METERING PANEL PRIMARY</t>
    <phoneticPr fontId="3" type="noConversion"/>
  </si>
  <si>
    <t>PE-L1-5C70/35-05</t>
    <phoneticPr fontId="3" type="noConversion"/>
  </si>
  <si>
    <t>PE-L1-3C70/35-01</t>
    <phoneticPr fontId="3" type="noConversion"/>
  </si>
  <si>
    <t>PE-L1-3C50/25-03</t>
    <phoneticPr fontId="3" type="noConversion"/>
  </si>
  <si>
    <t>PE-L1-3C50/25-02</t>
    <phoneticPr fontId="3" type="noConversion"/>
  </si>
  <si>
    <t>INC-0060</t>
    <phoneticPr fontId="3" type="noConversion"/>
  </si>
  <si>
    <t>B064-016BT0032 → B064-996BT0020 → M0501 → D0503-L36 → M0502 → D0504-L36 → M0503 → D0501-L36 → M0328 → D0324-L36 → M0329 → B114-996AT0021 → B114-016AT0020 → B114-016AT0025 → B025-016FT0042 → B025-016FT0041 → B025-016FT0040 → B025-996FT0016 → B025-016FT0039 → B025-016FT0038 → B025-016FT0037 → B025-996FT0007 → PSP/INTEGRA TRAY</t>
  </si>
  <si>
    <t>B064-016BT0032 → B064-996BT0020 → M0501 → D0503-L45 → M0502 → D0504-L45 → M0503 → D0501-L45 → M0328 → D0324-L45 → M0329 → B114-996AT0021 → B114-016AT0020 → B114-016AT0025 → B025-016FT0042 → B025-016FT0041 → B025-016FT0040 → B025-996FT0016 → B025-016FT0039 → B025-016FT0038 → B025-016FT0037 → B025-996FT0007 → PSP/INTEGRA TRAY</t>
  </si>
  <si>
    <t>B064-013AT0040 → B064-013AT0226 → B064-993AT0019 → M0501 → D0503-M25 → M0502 → D0504-M25 → M0503 → D0501-M25 → M0328 → D0324-M25 → M0329 → B114-993AT0021 → B114-013AT0020 → B114-013AT0025 → B025-013TT0042 → B025-013TT0041 → B025-013TT0040 → B025-993TT0016 → B025-013TT0039 → B025-013TT0038 → B025-013TT0037 → B025-993TT0007 → PSP/INTEGRA TRAY</t>
  </si>
  <si>
    <t>B064-013AT0040 → B064-013AT0226 → B064-993AT0019 → M0501 → D0503-M26 → M0502 → D0504-M26 → M0503 → D0501-M26 → M0328 → D0324-M26 → M0329 → B114-993AT0021 → B114-013AT0020 → B114-013AT0025 → B025-013TT0042 → B025-013TT0041 → B025-013TT0040 → B025-993TT0016 → B025-013TT0039 → B025-013TT0038 → B025-013TT0037 → B025-993TT0007 → PSP/INTEGRA TRAY</t>
  </si>
  <si>
    <t>B064-013AT0040 → B064-013AT0226 → B064-993AT0019 → M0501 → D0503-M27 → M0502 → D0504-M27 → M0503 → D0501-M27 → M0328 → D0324-M27 → M0329 → B114-993AT0021 → B114-013AT0020 → B114-013AT0025 → B025-013TT0042 → B025-013TT0041 → B025-013TT0040 → B025-993TT0016 → B025-013TT0039 → B025-013TT0038 → B025-013TT0037 → B025-993TT0007 → PSP/INTEGRA TRAY</t>
  </si>
  <si>
    <t>B064-013BT0043 → B064-013BT0043 → B064-013BT0042 → B064-013BT0233 → B064-013BT0034 → B064-013BT0033 → B064-993BT0019 → M0501 → D0503-M28 → M0502 → D0504-M28 → M0503 → D0501-M28 → M0328 → D0324-M28 → M0329 → B114-993BT0021 → B114-013BT0020 → B114-013BT0025 → B025-013ST0042 → B025-013ST0041 → B025-013ST0040 → B025-993ST0016 → B025-013ST0039 → B025-013ST0038 → B025-993ST0007 → PSP/INTEGRA TRAY</t>
  </si>
  <si>
    <t>B064-013BT0043 → B064-013BT0043 → B064-013BT0042 → B064-013BT0233 → B064-013BT0034 → B064-013BT0033 → B064-993BT0019 → M0501 → D0503-M31 → M0502 → D0504-M31 → M0503 → D0501-M31 → M0328 → D0324-M31 → M0329 → B114-993BT0021 → B114-013BT0020 → B114-013BT0025 → B025-013ST0042 → B025-013ST0041 → B025-013ST0040 → B025-993ST0016 → B025-013ST0039 → B025-013ST0038 → B025-993ST0007 → PSP/INTEGRA TRAY</t>
  </si>
  <si>
    <t>B064-013BT0043 → B064-013BT0043 → B064-013BT0042 → B064-013BT0233 → B064-013BT0034 → B064-013BT0033 → B064-993BT0019 → M0501 → D0503-M32 → M0502 → D0504-M32 → M0503 → D0501-M32 → M0328 → D0324-M32 → M0329 → B114-993BT0021 → B114-013BT0020 → B114-013BT0025 → B025-013ST0042 → B025-013ST0041 → B025-013ST0040 → B025-993ST0016 → B025-013ST0039 → B025-013ST0038 → B025-993ST0007 → PSP/INTEGRA TRAY</t>
  </si>
  <si>
    <t>B212-016AT0011 → B212-996AT0023 → M0309 → D0322-L31 → M0308 → D0306-L31 → M0307 → D0321-L27 → M0306 → B261-006DC0002 → B261-017DC0112 → END</t>
  </si>
  <si>
    <t>B212-016AT0011 → B212-996AT0023 → M0309 → D0322-L31 → M0308 → D0306-L31 → M0307 → D0321-L27 → M0306 → B261-006DC0002 → B261-017DC0113 → END</t>
  </si>
  <si>
    <t>B212-016AT0011 → B212-996AT0023 → M0309 → D0322-L31 → M0308 → D0306-L31 → M0307 → D0321-L27 → M0306 → B261-006DC0002 → B261-017DC0114 → END</t>
  </si>
  <si>
    <t>B212-016AT0011 → B212-996AT0023 → M0309 → D0322-L23 → M0308 → D0306-L31 → M0307 → D0321-L27 → M0306 → B261-006DC0002 → B261-017DC0115 → END</t>
  </si>
  <si>
    <t>B212-016BT0001 → B212-016BT0002 → B212-016BT0012 → B212-996BT0026 → B261-016DC0117 → END</t>
  </si>
  <si>
    <t>B212-016BT0001 → B212-016BT0002 → B212-016BT0012 → B212-996BT0026 → B261-016DC0118 → END</t>
  </si>
  <si>
    <t>B261-013DC0001 → B261-003DC0007 → M0307 → D0306-M11 → M0308 → D0322-M11 → M0309 → B212-993AT0022 → B212-013AT0001 → END</t>
  </si>
  <si>
    <t>B261-003DC0003 → M0308 → B212-993AT0021 → B212-013AT0004 → B212-013AT0005 → END</t>
  </si>
  <si>
    <t>B261-003DC0004 → M0308 → B212-993AT0021 → B212-013AT0004 → B212-013AT0005 → END</t>
  </si>
  <si>
    <t>B261-003DC0005 → M0308 → B212-993AT0021 → B212-013AT0004 → B212-013AT0005 → END</t>
  </si>
  <si>
    <t>B212-016AT0011 → B212-996AT0023 → M0309 → D0322-L25 → M0308 → D0306-L25 → M0307 → D0321-L32 → M0306 → B261-006DC0004 → B261-016DC0101 → END</t>
  </si>
  <si>
    <t>B212-016AT0011 → B212-996AT0023 → M0309 → D0322-L25 → M0308 → D0306-L25 → M0307 → D0321-L32 → M0306 → B261-006DC0005 → B261-007DC0001 → END</t>
  </si>
  <si>
    <t>B212-016AT0011 → B212-996AT0023 → M0309 → D0322-L25 → M0308 → D0306-L25 → M0307 → D0321-L32 → M0306 → B261-006DC0006 → B261-016DC0103 → END</t>
  </si>
  <si>
    <t>B212-016AT0011 → B212-996AT0023 → M0309 → D0322-L24 → M0308 → D0306-L24 → M0307 → D0321-L22 → M0306 → B261-006DC0005 → B261-006DC0003 → B261-017DC0103 → END</t>
  </si>
  <si>
    <t>B212-016AT0011 → B212-996AT0023 → M0309 → B261-006DC0014 → B261-017DC0132 → END</t>
  </si>
  <si>
    <t>B212-016AT0011 → B212-996AT0023 → M0309 → B261-006DC0014 → B261-017DC0133 → END</t>
  </si>
  <si>
    <t>B212-016AT0011 → B212-996AT0023 → M0309 → B261-006DC0014 → B261-017DC0134 → END</t>
  </si>
  <si>
    <t>B212-016AT0011 → B212-996AT0023 → M0309 → D0322-L24 → M0308 → D0306-L24 → M0307 → D0321-L22 → M0306 → B261-006DC0005 → B261-006DC0003 → B261-017DC0104 → END</t>
  </si>
  <si>
    <t>B212-016AT0011 → B212-996AT0023 → M0309 → D0322-L24 → M0308 → D0306-L24 → M0307 → D0321-L22 → M0306 → B261-006DC0005 → B261-006DC0003 → B261-017DC0105 → END</t>
  </si>
  <si>
    <t>B212-016AT0011 → B212-996AT0023 → M0309 → D0322-L24 → M0308 → D0306-L24 → M0307 → D0321-L22 → M0306 → B261-006DC0005 → B261-006DC0003 → B261-017DC0106 → END</t>
  </si>
  <si>
    <t>B212-016AT0011 → B212-996AT0023 → M0309 → D0322-L24 → M0308 → D0306-L24 → M0307 → D0321-L22 → M0306 → B261-006DC0005 → B261-006DC0003 → B261-017DC0107 → END</t>
  </si>
  <si>
    <t>B212-016AT0011 → B212-996AT0023 → M0309 → D0322-L24 → M0308 → D0306-L24 → M0307 → D0321-L22 → M0306 → B261-006DC0005 → B261-006DC0003 → B261-017DC0108 → END</t>
  </si>
  <si>
    <t>B212-016AT0011 → B212-996AT0023 → M0309 → D0322-L24 → M0308 → D0306-L24 → M0307 → D0321-L22 → M0306 → B261-006DC0005 → B261-006DC0003 → B261-017DC0109 → END</t>
  </si>
  <si>
    <t>B212-016AT0011 → B212-996AT0023 → M0309 → D0322-L24 → M0308 → D0306-L24 → M0307 → D0321-L22 → M0306 → B261-006DC0005 → B261-006DC0003 → B261-017DC0110 → END</t>
  </si>
  <si>
    <t>B212-016AT0011 → B212-996AT0023 → M0309 → D0322-L24 → M0308 → D0306-L24 → M0307 → D0321-L22 → M0306 → B261-006DC0005 → B261-006DC0003 → B261-017DC0111 → END</t>
  </si>
  <si>
    <t>B212-016AT0011 → B212-016AT0010 → B212-016AT0009 → B212-016AT0015 → B212-016AT0016 → B261-017DC0006 → B261-017DC0116 → END</t>
  </si>
  <si>
    <t>B212-016AT0011 → B212-016AT0010 → B212-016AT0009 → B212-016AT0015 → B212-016AT0016 → B261-017DC0006 → B261-017DC0117 → END</t>
  </si>
  <si>
    <t>B212-016AT0011 → B212-996AT0023 → M0309 → B261-006DC0014 → B261-016DC0105 → END</t>
  </si>
  <si>
    <t>B212-016AT0011 → B212-996AT0023 → M0309 → B261-006DC0014 → B261-016DC0106 → END</t>
  </si>
  <si>
    <t>B212-016AT0011 → B212-996AT0023 → M0309 → B261-006DC0014 → B261-017DC0135 → END</t>
  </si>
  <si>
    <t>B212-016AT0011 → B212-996AT0023 → M0309 → B261-006DC0014 → B261-017DC0136 → END</t>
  </si>
  <si>
    <t>B212-016BT0001 → B212-016BT0002 → B212-016BT0012 → B212-996BT0026 → B261-017DC0137 → END</t>
  </si>
  <si>
    <t>B212-016BT0001 → B212-016BT0002 → B212-016BT0012 → B212-996BT0026 → B261-017DC0138 → END</t>
  </si>
  <si>
    <t>B212-016BT0001 → B212-016BT0002 → B212-016BT0012 → B212-996BT0026 → B261-017DC0139 → END</t>
  </si>
  <si>
    <t>B212-016AT0011 → B212-016AT0010 → B212-016AT0009 → B212-016AT0015 → B212-016AT0016 → B261-017DC0006 → B261-017DC0118 → END</t>
  </si>
  <si>
    <t>B212-016AT0011 → B212-016AT0010 → B212-016AT0009 → B212-016AT0015 → B212-016AT0016 → B261-017DC0006 → B261-017DC0119 → END</t>
  </si>
  <si>
    <t>B212-016AT0011 → B212-016AT0010 → B212-016AT0009 → B212-016AT0015 → B212-016AT0016 → B261-017DC0006 → B261-017DC0120 → END</t>
  </si>
  <si>
    <t>B212-016AT0011 → B212-016AT0010 → B212-016AT0009 → B212-016AT0015 → B212-016AT0016 → B261-017DC0006 → B261-017DC0121 → END</t>
  </si>
  <si>
    <t>B212-016AT0011 → B212-016AT0010 → B212-016AT0009 → B212-016AT0015 → B212-016AT0016 → B261-017DC0006 → B261-017DC0122 → END</t>
  </si>
  <si>
    <t>B212-016AT0011 → B212-016AT0010 → B212-016AT0009 → B212-016AT0015 → B212-016AT0016 → B261-017DC0006 → B261-017DC0123 → END</t>
  </si>
  <si>
    <t>B212-016AT0011 → B212-016AT0010 → B212-016AT0009 → B212-016AT0015 → B212-016AT0016 → B261-017DC0006 → B261-017DC0124 → END</t>
  </si>
  <si>
    <t>B212-016AT0011 → B212-016AT0010 → B212-016AT0009 → B212-016AT0015 → B212-016AT0016 → B261-017DC0006 → B261-017DC0125 → END</t>
  </si>
  <si>
    <t>B212-016AT0011 → B212-016AT0010 → B212-016AT0009 → B212-016AT0015 → B212-016AT0016 → B261-017DC0006 → B261-017DC0126 → END</t>
  </si>
  <si>
    <t>B212-016AT0011 → B212-016AT0010 → B212-016AT0009 → B212-016AT0015 → B212-016AT0016 → B261-017DC0006 → B261-017DC0127 → END</t>
  </si>
  <si>
    <t>B212-016AT0011 → B212-016AT0010 → B212-016AT0009 → B212-016AT0015 → B212-016AT0016 → B261-017DC0006 → B261-017DC0128 → END</t>
  </si>
  <si>
    <t>B212-016AT0011 → B212-016AT0010 → B212-016AT0009 → B212-016AT0015 → B212-016AT0016 → B261-017DC0006 → B261-017DC0129 → END</t>
  </si>
  <si>
    <t>B212-016AT0011 → B212-016AT0010 → B212-016AT0009 → B212-016AT0015 → B212-016AT0016 → B261-017DC0006 → B261-017DC0130 → END</t>
  </si>
  <si>
    <t>B212-016AT0011 → B212-016AT0010 → B212-016AT0009 → B212-016AT0015 → B212-016AT0016 → B261-017DC0006 → B261-017DC0131 → END</t>
  </si>
  <si>
    <t>B212-016BT0025 → B212-016BT0007 → B212-016BT0008 → B212-016BT0009 → B212-016BT0010 → B212-016BT0002 → B212-016BT0012 → B212-996BT0026 → B261-016DC0107 → END</t>
  </si>
  <si>
    <t>B212-016BT0025 → B212-016BT0007 → B212-016BT0008 → B212-016BT0009 → B212-016BT0010 → B212-016BT0002 → B212-016BT0012 → B212-996BT0026 → B261-016DC0108 → END</t>
  </si>
  <si>
    <t>B212-016BT0001 → B212-016BT0002 → B212-016BT0012 → B212-996BT0026 → B261-017DC0142 → END</t>
  </si>
  <si>
    <t>B212-016BT0001 → B212-016BT0002 → B212-016BT0012 → B212-996BT0026 → B261-017DC0143 → END</t>
  </si>
  <si>
    <t>B212-016BT0001 → B212-016BT0002 → B212-016BT0012 → B212-996BT0026 → B261-017DC0144 → END</t>
  </si>
  <si>
    <t>B212-016BT0025 → B212-016BT0007 → B212-016BT0008 → B212-016BT0009 → B212-016BT0010 → B212-016BT0002 → B212-016BT0012 → B212-996BT0026 → B261-016DC0111 → END</t>
  </si>
  <si>
    <t>B212-016BT0001 → B212-016BT0002 → B212-016BT0012 → B212-996BT0026 → B261-016DC0112 → END</t>
  </si>
  <si>
    <t>B212-016BT0025 → B212-016BT0007 → B212-016BT0008 → B212-016BT0009 → B212-016BT0010 → B212-016BT0002 → B212-016BT0012 → B212-996BT0026 → B261-016DC0123 → END</t>
  </si>
  <si>
    <t>B212-016BT0001 → B212-016BT0002 → B212-016BT0012 → B212-996BT0026 → B261-016DC0121 → END</t>
  </si>
  <si>
    <t>B212-016BT0001 → B212-016BT0002 → B212-016BT0012 → B212-996BT0026 → B261-016DC0124 → END</t>
  </si>
  <si>
    <t>B212-016BT0025 → B212-016BT0007 → B212-016BT0008 → B212-016BT0009 → B212-016BT0010 → B212-016BT0002 → B212-016BT0012 → B212-996BT0026 → B261-016DC0114 → END</t>
  </si>
  <si>
    <t>B212-016BT0001 → B212-016BT0002 → B212-016BT0012 → B212-996BT0026 → B261-016DC0115 → END</t>
  </si>
  <si>
    <t>B212-016BT0025 → B212-016BT0007 → B212-016BT0008 → B212-016BT0009 → B212-016BT0010 → B212-016BT0002 → B212-016BT0012 → B212-996BT0026 → B261-016DC0116 → END</t>
  </si>
  <si>
    <t>B212-016BT0001 → B212-016BT0002 → B212-016BT0012 → B212-996BT0026 → B261-016DC0113 → END</t>
  </si>
  <si>
    <t>B212-016AT0011 → B212-996AT0023 → M0308 → B261-006DC0012 → B261-016DC0104 → END</t>
  </si>
  <si>
    <t>B212-016AT0011 → B212-016AT0010 → B212-016AT0009 → B212-016AT0015 → B212-016AT0016 → B261-016DC0019 → B261-016DC0102 → END</t>
  </si>
  <si>
    <t>B261-007DC0013 → M0307 → D0306-L34 → M0308 → B212-996AT0021 → B212-016AT0004 → B212-016AT0005 → END</t>
  </si>
  <si>
    <t>B261-007DC0014 → M0307 → D0306-L34 → M0308 → B212-996AT0021 → B212-016AT0004 → B212-016AT0005 → END</t>
  </si>
  <si>
    <t>B261-007DC0015 → M0307 → D0306-L34 → M0308 → B212-996AT0021 → B212-016AT0004 → B212-016AT0005 → END</t>
  </si>
  <si>
    <t>B212-016AT0011 → B212-996AT0023 → M0309 → D0322-L24 → M0308 → D0306-L24 → M0307 → D0321-L22 → M0306 → B261-006DC0005 → B261-006DC0003 → B261-017DC0101 → END</t>
  </si>
  <si>
    <t>B212-016AT0011 → B212-996AT0023 → M0309 → D0322-L24 → M0308 → D0306-L24 → M0307 → D0321-L22 → M0306 → B261-006DC0005 → B261-006DC0003 → B261-017DC0102 → END</t>
  </si>
  <si>
    <t>B212-016BT0025 → B212-016BT0007 → B212-016BT0008 → B212-016BT0009 → B212-016BT0010 → B212-016BT0002 → B212-016BT0012 → B212-996BT0026 → B261-016DC0109 → END</t>
  </si>
  <si>
    <t>B212-016BT0025 → B212-016BT0007 → B212-016BT0008 → B212-016BT0009 → B212-016BT0010 → B212-016BT0002 → B212-016BT0012 → B212-996BT0026 → B261-016DC0110 → END</t>
  </si>
  <si>
    <t>B212-016CT0001 → B212-016CT0002 → B212-016CT0003 → B212-016CT0004 → B212-996CT0021 → M0304 → D0304-L21 → M0303 → D0303-L27 → M0302 → B261-006BC0002 → B261-017BC0112 → END</t>
  </si>
  <si>
    <t>B212-016CT0001 → B212-016CT0002 → B212-016CT0003 → B212-016CT0004 → B212-996CT0021 → M0304 → D0304-L21 → M0303 → D0303-L27 → M0302 → B261-006DC0002 → B261-017BC0113 → END</t>
  </si>
  <si>
    <t>B212-016CT0001 → B212-016CT0002 → B212-016CT0003 → B212-016CT0004 → B212-996CT0021 → M0304 → D0304-L21 → M0303 → D0303-L27 → M0302 → B261-006DC0002 → B261-017BC0114 → END</t>
  </si>
  <si>
    <t>B212-016CT0001 → B212-016CT0002 → B212-016CT0003 → B212-016CT0004 → B212-996CT0021 → M0304 → D0304-L21 → M0303 → D0303-L27 → M0302 → B261-006DC0002 → B261-017BC0115 → END</t>
  </si>
  <si>
    <t>B212-016DT0001 → B212-016DT0002 → B212-016DT0012 → B212-996DT0026 → B261-016BC0117 → END</t>
  </si>
  <si>
    <t>B212-016DT0025 → B212-016DT0007 → B212-016DT0008 → B212-016DT0009 → B212-016DT0010 → B212-016DT0002 → B212-016DT0012 → B212-996DT0026 → B261-016BC0118 → END</t>
  </si>
  <si>
    <t>B261-013BC0001 → B261-003BC0007 → M0303 → D0304-M11 → M0304 → B212-993BT0022 → B212-013BT0025 → B212-013BT0007 → B212-013BT0008 → B212-013BT0009 → B212-013BT0010 → B212-013BT0001 → END</t>
  </si>
  <si>
    <t>B261-003BC0003 → M0304 → B212-993BT0021 → B212-013BT0004 → B212-013BT0003 → END</t>
  </si>
  <si>
    <t>B261-003BC0004 → M0304 → B212-993BT0021 → B212-013BT0004 → B212-013BT0003 → END</t>
  </si>
  <si>
    <t>B261-003BC0005 → M0304 → B212-993BT0021 → B212-013BT0004 → B212-013BT0003 → END</t>
  </si>
  <si>
    <t>B212-013BT0001 → B212-013BT0002 → B212-013BT0003 → B212-013BT0004 → B212-993BT0021 → M0304 → D0304-L24 → M0303 → D0303-L35 → M0302 → B261-006BC0004 → B261-016BC0101 → END</t>
  </si>
  <si>
    <t>B212-013BT0001 → B212-013BT0002 → B212-013BT0003 → B212-013BT0004 → B212-993BT0021 → M0304 → D0304-L24 → M0303 → D0303-L35 → M0302 → B261-006BC0005 → B261-007BC0001 → END</t>
  </si>
  <si>
    <t>B212-013BT0001 → B212-013BT0002 → B212-013BT0003 → B212-013BT0004 → B212-993BT0021 → M0304 → D0304-L24 → M0303 → D0303-L33 → M0302 → B261-006BC0006 → B161-016BC0103 → END</t>
  </si>
  <si>
    <t>B212-016CT0001 → B212-016CT0002 → B212-016CT0003 → B212-016CT0004 → B212-996CT0021 → M0304 → D0304-L23 → M0303 → D0303-L32 → M0302 → B261-006BC0005 → B261-006BC0003 → B261-017BC0103 → END</t>
  </si>
  <si>
    <t>B212-016CT0001 → B212-016CT0010 → B212-016CT0009 → B212-016CT0008 → B212-016CT0007 → B212-016CT0024 → B212-996CT0023 → M0305 → B261-006BC0014 → B261-017BC0132 → END</t>
  </si>
  <si>
    <t>B212-016CT0001 → B212-016CT0010 → B212-016CT0009 → B212-016CT0008 → B212-016CT0007 → B212-016CT0024 → B212-996CT0023 → M0305 → B261-006BC0014 → B261-017BC0133 → END</t>
  </si>
  <si>
    <t>B212-016CT0001 → B212-016CT0010 → B212-016CT0009 → B212-016CT0008 → B212-016CT0007 → B212-016CT0024 → B212-996CT0023 → M0305 → B261-006BC0014 → B261-017BC0134 → END</t>
  </si>
  <si>
    <t>B212-016CT0001 → B212-016CT0002 → B212-016CT0003 → B212-016CT0004 → B212-996CT0021 → M0304 → D0304-L23 → M0303 → D0303-L32 → M0302 → B261-006BC0005 → B261-006BC0003 → B261-017BC0104 → END</t>
  </si>
  <si>
    <t>B212-016CT0001 → B212-016CT0002 → B212-016CT0003 → B212-016CT0004 → B212-996CT0021 → M0304 → D0304-L23 → M0303 → D0303-L32 → M0302 → B261-006BC0005 → B261-006BC0003 → B261-017BC0105 → END</t>
  </si>
  <si>
    <t>B212-016CT0001 → B212-016CT0002 → B212-016CT0003 → B212-016CT0004 → B212-996CT0021 → M0304 → D0304-L23 → M0303 → D0303-L32 → M0302 → B261-006BC0005 → B261-006BC0003 → B261-017BC0106 → END</t>
  </si>
  <si>
    <t>B212-016CT0001 → B212-016CT0002 → B212-016CT0003 → B212-016CT0004 → B212-996CT0021 → M0304 → D0304-L23 → M0303 → D0303-L32 → M0302 → B261-006BC0005 → B261-006BC0003 → B261-017BC0107 → END</t>
  </si>
  <si>
    <t>B212-016CT0001 → B212-016CT0002 → B212-016CT0003 → B212-016CT0004 → B212-996CT0021 → M0304 → D0304-L23 → M0303 → D0303-L32 → M0302 → B261-006BC0005 → B261-006BC0003 → B261-017BC0108 → END</t>
  </si>
  <si>
    <t>B212-016CT0001 → B212-016CT0002 → B212-016CT0003 → B212-016CT0004 → B212-996CT0021 → M0304 → D0304-L23 → M0303 → D0303-L32 → M0302 → B261-006BC0005 → B261-006BC0003 → B261-017BC0109 → END</t>
  </si>
  <si>
    <t>B212-016CT0001 → B212-016CT0002 → B212-016CT0003 → B212-016CT0004 → B212-996CT0021 → M0304 → D0304-L23 → M0303 → D0303-L32 → M0302 → B261-006BC0005 → B261-006BC0003 → B261-017BC0110 → END</t>
  </si>
  <si>
    <t>B212-016CT0001 → B212-016CT0002 → B212-016CT0003 → B212-016CT0004 → B212-996CT0021 → M0304 → D0304-L23 → M0303 → D0303-L32 → M0302 → B261-006BC0005 → B261-006BC0003 → B261-017BC0111 → END</t>
  </si>
  <si>
    <t>B212-016CT0001 → B212-016CT0010 → B212-016CT0009 → B212-016CT0015 → B212-016CT0016 → B261-017BC0006 → B261-017BC0116 → END</t>
  </si>
  <si>
    <t>B212-016CT0001 → B212-016CT0010 → B212-016CT0009 → B212-016CT0015 → B212-016CT0016 → B261-017BC0006 → B261-017BC0117 → END</t>
  </si>
  <si>
    <t>B212-016CT0001 → B212-016CT0010 → B212-016CT0009 → B212-016CT0008 → B212-016CT0007 → B212-016CT0024 → B212-996CT0023 → M0305 → B261-006BC0014 → B261-016BC0105 → END</t>
  </si>
  <si>
    <t>B212-016CT0001 → B212-016CT0010 → B212-016CT0009 → B212-016CT0008 → B212-016CT0007 → B212-016CT0024 → B212-996CT0023 → M0305 → B261-006BC0014 → B261-016BC0106 → END</t>
  </si>
  <si>
    <t>B212-016CT0001 → B212-016CT0010 → B212-016CT0009 → B212-016CT0008 → B212-016CT0007 → B212-016CT0024 → B212-996CT0023 → M0305 → B261-006BC0014 → B261-017BC0135 → END</t>
  </si>
  <si>
    <t>B212-016CT0001 → B212-016CT0010 → B212-016CT0009 → B212-016CT0008 → B212-016CT0007 → B212-016CT0024 → B212-996CT0023 → M0305 → B261-006BC0014 → B261-017BC0136 → END</t>
  </si>
  <si>
    <t>B212-016DT0001 → B212-016DT0002 → B212-016DT0012 → B212-996DT0026 → B261-017BC0137 → END</t>
  </si>
  <si>
    <t>B212-016DT0001 → B212-016DT0002 → B212-016DT0012 → B212-996DT0026 → B261-017BC0138 → END</t>
  </si>
  <si>
    <t>B212-016DT0001 → B212-016DT0002 → B212-016DT0012 → B212-996DT0026 → B261-017BC0139 → END</t>
  </si>
  <si>
    <t>B212-016CT0001 → B212-016CT0010 → B212-016CT0009 → B212-016CT0015 → B212-016CT0016 → B261-017BC0006 → B261-017BC0118 → END</t>
  </si>
  <si>
    <t>B212-016CT0001 → B212-016CT0010 → B212-016CT0009 → B212-016CT0015 → B212-016CT0016 → B261-017BC0006 → B261-017BC0119 → END</t>
  </si>
  <si>
    <t>B212-016CT0001 → B212-016CT0010 → B212-016CT0009 → B212-016CT0015 → B212-016CT0016 → B261-017BC0006 → B261-017BC0120 → END</t>
  </si>
  <si>
    <t>B212-016CT0001 → B212-016CT0010 → B212-016CT0009 → B212-016CT0015 → B212-016CT0016 → B261-017BC0006 → B261-017BC0121 → END</t>
  </si>
  <si>
    <t>B212-016CT0001 → B212-016CT0010 → B212-016CT0009 → B212-016CT0015 → B212-016CT0016 → B261-017BC0006 → B261-017BC0122 → END</t>
  </si>
  <si>
    <t>B212-016CT0001 → B212-016CT0010 → B212-016CT0009 → B212-016CT0015 → B212-016CT0016 → B261-017BC0006 → B261-017BC0123 → END</t>
  </si>
  <si>
    <t>B212-016CT0001 → B212-016CT0010 → B212-016CT0009 → B212-016CT0015 → B212-016CT0016 → B261-017BC0006 → B261-017BC0124 → END</t>
  </si>
  <si>
    <t>B212-016CT0001 → B212-016CT0010 → B212-016CT0009 → B212-016CT0015 → B212-016CT0016 → B261-017BC0006 → B261-017BC0125 → END</t>
  </si>
  <si>
    <t>B212-016CT0001 → B212-016CT0010 → B212-016CT0009 → B212-016CT0015 → B212-016CT0016 → B261-017BC0006 → B261-017BC0126 → END</t>
  </si>
  <si>
    <t>B212-016CT0001 → B212-016CT0010 → B212-016CT0009 → B212-016CT0015 → B212-016CT0016 → B261-017BC0006 → B261-017BC0127 → END</t>
  </si>
  <si>
    <t>B212-016CT0001 → B212-016CT0010 → B212-016CT0009 → B212-016CT0015 → B212-016CT0016 → B261-017BC0006 → B261-017BC0128 → END</t>
  </si>
  <si>
    <t>B212-016CT0001 → B212-016CT0010 → B212-016CT0009 → B212-016CT0015 → B212-016CT0016 → B261-017BC0006 → B261-017BC0129 → END</t>
  </si>
  <si>
    <t>B212-016CT0001 → B212-016CT0010 → B212-016CT0009 → B212-016CT0015 → B212-016CT0016 → B261-017BC0006 → B261-017BC0130 → END</t>
  </si>
  <si>
    <t>B212-016CT0001 → B212-016CT0010 → B212-016CT0009 → B212-016CT0015 → B212-016CT0016 → B261-017BC0006 → B261-017BC0131 → END</t>
  </si>
  <si>
    <t>B212-016BT0025 → B212-016BT0007 → B212-016BT0008 → B212-016BT0009 → B212-016BT0010 → B212-016BT0002 → B212-016BT0012 → B212-996BT0026 → B261-016BC0107 → END</t>
  </si>
  <si>
    <t>B212-016BT0025 → B212-016BT0007 → B212-016BT0008 → B212-016BT0009 → B212-016BT0010 → B212-016BT0002 → B212-016BT0012 → B212-996BT0026 → B261-016BC0108 → END</t>
  </si>
  <si>
    <t>B212-016DT0001 → B212-016DT0002 → B212-016DT0012 → B212-996DT0026 → B261-017BC0142 → END</t>
  </si>
  <si>
    <t>B212-016DT0001 → B212-016DT0002 → B212-016DT0012 → B212-996DT0026 → B261-017BC0143 → END</t>
  </si>
  <si>
    <t>B212-016DT0001 → B212-016DT0002 → B212-016DT0012 → B212-996DT0026 → B261-017BC0144 → END</t>
  </si>
  <si>
    <t>B212-016DT0025 → B212-016DT0007 → B212-016DT0008 → B212-016DT0009 → B212-016DT0010 → B212-016DT0002 → B212-016DT0012 → B212-996DT0026 → B261-016BC0111 → END</t>
  </si>
  <si>
    <t>B212-016DT0001 → B212-016DT0002 → B212-016DT0012 → B212-996DT0026 → B261-016BC0112 → END</t>
  </si>
  <si>
    <t>B212-016DT0025 → B212-016DT0007 → B212-016DT0008 → B212-016DT0009 → B212-016DT0010 → B212-016DT0002 → B212-016DT0012 → B212-996DT0026 → B261-016BC0123 → END</t>
  </si>
  <si>
    <t>B212-016DT0001 → B212-016DT0002 → B212-016DT0012 → B212-996DT0026 → B261-016BC0121 → END</t>
  </si>
  <si>
    <t>B212-016DT0001 → B212-016DT0002 → B212-016DT0012 → B212-996DT0026 → B261-016BC0124 → END</t>
  </si>
  <si>
    <t>B212-016DT0001 → B212-016DT0002 → B212-016DT0012 → B212-996DT0026 → B261-016BC0122 → END</t>
  </si>
  <si>
    <t>B212-016DT0025 → B212-016DT0007 → B212-016DT0008 → B212-016DT0009 → B212-016DT0010 → B212-016DT0002 → B212-016DT0012 → B212-996DT0026 → B261-016BC0114 → END</t>
  </si>
  <si>
    <t>B212-016DT0025 → B212-016DT0007 → B212-016DT0008 → B212-016DT0009 → B212-016DT0010 → B212-016DT0002 → B212-016DT0012 → B212-996DT0026 → B261-016BC0115 → END</t>
  </si>
  <si>
    <t>B212-016DT0025 → B212-016DT0007 → B212-016DT0008 → B212-016DT0009 → B212-016DT0010 → B212-016DT0002 → B212-016DT0012 → B212-996DT0026 → B261-016BC0116 → END</t>
  </si>
  <si>
    <t>B212-016DT0001 → B212-016DT0002 → B212-016DT0012 → B212-996DT0026 → B261-016BC0113 → END</t>
  </si>
  <si>
    <t>B212-016CT0001 → B212-016CT0010 → B212-016CT0009 → B212-016CT0008 → B212-016CT0007 → B212-016CT0024 → B212-996CT0023 → M0304 → B261-006BC0012 → B261-016BC0104 → END</t>
  </si>
  <si>
    <t>B212-016CT0001 → B212-016CT0010 → B212-016CT0009 → B212-016CT0015 → B212-016CT0016 → B261-016BC0019 → B261-016BC0102 → END</t>
  </si>
  <si>
    <t>B261-007BC0013 → M0303 → D0304-L32 → M0304 → B212-996DT0021 → B212-016DT0004 → B212-016DT0003 → END</t>
  </si>
  <si>
    <t>B261-007BC0014 → M0303 → D0304-L32 → M0304 → B212-996DT0021 → B212-016DT0004 → B212-016DT0003 → END</t>
  </si>
  <si>
    <t>B261-007BC0015 → M0303 → D0304-L32 → M0304 → B212-996DT0021 → B212-016DT0004 → B212-016DT0003 → END</t>
  </si>
  <si>
    <t>B212-016CT0001 → B212-016CT0002 → B212-016CT0003 → B212-016CT0004 → B212-996CT0021 → M0304 → D0304-L23 → M0303 → D0303-L32 → M0302 → B261-006BC0005 → B261-006BC0003 → B261-017BC0101 → END</t>
  </si>
  <si>
    <t>B212-016CT0001 → B212-016CT0002 → B212-016CT0003 → B212-016CT0004 → B212-996CT0021 → M0304 → D0304-L23 → M0303 → D0303-L32 → M0302 → B261-006BC0005 → B261-006BC0003 → B261-017BC0102 → END</t>
  </si>
  <si>
    <t>B212-016CT0011 → B212-016CT0010 → B212-016CT0009 → B212-016CT0015 → B212-016CT0016 → END</t>
  </si>
  <si>
    <t>B212-016BT0025 → B212-016BT0007 → B212-016BT0008 → B212-016BT0009 → B212-016BT0010 → B212-016BT0002 → B212-016BT0012 → B212-996BT0026 → B261-016BC0109 → END</t>
  </si>
  <si>
    <t>B212-016BT0025 → B212-016BT0007 → B212-016BT0008 → B212-016BT0009 → B212-016BT0010 → B212-016BT0002 → B212-016BT0012 → B212-996BT0026 → B261-016BC0110 → END</t>
  </si>
  <si>
    <t>PE-M1-1C300-22</t>
    <phoneticPr fontId="3" type="noConversion"/>
  </si>
  <si>
    <t>PE-M1-1C300-08</t>
    <phoneticPr fontId="3" type="noConversion"/>
  </si>
  <si>
    <t>PE-M1-1C300-08</t>
    <phoneticPr fontId="3" type="noConversion"/>
  </si>
  <si>
    <t>PE-M1-1C300-09</t>
    <phoneticPr fontId="3" type="noConversion"/>
  </si>
  <si>
    <t>PE-M1-1C300-10</t>
    <phoneticPr fontId="3" type="noConversion"/>
  </si>
  <si>
    <t>PE-M1-1C300-11</t>
    <phoneticPr fontId="3" type="noConversion"/>
  </si>
  <si>
    <t>PE-M1-1C300-12</t>
    <phoneticPr fontId="3" type="noConversion"/>
  </si>
  <si>
    <t>PE-M1-1C300-13</t>
    <phoneticPr fontId="3" type="noConversion"/>
  </si>
  <si>
    <t>PE-M1-1C300-14</t>
    <phoneticPr fontId="3" type="noConversion"/>
  </si>
  <si>
    <t>PE-M1-1C300-15</t>
    <phoneticPr fontId="3" type="noConversion"/>
  </si>
  <si>
    <t>PE-M1-1C300-18</t>
    <phoneticPr fontId="3" type="noConversion"/>
  </si>
  <si>
    <t>PE-M1-1C300-23</t>
    <phoneticPr fontId="3" type="noConversion"/>
  </si>
  <si>
    <t>PE-M1-1C300-23</t>
    <phoneticPr fontId="3" type="noConversion"/>
  </si>
  <si>
    <t>PE-M1-1C300-24</t>
    <phoneticPr fontId="3" type="noConversion"/>
  </si>
  <si>
    <t>PE-M1-1C300-19</t>
    <phoneticPr fontId="3" type="noConversion"/>
  </si>
  <si>
    <t>PE-M1-1C300-20</t>
    <phoneticPr fontId="3" type="noConversion"/>
  </si>
  <si>
    <t>PE-M1-1C300-21</t>
    <phoneticPr fontId="3" type="noConversion"/>
  </si>
  <si>
    <t>PE-M1-1C300-31</t>
    <phoneticPr fontId="3" type="noConversion"/>
  </si>
  <si>
    <t>PE-M1-1C300-32</t>
    <phoneticPr fontId="3" type="noConversion"/>
  </si>
  <si>
    <t>PE-M1-1C300-33</t>
    <phoneticPr fontId="3" type="noConversion"/>
  </si>
  <si>
    <t>PE-M1-1C300-28</t>
    <phoneticPr fontId="3" type="noConversion"/>
  </si>
  <si>
    <t>PE-M1-1C300-34</t>
    <phoneticPr fontId="3" type="noConversion"/>
  </si>
  <si>
    <t>PE-M1-1C300-35</t>
    <phoneticPr fontId="3" type="noConversion"/>
  </si>
  <si>
    <t>PE-M1-1C300-36</t>
    <phoneticPr fontId="3" type="noConversion"/>
  </si>
  <si>
    <t>PE-M1-1C300-37</t>
    <phoneticPr fontId="3" type="noConversion"/>
  </si>
  <si>
    <t>PE-M1-1C300-38</t>
    <phoneticPr fontId="3" type="noConversion"/>
  </si>
  <si>
    <t>PE-M1-1C300-39</t>
    <phoneticPr fontId="3" type="noConversion"/>
  </si>
  <si>
    <t>PE-M1-1C300-40</t>
    <phoneticPr fontId="3" type="noConversion"/>
  </si>
  <si>
    <t>PE-M1-1C300-41</t>
    <phoneticPr fontId="3" type="noConversion"/>
  </si>
  <si>
    <t>PE-M1-1C300-42</t>
    <phoneticPr fontId="3" type="noConversion"/>
  </si>
  <si>
    <t>GTG #11 STBY LV-SWGR INCM FDR / PCC</t>
    <phoneticPr fontId="3" type="noConversion"/>
  </si>
  <si>
    <t>1C x 240sqmm</t>
    <phoneticPr fontId="3" type="noConversion"/>
  </si>
  <si>
    <t>PE-L1-1C240-07</t>
    <phoneticPr fontId="12" type="noConversion"/>
  </si>
  <si>
    <t>PE-L1-1C240-08</t>
    <phoneticPr fontId="12" type="noConversion"/>
  </si>
  <si>
    <t>PE-L1-1C240-09</t>
    <phoneticPr fontId="12" type="noConversion"/>
  </si>
  <si>
    <t>GTG #12 LV SWGR INCMR FDR / PCC</t>
    <phoneticPr fontId="3" type="noConversion"/>
  </si>
  <si>
    <t>PE-L1-1C240-10</t>
    <phoneticPr fontId="12" type="noConversion"/>
  </si>
  <si>
    <t>HIS.SERVER POWER SUPPLY-A</t>
    <phoneticPr fontId="3" type="noConversion"/>
  </si>
  <si>
    <t>PE-L1-3C4-26</t>
    <phoneticPr fontId="3" type="noConversion"/>
  </si>
  <si>
    <t>MOTOR OF VENT STEAM COND. EXHAUST FAN 1</t>
    <phoneticPr fontId="3" type="noConversion"/>
  </si>
  <si>
    <t>PE-L1-4C4-25</t>
    <phoneticPr fontId="3" type="noConversion"/>
  </si>
  <si>
    <t>RL-VLV FEED FU-OIL</t>
    <phoneticPr fontId="3" type="noConversion"/>
  </si>
  <si>
    <t>2C x 4sqmm</t>
    <phoneticPr fontId="3" type="noConversion"/>
  </si>
  <si>
    <t>PE-L1-2C4-09</t>
    <phoneticPr fontId="3" type="noConversion"/>
  </si>
  <si>
    <t>PE-L1-2C4-03</t>
    <phoneticPr fontId="3" type="noConversion"/>
  </si>
  <si>
    <t>PE-L1-2C4-03</t>
    <phoneticPr fontId="3" type="noConversion"/>
  </si>
  <si>
    <t>PE-L1-2C4-06</t>
    <phoneticPr fontId="3" type="noConversion"/>
  </si>
  <si>
    <t>PE-L1-2C4-10</t>
    <phoneticPr fontId="3" type="noConversion"/>
  </si>
  <si>
    <t>2C x 25sqmm + 1C X 16sqmm</t>
    <phoneticPr fontId="3" type="noConversion"/>
  </si>
  <si>
    <t>BLOCK #1 DCS (LER) PDP PRIMARY</t>
    <phoneticPr fontId="3" type="noConversion"/>
  </si>
  <si>
    <t>GLYCOL ANALYZER CABINET (B #2)</t>
    <phoneticPr fontId="3" type="noConversion"/>
  </si>
  <si>
    <t>HOT WATER SYSTEM</t>
    <phoneticPr fontId="3" type="noConversion"/>
  </si>
  <si>
    <t>PE-L1-3C16-03</t>
    <phoneticPr fontId="12" type="noConversion"/>
  </si>
  <si>
    <t>FOPP POWER SUPPLY</t>
    <phoneticPr fontId="3" type="noConversion"/>
  </si>
  <si>
    <t>FIN FAN COOLER PACKAGE (CCW)_PIT INSTRUMENT BOX_SPACE HEATER</t>
    <phoneticPr fontId="3" type="noConversion"/>
  </si>
  <si>
    <t>#1 HOT WATER SUPPLY PUMP C</t>
    <phoneticPr fontId="3" type="noConversion"/>
  </si>
  <si>
    <t>PE-L1-4C120/70-02</t>
    <phoneticPr fontId="12" type="noConversion"/>
  </si>
  <si>
    <t>DELUGE SPRAY PUMP_MOTOR #2</t>
    <phoneticPr fontId="3" type="noConversion"/>
  </si>
  <si>
    <t>PE-L1-4C25/16-04</t>
    <phoneticPr fontId="3" type="noConversion"/>
  </si>
  <si>
    <t>3C x 25sqmm + 1C X 16sqmm</t>
    <phoneticPr fontId="3" type="noConversion"/>
  </si>
  <si>
    <t>MOV SPARE (MARTYR VALVE FOR HP STEAM BLOWING, TEMP)</t>
    <phoneticPr fontId="3" type="noConversion"/>
  </si>
  <si>
    <t>PE-L1-3C4-26</t>
    <phoneticPr fontId="12" type="noConversion"/>
  </si>
  <si>
    <t>3C x 4sqmm</t>
    <phoneticPr fontId="3" type="noConversion"/>
  </si>
  <si>
    <t>PE-L1-3C4-03</t>
    <phoneticPr fontId="3" type="noConversion"/>
  </si>
  <si>
    <t>PE-L1-3C4-27</t>
    <phoneticPr fontId="12" type="noConversion"/>
  </si>
  <si>
    <t>PE-L1-3C4-28</t>
    <phoneticPr fontId="12" type="noConversion"/>
  </si>
  <si>
    <t>PE-L1-3C4-28</t>
    <phoneticPr fontId="3" type="noConversion"/>
  </si>
  <si>
    <t>FIN FAN COOLER PACKAGE (CCW)_FAN MOTOR #1</t>
    <phoneticPr fontId="3" type="noConversion"/>
  </si>
  <si>
    <t>PE-L1-4C50/25-03</t>
    <phoneticPr fontId="3" type="noConversion"/>
  </si>
  <si>
    <t>PE-L1-4C50/25-04</t>
    <phoneticPr fontId="3" type="noConversion"/>
  </si>
  <si>
    <t>PE-L1-4C50/25-05</t>
    <phoneticPr fontId="3" type="noConversion"/>
  </si>
  <si>
    <t>3C x 50sqmm + 1C X 25sqmm</t>
    <phoneticPr fontId="3" type="noConversion"/>
  </si>
  <si>
    <t>MOTOR JACKING OIL PUMP 1</t>
    <phoneticPr fontId="3" type="noConversion"/>
  </si>
  <si>
    <t>PE-L1-4C50/25-06</t>
    <phoneticPr fontId="3" type="noConversion"/>
  </si>
  <si>
    <t>4C x 4sqmm</t>
    <phoneticPr fontId="3" type="noConversion"/>
  </si>
  <si>
    <t>SUMP LCP</t>
    <phoneticPr fontId="3" type="noConversion"/>
  </si>
  <si>
    <t>PE-L1-4C4-25</t>
    <phoneticPr fontId="3" type="noConversion"/>
  </si>
  <si>
    <t>PE-L1-4C4-26</t>
    <phoneticPr fontId="3" type="noConversion"/>
  </si>
  <si>
    <t>4C x 70sqmm + 1C X 35sqmm</t>
    <phoneticPr fontId="3" type="noConversion"/>
  </si>
  <si>
    <t>PE-L1-5C70/35-02</t>
    <phoneticPr fontId="12" type="noConversion"/>
  </si>
  <si>
    <t>PE-L1-5C70/35-03</t>
    <phoneticPr fontId="3" type="noConversion"/>
  </si>
  <si>
    <t>PE-L1-5C70/35-04</t>
    <phoneticPr fontId="3" type="noConversion"/>
  </si>
  <si>
    <t>PE-L1-1C185-03</t>
    <phoneticPr fontId="3" type="noConversion"/>
  </si>
  <si>
    <t>PE-L1-1C185-04</t>
    <phoneticPr fontId="3" type="noConversion"/>
  </si>
  <si>
    <t>2C x 6sqmm</t>
    <phoneticPr fontId="3" type="noConversion"/>
  </si>
  <si>
    <t>2C x 10sqmm</t>
    <phoneticPr fontId="3" type="noConversion"/>
  </si>
  <si>
    <t>2C x 16sqmm</t>
    <phoneticPr fontId="3" type="noConversion"/>
  </si>
  <si>
    <t>2C x 50sqmm</t>
    <phoneticPr fontId="3" type="noConversion"/>
  </si>
  <si>
    <t>PE-L1-3C6-07</t>
    <phoneticPr fontId="3" type="noConversion"/>
  </si>
  <si>
    <t>3C x 6sqmm</t>
    <phoneticPr fontId="3" type="noConversion"/>
  </si>
  <si>
    <t>3C x 10sqmm</t>
    <phoneticPr fontId="3" type="noConversion"/>
  </si>
  <si>
    <t>WT/WWT DCS CONTROLLER CABINET PRIMARY</t>
    <phoneticPr fontId="3" type="noConversion"/>
  </si>
  <si>
    <t>2C x 70sqmm + 1C X 35sqmm</t>
    <phoneticPr fontId="3" type="noConversion"/>
  </si>
  <si>
    <t>HRSG #22 UPS DISTRIBUTION BOARD (MAIN)</t>
    <phoneticPr fontId="3" type="noConversion"/>
  </si>
  <si>
    <t>4C x 6sqmm</t>
    <phoneticPr fontId="3" type="noConversion"/>
  </si>
  <si>
    <t>HRSG #11 FW RECIRCULATION PUMP A - MOTOR</t>
    <phoneticPr fontId="3" type="noConversion"/>
  </si>
  <si>
    <t>4C x 10sqmm</t>
    <phoneticPr fontId="3" type="noConversion"/>
  </si>
  <si>
    <t>4C x 16sqmm</t>
    <phoneticPr fontId="3" type="noConversion"/>
  </si>
  <si>
    <t>3C x 25sqmm + 1C X 16sqmm</t>
    <phoneticPr fontId="3" type="noConversion"/>
  </si>
  <si>
    <t>3C x 35sqmm + 1C X 25sqmm</t>
    <phoneticPr fontId="3" type="noConversion"/>
  </si>
  <si>
    <t>PE-L1-4C70/35-04</t>
    <phoneticPr fontId="3" type="noConversion"/>
  </si>
  <si>
    <t>3C x 70sqmm + 1C X 35sqmm</t>
    <phoneticPr fontId="3" type="noConversion"/>
  </si>
  <si>
    <t>3C x 95sqmm + 1C X 50sqmm</t>
    <phoneticPr fontId="3" type="noConversion"/>
  </si>
  <si>
    <t>3C x 120sqmm + 1C X 70sqmm</t>
    <phoneticPr fontId="3" type="noConversion"/>
  </si>
  <si>
    <t>5C x 4sqmm</t>
    <phoneticPr fontId="3" type="noConversion"/>
  </si>
  <si>
    <t>5C x 6sqmm</t>
    <phoneticPr fontId="3" type="noConversion"/>
  </si>
  <si>
    <t>PE-L1-5C10-02</t>
    <phoneticPr fontId="3" type="noConversion"/>
  </si>
  <si>
    <t>5C x 10sqmm</t>
    <phoneticPr fontId="3" type="noConversion"/>
  </si>
  <si>
    <t>4C x 25sqmm + 1C X 16sqmm</t>
    <phoneticPr fontId="3" type="noConversion"/>
  </si>
  <si>
    <t>4C x 50sqmm + 1C X 25sqmm</t>
    <phoneticPr fontId="3" type="noConversion"/>
  </si>
  <si>
    <t>PE-L1-5C95/50-03</t>
    <phoneticPr fontId="12" type="noConversion"/>
  </si>
  <si>
    <t>PE-L1-5C95/50-04</t>
    <phoneticPr fontId="12" type="noConversion"/>
  </si>
  <si>
    <t>PE-L1-5C95/50-05</t>
    <phoneticPr fontId="12" type="noConversion"/>
  </si>
  <si>
    <t>4C x 95sqmm + 1C X 50sqmm</t>
    <phoneticPr fontId="3" type="noConversion"/>
  </si>
  <si>
    <t>PE-L1-5C120/70-02</t>
    <phoneticPr fontId="3" type="noConversion"/>
  </si>
  <si>
    <t>PE-L1-5C120/70-04</t>
    <phoneticPr fontId="3" type="noConversion"/>
  </si>
  <si>
    <t>PE-L1-5C120/70-01</t>
    <phoneticPr fontId="3" type="noConversion"/>
  </si>
  <si>
    <t>PE-L1-5C120/70-05</t>
    <phoneticPr fontId="3" type="noConversion"/>
  </si>
  <si>
    <t>-P10</t>
  </si>
  <si>
    <t>11CJT91
(11MBJ01GS091 -E01)</t>
  </si>
  <si>
    <t>11MBJ01GT002 -E01</t>
  </si>
  <si>
    <t>11BUA01.EA001</t>
  </si>
  <si>
    <t>11CJT21</t>
  </si>
  <si>
    <t>11BUA51.DA001</t>
  </si>
  <si>
    <t>-P2</t>
  </si>
  <si>
    <t>11BMA51.CB001</t>
  </si>
  <si>
    <t>12BFA51.DA001</t>
  </si>
  <si>
    <t>12CJT91
(12MBJ01GS091 -E01)</t>
  </si>
  <si>
    <t>12MBJ01GT002 -E01</t>
  </si>
  <si>
    <t>12BUA01.EA001</t>
  </si>
  <si>
    <t>12BMA52.PB001</t>
  </si>
  <si>
    <t>21BFA51.DA001</t>
  </si>
  <si>
    <t>21CJT91
(21MBJ01GS091 -E01)</t>
  </si>
  <si>
    <t>21MBJ01GT002 -E01</t>
  </si>
  <si>
    <t>21BUA01.EA001</t>
  </si>
  <si>
    <t>PE-L1-2C4-07</t>
  </si>
  <si>
    <t>21BUB01.EA001</t>
  </si>
  <si>
    <t>21CJT21</t>
  </si>
  <si>
    <t>21BUA51.DA003</t>
  </si>
  <si>
    <t>22CJT91
(22MBJ01GS091 -E01)</t>
  </si>
  <si>
    <t>22MBJ01GT002 -E01</t>
  </si>
  <si>
    <t>22BUB01.EA001</t>
  </si>
  <si>
    <t>22CJT21</t>
  </si>
  <si>
    <t>DRUM
NO.</t>
    <phoneticPr fontId="12" type="noConversion"/>
  </si>
  <si>
    <t>GTG #11 400V AC UNIT SWITCHGEAR</t>
    <phoneticPr fontId="3" type="noConversion"/>
  </si>
  <si>
    <t>GTG #11 SFC CABINET
(GTG #11 SUFC EXTL ISOLR)</t>
    <phoneticPr fontId="3" type="noConversion"/>
  </si>
  <si>
    <t>1.1_MAIN BUILDING COMPLEX / PCC #11(UBA3310)</t>
    <phoneticPr fontId="3" type="noConversion"/>
  </si>
  <si>
    <t>GTG #11 LV-SIDE SUFC TFR</t>
    <phoneticPr fontId="3" type="noConversion"/>
  </si>
  <si>
    <t>GTG #11 220V DC SWITCHGEAR</t>
    <phoneticPr fontId="3" type="noConversion"/>
  </si>
  <si>
    <t>GTG #11 400V AC EMERGENCY SWITCHGEAR</t>
    <phoneticPr fontId="3" type="noConversion"/>
  </si>
  <si>
    <t>1.1_MAIN BUILDING COMPLEX / PCC #11(UBA3210)</t>
    <phoneticPr fontId="3" type="noConversion"/>
  </si>
  <si>
    <t>5C x 4sqmm</t>
    <phoneticPr fontId="3" type="noConversion"/>
  </si>
  <si>
    <t>GTG #12 400V AC UNIT SWITCHGEAR</t>
    <phoneticPr fontId="3" type="noConversion"/>
  </si>
  <si>
    <t>GTG #12 SFC CABINET
(GTG #12 SUFC EXTL ISOLR)</t>
    <phoneticPr fontId="3" type="noConversion"/>
  </si>
  <si>
    <t>1.1_MAIN BUILDING COMPLEX / PCC #12(UBA3310)</t>
    <phoneticPr fontId="3" type="noConversion"/>
  </si>
  <si>
    <t>GTG #12 LV-SIDE SUFC TFR</t>
    <phoneticPr fontId="3" type="noConversion"/>
  </si>
  <si>
    <t>GTG #12 400V AC EMERGENCY SWITCHGEAR</t>
    <phoneticPr fontId="3" type="noConversion"/>
  </si>
  <si>
    <t>1.1_MAIN BUILDING COMPLEX / PCC #12(UBA3210)</t>
    <phoneticPr fontId="3" type="noConversion"/>
  </si>
  <si>
    <t>GTG #21 400V AC UNIT SWITCHGEAR</t>
    <phoneticPr fontId="3" type="noConversion"/>
  </si>
  <si>
    <t>GTG #21 SFC CABINET
(GTG #21 SUFC EXTL ISOLR)</t>
    <phoneticPr fontId="3" type="noConversion"/>
  </si>
  <si>
    <t>1.1_MAIN BUILDING COMPLEX / PCC #21(UBA3310)</t>
    <phoneticPr fontId="3" type="noConversion"/>
  </si>
  <si>
    <t>GTG #21 LV-SIDE SUFC TFR</t>
    <phoneticPr fontId="3" type="noConversion"/>
  </si>
  <si>
    <t>GTG #21 400V AC EMERGENCY SWITCHGEAR</t>
    <phoneticPr fontId="3" type="noConversion"/>
  </si>
  <si>
    <t>1.1_MAIN BUILDING COMPLEX / PCC #21(UBA3210)</t>
    <phoneticPr fontId="3" type="noConversion"/>
  </si>
  <si>
    <t>GTG #22 400V AC UNIT SWITCHGEAR</t>
    <phoneticPr fontId="3" type="noConversion"/>
  </si>
  <si>
    <t>GTG #22 SFC CABINET
(GTG #22 SUFC EXTL ISOLR)</t>
    <phoneticPr fontId="3" type="noConversion"/>
  </si>
  <si>
    <t>1.1_MAIN BUILDING COMPLEX / PCC #22(UBA3310)</t>
    <phoneticPr fontId="3" type="noConversion"/>
  </si>
  <si>
    <t>GTG #22 LV-SIDE SUFC TFR</t>
    <phoneticPr fontId="3" type="noConversion"/>
  </si>
  <si>
    <t>GTG #22 220V DC SWITCHGEAR</t>
    <phoneticPr fontId="3" type="noConversion"/>
  </si>
  <si>
    <t>GTG #22 400V AC EMERGENCY SWITCHGEAR</t>
    <phoneticPr fontId="3" type="noConversion"/>
  </si>
  <si>
    <t>1.1_MAIN BUILDING COMPLEX / PCC #22(UBA3210)</t>
    <phoneticPr fontId="3" type="noConversion"/>
  </si>
  <si>
    <t>1.1_MAIN BUILDING COMPLEX / STG #1</t>
    <phoneticPr fontId="3" type="noConversion"/>
  </si>
  <si>
    <t>1.1_MAIN BUILDING COMPLEX / STG #2</t>
    <phoneticPr fontId="3" type="noConversion"/>
  </si>
  <si>
    <t>B064-016ET0027 → B064-016ET0028 → B064-016ET0029 → B064-016ET0030 → B064-016ET0245 → B064-016ET0246 → B064-016ET0297 → B064-016ET0302 → B064-996ET0025 → M0509 → D0507-L44 → M0524 → D0526-L15 → M0520 → D0514-L15 → M0516 → D0523-L11 → M0517 → D0515-L11 → M0518 → D0516-L11 → M0519 → D0527-L11 → M0425 → D0420-L11 → M0423 → D0416-L15 → M0422 → D0414-L31 → PKG SCOPE</t>
  </si>
  <si>
    <t>B064-016ET0027 → B064-016ET0028 → B064-016ET0029 → B064-016ET0030 → B064-016ET0245 → B064-016ET0246 → B064-016ET0297 → B064-016ET0302 → B064-996ET0025 → M0509 → D0507-L33 → M0524 → D0526-L13 → M0520 → D0514-L24 → M0516 → D0523-L22 → M0517 → D0515-L22 → M0518 → D0516-L22 → M0519 → D0527-L22 → M0425 → D0420-L24 → M0423 → D0416-L24 → M0422 → D0414-L11 → PKG SCOPE</t>
  </si>
  <si>
    <t>B064-016ET0027 → B064-016ET0028 → B064-016ET0029 → B064-016ET0030 → B064-016ET0245 → B064-016ET0246 → B064-016ET0297 → B064-016ET0302 → B064-996ET0025 → M0509 → D0507-L34 → M0524 → D0526-L14 → M0520 → D0514-L25 → M0516 → D0523-L21 → M0517 → D0515-L21 → M0518 → D0516-L21 → M0519 → D0527-L21 → M0425 → D0420-L25 → M0423 → D0416-L25 → M0422 → D0414-L21 → PKG SCOPE</t>
  </si>
  <si>
    <t>B064-016DT0020 → B064-016DT0021 → B064-016DT0022 → B064-016DT0023 → B064-016DT0310 → B064-016DT0247 → B064-016DT0248 → B064-016DT0300 → B064-016DT0304 → B064-996DT0026 → M0509 → D0507-L31 → M0524 → D0526-L11 → M0520 → D0514-L21 → M0516 → D0523-L25 → M0517 → D0515-L25 → M0518 → D0516-L25 → M0519 → D0527-L25 → M0425 → D0420-L21 → M0423 → D0416-L21 → M0422 → D0414-L13 → PKG SCOPE</t>
  </si>
  <si>
    <t>B064-016DT0020 → B064-016DT0021 → B064-016DT0022 → B064-016DT0023 → B064-016DT0310 → B064-016DT0247 → B064-016DT0248 → B064-016DT0300 → B064-016DT0304 → B064-996DT0026 → M0509 → D0507-L32 → M0524 → D0526-L12 → M0520 → D0514-L22 → M0516 → D0523-L24 → M0517 → D0515-L24 → M0518 → D0516-L24 → M0519 → D0527-L24 → M0425 → D0420-L22 → M0423 → D0416-L22 → M0422 → D0414-L12 → PKG SCOPE</t>
  </si>
  <si>
    <t>B064-016DT0020 → B064-016DT0021 → B064-016DT0022 → B064-016DT0023 → B064-016DT0310 → B064-016DT0247 → B064-016DT0248 → B064-016DT0300 → B064-016DT0304 → B064-996DT0026 → M0509 → D0507-L42 → M0524 → D0526-L22 → M0520 → D0514-L23 → M0516 → D0523-L23 → M0517 → D0515-L23 → M0518 → D0516-L23 → M0519 → D0527-L23 → M0425 → D0420-L23 → M0423 → D0416-L23 → M0422 → D0414-L22 → PKG SCOPE</t>
  </si>
  <si>
    <t>PE-L1-5C150/95-02</t>
    <phoneticPr fontId="3" type="noConversion"/>
  </si>
  <si>
    <t>3C x 95sqmm + 1C X 50sqmm</t>
    <phoneticPr fontId="3" type="noConversion"/>
  </si>
  <si>
    <t>PE-L1-4C95/50-02</t>
    <phoneticPr fontId="12" type="noConversion"/>
  </si>
  <si>
    <t>1C x 95sqmm</t>
    <phoneticPr fontId="3" type="noConversion"/>
  </si>
  <si>
    <t>PE-L1-1C95-01</t>
    <phoneticPr fontId="12" type="noConversion"/>
  </si>
  <si>
    <t>B1-UPSP-64702-P2015</t>
    <phoneticPr fontId="3" type="noConversion"/>
  </si>
  <si>
    <t>PE-L1-5C95/50-03</t>
    <phoneticPr fontId="3" type="noConversion"/>
  </si>
  <si>
    <t>4C x 95sqmm + 1C X 50sqmm</t>
    <phoneticPr fontId="3" type="noConversion"/>
  </si>
  <si>
    <t>L1, L2, L3, PE</t>
    <phoneticPr fontId="3" type="noConversion"/>
  </si>
  <si>
    <t>A2F-S-25-N34</t>
  </si>
  <si>
    <t>Q;ty</t>
    <phoneticPr fontId="3" type="noConversion"/>
  </si>
  <si>
    <t>Cable Gland</t>
    <phoneticPr fontId="12" type="noConversion"/>
  </si>
  <si>
    <t>SWGR to J/B : Doosan
J/B to consumer : SE
12MBL10GH001 -X01
(001, 002, 003, 004, 005)</t>
    <phoneticPr fontId="3" type="noConversion"/>
  </si>
  <si>
    <t>SWGR to J/B : Doosan
J/B to consumer : SE
21MBL10GH001 -X01
(001, 002, 003, 004, 005)</t>
    <phoneticPr fontId="3" type="noConversion"/>
  </si>
  <si>
    <t>SWGR to J/B : Doosan
J/B to consumer : SE
22MBL10GH001 -X01
(001, 002, 003, 004, 005)</t>
    <phoneticPr fontId="3" type="noConversion"/>
  </si>
  <si>
    <t>SWGR to J/B : Doosan
J/B to consumer : SE
12MBL20GH001 -X01
(001, 002, 003, 004, 005)</t>
    <phoneticPr fontId="3" type="noConversion"/>
  </si>
  <si>
    <t>SWGR to J/B : Doosan
J/B to consumer : SE
21MBL20GH001 -X01
(001, 002, 003, 004, 005)</t>
    <phoneticPr fontId="3" type="noConversion"/>
  </si>
  <si>
    <t>SWGR to J/B : Doosan
J/B to consumer : SE
22MBL20GH001 -X01
(001, 002, 003, 004, 005)</t>
    <phoneticPr fontId="3" type="noConversion"/>
  </si>
  <si>
    <t>L1, L2, L3, N, PE</t>
    <phoneticPr fontId="3" type="noConversion"/>
  </si>
  <si>
    <t>SWGR to J/B : Doosan
J/B to consumer : SE
12MBL30GH001 -X01
(001, 002, 003, 004, 005)</t>
    <phoneticPr fontId="3" type="noConversion"/>
  </si>
  <si>
    <t>SWGR to J/B : Doosan
J/B to consumer : SE
21MBL30GH001 -X01
(001, 002, 003, 004, 005)</t>
    <phoneticPr fontId="3" type="noConversion"/>
  </si>
  <si>
    <t>SWGR to J/B : Doosan
J/B to consumer : SE
22MBL30GH001 -X01
(001, 002, 003, 004, 005)</t>
    <phoneticPr fontId="3" type="noConversion"/>
  </si>
  <si>
    <t>SWGR to J/B : Doosan
J/B to consumer : SE
12MBL40GH001 -X01
(001, 002, 003, 004, 005)</t>
    <phoneticPr fontId="3" type="noConversion"/>
  </si>
  <si>
    <t>SWGR to J/B : Doosan
J/B to consumer : SE
21MBL40GH001 -X01
(001, 002, 003, 004, 005)</t>
    <phoneticPr fontId="3" type="noConversion"/>
  </si>
  <si>
    <t>SWGR to J/B : Doosan
J/B to consumer : SE
22MBL40GH001 -X01
(001, 002, 003, 004, 005)</t>
    <phoneticPr fontId="3" type="noConversion"/>
  </si>
  <si>
    <t>L+, L-</t>
    <phoneticPr fontId="3" type="noConversion"/>
  </si>
  <si>
    <t>RL, LL, L-, BR, PE</t>
    <phoneticPr fontId="3" type="noConversion"/>
  </si>
  <si>
    <t>X2(1(L+), 2(L+), 3(L-)), X19(C2), PE</t>
    <phoneticPr fontId="3" type="noConversion"/>
  </si>
  <si>
    <t>PE-L1-5C4-02</t>
    <phoneticPr fontId="3" type="noConversion"/>
  </si>
  <si>
    <t>PE-L1-5C4-03</t>
    <phoneticPr fontId="3" type="noConversion"/>
  </si>
  <si>
    <t>SWGR to J/B : Doosan
J/B to consumer : SE
11MYB30GF102 -X03
(401, 402, 403, 404, PE)</t>
    <phoneticPr fontId="3" type="noConversion"/>
  </si>
  <si>
    <t>SWGR to J/B : Doosan
J/B to consumer : SE
11MYB30GF202 -X03
(401, 402, 403, 404, PE)</t>
    <phoneticPr fontId="3" type="noConversion"/>
  </si>
  <si>
    <t>SWGR to J/B : Doosan
J/B to consumer : SE
12MYB30GF202 -X03
(401, 402, 403, 404, PE)</t>
    <phoneticPr fontId="3" type="noConversion"/>
  </si>
  <si>
    <t>SWGR to J/B : Doosan
J/B to consumer : SE
21MYB30GF202 -X03
(401, 402, 403, 404, PE)</t>
    <phoneticPr fontId="3" type="noConversion"/>
  </si>
  <si>
    <t>SWGR to J/B : Doosan
J/B to consumer : SE
22MYB30GF202 -X03
(401, 402, 403, 404, PE)</t>
    <phoneticPr fontId="3" type="noConversion"/>
  </si>
  <si>
    <t>SWGR to J/B : Doosan
J/B to consumer : SE
12MYB30GF102 -X03
(412, 413, 414)</t>
    <phoneticPr fontId="3" type="noConversion"/>
  </si>
  <si>
    <t>SWGR to J/B : Doosan
J/B to consumer : SE
12MYB30GF102 -X03
(408, 409, 410, 411, PE)</t>
    <phoneticPr fontId="3" type="noConversion"/>
  </si>
  <si>
    <t>SWGR to J/B : Doosan
J/B to consumer : SE
21MYB30GF102 -X03
(412, 413, 414)</t>
    <phoneticPr fontId="3" type="noConversion"/>
  </si>
  <si>
    <t>SWGR to J/B : Doosan
J/B to consumer : SE
21MYB30GF102 -X03
(408, 409, 410, 411, PE)</t>
    <phoneticPr fontId="3" type="noConversion"/>
  </si>
  <si>
    <t>SWGR to J/B : Doosan
J/B to consumer : SE
22MYB30GF102 -X03
(412, 413, 414)</t>
    <phoneticPr fontId="3" type="noConversion"/>
  </si>
  <si>
    <t>SWGR to J/B : Doosan
J/B to consumer : SE
22MYB30GF102 -X03
(408, 409, 410, 411, PE)</t>
    <phoneticPr fontId="3" type="noConversion"/>
  </si>
  <si>
    <t>L, N, PE</t>
    <phoneticPr fontId="3" type="noConversion"/>
  </si>
  <si>
    <t>PE-L1-3C4-29</t>
    <phoneticPr fontId="3" type="noConversion"/>
  </si>
  <si>
    <t>PE-L1-5C4-03</t>
  </si>
  <si>
    <t>SWGR to J/B : Doosan
J/B to consumer : SE
12MYB30GF102 -X03
(419, 420, 421)</t>
    <phoneticPr fontId="3" type="noConversion"/>
  </si>
  <si>
    <t>SWGR to J/B : Doosan
J/B to consumer : SE
21MYB30GF102 -X03
(419, 420, 421)</t>
    <phoneticPr fontId="3" type="noConversion"/>
  </si>
  <si>
    <t>SWGR to J/B : Doosan
J/B to consumer : SE
22MYB30GF102 -X03
(419, 420, 421)</t>
    <phoneticPr fontId="3" type="noConversion"/>
  </si>
  <si>
    <t>X19(D3, D4), PE</t>
    <phoneticPr fontId="3" type="noConversion"/>
  </si>
  <si>
    <t>SWGR to J/B : Doosan
J/B to consumer : SE
12MYB30GF102 -X03
(426, 427, 428)</t>
    <phoneticPr fontId="3" type="noConversion"/>
  </si>
  <si>
    <t>SWGR to J/B : Doosan
J/B to consumer : SE
12MYB30GF102 -X03
(422, 423, 424, 425, PE)</t>
    <phoneticPr fontId="3" type="noConversion"/>
  </si>
  <si>
    <t>SWGR to J/B : Doosan
J/B to consumer : SE
21MYB30GF102 -X03
(426, 427, 428)</t>
    <phoneticPr fontId="3" type="noConversion"/>
  </si>
  <si>
    <t>SWGR to J/B : Doosan
J/B to consumer : SE
21MYB30GF102 -X03
(422, 423, 424, 425, PE)</t>
    <phoneticPr fontId="3" type="noConversion"/>
  </si>
  <si>
    <t>SWGR to J/B : Doosan
J/B to consumer : SE
22MYB30GF102 -X03
(426, 427, 428)</t>
    <phoneticPr fontId="3" type="noConversion"/>
  </si>
  <si>
    <t>SWGR to J/B : Doosan
J/B to consumer : SE
22MYB30GF102 -X03
(422, 423, 424, 425, PE)</t>
    <phoneticPr fontId="3" type="noConversion"/>
  </si>
  <si>
    <t>SWGR to J/B : Doosan
J/B to consumer : SE
11MYB30GF202 -X03
(412, 413, 414)</t>
    <phoneticPr fontId="3" type="noConversion"/>
  </si>
  <si>
    <t>SWGR to J/B : Doosan
J/B to consumer : SE
11MYB30GF202 -X03
(408, 409, 410, 411, PE)</t>
    <phoneticPr fontId="3" type="noConversion"/>
  </si>
  <si>
    <t>SWGR to J/B : Doosan
J/B to consumer : SE
12MYB30GF202 -X03
(412, 413, 414)</t>
    <phoneticPr fontId="3" type="noConversion"/>
  </si>
  <si>
    <t>SWGR to J/B : Doosan
J/B to consumer : SE
12MYB30GF202 -X03
(408, 409, 410, 411, PE)</t>
    <phoneticPr fontId="3" type="noConversion"/>
  </si>
  <si>
    <t>SWGR to J/B : Doosan
J/B to consumer : SE
21MYB30GF202 -X03
(412, 413, 414)</t>
    <phoneticPr fontId="3" type="noConversion"/>
  </si>
  <si>
    <t>SWGR to J/B : Doosan
J/B to consumer : SE
21MYB30GF202 -X03
(408, 409, 410, 411, PE)</t>
    <phoneticPr fontId="3" type="noConversion"/>
  </si>
  <si>
    <t>SWGR to J/B : Doosan
J/B to consumer : SE
22MYB30GF202 -X03
(412, 413, 414)</t>
    <phoneticPr fontId="3" type="noConversion"/>
  </si>
  <si>
    <t>SWGR to J/B : Doosan
J/B to consumer : SE
22MYB30GF202 -X03
(408, 409, 410, 411, PE)</t>
    <phoneticPr fontId="3" type="noConversion"/>
  </si>
  <si>
    <t>SWGR to J/B : Doosan
J/B to consumer : SE
11MYB30GF202 -X03
(419, 420, 421)</t>
    <phoneticPr fontId="3" type="noConversion"/>
  </si>
  <si>
    <t>SWGR to J/B : Doosan
J/B to consumer : SE
11MYB30GF202 -X03
(415, 416, 417, 418, PE)</t>
    <phoneticPr fontId="3" type="noConversion"/>
  </si>
  <si>
    <t>SWGR to J/B : Doosan
J/B to consumer : SE
12MYB30GF202 -X03
(419, 420, 421)</t>
    <phoneticPr fontId="3" type="noConversion"/>
  </si>
  <si>
    <t>SWGR to J/B : Doosan
J/B to consumer : SE
12MYB30GF202 -X03
(415, 416, 417, 418, PE)</t>
    <phoneticPr fontId="3" type="noConversion"/>
  </si>
  <si>
    <t>SWGR to J/B : Doosan
J/B to consumer : SE
21MYB30GF202 -X03
(419, 420, 421)</t>
    <phoneticPr fontId="3" type="noConversion"/>
  </si>
  <si>
    <t>SWGR to J/B : Doosan
J/B to consumer : SE
21MYB30GF202 -X03
(415, 416, 417, 418, PE)</t>
    <phoneticPr fontId="3" type="noConversion"/>
  </si>
  <si>
    <t>SWGR to J/B : Doosan
J/B to consumer : SE
22MYB30GF202 -X03
(419, 420, 421)</t>
    <phoneticPr fontId="3" type="noConversion"/>
  </si>
  <si>
    <t>SWGR to J/B : Doosan
J/B to consumer : SE
22MYB30GF202 -X03
(415, 416, 417, 418, PE)</t>
    <phoneticPr fontId="3" type="noConversion"/>
  </si>
  <si>
    <t>PE-L1-3C4-29</t>
  </si>
  <si>
    <t>SWGR to J/B : Doosan
J/B to consumer : SE
11MYB30GF202 -X03
(426, 427, 428)</t>
    <phoneticPr fontId="3" type="noConversion"/>
  </si>
  <si>
    <t>SWGR to J/B : Doosan
J/B to consumer : SE
11MYB30GF202 -X03
(422, 423, 424, 425, PE)</t>
    <phoneticPr fontId="3" type="noConversion"/>
  </si>
  <si>
    <t>SWGR to J/B : Doosan
J/B to consumer : SE
12MYB30GF202 -X03
(426, 427, 428)</t>
    <phoneticPr fontId="3" type="noConversion"/>
  </si>
  <si>
    <t>SWGR to J/B : Doosan
J/B to consumer : SE
12MYB30GF202 -X03
(422, 423, 424, 425, PE)</t>
    <phoneticPr fontId="3" type="noConversion"/>
  </si>
  <si>
    <t>SWGR to J/B : Doosan
J/B to consumer : SE
21MYB30GF202 -X03
(426, 427, 428)</t>
    <phoneticPr fontId="3" type="noConversion"/>
  </si>
  <si>
    <t>SWGR to J/B : Doosan
J/B to consumer : SE
21MYB30GF202 -X03
(422, 423, 424, 425, PE)</t>
    <phoneticPr fontId="3" type="noConversion"/>
  </si>
  <si>
    <t>SWGR to J/B : Doosan
J/B to consumer : SE
22MYB30GF202 -X03
(426, 427, 428)</t>
    <phoneticPr fontId="3" type="noConversion"/>
  </si>
  <si>
    <t>SWGR to J/B : Doosan
J/B to consumer : SE
22MYB30GF202 -X03
(422, 423, 424, 425, PE)</t>
    <phoneticPr fontId="3" type="noConversion"/>
  </si>
  <si>
    <t>SWGR to J/B : Doosan
J/B to consumer : SE
12MYB30GF021 -X01
(701, 702, PE)</t>
    <phoneticPr fontId="3" type="noConversion"/>
  </si>
  <si>
    <t>SWGR to J/B : Doosan
J/B to consumer : SE
21MYB30GF021 -X01
(701, 702, PE)</t>
    <phoneticPr fontId="3" type="noConversion"/>
  </si>
  <si>
    <t>SWGR to J/B : Doosan
J/B to consumer : SE
22MYB30GF021 -X01
(701, 702, PE)</t>
    <phoneticPr fontId="3" type="noConversion"/>
  </si>
  <si>
    <t>SWGR to J/B : Doosan
J/B to consumer : SE
12MYB30GF021 -X01
(703, 704, PE)</t>
    <phoneticPr fontId="3" type="noConversion"/>
  </si>
  <si>
    <t>SWGR to J/B : Doosan
J/B to consumer : SE
21MYB30GF021 -X01
(703, 704, PE)</t>
    <phoneticPr fontId="3" type="noConversion"/>
  </si>
  <si>
    <t>SWGR to J/B : Doosan
J/B to consumer : SE
22MYB30GF021 -X01
(703, 704, PE)</t>
    <phoneticPr fontId="3" type="noConversion"/>
  </si>
  <si>
    <t>F1, A2, D2, PE</t>
    <phoneticPr fontId="3" type="noConversion"/>
  </si>
  <si>
    <t>1, 2, PE</t>
    <phoneticPr fontId="3" type="noConversion"/>
  </si>
  <si>
    <t>X19(D03(L), D04(N)), PE</t>
    <phoneticPr fontId="3" type="noConversion"/>
  </si>
  <si>
    <t>X2(1, 2, 3), PE</t>
    <phoneticPr fontId="3" type="noConversion"/>
  </si>
  <si>
    <t>X2(1, 2), PE</t>
    <phoneticPr fontId="3" type="noConversion"/>
  </si>
  <si>
    <t>2C x 95sqmm + 1C x 50sqmm</t>
    <phoneticPr fontId="3" type="noConversion"/>
  </si>
  <si>
    <t>PE-L1-4C6-01</t>
    <phoneticPr fontId="12" type="noConversion"/>
  </si>
  <si>
    <t>PE-L1-3C95/50-01</t>
    <phoneticPr fontId="12" type="noConversion"/>
  </si>
  <si>
    <t>PE-L1-3C4-29</t>
    <phoneticPr fontId="12" type="noConversion"/>
  </si>
  <si>
    <t>PE-L1-4C6-03</t>
    <phoneticPr fontId="12" type="noConversion"/>
  </si>
  <si>
    <t>SWGR to J/B : Doosan
J/B to consumer : SE
11MBY10GF002 -X01
(701, 702, 703, PE)</t>
    <phoneticPr fontId="3" type="noConversion"/>
  </si>
  <si>
    <t>SWGR to J/B : Doosan
J/B to consumer : SE
12MBY10GF002 -X01
(701, 702, 703, PE)</t>
    <phoneticPr fontId="3" type="noConversion"/>
  </si>
  <si>
    <t>SWGR to J/B : Doosan
J/B to consumer : SE
21MBY10GF002 -X01
(701, 702, 703, PE)</t>
    <phoneticPr fontId="3" type="noConversion"/>
  </si>
  <si>
    <t>SWGR to J/B : Doosan
J/B to consumer : SE
22MBY10GF002 -X01
(701, 702, 703, PE)</t>
    <phoneticPr fontId="3" type="noConversion"/>
  </si>
  <si>
    <t>SWGR to J/B : Doosan
J/B to consumer : SE
12MBY40GH001 -X01
(701, 702, 703, 704, PE)</t>
    <phoneticPr fontId="3" type="noConversion"/>
  </si>
  <si>
    <t>SWGR to J/B : Doosan
J/B to consumer : SE
21MBY40GH001 -X01
(701, 702, 703, 704, PE)</t>
    <phoneticPr fontId="3" type="noConversion"/>
  </si>
  <si>
    <t>SWGR to J/B : Doosan
J/B to consumer : SE
22MBY40GH001 -X01
(701, 702, 703, 704, PE)</t>
    <phoneticPr fontId="3" type="noConversion"/>
  </si>
  <si>
    <t>SWGR to J/B : Doosan
J/B to consumer : SE
12MBY80GH001 -X02
(L1, L2, L3, N, PE)</t>
    <phoneticPr fontId="3" type="noConversion"/>
  </si>
  <si>
    <t>SWGR to J/B : Doosan
J/B to consumer : SE
21MBY80GH001 -X02
(L1, L2, L3, N, PE)</t>
    <phoneticPr fontId="3" type="noConversion"/>
  </si>
  <si>
    <t>SWGR to J/B : Doosan
J/B to consumer : SE
22MBY80GH001 -X02
(L1, L2, L3, N, PE)</t>
    <phoneticPr fontId="3" type="noConversion"/>
  </si>
  <si>
    <t>SWGR to J/B : Doosan
J/B to consumer : SE
11MKC05GE001 -X0
(1, 2, 3, 4, N, PE)</t>
    <phoneticPr fontId="3" type="noConversion"/>
  </si>
  <si>
    <t>SWGR to J/B : Doosan
J/B to consumer : SE
12MKC05GE001 -X0
(1, 2, 3, 4, N, PE)</t>
    <phoneticPr fontId="3" type="noConversion"/>
  </si>
  <si>
    <t>SWGR to J/B : Doosan
J/B to consumer : SE
21MKC05GE001 -X0
(1, 2, 3, 4, N, PE)</t>
    <phoneticPr fontId="3" type="noConversion"/>
  </si>
  <si>
    <t>SWGR to J/B : Doosan
J/B to consumer : SE
22MKC05GE001 -X0
(1, 2, 3, 4, N, PE)</t>
    <phoneticPr fontId="3" type="noConversion"/>
  </si>
  <si>
    <t>A2F-S-40(S)-N1-14</t>
  </si>
  <si>
    <t>A2F-S-50-N1-12</t>
  </si>
  <si>
    <t>A2F-S-25a-N34</t>
  </si>
  <si>
    <t>B1-DB-64602</t>
    <phoneticPr fontId="3" type="noConversion"/>
  </si>
  <si>
    <t>B2-DB-64603</t>
    <phoneticPr fontId="3" type="noConversion"/>
  </si>
  <si>
    <t>FGS-C-026-005</t>
    <phoneticPr fontId="3" type="noConversion"/>
  </si>
  <si>
    <t>PE-L1-5C4-04</t>
    <phoneticPr fontId="3" type="noConversion"/>
  </si>
  <si>
    <t>GT#1-1-11MBY80GH001 -E01</t>
    <phoneticPr fontId="3" type="noConversion"/>
  </si>
  <si>
    <t>GT#2-2-22MBY40GH001 -E01</t>
    <phoneticPr fontId="3" type="noConversion"/>
  </si>
  <si>
    <t>12BUB51.JA001-P2039</t>
    <phoneticPr fontId="3" type="noConversion"/>
  </si>
  <si>
    <t>21BFA52.DA002-P2090</t>
  </si>
  <si>
    <t>11BFA52.DA002-P2090</t>
  </si>
  <si>
    <t>11BFA52.DA001-P2011</t>
    <phoneticPr fontId="3" type="noConversion"/>
  </si>
  <si>
    <t>12BFA52.DA001-P2011</t>
  </si>
  <si>
    <t>21BFA52.DA001-P2011</t>
  </si>
  <si>
    <t>22BFA52.DA001-P2011</t>
  </si>
  <si>
    <t>22BFA51.HA002-P2070</t>
    <phoneticPr fontId="3" type="noConversion"/>
  </si>
  <si>
    <t>PE-L1-4C6-03</t>
    <phoneticPr fontId="3" type="noConversion"/>
  </si>
  <si>
    <r>
      <t xml:space="preserve">SWGR to J/B : Doosan
J/B to consumer : SE
11MYB17GF010 -X01
</t>
    </r>
    <r>
      <rPr>
        <sz val="11"/>
        <rFont val="Tahoma"/>
        <family val="2"/>
      </rPr>
      <t>(701, 702, PE)</t>
    </r>
    <phoneticPr fontId="3" type="noConversion"/>
  </si>
  <si>
    <r>
      <t xml:space="preserve">SWGR to J/B : Doosan
J/B to consumer : SE
11MYB17GF010 -X01
</t>
    </r>
    <r>
      <rPr>
        <sz val="11"/>
        <rFont val="Tahoma"/>
        <family val="2"/>
      </rPr>
      <t>(703, 704, PE)</t>
    </r>
    <phoneticPr fontId="3" type="noConversion"/>
  </si>
  <si>
    <r>
      <t xml:space="preserve">SWGR to J/B : Doosan
J/B to consumer : SE
11MYB17GF010 -X01
</t>
    </r>
    <r>
      <rPr>
        <sz val="11"/>
        <rFont val="Tahoma"/>
        <family val="2"/>
      </rPr>
      <t>(705, 706, PE)</t>
    </r>
    <phoneticPr fontId="3" type="noConversion"/>
  </si>
  <si>
    <r>
      <t xml:space="preserve">SWGR to J/B : Doosan
J/B to consumer : SE
11MBL10GH001 -X01
</t>
    </r>
    <r>
      <rPr>
        <sz val="11"/>
        <rFont val="Tahoma"/>
        <family val="2"/>
      </rPr>
      <t>(001, 002, 003, 004, 005)</t>
    </r>
    <phoneticPr fontId="3" type="noConversion"/>
  </si>
  <si>
    <r>
      <t xml:space="preserve">SWGR to J/B : Doosan
J/B to consumer : SE
11MBL20GH001 -X01
</t>
    </r>
    <r>
      <rPr>
        <sz val="11"/>
        <rFont val="Tahoma"/>
        <family val="2"/>
      </rPr>
      <t>(001, 002, 003, 004, 005)</t>
    </r>
    <phoneticPr fontId="3" type="noConversion"/>
  </si>
  <si>
    <r>
      <t xml:space="preserve">SWGR to J/B : Doosan
J/B to consumer : SE
11MBL30GH001 -X01
</t>
    </r>
    <r>
      <rPr>
        <sz val="11"/>
        <rFont val="Tahoma"/>
        <family val="2"/>
      </rPr>
      <t>(001, 002, 003, 004, 005)</t>
    </r>
    <phoneticPr fontId="3" type="noConversion"/>
  </si>
  <si>
    <r>
      <t xml:space="preserve">SWGR to J/B : Doosan
J/B to consumer : SE
11MBL40GH001 -X01
</t>
    </r>
    <r>
      <rPr>
        <sz val="11"/>
        <rFont val="Tahoma"/>
        <family val="2"/>
      </rPr>
      <t>(001, 002, 003, 004, 005)</t>
    </r>
    <phoneticPr fontId="3" type="noConversion"/>
  </si>
  <si>
    <r>
      <t xml:space="preserve">SWGR to J/B : Doosan
J/B to consumer : SE
11MBY08GF001 -X04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</si>
  <si>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11MYB30GF010 -X03
</t>
    </r>
    <r>
      <rPr>
        <sz val="11"/>
        <rFont val="Tahoma"/>
        <family val="2"/>
      </rPr>
      <t>(403, 404</t>
    </r>
    <r>
      <rPr>
        <sz val="11"/>
        <rFont val="Tahoma"/>
        <family val="2"/>
        <charset val="129"/>
      </rPr>
      <t>)</t>
    </r>
    <phoneticPr fontId="3" type="noConversion"/>
  </si>
  <si>
    <r>
      <t xml:space="preserve">SWGR to J/B : Doosan
J/B to consumer : SE
11MYB30GF010 -X03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</si>
  <si>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11MYB30GF102 -X03
</t>
    </r>
    <r>
      <rPr>
        <sz val="11"/>
        <rFont val="Tahoma"/>
        <family val="2"/>
      </rPr>
      <t>(429, 430)</t>
    </r>
    <phoneticPr fontId="3" type="noConversion"/>
  </si>
  <si>
    <r>
      <t xml:space="preserve">SWGR to J/B : Doosan
J/B to consumer : SE
11MYB30GF202 -X03
</t>
    </r>
    <r>
      <rPr>
        <sz val="11"/>
        <rFont val="Tahoma"/>
        <family val="2"/>
      </rPr>
      <t>(429, 430)</t>
    </r>
    <phoneticPr fontId="3" type="noConversion"/>
  </si>
  <si>
    <r>
      <t xml:space="preserve">SWGR to J/B : Doosan
J/B to consumer : SE
11MYB30GF010 -X03
</t>
    </r>
    <r>
      <rPr>
        <sz val="11"/>
        <rFont val="Tahoma"/>
        <family val="2"/>
      </rPr>
      <t>(405, 406)</t>
    </r>
    <phoneticPr fontId="3" type="noConversion"/>
  </si>
  <si>
    <r>
      <t xml:space="preserve">SWGR to J/B : Doosan
J/B to consumer : SE
11MYB30GF102 -X03
</t>
    </r>
    <r>
      <rPr>
        <sz val="11"/>
        <rFont val="Tahoma"/>
        <family val="2"/>
      </rPr>
      <t>(701, 702)</t>
    </r>
    <phoneticPr fontId="3" type="noConversion"/>
  </si>
  <si>
    <r>
      <t xml:space="preserve">SWGR to J/B : Doosan
J/B to consumer : SE
11MYB30GF202 -X03
</t>
    </r>
    <r>
      <rPr>
        <sz val="11"/>
        <rFont val="Tahoma"/>
        <family val="2"/>
      </rPr>
      <t>(701, 702)</t>
    </r>
    <phoneticPr fontId="3" type="noConversion"/>
  </si>
  <si>
    <r>
      <t xml:space="preserve">SWGR to J/B : Doosan
J/B to consumer : SE
11MYB30GF010 -X03
</t>
    </r>
    <r>
      <rPr>
        <sz val="11"/>
        <rFont val="Tahoma"/>
        <family val="2"/>
      </rPr>
      <t>(407, 408)</t>
    </r>
    <phoneticPr fontId="3" type="noConversion"/>
  </si>
  <si>
    <r>
      <t xml:space="preserve">SWGR to J/B : Doosan
J/B to consumer : SE
11MBY11GF001 -X01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</si>
  <si>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11MBY11GF001 -X01
</t>
    </r>
    <r>
      <rPr>
        <sz val="11"/>
        <rFont val="Tahoma"/>
        <family val="2"/>
      </rPr>
      <t>(403, 404)</t>
    </r>
    <phoneticPr fontId="3" type="noConversion"/>
  </si>
  <si>
    <t>SWGR to J/B : Doosan
J/B to consumer : SE
11MBY09GF001 -X02
(401, 402)</t>
    <phoneticPr fontId="3" type="noConversion"/>
  </si>
  <si>
    <r>
      <t xml:space="preserve">SWGR to J/B : Doosan
J/B to consumer : SE
11MBY09GF001 -X02
</t>
    </r>
    <r>
      <rPr>
        <sz val="11"/>
        <rFont val="Tahoma"/>
        <family val="2"/>
      </rPr>
      <t>(403, 404)</t>
    </r>
    <phoneticPr fontId="3" type="noConversion"/>
  </si>
  <si>
    <r>
      <t xml:space="preserve">SWGR to J/B : Doosan
J/B to consumer : SE
11MBY09GF001 -X02
</t>
    </r>
    <r>
      <rPr>
        <sz val="11"/>
        <rFont val="Tahoma"/>
        <family val="2"/>
      </rPr>
      <t>(405, 406)</t>
    </r>
    <phoneticPr fontId="3" type="noConversion"/>
  </si>
  <si>
    <r>
      <t xml:space="preserve">SWGR to J/B : Doosan
J/B to consumer : SE
11MYB30GF102 -X03
</t>
    </r>
    <r>
      <rPr>
        <sz val="11"/>
        <rFont val="Tahoma"/>
        <family val="2"/>
      </rPr>
      <t>(412, 413, 414)</t>
    </r>
    <phoneticPr fontId="3" type="noConversion"/>
  </si>
  <si>
    <r>
      <t xml:space="preserve">SWGR to J/B : Doosan
J/B to consumer : SE
11MYB30GF102 -X03
</t>
    </r>
    <r>
      <rPr>
        <sz val="11"/>
        <rFont val="Tahoma"/>
        <family val="2"/>
      </rPr>
      <t>(408, 409, 410, 411, PE)</t>
    </r>
    <phoneticPr fontId="3" type="noConversion"/>
  </si>
  <si>
    <r>
      <t xml:space="preserve">SWGR to J/B : Doosan
J/B to consumer : SE
11MYB30GF102 -X03
</t>
    </r>
    <r>
      <rPr>
        <sz val="11"/>
        <rFont val="Tahoma"/>
        <family val="2"/>
      </rPr>
      <t>(419, 420, 421)</t>
    </r>
    <phoneticPr fontId="3" type="noConversion"/>
  </si>
  <si>
    <r>
      <t xml:space="preserve">SWGR to J/B : Doosan
J/B to consumer : SE
11MYB30GF102 -X03
</t>
    </r>
    <r>
      <rPr>
        <sz val="11"/>
        <rFont val="Tahoma"/>
        <family val="2"/>
      </rPr>
      <t>(415, 416, 417, 418, PE)</t>
    </r>
    <phoneticPr fontId="3" type="noConversion"/>
  </si>
  <si>
    <r>
      <t xml:space="preserve">SWGR to J/B : Doosan
J/B to consumer : SE
11MYB30GF102 -X03
</t>
    </r>
    <r>
      <rPr>
        <sz val="11"/>
        <rFont val="Tahoma"/>
        <family val="2"/>
      </rPr>
      <t>(426, 427, 428)</t>
    </r>
    <phoneticPr fontId="3" type="noConversion"/>
  </si>
  <si>
    <r>
      <t xml:space="preserve">SWGR to J/B : Doosan
J/B to consumer : SE
11MYB30GF102 -X03
</t>
    </r>
    <r>
      <rPr>
        <sz val="11"/>
        <rFont val="Tahoma"/>
        <family val="2"/>
      </rPr>
      <t>(422, 423, 424, 425, PE)</t>
    </r>
    <phoneticPr fontId="3" type="noConversion"/>
  </si>
  <si>
    <r>
      <t xml:space="preserve">SWGR to J/B : Doosan
J/B to consumer : SE
11MYB30GF021 -X01
</t>
    </r>
    <r>
      <rPr>
        <sz val="11"/>
        <rFont val="Tahoma"/>
        <family val="2"/>
      </rPr>
      <t>(701, 702, PE)</t>
    </r>
    <phoneticPr fontId="3" type="noConversion"/>
  </si>
  <si>
    <r>
      <t xml:space="preserve">SWGR to J/B : Doosan
J/B to consumer : SE
11MYB30GF021 -X01
</t>
    </r>
    <r>
      <rPr>
        <sz val="11"/>
        <rFont val="Tahoma"/>
        <family val="2"/>
      </rPr>
      <t>(703, 704, PE)</t>
    </r>
    <phoneticPr fontId="3" type="noConversion"/>
  </si>
  <si>
    <r>
      <t xml:space="preserve">SWGR to J/B : Doosan
J/B to consumer : SE
11MBY40GH001 -X01
</t>
    </r>
    <r>
      <rPr>
        <sz val="11"/>
        <rFont val="Tahoma"/>
        <family val="2"/>
      </rPr>
      <t>(701, 702, 703, 704, PE)</t>
    </r>
    <phoneticPr fontId="3" type="noConversion"/>
  </si>
  <si>
    <r>
      <t xml:space="preserve">SWGR to J/B : Doosan
J/B to consumer : SE
11MBY80GH001 -X02
</t>
    </r>
    <r>
      <rPr>
        <sz val="11"/>
        <rFont val="Tahoma"/>
        <family val="2"/>
      </rPr>
      <t>(L1, L2, L3, N, PE)</t>
    </r>
    <phoneticPr fontId="3" type="noConversion"/>
  </si>
  <si>
    <r>
      <t xml:space="preserve">SWGR to J/B : Doosan
J/B to consumer : SE
12MYB17GF010 -X01
</t>
    </r>
    <r>
      <rPr>
        <sz val="11"/>
        <rFont val="Tahoma"/>
        <family val="2"/>
      </rPr>
      <t>(701, 702, PE)</t>
    </r>
    <phoneticPr fontId="3" type="noConversion"/>
  </si>
  <si>
    <r>
      <t xml:space="preserve">SWGR to J/B : Doosan
J/B to consumer : SE
12MYB17GF010 -X01
</t>
    </r>
    <r>
      <rPr>
        <sz val="11"/>
        <rFont val="Tahoma"/>
        <family val="2"/>
      </rPr>
      <t>(703, 704, PE)</t>
    </r>
    <phoneticPr fontId="3" type="noConversion"/>
  </si>
  <si>
    <r>
      <t xml:space="preserve">SWGR to J/B : Doosan
J/B to consumer : SE
12MYB17GF010 -X01
</t>
    </r>
    <r>
      <rPr>
        <sz val="11"/>
        <rFont val="Tahoma"/>
        <family val="2"/>
      </rPr>
      <t>(705, 706, PE)</t>
    </r>
    <phoneticPr fontId="3" type="noConversion"/>
  </si>
  <si>
    <r>
      <t xml:space="preserve">SWGR to J/B : Doosan
J/B to consumer : SE
12MBY08GF001 -X04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</si>
  <si>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12MYB30GF010 -X03
</t>
    </r>
    <r>
      <rPr>
        <sz val="11"/>
        <rFont val="Tahoma"/>
        <family val="2"/>
      </rPr>
      <t>(403, 404</t>
    </r>
    <r>
      <rPr>
        <sz val="11"/>
        <rFont val="Tahoma"/>
        <family val="2"/>
        <charset val="129"/>
      </rPr>
      <t>)</t>
    </r>
    <phoneticPr fontId="3" type="noConversion"/>
  </si>
  <si>
    <r>
      <t xml:space="preserve">SWGR to J/B : Doosan
J/B to consumer : SE
12MYB30GF010 -X03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</si>
  <si>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12MYB30GF102 -X03
</t>
    </r>
    <r>
      <rPr>
        <sz val="11"/>
        <rFont val="Tahoma"/>
        <family val="2"/>
      </rPr>
      <t>(429, 430)</t>
    </r>
    <phoneticPr fontId="3" type="noConversion"/>
  </si>
  <si>
    <r>
      <t xml:space="preserve">SWGR to J/B : Doosan
J/B to consumer : SE
12MYB30GF202 -X03
</t>
    </r>
    <r>
      <rPr>
        <sz val="11"/>
        <rFont val="Tahoma"/>
        <family val="2"/>
      </rPr>
      <t>(429, 430)</t>
    </r>
    <phoneticPr fontId="3" type="noConversion"/>
  </si>
  <si>
    <r>
      <t xml:space="preserve">SWGR to J/B : Doosan
J/B to consumer : SE
12MYB30GF010 -X03
</t>
    </r>
    <r>
      <rPr>
        <sz val="11"/>
        <rFont val="Tahoma"/>
        <family val="2"/>
      </rPr>
      <t>(405, 406)</t>
    </r>
    <phoneticPr fontId="3" type="noConversion"/>
  </si>
  <si>
    <r>
      <t xml:space="preserve">SWGR to J/B : Doosan
J/B to consumer : SE
12MYB30GF102 -X03
</t>
    </r>
    <r>
      <rPr>
        <sz val="11"/>
        <rFont val="Tahoma"/>
        <family val="2"/>
      </rPr>
      <t>(701, 702)</t>
    </r>
    <phoneticPr fontId="3" type="noConversion"/>
  </si>
  <si>
    <r>
      <t xml:space="preserve">SWGR to J/B : Doosan
J/B to consumer : SE
12MYB30GF202 -X03
</t>
    </r>
    <r>
      <rPr>
        <sz val="11"/>
        <rFont val="Tahoma"/>
        <family val="2"/>
      </rPr>
      <t>(701, 702)</t>
    </r>
    <phoneticPr fontId="3" type="noConversion"/>
  </si>
  <si>
    <r>
      <t xml:space="preserve">SWGR to J/B : Doosan
J/B to consumer : SE
12MYB30GF010 -X03
</t>
    </r>
    <r>
      <rPr>
        <sz val="11"/>
        <rFont val="Tahoma"/>
        <family val="2"/>
      </rPr>
      <t>(407, 408)</t>
    </r>
    <phoneticPr fontId="3" type="noConversion"/>
  </si>
  <si>
    <r>
      <t xml:space="preserve">SWGR to J/B : Doosan
J/B to consumer : SE
12MBY11GF001 -X01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</si>
  <si>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12MBY11GF001 -X01
</t>
    </r>
    <r>
      <rPr>
        <sz val="11"/>
        <rFont val="Tahoma"/>
        <family val="2"/>
      </rPr>
      <t>(403, 404)</t>
    </r>
    <phoneticPr fontId="3" type="noConversion"/>
  </si>
  <si>
    <t>SWGR to J/B : Doosan
J/B to consumer : SE
12MBY09GF001 -X02
(401, 402)</t>
    <phoneticPr fontId="3" type="noConversion"/>
  </si>
  <si>
    <r>
      <t xml:space="preserve">SWGR to J/B : Doosan
J/B to consumer : SE
12MBY09GF001 -X02
</t>
    </r>
    <r>
      <rPr>
        <sz val="11"/>
        <rFont val="Tahoma"/>
        <family val="2"/>
      </rPr>
      <t>(403, 404)</t>
    </r>
    <phoneticPr fontId="3" type="noConversion"/>
  </si>
  <si>
    <r>
      <t xml:space="preserve">SWGR to J/B : Doosan
J/B to consumer : SE
12MBY09GF001 -X02
</t>
    </r>
    <r>
      <rPr>
        <sz val="11"/>
        <rFont val="Tahoma"/>
        <family val="2"/>
      </rPr>
      <t>(405, 406)</t>
    </r>
    <phoneticPr fontId="3" type="noConversion"/>
  </si>
  <si>
    <r>
      <t xml:space="preserve">SWGR to J/B : Doosan
J/B to consumer : SE
21MYB17GF010 -X01
</t>
    </r>
    <r>
      <rPr>
        <sz val="11"/>
        <rFont val="Tahoma"/>
        <family val="2"/>
      </rPr>
      <t>(701, 702, PE)</t>
    </r>
    <phoneticPr fontId="3" type="noConversion"/>
  </si>
  <si>
    <r>
      <t xml:space="preserve">SWGR to J/B : Doosan
J/B to consumer : SE
21MYB17GF010 -X01
</t>
    </r>
    <r>
      <rPr>
        <sz val="11"/>
        <rFont val="Tahoma"/>
        <family val="2"/>
      </rPr>
      <t>(703, 704, PE)</t>
    </r>
    <phoneticPr fontId="3" type="noConversion"/>
  </si>
  <si>
    <r>
      <t xml:space="preserve">SWGR to J/B : Doosan
J/B to consumer : SE
21MYB17GF010 -X01
</t>
    </r>
    <r>
      <rPr>
        <sz val="11"/>
        <rFont val="Tahoma"/>
        <family val="2"/>
      </rPr>
      <t>(705, 706, PE)</t>
    </r>
    <phoneticPr fontId="3" type="noConversion"/>
  </si>
  <si>
    <r>
      <t xml:space="preserve">SWGR to J/B : Doosan
J/B to consumer : SE
21MBY08GF001 -X04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</si>
  <si>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21MYB30GF010 -X03
</t>
    </r>
    <r>
      <rPr>
        <sz val="11"/>
        <rFont val="Tahoma"/>
        <family val="2"/>
      </rPr>
      <t>(403, 404</t>
    </r>
    <r>
      <rPr>
        <sz val="11"/>
        <rFont val="Tahoma"/>
        <family val="2"/>
        <charset val="129"/>
      </rPr>
      <t>)</t>
    </r>
    <phoneticPr fontId="3" type="noConversion"/>
  </si>
  <si>
    <r>
      <t xml:space="preserve">SWGR to J/B : Doosan
J/B to consumer : SE
21MYB30GF010 -X03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</si>
  <si>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21MYB30GF102 -X03
</t>
    </r>
    <r>
      <rPr>
        <sz val="11"/>
        <rFont val="Tahoma"/>
        <family val="2"/>
      </rPr>
      <t>(429, 430)</t>
    </r>
    <phoneticPr fontId="3" type="noConversion"/>
  </si>
  <si>
    <r>
      <t xml:space="preserve">SWGR to J/B : Doosan
J/B to consumer : SE
21MYB30GF202 -X03
</t>
    </r>
    <r>
      <rPr>
        <sz val="11"/>
        <rFont val="Tahoma"/>
        <family val="2"/>
      </rPr>
      <t>(429, 430)</t>
    </r>
    <phoneticPr fontId="3" type="noConversion"/>
  </si>
  <si>
    <r>
      <t xml:space="preserve">SWGR to J/B : Doosan
J/B to consumer : SE
21MYB30GF010 -X03
</t>
    </r>
    <r>
      <rPr>
        <sz val="11"/>
        <rFont val="Tahoma"/>
        <family val="2"/>
      </rPr>
      <t>(405, 406)</t>
    </r>
    <phoneticPr fontId="3" type="noConversion"/>
  </si>
  <si>
    <r>
      <t xml:space="preserve">SWGR to J/B : Doosan
J/B to consumer : SE
21MYB30GF102 -X03
</t>
    </r>
    <r>
      <rPr>
        <sz val="11"/>
        <rFont val="Tahoma"/>
        <family val="2"/>
      </rPr>
      <t>(701, 702)</t>
    </r>
    <phoneticPr fontId="3" type="noConversion"/>
  </si>
  <si>
    <r>
      <t xml:space="preserve">SWGR to J/B : Doosan
J/B to consumer : SE
21MYB30GF202 -X03
</t>
    </r>
    <r>
      <rPr>
        <sz val="11"/>
        <rFont val="Tahoma"/>
        <family val="2"/>
      </rPr>
      <t>(701, 702)</t>
    </r>
    <phoneticPr fontId="3" type="noConversion"/>
  </si>
  <si>
    <r>
      <t xml:space="preserve">SWGR to J/B : Doosan
J/B to consumer : SE
21MYB30GF010 -X03
</t>
    </r>
    <r>
      <rPr>
        <sz val="11"/>
        <rFont val="Tahoma"/>
        <family val="2"/>
      </rPr>
      <t>(407, 408)</t>
    </r>
    <phoneticPr fontId="3" type="noConversion"/>
  </si>
  <si>
    <r>
      <t xml:space="preserve">SWGR to J/B : Doosan
J/B to consumer : SE
21MBY11GF001 -X01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</si>
  <si>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21MBY11GF001 -X01
</t>
    </r>
    <r>
      <rPr>
        <sz val="11"/>
        <rFont val="Tahoma"/>
        <family val="2"/>
      </rPr>
      <t>(403, 404)</t>
    </r>
    <phoneticPr fontId="3" type="noConversion"/>
  </si>
  <si>
    <t>SWGR to J/B : Doosan
J/B to consumer : SE
21MBY09GF001 -X02
(401, 402)</t>
    <phoneticPr fontId="3" type="noConversion"/>
  </si>
  <si>
    <r>
      <t xml:space="preserve">SWGR to J/B : Doosan
J/B to consumer : SE
21MBY09GF001 -X02
</t>
    </r>
    <r>
      <rPr>
        <sz val="11"/>
        <rFont val="Tahoma"/>
        <family val="2"/>
      </rPr>
      <t>(403, 404)</t>
    </r>
    <phoneticPr fontId="3" type="noConversion"/>
  </si>
  <si>
    <r>
      <t xml:space="preserve">SWGR to J/B : Doosan
J/B to consumer : SE
21MBY09GF001 -X02
</t>
    </r>
    <r>
      <rPr>
        <sz val="11"/>
        <rFont val="Tahoma"/>
        <family val="2"/>
      </rPr>
      <t>(405, 406)</t>
    </r>
    <phoneticPr fontId="3" type="noConversion"/>
  </si>
  <si>
    <r>
      <t xml:space="preserve">SWGR to J/B : Doosan
J/B to consumer : SE
22MYB17GF010 -X01
</t>
    </r>
    <r>
      <rPr>
        <sz val="11"/>
        <rFont val="Tahoma"/>
        <family val="2"/>
      </rPr>
      <t>(701, 702, PE)</t>
    </r>
    <phoneticPr fontId="3" type="noConversion"/>
  </si>
  <si>
    <r>
      <t xml:space="preserve">SWGR to J/B : Doosan
J/B to consumer : SE
22MYB17GF010 -X01
</t>
    </r>
    <r>
      <rPr>
        <sz val="11"/>
        <rFont val="Tahoma"/>
        <family val="2"/>
      </rPr>
      <t>(703, 704, PE)</t>
    </r>
    <phoneticPr fontId="3" type="noConversion"/>
  </si>
  <si>
    <r>
      <t xml:space="preserve">SWGR to J/B : Doosan
J/B to consumer : SE
22MYB17GF010 -X01
</t>
    </r>
    <r>
      <rPr>
        <sz val="11"/>
        <rFont val="Tahoma"/>
        <family val="2"/>
      </rPr>
      <t>(705, 706, PE)</t>
    </r>
    <phoneticPr fontId="3" type="noConversion"/>
  </si>
  <si>
    <r>
      <t xml:space="preserve">SWGR to J/B : Doosan
J/B to consumer : SE
22MBY08GF001 -X04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</si>
  <si>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22MYB30GF010 -X03
</t>
    </r>
    <r>
      <rPr>
        <sz val="11"/>
        <rFont val="Tahoma"/>
        <family val="2"/>
      </rPr>
      <t>(403, 404</t>
    </r>
    <r>
      <rPr>
        <sz val="11"/>
        <rFont val="Tahoma"/>
        <family val="2"/>
        <charset val="129"/>
      </rPr>
      <t>)</t>
    </r>
    <phoneticPr fontId="3" type="noConversion"/>
  </si>
  <si>
    <r>
      <t xml:space="preserve">SWGR to J/B : Doosan
J/B to consumer : SE
22MYB30GF010 -X03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</si>
  <si>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22MYB30GF102 -X03
</t>
    </r>
    <r>
      <rPr>
        <sz val="11"/>
        <rFont val="Tahoma"/>
        <family val="2"/>
      </rPr>
      <t>(429, 430)</t>
    </r>
    <phoneticPr fontId="3" type="noConversion"/>
  </si>
  <si>
    <r>
      <t xml:space="preserve">SWGR to J/B : Doosan
J/B to consumer : SE
22MYB30GF010 -X03
</t>
    </r>
    <r>
      <rPr>
        <sz val="11"/>
        <rFont val="Tahoma"/>
        <family val="2"/>
      </rPr>
      <t>(405, 406)</t>
    </r>
    <phoneticPr fontId="3" type="noConversion"/>
  </si>
  <si>
    <r>
      <t xml:space="preserve">SWGR to J/B : Doosan
J/B to consumer : SE
22MYB30GF102 -X03
</t>
    </r>
    <r>
      <rPr>
        <sz val="11"/>
        <rFont val="Tahoma"/>
        <family val="2"/>
      </rPr>
      <t>(701, 702)</t>
    </r>
    <phoneticPr fontId="3" type="noConversion"/>
  </si>
  <si>
    <r>
      <t xml:space="preserve">SWGR to J/B : Doosan
J/B to consumer : SE
22MYB30GF202 -X03
</t>
    </r>
    <r>
      <rPr>
        <sz val="11"/>
        <rFont val="Tahoma"/>
        <family val="2"/>
      </rPr>
      <t>(701, 702)</t>
    </r>
    <phoneticPr fontId="3" type="noConversion"/>
  </si>
  <si>
    <r>
      <t xml:space="preserve">SWGR to J/B : Doosan
J/B to consumer : SE
22MYB30GF010 -X03
</t>
    </r>
    <r>
      <rPr>
        <sz val="11"/>
        <rFont val="Tahoma"/>
        <family val="2"/>
      </rPr>
      <t>(407, 408)</t>
    </r>
    <phoneticPr fontId="3" type="noConversion"/>
  </si>
  <si>
    <r>
      <t xml:space="preserve">SWGR to J/B : Doosan
J/B to consumer : SE
22MBY11GF001 -X01
</t>
    </r>
    <r>
      <rPr>
        <sz val="11"/>
        <rFont val="Tahoma"/>
        <family val="2"/>
      </rPr>
      <t>(401, 402)</t>
    </r>
    <phoneticPr fontId="3" type="noConversion"/>
  </si>
  <si>
    <r>
      <t xml:space="preserve">SWGR to J/B : Doosan
J/B to consumer : SE
22MBY11GF001 -X01
</t>
    </r>
    <r>
      <rPr>
        <sz val="11"/>
        <rFont val="Tahoma"/>
        <family val="2"/>
      </rPr>
      <t>(403, 404)</t>
    </r>
    <phoneticPr fontId="3" type="noConversion"/>
  </si>
  <si>
    <t>SWGR to J/B : Doosan
J/B to consumer : SE
22MBY09GF001 -X02
(401, 402)</t>
    <phoneticPr fontId="3" type="noConversion"/>
  </si>
  <si>
    <r>
      <t xml:space="preserve">SWGR to J/B : Doosan
J/B to consumer : SE
22MBY09GF001 -X02
</t>
    </r>
    <r>
      <rPr>
        <sz val="11"/>
        <rFont val="Tahoma"/>
        <family val="2"/>
      </rPr>
      <t>(403, 404)</t>
    </r>
    <phoneticPr fontId="3" type="noConversion"/>
  </si>
  <si>
    <r>
      <t xml:space="preserve">SWGR to J/B : Doosan
J/B to consumer : SE
22MBY09GF001 -X02
</t>
    </r>
    <r>
      <rPr>
        <sz val="11"/>
        <rFont val="Tahoma"/>
        <family val="2"/>
      </rPr>
      <t>(405, 406)</t>
    </r>
    <phoneticPr fontId="3" type="noConversion"/>
  </si>
  <si>
    <t>A2F-S-25a-N34</t>
    <phoneticPr fontId="3" type="noConversion"/>
  </si>
  <si>
    <t>A2F-S-25-N34</t>
    <phoneticPr fontId="3" type="noConversion"/>
  </si>
  <si>
    <t>A2F-S-40(S)-N1-14</t>
    <phoneticPr fontId="3" type="noConversion"/>
  </si>
  <si>
    <t>A2F-S-50-N1-12</t>
    <phoneticPr fontId="3" type="noConversion"/>
  </si>
  <si>
    <t>12 - 18</t>
  </si>
  <si>
    <t>Cable</t>
    <phoneticPr fontId="3" type="noConversion"/>
  </si>
  <si>
    <t>O.D.(mm)</t>
    <phoneticPr fontId="3" type="noConversion"/>
  </si>
  <si>
    <t>3C x 4sqmm</t>
    <phoneticPr fontId="3" type="noConversion"/>
  </si>
  <si>
    <t>A2F-S-25-N34</t>
    <phoneticPr fontId="3" type="noConversion"/>
  </si>
  <si>
    <t>A2F-S-25a-N34</t>
    <phoneticPr fontId="3" type="noConversion"/>
  </si>
  <si>
    <t>16 - 20.5</t>
  </si>
  <si>
    <t>22 - 28</t>
  </si>
  <si>
    <t>Range</t>
    <phoneticPr fontId="3" type="noConversion"/>
  </si>
  <si>
    <t>22 - 28</t>
    <phoneticPr fontId="3" type="noConversion"/>
  </si>
  <si>
    <t>A2F-S-40(S)-N1-14</t>
    <phoneticPr fontId="3" type="noConversion"/>
  </si>
  <si>
    <t>32.1 - 40</t>
  </si>
  <si>
    <t>1C x 185sqmm</t>
    <phoneticPr fontId="3" type="noConversion"/>
  </si>
  <si>
    <t>5C x 4sqmm</t>
    <phoneticPr fontId="3" type="noConversion"/>
  </si>
  <si>
    <t>ELE-SWG-0007</t>
    <phoneticPr fontId="3" type="noConversion"/>
  </si>
  <si>
    <t>22BUB51.JA001-P2038</t>
    <phoneticPr fontId="3" type="noConversion"/>
  </si>
  <si>
    <t>GT#2-2-22MBP21AA001 -E01</t>
    <phoneticPr fontId="3" type="noConversion"/>
  </si>
  <si>
    <t>L+, L-</t>
  </si>
  <si>
    <t>B2-DB-59602-P2009</t>
  </si>
  <si>
    <t>B2-MCC-64603-P2029</t>
  </si>
  <si>
    <t>B2-MCC-59601-P2029</t>
  </si>
  <si>
    <t>PE-L1-5C150/95-02</t>
  </si>
  <si>
    <t>B2-MCC-64604-P2028</t>
  </si>
  <si>
    <t>B1-MCC-64601-P2034</t>
  </si>
  <si>
    <t>B1-MCC-64601-P2035</t>
  </si>
  <si>
    <t>B2-MCC-64604-P2031</t>
  </si>
  <si>
    <t>B2-MCC-64604-P2033</t>
  </si>
  <si>
    <t>B1-MCC-64602-P2044</t>
  </si>
  <si>
    <t>B2-DB-64603-P2020</t>
  </si>
  <si>
    <t>PE-L1-5C120/70-08</t>
  </si>
  <si>
    <t>B0-MCC-49602-P2045</t>
  </si>
  <si>
    <t>B0-MCC-49602-P2046</t>
  </si>
  <si>
    <t>B0-MCC-49602-P2047</t>
  </si>
  <si>
    <t>B0-MCC-49602-P2038</t>
  </si>
  <si>
    <t>B0-MCC-49602-P2039</t>
  </si>
  <si>
    <t>B0-MCC-49602-P2040</t>
  </si>
  <si>
    <t>B0-MCC-49602-P2041</t>
  </si>
  <si>
    <t>B0-HTP-00716-P2023</t>
  </si>
  <si>
    <t>B0-HTP-00716</t>
    <phoneticPr fontId="3" type="noConversion"/>
  </si>
  <si>
    <t>B0-HTP-00716-P2024</t>
  </si>
  <si>
    <t>B0-HTP-00716-P2025</t>
  </si>
  <si>
    <t>B0-HTP-00716-P2027</t>
  </si>
  <si>
    <t>B2-MCC-64603-P2030</t>
  </si>
  <si>
    <t>LOCAL EHT CONTROL PANEL #11</t>
  </si>
  <si>
    <t>LOCAL EHT CONTROL PANEL #15</t>
  </si>
  <si>
    <t>PE-L1-5C25/16-05</t>
  </si>
  <si>
    <t>B0-HTP-00729</t>
    <phoneticPr fontId="3" type="noConversion"/>
  </si>
  <si>
    <t>LOCAL EHT CONTROL PANEL #19</t>
  </si>
  <si>
    <t>INC-0078-001</t>
    <phoneticPr fontId="3" type="noConversion"/>
  </si>
  <si>
    <t>B0-HTP-00705</t>
    <phoneticPr fontId="3" type="noConversion"/>
  </si>
  <si>
    <t>EHT MAIN PDB PANEL (WORKSHOP BLD)</t>
  </si>
  <si>
    <t>INC-0078-002</t>
    <phoneticPr fontId="3" type="noConversion"/>
  </si>
  <si>
    <t>B0-HTP-00730</t>
  </si>
  <si>
    <t>LOCAL EHT CONTROL PANEL #20</t>
  </si>
  <si>
    <t>53.2_IGNITION GAS CONTAINER</t>
  </si>
  <si>
    <t>B2-DB-64602-P2010</t>
  </si>
  <si>
    <t>B1-DB-64602-P2018</t>
  </si>
  <si>
    <t>B2-DB-64603-P2021</t>
  </si>
  <si>
    <t>12MBJ0001</t>
    <phoneticPr fontId="3" type="noConversion"/>
  </si>
  <si>
    <t>12MBJ0004</t>
    <phoneticPr fontId="3" type="noConversion"/>
  </si>
  <si>
    <t>12MBJ0007</t>
    <phoneticPr fontId="3" type="noConversion"/>
  </si>
  <si>
    <t>12MBJ0002</t>
    <phoneticPr fontId="3" type="noConversion"/>
  </si>
  <si>
    <t>12MBJ0005</t>
    <phoneticPr fontId="3" type="noConversion"/>
  </si>
  <si>
    <t>12MBJ0008</t>
    <phoneticPr fontId="3" type="noConversion"/>
  </si>
  <si>
    <t>12MBJ0003</t>
    <phoneticPr fontId="3" type="noConversion"/>
  </si>
  <si>
    <t>12MBJ0006</t>
    <phoneticPr fontId="3" type="noConversion"/>
  </si>
  <si>
    <t>21MBJ0001</t>
    <phoneticPr fontId="3" type="noConversion"/>
  </si>
  <si>
    <t>21MBJ0004</t>
    <phoneticPr fontId="3" type="noConversion"/>
  </si>
  <si>
    <t>21MBJ0007</t>
    <phoneticPr fontId="3" type="noConversion"/>
  </si>
  <si>
    <t>21MBJ0002</t>
    <phoneticPr fontId="3" type="noConversion"/>
  </si>
  <si>
    <t>21MBJ0005</t>
    <phoneticPr fontId="3" type="noConversion"/>
  </si>
  <si>
    <t>21MBJ0008</t>
    <phoneticPr fontId="3" type="noConversion"/>
  </si>
  <si>
    <t>21MBJ0003</t>
    <phoneticPr fontId="3" type="noConversion"/>
  </si>
  <si>
    <t>21MBJ0006</t>
    <phoneticPr fontId="3" type="noConversion"/>
  </si>
  <si>
    <t>22MBJ0001</t>
    <phoneticPr fontId="3" type="noConversion"/>
  </si>
  <si>
    <t>22MBJ0004</t>
    <phoneticPr fontId="3" type="noConversion"/>
  </si>
  <si>
    <t>22MBJ0007</t>
    <phoneticPr fontId="3" type="noConversion"/>
  </si>
  <si>
    <t>22MBJ0002</t>
    <phoneticPr fontId="3" type="noConversion"/>
  </si>
  <si>
    <t>22MBJ0005</t>
    <phoneticPr fontId="3" type="noConversion"/>
  </si>
  <si>
    <t>22MBJ0008</t>
    <phoneticPr fontId="3" type="noConversion"/>
  </si>
  <si>
    <t>22MBJ0003</t>
    <phoneticPr fontId="3" type="noConversion"/>
  </si>
  <si>
    <t>22MBJ0006</t>
    <phoneticPr fontId="3" type="noConversion"/>
  </si>
  <si>
    <t>22BFA52.DA002-P2090</t>
    <phoneticPr fontId="3" type="noConversion"/>
  </si>
  <si>
    <t>400/230V AC UPS LOCAL DISTRIBUTION PANEL FOR ADMIN. - BLOCK#2 - B</t>
    <phoneticPr fontId="3" type="noConversion"/>
  </si>
  <si>
    <t>B2-UPSP-73702</t>
    <phoneticPr fontId="3" type="noConversion"/>
  </si>
  <si>
    <t>B2-UPSP-64702-P2013</t>
    <phoneticPr fontId="3" type="noConversion"/>
  </si>
  <si>
    <t>B2-UPSP-64702-P2014</t>
    <phoneticPr fontId="3" type="noConversion"/>
  </si>
  <si>
    <t>B0-HTP-00721</t>
    <phoneticPr fontId="3" type="noConversion"/>
  </si>
  <si>
    <t>B264-016CT0027 → B264-016CT0221 → B264-996CT0009 → M0405 → D0421-L34 → M0406 → D0301-L36 → M0301 → B215-996AT0026 → B215-016AT0048 → B215-016AT0049 → B215-016AT0105 → B261-016AC0003 → END</t>
  </si>
  <si>
    <t>B2-MCC-64603-P2001</t>
    <phoneticPr fontId="3" type="noConversion"/>
  </si>
  <si>
    <t>B259-006BT0006 → B259-006BT0019 → B259-006BT0001 → D0325-L11 → M0313 → B213-997AT0010 → B213-017AT0009 → B213-017AT0002 → B213-017AT0001 → B213-016BC0004 → END</t>
  </si>
  <si>
    <t>B259-006AT0003 → B259-006AT0025 → D0325-L12 → M0313 → B213-996AT0012 → B213-016AT0011 → B213-016AT0002 → B213-016AT0001 → B213-016BC0003 → END</t>
  </si>
  <si>
    <t>B259-006AT0006 → B259-006AT0005 → B259-006AT0015 → B259-006AT0016 → B259-006AT0017 → D0310-L25 → M0311 → D0311-L15 → M0312 → B213-007CC0006 → END</t>
  </si>
  <si>
    <t>B164-016BT0103 → B164-016BT0102 → B164-016BT0101 → B164-016BT0100 → B164-996BT0024 → M0504 → D0531-L26 → M0510 → D0517-L15 → M0501 → D0503-L37 → M0502 → D0504-L37 → M0503 → D0501-L37 → M0328 → D0324-L37 → M0329 → B114-996BT0046 → B114-016BT0045 → B114-016BT0044 → B114-016BT0043 → B114-016BT0042 → B114-016BT0041 → B161-016CC0018 → B161-006CC0009 → END</t>
  </si>
  <si>
    <t>B164-016AT0118 → B164-016AT0117 → B164-016AT0116 → B164-996AT0023 → M0504 → D0531-L27 → M0510 → D0517-L21 → M0501 → D0503-L38 → M0502 → D0504-L38 → M0503 → D0501-L38 → M0328 → D0324-L38 → M0329 → B114-996CT0071 → B114-016CT0072 → B114-016CT0073 → B114-016CT0074 → B114-016CT0075 → B114-016CT0076 → B161-016CC0017 → B161-006CC0008 → END</t>
  </si>
  <si>
    <t>B259-006AT0003 → B259-006AT0025 → D0325-L21 → M0313 → B213-996AT0012 → B213-016AT0011 → B213-016AT0003 → B213-016AT0004 → B213-016AT0005 → B213-016AT0006 → B213-016AT0007 → B213-016BC0036 → B213-016AC0011 → B213-016AC0009 → B213-016AC0007 → END</t>
  </si>
  <si>
    <t>B049-006AT0003 → B049-006AT0002 → D0204-L15 → M0207 → D0203-L22 → M0206 → D0205-L22 → M0205 → B025-996FT0005 → B025-016FT0029 → B025-016FT0028 → B025-016FT0020 → B025-016FT0019 → B025-016FT0018 → B025-016FT0017 → B025-016FT0016 → B025-996FT0003 → M0103 → B070-006AC0002 → END</t>
  </si>
  <si>
    <t>B049-006BT0014 → B049-006BT0003 → B049-006BT0001 → D0204-L18 → M0207 → D0203-L24 → M0206 → D0205-L24 → M0205 → B025-996ET0004 → B025-016ET0022 → B025-016ET0021 → B025-016ET0020 → B025-016ET0019 → B025-016ET0018 → B025-016ET0017 → B025-016ET0016 → B025-996ET0003 → M0103 → B070-006AC0005 → END</t>
  </si>
  <si>
    <t>B049-006BT0014 → B049-006BT0003 → B049-006BT0001 → D0204-L18 → M0207 → D0203-L24 → M0206 → D0205-L24 → M0205 → B025-996ET0004 → B025-016ET0022 → B025-016ET0021 → B025-016ET0020 → B025-016ET0019 → B025-016ET0018 → B025-016ET0017 → B025-016ET0016 → B025-996ET0003 → M0103 → B070-006AC0006 → END</t>
  </si>
  <si>
    <t>B049-006AT0003 → B049-006AT0002 → D0204-L15 → M0207 → D0203-L22 → M0206 → D0205-L22 → M0205 → B025-996ET0004 → B025-016ET0022 → B025-016ET0021 → B025-016ET0020 → B025-016ET0019 → B025-016ET0018 → B025-016ET0017 → B025-016ET0016 → B025-996ET0003 → M0103 → B070-007AC0001 → END</t>
  </si>
  <si>
    <t>B049-006BT0014 → B049-006BT0003 → B049-006BT0001 → D0204-L18 → M0207 → D0203-L24 → M0206 → D0205-L24 → M0205 → B025-996ET0004 → B025-016ET0022 → B025-016ET0021 → B025-016ET0020 → B025-016ET0019 → B025-016ET0018 → B025-016ET0017 → B025-016ET0016 → B025-996ET0003 → M0103 → B070-007AC0002 → END</t>
  </si>
  <si>
    <t>B264-016BT0047 → B264-996BT0013 → M0407 → D0302-L34 → M0302 → D0303-L34 → M0303 → B261-006BC0011 → END</t>
  </si>
  <si>
    <t>B164-016AT0091 → B164-996AT0022 → M0504 → D0531-L24 → M0510 → D0517-L14 → M0501 → D0503-L35 → M0502 → D0504-L35 → M0503 → D0501-L35 → M0328 → D0324-L35 → M0329 → B114-996DT0081 → B114-016DT0082 → B114-016DT0083 → B114-016DT0084 → B114-016DT0096 → B114-016DT0097 → B161-016AC0002 → END</t>
  </si>
  <si>
    <t>B264-016AT0047 → B264-016AT0209 → B264-016AT0026 → B264-016AT0027 → B264-016AT0225 → B264-996AT0011 → M0405 → D0421-L31 → M0406 → D0301-L37 → M0301 → B215-996AT0026 → B215-016AT0048 → B215-016AT0049 → B215-016AT0050 → B215-016AT0051 → B215-016AT0064 → B215-016AT0065 → B215-016AT0066 → B215-016AT0055 → B215-016AT0056 → B215-016AT0057 → B261-016CC0016 → END</t>
  </si>
  <si>
    <t>B264-016BT0047 → B264-996BT0013 → M0407 → D0302-L41 → M0302 → D0303-L41 → M0303 → B261-006BC0016 → END</t>
  </si>
  <si>
    <t>B164-016ET0106 → B164-996ET0022 → M0504 → D0531-L26 → M0510 → D0517-L16 → M0501 → D0503-L37 → M0502 → D0504-L37 → M0503 → D0501-L37 → M0328 → D0324-L37 → M0329 → B114-996CT0071 → B114-016CT0072 → B114-016CT0073 → B114-016CT0074 → B114-016CT0075 → B161-016CC0013 → B161-006CC0012 → END</t>
  </si>
  <si>
    <t>B264-016AT0029 → B264-016AT0030 → B264-016AT0031 → B264-016AT0032 → B264-016AT0241 → END</t>
  </si>
  <si>
    <t>B049-006BT0008 → B049-006BT0009 → B049-006BT0014 → B049-006BT0003 → B049-006BT0001 → D0204-L14 → M0207 → D0203-L15 → M0206 → D0205-L15 → M0205 → B025-996FT0005 → B025-016FT0029 → B025-016FT0028 → B025-016FT0020 → B025-016FT0019 → B025-016FT0018 → B025-016FT0017 → B025-016FT0016 → B025-996FT0003 → M0103 → B070-006AC0015 → END</t>
  </si>
  <si>
    <t>B049-006BT0008 → B049-006BT0009 → B049-006BT0014 → B049-006BT0003 → B049-006BT0001 → D0204-L21 → M0207 → D0203-L21 → M0206 → D0205-L21 → M0205 → B025-996FT0005 → B025-016FT0029 → B025-016FT0028 → B025-016FT0020 → B025-016FT0019 → B025-016FT0018 → B025-016FT0017 → B025-016FT0016 → B025-996FT0003 → M0103 → B070-006AC0016 → END</t>
  </si>
  <si>
    <t>B025-016FT0043 → B025-996FT0016 → B025-016FT0039 → B025-016FT0038 → B025-016FT0037 → B025-996FT0007 → PSP/INTEGRA TRAY</t>
  </si>
  <si>
    <t>B071-006AT0001 → D0101-L11 → M0102 → B025-996AT0001 → B025-016AT0004 → B025-016AT0005 → B025-016AT0006 → B025-016AT0009 → FIELD RUN</t>
  </si>
  <si>
    <t>B071-006AT0001 → D0101-L12 → M0102 → B025-016AT0003 → B025-016AT0002 → FIELD RUN</t>
  </si>
  <si>
    <t>B264-016AT0027 → B264-016AT0225 → B264-996AT0011 → M0405 → D0421-L26 → M0406 → FIELD RUN</t>
  </si>
  <si>
    <t>B264-016AT0045 → B264-016AT0046 → B264-016AT0047 → B264-996AT0013 → M0407 → D0302-L41 → M0302 → D0303-L41 → M0303 → D0305-L31 → M0306 → D0321-L31 → M0307 → B261-007DC0018 → B261-017DC0005 → END → END</t>
  </si>
  <si>
    <t>B064-016DT0020 → B064-016DT0021 → B064-016DT0022 → B064-016DT0023 → B064-016DT0310 → B064-016DT0247 → B064-016DT0248 → B064-016DT0300 → B064-016DT0304 → B064-996DT0026 → M0509 → D0507-L41 → M0524 → D0526-L21 → M0520 → D0514-L31 → M0516 → D0523-L35 → M0517 → D0515-L35 → M0518 → D0516-L35 → M0519 → D0527-L35 → M0425 → D0420-L35 → M0423 → D0416-L31 → M0422 → D0414-L23 → PKG SCOPE</t>
  </si>
  <si>
    <t>B064-016ET0027 → B064-016ET0028 → B064-016ET0029 → B064-016ET0030 → B064-016ET0245 → B064-016ET0246 → B064-016ET0297 → B064-016ET0302 → B064-996ET0025 → M0509 → D0507-L43 → M0524 → D0526-P23 → M0520 → D0514-L32 → M0516 → D0523-L34 → M0517 → D0515-L34 → M0518 → D0516-L34 → M0519 → D0527-L34 → M0425 → D0420-L34 → M0423 → D0416-L32 → M0420 → D0414-P32 → PKG SCOPE</t>
  </si>
  <si>
    <t>STG-B2-015</t>
    <phoneticPr fontId="3" type="noConversion"/>
  </si>
  <si>
    <t>400V MCC FOR ST #2 FOR BLOCK #2 - B</t>
    <phoneticPr fontId="3" type="noConversion"/>
  </si>
  <si>
    <t>B2-MCC-59602-P2001</t>
    <phoneticPr fontId="3" type="noConversion"/>
  </si>
  <si>
    <t>400V MCC FOR ST #2 FOR BLOCK #2 - A</t>
    <phoneticPr fontId="3" type="noConversion"/>
  </si>
  <si>
    <r>
      <t>From</t>
    </r>
    <r>
      <rPr>
        <sz val="11"/>
        <color rgb="FF0000FF"/>
        <rFont val="맑은 고딕"/>
        <family val="2"/>
        <charset val="129"/>
      </rPr>
      <t>변경</t>
    </r>
    <phoneticPr fontId="3" type="noConversion"/>
  </si>
  <si>
    <t>B1-MCC-64601</t>
    <phoneticPr fontId="3" type="noConversion"/>
  </si>
  <si>
    <t>B164-016CT0098 → B164-016CT0099 → B164-996CT0022 → M0504 → D0531-L27 → M0510 → D0517-L26 → M0501 → D0503-L47 → M0502 → D0504-L47 → M0503 → D0501-L47 → M0328 → D0324-L47 → M0329 → B161-006AC0010 → B161-006AC0011 → END</t>
  </si>
  <si>
    <t>B164-016AT0091 → B164-996AT0022 → M0504 → D0531-L24 → M0510 → D0517-L14 → M0501 → D0503-L35 → M0502 → D0504-L35 → M0503 → D0501-L35 → M0328 → D0324-L35 → M0329 → B114-996DT0081 → B114-016DT0082 → B114-016DT0083 → B114-016DT0084 → B114-016DT0096 → B114-016DT0097 → B161-016AC0019 → END</t>
    <phoneticPr fontId="3" type="noConversion"/>
  </si>
  <si>
    <t>DEL</t>
    <phoneticPr fontId="3" type="noConversion"/>
  </si>
  <si>
    <t>LOCAL EHT CONTROL PANEL #6</t>
    <phoneticPr fontId="3" type="noConversion"/>
  </si>
  <si>
    <t>B159-006BT0003 → B159-006BT0019 → B159-006BT0006 → B159-006BT0018 → B159-006BT0010 → B159-006BT0022 → B159-006BT0023 → B159-006BT0024 → B159-006BT0013 → D0314-L21 → M0315 → D0313-L11 → M0312 → D0312-L11 → M0330 → D0404-L11 → M0408 → B213-006CC0023 → END</t>
  </si>
  <si>
    <t>INC-0077</t>
    <phoneticPr fontId="3" type="noConversion"/>
  </si>
  <si>
    <t>B1-DCP-59702</t>
    <phoneticPr fontId="3" type="noConversion"/>
  </si>
  <si>
    <t>B2-DCP-59701</t>
    <phoneticPr fontId="3" type="noConversion"/>
  </si>
  <si>
    <t>B259-006AT0014 → B259-006AT0015 → B259-006AT0016 → B259-006AT0017 → D0310-L26 → M0311 → D0311-L16 → M0312 → B213-007CC0004 → B213-017CC0001 → END</t>
  </si>
  <si>
    <t>B064-016AT0106 → B064-016AT0217 → B064-016AT0090 → B064-016AT0216 → B064-016AT0215 → B064-016AT0214 → B064-016AT0213 → B064-016AT0032 → B064-016AT0033 → B064-016AT0034 → B064-016AT0035 → B064-016AT0036 → B064-016AT0037 → B064-016AT0309 → B064-016AT0017 → B064-016AT0251 → END</t>
  </si>
  <si>
    <t>ELE-AIS-0003-2</t>
    <phoneticPr fontId="3" type="noConversion"/>
  </si>
  <si>
    <t>1.2_LEB FOR BLOCK #1</t>
    <phoneticPr fontId="3" type="noConversion"/>
  </si>
  <si>
    <t>STG-B2-016</t>
    <phoneticPr fontId="3" type="noConversion"/>
  </si>
  <si>
    <t>B2-MCC-59601-P2002</t>
    <phoneticPr fontId="3" type="noConversion"/>
  </si>
  <si>
    <t>B2-MCC-59602-P2001</t>
    <phoneticPr fontId="3" type="noConversion"/>
  </si>
  <si>
    <t>STG-B2-066-002</t>
    <phoneticPr fontId="3" type="noConversion"/>
  </si>
  <si>
    <t>B2-DB-59601-P2009</t>
  </si>
  <si>
    <t>HRSG-U1-013</t>
    <phoneticPr fontId="3" type="noConversion"/>
  </si>
  <si>
    <t>HRSG-U2-001</t>
    <phoneticPr fontId="3" type="noConversion"/>
  </si>
  <si>
    <t>HRSG-U2-002</t>
    <phoneticPr fontId="3" type="noConversion"/>
  </si>
  <si>
    <t>HRSG-U4-007</t>
    <phoneticPr fontId="3" type="noConversion"/>
  </si>
  <si>
    <t>B2-MCC-64604-P2003</t>
  </si>
  <si>
    <t>FTD-B2-001</t>
    <phoneticPr fontId="3" type="noConversion"/>
  </si>
  <si>
    <t>B2-MCC-59601-P2015</t>
  </si>
  <si>
    <t>FTD-B2-002</t>
    <phoneticPr fontId="3" type="noConversion"/>
  </si>
  <si>
    <t>FOP-C-007</t>
    <phoneticPr fontId="3" type="noConversion"/>
  </si>
  <si>
    <t>FOP-C-009</t>
    <phoneticPr fontId="3" type="noConversion"/>
  </si>
  <si>
    <t>FOP-C-010</t>
    <phoneticPr fontId="3" type="noConversion"/>
  </si>
  <si>
    <t>CRA-C-004-001</t>
    <phoneticPr fontId="3" type="noConversion"/>
  </si>
  <si>
    <t>B2-MCC-64602-P2028</t>
  </si>
  <si>
    <t>CRA-C-011</t>
    <phoneticPr fontId="3" type="noConversion"/>
  </si>
  <si>
    <t>B1-MCC-64602-P2034</t>
  </si>
  <si>
    <t>CRA-C-021-001</t>
    <phoneticPr fontId="3" type="noConversion"/>
  </si>
  <si>
    <t>B1-MCC-64602-P2035</t>
  </si>
  <si>
    <t>CRA-C-021-003</t>
    <phoneticPr fontId="3" type="noConversion"/>
  </si>
  <si>
    <t>B2-MCC-64602-P2031</t>
  </si>
  <si>
    <t>CRA-C-028-003</t>
    <phoneticPr fontId="3" type="noConversion"/>
  </si>
  <si>
    <t>B2-MCC-64602-P2033</t>
  </si>
  <si>
    <t>SWA-B1-001</t>
    <phoneticPr fontId="3" type="noConversion"/>
  </si>
  <si>
    <t>B1-MCC-64601-P2028</t>
  </si>
  <si>
    <t>INC-0021</t>
    <phoneticPr fontId="3" type="noConversion"/>
  </si>
  <si>
    <t>B2-DB-64604-P2003</t>
  </si>
  <si>
    <t>INC-0059-001</t>
    <phoneticPr fontId="3" type="noConversion"/>
  </si>
  <si>
    <t>B0-MCC-49601-P2034</t>
  </si>
  <si>
    <t>B0-MCC-49601-P2035</t>
  </si>
  <si>
    <t>B0-MCC-49601-P2036</t>
  </si>
  <si>
    <t>B0-MCC-49601-P2037</t>
  </si>
  <si>
    <t>B0-MCC-49601-P2038</t>
  </si>
  <si>
    <t>B0-MCC-49601-P2039</t>
  </si>
  <si>
    <t>B0-MCC-49601-P2040</t>
  </si>
  <si>
    <t>B0-MCC-49601-P2041</t>
  </si>
  <si>
    <t>B0-MCC-64602-P2023</t>
  </si>
  <si>
    <t>B0-MCC-64602-P2024</t>
  </si>
  <si>
    <t>B0-MCC-64602-P2025</t>
  </si>
  <si>
    <t>B0-MCC-64602-P2026</t>
  </si>
  <si>
    <t>B0-MCC-64602-P2027</t>
  </si>
  <si>
    <t>INC-0075</t>
    <phoneticPr fontId="3" type="noConversion"/>
  </si>
  <si>
    <t>INC-0076</t>
    <phoneticPr fontId="3" type="noConversion"/>
  </si>
  <si>
    <t>ADD</t>
    <phoneticPr fontId="3" type="noConversion"/>
  </si>
  <si>
    <t>INC-0060-003</t>
    <phoneticPr fontId="3" type="noConversion"/>
  </si>
  <si>
    <t>B2-MCC-69603-P2009</t>
    <phoneticPr fontId="3" type="noConversion"/>
  </si>
  <si>
    <t>ELE-GCB-3003</t>
    <phoneticPr fontId="3" type="noConversion"/>
  </si>
  <si>
    <t>B2-DB-64601-P2003</t>
  </si>
  <si>
    <t>ELE-GCB-5001</t>
    <phoneticPr fontId="3" type="noConversion"/>
  </si>
  <si>
    <t>ELE-GCB-5002</t>
    <phoneticPr fontId="3" type="noConversion"/>
  </si>
  <si>
    <t>ELE-GCB-6001</t>
    <phoneticPr fontId="3" type="noConversion"/>
  </si>
  <si>
    <t>ELE-AIS-0003-1</t>
    <phoneticPr fontId="3" type="noConversion"/>
  </si>
  <si>
    <t>B1-DB-59602-P2008</t>
  </si>
  <si>
    <t>ELE-AIS-0006-2</t>
    <phoneticPr fontId="3" type="noConversion"/>
  </si>
  <si>
    <t>B2-DB-59602-P2008</t>
  </si>
  <si>
    <t>B0-HTP-00716-P2026</t>
    <phoneticPr fontId="3" type="noConversion"/>
  </si>
  <si>
    <t>PE-L1-1C95-01</t>
    <phoneticPr fontId="3" type="noConversion"/>
  </si>
  <si>
    <r>
      <rPr>
        <sz val="12"/>
        <color rgb="FF0000FF"/>
        <rFont val="맑은 고딕"/>
        <family val="2"/>
        <charset val="129"/>
      </rPr>
      <t xml:space="preserve">기존 </t>
    </r>
    <r>
      <rPr>
        <sz val="12"/>
        <color rgb="FF0000FF"/>
        <rFont val="Tahoma"/>
        <family val="2"/>
      </rPr>
      <t>Cable
NO.</t>
    </r>
    <phoneticPr fontId="12" type="noConversion"/>
  </si>
  <si>
    <t>PULLING</t>
    <phoneticPr fontId="12" type="noConversion"/>
  </si>
  <si>
    <t>DONE</t>
    <phoneticPr fontId="3" type="noConversion"/>
  </si>
  <si>
    <t>PE-L1-1C185-01</t>
    <phoneticPr fontId="3" type="noConversion"/>
  </si>
  <si>
    <t>B1-MCC-64601-P2036</t>
  </si>
  <si>
    <t>36</t>
    <phoneticPr fontId="3" type="noConversion"/>
  </si>
  <si>
    <t xml:space="preserve">7.1_FIN FAN COOLER FOR CLOSED COOLING WATER(CCW) CLOSED TYPE </t>
    <phoneticPr fontId="3" type="noConversion"/>
  </si>
  <si>
    <r>
      <rPr>
        <sz val="12"/>
        <rFont val="맑은 고딕"/>
        <family val="2"/>
        <charset val="129"/>
      </rPr>
      <t xml:space="preserve">기존 </t>
    </r>
    <r>
      <rPr>
        <sz val="12"/>
        <rFont val="Tahoma"/>
        <family val="2"/>
      </rPr>
      <t>DRUM
NO.</t>
    </r>
    <phoneticPr fontId="12" type="noConversion"/>
  </si>
  <si>
    <t>4C x 120sqmm + 1C X 70sqmm</t>
    <phoneticPr fontId="3" type="noConversion"/>
  </si>
  <si>
    <t>B2-MCC-64601-P2003</t>
    <phoneticPr fontId="3" type="noConversion"/>
  </si>
  <si>
    <t>PE-L1-5C120/70-08</t>
    <phoneticPr fontId="3" type="noConversion"/>
  </si>
  <si>
    <t>B0-MCC-72601-P2007</t>
    <phoneticPr fontId="3" type="noConversion"/>
  </si>
  <si>
    <t>재배정</t>
    <phoneticPr fontId="3" type="noConversion"/>
  </si>
  <si>
    <t>4C x 4sqmm</t>
    <phoneticPr fontId="3" type="noConversion"/>
  </si>
  <si>
    <t>재배정</t>
    <phoneticPr fontId="3" type="noConversion"/>
  </si>
  <si>
    <t>B1-UPSP-73701-P2001</t>
    <phoneticPr fontId="3" type="noConversion"/>
  </si>
  <si>
    <t>12BFA03.EA002-P2051</t>
    <phoneticPr fontId="3" type="noConversion"/>
  </si>
  <si>
    <t>PE-L1-3C4-16</t>
    <phoneticPr fontId="3" type="noConversion"/>
  </si>
  <si>
    <t>B1-DB-64604-P2004</t>
    <phoneticPr fontId="3" type="noConversion"/>
  </si>
  <si>
    <r>
      <t>110M</t>
    </r>
    <r>
      <rPr>
        <sz val="11"/>
        <rFont val="맑은 고딕"/>
        <family val="2"/>
        <charset val="129"/>
      </rPr>
      <t>이나 120</t>
    </r>
    <r>
      <rPr>
        <sz val="11"/>
        <rFont val="Tahoma"/>
        <family val="2"/>
      </rPr>
      <t>m</t>
    </r>
    <r>
      <rPr>
        <sz val="11"/>
        <rFont val="맑은 고딕"/>
        <family val="2"/>
        <charset val="129"/>
      </rPr>
      <t>재단</t>
    </r>
    <phoneticPr fontId="3" type="noConversion"/>
  </si>
  <si>
    <t>B1-DB-64602-P2014</t>
    <phoneticPr fontId="3" type="noConversion"/>
  </si>
  <si>
    <t>PE-L1-3C4-13</t>
    <phoneticPr fontId="3" type="noConversion"/>
  </si>
  <si>
    <t>B0-MCC-72601-P2008</t>
    <phoneticPr fontId="3" type="noConversion"/>
  </si>
  <si>
    <t>미배정Drum사용으로 추가 발주 원인임.</t>
    <phoneticPr fontId="3" type="noConversion"/>
  </si>
  <si>
    <t>B1-MCC-59601-P2001</t>
    <phoneticPr fontId="3" type="noConversion"/>
  </si>
  <si>
    <t>B2-MCC-64603-P2008</t>
    <phoneticPr fontId="3" type="noConversion"/>
  </si>
  <si>
    <t>B2-DCP-59701-P2008</t>
    <phoneticPr fontId="3" type="noConversion"/>
  </si>
  <si>
    <t>B2-DCP-59702-P2011</t>
  </si>
  <si>
    <t>STG-B1-013</t>
    <phoneticPr fontId="3" type="noConversion"/>
  </si>
  <si>
    <t>FWS-U4-002</t>
    <phoneticPr fontId="3" type="noConversion"/>
  </si>
  <si>
    <t>B1-MCC-59601-P2022</t>
  </si>
  <si>
    <r>
      <t xml:space="preserve">Cable no. </t>
    </r>
    <r>
      <rPr>
        <sz val="11"/>
        <rFont val="맑은 고딕"/>
        <family val="2"/>
        <charset val="129"/>
      </rPr>
      <t>중복해소</t>
    </r>
    <phoneticPr fontId="3" type="noConversion"/>
  </si>
  <si>
    <t>ELE-GCB-6002</t>
    <phoneticPr fontId="3" type="noConversion"/>
  </si>
  <si>
    <t>B2-MCC-64603-P2031</t>
    <phoneticPr fontId="3" type="noConversion"/>
  </si>
  <si>
    <t>B0-SWG-64303-P1001</t>
    <phoneticPr fontId="3" type="noConversion"/>
  </si>
  <si>
    <t>DONE(9/28)</t>
    <phoneticPr fontId="3" type="noConversion"/>
  </si>
  <si>
    <r>
      <t xml:space="preserve">DONE(9/28)
</t>
    </r>
    <r>
      <rPr>
        <sz val="11"/>
        <color rgb="FF0000FF"/>
        <rFont val="맑은 고딕"/>
        <family val="2"/>
        <charset val="129"/>
      </rPr>
      <t>미지정</t>
    </r>
    <r>
      <rPr>
        <sz val="11"/>
        <color rgb="FF0000FF"/>
        <rFont val="Tahoma"/>
        <family val="2"/>
      </rPr>
      <t>Drum(</t>
    </r>
    <r>
      <rPr>
        <sz val="11"/>
        <color rgb="FFFF0000"/>
        <rFont val="Tahoma"/>
        <family val="2"/>
      </rPr>
      <t>PE-L1-3C4-01</t>
    </r>
    <r>
      <rPr>
        <sz val="11"/>
        <color rgb="FF0000FF"/>
        <rFont val="Tahoma"/>
        <family val="2"/>
      </rPr>
      <t>)</t>
    </r>
    <r>
      <rPr>
        <sz val="11"/>
        <color rgb="FF0000FF"/>
        <rFont val="맑은 고딕"/>
        <family val="2"/>
        <charset val="129"/>
      </rPr>
      <t>사용인지 확인필요</t>
    </r>
    <phoneticPr fontId="3" type="noConversion"/>
  </si>
  <si>
    <t>INC-0059</t>
    <phoneticPr fontId="3" type="noConversion"/>
  </si>
  <si>
    <t>200-&gt;172kW</t>
    <phoneticPr fontId="3" type="noConversion"/>
  </si>
  <si>
    <t>GTG-U1-010</t>
  </si>
  <si>
    <t>ЩГП-1.3</t>
  </si>
  <si>
    <t>INTEGRA AC DB PNL</t>
  </si>
  <si>
    <t>11CRY01GW022-E01</t>
  </si>
  <si>
    <t>GTG #11 SERVER/LAN CABINET (Cable Only)</t>
  </si>
  <si>
    <t>B073-017AC0004 → PSP/BCN(INTEGRA)TRAY → B073-017AC0008 → B073-016AT0001 → B073-016AT0014 → B073-016AT0011 → END</t>
  </si>
  <si>
    <t>GTG-U2-010</t>
  </si>
  <si>
    <t>12CRY01GW022-E01</t>
  </si>
  <si>
    <t>GTG #12 SERVER/LAN CABINET (Cable Only)</t>
  </si>
  <si>
    <t>L1, N, PE</t>
  </si>
  <si>
    <t>GTG-U3-010</t>
  </si>
  <si>
    <t>21CRY01GW022-E01</t>
  </si>
  <si>
    <t>GTG #21 SERVER/LAN CABINET (Cable Only)</t>
  </si>
  <si>
    <t>B073-017AC0004 → PSP/BCN(INTEGRA)TRAY → B073-017AC0008 → B073-016AT0001 → B073-016AT0014 → B073-016AT0015 → B073-016AT0013 → END</t>
  </si>
  <si>
    <t>B264-016BT0049 → B264-016BT0048 → B264-996BT0013 → M0407 → D0302-L31 → M0302 → D0303-L31 → M0303 → D0304-L24 → M0304 → B212-996CT0021 → B212-016CT0004 → B212-016CT0003 → B212-016CT0002 → B212-016CT0001 → END</t>
  </si>
  <si>
    <t>GTG-U4-010</t>
  </si>
  <si>
    <t>22CRY01GW022-E01</t>
  </si>
  <si>
    <t>GTG #22 SERVER/LAN CABINET (Cable Only)</t>
  </si>
  <si>
    <t>B159-006AT0006 → B159-006AT0005 → B159-006AT0014 → B159-006AT0025 → D0326-L13 → M0316 → B113-996AT0012 → B113-016AT0011 → B113-016AT0003 → B113-016AT0004 → B113-016AT0005 → B113-016AT0006 → B113-016BC0048 → END</t>
  </si>
  <si>
    <t>B159-006BT0003 → B159-006BT0001 → D0326-L14 → M0316 → B113-997AT0010 → B113-017AT0009 → B113-017AT0003 → B113-017AT0004 → B113-017AT0005 → B113-017AT0006 → B113-016BC0049 → END</t>
  </si>
  <si>
    <t>STG-B1-067-002</t>
  </si>
  <si>
    <t>TCS SERVER(TLCS) CABINET (AUX. POWER)  (Cable Only)</t>
  </si>
  <si>
    <t>B259-006AT0006 → B259-006AT0005 → B259-006AT0014 → B259-006AT0025 → D0325-L13 → M0313 → B213-996AT0012 → B213-016AT0011 → B213-016AT0003 → B213-016AT0004 → B213-016AT0005 → B213-016AT0006 → B213-016BC0050 → END</t>
  </si>
  <si>
    <t>B259-006BT0003 → B259-006BT0001 → D0325-L14 → M0313 → B213-997AT0010 → B213-017AT0009 → B213-017AT0003 → B213-017AT0004 → B213-017AT0005 → B213-017AT0006 → B213-016BC0051 → END</t>
  </si>
  <si>
    <t>STG-B2-067-002</t>
  </si>
  <si>
    <t>B164-006HT0202 → B164-006HT0007 → B164-006HT0008 → B164-006HT0009 → B164-006HT0208 → B164-006HT0207 → B164-006HT0005 → B064-006AC0002 → M0501 → D0503-L41 → M0502 → D0504-L41 → M0503 → D0501-L41 → M0328 → D0324-L41 → M0329 → B114-997BT0046 → B114-017BT0045 → B114-017BT0044 → B114-017BT0043 → B161-017AC0006 → END</t>
  </si>
  <si>
    <t>UDB-1.2</t>
  </si>
  <si>
    <t>INTEGRA UPS DB PNL</t>
  </si>
  <si>
    <t>25_ADMINISTRATIVE AND HOUSEHOLD BUILDING / CCR</t>
  </si>
  <si>
    <t>HRSG-U1-020</t>
  </si>
  <si>
    <t>B0-C-0001A</t>
  </si>
  <si>
    <t>CEMS SWITCH PANEL - Line 1 (Cable Only)</t>
  </si>
  <si>
    <t>B073-017AC0002 → PSP/BCN(INTEGRA)TRAY → B073-017AC0006 → B073-016AT0001 → B073-016AT0002 → B073-016AT0003 → B073-016AT0004 → END</t>
  </si>
  <si>
    <t>HRSG-U1-021</t>
  </si>
  <si>
    <t>UDB-1.1</t>
  </si>
  <si>
    <t>B0-C-0001B</t>
  </si>
  <si>
    <t>CEMS SWITCH PANEL - Line 2 (Cable Only)</t>
  </si>
  <si>
    <t>B073-017AC0001 → PSP/BCN(INTEGRA)TRAY → B073-017AC0006 → B073-016AT0001 → B073-016AT0002 → B073-016AT0003 → B073-016AT0004 → END</t>
  </si>
  <si>
    <t>B2-MCC-64602-P2043</t>
  </si>
  <si>
    <t>B264-016AT0045 → B264-016AT0046 → B264-016AT0209 → B264-016AT0026 → B264-016AT0027 → B264-016AT0225 → B264-996AT0011 → M0405 → D0421-L26 → M0406 → D0301-L22 → M0301 → B215-996BT0001 → B215-016BT0002 → B215-016BT0003 → B215-016BT0004 → B215-016BT0005 → B215-016BT0031 → B215-016BT0032 → B215-016BT0033 → B261-016CC0028 → B261-006CC0010 → B261-006CC0011 → END</t>
  </si>
  <si>
    <t>현장포설일정 변경으로 인한 Drum 재배정(7/28)</t>
  </si>
  <si>
    <t>B269-006ET0035 → B269-006ET0051 → D0107-L25 → M0108 → D0109-L15 → M0110 → B216-916HT0007 → B216-016HT0007 → B216-926HT0007 → B216-026HT0007 → B216-036HT0007 → B216-036GT0018 → B216-036GT0019 → END</t>
  </si>
  <si>
    <t>B269-006ET0035 → B269-006ET0051 → D0107-L24 → M0108 → D0105-L21 → M0107 → D0108-L21 → M0109 → B216-916ET0006 → B216-016ET0006 → B216-926ET0006 → B216-026ET0006 → B216-036ET0006 → B216-036ET0015 → B216-036ET0017 → END</t>
  </si>
  <si>
    <t>B269-006ET0035 → B269-006ET0051 → D0107-L24 → M0108 → D0105-L21 → M0107 → D0108-L15 → M0109 → B216-916ET0006 → B216-016ET0006 → B216-926ET0006 → B216-026ET0006 → B216-036ET0006 → B216-036ET0015 → B216-036ET0017 → END</t>
  </si>
  <si>
    <t>B269-006ET0035 → B269-006ET0051 → D0107-L21 → M0108 → D0105-L21 → M0107 → D0108-L15 → M0109 → B216-916ET0006 → B216-016ET0006 → B216-926ET0006 → B216-026ET0006 → B216-036ET0006 → B216-036ET0015 → END</t>
  </si>
  <si>
    <t>B269-006ET0035 → B269-006ET0051 → D0107-L32 → M0108 → D0105-L23 → M0110 → B216-916ET0006 → B216-016ET0006 → B216-926ET0006 → B216-026ET0006 → B216-036ET0006 → B216-036ET0015 → END</t>
  </si>
  <si>
    <t>B269-006ET0035 → B269-006ET0051 → D0107-L23 → M0108 → D0109-L13 → M0110 → B216-916FT0005 → B216-016FT0005 → B216-926FT0005 → B216-026FT0005 → B216-036FT0005 → B216-036ET0015 → END</t>
  </si>
  <si>
    <t>B269-006ET0035 → B269-006ET0051 → D0107-L31 → M0108 → D0109-L11 → M0110 → B216-916HT0007 → B216-016HT0007 → B216-926HT0007 → B216-026HT0007 → B216-036HT0007 → B216-036GT0018 → B216-036GT0019 → END</t>
  </si>
  <si>
    <t>B269-006ET0035 → B269-006ET0051 → D0107-L32 → M0108 → D0105-L24 → M0107 → D0108-L22 → M0109 → B216-916ET0006 → B216-016ET0006 → B216-926ET0006 → B216-026ET0006 → B216-036ET0006 → B216-036ET0015 → B216-036ET0017 → END</t>
  </si>
  <si>
    <t>B269-006ET0035 → B269-006ET0051 → D0107-L32 → M0108 → D0105-L24 → M0107 → D0108-L22 → M0109 → B216-916ET0006 → B216-016ET0006 → B216-926ET0006 → B216-026ET0006 → B216-036ET0006 → B216-036ET0015 → END</t>
  </si>
  <si>
    <t>B269-006ET0035 → B269-006ET0051 → D0107-L32 → M0108 → D0109-L22 → M0110 → B216-916ET0006 → B216-016ET0006 → B216-926ET0006 → B216-026ET0006 → B216-036ET0006 → B216-036ET0015 → END</t>
  </si>
  <si>
    <t>B269-006ET0035 → B269-006ET0051 → D0107-L32 → M0108 → D0109-L22 → M0110 → B216-916FT0005 → B216-016FT0005 → B216-926FT0005 → B216-026FT0005 → B216-036FT0005 → B216-036ET0015 → END</t>
  </si>
  <si>
    <t>B269-006ET0035 → B269-006ET0051 → D0107-L31 → M0108 → D0109-L21 → M0110 → B216-916HT0007 → B216-016HT0007 → B216-926HT0007 → B216-026HT0007 → B216-036HT0007 → B216-036GT0018 → B216-036GT0019 → END</t>
  </si>
  <si>
    <t>B269-006ET0035 → B269-006ET0051 → D0107-L32 → M0108 → D0109-L12 → M0110 → B216-916ET0006 → B216-016ET0006 → B216-926ET0006 → B216-026ET0006 → B216-036ET0006 → B216-036ET0015 → END</t>
  </si>
  <si>
    <t>B269-006ET0035 → B269-006ET0051 → D0107-L32 → M0108 → D0109-L12 → M0110 → B216-916FT0005 → B216-016FT0005 → B216-926FT0005 → B216-026FT0005 → B216-036FT0005 → B216-036ET0015 → END</t>
  </si>
  <si>
    <t>B259-006BT0006 → B259-006BT0019 → B259-006BT0001 → D0325-L15 → M0313 → B213-997AT0010 → B213-017AT0009 → B213-017AT0003 → B213-017AT0004 → B213-017AT0005 → B213-017AT0006 → B213-017AT0007 → B213-016BC0037 → B213-016AC0012 → B213-016AC0010 → B213-016AC0008 → END</t>
  </si>
  <si>
    <t>B049-006BT0004 → B049-006BT0003 → B049-006BT0001 → D0204-L18 → M0207 → D0203-L15 → M0206 → D0205-L15 → M0205 → B025-996FT0005 → B025-016FT0029 → B025-016FT0028 → B025-016FT0020 → B025-016FT0019 → B025-016FT0018 → B025-016FT0017 → B025-016FT0016 → B025-996FT0003 → M0103 → B070-006AC0009 → END</t>
  </si>
  <si>
    <t>B064-016AT0033 → B064-016AT0034 → B064-016AT0233 → B064-016AT0234 → B064-016AT0048 → B064-016AT0049 → B064-016AT0050 → B064-016AT0051 → B064-016AT0312 → B064-016AT0071 → B064-016AT0070 → B064-016AT0069 → B064-016AT0068 → B064-016AT0067 → B064-016AT0277 → B064-016AT0278 → B064-016AT0094 → B064-016AT0296 → B064-016AT0110 → B064-016AT0109 → B064-016AT0285 → B025-016DT0068 → B025-016DT0067 → B025-016DT0066 → B025-016DT0065 → B025-016DT0064 → B025-016DT0063 → B025-016DT0062 → B025-016DT0061 → B025-016DT0060 → B025-996DT0020 → B025-016DT0059 → B025-016DT0054 → B025-016DT0053 → B025-016DT0051 → B025-996DT0018 → B025-016DT0052 → B025-016DT0050 → B025-016DT0049 → B025-016DT0048 → B025-016DT0047 → B025-996DT0008 → M0521 → D0528-L11 → B078-006AT0001 → END</t>
  </si>
  <si>
    <t>B164-006HT0206 → B164-006HT0205 → B164-006HT0004 → B164-006HT0005 → B064-006AC0007 → M0501 → B064-996AT0120 → B064-016AT0032 → B064-016AT0213 → B064-016AT0214 → B064-016AT0215 → B064-016AT0216 → B064-016AT0217 → B064-016AT0106 → B064-016AT0107 → B064-016AT0108 → B064-016AT0285 → B025-016CT0090 → B025-016CT0089 → B025-016CT0067 → B025-016CT0066 → B025-016CT0065 → B025-016CT0064 → B025-016CT0063 → B025-016CT0062 → B025-016CT0061 → B025-016CT0060 → B025-996CT0020 → B025-016CT0059 → B025-016CT0054 → B025-016CT0053 → B025-016CT0050 → B025-016CT0049 → B025-016CT0048 → B025-016CT0047 → B025-996CT0008 → M0521 → D0528-L11 → B078-006AT0001 → END</t>
  </si>
  <si>
    <t>B064-006FT0206 → B064-006FT0205 → B064-006FT0003 → B064-006AC0006 → M0501 → B064-996BT0020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B025-016DT0054 → B025-016DT0053 → B025-016DT0050 → B025-016DT0049 → B025-016DT0048 → B025-016DT0047 → B025-996DT0008 → M0521 → D0528-L12 → B078-006BT0001 → END</t>
  </si>
  <si>
    <t>B064-006FT0206 → B064-006FT0009 → B064-006FT0208 → B064-006FT0207 → B064-006FT0005 → B064-006AC0011 → M0501 → B064-996BT0020 → B064-016BT0033 → B064-016BT0034 → B064-016BT0035 → B064-016BT0036 → B064-016BT0242 → B064-016BT0243 → B064-016BT0244 → B064-016BT0292 → B064-016BT0293 → B064-016BT0294 → B025-016CT0090 → B025-016CT0089 → B025-016CT0067 → B025-016CT0066 → B025-016CT0065 → B025-016CT0064 → B025-016CT0063 → B025-016CT0062 → B025-016CT0061 → B025-016CT0060 → B025-996CT0020 → B025-016CT0059 → B025-016CT0054 → B025-016CT0053 → B025-016CT0051 → B025-996CT0018 → B025-016CT0052 → B025-016CT0050 → B025-016CT0049 → B025-016CT0048 → B025-016CT0047 → B025-996CT0008 → M0521 → D0528-L12 → B078-007BC0001 → END</t>
  </si>
  <si>
    <t>B264-013MT0005 → B264-013MT0218 → B264-993MT0006 → M0405 → D0421-M15 → M0406 → D0301-M13 → M0301 → B215-993DT0001 → B215-013DT0002 → B215-013DT0003 → B215-013DT0004 → B215-013DT0005 → B215-013DT0052 → B215-013DT0053 → B215-013DT0054 → B215-013DT0055 → B215-013DT0056 → B215-013DT0057 → B261-013CC0001 → B261-003CC0001 → END</t>
  </si>
  <si>
    <t>B2-SWG-64303-P2005</t>
  </si>
  <si>
    <t>B264-016AT0011 → B264-016AT0233 → B264-016AT0015 → B264-996AT0011 → M0405 → D0421-L32 → M0406 → D0301-L36 → M0301 → B215-996AT0026 → B215-016AT0048 → B215-016AT0049 → B215-016AT0050 → B215-016AT0051 → B215-016AT0064 → B215-016AT0065 → B215-016AT0066 → B215-016AT0055 → B215-016AT0056 → B215-016AT0057 → B261-017CC0002 → B261-007CC0002 → END</t>
  </si>
  <si>
    <t>B2-SWG-64304-P1007</t>
  </si>
  <si>
    <t>B264-013NT0020 → B264-013NT0216 → B264-993NT0005 → M0405 → D0421-M17 → M0406 → D0301-M11 → M0301 → B215-993CT0026 → B215-013CT0048 → B215-013CT0061 → B215-013CT0062 → B261-013AC0001 → B261-003AC0001 → END</t>
  </si>
  <si>
    <t>B2-SWG-64304-P2004</t>
  </si>
  <si>
    <t>B264-016BT0025 → B264-016BT0206 → B264-996BT0001 → M0401 → D0403-L12 → M0402 → D0402-L12 → M0424 → D0401-L12 → M0404 → B232-006AC0056 → END</t>
  </si>
  <si>
    <t>B264-016AT0046 → B264-016AT0209 → B264-016AT0025 → B264-016AT0206 → B264-996AT0001 → M0401 → D0403-L13 → M0402 → D0402-L13 → M0424 → D0401-L13 → M0404 → B232-006AC0053 → END</t>
  </si>
  <si>
    <t>B159-006AT0003 → B159-006AT0025 → D0326-L15 → M0316 → B113-996AT0012 → B113-016AT0011 → B113-016AT0003 → B113-016AT0004 → B113-016AT0005 → B113-016AT0006 → B113-016AT0007 → B113-016BC0034 → B113-006AC0013 → END</t>
  </si>
  <si>
    <t>B064-016BT0012 → B064-016BT0013 → B064-016BT0014 → B064-016BT0015 → B064-016BT0016 → B064-016BT0309 → B064-016BT0037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B078-016AC0012 → B078-006AC0043 → B078-006AC0026 → END</t>
  </si>
  <si>
    <t>B064-016BT0032 → B064-016BT0033 → B064-016BT0034 → B064-016BT0035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B078-016AC0011 → B078-006AC0044 → B078-006AC0027 → END</t>
  </si>
  <si>
    <t>B064-016AT0032 → B064-016AT0213 → B064-016AT0045 → B064-016AT0046 → B064-016AT0047 → B064-016AT0048 → B064-016AT0049 → B064-016AT0240 → B064-016AT0290 → B064-016AT0068 → B064-016AT0067 → B064-016AT0277 → B064-016AT0278 → B064-016AT0094 → B064-016AT0296 → B064-016AT0110 → B064-016AT0109 → B064-016AT0285 → B025-016CT0090 → B025-016CT0089 → B025-016CT0067 → B025-016CT0066 → B025-016CT0065 → B025-016CT0064 → B025-016CT0063 → B025-016CT0062 → B025-016CT0061 → B025-016CT0060 → B025-996CT0020 → B025-016CT0059 → B025-016CT0055 → B025-996CT0019 → B025-016CT0056 → B025-016CT0133 → B078-016AC0009 → B078-006AC0042 → B078-006AC0025 → END</t>
  </si>
  <si>
    <t>B164-016AT0094 → B164-016AT0093 → B164-016AT0092 → B164-996AT0022 → M0504 → D0531-L44 → M0510 → D0502-L34 → M0326 → D0320-L34 → M0325 → D0319-L25 → M0324 → D0327-L25 → M0321 → D0317-L25 → M0320 → D0323-L15 → M0319 → D0316-L22 → M0318 → D0315-L21 → M0315 → D0313-L11 → M0312 → B213-006CC0024 → B213-016CC0003 → END</t>
  </si>
  <si>
    <t>B159-006AT0006 → B159-006AT0018 → B159-006AT0017 → D0314-L22 → M0315 → D0313-L12 → M0312 → D0330-L21 → M0314 → B213-006CC0022 → END</t>
  </si>
  <si>
    <t>B064-006FT0205 → B064-006FT0003 → B064-006AC0011 → M0501 → D0503-L37 → M0502 → D0504-L37 → M0503 → D0501-L37 → M0328 → D0324-L37 → M0329 → B114-997AT0021 → B114-017AT0020 → B114-017AT0025 → B025-017ET0042 → B025-017ET0041 → B025-017ET0040 → B025-017ET0016 → B025-017ET0039 → B025-017ET0038 → B025-017ET0036 → B025-017ET0035 → B025-017ET0033 → B025-017ET0032 → B025-017ET0031 → B025-017ET0030 → B025-017ET0021 → B025-017ET0022 → B025-997ET0004 → M0205 → D0205-L23 → M0206 → D0203-L23 → M0207 → D0204-L17 → B049-007AT0001 → B049-007AT0003 → B049-007AT0012 → B049-006AC0001 → END</t>
  </si>
  <si>
    <t>INC-0012</t>
  </si>
  <si>
    <t>ЩГП-1.3</t>
    <phoneticPr fontId="3" type="noConversion"/>
  </si>
  <si>
    <t>BLOCK #1 DCS (SERVER ROOM) PDP NORMAL  (Cable Only)</t>
  </si>
  <si>
    <t>INC-0015</t>
  </si>
  <si>
    <t>BLOCK #2 DCS (SERVER ROOM) PDP NORMAL  (Cable Only)</t>
  </si>
  <si>
    <t>INC-0015-001</t>
  </si>
  <si>
    <t>B0-PDP-0001</t>
  </si>
  <si>
    <t>COMMON DCS (SERVER ROOM) PDP PRIMARY (Cable Only)</t>
  </si>
  <si>
    <t>B073-017AC0002 → PSP/BCN(INTEGRA)TRAY → B073-017AC0006 → B073-016AT0001 → B073-016AT0014 → B073-016AT0015 → B073-016AT0013 → END</t>
  </si>
  <si>
    <t>INC-0015-002</t>
  </si>
  <si>
    <t>COMMON DCS (SERVER ROOM) PDP SECONDARY (Cable Only)</t>
  </si>
  <si>
    <t>B073-017AC0001 → PSP/BCN(INTEGRA)TRAY → B073-017AC0006 → B073-016AT0001 → B073-016AT0014 → B073-016AT0015 → B073-016AT0013 → END</t>
  </si>
  <si>
    <t>INC-0015-003</t>
  </si>
  <si>
    <t>COMMON DCS (SERVER ROOM) PDP NORMAL  (Cable Only)</t>
  </si>
  <si>
    <t>B073-017AC0005 → PSP/BCN(INTEGRA)TRAY → B073-017AC0007 → B073-016AT0001 → B073-016AT0014 → B073-016AT0015 → B073-016AT0013 → END</t>
  </si>
  <si>
    <t>INC-0034</t>
  </si>
  <si>
    <t>WEATHER STATION</t>
  </si>
  <si>
    <t>B0-P-0081</t>
  </si>
  <si>
    <t>WEATHER STATION (Cable Only)</t>
  </si>
  <si>
    <t>25_ADMINISTRATIVE AND HOUSEHOLD BUILDING / ROOF</t>
  </si>
  <si>
    <t>PSP/BCN(INTEGRA)TRAY → B073-017AC0003</t>
  </si>
  <si>
    <t>B064-006FT0205 → B064-006FT0003 → B064-006AC0005 → M0501 → B064-996BT0020 → B064-016BT0033 → B064-016BT0034 → B064-016BT0035 → B064-016BT0036 → B064-016BT0242 → B064-016BT0243 → B064-016BT0244 → B064-016BT0292 → B064-016BT0293 → B064-016BT0294 → B025-016DT0068 → B025-016DT0067 → B025-016DT0066 → B025-016DT0065 → B025-016DT0064 → B025-016DT0063 → B025-016DT0062 → B025-016DT0061 → B025-016DT0060 → B025-996DT0020 → B025-016DT0059 → B025-016DT0054 → B025-016DT0053 → B025-016DT0050 → B025-016DT0049 → B025-016DT0048 → B025-016DT0047 → B025-996DT0008 → M0521 → D0528-L11 → B078-006AT0001 → END</t>
  </si>
  <si>
    <t>B164-006HT0206 → B164-006HT0205 → B164-006HT0004 → B164-006HT0005 → B064-006AC0010 → M0501 → B064-996AT0120 → B064-016AT0033 → B064-016AT0034 → B064-016AT0233 → B064-016AT0234 → B064-016AT0048 → B064-016AT0049 → B064-016AT0050 → B064-016AT0051 → B064-016AT0312 → B064-016AT0071 → B064-016AT0070 → B064-016AT0069 → B064-016AT0068 → B064-016AT0067 → B064-016AT0277 → B064-016AT0278 → B064-016AT0094 → B064-016AT0296 → B064-016AT0110 → B064-016AT0109 → B064-016AT0285 → B025-016CT0090 → B025-016CT0089 → B025-016CT0067 → B025-016CT0066 → B025-016CT0065 → B025-016CT0064 → B025-016CT0063 → B025-016CT0062 → B025-016CT0061 → B025-016CT0060 → B025-996CT0020 → B025-016CT0059 → B025-016CT0054 → B025-016CT0053 → B025-016CT0050 → B025-016CT0049 → B025-016CT0048 → B025-016CT0047 → B025-996CT0008 → M0521 → D0528-L12 → B078-006BT0001 → END</t>
  </si>
  <si>
    <t>B064-016AT0012 → B064-016AT0013 → B064-016AT0232 → B064-016AT0233 → B064-016AT0234 → B064-016AT0048 → B064-016AT0049 → B064-016AT0050 → B064-016AT0051 → B064-016AT0312 → B064-016AT0071 → B064-016AT0070 → B064-016AT0069 → B064-016AT0068 → B064-016AT0067 → B064-016AT0277 → B064-016AT0278 → B064-016AT0094 → B064-016AT0296 → B064-016AT0110 → B064-016AT0109 → B064-016AT0285 → B025-016DT0068 → B025-016DT0067 → B025-016DT0066 → B025-016DT0065 → B025-016DT0064 → B025-016DT0063 → B025-016DT0062 → B025-016DT0061 → B025-016DT0060 → B025-996DT0020 → B025-016DT0059 → B025-016DT0054 → B025-016DT0053 → B025-016DT0051 → B025-996DT0018 → B025-016DT0052 → B025-016DT0050 → B025-016DT0049 → B025-016DT0048 → B025-016DT0047 → B025-996DT0008 → M0521 → D0528-L11 → B078-006AT0001 → END</t>
  </si>
  <si>
    <t>INC-0044</t>
  </si>
  <si>
    <t>B0-K-0001</t>
  </si>
  <si>
    <t>COMMON VMS (CCR) PANEL PRIMARY (Cable Only)</t>
  </si>
  <si>
    <t>25_ADMINISTRATIVE AND HOUSEHOLD BUILDING / COMPUTER ROOM</t>
  </si>
  <si>
    <t>INC-0045</t>
  </si>
  <si>
    <t>COMMON VMS (CCR) PANEL SECONDARY (Cable Only)</t>
  </si>
  <si>
    <t>INC-0046</t>
  </si>
  <si>
    <t>COMMON VMS (CCR) PANEL NORMAL  (Cable Only)</t>
  </si>
  <si>
    <t>B073-017AC0005 → PSP/BCN(INTEGRA)TRAY → B073-017AC0007 → B073-016AT0001 → B073-016AT0002 → B073-016AT0003 → B073-016AT0004 → END</t>
  </si>
  <si>
    <t>B064-016BT0013 → B064-016BT0012 → B064-996BT0019 → M0501 → D0503-L41 → M0502 → D0504-L41 → M0503 → D0501-L41 → M0328 → D0324-L41 → M0329 → B114-996AT0021 → B114-016AT0020 → B114-016AT0025 → B025-016FT0042 → B025-016FT0041 → B025-016FT0040 → B025-016FT0043 → B025-016FT0044 → B025-016FT0045 → B025-016FT0046 → B025-016DT0047 → B025-996DT0008 → M0521 → D0528-L11 → B078-006AT0001 → END</t>
  </si>
  <si>
    <t>B064-016BT0013 → B064-016BT0012 → B064-996BT0019 → M0501 → D0503-L48 → M0502 → D0504-L48 → M0503 → D0501-L48 → M0328 → D0324-L48 → M0329 → B114-996AT0021 → B114-016AT0020 → B114-016AT0025 → B025-016FT0042 → B025-016FT0041 → B025-016FT0040 → B025-016FT0043 → B025-016FT0044 → B025-016FT0045 → B025-016FT0046 → B025-016DT0047 → B025-996DT0008 → M0521 → D0528-L12 → B078-006BT0001 → END</t>
  </si>
  <si>
    <t>B164-006GT0203 → B164-006GT0002 → B164-006GT0003 → B064-006AC0022 → M0501 → B064-996BT0020 → B064-016BT0033 → B064-016BT0034 → B064-016BT0035 → B064-016BT0036 → B064-016BT0037 → B064-016BT0038 → B064-016BT0249 → B064-016BT0250 → B064-016BT0061 → B064-016BT0062 → B064-016BT0305 → B064-016BT0306 → B064-016BT0307 → B064-016BT0105 → END</t>
  </si>
  <si>
    <t>B164-006HT0210 → B164-006HT0209 → B164-006HT0006 → B064-006AC0020 → M0501 → B064-996GT0020 → B064-016GT0033 → B064-016GT0229 → B064-016GT0230 → END → B064-016AT0046 → END</t>
  </si>
  <si>
    <t>B064-006FT0207 → B064-006FT0005 → B064-006AC0021 → M0501 → B064-996GT0020 → B064-016GT0033 → B064-016GT0229 → B064-016GT0230 → B064-016GT0047 → B064-016GT0048 → END</t>
  </si>
  <si>
    <t>B064-006FT0207 → B064-006FT0005 → B064-006AC0018 → M0501 → B064-996GT0020 → B064-016GT0033 → B064-016GT0229 → B064-016GT0230 → B064-016GT0047 → END</t>
  </si>
  <si>
    <t>B064-006FT0207 → B064-006FT0005 → B064-006AC0019 → M0501 → B064-996GT0020 → B064-016GT0033 → B064-016GT0229 → B064-016GT0230 → B064-016GT0047 → END</t>
  </si>
  <si>
    <t>L+</t>
  </si>
  <si>
    <t>L-</t>
  </si>
  <si>
    <t>B164-016BT0105 → B164-016BT0104 → B164-016BT0103 → B164-016BT0102 → B164-016BT0101 → B164-016BT0100 → B164-996BT0024 → M0504 → D0531-L41 → M0510 → D0517-L21 → M0501 → B064-006AC0014 → B164-006GT0003 → B164-006GT0002 → B164-006GT0203 → END</t>
  </si>
  <si>
    <t>B164-006GT0204 → B164-006GT0007 → B164-006GT0202 → END</t>
  </si>
  <si>
    <t>PE-L1-5C120/70-03</t>
    <phoneticPr fontId="3" type="noConversion"/>
  </si>
  <si>
    <t>ELE-DU-6018</t>
  </si>
  <si>
    <t>B264-016ET0063 → B264-016ET0062 → B264-006AC0009 → M0407 → D0302-L27 → M0302 → D0303-L27 → M0303 → D0305-L22 → M0306 → D0321-L26 → M0307 → D0306-L33 → M0308 → D0308-L22 → M0310 → D0309-L22 → M0311 → D0310-L22 → B259-006AT0017 → B259-006AT0016 → B259-006AT0015 → END</t>
  </si>
  <si>
    <t>B264-016ET0061 → B264-016ET0248 → B264-016ET0062 → B264-006AC0012 → M0407 → D0302-L37 → M0302 → D0303-L37 → M0303 → D0305-L27 → M0306 → D0321-L27 → M0307 → D0306-L25 → M0308 → D0308-L15 → M0310 → D0309-L15 → M0311 → D0310-L25 → B259-006AT0017 → B259-006AT0016 → B259-006AT0015 → B259-006AT0014 → END</t>
  </si>
  <si>
    <t>B264-016FT0063 → B264-016FT0247 → B264-016FT0061 → END</t>
  </si>
  <si>
    <t>ELE-DU-7018</t>
  </si>
  <si>
    <t>B164-006HT0202 → B164-006HT0201 → B164-006HT0001 → B164-006HT0002 → B164-006HT0003 → B064-006AC0017 → M0501 → B064-996GT0020 → B064-016GT0033 → B064-016GT0229 → B064-016GT0230 → B064-016GT0047 → B064-016GT0048 → B064-016GT0239 → B064-016GT0053 → B064-016GT0275 → B064-016GT0276 → B064-016GT0066 → B064-006AC0050 → END</t>
  </si>
  <si>
    <t>B164-006HT0202 → B164-006HT0201 → B164-006HT0001 → B164-006HT0002 → B164-006HT0003 → B064-006AC0017 → M0501 → B064-996AT0120 → B064-016AT0032 → B064-016AT0213 → B064-016AT0214 → END</t>
  </si>
  <si>
    <t>B164-006GT0201 → B164-006GT0001 → B164-006GT0002 → B164-006GT0003 → B064-006AC0016 → M0501 → B064-996GT0020 → B064-016GT0033 → B064-016GT0229 → B064-016GT0230 → B064-016GT0047 → B064-016GT0048 → B064-016GT0239 → B064-016GT0053 → B064-016GT0275 → B064-016GT0276 → B064-016GT0066 → B064-006AC0050 → END</t>
  </si>
  <si>
    <t>B064-006FT0205 → B064-006FT0003 → B064-006AC0018 → M0501 → B064-996GT0020 → B064-016GT0033 → B064-016GT0229 → B064-016GT0230 → B064-016GT0047 → B064-016GT0048 → B064-016GT0239 → B064-996GT0013 → B064-996GT0053 → B064-996GT0073 → B064-037AT0214 → B064-037AT0213 → B064-037AT0212 → B064-037AT0211 → B064-037AT0025 → END</t>
  </si>
  <si>
    <t>B164-006HT0206 → B164-006HT0205 → B164-006HT0004 → B164-006HT0005 → B064-006AC0019 → M0501 → B064-996AT0020 → B064-016AT0222 → B064-996AT0005 → B064-996AT0045 → B064-996AT0065 → B064-036AT0008 → B064-036AT0203 → B064-036AT0013 → B064-036AT0205 → B064-036AT0024 → B064-036AT0025 → END</t>
  </si>
  <si>
    <t>B064-006FT0206 → B064-006FT0009 → B064-006FT0208 → B064-006FT0207 → B064-006FT0005 → B064-006AC0017 → M0501 → B064-996GT0020 → B064-016GT0033 → B064-016GT0229 → B064-016GT0230 → B064-016GT0047 → B064-016GT0048 → B064-016GT0239 → B064-996GT0013 → B064-996GT0053 → B064-996GT0073 → B064-037AT0214 → B064-037AT0213 → B064-037AT0212 → B064-037AT0211 → B064-037AT0025 → END</t>
  </si>
  <si>
    <t>ELE-AIS-0009</t>
  </si>
  <si>
    <t>PA+R4P</t>
  </si>
  <si>
    <t>SHC GRAM CABINET (Cable Only)</t>
  </si>
  <si>
    <t>ELE-AIS-0010</t>
  </si>
  <si>
    <t>B073-017AC0003 → PSP/BCN(INTEGRA)TRAY → B073-017AC0006 → B073-016AT0001 → B073-016AT0014 → B073-016AT0015 → B073-016AT0013 → END</t>
  </si>
  <si>
    <t>ELE-AIS-0011</t>
  </si>
  <si>
    <t>ELE-AIS-0012</t>
  </si>
  <si>
    <t>TK31</t>
  </si>
  <si>
    <t>NETWORK EQUIPMENT CABINET (Cable Only)</t>
  </si>
  <si>
    <t>B073-017AC0005 → PSP/BCN(INTEGRA)TRAY → B073-017AC0007 → B073-016AT0001 → END</t>
  </si>
  <si>
    <t>ELE-AIS-0013</t>
  </si>
  <si>
    <t>B073-017AC0003 → PSP/BCN(INTEGRA)TRAY → B073-017AC0006 → B073-016AT0001 → END</t>
  </si>
  <si>
    <t>ELE-AIS-0014</t>
  </si>
  <si>
    <t>B064-013AT0040 → B064-013AT0226 → B064-993AT0019 → M0501 → D0503-M23 → M0502 → D0504-M23 → M0503 → D0501-M23 → M0328 → D0324-M23 → M0329 → B114-993AT0021 → B114-013AT0020 → B114-013AT0025 → B025-013TT0042 → B025-013TT0041 → B025-013TT0040 → B025-993TT0016 → B025-013TT0039 → B025-013TT0038 → B025-013TT0036 → B025-013TT0035 → B025-013TT0033 → B025-013TT0032 → B025-013TT0031 → B025-013TT0030 → B025-013TT0028 → B025-013TT0029 → B025-993TT0005 → M0205 → D0205-M11 → M0206 → D0203-M11 → M0207 → D0204-M11 → B049-003AT0001 → B049-003AT0003 → B049-003AT0014 → B049-003AT0010 → END</t>
  </si>
  <si>
    <t>B064-016AT0012 → B064-996AT0020 → M0501 → D0503-L43 → M0502 → D0504-L43 → M0503 → D0501-L43 → M0328 → D0324-L43 → M0329 → B114-996BT0046 → B114-016BT0045 → B114-016BT0044 → B114-016BT0043 → B114-016BT0042 → B114-016BT0041 → B114-016BT0040 → B114-016BT0039 → B114-016BT0038 → B215-016BT0037 → B215-016BT0036 → B215-016BT0035 → B215-016BT0034 → B215-016BT0033 → B215-016BT0032 → B215-016BT0022 → B025-016AT0001 → B025-016AT0002 → B025-016AT0003 → B025-996AT0001 → M0102 → D0101-L11 → B071-006AT0001 → END</t>
  </si>
  <si>
    <t>L1, L2, L3, PE</t>
  </si>
  <si>
    <t>B161-013BC0002 → B161-003BC0008 → M0325 → D0320-M12 → M0326 → D0329-M12 → M0327 → B111-993AT0022 → B111-013AT0001 → END</t>
  </si>
  <si>
    <t>B161-013BC0003 → B161-003BC0009 → M0325 → D0320-M13 → M0326 → D0329-M13 → M0327 → B111-993AT0022 → B111-013AT0001 → END</t>
  </si>
  <si>
    <t>B161-003BC0004 → M0326 → B111-993AT0021 → B111-013AT0004 → B111-013AT0005 → END</t>
  </si>
  <si>
    <t>B161-003BC0005 → M0326 → B111-993AT0021 → B111-013AT0004 → B111-013AT0005 → END</t>
  </si>
  <si>
    <t>L1, L2, L3, N, PE</t>
  </si>
  <si>
    <t>X19(D3, D4), PE</t>
  </si>
  <si>
    <t>B161-007BC0014 → M0325 → D0320-L27 → M0326 → B111-996AT0021 → B111-016AT0004 → B111-016AT0005 → END</t>
  </si>
  <si>
    <t>B161-007BC0015 → M0325 → D0320-L34 → M0326 → B111-996AT0021 → B111-016AT0004 → B111-016AT0005 → END</t>
  </si>
  <si>
    <t>B261-013DC0002 → B261-003DC0008 → M0307 → D0306-M12 → M0308 → D0322-M12 → M0309 → B212-993AT0022 → B212-013AT0001 → END</t>
  </si>
  <si>
    <t>B261-013DC0003 → B261-003DC0009 → M0307 → D0306-M13 → M0308 → D0322-M13 → M0309 → B212-993AT0022 → B212-013AT0001 → END</t>
  </si>
  <si>
    <t>B261-013BC0002 → B261-003BC0008 → M0303 → D0304-M12 → M0304 → B212-993BT0022 → B212-013BT0025 → B212-013BT0007 → B212-013BT0008 → B212-013BT0009 → B212-013BT0010 → B212-013BT0001 → END</t>
  </si>
  <si>
    <t>B261-013BC0003 → B261-003BC0009 → M0303 → D0304-M13 → M0304 → B212-993BT0022 → B212-013BT0025 → B212-013BT0007 → B212-013BT0008 → B212-013BT0009 → B212-013BT0010 → B212-013BT0001 → END</t>
  </si>
  <si>
    <t>B212-013BT0001 → B212-013BT0002 → B212-013BT0003 → B212-013BT0004 → B212-993BT0021 → M0304 → D0304-L24 → M0303 → D0303-L33 → M0302 → B261-006BC0006 → B261-016BC0103 → END</t>
  </si>
  <si>
    <t>B0-CH-64701-P2001</t>
  </si>
  <si>
    <t>B164-006GT0207 → B164-006GT0208 → B164-006GT0009 → END</t>
  </si>
  <si>
    <t>B0-CH-64701-P2002</t>
  </si>
  <si>
    <t>B0-CH-64701-P2003</t>
  </si>
  <si>
    <t>B0-CH-64701-P2004</t>
  </si>
  <si>
    <t>B0-CH-64701-P2005</t>
  </si>
  <si>
    <t>B0-CH-64701-P2006</t>
  </si>
  <si>
    <t>B0-CH-64701-P2007</t>
  </si>
  <si>
    <t>B0-CH-64701-P2008</t>
  </si>
  <si>
    <t>B0-FC-64701-P2001</t>
  </si>
  <si>
    <t>B0-BAT-64701</t>
  </si>
  <si>
    <t>B064-007AC0005 → END</t>
  </si>
  <si>
    <t>B0-FC-64701-P2002</t>
  </si>
  <si>
    <t>B0-FC-64701-P2003</t>
  </si>
  <si>
    <t>B064-007AC0007 → END</t>
  </si>
  <si>
    <t>B0-FC-64701-P2004</t>
  </si>
  <si>
    <t>B0-FC-64701-P2005</t>
  </si>
  <si>
    <t>B0-BAT-64702</t>
  </si>
  <si>
    <t>B064-007AC0008 → END</t>
  </si>
  <si>
    <t>B0-FC-64701-P2006</t>
  </si>
  <si>
    <t>B0-FC-64701-P2007</t>
  </si>
  <si>
    <t>B064-007AC0006 → END</t>
  </si>
  <si>
    <t>B0-FC-64701-P2008</t>
  </si>
  <si>
    <t>B1-CH-64701-P2001</t>
  </si>
  <si>
    <t>B164-006HT0203 → B164-006HT0204 → B164-006HT0007 → END</t>
  </si>
  <si>
    <t>B1-CH-64701-P2002</t>
  </si>
  <si>
    <t>B1-CH-64701-P2003</t>
  </si>
  <si>
    <t>B1-CH-64701-P2004</t>
  </si>
  <si>
    <t>B1-CH-64701-P2005</t>
  </si>
  <si>
    <t>B1-CH-64701-P2006</t>
  </si>
  <si>
    <t>B1-CH-64701-P2007</t>
  </si>
  <si>
    <t>B1-CH-64701-P2008</t>
  </si>
  <si>
    <t>B1-BAT-64701</t>
  </si>
  <si>
    <t>B064-007AC0004 → END</t>
  </si>
  <si>
    <t>B1-FC-64701-P2002</t>
  </si>
  <si>
    <t>B1-FC-64701-P2003</t>
  </si>
  <si>
    <t>B064-007AC0002 → END</t>
  </si>
  <si>
    <t>B1-FC-64701-P2004</t>
  </si>
  <si>
    <t>B1-FC-64701-P2005</t>
  </si>
  <si>
    <t>B1-BAT-64702</t>
  </si>
  <si>
    <t>B064-007AC0001 → END</t>
  </si>
  <si>
    <t>B1-FC-64701-P2006</t>
  </si>
  <si>
    <t>B1-FC-64701-P2007</t>
  </si>
  <si>
    <t>B064-007AC0003 → END</t>
  </si>
  <si>
    <t>B1-FC-64701-P2008</t>
  </si>
  <si>
    <t>B2-CH-64701-P2001</t>
  </si>
  <si>
    <t>BLCOK #2 BATTERY FUSE BOX</t>
  </si>
  <si>
    <t>B264-016DT0061 → B264-016DT0060 → END</t>
  </si>
  <si>
    <t>B2-CH-64701-P2002</t>
  </si>
  <si>
    <t>B2-CH-64701-P2003</t>
  </si>
  <si>
    <t>B2-CH-64701-P2004</t>
  </si>
  <si>
    <t>B2-BAT-64701</t>
  </si>
  <si>
    <t>B264-007AC0001 → END</t>
  </si>
  <si>
    <t>B264-007AC0002 → END</t>
  </si>
  <si>
    <t>B2-BAT-64702</t>
  </si>
  <si>
    <t>B264-007AC0004 → END</t>
  </si>
  <si>
    <t>B264-007AC0003 → END</t>
  </si>
  <si>
    <t>BAT-B0-001</t>
    <phoneticPr fontId="3" type="noConversion"/>
  </si>
  <si>
    <t>BAT-B0-002</t>
    <phoneticPr fontId="3" type="noConversion"/>
  </si>
  <si>
    <t>BAT-B1-001</t>
    <phoneticPr fontId="3" type="noConversion"/>
  </si>
  <si>
    <t>BAT-B1-002</t>
    <phoneticPr fontId="3" type="noConversion"/>
  </si>
  <si>
    <t>BAT-B2-001</t>
    <phoneticPr fontId="3" type="noConversion"/>
  </si>
  <si>
    <t>BAT-B2-002</t>
    <phoneticPr fontId="3" type="noConversion"/>
  </si>
  <si>
    <t>From변경(9/30)
재배정</t>
    <phoneticPr fontId="3" type="noConversion"/>
  </si>
  <si>
    <t>HRSG-U3-013</t>
    <phoneticPr fontId="3" type="noConversion"/>
  </si>
  <si>
    <r>
      <t>From</t>
    </r>
    <r>
      <rPr>
        <sz val="11"/>
        <rFont val="맑은 고딕"/>
        <family val="2"/>
        <charset val="129"/>
      </rPr>
      <t>변경</t>
    </r>
    <r>
      <rPr>
        <sz val="11"/>
        <rFont val="Tahoma"/>
        <family val="2"/>
      </rPr>
      <t>(9/30)</t>
    </r>
    <phoneticPr fontId="3" type="noConversion"/>
  </si>
  <si>
    <t>PE-M1-1C240-14</t>
  </si>
  <si>
    <t>PE-M1-1C240-15</t>
    <phoneticPr fontId="3" type="noConversion"/>
  </si>
  <si>
    <t>PE-M1-1C240-16</t>
    <phoneticPr fontId="3" type="noConversion"/>
  </si>
  <si>
    <t>PE-M1-1C240-17</t>
    <phoneticPr fontId="3" type="noConversion"/>
  </si>
  <si>
    <t>PE-M1-1C240-18</t>
    <phoneticPr fontId="3" type="noConversion"/>
  </si>
  <si>
    <t>PE-M1-1C240-19</t>
    <phoneticPr fontId="3" type="noConversion"/>
  </si>
  <si>
    <t>PE-M1-1C240-20</t>
    <phoneticPr fontId="3" type="noConversion"/>
  </si>
  <si>
    <t>HRSG #11 HP MAIN STEAM STOP BYPASS VALVE - MOV</t>
    <phoneticPr fontId="3" type="noConversion"/>
  </si>
  <si>
    <t>B2-SWG-69601-P2013</t>
    <phoneticPr fontId="3" type="noConversion"/>
  </si>
  <si>
    <r>
      <rPr>
        <sz val="11"/>
        <rFont val="맑은 고딕"/>
        <family val="2"/>
        <charset val="129"/>
      </rPr>
      <t>현장포설일정</t>
    </r>
    <r>
      <rPr>
        <sz val="11"/>
        <rFont val="Tahoma"/>
        <family val="2"/>
      </rPr>
      <t xml:space="preserve"> </t>
    </r>
    <r>
      <rPr>
        <sz val="11"/>
        <rFont val="맑은 고딕"/>
        <family val="2"/>
        <charset val="129"/>
      </rPr>
      <t>변경으로</t>
    </r>
    <r>
      <rPr>
        <sz val="11"/>
        <rFont val="Tahoma"/>
        <family val="2"/>
      </rPr>
      <t xml:space="preserve"> </t>
    </r>
    <r>
      <rPr>
        <sz val="11"/>
        <rFont val="맑은 고딕"/>
        <family val="2"/>
        <charset val="129"/>
      </rPr>
      <t>인한</t>
    </r>
    <r>
      <rPr>
        <sz val="11"/>
        <rFont val="Tahoma"/>
        <family val="2"/>
      </rPr>
      <t xml:space="preserve"> Drum </t>
    </r>
    <r>
      <rPr>
        <sz val="11"/>
        <rFont val="맑은 고딕"/>
        <family val="2"/>
        <charset val="129"/>
      </rPr>
      <t>재배정</t>
    </r>
    <r>
      <rPr>
        <sz val="11"/>
        <rFont val="Tahoma"/>
        <family val="2"/>
      </rPr>
      <t>(7/28)</t>
    </r>
    <phoneticPr fontId="3" type="noConversion"/>
  </si>
  <si>
    <t>PE-L1-3C4-05</t>
    <phoneticPr fontId="3" type="noConversion"/>
  </si>
  <si>
    <r>
      <t>Drum</t>
    </r>
    <r>
      <rPr>
        <sz val="11"/>
        <color rgb="FF0000FF"/>
        <rFont val="맑은 고딕"/>
        <family val="2"/>
        <charset val="129"/>
      </rPr>
      <t>재배정</t>
    </r>
    <phoneticPr fontId="3" type="noConversion"/>
  </si>
  <si>
    <t>B1-UPSP-64702-P2002</t>
    <phoneticPr fontId="3" type="noConversion"/>
  </si>
  <si>
    <r>
      <t xml:space="preserve">Drum </t>
    </r>
    <r>
      <rPr>
        <sz val="10"/>
        <rFont val="맑은 고딕"/>
        <family val="2"/>
        <charset val="129"/>
      </rPr>
      <t>재배정(9/30)</t>
    </r>
    <phoneticPr fontId="3" type="noConversion"/>
  </si>
  <si>
    <t>PE-M1-1C240-08</t>
    <phoneticPr fontId="3" type="noConversion"/>
  </si>
  <si>
    <r>
      <t xml:space="preserve">DONE
</t>
    </r>
    <r>
      <rPr>
        <sz val="11"/>
        <color rgb="FF0000FF"/>
        <rFont val="맑은 고딕"/>
        <family val="2"/>
        <charset val="129"/>
      </rPr>
      <t>재포설</t>
    </r>
    <phoneticPr fontId="3" type="noConversion"/>
  </si>
  <si>
    <t>PE-M1-1C240-09</t>
    <phoneticPr fontId="3" type="noConversion"/>
  </si>
  <si>
    <t>PE-M1-1C240-10</t>
    <phoneticPr fontId="3" type="noConversion"/>
  </si>
  <si>
    <t>UDB-1.1</t>
    <phoneticPr fontId="3" type="noConversion"/>
  </si>
  <si>
    <t>INT-UDB-1.1-P2201</t>
    <phoneticPr fontId="3" type="noConversion"/>
  </si>
  <si>
    <t>INT-UDB-1.1-P2202</t>
    <phoneticPr fontId="3" type="noConversion"/>
  </si>
  <si>
    <t>INT-UDB-1.1-P2203</t>
    <phoneticPr fontId="3" type="noConversion"/>
  </si>
  <si>
    <t>INT-UDB-1.2-P2201</t>
    <phoneticPr fontId="3" type="noConversion"/>
  </si>
  <si>
    <t>INT-UDB-1.2-P2202</t>
    <phoneticPr fontId="3" type="noConversion"/>
  </si>
  <si>
    <t>INT-UDB-1.2-P2203</t>
    <phoneticPr fontId="3" type="noConversion"/>
  </si>
  <si>
    <t>INT-UDB-1.2-P2204</t>
    <phoneticPr fontId="3" type="noConversion"/>
  </si>
  <si>
    <t>INT-UDB-1.2-P2205</t>
    <phoneticPr fontId="3" type="noConversion"/>
  </si>
  <si>
    <t>INT-UDB-1.2-P2206</t>
    <phoneticPr fontId="3" type="noConversion"/>
  </si>
  <si>
    <t>INT-ACDB-1.3-P2202</t>
  </si>
  <si>
    <t>INT-ACDB-1.3-P2203</t>
  </si>
  <si>
    <t>INT-ACDB-1.3-P2204</t>
  </si>
  <si>
    <t>INT-ACDB-1.3-P2205</t>
  </si>
  <si>
    <t>INT-ACDB-1.3-P2206</t>
  </si>
  <si>
    <t>INT-ACDB-1.3-P2207</t>
  </si>
  <si>
    <t>INT-ACDB-1.3-P2208</t>
  </si>
  <si>
    <t>INT-ACDB-1.3-P2209</t>
  </si>
  <si>
    <t>INT-ACDB-1.3-P2210</t>
  </si>
  <si>
    <t>INT-ACDB-1.3-P2211</t>
  </si>
  <si>
    <t>INT-ACDB-1.3-P2213</t>
  </si>
  <si>
    <t>INT-ACDB-1.3-P2214</t>
  </si>
  <si>
    <t>INT-ACDB-1.3-P2215</t>
  </si>
  <si>
    <t>INTEGRA AC DB PNL</t>
    <phoneticPr fontId="3" type="noConversion"/>
  </si>
  <si>
    <t>PE-L1-3C25/16-03</t>
    <phoneticPr fontId="3" type="noConversion"/>
  </si>
  <si>
    <t>B0-UPSP-64701-P2001</t>
    <phoneticPr fontId="3" type="noConversion"/>
  </si>
  <si>
    <t>B0-UPSP-64702-P2001</t>
    <phoneticPr fontId="3" type="noConversion"/>
  </si>
  <si>
    <t>B0-UPSP-64701-P2002</t>
    <phoneticPr fontId="3" type="noConversion"/>
  </si>
  <si>
    <t>B0-UPSP-64701-P2006</t>
    <phoneticPr fontId="3" type="noConversion"/>
  </si>
  <si>
    <t>B0-UPSP-64702-P2007</t>
    <phoneticPr fontId="3" type="noConversion"/>
  </si>
  <si>
    <t>B0-UPSP-64701-P2005</t>
    <phoneticPr fontId="3" type="noConversion"/>
  </si>
  <si>
    <t>B0-UPSP-64702-P2006</t>
    <phoneticPr fontId="3" type="noConversion"/>
  </si>
  <si>
    <t>B0-UPSP-64702-P2008</t>
    <phoneticPr fontId="3" type="noConversion"/>
  </si>
  <si>
    <t>B0-UPSP-64701-P2007</t>
    <phoneticPr fontId="3" type="noConversion"/>
  </si>
  <si>
    <t>B0-LCP-3909-P2004</t>
    <phoneticPr fontId="3" type="noConversion"/>
  </si>
  <si>
    <t>FWP-U3-007</t>
    <phoneticPr fontId="3" type="noConversion"/>
  </si>
  <si>
    <t>12BFA52.DA002-P2090</t>
    <phoneticPr fontId="3" type="noConversion"/>
  </si>
  <si>
    <t>B1-DB-64602-P2006</t>
    <phoneticPr fontId="3" type="noConversion"/>
  </si>
  <si>
    <t>B1-DB-64602-P2015</t>
    <phoneticPr fontId="3" type="noConversion"/>
  </si>
  <si>
    <t>B1-DB-64602-P2007</t>
    <phoneticPr fontId="3" type="noConversion"/>
  </si>
  <si>
    <t>B1-DB-64602-P2008</t>
    <phoneticPr fontId="3" type="noConversion"/>
  </si>
  <si>
    <t>미배정Drum 사용(10/6)</t>
    <phoneticPr fontId="3" type="noConversion"/>
  </si>
  <si>
    <t>DONE(10/6)</t>
    <phoneticPr fontId="3" type="noConversion"/>
  </si>
  <si>
    <r>
      <t xml:space="preserve">Drum </t>
    </r>
    <r>
      <rPr>
        <sz val="10"/>
        <color rgb="FF0000FF"/>
        <rFont val="맑은 고딕"/>
        <family val="2"/>
        <charset val="129"/>
      </rPr>
      <t>재배정(9/30)
SE의견에 때른 재포설필요</t>
    </r>
    <phoneticPr fontId="3" type="noConversion"/>
  </si>
  <si>
    <t>미배정Drum사용
5C4로 재포설필요</t>
    <phoneticPr fontId="3" type="noConversion"/>
  </si>
  <si>
    <r>
      <rPr>
        <sz val="11"/>
        <color rgb="FF0000FF"/>
        <rFont val="맑은 고딕"/>
        <family val="3"/>
        <charset val="129"/>
      </rPr>
      <t>미배정</t>
    </r>
    <r>
      <rPr>
        <sz val="11"/>
        <color rgb="FF0000FF"/>
        <rFont val="Tahoma"/>
        <family val="2"/>
      </rPr>
      <t>Drum</t>
    </r>
    <r>
      <rPr>
        <sz val="11"/>
        <color rgb="FF0000FF"/>
        <rFont val="맑은 고딕"/>
        <family val="3"/>
        <charset val="129"/>
      </rPr>
      <t xml:space="preserve">사용
</t>
    </r>
    <r>
      <rPr>
        <sz val="11"/>
        <color rgb="FF0000FF"/>
        <rFont val="Tahoma"/>
        <family val="2"/>
      </rPr>
      <t>5C4</t>
    </r>
    <r>
      <rPr>
        <sz val="11"/>
        <color rgb="FF0000FF"/>
        <rFont val="맑은 고딕"/>
        <family val="3"/>
        <charset val="129"/>
      </rPr>
      <t>로</t>
    </r>
    <r>
      <rPr>
        <sz val="11"/>
        <color rgb="FF0000FF"/>
        <rFont val="Tahoma"/>
        <family val="2"/>
      </rPr>
      <t xml:space="preserve"> </t>
    </r>
    <r>
      <rPr>
        <sz val="11"/>
        <color rgb="FF0000FF"/>
        <rFont val="맑은 고딕"/>
        <family val="3"/>
        <charset val="129"/>
      </rPr>
      <t>재포설필요</t>
    </r>
    <phoneticPr fontId="3" type="noConversion"/>
  </si>
  <si>
    <r>
      <rPr>
        <sz val="11"/>
        <color rgb="FF0000FF"/>
        <rFont val="맑은 고딕"/>
        <family val="2"/>
        <charset val="129"/>
      </rPr>
      <t xml:space="preserve">재배정
</t>
    </r>
    <r>
      <rPr>
        <sz val="11"/>
        <color rgb="FF0000FF"/>
        <rFont val="Tahoma"/>
        <family val="2"/>
      </rPr>
      <t>'</t>
    </r>
    <r>
      <rPr>
        <sz val="11"/>
        <color rgb="FF0000FF"/>
        <rFont val="맑은 고딕"/>
        <family val="3"/>
        <charset val="129"/>
      </rPr>
      <t>미배정</t>
    </r>
    <r>
      <rPr>
        <sz val="11"/>
        <color rgb="FF0000FF"/>
        <rFont val="Tahoma"/>
        <family val="2"/>
      </rPr>
      <t xml:space="preserve">Drum </t>
    </r>
    <r>
      <rPr>
        <sz val="11"/>
        <color rgb="FF0000FF"/>
        <rFont val="맑은 고딕"/>
        <family val="3"/>
        <charset val="129"/>
      </rPr>
      <t>사용</t>
    </r>
    <r>
      <rPr>
        <sz val="11"/>
        <color rgb="FF0000FF"/>
        <rFont val="Tahoma"/>
        <family val="2"/>
      </rPr>
      <t>(10/6)</t>
    </r>
    <phoneticPr fontId="3" type="noConversion"/>
  </si>
  <si>
    <r>
      <rPr>
        <sz val="11"/>
        <color rgb="FF0000FF"/>
        <rFont val="맑은 고딕"/>
        <family val="3"/>
        <charset val="129"/>
      </rPr>
      <t>미배정</t>
    </r>
    <r>
      <rPr>
        <sz val="11"/>
        <color rgb="FF0000FF"/>
        <rFont val="Tahoma"/>
        <family val="2"/>
      </rPr>
      <t xml:space="preserve">Drum </t>
    </r>
    <r>
      <rPr>
        <sz val="11"/>
        <color rgb="FF0000FF"/>
        <rFont val="맑은 고딕"/>
        <family val="3"/>
        <charset val="129"/>
      </rPr>
      <t>사용</t>
    </r>
    <r>
      <rPr>
        <sz val="11"/>
        <color rgb="FF0000FF"/>
        <rFont val="Tahoma"/>
        <family val="2"/>
      </rPr>
      <t>(9/28)</t>
    </r>
    <phoneticPr fontId="3" type="noConversion"/>
  </si>
  <si>
    <r>
      <rPr>
        <sz val="11"/>
        <color rgb="FF0000FF"/>
        <rFont val="맑은 고딕"/>
        <family val="3"/>
        <charset val="129"/>
      </rPr>
      <t>미배정</t>
    </r>
    <r>
      <rPr>
        <sz val="11"/>
        <color rgb="FF0000FF"/>
        <rFont val="Tahoma"/>
        <family val="2"/>
      </rPr>
      <t xml:space="preserve">Drum </t>
    </r>
    <r>
      <rPr>
        <sz val="11"/>
        <color rgb="FF0000FF"/>
        <rFont val="맑은 고딕"/>
        <family val="3"/>
        <charset val="129"/>
      </rPr>
      <t>사용</t>
    </r>
    <r>
      <rPr>
        <sz val="11"/>
        <color rgb="FF0000FF"/>
        <rFont val="Tahoma"/>
        <family val="2"/>
      </rPr>
      <t>(10/6)</t>
    </r>
    <phoneticPr fontId="3" type="noConversion"/>
  </si>
  <si>
    <t>재배정
'미배정Drum 사용(10/6)</t>
    <phoneticPr fontId="3" type="noConversion"/>
  </si>
  <si>
    <t>B2-MCC-59602-P2016</t>
    <phoneticPr fontId="3" type="noConversion"/>
  </si>
  <si>
    <t>B0-SWG-49602-P2002</t>
    <phoneticPr fontId="3" type="noConversion"/>
  </si>
  <si>
    <t>B2-SWG-64303-P1004</t>
    <phoneticPr fontId="3" type="noConversion"/>
  </si>
  <si>
    <t>B0-EMCC-64601-P2001</t>
    <phoneticPr fontId="3" type="noConversion"/>
  </si>
  <si>
    <t>B2-DB-64602-P2001</t>
    <phoneticPr fontId="3" type="noConversion"/>
  </si>
  <si>
    <t>B1-MCC-64603-P2011</t>
    <phoneticPr fontId="3" type="noConversion"/>
  </si>
  <si>
    <t>재배정
미배정Drum사용으로 추가 발주 원인임.</t>
    <phoneticPr fontId="3" type="noConversion"/>
  </si>
  <si>
    <r>
      <t xml:space="preserve">PE-L1-5C120/70-03 </t>
    </r>
    <r>
      <rPr>
        <sz val="11"/>
        <color rgb="FF0000FF"/>
        <rFont val="맑은 고딕"/>
        <family val="2"/>
        <charset val="129"/>
      </rPr>
      <t>유지</t>
    </r>
    <r>
      <rPr>
        <sz val="11"/>
        <color rgb="FF0000FF"/>
        <rFont val="Tahoma"/>
        <family val="2"/>
      </rPr>
      <t>(10/6)</t>
    </r>
    <phoneticPr fontId="3" type="noConversion"/>
  </si>
  <si>
    <t>재배정
(10/6)</t>
    <phoneticPr fontId="3" type="noConversion"/>
  </si>
  <si>
    <t>재배정
미배정Drum사용으로 추가 발주 필요</t>
    <phoneticPr fontId="3" type="noConversion"/>
  </si>
  <si>
    <t>재배정(10/6)</t>
    <phoneticPr fontId="3" type="noConversion"/>
  </si>
  <si>
    <r>
      <rPr>
        <sz val="11"/>
        <color rgb="FF0000FF"/>
        <rFont val="맑은 고딕"/>
        <family val="2"/>
        <charset val="129"/>
      </rPr>
      <t xml:space="preserve">재배정
</t>
    </r>
    <r>
      <rPr>
        <sz val="11"/>
        <color rgb="FF0000FF"/>
        <rFont val="Tahoma"/>
        <family val="2"/>
      </rPr>
      <t>'PE-L1-5C70/35</t>
    </r>
    <r>
      <rPr>
        <sz val="11"/>
        <color rgb="FF0000FF"/>
        <rFont val="맑은 고딕"/>
        <family val="2"/>
        <charset val="129"/>
      </rPr>
      <t>유지</t>
    </r>
    <r>
      <rPr>
        <sz val="11"/>
        <color rgb="FF0000FF"/>
        <rFont val="Tahoma"/>
        <family val="2"/>
      </rPr>
      <t>(10/6)</t>
    </r>
    <phoneticPr fontId="3" type="noConversion"/>
  </si>
  <si>
    <t>B0-MCC-49601-P2029</t>
    <phoneticPr fontId="3" type="noConversion"/>
  </si>
  <si>
    <t>1C x 300sqmm</t>
    <phoneticPr fontId="3" type="noConversion"/>
  </si>
  <si>
    <t>INT-ACDB-1.3-P2201</t>
    <phoneticPr fontId="3" type="noConversion"/>
  </si>
  <si>
    <t>INT-ACDB-1.3-P2216</t>
    <phoneticPr fontId="3" type="noConversion"/>
  </si>
  <si>
    <t>INT-ACDB-1.3-P2212</t>
    <phoneticPr fontId="3" type="noConversion"/>
  </si>
  <si>
    <t>COMMON BATTERY FUSE BOX</t>
    <phoneticPr fontId="3" type="noConversion"/>
  </si>
  <si>
    <t>COMMON BATTERY RACK-1</t>
    <phoneticPr fontId="3" type="noConversion"/>
  </si>
  <si>
    <t>COMMON BATTERY RACK-2</t>
    <phoneticPr fontId="3" type="noConversion"/>
  </si>
  <si>
    <t>BLOCK #1 BATTERY FUSE BOX</t>
    <phoneticPr fontId="3" type="noConversion"/>
  </si>
  <si>
    <t>BLOCK #1 BATTERY RACK-1</t>
    <phoneticPr fontId="3" type="noConversion"/>
  </si>
  <si>
    <t>BLOCK #1 BATTERY RACK-2</t>
    <phoneticPr fontId="3" type="noConversion"/>
  </si>
  <si>
    <t>L+</t>
    <phoneticPr fontId="3" type="noConversion"/>
  </si>
  <si>
    <t>B2-CH-64701-P2005</t>
    <phoneticPr fontId="3" type="noConversion"/>
  </si>
  <si>
    <t>B2-CH-64701-P2006</t>
    <phoneticPr fontId="3" type="noConversion"/>
  </si>
  <si>
    <t>B2-CH-64701-P2007</t>
    <phoneticPr fontId="3" type="noConversion"/>
  </si>
  <si>
    <t>B2-CH-64701-P2008</t>
    <phoneticPr fontId="3" type="noConversion"/>
  </si>
  <si>
    <t>BLCOK #2 BATTERY FUSE BOX</t>
    <phoneticPr fontId="3" type="noConversion"/>
  </si>
  <si>
    <t>BLCOK #2 BATTERY RACK-1</t>
    <phoneticPr fontId="3" type="noConversion"/>
  </si>
  <si>
    <t>BLCOK #2 BATTERY RACK-2</t>
    <phoneticPr fontId="3" type="noConversion"/>
  </si>
  <si>
    <t>B2-FC-64701-P2001</t>
    <phoneticPr fontId="3" type="noConversion"/>
  </si>
  <si>
    <t>B2-FC-64701-P2002</t>
    <phoneticPr fontId="3" type="noConversion"/>
  </si>
  <si>
    <t>B2-FC-64701-P2003</t>
    <phoneticPr fontId="3" type="noConversion"/>
  </si>
  <si>
    <t>B2-FC-64701-P2004</t>
    <phoneticPr fontId="3" type="noConversion"/>
  </si>
  <si>
    <t>B2-FC-64701-P2005</t>
    <phoneticPr fontId="3" type="noConversion"/>
  </si>
  <si>
    <t>B2-FC-64701-P2006</t>
    <phoneticPr fontId="3" type="noConversion"/>
  </si>
  <si>
    <t>B2-FC-64701-P2007</t>
    <phoneticPr fontId="3" type="noConversion"/>
  </si>
  <si>
    <t>B2-FC-64701-P2008</t>
    <phoneticPr fontId="3" type="noConversion"/>
  </si>
  <si>
    <t>PE-L1-1C185-02</t>
    <phoneticPr fontId="3" type="noConversion"/>
  </si>
  <si>
    <t>B1-ESWG-64601-P2001</t>
    <phoneticPr fontId="3" type="noConversion"/>
  </si>
  <si>
    <t>B1-ESWG-64601-P2002</t>
    <phoneticPr fontId="3" type="noConversion"/>
  </si>
  <si>
    <t>DWP-C-001</t>
    <phoneticPr fontId="3" type="noConversion"/>
  </si>
  <si>
    <t>GTG #11 LV SWGR INCMR FDR / PCC</t>
    <phoneticPr fontId="3" type="noConversion"/>
  </si>
  <si>
    <t>11BFA00GS001-E01</t>
    <phoneticPr fontId="3" type="noConversion"/>
  </si>
  <si>
    <r>
      <t xml:space="preserve">SWGR to J/B : Doosan
J/B to consumer : SE
12MYB30GF102 -X03
</t>
    </r>
    <r>
      <rPr>
        <sz val="11"/>
        <rFont val="Tahoma"/>
        <family val="2"/>
      </rPr>
      <t>(415, 416, 417, 418, PE)</t>
    </r>
    <phoneticPr fontId="3" type="noConversion"/>
  </si>
  <si>
    <r>
      <t xml:space="preserve">SWGR to J/B : Doosan
J/B to consumer : SE
21MYB30GF102 -X03
</t>
    </r>
    <r>
      <rPr>
        <sz val="11"/>
        <rFont val="Tahoma"/>
        <family val="2"/>
      </rPr>
      <t>(415, 416, 417, 418, PE)</t>
    </r>
    <phoneticPr fontId="3" type="noConversion"/>
  </si>
  <si>
    <r>
      <t xml:space="preserve">SWGR to J/B : Doosan
J/B to consumer : SE
22MYB30GF102 -X03
</t>
    </r>
    <r>
      <rPr>
        <sz val="11"/>
        <rFont val="Tahoma"/>
        <family val="2"/>
      </rPr>
      <t>(415, 416, 417, 418, PE)</t>
    </r>
    <phoneticPr fontId="3" type="noConversion"/>
  </si>
  <si>
    <t>11MBN22AA001 -Y02</t>
    <phoneticPr fontId="3" type="noConversion"/>
  </si>
  <si>
    <t>B1-ESWG-64602-P2004</t>
    <phoneticPr fontId="3" type="noConversion"/>
  </si>
  <si>
    <t>HRSG #11 FW RECIRCULATION PUMP B - MOTOR</t>
    <phoneticPr fontId="3" type="noConversion"/>
  </si>
  <si>
    <t>용량변경(200-&gt;108kW)에 따른 Cable 사양 변경(1C185x4line+1C95x1Line-&gt;5C95/50x1line)</t>
    <phoneticPr fontId="3" type="noConversion"/>
  </si>
  <si>
    <t>PE-L1-3C25/16-02</t>
    <phoneticPr fontId="3" type="noConversion"/>
  </si>
  <si>
    <r>
      <t xml:space="preserve">Drum </t>
    </r>
    <r>
      <rPr>
        <sz val="10"/>
        <color rgb="FF0000FF"/>
        <rFont val="맑은 고딕"/>
        <family val="2"/>
        <charset val="129"/>
      </rPr>
      <t>재배정(10/12)</t>
    </r>
    <phoneticPr fontId="3" type="noConversion"/>
  </si>
  <si>
    <t>B073-017AC0004 → PSP/BCN(INTEGRA)TRAY → B073-017AC0008 → B073-016AT0001 → B073-016AT0014 → B073-016AT0015 → B073-016AT0013 → END</t>
    <phoneticPr fontId="3" type="noConversion"/>
  </si>
  <si>
    <t>PE-L1-3C25/16-01</t>
    <phoneticPr fontId="3" type="noConversion"/>
  </si>
  <si>
    <t>DONE(10/12)</t>
    <phoneticPr fontId="3" type="noConversion"/>
  </si>
  <si>
    <t>11BFA51.HA003-P2091</t>
    <phoneticPr fontId="3" type="noConversion"/>
  </si>
  <si>
    <t>11BUA51.DA001-P2099</t>
    <phoneticPr fontId="3" type="noConversion"/>
  </si>
  <si>
    <t>11BFA51.DA004-P2100</t>
    <phoneticPr fontId="3" type="noConversion"/>
  </si>
  <si>
    <t>12BFA03.CB001-P2002</t>
    <phoneticPr fontId="3" type="noConversion"/>
  </si>
  <si>
    <t>12BFA53.DA002-P2007</t>
    <phoneticPr fontId="3" type="noConversion"/>
  </si>
  <si>
    <t>B2-ESWG-64601-P2003</t>
    <phoneticPr fontId="3" type="noConversion"/>
  </si>
  <si>
    <t>11BFA51.DA003-P2092</t>
    <phoneticPr fontId="3" type="noConversion"/>
  </si>
  <si>
    <r>
      <rPr>
        <sz val="11"/>
        <color rgb="FF0000FF"/>
        <rFont val="맑은 고딕"/>
        <family val="2"/>
        <charset val="129"/>
      </rPr>
      <t>길이오류</t>
    </r>
    <r>
      <rPr>
        <sz val="11"/>
        <color rgb="FF0000FF"/>
        <rFont val="Tahoma"/>
        <family val="2"/>
      </rPr>
      <t xml:space="preserve"> </t>
    </r>
    <r>
      <rPr>
        <sz val="11"/>
        <color rgb="FF0000FF"/>
        <rFont val="맑은 고딕"/>
        <family val="2"/>
        <charset val="129"/>
      </rPr>
      <t xml:space="preserve">정정
</t>
    </r>
    <r>
      <rPr>
        <sz val="11"/>
        <color rgb="FF0000FF"/>
        <rFont val="Tahoma"/>
        <family val="2"/>
      </rPr>
      <t>(550-&gt;470m_10/12)</t>
    </r>
    <phoneticPr fontId="3" type="noConversion"/>
  </si>
  <si>
    <r>
      <rPr>
        <sz val="11"/>
        <color rgb="FF0000FF"/>
        <rFont val="맑은 고딕"/>
        <family val="2"/>
        <charset val="129"/>
      </rPr>
      <t>길이오류</t>
    </r>
    <r>
      <rPr>
        <sz val="11"/>
        <color rgb="FF0000FF"/>
        <rFont val="Tahoma"/>
        <family val="2"/>
      </rPr>
      <t xml:space="preserve"> </t>
    </r>
    <r>
      <rPr>
        <sz val="11"/>
        <color rgb="FF0000FF"/>
        <rFont val="맑은 고딕"/>
        <family val="2"/>
        <charset val="129"/>
      </rPr>
      <t>정정
(</t>
    </r>
    <r>
      <rPr>
        <sz val="11"/>
        <color rgb="FF0000FF"/>
        <rFont val="Tahoma"/>
        <family val="2"/>
      </rPr>
      <t>'520-&gt;470m_10/12)</t>
    </r>
    <phoneticPr fontId="3" type="noConversion"/>
  </si>
  <si>
    <t>EHT MAIN PDB PANEL (DIST POINT 10kV)</t>
  </si>
  <si>
    <t>B0-MCC-49602-P2044</t>
    <phoneticPr fontId="3" type="noConversion"/>
  </si>
  <si>
    <t>HOLD</t>
    <phoneticPr fontId="3" type="noConversion"/>
  </si>
  <si>
    <r>
      <rPr>
        <sz val="11"/>
        <color rgb="FF0000FF"/>
        <rFont val="돋움"/>
        <family val="2"/>
        <charset val="129"/>
      </rPr>
      <t>용량변경</t>
    </r>
    <r>
      <rPr>
        <sz val="11"/>
        <color rgb="FF0000FF"/>
        <rFont val="Tahoma"/>
        <family val="2"/>
      </rPr>
      <t>(200-&gt;142kW)
'From</t>
    </r>
    <r>
      <rPr>
        <sz val="11"/>
        <color rgb="FF0000FF"/>
        <rFont val="맑은 고딕"/>
        <family val="2"/>
        <charset val="129"/>
      </rPr>
      <t>변경</t>
    </r>
    <phoneticPr fontId="3" type="noConversion"/>
  </si>
  <si>
    <r>
      <rPr>
        <sz val="11"/>
        <color rgb="FF0000FF"/>
        <rFont val="돋움"/>
        <family val="2"/>
        <charset val="129"/>
      </rPr>
      <t>용량변경</t>
    </r>
    <r>
      <rPr>
        <sz val="11"/>
        <color rgb="FF0000FF"/>
        <rFont val="Tahoma"/>
        <family val="2"/>
      </rPr>
      <t>(200-&gt;172kW)</t>
    </r>
    <phoneticPr fontId="3" type="noConversion"/>
  </si>
  <si>
    <r>
      <rPr>
        <sz val="11"/>
        <color rgb="FF0000FF"/>
        <rFont val="돋움"/>
        <family val="2"/>
        <charset val="129"/>
      </rPr>
      <t>용량변경</t>
    </r>
    <r>
      <rPr>
        <sz val="11"/>
        <color rgb="FF0000FF"/>
        <rFont val="Tahoma"/>
        <family val="2"/>
      </rPr>
      <t>(200-&gt;132kW)
'From</t>
    </r>
    <r>
      <rPr>
        <sz val="11"/>
        <color rgb="FF0000FF"/>
        <rFont val="맑은 고딕"/>
        <family val="2"/>
        <charset val="129"/>
      </rPr>
      <t>변경</t>
    </r>
    <phoneticPr fontId="3" type="noConversion"/>
  </si>
  <si>
    <t>PE-L1-5C16-03</t>
  </si>
  <si>
    <t>PE-L1-5C16-03</t>
    <phoneticPr fontId="3" type="noConversion"/>
  </si>
  <si>
    <r>
      <rPr>
        <sz val="11"/>
        <color rgb="FF0000FF"/>
        <rFont val="돋움"/>
        <family val="2"/>
        <charset val="129"/>
      </rPr>
      <t>용량변경</t>
    </r>
    <r>
      <rPr>
        <sz val="11"/>
        <color rgb="FF0000FF"/>
        <rFont val="Tahoma"/>
        <family val="2"/>
      </rPr>
      <t>(50-&gt;10.2kW)</t>
    </r>
    <r>
      <rPr>
        <sz val="11"/>
        <color rgb="FF0000FF"/>
        <rFont val="돋움"/>
        <family val="2"/>
        <charset val="129"/>
      </rPr>
      <t>에</t>
    </r>
    <r>
      <rPr>
        <sz val="11"/>
        <color rgb="FF0000FF"/>
        <rFont val="Tahoma"/>
        <family val="2"/>
      </rPr>
      <t xml:space="preserve"> </t>
    </r>
    <r>
      <rPr>
        <sz val="11"/>
        <color rgb="FF0000FF"/>
        <rFont val="돋움"/>
        <family val="2"/>
        <charset val="129"/>
      </rPr>
      <t>따른</t>
    </r>
    <r>
      <rPr>
        <sz val="11"/>
        <color rgb="FF0000FF"/>
        <rFont val="Tahoma"/>
        <family val="2"/>
      </rPr>
      <t xml:space="preserve"> Cable </t>
    </r>
    <r>
      <rPr>
        <sz val="11"/>
        <color rgb="FF0000FF"/>
        <rFont val="돋움"/>
        <family val="2"/>
        <charset val="129"/>
      </rPr>
      <t>사양</t>
    </r>
    <r>
      <rPr>
        <sz val="11"/>
        <color rgb="FF0000FF"/>
        <rFont val="Tahoma"/>
        <family val="2"/>
      </rPr>
      <t xml:space="preserve"> </t>
    </r>
    <r>
      <rPr>
        <sz val="11"/>
        <color rgb="FF0000FF"/>
        <rFont val="돋움"/>
        <family val="2"/>
        <charset val="129"/>
      </rPr>
      <t>변경</t>
    </r>
    <r>
      <rPr>
        <sz val="11"/>
        <color rgb="FF0000FF"/>
        <rFont val="Tahoma"/>
        <family val="2"/>
      </rPr>
      <t>(5C25/16-&gt;5C16)
'From</t>
    </r>
    <r>
      <rPr>
        <sz val="11"/>
        <color rgb="FF0000FF"/>
        <rFont val="맑은 고딕"/>
        <family val="2"/>
        <charset val="129"/>
      </rPr>
      <t>변경</t>
    </r>
    <phoneticPr fontId="3" type="noConversion"/>
  </si>
  <si>
    <r>
      <rPr>
        <sz val="11"/>
        <color rgb="FF0000FF"/>
        <rFont val="돋움"/>
        <family val="2"/>
        <charset val="129"/>
      </rPr>
      <t>용량변경</t>
    </r>
    <r>
      <rPr>
        <sz val="11"/>
        <color rgb="FF0000FF"/>
        <rFont val="Tahoma"/>
        <family val="2"/>
      </rPr>
      <t>(16.2kW)</t>
    </r>
    <r>
      <rPr>
        <sz val="11"/>
        <color rgb="FF0000FF"/>
        <rFont val="돋움"/>
        <family val="2"/>
        <charset val="129"/>
      </rPr>
      <t>에</t>
    </r>
    <r>
      <rPr>
        <sz val="11"/>
        <color rgb="FF0000FF"/>
        <rFont val="Tahoma"/>
        <family val="2"/>
      </rPr>
      <t xml:space="preserve"> </t>
    </r>
    <r>
      <rPr>
        <sz val="11"/>
        <color rgb="FF0000FF"/>
        <rFont val="돋움"/>
        <family val="2"/>
        <charset val="129"/>
      </rPr>
      <t>따른</t>
    </r>
    <r>
      <rPr>
        <sz val="11"/>
        <color rgb="FF0000FF"/>
        <rFont val="Tahoma"/>
        <family val="2"/>
      </rPr>
      <t xml:space="preserve"> Cable </t>
    </r>
    <r>
      <rPr>
        <sz val="11"/>
        <color rgb="FF0000FF"/>
        <rFont val="돋움"/>
        <family val="2"/>
        <charset val="129"/>
      </rPr>
      <t>사양</t>
    </r>
    <r>
      <rPr>
        <sz val="11"/>
        <color rgb="FF0000FF"/>
        <rFont val="Tahoma"/>
        <family val="2"/>
      </rPr>
      <t xml:space="preserve"> </t>
    </r>
    <r>
      <rPr>
        <sz val="11"/>
        <color rgb="FF0000FF"/>
        <rFont val="돋움"/>
        <family val="2"/>
        <charset val="129"/>
      </rPr>
      <t>변경</t>
    </r>
    <r>
      <rPr>
        <sz val="11"/>
        <color rgb="FF0000FF"/>
        <rFont val="Tahoma"/>
        <family val="2"/>
      </rPr>
      <t>(5C25/16-&gt;5C16)'
ADD</t>
    </r>
    <phoneticPr fontId="3" type="noConversion"/>
  </si>
  <si>
    <r>
      <rPr>
        <sz val="11"/>
        <color rgb="FF0000FF"/>
        <rFont val="돋움"/>
        <family val="2"/>
        <charset val="129"/>
      </rPr>
      <t>용량변경</t>
    </r>
    <r>
      <rPr>
        <sz val="11"/>
        <color rgb="FF0000FF"/>
        <rFont val="Tahoma"/>
        <family val="2"/>
      </rPr>
      <t>(200-&gt;157kW)</t>
    </r>
    <phoneticPr fontId="3" type="noConversion"/>
  </si>
  <si>
    <r>
      <t xml:space="preserve">Route </t>
    </r>
    <r>
      <rPr>
        <sz val="11"/>
        <rFont val="맑은 고딕"/>
        <family val="2"/>
        <charset val="129"/>
      </rPr>
      <t>검토중</t>
    </r>
    <phoneticPr fontId="3" type="noConversion"/>
  </si>
  <si>
    <t>B0-DCP-64701-P2006</t>
    <phoneticPr fontId="3" type="noConversion"/>
  </si>
  <si>
    <t>B2-UPSP-64702-P2007</t>
    <phoneticPr fontId="3" type="noConversion"/>
  </si>
  <si>
    <r>
      <t>Route</t>
    </r>
    <r>
      <rPr>
        <sz val="11"/>
        <color rgb="FF0000FF"/>
        <rFont val="맑은 고딕"/>
        <family val="2"/>
        <charset val="129"/>
      </rPr>
      <t>변경</t>
    </r>
    <r>
      <rPr>
        <sz val="11"/>
        <color rgb="FF0000FF"/>
        <rFont val="Tahoma"/>
        <family val="2"/>
      </rPr>
      <t>_</t>
    </r>
    <r>
      <rPr>
        <sz val="11"/>
        <color rgb="FF0000FF"/>
        <rFont val="맑은 고딕"/>
        <family val="2"/>
        <charset val="129"/>
      </rPr>
      <t>길이감소</t>
    </r>
    <phoneticPr fontId="3" type="noConversion"/>
  </si>
  <si>
    <t>B2-MCC-64602-P2001</t>
    <phoneticPr fontId="3" type="noConversion"/>
  </si>
  <si>
    <t>B1-DCP-64701-P2016</t>
    <phoneticPr fontId="3" type="noConversion"/>
  </si>
  <si>
    <t>B1-UPSP-64702-P2008</t>
    <phoneticPr fontId="3" type="noConversion"/>
  </si>
  <si>
    <t>재배정
Route 확인</t>
    <phoneticPr fontId="3" type="noConversion"/>
  </si>
  <si>
    <r>
      <t>Route</t>
    </r>
    <r>
      <rPr>
        <sz val="11"/>
        <rFont val="맑은 고딕"/>
        <family val="2"/>
        <charset val="129"/>
      </rPr>
      <t>확인</t>
    </r>
    <phoneticPr fontId="3" type="noConversion"/>
  </si>
  <si>
    <t>B0-SWG-64301-P1006</t>
    <phoneticPr fontId="3" type="noConversion"/>
  </si>
  <si>
    <r>
      <t>Route</t>
    </r>
    <r>
      <rPr>
        <sz val="11"/>
        <rFont val="맑은 고딕"/>
        <family val="2"/>
        <charset val="129"/>
      </rPr>
      <t>변경 반영</t>
    </r>
    <phoneticPr fontId="3" type="noConversion"/>
  </si>
  <si>
    <t>B0-UPSP-64702-P2011</t>
    <phoneticPr fontId="3" type="noConversion"/>
  </si>
  <si>
    <t>B0-UPSP-64702-P2010</t>
    <phoneticPr fontId="3" type="noConversion"/>
  </si>
  <si>
    <t>B0-MCC-64601-P2001</t>
    <phoneticPr fontId="3" type="noConversion"/>
  </si>
  <si>
    <t>ELE-INT-8001</t>
    <phoneticPr fontId="3" type="noConversion"/>
  </si>
  <si>
    <t>400V MCC FOR WORKSHOP - A</t>
    <phoneticPr fontId="3" type="noConversion"/>
  </si>
  <si>
    <t>B0-MCC-64601</t>
    <phoneticPr fontId="3" type="noConversion"/>
  </si>
  <si>
    <t>PE-L1-1C300-05</t>
    <phoneticPr fontId="3" type="noConversion"/>
  </si>
  <si>
    <t>21BFA02.FB002-P2064</t>
    <phoneticPr fontId="3" type="noConversion"/>
  </si>
  <si>
    <t>B212-016BT0001 → B212-016BT0002 → B212-016BT0012 → B212-996BT0026 → B261-016DC0122 → END</t>
    <phoneticPr fontId="3" type="noConversion"/>
  </si>
  <si>
    <t>ISSUE DATE: 14.10.2026</t>
    <phoneticPr fontId="3" type="noConversion"/>
  </si>
  <si>
    <t>#1 HOT WATER SUPPLY PUMP A</t>
    <phoneticPr fontId="3" type="noConversion"/>
  </si>
  <si>
    <t>#1 HOT WATER SUPPLY PUMP A SPACE HEATER</t>
    <phoneticPr fontId="3" type="noConversion"/>
  </si>
  <si>
    <t>#1 HOT WATER SUPPLY PUMP B SPACE HEATER</t>
    <phoneticPr fontId="3" type="noConversion"/>
  </si>
  <si>
    <t>#1 HOT WATER SUPPLY PUMP C SPACE HEATER</t>
    <phoneticPr fontId="3" type="noConversion"/>
  </si>
  <si>
    <t>#2 HOT WATER SUPPLY PUMP A SPACE HEATER</t>
    <phoneticPr fontId="3" type="noConversion"/>
  </si>
  <si>
    <t>#2 HOT WATER SUPPLY PUMP B SPACE HEATER</t>
    <phoneticPr fontId="3" type="noConversion"/>
  </si>
  <si>
    <t>#2 HOT WATER SUPPLY PUMP C SPACE HEATER</t>
    <phoneticPr fontId="3" type="noConversion"/>
  </si>
  <si>
    <t>#2 HOT WATER SUPPLY PUMP A DISCHARGE MOV</t>
    <phoneticPr fontId="3" type="noConversion"/>
  </si>
  <si>
    <t>#2 HOT WATER SUPPLY PUMP C</t>
    <phoneticPr fontId="3" type="noConversion"/>
  </si>
  <si>
    <r>
      <t>HOLD
(B1,B2</t>
    </r>
    <r>
      <rPr>
        <sz val="11"/>
        <rFont val="맑은 고딕"/>
        <family val="2"/>
        <charset val="129"/>
      </rPr>
      <t xml:space="preserve">위치 정정에 따른 </t>
    </r>
    <r>
      <rPr>
        <sz val="11"/>
        <rFont val="Tahoma"/>
        <family val="2"/>
      </rPr>
      <t xml:space="preserve">Route </t>
    </r>
    <r>
      <rPr>
        <sz val="11"/>
        <rFont val="맑은 고딕"/>
        <family val="2"/>
        <charset val="129"/>
      </rPr>
      <t>변경필요)</t>
    </r>
    <phoneticPr fontId="3" type="noConversion"/>
  </si>
  <si>
    <t>32_HOT WATER SUPPLY BUILDING</t>
    <phoneticPr fontId="3" type="noConversion"/>
  </si>
  <si>
    <r>
      <rPr>
        <sz val="11"/>
        <color rgb="FFFF0000"/>
        <rFont val="Tahoma"/>
        <family val="2"/>
      </rPr>
      <t>B064-016BT0032 → B064-016BT0033 → B064-016BT0034 → B06</t>
    </r>
    <r>
      <rPr>
        <sz val="11"/>
        <rFont val="Tahoma"/>
        <family val="2"/>
      </rPr>
      <t>4-016BT0035 → B064-016BT0036 → B064-016BT0242 → B064-016BT0243 → B064-016BT0244 → B064-016BT0292 → B064-016BT0293 → B064-016BT0294 → B064-016BT0295 → B025-016DT0068 → B025-016DT0067 → B025-016DT0066 → B025-016DT0065 → B025-016DT0064 → B025-016DT0063 → B025-016DT0062 → B025-016DT0061 → B025-016DT0060 → B025-996DT0020 → B025-016DT0059 → B025-016DT0055 → B025-996DT0019 → B025-016DT0056 → B025-016DT0057 → B025-016DT0135 → B078-016AC0007 → B078-006AC0040 → B078-006AC0017 → END</t>
    </r>
    <phoneticPr fontId="3" type="noConversion"/>
  </si>
  <si>
    <t>DONE(10/27)</t>
    <phoneticPr fontId="3" type="noConversion"/>
  </si>
  <si>
    <t>B1-FC-64701-P2001</t>
    <phoneticPr fontId="3" type="noConversion"/>
  </si>
  <si>
    <t>11BFA51.DA001-P2001</t>
    <phoneticPr fontId="3" type="noConversion"/>
  </si>
  <si>
    <r>
      <t xml:space="preserve">DONE
</t>
    </r>
    <r>
      <rPr>
        <sz val="11"/>
        <color rgb="FFFF0000"/>
        <rFont val="맑은 고딕"/>
        <family val="3"/>
        <charset val="129"/>
      </rPr>
      <t>미포설</t>
    </r>
    <phoneticPr fontId="3" type="noConversion"/>
  </si>
  <si>
    <r>
      <t xml:space="preserve">DONE(10/12)
</t>
    </r>
    <r>
      <rPr>
        <sz val="11"/>
        <color rgb="FFFF0000"/>
        <rFont val="맑은 고딕"/>
        <family val="2"/>
        <charset val="129"/>
      </rPr>
      <t>미포설</t>
    </r>
    <r>
      <rPr>
        <sz val="11"/>
        <color rgb="FFFF0000"/>
        <rFont val="Tahoma"/>
        <family val="2"/>
      </rPr>
      <t>(10/27)</t>
    </r>
    <phoneticPr fontId="3" type="noConversion"/>
  </si>
  <si>
    <t>PE-M1-1C240-07</t>
    <phoneticPr fontId="3" type="noConversion"/>
  </si>
  <si>
    <t>재포설 완료</t>
    <phoneticPr fontId="3" type="noConversion"/>
  </si>
  <si>
    <t>PE-M1-1C240-11</t>
    <phoneticPr fontId="3" type="noConversion"/>
  </si>
  <si>
    <t>PE-M1-1C240-12</t>
    <phoneticPr fontId="3" type="noConversion"/>
  </si>
  <si>
    <t>PE-M1-1C240-13</t>
    <phoneticPr fontId="3" type="noConversion"/>
  </si>
  <si>
    <t>Hole</t>
    <phoneticPr fontId="3" type="noConversion"/>
  </si>
  <si>
    <t>Cable Lug(From)</t>
    <phoneticPr fontId="3" type="noConversion"/>
  </si>
  <si>
    <t>Cable Lug(To)</t>
    <phoneticPr fontId="3" type="noConversion"/>
  </si>
  <si>
    <t>PPEO 0114-SR12</t>
  </si>
  <si>
    <t>PPET 0214-LR12</t>
  </si>
  <si>
    <t>PPET 0214-LR12</t>
    <phoneticPr fontId="3" type="noConversion"/>
  </si>
  <si>
    <t>Vendor</t>
    <phoneticPr fontId="3" type="noConversion"/>
  </si>
  <si>
    <r>
      <t xml:space="preserve"> To </t>
    </r>
    <r>
      <rPr>
        <b/>
        <sz val="10"/>
        <color rgb="FF0000FF"/>
        <rFont val="맑은 고딕"/>
        <family val="2"/>
        <charset val="129"/>
      </rPr>
      <t xml:space="preserve">단자대 </t>
    </r>
    <r>
      <rPr>
        <b/>
        <sz val="10"/>
        <color rgb="FF0000FF"/>
        <rFont val="Tahoma"/>
        <family val="2"/>
      </rPr>
      <t xml:space="preserve">Hole </t>
    </r>
    <r>
      <rPr>
        <b/>
        <sz val="10"/>
        <color rgb="FF0000FF"/>
        <rFont val="맑은 고딕"/>
        <family val="2"/>
        <charset val="129"/>
      </rPr>
      <t>확인필요</t>
    </r>
    <phoneticPr fontId="3" type="noConversion"/>
  </si>
  <si>
    <t>PPEO 0114-SR12</t>
    <phoneticPr fontId="3" type="noConversion"/>
  </si>
  <si>
    <t>EPKT-17C1XI-G57</t>
  </si>
  <si>
    <t>EPKT-17D1XI-G58</t>
  </si>
  <si>
    <t>EPKT-24E1XO-G59</t>
  </si>
  <si>
    <t>Part No.</t>
    <phoneticPr fontId="3" type="noConversion"/>
  </si>
  <si>
    <t>MV KIT</t>
    <phoneticPr fontId="3" type="noConversion"/>
  </si>
  <si>
    <t>EPKT-17C3XIH2-G56</t>
  </si>
  <si>
    <t>EPKT-17D1XI-G58</t>
    <phoneticPr fontId="3" type="noConversion"/>
  </si>
  <si>
    <t>zz</t>
    <phoneticPr fontId="3" type="noConversion"/>
  </si>
  <si>
    <t>MOTOR FOR BOILER FEEDWATER PUMP #A</t>
    <phoneticPr fontId="3" type="noConversion"/>
  </si>
  <si>
    <t>B1-M-30001A</t>
    <phoneticPr fontId="3" type="noConversion"/>
  </si>
  <si>
    <t>B064-016ET0027 → B064-016ET0028 → B064-016ET0029 → B064-016ET0030 → B064-016ET0245 → B064-016ET0246 → B064-016ET0297 → B064-016ET0302 → B064-996ET0025 → M0509 → D0507-L44 → M0524 → D0526-L15 → M0520 → D0514-L15 → M0516 → D0523-L11 → M0517 → D0515-L11 → M0518 → D0516-L11 → M0519 → D0527-L11 → M0425 → D0420-L11 → M0423 → D0416-L15 → M0422 → D0414-L31 → PKG SCOPE</t>
    <phoneticPr fontId="3" type="noConversion"/>
  </si>
  <si>
    <t>B264-016AT0026 → B264-016AT0027 → B264-016AT0028 → B264-016AT0029 → B264-016AT0234 → B264-016AT0233 → B264-016AT0012 → B264-016AT0237 → END</t>
    <phoneticPr fontId="3" type="noConversion"/>
  </si>
  <si>
    <t>1.3_LEB FOR BLOCK #2</t>
    <phoneticPr fontId="3" type="noConversion"/>
  </si>
  <si>
    <t xml:space="preserve">EHT MAIN PDB PANEL (WWT BLD) </t>
    <phoneticPr fontId="3" type="noConversion"/>
  </si>
  <si>
    <t>B0-HTP-00701</t>
    <phoneticPr fontId="3" type="noConversion"/>
  </si>
  <si>
    <t>11SAM33AN002 -M01</t>
    <phoneticPr fontId="3" type="noConversion"/>
  </si>
  <si>
    <t>11BMA51.CB003</t>
    <phoneticPr fontId="3" type="noConversion"/>
  </si>
  <si>
    <t>1.1_MAIN BUILDING COMPLEX / PCC #11</t>
    <phoneticPr fontId="3" type="noConversion"/>
  </si>
  <si>
    <t>12BMA51.CB003</t>
    <phoneticPr fontId="3" type="noConversion"/>
  </si>
  <si>
    <t>21BMA51.CB003</t>
    <phoneticPr fontId="3" type="noConversion"/>
  </si>
  <si>
    <t>22BMA51.CB003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</si>
</sst>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"/>
    <numFmt numFmtId="178" formatCode="_ * #,##0_ ;_ * \-#,##0_ ;_ * &quot;-&quot;_ ;_ @_ "/>
    <numFmt numFmtId="179" formatCode="#.0"/>
  </numFmts>
  <fonts count="4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Tahoma"/>
      <family val="2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Tahoma"/>
      <family val="2"/>
    </font>
    <font>
      <sz val="12"/>
      <name val="Tahoma"/>
      <family val="2"/>
    </font>
    <font>
      <sz val="11"/>
      <name val="돋움"/>
      <family val="3"/>
      <charset val="129"/>
    </font>
    <font>
      <b/>
      <sz val="36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sz val="11"/>
      <name val="굴림"/>
      <family val="3"/>
      <charset val="129"/>
    </font>
    <font>
      <sz val="8"/>
      <name val="돋움"/>
      <family val="3"/>
      <charset val="129"/>
    </font>
    <font>
      <sz val="11"/>
      <name val="Tahoma"/>
      <family val="2"/>
    </font>
    <font>
      <sz val="11"/>
      <name val="Tahoma"/>
      <family val="2"/>
      <charset val="129"/>
    </font>
    <font>
      <sz val="10"/>
      <name val="Arial"/>
      <family val="2"/>
    </font>
    <font>
      <sz val="11"/>
      <name val="Arial Unicode MS"/>
      <family val="2"/>
      <charset val="129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8"/>
      <name val="Tahoma"/>
      <family val="2"/>
    </font>
    <font>
      <sz val="11"/>
      <color rgb="FF0000FF"/>
      <name val="Tahoma"/>
      <family val="2"/>
    </font>
    <font>
      <b/>
      <sz val="11"/>
      <color rgb="FF0000FF"/>
      <name val="Tahoma"/>
      <family val="2"/>
    </font>
    <font>
      <sz val="36"/>
      <name val="Tahoma"/>
      <family val="2"/>
    </font>
    <font>
      <sz val="10"/>
      <color rgb="FFFF0000"/>
      <name val="Tahoma"/>
      <family val="2"/>
    </font>
    <font>
      <sz val="11"/>
      <color rgb="FFFF0000"/>
      <name val="Tahoma"/>
      <family val="2"/>
    </font>
    <font>
      <strike/>
      <sz val="11"/>
      <name val="Tahoma"/>
      <family val="2"/>
    </font>
    <font>
      <sz val="10"/>
      <name val="맑은 고딕"/>
      <family val="2"/>
      <charset val="129"/>
    </font>
    <font>
      <sz val="11"/>
      <color rgb="FF0000FF"/>
      <name val="맑은 고딕"/>
      <family val="2"/>
      <charset val="129"/>
    </font>
    <font>
      <sz val="12"/>
      <name val="맑은 고딕"/>
      <family val="2"/>
      <charset val="129"/>
    </font>
    <font>
      <sz val="12"/>
      <color rgb="FF0000FF"/>
      <name val="Tahoma"/>
      <family val="2"/>
      <charset val="129"/>
    </font>
    <font>
      <sz val="12"/>
      <color rgb="FF0000FF"/>
      <name val="맑은 고딕"/>
      <family val="2"/>
      <charset val="129"/>
    </font>
    <font>
      <sz val="12"/>
      <color rgb="FF0000FF"/>
      <name val="Tahoma"/>
      <family val="2"/>
    </font>
    <font>
      <sz val="11"/>
      <color rgb="FFFF0000"/>
      <name val="맑은 고딕"/>
      <family val="3"/>
      <charset val="129"/>
    </font>
    <font>
      <sz val="11"/>
      <name val="?? ?e"/>
      <family val="3"/>
    </font>
    <font>
      <sz val="11"/>
      <color rgb="FF0000FF"/>
      <name val="맑은 고딕"/>
      <family val="3"/>
      <charset val="129"/>
    </font>
    <font>
      <sz val="11"/>
      <color rgb="FF0000FF"/>
      <name val="Tahoma"/>
      <family val="2"/>
      <charset val="129"/>
    </font>
    <font>
      <sz val="10"/>
      <color rgb="FF0000FF"/>
      <name val="맑은 고딕"/>
      <family val="2"/>
      <charset val="129"/>
    </font>
    <font>
      <sz val="11"/>
      <color rgb="FF0000FF"/>
      <name val="돋움"/>
      <family val="2"/>
      <charset val="129"/>
    </font>
    <font>
      <sz val="11"/>
      <color rgb="FFFF0000"/>
      <name val="맑은 고딕"/>
      <family val="2"/>
      <charset val="129"/>
    </font>
    <font>
      <b/>
      <sz val="10"/>
      <color rgb="FF0000FF"/>
      <name val="Tahoma"/>
      <family val="2"/>
    </font>
    <font>
      <b/>
      <sz val="10"/>
      <color rgb="FF0000FF"/>
      <name val="맑은 고딕"/>
      <family val="2"/>
      <charset val="129"/>
    </font>
    <font>
      <sz val="12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DC3E6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11" fillId="0" borderId="0"/>
    <xf numFmtId="41" fontId="7" fillId="0" borderId="0" applyFont="0" applyFill="0" applyBorder="0" applyAlignment="0" applyProtection="0"/>
    <xf numFmtId="0" fontId="11" fillId="0" borderId="0"/>
    <xf numFmtId="0" fontId="1" fillId="0" borderId="0">
      <alignment vertical="center"/>
    </xf>
    <xf numFmtId="0" fontId="7" fillId="0" borderId="0">
      <alignment vertical="center"/>
    </xf>
    <xf numFmtId="0" fontId="11" fillId="0" borderId="0"/>
    <xf numFmtId="0" fontId="19" fillId="0" borderId="0"/>
    <xf numFmtId="0" fontId="1" fillId="0" borderId="0">
      <alignment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41" fontId="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7" fillId="0" borderId="0"/>
    <xf numFmtId="0" fontId="42" fillId="0" borderId="0"/>
  </cellStyleXfs>
  <cellXfs count="27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vertical="center" shrinkToFit="1"/>
    </xf>
    <xf numFmtId="0" fontId="9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6" fillId="0" borderId="0" xfId="2" applyFont="1" applyAlignment="1">
      <alignment horizontal="left" vertical="center" wrapText="1" shrinkToFit="1"/>
    </xf>
    <xf numFmtId="0" fontId="9" fillId="0" borderId="0" xfId="0" applyFont="1" applyAlignment="1">
      <alignment horizontal="right" vertical="center"/>
    </xf>
    <xf numFmtId="0" fontId="9" fillId="0" borderId="0" xfId="2" applyFont="1" applyAlignment="1">
      <alignment horizontal="left"/>
    </xf>
    <xf numFmtId="41" fontId="9" fillId="0" borderId="0" xfId="1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10" fillId="2" borderId="6" xfId="2" applyFont="1" applyFill="1" applyBorder="1" applyAlignment="1">
      <alignment horizontal="center" vertical="center" wrapText="1" shrinkToFit="1"/>
    </xf>
    <xf numFmtId="0" fontId="10" fillId="2" borderId="6" xfId="2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0" fillId="2" borderId="8" xfId="2" applyFont="1" applyFill="1" applyBorder="1" applyAlignment="1">
      <alignment horizontal="center" vertical="center" wrapText="1" shrinkToFit="1"/>
    </xf>
    <xf numFmtId="0" fontId="10" fillId="2" borderId="8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 shrinkToFit="1"/>
    </xf>
    <xf numFmtId="0" fontId="10" fillId="2" borderId="10" xfId="2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 shrinkToFit="1"/>
    </xf>
    <xf numFmtId="0" fontId="13" fillId="0" borderId="12" xfId="2" applyFont="1" applyBorder="1" applyAlignment="1">
      <alignment horizontal="center" vertical="center" wrapText="1"/>
    </xf>
    <xf numFmtId="176" fontId="13" fillId="0" borderId="13" xfId="0" applyNumberFormat="1" applyFont="1" applyBorder="1" applyAlignment="1">
      <alignment horizontal="left" vertical="center" wrapText="1"/>
    </xf>
    <xf numFmtId="176" fontId="13" fillId="0" borderId="0" xfId="0" applyNumberFormat="1" applyFont="1" applyAlignment="1">
      <alignment horizontal="center" vertical="center" wrapText="1"/>
    </xf>
    <xf numFmtId="176" fontId="14" fillId="0" borderId="16" xfId="2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 shrinkToFit="1"/>
    </xf>
    <xf numFmtId="0" fontId="10" fillId="2" borderId="5" xfId="2" applyFont="1" applyFill="1" applyBorder="1" applyAlignment="1">
      <alignment horizontal="center" vertical="center" wrapText="1" shrinkToFit="1"/>
    </xf>
    <xf numFmtId="0" fontId="20" fillId="5" borderId="14" xfId="9" applyFont="1" applyFill="1" applyBorder="1" applyAlignment="1">
      <alignment horizontal="center" vertical="center"/>
    </xf>
    <xf numFmtId="41" fontId="9" fillId="0" borderId="0" xfId="2" applyNumberFormat="1" applyFont="1" applyAlignment="1">
      <alignment horizontal="center" vertical="center"/>
    </xf>
    <xf numFmtId="0" fontId="6" fillId="0" borderId="0" xfId="6" applyFont="1" applyAlignment="1">
      <alignment vertical="center" wrapText="1"/>
    </xf>
    <xf numFmtId="176" fontId="13" fillId="0" borderId="0" xfId="0" quotePrefix="1" applyNumberFormat="1" applyFont="1" applyAlignment="1">
      <alignment horizontal="center" vertical="center" wrapText="1"/>
    </xf>
    <xf numFmtId="0" fontId="2" fillId="0" borderId="14" xfId="3" applyFont="1" applyBorder="1" applyAlignment="1">
      <alignment horizontal="center" vertical="center"/>
    </xf>
    <xf numFmtId="176" fontId="13" fillId="0" borderId="15" xfId="2" quotePrefix="1" applyNumberFormat="1" applyFont="1" applyBorder="1" applyAlignment="1">
      <alignment horizontal="center" vertical="center" wrapText="1"/>
    </xf>
    <xf numFmtId="176" fontId="13" fillId="0" borderId="14" xfId="2" applyNumberFormat="1" applyFont="1" applyBorder="1" applyAlignment="1">
      <alignment horizontal="center" vertical="center" shrinkToFit="1"/>
    </xf>
    <xf numFmtId="176" fontId="13" fillId="0" borderId="14" xfId="5" applyNumberFormat="1" applyFont="1" applyBorder="1" applyAlignment="1">
      <alignment horizontal="center" vertical="center" wrapText="1"/>
    </xf>
    <xf numFmtId="0" fontId="13" fillId="0" borderId="14" xfId="5" applyFont="1" applyBorder="1" applyAlignment="1">
      <alignment horizontal="center" vertical="center" wrapText="1"/>
    </xf>
    <xf numFmtId="176" fontId="13" fillId="0" borderId="14" xfId="0" applyNumberFormat="1" applyFont="1" applyBorder="1" applyAlignment="1">
      <alignment horizontal="center" vertical="center" wrapText="1" shrinkToFit="1"/>
    </xf>
    <xf numFmtId="176" fontId="13" fillId="0" borderId="14" xfId="0" applyNumberFormat="1" applyFont="1" applyBorder="1" applyAlignment="1">
      <alignment horizontal="center" vertical="center" wrapText="1"/>
    </xf>
    <xf numFmtId="176" fontId="13" fillId="0" borderId="13" xfId="0" applyNumberFormat="1" applyFont="1" applyBorder="1" applyAlignment="1">
      <alignment vertical="center" wrapText="1"/>
    </xf>
    <xf numFmtId="176" fontId="13" fillId="0" borderId="0" xfId="2" applyNumberFormat="1" applyFont="1" applyAlignment="1">
      <alignment horizontal="center" vertical="center" shrinkToFit="1"/>
    </xf>
    <xf numFmtId="176" fontId="13" fillId="0" borderId="0" xfId="2" quotePrefix="1" applyNumberFormat="1" applyFont="1" applyAlignment="1">
      <alignment horizontal="center" vertical="center" shrinkToFit="1"/>
    </xf>
    <xf numFmtId="0" fontId="13" fillId="0" borderId="14" xfId="2" applyFont="1" applyBorder="1" applyAlignment="1">
      <alignment horizontal="center" vertical="center" shrinkToFit="1"/>
    </xf>
    <xf numFmtId="176" fontId="13" fillId="0" borderId="14" xfId="2" applyNumberFormat="1" applyFont="1" applyBorder="1" applyAlignment="1">
      <alignment horizontal="left" vertical="center" wrapText="1" shrinkToFit="1"/>
    </xf>
    <xf numFmtId="176" fontId="13" fillId="0" borderId="14" xfId="2" applyNumberFormat="1" applyFont="1" applyBorder="1" applyAlignment="1">
      <alignment horizontal="center" vertical="center" wrapText="1" shrinkToFit="1"/>
    </xf>
    <xf numFmtId="176" fontId="13" fillId="0" borderId="14" xfId="2" applyNumberFormat="1" applyFont="1" applyBorder="1" applyAlignment="1">
      <alignment vertical="center" wrapText="1" shrinkToFit="1"/>
    </xf>
    <xf numFmtId="0" fontId="2" fillId="0" borderId="10" xfId="3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 wrapText="1"/>
    </xf>
    <xf numFmtId="0" fontId="13" fillId="0" borderId="14" xfId="6" applyFont="1" applyBorder="1" applyAlignment="1">
      <alignment horizontal="center" vertical="center" wrapText="1"/>
    </xf>
    <xf numFmtId="0" fontId="13" fillId="0" borderId="17" xfId="6" applyFont="1" applyBorder="1" applyAlignment="1">
      <alignment horizontal="center" vertical="center" wrapText="1"/>
    </xf>
    <xf numFmtId="0" fontId="13" fillId="0" borderId="8" xfId="6" applyFont="1" applyBorder="1" applyAlignment="1">
      <alignment horizontal="center" vertical="center" wrapText="1"/>
    </xf>
    <xf numFmtId="0" fontId="13" fillId="0" borderId="14" xfId="8" applyFont="1" applyBorder="1" applyAlignment="1">
      <alignment horizontal="center" vertical="center" wrapText="1"/>
    </xf>
    <xf numFmtId="176" fontId="16" fillId="0" borderId="14" xfId="0" applyNumberFormat="1" applyFont="1" applyBorder="1" applyAlignment="1">
      <alignment horizontal="center" vertical="center" wrapText="1"/>
    </xf>
    <xf numFmtId="176" fontId="18" fillId="0" borderId="0" xfId="0" applyNumberFormat="1" applyFont="1" applyAlignment="1">
      <alignment horizontal="center" vertical="center" wrapText="1"/>
    </xf>
    <xf numFmtId="176" fontId="18" fillId="0" borderId="14" xfId="5" applyNumberFormat="1" applyFont="1" applyBorder="1" applyAlignment="1">
      <alignment horizontal="center" vertical="center" wrapText="1"/>
    </xf>
    <xf numFmtId="176" fontId="18" fillId="0" borderId="14" xfId="0" applyNumberFormat="1" applyFont="1" applyBorder="1" applyAlignment="1">
      <alignment horizontal="center" vertical="center" wrapText="1" shrinkToFit="1"/>
    </xf>
    <xf numFmtId="176" fontId="18" fillId="0" borderId="14" xfId="0" applyNumberFormat="1" applyFont="1" applyBorder="1" applyAlignment="1">
      <alignment horizontal="center" vertical="center" wrapText="1"/>
    </xf>
    <xf numFmtId="0" fontId="13" fillId="0" borderId="0" xfId="6" applyFont="1" applyAlignment="1">
      <alignment horizontal="center" vertical="center" wrapText="1"/>
    </xf>
    <xf numFmtId="0" fontId="2" fillId="0" borderId="17" xfId="3" applyFont="1" applyBorder="1" applyAlignment="1">
      <alignment horizontal="center" vertical="center" wrapText="1"/>
    </xf>
    <xf numFmtId="0" fontId="14" fillId="0" borderId="14" xfId="6" applyFont="1" applyBorder="1" applyAlignment="1">
      <alignment horizontal="center" vertical="center" wrapText="1"/>
    </xf>
    <xf numFmtId="176" fontId="2" fillId="0" borderId="0" xfId="0" quotePrefix="1" applyNumberFormat="1" applyFont="1" applyAlignment="1">
      <alignment vertical="center" wrapText="1"/>
    </xf>
    <xf numFmtId="176" fontId="13" fillId="0" borderId="14" xfId="0" applyNumberFormat="1" applyFont="1" applyBorder="1" applyAlignment="1">
      <alignment horizontal="center" vertical="center" shrinkToFit="1"/>
    </xf>
    <xf numFmtId="0" fontId="13" fillId="0" borderId="14" xfId="9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 wrapText="1"/>
    </xf>
    <xf numFmtId="0" fontId="16" fillId="0" borderId="14" xfId="6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176" fontId="13" fillId="5" borderId="13" xfId="0" applyNumberFormat="1" applyFont="1" applyFill="1" applyBorder="1" applyAlignment="1">
      <alignment vertical="center" wrapText="1"/>
    </xf>
    <xf numFmtId="176" fontId="13" fillId="4" borderId="13" xfId="0" applyNumberFormat="1" applyFont="1" applyFill="1" applyBorder="1" applyAlignment="1">
      <alignment vertical="center" wrapText="1"/>
    </xf>
    <xf numFmtId="176" fontId="13" fillId="4" borderId="14" xfId="2" applyNumberFormat="1" applyFont="1" applyFill="1" applyBorder="1" applyAlignment="1">
      <alignment horizontal="left" vertical="center" wrapText="1" shrinkToFit="1"/>
    </xf>
    <xf numFmtId="176" fontId="13" fillId="4" borderId="14" xfId="5" applyNumberFormat="1" applyFont="1" applyFill="1" applyBorder="1" applyAlignment="1">
      <alignment horizontal="center" vertical="center" wrapText="1"/>
    </xf>
    <xf numFmtId="176" fontId="21" fillId="4" borderId="14" xfId="5" applyNumberFormat="1" applyFont="1" applyFill="1" applyBorder="1" applyAlignment="1">
      <alignment horizontal="center" vertical="center" wrapText="1"/>
    </xf>
    <xf numFmtId="176" fontId="13" fillId="4" borderId="15" xfId="2" quotePrefix="1" applyNumberFormat="1" applyFont="1" applyFill="1" applyBorder="1" applyAlignment="1">
      <alignment horizontal="center" vertical="center" wrapText="1"/>
    </xf>
    <xf numFmtId="176" fontId="13" fillId="4" borderId="14" xfId="0" applyNumberFormat="1" applyFont="1" applyFill="1" applyBorder="1" applyAlignment="1">
      <alignment horizontal="center" vertical="center" wrapText="1"/>
    </xf>
    <xf numFmtId="0" fontId="13" fillId="4" borderId="14" xfId="5" applyFont="1" applyFill="1" applyBorder="1" applyAlignment="1">
      <alignment horizontal="center" vertical="center" wrapText="1"/>
    </xf>
    <xf numFmtId="176" fontId="13" fillId="4" borderId="14" xfId="0" applyNumberFormat="1" applyFont="1" applyFill="1" applyBorder="1" applyAlignment="1">
      <alignment horizontal="center" vertical="center" wrapText="1" shrinkToFit="1"/>
    </xf>
    <xf numFmtId="0" fontId="21" fillId="0" borderId="17" xfId="6" applyFont="1" applyBorder="1" applyAlignment="1">
      <alignment horizontal="center" vertical="center" wrapText="1"/>
    </xf>
    <xf numFmtId="0" fontId="21" fillId="0" borderId="14" xfId="6" applyFont="1" applyBorder="1" applyAlignment="1">
      <alignment horizontal="center" vertical="center" wrapText="1"/>
    </xf>
    <xf numFmtId="176" fontId="13" fillId="10" borderId="14" xfId="0" applyNumberFormat="1" applyFont="1" applyFill="1" applyBorder="1" applyAlignment="1">
      <alignment horizontal="center" vertical="center" wrapText="1"/>
    </xf>
    <xf numFmtId="0" fontId="10" fillId="2" borderId="14" xfId="2" applyFont="1" applyFill="1" applyBorder="1" applyAlignment="1">
      <alignment horizontal="center" vertical="center" wrapText="1"/>
    </xf>
    <xf numFmtId="0" fontId="21" fillId="10" borderId="14" xfId="6" applyFont="1" applyFill="1" applyBorder="1" applyAlignment="1">
      <alignment horizontal="center" vertical="center" wrapText="1"/>
    </xf>
    <xf numFmtId="176" fontId="13" fillId="10" borderId="14" xfId="5" applyNumberFormat="1" applyFont="1" applyFill="1" applyBorder="1" applyAlignment="1">
      <alignment horizontal="center" vertical="center" wrapText="1"/>
    </xf>
    <xf numFmtId="176" fontId="13" fillId="10" borderId="14" xfId="0" applyNumberFormat="1" applyFont="1" applyFill="1" applyBorder="1" applyAlignment="1">
      <alignment horizontal="center" vertical="center" wrapText="1" shrinkToFit="1"/>
    </xf>
    <xf numFmtId="0" fontId="22" fillId="10" borderId="14" xfId="6" applyFont="1" applyFill="1" applyBorder="1" applyAlignment="1">
      <alignment horizontal="center" vertical="center" wrapText="1"/>
    </xf>
    <xf numFmtId="0" fontId="22" fillId="0" borderId="14" xfId="6" applyFont="1" applyBorder="1" applyAlignment="1">
      <alignment horizontal="center" vertical="center" wrapText="1"/>
    </xf>
    <xf numFmtId="0" fontId="21" fillId="5" borderId="14" xfId="6" applyFont="1" applyFill="1" applyBorder="1" applyAlignment="1">
      <alignment horizontal="center" vertical="center" wrapText="1"/>
    </xf>
    <xf numFmtId="176" fontId="13" fillId="10" borderId="14" xfId="2" applyNumberFormat="1" applyFont="1" applyFill="1" applyBorder="1" applyAlignment="1">
      <alignment horizontal="center" vertical="center" shrinkToFit="1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13" fillId="2" borderId="5" xfId="2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176" fontId="2" fillId="0" borderId="14" xfId="0" applyNumberFormat="1" applyFont="1" applyBorder="1" applyAlignment="1">
      <alignment vertical="center" wrapText="1"/>
    </xf>
    <xf numFmtId="176" fontId="13" fillId="6" borderId="14" xfId="5" applyNumberFormat="1" applyFont="1" applyFill="1" applyBorder="1" applyAlignment="1">
      <alignment horizontal="center" vertical="center" wrapText="1"/>
    </xf>
    <xf numFmtId="176" fontId="13" fillId="0" borderId="10" xfId="0" applyNumberFormat="1" applyFont="1" applyBorder="1" applyAlignment="1">
      <alignment horizontal="center" vertical="center" wrapText="1"/>
    </xf>
    <xf numFmtId="176" fontId="2" fillId="0" borderId="10" xfId="0" applyNumberFormat="1" applyFont="1" applyBorder="1" applyAlignment="1">
      <alignment vertical="center" wrapText="1"/>
    </xf>
    <xf numFmtId="176" fontId="13" fillId="0" borderId="17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179" fontId="2" fillId="0" borderId="14" xfId="0" applyNumberFormat="1" applyFont="1" applyBorder="1" applyAlignment="1">
      <alignment vertical="center" wrapText="1"/>
    </xf>
    <xf numFmtId="176" fontId="24" fillId="0" borderId="14" xfId="0" applyNumberFormat="1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179" fontId="24" fillId="0" borderId="14" xfId="0" applyNumberFormat="1" applyFont="1" applyBorder="1" applyAlignment="1">
      <alignment vertical="center" wrapText="1"/>
    </xf>
    <xf numFmtId="176" fontId="25" fillId="0" borderId="14" xfId="0" applyNumberFormat="1" applyFont="1" applyBorder="1" applyAlignment="1">
      <alignment horizontal="center" vertical="center" wrapText="1"/>
    </xf>
    <xf numFmtId="179" fontId="13" fillId="0" borderId="14" xfId="0" applyNumberFormat="1" applyFont="1" applyBorder="1" applyAlignment="1">
      <alignment horizontal="center" vertical="center" wrapText="1"/>
    </xf>
    <xf numFmtId="179" fontId="25" fillId="0" borderId="14" xfId="0" applyNumberFormat="1" applyFont="1" applyBorder="1" applyAlignment="1">
      <alignment horizontal="center" vertical="center" wrapText="1"/>
    </xf>
    <xf numFmtId="176" fontId="13" fillId="4" borderId="0" xfId="0" applyNumberFormat="1" applyFont="1" applyFill="1" applyAlignment="1">
      <alignment horizontal="center" vertical="center" wrapText="1"/>
    </xf>
    <xf numFmtId="176" fontId="13" fillId="5" borderId="0" xfId="0" applyNumberFormat="1" applyFont="1" applyFill="1" applyAlignment="1">
      <alignment horizontal="center" vertical="center" wrapText="1"/>
    </xf>
    <xf numFmtId="0" fontId="13" fillId="5" borderId="14" xfId="6" applyFont="1" applyFill="1" applyBorder="1" applyAlignment="1">
      <alignment horizontal="center" vertical="center" wrapText="1"/>
    </xf>
    <xf numFmtId="0" fontId="13" fillId="9" borderId="14" xfId="6" applyFont="1" applyFill="1" applyBorder="1" applyAlignment="1">
      <alignment horizontal="center" vertical="center" wrapText="1"/>
    </xf>
    <xf numFmtId="0" fontId="25" fillId="3" borderId="17" xfId="6" applyFont="1" applyFill="1" applyBorder="1" applyAlignment="1">
      <alignment horizontal="center" vertical="center" wrapText="1"/>
    </xf>
    <xf numFmtId="176" fontId="18" fillId="4" borderId="0" xfId="0" applyNumberFormat="1" applyFont="1" applyFill="1" applyAlignment="1">
      <alignment horizontal="center" vertical="center" wrapText="1"/>
    </xf>
    <xf numFmtId="0" fontId="25" fillId="5" borderId="14" xfId="6" applyFont="1" applyFill="1" applyBorder="1" applyAlignment="1">
      <alignment horizontal="center" vertical="center" wrapText="1"/>
    </xf>
    <xf numFmtId="176" fontId="13" fillId="5" borderId="14" xfId="0" applyNumberFormat="1" applyFont="1" applyFill="1" applyBorder="1" applyAlignment="1">
      <alignment horizontal="center" vertical="center" wrapText="1" shrinkToFit="1"/>
    </xf>
    <xf numFmtId="176" fontId="13" fillId="5" borderId="14" xfId="2" applyNumberFormat="1" applyFont="1" applyFill="1" applyBorder="1" applyAlignment="1">
      <alignment horizontal="center" vertical="center" wrapText="1" shrinkToFit="1"/>
    </xf>
    <xf numFmtId="176" fontId="21" fillId="0" borderId="14" xfId="0" quotePrefix="1" applyNumberFormat="1" applyFont="1" applyBorder="1" applyAlignment="1">
      <alignment horizontal="center" vertical="center" wrapText="1"/>
    </xf>
    <xf numFmtId="176" fontId="10" fillId="5" borderId="14" xfId="5" applyNumberFormat="1" applyFont="1" applyFill="1" applyBorder="1" applyAlignment="1">
      <alignment horizontal="center" vertical="center" wrapText="1"/>
    </xf>
    <xf numFmtId="176" fontId="13" fillId="5" borderId="14" xfId="5" applyNumberFormat="1" applyFont="1" applyFill="1" applyBorder="1" applyAlignment="1">
      <alignment horizontal="center" vertical="center" wrapText="1"/>
    </xf>
    <xf numFmtId="176" fontId="13" fillId="5" borderId="15" xfId="2" quotePrefix="1" applyNumberFormat="1" applyFont="1" applyFill="1" applyBorder="1" applyAlignment="1">
      <alignment horizontal="center" vertical="center" wrapText="1"/>
    </xf>
    <xf numFmtId="176" fontId="13" fillId="5" borderId="14" xfId="2" applyNumberFormat="1" applyFont="1" applyFill="1" applyBorder="1" applyAlignment="1">
      <alignment horizontal="center" vertical="center" shrinkToFit="1"/>
    </xf>
    <xf numFmtId="0" fontId="13" fillId="5" borderId="14" xfId="5" applyFont="1" applyFill="1" applyBorder="1" applyAlignment="1">
      <alignment horizontal="center" vertical="center" wrapText="1"/>
    </xf>
    <xf numFmtId="176" fontId="13" fillId="5" borderId="0" xfId="2" applyNumberFormat="1" applyFont="1" applyFill="1" applyAlignment="1">
      <alignment horizontal="center" vertical="center" shrinkToFit="1"/>
    </xf>
    <xf numFmtId="176" fontId="13" fillId="5" borderId="14" xfId="0" applyNumberFormat="1" applyFont="1" applyFill="1" applyBorder="1" applyAlignment="1">
      <alignment horizontal="center" vertical="center" wrapText="1"/>
    </xf>
    <xf numFmtId="176" fontId="18" fillId="5" borderId="14" xfId="0" applyNumberFormat="1" applyFont="1" applyFill="1" applyBorder="1" applyAlignment="1">
      <alignment horizontal="center" vertical="center" wrapText="1" shrinkToFit="1"/>
    </xf>
    <xf numFmtId="0" fontId="18" fillId="5" borderId="14" xfId="5" applyFont="1" applyFill="1" applyBorder="1" applyAlignment="1">
      <alignment horizontal="center" vertical="center" wrapText="1"/>
    </xf>
    <xf numFmtId="176" fontId="18" fillId="5" borderId="14" xfId="5" applyNumberFormat="1" applyFont="1" applyFill="1" applyBorder="1" applyAlignment="1">
      <alignment horizontal="center" vertical="center" wrapText="1"/>
    </xf>
    <xf numFmtId="176" fontId="18" fillId="5" borderId="14" xfId="0" applyNumberFormat="1" applyFont="1" applyFill="1" applyBorder="1" applyAlignment="1">
      <alignment horizontal="center" vertical="center" wrapText="1"/>
    </xf>
    <xf numFmtId="176" fontId="18" fillId="5" borderId="13" xfId="0" applyNumberFormat="1" applyFont="1" applyFill="1" applyBorder="1" applyAlignment="1">
      <alignment vertical="center" wrapText="1"/>
    </xf>
    <xf numFmtId="176" fontId="25" fillId="5" borderId="14" xfId="5" applyNumberFormat="1" applyFont="1" applyFill="1" applyBorder="1" applyAlignment="1">
      <alignment horizontal="center" vertical="center" wrapText="1"/>
    </xf>
    <xf numFmtId="0" fontId="30" fillId="5" borderId="14" xfId="6" applyFont="1" applyFill="1" applyBorder="1" applyAlignment="1">
      <alignment vertical="center" wrapText="1"/>
    </xf>
    <xf numFmtId="0" fontId="32" fillId="5" borderId="14" xfId="6" applyFont="1" applyFill="1" applyBorder="1" applyAlignment="1">
      <alignment vertical="center" wrapText="1"/>
    </xf>
    <xf numFmtId="176" fontId="17" fillId="0" borderId="0" xfId="2" quotePrefix="1" applyNumberFormat="1" applyFont="1" applyAlignment="1">
      <alignment horizontal="center" vertical="center" shrinkToFit="1"/>
    </xf>
    <xf numFmtId="176" fontId="17" fillId="0" borderId="0" xfId="2" applyNumberFormat="1" applyFont="1" applyAlignment="1">
      <alignment horizontal="center" vertical="center" shrinkToFit="1"/>
    </xf>
    <xf numFmtId="176" fontId="13" fillId="5" borderId="0" xfId="0" quotePrefix="1" applyNumberFormat="1" applyFont="1" applyFill="1" applyAlignment="1">
      <alignment horizontal="center" vertical="center" wrapText="1"/>
    </xf>
    <xf numFmtId="0" fontId="25" fillId="5" borderId="8" xfId="6" applyFont="1" applyFill="1" applyBorder="1" applyAlignment="1">
      <alignment horizontal="center" vertical="center" wrapText="1"/>
    </xf>
    <xf numFmtId="176" fontId="25" fillId="0" borderId="14" xfId="5" applyNumberFormat="1" applyFont="1" applyBorder="1" applyAlignment="1">
      <alignment horizontal="center" vertical="center" wrapText="1"/>
    </xf>
    <xf numFmtId="176" fontId="27" fillId="0" borderId="0" xfId="0" quotePrefix="1" applyNumberFormat="1" applyFont="1" applyAlignment="1">
      <alignment vertical="center" wrapText="1"/>
    </xf>
    <xf numFmtId="176" fontId="13" fillId="5" borderId="14" xfId="2" applyNumberFormat="1" applyFont="1" applyFill="1" applyBorder="1" applyAlignment="1">
      <alignment horizontal="left" vertical="center" wrapText="1" shrinkToFit="1"/>
    </xf>
    <xf numFmtId="176" fontId="26" fillId="5" borderId="14" xfId="2" applyNumberFormat="1" applyFont="1" applyFill="1" applyBorder="1" applyAlignment="1">
      <alignment horizontal="center" vertical="center" shrinkToFit="1"/>
    </xf>
    <xf numFmtId="0" fontId="26" fillId="5" borderId="14" xfId="2" applyFont="1" applyFill="1" applyBorder="1" applyAlignment="1">
      <alignment horizontal="center" vertical="center" shrinkToFit="1"/>
    </xf>
    <xf numFmtId="176" fontId="26" fillId="5" borderId="14" xfId="0" applyNumberFormat="1" applyFont="1" applyFill="1" applyBorder="1" applyAlignment="1">
      <alignment horizontal="center" vertical="center" wrapText="1"/>
    </xf>
    <xf numFmtId="176" fontId="26" fillId="5" borderId="13" xfId="0" applyNumberFormat="1" applyFont="1" applyFill="1" applyBorder="1" applyAlignment="1">
      <alignment vertical="center" wrapText="1"/>
    </xf>
    <xf numFmtId="176" fontId="26" fillId="5" borderId="14" xfId="2" applyNumberFormat="1" applyFont="1" applyFill="1" applyBorder="1" applyAlignment="1">
      <alignment horizontal="center" vertical="center" wrapText="1" shrinkToFit="1"/>
    </xf>
    <xf numFmtId="176" fontId="13" fillId="6" borderId="14" xfId="2" applyNumberFormat="1" applyFont="1" applyFill="1" applyBorder="1" applyAlignment="1">
      <alignment horizontal="center" vertical="center" shrinkToFit="1"/>
    </xf>
    <xf numFmtId="176" fontId="13" fillId="6" borderId="14" xfId="2" applyNumberFormat="1" applyFont="1" applyFill="1" applyBorder="1" applyAlignment="1">
      <alignment horizontal="center" vertical="center" wrapText="1" shrinkToFit="1"/>
    </xf>
    <xf numFmtId="176" fontId="17" fillId="0" borderId="0" xfId="0" applyNumberFormat="1" applyFont="1" applyAlignment="1">
      <alignment horizontal="center" vertical="center" wrapText="1"/>
    </xf>
    <xf numFmtId="176" fontId="25" fillId="5" borderId="14" xfId="2" applyNumberFormat="1" applyFont="1" applyFill="1" applyBorder="1" applyAlignment="1">
      <alignment horizontal="center" vertical="center" shrinkToFit="1"/>
    </xf>
    <xf numFmtId="176" fontId="25" fillId="5" borderId="14" xfId="2" applyNumberFormat="1" applyFont="1" applyFill="1" applyBorder="1" applyAlignment="1">
      <alignment horizontal="center" vertical="center" wrapText="1" shrinkToFit="1"/>
    </xf>
    <xf numFmtId="176" fontId="33" fillId="5" borderId="14" xfId="2" applyNumberFormat="1" applyFont="1" applyFill="1" applyBorder="1" applyAlignment="1">
      <alignment horizontal="center" vertical="center" wrapText="1" shrinkToFit="1"/>
    </xf>
    <xf numFmtId="176" fontId="13" fillId="11" borderId="15" xfId="2" quotePrefix="1" applyNumberFormat="1" applyFont="1" applyFill="1" applyBorder="1" applyAlignment="1">
      <alignment horizontal="center" vertical="center" wrapText="1"/>
    </xf>
    <xf numFmtId="176" fontId="25" fillId="0" borderId="0" xfId="0" applyNumberFormat="1" applyFont="1" applyAlignment="1">
      <alignment horizontal="center" vertical="center" wrapText="1"/>
    </xf>
    <xf numFmtId="0" fontId="13" fillId="0" borderId="19" xfId="2" applyFont="1" applyBorder="1" applyAlignment="1">
      <alignment horizontal="center" vertical="center" wrapText="1"/>
    </xf>
    <xf numFmtId="0" fontId="13" fillId="8" borderId="14" xfId="6" applyFont="1" applyFill="1" applyBorder="1" applyAlignment="1">
      <alignment horizontal="center" vertical="center" wrapText="1"/>
    </xf>
    <xf numFmtId="176" fontId="21" fillId="0" borderId="14" xfId="5" applyNumberFormat="1" applyFont="1" applyBorder="1" applyAlignment="1">
      <alignment horizontal="center" vertical="center" wrapText="1"/>
    </xf>
    <xf numFmtId="0" fontId="13" fillId="3" borderId="14" xfId="6" applyFont="1" applyFill="1" applyBorder="1" applyAlignment="1">
      <alignment horizontal="center" vertical="center" wrapText="1"/>
    </xf>
    <xf numFmtId="0" fontId="13" fillId="5" borderId="17" xfId="6" applyFont="1" applyFill="1" applyBorder="1" applyAlignment="1">
      <alignment horizontal="center" vertical="center" wrapText="1"/>
    </xf>
    <xf numFmtId="176" fontId="17" fillId="0" borderId="16" xfId="2" applyNumberFormat="1" applyFont="1" applyBorder="1" applyAlignment="1">
      <alignment horizontal="center" vertical="center" wrapText="1"/>
    </xf>
    <xf numFmtId="0" fontId="13" fillId="6" borderId="14" xfId="6" applyFont="1" applyFill="1" applyBorder="1" applyAlignment="1">
      <alignment horizontal="center" vertical="center" wrapText="1"/>
    </xf>
    <xf numFmtId="176" fontId="16" fillId="0" borderId="16" xfId="2" applyNumberFormat="1" applyFont="1" applyBorder="1" applyAlignment="1">
      <alignment horizontal="center" vertical="center" wrapText="1"/>
    </xf>
    <xf numFmtId="176" fontId="18" fillId="0" borderId="16" xfId="2" applyNumberFormat="1" applyFont="1" applyBorder="1" applyAlignment="1">
      <alignment horizontal="center" vertical="center" wrapText="1"/>
    </xf>
    <xf numFmtId="176" fontId="13" fillId="10" borderId="0" xfId="0" applyNumberFormat="1" applyFont="1" applyFill="1" applyAlignment="1">
      <alignment horizontal="center" vertical="center" wrapText="1"/>
    </xf>
    <xf numFmtId="176" fontId="14" fillId="5" borderId="16" xfId="2" applyNumberFormat="1" applyFont="1" applyFill="1" applyBorder="1" applyAlignment="1">
      <alignment horizontal="center" vertical="center" wrapText="1"/>
    </xf>
    <xf numFmtId="176" fontId="13" fillId="0" borderId="16" xfId="2" applyNumberFormat="1" applyFont="1" applyBorder="1" applyAlignment="1">
      <alignment horizontal="center" vertical="center" wrapText="1"/>
    </xf>
    <xf numFmtId="176" fontId="13" fillId="6" borderId="14" xfId="0" applyNumberFormat="1" applyFont="1" applyFill="1" applyBorder="1" applyAlignment="1">
      <alignment horizontal="center" vertical="center" wrapText="1"/>
    </xf>
    <xf numFmtId="176" fontId="17" fillId="0" borderId="14" xfId="0" quotePrefix="1" applyNumberFormat="1" applyFont="1" applyBorder="1" applyAlignment="1">
      <alignment horizontal="center" vertical="center" wrapText="1"/>
    </xf>
    <xf numFmtId="176" fontId="13" fillId="11" borderId="0" xfId="0" quotePrefix="1" applyNumberFormat="1" applyFont="1" applyFill="1" applyAlignment="1">
      <alignment horizontal="center" vertical="center" wrapText="1"/>
    </xf>
    <xf numFmtId="176" fontId="14" fillId="6" borderId="14" xfId="0" quotePrefix="1" applyNumberFormat="1" applyFont="1" applyFill="1" applyBorder="1" applyAlignment="1">
      <alignment horizontal="center" vertical="center" wrapText="1"/>
    </xf>
    <xf numFmtId="0" fontId="21" fillId="5" borderId="17" xfId="6" applyFont="1" applyFill="1" applyBorder="1" applyAlignment="1">
      <alignment horizontal="center" vertical="center" wrapText="1"/>
    </xf>
    <xf numFmtId="176" fontId="21" fillId="5" borderId="14" xfId="5" applyNumberFormat="1" applyFont="1" applyFill="1" applyBorder="1" applyAlignment="1">
      <alignment horizontal="center" vertical="center" wrapText="1"/>
    </xf>
    <xf numFmtId="176" fontId="13" fillId="12" borderId="0" xfId="0" applyNumberFormat="1" applyFont="1" applyFill="1" applyAlignment="1">
      <alignment horizontal="center" vertical="center" wrapText="1"/>
    </xf>
    <xf numFmtId="176" fontId="17" fillId="0" borderId="0" xfId="0" quotePrefix="1" applyNumberFormat="1" applyFont="1" applyAlignment="1">
      <alignment horizontal="center" vertical="center" wrapText="1"/>
    </xf>
    <xf numFmtId="176" fontId="13" fillId="7" borderId="14" xfId="2" applyNumberFormat="1" applyFont="1" applyFill="1" applyBorder="1" applyAlignment="1">
      <alignment horizontal="center" vertical="center" shrinkToFit="1"/>
    </xf>
    <xf numFmtId="176" fontId="36" fillId="0" borderId="14" xfId="0" quotePrefix="1" applyNumberFormat="1" applyFont="1" applyBorder="1" applyAlignment="1">
      <alignment horizontal="center" vertical="center" wrapText="1"/>
    </xf>
    <xf numFmtId="176" fontId="25" fillId="6" borderId="14" xfId="5" applyNumberFormat="1" applyFont="1" applyFill="1" applyBorder="1" applyAlignment="1">
      <alignment horizontal="center" vertical="center" wrapText="1"/>
    </xf>
    <xf numFmtId="176" fontId="13" fillId="3" borderId="15" xfId="2" quotePrefix="1" applyNumberFormat="1" applyFont="1" applyFill="1" applyBorder="1" applyAlignment="1">
      <alignment horizontal="center" vertical="center" wrapText="1"/>
    </xf>
    <xf numFmtId="176" fontId="21" fillId="0" borderId="0" xfId="0" quotePrefix="1" applyNumberFormat="1" applyFont="1" applyAlignment="1">
      <alignment horizontal="center" vertical="center" wrapText="1"/>
    </xf>
    <xf numFmtId="176" fontId="21" fillId="5" borderId="0" xfId="0" applyNumberFormat="1" applyFont="1" applyFill="1" applyAlignment="1">
      <alignment horizontal="center" vertical="center" wrapText="1"/>
    </xf>
    <xf numFmtId="176" fontId="13" fillId="9" borderId="13" xfId="0" applyNumberFormat="1" applyFont="1" applyFill="1" applyBorder="1" applyAlignment="1">
      <alignment vertical="center" wrapText="1"/>
    </xf>
    <xf numFmtId="176" fontId="13" fillId="9" borderId="15" xfId="2" quotePrefix="1" applyNumberFormat="1" applyFont="1" applyFill="1" applyBorder="1" applyAlignment="1">
      <alignment horizontal="center" vertical="center" wrapText="1"/>
    </xf>
    <xf numFmtId="176" fontId="13" fillId="8" borderId="14" xfId="5" applyNumberFormat="1" applyFont="1" applyFill="1" applyBorder="1" applyAlignment="1">
      <alignment horizontal="center" vertical="center" wrapText="1"/>
    </xf>
    <xf numFmtId="176" fontId="13" fillId="8" borderId="15" xfId="2" quotePrefix="1" applyNumberFormat="1" applyFont="1" applyFill="1" applyBorder="1" applyAlignment="1">
      <alignment horizontal="center" vertical="center" wrapText="1"/>
    </xf>
    <xf numFmtId="176" fontId="13" fillId="8" borderId="13" xfId="0" applyNumberFormat="1" applyFont="1" applyFill="1" applyBorder="1" applyAlignment="1">
      <alignment vertical="center" wrapText="1"/>
    </xf>
    <xf numFmtId="176" fontId="28" fillId="0" borderId="14" xfId="0" quotePrefix="1" applyNumberFormat="1" applyFont="1" applyBorder="1" applyAlignment="1">
      <alignment horizontal="center" vertical="center" wrapText="1"/>
    </xf>
    <xf numFmtId="176" fontId="2" fillId="0" borderId="21" xfId="0" applyNumberFormat="1" applyFont="1" applyBorder="1" applyAlignment="1">
      <alignment horizontal="center" vertical="center" wrapText="1"/>
    </xf>
    <xf numFmtId="0" fontId="10" fillId="2" borderId="21" xfId="2" applyFont="1" applyFill="1" applyBorder="1" applyAlignment="1">
      <alignment horizontal="center" vertical="center" wrapText="1" shrinkToFit="1"/>
    </xf>
    <xf numFmtId="0" fontId="13" fillId="0" borderId="21" xfId="0" applyFont="1" applyBorder="1" applyAlignment="1">
      <alignment horizontal="center" vertical="center" wrapText="1"/>
    </xf>
    <xf numFmtId="176" fontId="25" fillId="0" borderId="21" xfId="0" applyNumberFormat="1" applyFont="1" applyBorder="1" applyAlignment="1">
      <alignment horizontal="center" vertical="center" wrapText="1"/>
    </xf>
    <xf numFmtId="176" fontId="13" fillId="0" borderId="22" xfId="0" applyNumberFormat="1" applyFont="1" applyBorder="1" applyAlignment="1">
      <alignment horizontal="center" vertical="center" wrapText="1"/>
    </xf>
    <xf numFmtId="176" fontId="13" fillId="0" borderId="21" xfId="0" applyNumberFormat="1" applyFont="1" applyBorder="1" applyAlignment="1">
      <alignment horizontal="center" vertical="center" wrapText="1"/>
    </xf>
    <xf numFmtId="176" fontId="13" fillId="0" borderId="23" xfId="0" applyNumberFormat="1" applyFont="1" applyBorder="1" applyAlignment="1">
      <alignment horizontal="center" vertical="center" wrapText="1"/>
    </xf>
    <xf numFmtId="176" fontId="18" fillId="0" borderId="21" xfId="0" applyNumberFormat="1" applyFont="1" applyBorder="1" applyAlignment="1">
      <alignment horizontal="center" vertical="center" wrapText="1"/>
    </xf>
    <xf numFmtId="176" fontId="2" fillId="0" borderId="21" xfId="0" applyNumberFormat="1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176" fontId="24" fillId="0" borderId="21" xfId="0" applyNumberFormat="1" applyFont="1" applyBorder="1" applyAlignment="1">
      <alignment horizontal="center" vertical="center" wrapText="1"/>
    </xf>
    <xf numFmtId="176" fontId="13" fillId="0" borderId="16" xfId="0" applyNumberFormat="1" applyFont="1" applyBorder="1" applyAlignment="1">
      <alignment vertical="center" wrapText="1"/>
    </xf>
    <xf numFmtId="1" fontId="13" fillId="0" borderId="16" xfId="0" applyNumberFormat="1" applyFont="1" applyBorder="1" applyAlignment="1">
      <alignment horizontal="left" vertical="center" wrapText="1"/>
    </xf>
    <xf numFmtId="176" fontId="13" fillId="0" borderId="16" xfId="2" applyNumberFormat="1" applyFont="1" applyBorder="1" applyAlignment="1">
      <alignment horizontal="center" vertical="center" shrinkToFit="1"/>
    </xf>
    <xf numFmtId="176" fontId="14" fillId="10" borderId="16" xfId="2" applyNumberFormat="1" applyFont="1" applyFill="1" applyBorder="1" applyAlignment="1">
      <alignment horizontal="center" vertical="center" wrapText="1"/>
    </xf>
    <xf numFmtId="176" fontId="13" fillId="10" borderId="16" xfId="2" applyNumberFormat="1" applyFont="1" applyFill="1" applyBorder="1" applyAlignment="1">
      <alignment horizontal="center" vertical="center" wrapText="1"/>
    </xf>
    <xf numFmtId="176" fontId="13" fillId="5" borderId="25" xfId="2" applyNumberFormat="1" applyFont="1" applyFill="1" applyBorder="1" applyAlignment="1">
      <alignment horizontal="center" vertical="center" shrinkToFit="1"/>
    </xf>
    <xf numFmtId="176" fontId="13" fillId="0" borderId="25" xfId="5" applyNumberFormat="1" applyFont="1" applyBorder="1" applyAlignment="1">
      <alignment horizontal="center" vertical="center" wrapText="1"/>
    </xf>
    <xf numFmtId="176" fontId="13" fillId="5" borderId="25" xfId="5" applyNumberFormat="1" applyFont="1" applyFill="1" applyBorder="1" applyAlignment="1">
      <alignment horizontal="center" vertical="center" wrapText="1"/>
    </xf>
    <xf numFmtId="0" fontId="13" fillId="0" borderId="25" xfId="5" applyFont="1" applyBorder="1" applyAlignment="1">
      <alignment horizontal="center" vertical="center" wrapText="1"/>
    </xf>
    <xf numFmtId="176" fontId="25" fillId="0" borderId="25" xfId="5" applyNumberFormat="1" applyFont="1" applyBorder="1" applyAlignment="1">
      <alignment horizontal="center" vertical="center" wrapText="1"/>
    </xf>
    <xf numFmtId="176" fontId="13" fillId="0" borderId="25" xfId="0" applyNumberFormat="1" applyFont="1" applyBorder="1" applyAlignment="1">
      <alignment horizontal="center" vertical="center" wrapText="1" shrinkToFit="1"/>
    </xf>
    <xf numFmtId="176" fontId="13" fillId="0" borderId="25" xfId="0" applyNumberFormat="1" applyFont="1" applyBorder="1" applyAlignment="1">
      <alignment horizontal="center" vertical="center" wrapText="1"/>
    </xf>
    <xf numFmtId="176" fontId="13" fillId="0" borderId="26" xfId="0" applyNumberFormat="1" applyFont="1" applyBorder="1" applyAlignment="1">
      <alignment vertical="center" wrapText="1"/>
    </xf>
    <xf numFmtId="176" fontId="14" fillId="0" borderId="27" xfId="2" applyNumberFormat="1" applyFont="1" applyBorder="1" applyAlignment="1">
      <alignment horizontal="center" vertical="center" wrapText="1"/>
    </xf>
    <xf numFmtId="0" fontId="13" fillId="5" borderId="14" xfId="2" applyFont="1" applyFill="1" applyBorder="1" applyAlignment="1">
      <alignment horizontal="center" vertical="center" shrinkToFit="1"/>
    </xf>
    <xf numFmtId="0" fontId="25" fillId="8" borderId="14" xfId="6" applyFont="1" applyFill="1" applyBorder="1" applyAlignment="1">
      <alignment horizontal="center" vertical="center" wrapText="1"/>
    </xf>
    <xf numFmtId="176" fontId="25" fillId="8" borderId="14" xfId="5" applyNumberFormat="1" applyFont="1" applyFill="1" applyBorder="1" applyAlignment="1">
      <alignment horizontal="center" vertical="center" wrapText="1"/>
    </xf>
    <xf numFmtId="176" fontId="13" fillId="8" borderId="14" xfId="2" applyNumberFormat="1" applyFont="1" applyFill="1" applyBorder="1" applyAlignment="1">
      <alignment horizontal="center" vertical="center" shrinkToFit="1"/>
    </xf>
    <xf numFmtId="0" fontId="13" fillId="8" borderId="14" xfId="5" applyFont="1" applyFill="1" applyBorder="1" applyAlignment="1">
      <alignment horizontal="center" vertical="center" wrapText="1"/>
    </xf>
    <xf numFmtId="176" fontId="13" fillId="8" borderId="14" xfId="0" applyNumberFormat="1" applyFont="1" applyFill="1" applyBorder="1" applyAlignment="1">
      <alignment horizontal="center" vertical="center" wrapText="1"/>
    </xf>
    <xf numFmtId="176" fontId="26" fillId="8" borderId="14" xfId="2" applyNumberFormat="1" applyFont="1" applyFill="1" applyBorder="1" applyAlignment="1">
      <alignment horizontal="center" vertical="center" shrinkToFit="1"/>
    </xf>
    <xf numFmtId="0" fontId="26" fillId="8" borderId="14" xfId="5" applyFont="1" applyFill="1" applyBorder="1" applyAlignment="1">
      <alignment horizontal="center" vertical="center" wrapText="1"/>
    </xf>
    <xf numFmtId="176" fontId="26" fillId="8" borderId="14" xfId="0" applyNumberFormat="1" applyFont="1" applyFill="1" applyBorder="1" applyAlignment="1">
      <alignment horizontal="center" vertical="center" wrapText="1"/>
    </xf>
    <xf numFmtId="176" fontId="26" fillId="8" borderId="14" xfId="2" applyNumberFormat="1" applyFont="1" applyFill="1" applyBorder="1" applyAlignment="1">
      <alignment horizontal="left" vertical="center" wrapText="1" shrinkToFit="1"/>
    </xf>
    <xf numFmtId="176" fontId="26" fillId="8" borderId="14" xfId="2" applyNumberFormat="1" applyFont="1" applyFill="1" applyBorder="1" applyAlignment="1">
      <alignment horizontal="center" vertical="center" wrapText="1" shrinkToFit="1"/>
    </xf>
    <xf numFmtId="176" fontId="26" fillId="8" borderId="13" xfId="0" applyNumberFormat="1" applyFont="1" applyFill="1" applyBorder="1" applyAlignment="1">
      <alignment vertical="center" wrapText="1"/>
    </xf>
    <xf numFmtId="0" fontId="25" fillId="8" borderId="17" xfId="6" applyFont="1" applyFill="1" applyBorder="1" applyAlignment="1">
      <alignment horizontal="center" vertical="center" wrapText="1"/>
    </xf>
    <xf numFmtId="176" fontId="13" fillId="3" borderId="13" xfId="0" applyNumberFormat="1" applyFont="1" applyFill="1" applyBorder="1" applyAlignment="1">
      <alignment vertical="center" wrapText="1"/>
    </xf>
    <xf numFmtId="176" fontId="14" fillId="0" borderId="16" xfId="2" applyNumberFormat="1" applyFont="1" applyBorder="1" applyAlignment="1">
      <alignment horizontal="left" vertical="center" wrapText="1"/>
    </xf>
    <xf numFmtId="176" fontId="13" fillId="8" borderId="14" xfId="2" applyNumberFormat="1" applyFont="1" applyFill="1" applyBorder="1" applyAlignment="1">
      <alignment horizontal="left" vertical="center" wrapText="1" shrinkToFit="1"/>
    </xf>
    <xf numFmtId="176" fontId="13" fillId="3" borderId="14" xfId="2" applyNumberFormat="1" applyFont="1" applyFill="1" applyBorder="1" applyAlignment="1">
      <alignment horizontal="center" vertical="center" shrinkToFit="1"/>
    </xf>
    <xf numFmtId="176" fontId="13" fillId="3" borderId="14" xfId="5" applyNumberFormat="1" applyFont="1" applyFill="1" applyBorder="1" applyAlignment="1">
      <alignment horizontal="center" vertical="center" wrapText="1"/>
    </xf>
    <xf numFmtId="176" fontId="17" fillId="3" borderId="14" xfId="0" quotePrefix="1" applyNumberFormat="1" applyFont="1" applyFill="1" applyBorder="1" applyAlignment="1">
      <alignment horizontal="center" vertical="center" wrapText="1"/>
    </xf>
    <xf numFmtId="176" fontId="13" fillId="3" borderId="0" xfId="0" quotePrefix="1" applyNumberFormat="1" applyFont="1" applyFill="1" applyAlignment="1">
      <alignment horizontal="center" vertical="center" wrapText="1"/>
    </xf>
    <xf numFmtId="176" fontId="13" fillId="9" borderId="14" xfId="2" applyNumberFormat="1" applyFont="1" applyFill="1" applyBorder="1" applyAlignment="1">
      <alignment horizontal="left" vertical="center" wrapText="1" shrinkToFit="1"/>
    </xf>
    <xf numFmtId="176" fontId="13" fillId="3" borderId="14" xfId="0" applyNumberFormat="1" applyFont="1" applyFill="1" applyBorder="1" applyAlignment="1">
      <alignment horizontal="center" vertical="center" wrapText="1" shrinkToFit="1"/>
    </xf>
    <xf numFmtId="176" fontId="13" fillId="7" borderId="13" xfId="0" applyNumberFormat="1" applyFont="1" applyFill="1" applyBorder="1" applyAlignment="1">
      <alignment vertical="center" wrapText="1"/>
    </xf>
    <xf numFmtId="41" fontId="6" fillId="0" borderId="0" xfId="2" applyNumberFormat="1" applyFont="1" applyAlignment="1">
      <alignment horizontal="center" vertical="center" shrinkToFit="1"/>
    </xf>
    <xf numFmtId="176" fontId="2" fillId="0" borderId="14" xfId="0" applyNumberFormat="1" applyFont="1" applyBorder="1" applyAlignment="1">
      <alignment horizontal="center" vertical="center" wrapText="1"/>
    </xf>
    <xf numFmtId="176" fontId="40" fillId="0" borderId="0" xfId="0" applyNumberFormat="1" applyFont="1" applyAlignment="1">
      <alignment vertical="center" wrapText="1"/>
    </xf>
    <xf numFmtId="176" fontId="2" fillId="5" borderId="14" xfId="0" applyNumberFormat="1" applyFont="1" applyFill="1" applyBorder="1" applyAlignment="1">
      <alignment horizontal="center" vertical="center" wrapText="1"/>
    </xf>
    <xf numFmtId="176" fontId="24" fillId="0" borderId="14" xfId="0" applyNumberFormat="1" applyFont="1" applyBorder="1" applyAlignment="1">
      <alignment horizontal="center" vertical="center" wrapText="1"/>
    </xf>
    <xf numFmtId="176" fontId="13" fillId="8" borderId="14" xfId="0" applyNumberFormat="1" applyFont="1" applyFill="1" applyBorder="1" applyAlignment="1">
      <alignment horizontal="center" vertical="center" wrapText="1" shrinkToFit="1"/>
    </xf>
    <xf numFmtId="0" fontId="14" fillId="0" borderId="16" xfId="2" applyFont="1" applyBorder="1" applyAlignment="1">
      <alignment horizontal="center" vertical="center" wrapText="1"/>
    </xf>
    <xf numFmtId="176" fontId="25" fillId="6" borderId="14" xfId="2" applyNumberFormat="1" applyFont="1" applyFill="1" applyBorder="1" applyAlignment="1">
      <alignment horizontal="center" vertical="center" shrinkToFit="1"/>
    </xf>
    <xf numFmtId="176" fontId="13" fillId="4" borderId="14" xfId="2" applyNumberFormat="1" applyFont="1" applyFill="1" applyBorder="1" applyAlignment="1">
      <alignment horizontal="center" vertical="center" shrinkToFit="1"/>
    </xf>
    <xf numFmtId="176" fontId="13" fillId="11" borderId="14" xfId="2" applyNumberFormat="1" applyFont="1" applyFill="1" applyBorder="1" applyAlignment="1">
      <alignment horizontal="center" vertical="center" shrinkToFit="1"/>
    </xf>
    <xf numFmtId="176" fontId="13" fillId="11" borderId="14" xfId="0" applyNumberFormat="1" applyFont="1" applyFill="1" applyBorder="1" applyAlignment="1">
      <alignment horizontal="center" vertical="center" wrapText="1" shrinkToFit="1"/>
    </xf>
    <xf numFmtId="0" fontId="9" fillId="0" borderId="2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2" borderId="21" xfId="2" applyFont="1" applyFill="1" applyBorder="1" applyAlignment="1">
      <alignment horizontal="center" vertical="center" wrapText="1"/>
    </xf>
    <xf numFmtId="0" fontId="10" fillId="2" borderId="14" xfId="2" applyFont="1" applyFill="1" applyBorder="1" applyAlignment="1">
      <alignment horizontal="center" vertical="center" wrapText="1"/>
    </xf>
    <xf numFmtId="0" fontId="10" fillId="4" borderId="6" xfId="2" applyFont="1" applyFill="1" applyBorder="1" applyAlignment="1">
      <alignment horizontal="center" vertical="center" wrapText="1" shrinkToFit="1"/>
    </xf>
    <xf numFmtId="0" fontId="10" fillId="4" borderId="9" xfId="2" applyFont="1" applyFill="1" applyBorder="1" applyAlignment="1">
      <alignment horizontal="center" vertical="center" wrapText="1" shrinkToFit="1"/>
    </xf>
    <xf numFmtId="0" fontId="8" fillId="0" borderId="0" xfId="2" applyFont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8" fillId="0" borderId="0" xfId="2" applyFont="1" applyAlignment="1">
      <alignment horizontal="left" vertical="center"/>
    </xf>
    <xf numFmtId="0" fontId="10" fillId="2" borderId="1" xfId="2" applyFont="1" applyFill="1" applyBorder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 shrinkToFit="1"/>
    </xf>
    <xf numFmtId="0" fontId="10" fillId="2" borderId="3" xfId="2" applyFont="1" applyFill="1" applyBorder="1" applyAlignment="1">
      <alignment horizontal="center" vertical="center" wrapText="1" shrinkToFit="1"/>
    </xf>
    <xf numFmtId="0" fontId="10" fillId="2" borderId="4" xfId="2" applyFont="1" applyFill="1" applyBorder="1" applyAlignment="1">
      <alignment horizontal="center" vertical="center" wrapText="1" shrinkToFit="1"/>
    </xf>
    <xf numFmtId="0" fontId="10" fillId="2" borderId="6" xfId="2" applyFont="1" applyFill="1" applyBorder="1" applyAlignment="1">
      <alignment horizontal="center" vertical="center" wrapText="1" shrinkToFit="1"/>
    </xf>
    <xf numFmtId="0" fontId="10" fillId="2" borderId="9" xfId="2" applyFont="1" applyFill="1" applyBorder="1" applyAlignment="1">
      <alignment horizontal="center" vertical="center" wrapText="1" shrinkToFi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10" fillId="2" borderId="6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 vertical="center" wrapText="1"/>
    </xf>
    <xf numFmtId="0" fontId="10" fillId="2" borderId="18" xfId="2" applyFont="1" applyFill="1" applyBorder="1" applyAlignment="1">
      <alignment horizontal="center" vertical="center" wrapText="1"/>
    </xf>
  </cellXfs>
  <cellStyles count="17">
    <cellStyle name="Comma [0]_BOM_for_Cable Tray dt_06-08-07_1" xfId="4" xr:uid="{8E7BA645-C7C7-4B8F-A446-ECAC29382398}"/>
    <cellStyle name="Normal_BOM_for_Cable Tray dt_06-08-07_1" xfId="15" xr:uid="{A6877C59-D5F5-4335-8481-428AA3BE6FA8}"/>
    <cellStyle name="쉼표 [0]" xfId="1" builtinId="6"/>
    <cellStyle name="쉼표 [0] 2" xfId="11" xr:uid="{C5C11257-F78B-4310-B2F4-BB2C1A328CFF}"/>
    <cellStyle name="쉼표 [0] 3" xfId="13" xr:uid="{A7078D03-27C9-4A28-9141-B8F68F6714E3}"/>
    <cellStyle name="쉼표 [0] 4" xfId="14" xr:uid="{DD8B4CE2-8E70-4A39-BDEE-C3DB27D12309}"/>
    <cellStyle name="쉼표 [0] 6 2" xfId="12" xr:uid="{4B0369A0-238E-4CA0-8194-7686D014C0A1}"/>
    <cellStyle name="표준" xfId="0" builtinId="0"/>
    <cellStyle name="표준 10 2" xfId="9" xr:uid="{932048E7-47A2-4D32-AD3B-D9EB6D2F82B7}"/>
    <cellStyle name="표준 10 2 2" xfId="3" xr:uid="{60771AEF-DCA6-4483-83D9-A78C2C0E9061}"/>
    <cellStyle name="표준 10 33" xfId="7" xr:uid="{924D0152-34EA-4D3C-8FF1-6C8102B54C77}"/>
    <cellStyle name="표준 152 2 2" xfId="6" xr:uid="{DAE2AE5D-17DA-4776-BBF4-131D8D081956}"/>
    <cellStyle name="표준 2 2" xfId="5" xr:uid="{0AF8922B-F4D5-48CA-8A78-B39EBA7B5648}"/>
    <cellStyle name="표준 2 2 2" xfId="16" xr:uid="{3EB38541-7309-429D-A935-636DDA0A6F8B}"/>
    <cellStyle name="표준 2 2 4" xfId="8" xr:uid="{31F13532-E769-4968-A13F-6A51356FB485}"/>
    <cellStyle name="표준 2 2 5" xfId="2" xr:uid="{9670CA54-0DBA-488B-A1D9-BD1ABBF35058}"/>
    <cellStyle name="표준 4 2 4" xfId="10" xr:uid="{87D06311-7E41-4331-986C-2EF6FAC9AFCD}"/>
  </cellStyles>
  <dxfs count="0"/>
  <tableStyles count="0" defaultTableStyle="TableStyleMedium2" defaultPivotStyle="PivotStyleLight16"/>
  <colors>
    <mruColors>
      <color rgb="FFCCFF99"/>
      <color rgb="FFCCFFFF"/>
      <color rgb="FF0000FF"/>
      <color rgb="FFFFFFCC"/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A&#51060;&#51064;&#48176;\C\DATA\IQ\&#51221;971IQ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4868;&#49440;\D\project\pc0840\SPEC\BM-PC084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A&#51060;&#51064;&#48176;\C\DATA\CHINA\CHASS\&#44208;&#49328;\95&#45380;\954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0;&#53680;\D\JOB\LG&#51064;&#52380;\LOAD-CAL\LOA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8;&#49328;&#45824;&#52293;\&#44208;&#49328;&#45824;&#52293;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PG(E)-&#49888;&#49440;&#48120;\ATTAHADDY\&#44060;&#51064;&#47928;&#49436;\qnix\valve_cod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4221;&#46041;\NC-41\&#44060;&#48156;program\fdn_bm_pr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7564;\PROJECT\&#44060;&#48156;program\fdn_bm_p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EL&#44608;&#51116;&#54840;\LRP\&#44060;&#48156;program\fdn_bm_p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bt05c\d$\&#51088;&#47308;&#49892;\ESCO\PFC%20Calculation%20Version%205.4_0802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ARKTJ\99plan\98&#49892;&#51201;\98&#49892;&#5120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0.231.70.155\master2006\Work_SangHo_Choi\Honeywell\Work_Energy\&#51105;&#45796;&#54620;&#44163;\&#47560;&#47532;&#45208;&#51312;&#47749;&#45800;&#44032;&#48143;&#54872;&#49688;&#44592;&#44036;&#44228;&#4932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1045\BOQ\ITB%20&#49688;&#51221;%20&#52572;&#51333;\ITB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0.231.70.155\master2006\Work_ESCO_New\project\&#46041;&#51068;&#48169;&#51649;\&#51312;&#47749;\&#52572;&#49888;(625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bt05c\d$\choi\My%20Documents\&#44428;&#54805;&#49437;\ESCO-Honeywell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01_&#54532;&#47196;&#51229;&#53944;&#44288;&#47532;(&#44277;&#53685;&#50629;&#47924;)\1_&#54532;&#47196;&#51229;&#53944;\&#51077;&#52272;\&#44368;&#50977;&#52397;\&#44305;&#51452;&#44368;&#50977;&#52397;\&#50868;&#50516;&#51473;\&#44368;&#50977;&#52397;\&#52649;&#52397;&#45224;&#46020;&#44368;&#50977;&#52397;\&#48512;&#50668;&#51221;&#48372;&#44256;&#50808;\(&#49688;&#51452;)esco&#50900;&#44552;&#50997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0.231.70.155\master2006\Work_SangHo_Choi\Honeywell\Work_Energy\&#51105;&#45796;&#54620;&#44163;\esco&#4422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개시대사 (2)"/>
      <sheetName val="고자T-B"/>
      <sheetName val="환차,JJ비용 반영"/>
      <sheetName val="공사집계"/>
      <sheetName val="정산표14"/>
      <sheetName val="Sheet2"/>
      <sheetName val="고자현황"/>
      <sheetName val="상각현황"/>
      <sheetName val="개시최"/>
      <sheetName val="개시대사"/>
      <sheetName val="정산최"/>
      <sheetName val="정산표實"/>
      <sheetName val="본지점중"/>
      <sheetName val="fitting"/>
      <sheetName val="VLOOKUP"/>
      <sheetName val="cal-foamglass"/>
      <sheetName val="정산표"/>
      <sheetName val="RENUN"/>
      <sheetName val="ABAD"/>
      <sheetName val="A1기성"/>
      <sheetName val="BGT"/>
      <sheetName val="CHAVOSH"/>
      <sheetName val="ZAR SAZ"/>
      <sheetName val="#REF"/>
      <sheetName val="ARP2"/>
      <sheetName val="CHA REV"/>
      <sheetName val="FJK 0"/>
      <sheetName val="GAMMA 1"/>
      <sheetName val="개시전표"/>
      <sheetName val="P.M 별"/>
      <sheetName val="Eq. Mobilization"/>
      <sheetName val="영업소실적"/>
      <sheetName val="RCF CLAIMED"/>
      <sheetName val="CAT_5"/>
      <sheetName val="도급양식"/>
      <sheetName val="배수내역 (2)"/>
      <sheetName val="95삼성급(본사)"/>
      <sheetName val="VC2 8.98"/>
      <sheetName val="DATA"/>
      <sheetName val="할증 "/>
      <sheetName val="MC-1"/>
      <sheetName val="급여일반"/>
      <sheetName val="공문"/>
      <sheetName val="97 사업추정(WEKI)"/>
      <sheetName val="가설공사 내역"/>
      <sheetName val="가도공"/>
      <sheetName val="Insts"/>
      <sheetName val="data_dci"/>
      <sheetName val="data_mci"/>
      <sheetName val="behind"/>
      <sheetName val="Main"/>
      <sheetName val="개시대사_(2)"/>
      <sheetName val="환차,JJ비용_반영"/>
      <sheetName val="ZAR_SAZ"/>
      <sheetName val="CHA_REV"/>
      <sheetName val="FJK_0"/>
      <sheetName val="GAMMA_1"/>
      <sheetName val="P_M_별"/>
      <sheetName val="Eq__Mobilization"/>
      <sheetName val="RCF_CLAIMED"/>
      <sheetName val="배수내역_(2)"/>
      <sheetName val="VC2_8_98"/>
      <sheetName val="97_사업추정(WEKI)"/>
      <sheetName val="가설공사_내역"/>
      <sheetName val="B31_1"/>
      <sheetName val="BRICK"/>
      <sheetName val="DESCRIPTION"/>
      <sheetName val="사업계획"/>
      <sheetName val="간접비(1)"/>
      <sheetName val="HDECGTY"/>
      <sheetName val="평균환율-USD"/>
      <sheetName val="PLAN_FEB97"/>
      <sheetName val="PSIZE"/>
      <sheetName val="VC2_9_98"/>
      <sheetName val="97년_SEACO예산"/>
      <sheetName val="Sheet1"/>
      <sheetName val="간접비총괄_(2)"/>
      <sheetName val="진행원본"/>
      <sheetName val="납부내역"/>
      <sheetName val="청산추정"/>
      <sheetName val="Tender"/>
      <sheetName val="년말집계"/>
      <sheetName val="h-013211-2"/>
      <sheetName val="할증_"/>
      <sheetName val="수입"/>
      <sheetName val="상반기손익차2총괄"/>
      <sheetName val="ITB COST"/>
      <sheetName val="BQ"/>
      <sheetName val="항목(1)"/>
      <sheetName val="BOOK4"/>
      <sheetName val="TTL"/>
      <sheetName val="공사비_NDE"/>
      <sheetName val="INSTR"/>
      <sheetName val="eq_data"/>
      <sheetName val="DATE"/>
      <sheetName val="6호기"/>
      <sheetName val="정971IQ"/>
      <sheetName val="REQDELTA"/>
      <sheetName val="VL"/>
      <sheetName val="공사내역"/>
      <sheetName val="Unit Rate"/>
      <sheetName val="Code"/>
      <sheetName val="Summary"/>
      <sheetName val="XL4Poppy"/>
      <sheetName val="PC-002"/>
      <sheetName val="정산표2"/>
      <sheetName val="合成単価作成表-BLDG"/>
      <sheetName val="دسترسی به کمالیه"/>
      <sheetName val="پل کرج"/>
      <sheetName val="پل شاه چای"/>
      <sheetName val="پل ورودی فرودگاه"/>
      <sheetName val="개시대사_(2)1"/>
      <sheetName val="환차,JJ비용_반영1"/>
      <sheetName val="ZAR_SAZ1"/>
      <sheetName val="CHA_REV1"/>
      <sheetName val="FJK_01"/>
      <sheetName val="GAMMA_11"/>
      <sheetName val="P_M_별1"/>
      <sheetName val="Eq__Mobilization1"/>
      <sheetName val="RCF_CLAIMED1"/>
      <sheetName val="배수내역_(2)1"/>
      <sheetName val="VC2_8_981"/>
      <sheetName val="97_사업추정(WEKI)1"/>
      <sheetName val="가설공사_내역1"/>
      <sheetName val="첨1.4"/>
      <sheetName val="첨1.5"/>
      <sheetName val="2."/>
      <sheetName val="첨1.3"/>
      <sheetName val="간접비"/>
      <sheetName val="요약"/>
      <sheetName val="운용계획"/>
      <sheetName val="2.1.1"/>
      <sheetName val="정부노임단가"/>
      <sheetName val="FitOutConfCentre"/>
      <sheetName val="B"/>
      <sheetName val="견적서"/>
      <sheetName val="Sheet4"/>
      <sheetName val="업체별기성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견적기준"/>
      <sheetName val="INDEX"/>
      <sheetName val="INSTR"/>
      <sheetName val="PLC"/>
      <sheetName val="CABLE"/>
      <sheetName val="TRAY"/>
      <sheetName val="JB"/>
      <sheetName val="PIPE"/>
      <sheetName val="TUBE"/>
      <sheetName val="MISC"/>
      <sheetName val="설계기준(내부)"/>
      <sheetName val="eq_data"/>
      <sheetName val="PipWT"/>
      <sheetName val="단면검토"/>
      <sheetName val="설계조건"/>
      <sheetName val="Piping Design Data"/>
      <sheetName val="TYPE-B 평균H"/>
      <sheetName val="직원동원SCH"/>
      <sheetName val="Sheet1"/>
      <sheetName val="MACRO(전선관)"/>
      <sheetName val="Sheet3"/>
      <sheetName val="look-up"/>
      <sheetName val="Lookup"/>
      <sheetName val="BM-PC0840"/>
      <sheetName val="DATA"/>
      <sheetName val="Hoja3"/>
      <sheetName val="Hoja2"/>
      <sheetName val="Table 1"/>
      <sheetName val="IN"/>
      <sheetName val="Total"/>
      <sheetName val="현황CODE"/>
      <sheetName val="손익현황"/>
      <sheetName val="SPEC"/>
      <sheetName val="RFP002"/>
      <sheetName val="PEL"/>
      <sheetName val="IT-BAT"/>
      <sheetName val="purch-summ-data"/>
      <sheetName val="BQ List"/>
      <sheetName val="Cover sheet"/>
      <sheetName val="SUM"/>
      <sheetName val="Basis"/>
      <sheetName val="PSIZE"/>
      <sheetName val="steam table"/>
      <sheetName val="ISOP"/>
      <sheetName val="Piping_Design_Data"/>
      <sheetName val="TYPE-B_평균H"/>
      <sheetName val="Table_1"/>
      <sheetName val="Piping Cost"/>
      <sheetName val="F-302"/>
      <sheetName val="Units"/>
      <sheetName val="Instructions"/>
      <sheetName val="가상data"/>
      <sheetName val="#4-1표지"/>
      <sheetName val="영업2"/>
      <sheetName val="영업3"/>
      <sheetName val="PBS"/>
      <sheetName val="steam_table"/>
      <sheetName val="new급여T(4을-운전)"/>
      <sheetName val="정부노임단가"/>
      <sheetName val="PIPE-SUMMARY"/>
      <sheetName val="PIPE-LINK"/>
      <sheetName val="h-013211-2"/>
      <sheetName val="CONTENTS"/>
      <sheetName val="공사비 내역 (가)"/>
      <sheetName val="Tipo Terzi"/>
      <sheetName val="산근"/>
      <sheetName val="CBE-VSL"/>
      <sheetName val="Testing"/>
      <sheetName val="Pag. 1"/>
      <sheetName val="P110"/>
      <sheetName val="HALOBUTYL"/>
      <sheetName val="간접비내역-1"/>
      <sheetName val="집계표"/>
      <sheetName val="할증 "/>
      <sheetName val="TABLE2-2 OSBL-(SITE PREP)"/>
      <sheetName val="TOTAL PIPING"/>
      <sheetName val="Bend_fact "/>
      <sheetName val="갑지"/>
      <sheetName val="DATA LISTS"/>
      <sheetName val="boq"/>
      <sheetName val="DSCCI_Print"/>
      <sheetName val="HRD"/>
      <sheetName val="Macro1"/>
      <sheetName val="Code_Magics"/>
      <sheetName val="Code"/>
      <sheetName val="DCS"/>
      <sheetName val="ANALYSER"/>
      <sheetName val="PROCURE"/>
      <sheetName val="입력값1"/>
      <sheetName val="견적 집계"/>
      <sheetName val="CALCULATION"/>
      <sheetName val="Anal-1 (Nox-SO2-CO)"/>
      <sheetName val="ld-sd-dt"/>
      <sheetName val="highlight"/>
      <sheetName val="ld-sd"/>
      <sheetName val="Connections"/>
      <sheetName val="15010"/>
      <sheetName val="24"/>
      <sheetName val="CPS"/>
      <sheetName val="PRICE LIST"/>
      <sheetName val="PAD-F"/>
      <sheetName val="piping"/>
      <sheetName val="ISO"/>
      <sheetName val="Graph (LGEN)"/>
      <sheetName val="out_prog"/>
      <sheetName val="선적schedule (2)"/>
      <sheetName val="SUMMARY"/>
      <sheetName val="TABLE"/>
      <sheetName val="Cover_sheet"/>
      <sheetName val="BQ_List"/>
      <sheetName val="갑지(추정)"/>
      <sheetName val="INST LIST"/>
      <sheetName val="SHL"/>
      <sheetName val="Insts"/>
      <sheetName val="Ex-Rate"/>
      <sheetName val="TTL"/>
      <sheetName val="KP1590_E"/>
      <sheetName val="Daten"/>
      <sheetName val="한강운반비"/>
      <sheetName val="Step"/>
      <sheetName val="MAN-STD"/>
      <sheetName val="K1"/>
      <sheetName val="OSBL-TOTAL (SEA WATER)"/>
      <sheetName val="상반기손익차2총괄"/>
      <sheetName val="UG분석표"/>
      <sheetName val="95삼성급(본사)"/>
      <sheetName val="Process Piping"/>
      <sheetName val="WORK-VOL"/>
      <sheetName val="내역"/>
      <sheetName val="갑지1"/>
      <sheetName val="#REF"/>
      <sheetName val="TRICONIX"/>
      <sheetName val="PRESSURE GAUGE"/>
      <sheetName val="SHUTDOWN VALVE"/>
      <sheetName val="조건표"/>
      <sheetName val="Piping_Design_Data1"/>
      <sheetName val="TYPE-B_평균H1"/>
      <sheetName val="Table_11"/>
      <sheetName val="steam_table1"/>
      <sheetName val="Piping_Cost"/>
      <sheetName val="공사비_내역_(가)"/>
      <sheetName val="Tipo_Terzi"/>
      <sheetName val="DATA_LISTS"/>
      <sheetName val="B31.1"/>
      <sheetName val="세금자료"/>
      <sheetName val="개시대사 (2)"/>
      <sheetName val="OSBL-TOTAL (CIVIL WORK)"/>
      <sheetName val="E_Rate PM"/>
      <sheetName val="TIE-INS"/>
      <sheetName val="제출계산서"/>
      <sheetName val="SOURCE"/>
      <sheetName val="Piping_Design_Data2"/>
      <sheetName val="TYPE-B_평균H2"/>
      <sheetName val="Table_12"/>
      <sheetName val="BQ_List1"/>
      <sheetName val="Piping_Cost1"/>
      <sheetName val="Cover_sheet1"/>
      <sheetName val="TABLE2-1_ISBL-(SlTE_PREP)"/>
      <sheetName val="TABLE2_1_ISBL_(Soil_Invest)"/>
      <sheetName val="TABLE2-2_OSBL(GENERAL-CIVIL)"/>
      <sheetName val="TABLE2-2_OSBL-(SITE_PREP)"/>
      <sheetName val="code data"/>
      <sheetName val="4002"/>
      <sheetName val="표지"/>
      <sheetName val="Sheeta"/>
      <sheetName val="Units+rev"/>
      <sheetName val="PROCESS"/>
      <sheetName val="내역서"/>
      <sheetName val="DRUM"/>
      <sheetName val="BQMPALOC"/>
      <sheetName val="PumpSpec"/>
      <sheetName val="footing"/>
      <sheetName val="DESIGN(77C-102A)-2"/>
      <sheetName val="OSBL-TOTAL (OTHER WORK)"/>
      <sheetName val="비교표"/>
      <sheetName val="BAY별 원가표준"/>
      <sheetName val="기본자료(실행)"/>
      <sheetName val="3cx95sq"/>
      <sheetName val="자재코드"/>
      <sheetName val="ST-CST1"/>
      <sheetName val="ELECTRICAL"/>
      <sheetName val="CABLE DATA"/>
      <sheetName val="WE'T"/>
      <sheetName val="MEXICO-C"/>
      <sheetName val="CVA"/>
      <sheetName val=" 견적서"/>
      <sheetName val="기준"/>
      <sheetName val="대비표"/>
      <sheetName val="97 사업추정(WEKI)"/>
      <sheetName val="41-42-1"/>
      <sheetName val="BASEINPUT"/>
      <sheetName val="Line Details"/>
      <sheetName val="Two Phase"/>
      <sheetName val="터널조도"/>
      <sheetName val="견적의뢰"/>
      <sheetName val="B"/>
      <sheetName val="COVER-P"/>
      <sheetName val="Sheet5"/>
      <sheetName val="Engrg Est"/>
      <sheetName val="BQ"/>
      <sheetName val="000000"/>
      <sheetName val="Default"/>
      <sheetName val="Material_Group"/>
      <sheetName val="PTrating all"/>
      <sheetName val="수입"/>
      <sheetName val="CYP-O.F"/>
      <sheetName val="ABB"/>
      <sheetName val="노임9월"/>
      <sheetName val="Y-WORK"/>
      <sheetName val="적용환율"/>
      <sheetName val="Taux"/>
      <sheetName val="SCHEDULE"/>
      <sheetName val="Factor"/>
      <sheetName val="당초"/>
      <sheetName val="CAT_5"/>
      <sheetName val="costing_Misc"/>
      <sheetName val="Summary Sheets"/>
      <sheetName val="HVAC"/>
      <sheetName val="DB@Acess"/>
      <sheetName val="Civil"/>
      <sheetName val="costing_Press"/>
      <sheetName val="costing_ESDV"/>
      <sheetName val=" 갑지"/>
      <sheetName val="costing_MOV"/>
      <sheetName val="REDUCER"/>
      <sheetName val="costing_CV"/>
      <sheetName val="Tables"/>
      <sheetName val="合成単価作成表-BLDG"/>
      <sheetName val="POWER"/>
      <sheetName val="w't table"/>
      <sheetName val="COA-17"/>
      <sheetName val="S N"/>
      <sheetName val="costing_FE"/>
      <sheetName val="C-18"/>
      <sheetName val="금액내역서"/>
      <sheetName val="LABTOTAL"/>
      <sheetName val="95신규호표"/>
      <sheetName val="VS배관내역서"/>
      <sheetName val="작성기준"/>
      <sheetName val="Macro"/>
      <sheetName val="노임단가"/>
      <sheetName val="DATE"/>
      <sheetName val="Pipe ID"/>
      <sheetName val="notifier"/>
      <sheetName val="OD5000"/>
      <sheetName val="배명(단가)"/>
      <sheetName val="Panel제작명세서"/>
      <sheetName val="list"/>
      <sheetName val="E01"/>
      <sheetName val="MVE02"/>
      <sheetName val="소상 &quot;1&quot;"/>
      <sheetName val=""/>
      <sheetName val="Submission-Application"/>
      <sheetName val="동결보온"/>
      <sheetName val="Substn, Pdt Trans, Pack, Others"/>
      <sheetName val="attach(2)"/>
      <sheetName val="#3_일위대가목록"/>
      <sheetName val="cbe-1"/>
      <sheetName val="MOTOR"/>
      <sheetName val="VL"/>
      <sheetName val="TN"/>
      <sheetName val="ND"/>
      <sheetName val="소야공정계획표"/>
      <sheetName val="BQLIST"/>
      <sheetName val="1을"/>
      <sheetName val=" "/>
      <sheetName val="연돌일위집계"/>
      <sheetName val="장비"/>
      <sheetName val="노무"/>
      <sheetName val="물량표"/>
      <sheetName val="Sheet2"/>
      <sheetName val="TYPE-B_평균H3"/>
      <sheetName val="Piping_Design_Data3"/>
      <sheetName val="Table_13"/>
      <sheetName val="BQ_List2"/>
      <sheetName val="steam_table2"/>
      <sheetName val="Piping_Cost2"/>
      <sheetName val="Cover_sheet2"/>
      <sheetName val="공사비_내역_(가)1"/>
      <sheetName val="Tipo_Terzi1"/>
      <sheetName val="할증_"/>
      <sheetName val="PRICE_LIST"/>
      <sheetName val="TABLE2-2_OSBL-(SITE_PREP)1"/>
      <sheetName val="TOTAL_PIPING"/>
      <sheetName val="Bend_fact_"/>
      <sheetName val="DATA_LISTS1"/>
      <sheetName val="Graph_(LGEN)"/>
      <sheetName val="선적schedule_(2)"/>
      <sheetName val="Pag__1"/>
      <sheetName val="견적_집계"/>
      <sheetName val="Anal-1_(Nox-SO2-CO)"/>
      <sheetName val="OSBL-TOTAL_(SEA_WATER)"/>
      <sheetName val="개시대사_(2)"/>
      <sheetName val="E_Rate_PM"/>
      <sheetName val="OSBL-TOTAL_(CIVIL_WORK)"/>
      <sheetName val="PRESSURE_GAUGE"/>
      <sheetName val="SHUTDOWN_VALVE"/>
      <sheetName val="B31_1"/>
      <sheetName val="Process_Piping"/>
      <sheetName val="code_data"/>
      <sheetName val="97_사업추정(WEKI)"/>
      <sheetName val="OSBL-TOTAL_(OTHER_WORK)"/>
      <sheetName val="Pipe_ID"/>
      <sheetName val="PTrating_all"/>
      <sheetName val="INST_LIST"/>
      <sheetName val="_견적서"/>
      <sheetName val="BAY별_원가표준"/>
      <sheetName val="CABLE_DATA"/>
      <sheetName val="burner-spare"/>
      <sheetName val="조도계산서 (도서)"/>
      <sheetName val="Euro-conversion"/>
      <sheetName val="설계서"/>
      <sheetName val="BM"/>
      <sheetName val="BOM_DWG"/>
      <sheetName val="Notes for BOQ"/>
      <sheetName val="PRO_DCI"/>
      <sheetName val="ELEC_DCI"/>
      <sheetName val="INST_DCI"/>
      <sheetName val="JOINT1"/>
      <sheetName val="Piping_Design_Data5"/>
      <sheetName val="TYPE-B_평균H5"/>
      <sheetName val="Table_15"/>
      <sheetName val="BQ_List4"/>
      <sheetName val="Piping_Cost4"/>
      <sheetName val="Cover_sheet4"/>
      <sheetName val="steam_table4"/>
      <sheetName val="공사비_내역_(가)2"/>
      <sheetName val="Tipo_Terzi2"/>
      <sheetName val="Pag__12"/>
      <sheetName val="할증_2"/>
      <sheetName val="견적_집계2"/>
      <sheetName val="Anal-1_(Nox-SO2-CO)2"/>
      <sheetName val="DATA_LISTS2"/>
      <sheetName val="TABLE2-2_OSBL-(SITE_PREP)3"/>
      <sheetName val="TOTAL_PIPING2"/>
      <sheetName val="Bend_fact_2"/>
      <sheetName val="PRICE_LIST2"/>
      <sheetName val="Graph_(LGEN)2"/>
      <sheetName val="선적schedule_(2)2"/>
      <sheetName val="Process_Piping2"/>
      <sheetName val="OSBL-TOTAL_(SEA_WATER)2"/>
      <sheetName val="INST_LIST2"/>
      <sheetName val="개시대사_(2)2"/>
      <sheetName val="OSBL-TOTAL_(CIVIL_WORK)2"/>
      <sheetName val="E_Rate_PM2"/>
      <sheetName val="code_data2"/>
      <sheetName val="Piping_Design_Data4"/>
      <sheetName val="TYPE-B_평균H4"/>
      <sheetName val="Table_14"/>
      <sheetName val="BQ_List3"/>
      <sheetName val="Piping_Cost3"/>
      <sheetName val="Cover_sheet3"/>
      <sheetName val="steam_table3"/>
      <sheetName val="Pag__11"/>
      <sheetName val="할증_1"/>
      <sheetName val="견적_집계1"/>
      <sheetName val="Anal-1_(Nox-SO2-CO)1"/>
      <sheetName val="TABLE2-2_OSBL-(SITE_PREP)2"/>
      <sheetName val="TOTAL_PIPING1"/>
      <sheetName val="Bend_fact_1"/>
      <sheetName val="PRICE_LIST1"/>
      <sheetName val="Graph_(LGEN)1"/>
      <sheetName val="선적schedule_(2)1"/>
      <sheetName val="Process_Piping1"/>
      <sheetName val="OSBL-TOTAL_(SEA_WATER)1"/>
      <sheetName val="INST_LIST1"/>
      <sheetName val="개시대사_(2)1"/>
      <sheetName val="OSBL-TOTAL_(CIVIL_WORK)1"/>
      <sheetName val="E_Rate_PM1"/>
      <sheetName val="code_data1"/>
      <sheetName val="Cost_Summary1"/>
      <sheetName val="Summary_Sheets1"/>
      <sheetName val="ITB_COST1"/>
      <sheetName val="DWTables"/>
      <sheetName val="BOM_DCS"/>
      <sheetName val="Piping_Design_Data6"/>
      <sheetName val="TYPE-B_평균H6"/>
      <sheetName val="Table_16"/>
      <sheetName val="BQ_List5"/>
      <sheetName val="Piping_Cost5"/>
      <sheetName val="Cover_sheet5"/>
      <sheetName val="steam_table5"/>
      <sheetName val="공사비_내역_(가)3"/>
      <sheetName val="Tipo_Terzi3"/>
      <sheetName val="Pag__13"/>
      <sheetName val="할증_3"/>
      <sheetName val="견적_집계3"/>
      <sheetName val="Anal-1_(Nox-SO2-CO)3"/>
      <sheetName val="DATA_LISTS3"/>
      <sheetName val="TABLE2-2_OSBL-(SITE_PREP)4"/>
      <sheetName val="TOTAL_PIPING3"/>
      <sheetName val="Bend_fact_3"/>
      <sheetName val="PRICE_LIST3"/>
      <sheetName val="Graph_(LGEN)3"/>
      <sheetName val="선적schedule_(2)3"/>
      <sheetName val="Process_Piping3"/>
      <sheetName val="OSBL-TOTAL_(SEA_WATER)3"/>
      <sheetName val="INST_LIST3"/>
      <sheetName val="개시대사_(2)3"/>
      <sheetName val="OSBL-TOTAL_(CIVIL_WORK)3"/>
      <sheetName val="E_Rate_PM3"/>
      <sheetName val="code_data3"/>
      <sheetName val="PAGE 3_GENERAL DETAILS"/>
      <sheetName val="유효성 검사"/>
      <sheetName val="IO"/>
      <sheetName val="Integration"/>
      <sheetName val="PRESSURE_GAUGE1"/>
      <sheetName val="SHUTDOWN_VALVE1"/>
      <sheetName val="B31_11"/>
      <sheetName val="97_사업추정(WEKI)1"/>
      <sheetName val="OSBL-TOTAL_(OTHER_WORK)1"/>
      <sheetName val="_견적서1"/>
      <sheetName val="Engrg_Est1"/>
      <sheetName val="CABLE_DATA1"/>
      <sheetName val="BAY별_원가표준1"/>
      <sheetName val="PTrating_all1"/>
      <sheetName val="Pipe_ID1"/>
      <sheetName val="_갑지1"/>
      <sheetName val="w't_table1"/>
      <sheetName val="S_N1"/>
      <sheetName val="소상_&quot;1&quot;1"/>
      <sheetName val="Substn,_Pdt_Trans,_Pack,_Other1"/>
      <sheetName val="Engrg_Est"/>
      <sheetName val="Summary_Sheets"/>
      <sheetName val="_갑지"/>
      <sheetName val="w't_table"/>
      <sheetName val="S_N"/>
      <sheetName val="소상_&quot;1&quot;"/>
      <sheetName val="Substn,_Pdt_Trans,_Pack,_Others"/>
      <sheetName val="TN IO_LIST"/>
      <sheetName val="DropBox"/>
      <sheetName val="6PILE  (돌출)"/>
      <sheetName val="CAL."/>
      <sheetName val="유효성검사"/>
      <sheetName val="자문요청"/>
      <sheetName val="mto-rev0B"/>
      <sheetName val="기준액"/>
      <sheetName val="MATRIAL"/>
      <sheetName val="laroux"/>
      <sheetName val="I_O Module"/>
      <sheetName val="PIPES"/>
      <sheetName val="Piping_Design_Data7"/>
      <sheetName val="TYPE-B_평균H7"/>
      <sheetName val="Table_17"/>
      <sheetName val="Cover_sheet6"/>
      <sheetName val="BQ_List6"/>
      <sheetName val="steam_table6"/>
      <sheetName val="Piping_Cost6"/>
      <sheetName val="Pag__14"/>
      <sheetName val="할증_4"/>
      <sheetName val="견적_집계4"/>
      <sheetName val="공사비_내역_(가)4"/>
      <sheetName val="Tipo_Terzi4"/>
      <sheetName val="PRICE_LIST4"/>
      <sheetName val="Anal-1_(Nox-SO2-CO)4"/>
      <sheetName val="Graph_(LGEN)4"/>
      <sheetName val="선적schedule_(2)4"/>
      <sheetName val="DATA_LISTS4"/>
      <sheetName val="TABLE2-2_OSBL-(SITE_PREP)5"/>
      <sheetName val="TOTAL_PIPING4"/>
      <sheetName val="Bend_fact_4"/>
      <sheetName val="Process_Piping4"/>
      <sheetName val="INST_LIST4"/>
      <sheetName val="OSBL-TOTAL_(SEA_WATER)4"/>
      <sheetName val="개시대사_(2)4"/>
      <sheetName val="OSBL-TOTAL_(CIVIL_WORK)4"/>
      <sheetName val="E_Rate_PM4"/>
      <sheetName val="code_data4"/>
      <sheetName val="PRESSURE_GAUGE2"/>
      <sheetName val="SHUTDOWN_VALVE2"/>
      <sheetName val="97_사업추정(WEKI)2"/>
      <sheetName val="OSBL-TOTAL_(OTHER_WORK)2"/>
      <sheetName val="_견적서2"/>
      <sheetName val="B31_12"/>
      <sheetName val="Engrg_Est2"/>
      <sheetName val="CABLE_DATA2"/>
      <sheetName val="BAY별_원가표준2"/>
      <sheetName val="Pipe_ID2"/>
      <sheetName val="PTrating_all2"/>
      <sheetName val="Summary_Sheets2"/>
      <sheetName val="_갑지2"/>
      <sheetName val="w't_table2"/>
      <sheetName val="S_N2"/>
      <sheetName val="소상_&quot;1&quot;2"/>
      <sheetName val="Substn,_Pdt_Trans,_Pack,_Other2"/>
      <sheetName val="Line_Details"/>
      <sheetName val="Two_Phase"/>
      <sheetName val="_"/>
      <sheetName val="CYP-O_F"/>
      <sheetName val="조도계산서_(도서)"/>
      <sheetName val="Notes_for_BOQ"/>
      <sheetName val="PAGE_3_GENERAL_DETAILS"/>
      <sheetName val="TN_IO_LIST"/>
      <sheetName val="유효성_검사"/>
      <sheetName val="2001概算定额"/>
      <sheetName val="RNRLRPL2"/>
      <sheetName val="PRO_A"/>
      <sheetName val="DWG"/>
      <sheetName val="ELEC_MCI"/>
      <sheetName val="MAIN"/>
      <sheetName val="INST_MCI"/>
      <sheetName val="MECH_MCI"/>
      <sheetName val="PRO"/>
      <sheetName val="Activity(new)"/>
      <sheetName val="Total(new)"/>
      <sheetName val="현장지지물물량"/>
      <sheetName val="VESSELS &amp; COLUMNS"/>
      <sheetName val="설정"/>
      <sheetName val="Alternator"/>
      <sheetName val="일위대가"/>
      <sheetName val="Proposal"/>
      <sheetName val="Datasheet for STRAINER"/>
      <sheetName val="MTP"/>
      <sheetName val="원가 BOM-SLV,LND"/>
      <sheetName val="Basic"/>
      <sheetName val="6PILE__(돌출)"/>
      <sheetName val="CAL_"/>
      <sheetName val="Piping_Design_Data8"/>
      <sheetName val="TYPE-B_평균H8"/>
      <sheetName val="Table_18"/>
      <sheetName val="BQ_List7"/>
      <sheetName val="steam_table7"/>
      <sheetName val="Piping_Cost7"/>
      <sheetName val="Cover_sheet7"/>
      <sheetName val="공사비_내역_(가)5"/>
      <sheetName val="할증_5"/>
      <sheetName val="TABLE2-2_OSBL-(SITE_PREP)6"/>
      <sheetName val="TOTAL_PIPING5"/>
      <sheetName val="Bend_fact_5"/>
      <sheetName val="Tipo_Terzi5"/>
      <sheetName val="DATA_LISTS5"/>
      <sheetName val="PRICE_LIST5"/>
      <sheetName val="Pag__15"/>
      <sheetName val="OSBL-TOTAL_(SEA_WATER)5"/>
      <sheetName val="견적_집계5"/>
      <sheetName val="Anal-1_(Nox-SO2-CO)5"/>
      <sheetName val="Graph_(LGEN)5"/>
      <sheetName val="선적schedule_(2)5"/>
      <sheetName val="개시대사_(2)5"/>
      <sheetName val="OSBL-TOTAL_(CIVIL_WORK)5"/>
      <sheetName val="E_Rate_PM5"/>
      <sheetName val="Process_Piping5"/>
      <sheetName val="code_data5"/>
      <sheetName val="OSBL-TOTAL_(OTHER_WORK)3"/>
      <sheetName val="B31_13"/>
      <sheetName val="PRESSURE_GAUGE3"/>
      <sheetName val="SHUTDOWN_VALVE3"/>
      <sheetName val="BAY별_원가표준3"/>
      <sheetName val="CABLE_DATA3"/>
      <sheetName val="INST_LIST5"/>
      <sheetName val="97_사업추정(WEKI)3"/>
      <sheetName val="_견적서3"/>
      <sheetName val="Pipe_ID3"/>
      <sheetName val="PTrating_all3"/>
      <sheetName val="Engrg_Est3"/>
      <sheetName val="소상_&quot;1&quot;3"/>
      <sheetName val="Substn,_Pdt_Trans,_Pack,_Other3"/>
      <sheetName val="_1"/>
      <sheetName val="조도계산서_(도서)1"/>
      <sheetName val="CYP-O_F1"/>
      <sheetName val="Summary_Sheets3"/>
      <sheetName val="_갑지3"/>
      <sheetName val="w't_table3"/>
      <sheetName val="S_N3"/>
      <sheetName val="Line_Details1"/>
      <sheetName val="Two_Phase1"/>
      <sheetName val="Notes_for_BOQ1"/>
      <sheetName val="PAGE_3_GENERAL_DETAILS1"/>
      <sheetName val="유효성_검사1"/>
      <sheetName val="6PILE__(돌출)1"/>
      <sheetName val="CAL_1"/>
      <sheetName val="TN_IO_LIST1"/>
      <sheetName val="GROUP"/>
      <sheetName val="자바라1"/>
      <sheetName val="EVVK"/>
      <sheetName val="EVVG"/>
      <sheetName val="EYDS"/>
      <sheetName val="EVVB"/>
      <sheetName val="EVVD"/>
      <sheetName val="EVVC"/>
      <sheetName val="EFF"/>
      <sheetName val="EFFH"/>
      <sheetName val="EVVH"/>
      <sheetName val="EVVF"/>
      <sheetName val="EVVE"/>
      <sheetName val="EVVM"/>
      <sheetName val="EFFB"/>
      <sheetName val="EMMT"/>
      <sheetName val="EMMC"/>
      <sheetName val="EMMA"/>
      <sheetName val="4B - (1) Materials"/>
      <sheetName val="BELİRLENECEKLER"/>
      <sheetName val="재료비"/>
      <sheetName val="MHRS"/>
      <sheetName val="Engg-Exec-2"/>
      <sheetName val="Site-Precom-2"/>
      <sheetName val="Cont"/>
      <sheetName val="Ranges"/>
      <sheetName val="User"/>
      <sheetName val="HVAC_DCI"/>
      <sheetName val="PIPE_DCI"/>
      <sheetName val="역T형"/>
      <sheetName val="parameters"/>
      <sheetName val="dr &amp; wd"/>
      <sheetName val="細目"/>
      <sheetName val="Man-month Chart - Overall"/>
      <sheetName val="MH(on site)"/>
      <sheetName val="TABLE-A"/>
      <sheetName val="基数"/>
      <sheetName val="salary"/>
      <sheetName val="AC"/>
      <sheetName val="Cashflow Analysis"/>
      <sheetName val="TYPE-B_평균H9"/>
      <sheetName val="Piping_Design_Data9"/>
      <sheetName val="Table_19"/>
      <sheetName val="BQ_List8"/>
      <sheetName val="Cover_sheet8"/>
      <sheetName val="steam_table8"/>
      <sheetName val="code_data6"/>
      <sheetName val="Piping_Cost8"/>
      <sheetName val="공사비_내역_(가)6"/>
      <sheetName val="Tipo_Terzi6"/>
      <sheetName val="DATA_LISTS6"/>
      <sheetName val="Pag__16"/>
      <sheetName val="할증_6"/>
      <sheetName val="B31_14"/>
      <sheetName val="PRICE_LIST6"/>
      <sheetName val="견적_집계6"/>
      <sheetName val="Anal-1_(Nox-SO2-CO)6"/>
      <sheetName val="TABLE2-2_OSBL-(SITE_PREP)7"/>
      <sheetName val="TOTAL_PIPING6"/>
      <sheetName val="Bend_fact_6"/>
      <sheetName val="Graph_(LGEN)6"/>
      <sheetName val="선적schedule_(2)6"/>
      <sheetName val="Process_Piping6"/>
      <sheetName val="OSBL-TOTAL_(SEA_WATER)6"/>
      <sheetName val="INST_LIST6"/>
      <sheetName val="개시대사_(2)6"/>
      <sheetName val="OSBL-TOTAL_(CIVIL_WORK)6"/>
      <sheetName val="E_Rate_PM6"/>
      <sheetName val="BAY별_원가표준4"/>
      <sheetName val="OSBL-TOTAL_(OTHER_WORK)4"/>
      <sheetName val="CABLE_DATA4"/>
      <sheetName val="PRESSURE_GAUGE4"/>
      <sheetName val="SHUTDOWN_VALVE4"/>
      <sheetName val="97_사업추정(WEKI)4"/>
      <sheetName val="Engrg_Est4"/>
      <sheetName val="PTrating_all4"/>
      <sheetName val="_견적서4"/>
      <sheetName val="Pipe_ID4"/>
      <sheetName val="Summary_Sheets4"/>
      <sheetName val="_갑지4"/>
      <sheetName val="w't_table4"/>
      <sheetName val="S_N4"/>
      <sheetName val="소상_&quot;1&quot;4"/>
      <sheetName val="Substn,_Pdt_Trans,_Pack,_Other4"/>
      <sheetName val="_2"/>
      <sheetName val="CYP-O_F2"/>
      <sheetName val="Line_Details2"/>
      <sheetName val="Two_Phase2"/>
      <sheetName val="조도계산서_(도서)2"/>
      <sheetName val="Notes_for_BOQ2"/>
      <sheetName val="TN_IO_LIST2"/>
      <sheetName val="PAGE_3_GENERAL_DETAILS2"/>
      <sheetName val="유효성_검사2"/>
      <sheetName val="6PILE__(돌출)2"/>
      <sheetName val="CAL_2"/>
      <sheetName val="VESSELS_&amp;_COLUMNS"/>
      <sheetName val="I_O_Module"/>
      <sheetName val="4B_-_(1)_Materials"/>
      <sheetName val="Heat"/>
      <sheetName val="VA_code"/>
      <sheetName val="EQUIP"/>
      <sheetName val="단면가정"/>
      <sheetName val="ABUT수량-A1"/>
      <sheetName val="Breakdown-1"/>
      <sheetName val="Add"/>
      <sheetName val="Equipment"/>
      <sheetName val="L V Separator"/>
      <sheetName val="원가_BOM-SLV,LND"/>
      <sheetName val="Datasheet_for_STRAINER"/>
      <sheetName val="dr_&amp;_wd"/>
      <sheetName val="Man-month_Chart_-_Overall"/>
      <sheetName val="MH(on_site)"/>
      <sheetName val="Cash2"/>
      <sheetName val="Z"/>
    </sheetNames>
    <sheetDataSet>
      <sheetData sheetId="0">
        <row r="4">
          <cell r="B4" t="str">
            <v>Line N°</v>
          </cell>
        </row>
      </sheetData>
      <sheetData sheetId="1">
        <row r="4">
          <cell r="B4" t="str">
            <v>Line N°</v>
          </cell>
        </row>
      </sheetData>
      <sheetData sheetId="2">
        <row r="5">
          <cell r="A5" t="str">
            <v>NO</v>
          </cell>
        </row>
      </sheetData>
      <sheetData sheetId="3" refreshError="1">
        <row r="5">
          <cell r="A5" t="str">
            <v>NO</v>
          </cell>
          <cell r="B5" t="str">
            <v>DESCRIPTION</v>
          </cell>
          <cell r="C5" t="str">
            <v>SIZE</v>
          </cell>
          <cell r="D5" t="str">
            <v>UNIT</v>
          </cell>
          <cell r="E5" t="str">
            <v>NET</v>
          </cell>
          <cell r="F5" t="str">
            <v>SPARE</v>
          </cell>
          <cell r="G5" t="str">
            <v>TOTAL</v>
          </cell>
          <cell r="H5" t="str">
            <v>UNIT</v>
          </cell>
          <cell r="I5" t="str">
            <v>TOTAL</v>
          </cell>
          <cell r="J5" t="str">
            <v>UNIT</v>
          </cell>
          <cell r="K5" t="str">
            <v>TOTAL</v>
          </cell>
          <cell r="L5" t="str">
            <v xml:space="preserve"> </v>
          </cell>
          <cell r="M5" t="str">
            <v xml:space="preserve"> </v>
          </cell>
        </row>
        <row r="6">
          <cell r="A6" t="str">
            <v>1.1</v>
          </cell>
          <cell r="B6" t="str">
            <v>ORIFICE PLATE ASSEMBLY</v>
          </cell>
          <cell r="C6" t="str">
            <v>4" 150#</v>
          </cell>
          <cell r="D6" t="str">
            <v>EA</v>
          </cell>
          <cell r="E6">
            <v>1</v>
          </cell>
        </row>
        <row r="7">
          <cell r="B7" t="str">
            <v xml:space="preserve">  FLANGE/PLATE : 304LSS/316LSS</v>
          </cell>
          <cell r="C7" t="str">
            <v>2" 150#</v>
          </cell>
          <cell r="D7" t="str">
            <v>EA</v>
          </cell>
          <cell r="E7">
            <v>2</v>
          </cell>
        </row>
        <row r="8">
          <cell r="B8" t="str">
            <v xml:space="preserve">  PROCESS CONN : ANSI, RF</v>
          </cell>
        </row>
        <row r="9">
          <cell r="B9" t="str">
            <v xml:space="preserve">  ACCESSORIES :</v>
          </cell>
        </row>
        <row r="10">
          <cell r="B10" t="str">
            <v xml:space="preserve">    - NIPPLE</v>
          </cell>
        </row>
        <row r="11">
          <cell r="B11" t="str">
            <v xml:space="preserve">    - BOLT &amp; NUT</v>
          </cell>
        </row>
        <row r="12">
          <cell r="B12" t="str">
            <v xml:space="preserve">    - GASKET</v>
          </cell>
        </row>
        <row r="13">
          <cell r="B13" t="str">
            <v xml:space="preserve">    - JACK SCREW</v>
          </cell>
        </row>
        <row r="17">
          <cell r="A17" t="str">
            <v>1.2</v>
          </cell>
          <cell r="B17" t="str">
            <v>MASS FLOWMETER</v>
          </cell>
          <cell r="C17" t="str">
            <v>6" 150#</v>
          </cell>
          <cell r="D17" t="str">
            <v>EA</v>
          </cell>
          <cell r="E17">
            <v>2</v>
          </cell>
        </row>
        <row r="18">
          <cell r="B18" t="str">
            <v xml:space="preserve">  TYPE : CORIOLIS</v>
          </cell>
          <cell r="C18" t="str">
            <v>4" 150#</v>
          </cell>
          <cell r="D18" t="str">
            <v>EA</v>
          </cell>
          <cell r="E18">
            <v>1</v>
          </cell>
        </row>
        <row r="19">
          <cell r="B19" t="str">
            <v xml:space="preserve">  BODY/ELEMENT : 304SS/316LSS</v>
          </cell>
          <cell r="C19" t="str">
            <v>5" 150#</v>
          </cell>
          <cell r="D19" t="str">
            <v>EA</v>
          </cell>
          <cell r="E19">
            <v>1</v>
          </cell>
        </row>
        <row r="20">
          <cell r="B20" t="str">
            <v xml:space="preserve">  OUTPUT : 4-20mA, SMART</v>
          </cell>
        </row>
        <row r="21">
          <cell r="B21" t="str">
            <v xml:space="preserve">  PROCESS CONN : ANSI, RF</v>
          </cell>
        </row>
        <row r="22">
          <cell r="B22" t="str">
            <v xml:space="preserve">  ELEC. ENCL.: INTRINSIC SAFETY (Exi)</v>
          </cell>
        </row>
        <row r="23">
          <cell r="B23" t="str">
            <v xml:space="preserve">  ACCESSORIES :</v>
          </cell>
        </row>
        <row r="24">
          <cell r="B24" t="str">
            <v xml:space="preserve">    - SPECIAL CABLE</v>
          </cell>
        </row>
        <row r="25">
          <cell r="B25" t="str">
            <v xml:space="preserve">    - CONVERTER (REMOTE)</v>
          </cell>
        </row>
        <row r="26">
          <cell r="B26" t="str">
            <v xml:space="preserve">    - MOUNTING BRACKET (FOR 2" PIPE)</v>
          </cell>
        </row>
        <row r="30">
          <cell r="A30" t="str">
            <v>1.3</v>
          </cell>
          <cell r="B30" t="str">
            <v>TURBINE FLOWMETER</v>
          </cell>
          <cell r="C30" t="str">
            <v>1" 150#</v>
          </cell>
          <cell r="D30" t="str">
            <v>EA</v>
          </cell>
          <cell r="E30">
            <v>1</v>
          </cell>
        </row>
        <row r="31">
          <cell r="B31" t="str">
            <v xml:space="preserve">  TYPE : TRANSMIT</v>
          </cell>
        </row>
        <row r="32">
          <cell r="B32" t="str">
            <v xml:space="preserve">  BODY/ELEMENT : 304LSS/316LSS</v>
          </cell>
        </row>
        <row r="33">
          <cell r="B33" t="str">
            <v xml:space="preserve">  OUTPUT : 4-20mA, SMART</v>
          </cell>
        </row>
        <row r="34">
          <cell r="B34" t="str">
            <v xml:space="preserve">  PROCESS CONN : ANSI, RF</v>
          </cell>
        </row>
        <row r="35">
          <cell r="B35" t="str">
            <v xml:space="preserve">  ELEC. ENCL.: INTRINSIC SAFETY (Exi)</v>
          </cell>
        </row>
        <row r="36">
          <cell r="B36" t="str">
            <v xml:space="preserve">  ACCESSORIES :</v>
          </cell>
        </row>
        <row r="37">
          <cell r="B37" t="str">
            <v xml:space="preserve">    - CONVERTER (INTEGRAL)</v>
          </cell>
        </row>
        <row r="38">
          <cell r="B38" t="str">
            <v xml:space="preserve">    - LOCAL TOTALIZER</v>
          </cell>
        </row>
        <row r="42">
          <cell r="A42" t="str">
            <v>1.4</v>
          </cell>
          <cell r="B42" t="str">
            <v>ULTRASONIC FLOWMETER</v>
          </cell>
          <cell r="C42" t="str">
            <v>8" 150#</v>
          </cell>
          <cell r="D42" t="str">
            <v>EA</v>
          </cell>
          <cell r="E42">
            <v>1</v>
          </cell>
        </row>
        <row r="43">
          <cell r="B43" t="str">
            <v xml:space="preserve">  TYPE : TRANSMIT</v>
          </cell>
        </row>
        <row r="44">
          <cell r="B44" t="str">
            <v xml:space="preserve">  BODY/ELEMENT : 304SS</v>
          </cell>
        </row>
        <row r="45">
          <cell r="B45" t="str">
            <v xml:space="preserve">  OUTPUT : 4-20mA, SMART</v>
          </cell>
        </row>
        <row r="46">
          <cell r="B46" t="str">
            <v xml:space="preserve">  PROCESS CONN : ANSI, RF</v>
          </cell>
        </row>
        <row r="47">
          <cell r="B47" t="str">
            <v xml:space="preserve">  ELEC. ENCL.: INTRINSIC SAFETY (Exi)</v>
          </cell>
        </row>
        <row r="51">
          <cell r="A51" t="str">
            <v>1.5</v>
          </cell>
          <cell r="B51" t="str">
            <v xml:space="preserve">DISPLACEMENT TYPE ,LEVEL </v>
          </cell>
          <cell r="C51" t="str">
            <v>500mm</v>
          </cell>
          <cell r="D51" t="str">
            <v>EA</v>
          </cell>
          <cell r="E51">
            <v>5</v>
          </cell>
        </row>
        <row r="52">
          <cell r="B52" t="str">
            <v xml:space="preserve">  MOUNTING : INTERNAL</v>
          </cell>
        </row>
        <row r="53">
          <cell r="B53" t="str">
            <v xml:space="preserve">  FUNCTION : SWITCH</v>
          </cell>
        </row>
        <row r="54">
          <cell r="B54" t="str">
            <v xml:space="preserve">  BODY/DISPLACER : 304SS/316LSS</v>
          </cell>
        </row>
        <row r="55">
          <cell r="B55" t="str">
            <v xml:space="preserve">  OUTPUT : 1 DPDT x 1</v>
          </cell>
        </row>
        <row r="56">
          <cell r="B56" t="str">
            <v xml:space="preserve">  PROCESS CONN : ANSI, 4" 150#</v>
          </cell>
        </row>
        <row r="57">
          <cell r="B57" t="str">
            <v xml:space="preserve">  ELEC. ENCL.: EXP. PF (Exd)</v>
          </cell>
        </row>
        <row r="61">
          <cell r="A61" t="str">
            <v>1.6</v>
          </cell>
          <cell r="B61" t="str">
            <v xml:space="preserve">DISPLACEMENT TYPE ,LEVEL </v>
          </cell>
          <cell r="C61" t="str">
            <v>2" 150#</v>
          </cell>
          <cell r="D61" t="str">
            <v>EA</v>
          </cell>
          <cell r="E61">
            <v>9</v>
          </cell>
        </row>
        <row r="62">
          <cell r="B62" t="str">
            <v xml:space="preserve">  MOUTING : SIDE, EXTERNAL</v>
          </cell>
        </row>
        <row r="63">
          <cell r="B63" t="str">
            <v xml:space="preserve">  FUNCTION : SWITCH</v>
          </cell>
        </row>
        <row r="64">
          <cell r="B64" t="str">
            <v xml:space="preserve">  BODY/FLOAT : 304SS/316LSS</v>
          </cell>
        </row>
        <row r="65">
          <cell r="B65" t="str">
            <v xml:space="preserve">  OUTPUT : 1 DPDT x 2</v>
          </cell>
        </row>
        <row r="66">
          <cell r="B66" t="str">
            <v xml:space="preserve">  PROCESS CONN : ANSI RF</v>
          </cell>
        </row>
        <row r="67">
          <cell r="B67" t="str">
            <v xml:space="preserve">  ELEC. ENCL.: EXP. PF (Exd)</v>
          </cell>
        </row>
        <row r="68">
          <cell r="B68" t="str">
            <v xml:space="preserve">  C-TO C : 440 MM</v>
          </cell>
        </row>
        <row r="72">
          <cell r="A72" t="str">
            <v>1.7</v>
          </cell>
          <cell r="B72" t="str">
            <v>AUTOMATIC TANK GAUGE (ENRAF 854)</v>
          </cell>
          <cell r="C72" t="str">
            <v>20000mm</v>
          </cell>
          <cell r="D72" t="str">
            <v>EA</v>
          </cell>
          <cell r="E72">
            <v>4</v>
          </cell>
        </row>
        <row r="73">
          <cell r="B73" t="str">
            <v xml:space="preserve">  TYPE : TRANSMIT,SERVO-BALANCE</v>
          </cell>
        </row>
        <row r="74">
          <cell r="B74" t="str">
            <v xml:space="preserve">  BODY/FLOAT : ADC/316LSS</v>
          </cell>
        </row>
        <row r="75">
          <cell r="B75" t="str">
            <v xml:space="preserve">  OUTPUT : 4-20mA, SMART</v>
          </cell>
        </row>
        <row r="76">
          <cell r="B76" t="str">
            <v xml:space="preserve">  PROCESS CONN : ANSI, RF</v>
          </cell>
        </row>
        <row r="77">
          <cell r="B77" t="str">
            <v xml:space="preserve">  ELEC. ENCL.: INTRINSIC SAFETY (Exi)</v>
          </cell>
        </row>
        <row r="78">
          <cell r="B78" t="str">
            <v xml:space="preserve">  ACCESSORIES :</v>
          </cell>
        </row>
        <row r="79">
          <cell r="B79" t="str">
            <v xml:space="preserve">    - TANK SIDE INDICATOR</v>
          </cell>
        </row>
        <row r="80">
          <cell r="B80" t="str">
            <v xml:space="preserve">    - CALIBRATION CHAMBER</v>
          </cell>
        </row>
        <row r="81">
          <cell r="B81" t="str">
            <v xml:space="preserve">    - BALL VALVE</v>
          </cell>
        </row>
        <row r="82">
          <cell r="B82" t="str">
            <v xml:space="preserve">    - MULTIPLE RESISTANCE THERMOMETER</v>
          </cell>
        </row>
        <row r="83">
          <cell r="B83" t="str">
            <v xml:space="preserve">      (865 MRT)</v>
          </cell>
        </row>
        <row r="84">
          <cell r="A84" t="str">
            <v xml:space="preserve"> </v>
          </cell>
        </row>
        <row r="87">
          <cell r="A87" t="str">
            <v>1.8</v>
          </cell>
          <cell r="B87" t="str">
            <v>LEVEL GAUGE</v>
          </cell>
          <cell r="C87" t="str">
            <v>1370MM</v>
          </cell>
          <cell r="D87" t="str">
            <v>EA</v>
          </cell>
          <cell r="E87">
            <v>4</v>
          </cell>
        </row>
        <row r="88">
          <cell r="B88" t="str">
            <v xml:space="preserve">  TYPE : REFLEX</v>
          </cell>
        </row>
        <row r="89">
          <cell r="B89" t="str">
            <v xml:space="preserve">  BODY/ELEMENT : 304SS/316LSS</v>
          </cell>
        </row>
        <row r="90">
          <cell r="A90" t="str">
            <v xml:space="preserve"> </v>
          </cell>
          <cell r="B90" t="str">
            <v xml:space="preserve">  PROCESS CONN : ANSI 2", 150#</v>
          </cell>
        </row>
        <row r="91">
          <cell r="B91" t="str">
            <v xml:space="preserve">  ACCESSORIES</v>
          </cell>
        </row>
        <row r="92">
          <cell r="B92" t="str">
            <v xml:space="preserve">    - GAUGE VALVE, OFFSET TYPE</v>
          </cell>
        </row>
        <row r="93">
          <cell r="B93" t="str">
            <v xml:space="preserve">    - VENT/DRAIN VALVE</v>
          </cell>
        </row>
        <row r="97">
          <cell r="A97" t="str">
            <v>1.9</v>
          </cell>
          <cell r="B97" t="str">
            <v>MAGNETIC LEVEL GAUGE</v>
          </cell>
          <cell r="C97" t="str">
            <v>2000MM</v>
          </cell>
          <cell r="D97" t="str">
            <v>EA</v>
          </cell>
          <cell r="E97">
            <v>7</v>
          </cell>
        </row>
        <row r="98">
          <cell r="B98" t="str">
            <v xml:space="preserve">  TYPE : MAGNETIC FLOAT</v>
          </cell>
        </row>
        <row r="99">
          <cell r="B99" t="str">
            <v xml:space="preserve">  BODY/ELEMENT : 304SS/316LSS</v>
          </cell>
        </row>
        <row r="100">
          <cell r="B100" t="str">
            <v xml:space="preserve">  PROCESS CONN : ANSI 2", 150#</v>
          </cell>
        </row>
        <row r="101">
          <cell r="B101" t="str">
            <v xml:space="preserve">  ACCESSORIES</v>
          </cell>
        </row>
        <row r="102">
          <cell r="B102" t="str">
            <v xml:space="preserve">    - VENT/DRAIN VALVE</v>
          </cell>
        </row>
        <row r="106">
          <cell r="A106" t="str">
            <v>1.10</v>
          </cell>
          <cell r="B106" t="str">
            <v>DITTO 1.8 BUT</v>
          </cell>
          <cell r="C106" t="str">
            <v>2000MM</v>
          </cell>
          <cell r="D106" t="str">
            <v>EA</v>
          </cell>
          <cell r="E106">
            <v>1</v>
          </cell>
        </row>
        <row r="107">
          <cell r="B107" t="str">
            <v xml:space="preserve">  ACCESSORIES</v>
          </cell>
        </row>
        <row r="108">
          <cell r="B108" t="str">
            <v xml:space="preserve">    - LEVEL SWITCH (1 EA)</v>
          </cell>
        </row>
        <row r="112">
          <cell r="A112" t="str">
            <v>1.11</v>
          </cell>
          <cell r="B112" t="str">
            <v>PRESSURE TRANSMITTER</v>
          </cell>
          <cell r="C112">
            <v>0</v>
          </cell>
          <cell r="D112" t="str">
            <v>EA</v>
          </cell>
          <cell r="E112">
            <v>7</v>
          </cell>
        </row>
        <row r="113">
          <cell r="B113" t="str">
            <v xml:space="preserve">  TYPE : DIAPHRAGM</v>
          </cell>
        </row>
        <row r="114">
          <cell r="B114" t="str">
            <v xml:space="preserve">  BODY/ELEMENT : 304SS/316LSS</v>
          </cell>
        </row>
        <row r="115">
          <cell r="B115" t="str">
            <v xml:space="preserve">  OUTPUT : 4-20mA, SMART</v>
          </cell>
        </row>
        <row r="116">
          <cell r="B116" t="str">
            <v xml:space="preserve">  PROCESS CONN : 1/2" NPT</v>
          </cell>
        </row>
        <row r="117">
          <cell r="B117" t="str">
            <v xml:space="preserve">  ELEC. ENCL.: INTRINSIC SAFETY (Exi)</v>
          </cell>
        </row>
        <row r="118">
          <cell r="B118" t="str">
            <v xml:space="preserve">  ACCESSORIES :</v>
          </cell>
        </row>
        <row r="119">
          <cell r="B119" t="str">
            <v xml:space="preserve">    - LOCAL INDICATOR</v>
          </cell>
        </row>
        <row r="120">
          <cell r="B120" t="str">
            <v xml:space="preserve">    - 2-VALVE MANIFOLD</v>
          </cell>
        </row>
        <row r="121">
          <cell r="B121" t="str">
            <v xml:space="preserve">    - MOUNTING BRACKET (FOR 2" PIPE)</v>
          </cell>
        </row>
        <row r="125">
          <cell r="A125" t="str">
            <v>1.12</v>
          </cell>
          <cell r="B125" t="str">
            <v>D/P TRANSMITTER,  FLOW</v>
          </cell>
          <cell r="C125">
            <v>0</v>
          </cell>
          <cell r="D125" t="str">
            <v>EA</v>
          </cell>
          <cell r="E125">
            <v>3</v>
          </cell>
        </row>
        <row r="126">
          <cell r="B126" t="str">
            <v xml:space="preserve">  TYPE : DIAPHRAGM</v>
          </cell>
        </row>
        <row r="127">
          <cell r="B127" t="str">
            <v xml:space="preserve">  BODY/ELEMENT : 304SS/316LSS</v>
          </cell>
        </row>
        <row r="128">
          <cell r="B128" t="str">
            <v xml:space="preserve">  OUTPUT : 4-20mA, SMART</v>
          </cell>
        </row>
        <row r="129">
          <cell r="B129" t="str">
            <v xml:space="preserve">  PROCESS CONN : 1/2" NPTF</v>
          </cell>
        </row>
        <row r="130">
          <cell r="B130" t="str">
            <v xml:space="preserve">  ELEC. ENCL.: INTRINSIC SAFETY (Exi)</v>
          </cell>
        </row>
        <row r="131">
          <cell r="B131" t="str">
            <v xml:space="preserve">  ACCESSORIES :</v>
          </cell>
        </row>
        <row r="132">
          <cell r="B132" t="str">
            <v xml:space="preserve">    - 3-VALVE MANIFOLD</v>
          </cell>
        </row>
        <row r="133">
          <cell r="B133" t="str">
            <v xml:space="preserve">    - LOCAL INDICATOR</v>
          </cell>
        </row>
        <row r="134">
          <cell r="B134" t="str">
            <v xml:space="preserve">    - MOUNTING BRACKET (FOR 2" PIPE)</v>
          </cell>
        </row>
        <row r="138">
          <cell r="A138" t="str">
            <v>1.13</v>
          </cell>
          <cell r="B138" t="str">
            <v>PRESSURE GAUGE</v>
          </cell>
          <cell r="C138">
            <v>0</v>
          </cell>
          <cell r="D138" t="str">
            <v>EA</v>
          </cell>
          <cell r="E138">
            <v>9</v>
          </cell>
        </row>
        <row r="139">
          <cell r="B139" t="str">
            <v xml:space="preserve">  TYPE : LIQUID FILLED</v>
          </cell>
        </row>
        <row r="140">
          <cell r="B140" t="str">
            <v xml:space="preserve">  DIAL SIZE : 6"</v>
          </cell>
        </row>
        <row r="141">
          <cell r="B141" t="str">
            <v xml:space="preserve">  CASE/ELEMENT : 304SS/316SS</v>
          </cell>
        </row>
        <row r="142">
          <cell r="B142" t="str">
            <v xml:space="preserve">  PROCESS CONN. : 1/2" NPT</v>
          </cell>
        </row>
        <row r="146">
          <cell r="A146" t="str">
            <v>1.14</v>
          </cell>
          <cell r="B146" t="str">
            <v>DIFF. PRESSURE GAUGE</v>
          </cell>
          <cell r="C146">
            <v>0</v>
          </cell>
          <cell r="D146" t="str">
            <v>EA</v>
          </cell>
          <cell r="E146">
            <v>7</v>
          </cell>
        </row>
        <row r="147">
          <cell r="B147" t="str">
            <v xml:space="preserve">  TYPE : DIAPHRAGM</v>
          </cell>
        </row>
        <row r="148">
          <cell r="B148" t="str">
            <v xml:space="preserve">  DIAL SIZE : 6"</v>
          </cell>
        </row>
        <row r="149">
          <cell r="B149" t="str">
            <v xml:space="preserve">  CASE/ELEMENT : 304SS/316SS</v>
          </cell>
        </row>
        <row r="150">
          <cell r="B150" t="str">
            <v xml:space="preserve">  PROCESS CONN. : 1/2" NPT</v>
          </cell>
        </row>
        <row r="151">
          <cell r="B151" t="str">
            <v xml:space="preserve">  ACCESSORIES :</v>
          </cell>
        </row>
        <row r="152">
          <cell r="B152" t="str">
            <v xml:space="preserve">    - MOUNTING BRACKET (FOR 2" PIPE)</v>
          </cell>
        </row>
        <row r="156">
          <cell r="A156" t="str">
            <v>1.15</v>
          </cell>
          <cell r="B156" t="str">
            <v>TEMPERATURE TRANSMITTER</v>
          </cell>
          <cell r="C156">
            <v>0</v>
          </cell>
          <cell r="D156" t="str">
            <v>EA</v>
          </cell>
          <cell r="E156">
            <v>6</v>
          </cell>
        </row>
        <row r="157">
          <cell r="B157" t="str">
            <v xml:space="preserve">  BODY/ELEMENT : 316SS/316LSS</v>
          </cell>
        </row>
        <row r="158">
          <cell r="B158" t="str">
            <v xml:space="preserve">  OUTPUT : 4-20mA, SMART</v>
          </cell>
        </row>
        <row r="159">
          <cell r="B159" t="str">
            <v xml:space="preserve">  ELEC. ENCL.: INTRINSIC SAFETY (Exi)</v>
          </cell>
        </row>
        <row r="160">
          <cell r="B160" t="str">
            <v xml:space="preserve">  ACCESSORIES :</v>
          </cell>
        </row>
        <row r="161">
          <cell r="B161" t="str">
            <v xml:space="preserve">    - LOCAL INDICATOR</v>
          </cell>
        </row>
        <row r="162">
          <cell r="B162" t="str">
            <v xml:space="preserve">    - MOUNTING BRACKET (FOR 2" PIPE)</v>
          </cell>
        </row>
        <row r="166">
          <cell r="A166" t="str">
            <v>1.16</v>
          </cell>
          <cell r="B166" t="str">
            <v>THERMOELEMENT ASSEMBLY</v>
          </cell>
          <cell r="C166">
            <v>0</v>
          </cell>
          <cell r="D166" t="str">
            <v>EA</v>
          </cell>
          <cell r="E166">
            <v>6</v>
          </cell>
        </row>
        <row r="167">
          <cell r="B167" t="str">
            <v xml:space="preserve">  SENSOR : RTD (SINGLE), Pt 100 ohm</v>
          </cell>
        </row>
        <row r="168">
          <cell r="B168" t="str">
            <v xml:space="preserve">  ELEMENT : 316SS</v>
          </cell>
        </row>
        <row r="169">
          <cell r="B169" t="str">
            <v xml:space="preserve">  ELEC. ENCL.: INTRINSIC SAFETY (Exi)</v>
          </cell>
        </row>
        <row r="170">
          <cell r="B170" t="str">
            <v xml:space="preserve">  WELL :</v>
          </cell>
        </row>
        <row r="171">
          <cell r="B171" t="str">
            <v xml:space="preserve">    - TYPE : DRILLED BAR</v>
          </cell>
        </row>
        <row r="172">
          <cell r="B172" t="str">
            <v xml:space="preserve">    - MATL : 316LSS</v>
          </cell>
        </row>
        <row r="173">
          <cell r="B173" t="str">
            <v xml:space="preserve">    - PROCESS CONN : ANSI 1 1/2", 150#</v>
          </cell>
        </row>
        <row r="174">
          <cell r="B174" t="str">
            <v xml:space="preserve">    - IMMER. LENGTH : 400mm</v>
          </cell>
        </row>
        <row r="178">
          <cell r="A178" t="str">
            <v>1.17</v>
          </cell>
          <cell r="B178" t="str">
            <v xml:space="preserve">INDICATING THERMOMETER </v>
          </cell>
          <cell r="C178">
            <v>0</v>
          </cell>
          <cell r="D178" t="str">
            <v>EA</v>
          </cell>
          <cell r="E178">
            <v>2</v>
          </cell>
        </row>
        <row r="179">
          <cell r="B179" t="str">
            <v xml:space="preserve">  TYPE/FORM : BIMETAL/ANY ANGLE TYPE</v>
          </cell>
        </row>
        <row r="180">
          <cell r="B180" t="str">
            <v xml:space="preserve">  DIAL SIZE : 5"</v>
          </cell>
        </row>
        <row r="181">
          <cell r="B181" t="str">
            <v xml:space="preserve">  CASE/ELEMENTL : 304SS/316SS</v>
          </cell>
        </row>
        <row r="182">
          <cell r="B182" t="str">
            <v xml:space="preserve">  WELL :</v>
          </cell>
        </row>
        <row r="183">
          <cell r="B183" t="str">
            <v xml:space="preserve">    - TYPE : DRILLED BAR</v>
          </cell>
        </row>
        <row r="184">
          <cell r="B184" t="str">
            <v xml:space="preserve">    - MATL : 316LSS</v>
          </cell>
        </row>
        <row r="185">
          <cell r="B185" t="str">
            <v xml:space="preserve">    - PROCESS CONN : ANSI 1 1/2", 150#</v>
          </cell>
        </row>
        <row r="186">
          <cell r="B186" t="str">
            <v xml:space="preserve">    - IMMER. LENGTH : 400mm</v>
          </cell>
        </row>
        <row r="190">
          <cell r="A190" t="str">
            <v>1.18</v>
          </cell>
          <cell r="B190" t="str">
            <v xml:space="preserve">TEST THERMOWELL </v>
          </cell>
          <cell r="C190">
            <v>0</v>
          </cell>
          <cell r="D190" t="str">
            <v>EA</v>
          </cell>
          <cell r="E190">
            <v>2</v>
          </cell>
        </row>
        <row r="191">
          <cell r="B191" t="str">
            <v xml:space="preserve">  TYPE : DRILLED BAR</v>
          </cell>
        </row>
        <row r="192">
          <cell r="B192" t="str">
            <v xml:space="preserve">  MATL : 316LSS</v>
          </cell>
        </row>
        <row r="193">
          <cell r="B193" t="str">
            <v xml:space="preserve">  PROCESS CONN : ANSI 1 1/2", 150#</v>
          </cell>
        </row>
        <row r="194">
          <cell r="B194" t="str">
            <v xml:space="preserve">  IMMER. LENGTH : 400mm</v>
          </cell>
        </row>
        <row r="198">
          <cell r="A198" t="str">
            <v>1.19</v>
          </cell>
          <cell r="B198" t="str">
            <v>CONTROL VALVE</v>
          </cell>
          <cell r="C198" t="str">
            <v>2" 300#</v>
          </cell>
          <cell r="D198" t="str">
            <v>EA</v>
          </cell>
          <cell r="E198">
            <v>4</v>
          </cell>
        </row>
        <row r="199">
          <cell r="B199" t="str">
            <v xml:space="preserve">  TYPE : GLOBE</v>
          </cell>
          <cell r="C199" t="str">
            <v>4" 300#</v>
          </cell>
          <cell r="D199" t="str">
            <v>EA</v>
          </cell>
          <cell r="E199">
            <v>3</v>
          </cell>
        </row>
        <row r="200">
          <cell r="B200" t="str">
            <v xml:space="preserve">  CONTROL ACTION : THROTTLING</v>
          </cell>
          <cell r="C200" t="str">
            <v>6" 300#</v>
          </cell>
          <cell r="D200" t="str">
            <v>EA</v>
          </cell>
          <cell r="E200">
            <v>1</v>
          </cell>
        </row>
        <row r="201">
          <cell r="B201" t="str">
            <v xml:space="preserve">  ACTUATOR : DIAPHRAGM</v>
          </cell>
        </row>
        <row r="202">
          <cell r="B202" t="str">
            <v xml:space="preserve">  BODY/TRIM : 304LSS/316LSS</v>
          </cell>
        </row>
        <row r="203">
          <cell r="B203" t="str">
            <v xml:space="preserve">  BONNET : STANDARD</v>
          </cell>
        </row>
        <row r="204">
          <cell r="B204" t="str">
            <v xml:space="preserve">  FLANGE RATING : ANSI,RF</v>
          </cell>
        </row>
        <row r="205">
          <cell r="B205" t="str">
            <v xml:space="preserve">  ELEC. ENCL.: INTRINSIC SAFETY (Exi)</v>
          </cell>
        </row>
        <row r="206">
          <cell r="B206" t="str">
            <v xml:space="preserve">  ACCESSORIES :</v>
          </cell>
        </row>
        <row r="207">
          <cell r="B207" t="str">
            <v xml:space="preserve">    - I/P POSITIONER</v>
          </cell>
        </row>
        <row r="208">
          <cell r="B208" t="str">
            <v xml:space="preserve">    - AIR SET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 refreshError="1"/>
      <sheetData sheetId="6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지점중"/>
      <sheetName val="결산대"/>
      <sheetName val="Sheet1 (3)"/>
      <sheetName val="선급금 (2)"/>
      <sheetName val="Sheet1 (2)"/>
      <sheetName val="당좌예금"/>
      <sheetName val="공사집계"/>
      <sheetName val="개시전표"/>
      <sheetName val="수입"/>
      <sheetName val="외자재 현황"/>
      <sheetName val="crude.SLAB RE-bar"/>
      <sheetName val="CRUDE RE-bar"/>
      <sheetName val="견적"/>
      <sheetName val="INSTR"/>
      <sheetName val="w't table"/>
      <sheetName val="KP1590_E"/>
      <sheetName val="97 사업추정(WEKI)"/>
      <sheetName val="공사비 내역 (가)"/>
      <sheetName val="TT 매입율"/>
      <sheetName val="eq_data"/>
      <sheetName val="간접비총괄 (2)"/>
      <sheetName val="DESCRIPTION"/>
      <sheetName val="Tender"/>
      <sheetName val="변수데이타"/>
      <sheetName val="TUAS"/>
      <sheetName val="간접비 총괄표"/>
      <sheetName val="집계표"/>
      <sheetName val="plan&amp;section of foundation"/>
      <sheetName val="design load"/>
      <sheetName val="working load at the btm ft."/>
      <sheetName val="stability check"/>
      <sheetName val="design criteria"/>
      <sheetName val="IT-BAT"/>
      <sheetName val="BQ List"/>
      <sheetName val="비교"/>
      <sheetName val="COMPARISON TABLE"/>
      <sheetName val="영업소실적"/>
      <sheetName val="24.보증금(전신전화가입권)"/>
      <sheetName val="M1"/>
      <sheetName val="BRICK"/>
      <sheetName val="총괄표"/>
      <sheetName val="자료"/>
      <sheetName val="Details"/>
      <sheetName val="상반기손익차2총괄"/>
      <sheetName val="9-1차이내역"/>
      <sheetName val="95삼성급(본사)"/>
      <sheetName val="개시대사 (2)"/>
      <sheetName val="VA_code"/>
      <sheetName val="지역-가마감"/>
      <sheetName val="1-11조직표"/>
      <sheetName val="수리결과"/>
      <sheetName val="영업.일1"/>
      <sheetName val="VC2 8.98"/>
      <sheetName val="적용기준"/>
      <sheetName val="설계조건"/>
      <sheetName val="CIV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Proj TIC - Std Imp"/>
      <sheetName val="Project Metrics"/>
      <sheetName val="Unit Costs - Std Imp"/>
      <sheetName val="Unit MH - Std Imp"/>
      <sheetName val="استخراج"/>
      <sheetName val="BQMPALOC"/>
      <sheetName val="갑지"/>
      <sheetName val="Sheet1_(3)"/>
      <sheetName val="선급금_(2)"/>
      <sheetName val="Sheet1_(2)"/>
      <sheetName val="외자재_현황"/>
      <sheetName val="97_사업추정(WEKI)"/>
      <sheetName val="공사비_내역_(가)"/>
      <sheetName val="TT_매입율"/>
      <sheetName val="w't_table"/>
      <sheetName val="crude_SLAB_RE-bar"/>
      <sheetName val="CRUDE_RE-bar"/>
      <sheetName val="간접비총괄_(2)"/>
      <sheetName val="간접비_총괄표"/>
      <sheetName val="BQ_List"/>
      <sheetName val="COMPARISON_TABLE"/>
      <sheetName val="24_보증금(전신전화가입권)"/>
      <sheetName val="공통부대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현재"/>
      <sheetName val=" AC UPS Load Profile-SS 400,401"/>
      <sheetName val="손익차9월2"/>
      <sheetName val="Summary(PO)"/>
      <sheetName val="DropBox"/>
      <sheetName val="LOAD"/>
      <sheetName val="su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목차"/>
      <sheetName val="현안문제1"/>
      <sheetName val="정산표2"/>
      <sheetName val="세무대책3-1)"/>
      <sheetName val="납부세액3-2)"/>
      <sheetName val="절세대책3-3)"/>
      <sheetName val="조직표4-1)"/>
      <sheetName val="인원현황4-2)"/>
      <sheetName val="대리인비4-3)"/>
      <sheetName val="CPA4-4)"/>
      <sheetName val="계약_손익현황(참고)"/>
      <sheetName val="현지인인원구분(참고)"/>
      <sheetName val="신규공사"/>
      <sheetName val="차이-4"/>
      <sheetName val="합작법인-51"/>
      <sheetName val="완공공사-52"/>
      <sheetName val="CLAIM-54"/>
      <sheetName val="PEND-57"/>
      <sheetName val="B"/>
      <sheetName val="손익차9월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_code"/>
      <sheetName val="Sheet1"/>
      <sheetName val="Sheet1 (2)"/>
      <sheetName val="집계표"/>
      <sheetName val="개시대사 (2)"/>
      <sheetName val="CAT_5"/>
      <sheetName val="95삼성급(본사)"/>
      <sheetName val="Elec_BOQ"/>
      <sheetName val="95삼성급_본사_"/>
      <sheetName val="valve_code"/>
      <sheetName val="Titles"/>
      <sheetName val="Information"/>
      <sheetName val="전차선로 물량표"/>
      <sheetName val="MC-1"/>
      <sheetName val="ASA"/>
      <sheetName val="B31.1"/>
      <sheetName val="PSIZE"/>
      <sheetName val="LV CDB"/>
      <sheetName val="MixBed"/>
      <sheetName val="CondPol"/>
      <sheetName val="BQ"/>
      <sheetName val="Sheet1_(2)"/>
      <sheetName val="개시대사_(2)"/>
      <sheetName val="LV_CDB"/>
      <sheetName val="교각1"/>
      <sheetName val="7.6.3(B) UG Piping"/>
      <sheetName val="CB"/>
      <sheetName val="원가현황"/>
      <sheetName val="영업소실적"/>
      <sheetName val="EQUIP-H"/>
      <sheetName val="경제성분석"/>
      <sheetName val="DATA"/>
      <sheetName val="단가 및 재료비"/>
      <sheetName val="data_dci"/>
      <sheetName val="data_mci"/>
      <sheetName val="behind"/>
      <sheetName val="Main"/>
      <sheetName val="XZLC004_PART2"/>
      <sheetName val="ABAD"/>
      <sheetName val="A1기성"/>
      <sheetName val="BGT"/>
      <sheetName val="CHAVOSH"/>
      <sheetName val="ZAR SAZ"/>
      <sheetName val="Sheet6"/>
      <sheetName val="Pipe"/>
      <sheetName val="Valve"/>
      <sheetName val="Specialty Item"/>
      <sheetName val="eq_data"/>
      <sheetName val="기계내역서"/>
      <sheetName val="Sum by Departments (3)"/>
      <sheetName val="Data Complete (2)"/>
      <sheetName val="내역"/>
      <sheetName val="´çÃÊ"/>
      <sheetName val="작성기준"/>
      <sheetName val="Sheet1_(2)1"/>
      <sheetName val="개시대사_(2)1"/>
      <sheetName val="전차선로_물량표"/>
      <sheetName val="B31_1"/>
      <sheetName val="LV_CDB1"/>
      <sheetName val="7_6_3(B)_UG_Piping"/>
      <sheetName val="단가_및_재료비"/>
      <sheetName val="ZAR_SAZ"/>
      <sheetName val="Specialty_Item"/>
      <sheetName val="GTG TR"/>
      <sheetName val="내역서"/>
      <sheetName val="I一般比"/>
      <sheetName val="N賃率-職"/>
      <sheetName val="포장복구집계"/>
      <sheetName val="CAMP - CONSTRUCTION"/>
      <sheetName val="주관사업"/>
      <sheetName val="TDC_ADMIN"/>
      <sheetName val="Requisitions"/>
      <sheetName val="ICDS"/>
      <sheetName val="노임단가"/>
      <sheetName val="DRUM"/>
      <sheetName val="상반기손익차2총괄"/>
      <sheetName val="Activity(new)"/>
      <sheetName val="TIE-IN"/>
      <sheetName val="RENUN"/>
      <sheetName val="수입"/>
      <sheetName val="소일위대가코드표"/>
      <sheetName val="간선계산"/>
      <sheetName val="jobhist"/>
      <sheetName val="공문"/>
      <sheetName val="Sheet2"/>
      <sheetName val="요약배부"/>
      <sheetName val="공사비 내역 (가)"/>
      <sheetName val="LEGEND"/>
      <sheetName val="PARAMETER"/>
      <sheetName val="Sheet5"/>
      <sheetName val="Z"/>
      <sheetName val="환율표"/>
      <sheetName val="EQUIPMENT"/>
      <sheetName val="choose"/>
      <sheetName val="Sheet1_(2)2"/>
      <sheetName val="개시대사_(2)2"/>
      <sheetName val="전차선로_물량표1"/>
      <sheetName val="B31_11"/>
      <sheetName val="LV_CDB2"/>
      <sheetName val="7_6_3(B)_UG_Piping1"/>
      <sheetName val="PRICE-COMP"/>
      <sheetName val="4.TANK Farm"/>
      <sheetName val="공사내역"/>
      <sheetName val="Insts"/>
      <sheetName val="LOAD 5 Wind "/>
      <sheetName val="Assadsaid"/>
      <sheetName val="BQ (rev2)"/>
      <sheetName val="KCC"/>
      <sheetName val="Kettaneh"/>
      <sheetName val="MMG(2)"/>
      <sheetName val="ExchRate"/>
      <sheetName val="IMPEADENCE MAP 취수장"/>
      <sheetName val="Macro3"/>
      <sheetName val="기초자료"/>
      <sheetName val="INSTR"/>
      <sheetName val="Rates"/>
      <sheetName val="B31.1_Table"/>
      <sheetName val="ASME_Size"/>
      <sheetName val="unit"/>
      <sheetName val="ABUT수량-A1"/>
      <sheetName val="general"/>
      <sheetName val="A1"/>
      <sheetName val="A4"/>
      <sheetName val="용소리교"/>
      <sheetName val="부표총괄"/>
      <sheetName val="암거공"/>
      <sheetName val="BLDG_DCI"/>
      <sheetName val="BLDG_MCI"/>
      <sheetName val="BE.4"/>
      <sheetName val="4.Footing Design"/>
      <sheetName val="2.Load Calculation"/>
      <sheetName val="3.Check For Stability"/>
      <sheetName val="Curves"/>
      <sheetName val="Tables"/>
      <sheetName val="견적집계표"/>
      <sheetName val="So lieu chung"/>
      <sheetName val="기준액"/>
      <sheetName val="Basic_Info"/>
      <sheetName val="Master"/>
      <sheetName val="단중표"/>
      <sheetName val="실행내역"/>
      <sheetName val="산근"/>
      <sheetName val="입찰안"/>
      <sheetName val="Summary Sheets"/>
      <sheetName val="총괄표"/>
      <sheetName val="미드수량"/>
      <sheetName val="ITEM-LIST"/>
      <sheetName val="VLOOKUP"/>
      <sheetName val="cal-foamglass"/>
      <sheetName val="뜃맟뭁돽띿맟?-BLDG"/>
      <sheetName val="SPEC-DT2"/>
      <sheetName val="Basic"/>
      <sheetName val="품셈표"/>
      <sheetName val="Sheet1_(2)3"/>
      <sheetName val="7_6_3(B)_UG_Piping2"/>
      <sheetName val="개시대사_(2)3"/>
      <sheetName val="LV_CDB3"/>
      <sheetName val="전차선로_물량표2"/>
      <sheetName val="B31_12"/>
      <sheetName val="단가_및_재료비1"/>
      <sheetName val="ZAR_SAZ1"/>
      <sheetName val="Specialty_Item1"/>
      <sheetName val="Sum_by_Departments_(3)"/>
      <sheetName val="Data_Complete_(2)"/>
      <sheetName val="GTG_TR"/>
      <sheetName val="CAMP_-_CONSTRUCTION"/>
      <sheetName val="So_lieu_chung"/>
      <sheetName val="공사비_내역_(가)"/>
      <sheetName val="float&amp;bear"/>
      <sheetName val="305c-101"/>
      <sheetName val="15100"/>
      <sheetName val="뜃맟뭁돽띿맟_-BLDG"/>
      <sheetName val="MCC제원"/>
      <sheetName val="PSV"/>
      <sheetName val="Gasoline Treating Sec."/>
      <sheetName val="PBS"/>
      <sheetName val="CLAY"/>
      <sheetName val="Compiled BoQ"/>
      <sheetName val="VS배관내역서"/>
      <sheetName val="4.1-Cable Trench"/>
      <sheetName val="Cash2"/>
      <sheetName val="차수"/>
      <sheetName val="x"/>
      <sheetName val="Finansal tamamlanma Eğrisi"/>
      <sheetName val="ELEC_DCI"/>
      <sheetName val="INST_DCI"/>
      <sheetName val="97 사업추정(WEKI)"/>
      <sheetName val="9-1차이내역"/>
      <sheetName val="SHUTDOWN VALVE"/>
      <sheetName val="Scope"/>
      <sheetName val="BE_4"/>
      <sheetName val="LOAD_5_Wind_"/>
      <sheetName val="BQ_(rev2)"/>
      <sheetName val="IMPEADENCE_MAP_취수장"/>
      <sheetName val="4_TANK_Farm"/>
      <sheetName val="CONS. EQUIP.  "/>
      <sheetName val="Sheet1_(2)4"/>
      <sheetName val="개시대사_(2)4"/>
      <sheetName val="LV_CDB4"/>
      <sheetName val="전차선로_물량표3"/>
      <sheetName val="7_6_3(B)_UG_Piping3"/>
      <sheetName val="B31_13"/>
      <sheetName val="단가_및_재료비2"/>
      <sheetName val="Specialty_Item2"/>
      <sheetName val="ZAR_SAZ2"/>
      <sheetName val="Sum_by_Departments_(3)1"/>
      <sheetName val="Data_Complete_(2)1"/>
      <sheetName val="GTG_TR1"/>
      <sheetName val="CAMP_-_CONSTRUCTION1"/>
      <sheetName val="공사비_내역_(가)1"/>
      <sheetName val="BE_41"/>
      <sheetName val="4_Footing_Design"/>
      <sheetName val="2_Load_Calculation"/>
      <sheetName val="3_Check_For_Stability"/>
      <sheetName val="4_TANK_Farm1"/>
      <sheetName val="LOAD_5_Wind_1"/>
      <sheetName val="BQ_(rev2)1"/>
      <sheetName val="Summary_Sheets"/>
      <sheetName val="IMPEADENCE_MAP_취수장1"/>
      <sheetName val="B31_1_Table"/>
      <sheetName val="CONS__EQUIP___"/>
      <sheetName val="So_lieu_chung1"/>
      <sheetName val="Gasoline_Treating_Sec_"/>
      <sheetName val="SHUTDOWN_VALVE"/>
      <sheetName val="Compiled_BoQ"/>
      <sheetName val="4_1-Cable_Trench"/>
      <sheetName val="Finansal_tamamlanma_Eğrisi"/>
      <sheetName val="97_사업추정(WEKI)"/>
      <sheetName val="Sheet1_(2)5"/>
      <sheetName val="LV_CDB5"/>
      <sheetName val="개시대사_(2)5"/>
      <sheetName val="전차선로_물량표4"/>
      <sheetName val="B31_14"/>
      <sheetName val="7_6_3(B)_UG_Piping4"/>
      <sheetName val="단가_및_재료비3"/>
      <sheetName val="ZAR_SAZ3"/>
      <sheetName val="Specialty_Item3"/>
      <sheetName val="Sum_by_Departments_(3)2"/>
      <sheetName val="Data_Complete_(2)2"/>
      <sheetName val="CAMP_-_CONSTRUCTION2"/>
      <sheetName val="GTG_TR2"/>
      <sheetName val="공사비_내역_(가)2"/>
      <sheetName val="B31_1_Table1"/>
      <sheetName val="4_Footing_Design1"/>
      <sheetName val="2_Load_Calculation1"/>
      <sheetName val="3_Check_For_Stability1"/>
      <sheetName val="So_lieu_chung2"/>
      <sheetName val="Summary_Sheets1"/>
      <sheetName val="Gasoline_Treating_Sec_1"/>
      <sheetName val="SHUTDOWN_VALVE1"/>
      <sheetName val="Compiled_BoQ1"/>
      <sheetName val="4_1-Cable_Trench1"/>
      <sheetName val="Finansal_tamamlanma_Eğrisi1"/>
      <sheetName val="97_사업추정(WEKI)1"/>
      <sheetName val="TOT"/>
      <sheetName val="손익차9월2"/>
      <sheetName val="inter"/>
      <sheetName val="Cal"/>
      <sheetName val="화산경계"/>
      <sheetName val="5"/>
      <sheetName val="BHIT_hrs_dd"/>
      <sheetName val="pri-com"/>
    </sheetNames>
    <sheetDataSet>
      <sheetData sheetId="0" refreshError="1">
        <row r="1">
          <cell r="Q1" t="str">
            <v>A1</v>
          </cell>
          <cell r="R1">
            <v>300</v>
          </cell>
        </row>
        <row r="2">
          <cell r="Q2" t="str">
            <v>A2</v>
          </cell>
          <cell r="R2">
            <v>180</v>
          </cell>
        </row>
        <row r="3">
          <cell r="Q3" t="str">
            <v>A3</v>
          </cell>
          <cell r="R3">
            <v>180</v>
          </cell>
        </row>
        <row r="4">
          <cell r="Q4" t="str">
            <v>A5</v>
          </cell>
          <cell r="R4">
            <v>180</v>
          </cell>
        </row>
        <row r="5">
          <cell r="Q5" t="str">
            <v>A6</v>
          </cell>
          <cell r="R5">
            <v>300</v>
          </cell>
        </row>
        <row r="6">
          <cell r="Q6" t="str">
            <v>A7</v>
          </cell>
          <cell r="R6">
            <v>750</v>
          </cell>
        </row>
        <row r="7">
          <cell r="Q7" t="str">
            <v>A8</v>
          </cell>
          <cell r="R7">
            <v>750</v>
          </cell>
        </row>
        <row r="8">
          <cell r="Q8" t="str">
            <v>A9</v>
          </cell>
          <cell r="R8">
            <v>750</v>
          </cell>
        </row>
        <row r="9">
          <cell r="Q9" t="str">
            <v>A10</v>
          </cell>
          <cell r="R9">
            <v>300</v>
          </cell>
        </row>
        <row r="10">
          <cell r="Q10" t="str">
            <v>A11</v>
          </cell>
          <cell r="R10">
            <v>300</v>
          </cell>
        </row>
        <row r="11">
          <cell r="Q11" t="str">
            <v>A12</v>
          </cell>
          <cell r="R11">
            <v>300</v>
          </cell>
        </row>
        <row r="12">
          <cell r="Q12" t="str">
            <v>A13</v>
          </cell>
          <cell r="R12">
            <v>150</v>
          </cell>
        </row>
        <row r="13">
          <cell r="Q13" t="str">
            <v>B1</v>
          </cell>
          <cell r="R13">
            <v>750</v>
          </cell>
        </row>
        <row r="14">
          <cell r="Q14" t="str">
            <v>B2</v>
          </cell>
          <cell r="R14">
            <v>750</v>
          </cell>
        </row>
        <row r="15">
          <cell r="Q15" t="str">
            <v>B3</v>
          </cell>
          <cell r="R15">
            <v>700</v>
          </cell>
        </row>
        <row r="16">
          <cell r="Q16" t="str">
            <v>B4</v>
          </cell>
          <cell r="R16">
            <v>700</v>
          </cell>
        </row>
        <row r="17">
          <cell r="Q17" t="str">
            <v>B5</v>
          </cell>
          <cell r="R17">
            <v>700</v>
          </cell>
        </row>
        <row r="18">
          <cell r="Q18" t="str">
            <v>B6</v>
          </cell>
          <cell r="R18">
            <v>750</v>
          </cell>
        </row>
        <row r="19">
          <cell r="Q19" t="str">
            <v>B7</v>
          </cell>
          <cell r="R19">
            <v>750</v>
          </cell>
        </row>
        <row r="20">
          <cell r="Q20" t="str">
            <v>B8</v>
          </cell>
          <cell r="R20">
            <v>750</v>
          </cell>
        </row>
        <row r="21">
          <cell r="Q21" t="str">
            <v>B9</v>
          </cell>
          <cell r="R21">
            <v>750</v>
          </cell>
        </row>
        <row r="22">
          <cell r="Q22" t="str">
            <v>B10</v>
          </cell>
          <cell r="R22">
            <v>750</v>
          </cell>
        </row>
        <row r="23">
          <cell r="Q23" t="str">
            <v>C1</v>
          </cell>
          <cell r="R23">
            <v>750</v>
          </cell>
        </row>
        <row r="24">
          <cell r="Q24" t="str">
            <v>C2</v>
          </cell>
          <cell r="R24">
            <v>750</v>
          </cell>
        </row>
        <row r="25">
          <cell r="Q25" t="str">
            <v>C3</v>
          </cell>
          <cell r="R25">
            <v>750</v>
          </cell>
        </row>
        <row r="26">
          <cell r="Q26" t="str">
            <v>C4</v>
          </cell>
          <cell r="R26">
            <v>750</v>
          </cell>
        </row>
        <row r="27">
          <cell r="Q27" t="str">
            <v>C5</v>
          </cell>
          <cell r="R27">
            <v>750</v>
          </cell>
        </row>
        <row r="28">
          <cell r="Q28" t="str">
            <v>D1</v>
          </cell>
          <cell r="R28">
            <v>750</v>
          </cell>
        </row>
        <row r="29">
          <cell r="Q29" t="str">
            <v>D2</v>
          </cell>
          <cell r="R29">
            <v>750</v>
          </cell>
        </row>
        <row r="30">
          <cell r="Q30" t="str">
            <v>D3</v>
          </cell>
          <cell r="R30">
            <v>750</v>
          </cell>
        </row>
        <row r="31">
          <cell r="Q31" t="str">
            <v>D4</v>
          </cell>
          <cell r="R31">
            <v>750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LIST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Cover"/>
      <sheetName val="산출기준"/>
      <sheetName val="CABLE"/>
      <sheetName val="JUNCTION BOX"/>
      <sheetName val="TRAY"/>
      <sheetName val="PIPE"/>
      <sheetName val="PIPE FITTING"/>
      <sheetName val="TUBE"/>
      <sheetName val="TUBE FITTING"/>
      <sheetName val="CABLE GLAND"/>
      <sheetName val="VALVE"/>
      <sheetName val="MCT"/>
      <sheetName val="SUPPORT"/>
      <sheetName val="예산서"/>
      <sheetName val="fdn_bm_pro"/>
      <sheetName val="P3"/>
      <sheetName val="전기일위대가"/>
      <sheetName val="수입"/>
      <sheetName val="Sheet1"/>
      <sheetName val="갑지(추정)"/>
      <sheetName val="CAT_5"/>
      <sheetName val="CONS. EQUIP.  "/>
      <sheetName val="투입실적"/>
      <sheetName val="A"/>
      <sheetName val="일위대가"/>
      <sheetName val="TOEC"/>
      <sheetName val="T1"/>
      <sheetName val="VA_code"/>
      <sheetName val="가시설공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REINF."/>
      <sheetName val="SKETCH"/>
      <sheetName val="LOADS"/>
      <sheetName val="CHECK1"/>
      <sheetName val="기별수량산출서"/>
      <sheetName val="출력X"/>
      <sheetName val="ELEC_DCI"/>
      <sheetName val="INST_DCI"/>
      <sheetName val="PRO_A"/>
      <sheetName val="DWG"/>
      <sheetName val="ELEC_MCI"/>
      <sheetName val="MAIN"/>
      <sheetName val="INST_MCI"/>
      <sheetName val="MECH_MCI"/>
      <sheetName val="PRO"/>
      <sheetName val="을"/>
      <sheetName val="환율표"/>
      <sheetName val="ITB COST"/>
      <sheetName val="건축"/>
      <sheetName val="SPEC"/>
      <sheetName val="ACTDATA"/>
      <sheetName val="PIP"/>
      <sheetName val="토공"/>
      <sheetName val="TL,Termination"/>
      <sheetName val="Cable,Conduit"/>
      <sheetName val="WORK"/>
      <sheetName val="97 사업추정(WEKI)"/>
      <sheetName val="h-013211-2"/>
      <sheetName val="#REF"/>
      <sheetName val="인건비"/>
      <sheetName val="보온 회사분"/>
      <sheetName val="예산"/>
      <sheetName val="FACTOR"/>
      <sheetName val="90EL JACKET"/>
      <sheetName val="BAND(200)"/>
      <sheetName val="보온재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JUNCTION_BOX"/>
      <sheetName val="PIPE_FITTING"/>
      <sheetName val="TUBE_FITTING"/>
      <sheetName val="CABLE_GLAND"/>
      <sheetName val="BLR_1"/>
      <sheetName val="CONS__EQUIP___"/>
      <sheetName val="REINF_"/>
      <sheetName val="부표총괄"/>
      <sheetName val="소비자가"/>
      <sheetName val="Cost control"/>
      <sheetName val="Elect"/>
      <sheetName val="FIRE FIGHTING"/>
      <sheetName val="내역"/>
      <sheetName val="내역서"/>
      <sheetName val="Macro(전선)"/>
      <sheetName val="Tipo Terzi"/>
      <sheetName val="plan&amp;section of foundation"/>
      <sheetName val="design criteria"/>
      <sheetName val="DESCRIPTION"/>
      <sheetName val="BM DATA SHEET"/>
      <sheetName val="배관"/>
      <sheetName val="9-1차이내역"/>
      <sheetName val="주관사업"/>
      <sheetName val="요약배부"/>
      <sheetName val="CIVIL"/>
      <sheetName val="도"/>
      <sheetName val="Y-WORK"/>
      <sheetName val="DATA"/>
      <sheetName val="1.설계기준"/>
      <sheetName val="Resource"/>
      <sheetName val="N+"/>
      <sheetName val="PRC-SUM"/>
      <sheetName val="Dati"/>
      <sheetName val="DN"/>
      <sheetName val="Fluidi"/>
      <sheetName val="Temperatura"/>
      <sheetName val="Mat Stelo"/>
      <sheetName val="PBS"/>
      <sheetName val="costing_CV"/>
      <sheetName val="costing_ESDV"/>
      <sheetName val="costing_FE"/>
      <sheetName val="costing_Misc"/>
      <sheetName val="costing_MOV"/>
      <sheetName val="costing_Press"/>
      <sheetName val="DWTables"/>
      <sheetName val="CHK_OUT_BM_090914"/>
      <sheetName val="Unit SUM"/>
      <sheetName val="BB2현대건설견적"/>
      <sheetName val="SHL"/>
      <sheetName val="95삼성급(본사)"/>
      <sheetName val="R2_0908"/>
      <sheetName val="BAP"/>
      <sheetName val="환율"/>
      <sheetName val="working load at the btm ft."/>
      <sheetName val="stability check"/>
      <sheetName val="BREAKDOWN"/>
      <sheetName val="HRS"/>
      <sheetName val="제품현황"/>
      <sheetName val="pile bearing capa &amp; arrenge"/>
      <sheetName val="design load"/>
      <sheetName val="oper_load"/>
      <sheetName val="evap"/>
      <sheetName val="AILC004"/>
      <sheetName val="조경"/>
      <sheetName val="Total"/>
      <sheetName val="Tables"/>
      <sheetName val="Page2"/>
      <sheetName val="DATA1"/>
      <sheetName val="CODE"/>
      <sheetName val="Sheet2"/>
      <sheetName val="bill 2"/>
      <sheetName val="Condition"/>
      <sheetName val="special item 양진규 작성"/>
      <sheetName val="OUTER AREA(겹침없음)"/>
      <sheetName val="JACKET(50,50)"/>
      <sheetName val="FLANGE"/>
      <sheetName val="MOTOR"/>
      <sheetName val="CAL"/>
      <sheetName val="Break Dw"/>
      <sheetName val="TblPriceDB"/>
      <sheetName val="방유제용량 계산서"/>
      <sheetName val="Material Specification"/>
      <sheetName val="dnc4"/>
      <sheetName val="정부노임단가"/>
      <sheetName val="인원계획"/>
      <sheetName val="표지 (2)"/>
      <sheetName val="SILICATE"/>
      <sheetName val="Sch.6"/>
      <sheetName val="CAPVC"/>
      <sheetName val="대비내역"/>
      <sheetName val="lookup"/>
      <sheetName val="세금자료"/>
      <sheetName val="경제지표"/>
      <sheetName val="자료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개시대사 (2)"/>
      <sheetName val="집계표"/>
      <sheetName val="A-4"/>
      <sheetName val="data_dci"/>
      <sheetName val="data_mci"/>
      <sheetName val="behind"/>
      <sheetName val="UNSTEADY"/>
      <sheetName val="단가정보"/>
      <sheetName val="INPUT DATA"/>
      <sheetName val="CSTSUM"/>
      <sheetName val="LD-OVERALL"/>
      <sheetName val="BOQ"/>
      <sheetName val="7_5_1(A)_Data1"/>
      <sheetName val="7_5_1(B)_BOQ_Breakdown1"/>
      <sheetName val="7_5_1(C)_Scope1"/>
      <sheetName val="7_5_1(D)_Basis1"/>
      <sheetName val="7_5_1(E)_Allowance1"/>
      <sheetName val="7_5_2_BOQ_Summary1"/>
      <sheetName val="7_5_3_BOQ1"/>
      <sheetName val="A__Erec_BOQ(Shop)1"/>
      <sheetName val="B__Erec_BOQ(Field)1"/>
      <sheetName val="C__Surface_Protection1"/>
      <sheetName val="A__Erec_BOQ(Shop)_(2)1"/>
      <sheetName val="B__Erec_BOQ(Field)_(2)1"/>
      <sheetName val="C__Surf_Protection1"/>
      <sheetName val="Attachment_#11"/>
      <sheetName val="Attachment_#21"/>
      <sheetName val="302_C11"/>
      <sheetName val="302_C21"/>
      <sheetName val="SUPPLY_(2)1"/>
      <sheetName val="RETURN_(2)1"/>
      <sheetName val="303_(2)1"/>
      <sheetName val="308_(2)1"/>
      <sheetName val="309_(2)1"/>
      <sheetName val="JUNCTION_BOX1"/>
      <sheetName val="PIPE_FITTING1"/>
      <sheetName val="TUBE_FITTING1"/>
      <sheetName val="CABLE_GLAND1"/>
      <sheetName val="CONS__EQUIP___1"/>
      <sheetName val="BLR_11"/>
      <sheetName val="REINF_1"/>
      <sheetName val="ITB_COST"/>
      <sheetName val="97_사업추정(WEKI)"/>
      <sheetName val="Cost_control"/>
      <sheetName val="90EL_JACKET"/>
      <sheetName val="보온_회사분"/>
      <sheetName val="FIRE_FIGHTING"/>
      <sheetName val="7_5_1(A)_Data2"/>
      <sheetName val="7_5_1(B)_BOQ_Breakdown2"/>
      <sheetName val="7_5_1(C)_Scope2"/>
      <sheetName val="7_5_1(D)_Basis2"/>
      <sheetName val="7_5_1(E)_Allowance2"/>
      <sheetName val="7_5_2_BOQ_Summary2"/>
      <sheetName val="7_5_3_BOQ2"/>
      <sheetName val="A__Erec_BOQ(Shop)2"/>
      <sheetName val="B__Erec_BOQ(Field)2"/>
      <sheetName val="C__Surface_Protection2"/>
      <sheetName val="A__Erec_BOQ(Shop)_(2)2"/>
      <sheetName val="B__Erec_BOQ(Field)_(2)2"/>
      <sheetName val="C__Surf_Protection2"/>
      <sheetName val="Attachment_#12"/>
      <sheetName val="Attachment_#22"/>
      <sheetName val="302_C12"/>
      <sheetName val="302_C22"/>
      <sheetName val="SUPPLY_(2)2"/>
      <sheetName val="RETURN_(2)2"/>
      <sheetName val="303_(2)2"/>
      <sheetName val="308_(2)2"/>
      <sheetName val="309_(2)2"/>
      <sheetName val="JUNCTION_BOX2"/>
      <sheetName val="PIPE_FITTING2"/>
      <sheetName val="TUBE_FITTING2"/>
      <sheetName val="CABLE_GLAND2"/>
      <sheetName val="CONS__EQUIP___2"/>
      <sheetName val="BLR_12"/>
      <sheetName val="REINF_2"/>
      <sheetName val="ITB_COST1"/>
      <sheetName val="97_사업추정(WEKI)1"/>
      <sheetName val="Cost_control1"/>
      <sheetName val="90EL_JACKET1"/>
      <sheetName val="보온_회사분1"/>
      <sheetName val="FIRE_FIGHTING1"/>
      <sheetName val="NDOCBT"/>
      <sheetName val="Summary"/>
      <sheetName val="Definitions"/>
      <sheetName val="Schedule(1)"/>
      <sheetName val="Fab. Skid"/>
      <sheetName val="Sheet5"/>
      <sheetName val="Mat_Stelo"/>
      <sheetName val="Unit_SUM"/>
      <sheetName val="입고장부 (4)"/>
      <sheetName val="공통비"/>
      <sheetName val="FEUILLE INTERNE"/>
      <sheetName val="설계조건"/>
      <sheetName val="조명시설"/>
      <sheetName val="인원현황"/>
      <sheetName val="역T형"/>
      <sheetName val="평3"/>
      <sheetName val="combi(wall)"/>
      <sheetName val="L V Separator"/>
      <sheetName val="Sheet10"/>
      <sheetName val="변수적용"/>
      <sheetName val="Tipo_Terzi"/>
      <sheetName val="plan&amp;section_of_foundation"/>
      <sheetName val="design_criteria"/>
      <sheetName val="BM_DATA_SHEET"/>
      <sheetName val="IBL-C"/>
      <sheetName val="sheeet2"/>
      <sheetName val="仪表分析表"/>
      <sheetName val="IT-BAT"/>
      <sheetName val="sum"/>
      <sheetName val="CAMP - CONSTRUCTION"/>
      <sheetName val="BLDG_MCI"/>
      <sheetName val="e4-6-%"/>
      <sheetName val="EG-09"/>
      <sheetName val="총괄표양식"/>
      <sheetName val="차량운영비"/>
      <sheetName val="세부내역"/>
      <sheetName val="E_Rate PM"/>
      <sheetName val="Schedule 2 and 3"/>
      <sheetName val="건축내역"/>
      <sheetName val="COMPARISON TABLE"/>
      <sheetName val="심사계산"/>
      <sheetName val="심사물량"/>
      <sheetName val="input"/>
      <sheetName val="CAL."/>
      <sheetName val="BOQ건축"/>
      <sheetName val="견적의뢰"/>
      <sheetName val="BSD (2)"/>
      <sheetName val="KLHT"/>
      <sheetName val="General"/>
      <sheetName val="Menus"/>
      <sheetName val="단가"/>
      <sheetName val="TRAY BM"/>
      <sheetName val="Set"/>
      <sheetName val="LABTOTAL"/>
      <sheetName val="Contents"/>
      <sheetName val="Summary Sheets"/>
      <sheetName val="Sheet6"/>
      <sheetName val="eq_data _x0000__x0000__x0000__x0000_"/>
      <sheetName val="갑지"/>
      <sheetName val="Design"/>
      <sheetName val="RFP002"/>
      <sheetName val="기둥(원형)"/>
      <sheetName val="기계공사비집계(원안)"/>
      <sheetName val="10현장조직"/>
      <sheetName val="Graph (LGEN)"/>
      <sheetName val="out_prog"/>
      <sheetName val="선적schedule (2)"/>
      <sheetName val="원본"/>
      <sheetName val="11.자재단가"/>
      <sheetName val="산근"/>
      <sheetName val="을지"/>
      <sheetName val="Cover sheet"/>
      <sheetName val="가도공"/>
      <sheetName val="예산M11A"/>
      <sheetName val="INSTR"/>
      <sheetName val="공사비_NDE"/>
      <sheetName val="OUT"/>
      <sheetName val="직원동원계획"/>
      <sheetName val="영업소실적"/>
      <sheetName val="Sheet3"/>
      <sheetName val="EE-PROP"/>
      <sheetName val="공사"/>
      <sheetName val="MyLists"/>
      <sheetName val="영업2"/>
      <sheetName val="영업3"/>
      <sheetName val="Titel"/>
      <sheetName val="w't table"/>
      <sheetName val="TB-내역서"/>
      <sheetName val="실행내역"/>
      <sheetName val="Code_Magics"/>
      <sheetName val="건축집계"/>
      <sheetName val="품셈1-17"/>
      <sheetName val="Imp-Data"/>
      <sheetName val="PROJECT"/>
      <sheetName val="1 OF 9"/>
      <sheetName val="#3E1_GCR"/>
      <sheetName val="대치판정"/>
      <sheetName val="1_설계기준"/>
      <sheetName val="bill_2"/>
      <sheetName val="NAMES"/>
      <sheetName val="NPC500"/>
      <sheetName val="표지"/>
      <sheetName val="데이타"/>
      <sheetName val="11"/>
      <sheetName val="작성기준"/>
      <sheetName val="Diainch"/>
      <sheetName val="한계원가"/>
      <sheetName val="품셈 "/>
      <sheetName val="PAINT"/>
      <sheetName val="방화도료"/>
      <sheetName val="plan&amp;section_of_foundation1"/>
      <sheetName val="design_criteria1"/>
      <sheetName val="Tipo_Terzi1"/>
      <sheetName val="BM_DATA_SHEET1"/>
      <sheetName val="Mat_Stelo1"/>
      <sheetName val="working_load_at_the_btm_ft_"/>
      <sheetName val="stability_check"/>
      <sheetName val="Unit_SUM1"/>
      <sheetName val="Break_Dw"/>
      <sheetName val="방유제용량_계산서"/>
      <sheetName val="INPUT_DATA"/>
      <sheetName val="special_item_양진규_작성"/>
      <sheetName val="OUTER_AREA(겹침없음)"/>
      <sheetName val="Material_Specification"/>
      <sheetName val="개시대사_(2)"/>
      <sheetName val="pile_bearing_capa_&amp;_arrenge"/>
      <sheetName val="design_load"/>
      <sheetName val="표지_(2)"/>
      <sheetName val="Sch_6"/>
      <sheetName val="Fab__Skid"/>
      <sheetName val="CAMP_OPERATING_COST"/>
      <sheetName val="PERSONNEL_SETUP"/>
      <sheetName val="LIST_OF_OFFICE_EQUIPMENT"/>
      <sheetName val="STAFF&amp;INDIRECT_SALARY_-_SUMMARY"/>
      <sheetName val="KOREAN_STAFF_SALARY_BREAKDOWN"/>
      <sheetName val="WELFARE_COST_-_SITE"/>
      <sheetName val="입고장부_(4)"/>
      <sheetName val="FEUILLE_INTERNE"/>
      <sheetName val="11_자재단가"/>
      <sheetName val="1_OF_9"/>
      <sheetName val="COMPARISON_TABLE"/>
      <sheetName val="L_V_Separator"/>
      <sheetName val="CAMP_-_CONSTRUCTION"/>
      <sheetName val="E_Rate_PM"/>
      <sheetName val="Schedule_2_and_3"/>
      <sheetName val="sc0314 Index"/>
      <sheetName val="종목코드"/>
      <sheetName val="COPING"/>
      <sheetName val="COA-17"/>
      <sheetName val="C-18"/>
      <sheetName val="NC"/>
      <sheetName val="Resource summary"/>
      <sheetName val="eq_data _x005f_x0000__x005f_x0000__x005f_x0000__x"/>
      <sheetName val="cashflow"/>
      <sheetName val="new급여T(4을-운전)"/>
      <sheetName val="SG"/>
      <sheetName val="Lists"/>
      <sheetName val="B"/>
      <sheetName val="SORTING"/>
      <sheetName val="배관물량 (STEEL)"/>
      <sheetName val="Sheet 1"/>
      <sheetName val="Offertemodel"/>
      <sheetName val="Data_Vert"/>
      <sheetName val="Rebar"/>
      <sheetName val="Data_ST"/>
      <sheetName val="Load"/>
      <sheetName val="Source"/>
      <sheetName val="Preface"/>
      <sheetName val="급여일반"/>
      <sheetName val="choose"/>
      <sheetName val="당초"/>
      <sheetName val="Quotation"/>
      <sheetName val="Info"/>
      <sheetName val="Tiburon"/>
      <sheetName val="CONTROL-100"/>
      <sheetName val="General Data"/>
      <sheetName val="PRICE COMP"/>
      <sheetName val="본지점중"/>
      <sheetName val="A(Rev.3)"/>
      <sheetName val="static.cal"/>
      <sheetName val="crude.SLAB RE-bar"/>
      <sheetName val="ANX3A65"/>
      <sheetName val="BOQ0822"/>
      <sheetName val="7.6.3(B) UG Piping"/>
      <sheetName val="Lup"/>
      <sheetName val="Information"/>
      <sheetName val="WORKER"/>
      <sheetName val="PRICE LIST"/>
      <sheetName val="PipWT"/>
      <sheetName val="IBASE"/>
      <sheetName val="내역(한신APT)"/>
      <sheetName val="현황CODE"/>
      <sheetName val="손익현황"/>
      <sheetName val="BOM_DWG"/>
      <sheetName val="회사99"/>
      <sheetName val="laroux"/>
      <sheetName val="7.5.2 BOQ Summary "/>
      <sheetName val="Perfiles"/>
      <sheetName val="PumpSpec"/>
      <sheetName val="Rekap A"/>
      <sheetName val="RFP009"/>
      <sheetName val="RFP007"/>
      <sheetName val="NP"/>
      <sheetName val="견적기준"/>
      <sheetName val="OD5000"/>
      <sheetName val="upah"/>
      <sheetName val="bahan"/>
      <sheetName val="measure"/>
      <sheetName val="paint mat"/>
      <sheetName val="工완성공사율"/>
      <sheetName val="IN"/>
      <sheetName val="TTL"/>
      <sheetName val="VE Estimate"/>
      <sheetName val="CALCULATION"/>
      <sheetName val="COMPRESSOR"/>
      <sheetName val="D=700"/>
      <sheetName val="TABLE2-2 OSBL-(SITE PREP)"/>
      <sheetName val="Units"/>
      <sheetName val="Instructions"/>
      <sheetName val="OFFER RATE"/>
      <sheetName val="Job Data"/>
      <sheetName val="Piping Design Data"/>
      <sheetName val="BCPAB"/>
      <sheetName val="Summary 2002"/>
      <sheetName val="98TSON4A"/>
      <sheetName val="Feuil2"/>
      <sheetName val="노임"/>
      <sheetName val="총괄표"/>
      <sheetName val="ANALYSER"/>
      <sheetName val="ASME B 36.10 M"/>
      <sheetName val="일위대가표"/>
      <sheetName val="D-3"/>
      <sheetName val="차액보증"/>
      <sheetName val="말뚝지지력산정"/>
      <sheetName val="단중표"/>
      <sheetName val="3.0 Overall Progress S-curve"/>
      <sheetName val="3-4 SPI"/>
      <sheetName val="VV-REV2"/>
      <sheetName val="-15.0"/>
      <sheetName val="부재치수입력"/>
      <sheetName val="BLDG_DCI"/>
      <sheetName val="BREAKDOWN(철거설치)"/>
      <sheetName val="맨홀수량산출"/>
      <sheetName val="SPEC-DT2"/>
      <sheetName val="TDC_ADMIN"/>
      <sheetName val="Requisitions"/>
      <sheetName val="ICDS"/>
      <sheetName val="연돌일위집계"/>
      <sheetName val="품셈"/>
      <sheetName val="Break Down"/>
      <sheetName val="BQ"/>
      <sheetName val="22-Plant"/>
      <sheetName val="Supervision List"/>
      <sheetName val="Equip_Pipe_Insulation"/>
      <sheetName val="BQ_Piping"/>
      <sheetName val="PROCURE"/>
      <sheetName val="labor"/>
      <sheetName val="Struct-Grass root"/>
      <sheetName val="단가비교"/>
      <sheetName val="Basic"/>
      <sheetName val="견적 집계"/>
      <sheetName val="PULLING SUPT등"/>
      <sheetName val="Sheet1 (2)"/>
      <sheetName val="SHIPPING"/>
      <sheetName val="DATE"/>
      <sheetName val="PAGE 1"/>
      <sheetName val="대공종"/>
      <sheetName val="_생산성_분석_체계_절차.xlsx"/>
      <sheetName val="Quantity"/>
      <sheetName val="General_Data"/>
      <sheetName val="PRICE_COMP"/>
      <sheetName val="A(Rev_3)"/>
      <sheetName val="단가비교(TOTAL)"/>
      <sheetName val="General_Data1"/>
      <sheetName val="PRICE_COMP1"/>
      <sheetName val="A(Rev_3)1"/>
      <sheetName val="pri-com"/>
      <sheetName val="기준"/>
      <sheetName val="BQ List"/>
      <sheetName val="노임단가"/>
      <sheetName val="_x0000_è"/>
      <sheetName val="engg"/>
      <sheetName val="PAGE 2"/>
      <sheetName val="미입고자재목록_설계1과"/>
      <sheetName val="BQLIST"/>
      <sheetName val="제출계산서"/>
      <sheetName val="품셈1-26"/>
      <sheetName val="LEGEND"/>
      <sheetName val="KP1590_E"/>
      <sheetName val="입력값"/>
      <sheetName val="Page 10"/>
      <sheetName val="북제주-표지"/>
      <sheetName val="자재군별"/>
      <sheetName val="재료내역"/>
      <sheetName val="간접비 총괄표"/>
      <sheetName val="Macro"/>
      <sheetName val="Taux"/>
      <sheetName val="C급보 "/>
      <sheetName val="Rectangular Beam"/>
      <sheetName val="현금"/>
      <sheetName val="Eng.hour_DB"/>
      <sheetName val="POWER"/>
      <sheetName val="CARBOLINE분석"/>
      <sheetName val="CRUDE RE-bar"/>
      <sheetName val="database-emp"/>
      <sheetName val="평균환율-USD"/>
      <sheetName val="DUTCH CONE"/>
      <sheetName val="harga"/>
      <sheetName val="koef"/>
      <sheetName val="Resume"/>
      <sheetName val="요율"/>
      <sheetName val="자재대"/>
      <sheetName val="eq_data _x0000__x0000__x0000__x"/>
      <sheetName val=""/>
      <sheetName val="나이대조표"/>
      <sheetName val="KP_List"/>
      <sheetName val="SBR_CR"/>
      <sheetName val="COST UP"/>
      <sheetName val="2.Calculation_1"/>
      <sheetName val="IBC(2006)DATA"/>
      <sheetName val="EXCHANGE_RATE"/>
      <sheetName val="Scaffold"/>
      <sheetName val="Access"/>
      <sheetName val="PAGE 3_GENERAL DETAILS"/>
      <sheetName val="Proposal"/>
      <sheetName val="적용 환율"/>
      <sheetName val="Assumptions"/>
      <sheetName val="Elect (3)"/>
      <sheetName val="공사내역"/>
      <sheetName val="TIE-INS"/>
      <sheetName val="FLD"/>
      <sheetName val="norms"/>
      <sheetName val="HVAC"/>
      <sheetName val="八幡"/>
      <sheetName val="GM 000"/>
      <sheetName val="PRECAST lightconc-II"/>
      <sheetName val="csdim"/>
      <sheetName val="cdsload"/>
      <sheetName val="chsload"/>
      <sheetName val="CLAMP"/>
      <sheetName val="cvsload"/>
      <sheetName val="Cash2"/>
      <sheetName val="Z"/>
      <sheetName val="환산표"/>
      <sheetName val="Rev No"/>
      <sheetName val="COVER-P"/>
      <sheetName val="PUMP SHT"/>
      <sheetName val="FC-01"/>
      <sheetName val="FC-06"/>
      <sheetName val="ITEM"/>
      <sheetName val="El(Increased)"/>
      <sheetName val="Datasheet GLL double weir (1)"/>
      <sheetName val="단면가정"/>
      <sheetName val=" "/>
      <sheetName val="MC-01"/>
      <sheetName val="Sal"/>
      <sheetName val="PRICE-COMP"/>
      <sheetName val="P&amp;ID650"/>
      <sheetName val="DIAPHRAGM"/>
      <sheetName val="TG9504"/>
      <sheetName val="간접비내역-1"/>
      <sheetName val="SALA-002"/>
      <sheetName val="eq_data _x005f_x0000__x00"/>
      <sheetName val="수량산출"/>
      <sheetName val="REG-BASIS"/>
      <sheetName val="TENDER PROG."/>
      <sheetName val="PROC.PROG"/>
      <sheetName val="Notes"/>
      <sheetName val="DDC"/>
      <sheetName val="공수"/>
      <sheetName val="Table"/>
      <sheetName val="Block D"/>
      <sheetName val="Sheet2 (2)"/>
      <sheetName val="Calculations"/>
      <sheetName val="대우단가(풍산)"/>
      <sheetName val="토공정보"/>
      <sheetName val="6호기"/>
      <sheetName val="Form A.1"/>
      <sheetName val="Form A.1.1"/>
      <sheetName val="BOM Indirect"/>
      <sheetName val="Form A.1.II.2"/>
      <sheetName val="물량집계(전기)"/>
      <sheetName val="물량집계(계장)"/>
      <sheetName val="bdown"/>
      <sheetName val="33628-Rev. A"/>
      <sheetName val="TYPE-B 평균H"/>
      <sheetName val="PSV"/>
      <sheetName val="명단"/>
      <sheetName val="EST-1"/>
      <sheetName val="6.공사비 내역 (가)"/>
      <sheetName val="RFP005"/>
      <sheetName val="RFP006"/>
      <sheetName val="CostDB"/>
      <sheetName val="FWBS7000,8000"/>
      <sheetName val="Reference Table"/>
      <sheetName val="Lookups"/>
      <sheetName val="co-no.2"/>
      <sheetName val="CAL(1)."/>
      <sheetName val="Activity(new)"/>
      <sheetName val="뜃맟뭁돽띿맟?-BLDG"/>
      <sheetName val="D-623D"/>
      <sheetName val="member design"/>
      <sheetName val="soil bearing check"/>
      <sheetName val="OCT.FDN"/>
      <sheetName val="PRI CIV"/>
      <sheetName val="FOR CIV"/>
      <sheetName val="SUB CIV"/>
      <sheetName val="ANA CIV"/>
      <sheetName val="AUX CIV"/>
      <sheetName val="내역서 "/>
      <sheetName val="hori. vessel(E-895)"/>
      <sheetName val="TS-TC"/>
      <sheetName val="DCS"/>
      <sheetName val="2.3"/>
      <sheetName val="기초자료"/>
      <sheetName val="견적집계표"/>
      <sheetName val="7_5_1(A)_Data3"/>
      <sheetName val="7_5_1(B)_BOQ_Breakdown3"/>
      <sheetName val="7_5_1(C)_Scope3"/>
      <sheetName val="7_5_1(D)_Basis3"/>
      <sheetName val="7_5_1(E)_Allowance3"/>
      <sheetName val="7_5_2_BOQ_Summary3"/>
      <sheetName val="7_5_3_BOQ3"/>
      <sheetName val="A__Erec_BOQ(Shop)3"/>
      <sheetName val="B__Erec_BOQ(Field)3"/>
      <sheetName val="C__Surface_Protection3"/>
      <sheetName val="A__Erec_BOQ(Shop)_(2)3"/>
      <sheetName val="B__Erec_BOQ(Field)_(2)3"/>
      <sheetName val="C__Surf_Protection3"/>
      <sheetName val="Attachment_#13"/>
      <sheetName val="Attachment_#23"/>
      <sheetName val="302_C13"/>
      <sheetName val="302_C23"/>
      <sheetName val="SUPPLY_(2)3"/>
      <sheetName val="RETURN_(2)3"/>
      <sheetName val="303_(2)3"/>
      <sheetName val="308_(2)3"/>
      <sheetName val="309_(2)3"/>
      <sheetName val="JUNCTION_BOX3"/>
      <sheetName val="PIPE_FITTING3"/>
      <sheetName val="TUBE_FITTING3"/>
      <sheetName val="CABLE_GLAND3"/>
      <sheetName val="CONS__EQUIP___3"/>
      <sheetName val="BLR_13"/>
      <sheetName val="REINF_3"/>
      <sheetName val="ITB_COST2"/>
      <sheetName val="97_사업추정(WEKI)2"/>
      <sheetName val="90EL_JACKET2"/>
      <sheetName val="보온_회사분2"/>
      <sheetName val="Cost_control2"/>
      <sheetName val="FIRE_FIGHTING2"/>
      <sheetName val="Tipo_Terzi2"/>
      <sheetName val="plan&amp;section_of_foundation2"/>
      <sheetName val="design_criteria2"/>
      <sheetName val="BM_DATA_SHEET2"/>
      <sheetName val="working_load_at_the_btm_ft_1"/>
      <sheetName val="stability_check1"/>
      <sheetName val="Mat_Stelo2"/>
      <sheetName val="Unit_SUM2"/>
      <sheetName val="1_설계기준1"/>
      <sheetName val="OUTER_AREA(겹침없음)1"/>
      <sheetName val="bill_21"/>
      <sheetName val="표지_(2)1"/>
      <sheetName val="Break_Dw1"/>
      <sheetName val="방유제용량_계산서1"/>
      <sheetName val="Material_Specification1"/>
      <sheetName val="special_item_양진규_작성1"/>
      <sheetName val="Sch_61"/>
      <sheetName val="pile_bearing_capa_&amp;_arrenge1"/>
      <sheetName val="design_load1"/>
      <sheetName val="Fab__Skid1"/>
      <sheetName val="INPUT_DATA1"/>
      <sheetName val="CAMP_OPERATING_COST1"/>
      <sheetName val="PERSONNEL_SETUP1"/>
      <sheetName val="LIST_OF_OFFICE_EQUIPMENT1"/>
      <sheetName val="STAFF&amp;INDIRECT_SALARY_-_SUMMAR1"/>
      <sheetName val="KOREAN_STAFF_SALARY_BREAKDOWN1"/>
      <sheetName val="WELFARE_COST_-_SITE1"/>
      <sheetName val="개시대사_(2)1"/>
      <sheetName val="입고장부_(4)1"/>
      <sheetName val="FEUILLE_INTERNE1"/>
      <sheetName val="COMPARISON_TABLE1"/>
      <sheetName val="L_V_Separator1"/>
      <sheetName val="CAMP_-_CONSTRUCTION1"/>
      <sheetName val="E_Rate_PM1"/>
      <sheetName val="Schedule_2_and_31"/>
      <sheetName val="eq_data_"/>
      <sheetName val="Cover_sheet"/>
      <sheetName val="CAL_"/>
      <sheetName val="11_자재단가1"/>
      <sheetName val="1_OF_91"/>
      <sheetName val="BSD_(2)"/>
      <sheetName val="TRAY_BM"/>
      <sheetName val="Graph_(LGEN)"/>
      <sheetName val="선적schedule_(2)"/>
      <sheetName val="Summary_Sheets"/>
      <sheetName val="품셈_"/>
      <sheetName val="sc0314_Index"/>
      <sheetName val="Resource_summary"/>
      <sheetName val="w't_table"/>
      <sheetName val="eq_data__x005f_x0000__x005f_x0000__x005f_x0000__x"/>
      <sheetName val="static_cal"/>
      <sheetName val="crude_SLAB_RE-bar"/>
      <sheetName val="7_6_3(B)_UG_Piping"/>
      <sheetName val="PRICE_LIST"/>
      <sheetName val="7_5_2_BOQ_Summary_"/>
      <sheetName val="Rekap_A"/>
      <sheetName val="paint_mat"/>
      <sheetName val="VE_Estimate"/>
      <sheetName val="TABLE2-2_OSBL-(SITE_PREP)"/>
      <sheetName val="OFFER_RATE"/>
      <sheetName val="Job_Data"/>
      <sheetName val="Piping_Design_Data"/>
      <sheetName val="Summary_2002"/>
      <sheetName val="ASME_B_36_10_M"/>
      <sheetName val="3_0_Overall_Progress_S-curve"/>
      <sheetName val="3-4_SPI"/>
      <sheetName val="-15_0"/>
      <sheetName val="6.GSTG PIPING"/>
      <sheetName val="INDEX"/>
      <sheetName val="Sheet4"/>
      <sheetName val="NONS  2,189"/>
      <sheetName val="대기업"/>
      <sheetName val="각종자료"/>
      <sheetName val="견적"/>
      <sheetName val="S N"/>
      <sheetName val="노임이"/>
      <sheetName val="94D"/>
      <sheetName val="95D"/>
      <sheetName val="Sheet_1"/>
      <sheetName val="배관물량_(STEEL)"/>
      <sheetName val="PAGE_2"/>
      <sheetName val="Struct-Grass_root"/>
      <sheetName val="General_Data2"/>
      <sheetName val="PRICE_COMP2"/>
      <sheetName val="A(Rev_3)2"/>
      <sheetName val="견적_집계"/>
      <sheetName val="PULLING_SUPT등"/>
      <sheetName val="Sheet1_(2)"/>
      <sheetName val="PAGE_1"/>
      <sheetName val="_생산성_분석_체계_절차_xlsx"/>
      <sheetName val="BQ_List"/>
      <sheetName val="Break_Down"/>
      <sheetName val="Supervision_List"/>
      <sheetName val="PREAM"/>
      <sheetName val="PL-DATA"/>
      <sheetName val="FRP내역서"/>
      <sheetName val="7_5_1(A)_Data5"/>
      <sheetName val="7_5_1(B)_BOQ_Breakdown5"/>
      <sheetName val="7_5_1(C)_Scope5"/>
      <sheetName val="7_5_1(D)_Basis5"/>
      <sheetName val="7_5_1(E)_Allowance5"/>
      <sheetName val="7_5_2_BOQ_Summary5"/>
      <sheetName val="7_5_3_BOQ5"/>
      <sheetName val="A__Erec_BOQ(Shop)5"/>
      <sheetName val="B__Erec_BOQ(Field)5"/>
      <sheetName val="C__Surface_Protection5"/>
      <sheetName val="A__Erec_BOQ(Shop)_(2)5"/>
      <sheetName val="B__Erec_BOQ(Field)_(2)5"/>
      <sheetName val="C__Surf_Protection5"/>
      <sheetName val="Attachment_#15"/>
      <sheetName val="Attachment_#25"/>
      <sheetName val="302_C15"/>
      <sheetName val="302_C25"/>
      <sheetName val="SUPPLY_(2)5"/>
      <sheetName val="RETURN_(2)5"/>
      <sheetName val="303_(2)5"/>
      <sheetName val="308_(2)5"/>
      <sheetName val="309_(2)5"/>
      <sheetName val="JUNCTION_BOX5"/>
      <sheetName val="PIPE_FITTING5"/>
      <sheetName val="TUBE_FITTING5"/>
      <sheetName val="CABLE_GLAND5"/>
      <sheetName val="BLR_15"/>
      <sheetName val="CONS__EQUIP___5"/>
      <sheetName val="REINF_5"/>
      <sheetName val="ITB_COST4"/>
      <sheetName val="97_사업추정(WEKI)4"/>
      <sheetName val="FIRE_FIGHTING4"/>
      <sheetName val="Cost_control4"/>
      <sheetName val="90EL_JACKET4"/>
      <sheetName val="보온_회사분4"/>
      <sheetName val="plan&amp;section_of_foundation3"/>
      <sheetName val="design_criteria3"/>
      <sheetName val="BM_DATA_SHEET3"/>
      <sheetName val="Tipo_Terzi3"/>
      <sheetName val="Mat_Stelo3"/>
      <sheetName val="Sch_62"/>
      <sheetName val="bill_22"/>
      <sheetName val="1_설계기준2"/>
      <sheetName val="Unit_SUM3"/>
      <sheetName val="표지_(2)2"/>
      <sheetName val="Sheet_12"/>
      <sheetName val="배관물량_(STEEL)2"/>
      <sheetName val="working_load_at_the_btm_ft_2"/>
      <sheetName val="stability_check2"/>
      <sheetName val="Break_Dw2"/>
      <sheetName val="방유제용량_계산서2"/>
      <sheetName val="Material_Specification2"/>
      <sheetName val="special_item_양진규_작성2"/>
      <sheetName val="OUTER_AREA(겹침없음)2"/>
      <sheetName val="CAMP_OPERATING_COST2"/>
      <sheetName val="PERSONNEL_SETUP2"/>
      <sheetName val="LIST_OF_OFFICE_EQUIPMENT2"/>
      <sheetName val="STAFF&amp;INDIRECT_SALARY_-_SUMMAR2"/>
      <sheetName val="KOREAN_STAFF_SALARY_BREAKDOWN2"/>
      <sheetName val="WELFARE_COST_-_SITE2"/>
      <sheetName val="INPUT_DATA2"/>
      <sheetName val="개시대사_(2)2"/>
      <sheetName val="pile_bearing_capa_&amp;_arrenge2"/>
      <sheetName val="design_load2"/>
      <sheetName val="Fab__Skid2"/>
      <sheetName val="입고장부_(4)2"/>
      <sheetName val="FEUILLE_INTERNE2"/>
      <sheetName val="L_V_Separator2"/>
      <sheetName val="CAMP_-_CONSTRUCTION2"/>
      <sheetName val="E_Rate_PM2"/>
      <sheetName val="Schedule_2_and_32"/>
      <sheetName val="CAL_2"/>
      <sheetName val="COMPARISON_TABLE2"/>
      <sheetName val="3_0_Overall_Progress_S-curve2"/>
      <sheetName val="3-4_SPI2"/>
      <sheetName val="7_5_1(A)_Data4"/>
      <sheetName val="7_5_1(B)_BOQ_Breakdown4"/>
      <sheetName val="7_5_1(C)_Scope4"/>
      <sheetName val="7_5_1(D)_Basis4"/>
      <sheetName val="7_5_1(E)_Allowance4"/>
      <sheetName val="7_5_2_BOQ_Summary4"/>
      <sheetName val="7_5_3_BOQ4"/>
      <sheetName val="A__Erec_BOQ(Shop)4"/>
      <sheetName val="B__Erec_BOQ(Field)4"/>
      <sheetName val="C__Surface_Protection4"/>
      <sheetName val="A__Erec_BOQ(Shop)_(2)4"/>
      <sheetName val="B__Erec_BOQ(Field)_(2)4"/>
      <sheetName val="C__Surf_Protection4"/>
      <sheetName val="Attachment_#14"/>
      <sheetName val="Attachment_#24"/>
      <sheetName val="302_C14"/>
      <sheetName val="302_C24"/>
      <sheetName val="SUPPLY_(2)4"/>
      <sheetName val="RETURN_(2)4"/>
      <sheetName val="303_(2)4"/>
      <sheetName val="308_(2)4"/>
      <sheetName val="309_(2)4"/>
      <sheetName val="JUNCTION_BOX4"/>
      <sheetName val="PIPE_FITTING4"/>
      <sheetName val="TUBE_FITTING4"/>
      <sheetName val="CABLE_GLAND4"/>
      <sheetName val="BLR_14"/>
      <sheetName val="CONS__EQUIP___4"/>
      <sheetName val="REINF_4"/>
      <sheetName val="ITB_COST3"/>
      <sheetName val="97_사업추정(WEKI)3"/>
      <sheetName val="FIRE_FIGHTING3"/>
      <sheetName val="Cost_control3"/>
      <sheetName val="90EL_JACKET3"/>
      <sheetName val="보온_회사분3"/>
      <sheetName val="Sheet_11"/>
      <sheetName val="배관물량_(STEEL)1"/>
      <sheetName val="CAL_1"/>
      <sheetName val="3_0_Overall_Progress_S-curve1"/>
      <sheetName val="3-4_SPI1"/>
      <sheetName val="LBR"/>
      <sheetName val="SUMMARY (0)"/>
      <sheetName val="REF.ONLY"/>
      <sheetName val="CONCRETE"/>
      <sheetName val="PRO_DCI"/>
      <sheetName val="HVAC_DCI"/>
      <sheetName val="PIPE_DCI"/>
      <sheetName val="Loading Table"/>
      <sheetName val="BATCH"/>
      <sheetName val="Pipelines ASAB I-II Brownfield"/>
      <sheetName val="ORIGN"/>
      <sheetName val="P-Ph3-F-002"/>
      <sheetName val="전기"/>
      <sheetName val="200"/>
      <sheetName val="BM1"/>
      <sheetName val="REDUCER"/>
      <sheetName val="WE'T"/>
      <sheetName val="Vent Line size"/>
      <sheetName val="input data-090908"/>
      <sheetName val="공구"/>
      <sheetName val="PI"/>
      <sheetName val="Expenses per Cost Code "/>
      <sheetName val="DOWNLOAD"/>
      <sheetName val="상반기손익차2총괄"/>
      <sheetName val="MH Estimation Guide"/>
      <sheetName val="CIV-DWG-ADA"/>
      <sheetName val="CIV-DOC-ADA"/>
      <sheetName val="공사비 내역 (가)"/>
      <sheetName val="STATIC"/>
      <sheetName val="diamètres"/>
      <sheetName val="설계예산서1"/>
      <sheetName val="내"/>
      <sheetName val="실행자재"/>
      <sheetName val="spinning1"/>
      <sheetName val="집계표(OPTION)"/>
      <sheetName val="HRG BHN"/>
      <sheetName val="LD-OVERA÷_x0000_"/>
      <sheetName val="LD-OVERA᯷㧓"/>
      <sheetName val="DIRECT-OFF"/>
      <sheetName val="PLAGCoct03"/>
      <sheetName val="表三甲"/>
      <sheetName val="调整"/>
      <sheetName val="Comp Rate "/>
      <sheetName val="4.1구조설계"/>
      <sheetName val="공문"/>
      <sheetName val="입사시직위"/>
      <sheetName val="MR"/>
      <sheetName val="COMB MNG&amp;STAFF (ALL)  (2)"/>
      <sheetName val="7.0 Crack Check"/>
      <sheetName val="축열조 기초"/>
      <sheetName val="REPORT"/>
      <sheetName val="Fill this out first..."/>
      <sheetName val="Fill this out first___"/>
      <sheetName val="공량예산"/>
      <sheetName val="예산M6-B"/>
      <sheetName val="공통가설"/>
      <sheetName val="Tank"/>
      <sheetName val="Q5434 EQ LIST"/>
      <sheetName val="motor power"/>
      <sheetName val="Painting"/>
      <sheetName val="Forecast Drivers"/>
      <sheetName val="Data 1"/>
      <sheetName val="01"/>
      <sheetName val="Unit Cost"/>
      <sheetName val="Total_mem"/>
      <sheetName val="Log"/>
      <sheetName val="Section 1~4(1)"/>
      <sheetName val="Section 1~4 "/>
      <sheetName val="Section 5"/>
      <sheetName val="Section 5.2"/>
      <sheetName val="Section 5.3"/>
      <sheetName val="Section 6"/>
      <sheetName val="Section 6.2"/>
      <sheetName val="Attachment 1"/>
      <sheetName val="Attachmenet 2"/>
      <sheetName val="Moment_Con_Capa"/>
      <sheetName val="Moment"/>
      <sheetName val="Shear_Con_Capa"/>
      <sheetName val="Shear"/>
      <sheetName val="PUMP_SHT"/>
      <sheetName val="Elect_(3)"/>
      <sheetName val="C급보_"/>
      <sheetName val="Rev_No"/>
      <sheetName val="Page_10"/>
      <sheetName val="Rectangular_Beam"/>
      <sheetName val="COST_UP"/>
      <sheetName val="간접비_총괄표"/>
      <sheetName val="Eng_hour_DB"/>
      <sheetName val="CRUDE_RE-bar"/>
      <sheetName val="DUTCH_CONE"/>
      <sheetName val="eq_data__x"/>
      <sheetName val="_"/>
      <sheetName val="2_Calculation_1"/>
      <sheetName val="PAGE_3_GENERAL_DETAILS"/>
      <sheetName val="적용_환율"/>
      <sheetName val="GM_000"/>
      <sheetName val="PRECAST_lightconc-II"/>
      <sheetName val="TENDER_PROG_"/>
      <sheetName val="PROC_PROG"/>
      <sheetName val="Block_D"/>
      <sheetName val="Datasheet_GLL_double_weir_(1)"/>
      <sheetName val="eq_data__x005f_x0000__x00"/>
      <sheetName val="33628-Rev__A"/>
      <sheetName val="TYPE-B_평균H"/>
      <sheetName val="Sheet2_(2)"/>
      <sheetName val="6_공사비_내역_(가)"/>
      <sheetName val="MEASURE LIST"/>
      <sheetName val="Don gia"/>
      <sheetName val="뜃맟뭁돽띿맟_-BLDG"/>
      <sheetName val="SUBCON"/>
      <sheetName val="45,46"/>
      <sheetName val="M_B"/>
      <sheetName val="Exchange rates"/>
      <sheetName val="P_x0007__x0000__x000e__x0000_"/>
      <sheetName val="대비"/>
      <sheetName val="COST-EST LTI P5C"/>
      <sheetName val="기계시공"/>
      <sheetName val="SLEIPNER - ORMEN LANGE"/>
      <sheetName val="전기 BM_revA('090624).xls"/>
      <sheetName val="定额 (06)"/>
      <sheetName val="96.12"/>
      <sheetName val="FA"/>
      <sheetName val="Analisa HS"/>
      <sheetName val="Eng_Hrs"/>
      <sheetName val="기계공사비집계(珆꭭/"/>
      <sheetName val="Consumables"/>
      <sheetName val="TACE"/>
      <sheetName val="NAME"/>
      <sheetName val="Coupling"/>
      <sheetName val="RAW MATERIALS "/>
      <sheetName val="COST-PERSON-J.O."/>
      <sheetName val="GT"/>
      <sheetName val="COST-TZ"/>
      <sheetName val="Coeff."/>
      <sheetName val="SPrep_E4TK(R187)"/>
      <sheetName val="U00"/>
      <sheetName val="U01"/>
      <sheetName val="U02"/>
      <sheetName val="U03"/>
      <sheetName val="U06"/>
      <sheetName val="U07"/>
      <sheetName val="U08"/>
      <sheetName val="U09"/>
      <sheetName val="U10"/>
      <sheetName val="U11"/>
      <sheetName val="U13"/>
      <sheetName val="U21"/>
      <sheetName val="U25"/>
      <sheetName val="U26"/>
      <sheetName val="U29"/>
      <sheetName val="U30"/>
      <sheetName val="U31_Base"/>
      <sheetName val="U40"/>
      <sheetName val="U42"/>
      <sheetName val="U43"/>
      <sheetName val="U45"/>
      <sheetName val="U47"/>
      <sheetName val="U48"/>
      <sheetName val="U60"/>
      <sheetName val="4-3LEVEL-5 epic.4"/>
      <sheetName val="4.단락전류"/>
      <sheetName val="[fdn_bm_pro.xls]기계공사비집계(珆꭭/"/>
      <sheetName val="SUMMARY_(0)"/>
      <sheetName val="7_5_1(A)_Data6"/>
      <sheetName val="7_5_1(B)_BOQ_Breakdown6"/>
      <sheetName val="7_5_1(C)_Scope6"/>
      <sheetName val="7_5_1(D)_Basis6"/>
      <sheetName val="7_5_1(E)_Allowance6"/>
      <sheetName val="7_5_2_BOQ_Summary6"/>
      <sheetName val="7_5_3_BOQ6"/>
      <sheetName val="A__Erec_BOQ(Shop)6"/>
      <sheetName val="B__Erec_BOQ(Field)6"/>
      <sheetName val="C__Surface_Protection6"/>
      <sheetName val="A__Erec_BOQ(Shop)_(2)6"/>
      <sheetName val="B__Erec_BOQ(Field)_(2)6"/>
      <sheetName val="C__Surf_Protection6"/>
      <sheetName val="Attachment_#16"/>
      <sheetName val="Attachment_#26"/>
      <sheetName val="302_C16"/>
      <sheetName val="302_C26"/>
      <sheetName val="SUPPLY_(2)6"/>
      <sheetName val="RETURN_(2)6"/>
      <sheetName val="303_(2)6"/>
      <sheetName val="308_(2)6"/>
      <sheetName val="309_(2)6"/>
      <sheetName val="JUNCTION_BOX6"/>
      <sheetName val="PIPE_FITTING6"/>
      <sheetName val="TUBE_FITTING6"/>
      <sheetName val="CABLE_GLAND6"/>
      <sheetName val="CONS__EQUIP___6"/>
      <sheetName val="BLR_16"/>
      <sheetName val="REINF_6"/>
      <sheetName val="ITB_COST5"/>
      <sheetName val="97_사업추정(WEKI)5"/>
      <sheetName val="Cost_control5"/>
      <sheetName val="90EL_JACKET5"/>
      <sheetName val="보온_회사분5"/>
      <sheetName val="FIRE_FIGHTING5"/>
      <sheetName val="Tipo_Terzi4"/>
      <sheetName val="plan&amp;section_of_foundation4"/>
      <sheetName val="design_criteria4"/>
      <sheetName val="BM_DATA_SHEET4"/>
      <sheetName val="Mat_Stelo4"/>
      <sheetName val="Unit_SUM4"/>
      <sheetName val="working_load_at_the_btm_ft_3"/>
      <sheetName val="stability_check3"/>
      <sheetName val="OUTER_AREA(겹침없음)3"/>
      <sheetName val="1_설계기준3"/>
      <sheetName val="bill_23"/>
      <sheetName val="표지_(2)3"/>
      <sheetName val="Break_Dw3"/>
      <sheetName val="방유제용량_계산서3"/>
      <sheetName val="Material_Specification3"/>
      <sheetName val="special_item_양진규_작성3"/>
      <sheetName val="Sch_63"/>
      <sheetName val="pile_bearing_capa_&amp;_arrenge3"/>
      <sheetName val="design_load3"/>
      <sheetName val="Fab__Skid3"/>
      <sheetName val="INPUT_DATA3"/>
      <sheetName val="CAMP_OPERATING_COST3"/>
      <sheetName val="PERSONNEL_SETUP3"/>
      <sheetName val="LIST_OF_OFFICE_EQUIPMENT3"/>
      <sheetName val="STAFF&amp;INDIRECT_SALARY_-_SUMMAR3"/>
      <sheetName val="KOREAN_STAFF_SALARY_BREAKDOWN3"/>
      <sheetName val="WELFARE_COST_-_SITE3"/>
      <sheetName val="개시대사_(2)3"/>
      <sheetName val="입고장부_(4)3"/>
      <sheetName val="FEUILLE_INTERNE3"/>
      <sheetName val="COMPARISON_TABLE3"/>
      <sheetName val="L_V_Separator3"/>
      <sheetName val="CAMP_-_CONSTRUCTION3"/>
      <sheetName val="E_Rate_PM3"/>
      <sheetName val="Schedule_2_and_33"/>
      <sheetName val="Cover_sheet1"/>
      <sheetName val="CAL_3"/>
      <sheetName val="Summary_Sheets1"/>
      <sheetName val="BSD_(2)1"/>
      <sheetName val="TRAY_BM1"/>
      <sheetName val="11_자재단가2"/>
      <sheetName val="1_OF_92"/>
      <sheetName val="품셈_1"/>
      <sheetName val="sc0314_Index1"/>
      <sheetName val="Graph_(LGEN)1"/>
      <sheetName val="선적schedule_(2)1"/>
      <sheetName val="Resource_summary1"/>
      <sheetName val="배관물량_(STEEL)3"/>
      <sheetName val="Sheet_13"/>
      <sheetName val="w't_table1"/>
      <sheetName val="eq_data__x005f_x0000__x005f_x0000__x005f_x0000__1"/>
      <sheetName val="Break_Down1"/>
      <sheetName val="Supervision_List1"/>
      <sheetName val="General_Data3"/>
      <sheetName val="PRICE_COMP3"/>
      <sheetName val="A(Rev_3)3"/>
      <sheetName val="static_cal1"/>
      <sheetName val="crude_SLAB_RE-bar1"/>
      <sheetName val="7_6_3(B)_UG_Piping1"/>
      <sheetName val="PRICE_LIST1"/>
      <sheetName val="7_5_2_BOQ_Summary_1"/>
      <sheetName val="Rekap_A1"/>
      <sheetName val="paint_mat1"/>
      <sheetName val="VE_Estimate1"/>
      <sheetName val="TABLE2-2_OSBL-(SITE_PREP)1"/>
      <sheetName val="OFFER_RATE1"/>
      <sheetName val="Job_Data1"/>
      <sheetName val="Piping_Design_Data1"/>
      <sheetName val="Summary_20021"/>
      <sheetName val="ASME_B_36_10_M1"/>
      <sheetName val="Struct-Grass_root1"/>
      <sheetName val="3_0_Overall_Progress_S-curve3"/>
      <sheetName val="3-4_SPI3"/>
      <sheetName val="-15_01"/>
      <sheetName val="견적_집계1"/>
      <sheetName val="PULLING_SUPT등1"/>
      <sheetName val="Sheet1_(2)1"/>
      <sheetName val="PAGE_11"/>
      <sheetName val="_생산성_분석_체계_절차_xlsx1"/>
      <sheetName val="BQ_List1"/>
      <sheetName val="PAGE_21"/>
      <sheetName val="Page_101"/>
      <sheetName val="C급보_1"/>
      <sheetName val="Rectangular_Beam1"/>
      <sheetName val="CRUDE_RE-bar1"/>
      <sheetName val="COST_UP1"/>
      <sheetName val="간접비_총괄표1"/>
      <sheetName val="Eng_hour_DB1"/>
      <sheetName val="DUTCH_CONE1"/>
      <sheetName val="2_Calculation_11"/>
      <sheetName val="PAGE_3_GENERAL_DETAILS1"/>
      <sheetName val="적용_환율1"/>
      <sheetName val="Elect_(3)1"/>
      <sheetName val="GM_0001"/>
      <sheetName val="PRECAST_lightconc-II1"/>
      <sheetName val="Rev_No1"/>
      <sheetName val="PUMP_SHT1"/>
      <sheetName val="Datasheet_GLL_double_weir_(1)1"/>
      <sheetName val="_1"/>
      <sheetName val="eq_data__x005f_x0000__x001"/>
      <sheetName val="TENDER_PROG_1"/>
      <sheetName val="PROC_PROG1"/>
      <sheetName val="Block_D1"/>
      <sheetName val="Sheet2_(2)1"/>
      <sheetName val="33628-Rev__A1"/>
      <sheetName val="TYPE-B_평균H1"/>
      <sheetName val="co-no_2"/>
      <sheetName val="6_공사비_내역_(가)1"/>
      <sheetName val="Form_A_1"/>
      <sheetName val="Form_A_1_1"/>
      <sheetName val="BOM_Indirect"/>
      <sheetName val="Form_A_1_II_2"/>
      <sheetName val="6_GSTG_PIPING"/>
      <sheetName val="NONS__2,189"/>
      <sheetName val="Reference_Table"/>
      <sheetName val="CAL(1)_"/>
      <sheetName val="member_design"/>
      <sheetName val="soil_bearing_check"/>
      <sheetName val="OCT_FDN"/>
      <sheetName val="PRI_CIV"/>
      <sheetName val="FOR_CIV"/>
      <sheetName val="SUB_CIV"/>
      <sheetName val="ANA_CIV"/>
      <sheetName val="AUX_CIV"/>
      <sheetName val="내역서_"/>
      <sheetName val="hori__vessel(E-895)"/>
      <sheetName val="2_3"/>
      <sheetName val="S_N"/>
      <sheetName val="REF_ONLY"/>
      <sheetName val="SUMMARY_(0)1"/>
      <sheetName val="Loading_Table"/>
      <sheetName val="Pipelines_ASAB_I-II_Brownfield"/>
      <sheetName val="Vent_Line_size"/>
      <sheetName val="4_1구조설계"/>
      <sheetName val="input_data-090908"/>
      <sheetName val="HRG_BHN"/>
      <sheetName val="MH_Estimation_Guide"/>
      <sheetName val="공사비_내역_(가)"/>
      <sheetName val="Comp_Rate_"/>
      <sheetName val="Expenses_per_Cost_Code_"/>
      <sheetName val="COMB_MNG&amp;STAFF_(ALL)__(2)"/>
      <sheetName val="Q5434_EQ_LIST"/>
      <sheetName val="motor_power"/>
      <sheetName val="Forecast_Drivers"/>
      <sheetName val="Fill_this_out_first___"/>
      <sheetName val="Fill_this_out_first___1"/>
      <sheetName val="7_0_Crack_Check"/>
      <sheetName val="축열조_기초"/>
      <sheetName val="Data_1"/>
      <sheetName val="Unit_Cost"/>
      <sheetName val="Section_1~4(1)"/>
      <sheetName val="Section_1~4_"/>
      <sheetName val="Section_5"/>
      <sheetName val="Section_5_2"/>
      <sheetName val="Section_5_3"/>
      <sheetName val="Section_6"/>
      <sheetName val="Section_6_2"/>
      <sheetName val="Attachment_1"/>
      <sheetName val="Attachmenet_2"/>
      <sheetName val="MEASURE_LIST"/>
      <sheetName val="Don_gia"/>
      <sheetName val="Analisa_HS"/>
      <sheetName val="COST-EST_LTI_P5C"/>
      <sheetName val="SLEIPNER_-_ORMEN_LANGE"/>
      <sheetName val="전기_BM_revA('090624)_xls"/>
      <sheetName val="定额_(06)"/>
      <sheetName val="Coeff_"/>
      <sheetName val="RAW_MATERIALS_"/>
      <sheetName val="COST-PERSON-J_O_"/>
      <sheetName val="4-3LEVEL-5_epic_4"/>
      <sheetName val="4_단락전류"/>
      <sheetName val="[fdn_bm_pro_xls]기계공사비집계(珆꭭/"/>
      <sheetName val="Exchange_rates"/>
      <sheetName val="P"/>
      <sheetName val="7_5_1(A)_Data7"/>
      <sheetName val="7_5_1(B)_BOQ_Breakdown7"/>
      <sheetName val="7_5_1(C)_Scope7"/>
      <sheetName val="7_5_1(D)_Basis7"/>
      <sheetName val="7_5_1(E)_Allowance7"/>
      <sheetName val="7_5_2_BOQ_Summary7"/>
      <sheetName val="7_5_3_BOQ7"/>
      <sheetName val="A__Erec_BOQ(Shop)7"/>
      <sheetName val="B__Erec_BOQ(Field)7"/>
      <sheetName val="C__Surface_Protection7"/>
      <sheetName val="A__Erec_BOQ(Shop)_(2)7"/>
      <sheetName val="B__Erec_BOQ(Field)_(2)7"/>
      <sheetName val="C__Surf_Protection7"/>
      <sheetName val="Attachment_#17"/>
      <sheetName val="Attachment_#27"/>
      <sheetName val="302_C17"/>
      <sheetName val="302_C27"/>
      <sheetName val="SUPPLY_(2)7"/>
      <sheetName val="RETURN_(2)7"/>
      <sheetName val="303_(2)7"/>
      <sheetName val="308_(2)7"/>
      <sheetName val="309_(2)7"/>
      <sheetName val="JUNCTION_BOX7"/>
      <sheetName val="PIPE_FITTING7"/>
      <sheetName val="TUBE_FITTING7"/>
      <sheetName val="CABLE_GLAND7"/>
      <sheetName val="CONS__EQUIP___7"/>
      <sheetName val="BLR_17"/>
      <sheetName val="REINF_7"/>
      <sheetName val="ITB_COST6"/>
      <sheetName val="97_사업추정(WEKI)6"/>
      <sheetName val="Cost_control6"/>
      <sheetName val="90EL_JACKET6"/>
      <sheetName val="보온_회사분6"/>
      <sheetName val="FIRE_FIGHTING6"/>
      <sheetName val="Tipo_Terzi5"/>
      <sheetName val="plan&amp;section_of_foundation5"/>
      <sheetName val="design_criteria5"/>
      <sheetName val="BM_DATA_SHEET5"/>
      <sheetName val="Mat_Stelo5"/>
      <sheetName val="Unit_SUM5"/>
      <sheetName val="working_load_at_the_btm_ft_4"/>
      <sheetName val="stability_check4"/>
      <sheetName val="OUTER_AREA(겹침없음)4"/>
      <sheetName val="1_설계기준4"/>
      <sheetName val="bill_24"/>
      <sheetName val="표지_(2)4"/>
      <sheetName val="Break_Dw4"/>
      <sheetName val="방유제용량_계산서4"/>
      <sheetName val="Material_Specification4"/>
      <sheetName val="special_item_양진규_작성4"/>
      <sheetName val="Sch_64"/>
      <sheetName val="pile_bearing_capa_&amp;_arrenge4"/>
      <sheetName val="design_load4"/>
      <sheetName val="Fab__Skid4"/>
      <sheetName val="INPUT_DATA4"/>
      <sheetName val="CAMP_OPERATING_COST4"/>
      <sheetName val="PERSONNEL_SETUP4"/>
      <sheetName val="LIST_OF_OFFICE_EQUIPMENT4"/>
      <sheetName val="STAFF&amp;INDIRECT_SALARY_-_SUMMAR4"/>
      <sheetName val="KOREAN_STAFF_SALARY_BREAKDOWN4"/>
      <sheetName val="WELFARE_COST_-_SITE4"/>
      <sheetName val="개시대사_(2)4"/>
      <sheetName val="입고장부_(4)4"/>
      <sheetName val="FEUILLE_INTERNE4"/>
      <sheetName val="COMPARISON_TABLE4"/>
      <sheetName val="L_V_Separator4"/>
      <sheetName val="CAMP_-_CONSTRUCTION4"/>
      <sheetName val="E_Rate_PM4"/>
      <sheetName val="Schedule_2_and_34"/>
      <sheetName val="Cover_sheet2"/>
      <sheetName val="CAL_4"/>
      <sheetName val="Summary_Sheets2"/>
      <sheetName val="BSD_(2)2"/>
      <sheetName val="TRAY_BM2"/>
      <sheetName val="11_자재단가3"/>
      <sheetName val="1_OF_93"/>
      <sheetName val="품셈_2"/>
      <sheetName val="sc0314_Index2"/>
      <sheetName val="Graph_(LGEN)2"/>
      <sheetName val="선적schedule_(2)2"/>
      <sheetName val="Resource_summary2"/>
      <sheetName val="배관물량_(STEEL)4"/>
      <sheetName val="Sheet_14"/>
      <sheetName val="w't_table2"/>
      <sheetName val="eq_data__x005f_x0000__x005f_x0000__x005f_x0000__2"/>
      <sheetName val="Break_Down2"/>
      <sheetName val="Supervision_List2"/>
      <sheetName val="General_Data4"/>
      <sheetName val="PRICE_COMP4"/>
      <sheetName val="A(Rev_3)4"/>
      <sheetName val="static_cal2"/>
      <sheetName val="crude_SLAB_RE-bar2"/>
      <sheetName val="7_6_3(B)_UG_Piping2"/>
      <sheetName val="PRICE_LIST2"/>
      <sheetName val="7_5_2_BOQ_Summary_2"/>
      <sheetName val="Rekap_A2"/>
      <sheetName val="paint_mat2"/>
      <sheetName val="VE_Estimate2"/>
      <sheetName val="TABLE2-2_OSBL-(SITE_PREP)2"/>
      <sheetName val="OFFER_RATE2"/>
      <sheetName val="Job_Data2"/>
      <sheetName val="Piping_Design_Data2"/>
      <sheetName val="Summary_20022"/>
      <sheetName val="ASME_B_36_10_M2"/>
      <sheetName val="Struct-Grass_root2"/>
      <sheetName val="3_0_Overall_Progress_S-curve4"/>
      <sheetName val="3-4_SPI4"/>
      <sheetName val="-15_02"/>
      <sheetName val="견적_집계2"/>
      <sheetName val="PULLING_SUPT등2"/>
      <sheetName val="Sheet1_(2)2"/>
      <sheetName val="PAGE_12"/>
      <sheetName val="_생산성_분석_체계_절차_xlsx2"/>
      <sheetName val="BQ_List2"/>
      <sheetName val="PAGE_22"/>
      <sheetName val="Page_102"/>
      <sheetName val="C급보_2"/>
      <sheetName val="Rectangular_Beam2"/>
      <sheetName val="CRUDE_RE-bar2"/>
      <sheetName val="COST_UP2"/>
      <sheetName val="간접비_총괄표2"/>
      <sheetName val="Eng_hour_DB2"/>
      <sheetName val="DUTCH_CONE2"/>
      <sheetName val="2_Calculation_12"/>
      <sheetName val="PAGE_3_GENERAL_DETAILS2"/>
      <sheetName val="적용_환율2"/>
      <sheetName val="Elect_(3)2"/>
      <sheetName val="GM_0002"/>
      <sheetName val="PRECAST_lightconc-II2"/>
      <sheetName val="Rev_No2"/>
      <sheetName val="PUMP_SHT2"/>
      <sheetName val="Datasheet_GLL_double_weir_(1)2"/>
      <sheetName val="_2"/>
      <sheetName val="eq_data__x005f_x0000__x002"/>
      <sheetName val="TENDER_PROG_2"/>
      <sheetName val="PROC_PROG2"/>
      <sheetName val="Block_D2"/>
      <sheetName val="Sheet2_(2)2"/>
      <sheetName val="33628-Rev__A2"/>
      <sheetName val="TYPE-B_평균H2"/>
      <sheetName val="co-no_21"/>
      <sheetName val="6_공사비_내역_(가)2"/>
      <sheetName val="Form_A_11"/>
      <sheetName val="Form_A_1_11"/>
      <sheetName val="BOM_Indirect1"/>
      <sheetName val="Form_A_1_II_21"/>
      <sheetName val="6_GSTG_PIPING1"/>
      <sheetName val="NONS__2,1891"/>
      <sheetName val="Reference_Table1"/>
      <sheetName val="CAL(1)_1"/>
      <sheetName val="member_design1"/>
      <sheetName val="soil_bearing_check1"/>
      <sheetName val="OCT_FDN1"/>
      <sheetName val="PRI_CIV1"/>
      <sheetName val="FOR_CIV1"/>
      <sheetName val="SUB_CIV1"/>
      <sheetName val="ANA_CIV1"/>
      <sheetName val="AUX_CIV1"/>
      <sheetName val="내역서_1"/>
      <sheetName val="hori__vessel(E-895)1"/>
      <sheetName val="2_31"/>
      <sheetName val="S_N1"/>
      <sheetName val="REF_ONLY1"/>
      <sheetName val="SUMMARY_(0)2"/>
      <sheetName val="Loading_Table1"/>
      <sheetName val="Pipelines_ASAB_I-II_Brownfield1"/>
      <sheetName val="Vent_Line_size1"/>
      <sheetName val="4_1구조설계1"/>
      <sheetName val="input_data-0909081"/>
      <sheetName val="HRG_BHN1"/>
      <sheetName val="MH_Estimation_Guide1"/>
      <sheetName val="공사비_내역_(가)1"/>
      <sheetName val="Comp_Rate_1"/>
      <sheetName val="Expenses_per_Cost_Code_1"/>
      <sheetName val="COMB_MNG&amp;STAFF_(ALL)__(2)1"/>
      <sheetName val="Q5434_EQ_LIST1"/>
      <sheetName val="motor_power1"/>
      <sheetName val="Forecast_Drivers1"/>
      <sheetName val="Fill_this_out_first___2"/>
      <sheetName val="Fill_this_out_first___3"/>
      <sheetName val="7_0_Crack_Check1"/>
      <sheetName val="축열조_기초1"/>
      <sheetName val="Data_11"/>
      <sheetName val="Unit_Cost1"/>
      <sheetName val="Section_1~4(1)1"/>
      <sheetName val="Section_1~4_1"/>
      <sheetName val="Section_51"/>
      <sheetName val="Section_5_21"/>
      <sheetName val="Section_5_31"/>
      <sheetName val="Section_61"/>
      <sheetName val="Section_6_21"/>
      <sheetName val="Attachment_11"/>
      <sheetName val="Attachmenet_21"/>
      <sheetName val="MEASURE_LIST1"/>
      <sheetName val="Don_gia1"/>
      <sheetName val="Analisa_HS1"/>
      <sheetName val="COST-EST_LTI_P5C1"/>
      <sheetName val="SLEIPNER_-_ORMEN_LANGE1"/>
      <sheetName val="전기_BM_revA('090624)_xls1"/>
      <sheetName val="定额_(06)1"/>
      <sheetName val="Coeff_1"/>
      <sheetName val="RAW_MATERIALS_1"/>
      <sheetName val="COST-PERSON-J_O_1"/>
      <sheetName val="4-3LEVEL-5_epic_41"/>
      <sheetName val="4_단락전류1"/>
      <sheetName val="[fdn_bm_pro_xls]기계공사비집계(珆꭭/1"/>
      <sheetName val="Exchange_rates1"/>
      <sheetName val="P_x0007_"/>
      <sheetName val="2-SITE "/>
      <sheetName val="COST-SUM"/>
      <sheetName val="PAD-F"/>
      <sheetName val="LME"/>
      <sheetName val="Tie Beam GN"/>
      <sheetName val="PileCap"/>
      <sheetName val="06-Progress"/>
      <sheetName val="04-Safety"/>
      <sheetName val="BM"/>
      <sheetName val="현장배치"/>
      <sheetName val="system &amp; LOOK_UP_FUNC"/>
      <sheetName val="Base_Data"/>
      <sheetName val="등부표"/>
      <sheetName val="LOB"/>
      <sheetName val="LABT橿⿋_x0000__x0000_"/>
      <sheetName val="hvac내역서(제어동)"/>
      <sheetName val="Thick"/>
      <sheetName val="BID FORM"/>
      <sheetName val="Form of Bid"/>
      <sheetName val="건설성적"/>
      <sheetName val="삼성전기"/>
      <sheetName val="Grafenpa"/>
      <sheetName val="단가표"/>
      <sheetName val="노무비"/>
      <sheetName val="기계공사비집계(᝔턀"/>
      <sheetName val="기계공사비집계(ࠀᝋ턀"/>
      <sheetName val="기계공사비집계("/>
      <sheetName val="기계공사비집계(﹗맕ԯ"/>
      <sheetName val="기계공사비집계(ၩ_x0000_堀"/>
      <sheetName val="기계공사비집계(թ_x0000_缀"/>
      <sheetName val="기계공사비집계(썩"/>
      <sheetName val="기계공사비집계(ၩ_x0000_렀"/>
      <sheetName val="기계공사비집계(౩⁯吀"/>
      <sheetName val="기계공사비집계(偩⑔鰀"/>
      <sheetName val="기계공사비집계(i_x0000_ꀀ"/>
      <sheetName val="기계공사비집계(桩♗洀"/>
      <sheetName val="제직재"/>
      <sheetName val="설직재-1"/>
      <sheetName val="제-노임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LAB"/>
      <sheetName val="4300 UTILITY BLDG (2)"/>
      <sheetName val="WT-LIST"/>
      <sheetName val="예가표"/>
      <sheetName val="자재단가"/>
      <sheetName val="Price Breakdown(Building)"/>
      <sheetName val="ECL"/>
      <sheetName val="가동비율"/>
      <sheetName val="INST LIST"/>
      <sheetName val="터널조도"/>
      <sheetName val="MANPOWER DIRECT TRACKING"/>
      <sheetName val="Timescaled Data"/>
      <sheetName val="Home Office"/>
      <sheetName val="NPK_Gresik"/>
      <sheetName val="Salary"/>
      <sheetName val="Rekapsub-total-ME"/>
      <sheetName val="Item Dominan"/>
      <sheetName val="eq_data ????"/>
      <sheetName val="?è"/>
      <sheetName val="기계공사비집계(ၩ"/>
      <sheetName val="기계공사비집계(թ"/>
      <sheetName val="기계공사비집계(i"/>
      <sheetName val="PCC EAF"/>
      <sheetName val="PCC LF"/>
      <sheetName val="APP-9"/>
      <sheetName val="Indeks"/>
      <sheetName val="5-ALAT(1)"/>
      <sheetName val="4-Basic Price"/>
      <sheetName val="1-Rekap"/>
      <sheetName val="기계공사비집계(珆꭭_"/>
      <sheetName val="_fdn_bm_pro.xls_기계공사비집계(珆꭭_"/>
      <sheetName val="STD"/>
      <sheetName val="Unit. Price"/>
      <sheetName val="Dati base"/>
      <sheetName val="US Inflation Factors"/>
      <sheetName val="Ratios"/>
      <sheetName val="Cover Page"/>
      <sheetName val="유림골조"/>
      <sheetName val="뜃맟뭁돽띿맟-BLDG"/>
      <sheetName val="기계공사비집계(珆꭭"/>
      <sheetName val="fdn_bm_pro.xls기계공사비집계(珆꭭"/>
      <sheetName val="Finish list"/>
      <sheetName val="Bldg정보"/>
      <sheetName val="7"/>
      <sheetName val="5_Peralatan"/>
      <sheetName val="sOURCES"/>
      <sheetName val="자재집계 &amp; 총괄표"/>
      <sheetName val="생산량"/>
      <sheetName val="Engrg Est"/>
      <sheetName val="Cover_Flex"/>
      <sheetName val="[fdn_bm_pro.xls]_fdn_bm_pro_x_2"/>
      <sheetName val="가설개략"/>
      <sheetName val="dlvoid"/>
      <sheetName val="GASATAGG.XLS"/>
      <sheetName val="Informasi"/>
      <sheetName val="CBD"/>
      <sheetName val="BD-PP-OFF"/>
      <sheetName val="M1"/>
      <sheetName val="InsertListDrawing 1 "/>
      <sheetName val="barTable"/>
      <sheetName val="Testing"/>
      <sheetName val="BILL Of QUANTITIES"/>
      <sheetName val="page 142"/>
      <sheetName val="H.Satuan"/>
      <sheetName val="BEND LOSS"/>
      <sheetName val="Listenfelder"/>
      <sheetName val="SAT"/>
      <sheetName val="6PILE  (돌출)"/>
      <sheetName val="Tie_Beam_GN"/>
      <sheetName val="system_&amp;_LOOK_UP_FUNC"/>
      <sheetName val="96_12"/>
      <sheetName val="tabulación final"/>
      <sheetName val="Div26 - Elect"/>
      <sheetName val="송강"/>
      <sheetName val="예정공정표 (2)"/>
      <sheetName val="2.4.1 Elec_BOQ"/>
      <sheetName val="2.4.1 Inst_BOQ"/>
      <sheetName val="PTF Report"/>
      <sheetName val="選択リスト"/>
      <sheetName val="図面番号参照"/>
      <sheetName val="Sh_x0005__x0000__x0000_"/>
      <sheetName val="DTmpData"/>
      <sheetName val="ADMIN TB-557066_00A"/>
      <sheetName val="LABORATORY TB-557091_00A"/>
      <sheetName val="OME5 TB-557088-001_00A"/>
      <sheetName val="OME4 TB-557087-001_00A"/>
      <sheetName val="OME3 TB-557086-001_00A"/>
      <sheetName val="CMB EMTS TB-557084_00A"/>
      <sheetName val="SLCB TB-557083-002_00B"/>
      <sheetName val="PIB9 TB-557082-003_00B"/>
      <sheetName val="PIB7 TB-557081-003_00B"/>
      <sheetName val="PIB6 TB-557080-003_00B"/>
      <sheetName val="PIB5 TB-557079-002_00B"/>
      <sheetName val="PIB4 TB-557078-002_00B"/>
      <sheetName val="PIB3 TB-557077-002_00B"/>
      <sheetName val="CCB TB-557075-001_00B"/>
      <sheetName val="CCB TB-557073-002_00B"/>
      <sheetName val="CCB TB-557072-001_00A"/>
      <sheetName val="CCB TB-557051_00B"/>
      <sheetName val="MASTER"/>
      <sheetName val="Budget Weight Instructions A"/>
      <sheetName val="P-base-1"/>
      <sheetName val="E-base-1"/>
      <sheetName val="Forecast"/>
      <sheetName val="Basic data"/>
      <sheetName val="Isolasi Luar Dalam"/>
      <sheetName val="Isolasi Luar"/>
      <sheetName val="PDMP"/>
      <sheetName val="PCE"/>
      <sheetName val="PRODUK"/>
      <sheetName val="TOOL-ME"/>
      <sheetName val="Sh_x0005_"/>
      <sheetName val="NOC"/>
      <sheetName val="EMPLOYMENT CERTIFICATE"/>
      <sheetName val="Salary cer"/>
      <sheetName val="Master file"/>
      <sheetName val="AC"/>
      <sheetName val="암거공"/>
      <sheetName val="가수금대체"/>
      <sheetName val="손익예상"/>
      <sheetName val="working"/>
      <sheetName val="배관내역"/>
      <sheetName val="공정현황"/>
      <sheetName val="PPJan'06"/>
      <sheetName val="공사계획서"/>
      <sheetName val="품셈표"/>
      <sheetName val="Eq. Mobilization"/>
      <sheetName val="Line dP"/>
      <sheetName val="Motor Table"/>
      <sheetName val=" Input "/>
      <sheetName val="77521"/>
      <sheetName val="Connections"/>
      <sheetName val="Calc"/>
      <sheetName val="7_5_1(A)_Data8"/>
      <sheetName val="7_5_1(B)_BOQ_Breakdown8"/>
      <sheetName val="7_5_1(C)_Scope8"/>
      <sheetName val="7_5_1(D)_Basis8"/>
      <sheetName val="7_5_1(E)_Allowance8"/>
      <sheetName val="7_5_2_BOQ_Summary8"/>
      <sheetName val="7_5_3_BOQ8"/>
      <sheetName val="A__Erec_BOQ(Shop)8"/>
      <sheetName val="B__Erec_BOQ(Field)8"/>
      <sheetName val="C__Surface_Protection8"/>
      <sheetName val="A__Erec_BOQ(Shop)_(2)8"/>
      <sheetName val="B__Erec_BOQ(Field)_(2)8"/>
      <sheetName val="C__Surf_Protection8"/>
      <sheetName val="Attachment_#18"/>
      <sheetName val="Attachment_#28"/>
      <sheetName val="302_C18"/>
      <sheetName val="302_C28"/>
      <sheetName val="SUPPLY_(2)8"/>
      <sheetName val="RETURN_(2)8"/>
      <sheetName val="303_(2)8"/>
      <sheetName val="308_(2)8"/>
      <sheetName val="309_(2)8"/>
      <sheetName val="JUNCTION_BOX8"/>
      <sheetName val="PIPE_FITTING8"/>
      <sheetName val="TUBE_FITTING8"/>
      <sheetName val="CABLE_GLAND8"/>
      <sheetName val="CONS__EQUIP___8"/>
      <sheetName val="BLR_18"/>
      <sheetName val="REINF_8"/>
      <sheetName val="ITB_COST7"/>
      <sheetName val="97_사업추정(WEKI)7"/>
      <sheetName val="Cost_control7"/>
      <sheetName val="90EL_JACKET7"/>
      <sheetName val="보온_회사분7"/>
      <sheetName val="FIRE_FIGHTING7"/>
      <sheetName val="plan&amp;section_of_foundation6"/>
      <sheetName val="design_criteria6"/>
      <sheetName val="Sch_65"/>
      <sheetName val="bill_25"/>
      <sheetName val="Mat_Stelo6"/>
      <sheetName val="1_설계기준5"/>
      <sheetName val="Unit_SUM6"/>
      <sheetName val="표지_(2)5"/>
      <sheetName val="배관물량_(STEEL)5"/>
      <sheetName val="Sheet_15"/>
      <sheetName val="Tipo_Terzi6"/>
      <sheetName val="BM_DATA_SHEET6"/>
      <sheetName val="working_load_at_the_btm_ft_5"/>
      <sheetName val="stability_check5"/>
      <sheetName val="Break_Dw5"/>
      <sheetName val="방유제용량_계산서5"/>
      <sheetName val="Material_Specification5"/>
      <sheetName val="special_item_양진규_작성5"/>
      <sheetName val="OUTER_AREA(겹침없음)5"/>
      <sheetName val="CAMP_OPERATING_COST5"/>
      <sheetName val="PERSONNEL_SETUP5"/>
      <sheetName val="LIST_OF_OFFICE_EQUIPMENT5"/>
      <sheetName val="STAFF&amp;INDIRECT_SALARY_-_SUMMAR5"/>
      <sheetName val="KOREAN_STAFF_SALARY_BREAKDOWN5"/>
      <sheetName val="WELFARE_COST_-_SITE5"/>
      <sheetName val="INPUT_DATA5"/>
      <sheetName val="개시대사_(2)5"/>
      <sheetName val="pile_bearing_capa_&amp;_arrenge5"/>
      <sheetName val="design_load5"/>
      <sheetName val="Fab__Skid5"/>
      <sheetName val="입고장부_(4)5"/>
      <sheetName val="FEUILLE_INTERNE5"/>
      <sheetName val="L_V_Separator5"/>
      <sheetName val="CAMP_-_CONSTRUCTION5"/>
      <sheetName val="E_Rate_PM5"/>
      <sheetName val="Schedule_2_and_35"/>
      <sheetName val="CAL_5"/>
      <sheetName val="COMPARISON_TABLE5"/>
      <sheetName val="3_0_Overall_Progress_S-curve5"/>
      <sheetName val="3-4_SPI5"/>
      <sheetName val="BSD_(2)3"/>
      <sheetName val="TRAY_BM3"/>
      <sheetName val="Summary_Sheets3"/>
      <sheetName val="Cover_sheet3"/>
      <sheetName val="11_자재단가4"/>
      <sheetName val="1_OF_94"/>
      <sheetName val="품셈_3"/>
      <sheetName val="sc0314_Index3"/>
      <sheetName val="Graph_(LGEN)3"/>
      <sheetName val="선적schedule_(2)3"/>
      <sheetName val="Resource_summary3"/>
      <sheetName val="w't_table3"/>
      <sheetName val="Struct-Grass_root3"/>
      <sheetName val="PAGE_23"/>
      <sheetName val="7_5_2_BOQ_Summary_3"/>
      <sheetName val="Rekap_A3"/>
      <sheetName val="General_Data5"/>
      <sheetName val="PRICE_COMP5"/>
      <sheetName val="A(Rev_3)5"/>
      <sheetName val="static_cal3"/>
      <sheetName val="crude_SLAB_RE-bar3"/>
      <sheetName val="7_6_3(B)_UG_Piping3"/>
      <sheetName val="PRICE_LIST3"/>
      <sheetName val="paint_mat3"/>
      <sheetName val="VE_Estimate3"/>
      <sheetName val="TABLE2-2_OSBL-(SITE_PREP)3"/>
      <sheetName val="OFFER_RATE3"/>
      <sheetName val="Job_Data3"/>
      <sheetName val="Piping_Design_Data3"/>
      <sheetName val="Summary_20023"/>
      <sheetName val="ASME_B_36_10_M3"/>
      <sheetName val="eq_data__x005f_x0000__x005f_x0000__x005f_x0000__3"/>
      <sheetName val="-15_03"/>
      <sheetName val="견적_집계3"/>
      <sheetName val="PULLING_SUPT등3"/>
      <sheetName val="Sheet1_(2)3"/>
      <sheetName val="PAGE_13"/>
      <sheetName val="_생산성_분석_체계_절차_xlsx3"/>
      <sheetName val="BQ_List3"/>
      <sheetName val="Break_Down3"/>
      <sheetName val="Supervision_List3"/>
      <sheetName val="Page_103"/>
      <sheetName val="간접비_총괄표3"/>
      <sheetName val="CRUDE_RE-bar3"/>
      <sheetName val="Exchange_rates2"/>
      <sheetName val="Eng_hour_DB3"/>
      <sheetName val="COST_UP3"/>
      <sheetName val="DUTCH_CONE3"/>
      <sheetName val="C급보_3"/>
      <sheetName val="PAGE_3_GENERAL_DETAILS3"/>
      <sheetName val="적용_환율3"/>
      <sheetName val="Rectangular_Beam3"/>
      <sheetName val="GM_0003"/>
      <sheetName val="PRECAST_lightconc-II3"/>
      <sheetName val="Rev_No3"/>
      <sheetName val="PUMP_SHT3"/>
      <sheetName val="Elect_(3)3"/>
      <sheetName val="TENDER_PROG_3"/>
      <sheetName val="PROC_PROG3"/>
      <sheetName val="Block_D3"/>
      <sheetName val="2_Calculation_13"/>
      <sheetName val="Datasheet_GLL_double_weir_(1)3"/>
      <sheetName val="_3"/>
      <sheetName val="eq_data__x005f_x0000__x003"/>
      <sheetName val="co-no_22"/>
      <sheetName val="33628-Rev__A3"/>
      <sheetName val="TYPE-B_평균H3"/>
      <sheetName val="6_공사비_내역_(가)3"/>
      <sheetName val="Sheet2_(2)3"/>
      <sheetName val="Form_A_12"/>
      <sheetName val="Form_A_1_12"/>
      <sheetName val="BOM_Indirect2"/>
      <sheetName val="Form_A_1_II_22"/>
      <sheetName val="6_GSTG_PIPING2"/>
      <sheetName val="NONS__2,1892"/>
      <sheetName val="내역서_2"/>
      <sheetName val="Reference_Table2"/>
      <sheetName val="CAL(1)_2"/>
      <sheetName val="member_design2"/>
      <sheetName val="soil_bearing_check2"/>
      <sheetName val="OCT_FDN2"/>
      <sheetName val="PRI_CIV2"/>
      <sheetName val="FOR_CIV2"/>
      <sheetName val="SUB_CIV2"/>
      <sheetName val="ANA_CIV2"/>
      <sheetName val="AUX_CIV2"/>
      <sheetName val="hori__vessel(E-895)2"/>
      <sheetName val="2_32"/>
      <sheetName val="S_N2"/>
      <sheetName val="REF_ONLY2"/>
      <sheetName val="Loading_Table2"/>
      <sheetName val="SUMMARY_(0)3"/>
      <sheetName val="Vent_Line_size2"/>
      <sheetName val="Pipelines_ASAB_I-II_Brownfield2"/>
      <sheetName val="MEASURE_LIST2"/>
      <sheetName val="4_1구조설계2"/>
      <sheetName val="HRG_BHN2"/>
      <sheetName val="input_data-0909082"/>
      <sheetName val="MH_Estimation_Guide2"/>
      <sheetName val="공사비_내역_(가)2"/>
      <sheetName val="Don_gia2"/>
      <sheetName val="Comp_Rate_2"/>
      <sheetName val="Data_12"/>
      <sheetName val="Expenses_per_Cost_Code_2"/>
      <sheetName val="7_0_Crack_Check2"/>
      <sheetName val="축열조_기초2"/>
      <sheetName val="Fill_this_out_first___4"/>
      <sheetName val="Fill_this_out_first___5"/>
      <sheetName val="COMB_MNG&amp;STAFF_(ALL)__(2)2"/>
      <sheetName val="Forecast_Drivers2"/>
      <sheetName val="Q5434_EQ_LIST2"/>
      <sheetName val="motor_power2"/>
      <sheetName val="Unit_Cost2"/>
      <sheetName val="Section_1~4(1)2"/>
      <sheetName val="Section_1~4_2"/>
      <sheetName val="Section_52"/>
      <sheetName val="Section_5_22"/>
      <sheetName val="Section_5_32"/>
      <sheetName val="Section_62"/>
      <sheetName val="Section_6_22"/>
      <sheetName val="Attachment_12"/>
      <sheetName val="Attachmenet_22"/>
      <sheetName val="Analisa_HS2"/>
      <sheetName val="RAW_MATERIALS_2"/>
      <sheetName val="COST-PERSON-J_O_2"/>
      <sheetName val="COST-EST_LTI_P5C2"/>
      <sheetName val="SLEIPNER_-_ORMEN_LANGE2"/>
      <sheetName val="전기_BM_revA('090624)_xls2"/>
      <sheetName val="定额_(06)2"/>
      <sheetName val="Coeff_2"/>
      <sheetName val="4-3LEVEL-5_epic_42"/>
      <sheetName val="4_단락전류2"/>
      <sheetName val="[fdn_bm_pro_xls]기계공사비집계(珆꭭/2"/>
      <sheetName val="2-SITE_"/>
      <sheetName val="BID_FORM"/>
      <sheetName val="Form_of_Bid"/>
      <sheetName val="INST_LIST"/>
      <sheetName val="MANPOWER_DIRECT_TRACKING"/>
      <sheetName val="Timescaled_Data"/>
      <sheetName val="Home_Office"/>
      <sheetName val="Code_02"/>
      <sheetName val="Code_03"/>
      <sheetName val="Code_04"/>
      <sheetName val="Code_05"/>
      <sheetName val="Code_06"/>
      <sheetName val="Code_07"/>
      <sheetName val="Code_09"/>
      <sheetName val="4300_UTILITY_BLDG_(2)"/>
      <sheetName val="Price_Breakdown(Building)"/>
      <sheetName val="Item_Dominan"/>
      <sheetName val="Finish_list"/>
      <sheetName val="PCC_EAF"/>
      <sheetName val="PCC_LF"/>
      <sheetName val="4-Basic_Price"/>
      <sheetName val="_fdn_bm_pro_xls_기계공사비집계(珆꭭_"/>
      <sheetName val="eq_data_????"/>
      <sheetName val="Unit__Price"/>
      <sheetName val="Dati_base"/>
      <sheetName val="US_Inflation_Factors"/>
      <sheetName val="Cover_Page"/>
      <sheetName val="fdn_bm_pro_xls기계공사비집계(珆꭭"/>
      <sheetName val="Engrg_Est"/>
      <sheetName val="eq_data _x005f_x005f_x005f_x0000__x005f_x005f_x00"/>
      <sheetName val="eq_data _x005f_x005f_x005f_x0000__x00"/>
      <sheetName val="eq_data__x005f_x005f_x005f_x0000__x005f_x005f_x00"/>
      <sheetName val="Cost"/>
      <sheetName val="KEYS"/>
      <sheetName val="95WBS"/>
      <sheetName val="RDLEVLST"/>
      <sheetName val="PkRp"/>
      <sheetName val="eq_data _x0000__x00"/>
      <sheetName val="DataFormat"/>
      <sheetName val="DataPrep"/>
      <sheetName val="Cutoff"/>
      <sheetName val="자재집계_&amp;_총괄표"/>
      <sheetName val="[fdn_bm_pro_xls]_fdn_bm_pro_x_2"/>
      <sheetName val="GASATAGG_XLS"/>
      <sheetName val="BEND_LOSS"/>
      <sheetName val="eq_data_1"/>
      <sheetName val="7_5_1(A)_Data9"/>
      <sheetName val="7_5_1(B)_BOQ_Breakdown9"/>
      <sheetName val="7_5_1(C)_Scope9"/>
      <sheetName val="7_5_1(D)_Basis9"/>
      <sheetName val="7_5_1(E)_Allowance9"/>
      <sheetName val="7_5_2_BOQ_Summary9"/>
      <sheetName val="7_5_3_BOQ9"/>
      <sheetName val="A__Erec_BOQ(Shop)9"/>
      <sheetName val="B__Erec_BOQ(Field)9"/>
      <sheetName val="C__Surface_Protection9"/>
      <sheetName val="A__Erec_BOQ(Shop)_(2)9"/>
      <sheetName val="B__Erec_BOQ(Field)_(2)9"/>
      <sheetName val="C__Surf_Protection9"/>
      <sheetName val="Attachment_#19"/>
      <sheetName val="Attachment_#29"/>
      <sheetName val="302_C19"/>
      <sheetName val="302_C29"/>
      <sheetName val="SUPPLY_(2)9"/>
      <sheetName val="RETURN_(2)9"/>
      <sheetName val="303_(2)9"/>
      <sheetName val="308_(2)9"/>
      <sheetName val="309_(2)9"/>
      <sheetName val="JUNCTION_BOX9"/>
      <sheetName val="PIPE_FITTING9"/>
      <sheetName val="TUBE_FITTING9"/>
      <sheetName val="CABLE_GLAND9"/>
      <sheetName val="CONS__EQUIP___9"/>
      <sheetName val="BLR_19"/>
      <sheetName val="REINF_9"/>
      <sheetName val="ITB_COST8"/>
      <sheetName val="97_사업추정(WEKI)8"/>
      <sheetName val="90EL_JACKET8"/>
      <sheetName val="보온_회사분8"/>
      <sheetName val="Cost_control8"/>
      <sheetName val="FIRE_FIGHTING8"/>
      <sheetName val="Tipo_Terzi7"/>
      <sheetName val="plan&amp;section_of_foundation7"/>
      <sheetName val="design_criteria7"/>
      <sheetName val="BM_DATA_SHEET7"/>
      <sheetName val="Mat_Stelo7"/>
      <sheetName val="Unit_SUM7"/>
      <sheetName val="1_설계기준6"/>
      <sheetName val="working_load_at_the_btm_ft_6"/>
      <sheetName val="stability_check6"/>
      <sheetName val="OUTER_AREA(겹침없음)6"/>
      <sheetName val="Material_Specification6"/>
      <sheetName val="special_item_양진규_작성6"/>
      <sheetName val="bill_26"/>
      <sheetName val="방유제용량_계산서6"/>
      <sheetName val="Break_Dw6"/>
      <sheetName val="표지_(2)6"/>
      <sheetName val="pile_bearing_capa_&amp;_arrenge6"/>
      <sheetName val="design_load6"/>
      <sheetName val="Fab__Skid6"/>
      <sheetName val="Sch_66"/>
      <sheetName val="INPUT_DATA6"/>
      <sheetName val="CAMP_OPERATING_COST6"/>
      <sheetName val="PERSONNEL_SETUP6"/>
      <sheetName val="LIST_OF_OFFICE_EQUIPMENT6"/>
      <sheetName val="STAFF&amp;INDIRECT_SALARY_-_SUMMAR6"/>
      <sheetName val="KOREAN_STAFF_SALARY_BREAKDOWN6"/>
      <sheetName val="WELFARE_COST_-_SITE6"/>
      <sheetName val="개시대사_(2)6"/>
      <sheetName val="입고장부_(4)6"/>
      <sheetName val="FEUILLE_INTERNE6"/>
      <sheetName val="COMPARISON_TABLE6"/>
      <sheetName val="L_V_Separator6"/>
      <sheetName val="CAMP_-_CONSTRUCTION6"/>
      <sheetName val="E_Rate_PM6"/>
      <sheetName val="Schedule_2_and_36"/>
      <sheetName val="CAL_6"/>
      <sheetName val="11_자재단가5"/>
      <sheetName val="1_OF_95"/>
      <sheetName val="Cover_sheet4"/>
      <sheetName val="BSD_(2)4"/>
      <sheetName val="TRAY_BM4"/>
      <sheetName val="Graph_(LGEN)4"/>
      <sheetName val="선적schedule_(2)4"/>
      <sheetName val="Summary_Sheets4"/>
      <sheetName val="품셈_4"/>
      <sheetName val="sc0314_Index4"/>
      <sheetName val="Resource_summary4"/>
      <sheetName val="배관물량_(STEEL)6"/>
      <sheetName val="Sheet_16"/>
      <sheetName val="w't_table4"/>
      <sheetName val="eq_data__x005f_x0000__x005f_x0000__x005f_x0000__4"/>
      <sheetName val="Struct-Grass_root4"/>
      <sheetName val="-15_04"/>
      <sheetName val="3_0_Overall_Progress_S-curve6"/>
      <sheetName val="3-4_SPI6"/>
      <sheetName val="General_Data6"/>
      <sheetName val="PRICE_COMP6"/>
      <sheetName val="A(Rev_3)6"/>
      <sheetName val="static_cal4"/>
      <sheetName val="crude_SLAB_RE-bar4"/>
      <sheetName val="7_6_3(B)_UG_Piping4"/>
      <sheetName val="PRICE_LIST4"/>
      <sheetName val="7_5_2_BOQ_Summary_4"/>
      <sheetName val="Rekap_A4"/>
      <sheetName val="paint_mat4"/>
      <sheetName val="VE_Estimate4"/>
      <sheetName val="TABLE2-2_OSBL-(SITE_PREP)4"/>
      <sheetName val="PAGE_24"/>
      <sheetName val="OFFER_RATE4"/>
      <sheetName val="Job_Data4"/>
      <sheetName val="Piping_Design_Data4"/>
      <sheetName val="Summary_20024"/>
      <sheetName val="ASME_B_36_10_M4"/>
      <sheetName val="Break_Down4"/>
      <sheetName val="Supervision_List4"/>
      <sheetName val="견적_집계4"/>
      <sheetName val="PULLING_SUPT등4"/>
      <sheetName val="Sheet1_(2)4"/>
      <sheetName val="PAGE_14"/>
      <sheetName val="_생산성_분석_체계_절차_xlsx4"/>
      <sheetName val="BQ_List4"/>
      <sheetName val="Page_104"/>
      <sheetName val="C급보_4"/>
      <sheetName val="Rectangular_Beam4"/>
      <sheetName val="간접비_총괄표4"/>
      <sheetName val="Eng_hour_DB4"/>
      <sheetName val="CRUDE_RE-bar4"/>
      <sheetName val="DUTCH_CONE4"/>
      <sheetName val="PAGE_3_GENERAL_DETAILS4"/>
      <sheetName val="적용_환율4"/>
      <sheetName val="GM_0004"/>
      <sheetName val="PRECAST_lightconc-II4"/>
      <sheetName val="Elect_(3)4"/>
      <sheetName val="Rev_No4"/>
      <sheetName val="COST_UP4"/>
      <sheetName val="PUMP_SHT4"/>
      <sheetName val="TENDER_PROG_4"/>
      <sheetName val="PROC_PROG4"/>
      <sheetName val="Block_D4"/>
      <sheetName val="2_Calculation_14"/>
      <sheetName val="Datasheet_GLL_double_weir_(1)4"/>
      <sheetName val="_4"/>
      <sheetName val="eq_data__x005f_x0000__x004"/>
      <sheetName val="33628-Rev__A4"/>
      <sheetName val="TYPE-B_평균H4"/>
      <sheetName val="6_공사비_내역_(가)4"/>
      <sheetName val="Sheet2_(2)4"/>
      <sheetName val="REF_ONLY3"/>
      <sheetName val="co-no_23"/>
      <sheetName val="Form_A_13"/>
      <sheetName val="Form_A_1_13"/>
      <sheetName val="BOM_Indirect3"/>
      <sheetName val="Form_A_1_II_23"/>
      <sheetName val="6_GSTG_PIPING3"/>
      <sheetName val="NONS__2,1893"/>
      <sheetName val="COMB_MNG&amp;STAFF_(ALL)__(2)3"/>
      <sheetName val="Reference_Table3"/>
      <sheetName val="CAL(1)_3"/>
      <sheetName val="member_design3"/>
      <sheetName val="soil_bearing_check3"/>
      <sheetName val="OCT_FDN3"/>
      <sheetName val="PRI_CIV3"/>
      <sheetName val="FOR_CIV3"/>
      <sheetName val="SUB_CIV3"/>
      <sheetName val="ANA_CIV3"/>
      <sheetName val="AUX_CIV3"/>
      <sheetName val="내역서_3"/>
      <sheetName val="hori__vessel(E-895)3"/>
      <sheetName val="2_33"/>
      <sheetName val="S_N3"/>
      <sheetName val="Loading_Table3"/>
      <sheetName val="SUMMARY_(0)4"/>
      <sheetName val="4_1구조설계3"/>
      <sheetName val="Pipelines_ASAB_I-II_Brownfield3"/>
      <sheetName val="MH_Estimation_Guide3"/>
      <sheetName val="공사비_내역_(가)3"/>
      <sheetName val="input_data-0909083"/>
      <sheetName val="HRG_BHN3"/>
      <sheetName val="Vent_Line_size3"/>
      <sheetName val="Expenses_per_Cost_Code_3"/>
      <sheetName val="Comp_Rate_3"/>
      <sheetName val="Analisa_HS3"/>
      <sheetName val="Section_1~4(1)3"/>
      <sheetName val="Section_1~4_3"/>
      <sheetName val="Section_53"/>
      <sheetName val="Section_5_23"/>
      <sheetName val="Section_5_33"/>
      <sheetName val="Section_63"/>
      <sheetName val="Section_6_23"/>
      <sheetName val="Attachment_13"/>
      <sheetName val="Attachmenet_23"/>
      <sheetName val="7_0_Crack_Check3"/>
      <sheetName val="축열조_기초3"/>
      <sheetName val="Fill_this_out_first___6"/>
      <sheetName val="Fill_this_out_first___7"/>
      <sheetName val="Forecast_Drivers3"/>
      <sheetName val="RAW_MATERIALS_3"/>
      <sheetName val="COST-PERSON-J_O_3"/>
      <sheetName val="MEASURE_LIST3"/>
      <sheetName val="Don_gia3"/>
      <sheetName val="COST-EST_LTI_P5C3"/>
      <sheetName val="SLEIPNER_-_ORMEN_LANGE3"/>
      <sheetName val="전기_BM_revA('090624)_xls3"/>
      <sheetName val="定额_(06)3"/>
      <sheetName val="Tie_Beam_GN1"/>
      <sheetName val="4_단락전류3"/>
      <sheetName val="system_&amp;_LOOK_UP_FUNC1"/>
      <sheetName val="Q5434_EQ_LIST3"/>
      <sheetName val="motor_power3"/>
      <sheetName val="Data_13"/>
      <sheetName val="4-3LEVEL-5_epic_43"/>
      <sheetName val="Unit_Cost3"/>
      <sheetName val="Coeff_3"/>
      <sheetName val="[fdn_bm_pro_xls]기계공사비집계(珆꭭/3"/>
      <sheetName val="96_121"/>
      <sheetName val="Exchange_rates3"/>
      <sheetName val="BID_FORM1"/>
      <sheetName val="Form_of_Bid1"/>
      <sheetName val="INST_LIST1"/>
      <sheetName val="Item_Dominan1"/>
      <sheetName val="Code_021"/>
      <sheetName val="Code_031"/>
      <sheetName val="Code_041"/>
      <sheetName val="Code_051"/>
      <sheetName val="Code_061"/>
      <sheetName val="Code_071"/>
      <sheetName val="Code_091"/>
      <sheetName val="4300_UTILITY_BLDG_(2)1"/>
      <sheetName val="Price_Breakdown(Building)1"/>
      <sheetName val="MANPOWER_DIRECT_TRACKING1"/>
      <sheetName val="Timescaled_Data1"/>
      <sheetName val="Home_Office1"/>
      <sheetName val="fdn_bm_pro_xls기계공사비집계(珆꭭1"/>
      <sheetName val="2-SITE_1"/>
      <sheetName val="eq_data_????1"/>
      <sheetName val="PCC_EAF1"/>
      <sheetName val="PCC_LF1"/>
      <sheetName val="4-Basic_Price1"/>
      <sheetName val="_fdn_bm_pro_xls_기계공사비집계(珆꭭_1"/>
      <sheetName val="Finish_list1"/>
      <sheetName val="Dati_base1"/>
      <sheetName val="US_Inflation_Factors1"/>
      <sheetName val="Cover_Page1"/>
      <sheetName val="Unit__Price1"/>
      <sheetName val="자재집계_&amp;_총괄표1"/>
      <sheetName val="Engrg_Est1"/>
      <sheetName val="[fdn_bm_pro_xls]_fdn_bm_pro_x_1"/>
      <sheetName val="GASATAGG_XLS1"/>
      <sheetName val="BEND_LOSS1"/>
      <sheetName val="eq_data_2"/>
      <sheetName val="7_5_1(A)_Data10"/>
      <sheetName val="7_5_1(B)_BOQ_Breakdown10"/>
      <sheetName val="7_5_1(C)_Scope10"/>
      <sheetName val="7_5_1(D)_Basis10"/>
      <sheetName val="7_5_1(E)_Allowance10"/>
      <sheetName val="7_5_2_BOQ_Summary10"/>
      <sheetName val="7_5_3_BOQ10"/>
      <sheetName val="A__Erec_BOQ(Shop)10"/>
      <sheetName val="B__Erec_BOQ(Field)10"/>
      <sheetName val="C__Surface_Protection10"/>
      <sheetName val="A__Erec_BOQ(Shop)_(2)10"/>
      <sheetName val="B__Erec_BOQ(Field)_(2)10"/>
      <sheetName val="C__Surf_Protection10"/>
      <sheetName val="Attachment_#110"/>
      <sheetName val="Attachment_#210"/>
      <sheetName val="302_C110"/>
      <sheetName val="302_C210"/>
      <sheetName val="SUPPLY_(2)10"/>
      <sheetName val="RETURN_(2)10"/>
      <sheetName val="303_(2)10"/>
      <sheetName val="308_(2)10"/>
      <sheetName val="309_(2)10"/>
      <sheetName val="JUNCTION_BOX10"/>
      <sheetName val="PIPE_FITTING10"/>
      <sheetName val="TUBE_FITTING10"/>
      <sheetName val="CABLE_GLAND10"/>
      <sheetName val="CONS__EQUIP___10"/>
      <sheetName val="BLR_110"/>
      <sheetName val="REINF_10"/>
      <sheetName val="ITB_COST9"/>
      <sheetName val="97_사업추정(WEKI)9"/>
      <sheetName val="90EL_JACKET9"/>
      <sheetName val="보온_회사분9"/>
      <sheetName val="Cost_control9"/>
      <sheetName val="FIRE_FIGHTING9"/>
      <sheetName val="Tipo_Terzi8"/>
      <sheetName val="plan&amp;section_of_foundation8"/>
      <sheetName val="design_criteria8"/>
      <sheetName val="BM_DATA_SHEET8"/>
      <sheetName val="Mat_Stelo8"/>
      <sheetName val="Unit_SUM8"/>
      <sheetName val="1_설계기준7"/>
      <sheetName val="working_load_at_the_btm_ft_7"/>
      <sheetName val="stability_check7"/>
      <sheetName val="OUTER_AREA(겹침없음)7"/>
      <sheetName val="Material_Specification7"/>
      <sheetName val="special_item_양진규_작성7"/>
      <sheetName val="bill_27"/>
      <sheetName val="방유제용량_계산서7"/>
      <sheetName val="Break_Dw7"/>
      <sheetName val="표지_(2)7"/>
      <sheetName val="pile_bearing_capa_&amp;_arrenge7"/>
      <sheetName val="design_load7"/>
      <sheetName val="Fab__Skid7"/>
      <sheetName val="Sch_67"/>
      <sheetName val="INPUT_DATA7"/>
      <sheetName val="CAMP_OPERATING_COST7"/>
      <sheetName val="PERSONNEL_SETUP7"/>
      <sheetName val="LIST_OF_OFFICE_EQUIPMENT7"/>
      <sheetName val="STAFF&amp;INDIRECT_SALARY_-_SUMMAR7"/>
      <sheetName val="KOREAN_STAFF_SALARY_BREAKDOWN7"/>
      <sheetName val="WELFARE_COST_-_SITE7"/>
      <sheetName val="개시대사_(2)7"/>
      <sheetName val="입고장부_(4)7"/>
      <sheetName val="FEUILLE_INTERNE7"/>
      <sheetName val="COMPARISON_TABLE7"/>
      <sheetName val="L_V_Separator7"/>
      <sheetName val="CAMP_-_CONSTRUCTION7"/>
      <sheetName val="E_Rate_PM7"/>
      <sheetName val="Schedule_2_and_37"/>
      <sheetName val="CAL_7"/>
      <sheetName val="11_자재단가6"/>
      <sheetName val="1_OF_96"/>
      <sheetName val="Cover_sheet5"/>
      <sheetName val="BSD_(2)5"/>
      <sheetName val="TRAY_BM5"/>
      <sheetName val="Graph_(LGEN)5"/>
      <sheetName val="선적schedule_(2)5"/>
      <sheetName val="Summary_Sheets5"/>
      <sheetName val="품셈_5"/>
      <sheetName val="sc0314_Index5"/>
      <sheetName val="Resource_summary5"/>
      <sheetName val="배관물량_(STEEL)7"/>
      <sheetName val="Sheet_17"/>
      <sheetName val="w't_table5"/>
      <sheetName val="eq_data__x005f_x0000__x005f_x0000__x005f_x0000__5"/>
      <sheetName val="Struct-Grass_root5"/>
      <sheetName val="-15_05"/>
      <sheetName val="3_0_Overall_Progress_S-curve7"/>
      <sheetName val="3-4_SPI7"/>
      <sheetName val="General_Data7"/>
      <sheetName val="PRICE_COMP7"/>
      <sheetName val="A(Rev_3)7"/>
      <sheetName val="static_cal5"/>
      <sheetName val="crude_SLAB_RE-bar5"/>
      <sheetName val="7_6_3(B)_UG_Piping5"/>
      <sheetName val="PRICE_LIST5"/>
      <sheetName val="7_5_2_BOQ_Summary_5"/>
      <sheetName val="Rekap_A5"/>
      <sheetName val="paint_mat5"/>
      <sheetName val="VE_Estimate5"/>
      <sheetName val="TABLE2-2_OSBL-(SITE_PREP)5"/>
      <sheetName val="PAGE_25"/>
      <sheetName val="OFFER_RATE5"/>
      <sheetName val="Job_Data5"/>
      <sheetName val="Piping_Design_Data5"/>
      <sheetName val="Summary_20025"/>
      <sheetName val="ASME_B_36_10_M5"/>
      <sheetName val="Break_Down5"/>
      <sheetName val="Supervision_List5"/>
      <sheetName val="견적_집계5"/>
      <sheetName val="PULLING_SUPT등5"/>
      <sheetName val="Sheet1_(2)5"/>
      <sheetName val="PAGE_15"/>
      <sheetName val="_생산성_분석_체계_절차_xlsx5"/>
      <sheetName val="BQ_List5"/>
      <sheetName val="Page_105"/>
      <sheetName val="C급보_5"/>
      <sheetName val="Rectangular_Beam5"/>
      <sheetName val="간접비_총괄표5"/>
      <sheetName val="Eng_hour_DB5"/>
      <sheetName val="CRUDE_RE-bar5"/>
      <sheetName val="DUTCH_CONE5"/>
      <sheetName val="PAGE_3_GENERAL_DETAILS5"/>
      <sheetName val="적용_환율5"/>
      <sheetName val="GM_0005"/>
      <sheetName val="PRECAST_lightconc-II5"/>
      <sheetName val="Elect_(3)5"/>
      <sheetName val="Rev_No5"/>
      <sheetName val="COST_UP5"/>
      <sheetName val="PUMP_SHT5"/>
      <sheetName val="TENDER_PROG_5"/>
      <sheetName val="PROC_PROG5"/>
      <sheetName val="Block_D5"/>
      <sheetName val="2_Calculation_15"/>
      <sheetName val="Datasheet_GLL_double_weir_(1)5"/>
      <sheetName val="_5"/>
      <sheetName val="eq_data__x005f_x0000__x005"/>
      <sheetName val="33628-Rev__A5"/>
      <sheetName val="TYPE-B_평균H5"/>
      <sheetName val="6_공사비_내역_(가)5"/>
      <sheetName val="Sheet2_(2)5"/>
      <sheetName val="REF_ONLY4"/>
      <sheetName val="co-no_24"/>
      <sheetName val="Form_A_14"/>
      <sheetName val="Form_A_1_14"/>
      <sheetName val="BOM_Indirect4"/>
      <sheetName val="Form_A_1_II_24"/>
      <sheetName val="6_GSTG_PIPING4"/>
      <sheetName val="NONS__2,1894"/>
      <sheetName val="COMB_MNG&amp;STAFF_(ALL)__(2)4"/>
      <sheetName val="Reference_Table4"/>
      <sheetName val="CAL(1)_4"/>
      <sheetName val="member_design4"/>
      <sheetName val="soil_bearing_check4"/>
      <sheetName val="OCT_FDN4"/>
      <sheetName val="PRI_CIV4"/>
      <sheetName val="FOR_CIV4"/>
      <sheetName val="SUB_CIV4"/>
      <sheetName val="ANA_CIV4"/>
      <sheetName val="AUX_CIV4"/>
      <sheetName val="내역서_4"/>
      <sheetName val="hori__vessel(E-895)4"/>
      <sheetName val="2_34"/>
      <sheetName val="S_N4"/>
      <sheetName val="Loading_Table4"/>
      <sheetName val="SUMMARY_(0)5"/>
      <sheetName val="4_1구조설계4"/>
      <sheetName val="Pipelines_ASAB_I-II_Brownfield4"/>
      <sheetName val="MH_Estimation_Guide4"/>
      <sheetName val="공사비_내역_(가)4"/>
      <sheetName val="input_data-0909084"/>
      <sheetName val="HRG_BHN4"/>
      <sheetName val="Vent_Line_size4"/>
      <sheetName val="Expenses_per_Cost_Code_4"/>
      <sheetName val="Comp_Rate_4"/>
      <sheetName val="Analisa_HS4"/>
      <sheetName val="Section_1~4(1)4"/>
      <sheetName val="Section_1~4_4"/>
      <sheetName val="Section_54"/>
      <sheetName val="Section_5_24"/>
      <sheetName val="Section_5_34"/>
      <sheetName val="Section_64"/>
      <sheetName val="Section_6_24"/>
      <sheetName val="Attachment_14"/>
      <sheetName val="Attachmenet_24"/>
      <sheetName val="7_0_Crack_Check4"/>
      <sheetName val="축열조_기초4"/>
      <sheetName val="Fill_this_out_first___8"/>
      <sheetName val="Fill_this_out_first___9"/>
      <sheetName val="Forecast_Drivers4"/>
      <sheetName val="RAW_MATERIALS_4"/>
      <sheetName val="COST-PERSON-J_O_4"/>
      <sheetName val="MEASURE_LIST4"/>
      <sheetName val="Don_gia4"/>
      <sheetName val="COST-EST_LTI_P5C4"/>
      <sheetName val="SLEIPNER_-_ORMEN_LANGE4"/>
      <sheetName val="전기_BM_revA('090624)_xls4"/>
      <sheetName val="定额_(06)4"/>
      <sheetName val="Tie_Beam_GN2"/>
      <sheetName val="4_단락전류4"/>
      <sheetName val="system_&amp;_LOOK_UP_FUNC2"/>
      <sheetName val="Q5434_EQ_LIST4"/>
      <sheetName val="motor_power4"/>
      <sheetName val="Data_14"/>
      <sheetName val="4-3LEVEL-5_epic_44"/>
      <sheetName val="Unit_Cost4"/>
      <sheetName val="Coeff_4"/>
      <sheetName val="[fdn_bm_pro_xls]기계공사비집계(珆꭭/4"/>
      <sheetName val="96_122"/>
      <sheetName val="Exchange_rates4"/>
      <sheetName val="BID_FORM2"/>
      <sheetName val="Form_of_Bid2"/>
      <sheetName val="INST_LIST2"/>
      <sheetName val="Item_Dominan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Price_Breakdown(Building)2"/>
      <sheetName val="MANPOWER_DIRECT_TRACKING2"/>
      <sheetName val="Timescaled_Data2"/>
      <sheetName val="Home_Office2"/>
      <sheetName val="fdn_bm_pro_xls기계공사비집계(珆꭭2"/>
      <sheetName val="2-SITE_2"/>
      <sheetName val="eq_data_????2"/>
      <sheetName val="PCC_EAF2"/>
      <sheetName val="PCC_LF2"/>
      <sheetName val="4-Basic_Price2"/>
      <sheetName val="_fdn_bm_pro_xls_기계공사비집계(珆꭭_2"/>
      <sheetName val="Finish_list2"/>
      <sheetName val="Dati_base2"/>
      <sheetName val="US_Inflation_Factors2"/>
      <sheetName val="Cover_Page2"/>
      <sheetName val="Unit__Price2"/>
      <sheetName val="자재집계_&amp;_총괄표2"/>
      <sheetName val="Engrg_Est2"/>
      <sheetName val="[fdn_bm_pro_xls]_fdn_bm_pro_x_3"/>
      <sheetName val="GASATAGG_XLS2"/>
      <sheetName val="BEND_LOSS2"/>
      <sheetName val="eq_data_3"/>
      <sheetName val="7_5_1(A)_Data11"/>
      <sheetName val="7_5_1(B)_BOQ_Breakdown11"/>
      <sheetName val="7_5_1(C)_Scope11"/>
      <sheetName val="7_5_1(D)_Basis11"/>
      <sheetName val="7_5_1(E)_Allowance11"/>
      <sheetName val="7_5_2_BOQ_Summary11"/>
      <sheetName val="7_5_3_BOQ11"/>
      <sheetName val="A__Erec_BOQ(Shop)11"/>
      <sheetName val="B__Erec_BOQ(Field)11"/>
      <sheetName val="C__Surface_Protection11"/>
      <sheetName val="A__Erec_BOQ(Shop)_(2)11"/>
      <sheetName val="B__Erec_BOQ(Field)_(2)11"/>
      <sheetName val="C__Surf_Protection11"/>
      <sheetName val="Attachment_#111"/>
      <sheetName val="Attachment_#211"/>
      <sheetName val="302_C111"/>
      <sheetName val="302_C211"/>
      <sheetName val="SUPPLY_(2)11"/>
      <sheetName val="RETURN_(2)11"/>
      <sheetName val="303_(2)11"/>
      <sheetName val="308_(2)11"/>
      <sheetName val="309_(2)11"/>
      <sheetName val="JUNCTION_BOX11"/>
      <sheetName val="PIPE_FITTING11"/>
      <sheetName val="TUBE_FITTING11"/>
      <sheetName val="CABLE_GLAND11"/>
      <sheetName val="CONS__EQUIP___11"/>
      <sheetName val="BLR_111"/>
      <sheetName val="REINF_11"/>
      <sheetName val="ITB_COST10"/>
      <sheetName val="97_사업추정(WEKI)10"/>
      <sheetName val="90EL_JACKET10"/>
      <sheetName val="보온_회사분10"/>
      <sheetName val="Cost_control10"/>
      <sheetName val="FIRE_FIGHTING10"/>
      <sheetName val="Tipo_Terzi9"/>
      <sheetName val="plan&amp;section_of_foundation9"/>
      <sheetName val="design_criteria9"/>
      <sheetName val="BM_DATA_SHEET9"/>
      <sheetName val="Mat_Stelo9"/>
      <sheetName val="Unit_SUM9"/>
      <sheetName val="1_설계기준8"/>
      <sheetName val="working_load_at_the_btm_ft_8"/>
      <sheetName val="stability_check8"/>
      <sheetName val="OUTER_AREA(겹침없음)8"/>
      <sheetName val="Material_Specification8"/>
      <sheetName val="special_item_양진규_작성8"/>
      <sheetName val="bill_28"/>
      <sheetName val="방유제용량_계산서8"/>
      <sheetName val="Break_Dw8"/>
      <sheetName val="표지_(2)8"/>
      <sheetName val="pile_bearing_capa_&amp;_arrenge8"/>
      <sheetName val="design_load8"/>
      <sheetName val="Fab__Skid8"/>
      <sheetName val="Sch_68"/>
      <sheetName val="INPUT_DATA8"/>
      <sheetName val="CAMP_OPERATING_COST8"/>
      <sheetName val="PERSONNEL_SETUP8"/>
      <sheetName val="LIST_OF_OFFICE_EQUIPMENT8"/>
      <sheetName val="STAFF&amp;INDIRECT_SALARY_-_SUMMAR8"/>
      <sheetName val="KOREAN_STAFF_SALARY_BREAKDOWN8"/>
      <sheetName val="WELFARE_COST_-_SITE8"/>
      <sheetName val="개시대사_(2)8"/>
      <sheetName val="입고장부_(4)8"/>
      <sheetName val="FEUILLE_INTERNE8"/>
      <sheetName val="COMPARISON_TABLE8"/>
      <sheetName val="L_V_Separator8"/>
      <sheetName val="CAMP_-_CONSTRUCTION8"/>
      <sheetName val="E_Rate_PM8"/>
      <sheetName val="Schedule_2_and_38"/>
      <sheetName val="CAL_8"/>
      <sheetName val="11_자재단가7"/>
      <sheetName val="1_OF_97"/>
      <sheetName val="Cover_sheet6"/>
      <sheetName val="BSD_(2)6"/>
      <sheetName val="TRAY_BM6"/>
      <sheetName val="Graph_(LGEN)6"/>
      <sheetName val="선적schedule_(2)6"/>
      <sheetName val="Summary_Sheets6"/>
      <sheetName val="품셈_6"/>
      <sheetName val="sc0314_Index6"/>
      <sheetName val="Resource_summary6"/>
      <sheetName val="배관물량_(STEEL)8"/>
      <sheetName val="Sheet_18"/>
      <sheetName val="w't_table6"/>
      <sheetName val="eq_data__x005f_x0000__x005f_x0000__x005f_x0000__6"/>
      <sheetName val="Struct-Grass_root6"/>
      <sheetName val="-15_06"/>
      <sheetName val="3_0_Overall_Progress_S-curve8"/>
      <sheetName val="3-4_SPI8"/>
      <sheetName val="General_Data8"/>
      <sheetName val="PRICE_COMP8"/>
      <sheetName val="A(Rev_3)8"/>
      <sheetName val="static_cal6"/>
      <sheetName val="crude_SLAB_RE-bar6"/>
      <sheetName val="7_6_3(B)_UG_Piping6"/>
      <sheetName val="PRICE_LIST6"/>
      <sheetName val="7_5_2_BOQ_Summary_6"/>
      <sheetName val="Rekap_A6"/>
      <sheetName val="paint_mat6"/>
      <sheetName val="VE_Estimate6"/>
      <sheetName val="TABLE2-2_OSBL-(SITE_PREP)6"/>
      <sheetName val="PAGE_26"/>
      <sheetName val="OFFER_RATE6"/>
      <sheetName val="Job_Data6"/>
      <sheetName val="Piping_Design_Data6"/>
      <sheetName val="Summary_20026"/>
      <sheetName val="ASME_B_36_10_M6"/>
      <sheetName val="Break_Down6"/>
      <sheetName val="Supervision_List6"/>
      <sheetName val="견적_집계6"/>
      <sheetName val="PULLING_SUPT등6"/>
      <sheetName val="Sheet1_(2)6"/>
      <sheetName val="PAGE_16"/>
      <sheetName val="_생산성_분석_체계_절차_xlsx6"/>
      <sheetName val="BQ_List6"/>
      <sheetName val="Page_106"/>
      <sheetName val="C급보_6"/>
      <sheetName val="Rectangular_Beam6"/>
      <sheetName val="간접비_총괄표6"/>
      <sheetName val="Eng_hour_DB6"/>
      <sheetName val="CRUDE_RE-bar6"/>
      <sheetName val="DUTCH_CONE6"/>
      <sheetName val="PAGE_3_GENERAL_DETAILS6"/>
      <sheetName val="적용_환율6"/>
      <sheetName val="GM_0006"/>
      <sheetName val="PRECAST_lightconc-II6"/>
      <sheetName val="Elect_(3)6"/>
      <sheetName val="Rev_No6"/>
      <sheetName val="COST_UP6"/>
      <sheetName val="PUMP_SHT6"/>
      <sheetName val="TENDER_PROG_6"/>
      <sheetName val="PROC_PROG6"/>
      <sheetName val="Block_D6"/>
      <sheetName val="2_Calculation_16"/>
      <sheetName val="Datasheet_GLL_double_weir_(1)6"/>
      <sheetName val="_6"/>
      <sheetName val="eq_data__x005f_x0000__x006"/>
      <sheetName val="33628-Rev__A6"/>
      <sheetName val="TYPE-B_평균H6"/>
      <sheetName val="6_공사비_내역_(가)6"/>
      <sheetName val="Sheet2_(2)6"/>
      <sheetName val="REF_ONLY5"/>
      <sheetName val="co-no_25"/>
      <sheetName val="Form_A_15"/>
      <sheetName val="Form_A_1_15"/>
      <sheetName val="BOM_Indirect5"/>
      <sheetName val="Form_A_1_II_25"/>
      <sheetName val="6_GSTG_PIPING5"/>
      <sheetName val="NONS__2,1895"/>
      <sheetName val="COMB_MNG&amp;STAFF_(ALL)__(2)5"/>
      <sheetName val="Reference_Table5"/>
      <sheetName val="CAL(1)_5"/>
      <sheetName val="member_design5"/>
      <sheetName val="soil_bearing_check5"/>
      <sheetName val="OCT_FDN5"/>
      <sheetName val="PRI_CIV5"/>
      <sheetName val="FOR_CIV5"/>
      <sheetName val="SUB_CIV5"/>
      <sheetName val="ANA_CIV5"/>
      <sheetName val="AUX_CIV5"/>
      <sheetName val="내역서_5"/>
      <sheetName val="hori__vessel(E-895)5"/>
      <sheetName val="2_35"/>
      <sheetName val="S_N5"/>
      <sheetName val="Loading_Table5"/>
      <sheetName val="SUMMARY_(0)6"/>
      <sheetName val="4_1구조설계5"/>
      <sheetName val="Pipelines_ASAB_I-II_Brownfield5"/>
      <sheetName val="MH_Estimation_Guide5"/>
      <sheetName val="공사비_내역_(가)5"/>
      <sheetName val="input_data-0909085"/>
      <sheetName val="HRG_BHN5"/>
      <sheetName val="Vent_Line_size5"/>
      <sheetName val="Expenses_per_Cost_Code_5"/>
      <sheetName val="Comp_Rate_5"/>
      <sheetName val="Analisa_HS5"/>
      <sheetName val="Section_1~4(1)5"/>
      <sheetName val="Section_1~4_5"/>
      <sheetName val="Section_55"/>
      <sheetName val="Section_5_25"/>
      <sheetName val="Section_5_35"/>
      <sheetName val="Section_65"/>
      <sheetName val="Section_6_25"/>
      <sheetName val="Attachment_15"/>
      <sheetName val="Attachmenet_25"/>
      <sheetName val="7_0_Crack_Check5"/>
      <sheetName val="축열조_기초5"/>
      <sheetName val="Fill_this_out_first___10"/>
      <sheetName val="Fill_this_out_first___11"/>
      <sheetName val="Forecast_Drivers5"/>
      <sheetName val="RAW_MATERIALS_5"/>
      <sheetName val="COST-PERSON-J_O_5"/>
      <sheetName val="MEASURE_LIST5"/>
      <sheetName val="Don_gia5"/>
      <sheetName val="COST-EST_LTI_P5C5"/>
      <sheetName val="SLEIPNER_-_ORMEN_LANGE5"/>
      <sheetName val="전기_BM_revA('090624)_xls5"/>
      <sheetName val="定额_(06)5"/>
      <sheetName val="Tie_Beam_GN3"/>
      <sheetName val="4_단락전류5"/>
      <sheetName val="system_&amp;_LOOK_UP_FUNC3"/>
      <sheetName val="Q5434_EQ_LIST5"/>
      <sheetName val="motor_power5"/>
      <sheetName val="Data_15"/>
      <sheetName val="4-3LEVEL-5_epic_45"/>
      <sheetName val="Unit_Cost5"/>
      <sheetName val="Coeff_5"/>
      <sheetName val="[fdn_bm_pro_xls]기계공사비집계(珆꭭/5"/>
      <sheetName val="96_123"/>
      <sheetName val="Exchange_rates5"/>
      <sheetName val="BID_FORM3"/>
      <sheetName val="Form_of_Bid3"/>
      <sheetName val="INST_LIST3"/>
      <sheetName val="Item_Dominan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Price_Breakdown(Building)3"/>
      <sheetName val="MANPOWER_DIRECT_TRACKING3"/>
      <sheetName val="Timescaled_Data3"/>
      <sheetName val="Home_Office3"/>
      <sheetName val="fdn_bm_pro_xls기계공사비집계(珆꭭3"/>
      <sheetName val="2-SITE_3"/>
      <sheetName val="eq_data_????3"/>
      <sheetName val="PCC_EAF3"/>
      <sheetName val="PCC_LF3"/>
      <sheetName val="4-Basic_Price3"/>
      <sheetName val="_fdn_bm_pro_xls_기계공사비집계(珆꭭_3"/>
      <sheetName val="Finish_list3"/>
      <sheetName val="Dati_base3"/>
      <sheetName val="US_Inflation_Factors3"/>
      <sheetName val="Cover_Page3"/>
      <sheetName val="Unit__Price3"/>
      <sheetName val="자재집계_&amp;_총괄표3"/>
      <sheetName val="Engrg_Est3"/>
      <sheetName val="[fdn_bm_pro_xls]_fdn_bm_pro_x_4"/>
      <sheetName val="GASATAGG_XLS3"/>
      <sheetName val="BEND_LOSS3"/>
      <sheetName val="eq_data_4"/>
      <sheetName val="7_5_1(A)_Data12"/>
      <sheetName val="7_5_1(B)_BOQ_Breakdown12"/>
      <sheetName val="7_5_1(C)_Scope12"/>
      <sheetName val="7_5_1(D)_Basis12"/>
      <sheetName val="7_5_1(E)_Allowance12"/>
      <sheetName val="7_5_2_BOQ_Summary12"/>
      <sheetName val="7_5_3_BOQ12"/>
      <sheetName val="A__Erec_BOQ(Shop)12"/>
      <sheetName val="B__Erec_BOQ(Field)12"/>
      <sheetName val="C__Surface_Protection12"/>
      <sheetName val="A__Erec_BOQ(Shop)_(2)12"/>
      <sheetName val="B__Erec_BOQ(Field)_(2)12"/>
      <sheetName val="C__Surf_Protection12"/>
      <sheetName val="Attachment_#112"/>
      <sheetName val="Attachment_#212"/>
      <sheetName val="302_C112"/>
      <sheetName val="302_C212"/>
      <sheetName val="SUPPLY_(2)12"/>
      <sheetName val="RETURN_(2)12"/>
      <sheetName val="303_(2)12"/>
      <sheetName val="308_(2)12"/>
      <sheetName val="309_(2)12"/>
      <sheetName val="JUNCTION_BOX12"/>
      <sheetName val="PIPE_FITTING12"/>
      <sheetName val="TUBE_FITTING12"/>
      <sheetName val="CABLE_GLAND12"/>
      <sheetName val="CONS__EQUIP___12"/>
      <sheetName val="BLR_112"/>
      <sheetName val="REINF_12"/>
      <sheetName val="ITB_COST11"/>
      <sheetName val="97_사업추정(WEKI)11"/>
      <sheetName val="90EL_JACKET11"/>
      <sheetName val="보온_회사분11"/>
      <sheetName val="Cost_control11"/>
      <sheetName val="FIRE_FIGHTING11"/>
      <sheetName val="Tipo_Terzi10"/>
      <sheetName val="plan&amp;section_of_foundation10"/>
      <sheetName val="design_criteria10"/>
      <sheetName val="BM_DATA_SHEET10"/>
      <sheetName val="Mat_Stelo10"/>
      <sheetName val="Unit_SUM10"/>
      <sheetName val="1_설계기준9"/>
      <sheetName val="working_load_at_the_btm_ft_9"/>
      <sheetName val="stability_check9"/>
      <sheetName val="OUTER_AREA(겹침없음)9"/>
      <sheetName val="Material_Specification9"/>
      <sheetName val="special_item_양진규_작성9"/>
      <sheetName val="bill_29"/>
      <sheetName val="방유제용량_계산서9"/>
      <sheetName val="Break_Dw9"/>
      <sheetName val="표지_(2)9"/>
      <sheetName val="pile_bearing_capa_&amp;_arrenge9"/>
      <sheetName val="design_load9"/>
      <sheetName val="Fab__Skid9"/>
      <sheetName val="Sch_69"/>
      <sheetName val="INPUT_DATA9"/>
      <sheetName val="CAMP_OPERATING_COST9"/>
      <sheetName val="PERSONNEL_SETUP9"/>
      <sheetName val="LIST_OF_OFFICE_EQUIPMENT9"/>
      <sheetName val="STAFF&amp;INDIRECT_SALARY_-_SUMMAR9"/>
      <sheetName val="KOREAN_STAFF_SALARY_BREAKDOWN9"/>
      <sheetName val="WELFARE_COST_-_SITE9"/>
      <sheetName val="개시대사_(2)9"/>
      <sheetName val="입고장부_(4)9"/>
      <sheetName val="FEUILLE_INTERNE9"/>
      <sheetName val="COMPARISON_TABLE9"/>
      <sheetName val="L_V_Separator9"/>
      <sheetName val="CAMP_-_CONSTRUCTION9"/>
      <sheetName val="E_Rate_PM9"/>
      <sheetName val="Schedule_2_and_39"/>
      <sheetName val="CAL_9"/>
      <sheetName val="11_자재단가8"/>
      <sheetName val="1_OF_98"/>
      <sheetName val="Cover_sheet7"/>
      <sheetName val="BSD_(2)7"/>
      <sheetName val="TRAY_BM7"/>
      <sheetName val="Graph_(LGEN)7"/>
      <sheetName val="선적schedule_(2)7"/>
      <sheetName val="Summary_Sheets7"/>
      <sheetName val="품셈_7"/>
      <sheetName val="sc0314_Index7"/>
      <sheetName val="Resource_summary7"/>
      <sheetName val="배관물량_(STEEL)9"/>
      <sheetName val="Sheet_19"/>
      <sheetName val="w't_table7"/>
      <sheetName val="eq_data__x005f_x0000__x005f_x0000__x005f_x0000__7"/>
      <sheetName val="Struct-Grass_root7"/>
      <sheetName val="-15_07"/>
      <sheetName val="3_0_Overall_Progress_S-curve9"/>
      <sheetName val="3-4_SPI9"/>
      <sheetName val="General_Data9"/>
      <sheetName val="PRICE_COMP9"/>
      <sheetName val="A(Rev_3)9"/>
      <sheetName val="static_cal7"/>
      <sheetName val="crude_SLAB_RE-bar7"/>
      <sheetName val="7_6_3(B)_UG_Piping7"/>
      <sheetName val="PRICE_LIST7"/>
      <sheetName val="7_5_2_BOQ_Summary_7"/>
      <sheetName val="Rekap_A7"/>
      <sheetName val="paint_mat7"/>
      <sheetName val="VE_Estimate7"/>
      <sheetName val="TABLE2-2_OSBL-(SITE_PREP)7"/>
      <sheetName val="PAGE_27"/>
      <sheetName val="OFFER_RATE7"/>
      <sheetName val="Job_Data7"/>
      <sheetName val="Piping_Design_Data7"/>
      <sheetName val="Summary_20027"/>
      <sheetName val="ASME_B_36_10_M7"/>
      <sheetName val="Break_Down7"/>
      <sheetName val="Supervision_List7"/>
      <sheetName val="견적_집계7"/>
      <sheetName val="PULLING_SUPT등7"/>
      <sheetName val="Sheet1_(2)7"/>
      <sheetName val="PAGE_17"/>
      <sheetName val="_생산성_분석_체계_절차_xlsx7"/>
      <sheetName val="BQ_List7"/>
      <sheetName val="Page_107"/>
      <sheetName val="C급보_7"/>
      <sheetName val="Rectangular_Beam7"/>
      <sheetName val="간접비_총괄표7"/>
      <sheetName val="Eng_hour_DB7"/>
      <sheetName val="CRUDE_RE-bar7"/>
      <sheetName val="DUTCH_CONE7"/>
      <sheetName val="PAGE_3_GENERAL_DETAILS7"/>
      <sheetName val="적용_환율7"/>
      <sheetName val="GM_0007"/>
      <sheetName val="PRECAST_lightconc-II7"/>
      <sheetName val="Elect_(3)7"/>
      <sheetName val="Rev_No7"/>
      <sheetName val="COST_UP7"/>
      <sheetName val="PUMP_SHT7"/>
      <sheetName val="TENDER_PROG_7"/>
      <sheetName val="PROC_PROG7"/>
      <sheetName val="Block_D7"/>
      <sheetName val="2_Calculation_17"/>
      <sheetName val="Datasheet_GLL_double_weir_(1)7"/>
      <sheetName val="_7"/>
      <sheetName val="eq_data__x005f_x0000__x007"/>
      <sheetName val="33628-Rev__A7"/>
      <sheetName val="TYPE-B_평균H7"/>
      <sheetName val="6_공사비_내역_(가)7"/>
      <sheetName val="Sheet2_(2)7"/>
      <sheetName val="REF_ONLY6"/>
      <sheetName val="co-no_26"/>
      <sheetName val="Form_A_16"/>
      <sheetName val="Form_A_1_16"/>
      <sheetName val="BOM_Indirect6"/>
      <sheetName val="Form_A_1_II_26"/>
      <sheetName val="6_GSTG_PIPING6"/>
      <sheetName val="NONS__2,1896"/>
      <sheetName val="COMB_MNG&amp;STAFF_(ALL)__(2)6"/>
      <sheetName val="Reference_Table6"/>
      <sheetName val="CAL(1)_6"/>
      <sheetName val="member_design6"/>
      <sheetName val="soil_bearing_check6"/>
      <sheetName val="OCT_FDN6"/>
      <sheetName val="PRI_CIV6"/>
      <sheetName val="FOR_CIV6"/>
      <sheetName val="SUB_CIV6"/>
      <sheetName val="ANA_CIV6"/>
      <sheetName val="AUX_CIV6"/>
      <sheetName val="내역서_6"/>
      <sheetName val="hori__vessel(E-895)6"/>
      <sheetName val="2_36"/>
      <sheetName val="S_N6"/>
      <sheetName val="Loading_Table6"/>
      <sheetName val="SUMMARY_(0)7"/>
      <sheetName val="4_1구조설계6"/>
      <sheetName val="Pipelines_ASAB_I-II_Brownfield6"/>
      <sheetName val="MH_Estimation_Guide6"/>
      <sheetName val="공사비_내역_(가)6"/>
      <sheetName val="input_data-0909086"/>
      <sheetName val="HRG_BHN6"/>
      <sheetName val="Vent_Line_size6"/>
      <sheetName val="Expenses_per_Cost_Code_6"/>
      <sheetName val="Comp_Rate_6"/>
      <sheetName val="Analisa_HS6"/>
      <sheetName val="Section_1~4(1)6"/>
      <sheetName val="Section_1~4_6"/>
      <sheetName val="Section_56"/>
      <sheetName val="Section_5_26"/>
      <sheetName val="Section_5_36"/>
      <sheetName val="Section_66"/>
      <sheetName val="Section_6_26"/>
      <sheetName val="Attachment_16"/>
      <sheetName val="Attachmenet_26"/>
      <sheetName val="7_0_Crack_Check6"/>
      <sheetName val="축열조_기초6"/>
      <sheetName val="Fill_this_out_first___12"/>
      <sheetName val="Fill_this_out_first___13"/>
      <sheetName val="Forecast_Drivers6"/>
      <sheetName val="RAW_MATERIALS_6"/>
      <sheetName val="COST-PERSON-J_O_6"/>
      <sheetName val="MEASURE_LIST6"/>
      <sheetName val="Don_gia6"/>
      <sheetName val="COST-EST_LTI_P5C6"/>
      <sheetName val="SLEIPNER_-_ORMEN_LANGE6"/>
      <sheetName val="전기_BM_revA('090624)_xls6"/>
      <sheetName val="定额_(06)6"/>
      <sheetName val="Tie_Beam_GN4"/>
      <sheetName val="4_단락전류6"/>
      <sheetName val="system_&amp;_LOOK_UP_FUNC4"/>
      <sheetName val="Q5434_EQ_LIST6"/>
      <sheetName val="motor_power6"/>
      <sheetName val="Data_16"/>
      <sheetName val="4-3LEVEL-5_epic_46"/>
      <sheetName val="Unit_Cost6"/>
      <sheetName val="Coeff_6"/>
      <sheetName val="[fdn_bm_pro_xls]기계공사비집계(珆꭭/6"/>
      <sheetName val="96_124"/>
      <sheetName val="Exchange_rates6"/>
      <sheetName val="BID_FORM4"/>
      <sheetName val="Form_of_Bid4"/>
      <sheetName val="INST_LIST4"/>
      <sheetName val="Item_Dominan4"/>
      <sheetName val="Code_024"/>
      <sheetName val="Code_034"/>
      <sheetName val="Code_044"/>
      <sheetName val="Code_054"/>
      <sheetName val="Code_064"/>
      <sheetName val="Code_074"/>
      <sheetName val="Code_094"/>
      <sheetName val="4300_UTILITY_BLDG_(2)4"/>
      <sheetName val="Price_Breakdown(Building)4"/>
      <sheetName val="MANPOWER_DIRECT_TRACKING4"/>
      <sheetName val="Timescaled_Data4"/>
      <sheetName val="Home_Office4"/>
      <sheetName val="fdn_bm_pro_xls기계공사비집계(珆꭭4"/>
      <sheetName val="2-SITE_4"/>
      <sheetName val="eq_data_????4"/>
      <sheetName val="PCC_EAF4"/>
      <sheetName val="PCC_LF4"/>
      <sheetName val="4-Basic_Price4"/>
      <sheetName val="_fdn_bm_pro_xls_기계공사비집계(珆꭭_4"/>
      <sheetName val="Finish_list4"/>
      <sheetName val="Dati_base4"/>
      <sheetName val="US_Inflation_Factors4"/>
      <sheetName val="Cover_Page4"/>
      <sheetName val="Unit__Price4"/>
      <sheetName val="자재집계_&amp;_총괄표4"/>
      <sheetName val="Engrg_Est4"/>
      <sheetName val="[fdn_bm_pro_xls]_fdn_bm_pro_x_5"/>
      <sheetName val="GASATAGG_XLS4"/>
      <sheetName val="BEND_LOSS4"/>
      <sheetName val="eq_data_5"/>
      <sheetName val="7_5_1(A)_Data13"/>
      <sheetName val="7_5_1(B)_BOQ_Breakdown13"/>
      <sheetName val="7_5_1(C)_Scope13"/>
      <sheetName val="7_5_1(D)_Basis13"/>
      <sheetName val="7_5_1(E)_Allowance13"/>
      <sheetName val="7_5_2_BOQ_Summary13"/>
      <sheetName val="7_5_3_BOQ13"/>
      <sheetName val="A__Erec_BOQ(Shop)13"/>
      <sheetName val="B__Erec_BOQ(Field)13"/>
      <sheetName val="C__Surface_Protection13"/>
      <sheetName val="A__Erec_BOQ(Shop)_(2)13"/>
      <sheetName val="B__Erec_BOQ(Field)_(2)13"/>
      <sheetName val="C__Surf_Protection13"/>
      <sheetName val="Attachment_#113"/>
      <sheetName val="Attachment_#213"/>
      <sheetName val="302_C113"/>
      <sheetName val="302_C213"/>
      <sheetName val="SUPPLY_(2)13"/>
      <sheetName val="RETURN_(2)13"/>
      <sheetName val="303_(2)13"/>
      <sheetName val="308_(2)13"/>
      <sheetName val="309_(2)13"/>
      <sheetName val="JUNCTION_BOX13"/>
      <sheetName val="PIPE_FITTING13"/>
      <sheetName val="TUBE_FITTING13"/>
      <sheetName val="CABLE_GLAND13"/>
      <sheetName val="CONS__EQUIP___13"/>
      <sheetName val="BLR_113"/>
      <sheetName val="REINF_13"/>
      <sheetName val="ITB_COST12"/>
      <sheetName val="97_사업추정(WEKI)12"/>
      <sheetName val="90EL_JACKET12"/>
      <sheetName val="보온_회사분12"/>
      <sheetName val="Cost_control12"/>
      <sheetName val="FIRE_FIGHTING12"/>
      <sheetName val="Tipo_Terzi11"/>
      <sheetName val="plan&amp;section_of_foundation11"/>
      <sheetName val="design_criteria11"/>
      <sheetName val="BM_DATA_SHEET11"/>
      <sheetName val="Mat_Stelo11"/>
      <sheetName val="Unit_SUM11"/>
      <sheetName val="1_설계기준10"/>
      <sheetName val="working_load_at_the_btm_ft_10"/>
      <sheetName val="stability_check10"/>
      <sheetName val="OUTER_AREA(겹침없음)10"/>
      <sheetName val="Material_Specification10"/>
      <sheetName val="special_item_양진규_작성10"/>
      <sheetName val="bill_210"/>
      <sheetName val="방유제용량_계산서10"/>
      <sheetName val="Break_Dw10"/>
      <sheetName val="표지_(2)10"/>
      <sheetName val="pile_bearing_capa_&amp;_arrenge10"/>
      <sheetName val="design_load10"/>
      <sheetName val="Fab__Skid10"/>
      <sheetName val="Sch_610"/>
      <sheetName val="INPUT_DATA10"/>
      <sheetName val="CAMP_OPERATING_COST10"/>
      <sheetName val="PERSONNEL_SETUP10"/>
      <sheetName val="LIST_OF_OFFICE_EQUIPMENT10"/>
      <sheetName val="STAFF&amp;INDIRECT_SALARY_-_SUMMA10"/>
      <sheetName val="KOREAN_STAFF_SALARY_BREAKDOWN10"/>
      <sheetName val="WELFARE_COST_-_SITE10"/>
      <sheetName val="개시대사_(2)10"/>
      <sheetName val="입고장부_(4)10"/>
      <sheetName val="FEUILLE_INTERNE10"/>
      <sheetName val="COMPARISON_TABLE10"/>
      <sheetName val="L_V_Separator10"/>
      <sheetName val="CAMP_-_CONSTRUCTION10"/>
      <sheetName val="E_Rate_PM10"/>
      <sheetName val="Schedule_2_and_310"/>
      <sheetName val="CAL_10"/>
      <sheetName val="11_자재단가9"/>
      <sheetName val="1_OF_99"/>
      <sheetName val="Cover_sheet8"/>
      <sheetName val="BSD_(2)8"/>
      <sheetName val="TRAY_BM8"/>
      <sheetName val="Graph_(LGEN)8"/>
      <sheetName val="선적schedule_(2)8"/>
      <sheetName val="Summary_Sheets8"/>
      <sheetName val="품셈_8"/>
      <sheetName val="sc0314_Index8"/>
      <sheetName val="Resource_summary8"/>
      <sheetName val="배관물량_(STEEL)10"/>
      <sheetName val="Sheet_110"/>
      <sheetName val="w't_table8"/>
      <sheetName val="eq_data__x005f_x0000__x005f_x0000__x005f_x0000__8"/>
      <sheetName val="Struct-Grass_root8"/>
      <sheetName val="-15_08"/>
      <sheetName val="3_0_Overall_Progress_S-curve10"/>
      <sheetName val="3-4_SPI10"/>
      <sheetName val="General_Data10"/>
      <sheetName val="PRICE_COMP10"/>
      <sheetName val="A(Rev_3)10"/>
      <sheetName val="static_cal8"/>
      <sheetName val="crude_SLAB_RE-bar8"/>
      <sheetName val="7_6_3(B)_UG_Piping8"/>
      <sheetName val="PRICE_LIST8"/>
      <sheetName val="7_5_2_BOQ_Summary_8"/>
      <sheetName val="Rekap_A8"/>
      <sheetName val="paint_mat8"/>
      <sheetName val="VE_Estimate8"/>
      <sheetName val="TABLE2-2_OSBL-(SITE_PREP)8"/>
      <sheetName val="PAGE_28"/>
      <sheetName val="OFFER_RATE8"/>
      <sheetName val="Job_Data8"/>
      <sheetName val="Piping_Design_Data8"/>
      <sheetName val="Summary_20028"/>
      <sheetName val="ASME_B_36_10_M8"/>
      <sheetName val="Break_Down8"/>
      <sheetName val="Supervision_List8"/>
      <sheetName val="견적_집계8"/>
      <sheetName val="PULLING_SUPT등8"/>
      <sheetName val="Sheet1_(2)8"/>
      <sheetName val="PAGE_18"/>
      <sheetName val="_생산성_분석_체계_절차_xlsx8"/>
      <sheetName val="BQ_List8"/>
      <sheetName val="Page_108"/>
      <sheetName val="C급보_8"/>
      <sheetName val="Rectangular_Beam8"/>
      <sheetName val="간접비_총괄표8"/>
      <sheetName val="Eng_hour_DB8"/>
      <sheetName val="CRUDE_RE-bar8"/>
      <sheetName val="DUTCH_CONE8"/>
      <sheetName val="PAGE_3_GENERAL_DETAILS8"/>
      <sheetName val="적용_환율8"/>
      <sheetName val="GM_0008"/>
      <sheetName val="PRECAST_lightconc-II8"/>
      <sheetName val="Elect_(3)8"/>
      <sheetName val="Rev_No8"/>
      <sheetName val="COST_UP8"/>
      <sheetName val="PUMP_SHT8"/>
      <sheetName val="TENDER_PROG_8"/>
      <sheetName val="PROC_PROG8"/>
      <sheetName val="Block_D8"/>
      <sheetName val="2_Calculation_18"/>
      <sheetName val="Datasheet_GLL_double_weir_(1)8"/>
      <sheetName val="_8"/>
      <sheetName val="eq_data__x005f_x0000__x008"/>
      <sheetName val="33628-Rev__A8"/>
      <sheetName val="TYPE-B_평균H8"/>
      <sheetName val="6_공사비_내역_(가)8"/>
      <sheetName val="Sheet2_(2)8"/>
      <sheetName val="REF_ONLY7"/>
      <sheetName val="co-no_27"/>
      <sheetName val="Form_A_17"/>
      <sheetName val="Form_A_1_17"/>
      <sheetName val="BOM_Indirect7"/>
      <sheetName val="Form_A_1_II_27"/>
      <sheetName val="6_GSTG_PIPING7"/>
      <sheetName val="NONS__2,1897"/>
      <sheetName val="COMB_MNG&amp;STAFF_(ALL)__(2)7"/>
      <sheetName val="Reference_Table7"/>
      <sheetName val="CAL(1)_7"/>
      <sheetName val="member_design7"/>
      <sheetName val="soil_bearing_check7"/>
      <sheetName val="OCT_FDN7"/>
      <sheetName val="PRI_CIV7"/>
      <sheetName val="FOR_CIV7"/>
      <sheetName val="SUB_CIV7"/>
      <sheetName val="ANA_CIV7"/>
      <sheetName val="AUX_CIV7"/>
      <sheetName val="내역서_7"/>
      <sheetName val="hori__vessel(E-895)7"/>
      <sheetName val="2_37"/>
      <sheetName val="S_N7"/>
      <sheetName val="Loading_Table7"/>
      <sheetName val="SUMMARY_(0)8"/>
      <sheetName val="4_1구조설계7"/>
      <sheetName val="Pipelines_ASAB_I-II_Brownfield7"/>
      <sheetName val="MH_Estimation_Guide7"/>
      <sheetName val="공사비_내역_(가)7"/>
      <sheetName val="input_data-0909087"/>
      <sheetName val="HRG_BHN7"/>
      <sheetName val="Vent_Line_size7"/>
      <sheetName val="Expenses_per_Cost_Code_7"/>
      <sheetName val="Comp_Rate_7"/>
      <sheetName val="Analisa_HS7"/>
      <sheetName val="Section_1~4(1)7"/>
      <sheetName val="Section_1~4_7"/>
      <sheetName val="Section_57"/>
      <sheetName val="Section_5_27"/>
      <sheetName val="Section_5_37"/>
      <sheetName val="Section_67"/>
      <sheetName val="Section_6_27"/>
      <sheetName val="Attachment_17"/>
      <sheetName val="Attachmenet_27"/>
      <sheetName val="7_0_Crack_Check7"/>
      <sheetName val="축열조_기초7"/>
      <sheetName val="Fill_this_out_first___14"/>
      <sheetName val="Fill_this_out_first___15"/>
      <sheetName val="Forecast_Drivers7"/>
      <sheetName val="RAW_MATERIALS_7"/>
      <sheetName val="COST-PERSON-J_O_7"/>
      <sheetName val="MEASURE_LIST7"/>
      <sheetName val="Don_gia7"/>
      <sheetName val="COST-EST_LTI_P5C7"/>
      <sheetName val="SLEIPNER_-_ORMEN_LANGE7"/>
      <sheetName val="전기_BM_revA('090624)_xls7"/>
      <sheetName val="定额_(06)7"/>
      <sheetName val="Tie_Beam_GN5"/>
      <sheetName val="4_단락전류7"/>
      <sheetName val="system_&amp;_LOOK_UP_FUNC5"/>
      <sheetName val="Q5434_EQ_LIST7"/>
      <sheetName val="motor_power7"/>
      <sheetName val="Data_17"/>
      <sheetName val="4-3LEVEL-5_epic_47"/>
      <sheetName val="Unit_Cost7"/>
      <sheetName val="Coeff_7"/>
      <sheetName val="[fdn_bm_pro_xls]기계공사비집계(珆꭭/7"/>
      <sheetName val="96_125"/>
      <sheetName val="Exchange_rates7"/>
      <sheetName val="BID_FORM5"/>
      <sheetName val="Form_of_Bid5"/>
      <sheetName val="INST_LIST5"/>
      <sheetName val="Item_Dominan5"/>
      <sheetName val="Code_025"/>
      <sheetName val="Code_035"/>
      <sheetName val="Code_045"/>
      <sheetName val="Code_055"/>
      <sheetName val="Code_065"/>
      <sheetName val="Code_075"/>
      <sheetName val="Code_095"/>
      <sheetName val="4300_UTILITY_BLDG_(2)5"/>
      <sheetName val="Price_Breakdown(Building)5"/>
      <sheetName val="MANPOWER_DIRECT_TRACKING5"/>
      <sheetName val="Timescaled_Data5"/>
      <sheetName val="Home_Office5"/>
      <sheetName val="fdn_bm_pro_xls기계공사비집계(珆꭭5"/>
      <sheetName val="2-SITE_5"/>
      <sheetName val="eq_data_????5"/>
      <sheetName val="PCC_EAF5"/>
      <sheetName val="PCC_LF5"/>
      <sheetName val="4-Basic_Price5"/>
      <sheetName val="_fdn_bm_pro_xls_기계공사비집계(珆꭭_5"/>
      <sheetName val="Finish_list5"/>
      <sheetName val="Dati_base5"/>
      <sheetName val="US_Inflation_Factors5"/>
      <sheetName val="Cover_Page5"/>
      <sheetName val="Unit__Price5"/>
      <sheetName val="자재집계_&amp;_총괄표5"/>
      <sheetName val="Engrg_Est5"/>
      <sheetName val="[fdn_bm_pro_xls]_fdn_bm_pro_x_6"/>
      <sheetName val="GASATAGG_XLS5"/>
      <sheetName val="BEND_LOSS5"/>
      <sheetName val="eq_data_6"/>
      <sheetName val="7_5_1(A)_Data14"/>
      <sheetName val="7_5_1(B)_BOQ_Breakdown14"/>
      <sheetName val="7_5_1(C)_Scope14"/>
      <sheetName val="7_5_1(D)_Basis14"/>
      <sheetName val="7_5_1(E)_Allowance14"/>
      <sheetName val="7_5_2_BOQ_Summary14"/>
      <sheetName val="7_5_3_BOQ14"/>
      <sheetName val="A__Erec_BOQ(Shop)14"/>
      <sheetName val="B__Erec_BOQ(Field)14"/>
      <sheetName val="C__Surface_Protection14"/>
      <sheetName val="A__Erec_BOQ(Shop)_(2)14"/>
      <sheetName val="B__Erec_BOQ(Field)_(2)14"/>
      <sheetName val="C__Surf_Protection14"/>
      <sheetName val="Attachment_#114"/>
      <sheetName val="Attachment_#214"/>
      <sheetName val="302_C114"/>
      <sheetName val="302_C214"/>
      <sheetName val="SUPPLY_(2)14"/>
      <sheetName val="RETURN_(2)14"/>
      <sheetName val="303_(2)14"/>
      <sheetName val="308_(2)14"/>
      <sheetName val="309_(2)14"/>
      <sheetName val="JUNCTION_BOX14"/>
      <sheetName val="PIPE_FITTING14"/>
      <sheetName val="TUBE_FITTING14"/>
      <sheetName val="CABLE_GLAND14"/>
      <sheetName val="CONS__EQUIP___14"/>
      <sheetName val="BLR_114"/>
      <sheetName val="REINF_14"/>
      <sheetName val="ITB_COST13"/>
      <sheetName val="97_사업추정(WEKI)13"/>
      <sheetName val="90EL_JACKET13"/>
      <sheetName val="보온_회사분13"/>
      <sheetName val="Cost_control13"/>
      <sheetName val="FIRE_FIGHTING13"/>
      <sheetName val="Tipo_Terzi12"/>
      <sheetName val="plan&amp;section_of_foundation12"/>
      <sheetName val="design_criteria12"/>
      <sheetName val="BM_DATA_SHEET12"/>
      <sheetName val="Mat_Stelo12"/>
      <sheetName val="Unit_SUM12"/>
      <sheetName val="1_설계기준11"/>
      <sheetName val="working_load_at_the_btm_ft_11"/>
      <sheetName val="stability_check11"/>
      <sheetName val="OUTER_AREA(겹침없음)11"/>
      <sheetName val="Material_Specification11"/>
      <sheetName val="special_item_양진규_작성11"/>
      <sheetName val="bill_211"/>
      <sheetName val="방유제용량_계산서11"/>
      <sheetName val="Break_Dw11"/>
      <sheetName val="표지_(2)11"/>
      <sheetName val="pile_bearing_capa_&amp;_arrenge11"/>
      <sheetName val="design_load11"/>
      <sheetName val="Fab__Skid11"/>
      <sheetName val="Sch_611"/>
      <sheetName val="INPUT_DATA11"/>
      <sheetName val="CAMP_OPERATING_COST11"/>
      <sheetName val="PERSONNEL_SETUP11"/>
      <sheetName val="LIST_OF_OFFICE_EQUIPMENT11"/>
      <sheetName val="STAFF&amp;INDIRECT_SALARY_-_SUMMA11"/>
      <sheetName val="KOREAN_STAFF_SALARY_BREAKDOWN11"/>
      <sheetName val="WELFARE_COST_-_SITE11"/>
      <sheetName val="개시대사_(2)11"/>
      <sheetName val="입고장부_(4)11"/>
      <sheetName val="FEUILLE_INTERNE11"/>
      <sheetName val="COMPARISON_TABLE11"/>
      <sheetName val="L_V_Separator11"/>
      <sheetName val="CAMP_-_CONSTRUCTION11"/>
      <sheetName val="E_Rate_PM11"/>
      <sheetName val="Schedule_2_and_311"/>
      <sheetName val="CAL_11"/>
      <sheetName val="11_자재단가10"/>
      <sheetName val="1_OF_910"/>
      <sheetName val="Cover_sheet9"/>
      <sheetName val="BSD_(2)9"/>
      <sheetName val="TRAY_BM9"/>
      <sheetName val="Graph_(LGEN)9"/>
      <sheetName val="선적schedule_(2)9"/>
      <sheetName val="Summary_Sheets9"/>
      <sheetName val="품셈_9"/>
      <sheetName val="sc0314_Index9"/>
      <sheetName val="Resource_summary9"/>
      <sheetName val="배관물량_(STEEL)11"/>
      <sheetName val="Sheet_111"/>
      <sheetName val="w't_table9"/>
      <sheetName val="eq_data__x005f_x0000__x005f_x0000__x005f_x0000__9"/>
      <sheetName val="Struct-Grass_root9"/>
      <sheetName val="-15_09"/>
      <sheetName val="3_0_Overall_Progress_S-curve11"/>
      <sheetName val="3-4_SPI11"/>
      <sheetName val="General_Data11"/>
      <sheetName val="PRICE_COMP11"/>
      <sheetName val="A(Rev_3)11"/>
      <sheetName val="static_cal9"/>
      <sheetName val="crude_SLAB_RE-bar9"/>
      <sheetName val="7_6_3(B)_UG_Piping9"/>
      <sheetName val="PRICE_LIST9"/>
      <sheetName val="7_5_2_BOQ_Summary_9"/>
      <sheetName val="Rekap_A9"/>
      <sheetName val="paint_mat9"/>
      <sheetName val="VE_Estimate9"/>
      <sheetName val="TABLE2-2_OSBL-(SITE_PREP)9"/>
      <sheetName val="PAGE_29"/>
      <sheetName val="OFFER_RATE9"/>
      <sheetName val="Job_Data9"/>
      <sheetName val="Piping_Design_Data9"/>
      <sheetName val="Summary_20029"/>
      <sheetName val="ASME_B_36_10_M9"/>
      <sheetName val="Break_Down9"/>
      <sheetName val="Supervision_List9"/>
      <sheetName val="견적_집계9"/>
      <sheetName val="PULLING_SUPT등9"/>
      <sheetName val="Sheet1_(2)9"/>
      <sheetName val="PAGE_19"/>
      <sheetName val="_생산성_분석_체계_절차_xlsx9"/>
      <sheetName val="BQ_List9"/>
      <sheetName val="Page_109"/>
      <sheetName val="C급보_9"/>
      <sheetName val="Rectangular_Beam9"/>
      <sheetName val="간접비_총괄표9"/>
      <sheetName val="Eng_hour_DB9"/>
      <sheetName val="CRUDE_RE-bar9"/>
      <sheetName val="DUTCH_CONE9"/>
      <sheetName val="PAGE_3_GENERAL_DETAILS9"/>
      <sheetName val="적용_환율9"/>
      <sheetName val="GM_0009"/>
      <sheetName val="PRECAST_lightconc-II9"/>
      <sheetName val="Elect_(3)9"/>
      <sheetName val="Rev_No9"/>
      <sheetName val="COST_UP9"/>
      <sheetName val="PUMP_SHT9"/>
      <sheetName val="TENDER_PROG_9"/>
      <sheetName val="PROC_PROG9"/>
      <sheetName val="Block_D9"/>
      <sheetName val="2_Calculation_19"/>
      <sheetName val="Datasheet_GLL_double_weir_(1)9"/>
      <sheetName val="_9"/>
      <sheetName val="eq_data__x005f_x0000__x009"/>
      <sheetName val="33628-Rev__A9"/>
      <sheetName val="TYPE-B_평균H9"/>
      <sheetName val="6_공사비_내역_(가)9"/>
      <sheetName val="Sheet2_(2)9"/>
      <sheetName val="REF_ONLY8"/>
      <sheetName val="co-no_28"/>
      <sheetName val="Form_A_18"/>
      <sheetName val="Form_A_1_18"/>
      <sheetName val="BOM_Indirect8"/>
      <sheetName val="Form_A_1_II_28"/>
      <sheetName val="6_GSTG_PIPING8"/>
      <sheetName val="NONS__2,1898"/>
      <sheetName val="COMB_MNG&amp;STAFF_(ALL)__(2)8"/>
      <sheetName val="Reference_Table8"/>
      <sheetName val="CAL(1)_8"/>
      <sheetName val="member_design8"/>
      <sheetName val="soil_bearing_check8"/>
      <sheetName val="OCT_FDN8"/>
      <sheetName val="PRI_CIV8"/>
      <sheetName val="FOR_CIV8"/>
      <sheetName val="SUB_CIV8"/>
      <sheetName val="ANA_CIV8"/>
      <sheetName val="AUX_CIV8"/>
      <sheetName val="내역서_8"/>
      <sheetName val="hori__vessel(E-895)8"/>
      <sheetName val="2_38"/>
      <sheetName val="S_N8"/>
      <sheetName val="Loading_Table8"/>
      <sheetName val="SUMMARY_(0)9"/>
      <sheetName val="4_1구조설계8"/>
      <sheetName val="Pipelines_ASAB_I-II_Brownfield8"/>
      <sheetName val="MH_Estimation_Guide8"/>
      <sheetName val="공사비_내역_(가)8"/>
      <sheetName val="input_data-0909088"/>
      <sheetName val="HRG_BHN8"/>
      <sheetName val="Vent_Line_size8"/>
      <sheetName val="Expenses_per_Cost_Code_8"/>
      <sheetName val="Comp_Rate_8"/>
      <sheetName val="Analisa_HS8"/>
      <sheetName val="Section_1~4(1)8"/>
      <sheetName val="Section_1~4_8"/>
      <sheetName val="Section_58"/>
      <sheetName val="Section_5_28"/>
      <sheetName val="Section_5_38"/>
      <sheetName val="Section_68"/>
      <sheetName val="Section_6_28"/>
      <sheetName val="Attachment_18"/>
      <sheetName val="Attachmenet_28"/>
      <sheetName val="7_0_Crack_Check8"/>
      <sheetName val="축열조_기초8"/>
      <sheetName val="Fill_this_out_first___16"/>
      <sheetName val="Fill_this_out_first___17"/>
      <sheetName val="Forecast_Drivers8"/>
      <sheetName val="RAW_MATERIALS_8"/>
      <sheetName val="COST-PERSON-J_O_8"/>
      <sheetName val="MEASURE_LIST8"/>
      <sheetName val="Don_gia8"/>
      <sheetName val="COST-EST_LTI_P5C8"/>
      <sheetName val="SLEIPNER_-_ORMEN_LANGE8"/>
      <sheetName val="전기_BM_revA('090624)_xls8"/>
      <sheetName val="定额_(06)8"/>
      <sheetName val="Tie_Beam_GN6"/>
      <sheetName val="4_단락전류8"/>
      <sheetName val="system_&amp;_LOOK_UP_FUNC6"/>
      <sheetName val="Q5434_EQ_LIST8"/>
      <sheetName val="motor_power8"/>
      <sheetName val="Data_18"/>
      <sheetName val="4-3LEVEL-5_epic_48"/>
      <sheetName val="Unit_Cost8"/>
      <sheetName val="Coeff_8"/>
      <sheetName val="[fdn_bm_pro_xls]기계공사비집계(珆꭭/8"/>
      <sheetName val="96_126"/>
      <sheetName val="Exchange_rates8"/>
      <sheetName val="BID_FORM6"/>
      <sheetName val="Form_of_Bid6"/>
      <sheetName val="INST_LIST6"/>
      <sheetName val="Item_Dominan6"/>
      <sheetName val="Code_026"/>
      <sheetName val="Code_036"/>
      <sheetName val="Code_046"/>
      <sheetName val="Code_056"/>
      <sheetName val="Code_066"/>
      <sheetName val="Code_076"/>
      <sheetName val="Code_096"/>
      <sheetName val="4300_UTILITY_BLDG_(2)6"/>
      <sheetName val="Price_Breakdown(Building)6"/>
      <sheetName val="MANPOWER_DIRECT_TRACKING6"/>
      <sheetName val="Timescaled_Data6"/>
      <sheetName val="Home_Office6"/>
      <sheetName val="fdn_bm_pro_xls기계공사비집계(珆꭭6"/>
      <sheetName val="2-SITE_6"/>
      <sheetName val="eq_data_????6"/>
      <sheetName val="PCC_EAF6"/>
      <sheetName val="PCC_LF6"/>
      <sheetName val="4-Basic_Price6"/>
      <sheetName val="_fdn_bm_pro_xls_기계공사비집계(珆꭭_6"/>
      <sheetName val="Finish_list6"/>
      <sheetName val="Dati_base6"/>
      <sheetName val="US_Inflation_Factors6"/>
      <sheetName val="Cover_Page6"/>
      <sheetName val="Unit__Price6"/>
      <sheetName val="자재집계_&amp;_총괄표6"/>
      <sheetName val="Engrg_Est6"/>
      <sheetName val="[fdn_bm_pro_xls]_fdn_bm_pro_x_7"/>
      <sheetName val="GASATAGG_XLS6"/>
      <sheetName val="BEND_LOSS6"/>
      <sheetName val="eq_data_7"/>
      <sheetName val="PREMI"/>
      <sheetName val="직원동원SCH"/>
      <sheetName val="관람석제출"/>
      <sheetName val="GAJI"/>
      <sheetName val="Div26_-_Elect"/>
      <sheetName val="eq_data__x1"/>
      <sheetName val="2_4_1_Elec_BOQ"/>
      <sheetName val="2_4_1_Inst_BOQ"/>
      <sheetName val="PTF_Report"/>
      <sheetName val="InsertListDrawing_1_"/>
      <sheetName val="BILL_Of_QUANTITIES"/>
      <sheetName val="page_142"/>
      <sheetName val="3514-HV-0201"/>
      <sheetName val="Table-1"/>
      <sheetName val="금융비용"/>
      <sheetName val="ELECTRIC"/>
      <sheetName val="CTEMCOST"/>
      <sheetName val="SCHEDULE"/>
      <sheetName val="chart"/>
      <sheetName val="Bend_fact "/>
      <sheetName val="Bend_fact_"/>
      <sheetName val="982-6B@"/>
      <sheetName val="간접비"/>
      <sheetName val="PROCESS"/>
      <sheetName val="E.1"/>
      <sheetName val="OD"/>
      <sheetName val="Estimate"/>
      <sheetName val="Unitwise breakup"/>
      <sheetName val="실행철강하도"/>
      <sheetName val="Droplist"/>
      <sheetName val="tunda2"/>
      <sheetName val="rekap.c"/>
      <sheetName val="HARGA MATERIAL"/>
      <sheetName val="H_param"/>
      <sheetName val="BQ Arsit"/>
      <sheetName val="An HarSatPek"/>
      <sheetName val="Sat Bah &amp; Up"/>
      <sheetName val="1.사업개요"/>
      <sheetName val="HT-INTROD"/>
      <sheetName val="Site Expenses"/>
      <sheetName val="Récapitulatif"/>
      <sheetName val="ABUT수량-A1"/>
      <sheetName val="steel-gr"/>
      <sheetName val="Cause&amp;Effects"/>
      <sheetName val="Paint - Mat Summ"/>
      <sheetName val="Paint_-_Mat_Summ"/>
      <sheetName val="Piling &amp; Tk Fdn"/>
      <sheetName val="특수선일위대가"/>
      <sheetName val="Data Pembukaan_1.1"/>
      <sheetName val="[fdn_bm_pro.xls]_fdn_bm_pro_x_3"/>
      <sheetName val="[fdn_bm_pro.xls]_fdn_bm_pro_x_4"/>
      <sheetName val="[fdn_bm_pro.xls]_fdn_bm_pro_x_5"/>
      <sheetName val="H_Satuan"/>
      <sheetName val="6PILE__(돌출)"/>
      <sheetName val="tabulación_final"/>
      <sheetName val="예정공정표_(2)"/>
      <sheetName val="Sh"/>
      <sheetName val="ADMIN_TB-557066_00A"/>
      <sheetName val="LABORATORY_TB-557091_00A"/>
      <sheetName val="OME5_TB-557088-001_00A"/>
      <sheetName val="OME4_TB-557087-001_00A"/>
      <sheetName val="OME3_TB-557086-001_00A"/>
      <sheetName val="CMB_EMTS_TB-557084_00A"/>
      <sheetName val="SLCB_TB-557083-002_00B"/>
      <sheetName val="PIB9_TB-557082-003_00B"/>
      <sheetName val="PIB7_TB-557081-003_00B"/>
      <sheetName val="PIB6_TB-557080-003_00B"/>
      <sheetName val="PIB5_TB-557079-002_00B"/>
      <sheetName val="PIB4_TB-557078-002_00B"/>
      <sheetName val="PIB3_TB-557077-002_00B"/>
      <sheetName val="CCB_TB-557075-001_00B"/>
      <sheetName val="CCB_TB-557073-002_00B"/>
      <sheetName val="CCB_TB-557072-001_00A"/>
      <sheetName val="CCB_TB-557051_00B"/>
      <sheetName val="Budget_Weight_Instructions_A"/>
      <sheetName val="Basic_data"/>
      <sheetName val="Isolasi_Luar_Dalam"/>
      <sheetName val="Isolasi_Luar"/>
      <sheetName val="Sh"/>
      <sheetName val="EMPLOYMENT_CERTIFICATE"/>
      <sheetName val="Salary_cer"/>
      <sheetName val="Master_file"/>
      <sheetName val="listes"/>
      <sheetName val="eq_data__x2"/>
      <sheetName val="page_1421"/>
      <sheetName val="InsertListDrawing_1_1"/>
      <sheetName val="BILL_Of_QUANTITIES1"/>
      <sheetName val="H_Satuan1"/>
      <sheetName val="Div26_-_Elect1"/>
      <sheetName val="2_4_1_Elec_BOQ1"/>
      <sheetName val="2_4_1_Inst_BOQ1"/>
      <sheetName val="PTF_Report1"/>
      <sheetName val="6PILE__(돌출)1"/>
      <sheetName val="tabulación_final1"/>
      <sheetName val="예정공정표_(2)1"/>
      <sheetName val="ADMIN_TB-557066_00A1"/>
      <sheetName val="LABORATORY_TB-557091_00A1"/>
      <sheetName val="OME5_TB-557088-001_00A1"/>
      <sheetName val="OME4_TB-557087-001_00A1"/>
      <sheetName val="OME3_TB-557086-001_00A1"/>
      <sheetName val="CMB_EMTS_TB-557084_00A1"/>
      <sheetName val="SLCB_TB-557083-002_00B1"/>
      <sheetName val="PIB9_TB-557082-003_00B1"/>
      <sheetName val="PIB7_TB-557081-003_00B1"/>
      <sheetName val="PIB6_TB-557080-003_00B1"/>
      <sheetName val="PIB5_TB-557079-002_00B1"/>
      <sheetName val="PIB4_TB-557078-002_00B1"/>
      <sheetName val="PIB3_TB-557077-002_00B1"/>
      <sheetName val="CCB_TB-557075-001_00B1"/>
      <sheetName val="CCB_TB-557073-002_00B1"/>
      <sheetName val="CCB_TB-557072-001_00A1"/>
      <sheetName val="CCB_TB-557051_00B1"/>
      <sheetName val="Budget_Weight_Instructions_A1"/>
      <sheetName val="Basic_data1"/>
      <sheetName val="Isolasi_Luar_Dalam1"/>
      <sheetName val="Isolasi_Luar1"/>
      <sheetName val="EMPLOYMENT_CERTIFICATE1"/>
      <sheetName val="Salary_cer1"/>
      <sheetName val="Master_file1"/>
      <sheetName val="eq_data__x3"/>
      <sheetName val="page_1422"/>
      <sheetName val="InsertListDrawing_1_2"/>
      <sheetName val="BILL_Of_QUANTITIES2"/>
      <sheetName val="H_Satuan2"/>
      <sheetName val="Div26_-_Elect2"/>
      <sheetName val="2_4_1_Elec_BOQ2"/>
      <sheetName val="2_4_1_Inst_BOQ2"/>
      <sheetName val="PTF_Report2"/>
      <sheetName val="6PILE__(돌출)2"/>
      <sheetName val="tabulación_final2"/>
      <sheetName val="예정공정표_(2)2"/>
      <sheetName val="ADMIN_TB-557066_00A2"/>
      <sheetName val="LABORATORY_TB-557091_00A2"/>
      <sheetName val="OME5_TB-557088-001_00A2"/>
      <sheetName val="OME4_TB-557087-001_00A2"/>
      <sheetName val="OME3_TB-557086-001_00A2"/>
      <sheetName val="CMB_EMTS_TB-557084_00A2"/>
      <sheetName val="SLCB_TB-557083-002_00B2"/>
      <sheetName val="PIB9_TB-557082-003_00B2"/>
      <sheetName val="PIB7_TB-557081-003_00B2"/>
      <sheetName val="PIB6_TB-557080-003_00B2"/>
      <sheetName val="PIB5_TB-557079-002_00B2"/>
      <sheetName val="PIB4_TB-557078-002_00B2"/>
      <sheetName val="PIB3_TB-557077-002_00B2"/>
      <sheetName val="CCB_TB-557075-001_00B2"/>
      <sheetName val="CCB_TB-557073-002_00B2"/>
      <sheetName val="CCB_TB-557072-001_00A2"/>
      <sheetName val="CCB_TB-557051_00B2"/>
      <sheetName val="Budget_Weight_Instructions_A2"/>
      <sheetName val="Basic_data2"/>
      <sheetName val="Isolasi_Luar_Dalam2"/>
      <sheetName val="Isolasi_Luar2"/>
      <sheetName val="EMPLOYMENT_CERTIFICATE2"/>
      <sheetName val="Salary_cer2"/>
      <sheetName val="Master_file2"/>
      <sheetName val="eq_data__x4"/>
      <sheetName val="page_1423"/>
      <sheetName val="InsertListDrawing_1_3"/>
      <sheetName val="BILL_Of_QUANTITIES3"/>
      <sheetName val="H_Satuan3"/>
      <sheetName val="Div26_-_Elect3"/>
      <sheetName val="2_4_1_Elec_BOQ3"/>
      <sheetName val="2_4_1_Inst_BOQ3"/>
      <sheetName val="PTF_Report3"/>
      <sheetName val="6PILE__(돌출)3"/>
      <sheetName val="tabulación_final3"/>
      <sheetName val="예정공정표_(2)3"/>
      <sheetName val="ADMIN_TB-557066_00A3"/>
      <sheetName val="LABORATORY_TB-557091_00A3"/>
      <sheetName val="OME5_TB-557088-001_00A3"/>
      <sheetName val="OME4_TB-557087-001_00A3"/>
      <sheetName val="OME3_TB-557086-001_00A3"/>
      <sheetName val="CMB_EMTS_TB-557084_00A3"/>
      <sheetName val="SLCB_TB-557083-002_00B3"/>
      <sheetName val="PIB9_TB-557082-003_00B3"/>
      <sheetName val="PIB7_TB-557081-003_00B3"/>
      <sheetName val="PIB6_TB-557080-003_00B3"/>
      <sheetName val="PIB5_TB-557079-002_00B3"/>
      <sheetName val="PIB4_TB-557078-002_00B3"/>
      <sheetName val="PIB3_TB-557077-002_00B3"/>
      <sheetName val="CCB_TB-557075-001_00B3"/>
      <sheetName val="CCB_TB-557073-002_00B3"/>
      <sheetName val="CCB_TB-557072-001_00A3"/>
      <sheetName val="CCB_TB-557051_00B3"/>
      <sheetName val="Budget_Weight_Instructions_A3"/>
      <sheetName val="Basic_data3"/>
      <sheetName val="Isolasi_Luar_Dalam3"/>
      <sheetName val="Isolasi_Luar3"/>
      <sheetName val="EMPLOYMENT_CERTIFICATE3"/>
      <sheetName val="Salary_cer3"/>
      <sheetName val="Master_file3"/>
      <sheetName val="eq_data__x5"/>
      <sheetName val="page_1424"/>
      <sheetName val="InsertListDrawing_1_4"/>
      <sheetName val="BILL_Of_QUANTITIES4"/>
      <sheetName val="H_Satuan4"/>
      <sheetName val="Div26_-_Elect4"/>
      <sheetName val="2_4_1_Elec_BOQ4"/>
      <sheetName val="2_4_1_Inst_BOQ4"/>
      <sheetName val="PTF_Report4"/>
      <sheetName val="6PILE__(돌출)4"/>
      <sheetName val="tabulación_final4"/>
      <sheetName val="예정공정표_(2)4"/>
      <sheetName val="ADMIN_TB-557066_00A4"/>
      <sheetName val="LABORATORY_TB-557091_00A4"/>
      <sheetName val="OME5_TB-557088-001_00A4"/>
      <sheetName val="OME4_TB-557087-001_00A4"/>
      <sheetName val="OME3_TB-557086-001_00A4"/>
      <sheetName val="CMB_EMTS_TB-557084_00A4"/>
      <sheetName val="SLCB_TB-557083-002_00B4"/>
      <sheetName val="PIB9_TB-557082-003_00B4"/>
      <sheetName val="PIB7_TB-557081-003_00B4"/>
      <sheetName val="PIB6_TB-557080-003_00B4"/>
      <sheetName val="PIB5_TB-557079-002_00B4"/>
      <sheetName val="PIB4_TB-557078-002_00B4"/>
      <sheetName val="PIB3_TB-557077-002_00B4"/>
      <sheetName val="CCB_TB-557075-001_00B4"/>
      <sheetName val="CCB_TB-557073-002_00B4"/>
      <sheetName val="CCB_TB-557072-001_00A4"/>
      <sheetName val="CCB_TB-557051_00B4"/>
      <sheetName val="Budget_Weight_Instructions_A4"/>
      <sheetName val="Basic_data4"/>
      <sheetName val="Isolasi_Luar_Dalam4"/>
      <sheetName val="Isolasi_Luar4"/>
      <sheetName val="EMPLOYMENT_CERTIFICATE4"/>
      <sheetName val="Salary_cer4"/>
      <sheetName val="Master_file4"/>
      <sheetName val="eq_data__x6"/>
      <sheetName val="page_1425"/>
      <sheetName val="InsertListDrawing_1_5"/>
      <sheetName val="BILL_Of_QUANTITIES5"/>
      <sheetName val="H_Satuan5"/>
      <sheetName val="Div26_-_Elect5"/>
      <sheetName val="2_4_1_Elec_BOQ5"/>
      <sheetName val="2_4_1_Inst_BOQ5"/>
      <sheetName val="PTF_Report5"/>
      <sheetName val="6PILE__(돌출)5"/>
      <sheetName val="tabulación_final5"/>
      <sheetName val="예정공정표_(2)5"/>
      <sheetName val="ADMIN_TB-557066_00A5"/>
      <sheetName val="LABORATORY_TB-557091_00A5"/>
      <sheetName val="OME5_TB-557088-001_00A5"/>
      <sheetName val="OME4_TB-557087-001_00A5"/>
      <sheetName val="OME3_TB-557086-001_00A5"/>
      <sheetName val="CMB_EMTS_TB-557084_00A5"/>
      <sheetName val="SLCB_TB-557083-002_00B5"/>
      <sheetName val="PIB9_TB-557082-003_00B5"/>
      <sheetName val="PIB7_TB-557081-003_00B5"/>
      <sheetName val="PIB6_TB-557080-003_00B5"/>
      <sheetName val="PIB5_TB-557079-002_00B5"/>
      <sheetName val="PIB4_TB-557078-002_00B5"/>
      <sheetName val="PIB3_TB-557077-002_00B5"/>
      <sheetName val="CCB_TB-557075-001_00B5"/>
      <sheetName val="CCB_TB-557073-002_00B5"/>
      <sheetName val="CCB_TB-557072-001_00A5"/>
      <sheetName val="CCB_TB-557051_00B5"/>
      <sheetName val="Budget_Weight_Instructions_A5"/>
      <sheetName val="Basic_data5"/>
      <sheetName val="Isolasi_Luar_Dalam5"/>
      <sheetName val="Isolasi_Luar5"/>
      <sheetName val="EMPLOYMENT_CERTIFICATE5"/>
      <sheetName val="Salary_cer5"/>
      <sheetName val="Master_file5"/>
      <sheetName val="COVER "/>
      <sheetName val="DTS schedule"/>
      <sheetName val="3.Procurement"/>
      <sheetName val="eq_data ____"/>
      <sheetName val="_è"/>
      <sheetName val="_fdn_bm_pro.xls__fdn_bm_pro_x_2"/>
      <sheetName val="Pipe ID"/>
      <sheetName val="Step"/>
      <sheetName val="database"/>
      <sheetName val="5-Peralatan"/>
      <sheetName val="XLR_NoRangeSheet"/>
      <sheetName val="Cost Data"/>
      <sheetName val="チューブ仕様"/>
      <sheetName val="Prefab"/>
      <sheetName val="지수"/>
      <sheetName val="EQ USED (CORRECTED)"/>
      <sheetName val="afis"/>
      <sheetName val="D&amp;W"/>
      <sheetName val="100"/>
      <sheetName val="104(1)a"/>
      <sheetName val="eq_data__x0000__x00"/>
      <sheetName val="CT-35"/>
      <sheetName val="CT-0.4KV"/>
      <sheetName val="설 계"/>
      <sheetName val="[fdn_bm_pro.xls]_fdn_bm_pro_x_6"/>
      <sheetName val="[fdn_bm_pro.xls]_fdn_bm_pro_x_7"/>
      <sheetName val="[fdn_bm_pro.xls]_fdn_bm_pro_x_8"/>
      <sheetName val="eq_data_____"/>
      <sheetName val="_fdn_bm_pro_xls__fdn_bm_pro_x_2"/>
      <sheetName val="SYMBOL"/>
      <sheetName val="Spool Index"/>
      <sheetName val="Struktur Gas"/>
      <sheetName val="unitprice"/>
      <sheetName val="SEX"/>
      <sheetName val="CH"/>
      <sheetName val="AHS_Umum"/>
      <sheetName val="BILLING PROCESS"/>
      <sheetName val="Div2"/>
      <sheetName val="D7(1)"/>
      <sheetName val="Hardasar-PSJJ"/>
      <sheetName val="FORCE"/>
      <sheetName val="UPAH (2)"/>
      <sheetName val="Pekerjaan"/>
      <sheetName val="Analisa"/>
      <sheetName val="time"/>
      <sheetName val="PRIMARY LOAD"/>
      <sheetName val="DHS"/>
      <sheetName val="Anal"/>
      <sheetName val="RAB"/>
      <sheetName val="an-aspal"/>
      <sheetName val="REKAP"/>
      <sheetName val="부재력정리"/>
      <sheetName val="Rate"/>
      <sheetName val="pivot1"/>
      <sheetName val="ANALISA HARGA SATUAN"/>
      <sheetName val="Data-Pdk"/>
      <sheetName val="An-Lat"/>
      <sheetName val="dftr harga"/>
      <sheetName val="hrg. sat pek"/>
      <sheetName val="prhit tulangan"/>
      <sheetName val="Rekapitulasi"/>
      <sheetName val="vol pek"/>
      <sheetName val="Data-pendukung"/>
      <sheetName val="Anal-BM"/>
      <sheetName val="DRAIN DRUM PIT D-301"/>
      <sheetName val="hsd Alat"/>
      <sheetName val="urtek"/>
      <sheetName val="bill"/>
      <sheetName val="Daya"/>
      <sheetName val="10"/>
    </sheetNames>
    <sheetDataSet>
      <sheetData sheetId="0">
        <row r="5">
          <cell r="C5" t="str">
            <v>Isolated type</v>
          </cell>
        </row>
      </sheetData>
      <sheetData sheetId="1">
        <row r="5">
          <cell r="C5" t="str">
            <v>Isolated type</v>
          </cell>
        </row>
      </sheetData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>
        <row r="5">
          <cell r="C5" t="str">
            <v>Isolated type</v>
          </cell>
        </row>
      </sheetData>
      <sheetData sheetId="4"/>
      <sheetData sheetId="5"/>
      <sheetData sheetId="6">
        <row r="5">
          <cell r="C5" t="str">
            <v>PACKAGE NO.</v>
          </cell>
        </row>
      </sheetData>
      <sheetData sheetId="7">
        <row r="5">
          <cell r="C5" t="str">
            <v>PACKAGE NO.</v>
          </cell>
        </row>
      </sheetData>
      <sheetData sheetId="8">
        <row r="5">
          <cell r="C5" t="str">
            <v>PACKAGE NO.</v>
          </cell>
        </row>
      </sheetData>
      <sheetData sheetId="9">
        <row r="5">
          <cell r="C5" t="str">
            <v>PACKAGE NO.</v>
          </cell>
        </row>
      </sheetData>
      <sheetData sheetId="10">
        <row r="5">
          <cell r="C5" t="str">
            <v>PACKAGE NO.</v>
          </cell>
        </row>
      </sheetData>
      <sheetData sheetId="11">
        <row r="5">
          <cell r="C5" t="str">
            <v>PACKAGE NO.</v>
          </cell>
        </row>
      </sheetData>
      <sheetData sheetId="12">
        <row r="5">
          <cell r="C5" t="str">
            <v>PACKAGE NO.</v>
          </cell>
        </row>
      </sheetData>
      <sheetData sheetId="13">
        <row r="5">
          <cell r="C5" t="str">
            <v>PACKAGE NO.</v>
          </cell>
        </row>
      </sheetData>
      <sheetData sheetId="14">
        <row r="5">
          <cell r="C5" t="str">
            <v>PACKAGE NO.</v>
          </cell>
        </row>
      </sheetData>
      <sheetData sheetId="15">
        <row r="5">
          <cell r="C5" t="str">
            <v>PACKAGE NO.</v>
          </cell>
        </row>
      </sheetData>
      <sheetData sheetId="16">
        <row r="5">
          <cell r="C5" t="str">
            <v>PACKAGE NO.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 t="str">
            <v>PACKAGE NO.</v>
          </cell>
        </row>
      </sheetData>
      <sheetData sheetId="23">
        <row r="5">
          <cell r="C5" t="str">
            <v>PACKAGE NO.</v>
          </cell>
        </row>
      </sheetData>
      <sheetData sheetId="24">
        <row r="5">
          <cell r="C5" t="str">
            <v>PACKAGE NO.</v>
          </cell>
        </row>
      </sheetData>
      <sheetData sheetId="25">
        <row r="5">
          <cell r="C5" t="str">
            <v>PACKAGE NO.</v>
          </cell>
        </row>
      </sheetData>
      <sheetData sheetId="26">
        <row r="5">
          <cell r="C5" t="str">
            <v>PACKAGE NO.</v>
          </cell>
        </row>
      </sheetData>
      <sheetData sheetId="27">
        <row r="5">
          <cell r="C5" t="str">
            <v>PACKAGE NO.</v>
          </cell>
        </row>
      </sheetData>
      <sheetData sheetId="28">
        <row r="5">
          <cell r="C5" t="str">
            <v>PACKAGE NO.</v>
          </cell>
        </row>
      </sheetData>
      <sheetData sheetId="29">
        <row r="5">
          <cell r="C5" t="str">
            <v>PACKAGE NO.</v>
          </cell>
        </row>
      </sheetData>
      <sheetData sheetId="30">
        <row r="5">
          <cell r="C5" t="str">
            <v>PACKAGE NO.</v>
          </cell>
        </row>
      </sheetData>
      <sheetData sheetId="31">
        <row r="5">
          <cell r="C5" t="str">
            <v>PACKAGE NO.</v>
          </cell>
        </row>
      </sheetData>
      <sheetData sheetId="32">
        <row r="5">
          <cell r="C5" t="str">
            <v>PACKAGE NO.</v>
          </cell>
        </row>
      </sheetData>
      <sheetData sheetId="33">
        <row r="5">
          <cell r="C5" t="str">
            <v>PACKAGE NO.</v>
          </cell>
        </row>
      </sheetData>
      <sheetData sheetId="34">
        <row r="5">
          <cell r="C5" t="str">
            <v>PACKAGE NO.</v>
          </cell>
        </row>
      </sheetData>
      <sheetData sheetId="35">
        <row r="5">
          <cell r="C5" t="str">
            <v>PACKAGE NO.</v>
          </cell>
        </row>
      </sheetData>
      <sheetData sheetId="36">
        <row r="5">
          <cell r="C5" t="str">
            <v>PACKAGE NO.</v>
          </cell>
        </row>
      </sheetData>
      <sheetData sheetId="37">
        <row r="5">
          <cell r="C5" t="str">
            <v>PACKAGE NO.</v>
          </cell>
        </row>
      </sheetData>
      <sheetData sheetId="38">
        <row r="5">
          <cell r="C5" t="str">
            <v>PACKAGE NO.</v>
          </cell>
        </row>
      </sheetData>
      <sheetData sheetId="39">
        <row r="5">
          <cell r="C5" t="str">
            <v>PACKAGE NO.</v>
          </cell>
        </row>
      </sheetData>
      <sheetData sheetId="40">
        <row r="5">
          <cell r="C5" t="str">
            <v>PACKAGE NO.</v>
          </cell>
        </row>
      </sheetData>
      <sheetData sheetId="41">
        <row r="5">
          <cell r="C5" t="str">
            <v>PACKAGE NO.</v>
          </cell>
        </row>
      </sheetData>
      <sheetData sheetId="42">
        <row r="5">
          <cell r="C5" t="str">
            <v>PACKAGE NO.</v>
          </cell>
        </row>
      </sheetData>
      <sheetData sheetId="43">
        <row r="5">
          <cell r="C5" t="str">
            <v>PACKAGE NO.</v>
          </cell>
        </row>
      </sheetData>
      <sheetData sheetId="44">
        <row r="5">
          <cell r="C5" t="str">
            <v>PACKAGE NO.</v>
          </cell>
        </row>
      </sheetData>
      <sheetData sheetId="45">
        <row r="5">
          <cell r="C5" t="str">
            <v>PACKAGE NO.</v>
          </cell>
        </row>
      </sheetData>
      <sheetData sheetId="46">
        <row r="5">
          <cell r="C5" t="str">
            <v>PACKAGE NO.</v>
          </cell>
        </row>
      </sheetData>
      <sheetData sheetId="47">
        <row r="5">
          <cell r="C5" t="str">
            <v>PACKAGE NO.</v>
          </cell>
        </row>
      </sheetData>
      <sheetData sheetId="48">
        <row r="5">
          <cell r="C5" t="str">
            <v>PACKAGE NO.</v>
          </cell>
        </row>
      </sheetData>
      <sheetData sheetId="49">
        <row r="5">
          <cell r="C5" t="str">
            <v>PACKAGE NO.</v>
          </cell>
        </row>
      </sheetData>
      <sheetData sheetId="50">
        <row r="5">
          <cell r="C5" t="str">
            <v>PACKAGE NO.</v>
          </cell>
        </row>
      </sheetData>
      <sheetData sheetId="51">
        <row r="5">
          <cell r="C5" t="str">
            <v>PACKAGE NO.</v>
          </cell>
        </row>
      </sheetData>
      <sheetData sheetId="52">
        <row r="5">
          <cell r="C5" t="str">
            <v>PACKAGE NO.</v>
          </cell>
        </row>
      </sheetData>
      <sheetData sheetId="53">
        <row r="5">
          <cell r="C5" t="str">
            <v>PACKAGE NO.</v>
          </cell>
        </row>
      </sheetData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5">
          <cell r="C5" t="str">
            <v>PACKAGE NO.</v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>
        <row r="5">
          <cell r="C5">
            <v>100</v>
          </cell>
        </row>
      </sheetData>
      <sheetData sheetId="763">
        <row r="5">
          <cell r="C5">
            <v>100</v>
          </cell>
        </row>
      </sheetData>
      <sheetData sheetId="764">
        <row r="5">
          <cell r="C5">
            <v>100</v>
          </cell>
        </row>
      </sheetData>
      <sheetData sheetId="765">
        <row r="5">
          <cell r="C5">
            <v>100</v>
          </cell>
        </row>
      </sheetData>
      <sheetData sheetId="766">
        <row r="5">
          <cell r="C5">
            <v>100</v>
          </cell>
        </row>
      </sheetData>
      <sheetData sheetId="767">
        <row r="5">
          <cell r="C5">
            <v>100</v>
          </cell>
        </row>
      </sheetData>
      <sheetData sheetId="768">
        <row r="5">
          <cell r="C5">
            <v>100</v>
          </cell>
        </row>
      </sheetData>
      <sheetData sheetId="769">
        <row r="5">
          <cell r="C5">
            <v>100</v>
          </cell>
        </row>
      </sheetData>
      <sheetData sheetId="770">
        <row r="5">
          <cell r="C5">
            <v>100</v>
          </cell>
        </row>
      </sheetData>
      <sheetData sheetId="771">
        <row r="5">
          <cell r="C5">
            <v>100</v>
          </cell>
        </row>
      </sheetData>
      <sheetData sheetId="772">
        <row r="5">
          <cell r="C5">
            <v>100</v>
          </cell>
        </row>
      </sheetData>
      <sheetData sheetId="773">
        <row r="5">
          <cell r="C5">
            <v>100</v>
          </cell>
        </row>
      </sheetData>
      <sheetData sheetId="774">
        <row r="5">
          <cell r="C5">
            <v>100</v>
          </cell>
        </row>
      </sheetData>
      <sheetData sheetId="775">
        <row r="5">
          <cell r="C5">
            <v>100</v>
          </cell>
        </row>
      </sheetData>
      <sheetData sheetId="776">
        <row r="5">
          <cell r="C5">
            <v>100</v>
          </cell>
        </row>
      </sheetData>
      <sheetData sheetId="777">
        <row r="5">
          <cell r="C5">
            <v>100</v>
          </cell>
        </row>
      </sheetData>
      <sheetData sheetId="778">
        <row r="5">
          <cell r="C5">
            <v>100</v>
          </cell>
        </row>
      </sheetData>
      <sheetData sheetId="779">
        <row r="5">
          <cell r="C5">
            <v>100</v>
          </cell>
        </row>
      </sheetData>
      <sheetData sheetId="780">
        <row r="5">
          <cell r="C5">
            <v>100</v>
          </cell>
        </row>
      </sheetData>
      <sheetData sheetId="781">
        <row r="5">
          <cell r="C5">
            <v>100</v>
          </cell>
        </row>
      </sheetData>
      <sheetData sheetId="782">
        <row r="5">
          <cell r="C5">
            <v>100</v>
          </cell>
        </row>
      </sheetData>
      <sheetData sheetId="783">
        <row r="5">
          <cell r="C5">
            <v>100</v>
          </cell>
        </row>
      </sheetData>
      <sheetData sheetId="784">
        <row r="5">
          <cell r="C5">
            <v>100</v>
          </cell>
        </row>
      </sheetData>
      <sheetData sheetId="785">
        <row r="5">
          <cell r="C5">
            <v>100</v>
          </cell>
        </row>
      </sheetData>
      <sheetData sheetId="786">
        <row r="5">
          <cell r="C5">
            <v>100</v>
          </cell>
        </row>
      </sheetData>
      <sheetData sheetId="787">
        <row r="5">
          <cell r="C5">
            <v>100</v>
          </cell>
        </row>
      </sheetData>
      <sheetData sheetId="788">
        <row r="5">
          <cell r="C5">
            <v>100</v>
          </cell>
        </row>
      </sheetData>
      <sheetData sheetId="789">
        <row r="5">
          <cell r="C5">
            <v>100</v>
          </cell>
        </row>
      </sheetData>
      <sheetData sheetId="790">
        <row r="5">
          <cell r="C5">
            <v>100</v>
          </cell>
        </row>
      </sheetData>
      <sheetData sheetId="791">
        <row r="5">
          <cell r="C5">
            <v>100</v>
          </cell>
        </row>
      </sheetData>
      <sheetData sheetId="792">
        <row r="5">
          <cell r="C5">
            <v>100</v>
          </cell>
        </row>
      </sheetData>
      <sheetData sheetId="793">
        <row r="5">
          <cell r="C5">
            <v>100</v>
          </cell>
        </row>
      </sheetData>
      <sheetData sheetId="794">
        <row r="5">
          <cell r="C5">
            <v>100</v>
          </cell>
        </row>
      </sheetData>
      <sheetData sheetId="795">
        <row r="5">
          <cell r="C5">
            <v>100</v>
          </cell>
        </row>
      </sheetData>
      <sheetData sheetId="796">
        <row r="5">
          <cell r="C5">
            <v>100</v>
          </cell>
        </row>
      </sheetData>
      <sheetData sheetId="797">
        <row r="5">
          <cell r="C5">
            <v>100</v>
          </cell>
        </row>
      </sheetData>
      <sheetData sheetId="798">
        <row r="5">
          <cell r="C5">
            <v>100</v>
          </cell>
        </row>
      </sheetData>
      <sheetData sheetId="799">
        <row r="5">
          <cell r="C5">
            <v>100</v>
          </cell>
        </row>
      </sheetData>
      <sheetData sheetId="800">
        <row r="5">
          <cell r="C5">
            <v>100</v>
          </cell>
        </row>
      </sheetData>
      <sheetData sheetId="801">
        <row r="5">
          <cell r="C5">
            <v>100</v>
          </cell>
        </row>
      </sheetData>
      <sheetData sheetId="802">
        <row r="5">
          <cell r="C5">
            <v>100</v>
          </cell>
        </row>
      </sheetData>
      <sheetData sheetId="803">
        <row r="5">
          <cell r="C5">
            <v>100</v>
          </cell>
        </row>
      </sheetData>
      <sheetData sheetId="804">
        <row r="5">
          <cell r="C5">
            <v>100</v>
          </cell>
        </row>
      </sheetData>
      <sheetData sheetId="805">
        <row r="5">
          <cell r="C5">
            <v>100</v>
          </cell>
        </row>
      </sheetData>
      <sheetData sheetId="806">
        <row r="5">
          <cell r="C5">
            <v>100</v>
          </cell>
        </row>
      </sheetData>
      <sheetData sheetId="807">
        <row r="5">
          <cell r="C5">
            <v>100</v>
          </cell>
        </row>
      </sheetData>
      <sheetData sheetId="808">
        <row r="5">
          <cell r="C5">
            <v>100</v>
          </cell>
        </row>
      </sheetData>
      <sheetData sheetId="809">
        <row r="5">
          <cell r="C5">
            <v>100</v>
          </cell>
        </row>
      </sheetData>
      <sheetData sheetId="810">
        <row r="5">
          <cell r="C5">
            <v>100</v>
          </cell>
        </row>
      </sheetData>
      <sheetData sheetId="811">
        <row r="5">
          <cell r="C5">
            <v>100</v>
          </cell>
        </row>
      </sheetData>
      <sheetData sheetId="812">
        <row r="5">
          <cell r="C5">
            <v>100</v>
          </cell>
        </row>
      </sheetData>
      <sheetData sheetId="813">
        <row r="5">
          <cell r="C5">
            <v>100</v>
          </cell>
        </row>
      </sheetData>
      <sheetData sheetId="814">
        <row r="5">
          <cell r="C5">
            <v>100</v>
          </cell>
        </row>
      </sheetData>
      <sheetData sheetId="815">
        <row r="5">
          <cell r="C5">
            <v>100</v>
          </cell>
        </row>
      </sheetData>
      <sheetData sheetId="816">
        <row r="5">
          <cell r="C5">
            <v>100</v>
          </cell>
        </row>
      </sheetData>
      <sheetData sheetId="817">
        <row r="5">
          <cell r="C5">
            <v>100</v>
          </cell>
        </row>
      </sheetData>
      <sheetData sheetId="818">
        <row r="5">
          <cell r="C5">
            <v>100</v>
          </cell>
        </row>
      </sheetData>
      <sheetData sheetId="819">
        <row r="5">
          <cell r="C5">
            <v>100</v>
          </cell>
        </row>
      </sheetData>
      <sheetData sheetId="820">
        <row r="5">
          <cell r="C5">
            <v>100</v>
          </cell>
        </row>
      </sheetData>
      <sheetData sheetId="821">
        <row r="5">
          <cell r="C5">
            <v>100</v>
          </cell>
        </row>
      </sheetData>
      <sheetData sheetId="822">
        <row r="5">
          <cell r="C5">
            <v>100</v>
          </cell>
        </row>
      </sheetData>
      <sheetData sheetId="823">
        <row r="5">
          <cell r="C5">
            <v>100</v>
          </cell>
        </row>
      </sheetData>
      <sheetData sheetId="824">
        <row r="5">
          <cell r="C5">
            <v>100</v>
          </cell>
        </row>
      </sheetData>
      <sheetData sheetId="825">
        <row r="5">
          <cell r="C5">
            <v>100</v>
          </cell>
        </row>
      </sheetData>
      <sheetData sheetId="826">
        <row r="5">
          <cell r="C5">
            <v>100</v>
          </cell>
        </row>
      </sheetData>
      <sheetData sheetId="827">
        <row r="5">
          <cell r="C5">
            <v>100</v>
          </cell>
        </row>
      </sheetData>
      <sheetData sheetId="828">
        <row r="5">
          <cell r="C5">
            <v>100</v>
          </cell>
        </row>
      </sheetData>
      <sheetData sheetId="829">
        <row r="5">
          <cell r="C5">
            <v>100</v>
          </cell>
        </row>
      </sheetData>
      <sheetData sheetId="830">
        <row r="5">
          <cell r="C5">
            <v>100</v>
          </cell>
        </row>
      </sheetData>
      <sheetData sheetId="831">
        <row r="5">
          <cell r="C5">
            <v>100</v>
          </cell>
        </row>
      </sheetData>
      <sheetData sheetId="832">
        <row r="5">
          <cell r="C5">
            <v>100</v>
          </cell>
        </row>
      </sheetData>
      <sheetData sheetId="833">
        <row r="5">
          <cell r="C5">
            <v>100</v>
          </cell>
        </row>
      </sheetData>
      <sheetData sheetId="834">
        <row r="5">
          <cell r="C5">
            <v>100</v>
          </cell>
        </row>
      </sheetData>
      <sheetData sheetId="835">
        <row r="5">
          <cell r="C5">
            <v>100</v>
          </cell>
        </row>
      </sheetData>
      <sheetData sheetId="836">
        <row r="5">
          <cell r="C5">
            <v>100</v>
          </cell>
        </row>
      </sheetData>
      <sheetData sheetId="837"/>
      <sheetData sheetId="838">
        <row r="5">
          <cell r="C5">
            <v>100</v>
          </cell>
        </row>
      </sheetData>
      <sheetData sheetId="839">
        <row r="5">
          <cell r="C5">
            <v>100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5">
          <cell r="C5">
            <v>100</v>
          </cell>
        </row>
      </sheetData>
      <sheetData sheetId="852">
        <row r="5">
          <cell r="C5">
            <v>100</v>
          </cell>
        </row>
      </sheetData>
      <sheetData sheetId="853">
        <row r="5">
          <cell r="C5">
            <v>100</v>
          </cell>
        </row>
      </sheetData>
      <sheetData sheetId="854">
        <row r="5">
          <cell r="C5">
            <v>100</v>
          </cell>
        </row>
      </sheetData>
      <sheetData sheetId="855">
        <row r="5">
          <cell r="C5">
            <v>100</v>
          </cell>
        </row>
      </sheetData>
      <sheetData sheetId="856">
        <row r="5">
          <cell r="C5">
            <v>100</v>
          </cell>
        </row>
      </sheetData>
      <sheetData sheetId="857">
        <row r="5">
          <cell r="C5">
            <v>100</v>
          </cell>
        </row>
      </sheetData>
      <sheetData sheetId="858">
        <row r="5">
          <cell r="C5">
            <v>100</v>
          </cell>
        </row>
      </sheetData>
      <sheetData sheetId="859">
        <row r="5">
          <cell r="C5">
            <v>100</v>
          </cell>
        </row>
      </sheetData>
      <sheetData sheetId="860">
        <row r="5">
          <cell r="C5">
            <v>100</v>
          </cell>
        </row>
      </sheetData>
      <sheetData sheetId="861">
        <row r="5">
          <cell r="C5">
            <v>100</v>
          </cell>
        </row>
      </sheetData>
      <sheetData sheetId="862">
        <row r="5">
          <cell r="C5">
            <v>100</v>
          </cell>
        </row>
      </sheetData>
      <sheetData sheetId="863">
        <row r="5">
          <cell r="C5">
            <v>100</v>
          </cell>
        </row>
      </sheetData>
      <sheetData sheetId="864">
        <row r="5">
          <cell r="C5">
            <v>100</v>
          </cell>
        </row>
      </sheetData>
      <sheetData sheetId="865">
        <row r="5">
          <cell r="C5">
            <v>100</v>
          </cell>
        </row>
      </sheetData>
      <sheetData sheetId="866" refreshError="1"/>
      <sheetData sheetId="867" refreshError="1"/>
      <sheetData sheetId="868" refreshError="1"/>
      <sheetData sheetId="869">
        <row r="5">
          <cell r="C5">
            <v>100</v>
          </cell>
        </row>
      </sheetData>
      <sheetData sheetId="870">
        <row r="5">
          <cell r="C5">
            <v>100</v>
          </cell>
        </row>
      </sheetData>
      <sheetData sheetId="871"/>
      <sheetData sheetId="872">
        <row r="5">
          <cell r="C5">
            <v>100</v>
          </cell>
        </row>
      </sheetData>
      <sheetData sheetId="873">
        <row r="5">
          <cell r="C5">
            <v>100</v>
          </cell>
        </row>
      </sheetData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>
        <row r="5">
          <cell r="C5">
            <v>100</v>
          </cell>
        </row>
      </sheetData>
      <sheetData sheetId="887">
        <row r="5">
          <cell r="C5">
            <v>100</v>
          </cell>
        </row>
      </sheetData>
      <sheetData sheetId="888">
        <row r="5">
          <cell r="C5">
            <v>100</v>
          </cell>
        </row>
      </sheetData>
      <sheetData sheetId="889"/>
      <sheetData sheetId="890">
        <row r="5">
          <cell r="C5">
            <v>100</v>
          </cell>
        </row>
      </sheetData>
      <sheetData sheetId="891">
        <row r="5">
          <cell r="C5">
            <v>100</v>
          </cell>
        </row>
      </sheetData>
      <sheetData sheetId="892"/>
      <sheetData sheetId="893"/>
      <sheetData sheetId="894"/>
      <sheetData sheetId="895"/>
      <sheetData sheetId="896"/>
      <sheetData sheetId="897"/>
      <sheetData sheetId="898">
        <row r="5">
          <cell r="C5">
            <v>100</v>
          </cell>
        </row>
      </sheetData>
      <sheetData sheetId="899">
        <row r="5">
          <cell r="C5">
            <v>100</v>
          </cell>
        </row>
      </sheetData>
      <sheetData sheetId="900">
        <row r="5">
          <cell r="C5">
            <v>100</v>
          </cell>
        </row>
      </sheetData>
      <sheetData sheetId="901">
        <row r="5">
          <cell r="C5">
            <v>100</v>
          </cell>
        </row>
      </sheetData>
      <sheetData sheetId="902">
        <row r="5">
          <cell r="C5">
            <v>100</v>
          </cell>
        </row>
      </sheetData>
      <sheetData sheetId="903">
        <row r="5">
          <cell r="C5">
            <v>100</v>
          </cell>
        </row>
      </sheetData>
      <sheetData sheetId="904">
        <row r="5">
          <cell r="C5">
            <v>100</v>
          </cell>
        </row>
      </sheetData>
      <sheetData sheetId="905">
        <row r="5">
          <cell r="C5">
            <v>100</v>
          </cell>
        </row>
      </sheetData>
      <sheetData sheetId="906">
        <row r="5">
          <cell r="C5">
            <v>100</v>
          </cell>
        </row>
      </sheetData>
      <sheetData sheetId="907">
        <row r="5">
          <cell r="C5">
            <v>100</v>
          </cell>
        </row>
      </sheetData>
      <sheetData sheetId="908">
        <row r="5">
          <cell r="C5">
            <v>100</v>
          </cell>
        </row>
      </sheetData>
      <sheetData sheetId="909"/>
      <sheetData sheetId="910"/>
      <sheetData sheetId="911"/>
      <sheetData sheetId="912"/>
      <sheetData sheetId="913"/>
      <sheetData sheetId="914"/>
      <sheetData sheetId="915">
        <row r="5">
          <cell r="C5">
            <v>100</v>
          </cell>
        </row>
      </sheetData>
      <sheetData sheetId="916"/>
      <sheetData sheetId="917"/>
      <sheetData sheetId="918"/>
      <sheetData sheetId="919"/>
      <sheetData sheetId="920">
        <row r="5">
          <cell r="C5">
            <v>100</v>
          </cell>
        </row>
      </sheetData>
      <sheetData sheetId="921">
        <row r="5">
          <cell r="C5">
            <v>100</v>
          </cell>
        </row>
      </sheetData>
      <sheetData sheetId="922">
        <row r="5">
          <cell r="C5">
            <v>100</v>
          </cell>
        </row>
      </sheetData>
      <sheetData sheetId="923"/>
      <sheetData sheetId="924">
        <row r="5">
          <cell r="C5">
            <v>100</v>
          </cell>
        </row>
      </sheetData>
      <sheetData sheetId="925">
        <row r="5">
          <cell r="C5">
            <v>100</v>
          </cell>
        </row>
      </sheetData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>
        <row r="5">
          <cell r="C5">
            <v>100</v>
          </cell>
        </row>
      </sheetData>
      <sheetData sheetId="1021">
        <row r="5">
          <cell r="C5">
            <v>100</v>
          </cell>
        </row>
      </sheetData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>
        <row r="5">
          <cell r="C5">
            <v>100</v>
          </cell>
        </row>
      </sheetData>
      <sheetData sheetId="1049">
        <row r="5">
          <cell r="C5">
            <v>100</v>
          </cell>
        </row>
      </sheetData>
      <sheetData sheetId="1050">
        <row r="5">
          <cell r="C5">
            <v>100</v>
          </cell>
        </row>
      </sheetData>
      <sheetData sheetId="1051">
        <row r="5">
          <cell r="C5">
            <v>100</v>
          </cell>
        </row>
      </sheetData>
      <sheetData sheetId="1052">
        <row r="5">
          <cell r="C5">
            <v>100</v>
          </cell>
        </row>
      </sheetData>
      <sheetData sheetId="1053">
        <row r="5">
          <cell r="C5">
            <v>100</v>
          </cell>
        </row>
      </sheetData>
      <sheetData sheetId="1054">
        <row r="5">
          <cell r="C5">
            <v>100</v>
          </cell>
        </row>
      </sheetData>
      <sheetData sheetId="1055">
        <row r="5">
          <cell r="C5">
            <v>100</v>
          </cell>
        </row>
      </sheetData>
      <sheetData sheetId="1056">
        <row r="5">
          <cell r="C5">
            <v>100</v>
          </cell>
        </row>
      </sheetData>
      <sheetData sheetId="1057">
        <row r="5">
          <cell r="C5">
            <v>100</v>
          </cell>
        </row>
      </sheetData>
      <sheetData sheetId="1058">
        <row r="5">
          <cell r="C5">
            <v>100</v>
          </cell>
        </row>
      </sheetData>
      <sheetData sheetId="1059">
        <row r="5">
          <cell r="C5">
            <v>100</v>
          </cell>
        </row>
      </sheetData>
      <sheetData sheetId="1060">
        <row r="5">
          <cell r="C5">
            <v>100</v>
          </cell>
        </row>
      </sheetData>
      <sheetData sheetId="1061">
        <row r="5">
          <cell r="C5">
            <v>100</v>
          </cell>
        </row>
      </sheetData>
      <sheetData sheetId="1062">
        <row r="5">
          <cell r="C5">
            <v>100</v>
          </cell>
        </row>
      </sheetData>
      <sheetData sheetId="1063">
        <row r="5">
          <cell r="C5">
            <v>100</v>
          </cell>
        </row>
      </sheetData>
      <sheetData sheetId="1064">
        <row r="5">
          <cell r="C5">
            <v>100</v>
          </cell>
        </row>
      </sheetData>
      <sheetData sheetId="1065">
        <row r="5">
          <cell r="C5">
            <v>100</v>
          </cell>
        </row>
      </sheetData>
      <sheetData sheetId="1066">
        <row r="5">
          <cell r="C5">
            <v>100</v>
          </cell>
        </row>
      </sheetData>
      <sheetData sheetId="1067">
        <row r="5">
          <cell r="C5">
            <v>100</v>
          </cell>
        </row>
      </sheetData>
      <sheetData sheetId="1068">
        <row r="5">
          <cell r="C5">
            <v>100</v>
          </cell>
        </row>
      </sheetData>
      <sheetData sheetId="1069">
        <row r="5">
          <cell r="C5">
            <v>100</v>
          </cell>
        </row>
      </sheetData>
      <sheetData sheetId="1070">
        <row r="5">
          <cell r="C5">
            <v>100</v>
          </cell>
        </row>
      </sheetData>
      <sheetData sheetId="1071">
        <row r="5">
          <cell r="C5">
            <v>100</v>
          </cell>
        </row>
      </sheetData>
      <sheetData sheetId="1072">
        <row r="5">
          <cell r="C5">
            <v>100</v>
          </cell>
        </row>
      </sheetData>
      <sheetData sheetId="1073">
        <row r="5">
          <cell r="C5">
            <v>100</v>
          </cell>
        </row>
      </sheetData>
      <sheetData sheetId="1074">
        <row r="5">
          <cell r="C5">
            <v>100</v>
          </cell>
        </row>
      </sheetData>
      <sheetData sheetId="1075">
        <row r="5">
          <cell r="C5">
            <v>100</v>
          </cell>
        </row>
      </sheetData>
      <sheetData sheetId="1076">
        <row r="5">
          <cell r="C5">
            <v>100</v>
          </cell>
        </row>
      </sheetData>
      <sheetData sheetId="1077">
        <row r="5">
          <cell r="C5">
            <v>100</v>
          </cell>
        </row>
      </sheetData>
      <sheetData sheetId="1078">
        <row r="5">
          <cell r="C5">
            <v>100</v>
          </cell>
        </row>
      </sheetData>
      <sheetData sheetId="1079">
        <row r="5">
          <cell r="C5">
            <v>100</v>
          </cell>
        </row>
      </sheetData>
      <sheetData sheetId="1080">
        <row r="5">
          <cell r="C5">
            <v>100</v>
          </cell>
        </row>
      </sheetData>
      <sheetData sheetId="1081">
        <row r="5">
          <cell r="C5">
            <v>100</v>
          </cell>
        </row>
      </sheetData>
      <sheetData sheetId="1082">
        <row r="5">
          <cell r="C5">
            <v>100</v>
          </cell>
        </row>
      </sheetData>
      <sheetData sheetId="1083">
        <row r="5">
          <cell r="C5">
            <v>100</v>
          </cell>
        </row>
      </sheetData>
      <sheetData sheetId="1084">
        <row r="5">
          <cell r="C5">
            <v>100</v>
          </cell>
        </row>
      </sheetData>
      <sheetData sheetId="1085">
        <row r="5">
          <cell r="C5">
            <v>100</v>
          </cell>
        </row>
      </sheetData>
      <sheetData sheetId="1086">
        <row r="5">
          <cell r="C5">
            <v>100</v>
          </cell>
        </row>
      </sheetData>
      <sheetData sheetId="1087">
        <row r="5">
          <cell r="C5">
            <v>100</v>
          </cell>
        </row>
      </sheetData>
      <sheetData sheetId="1088">
        <row r="5">
          <cell r="C5">
            <v>100</v>
          </cell>
        </row>
      </sheetData>
      <sheetData sheetId="1089">
        <row r="5">
          <cell r="C5">
            <v>100</v>
          </cell>
        </row>
      </sheetData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>
        <row r="5">
          <cell r="C5">
            <v>100</v>
          </cell>
        </row>
      </sheetData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5">
          <cell r="C5" t="str">
            <v>PACKAGE NO.</v>
          </cell>
        </row>
      </sheetData>
      <sheetData sheetId="1147">
        <row r="5">
          <cell r="C5" t="str">
            <v>PACKAGE NO.</v>
          </cell>
        </row>
      </sheetData>
      <sheetData sheetId="1148">
        <row r="5">
          <cell r="C5" t="str">
            <v>PACKAGE NO.</v>
          </cell>
        </row>
      </sheetData>
      <sheetData sheetId="1149">
        <row r="5">
          <cell r="C5" t="str">
            <v>PACKAGE NO.</v>
          </cell>
        </row>
      </sheetData>
      <sheetData sheetId="1150">
        <row r="5">
          <cell r="C5" t="str">
            <v>PACKAGE NO.</v>
          </cell>
        </row>
      </sheetData>
      <sheetData sheetId="1151">
        <row r="5">
          <cell r="C5" t="str">
            <v>PACKAGE NO.</v>
          </cell>
        </row>
      </sheetData>
      <sheetData sheetId="1152">
        <row r="5">
          <cell r="C5" t="str">
            <v>PACKAGE NO.</v>
          </cell>
        </row>
      </sheetData>
      <sheetData sheetId="1153">
        <row r="5">
          <cell r="C5" t="str">
            <v>PACKAGE NO.</v>
          </cell>
        </row>
      </sheetData>
      <sheetData sheetId="1154">
        <row r="5">
          <cell r="C5" t="str">
            <v>PACKAGE NO.</v>
          </cell>
        </row>
      </sheetData>
      <sheetData sheetId="1155">
        <row r="5">
          <cell r="C5" t="str">
            <v>PACKAGE NO.</v>
          </cell>
        </row>
      </sheetData>
      <sheetData sheetId="1156">
        <row r="5">
          <cell r="C5" t="str">
            <v>PACKAGE NO.</v>
          </cell>
        </row>
      </sheetData>
      <sheetData sheetId="1157">
        <row r="5">
          <cell r="C5" t="str">
            <v>PACKAGE NO.</v>
          </cell>
        </row>
      </sheetData>
      <sheetData sheetId="1158">
        <row r="5">
          <cell r="C5" t="str">
            <v>PACKAGE NO.</v>
          </cell>
        </row>
      </sheetData>
      <sheetData sheetId="1159">
        <row r="5">
          <cell r="C5" t="str">
            <v>PACKAGE NO.</v>
          </cell>
        </row>
      </sheetData>
      <sheetData sheetId="1160">
        <row r="5">
          <cell r="C5" t="str">
            <v>PACKAGE NO.</v>
          </cell>
        </row>
      </sheetData>
      <sheetData sheetId="1161">
        <row r="5">
          <cell r="C5" t="str">
            <v>PACKAGE NO.</v>
          </cell>
        </row>
      </sheetData>
      <sheetData sheetId="1162">
        <row r="5">
          <cell r="C5" t="str">
            <v>PACKAGE NO.</v>
          </cell>
        </row>
      </sheetData>
      <sheetData sheetId="1163">
        <row r="5">
          <cell r="C5" t="str">
            <v>PACKAGE NO.</v>
          </cell>
        </row>
      </sheetData>
      <sheetData sheetId="1164">
        <row r="5">
          <cell r="C5" t="str">
            <v>PACKAGE NO.</v>
          </cell>
        </row>
      </sheetData>
      <sheetData sheetId="1165">
        <row r="5">
          <cell r="C5" t="str">
            <v>PACKAGE NO.</v>
          </cell>
        </row>
      </sheetData>
      <sheetData sheetId="1166">
        <row r="5">
          <cell r="C5" t="str">
            <v>PACKAGE NO.</v>
          </cell>
        </row>
      </sheetData>
      <sheetData sheetId="1167">
        <row r="5">
          <cell r="C5" t="str">
            <v>PACKAGE NO.</v>
          </cell>
        </row>
      </sheetData>
      <sheetData sheetId="1168">
        <row r="5">
          <cell r="C5" t="str">
            <v>PACKAGE NO.</v>
          </cell>
        </row>
      </sheetData>
      <sheetData sheetId="1169">
        <row r="5">
          <cell r="C5" t="str">
            <v>PACKAGE NO.</v>
          </cell>
        </row>
      </sheetData>
      <sheetData sheetId="1170">
        <row r="5">
          <cell r="C5" t="str">
            <v>PACKAGE NO.</v>
          </cell>
        </row>
      </sheetData>
      <sheetData sheetId="1171">
        <row r="5">
          <cell r="C5" t="str">
            <v>PACKAGE NO.</v>
          </cell>
        </row>
      </sheetData>
      <sheetData sheetId="1172">
        <row r="5">
          <cell r="C5" t="str">
            <v>PACKAGE NO.</v>
          </cell>
        </row>
      </sheetData>
      <sheetData sheetId="1173">
        <row r="5">
          <cell r="C5" t="str">
            <v>PACKAGE NO.</v>
          </cell>
        </row>
      </sheetData>
      <sheetData sheetId="1174">
        <row r="5">
          <cell r="C5" t="str">
            <v>PACKAGE NO.</v>
          </cell>
        </row>
      </sheetData>
      <sheetData sheetId="1175">
        <row r="5">
          <cell r="C5" t="str">
            <v>PACKAGE NO.</v>
          </cell>
        </row>
      </sheetData>
      <sheetData sheetId="1176">
        <row r="5">
          <cell r="C5" t="str">
            <v>PACKAGE NO.</v>
          </cell>
        </row>
      </sheetData>
      <sheetData sheetId="1177">
        <row r="5">
          <cell r="C5" t="str">
            <v>PACKAGE NO.</v>
          </cell>
        </row>
      </sheetData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5">
          <cell r="C5" t="str">
            <v>PACKAGE NO.</v>
          </cell>
        </row>
      </sheetData>
      <sheetData sheetId="1190">
        <row r="5">
          <cell r="C5" t="str">
            <v>PACKAGE NO.</v>
          </cell>
        </row>
      </sheetData>
      <sheetData sheetId="1191">
        <row r="5">
          <cell r="C5" t="str">
            <v>PACKAGE NO.</v>
          </cell>
        </row>
      </sheetData>
      <sheetData sheetId="1192">
        <row r="5">
          <cell r="C5" t="str">
            <v>PACKAGE NO.</v>
          </cell>
        </row>
      </sheetData>
      <sheetData sheetId="1193">
        <row r="5">
          <cell r="C5" t="str">
            <v>PACKAGE NO.</v>
          </cell>
        </row>
      </sheetData>
      <sheetData sheetId="1194">
        <row r="5">
          <cell r="C5" t="str">
            <v>PACKAGE NO.</v>
          </cell>
        </row>
      </sheetData>
      <sheetData sheetId="1195">
        <row r="5">
          <cell r="C5" t="str">
            <v>PACKAGE NO.</v>
          </cell>
        </row>
      </sheetData>
      <sheetData sheetId="1196">
        <row r="5">
          <cell r="C5" t="str">
            <v>PACKAGE NO.</v>
          </cell>
        </row>
      </sheetData>
      <sheetData sheetId="1197">
        <row r="5">
          <cell r="C5" t="str">
            <v>PACKAGE NO.</v>
          </cell>
        </row>
      </sheetData>
      <sheetData sheetId="1198">
        <row r="5">
          <cell r="C5" t="str">
            <v>PACKAGE NO.</v>
          </cell>
        </row>
      </sheetData>
      <sheetData sheetId="1199"/>
      <sheetData sheetId="1200">
        <row r="5">
          <cell r="C5" t="str">
            <v>PACKAGE NO.</v>
          </cell>
        </row>
      </sheetData>
      <sheetData sheetId="1201">
        <row r="5">
          <cell r="C5" t="str">
            <v>PACKAGE NO.</v>
          </cell>
        </row>
      </sheetData>
      <sheetData sheetId="1202">
        <row r="5">
          <cell r="C5" t="str">
            <v>PACKAGE NO.</v>
          </cell>
        </row>
      </sheetData>
      <sheetData sheetId="1203">
        <row r="5">
          <cell r="C5" t="str">
            <v>PACKAGE NO.</v>
          </cell>
        </row>
      </sheetData>
      <sheetData sheetId="1204">
        <row r="5">
          <cell r="C5" t="str">
            <v>PACKAGE NO.</v>
          </cell>
        </row>
      </sheetData>
      <sheetData sheetId="1205">
        <row r="5">
          <cell r="C5" t="str">
            <v>PACKAGE NO.</v>
          </cell>
        </row>
      </sheetData>
      <sheetData sheetId="1206">
        <row r="5">
          <cell r="C5" t="str">
            <v>PACKAGE NO.</v>
          </cell>
        </row>
      </sheetData>
      <sheetData sheetId="1207">
        <row r="5">
          <cell r="C5" t="str">
            <v>PACKAGE NO.</v>
          </cell>
        </row>
      </sheetData>
      <sheetData sheetId="1208">
        <row r="5">
          <cell r="C5" t="str">
            <v>PACKAGE NO.</v>
          </cell>
        </row>
      </sheetData>
      <sheetData sheetId="1209">
        <row r="5">
          <cell r="C5" t="str">
            <v>PACKAGE NO.</v>
          </cell>
        </row>
      </sheetData>
      <sheetData sheetId="1210">
        <row r="5">
          <cell r="C5" t="str">
            <v>PACKAGE NO.</v>
          </cell>
        </row>
      </sheetData>
      <sheetData sheetId="1211">
        <row r="5">
          <cell r="C5" t="str">
            <v>PACKAGE NO.</v>
          </cell>
        </row>
      </sheetData>
      <sheetData sheetId="1212">
        <row r="5">
          <cell r="C5" t="str">
            <v>PACKAGE NO.</v>
          </cell>
        </row>
      </sheetData>
      <sheetData sheetId="1213">
        <row r="5">
          <cell r="C5" t="str">
            <v>PACKAGE NO.</v>
          </cell>
        </row>
      </sheetData>
      <sheetData sheetId="1214">
        <row r="5">
          <cell r="C5" t="str">
            <v>PACKAGE NO.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>
        <row r="5">
          <cell r="C5" t="str">
            <v>PACKAGE NO.</v>
          </cell>
        </row>
      </sheetData>
      <sheetData sheetId="1276">
        <row r="5">
          <cell r="C5" t="str">
            <v>PACKAGE NO.</v>
          </cell>
        </row>
      </sheetData>
      <sheetData sheetId="1277"/>
      <sheetData sheetId="1278">
        <row r="5">
          <cell r="C5" t="str">
            <v>PACKAGE NO.</v>
          </cell>
        </row>
      </sheetData>
      <sheetData sheetId="1279">
        <row r="5">
          <cell r="C5" t="str">
            <v>PACKAGE NO.</v>
          </cell>
        </row>
      </sheetData>
      <sheetData sheetId="1280">
        <row r="5">
          <cell r="C5" t="str">
            <v>PACKAGE NO.</v>
          </cell>
        </row>
      </sheetData>
      <sheetData sheetId="1281"/>
      <sheetData sheetId="1282">
        <row r="5">
          <cell r="C5" t="str">
            <v>PACKAGE NO.</v>
          </cell>
        </row>
      </sheetData>
      <sheetData sheetId="1283">
        <row r="5">
          <cell r="C5" t="str">
            <v>PACKAGE NO.</v>
          </cell>
        </row>
      </sheetData>
      <sheetData sheetId="1284">
        <row r="5">
          <cell r="C5" t="str">
            <v>PACKAGE NO.</v>
          </cell>
        </row>
      </sheetData>
      <sheetData sheetId="1285">
        <row r="5">
          <cell r="C5" t="str">
            <v>PACKAGE NO.</v>
          </cell>
        </row>
      </sheetData>
      <sheetData sheetId="1286">
        <row r="5">
          <cell r="C5" t="str">
            <v>PACKAGE NO.</v>
          </cell>
        </row>
      </sheetData>
      <sheetData sheetId="1287">
        <row r="5">
          <cell r="C5" t="str">
            <v>PACKAGE NO.</v>
          </cell>
        </row>
      </sheetData>
      <sheetData sheetId="1288">
        <row r="6">
          <cell r="C6" t="str">
            <v>ton</v>
          </cell>
        </row>
      </sheetData>
      <sheetData sheetId="1289">
        <row r="5">
          <cell r="C5" t="str">
            <v>PACKAGE NO.</v>
          </cell>
        </row>
      </sheetData>
      <sheetData sheetId="1290">
        <row r="5">
          <cell r="C5" t="str">
            <v>PACKAGE NO.</v>
          </cell>
        </row>
      </sheetData>
      <sheetData sheetId="1291">
        <row r="5">
          <cell r="C5" t="str">
            <v>PACKAGE NO.</v>
          </cell>
        </row>
      </sheetData>
      <sheetData sheetId="1292"/>
      <sheetData sheetId="1293">
        <row r="5">
          <cell r="C5" t="str">
            <v>PACKAGE NO.</v>
          </cell>
        </row>
      </sheetData>
      <sheetData sheetId="1294">
        <row r="5">
          <cell r="C5" t="str">
            <v>PACKAGE NO.</v>
          </cell>
        </row>
      </sheetData>
      <sheetData sheetId="1295">
        <row r="5">
          <cell r="C5" t="str">
            <v>PACKAGE NO.</v>
          </cell>
        </row>
      </sheetData>
      <sheetData sheetId="1296">
        <row r="5">
          <cell r="C5" t="str">
            <v>PACKAGE NO.</v>
          </cell>
        </row>
      </sheetData>
      <sheetData sheetId="1297">
        <row r="5">
          <cell r="C5" t="str">
            <v>PACKAGE NO.</v>
          </cell>
        </row>
      </sheetData>
      <sheetData sheetId="1298">
        <row r="5">
          <cell r="C5" t="str">
            <v>PACKAGE NO.</v>
          </cell>
        </row>
      </sheetData>
      <sheetData sheetId="1299">
        <row r="5">
          <cell r="C5" t="str">
            <v>PACKAGE NO.</v>
          </cell>
        </row>
      </sheetData>
      <sheetData sheetId="1300">
        <row r="5">
          <cell r="C5" t="str">
            <v>PACKAGE NO.</v>
          </cell>
        </row>
      </sheetData>
      <sheetData sheetId="1301">
        <row r="5">
          <cell r="C5" t="str">
            <v>PACKAGE NO.</v>
          </cell>
        </row>
      </sheetData>
      <sheetData sheetId="1302">
        <row r="5">
          <cell r="C5" t="str">
            <v>PACKAGE NO.</v>
          </cell>
        </row>
      </sheetData>
      <sheetData sheetId="1303">
        <row r="5">
          <cell r="C5" t="str">
            <v>PACKAGE NO.</v>
          </cell>
        </row>
      </sheetData>
      <sheetData sheetId="1304">
        <row r="5">
          <cell r="C5" t="str">
            <v>PACKAGE NO.</v>
          </cell>
        </row>
      </sheetData>
      <sheetData sheetId="1305">
        <row r="5">
          <cell r="C5" t="str">
            <v>PACKAGE NO.</v>
          </cell>
        </row>
      </sheetData>
      <sheetData sheetId="1306">
        <row r="5">
          <cell r="C5" t="str">
            <v>PACKAGE NO.</v>
          </cell>
        </row>
      </sheetData>
      <sheetData sheetId="1307">
        <row r="5">
          <cell r="C5" t="str">
            <v>PACKAGE NO.</v>
          </cell>
        </row>
      </sheetData>
      <sheetData sheetId="1308">
        <row r="5">
          <cell r="C5" t="str">
            <v>PACKAGE NO.</v>
          </cell>
        </row>
      </sheetData>
      <sheetData sheetId="1309">
        <row r="5">
          <cell r="C5" t="str">
            <v>PACKAGE NO.</v>
          </cell>
        </row>
      </sheetData>
      <sheetData sheetId="1310">
        <row r="5">
          <cell r="C5" t="str">
            <v>PACKAGE NO.</v>
          </cell>
        </row>
      </sheetData>
      <sheetData sheetId="1311">
        <row r="5">
          <cell r="C5" t="str">
            <v>PACKAGE NO.</v>
          </cell>
        </row>
      </sheetData>
      <sheetData sheetId="1312">
        <row r="5">
          <cell r="C5" t="str">
            <v>PACKAGE NO.</v>
          </cell>
        </row>
      </sheetData>
      <sheetData sheetId="1313">
        <row r="6">
          <cell r="C6" t="str">
            <v>ton</v>
          </cell>
        </row>
      </sheetData>
      <sheetData sheetId="1314">
        <row r="5">
          <cell r="C5" t="str">
            <v>PACKAGE NO.</v>
          </cell>
        </row>
      </sheetData>
      <sheetData sheetId="1315">
        <row r="5">
          <cell r="C5" t="str">
            <v>PACKAGE NO.</v>
          </cell>
        </row>
      </sheetData>
      <sheetData sheetId="1316">
        <row r="5">
          <cell r="C5" t="str">
            <v>PACKAGE NO.</v>
          </cell>
        </row>
      </sheetData>
      <sheetData sheetId="1317">
        <row r="5">
          <cell r="C5" t="str">
            <v>PACKAGE NO.</v>
          </cell>
        </row>
      </sheetData>
      <sheetData sheetId="1318">
        <row r="5">
          <cell r="C5" t="str">
            <v>PACKAGE NO.</v>
          </cell>
        </row>
      </sheetData>
      <sheetData sheetId="1319">
        <row r="5">
          <cell r="C5" t="str">
            <v>PACKAGE NO.</v>
          </cell>
        </row>
      </sheetData>
      <sheetData sheetId="1320">
        <row r="5">
          <cell r="C5" t="str">
            <v>PACKAGE NO.</v>
          </cell>
        </row>
      </sheetData>
      <sheetData sheetId="1321">
        <row r="5">
          <cell r="C5" t="str">
            <v>PACKAGE NO.</v>
          </cell>
        </row>
      </sheetData>
      <sheetData sheetId="1322">
        <row r="5">
          <cell r="C5" t="str">
            <v>PACKAGE NO.</v>
          </cell>
        </row>
      </sheetData>
      <sheetData sheetId="1323">
        <row r="5">
          <cell r="C5" t="str">
            <v>PACKAGE NO.</v>
          </cell>
        </row>
      </sheetData>
      <sheetData sheetId="1324">
        <row r="5">
          <cell r="C5" t="str">
            <v>PACKAGE NO.</v>
          </cell>
        </row>
      </sheetData>
      <sheetData sheetId="1325">
        <row r="5">
          <cell r="C5" t="str">
            <v>PACKAGE NO.</v>
          </cell>
        </row>
      </sheetData>
      <sheetData sheetId="1326">
        <row r="5">
          <cell r="C5" t="str">
            <v>PACKAGE NO.</v>
          </cell>
        </row>
      </sheetData>
      <sheetData sheetId="1327">
        <row r="5">
          <cell r="C5" t="str">
            <v>PACKAGE NO.</v>
          </cell>
        </row>
      </sheetData>
      <sheetData sheetId="1328">
        <row r="5">
          <cell r="C5" t="str">
            <v>PACKAGE NO.</v>
          </cell>
        </row>
      </sheetData>
      <sheetData sheetId="1329">
        <row r="5">
          <cell r="C5" t="str">
            <v>PACKAGE NO.</v>
          </cell>
        </row>
      </sheetData>
      <sheetData sheetId="1330">
        <row r="5">
          <cell r="C5" t="str">
            <v>PACKAGE NO.</v>
          </cell>
        </row>
      </sheetData>
      <sheetData sheetId="1331">
        <row r="5">
          <cell r="C5" t="str">
            <v>PACKAGE NO.</v>
          </cell>
        </row>
      </sheetData>
      <sheetData sheetId="1332">
        <row r="5">
          <cell r="C5" t="str">
            <v>PACKAGE NO.</v>
          </cell>
        </row>
      </sheetData>
      <sheetData sheetId="1333">
        <row r="5">
          <cell r="C5" t="str">
            <v>PACKAGE NO.</v>
          </cell>
        </row>
      </sheetData>
      <sheetData sheetId="1334">
        <row r="5">
          <cell r="C5" t="str">
            <v>PACKAGE NO.</v>
          </cell>
        </row>
      </sheetData>
      <sheetData sheetId="1335">
        <row r="5">
          <cell r="C5" t="str">
            <v>PACKAGE NO.</v>
          </cell>
        </row>
      </sheetData>
      <sheetData sheetId="1336">
        <row r="5">
          <cell r="C5" t="str">
            <v>PACKAGE NO.</v>
          </cell>
        </row>
      </sheetData>
      <sheetData sheetId="1337">
        <row r="5">
          <cell r="C5" t="str">
            <v>PACKAGE NO.</v>
          </cell>
        </row>
      </sheetData>
      <sheetData sheetId="1338">
        <row r="5">
          <cell r="C5" t="str">
            <v>PACKAGE NO.</v>
          </cell>
        </row>
      </sheetData>
      <sheetData sheetId="1339">
        <row r="5">
          <cell r="C5" t="str">
            <v>PACKAGE NO.</v>
          </cell>
        </row>
      </sheetData>
      <sheetData sheetId="1340">
        <row r="5">
          <cell r="C5" t="str">
            <v>PACKAGE NO.</v>
          </cell>
        </row>
      </sheetData>
      <sheetData sheetId="1341">
        <row r="5">
          <cell r="C5" t="str">
            <v>PACKAGE NO.</v>
          </cell>
        </row>
      </sheetData>
      <sheetData sheetId="1342">
        <row r="5">
          <cell r="C5" t="str">
            <v>PACKAGE NO.</v>
          </cell>
        </row>
      </sheetData>
      <sheetData sheetId="1343">
        <row r="5">
          <cell r="C5" t="str">
            <v>PACKAGE NO.</v>
          </cell>
        </row>
      </sheetData>
      <sheetData sheetId="1344">
        <row r="5">
          <cell r="C5" t="str">
            <v>PACKAGE NO.</v>
          </cell>
        </row>
      </sheetData>
      <sheetData sheetId="1345">
        <row r="5">
          <cell r="C5" t="str">
            <v>PACKAGE NO.</v>
          </cell>
        </row>
      </sheetData>
      <sheetData sheetId="1346">
        <row r="5">
          <cell r="C5" t="str">
            <v>PACKAGE NO.</v>
          </cell>
        </row>
      </sheetData>
      <sheetData sheetId="1347">
        <row r="5">
          <cell r="C5" t="str">
            <v>PACKAGE NO.</v>
          </cell>
        </row>
      </sheetData>
      <sheetData sheetId="1348">
        <row r="5">
          <cell r="C5" t="str">
            <v>PACKAGE NO.</v>
          </cell>
        </row>
      </sheetData>
      <sheetData sheetId="1349">
        <row r="5">
          <cell r="C5" t="str">
            <v>PACKAGE NO.</v>
          </cell>
        </row>
      </sheetData>
      <sheetData sheetId="1350">
        <row r="5">
          <cell r="C5" t="str">
            <v>PACKAGE NO.</v>
          </cell>
        </row>
      </sheetData>
      <sheetData sheetId="1351">
        <row r="5">
          <cell r="C5" t="str">
            <v>PACKAGE NO.</v>
          </cell>
        </row>
      </sheetData>
      <sheetData sheetId="1352">
        <row r="5">
          <cell r="C5" t="str">
            <v>PACKAGE NO.</v>
          </cell>
        </row>
      </sheetData>
      <sheetData sheetId="1353">
        <row r="5">
          <cell r="C5" t="str">
            <v>PACKAGE NO.</v>
          </cell>
        </row>
      </sheetData>
      <sheetData sheetId="1354">
        <row r="5">
          <cell r="C5" t="str">
            <v>PACKAGE NO.</v>
          </cell>
        </row>
      </sheetData>
      <sheetData sheetId="1355">
        <row r="5">
          <cell r="C5" t="str">
            <v>PACKAGE NO.</v>
          </cell>
        </row>
      </sheetData>
      <sheetData sheetId="1356">
        <row r="5">
          <cell r="C5" t="str">
            <v>PACKAGE NO.</v>
          </cell>
        </row>
      </sheetData>
      <sheetData sheetId="1357">
        <row r="5">
          <cell r="C5" t="str">
            <v>PACKAGE NO.</v>
          </cell>
        </row>
      </sheetData>
      <sheetData sheetId="1358">
        <row r="5">
          <cell r="C5" t="str">
            <v>PACKAGE NO.</v>
          </cell>
        </row>
      </sheetData>
      <sheetData sheetId="1359">
        <row r="5">
          <cell r="C5" t="str">
            <v>PACKAGE NO.</v>
          </cell>
        </row>
      </sheetData>
      <sheetData sheetId="1360">
        <row r="5">
          <cell r="C5" t="str">
            <v>PACKAGE NO.</v>
          </cell>
        </row>
      </sheetData>
      <sheetData sheetId="1361">
        <row r="5">
          <cell r="C5" t="str">
            <v>PACKAGE NO.</v>
          </cell>
        </row>
      </sheetData>
      <sheetData sheetId="1362">
        <row r="5">
          <cell r="C5" t="str">
            <v>PACKAGE NO.</v>
          </cell>
        </row>
      </sheetData>
      <sheetData sheetId="1363">
        <row r="5">
          <cell r="C5" t="str">
            <v>PACKAGE NO.</v>
          </cell>
        </row>
      </sheetData>
      <sheetData sheetId="1364">
        <row r="5">
          <cell r="C5" t="str">
            <v>PACKAGE NO.</v>
          </cell>
        </row>
      </sheetData>
      <sheetData sheetId="1365">
        <row r="5">
          <cell r="C5" t="str">
            <v>PACKAGE NO.</v>
          </cell>
        </row>
      </sheetData>
      <sheetData sheetId="1366">
        <row r="5">
          <cell r="C5" t="str">
            <v>PACKAGE NO.</v>
          </cell>
        </row>
      </sheetData>
      <sheetData sheetId="1367">
        <row r="5">
          <cell r="C5" t="str">
            <v>PACKAGE NO.</v>
          </cell>
        </row>
      </sheetData>
      <sheetData sheetId="1368">
        <row r="5">
          <cell r="C5" t="str">
            <v>PACKAGE NO.</v>
          </cell>
        </row>
      </sheetData>
      <sheetData sheetId="1369">
        <row r="5">
          <cell r="C5" t="str">
            <v>PACKAGE NO.</v>
          </cell>
        </row>
      </sheetData>
      <sheetData sheetId="1370">
        <row r="5">
          <cell r="C5" t="str">
            <v>PACKAGE NO.</v>
          </cell>
        </row>
      </sheetData>
      <sheetData sheetId="1371">
        <row r="5">
          <cell r="C5" t="str">
            <v>PACKAGE NO.</v>
          </cell>
        </row>
      </sheetData>
      <sheetData sheetId="1372">
        <row r="5">
          <cell r="C5" t="str">
            <v>PACKAGE NO.</v>
          </cell>
        </row>
      </sheetData>
      <sheetData sheetId="1373">
        <row r="5">
          <cell r="C5" t="str">
            <v>PACKAGE NO.</v>
          </cell>
        </row>
      </sheetData>
      <sheetData sheetId="1374">
        <row r="5">
          <cell r="C5" t="str">
            <v>PACKAGE NO.</v>
          </cell>
        </row>
      </sheetData>
      <sheetData sheetId="1375">
        <row r="5">
          <cell r="C5" t="str">
            <v>PACKAGE NO.</v>
          </cell>
        </row>
      </sheetData>
      <sheetData sheetId="1376">
        <row r="5">
          <cell r="C5" t="str">
            <v>PACKAGE NO.</v>
          </cell>
        </row>
      </sheetData>
      <sheetData sheetId="1377">
        <row r="5">
          <cell r="C5" t="str">
            <v>PACKAGE NO.</v>
          </cell>
        </row>
      </sheetData>
      <sheetData sheetId="1378">
        <row r="5">
          <cell r="C5" t="str">
            <v>PACKAGE NO.</v>
          </cell>
        </row>
      </sheetData>
      <sheetData sheetId="1379">
        <row r="5">
          <cell r="C5" t="str">
            <v>PACKAGE NO.</v>
          </cell>
        </row>
      </sheetData>
      <sheetData sheetId="1380">
        <row r="5">
          <cell r="C5" t="str">
            <v>PACKAGE NO.</v>
          </cell>
        </row>
      </sheetData>
      <sheetData sheetId="1381">
        <row r="5">
          <cell r="C5" t="str">
            <v>PACKAGE NO.</v>
          </cell>
        </row>
      </sheetData>
      <sheetData sheetId="1382">
        <row r="5">
          <cell r="C5" t="str">
            <v>PACKAGE NO.</v>
          </cell>
        </row>
      </sheetData>
      <sheetData sheetId="1383">
        <row r="5">
          <cell r="C5" t="str">
            <v>PACKAGE NO.</v>
          </cell>
        </row>
      </sheetData>
      <sheetData sheetId="1384">
        <row r="5">
          <cell r="C5" t="str">
            <v>PACKAGE NO.</v>
          </cell>
        </row>
      </sheetData>
      <sheetData sheetId="1385">
        <row r="5">
          <cell r="C5" t="str">
            <v>PACKAGE NO.</v>
          </cell>
        </row>
      </sheetData>
      <sheetData sheetId="1386">
        <row r="5">
          <cell r="C5" t="str">
            <v>PACKAGE NO.</v>
          </cell>
        </row>
      </sheetData>
      <sheetData sheetId="1387"/>
      <sheetData sheetId="1388"/>
      <sheetData sheetId="1389"/>
      <sheetData sheetId="1390"/>
      <sheetData sheetId="1391"/>
      <sheetData sheetId="1392">
        <row r="5">
          <cell r="C5" t="str">
            <v>PACKAGE NO.</v>
          </cell>
        </row>
      </sheetData>
      <sheetData sheetId="1393">
        <row r="5">
          <cell r="C5" t="str">
            <v>PACKAGE NO.</v>
          </cell>
        </row>
      </sheetData>
      <sheetData sheetId="1394">
        <row r="5">
          <cell r="C5" t="str">
            <v>PACKAGE NO.</v>
          </cell>
        </row>
      </sheetData>
      <sheetData sheetId="1395">
        <row r="5">
          <cell r="C5" t="str">
            <v>PACKAGE NO.</v>
          </cell>
        </row>
      </sheetData>
      <sheetData sheetId="1396">
        <row r="5">
          <cell r="C5" t="str">
            <v>PACKAGE NO.</v>
          </cell>
        </row>
      </sheetData>
      <sheetData sheetId="1397">
        <row r="5">
          <cell r="C5" t="str">
            <v>PACKAGE NO.</v>
          </cell>
        </row>
      </sheetData>
      <sheetData sheetId="1398">
        <row r="5">
          <cell r="C5" t="str">
            <v>PACKAGE NO.</v>
          </cell>
        </row>
      </sheetData>
      <sheetData sheetId="1399">
        <row r="5">
          <cell r="C5" t="str">
            <v>PACKAGE NO.</v>
          </cell>
        </row>
      </sheetData>
      <sheetData sheetId="1400">
        <row r="5">
          <cell r="C5" t="str">
            <v>PACKAGE NO.</v>
          </cell>
        </row>
      </sheetData>
      <sheetData sheetId="1401">
        <row r="5">
          <cell r="C5" t="str">
            <v>PACKAGE NO.</v>
          </cell>
        </row>
      </sheetData>
      <sheetData sheetId="1402">
        <row r="5">
          <cell r="C5" t="str">
            <v>PACKAGE NO.</v>
          </cell>
        </row>
      </sheetData>
      <sheetData sheetId="1403">
        <row r="5">
          <cell r="C5" t="str">
            <v>PACKAGE NO.</v>
          </cell>
        </row>
      </sheetData>
      <sheetData sheetId="1404">
        <row r="5">
          <cell r="C5" t="str">
            <v>PACKAGE NO.</v>
          </cell>
        </row>
      </sheetData>
      <sheetData sheetId="1405">
        <row r="5">
          <cell r="C5" t="str">
            <v>PACKAGE NO.</v>
          </cell>
        </row>
      </sheetData>
      <sheetData sheetId="1406"/>
      <sheetData sheetId="1407">
        <row r="5">
          <cell r="C5" t="str">
            <v>PACKAGE NO.</v>
          </cell>
        </row>
      </sheetData>
      <sheetData sheetId="1408">
        <row r="5">
          <cell r="C5" t="str">
            <v>PACKAGE NO.</v>
          </cell>
        </row>
      </sheetData>
      <sheetData sheetId="1409">
        <row r="5">
          <cell r="C5" t="str">
            <v>PACKAGE NO.</v>
          </cell>
        </row>
      </sheetData>
      <sheetData sheetId="1410">
        <row r="5">
          <cell r="C5" t="str">
            <v>PACKAGE NO.</v>
          </cell>
        </row>
      </sheetData>
      <sheetData sheetId="1411">
        <row r="5">
          <cell r="C5" t="str">
            <v>PACKAGE NO.</v>
          </cell>
        </row>
      </sheetData>
      <sheetData sheetId="1412">
        <row r="5">
          <cell r="C5" t="str">
            <v>PACKAGE NO.</v>
          </cell>
        </row>
      </sheetData>
      <sheetData sheetId="1413">
        <row r="5">
          <cell r="C5" t="str">
            <v>PACKAGE NO.</v>
          </cell>
        </row>
      </sheetData>
      <sheetData sheetId="1414">
        <row r="5">
          <cell r="C5" t="str">
            <v>PACKAGE NO.</v>
          </cell>
        </row>
      </sheetData>
      <sheetData sheetId="1415">
        <row r="5">
          <cell r="C5" t="str">
            <v>PACKAGE NO.</v>
          </cell>
        </row>
      </sheetData>
      <sheetData sheetId="1416">
        <row r="5">
          <cell r="C5" t="str">
            <v>PACKAGE NO.</v>
          </cell>
        </row>
      </sheetData>
      <sheetData sheetId="1417">
        <row r="5">
          <cell r="C5" t="str">
            <v>PACKAGE NO.</v>
          </cell>
        </row>
      </sheetData>
      <sheetData sheetId="1418">
        <row r="5">
          <cell r="C5" t="str">
            <v>PACKAGE NO.</v>
          </cell>
        </row>
      </sheetData>
      <sheetData sheetId="1419">
        <row r="5">
          <cell r="C5" t="str">
            <v>PACKAGE NO.</v>
          </cell>
        </row>
      </sheetData>
      <sheetData sheetId="1420">
        <row r="5">
          <cell r="C5" t="str">
            <v>PACKAGE NO.</v>
          </cell>
        </row>
      </sheetData>
      <sheetData sheetId="1421">
        <row r="5">
          <cell r="C5" t="str">
            <v>PACKAGE NO.</v>
          </cell>
        </row>
      </sheetData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>
        <row r="5">
          <cell r="C5">
            <v>100</v>
          </cell>
        </row>
      </sheetData>
      <sheetData sheetId="1464">
        <row r="5">
          <cell r="C5">
            <v>100</v>
          </cell>
        </row>
      </sheetData>
      <sheetData sheetId="1465">
        <row r="5">
          <cell r="C5">
            <v>100</v>
          </cell>
        </row>
      </sheetData>
      <sheetData sheetId="1466">
        <row r="5">
          <cell r="C5">
            <v>100</v>
          </cell>
        </row>
      </sheetData>
      <sheetData sheetId="1467">
        <row r="5">
          <cell r="C5">
            <v>100</v>
          </cell>
        </row>
      </sheetData>
      <sheetData sheetId="1468">
        <row r="5">
          <cell r="C5">
            <v>100</v>
          </cell>
        </row>
      </sheetData>
      <sheetData sheetId="1469">
        <row r="5">
          <cell r="C5">
            <v>100</v>
          </cell>
        </row>
      </sheetData>
      <sheetData sheetId="1470">
        <row r="5">
          <cell r="C5">
            <v>100</v>
          </cell>
        </row>
      </sheetData>
      <sheetData sheetId="1471">
        <row r="5">
          <cell r="C5">
            <v>100</v>
          </cell>
        </row>
      </sheetData>
      <sheetData sheetId="1472">
        <row r="5">
          <cell r="C5">
            <v>100</v>
          </cell>
        </row>
      </sheetData>
      <sheetData sheetId="1473">
        <row r="5">
          <cell r="C5">
            <v>100</v>
          </cell>
        </row>
      </sheetData>
      <sheetData sheetId="1474">
        <row r="5">
          <cell r="C5">
            <v>100</v>
          </cell>
        </row>
      </sheetData>
      <sheetData sheetId="1475">
        <row r="5">
          <cell r="C5">
            <v>100</v>
          </cell>
        </row>
      </sheetData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>
        <row r="5">
          <cell r="C5">
            <v>100</v>
          </cell>
        </row>
      </sheetData>
      <sheetData sheetId="1493">
        <row r="5">
          <cell r="C5">
            <v>100</v>
          </cell>
        </row>
      </sheetData>
      <sheetData sheetId="1494">
        <row r="5">
          <cell r="C5">
            <v>100</v>
          </cell>
        </row>
      </sheetData>
      <sheetData sheetId="1495">
        <row r="5">
          <cell r="C5">
            <v>100</v>
          </cell>
        </row>
      </sheetData>
      <sheetData sheetId="1496">
        <row r="5">
          <cell r="C5">
            <v>100</v>
          </cell>
        </row>
      </sheetData>
      <sheetData sheetId="1497">
        <row r="5">
          <cell r="C5">
            <v>100</v>
          </cell>
        </row>
      </sheetData>
      <sheetData sheetId="1498">
        <row r="5">
          <cell r="C5">
            <v>100</v>
          </cell>
        </row>
      </sheetData>
      <sheetData sheetId="1499">
        <row r="5">
          <cell r="C5">
            <v>100</v>
          </cell>
        </row>
      </sheetData>
      <sheetData sheetId="1500">
        <row r="5">
          <cell r="C5">
            <v>100</v>
          </cell>
        </row>
      </sheetData>
      <sheetData sheetId="1501">
        <row r="5">
          <cell r="C5">
            <v>100</v>
          </cell>
        </row>
      </sheetData>
      <sheetData sheetId="1502">
        <row r="5">
          <cell r="C5">
            <v>100</v>
          </cell>
        </row>
      </sheetData>
      <sheetData sheetId="1503">
        <row r="5">
          <cell r="C5">
            <v>100</v>
          </cell>
        </row>
      </sheetData>
      <sheetData sheetId="1504">
        <row r="5">
          <cell r="C5">
            <v>100</v>
          </cell>
        </row>
      </sheetData>
      <sheetData sheetId="1505">
        <row r="5">
          <cell r="C5">
            <v>100</v>
          </cell>
        </row>
      </sheetData>
      <sheetData sheetId="1506">
        <row r="5">
          <cell r="C5">
            <v>100</v>
          </cell>
        </row>
      </sheetData>
      <sheetData sheetId="1507">
        <row r="5">
          <cell r="C5">
            <v>100</v>
          </cell>
        </row>
      </sheetData>
      <sheetData sheetId="1508">
        <row r="5">
          <cell r="C5">
            <v>100</v>
          </cell>
        </row>
      </sheetData>
      <sheetData sheetId="1509">
        <row r="5">
          <cell r="C5">
            <v>100</v>
          </cell>
        </row>
      </sheetData>
      <sheetData sheetId="1510">
        <row r="5">
          <cell r="C5">
            <v>100</v>
          </cell>
        </row>
      </sheetData>
      <sheetData sheetId="1511">
        <row r="5">
          <cell r="C5">
            <v>100</v>
          </cell>
        </row>
      </sheetData>
      <sheetData sheetId="1512">
        <row r="5">
          <cell r="C5">
            <v>100</v>
          </cell>
        </row>
      </sheetData>
      <sheetData sheetId="1513">
        <row r="5">
          <cell r="C5">
            <v>100</v>
          </cell>
        </row>
      </sheetData>
      <sheetData sheetId="1514">
        <row r="5">
          <cell r="C5">
            <v>100</v>
          </cell>
        </row>
      </sheetData>
      <sheetData sheetId="1515">
        <row r="5">
          <cell r="C5">
            <v>100</v>
          </cell>
        </row>
      </sheetData>
      <sheetData sheetId="1516">
        <row r="5">
          <cell r="C5">
            <v>100</v>
          </cell>
        </row>
      </sheetData>
      <sheetData sheetId="1517">
        <row r="5">
          <cell r="C5">
            <v>100</v>
          </cell>
        </row>
      </sheetData>
      <sheetData sheetId="1518">
        <row r="5">
          <cell r="C5">
            <v>100</v>
          </cell>
        </row>
      </sheetData>
      <sheetData sheetId="1519">
        <row r="5">
          <cell r="C5">
            <v>100</v>
          </cell>
        </row>
      </sheetData>
      <sheetData sheetId="1520">
        <row r="5">
          <cell r="C5">
            <v>100</v>
          </cell>
        </row>
      </sheetData>
      <sheetData sheetId="1521">
        <row r="5">
          <cell r="C5">
            <v>100</v>
          </cell>
        </row>
      </sheetData>
      <sheetData sheetId="1522">
        <row r="5">
          <cell r="C5">
            <v>100</v>
          </cell>
        </row>
      </sheetData>
      <sheetData sheetId="1523">
        <row r="5">
          <cell r="C5">
            <v>100</v>
          </cell>
        </row>
      </sheetData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>
        <row r="5">
          <cell r="C5">
            <v>100</v>
          </cell>
        </row>
      </sheetData>
      <sheetData sheetId="1533">
        <row r="5">
          <cell r="C5">
            <v>100</v>
          </cell>
        </row>
      </sheetData>
      <sheetData sheetId="1534">
        <row r="5">
          <cell r="C5">
            <v>100</v>
          </cell>
        </row>
      </sheetData>
      <sheetData sheetId="1535">
        <row r="5">
          <cell r="C5">
            <v>100</v>
          </cell>
        </row>
      </sheetData>
      <sheetData sheetId="1536">
        <row r="5">
          <cell r="C5">
            <v>100</v>
          </cell>
        </row>
      </sheetData>
      <sheetData sheetId="1537">
        <row r="5">
          <cell r="C5">
            <v>100</v>
          </cell>
        </row>
      </sheetData>
      <sheetData sheetId="1538">
        <row r="5">
          <cell r="C5">
            <v>100</v>
          </cell>
        </row>
      </sheetData>
      <sheetData sheetId="1539">
        <row r="5">
          <cell r="C5">
            <v>100</v>
          </cell>
        </row>
      </sheetData>
      <sheetData sheetId="1540">
        <row r="5">
          <cell r="C5">
            <v>100</v>
          </cell>
        </row>
      </sheetData>
      <sheetData sheetId="1541">
        <row r="5">
          <cell r="C5">
            <v>100</v>
          </cell>
        </row>
      </sheetData>
      <sheetData sheetId="1542">
        <row r="5">
          <cell r="C5">
            <v>100</v>
          </cell>
        </row>
      </sheetData>
      <sheetData sheetId="1543">
        <row r="5">
          <cell r="C5">
            <v>100</v>
          </cell>
        </row>
      </sheetData>
      <sheetData sheetId="1544">
        <row r="5">
          <cell r="C5">
            <v>100</v>
          </cell>
        </row>
      </sheetData>
      <sheetData sheetId="1545">
        <row r="5">
          <cell r="C5">
            <v>100</v>
          </cell>
        </row>
      </sheetData>
      <sheetData sheetId="1546">
        <row r="5">
          <cell r="C5">
            <v>100</v>
          </cell>
        </row>
      </sheetData>
      <sheetData sheetId="1547">
        <row r="5">
          <cell r="C5">
            <v>100</v>
          </cell>
        </row>
      </sheetData>
      <sheetData sheetId="1548">
        <row r="5">
          <cell r="C5">
            <v>100</v>
          </cell>
        </row>
      </sheetData>
      <sheetData sheetId="1549">
        <row r="5">
          <cell r="C5">
            <v>100</v>
          </cell>
        </row>
      </sheetData>
      <sheetData sheetId="1550">
        <row r="5">
          <cell r="C5">
            <v>100</v>
          </cell>
        </row>
      </sheetData>
      <sheetData sheetId="1551">
        <row r="5">
          <cell r="C5">
            <v>100</v>
          </cell>
        </row>
      </sheetData>
      <sheetData sheetId="1552">
        <row r="5">
          <cell r="C5">
            <v>100</v>
          </cell>
        </row>
      </sheetData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>
        <row r="5">
          <cell r="C5" t="str">
            <v>PACKAGE NO.</v>
          </cell>
        </row>
      </sheetData>
      <sheetData sheetId="1638">
        <row r="5">
          <cell r="C5" t="str">
            <v>PACKAGE NO.</v>
          </cell>
        </row>
      </sheetData>
      <sheetData sheetId="1639">
        <row r="5">
          <cell r="C5" t="str">
            <v>PACKAGE NO.</v>
          </cell>
        </row>
      </sheetData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/>
      <sheetData sheetId="1654" refreshError="1"/>
      <sheetData sheetId="1655" refreshError="1"/>
      <sheetData sheetId="1656"/>
      <sheetData sheetId="1657"/>
      <sheetData sheetId="1658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 refreshError="1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/>
      <sheetData sheetId="3764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h-013211-2"/>
      <sheetName val="A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LIST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Cover"/>
      <sheetName val="산출기준"/>
      <sheetName val="CABLE"/>
      <sheetName val="JUNCTION BOX"/>
      <sheetName val="TRAY"/>
      <sheetName val="PIPE"/>
      <sheetName val="PIPE FITTING"/>
      <sheetName val="TUBE"/>
      <sheetName val="TUBE FITTING"/>
      <sheetName val="CABLE GLAND"/>
      <sheetName val="VALVE"/>
      <sheetName val="MCT"/>
      <sheetName val="SUPPORT"/>
      <sheetName val="예산서"/>
      <sheetName val="fdn_bm_pro"/>
      <sheetName val="P3"/>
      <sheetName val="전기일위대가"/>
      <sheetName val="수입"/>
      <sheetName val="Sheet1"/>
      <sheetName val="CAT_5"/>
      <sheetName val="갑지(추정)"/>
      <sheetName val="TOEC"/>
      <sheetName val="T1"/>
      <sheetName val="CONS. EQUIP.  "/>
      <sheetName val="REINF."/>
      <sheetName val="SKETCH"/>
      <sheetName val="LOADS"/>
      <sheetName val="CHECK1"/>
      <sheetName val="가시설공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투입실적"/>
      <sheetName val="일위대가"/>
      <sheetName val="VA_code"/>
      <sheetName val="ELEC_DCI"/>
      <sheetName val="INST_DCI"/>
      <sheetName val="PRO_A"/>
      <sheetName val="DWG"/>
      <sheetName val="ELEC_MCI"/>
      <sheetName val="MAIN"/>
      <sheetName val="INST_MCI"/>
      <sheetName val="MECH_MCI"/>
      <sheetName val="PRO"/>
      <sheetName val="기별수량산출서"/>
      <sheetName val="출력X"/>
      <sheetName val="을"/>
      <sheetName val="ITB COST"/>
      <sheetName val="건축"/>
      <sheetName val="SPEC"/>
      <sheetName val="ACTDATA"/>
      <sheetName val="PIP"/>
      <sheetName val="환율표"/>
      <sheetName val="97 사업추정(WEKI)"/>
      <sheetName val="토공"/>
      <sheetName val="TL,Termination"/>
      <sheetName val="Cable,Conduit"/>
      <sheetName val="WORK"/>
      <sheetName val="예산"/>
      <sheetName val="Cost control"/>
      <sheetName val="FACTOR"/>
      <sheetName val="90EL JACKET"/>
      <sheetName val="BAND(200)"/>
      <sheetName val="보온재"/>
      <sheetName val="인건비"/>
      <sheetName val="보온 회사분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JUNCTION_BOX"/>
      <sheetName val="PIPE_FITTING"/>
      <sheetName val="TUBE_FITTING"/>
      <sheetName val="CABLE_GLAND"/>
      <sheetName val="BLR_1"/>
      <sheetName val="CONS__EQUIP___"/>
      <sheetName val="REINF_"/>
      <sheetName val="#REF"/>
      <sheetName val="부표총괄"/>
      <sheetName val="소비자가"/>
      <sheetName val="Elect"/>
      <sheetName val="FIRE FIGHTING"/>
      <sheetName val="내역"/>
      <sheetName val="Tipo Terzi"/>
      <sheetName val="내역서"/>
      <sheetName val="Macro(전선)"/>
      <sheetName val="plan&amp;section of foundation"/>
      <sheetName val="design criteria"/>
      <sheetName val="DESCRIPTION"/>
      <sheetName val="BM DATA SHEET"/>
      <sheetName val="배관"/>
      <sheetName val="9-1차이내역"/>
      <sheetName val="주관사업"/>
      <sheetName val="요약배부"/>
      <sheetName val="CIVIL"/>
      <sheetName val="도"/>
      <sheetName val="Y-WORK"/>
      <sheetName val="DATA"/>
      <sheetName val="1.설계기준"/>
      <sheetName val="Resource"/>
      <sheetName val="N+"/>
      <sheetName val="PRC-SUM"/>
      <sheetName val="Dati"/>
      <sheetName val="DN"/>
      <sheetName val="Fluidi"/>
      <sheetName val="Temperatura"/>
      <sheetName val="Mat Stelo"/>
      <sheetName val="PBS"/>
      <sheetName val="costing_CV"/>
      <sheetName val="costing_ESDV"/>
      <sheetName val="costing_FE"/>
      <sheetName val="costing_Misc"/>
      <sheetName val="costing_MOV"/>
      <sheetName val="costing_Press"/>
      <sheetName val="DWTables"/>
      <sheetName val="CHK_OUT_BM_090914"/>
      <sheetName val="Unit SUM"/>
      <sheetName val="BB2현대건설견적"/>
      <sheetName val="SHL"/>
      <sheetName val="95삼성급(본사)"/>
      <sheetName val="R2_0908"/>
      <sheetName val="BAP"/>
      <sheetName val="환율"/>
      <sheetName val="working load at the btm ft."/>
      <sheetName val="stability check"/>
      <sheetName val="BREAKDOWN"/>
      <sheetName val="Total"/>
      <sheetName val="OUTER AREA(겹침없음)"/>
      <sheetName val="JACKET(50,50)"/>
      <sheetName val="FLANGE"/>
      <sheetName val="Page2"/>
      <sheetName val="AILC004"/>
      <sheetName val="조경"/>
      <sheetName val="Sheet2"/>
      <sheetName val="bill 2"/>
      <sheetName val="표지 (2)"/>
      <sheetName val="DATA1"/>
      <sheetName val="HRS"/>
      <sheetName val="Break Dw"/>
      <sheetName val="TblPriceDB"/>
      <sheetName val="MOTOR"/>
      <sheetName val="방유제용량 계산서"/>
      <sheetName val="Material Specification"/>
      <sheetName val="special item 양진규 작성"/>
      <sheetName val="CODE"/>
      <sheetName val="dnc4"/>
      <sheetName val="정부노임단가"/>
      <sheetName val="인원계획"/>
      <sheetName val="CAPVC"/>
      <sheetName val="Condition"/>
      <sheetName val="Tables"/>
      <sheetName val="7_5_1(A)_Data1"/>
      <sheetName val="7_5_1(B)_BOQ_Breakdown1"/>
      <sheetName val="7_5_1(C)_Scope1"/>
      <sheetName val="7_5_1(D)_Basis1"/>
      <sheetName val="7_5_1(E)_Allowance1"/>
      <sheetName val="7_5_2_BOQ_Summary1"/>
      <sheetName val="7_5_3_BOQ1"/>
      <sheetName val="A__Erec_BOQ(Shop)1"/>
      <sheetName val="B__Erec_BOQ(Field)1"/>
      <sheetName val="C__Surface_Protection1"/>
      <sheetName val="A__Erec_BOQ(Shop)_(2)1"/>
      <sheetName val="B__Erec_BOQ(Field)_(2)1"/>
      <sheetName val="C__Surf_Protection1"/>
      <sheetName val="Attachment_#11"/>
      <sheetName val="Attachment_#21"/>
      <sheetName val="302_C11"/>
      <sheetName val="302_C21"/>
      <sheetName val="SUPPLY_(2)1"/>
      <sheetName val="RETURN_(2)1"/>
      <sheetName val="303_(2)1"/>
      <sheetName val="308_(2)1"/>
      <sheetName val="309_(2)1"/>
      <sheetName val="JUNCTION_BOX1"/>
      <sheetName val="PIPE_FITTING1"/>
      <sheetName val="TUBE_FITTING1"/>
      <sheetName val="CABLE_GLAND1"/>
      <sheetName val="CONS__EQUIP___1"/>
      <sheetName val="REINF_1"/>
      <sheetName val="BLR_11"/>
      <sheetName val="ITB_COST"/>
      <sheetName val="97_사업추정(WEKI)"/>
      <sheetName val="Cost_control"/>
      <sheetName val="90EL_JACKET"/>
      <sheetName val="보온_회사분"/>
      <sheetName val="FIRE_FIGHTING"/>
      <sheetName val="Mat_Stelo"/>
      <sheetName val="Tipo_Terzi"/>
      <sheetName val="plan&amp;section_of_foundation"/>
      <sheetName val="design_criteria"/>
      <sheetName val="BM_DATA_SHEET"/>
      <sheetName val="단가정보"/>
      <sheetName val="INPUT DATA"/>
      <sheetName val="CSTSUM"/>
      <sheetName val="UNSTEADY"/>
      <sheetName val="자료"/>
      <sheetName val="SILICATE"/>
      <sheetName val="Sch.6"/>
      <sheetName val="combi(wall)"/>
      <sheetName val="제품현황"/>
      <sheetName val="pile bearing capa &amp; arrenge"/>
      <sheetName val="design load"/>
      <sheetName val="oper_load"/>
      <sheetName val="evap"/>
      <sheetName val="Fab. Skid"/>
      <sheetName val="CAL"/>
      <sheetName val="仪表分析表"/>
      <sheetName val="Sheet5"/>
      <sheetName val="Unit_SUM"/>
      <sheetName val="Schedule(1)"/>
      <sheetName val="lookup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세금자료"/>
      <sheetName val="경제지표"/>
      <sheetName val="대비내역"/>
      <sheetName val="개시대사 (2)"/>
      <sheetName val="집계표"/>
      <sheetName val="A-4"/>
      <sheetName val="sheeet2"/>
      <sheetName val="IT-BAT"/>
      <sheetName val="sum"/>
      <sheetName val="평3"/>
      <sheetName val="data_dci"/>
      <sheetName val="data_mci"/>
      <sheetName val="behind"/>
      <sheetName val="인원현황"/>
      <sheetName val="역T형"/>
      <sheetName val="CAMP - CONSTRUCTION"/>
      <sheetName val="L V Separator"/>
      <sheetName val="변수적용"/>
      <sheetName val="IBL-C"/>
      <sheetName val="입고장부 (4)"/>
      <sheetName val="공통비"/>
      <sheetName val="FEUILLE INTERNE"/>
      <sheetName val="설계조건"/>
      <sheetName val="조명시설"/>
      <sheetName val="BLDG_MCI"/>
      <sheetName val="Sheet10"/>
      <sheetName val="종목코드"/>
      <sheetName val="e4-6-%"/>
      <sheetName val="EG-09"/>
      <sheetName val="총괄표양식"/>
      <sheetName val="차량운영비"/>
      <sheetName val="세부내역"/>
      <sheetName val="E_Rate PM"/>
      <sheetName val="Schedule 2 and 3"/>
      <sheetName val="건축내역"/>
      <sheetName val="COMPARISON TABLE"/>
      <sheetName val="심사계산"/>
      <sheetName val="심사물량"/>
      <sheetName val="LD-OVERALL"/>
      <sheetName val="BOQ"/>
      <sheetName val="7_5_1(A)_Data2"/>
      <sheetName val="7_5_1(B)_BOQ_Breakdown2"/>
      <sheetName val="7_5_1(C)_Scope2"/>
      <sheetName val="7_5_1(D)_Basis2"/>
      <sheetName val="7_5_1(E)_Allowance2"/>
      <sheetName val="7_5_2_BOQ_Summary2"/>
      <sheetName val="7_5_3_BOQ2"/>
      <sheetName val="A__Erec_BOQ(Shop)2"/>
      <sheetName val="B__Erec_BOQ(Field)2"/>
      <sheetName val="C__Surface_Protection2"/>
      <sheetName val="A__Erec_BOQ(Shop)_(2)2"/>
      <sheetName val="B__Erec_BOQ(Field)_(2)2"/>
      <sheetName val="C__Surf_Protection2"/>
      <sheetName val="Attachment_#12"/>
      <sheetName val="Attachment_#22"/>
      <sheetName val="302_C12"/>
      <sheetName val="302_C22"/>
      <sheetName val="SUPPLY_(2)2"/>
      <sheetName val="RETURN_(2)2"/>
      <sheetName val="303_(2)2"/>
      <sheetName val="308_(2)2"/>
      <sheetName val="309_(2)2"/>
      <sheetName val="JUNCTION_BOX2"/>
      <sheetName val="PIPE_FITTING2"/>
      <sheetName val="TUBE_FITTING2"/>
      <sheetName val="CABLE_GLAND2"/>
      <sheetName val="CONS__EQUIP___2"/>
      <sheetName val="BLR_12"/>
      <sheetName val="REINF_2"/>
      <sheetName val="ITB_COST1"/>
      <sheetName val="97_사업추정(WEKI)1"/>
      <sheetName val="Cost_control1"/>
      <sheetName val="90EL_JACKET1"/>
      <sheetName val="보온_회사분1"/>
      <sheetName val="FIRE_FIGHTING1"/>
      <sheetName val="NDOCBT"/>
      <sheetName val="Summary"/>
      <sheetName val="Definitions"/>
      <sheetName val="input"/>
      <sheetName val="CAL."/>
      <sheetName val="BOQ건축"/>
      <sheetName val="Sheet6"/>
      <sheetName val="11.자재단가"/>
      <sheetName val="품셈1-17"/>
      <sheetName val="Imp-Data"/>
      <sheetName val="PROJECT"/>
      <sheetName val="1 OF 9"/>
      <sheetName val="sc0314 Index"/>
      <sheetName val="갑지"/>
      <sheetName val="KLHT"/>
      <sheetName val="General"/>
      <sheetName val="Menus"/>
      <sheetName val="LABTOTAL"/>
      <sheetName val="산근"/>
      <sheetName val="을지"/>
      <sheetName val="BSD (2)"/>
      <sheetName val="단가"/>
      <sheetName val="TRAY BM"/>
      <sheetName val="Set"/>
      <sheetName val="Contents"/>
      <sheetName val="Summary Sheets"/>
      <sheetName val="견적의뢰"/>
      <sheetName val="eq_data _x0000__x0000__x0000__x0000_"/>
      <sheetName val="실행내역"/>
      <sheetName val="11"/>
      <sheetName val="기둥(원형)"/>
      <sheetName val="기계공사비집계(원안)"/>
      <sheetName val="10현장조직"/>
      <sheetName val="가도공"/>
      <sheetName val="#3E1_GCR"/>
      <sheetName val="작성기준"/>
      <sheetName val="Design"/>
      <sheetName val="RFP002"/>
      <sheetName val="표지"/>
      <sheetName val="공사"/>
      <sheetName val="MyLists"/>
      <sheetName val="Sheet3"/>
      <sheetName val="영업2"/>
      <sheetName val="영업3"/>
      <sheetName val="Titel"/>
      <sheetName val="Cover sheet"/>
      <sheetName val="원본"/>
      <sheetName val="EE-PROP"/>
      <sheetName val="예산M11A"/>
      <sheetName val="Graph (LGEN)"/>
      <sheetName val="out_prog"/>
      <sheetName val="선적schedule (2)"/>
      <sheetName val="INSTR"/>
      <sheetName val="공사비_NDE"/>
      <sheetName val="OUT"/>
      <sheetName val="직원동원계획"/>
      <sheetName val="영업소실적"/>
      <sheetName val="w't table"/>
      <sheetName val="TB-내역서"/>
      <sheetName val="Code_Magics"/>
      <sheetName val="건축집계"/>
      <sheetName val="대치판정"/>
      <sheetName val="1_설계기준"/>
      <sheetName val="bill_2"/>
      <sheetName val="NAMES"/>
      <sheetName val="NPC500"/>
      <sheetName val="데이타"/>
      <sheetName val="Diainch"/>
      <sheetName val="한계원가"/>
      <sheetName val="품셈 "/>
      <sheetName val="PAINT"/>
      <sheetName val="방화도료"/>
      <sheetName val="plan&amp;section_of_foundation1"/>
      <sheetName val="design_criteria1"/>
      <sheetName val="Tipo_Terzi1"/>
      <sheetName val="BM_DATA_SHEET1"/>
      <sheetName val="Mat_Stelo1"/>
      <sheetName val="working_load_at_the_btm_ft_"/>
      <sheetName val="stability_check"/>
      <sheetName val="Unit_SUM1"/>
      <sheetName val="Break_Dw"/>
      <sheetName val="방유제용량_계산서"/>
      <sheetName val="INPUT_DATA"/>
      <sheetName val="special_item_양진규_작성"/>
      <sheetName val="OUTER_AREA(겹침없음)"/>
      <sheetName val="Material_Specification"/>
      <sheetName val="개시대사_(2)"/>
      <sheetName val="pile_bearing_capa_&amp;_arrenge"/>
      <sheetName val="design_load"/>
      <sheetName val="표지_(2)"/>
      <sheetName val="Sch_6"/>
      <sheetName val="Fab__Skid"/>
      <sheetName val="CAMP_OPERATING_COST"/>
      <sheetName val="PERSONNEL_SETUP"/>
      <sheetName val="LIST_OF_OFFICE_EQUIPMENT"/>
      <sheetName val="STAFF&amp;INDIRECT_SALARY_-_SUMMARY"/>
      <sheetName val="KOREAN_STAFF_SALARY_BREAKDOWN"/>
      <sheetName val="WELFARE_COST_-_SITE"/>
      <sheetName val="입고장부_(4)"/>
      <sheetName val="FEUILLE_INTERNE"/>
      <sheetName val="11_자재단가"/>
      <sheetName val="1_OF_9"/>
      <sheetName val="COMPARISON_TABLE"/>
      <sheetName val="L_V_Separator"/>
      <sheetName val="CAMP_-_CONSTRUCTION"/>
      <sheetName val="E_Rate_PM"/>
      <sheetName val="Schedule_2_and_3"/>
      <sheetName val="COPING"/>
      <sheetName val="COA-17"/>
      <sheetName val="C-18"/>
      <sheetName val="NC"/>
      <sheetName val="Resource summary"/>
      <sheetName val="eq_data _x005f_x0000__x005f_x0000__x005f_x0000__x"/>
      <sheetName val="cashflow"/>
      <sheetName val="new급여T(4을-운전)"/>
      <sheetName val="SG"/>
      <sheetName val="Lists"/>
      <sheetName val="B"/>
      <sheetName val="SORTING"/>
      <sheetName val="배관물량 (STEEL)"/>
      <sheetName val="Sheet 1"/>
      <sheetName val="Offertemodel"/>
      <sheetName val="Data_Vert"/>
      <sheetName val="Rebar"/>
      <sheetName val="Data_ST"/>
      <sheetName val="Load"/>
      <sheetName val="Source"/>
      <sheetName val="Preface"/>
      <sheetName val="급여일반"/>
      <sheetName val="choose"/>
      <sheetName val="당초"/>
      <sheetName val="Quotation"/>
      <sheetName val="Info"/>
      <sheetName val="Tiburon"/>
      <sheetName val="CONTROL-100"/>
      <sheetName val="General Data"/>
      <sheetName val="PRICE COMP"/>
      <sheetName val="본지점중"/>
      <sheetName val="A(Rev.3)"/>
      <sheetName val="static.cal"/>
      <sheetName val="crude.SLAB RE-bar"/>
      <sheetName val="ANX3A65"/>
      <sheetName val="BOQ0822"/>
      <sheetName val="7.6.3(B) UG Piping"/>
      <sheetName val="Lup"/>
      <sheetName val="Information"/>
      <sheetName val="WORKER"/>
      <sheetName val="PRICE LIST"/>
      <sheetName val="PipWT"/>
      <sheetName val="IBASE"/>
      <sheetName val="내역(한신APT)"/>
      <sheetName val="현황CODE"/>
      <sheetName val="손익현황"/>
      <sheetName val="BOM_DWG"/>
      <sheetName val="회사99"/>
      <sheetName val="laroux"/>
      <sheetName val="7.5.2 BOQ Summary "/>
      <sheetName val="Perfiles"/>
      <sheetName val="PumpSpec"/>
      <sheetName val="Rekap A"/>
      <sheetName val="RFP009"/>
      <sheetName val="RFP007"/>
      <sheetName val="NP"/>
      <sheetName val="견적기준"/>
      <sheetName val="OD5000"/>
      <sheetName val="upah"/>
      <sheetName val="bahan"/>
      <sheetName val="measure"/>
      <sheetName val="paint mat"/>
      <sheetName val="工완성공사율"/>
      <sheetName val="IN"/>
      <sheetName val="TTL"/>
      <sheetName val="VE Estimate"/>
      <sheetName val="CALCULATION"/>
      <sheetName val="COMPRESSOR"/>
      <sheetName val="D=700"/>
      <sheetName val="TABLE2-2 OSBL-(SITE PREP)"/>
      <sheetName val="Units"/>
      <sheetName val="Instructions"/>
      <sheetName val="OFFER RATE"/>
      <sheetName val="Job Data"/>
      <sheetName val="Piping Design Data"/>
      <sheetName val="BCPAB"/>
      <sheetName val="Summary 2002"/>
      <sheetName val="98TSON4A"/>
      <sheetName val="Feuil2"/>
      <sheetName val="노임"/>
      <sheetName val="총괄표"/>
      <sheetName val="ANALYSER"/>
      <sheetName val="ASME B 36.10 M"/>
      <sheetName val="일위대가표"/>
      <sheetName val="D-3"/>
      <sheetName val="차액보증"/>
      <sheetName val="말뚝지지력산정"/>
      <sheetName val="단중표"/>
      <sheetName val="3.0 Overall Progress S-curve"/>
      <sheetName val="3-4 SPI"/>
      <sheetName val="VV-REV2"/>
      <sheetName val="-15.0"/>
      <sheetName val="부재치수입력"/>
      <sheetName val="BLDG_DCI"/>
      <sheetName val="BREAKDOWN(철거설치)"/>
      <sheetName val="맨홀수량산출"/>
      <sheetName val="SPEC-DT2"/>
      <sheetName val="TDC_ADMIN"/>
      <sheetName val="Requisitions"/>
      <sheetName val="ICDS"/>
      <sheetName val="연돌일위집계"/>
      <sheetName val="품셈"/>
      <sheetName val="Break Down"/>
      <sheetName val="BQ"/>
      <sheetName val="22-Plant"/>
      <sheetName val="Supervision List"/>
      <sheetName val="Equip_Pipe_Insulation"/>
      <sheetName val="BQ_Piping"/>
      <sheetName val="PROCURE"/>
      <sheetName val="labor"/>
      <sheetName val="Struct-Grass root"/>
      <sheetName val="단가비교"/>
      <sheetName val="Basic"/>
      <sheetName val="견적 집계"/>
      <sheetName val="PULLING SUPT등"/>
      <sheetName val="Sheet1 (2)"/>
      <sheetName val="SHIPPING"/>
      <sheetName val="DATE"/>
      <sheetName val="PAGE 1"/>
      <sheetName val="대공종"/>
      <sheetName val="_생산성_분석_체계_절차.xlsx"/>
      <sheetName val="Quantity"/>
      <sheetName val="General_Data"/>
      <sheetName val="PRICE_COMP"/>
      <sheetName val="A(Rev_3)"/>
      <sheetName val="단가비교(TOTAL)"/>
      <sheetName val="General_Data1"/>
      <sheetName val="PRICE_COMP1"/>
      <sheetName val="A(Rev_3)1"/>
      <sheetName val="pri-com"/>
      <sheetName val="기준"/>
      <sheetName val="BQ List"/>
      <sheetName val="노임단가"/>
      <sheetName val="_x0000_è"/>
      <sheetName val="미입고자재목록_설계1과"/>
      <sheetName val="BQLIST"/>
      <sheetName val="제출계산서"/>
      <sheetName val="품셈1-26"/>
      <sheetName val="PAGE 2"/>
      <sheetName val="LEGEND"/>
      <sheetName val="KP1590_E"/>
      <sheetName val="입력값"/>
      <sheetName val="Page 10"/>
      <sheetName val="북제주-표지"/>
      <sheetName val="자재군별"/>
      <sheetName val="재료내역"/>
      <sheetName val="간접비 총괄표"/>
      <sheetName val="Macro"/>
      <sheetName val="Taux"/>
      <sheetName val="engg"/>
      <sheetName val="Eng.hour_DB"/>
      <sheetName val="POWER"/>
      <sheetName val="SBR_CR"/>
      <sheetName val="ITEM"/>
      <sheetName val="C급보 "/>
      <sheetName val="Rectangular Beam"/>
      <sheetName val="현금"/>
      <sheetName val="COST UP"/>
      <sheetName val="CRUDE RE-bar"/>
      <sheetName val="database-emp"/>
      <sheetName val="TIE-INS"/>
      <sheetName val="요율"/>
      <sheetName val="자재대"/>
      <sheetName val="Rev No"/>
      <sheetName val="KP_List"/>
      <sheetName val="6.공사비 내역 (가)"/>
      <sheetName val="나이대조표"/>
      <sheetName val="norms"/>
      <sheetName val="HVAC"/>
    </sheetNames>
    <sheetDataSet>
      <sheetData sheetId="0"/>
      <sheetData sheetId="1"/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A"/>
      <sheetName val="환율"/>
    </sheetNames>
    <sheetDataSet>
      <sheetData sheetId="0"/>
      <sheetData sheetId="1"/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s"/>
      <sheetName val="Menu"/>
      <sheetName val="Calc. Investm. Sales price"/>
      <sheetName val="Calculation Service"/>
      <sheetName val="Inter. cost during installation"/>
      <sheetName val="Inter. cost for financing"/>
      <sheetName val="VAT"/>
      <sheetName val="Net Savings"/>
      <sheetName val="NST (Customer) "/>
      <sheetName val="Invoicing"/>
      <sheetName val="Grafiken"/>
      <sheetName val="Auftragsblatt"/>
      <sheetName val="Copied_Graphs"/>
      <sheetName val="Info_D"/>
      <sheetName val="Info_E"/>
      <sheetName val="Info_SE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Selected_Language"/>
      <sheetName val="Module12"/>
      <sheetName val="가설건물"/>
    </sheetNames>
    <sheetDataSet>
      <sheetData sheetId="0">
        <row r="109">
          <cell r="E109" t="str">
            <v>Down payment</v>
          </cell>
        </row>
        <row r="110">
          <cell r="E110" t="str">
            <v>Investment volume to be financed</v>
          </cell>
        </row>
        <row r="111">
          <cell r="E111" t="str">
            <v>Additional Information total Service</v>
          </cell>
        </row>
        <row r="112">
          <cell r="E112" t="str">
            <v>Additional Information interest cost for financing</v>
          </cell>
        </row>
        <row r="113">
          <cell r="E113" t="str">
            <v>Additional Information order value incl. interest cost and service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-OUT(현황)"/>
      <sheetName val="98동원실적"/>
      <sheetName val="IN"/>
      <sheetName val="OUT"/>
      <sheetName val="98폐기"/>
      <sheetName val="매 각"/>
      <sheetName val="취득"/>
      <sheetName val="MARINEBUILD"/>
      <sheetName val="본지점중"/>
      <sheetName val="영업소실적"/>
      <sheetName val="INPUT DATA"/>
      <sheetName val="INSTR"/>
      <sheetName val="eq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투자및환수계획"/>
      <sheetName val="제조중간결과"/>
      <sheetName val="남양시작동자105노65기1.3화1.2"/>
      <sheetName val="Languages"/>
    </sheetNames>
    <sheetDataSet>
      <sheetData sheetId="0" refreshError="1">
        <row r="149">
          <cell r="F149">
            <v>35307216.359999999</v>
          </cell>
        </row>
        <row r="187">
          <cell r="C187">
            <v>68001890</v>
          </cell>
        </row>
      </sheetData>
      <sheetData sheetId="1" refreshError="1">
        <row r="59">
          <cell r="C59">
            <v>34131800</v>
          </cell>
        </row>
      </sheetData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_NDE"/>
      <sheetName val="공사비_BULK"/>
      <sheetName val="공사비_INSUL"/>
      <sheetName val="BULK"/>
      <sheetName val="INSULATION"/>
      <sheetName val="PAINT"/>
      <sheetName val="NDE"/>
      <sheetName val="h-013211-2"/>
      <sheetName val="공사내역"/>
      <sheetName val="jobhist"/>
      <sheetName val="DATE"/>
      <sheetName val="청천내"/>
      <sheetName val="세금자료"/>
      <sheetName val="VA_code"/>
      <sheetName val="현장업무"/>
      <sheetName val="접대비명세서"/>
      <sheetName val="전체"/>
      <sheetName val="산근"/>
      <sheetName val="노임단가"/>
      <sheetName val="공사계획서"/>
      <sheetName val="품셈표"/>
      <sheetName val="경제지표"/>
      <sheetName val="B"/>
      <sheetName val="CAT_5"/>
      <sheetName val="수입"/>
      <sheetName val="내역서"/>
      <sheetName val="3.내역서"/>
      <sheetName val="GeneralNote"/>
      <sheetName val="노임"/>
      <sheetName val="Cash2"/>
      <sheetName val="Z"/>
      <sheetName val="eq_data"/>
      <sheetName val="A"/>
      <sheetName val="INSTR"/>
      <sheetName val="cable-data"/>
      <sheetName val="Panel제작명세서"/>
      <sheetName val="FILTER"/>
      <sheetName val="Pivot"/>
      <sheetName val="설계명세서-2"/>
      <sheetName val="UnitList"/>
      <sheetName val="data_dci"/>
      <sheetName val="data_mci"/>
      <sheetName val="behind"/>
      <sheetName val="Main"/>
      <sheetName val="BREAKDOWN"/>
      <sheetName val="BUSINESS TRIP-TRAVELING EXPENSE"/>
      <sheetName val="LIST OF AIR FARE"/>
      <sheetName val="CAMP - RENTAL"/>
      <sheetName val="CAMP - COMMON FACILITIES"/>
      <sheetName val="ELECTRIC POWER CONSUMPTION"/>
      <sheetName val="INDIRECT SALARY"/>
      <sheetName val="EUR, TCN &amp; LOC STAFF SALARY"/>
      <sheetName val="INDIRECT MOBILIZATION PLAN"/>
      <sheetName val="MANPOWER MOBILIZATION"/>
      <sheetName val="STAFF MOBILIZATION PLAN"/>
      <sheetName val="LABOR MOBILIZATION PLAN"/>
      <sheetName val="LIST OF OFFICE EQUIPMENT"/>
      <sheetName val="PERSONNEL SETUP"/>
      <sheetName val="KOREAN STAFF SALARY - BRANCH"/>
      <sheetName val="TEMPORARY FACILITIES"/>
      <sheetName val="WATER SUPPLY"/>
      <sheetName val="공사비 내역 (가)"/>
      <sheetName val="3.공통공사대비"/>
      <sheetName val="데이타"/>
      <sheetName val="Currencies"/>
      <sheetName val="PDS U-1400"/>
      <sheetName val="INPUT DATA"/>
      <sheetName val="품셈 "/>
      <sheetName val="1100-1200-1300-1910-2140-LEV 2"/>
      <sheetName val="TOTAL"/>
      <sheetName val="base"/>
      <sheetName val="Cover"/>
      <sheetName val="설계내역서"/>
      <sheetName val="ANALYSER"/>
      <sheetName val="costing_CV"/>
      <sheetName val="CondPol"/>
      <sheetName val="정부노임단가"/>
      <sheetName val="NEWCPS"/>
      <sheetName val="설계명세서"/>
      <sheetName val="BQ"/>
      <sheetName val="w't table"/>
      <sheetName val="02-10 (실행)"/>
      <sheetName val="영업2"/>
      <sheetName val="영업3"/>
      <sheetName val="#REF"/>
      <sheetName val="Ind"/>
      <sheetName val="mhrrate"/>
      <sheetName val="Sheet1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Gia vat tu"/>
      <sheetName val="P-Ph3-F-002"/>
      <sheetName val="CODE"/>
      <sheetName val="동아합의"/>
      <sheetName val="3)단가산출 가)관종별접합및부설"/>
      <sheetName val="다)~아)"/>
      <sheetName val="cal"/>
      <sheetName val="실행철강하도"/>
      <sheetName val="견적주요현황"/>
      <sheetName val="입력SHEET"/>
      <sheetName val="참고"/>
      <sheetName val="영업소실적"/>
      <sheetName val="B31.1"/>
      <sheetName val="PSIZE"/>
      <sheetName val="주관사업"/>
      <sheetName val="M-EQPT-Z"/>
      <sheetName val="손익차총괄2"/>
      <sheetName val="97 사업추정(WEKI)"/>
      <sheetName val="cable"/>
      <sheetName val="3_내역서"/>
      <sheetName val="Unit_Name"/>
      <sheetName val="3_내역서1"/>
      <sheetName val="인원계획"/>
      <sheetName val="Data Pembukaan_1.1"/>
      <sheetName val="Project overview"/>
      <sheetName val="HVAC"/>
      <sheetName val="wordsdata"/>
      <sheetName val="Sheet4"/>
      <sheetName val="내역(원안-대안)"/>
      <sheetName val="금액"/>
      <sheetName val="Pump"/>
      <sheetName val="12CGOU"/>
      <sheetName val="VST재료산출"/>
      <sheetName val="Basic"/>
      <sheetName val="7.6.3(B) UG Piping"/>
      <sheetName val="TDC_ADMIN"/>
      <sheetName val="Requisitions"/>
      <sheetName val="ICDS"/>
      <sheetName val="Compressors"/>
      <sheetName val="SS2"/>
      <sheetName val="일위대가 "/>
      <sheetName val="출금실적"/>
      <sheetName val="견적내역서"/>
      <sheetName val="견적기준"/>
      <sheetName val="Marsh. FGS (Hours)"/>
      <sheetName val="Marsh. ESD (Materials)"/>
      <sheetName val="Marsh. FGS (Materials)"/>
      <sheetName val="Project Price Summary"/>
      <sheetName val="자재코드"/>
      <sheetName val="Table"/>
      <sheetName val="기초입력"/>
      <sheetName val="자재단가"/>
      <sheetName val="자재비"/>
      <sheetName val="동원인원"/>
      <sheetName val="calc"/>
      <sheetName val="DTCT"/>
      <sheetName val="4002"/>
      <sheetName val="4-3LEVEL-5 epic.4"/>
      <sheetName val="잡비계산"/>
      <sheetName val="sum"/>
      <sheetName val="SPrep_E4TK(R187)"/>
      <sheetName val="U00"/>
      <sheetName val="U01"/>
      <sheetName val="U02"/>
      <sheetName val="U03"/>
      <sheetName val="U06"/>
      <sheetName val="U07"/>
      <sheetName val="U08"/>
      <sheetName val="U09"/>
      <sheetName val="U10"/>
      <sheetName val="U11"/>
      <sheetName val="U13"/>
      <sheetName val="U21"/>
      <sheetName val="U25"/>
      <sheetName val="U26"/>
      <sheetName val="U29"/>
      <sheetName val="U30"/>
      <sheetName val="U31_Base"/>
      <sheetName val="U40"/>
      <sheetName val="U42"/>
      <sheetName val="U43"/>
      <sheetName val="U45"/>
      <sheetName val="U47"/>
      <sheetName val="U48"/>
      <sheetName val="U60"/>
      <sheetName val="SortedList"/>
      <sheetName val="설계예산서"/>
      <sheetName val="예산내역서"/>
      <sheetName val="CoverShawIntl"/>
      <sheetName val="DropDown"/>
      <sheetName val="현장경비"/>
      <sheetName val=" Sum"/>
      <sheetName val="철거산출근거"/>
      <sheetName val="working load at the btm ft."/>
      <sheetName val="DATA1"/>
      <sheetName val="수주추정"/>
      <sheetName val="Bend_fact "/>
      <sheetName val="상반기손익차2총괄"/>
      <sheetName val="도급예산내역서봉투"/>
      <sheetName val="공사원가계산서"/>
      <sheetName val="기계경비(시간당)"/>
      <sheetName val="설계산출표지"/>
      <sheetName val="도급예산내역서총괄표"/>
      <sheetName val="램머"/>
      <sheetName val="을부담운반비"/>
      <sheetName val="운반비산출"/>
      <sheetName val="Foglio1"/>
      <sheetName val="vendors"/>
      <sheetName val="tower 10ton"/>
      <sheetName val="tower 12ton"/>
      <sheetName val="JIB CRANE,HOIST"/>
      <sheetName val="입찰내역서"/>
      <sheetName val="계약고별 차등단가"/>
      <sheetName val="w't_table"/>
      <sheetName val="3)단가산출_가)관종별접합및부설"/>
      <sheetName val="PDS_U-1400"/>
      <sheetName val="INPUT_DATA"/>
      <sheetName val="품셈_"/>
      <sheetName val="BUSINESS_TRIP-TRAVELING_EXPENSE"/>
      <sheetName val="LIST_OF_AIR_FARE"/>
      <sheetName val="CAMP_-_RENTAL"/>
      <sheetName val="CAMP_-_COMMON_FACILITIES"/>
      <sheetName val="ELECTRIC_POWER_CONSUMPTION"/>
      <sheetName val="INDIRECT_SALARY"/>
      <sheetName val="EUR,_TCN_&amp;_LOC_STAFF_SALARY"/>
      <sheetName val="INDIRECT_MOBILIZATION_PLAN"/>
      <sheetName val="MANPOWER_MOBILIZATION"/>
      <sheetName val="STAFF_MOBILIZATION_PLAN"/>
      <sheetName val="LABOR_MOBILIZATION_PLAN"/>
      <sheetName val="LIST_OF_OFFICE_EQUIPMENT"/>
      <sheetName val="PERSONNEL_SETUP"/>
      <sheetName val="KOREAN_STAFF_SALARY_-_BRANCH"/>
      <sheetName val="TEMPORARY_FACILITIES"/>
      <sheetName val="WATER_SUPPLY"/>
      <sheetName val="이름정의"/>
      <sheetName val="INPUT"/>
      <sheetName val="COVERSHEET PAGE"/>
      <sheetName val="BM"/>
      <sheetName val="삭제금지단가"/>
      <sheetName val="AILC004"/>
      <sheetName val="ITB"/>
      <sheetName val="_Sum"/>
      <sheetName val="공사비_내역_(가)"/>
      <sheetName val="1100-1200-1300-1910-2140-LEV_2"/>
      <sheetName val="3_공통공사대비"/>
      <sheetName val=" 갑  지 "/>
      <sheetName val="INDEX"/>
      <sheetName val="계정"/>
      <sheetName val="02-10_(실행)"/>
      <sheetName val="설계산출기초"/>
      <sheetName val="조명시설"/>
      <sheetName val="플랜트 설치"/>
      <sheetName val="집계표(option)"/>
      <sheetName val="Segment"/>
      <sheetName val="P-산#1-1(WOWA1)"/>
      <sheetName val="ASCEandUBC"/>
      <sheetName val="Status"/>
      <sheetName val="ACTDATA"/>
      <sheetName val="BUSINESS_TRIP-TRAVELING_EXPENS1"/>
      <sheetName val="LIST_OF_AIR_FARE1"/>
      <sheetName val="CAMP_-_RENTAL1"/>
      <sheetName val="CAMP_-_COMMON_FACILITIES1"/>
      <sheetName val="ELECTRIC_POWER_CONSUMPTION1"/>
      <sheetName val="INDIRECT_SALARY1"/>
      <sheetName val="EUR,_TCN_&amp;_LOC_STAFF_SALARY1"/>
      <sheetName val="INDIRECT_MOBILIZATION_PLAN1"/>
      <sheetName val="MANPOWER_MOBILIZATION1"/>
      <sheetName val="STAFF_MOBILIZATION_PLAN1"/>
      <sheetName val="LABOR_MOBILIZATION_PLAN1"/>
      <sheetName val="LIST_OF_OFFICE_EQUIPMENT1"/>
      <sheetName val="PERSONNEL_SETUP1"/>
      <sheetName val="KOREAN_STAFF_SALARY_-_BRANCH1"/>
      <sheetName val="TEMPORARY_FACILITIES1"/>
      <sheetName val="WATER_SUPPLY1"/>
      <sheetName val="PDS_U-14001"/>
      <sheetName val="INPUT_DATA1"/>
      <sheetName val="공사비_내역_(가)1"/>
      <sheetName val="품셈_1"/>
      <sheetName val="1100-1200-1300-1910-2140-LEV_21"/>
      <sheetName val="3_내역서2"/>
      <sheetName val="BUSINESS_TRIP-TRAVELING_EXPENS2"/>
      <sheetName val="LIST_OF_AIR_FARE2"/>
      <sheetName val="CAMP_-_RENTAL2"/>
      <sheetName val="CAMP_-_COMMON_FACILITIES2"/>
      <sheetName val="ELECTRIC_POWER_CONSUMPTION2"/>
      <sheetName val="INDIRECT_SALARY2"/>
      <sheetName val="EUR,_TCN_&amp;_LOC_STAFF_SALARY2"/>
      <sheetName val="INDIRECT_MOBILIZATION_PLAN2"/>
      <sheetName val="MANPOWER_MOBILIZATION2"/>
      <sheetName val="STAFF_MOBILIZATION_PLAN2"/>
      <sheetName val="LABOR_MOBILIZATION_PLAN2"/>
      <sheetName val="LIST_OF_OFFICE_EQUIPMENT2"/>
      <sheetName val="PERSONNEL_SETUP2"/>
      <sheetName val="KOREAN_STAFF_SALARY_-_BRANCH2"/>
      <sheetName val="TEMPORARY_FACILITIES2"/>
      <sheetName val="WATER_SUPPLY2"/>
      <sheetName val="PDS_U-14002"/>
      <sheetName val="INPUT_DATA2"/>
      <sheetName val="공사비_내역_(가)2"/>
      <sheetName val="품셈_2"/>
      <sheetName val="1100-1200-1300-1910-2140-LEV_22"/>
      <sheetName val="3_내역서4"/>
      <sheetName val="BUSINESS_TRIP-TRAVELING_EXPENS4"/>
      <sheetName val="LIST_OF_AIR_FARE4"/>
      <sheetName val="CAMP_-_RENTAL4"/>
      <sheetName val="CAMP_-_COMMON_FACILITIES4"/>
      <sheetName val="ELECTRIC_POWER_CONSUMPTION4"/>
      <sheetName val="INDIRECT_SALARY4"/>
      <sheetName val="EUR,_TCN_&amp;_LOC_STAFF_SALARY4"/>
      <sheetName val="INDIRECT_MOBILIZATION_PLAN4"/>
      <sheetName val="MANPOWER_MOBILIZATION4"/>
      <sheetName val="STAFF_MOBILIZATION_PLAN4"/>
      <sheetName val="LABOR_MOBILIZATION_PLAN4"/>
      <sheetName val="LIST_OF_OFFICE_EQUIPMENT4"/>
      <sheetName val="PERSONNEL_SETUP4"/>
      <sheetName val="KOREAN_STAFF_SALARY_-_BRANCH4"/>
      <sheetName val="TEMPORARY_FACILITIES4"/>
      <sheetName val="WATER_SUPPLY4"/>
      <sheetName val="PDS_U-14004"/>
      <sheetName val="INPUT_DATA4"/>
      <sheetName val="공사비_내역_(가)4"/>
      <sheetName val="품셈_4"/>
      <sheetName val="1100-1200-1300-1910-2140-LEV_24"/>
      <sheetName val="3_내역서3"/>
      <sheetName val="BUSINESS_TRIP-TRAVELING_EXPENS3"/>
      <sheetName val="LIST_OF_AIR_FARE3"/>
      <sheetName val="CAMP_-_RENTAL3"/>
      <sheetName val="CAMP_-_COMMON_FACILITIES3"/>
      <sheetName val="ELECTRIC_POWER_CONSUMPTION3"/>
      <sheetName val="INDIRECT_SALARY3"/>
      <sheetName val="EUR,_TCN_&amp;_LOC_STAFF_SALARY3"/>
      <sheetName val="INDIRECT_MOBILIZATION_PLAN3"/>
      <sheetName val="MANPOWER_MOBILIZATION3"/>
      <sheetName val="STAFF_MOBILIZATION_PLAN3"/>
      <sheetName val="LABOR_MOBILIZATION_PLAN3"/>
      <sheetName val="LIST_OF_OFFICE_EQUIPMENT3"/>
      <sheetName val="PERSONNEL_SETUP3"/>
      <sheetName val="KOREAN_STAFF_SALARY_-_BRANCH3"/>
      <sheetName val="TEMPORARY_FACILITIES3"/>
      <sheetName val="WATER_SUPPLY3"/>
      <sheetName val="PDS_U-14003"/>
      <sheetName val="INPUT_DATA3"/>
      <sheetName val="공사비_내역_(가)3"/>
      <sheetName val="품셈_3"/>
      <sheetName val="1100-1200-1300-1910-2140-LEV_23"/>
      <sheetName val="3_내역서5"/>
      <sheetName val="BUSINESS_TRIP-TRAVELING_EXPENS5"/>
      <sheetName val="LIST_OF_AIR_FARE5"/>
      <sheetName val="CAMP_-_RENTAL5"/>
      <sheetName val="CAMP_-_COMMON_FACILITIES5"/>
      <sheetName val="ELECTRIC_POWER_CONSUMPTION5"/>
      <sheetName val="INDIRECT_SALARY5"/>
      <sheetName val="EUR,_TCN_&amp;_LOC_STAFF_SALARY5"/>
      <sheetName val="INDIRECT_MOBILIZATION_PLAN5"/>
      <sheetName val="MANPOWER_MOBILIZATION5"/>
      <sheetName val="STAFF_MOBILIZATION_PLAN5"/>
      <sheetName val="LABOR_MOBILIZATION_PLAN5"/>
      <sheetName val="LIST_OF_OFFICE_EQUIPMENT5"/>
      <sheetName val="PERSONNEL_SETUP5"/>
      <sheetName val="KOREAN_STAFF_SALARY_-_BRANCH5"/>
      <sheetName val="TEMPORARY_FACILITIES5"/>
      <sheetName val="WATER_SUPPLY5"/>
      <sheetName val="PDS_U-14005"/>
      <sheetName val="INPUT_DATA5"/>
      <sheetName val="공사비_내역_(가)5"/>
      <sheetName val="품셈_5"/>
      <sheetName val="1100-1200-1300-1910-2140-LEV_25"/>
      <sheetName val="F.D."/>
      <sheetName val="기계내역서"/>
      <sheetName val="_Sum2"/>
      <sheetName val="_Sum1"/>
      <sheetName val="자료"/>
      <sheetName val="증감내역서"/>
    </sheetNames>
    <sheetDataSet>
      <sheetData sheetId="0" refreshError="1">
        <row r="1">
          <cell r="A1" t="str">
            <v>AREA</v>
          </cell>
          <cell r="B1" t="str">
            <v>SPC1</v>
          </cell>
          <cell r="C1" t="str">
            <v>SERCOD</v>
          </cell>
          <cell r="D1" t="str">
            <v>LINO</v>
          </cell>
          <cell r="E1" t="str">
            <v>ITNM</v>
          </cell>
          <cell r="F1" t="str">
            <v>GROUP</v>
          </cell>
          <cell r="G1" t="str">
            <v>MAT_CODE</v>
          </cell>
          <cell r="H1" t="str">
            <v>SIZ1</v>
          </cell>
          <cell r="I1" t="str">
            <v>SIZ2</v>
          </cell>
          <cell r="J1" t="str">
            <v>QTY</v>
          </cell>
          <cell r="K1" t="str">
            <v>QTY</v>
          </cell>
        </row>
        <row r="2">
          <cell r="A2" t="str">
            <v>M1</v>
          </cell>
          <cell r="B2" t="str">
            <v>B2C</v>
          </cell>
          <cell r="C2" t="str">
            <v>SH</v>
          </cell>
          <cell r="D2" t="str">
            <v>22611</v>
          </cell>
          <cell r="E2" t="str">
            <v>PIPE</v>
          </cell>
          <cell r="F2">
            <v>1</v>
          </cell>
          <cell r="G2" t="str">
            <v>CB100508000H00</v>
          </cell>
          <cell r="H2">
            <v>0.5</v>
          </cell>
          <cell r="I2" t="str">
            <v>--</v>
          </cell>
          <cell r="J2">
            <v>0.3</v>
          </cell>
          <cell r="K2">
            <v>0.3</v>
          </cell>
        </row>
        <row r="3">
          <cell r="A3" t="str">
            <v>M1</v>
          </cell>
          <cell r="B3" t="str">
            <v>A5C</v>
          </cell>
          <cell r="C3" t="str">
            <v>P</v>
          </cell>
          <cell r="D3" t="str">
            <v>22065</v>
          </cell>
          <cell r="E3" t="str">
            <v>PIPE</v>
          </cell>
          <cell r="F3">
            <v>1</v>
          </cell>
          <cell r="G3" t="str">
            <v>CB100508000H00</v>
          </cell>
          <cell r="H3">
            <v>0.5</v>
          </cell>
          <cell r="I3" t="str">
            <v>--</v>
          </cell>
          <cell r="J3">
            <v>0.5</v>
          </cell>
          <cell r="K3">
            <v>0.5</v>
          </cell>
        </row>
        <row r="4">
          <cell r="A4" t="str">
            <v>M1</v>
          </cell>
          <cell r="B4" t="str">
            <v>A5C</v>
          </cell>
          <cell r="C4" t="str">
            <v>P</v>
          </cell>
          <cell r="D4" t="str">
            <v>22157</v>
          </cell>
          <cell r="E4" t="str">
            <v>PIPE</v>
          </cell>
          <cell r="F4">
            <v>1</v>
          </cell>
          <cell r="G4" t="str">
            <v>CB100508000H00</v>
          </cell>
          <cell r="H4">
            <v>0.5</v>
          </cell>
          <cell r="I4" t="str">
            <v>--</v>
          </cell>
          <cell r="J4">
            <v>0.8</v>
          </cell>
          <cell r="K4">
            <v>0.8</v>
          </cell>
        </row>
        <row r="5">
          <cell r="A5" t="str">
            <v>M1</v>
          </cell>
          <cell r="B5" t="str">
            <v>A5C</v>
          </cell>
          <cell r="C5" t="str">
            <v>P</v>
          </cell>
          <cell r="D5" t="str">
            <v>22158</v>
          </cell>
          <cell r="E5" t="str">
            <v>PIPE</v>
          </cell>
          <cell r="F5">
            <v>1</v>
          </cell>
          <cell r="G5" t="str">
            <v>CB100508000H00</v>
          </cell>
          <cell r="H5">
            <v>0.5</v>
          </cell>
          <cell r="I5" t="str">
            <v>--</v>
          </cell>
          <cell r="J5">
            <v>0.8</v>
          </cell>
          <cell r="K5">
            <v>0.8</v>
          </cell>
        </row>
        <row r="6">
          <cell r="A6" t="str">
            <v>M1</v>
          </cell>
          <cell r="B6" t="str">
            <v>A5C</v>
          </cell>
          <cell r="C6" t="str">
            <v>P</v>
          </cell>
          <cell r="D6" t="str">
            <v>22040</v>
          </cell>
          <cell r="E6" t="str">
            <v>PIPE</v>
          </cell>
          <cell r="F6">
            <v>1</v>
          </cell>
          <cell r="G6" t="str">
            <v>CB100508000H00</v>
          </cell>
          <cell r="H6">
            <v>0.5</v>
          </cell>
          <cell r="I6" t="str">
            <v>--</v>
          </cell>
          <cell r="J6">
            <v>0.8</v>
          </cell>
          <cell r="K6">
            <v>0.8</v>
          </cell>
        </row>
        <row r="7">
          <cell r="A7" t="str">
            <v>M1</v>
          </cell>
          <cell r="B7" t="str">
            <v>A5C</v>
          </cell>
          <cell r="C7" t="str">
            <v>P</v>
          </cell>
          <cell r="D7" t="str">
            <v>22039</v>
          </cell>
          <cell r="E7" t="str">
            <v>PIPE</v>
          </cell>
          <cell r="F7">
            <v>1</v>
          </cell>
          <cell r="G7" t="str">
            <v>CB100508000H00</v>
          </cell>
          <cell r="H7">
            <v>0.5</v>
          </cell>
          <cell r="I7" t="str">
            <v>--</v>
          </cell>
          <cell r="J7">
            <v>0.8</v>
          </cell>
          <cell r="K7">
            <v>0.8</v>
          </cell>
        </row>
        <row r="8">
          <cell r="A8" t="str">
            <v>M1</v>
          </cell>
          <cell r="B8" t="str">
            <v>A5C</v>
          </cell>
          <cell r="C8" t="str">
            <v>P</v>
          </cell>
          <cell r="D8" t="str">
            <v>22041</v>
          </cell>
          <cell r="E8" t="str">
            <v>PIPE</v>
          </cell>
          <cell r="F8">
            <v>1</v>
          </cell>
          <cell r="G8" t="str">
            <v>CB100508000H00</v>
          </cell>
          <cell r="H8">
            <v>0.5</v>
          </cell>
          <cell r="I8" t="str">
            <v>--</v>
          </cell>
          <cell r="J8">
            <v>0.8</v>
          </cell>
          <cell r="K8">
            <v>0.8</v>
          </cell>
        </row>
        <row r="9">
          <cell r="A9" t="str">
            <v>M1</v>
          </cell>
          <cell r="B9" t="str">
            <v>A5C</v>
          </cell>
          <cell r="C9" t="str">
            <v>N</v>
          </cell>
          <cell r="D9" t="str">
            <v>22670</v>
          </cell>
          <cell r="E9" t="str">
            <v>PIPE</v>
          </cell>
          <cell r="F9">
            <v>1</v>
          </cell>
          <cell r="G9" t="str">
            <v>CB100508000H00</v>
          </cell>
          <cell r="H9">
            <v>0.5</v>
          </cell>
          <cell r="I9" t="str">
            <v>--</v>
          </cell>
          <cell r="J9">
            <v>1</v>
          </cell>
          <cell r="K9">
            <v>1</v>
          </cell>
        </row>
        <row r="10">
          <cell r="A10" t="str">
            <v>M1</v>
          </cell>
          <cell r="B10" t="str">
            <v>A4C</v>
          </cell>
          <cell r="C10" t="str">
            <v>P</v>
          </cell>
          <cell r="D10" t="str">
            <v>22031</v>
          </cell>
          <cell r="E10" t="str">
            <v>PIPE</v>
          </cell>
          <cell r="F10">
            <v>1</v>
          </cell>
          <cell r="G10" t="str">
            <v>CB110508000H00</v>
          </cell>
          <cell r="H10">
            <v>0.5</v>
          </cell>
          <cell r="I10" t="str">
            <v>--</v>
          </cell>
          <cell r="J10">
            <v>3</v>
          </cell>
          <cell r="K10">
            <v>3</v>
          </cell>
        </row>
        <row r="11">
          <cell r="A11" t="str">
            <v>M1</v>
          </cell>
          <cell r="B11" t="str">
            <v>A5C</v>
          </cell>
          <cell r="C11" t="str">
            <v>SCD</v>
          </cell>
          <cell r="D11" t="str">
            <v>HOLD1</v>
          </cell>
          <cell r="E11" t="str">
            <v>PIPE</v>
          </cell>
          <cell r="F11">
            <v>1</v>
          </cell>
          <cell r="G11" t="str">
            <v>CB100508000H00</v>
          </cell>
          <cell r="H11">
            <v>0.5</v>
          </cell>
          <cell r="I11" t="str">
            <v>--</v>
          </cell>
          <cell r="J11">
            <v>4</v>
          </cell>
          <cell r="K11">
            <v>4</v>
          </cell>
        </row>
        <row r="12">
          <cell r="A12" t="str">
            <v>M1</v>
          </cell>
          <cell r="B12" t="str">
            <v>A5C</v>
          </cell>
          <cell r="C12" t="str">
            <v>SCC</v>
          </cell>
          <cell r="D12" t="str">
            <v>HOLD1</v>
          </cell>
          <cell r="E12" t="str">
            <v>PIPE</v>
          </cell>
          <cell r="F12">
            <v>1</v>
          </cell>
          <cell r="G12" t="str">
            <v>CB100508000H00</v>
          </cell>
          <cell r="H12">
            <v>0.5</v>
          </cell>
          <cell r="I12" t="str">
            <v>--</v>
          </cell>
          <cell r="J12">
            <v>5</v>
          </cell>
          <cell r="K12">
            <v>5</v>
          </cell>
        </row>
        <row r="13">
          <cell r="A13" t="str">
            <v>M1</v>
          </cell>
          <cell r="B13" t="str">
            <v>A5C</v>
          </cell>
          <cell r="C13" t="str">
            <v>P</v>
          </cell>
          <cell r="D13" t="str">
            <v>22107</v>
          </cell>
          <cell r="E13" t="str">
            <v>PIPE</v>
          </cell>
          <cell r="F13">
            <v>1</v>
          </cell>
          <cell r="G13" t="str">
            <v>CB100508000H00</v>
          </cell>
          <cell r="H13">
            <v>0.5</v>
          </cell>
          <cell r="I13" t="str">
            <v>--</v>
          </cell>
          <cell r="J13">
            <v>19.600000000000001</v>
          </cell>
          <cell r="K13">
            <v>19.600000000000001</v>
          </cell>
        </row>
        <row r="14">
          <cell r="A14" t="str">
            <v>M1</v>
          </cell>
          <cell r="B14" t="str">
            <v>A5C</v>
          </cell>
          <cell r="C14" t="str">
            <v>COMP</v>
          </cell>
          <cell r="D14" t="str">
            <v>006</v>
          </cell>
          <cell r="E14" t="str">
            <v>PIPE</v>
          </cell>
          <cell r="F14">
            <v>1</v>
          </cell>
          <cell r="G14" t="str">
            <v>CB100508000H00</v>
          </cell>
          <cell r="H14">
            <v>0.5</v>
          </cell>
          <cell r="I14" t="str">
            <v>--</v>
          </cell>
          <cell r="J14">
            <v>36</v>
          </cell>
          <cell r="K14">
            <v>36</v>
          </cell>
        </row>
        <row r="15">
          <cell r="A15" t="str">
            <v>M1</v>
          </cell>
          <cell r="B15" t="str">
            <v>B2C</v>
          </cell>
          <cell r="C15" t="str">
            <v>SH</v>
          </cell>
          <cell r="D15" t="str">
            <v>22601</v>
          </cell>
          <cell r="E15" t="str">
            <v>PIPE</v>
          </cell>
          <cell r="F15">
            <v>1</v>
          </cell>
          <cell r="G15" t="str">
            <v>CB100508000T00</v>
          </cell>
          <cell r="H15">
            <v>0.75</v>
          </cell>
          <cell r="I15" t="str">
            <v>--</v>
          </cell>
          <cell r="J15">
            <v>0.2</v>
          </cell>
          <cell r="K15">
            <v>0.2</v>
          </cell>
        </row>
        <row r="16">
          <cell r="A16" t="str">
            <v>M1</v>
          </cell>
          <cell r="B16" t="str">
            <v>A5C</v>
          </cell>
          <cell r="C16" t="str">
            <v>N</v>
          </cell>
          <cell r="D16" t="str">
            <v>25613</v>
          </cell>
          <cell r="E16" t="str">
            <v>PIPE</v>
          </cell>
          <cell r="F16">
            <v>1</v>
          </cell>
          <cell r="G16" t="str">
            <v>CB100508000T00</v>
          </cell>
          <cell r="H16">
            <v>0.75</v>
          </cell>
          <cell r="I16" t="str">
            <v>--</v>
          </cell>
          <cell r="J16">
            <v>0.2</v>
          </cell>
          <cell r="K16">
            <v>0.2</v>
          </cell>
        </row>
        <row r="17">
          <cell r="A17" t="str">
            <v>M1</v>
          </cell>
          <cell r="B17" t="str">
            <v>B1C</v>
          </cell>
          <cell r="C17" t="str">
            <v>P</v>
          </cell>
          <cell r="D17" t="str">
            <v>22029</v>
          </cell>
          <cell r="E17" t="str">
            <v>PIPE</v>
          </cell>
          <cell r="F17">
            <v>1</v>
          </cell>
          <cell r="G17" t="str">
            <v>CB100508000T00</v>
          </cell>
          <cell r="H17">
            <v>0.75</v>
          </cell>
          <cell r="I17" t="str">
            <v>--</v>
          </cell>
          <cell r="J17">
            <v>0.2</v>
          </cell>
          <cell r="K17">
            <v>0.2</v>
          </cell>
        </row>
        <row r="18">
          <cell r="A18" t="str">
            <v>M1</v>
          </cell>
          <cell r="B18" t="str">
            <v>A5C</v>
          </cell>
          <cell r="C18" t="str">
            <v>N</v>
          </cell>
          <cell r="D18" t="str">
            <v>25618</v>
          </cell>
          <cell r="E18" t="str">
            <v>PIPE</v>
          </cell>
          <cell r="F18">
            <v>1</v>
          </cell>
          <cell r="G18" t="str">
            <v>CB100508000T00</v>
          </cell>
          <cell r="H18">
            <v>0.75</v>
          </cell>
          <cell r="I18" t="str">
            <v>--</v>
          </cell>
          <cell r="J18">
            <v>0.3</v>
          </cell>
          <cell r="K18">
            <v>0.3</v>
          </cell>
        </row>
        <row r="19">
          <cell r="A19" t="str">
            <v>M1</v>
          </cell>
          <cell r="B19" t="str">
            <v>A6C</v>
          </cell>
          <cell r="C19" t="str">
            <v>HOR</v>
          </cell>
          <cell r="D19" t="str">
            <v>65622</v>
          </cell>
          <cell r="E19" t="str">
            <v>PIPE</v>
          </cell>
          <cell r="F19">
            <v>1</v>
          </cell>
          <cell r="G19" t="str">
            <v>CB100508000T00</v>
          </cell>
          <cell r="H19">
            <v>0.75</v>
          </cell>
          <cell r="I19" t="str">
            <v>--</v>
          </cell>
          <cell r="J19">
            <v>0.4</v>
          </cell>
          <cell r="K19">
            <v>0.4</v>
          </cell>
        </row>
        <row r="20">
          <cell r="A20" t="str">
            <v>M1</v>
          </cell>
          <cell r="B20" t="str">
            <v>B1X</v>
          </cell>
          <cell r="C20" t="str">
            <v>P</v>
          </cell>
          <cell r="D20" t="str">
            <v>22042</v>
          </cell>
          <cell r="E20" t="str">
            <v>PIPE</v>
          </cell>
          <cell r="F20">
            <v>1</v>
          </cell>
          <cell r="G20" t="str">
            <v>CB100508000T00</v>
          </cell>
          <cell r="H20">
            <v>0.75</v>
          </cell>
          <cell r="I20" t="str">
            <v>--</v>
          </cell>
          <cell r="J20">
            <v>0.4</v>
          </cell>
          <cell r="K20">
            <v>0.4</v>
          </cell>
        </row>
        <row r="21">
          <cell r="A21" t="str">
            <v>M1</v>
          </cell>
          <cell r="B21" t="str">
            <v>A6C</v>
          </cell>
          <cell r="C21" t="str">
            <v>TRIM</v>
          </cell>
          <cell r="D21" t="str">
            <v>H-6501</v>
          </cell>
          <cell r="E21" t="str">
            <v>PIPE</v>
          </cell>
          <cell r="F21">
            <v>1</v>
          </cell>
          <cell r="G21" t="str">
            <v>CB100508000T00</v>
          </cell>
          <cell r="H21">
            <v>0.75</v>
          </cell>
          <cell r="I21" t="str">
            <v>--</v>
          </cell>
          <cell r="J21">
            <v>0.5</v>
          </cell>
          <cell r="K21">
            <v>0.5</v>
          </cell>
        </row>
        <row r="22">
          <cell r="A22" t="str">
            <v>M1</v>
          </cell>
          <cell r="B22" t="str">
            <v>A5C</v>
          </cell>
          <cell r="C22" t="str">
            <v>WW</v>
          </cell>
          <cell r="D22" t="str">
            <v>22601</v>
          </cell>
          <cell r="E22" t="str">
            <v>PIPE</v>
          </cell>
          <cell r="F22">
            <v>1</v>
          </cell>
          <cell r="G22" t="str">
            <v>CB100508000T00</v>
          </cell>
          <cell r="H22">
            <v>0.75</v>
          </cell>
          <cell r="I22" t="str">
            <v>--</v>
          </cell>
          <cell r="J22">
            <v>1</v>
          </cell>
          <cell r="K22">
            <v>1</v>
          </cell>
        </row>
        <row r="23">
          <cell r="A23" t="str">
            <v>M1</v>
          </cell>
          <cell r="B23" t="str">
            <v>A5C</v>
          </cell>
          <cell r="C23" t="str">
            <v>N</v>
          </cell>
          <cell r="D23" t="str">
            <v>22617</v>
          </cell>
          <cell r="E23" t="str">
            <v>PIPE</v>
          </cell>
          <cell r="F23">
            <v>1</v>
          </cell>
          <cell r="G23" t="str">
            <v>CB100508000T00</v>
          </cell>
          <cell r="H23">
            <v>0.75</v>
          </cell>
          <cell r="I23" t="str">
            <v>--</v>
          </cell>
          <cell r="J23">
            <v>1.3</v>
          </cell>
          <cell r="K23">
            <v>1.3</v>
          </cell>
        </row>
        <row r="24">
          <cell r="A24" t="str">
            <v>M1</v>
          </cell>
          <cell r="B24" t="str">
            <v>A5C</v>
          </cell>
          <cell r="C24" t="str">
            <v>N</v>
          </cell>
          <cell r="D24" t="str">
            <v>22670</v>
          </cell>
          <cell r="E24" t="str">
            <v>PIPE</v>
          </cell>
          <cell r="F24">
            <v>1</v>
          </cell>
          <cell r="G24" t="str">
            <v>CB100508000T00</v>
          </cell>
          <cell r="H24">
            <v>0.75</v>
          </cell>
          <cell r="I24" t="str">
            <v>--</v>
          </cell>
          <cell r="J24">
            <v>1.3</v>
          </cell>
          <cell r="K24">
            <v>1.3</v>
          </cell>
        </row>
        <row r="25">
          <cell r="A25" t="str">
            <v>M1</v>
          </cell>
          <cell r="B25" t="str">
            <v>A6C</v>
          </cell>
          <cell r="C25" t="str">
            <v>TRIM</v>
          </cell>
          <cell r="D25" t="str">
            <v>V-6502</v>
          </cell>
          <cell r="E25" t="str">
            <v>PIPE</v>
          </cell>
          <cell r="F25">
            <v>1</v>
          </cell>
          <cell r="G25" t="str">
            <v>CB100508000T00</v>
          </cell>
          <cell r="H25">
            <v>0.75</v>
          </cell>
          <cell r="I25" t="str">
            <v>--</v>
          </cell>
          <cell r="J25">
            <v>1.6</v>
          </cell>
          <cell r="K25">
            <v>1.6</v>
          </cell>
        </row>
        <row r="26">
          <cell r="A26" t="str">
            <v>M1</v>
          </cell>
          <cell r="B26" t="str">
            <v>A6C</v>
          </cell>
          <cell r="C26" t="str">
            <v>HOR</v>
          </cell>
          <cell r="D26" t="str">
            <v>65612</v>
          </cell>
          <cell r="E26" t="str">
            <v>PIPE</v>
          </cell>
          <cell r="F26">
            <v>1</v>
          </cell>
          <cell r="G26" t="str">
            <v>CB100508000T00</v>
          </cell>
          <cell r="H26">
            <v>0.75</v>
          </cell>
          <cell r="I26" t="str">
            <v>--</v>
          </cell>
          <cell r="J26">
            <v>2</v>
          </cell>
          <cell r="K26">
            <v>2</v>
          </cell>
        </row>
        <row r="27">
          <cell r="A27" t="str">
            <v>M1</v>
          </cell>
          <cell r="B27" t="str">
            <v>A6C</v>
          </cell>
          <cell r="C27" t="str">
            <v>HOS</v>
          </cell>
          <cell r="D27" t="str">
            <v>65634</v>
          </cell>
          <cell r="E27" t="str">
            <v>PIPE</v>
          </cell>
          <cell r="F27">
            <v>1</v>
          </cell>
          <cell r="G27" t="str">
            <v>CB100508000T00</v>
          </cell>
          <cell r="H27">
            <v>0.75</v>
          </cell>
          <cell r="I27" t="str">
            <v>--</v>
          </cell>
          <cell r="J27">
            <v>5.8</v>
          </cell>
          <cell r="K27">
            <v>5.8</v>
          </cell>
        </row>
        <row r="28">
          <cell r="A28" t="str">
            <v>M1</v>
          </cell>
          <cell r="B28" t="str">
            <v>A6C</v>
          </cell>
          <cell r="C28" t="str">
            <v>HOR</v>
          </cell>
          <cell r="D28" t="str">
            <v>65620</v>
          </cell>
          <cell r="E28" t="str">
            <v>PIPE</v>
          </cell>
          <cell r="F28">
            <v>1</v>
          </cell>
          <cell r="G28" t="str">
            <v>CB100508000T00</v>
          </cell>
          <cell r="H28">
            <v>0.75</v>
          </cell>
          <cell r="I28" t="str">
            <v>--</v>
          </cell>
          <cell r="J28">
            <v>7.7</v>
          </cell>
          <cell r="K28">
            <v>7.7</v>
          </cell>
        </row>
        <row r="29">
          <cell r="A29" t="str">
            <v>M1</v>
          </cell>
          <cell r="B29" t="str">
            <v>A6C</v>
          </cell>
          <cell r="C29" t="str">
            <v>HOR</v>
          </cell>
          <cell r="D29" t="str">
            <v>65612</v>
          </cell>
          <cell r="E29" t="str">
            <v>PIPE</v>
          </cell>
          <cell r="F29">
            <v>1</v>
          </cell>
          <cell r="G29" t="str">
            <v>CB100508000T00</v>
          </cell>
          <cell r="H29">
            <v>0.75</v>
          </cell>
          <cell r="I29" t="str">
            <v>--</v>
          </cell>
          <cell r="J29">
            <v>10.6</v>
          </cell>
          <cell r="K29">
            <v>10.6</v>
          </cell>
        </row>
        <row r="30">
          <cell r="A30" t="str">
            <v>M1</v>
          </cell>
          <cell r="B30" t="str">
            <v>A5C</v>
          </cell>
          <cell r="C30" t="str">
            <v>P</v>
          </cell>
          <cell r="D30" t="str">
            <v>22065</v>
          </cell>
          <cell r="E30" t="str">
            <v>PIPE</v>
          </cell>
          <cell r="F30">
            <v>1</v>
          </cell>
          <cell r="G30" t="str">
            <v>CB100508000T00</v>
          </cell>
          <cell r="H30">
            <v>0.75</v>
          </cell>
          <cell r="I30" t="str">
            <v>--</v>
          </cell>
          <cell r="J30">
            <v>17.5</v>
          </cell>
          <cell r="K30">
            <v>17.5</v>
          </cell>
        </row>
        <row r="31">
          <cell r="A31" t="str">
            <v>M1</v>
          </cell>
          <cell r="B31" t="str">
            <v>A6C</v>
          </cell>
          <cell r="C31" t="str">
            <v>HOS</v>
          </cell>
          <cell r="D31" t="str">
            <v>65629</v>
          </cell>
          <cell r="E31" t="str">
            <v>PIPE</v>
          </cell>
          <cell r="F31">
            <v>1</v>
          </cell>
          <cell r="G31" t="str">
            <v>CB100508000T00</v>
          </cell>
          <cell r="H31">
            <v>0.75</v>
          </cell>
          <cell r="I31" t="str">
            <v>--</v>
          </cell>
          <cell r="J31">
            <v>24.5</v>
          </cell>
          <cell r="K31">
            <v>24.5</v>
          </cell>
        </row>
        <row r="32">
          <cell r="A32" t="str">
            <v>M1</v>
          </cell>
          <cell r="B32" t="str">
            <v>A5C</v>
          </cell>
          <cell r="C32" t="str">
            <v>SCD</v>
          </cell>
          <cell r="D32" t="str">
            <v>HOLD1</v>
          </cell>
          <cell r="E32" t="str">
            <v>PIPE</v>
          </cell>
          <cell r="F32">
            <v>1</v>
          </cell>
          <cell r="G32" t="str">
            <v>CB100508000T00</v>
          </cell>
          <cell r="H32">
            <v>0.75</v>
          </cell>
          <cell r="I32" t="str">
            <v>--</v>
          </cell>
          <cell r="J32">
            <v>25</v>
          </cell>
          <cell r="K32">
            <v>25</v>
          </cell>
        </row>
        <row r="33">
          <cell r="A33" t="str">
            <v>M1</v>
          </cell>
          <cell r="B33" t="str">
            <v>A5C</v>
          </cell>
          <cell r="C33" t="str">
            <v>P</v>
          </cell>
          <cell r="D33" t="str">
            <v>24029</v>
          </cell>
          <cell r="E33" t="str">
            <v>PIPE</v>
          </cell>
          <cell r="F33">
            <v>1</v>
          </cell>
          <cell r="G33" t="str">
            <v>CB100508000T00</v>
          </cell>
          <cell r="H33">
            <v>0.75</v>
          </cell>
          <cell r="I33" t="str">
            <v>--</v>
          </cell>
          <cell r="J33">
            <v>36</v>
          </cell>
          <cell r="K33">
            <v>36</v>
          </cell>
        </row>
        <row r="34">
          <cell r="A34" t="str">
            <v>M1</v>
          </cell>
          <cell r="B34" t="str">
            <v>A5C</v>
          </cell>
          <cell r="C34" t="str">
            <v>SCC</v>
          </cell>
          <cell r="D34" t="str">
            <v>HOLD1</v>
          </cell>
          <cell r="E34" t="str">
            <v>PIPE</v>
          </cell>
          <cell r="F34">
            <v>1</v>
          </cell>
          <cell r="G34" t="str">
            <v>CB100508000T00</v>
          </cell>
          <cell r="H34">
            <v>0.75</v>
          </cell>
          <cell r="I34" t="str">
            <v>--</v>
          </cell>
          <cell r="J34">
            <v>41</v>
          </cell>
          <cell r="K34">
            <v>41</v>
          </cell>
        </row>
        <row r="35">
          <cell r="A35" t="str">
            <v>M1</v>
          </cell>
          <cell r="B35" t="str">
            <v>B2C</v>
          </cell>
          <cell r="C35" t="str">
            <v>SH</v>
          </cell>
          <cell r="D35" t="str">
            <v>22611</v>
          </cell>
          <cell r="E35" t="str">
            <v>PIPE</v>
          </cell>
          <cell r="F35">
            <v>1</v>
          </cell>
          <cell r="G35" t="str">
            <v>CB100508000100</v>
          </cell>
          <cell r="H35">
            <v>1</v>
          </cell>
          <cell r="I35" t="str">
            <v>--</v>
          </cell>
          <cell r="J35">
            <v>0.2</v>
          </cell>
          <cell r="K35">
            <v>0.2</v>
          </cell>
        </row>
        <row r="36">
          <cell r="A36" t="str">
            <v>M1</v>
          </cell>
          <cell r="B36" t="str">
            <v>A5C</v>
          </cell>
          <cell r="C36" t="str">
            <v>P</v>
          </cell>
          <cell r="D36" t="str">
            <v>22130</v>
          </cell>
          <cell r="E36" t="str">
            <v>PIPE</v>
          </cell>
          <cell r="F36">
            <v>1</v>
          </cell>
          <cell r="G36" t="str">
            <v>CB100508000100</v>
          </cell>
          <cell r="H36">
            <v>1</v>
          </cell>
          <cell r="I36" t="str">
            <v>--</v>
          </cell>
          <cell r="J36">
            <v>0.2</v>
          </cell>
          <cell r="K36">
            <v>0.2</v>
          </cell>
        </row>
        <row r="37">
          <cell r="A37" t="str">
            <v>M1</v>
          </cell>
          <cell r="B37" t="str">
            <v>A5C</v>
          </cell>
          <cell r="C37" t="str">
            <v>P</v>
          </cell>
          <cell r="D37" t="str">
            <v>22140</v>
          </cell>
          <cell r="E37" t="str">
            <v>PIPE</v>
          </cell>
          <cell r="F37">
            <v>1</v>
          </cell>
          <cell r="G37" t="str">
            <v>CB100508000100</v>
          </cell>
          <cell r="H37">
            <v>1</v>
          </cell>
          <cell r="I37" t="str">
            <v>--</v>
          </cell>
          <cell r="J37">
            <v>0.2</v>
          </cell>
          <cell r="K37">
            <v>0.2</v>
          </cell>
        </row>
        <row r="38">
          <cell r="A38" t="str">
            <v>M1</v>
          </cell>
          <cell r="B38" t="str">
            <v>A5C</v>
          </cell>
          <cell r="C38" t="str">
            <v>P</v>
          </cell>
          <cell r="D38" t="str">
            <v>22100</v>
          </cell>
          <cell r="E38" t="str">
            <v>PIPE</v>
          </cell>
          <cell r="F38">
            <v>1</v>
          </cell>
          <cell r="G38" t="str">
            <v>CB100508000100</v>
          </cell>
          <cell r="H38">
            <v>1</v>
          </cell>
          <cell r="I38" t="str">
            <v>--</v>
          </cell>
          <cell r="J38">
            <v>0.2</v>
          </cell>
          <cell r="K38">
            <v>0.2</v>
          </cell>
        </row>
        <row r="39">
          <cell r="A39" t="str">
            <v>M1</v>
          </cell>
          <cell r="B39" t="str">
            <v>A5C</v>
          </cell>
          <cell r="C39" t="str">
            <v>N</v>
          </cell>
          <cell r="D39" t="str">
            <v>22670</v>
          </cell>
          <cell r="E39" t="str">
            <v>PIPE</v>
          </cell>
          <cell r="F39">
            <v>1</v>
          </cell>
          <cell r="G39" t="str">
            <v>CB100508000100</v>
          </cell>
          <cell r="H39">
            <v>1</v>
          </cell>
          <cell r="I39" t="str">
            <v>--</v>
          </cell>
          <cell r="J39">
            <v>0.5</v>
          </cell>
          <cell r="K39">
            <v>0.5</v>
          </cell>
        </row>
        <row r="40">
          <cell r="A40" t="str">
            <v>M1</v>
          </cell>
          <cell r="B40" t="str">
            <v>A5C</v>
          </cell>
          <cell r="C40" t="str">
            <v>N</v>
          </cell>
          <cell r="D40" t="str">
            <v>22731</v>
          </cell>
          <cell r="E40" t="str">
            <v>PIPE</v>
          </cell>
          <cell r="F40">
            <v>1</v>
          </cell>
          <cell r="G40" t="str">
            <v>CB100508000100</v>
          </cell>
          <cell r="H40">
            <v>1</v>
          </cell>
          <cell r="I40" t="str">
            <v>--</v>
          </cell>
          <cell r="J40">
            <v>0.6</v>
          </cell>
          <cell r="K40">
            <v>0.6</v>
          </cell>
        </row>
        <row r="41">
          <cell r="A41" t="str">
            <v>M1</v>
          </cell>
          <cell r="B41" t="str">
            <v>A5C</v>
          </cell>
          <cell r="C41" t="str">
            <v>P</v>
          </cell>
          <cell r="D41" t="str">
            <v>22066</v>
          </cell>
          <cell r="E41" t="str">
            <v>PIPE</v>
          </cell>
          <cell r="F41">
            <v>1</v>
          </cell>
          <cell r="G41" t="str">
            <v>CB100508000100</v>
          </cell>
          <cell r="H41">
            <v>1</v>
          </cell>
          <cell r="I41" t="str">
            <v>--</v>
          </cell>
          <cell r="J41">
            <v>0.6</v>
          </cell>
          <cell r="K41">
            <v>0.6</v>
          </cell>
        </row>
        <row r="42">
          <cell r="A42" t="str">
            <v>M1</v>
          </cell>
          <cell r="B42" t="str">
            <v>A5C</v>
          </cell>
          <cell r="C42" t="str">
            <v>N</v>
          </cell>
          <cell r="D42" t="str">
            <v>22682</v>
          </cell>
          <cell r="E42" t="str">
            <v>PIPE</v>
          </cell>
          <cell r="F42">
            <v>1</v>
          </cell>
          <cell r="G42" t="str">
            <v>CB100508000100</v>
          </cell>
          <cell r="H42">
            <v>1</v>
          </cell>
          <cell r="I42" t="str">
            <v>--</v>
          </cell>
          <cell r="J42">
            <v>0.8</v>
          </cell>
          <cell r="K42">
            <v>0.8</v>
          </cell>
        </row>
        <row r="43">
          <cell r="A43" t="str">
            <v>M1</v>
          </cell>
          <cell r="B43" t="str">
            <v>A5C</v>
          </cell>
          <cell r="C43" t="str">
            <v>N</v>
          </cell>
          <cell r="D43" t="str">
            <v>22685</v>
          </cell>
          <cell r="E43" t="str">
            <v>PIPE</v>
          </cell>
          <cell r="F43">
            <v>1</v>
          </cell>
          <cell r="G43" t="str">
            <v>CB100508000100</v>
          </cell>
          <cell r="H43">
            <v>1</v>
          </cell>
          <cell r="I43" t="str">
            <v>--</v>
          </cell>
          <cell r="J43">
            <v>0.8</v>
          </cell>
          <cell r="K43">
            <v>0.8</v>
          </cell>
        </row>
        <row r="44">
          <cell r="A44" t="str">
            <v>M1</v>
          </cell>
          <cell r="B44" t="str">
            <v>A5C</v>
          </cell>
          <cell r="C44" t="str">
            <v>N</v>
          </cell>
          <cell r="D44" t="str">
            <v>22686</v>
          </cell>
          <cell r="E44" t="str">
            <v>PIPE</v>
          </cell>
          <cell r="F44">
            <v>1</v>
          </cell>
          <cell r="G44" t="str">
            <v>CB100508000100</v>
          </cell>
          <cell r="H44">
            <v>1</v>
          </cell>
          <cell r="I44" t="str">
            <v>--</v>
          </cell>
          <cell r="J44">
            <v>0.8</v>
          </cell>
          <cell r="K44">
            <v>0.8</v>
          </cell>
        </row>
        <row r="45">
          <cell r="A45" t="str">
            <v>M1</v>
          </cell>
          <cell r="B45" t="str">
            <v>A5C</v>
          </cell>
          <cell r="C45" t="str">
            <v>N</v>
          </cell>
          <cell r="D45" t="str">
            <v>22681</v>
          </cell>
          <cell r="E45" t="str">
            <v>PIPE</v>
          </cell>
          <cell r="F45">
            <v>1</v>
          </cell>
          <cell r="G45" t="str">
            <v>CB100508000100</v>
          </cell>
          <cell r="H45">
            <v>1</v>
          </cell>
          <cell r="I45" t="str">
            <v>--</v>
          </cell>
          <cell r="J45">
            <v>0.8</v>
          </cell>
          <cell r="K45">
            <v>0.8</v>
          </cell>
        </row>
        <row r="46">
          <cell r="A46" t="str">
            <v>M1</v>
          </cell>
          <cell r="B46" t="str">
            <v>A5C</v>
          </cell>
          <cell r="C46" t="str">
            <v>N</v>
          </cell>
          <cell r="D46" t="str">
            <v>22670</v>
          </cell>
          <cell r="E46" t="str">
            <v>PIPE</v>
          </cell>
          <cell r="F46">
            <v>1</v>
          </cell>
          <cell r="G46" t="str">
            <v>CB100508000100</v>
          </cell>
          <cell r="H46">
            <v>1</v>
          </cell>
          <cell r="I46" t="str">
            <v>--</v>
          </cell>
          <cell r="J46">
            <v>1</v>
          </cell>
          <cell r="K46">
            <v>1</v>
          </cell>
        </row>
        <row r="47">
          <cell r="A47" t="str">
            <v>M1</v>
          </cell>
          <cell r="B47" t="str">
            <v>A5C</v>
          </cell>
          <cell r="C47" t="str">
            <v>N</v>
          </cell>
          <cell r="D47" t="str">
            <v>25611</v>
          </cell>
          <cell r="E47" t="str">
            <v>PIPE</v>
          </cell>
          <cell r="F47">
            <v>1</v>
          </cell>
          <cell r="G47" t="str">
            <v>CB100508000100</v>
          </cell>
          <cell r="H47">
            <v>1</v>
          </cell>
          <cell r="I47" t="str">
            <v>--</v>
          </cell>
          <cell r="J47">
            <v>1</v>
          </cell>
          <cell r="K47">
            <v>1</v>
          </cell>
        </row>
        <row r="48">
          <cell r="A48" t="str">
            <v>M1</v>
          </cell>
          <cell r="B48" t="str">
            <v>A5C</v>
          </cell>
          <cell r="C48" t="str">
            <v>P</v>
          </cell>
          <cell r="D48" t="str">
            <v>24029</v>
          </cell>
          <cell r="E48" t="str">
            <v>PIPE</v>
          </cell>
          <cell r="F48">
            <v>1</v>
          </cell>
          <cell r="G48" t="str">
            <v>CB100508000100</v>
          </cell>
          <cell r="H48">
            <v>1</v>
          </cell>
          <cell r="I48" t="str">
            <v>--</v>
          </cell>
          <cell r="J48">
            <v>1</v>
          </cell>
          <cell r="K48">
            <v>1</v>
          </cell>
        </row>
        <row r="49">
          <cell r="A49" t="str">
            <v>M1</v>
          </cell>
          <cell r="B49" t="str">
            <v>B2C</v>
          </cell>
          <cell r="C49" t="str">
            <v>SH</v>
          </cell>
          <cell r="D49" t="str">
            <v>22614</v>
          </cell>
          <cell r="E49" t="str">
            <v>PIPE</v>
          </cell>
          <cell r="F49">
            <v>1</v>
          </cell>
          <cell r="G49" t="str">
            <v>CB100508000100</v>
          </cell>
          <cell r="H49">
            <v>1</v>
          </cell>
          <cell r="I49" t="str">
            <v>--</v>
          </cell>
          <cell r="J49">
            <v>2</v>
          </cell>
          <cell r="K49">
            <v>2</v>
          </cell>
        </row>
        <row r="50">
          <cell r="A50" t="str">
            <v>M1</v>
          </cell>
          <cell r="B50" t="str">
            <v>A5C</v>
          </cell>
          <cell r="C50" t="str">
            <v>TRIM</v>
          </cell>
          <cell r="D50" t="str">
            <v>V-2202</v>
          </cell>
          <cell r="E50" t="str">
            <v>PIPE</v>
          </cell>
          <cell r="F50">
            <v>1</v>
          </cell>
          <cell r="G50" t="str">
            <v>CB100508000100</v>
          </cell>
          <cell r="H50">
            <v>1</v>
          </cell>
          <cell r="I50" t="str">
            <v>--</v>
          </cell>
          <cell r="J50">
            <v>2</v>
          </cell>
          <cell r="K50">
            <v>2</v>
          </cell>
        </row>
        <row r="51">
          <cell r="A51" t="str">
            <v>M1</v>
          </cell>
          <cell r="B51" t="str">
            <v>A6C</v>
          </cell>
          <cell r="C51" t="str">
            <v>HOS</v>
          </cell>
          <cell r="D51" t="str">
            <v>65621</v>
          </cell>
          <cell r="E51" t="str">
            <v>PIPE</v>
          </cell>
          <cell r="F51">
            <v>1</v>
          </cell>
          <cell r="G51" t="str">
            <v>CB100508000100</v>
          </cell>
          <cell r="H51">
            <v>1</v>
          </cell>
          <cell r="I51" t="str">
            <v>--</v>
          </cell>
          <cell r="J51">
            <v>2</v>
          </cell>
          <cell r="K51">
            <v>2</v>
          </cell>
        </row>
        <row r="52">
          <cell r="A52" t="str">
            <v>M1</v>
          </cell>
          <cell r="B52" t="str">
            <v>A5C</v>
          </cell>
          <cell r="C52" t="str">
            <v>P</v>
          </cell>
          <cell r="D52" t="str">
            <v>22063</v>
          </cell>
          <cell r="E52" t="str">
            <v>PIPE</v>
          </cell>
          <cell r="F52">
            <v>1</v>
          </cell>
          <cell r="G52" t="str">
            <v>CB100508000100</v>
          </cell>
          <cell r="H52">
            <v>1</v>
          </cell>
          <cell r="I52" t="str">
            <v>--</v>
          </cell>
          <cell r="J52">
            <v>2.2000000000000002</v>
          </cell>
          <cell r="K52">
            <v>2.2000000000000002</v>
          </cell>
        </row>
        <row r="53">
          <cell r="A53" t="str">
            <v>M1</v>
          </cell>
          <cell r="B53" t="str">
            <v>A5C</v>
          </cell>
          <cell r="C53" t="str">
            <v>N</v>
          </cell>
          <cell r="D53" t="str">
            <v>22679</v>
          </cell>
          <cell r="E53" t="str">
            <v>PIPE</v>
          </cell>
          <cell r="F53">
            <v>1</v>
          </cell>
          <cell r="G53" t="str">
            <v>CB100508000100</v>
          </cell>
          <cell r="H53">
            <v>1</v>
          </cell>
          <cell r="I53" t="str">
            <v>--</v>
          </cell>
          <cell r="J53">
            <v>2.2000000000000002</v>
          </cell>
          <cell r="K53">
            <v>2.2000000000000002</v>
          </cell>
        </row>
        <row r="54">
          <cell r="A54" t="str">
            <v>M1</v>
          </cell>
          <cell r="B54" t="str">
            <v>A5C</v>
          </cell>
          <cell r="C54" t="str">
            <v>N</v>
          </cell>
          <cell r="D54" t="str">
            <v>25614</v>
          </cell>
          <cell r="E54" t="str">
            <v>PIPE</v>
          </cell>
          <cell r="F54">
            <v>1</v>
          </cell>
          <cell r="G54" t="str">
            <v>CB100508000100</v>
          </cell>
          <cell r="H54">
            <v>1</v>
          </cell>
          <cell r="I54" t="str">
            <v>--</v>
          </cell>
          <cell r="J54">
            <v>2.2000000000000002</v>
          </cell>
          <cell r="K54">
            <v>2.2000000000000002</v>
          </cell>
        </row>
        <row r="55">
          <cell r="A55" t="str">
            <v>M1</v>
          </cell>
          <cell r="B55" t="str">
            <v>A5C</v>
          </cell>
          <cell r="C55" t="str">
            <v>N</v>
          </cell>
          <cell r="D55" t="str">
            <v>22684</v>
          </cell>
          <cell r="E55" t="str">
            <v>PIPE</v>
          </cell>
          <cell r="F55">
            <v>1</v>
          </cell>
          <cell r="G55" t="str">
            <v>CB100508000100</v>
          </cell>
          <cell r="H55">
            <v>1</v>
          </cell>
          <cell r="I55" t="str">
            <v>--</v>
          </cell>
          <cell r="J55">
            <v>2.5</v>
          </cell>
          <cell r="K55">
            <v>2.5</v>
          </cell>
        </row>
        <row r="56">
          <cell r="A56" t="str">
            <v>M1</v>
          </cell>
          <cell r="B56" t="str">
            <v>A5C</v>
          </cell>
          <cell r="C56" t="str">
            <v>N</v>
          </cell>
          <cell r="D56" t="str">
            <v>22683</v>
          </cell>
          <cell r="E56" t="str">
            <v>PIPE</v>
          </cell>
          <cell r="F56">
            <v>1</v>
          </cell>
          <cell r="G56" t="str">
            <v>CB100508000100</v>
          </cell>
          <cell r="H56">
            <v>1</v>
          </cell>
          <cell r="I56" t="str">
            <v>--</v>
          </cell>
          <cell r="J56">
            <v>2.5</v>
          </cell>
          <cell r="K56">
            <v>2.5</v>
          </cell>
        </row>
        <row r="57">
          <cell r="A57" t="str">
            <v>M1</v>
          </cell>
          <cell r="B57" t="str">
            <v>A6C</v>
          </cell>
          <cell r="C57" t="str">
            <v>HOR</v>
          </cell>
          <cell r="D57" t="str">
            <v>65622</v>
          </cell>
          <cell r="E57" t="str">
            <v>PIPE</v>
          </cell>
          <cell r="F57">
            <v>1</v>
          </cell>
          <cell r="G57" t="str">
            <v>CB100508000100</v>
          </cell>
          <cell r="H57">
            <v>1</v>
          </cell>
          <cell r="I57" t="str">
            <v>--</v>
          </cell>
          <cell r="J57">
            <v>2.8</v>
          </cell>
          <cell r="K57">
            <v>2.8</v>
          </cell>
        </row>
        <row r="58">
          <cell r="A58" t="str">
            <v>M1</v>
          </cell>
          <cell r="B58" t="str">
            <v>A6C</v>
          </cell>
          <cell r="C58" t="str">
            <v>HOS</v>
          </cell>
          <cell r="D58" t="str">
            <v>65613</v>
          </cell>
          <cell r="E58" t="str">
            <v>PIPE</v>
          </cell>
          <cell r="F58">
            <v>1</v>
          </cell>
          <cell r="G58" t="str">
            <v>CB100508000100</v>
          </cell>
          <cell r="H58">
            <v>1</v>
          </cell>
          <cell r="I58" t="str">
            <v>--</v>
          </cell>
          <cell r="J58">
            <v>3</v>
          </cell>
          <cell r="K58">
            <v>3</v>
          </cell>
        </row>
        <row r="59">
          <cell r="A59" t="str">
            <v>M1</v>
          </cell>
          <cell r="B59" t="str">
            <v>A4C</v>
          </cell>
          <cell r="C59" t="str">
            <v>N</v>
          </cell>
          <cell r="D59" t="str">
            <v>22661</v>
          </cell>
          <cell r="E59" t="str">
            <v>PIPE</v>
          </cell>
          <cell r="F59">
            <v>1</v>
          </cell>
          <cell r="G59" t="str">
            <v>CB110508000100</v>
          </cell>
          <cell r="H59">
            <v>1</v>
          </cell>
          <cell r="I59" t="str">
            <v>--</v>
          </cell>
          <cell r="J59">
            <v>3.5</v>
          </cell>
          <cell r="K59">
            <v>3.5</v>
          </cell>
        </row>
        <row r="60">
          <cell r="A60" t="str">
            <v>M1</v>
          </cell>
          <cell r="B60" t="str">
            <v>A6C</v>
          </cell>
          <cell r="C60" t="str">
            <v>HOS</v>
          </cell>
          <cell r="D60" t="str">
            <v>65616</v>
          </cell>
          <cell r="E60" t="str">
            <v>PIPE</v>
          </cell>
          <cell r="F60">
            <v>1</v>
          </cell>
          <cell r="G60" t="str">
            <v>CB100508000100</v>
          </cell>
          <cell r="H60">
            <v>1</v>
          </cell>
          <cell r="I60" t="str">
            <v>--</v>
          </cell>
          <cell r="J60">
            <v>3.5</v>
          </cell>
          <cell r="K60">
            <v>3.5</v>
          </cell>
        </row>
        <row r="61">
          <cell r="A61" t="str">
            <v>M1</v>
          </cell>
          <cell r="B61" t="str">
            <v>A5C</v>
          </cell>
          <cell r="C61" t="str">
            <v>P</v>
          </cell>
          <cell r="D61" t="str">
            <v>22157</v>
          </cell>
          <cell r="E61" t="str">
            <v>PIPE</v>
          </cell>
          <cell r="F61">
            <v>1</v>
          </cell>
          <cell r="G61" t="str">
            <v>CB100508000100</v>
          </cell>
          <cell r="H61">
            <v>1</v>
          </cell>
          <cell r="I61" t="str">
            <v>--</v>
          </cell>
          <cell r="J61">
            <v>4</v>
          </cell>
          <cell r="K61">
            <v>4</v>
          </cell>
        </row>
        <row r="62">
          <cell r="A62" t="str">
            <v>M1</v>
          </cell>
          <cell r="B62" t="str">
            <v>A5C</v>
          </cell>
          <cell r="C62" t="str">
            <v>P</v>
          </cell>
          <cell r="D62" t="str">
            <v>22158</v>
          </cell>
          <cell r="E62" t="str">
            <v>PIPE</v>
          </cell>
          <cell r="F62">
            <v>1</v>
          </cell>
          <cell r="G62" t="str">
            <v>CB100508000100</v>
          </cell>
          <cell r="H62">
            <v>1</v>
          </cell>
          <cell r="I62" t="str">
            <v>--</v>
          </cell>
          <cell r="J62">
            <v>4</v>
          </cell>
          <cell r="K62">
            <v>4</v>
          </cell>
        </row>
        <row r="63">
          <cell r="A63" t="str">
            <v>M1</v>
          </cell>
          <cell r="B63" t="str">
            <v>A5C</v>
          </cell>
          <cell r="C63" t="str">
            <v>P</v>
          </cell>
          <cell r="D63" t="str">
            <v>22039</v>
          </cell>
          <cell r="E63" t="str">
            <v>PIPE</v>
          </cell>
          <cell r="F63">
            <v>1</v>
          </cell>
          <cell r="G63" t="str">
            <v>CB100508000100</v>
          </cell>
          <cell r="H63">
            <v>1</v>
          </cell>
          <cell r="I63" t="str">
            <v>--</v>
          </cell>
          <cell r="J63">
            <v>4</v>
          </cell>
          <cell r="K63">
            <v>4</v>
          </cell>
        </row>
        <row r="64">
          <cell r="A64" t="str">
            <v>M1</v>
          </cell>
          <cell r="B64" t="str">
            <v>A5C</v>
          </cell>
          <cell r="C64" t="str">
            <v>P</v>
          </cell>
          <cell r="D64" t="str">
            <v>22040</v>
          </cell>
          <cell r="E64" t="str">
            <v>PIPE</v>
          </cell>
          <cell r="F64">
            <v>1</v>
          </cell>
          <cell r="G64" t="str">
            <v>CB100508000100</v>
          </cell>
          <cell r="H64">
            <v>1</v>
          </cell>
          <cell r="I64" t="str">
            <v>--</v>
          </cell>
          <cell r="J64">
            <v>4</v>
          </cell>
          <cell r="K64">
            <v>4</v>
          </cell>
        </row>
        <row r="65">
          <cell r="A65" t="str">
            <v>M1</v>
          </cell>
          <cell r="B65" t="str">
            <v>A5C</v>
          </cell>
          <cell r="C65" t="str">
            <v>P</v>
          </cell>
          <cell r="D65" t="str">
            <v>22041</v>
          </cell>
          <cell r="E65" t="str">
            <v>PIPE</v>
          </cell>
          <cell r="F65">
            <v>1</v>
          </cell>
          <cell r="G65" t="str">
            <v>CB100508000100</v>
          </cell>
          <cell r="H65">
            <v>1</v>
          </cell>
          <cell r="I65" t="str">
            <v>--</v>
          </cell>
          <cell r="J65">
            <v>4</v>
          </cell>
          <cell r="K65">
            <v>4</v>
          </cell>
        </row>
        <row r="66">
          <cell r="A66" t="str">
            <v>M1</v>
          </cell>
          <cell r="B66" t="str">
            <v>A5C</v>
          </cell>
          <cell r="C66" t="str">
            <v>N</v>
          </cell>
          <cell r="D66" t="str">
            <v>22630</v>
          </cell>
          <cell r="E66" t="str">
            <v>PIPE</v>
          </cell>
          <cell r="F66">
            <v>1</v>
          </cell>
          <cell r="G66" t="str">
            <v>CB100508000100</v>
          </cell>
          <cell r="H66">
            <v>1</v>
          </cell>
          <cell r="I66" t="str">
            <v>--</v>
          </cell>
          <cell r="J66">
            <v>4.5</v>
          </cell>
          <cell r="K66">
            <v>4.5</v>
          </cell>
        </row>
        <row r="67">
          <cell r="A67" t="str">
            <v>M1</v>
          </cell>
          <cell r="B67" t="str">
            <v>A5C</v>
          </cell>
          <cell r="C67" t="str">
            <v>P</v>
          </cell>
          <cell r="D67" t="str">
            <v>22105</v>
          </cell>
          <cell r="E67" t="str">
            <v>PIPE</v>
          </cell>
          <cell r="F67">
            <v>1</v>
          </cell>
          <cell r="G67" t="str">
            <v>CB100508000100</v>
          </cell>
          <cell r="H67">
            <v>1</v>
          </cell>
          <cell r="I67" t="str">
            <v>--</v>
          </cell>
          <cell r="J67">
            <v>5.8</v>
          </cell>
          <cell r="K67">
            <v>5.8</v>
          </cell>
        </row>
        <row r="68">
          <cell r="A68" t="str">
            <v>M1</v>
          </cell>
          <cell r="B68" t="str">
            <v>A5C</v>
          </cell>
          <cell r="C68" t="str">
            <v>P</v>
          </cell>
          <cell r="D68" t="str">
            <v>22103</v>
          </cell>
          <cell r="E68" t="str">
            <v>PIPE</v>
          </cell>
          <cell r="F68">
            <v>1</v>
          </cell>
          <cell r="G68" t="str">
            <v>CB100508000100</v>
          </cell>
          <cell r="H68">
            <v>1</v>
          </cell>
          <cell r="I68" t="str">
            <v>--</v>
          </cell>
          <cell r="J68">
            <v>9</v>
          </cell>
          <cell r="K68">
            <v>9</v>
          </cell>
        </row>
        <row r="69">
          <cell r="A69" t="str">
            <v>M1</v>
          </cell>
          <cell r="B69" t="str">
            <v>A5C</v>
          </cell>
          <cell r="C69" t="str">
            <v>P</v>
          </cell>
          <cell r="D69" t="str">
            <v>22106</v>
          </cell>
          <cell r="E69" t="str">
            <v>PIPE</v>
          </cell>
          <cell r="F69">
            <v>1</v>
          </cell>
          <cell r="G69" t="str">
            <v>CB100508000100</v>
          </cell>
          <cell r="H69">
            <v>1</v>
          </cell>
          <cell r="I69" t="str">
            <v>--</v>
          </cell>
          <cell r="J69">
            <v>11</v>
          </cell>
          <cell r="K69">
            <v>11</v>
          </cell>
        </row>
        <row r="70">
          <cell r="A70" t="str">
            <v>M1</v>
          </cell>
          <cell r="B70" t="str">
            <v>A5C</v>
          </cell>
          <cell r="C70" t="str">
            <v>P</v>
          </cell>
          <cell r="D70" t="str">
            <v>21004</v>
          </cell>
          <cell r="E70" t="str">
            <v>PIPE</v>
          </cell>
          <cell r="F70">
            <v>1</v>
          </cell>
          <cell r="G70" t="str">
            <v>CB100508000100</v>
          </cell>
          <cell r="H70">
            <v>1</v>
          </cell>
          <cell r="I70" t="str">
            <v>--</v>
          </cell>
          <cell r="J70">
            <v>11.5</v>
          </cell>
          <cell r="K70">
            <v>11.5</v>
          </cell>
        </row>
        <row r="71">
          <cell r="A71" t="str">
            <v>M1</v>
          </cell>
          <cell r="B71" t="str">
            <v>A5C</v>
          </cell>
          <cell r="C71" t="str">
            <v>P</v>
          </cell>
          <cell r="D71" t="str">
            <v>99002</v>
          </cell>
          <cell r="E71" t="str">
            <v>PIPE</v>
          </cell>
          <cell r="F71">
            <v>1</v>
          </cell>
          <cell r="G71" t="str">
            <v>CB100508000100</v>
          </cell>
          <cell r="H71">
            <v>1</v>
          </cell>
          <cell r="I71" t="str">
            <v>--</v>
          </cell>
          <cell r="J71">
            <v>16.3</v>
          </cell>
          <cell r="K71">
            <v>16.3</v>
          </cell>
        </row>
        <row r="72">
          <cell r="A72" t="str">
            <v>M1</v>
          </cell>
          <cell r="B72" t="str">
            <v>A6C</v>
          </cell>
          <cell r="C72" t="str">
            <v>HOR</v>
          </cell>
          <cell r="D72" t="str">
            <v>65612</v>
          </cell>
          <cell r="E72" t="str">
            <v>PIPE</v>
          </cell>
          <cell r="F72">
            <v>1</v>
          </cell>
          <cell r="G72" t="str">
            <v>CB100508000100</v>
          </cell>
          <cell r="H72">
            <v>1</v>
          </cell>
          <cell r="I72" t="str">
            <v>--</v>
          </cell>
          <cell r="J72">
            <v>23.6</v>
          </cell>
          <cell r="K72">
            <v>23.6</v>
          </cell>
        </row>
        <row r="73">
          <cell r="A73" t="str">
            <v>M1</v>
          </cell>
          <cell r="B73" t="str">
            <v>A5C</v>
          </cell>
          <cell r="C73" t="str">
            <v>P</v>
          </cell>
          <cell r="D73" t="str">
            <v>22117</v>
          </cell>
          <cell r="E73" t="str">
            <v>PIPE</v>
          </cell>
          <cell r="F73">
            <v>1</v>
          </cell>
          <cell r="G73" t="str">
            <v>CB100508001H00</v>
          </cell>
          <cell r="H73">
            <v>1.5</v>
          </cell>
          <cell r="I73" t="str">
            <v>--</v>
          </cell>
          <cell r="J73">
            <v>0.1</v>
          </cell>
          <cell r="K73">
            <v>0.1</v>
          </cell>
        </row>
        <row r="74">
          <cell r="A74" t="str">
            <v>M1</v>
          </cell>
          <cell r="B74" t="str">
            <v>A5C</v>
          </cell>
          <cell r="C74" t="str">
            <v>P</v>
          </cell>
          <cell r="D74" t="str">
            <v>22004</v>
          </cell>
          <cell r="E74" t="str">
            <v>PIPE</v>
          </cell>
          <cell r="F74">
            <v>1</v>
          </cell>
          <cell r="G74" t="str">
            <v>CB100508001H00</v>
          </cell>
          <cell r="H74">
            <v>1.5</v>
          </cell>
          <cell r="I74" t="str">
            <v>--</v>
          </cell>
          <cell r="J74">
            <v>0.1</v>
          </cell>
          <cell r="K74">
            <v>0.1</v>
          </cell>
        </row>
        <row r="75">
          <cell r="A75" t="str">
            <v>M1</v>
          </cell>
          <cell r="B75" t="str">
            <v>B2C</v>
          </cell>
          <cell r="C75" t="str">
            <v>SH</v>
          </cell>
          <cell r="D75" t="str">
            <v>22614</v>
          </cell>
          <cell r="E75" t="str">
            <v>PIPE</v>
          </cell>
          <cell r="F75">
            <v>1</v>
          </cell>
          <cell r="G75" t="str">
            <v>CB100508001H00</v>
          </cell>
          <cell r="H75">
            <v>1.5</v>
          </cell>
          <cell r="I75" t="str">
            <v>--</v>
          </cell>
          <cell r="J75">
            <v>0.2</v>
          </cell>
          <cell r="K75">
            <v>0.2</v>
          </cell>
        </row>
        <row r="76">
          <cell r="A76" t="str">
            <v>M1</v>
          </cell>
          <cell r="B76" t="str">
            <v>A4C</v>
          </cell>
          <cell r="C76" t="str">
            <v>N</v>
          </cell>
          <cell r="D76" t="str">
            <v>22662</v>
          </cell>
          <cell r="E76" t="str">
            <v>PIPE</v>
          </cell>
          <cell r="F76">
            <v>1</v>
          </cell>
          <cell r="G76" t="str">
            <v>CB110508001H00</v>
          </cell>
          <cell r="H76">
            <v>1.5</v>
          </cell>
          <cell r="I76" t="str">
            <v>--</v>
          </cell>
          <cell r="J76">
            <v>1</v>
          </cell>
          <cell r="K76">
            <v>1</v>
          </cell>
        </row>
        <row r="77">
          <cell r="A77" t="str">
            <v>M1</v>
          </cell>
          <cell r="B77" t="str">
            <v>A6C</v>
          </cell>
          <cell r="C77" t="str">
            <v>HOS</v>
          </cell>
          <cell r="D77" t="str">
            <v>65618</v>
          </cell>
          <cell r="E77" t="str">
            <v>PIPE</v>
          </cell>
          <cell r="F77">
            <v>1</v>
          </cell>
          <cell r="G77" t="str">
            <v>CB100508001H00</v>
          </cell>
          <cell r="H77">
            <v>1.5</v>
          </cell>
          <cell r="I77" t="str">
            <v>--</v>
          </cell>
          <cell r="J77">
            <v>1.5</v>
          </cell>
          <cell r="K77">
            <v>1.5</v>
          </cell>
        </row>
        <row r="78">
          <cell r="A78" t="str">
            <v>M1</v>
          </cell>
          <cell r="B78" t="str">
            <v>A5C</v>
          </cell>
          <cell r="C78" t="str">
            <v>P</v>
          </cell>
          <cell r="D78" t="str">
            <v>22158</v>
          </cell>
          <cell r="E78" t="str">
            <v>PIPE</v>
          </cell>
          <cell r="F78">
            <v>1</v>
          </cell>
          <cell r="G78" t="str">
            <v>CB100508001H00</v>
          </cell>
          <cell r="H78">
            <v>1.5</v>
          </cell>
          <cell r="I78" t="str">
            <v>--</v>
          </cell>
          <cell r="J78">
            <v>2</v>
          </cell>
          <cell r="K78">
            <v>2</v>
          </cell>
        </row>
        <row r="79">
          <cell r="A79" t="str">
            <v>M1</v>
          </cell>
          <cell r="B79" t="str">
            <v>A5C</v>
          </cell>
          <cell r="C79" t="str">
            <v>P</v>
          </cell>
          <cell r="D79" t="str">
            <v>22039</v>
          </cell>
          <cell r="E79" t="str">
            <v>PIPE</v>
          </cell>
          <cell r="F79">
            <v>1</v>
          </cell>
          <cell r="G79" t="str">
            <v>CB100508001H00</v>
          </cell>
          <cell r="H79">
            <v>1.5</v>
          </cell>
          <cell r="I79" t="str">
            <v>--</v>
          </cell>
          <cell r="J79">
            <v>2</v>
          </cell>
          <cell r="K79">
            <v>2</v>
          </cell>
        </row>
        <row r="80">
          <cell r="A80" t="str">
            <v>M1</v>
          </cell>
          <cell r="B80" t="str">
            <v>A5C</v>
          </cell>
          <cell r="C80" t="str">
            <v>P</v>
          </cell>
          <cell r="D80" t="str">
            <v>22040</v>
          </cell>
          <cell r="E80" t="str">
            <v>PIPE</v>
          </cell>
          <cell r="F80">
            <v>1</v>
          </cell>
          <cell r="G80" t="str">
            <v>CB100508001H00</v>
          </cell>
          <cell r="H80">
            <v>1.5</v>
          </cell>
          <cell r="I80" t="str">
            <v>--</v>
          </cell>
          <cell r="J80">
            <v>2</v>
          </cell>
          <cell r="K80">
            <v>2</v>
          </cell>
        </row>
        <row r="81">
          <cell r="A81" t="str">
            <v>M1</v>
          </cell>
          <cell r="B81" t="str">
            <v>A5C</v>
          </cell>
          <cell r="C81" t="str">
            <v>P</v>
          </cell>
          <cell r="D81" t="str">
            <v>22041</v>
          </cell>
          <cell r="E81" t="str">
            <v>PIPE</v>
          </cell>
          <cell r="F81">
            <v>1</v>
          </cell>
          <cell r="G81" t="str">
            <v>CB100508001H00</v>
          </cell>
          <cell r="H81">
            <v>1.5</v>
          </cell>
          <cell r="I81" t="str">
            <v>--</v>
          </cell>
          <cell r="J81">
            <v>2</v>
          </cell>
          <cell r="K81">
            <v>2</v>
          </cell>
        </row>
        <row r="82">
          <cell r="A82" t="str">
            <v>M1</v>
          </cell>
          <cell r="B82" t="str">
            <v>A6C</v>
          </cell>
          <cell r="C82" t="str">
            <v>HOS</v>
          </cell>
          <cell r="D82" t="str">
            <v>65622</v>
          </cell>
          <cell r="E82" t="str">
            <v>PIPE</v>
          </cell>
          <cell r="F82">
            <v>1</v>
          </cell>
          <cell r="G82" t="str">
            <v>CB100508001H00</v>
          </cell>
          <cell r="H82">
            <v>1.5</v>
          </cell>
          <cell r="I82" t="str">
            <v>--</v>
          </cell>
          <cell r="J82">
            <v>3.7</v>
          </cell>
          <cell r="K82">
            <v>3.7</v>
          </cell>
        </row>
        <row r="83">
          <cell r="A83" t="str">
            <v>M1</v>
          </cell>
          <cell r="B83" t="str">
            <v>A5C</v>
          </cell>
          <cell r="C83" t="str">
            <v>P</v>
          </cell>
          <cell r="D83" t="str">
            <v>22064</v>
          </cell>
          <cell r="E83" t="str">
            <v>PIPE</v>
          </cell>
          <cell r="F83">
            <v>1</v>
          </cell>
          <cell r="G83" t="str">
            <v>CB100508001H00</v>
          </cell>
          <cell r="H83">
            <v>1.5</v>
          </cell>
          <cell r="I83" t="str">
            <v>--</v>
          </cell>
          <cell r="J83">
            <v>3.8</v>
          </cell>
          <cell r="K83">
            <v>3.8</v>
          </cell>
        </row>
        <row r="84">
          <cell r="A84" t="str">
            <v>M1</v>
          </cell>
          <cell r="B84" t="str">
            <v>A5C</v>
          </cell>
          <cell r="C84" t="str">
            <v>P</v>
          </cell>
          <cell r="D84" t="str">
            <v>22085</v>
          </cell>
          <cell r="E84" t="str">
            <v>PIPE</v>
          </cell>
          <cell r="F84">
            <v>1</v>
          </cell>
          <cell r="G84" t="str">
            <v>CB100508001H00</v>
          </cell>
          <cell r="H84">
            <v>1.5</v>
          </cell>
          <cell r="I84" t="str">
            <v>--</v>
          </cell>
          <cell r="J84">
            <v>4</v>
          </cell>
          <cell r="K84">
            <v>4</v>
          </cell>
        </row>
        <row r="85">
          <cell r="A85" t="str">
            <v>M1</v>
          </cell>
          <cell r="B85" t="str">
            <v>A6C</v>
          </cell>
          <cell r="C85" t="str">
            <v>HOR</v>
          </cell>
          <cell r="D85" t="str">
            <v>65618</v>
          </cell>
          <cell r="E85" t="str">
            <v>PIPE</v>
          </cell>
          <cell r="F85">
            <v>1</v>
          </cell>
          <cell r="G85" t="str">
            <v>CB100508001H00</v>
          </cell>
          <cell r="H85">
            <v>1.5</v>
          </cell>
          <cell r="I85" t="str">
            <v>--</v>
          </cell>
          <cell r="J85">
            <v>5.5</v>
          </cell>
          <cell r="K85">
            <v>5.5</v>
          </cell>
        </row>
        <row r="86">
          <cell r="A86" t="str">
            <v>M1</v>
          </cell>
          <cell r="B86" t="str">
            <v>A5C</v>
          </cell>
          <cell r="C86" t="str">
            <v>P</v>
          </cell>
          <cell r="D86" t="str">
            <v>22113</v>
          </cell>
          <cell r="E86" t="str">
            <v>PIPE</v>
          </cell>
          <cell r="F86">
            <v>1</v>
          </cell>
          <cell r="G86" t="str">
            <v>CB100508001H00</v>
          </cell>
          <cell r="H86">
            <v>1.5</v>
          </cell>
          <cell r="I86" t="str">
            <v>--</v>
          </cell>
          <cell r="J86">
            <v>5.8</v>
          </cell>
          <cell r="K86">
            <v>5.8</v>
          </cell>
        </row>
        <row r="87">
          <cell r="A87" t="str">
            <v>M1</v>
          </cell>
          <cell r="B87" t="str">
            <v>A4C</v>
          </cell>
          <cell r="C87" t="str">
            <v>P</v>
          </cell>
          <cell r="D87" t="str">
            <v>22031</v>
          </cell>
          <cell r="E87" t="str">
            <v>PIPE</v>
          </cell>
          <cell r="F87">
            <v>1</v>
          </cell>
          <cell r="G87" t="str">
            <v>CB110508001H00</v>
          </cell>
          <cell r="H87">
            <v>1.5</v>
          </cell>
          <cell r="I87" t="str">
            <v>--</v>
          </cell>
          <cell r="J87">
            <v>6</v>
          </cell>
          <cell r="K87">
            <v>6</v>
          </cell>
        </row>
        <row r="88">
          <cell r="A88" t="str">
            <v>M1</v>
          </cell>
          <cell r="B88" t="str">
            <v>A5C</v>
          </cell>
          <cell r="C88" t="str">
            <v>P</v>
          </cell>
          <cell r="D88" t="str">
            <v>22071</v>
          </cell>
          <cell r="E88" t="str">
            <v>PIPE</v>
          </cell>
          <cell r="F88">
            <v>1</v>
          </cell>
          <cell r="G88" t="str">
            <v>CB100508001H00</v>
          </cell>
          <cell r="H88">
            <v>1.5</v>
          </cell>
          <cell r="I88" t="str">
            <v>--</v>
          </cell>
          <cell r="J88">
            <v>6.5</v>
          </cell>
          <cell r="K88">
            <v>6.5</v>
          </cell>
        </row>
        <row r="89">
          <cell r="A89" t="str">
            <v>M1</v>
          </cell>
          <cell r="B89" t="str">
            <v>A5C</v>
          </cell>
          <cell r="C89" t="str">
            <v>P</v>
          </cell>
          <cell r="D89" t="str">
            <v>22087</v>
          </cell>
          <cell r="E89" t="str">
            <v>PIPE</v>
          </cell>
          <cell r="F89">
            <v>1</v>
          </cell>
          <cell r="G89" t="str">
            <v>CB100508001H00</v>
          </cell>
          <cell r="H89">
            <v>1.5</v>
          </cell>
          <cell r="I89" t="str">
            <v>--</v>
          </cell>
          <cell r="J89">
            <v>6.6</v>
          </cell>
          <cell r="K89">
            <v>6.6</v>
          </cell>
        </row>
        <row r="90">
          <cell r="A90" t="str">
            <v>M1</v>
          </cell>
          <cell r="B90" t="str">
            <v>A5C</v>
          </cell>
          <cell r="C90" t="str">
            <v>RW</v>
          </cell>
          <cell r="D90" t="str">
            <v>25611</v>
          </cell>
          <cell r="E90" t="str">
            <v>PIPE</v>
          </cell>
          <cell r="F90">
            <v>1</v>
          </cell>
          <cell r="G90" t="str">
            <v>CB100508001H00</v>
          </cell>
          <cell r="H90">
            <v>1.5</v>
          </cell>
          <cell r="I90" t="str">
            <v>--</v>
          </cell>
          <cell r="J90">
            <v>7</v>
          </cell>
          <cell r="K90">
            <v>7</v>
          </cell>
        </row>
        <row r="91">
          <cell r="A91" t="str">
            <v>M1</v>
          </cell>
          <cell r="B91" t="str">
            <v>A6C</v>
          </cell>
          <cell r="C91" t="str">
            <v>HOS</v>
          </cell>
          <cell r="D91" t="str">
            <v>65611</v>
          </cell>
          <cell r="E91" t="str">
            <v>PIPE</v>
          </cell>
          <cell r="F91">
            <v>1</v>
          </cell>
          <cell r="G91" t="str">
            <v>CB100508001H00</v>
          </cell>
          <cell r="H91">
            <v>1.5</v>
          </cell>
          <cell r="I91" t="str">
            <v>--</v>
          </cell>
          <cell r="J91">
            <v>7.3</v>
          </cell>
          <cell r="K91">
            <v>7.3</v>
          </cell>
        </row>
        <row r="92">
          <cell r="A92" t="str">
            <v>M1</v>
          </cell>
          <cell r="B92" t="str">
            <v>A5C</v>
          </cell>
          <cell r="C92" t="str">
            <v>P</v>
          </cell>
          <cell r="D92" t="str">
            <v>22114</v>
          </cell>
          <cell r="E92" t="str">
            <v>PIPE</v>
          </cell>
          <cell r="F92">
            <v>1</v>
          </cell>
          <cell r="G92" t="str">
            <v>CB100508001H00</v>
          </cell>
          <cell r="H92">
            <v>1.5</v>
          </cell>
          <cell r="I92" t="str">
            <v>--</v>
          </cell>
          <cell r="J92">
            <v>7.4</v>
          </cell>
          <cell r="K92">
            <v>7.4</v>
          </cell>
        </row>
        <row r="93">
          <cell r="A93" t="str">
            <v>M1</v>
          </cell>
          <cell r="B93" t="str">
            <v>A6C</v>
          </cell>
          <cell r="C93" t="str">
            <v>HOS</v>
          </cell>
          <cell r="D93" t="str">
            <v>65623</v>
          </cell>
          <cell r="E93" t="str">
            <v>PIPE</v>
          </cell>
          <cell r="F93">
            <v>1</v>
          </cell>
          <cell r="G93" t="str">
            <v>CB100508001H00</v>
          </cell>
          <cell r="H93">
            <v>1.5</v>
          </cell>
          <cell r="I93" t="str">
            <v>--</v>
          </cell>
          <cell r="J93">
            <v>7.5</v>
          </cell>
          <cell r="K93">
            <v>7.5</v>
          </cell>
        </row>
        <row r="94">
          <cell r="A94" t="str">
            <v>M1</v>
          </cell>
          <cell r="B94" t="str">
            <v>A6C</v>
          </cell>
          <cell r="C94" t="str">
            <v>HOS</v>
          </cell>
          <cell r="D94" t="str">
            <v>65632</v>
          </cell>
          <cell r="E94" t="str">
            <v>PIPE</v>
          </cell>
          <cell r="F94">
            <v>1</v>
          </cell>
          <cell r="G94" t="str">
            <v>CB100508001H00</v>
          </cell>
          <cell r="H94">
            <v>1.5</v>
          </cell>
          <cell r="I94" t="str">
            <v>--</v>
          </cell>
          <cell r="J94">
            <v>10.5</v>
          </cell>
          <cell r="K94">
            <v>10.5</v>
          </cell>
        </row>
        <row r="95">
          <cell r="A95" t="str">
            <v>M1</v>
          </cell>
          <cell r="B95" t="str">
            <v>A5C</v>
          </cell>
          <cell r="C95" t="str">
            <v>P</v>
          </cell>
          <cell r="D95" t="str">
            <v>22109</v>
          </cell>
          <cell r="E95" t="str">
            <v>PIPE</v>
          </cell>
          <cell r="F95">
            <v>1</v>
          </cell>
          <cell r="G95" t="str">
            <v>CB100508001H00</v>
          </cell>
          <cell r="H95">
            <v>1.5</v>
          </cell>
          <cell r="I95" t="str">
            <v>--</v>
          </cell>
          <cell r="J95">
            <v>11</v>
          </cell>
          <cell r="K95">
            <v>11</v>
          </cell>
        </row>
        <row r="96">
          <cell r="A96" t="str">
            <v>M1</v>
          </cell>
          <cell r="B96" t="str">
            <v>A5C</v>
          </cell>
          <cell r="C96" t="str">
            <v>P</v>
          </cell>
          <cell r="D96" t="str">
            <v>22002</v>
          </cell>
          <cell r="E96" t="str">
            <v>PIPE</v>
          </cell>
          <cell r="F96">
            <v>1</v>
          </cell>
          <cell r="G96" t="str">
            <v>CB100508001H00</v>
          </cell>
          <cell r="H96">
            <v>1.5</v>
          </cell>
          <cell r="I96" t="str">
            <v>--</v>
          </cell>
          <cell r="J96">
            <v>13.3</v>
          </cell>
          <cell r="K96">
            <v>13.3</v>
          </cell>
        </row>
        <row r="97">
          <cell r="A97" t="str">
            <v>M1</v>
          </cell>
          <cell r="B97" t="str">
            <v>A5C</v>
          </cell>
          <cell r="C97" t="str">
            <v>P</v>
          </cell>
          <cell r="D97" t="str">
            <v>22070</v>
          </cell>
          <cell r="E97" t="str">
            <v>PIPE</v>
          </cell>
          <cell r="F97">
            <v>1</v>
          </cell>
          <cell r="G97" t="str">
            <v>CB100508001H00</v>
          </cell>
          <cell r="H97">
            <v>1.5</v>
          </cell>
          <cell r="I97" t="str">
            <v>--</v>
          </cell>
          <cell r="J97">
            <v>13.4</v>
          </cell>
          <cell r="K97">
            <v>13.4</v>
          </cell>
        </row>
        <row r="98">
          <cell r="A98" t="str">
            <v>M1</v>
          </cell>
          <cell r="B98" t="str">
            <v>A6C</v>
          </cell>
          <cell r="C98" t="str">
            <v>HOR</v>
          </cell>
          <cell r="D98" t="str">
            <v>65612</v>
          </cell>
          <cell r="E98" t="str">
            <v>PIPE</v>
          </cell>
          <cell r="F98">
            <v>1</v>
          </cell>
          <cell r="G98" t="str">
            <v>CB100508001H00</v>
          </cell>
          <cell r="H98">
            <v>1.5</v>
          </cell>
          <cell r="I98" t="str">
            <v>--</v>
          </cell>
          <cell r="J98">
            <v>13.9</v>
          </cell>
          <cell r="K98">
            <v>13.9</v>
          </cell>
        </row>
        <row r="99">
          <cell r="A99" t="str">
            <v>M1</v>
          </cell>
          <cell r="B99" t="str">
            <v>A5C</v>
          </cell>
          <cell r="C99" t="str">
            <v>P</v>
          </cell>
          <cell r="D99" t="str">
            <v>22078</v>
          </cell>
          <cell r="E99" t="str">
            <v>PIPE</v>
          </cell>
          <cell r="F99">
            <v>1</v>
          </cell>
          <cell r="G99" t="str">
            <v>CB100508001H00</v>
          </cell>
          <cell r="H99">
            <v>1.5</v>
          </cell>
          <cell r="I99" t="str">
            <v>--</v>
          </cell>
          <cell r="J99">
            <v>14</v>
          </cell>
          <cell r="K99">
            <v>14</v>
          </cell>
        </row>
        <row r="100">
          <cell r="A100" t="str">
            <v>M1</v>
          </cell>
          <cell r="B100" t="str">
            <v>A6C</v>
          </cell>
          <cell r="C100" t="str">
            <v>HOS</v>
          </cell>
          <cell r="D100" t="str">
            <v>65633</v>
          </cell>
          <cell r="E100" t="str">
            <v>PIPE</v>
          </cell>
          <cell r="F100">
            <v>1</v>
          </cell>
          <cell r="G100" t="str">
            <v>CB100508001H00</v>
          </cell>
          <cell r="H100">
            <v>1.5</v>
          </cell>
          <cell r="I100" t="str">
            <v>--</v>
          </cell>
          <cell r="J100">
            <v>14.7</v>
          </cell>
          <cell r="K100">
            <v>14.7</v>
          </cell>
        </row>
        <row r="101">
          <cell r="A101" t="str">
            <v>M1</v>
          </cell>
          <cell r="B101" t="str">
            <v>A6C</v>
          </cell>
          <cell r="C101" t="str">
            <v>HOR</v>
          </cell>
          <cell r="D101" t="str">
            <v>65612</v>
          </cell>
          <cell r="E101" t="str">
            <v>PIPE</v>
          </cell>
          <cell r="F101">
            <v>1</v>
          </cell>
          <cell r="G101" t="str">
            <v>CB100508001H00</v>
          </cell>
          <cell r="H101">
            <v>1.5</v>
          </cell>
          <cell r="I101" t="str">
            <v>--</v>
          </cell>
          <cell r="J101">
            <v>16.2</v>
          </cell>
          <cell r="K101">
            <v>16.2</v>
          </cell>
        </row>
        <row r="102">
          <cell r="A102" t="str">
            <v>M1</v>
          </cell>
          <cell r="B102" t="str">
            <v>A5C</v>
          </cell>
          <cell r="C102" t="str">
            <v>P</v>
          </cell>
          <cell r="D102" t="str">
            <v>22157</v>
          </cell>
          <cell r="E102" t="str">
            <v>PIPE</v>
          </cell>
          <cell r="F102">
            <v>1</v>
          </cell>
          <cell r="G102" t="str">
            <v>CB100508001H00</v>
          </cell>
          <cell r="H102">
            <v>1.5</v>
          </cell>
          <cell r="I102" t="str">
            <v>--</v>
          </cell>
          <cell r="J102">
            <v>17</v>
          </cell>
          <cell r="K102">
            <v>17</v>
          </cell>
        </row>
        <row r="103">
          <cell r="A103" t="str">
            <v>M1</v>
          </cell>
          <cell r="B103" t="str">
            <v>A5C</v>
          </cell>
          <cell r="C103" t="str">
            <v>P</v>
          </cell>
          <cell r="D103" t="str">
            <v>22071</v>
          </cell>
          <cell r="E103" t="str">
            <v>PIPE</v>
          </cell>
          <cell r="F103">
            <v>1</v>
          </cell>
          <cell r="G103" t="str">
            <v>CB100508001H00</v>
          </cell>
          <cell r="H103">
            <v>1.5</v>
          </cell>
          <cell r="I103" t="str">
            <v>--</v>
          </cell>
          <cell r="J103">
            <v>18.399999999999999</v>
          </cell>
          <cell r="K103">
            <v>18.399999999999999</v>
          </cell>
        </row>
        <row r="104">
          <cell r="A104" t="str">
            <v>M1</v>
          </cell>
          <cell r="B104" t="str">
            <v>A5C</v>
          </cell>
          <cell r="C104" t="str">
            <v>P</v>
          </cell>
          <cell r="D104" t="str">
            <v>22036</v>
          </cell>
          <cell r="E104" t="str">
            <v>PIPE</v>
          </cell>
          <cell r="F104">
            <v>1</v>
          </cell>
          <cell r="G104" t="str">
            <v>CB100508001H00</v>
          </cell>
          <cell r="H104">
            <v>1.5</v>
          </cell>
          <cell r="I104" t="str">
            <v>--</v>
          </cell>
          <cell r="J104">
            <v>18.5</v>
          </cell>
          <cell r="K104">
            <v>18.5</v>
          </cell>
        </row>
        <row r="105">
          <cell r="A105" t="str">
            <v>M1</v>
          </cell>
          <cell r="B105" t="str">
            <v>A5C</v>
          </cell>
          <cell r="C105" t="str">
            <v>P</v>
          </cell>
          <cell r="D105" t="str">
            <v>22102</v>
          </cell>
          <cell r="E105" t="str">
            <v>PIPE</v>
          </cell>
          <cell r="F105">
            <v>1</v>
          </cell>
          <cell r="G105" t="str">
            <v>CB100508001H00</v>
          </cell>
          <cell r="H105">
            <v>1.5</v>
          </cell>
          <cell r="I105" t="str">
            <v>--</v>
          </cell>
          <cell r="J105">
            <v>19</v>
          </cell>
          <cell r="K105">
            <v>19</v>
          </cell>
        </row>
        <row r="106">
          <cell r="A106" t="str">
            <v>M1</v>
          </cell>
          <cell r="B106" t="str">
            <v>A4C</v>
          </cell>
          <cell r="C106" t="str">
            <v>P</v>
          </cell>
          <cell r="D106" t="str">
            <v>22031</v>
          </cell>
          <cell r="E106" t="str">
            <v>PIPE</v>
          </cell>
          <cell r="F106">
            <v>1</v>
          </cell>
          <cell r="G106" t="str">
            <v>CB110508001H00</v>
          </cell>
          <cell r="H106">
            <v>1.5</v>
          </cell>
          <cell r="I106" t="str">
            <v>--</v>
          </cell>
          <cell r="J106">
            <v>21.1</v>
          </cell>
          <cell r="K106">
            <v>21.1</v>
          </cell>
        </row>
        <row r="107">
          <cell r="A107" t="str">
            <v>M1</v>
          </cell>
          <cell r="B107" t="str">
            <v>A5C</v>
          </cell>
          <cell r="C107" t="str">
            <v>P</v>
          </cell>
          <cell r="D107" t="str">
            <v>22045</v>
          </cell>
          <cell r="E107" t="str">
            <v>PIPE</v>
          </cell>
          <cell r="F107">
            <v>1</v>
          </cell>
          <cell r="G107" t="str">
            <v>CB100508001H00</v>
          </cell>
          <cell r="H107">
            <v>1.5</v>
          </cell>
          <cell r="I107" t="str">
            <v>--</v>
          </cell>
          <cell r="J107">
            <v>21.4</v>
          </cell>
          <cell r="K107">
            <v>21.4</v>
          </cell>
        </row>
        <row r="108">
          <cell r="A108" t="str">
            <v>M1</v>
          </cell>
          <cell r="B108" t="str">
            <v>A5C</v>
          </cell>
          <cell r="C108" t="str">
            <v>P</v>
          </cell>
          <cell r="D108" t="str">
            <v>22079</v>
          </cell>
          <cell r="E108" t="str">
            <v>PIPE</v>
          </cell>
          <cell r="F108">
            <v>1</v>
          </cell>
          <cell r="G108" t="str">
            <v>CB100508001H00</v>
          </cell>
          <cell r="H108">
            <v>1.5</v>
          </cell>
          <cell r="I108" t="str">
            <v>--</v>
          </cell>
          <cell r="J108">
            <v>21.6</v>
          </cell>
          <cell r="K108">
            <v>21.6</v>
          </cell>
        </row>
        <row r="109">
          <cell r="A109" t="str">
            <v>M1</v>
          </cell>
          <cell r="B109" t="str">
            <v>A5C</v>
          </cell>
          <cell r="C109" t="str">
            <v>P</v>
          </cell>
          <cell r="D109" t="str">
            <v>22111</v>
          </cell>
          <cell r="E109" t="str">
            <v>PIPE</v>
          </cell>
          <cell r="F109">
            <v>1</v>
          </cell>
          <cell r="G109" t="str">
            <v>CB100508001H00</v>
          </cell>
          <cell r="H109">
            <v>1.5</v>
          </cell>
          <cell r="I109" t="str">
            <v>--</v>
          </cell>
          <cell r="J109">
            <v>24.8</v>
          </cell>
          <cell r="K109">
            <v>24.8</v>
          </cell>
        </row>
        <row r="110">
          <cell r="A110" t="str">
            <v>M1</v>
          </cell>
          <cell r="B110" t="str">
            <v>A6C</v>
          </cell>
          <cell r="C110" t="str">
            <v>HOS</v>
          </cell>
          <cell r="D110" t="str">
            <v>65633</v>
          </cell>
          <cell r="E110" t="str">
            <v>PIPE</v>
          </cell>
          <cell r="F110">
            <v>1</v>
          </cell>
          <cell r="G110" t="str">
            <v>CB100508001H00</v>
          </cell>
          <cell r="H110">
            <v>1.5</v>
          </cell>
          <cell r="I110" t="str">
            <v>--</v>
          </cell>
          <cell r="J110">
            <v>32.299999999999997</v>
          </cell>
          <cell r="K110">
            <v>32.299999999999997</v>
          </cell>
        </row>
        <row r="111">
          <cell r="A111" t="str">
            <v>M1</v>
          </cell>
          <cell r="B111" t="str">
            <v>A5C</v>
          </cell>
          <cell r="C111" t="str">
            <v>P</v>
          </cell>
          <cell r="D111" t="str">
            <v>22102</v>
          </cell>
          <cell r="E111" t="str">
            <v>PIPE</v>
          </cell>
          <cell r="F111">
            <v>1</v>
          </cell>
          <cell r="G111" t="str">
            <v>CB100508001H00</v>
          </cell>
          <cell r="H111">
            <v>1.5</v>
          </cell>
          <cell r="I111" t="str">
            <v>--</v>
          </cell>
          <cell r="J111">
            <v>33</v>
          </cell>
          <cell r="K111">
            <v>33</v>
          </cell>
        </row>
        <row r="112">
          <cell r="A112" t="str">
            <v>M1</v>
          </cell>
          <cell r="B112" t="str">
            <v>A5C</v>
          </cell>
          <cell r="C112" t="str">
            <v>P</v>
          </cell>
          <cell r="D112" t="str">
            <v>22108</v>
          </cell>
          <cell r="E112" t="str">
            <v>PIPE</v>
          </cell>
          <cell r="F112">
            <v>1</v>
          </cell>
          <cell r="G112" t="str">
            <v>CB100508001H00</v>
          </cell>
          <cell r="H112">
            <v>1.5</v>
          </cell>
          <cell r="I112" t="str">
            <v>--</v>
          </cell>
          <cell r="J112">
            <v>33.299999999999997</v>
          </cell>
          <cell r="K112">
            <v>33.299999999999997</v>
          </cell>
        </row>
        <row r="113">
          <cell r="A113" t="str">
            <v>M1</v>
          </cell>
          <cell r="B113" t="str">
            <v>A5C</v>
          </cell>
          <cell r="C113" t="str">
            <v>P</v>
          </cell>
          <cell r="D113" t="str">
            <v>22104</v>
          </cell>
          <cell r="E113" t="str">
            <v>PIPE</v>
          </cell>
          <cell r="F113">
            <v>1</v>
          </cell>
          <cell r="G113" t="str">
            <v>CB100508001H00</v>
          </cell>
          <cell r="H113">
            <v>1.5</v>
          </cell>
          <cell r="I113" t="str">
            <v>--</v>
          </cell>
          <cell r="J113">
            <v>36</v>
          </cell>
          <cell r="K113">
            <v>36</v>
          </cell>
        </row>
        <row r="114">
          <cell r="A114" t="str">
            <v>M1</v>
          </cell>
          <cell r="B114" t="str">
            <v>A5C</v>
          </cell>
          <cell r="C114" t="str">
            <v>P</v>
          </cell>
          <cell r="D114" t="str">
            <v>22071</v>
          </cell>
          <cell r="E114" t="str">
            <v>PIPE</v>
          </cell>
          <cell r="F114">
            <v>1</v>
          </cell>
          <cell r="G114" t="str">
            <v>CB100508001H00</v>
          </cell>
          <cell r="H114">
            <v>1.5</v>
          </cell>
          <cell r="I114" t="str">
            <v>--</v>
          </cell>
          <cell r="J114">
            <v>38</v>
          </cell>
          <cell r="K114">
            <v>38</v>
          </cell>
        </row>
        <row r="115">
          <cell r="A115" t="str">
            <v>M1</v>
          </cell>
          <cell r="B115" t="str">
            <v>A5C</v>
          </cell>
          <cell r="C115" t="str">
            <v>P</v>
          </cell>
          <cell r="D115" t="str">
            <v>22069</v>
          </cell>
          <cell r="E115" t="str">
            <v>PIPE</v>
          </cell>
          <cell r="F115">
            <v>1</v>
          </cell>
          <cell r="G115" t="str">
            <v>CB100408000200</v>
          </cell>
          <cell r="H115">
            <v>2</v>
          </cell>
          <cell r="I115" t="str">
            <v>--</v>
          </cell>
          <cell r="J115">
            <v>0.5</v>
          </cell>
          <cell r="K115">
            <v>0.6</v>
          </cell>
        </row>
        <row r="116">
          <cell r="A116" t="str">
            <v>M1</v>
          </cell>
          <cell r="B116" t="str">
            <v>B2C</v>
          </cell>
          <cell r="C116" t="str">
            <v>CWR</v>
          </cell>
          <cell r="D116" t="str">
            <v>22620</v>
          </cell>
          <cell r="E116" t="str">
            <v>PIPE</v>
          </cell>
          <cell r="F116">
            <v>1</v>
          </cell>
          <cell r="G116" t="str">
            <v>CB100408000200</v>
          </cell>
          <cell r="H116">
            <v>2</v>
          </cell>
          <cell r="I116" t="str">
            <v>--</v>
          </cell>
          <cell r="J116">
            <v>1</v>
          </cell>
          <cell r="K116">
            <v>1.1000000000000001</v>
          </cell>
        </row>
        <row r="117">
          <cell r="A117" t="str">
            <v>M1</v>
          </cell>
          <cell r="B117" t="str">
            <v>B2C</v>
          </cell>
          <cell r="C117" t="str">
            <v>CWR</v>
          </cell>
          <cell r="D117" t="str">
            <v>22619</v>
          </cell>
          <cell r="E117" t="str">
            <v>PIPE</v>
          </cell>
          <cell r="F117">
            <v>1</v>
          </cell>
          <cell r="G117" t="str">
            <v>CB100408000200</v>
          </cell>
          <cell r="H117">
            <v>2</v>
          </cell>
          <cell r="I117" t="str">
            <v>--</v>
          </cell>
          <cell r="J117">
            <v>1</v>
          </cell>
          <cell r="K117">
            <v>1.1000000000000001</v>
          </cell>
        </row>
        <row r="118">
          <cell r="A118" t="str">
            <v>M1</v>
          </cell>
          <cell r="B118" t="str">
            <v>A5C</v>
          </cell>
          <cell r="C118" t="str">
            <v>P</v>
          </cell>
          <cell r="D118" t="str">
            <v>22153</v>
          </cell>
          <cell r="E118" t="str">
            <v>PIPE</v>
          </cell>
          <cell r="F118">
            <v>1</v>
          </cell>
          <cell r="G118" t="str">
            <v>CB100408000200</v>
          </cell>
          <cell r="H118">
            <v>2</v>
          </cell>
          <cell r="I118" t="str">
            <v>--</v>
          </cell>
          <cell r="J118">
            <v>1</v>
          </cell>
          <cell r="K118">
            <v>1.1000000000000001</v>
          </cell>
        </row>
        <row r="119">
          <cell r="A119" t="str">
            <v>M1</v>
          </cell>
          <cell r="B119" t="str">
            <v>A5C</v>
          </cell>
          <cell r="C119" t="str">
            <v>TRIM</v>
          </cell>
          <cell r="D119" t="str">
            <v>F-2213A</v>
          </cell>
          <cell r="E119" t="str">
            <v>PIPE</v>
          </cell>
          <cell r="F119">
            <v>1</v>
          </cell>
          <cell r="G119" t="str">
            <v>CB100408000200</v>
          </cell>
          <cell r="H119">
            <v>2</v>
          </cell>
          <cell r="I119" t="str">
            <v>--</v>
          </cell>
          <cell r="J119">
            <v>1</v>
          </cell>
          <cell r="K119">
            <v>1.1000000000000001</v>
          </cell>
        </row>
        <row r="120">
          <cell r="A120" t="str">
            <v>M1</v>
          </cell>
          <cell r="B120" t="str">
            <v>A5C</v>
          </cell>
          <cell r="C120" t="str">
            <v>TRIM</v>
          </cell>
          <cell r="D120" t="str">
            <v>F-2213B</v>
          </cell>
          <cell r="E120" t="str">
            <v>PIPE</v>
          </cell>
          <cell r="F120">
            <v>1</v>
          </cell>
          <cell r="G120" t="str">
            <v>CB100408000200</v>
          </cell>
          <cell r="H120">
            <v>2</v>
          </cell>
          <cell r="I120" t="str">
            <v>--</v>
          </cell>
          <cell r="J120">
            <v>1</v>
          </cell>
          <cell r="K120">
            <v>1.1000000000000001</v>
          </cell>
        </row>
        <row r="121">
          <cell r="A121" t="str">
            <v>M1</v>
          </cell>
          <cell r="B121" t="str">
            <v>A5C</v>
          </cell>
          <cell r="C121" t="str">
            <v>COMP</v>
          </cell>
          <cell r="D121" t="str">
            <v>005</v>
          </cell>
          <cell r="E121" t="str">
            <v>PIPE</v>
          </cell>
          <cell r="F121">
            <v>1</v>
          </cell>
          <cell r="G121" t="str">
            <v>CB100408000200</v>
          </cell>
          <cell r="H121">
            <v>2</v>
          </cell>
          <cell r="I121" t="str">
            <v>--</v>
          </cell>
          <cell r="J121">
            <v>1.5</v>
          </cell>
          <cell r="K121">
            <v>1.7</v>
          </cell>
        </row>
        <row r="122">
          <cell r="A122" t="str">
            <v>M1</v>
          </cell>
          <cell r="B122" t="str">
            <v>B2C</v>
          </cell>
          <cell r="C122" t="str">
            <v>TRIM</v>
          </cell>
          <cell r="D122" t="str">
            <v>V-2218</v>
          </cell>
          <cell r="E122" t="str">
            <v>PIPE</v>
          </cell>
          <cell r="F122">
            <v>1</v>
          </cell>
          <cell r="G122" t="str">
            <v>CB100408000200</v>
          </cell>
          <cell r="H122">
            <v>2</v>
          </cell>
          <cell r="I122" t="str">
            <v>--</v>
          </cell>
          <cell r="J122">
            <v>1.6</v>
          </cell>
          <cell r="K122">
            <v>1.8</v>
          </cell>
        </row>
        <row r="123">
          <cell r="A123" t="str">
            <v>M1</v>
          </cell>
          <cell r="B123" t="str">
            <v>A5C</v>
          </cell>
          <cell r="C123" t="str">
            <v>TRIM</v>
          </cell>
          <cell r="D123" t="str">
            <v>C-2201</v>
          </cell>
          <cell r="E123" t="str">
            <v>PIPE</v>
          </cell>
          <cell r="F123">
            <v>1</v>
          </cell>
          <cell r="G123" t="str">
            <v>CB100408000200</v>
          </cell>
          <cell r="H123">
            <v>2</v>
          </cell>
          <cell r="I123" t="str">
            <v>--</v>
          </cell>
          <cell r="J123">
            <v>1.6</v>
          </cell>
          <cell r="K123">
            <v>1.8</v>
          </cell>
        </row>
        <row r="124">
          <cell r="A124" t="str">
            <v>M1</v>
          </cell>
          <cell r="B124" t="str">
            <v>A5C</v>
          </cell>
          <cell r="C124" t="str">
            <v>P</v>
          </cell>
          <cell r="D124" t="str">
            <v>22096</v>
          </cell>
          <cell r="E124" t="str">
            <v>PIPE</v>
          </cell>
          <cell r="F124">
            <v>1</v>
          </cell>
          <cell r="G124" t="str">
            <v>CB100408000200</v>
          </cell>
          <cell r="H124">
            <v>2</v>
          </cell>
          <cell r="I124" t="str">
            <v>--</v>
          </cell>
          <cell r="J124">
            <v>2.7</v>
          </cell>
          <cell r="K124">
            <v>3</v>
          </cell>
        </row>
        <row r="125">
          <cell r="A125" t="str">
            <v>M1</v>
          </cell>
          <cell r="B125" t="str">
            <v>A5C</v>
          </cell>
          <cell r="C125" t="str">
            <v>P</v>
          </cell>
          <cell r="D125" t="str">
            <v>22004</v>
          </cell>
          <cell r="E125" t="str">
            <v>PIPE</v>
          </cell>
          <cell r="F125">
            <v>1</v>
          </cell>
          <cell r="G125" t="str">
            <v>CB100408000200</v>
          </cell>
          <cell r="H125">
            <v>2</v>
          </cell>
          <cell r="I125" t="str">
            <v>--</v>
          </cell>
          <cell r="J125">
            <v>3</v>
          </cell>
          <cell r="K125">
            <v>3.3</v>
          </cell>
        </row>
        <row r="126">
          <cell r="A126" t="str">
            <v>M1</v>
          </cell>
          <cell r="B126" t="str">
            <v>A6C</v>
          </cell>
          <cell r="C126" t="str">
            <v>TRIM</v>
          </cell>
          <cell r="D126" t="str">
            <v>V-6501</v>
          </cell>
          <cell r="E126" t="str">
            <v>PIPE</v>
          </cell>
          <cell r="F126">
            <v>1</v>
          </cell>
          <cell r="G126" t="str">
            <v>CB100408000200</v>
          </cell>
          <cell r="H126">
            <v>2</v>
          </cell>
          <cell r="I126" t="str">
            <v>--</v>
          </cell>
          <cell r="J126">
            <v>3</v>
          </cell>
          <cell r="K126">
            <v>3.3</v>
          </cell>
        </row>
        <row r="127">
          <cell r="A127" t="str">
            <v>M1</v>
          </cell>
          <cell r="B127" t="str">
            <v>A5C</v>
          </cell>
          <cell r="C127" t="str">
            <v>P</v>
          </cell>
          <cell r="D127" t="str">
            <v>22097</v>
          </cell>
          <cell r="E127" t="str">
            <v>PIPE</v>
          </cell>
          <cell r="F127">
            <v>1</v>
          </cell>
          <cell r="G127" t="str">
            <v>CB100408000200</v>
          </cell>
          <cell r="H127">
            <v>2</v>
          </cell>
          <cell r="I127" t="str">
            <v>--</v>
          </cell>
          <cell r="J127">
            <v>3.3</v>
          </cell>
          <cell r="K127">
            <v>3.7</v>
          </cell>
        </row>
        <row r="128">
          <cell r="A128" t="str">
            <v>M1</v>
          </cell>
          <cell r="B128" t="str">
            <v>A5C</v>
          </cell>
          <cell r="C128" t="str">
            <v>P</v>
          </cell>
          <cell r="D128" t="str">
            <v>22115</v>
          </cell>
          <cell r="E128" t="str">
            <v>PIPE</v>
          </cell>
          <cell r="F128">
            <v>1</v>
          </cell>
          <cell r="G128" t="str">
            <v>CB100408000200</v>
          </cell>
          <cell r="H128">
            <v>2</v>
          </cell>
          <cell r="I128" t="str">
            <v>--</v>
          </cell>
          <cell r="J128">
            <v>3.5</v>
          </cell>
          <cell r="K128">
            <v>3.9</v>
          </cell>
        </row>
        <row r="129">
          <cell r="A129" t="str">
            <v>M1</v>
          </cell>
          <cell r="B129" t="str">
            <v>A5C</v>
          </cell>
          <cell r="C129" t="str">
            <v>P</v>
          </cell>
          <cell r="D129" t="str">
            <v>22101</v>
          </cell>
          <cell r="E129" t="str">
            <v>PIPE</v>
          </cell>
          <cell r="F129">
            <v>1</v>
          </cell>
          <cell r="G129" t="str">
            <v>CB100408000200</v>
          </cell>
          <cell r="H129">
            <v>2</v>
          </cell>
          <cell r="I129" t="str">
            <v>--</v>
          </cell>
          <cell r="J129">
            <v>4.8</v>
          </cell>
          <cell r="K129">
            <v>5.3</v>
          </cell>
        </row>
        <row r="130">
          <cell r="A130" t="str">
            <v>M1</v>
          </cell>
          <cell r="B130" t="str">
            <v>A5C</v>
          </cell>
          <cell r="C130" t="str">
            <v>P</v>
          </cell>
          <cell r="D130" t="str">
            <v>22100</v>
          </cell>
          <cell r="E130" t="str">
            <v>PIPE</v>
          </cell>
          <cell r="F130">
            <v>1</v>
          </cell>
          <cell r="G130" t="str">
            <v>CB100408000200</v>
          </cell>
          <cell r="H130">
            <v>2</v>
          </cell>
          <cell r="I130" t="str">
            <v>--</v>
          </cell>
          <cell r="J130">
            <v>4.8</v>
          </cell>
          <cell r="K130">
            <v>5.3</v>
          </cell>
        </row>
        <row r="131">
          <cell r="A131" t="str">
            <v>M1</v>
          </cell>
          <cell r="B131" t="str">
            <v>A5C</v>
          </cell>
          <cell r="C131" t="str">
            <v>N</v>
          </cell>
          <cell r="D131" t="str">
            <v>25611</v>
          </cell>
          <cell r="E131" t="str">
            <v>PIPE</v>
          </cell>
          <cell r="F131">
            <v>1</v>
          </cell>
          <cell r="G131" t="str">
            <v>CB100408000200</v>
          </cell>
          <cell r="H131">
            <v>2</v>
          </cell>
          <cell r="I131" t="str">
            <v>--</v>
          </cell>
          <cell r="J131">
            <v>5</v>
          </cell>
          <cell r="K131">
            <v>5.5</v>
          </cell>
        </row>
        <row r="132">
          <cell r="A132" t="str">
            <v>M1</v>
          </cell>
          <cell r="B132" t="str">
            <v>A5C</v>
          </cell>
          <cell r="C132" t="str">
            <v>P</v>
          </cell>
          <cell r="D132" t="str">
            <v>22117</v>
          </cell>
          <cell r="E132" t="str">
            <v>PIPE</v>
          </cell>
          <cell r="F132">
            <v>1</v>
          </cell>
          <cell r="G132" t="str">
            <v>CB100408000200</v>
          </cell>
          <cell r="H132">
            <v>2</v>
          </cell>
          <cell r="I132" t="str">
            <v>--</v>
          </cell>
          <cell r="J132">
            <v>5</v>
          </cell>
          <cell r="K132">
            <v>5.5</v>
          </cell>
        </row>
        <row r="133">
          <cell r="A133" t="str">
            <v>M1</v>
          </cell>
          <cell r="B133" t="str">
            <v>A5C</v>
          </cell>
          <cell r="C133" t="str">
            <v>P</v>
          </cell>
          <cell r="D133" t="str">
            <v>22130</v>
          </cell>
          <cell r="E133" t="str">
            <v>PIPE</v>
          </cell>
          <cell r="F133">
            <v>1</v>
          </cell>
          <cell r="G133" t="str">
            <v>CB100408000200</v>
          </cell>
          <cell r="H133">
            <v>2</v>
          </cell>
          <cell r="I133" t="str">
            <v>--</v>
          </cell>
          <cell r="J133">
            <v>5</v>
          </cell>
          <cell r="K133">
            <v>5.5</v>
          </cell>
        </row>
        <row r="134">
          <cell r="A134" t="str">
            <v>M1</v>
          </cell>
          <cell r="B134" t="str">
            <v>A5C</v>
          </cell>
          <cell r="C134" t="str">
            <v>P</v>
          </cell>
          <cell r="D134" t="str">
            <v>22140</v>
          </cell>
          <cell r="E134" t="str">
            <v>PIPE</v>
          </cell>
          <cell r="F134">
            <v>1</v>
          </cell>
          <cell r="G134" t="str">
            <v>CB100408000200</v>
          </cell>
          <cell r="H134">
            <v>2</v>
          </cell>
          <cell r="I134" t="str">
            <v>--</v>
          </cell>
          <cell r="J134">
            <v>5</v>
          </cell>
          <cell r="K134">
            <v>5.5</v>
          </cell>
        </row>
        <row r="135">
          <cell r="A135" t="str">
            <v>M1</v>
          </cell>
          <cell r="B135" t="str">
            <v>B2C</v>
          </cell>
          <cell r="C135" t="str">
            <v>SH</v>
          </cell>
          <cell r="D135" t="str">
            <v>22611</v>
          </cell>
          <cell r="E135" t="str">
            <v>PIPE</v>
          </cell>
          <cell r="F135">
            <v>1</v>
          </cell>
          <cell r="G135" t="str">
            <v>CB100408000200</v>
          </cell>
          <cell r="H135">
            <v>2</v>
          </cell>
          <cell r="I135" t="str">
            <v>--</v>
          </cell>
          <cell r="J135">
            <v>6.5</v>
          </cell>
          <cell r="K135">
            <v>7.2</v>
          </cell>
        </row>
        <row r="136">
          <cell r="A136" t="str">
            <v>M1</v>
          </cell>
          <cell r="B136" t="str">
            <v>A5C</v>
          </cell>
          <cell r="C136" t="str">
            <v>P</v>
          </cell>
          <cell r="D136" t="str">
            <v>22110</v>
          </cell>
          <cell r="E136" t="str">
            <v>PIPE</v>
          </cell>
          <cell r="F136">
            <v>1</v>
          </cell>
          <cell r="G136" t="str">
            <v>CB100408000200</v>
          </cell>
          <cell r="H136">
            <v>2</v>
          </cell>
          <cell r="I136" t="str">
            <v>--</v>
          </cell>
          <cell r="J136">
            <v>7.2</v>
          </cell>
          <cell r="K136">
            <v>8</v>
          </cell>
        </row>
        <row r="137">
          <cell r="A137" t="str">
            <v>M1</v>
          </cell>
          <cell r="B137" t="str">
            <v>B2C</v>
          </cell>
          <cell r="C137" t="str">
            <v>SH</v>
          </cell>
          <cell r="D137" t="str">
            <v>22611</v>
          </cell>
          <cell r="E137" t="str">
            <v>PIPE</v>
          </cell>
          <cell r="F137">
            <v>1</v>
          </cell>
          <cell r="G137" t="str">
            <v>CB100408000200</v>
          </cell>
          <cell r="H137">
            <v>2</v>
          </cell>
          <cell r="I137" t="str">
            <v>--</v>
          </cell>
          <cell r="J137">
            <v>8.5</v>
          </cell>
          <cell r="K137">
            <v>9.4</v>
          </cell>
        </row>
        <row r="138">
          <cell r="A138" t="str">
            <v>M1</v>
          </cell>
          <cell r="B138" t="str">
            <v>A5C</v>
          </cell>
          <cell r="C138" t="str">
            <v>P</v>
          </cell>
          <cell r="D138" t="str">
            <v>22066</v>
          </cell>
          <cell r="E138" t="str">
            <v>PIPE</v>
          </cell>
          <cell r="F138">
            <v>1</v>
          </cell>
          <cell r="G138" t="str">
            <v>CB100408000200</v>
          </cell>
          <cell r="H138">
            <v>2</v>
          </cell>
          <cell r="I138" t="str">
            <v>--</v>
          </cell>
          <cell r="J138">
            <v>9.1999999999999993</v>
          </cell>
          <cell r="K138">
            <v>10.199999999999999</v>
          </cell>
        </row>
        <row r="139">
          <cell r="A139" t="str">
            <v>M1</v>
          </cell>
          <cell r="B139" t="str">
            <v>A5C</v>
          </cell>
          <cell r="C139" t="str">
            <v>P</v>
          </cell>
          <cell r="D139" t="str">
            <v>22068</v>
          </cell>
          <cell r="E139" t="str">
            <v>PIPE</v>
          </cell>
          <cell r="F139">
            <v>1</v>
          </cell>
          <cell r="G139" t="str">
            <v>CB100408000200</v>
          </cell>
          <cell r="H139">
            <v>2</v>
          </cell>
          <cell r="I139" t="str">
            <v>--</v>
          </cell>
          <cell r="J139">
            <v>9.6</v>
          </cell>
          <cell r="K139">
            <v>10.6</v>
          </cell>
        </row>
        <row r="140">
          <cell r="A140" t="str">
            <v>M1</v>
          </cell>
          <cell r="B140" t="str">
            <v>B2C</v>
          </cell>
          <cell r="C140" t="str">
            <v>SH</v>
          </cell>
          <cell r="D140" t="str">
            <v>22613</v>
          </cell>
          <cell r="E140" t="str">
            <v>PIPE</v>
          </cell>
          <cell r="F140">
            <v>1</v>
          </cell>
          <cell r="G140" t="str">
            <v>CB100408000200</v>
          </cell>
          <cell r="H140">
            <v>2</v>
          </cell>
          <cell r="I140" t="str">
            <v>--</v>
          </cell>
          <cell r="J140">
            <v>13.4</v>
          </cell>
          <cell r="K140">
            <v>14.8</v>
          </cell>
        </row>
        <row r="141">
          <cell r="A141" t="str">
            <v>M1</v>
          </cell>
          <cell r="B141" t="str">
            <v>A5C</v>
          </cell>
          <cell r="C141" t="str">
            <v>P</v>
          </cell>
          <cell r="D141" t="str">
            <v>21006</v>
          </cell>
          <cell r="E141" t="str">
            <v>PIPE</v>
          </cell>
          <cell r="F141">
            <v>1</v>
          </cell>
          <cell r="G141" t="str">
            <v>CB100408000200</v>
          </cell>
          <cell r="H141">
            <v>2</v>
          </cell>
          <cell r="I141" t="str">
            <v>--</v>
          </cell>
          <cell r="J141">
            <v>14</v>
          </cell>
          <cell r="K141">
            <v>15.4</v>
          </cell>
        </row>
        <row r="142">
          <cell r="A142" t="str">
            <v>M1</v>
          </cell>
          <cell r="B142" t="str">
            <v>B2C</v>
          </cell>
          <cell r="C142" t="str">
            <v>SH</v>
          </cell>
          <cell r="D142" t="str">
            <v>22614</v>
          </cell>
          <cell r="E142" t="str">
            <v>PIPE</v>
          </cell>
          <cell r="F142">
            <v>1</v>
          </cell>
          <cell r="G142" t="str">
            <v>CB100408000200</v>
          </cell>
          <cell r="H142">
            <v>2</v>
          </cell>
          <cell r="I142" t="str">
            <v>--</v>
          </cell>
          <cell r="J142">
            <v>15.3</v>
          </cell>
          <cell r="K142">
            <v>16.899999999999999</v>
          </cell>
        </row>
        <row r="143">
          <cell r="A143" t="str">
            <v>M1</v>
          </cell>
          <cell r="B143" t="str">
            <v>A5C</v>
          </cell>
          <cell r="C143" t="str">
            <v>P</v>
          </cell>
          <cell r="D143" t="str">
            <v>22004</v>
          </cell>
          <cell r="E143" t="str">
            <v>PIPE</v>
          </cell>
          <cell r="F143">
            <v>1</v>
          </cell>
          <cell r="G143" t="str">
            <v>CB100408000200</v>
          </cell>
          <cell r="H143">
            <v>2</v>
          </cell>
          <cell r="I143" t="str">
            <v>--</v>
          </cell>
          <cell r="J143">
            <v>16.899999999999999</v>
          </cell>
          <cell r="K143">
            <v>18.600000000000001</v>
          </cell>
        </row>
        <row r="144">
          <cell r="A144" t="str">
            <v>M1</v>
          </cell>
          <cell r="B144" t="str">
            <v>A5C</v>
          </cell>
          <cell r="C144" t="str">
            <v>P</v>
          </cell>
          <cell r="D144" t="str">
            <v>22004</v>
          </cell>
          <cell r="E144" t="str">
            <v>PIPE</v>
          </cell>
          <cell r="F144">
            <v>1</v>
          </cell>
          <cell r="G144" t="str">
            <v>CB100408000200</v>
          </cell>
          <cell r="H144">
            <v>2</v>
          </cell>
          <cell r="I144" t="str">
            <v>--</v>
          </cell>
          <cell r="J144">
            <v>17.899999999999999</v>
          </cell>
          <cell r="K144">
            <v>19.7</v>
          </cell>
        </row>
        <row r="145">
          <cell r="A145" t="str">
            <v>M1</v>
          </cell>
          <cell r="B145" t="str">
            <v>A5C</v>
          </cell>
          <cell r="C145" t="str">
            <v>N</v>
          </cell>
          <cell r="D145" t="str">
            <v>25617</v>
          </cell>
          <cell r="E145" t="str">
            <v>PIPE</v>
          </cell>
          <cell r="F145">
            <v>1</v>
          </cell>
          <cell r="G145" t="str">
            <v>CB100408000200</v>
          </cell>
          <cell r="H145">
            <v>2</v>
          </cell>
          <cell r="I145" t="str">
            <v>--</v>
          </cell>
          <cell r="J145">
            <v>18</v>
          </cell>
          <cell r="K145">
            <v>19.8</v>
          </cell>
        </row>
        <row r="146">
          <cell r="A146" t="str">
            <v>M1</v>
          </cell>
          <cell r="B146" t="str">
            <v>B2C</v>
          </cell>
          <cell r="C146" t="str">
            <v>SH</v>
          </cell>
          <cell r="D146" t="str">
            <v>22612</v>
          </cell>
          <cell r="E146" t="str">
            <v>PIPE</v>
          </cell>
          <cell r="F146">
            <v>1</v>
          </cell>
          <cell r="G146" t="str">
            <v>CB100408000200</v>
          </cell>
          <cell r="H146">
            <v>2</v>
          </cell>
          <cell r="I146" t="str">
            <v>--</v>
          </cell>
          <cell r="J146">
            <v>27.7</v>
          </cell>
          <cell r="K146">
            <v>30.5</v>
          </cell>
        </row>
        <row r="147">
          <cell r="A147" t="str">
            <v>M1</v>
          </cell>
          <cell r="B147" t="str">
            <v>A6C</v>
          </cell>
          <cell r="C147" t="str">
            <v>HOS</v>
          </cell>
          <cell r="D147" t="str">
            <v>65624</v>
          </cell>
          <cell r="E147" t="str">
            <v>PIPE</v>
          </cell>
          <cell r="F147">
            <v>1</v>
          </cell>
          <cell r="G147" t="str">
            <v>CB100408000200</v>
          </cell>
          <cell r="H147">
            <v>2</v>
          </cell>
          <cell r="I147" t="str">
            <v>--</v>
          </cell>
          <cell r="J147">
            <v>28</v>
          </cell>
          <cell r="K147">
            <v>30.8</v>
          </cell>
        </row>
        <row r="148">
          <cell r="A148" t="str">
            <v>M1</v>
          </cell>
          <cell r="B148" t="str">
            <v>A6C</v>
          </cell>
          <cell r="C148" t="str">
            <v>HOS</v>
          </cell>
          <cell r="D148" t="str">
            <v>65624</v>
          </cell>
          <cell r="E148" t="str">
            <v>PIPE</v>
          </cell>
          <cell r="F148">
            <v>1</v>
          </cell>
          <cell r="G148" t="str">
            <v>CB100408000200</v>
          </cell>
          <cell r="H148">
            <v>2</v>
          </cell>
          <cell r="I148" t="str">
            <v>--</v>
          </cell>
          <cell r="J148">
            <v>28</v>
          </cell>
          <cell r="K148">
            <v>30.8</v>
          </cell>
        </row>
        <row r="149">
          <cell r="A149" t="str">
            <v>M1</v>
          </cell>
          <cell r="B149" t="str">
            <v>A6C</v>
          </cell>
          <cell r="C149" t="str">
            <v>HOR</v>
          </cell>
          <cell r="D149" t="str">
            <v>65611</v>
          </cell>
          <cell r="E149" t="str">
            <v>PIPE</v>
          </cell>
          <cell r="F149">
            <v>1</v>
          </cell>
          <cell r="G149" t="str">
            <v>CB100408000200</v>
          </cell>
          <cell r="H149">
            <v>2</v>
          </cell>
          <cell r="I149" t="str">
            <v>--</v>
          </cell>
          <cell r="J149">
            <v>28</v>
          </cell>
          <cell r="K149">
            <v>30.8</v>
          </cell>
        </row>
        <row r="150">
          <cell r="A150" t="str">
            <v>M1</v>
          </cell>
          <cell r="B150" t="str">
            <v>A6C</v>
          </cell>
          <cell r="C150" t="str">
            <v>HOR</v>
          </cell>
          <cell r="D150" t="str">
            <v>65611</v>
          </cell>
          <cell r="E150" t="str">
            <v>PIPE</v>
          </cell>
          <cell r="F150">
            <v>1</v>
          </cell>
          <cell r="G150" t="str">
            <v>CB100408000200</v>
          </cell>
          <cell r="H150">
            <v>2</v>
          </cell>
          <cell r="I150" t="str">
            <v>--</v>
          </cell>
          <cell r="J150">
            <v>28</v>
          </cell>
          <cell r="K150">
            <v>30.8</v>
          </cell>
        </row>
        <row r="151">
          <cell r="A151" t="str">
            <v>M1</v>
          </cell>
          <cell r="B151" t="str">
            <v>A6C</v>
          </cell>
          <cell r="C151" t="str">
            <v>HOS</v>
          </cell>
          <cell r="D151" t="str">
            <v>65620</v>
          </cell>
          <cell r="E151" t="str">
            <v>PIPE</v>
          </cell>
          <cell r="F151">
            <v>1</v>
          </cell>
          <cell r="G151" t="str">
            <v>CB100408000200</v>
          </cell>
          <cell r="H151">
            <v>2</v>
          </cell>
          <cell r="I151" t="str">
            <v>--</v>
          </cell>
          <cell r="J151">
            <v>29.9</v>
          </cell>
          <cell r="K151">
            <v>32.9</v>
          </cell>
        </row>
        <row r="152">
          <cell r="A152" t="str">
            <v>M1</v>
          </cell>
          <cell r="B152" t="str">
            <v>CA304</v>
          </cell>
          <cell r="C152" t="str">
            <v>MC</v>
          </cell>
          <cell r="D152" t="str">
            <v>12014</v>
          </cell>
          <cell r="E152" t="str">
            <v>PIPE</v>
          </cell>
          <cell r="F152">
            <v>1</v>
          </cell>
          <cell r="G152" t="str">
            <v>CB100405000200</v>
          </cell>
          <cell r="H152">
            <v>2</v>
          </cell>
          <cell r="I152" t="str">
            <v>--</v>
          </cell>
          <cell r="J152">
            <v>49.5</v>
          </cell>
          <cell r="K152">
            <v>54.5</v>
          </cell>
        </row>
        <row r="153">
          <cell r="A153" t="str">
            <v>M1</v>
          </cell>
          <cell r="B153" t="str">
            <v>A5C</v>
          </cell>
          <cell r="C153" t="str">
            <v>P</v>
          </cell>
          <cell r="D153" t="str">
            <v>22062</v>
          </cell>
          <cell r="E153" t="str">
            <v>PIPE</v>
          </cell>
          <cell r="F153">
            <v>1</v>
          </cell>
          <cell r="G153" t="str">
            <v>CB100404000300</v>
          </cell>
          <cell r="H153">
            <v>3</v>
          </cell>
          <cell r="I153" t="str">
            <v>--</v>
          </cell>
          <cell r="J153">
            <v>0.1</v>
          </cell>
          <cell r="K153">
            <v>0.2</v>
          </cell>
        </row>
        <row r="154">
          <cell r="A154" t="str">
            <v>M1</v>
          </cell>
          <cell r="B154" t="str">
            <v>A5C</v>
          </cell>
          <cell r="C154" t="str">
            <v>P</v>
          </cell>
          <cell r="D154" t="str">
            <v>22073</v>
          </cell>
          <cell r="E154" t="str">
            <v>PIPE</v>
          </cell>
          <cell r="F154">
            <v>1</v>
          </cell>
          <cell r="G154" t="str">
            <v>CB100404000300</v>
          </cell>
          <cell r="H154">
            <v>3</v>
          </cell>
          <cell r="I154" t="str">
            <v>--</v>
          </cell>
          <cell r="J154">
            <v>0.1</v>
          </cell>
          <cell r="K154">
            <v>0.2</v>
          </cell>
        </row>
        <row r="155">
          <cell r="A155" t="str">
            <v>M1</v>
          </cell>
          <cell r="B155" t="str">
            <v>B2C</v>
          </cell>
          <cell r="C155" t="str">
            <v>SH</v>
          </cell>
          <cell r="D155" t="str">
            <v>22612</v>
          </cell>
          <cell r="E155" t="str">
            <v>PIPE</v>
          </cell>
          <cell r="F155">
            <v>1</v>
          </cell>
          <cell r="G155" t="str">
            <v>CB100404000300</v>
          </cell>
          <cell r="H155">
            <v>3</v>
          </cell>
          <cell r="I155" t="str">
            <v>--</v>
          </cell>
          <cell r="J155">
            <v>0.5</v>
          </cell>
          <cell r="K155">
            <v>0.6</v>
          </cell>
        </row>
        <row r="156">
          <cell r="A156" t="str">
            <v>M1</v>
          </cell>
          <cell r="B156" t="str">
            <v>A5C</v>
          </cell>
          <cell r="C156" t="str">
            <v>TRIM</v>
          </cell>
          <cell r="D156" t="str">
            <v>V-2216B</v>
          </cell>
          <cell r="E156" t="str">
            <v>PIPE</v>
          </cell>
          <cell r="F156">
            <v>1</v>
          </cell>
          <cell r="G156" t="str">
            <v>CB100404000300</v>
          </cell>
          <cell r="H156">
            <v>3</v>
          </cell>
          <cell r="I156" t="str">
            <v>--</v>
          </cell>
          <cell r="J156">
            <v>0.5</v>
          </cell>
          <cell r="K156">
            <v>0.6</v>
          </cell>
        </row>
        <row r="157">
          <cell r="A157" t="str">
            <v>M1</v>
          </cell>
          <cell r="B157" t="str">
            <v>A5C</v>
          </cell>
          <cell r="C157" t="str">
            <v>TRIM</v>
          </cell>
          <cell r="D157" t="str">
            <v>V-2216A</v>
          </cell>
          <cell r="E157" t="str">
            <v>PIPE</v>
          </cell>
          <cell r="F157">
            <v>1</v>
          </cell>
          <cell r="G157" t="str">
            <v>CB100404000300</v>
          </cell>
          <cell r="H157">
            <v>3</v>
          </cell>
          <cell r="I157" t="str">
            <v>--</v>
          </cell>
          <cell r="J157">
            <v>0.5</v>
          </cell>
          <cell r="K157">
            <v>0.6</v>
          </cell>
        </row>
        <row r="158">
          <cell r="A158" t="str">
            <v>M1</v>
          </cell>
          <cell r="B158" t="str">
            <v>A5C</v>
          </cell>
          <cell r="C158" t="str">
            <v>P</v>
          </cell>
          <cell r="D158" t="str">
            <v>25002</v>
          </cell>
          <cell r="E158" t="str">
            <v>PIPE</v>
          </cell>
          <cell r="F158">
            <v>1</v>
          </cell>
          <cell r="G158" t="str">
            <v>CB100404000300</v>
          </cell>
          <cell r="H158">
            <v>3</v>
          </cell>
          <cell r="I158" t="str">
            <v>--</v>
          </cell>
          <cell r="J158">
            <v>1</v>
          </cell>
          <cell r="K158">
            <v>1.1000000000000001</v>
          </cell>
        </row>
        <row r="159">
          <cell r="A159" t="str">
            <v>M1</v>
          </cell>
          <cell r="B159" t="str">
            <v>A6C</v>
          </cell>
          <cell r="C159" t="str">
            <v>HOR</v>
          </cell>
          <cell r="D159" t="str">
            <v>65621</v>
          </cell>
          <cell r="E159" t="str">
            <v>PIPE</v>
          </cell>
          <cell r="F159">
            <v>1</v>
          </cell>
          <cell r="G159" t="str">
            <v>CB100404000300</v>
          </cell>
          <cell r="H159">
            <v>3</v>
          </cell>
          <cell r="I159" t="str">
            <v>--</v>
          </cell>
          <cell r="J159">
            <v>1.5</v>
          </cell>
          <cell r="K159">
            <v>1.7</v>
          </cell>
        </row>
        <row r="160">
          <cell r="A160" t="str">
            <v>M1</v>
          </cell>
          <cell r="B160" t="str">
            <v>A5C</v>
          </cell>
          <cell r="C160" t="str">
            <v>P</v>
          </cell>
          <cell r="D160" t="str">
            <v>22133</v>
          </cell>
          <cell r="E160" t="str">
            <v>PIPE</v>
          </cell>
          <cell r="F160">
            <v>1</v>
          </cell>
          <cell r="G160" t="str">
            <v>CB100404000300</v>
          </cell>
          <cell r="H160">
            <v>3</v>
          </cell>
          <cell r="I160" t="str">
            <v>--</v>
          </cell>
          <cell r="J160">
            <v>1.8</v>
          </cell>
          <cell r="K160">
            <v>2</v>
          </cell>
        </row>
        <row r="161">
          <cell r="A161" t="str">
            <v>M1</v>
          </cell>
          <cell r="B161" t="str">
            <v>A5C</v>
          </cell>
          <cell r="C161" t="str">
            <v>P</v>
          </cell>
          <cell r="D161" t="str">
            <v>22096</v>
          </cell>
          <cell r="E161" t="str">
            <v>PIPE</v>
          </cell>
          <cell r="F161">
            <v>1</v>
          </cell>
          <cell r="G161" t="str">
            <v>CB100404000300</v>
          </cell>
          <cell r="H161">
            <v>3</v>
          </cell>
          <cell r="I161" t="str">
            <v>--</v>
          </cell>
          <cell r="J161">
            <v>1.9</v>
          </cell>
          <cell r="K161">
            <v>2.1</v>
          </cell>
        </row>
        <row r="162">
          <cell r="A162" t="str">
            <v>M1</v>
          </cell>
          <cell r="B162" t="str">
            <v>A5C</v>
          </cell>
          <cell r="C162" t="str">
            <v>P</v>
          </cell>
          <cell r="D162" t="str">
            <v>22090</v>
          </cell>
          <cell r="E162" t="str">
            <v>PIPE</v>
          </cell>
          <cell r="F162">
            <v>1</v>
          </cell>
          <cell r="G162" t="str">
            <v>CB100404000300</v>
          </cell>
          <cell r="H162">
            <v>3</v>
          </cell>
          <cell r="I162" t="str">
            <v>--</v>
          </cell>
          <cell r="J162">
            <v>2.5</v>
          </cell>
          <cell r="K162">
            <v>2.8</v>
          </cell>
        </row>
        <row r="163">
          <cell r="A163" t="str">
            <v>M1</v>
          </cell>
          <cell r="B163" t="str">
            <v>A6C</v>
          </cell>
          <cell r="C163" t="str">
            <v>TRIM</v>
          </cell>
          <cell r="D163" t="str">
            <v>V-6501</v>
          </cell>
          <cell r="E163" t="str">
            <v>PIPE</v>
          </cell>
          <cell r="F163">
            <v>1</v>
          </cell>
          <cell r="G163" t="str">
            <v>CB100404000300</v>
          </cell>
          <cell r="H163">
            <v>3</v>
          </cell>
          <cell r="I163" t="str">
            <v>--</v>
          </cell>
          <cell r="J163">
            <v>2.5</v>
          </cell>
          <cell r="K163">
            <v>2.8</v>
          </cell>
        </row>
        <row r="164">
          <cell r="A164" t="str">
            <v>M1</v>
          </cell>
          <cell r="B164" t="str">
            <v>A5C</v>
          </cell>
          <cell r="C164" t="str">
            <v>TRIM</v>
          </cell>
          <cell r="D164" t="str">
            <v>C-2201</v>
          </cell>
          <cell r="E164" t="str">
            <v>PIPE</v>
          </cell>
          <cell r="F164">
            <v>1</v>
          </cell>
          <cell r="G164" t="str">
            <v>CB100404000300</v>
          </cell>
          <cell r="H164">
            <v>3</v>
          </cell>
          <cell r="I164" t="str">
            <v>--</v>
          </cell>
          <cell r="J164">
            <v>2.5</v>
          </cell>
          <cell r="K164">
            <v>2.8</v>
          </cell>
        </row>
        <row r="165">
          <cell r="A165" t="str">
            <v>M1</v>
          </cell>
          <cell r="B165" t="str">
            <v>A5C</v>
          </cell>
          <cell r="C165" t="str">
            <v>P</v>
          </cell>
          <cell r="D165" t="str">
            <v>22153</v>
          </cell>
          <cell r="E165" t="str">
            <v>PIPE</v>
          </cell>
          <cell r="F165">
            <v>1</v>
          </cell>
          <cell r="G165" t="str">
            <v>CB100404000300</v>
          </cell>
          <cell r="H165">
            <v>3</v>
          </cell>
          <cell r="I165" t="str">
            <v>--</v>
          </cell>
          <cell r="J165">
            <v>3.2</v>
          </cell>
          <cell r="K165">
            <v>3.6</v>
          </cell>
        </row>
        <row r="166">
          <cell r="A166" t="str">
            <v>M1</v>
          </cell>
          <cell r="B166" t="str">
            <v>A5C</v>
          </cell>
          <cell r="C166" t="str">
            <v>P</v>
          </cell>
          <cell r="D166" t="str">
            <v>22118</v>
          </cell>
          <cell r="E166" t="str">
            <v>PIPE</v>
          </cell>
          <cell r="F166">
            <v>1</v>
          </cell>
          <cell r="G166" t="str">
            <v>CB100404000300</v>
          </cell>
          <cell r="H166">
            <v>3</v>
          </cell>
          <cell r="I166" t="str">
            <v>--</v>
          </cell>
          <cell r="J166">
            <v>3.5</v>
          </cell>
          <cell r="K166">
            <v>3.9</v>
          </cell>
        </row>
        <row r="167">
          <cell r="A167" t="str">
            <v>M1</v>
          </cell>
          <cell r="B167" t="str">
            <v>B2C</v>
          </cell>
          <cell r="C167" t="str">
            <v>TRIM</v>
          </cell>
          <cell r="D167" t="str">
            <v>V-2218</v>
          </cell>
          <cell r="E167" t="str">
            <v>PIPE</v>
          </cell>
          <cell r="F167">
            <v>1</v>
          </cell>
          <cell r="G167" t="str">
            <v>CB100404000300</v>
          </cell>
          <cell r="H167">
            <v>3</v>
          </cell>
          <cell r="I167" t="str">
            <v>--</v>
          </cell>
          <cell r="J167">
            <v>4</v>
          </cell>
          <cell r="K167">
            <v>4.4000000000000004</v>
          </cell>
        </row>
        <row r="168">
          <cell r="A168" t="str">
            <v>M1</v>
          </cell>
          <cell r="B168" t="str">
            <v>A5C</v>
          </cell>
          <cell r="C168" t="str">
            <v>P</v>
          </cell>
          <cell r="D168" t="str">
            <v>22025</v>
          </cell>
          <cell r="E168" t="str">
            <v>PIPE</v>
          </cell>
          <cell r="F168">
            <v>1</v>
          </cell>
          <cell r="G168" t="str">
            <v>CB100404000300</v>
          </cell>
          <cell r="H168">
            <v>3</v>
          </cell>
          <cell r="I168" t="str">
            <v>--</v>
          </cell>
          <cell r="J168">
            <v>4</v>
          </cell>
          <cell r="K168">
            <v>4.4000000000000004</v>
          </cell>
        </row>
        <row r="169">
          <cell r="A169" t="str">
            <v>M1</v>
          </cell>
          <cell r="B169" t="str">
            <v>A5C</v>
          </cell>
          <cell r="C169" t="str">
            <v>P</v>
          </cell>
          <cell r="D169" t="str">
            <v>22130</v>
          </cell>
          <cell r="E169" t="str">
            <v>PIPE</v>
          </cell>
          <cell r="F169">
            <v>1</v>
          </cell>
          <cell r="G169" t="str">
            <v>CB100404000300</v>
          </cell>
          <cell r="H169">
            <v>3</v>
          </cell>
          <cell r="I169" t="str">
            <v>--</v>
          </cell>
          <cell r="J169">
            <v>4</v>
          </cell>
          <cell r="K169">
            <v>4.4000000000000004</v>
          </cell>
        </row>
        <row r="170">
          <cell r="A170" t="str">
            <v>M1</v>
          </cell>
          <cell r="B170" t="str">
            <v>A5C</v>
          </cell>
          <cell r="C170" t="str">
            <v>P</v>
          </cell>
          <cell r="D170" t="str">
            <v>22140</v>
          </cell>
          <cell r="E170" t="str">
            <v>PIPE</v>
          </cell>
          <cell r="F170">
            <v>1</v>
          </cell>
          <cell r="G170" t="str">
            <v>CB100404000300</v>
          </cell>
          <cell r="H170">
            <v>3</v>
          </cell>
          <cell r="I170" t="str">
            <v>--</v>
          </cell>
          <cell r="J170">
            <v>4</v>
          </cell>
          <cell r="K170">
            <v>4.4000000000000004</v>
          </cell>
        </row>
        <row r="171">
          <cell r="A171" t="str">
            <v>M1</v>
          </cell>
          <cell r="B171" t="str">
            <v>A5C</v>
          </cell>
          <cell r="C171" t="str">
            <v>P</v>
          </cell>
          <cell r="D171" t="str">
            <v>22134</v>
          </cell>
          <cell r="E171" t="str">
            <v>PIPE</v>
          </cell>
          <cell r="F171">
            <v>1</v>
          </cell>
          <cell r="G171" t="str">
            <v>CB100404000300</v>
          </cell>
          <cell r="H171">
            <v>3</v>
          </cell>
          <cell r="I171" t="str">
            <v>--</v>
          </cell>
          <cell r="J171">
            <v>4</v>
          </cell>
          <cell r="K171">
            <v>4.4000000000000004</v>
          </cell>
        </row>
        <row r="172">
          <cell r="A172" t="str">
            <v>M1</v>
          </cell>
          <cell r="B172" t="str">
            <v>A5C</v>
          </cell>
          <cell r="C172" t="str">
            <v>P</v>
          </cell>
          <cell r="D172" t="str">
            <v>22061</v>
          </cell>
          <cell r="E172" t="str">
            <v>PIPE</v>
          </cell>
          <cell r="F172">
            <v>1</v>
          </cell>
          <cell r="G172" t="str">
            <v>CB100404000300</v>
          </cell>
          <cell r="H172">
            <v>3</v>
          </cell>
          <cell r="I172" t="str">
            <v>--</v>
          </cell>
          <cell r="J172">
            <v>4</v>
          </cell>
          <cell r="K172">
            <v>4.4000000000000004</v>
          </cell>
        </row>
        <row r="173">
          <cell r="A173" t="str">
            <v>M1</v>
          </cell>
          <cell r="B173" t="str">
            <v>A5C</v>
          </cell>
          <cell r="C173" t="str">
            <v>TRIM</v>
          </cell>
          <cell r="D173" t="str">
            <v>V-2211</v>
          </cell>
          <cell r="E173" t="str">
            <v>PIPE</v>
          </cell>
          <cell r="F173">
            <v>1</v>
          </cell>
          <cell r="G173" t="str">
            <v>CB100404000300</v>
          </cell>
          <cell r="H173">
            <v>3</v>
          </cell>
          <cell r="I173" t="str">
            <v>--</v>
          </cell>
          <cell r="J173">
            <v>4.5</v>
          </cell>
          <cell r="K173">
            <v>5</v>
          </cell>
        </row>
        <row r="174">
          <cell r="A174" t="str">
            <v>M1</v>
          </cell>
          <cell r="B174" t="str">
            <v>A6C</v>
          </cell>
          <cell r="C174" t="str">
            <v>HOR</v>
          </cell>
          <cell r="D174" t="str">
            <v>65813</v>
          </cell>
          <cell r="E174" t="str">
            <v>PIPE</v>
          </cell>
          <cell r="F174">
            <v>1</v>
          </cell>
          <cell r="G174" t="str">
            <v>CB100404000300</v>
          </cell>
          <cell r="H174">
            <v>3</v>
          </cell>
          <cell r="I174" t="str">
            <v>--</v>
          </cell>
          <cell r="J174">
            <v>6</v>
          </cell>
          <cell r="K174">
            <v>6.6</v>
          </cell>
        </row>
        <row r="175">
          <cell r="A175" t="str">
            <v>M1</v>
          </cell>
          <cell r="B175" t="str">
            <v>A6C</v>
          </cell>
          <cell r="C175" t="str">
            <v>HOS</v>
          </cell>
          <cell r="D175" t="str">
            <v>65634</v>
          </cell>
          <cell r="E175" t="str">
            <v>PIPE</v>
          </cell>
          <cell r="F175">
            <v>1</v>
          </cell>
          <cell r="G175" t="str">
            <v>CB100404000300</v>
          </cell>
          <cell r="H175">
            <v>3</v>
          </cell>
          <cell r="I175" t="str">
            <v>--</v>
          </cell>
          <cell r="J175">
            <v>6</v>
          </cell>
          <cell r="K175">
            <v>6.6</v>
          </cell>
        </row>
        <row r="176">
          <cell r="A176" t="str">
            <v>M1</v>
          </cell>
          <cell r="B176" t="str">
            <v>A5C</v>
          </cell>
          <cell r="C176" t="str">
            <v>P</v>
          </cell>
          <cell r="D176" t="str">
            <v>22092</v>
          </cell>
          <cell r="E176" t="str">
            <v>PIPE</v>
          </cell>
          <cell r="F176">
            <v>1</v>
          </cell>
          <cell r="G176" t="str">
            <v>CB100404000300</v>
          </cell>
          <cell r="H176">
            <v>3</v>
          </cell>
          <cell r="I176" t="str">
            <v>--</v>
          </cell>
          <cell r="J176">
            <v>6.5</v>
          </cell>
          <cell r="K176">
            <v>7.2</v>
          </cell>
        </row>
        <row r="177">
          <cell r="A177" t="str">
            <v>M1</v>
          </cell>
          <cell r="B177" t="str">
            <v>A5C</v>
          </cell>
          <cell r="C177" t="str">
            <v>P</v>
          </cell>
          <cell r="D177" t="str">
            <v>22095</v>
          </cell>
          <cell r="E177" t="str">
            <v>PIPE</v>
          </cell>
          <cell r="F177">
            <v>1</v>
          </cell>
          <cell r="G177" t="str">
            <v>CB100404000300</v>
          </cell>
          <cell r="H177">
            <v>3</v>
          </cell>
          <cell r="I177" t="str">
            <v>--</v>
          </cell>
          <cell r="J177">
            <v>6.8</v>
          </cell>
          <cell r="K177">
            <v>7.5</v>
          </cell>
        </row>
        <row r="178">
          <cell r="A178" t="str">
            <v>M1</v>
          </cell>
          <cell r="B178" t="str">
            <v>A5C</v>
          </cell>
          <cell r="C178" t="str">
            <v>P</v>
          </cell>
          <cell r="D178" t="str">
            <v>22094</v>
          </cell>
          <cell r="E178" t="str">
            <v>PIPE</v>
          </cell>
          <cell r="F178">
            <v>1</v>
          </cell>
          <cell r="G178" t="str">
            <v>CB100404000300</v>
          </cell>
          <cell r="H178">
            <v>3</v>
          </cell>
          <cell r="I178" t="str">
            <v>--</v>
          </cell>
          <cell r="J178">
            <v>6.8</v>
          </cell>
          <cell r="K178">
            <v>7.5</v>
          </cell>
        </row>
        <row r="179">
          <cell r="A179" t="str">
            <v>M1</v>
          </cell>
          <cell r="B179" t="str">
            <v>A5C</v>
          </cell>
          <cell r="C179" t="str">
            <v>P</v>
          </cell>
          <cell r="D179" t="str">
            <v>22089</v>
          </cell>
          <cell r="E179" t="str">
            <v>PIPE</v>
          </cell>
          <cell r="F179">
            <v>1</v>
          </cell>
          <cell r="G179" t="str">
            <v>CB100404000300</v>
          </cell>
          <cell r="H179">
            <v>3</v>
          </cell>
          <cell r="I179" t="str">
            <v>--</v>
          </cell>
          <cell r="J179">
            <v>6.8</v>
          </cell>
          <cell r="K179">
            <v>7.5</v>
          </cell>
        </row>
        <row r="180">
          <cell r="A180" t="str">
            <v>M1</v>
          </cell>
          <cell r="B180" t="str">
            <v>A5C</v>
          </cell>
          <cell r="C180" t="str">
            <v>P</v>
          </cell>
          <cell r="D180" t="str">
            <v>22091</v>
          </cell>
          <cell r="E180" t="str">
            <v>PIPE</v>
          </cell>
          <cell r="F180">
            <v>1</v>
          </cell>
          <cell r="G180" t="str">
            <v>CB100404000300</v>
          </cell>
          <cell r="H180">
            <v>3</v>
          </cell>
          <cell r="I180" t="str">
            <v>--</v>
          </cell>
          <cell r="J180">
            <v>7.7</v>
          </cell>
          <cell r="K180">
            <v>8.5</v>
          </cell>
        </row>
        <row r="181">
          <cell r="A181" t="str">
            <v>M1</v>
          </cell>
          <cell r="B181" t="str">
            <v>A5C</v>
          </cell>
          <cell r="C181" t="str">
            <v>P</v>
          </cell>
          <cell r="D181" t="str">
            <v>22090</v>
          </cell>
          <cell r="E181" t="str">
            <v>PIPE</v>
          </cell>
          <cell r="F181">
            <v>1</v>
          </cell>
          <cell r="G181" t="str">
            <v>CB100404000300</v>
          </cell>
          <cell r="H181">
            <v>3</v>
          </cell>
          <cell r="I181" t="str">
            <v>--</v>
          </cell>
          <cell r="J181">
            <v>8.1999999999999993</v>
          </cell>
          <cell r="K181">
            <v>9.1</v>
          </cell>
        </row>
        <row r="182">
          <cell r="A182" t="str">
            <v>M1</v>
          </cell>
          <cell r="B182" t="str">
            <v>A5C</v>
          </cell>
          <cell r="C182" t="str">
            <v>P</v>
          </cell>
          <cell r="D182" t="str">
            <v>22004</v>
          </cell>
          <cell r="E182" t="str">
            <v>PIPE</v>
          </cell>
          <cell r="F182">
            <v>1</v>
          </cell>
          <cell r="G182" t="str">
            <v>CB100404000300</v>
          </cell>
          <cell r="H182">
            <v>3</v>
          </cell>
          <cell r="I182" t="str">
            <v>--</v>
          </cell>
          <cell r="J182">
            <v>8.5</v>
          </cell>
          <cell r="K182">
            <v>9.4</v>
          </cell>
        </row>
        <row r="183">
          <cell r="A183" t="str">
            <v>M1</v>
          </cell>
          <cell r="B183" t="str">
            <v>A5C</v>
          </cell>
          <cell r="C183" t="str">
            <v>P</v>
          </cell>
          <cell r="D183" t="str">
            <v>22005</v>
          </cell>
          <cell r="E183" t="str">
            <v>PIPE</v>
          </cell>
          <cell r="F183">
            <v>1</v>
          </cell>
          <cell r="G183" t="str">
            <v>CB100404000300</v>
          </cell>
          <cell r="H183">
            <v>3</v>
          </cell>
          <cell r="I183" t="str">
            <v>--</v>
          </cell>
          <cell r="J183">
            <v>8.6</v>
          </cell>
          <cell r="K183">
            <v>9.5</v>
          </cell>
        </row>
        <row r="184">
          <cell r="A184" t="str">
            <v>M1</v>
          </cell>
          <cell r="B184" t="str">
            <v>A5C</v>
          </cell>
          <cell r="C184" t="str">
            <v>P</v>
          </cell>
          <cell r="D184" t="str">
            <v>22093</v>
          </cell>
          <cell r="E184" t="str">
            <v>PIPE</v>
          </cell>
          <cell r="F184">
            <v>1</v>
          </cell>
          <cell r="G184" t="str">
            <v>CB100404000300</v>
          </cell>
          <cell r="H184">
            <v>3</v>
          </cell>
          <cell r="I184" t="str">
            <v>--</v>
          </cell>
          <cell r="J184">
            <v>9</v>
          </cell>
          <cell r="K184">
            <v>9.9</v>
          </cell>
        </row>
        <row r="185">
          <cell r="A185" t="str">
            <v>M1</v>
          </cell>
          <cell r="B185" t="str">
            <v>A6C</v>
          </cell>
          <cell r="C185" t="str">
            <v>HOS</v>
          </cell>
          <cell r="D185" t="str">
            <v>65612</v>
          </cell>
          <cell r="E185" t="str">
            <v>PIPE</v>
          </cell>
          <cell r="F185">
            <v>1</v>
          </cell>
          <cell r="G185" t="str">
            <v>CB100404000300</v>
          </cell>
          <cell r="H185">
            <v>3</v>
          </cell>
          <cell r="I185" t="str">
            <v>--</v>
          </cell>
          <cell r="J185">
            <v>9</v>
          </cell>
          <cell r="K185">
            <v>9.9</v>
          </cell>
        </row>
        <row r="186">
          <cell r="A186" t="str">
            <v>M1</v>
          </cell>
          <cell r="B186" t="str">
            <v>A5C</v>
          </cell>
          <cell r="C186" t="str">
            <v>P</v>
          </cell>
          <cell r="D186" t="str">
            <v>22003</v>
          </cell>
          <cell r="E186" t="str">
            <v>PIPE</v>
          </cell>
          <cell r="F186">
            <v>1</v>
          </cell>
          <cell r="G186" t="str">
            <v>CB100404000300</v>
          </cell>
          <cell r="H186">
            <v>3</v>
          </cell>
          <cell r="I186" t="str">
            <v>--</v>
          </cell>
          <cell r="J186">
            <v>11</v>
          </cell>
          <cell r="K186">
            <v>12.1</v>
          </cell>
        </row>
        <row r="187">
          <cell r="A187" t="str">
            <v>M1</v>
          </cell>
          <cell r="B187" t="str">
            <v>A4C</v>
          </cell>
          <cell r="C187" t="str">
            <v>P</v>
          </cell>
          <cell r="D187" t="str">
            <v>22003</v>
          </cell>
          <cell r="E187" t="str">
            <v>PIPE</v>
          </cell>
          <cell r="F187">
            <v>1</v>
          </cell>
          <cell r="G187" t="str">
            <v>CB110404000300</v>
          </cell>
          <cell r="H187">
            <v>3</v>
          </cell>
          <cell r="I187" t="str">
            <v>--</v>
          </cell>
          <cell r="J187">
            <v>11.1</v>
          </cell>
          <cell r="K187">
            <v>12.3</v>
          </cell>
        </row>
        <row r="188">
          <cell r="A188" t="str">
            <v>M1</v>
          </cell>
          <cell r="B188" t="str">
            <v>A5C</v>
          </cell>
          <cell r="C188" t="str">
            <v>P</v>
          </cell>
          <cell r="D188" t="str">
            <v>22004</v>
          </cell>
          <cell r="E188" t="str">
            <v>PIPE</v>
          </cell>
          <cell r="F188">
            <v>1</v>
          </cell>
          <cell r="G188" t="str">
            <v>CB100404000300</v>
          </cell>
          <cell r="H188">
            <v>3</v>
          </cell>
          <cell r="I188" t="str">
            <v>--</v>
          </cell>
          <cell r="J188">
            <v>11.5</v>
          </cell>
          <cell r="K188">
            <v>12.7</v>
          </cell>
        </row>
        <row r="189">
          <cell r="A189" t="str">
            <v>M1</v>
          </cell>
          <cell r="B189" t="str">
            <v>B2C</v>
          </cell>
          <cell r="C189" t="str">
            <v>SH</v>
          </cell>
          <cell r="D189" t="str">
            <v>22625</v>
          </cell>
          <cell r="E189" t="str">
            <v>PIPE</v>
          </cell>
          <cell r="F189">
            <v>1</v>
          </cell>
          <cell r="G189" t="str">
            <v>CB100404000300</v>
          </cell>
          <cell r="H189">
            <v>3</v>
          </cell>
          <cell r="I189" t="str">
            <v>--</v>
          </cell>
          <cell r="J189">
            <v>12.5</v>
          </cell>
          <cell r="K189">
            <v>13.8</v>
          </cell>
        </row>
        <row r="190">
          <cell r="A190" t="str">
            <v>M1</v>
          </cell>
          <cell r="B190" t="str">
            <v>A5C</v>
          </cell>
          <cell r="C190" t="str">
            <v>P</v>
          </cell>
          <cell r="D190" t="str">
            <v>22026</v>
          </cell>
          <cell r="E190" t="str">
            <v>PIPE</v>
          </cell>
          <cell r="F190">
            <v>1</v>
          </cell>
          <cell r="G190" t="str">
            <v>CB100404000300</v>
          </cell>
          <cell r="H190">
            <v>3</v>
          </cell>
          <cell r="I190" t="str">
            <v>--</v>
          </cell>
          <cell r="J190">
            <v>14.1</v>
          </cell>
          <cell r="K190">
            <v>15.6</v>
          </cell>
        </row>
        <row r="191">
          <cell r="A191" t="str">
            <v>M1</v>
          </cell>
          <cell r="B191" t="str">
            <v>A5C</v>
          </cell>
          <cell r="C191" t="str">
            <v>P</v>
          </cell>
          <cell r="D191" t="str">
            <v>22088</v>
          </cell>
          <cell r="E191" t="str">
            <v>PIPE</v>
          </cell>
          <cell r="F191">
            <v>1</v>
          </cell>
          <cell r="G191" t="str">
            <v>CB100404000300</v>
          </cell>
          <cell r="H191">
            <v>3</v>
          </cell>
          <cell r="I191" t="str">
            <v>--</v>
          </cell>
          <cell r="J191">
            <v>15.1</v>
          </cell>
          <cell r="K191">
            <v>16.7</v>
          </cell>
        </row>
        <row r="192">
          <cell r="A192" t="str">
            <v>M1</v>
          </cell>
          <cell r="B192" t="str">
            <v>A5C</v>
          </cell>
          <cell r="C192" t="str">
            <v>P</v>
          </cell>
          <cell r="D192" t="str">
            <v>22081</v>
          </cell>
          <cell r="E192" t="str">
            <v>PIPE</v>
          </cell>
          <cell r="F192">
            <v>1</v>
          </cell>
          <cell r="G192" t="str">
            <v>CB100404000300</v>
          </cell>
          <cell r="H192">
            <v>3</v>
          </cell>
          <cell r="I192" t="str">
            <v>--</v>
          </cell>
          <cell r="J192">
            <v>15.2</v>
          </cell>
          <cell r="K192">
            <v>16.8</v>
          </cell>
        </row>
        <row r="193">
          <cell r="A193" t="str">
            <v>M1</v>
          </cell>
          <cell r="B193" t="str">
            <v>A5C</v>
          </cell>
          <cell r="C193" t="str">
            <v>P</v>
          </cell>
          <cell r="D193" t="str">
            <v>22100</v>
          </cell>
          <cell r="E193" t="str">
            <v>PIPE</v>
          </cell>
          <cell r="F193">
            <v>1</v>
          </cell>
          <cell r="G193" t="str">
            <v>CB100404000300</v>
          </cell>
          <cell r="H193">
            <v>3</v>
          </cell>
          <cell r="I193" t="str">
            <v>--</v>
          </cell>
          <cell r="J193">
            <v>15.5</v>
          </cell>
          <cell r="K193">
            <v>17.100000000000001</v>
          </cell>
        </row>
        <row r="194">
          <cell r="A194" t="str">
            <v>M1</v>
          </cell>
          <cell r="B194" t="str">
            <v>A5C</v>
          </cell>
          <cell r="C194" t="str">
            <v>P</v>
          </cell>
          <cell r="D194" t="str">
            <v>22001</v>
          </cell>
          <cell r="E194" t="str">
            <v>PIPE</v>
          </cell>
          <cell r="F194">
            <v>1</v>
          </cell>
          <cell r="G194" t="str">
            <v>CB100404000300</v>
          </cell>
          <cell r="H194">
            <v>3</v>
          </cell>
          <cell r="I194" t="str">
            <v>--</v>
          </cell>
          <cell r="J194">
            <v>37.200000000000003</v>
          </cell>
          <cell r="K194">
            <v>41</v>
          </cell>
        </row>
        <row r="195">
          <cell r="A195" t="str">
            <v>M1</v>
          </cell>
          <cell r="B195" t="str">
            <v>B2C</v>
          </cell>
          <cell r="C195" t="str">
            <v>SH</v>
          </cell>
          <cell r="D195" t="str">
            <v>22601</v>
          </cell>
          <cell r="E195" t="str">
            <v>PIPE</v>
          </cell>
          <cell r="F195">
            <v>1</v>
          </cell>
          <cell r="G195" t="str">
            <v>CB100404000300</v>
          </cell>
          <cell r="H195">
            <v>3</v>
          </cell>
          <cell r="I195" t="str">
            <v>--</v>
          </cell>
          <cell r="J195">
            <v>60.5</v>
          </cell>
          <cell r="K195">
            <v>66.599999999999994</v>
          </cell>
        </row>
        <row r="196">
          <cell r="A196" t="str">
            <v>M1</v>
          </cell>
          <cell r="B196" t="str">
            <v>A5C</v>
          </cell>
          <cell r="C196" t="str">
            <v>P</v>
          </cell>
          <cell r="D196" t="str">
            <v>22003</v>
          </cell>
          <cell r="E196" t="str">
            <v>PIPE</v>
          </cell>
          <cell r="F196">
            <v>1</v>
          </cell>
          <cell r="G196" t="str">
            <v>CB100404000400</v>
          </cell>
          <cell r="H196">
            <v>4</v>
          </cell>
          <cell r="I196" t="str">
            <v>--</v>
          </cell>
          <cell r="J196">
            <v>0.2</v>
          </cell>
          <cell r="K196">
            <v>0.3</v>
          </cell>
        </row>
        <row r="197">
          <cell r="A197" t="str">
            <v>M1</v>
          </cell>
          <cell r="B197" t="str">
            <v>A4C</v>
          </cell>
          <cell r="C197" t="str">
            <v>N</v>
          </cell>
          <cell r="D197" t="str">
            <v>22611</v>
          </cell>
          <cell r="E197" t="str">
            <v>PIPE</v>
          </cell>
          <cell r="F197">
            <v>1</v>
          </cell>
          <cell r="G197" t="str">
            <v>CB110404000400</v>
          </cell>
          <cell r="H197">
            <v>4</v>
          </cell>
          <cell r="I197" t="str">
            <v>--</v>
          </cell>
          <cell r="J197">
            <v>0.3</v>
          </cell>
          <cell r="K197">
            <v>0.4</v>
          </cell>
        </row>
        <row r="198">
          <cell r="A198" t="str">
            <v>M1</v>
          </cell>
          <cell r="B198" t="str">
            <v>A5C</v>
          </cell>
          <cell r="C198" t="str">
            <v>P</v>
          </cell>
          <cell r="D198" t="str">
            <v>22109</v>
          </cell>
          <cell r="E198" t="str">
            <v>PIPE</v>
          </cell>
          <cell r="F198">
            <v>1</v>
          </cell>
          <cell r="G198" t="str">
            <v>CB100404000400</v>
          </cell>
          <cell r="H198">
            <v>4</v>
          </cell>
          <cell r="I198" t="str">
            <v>--</v>
          </cell>
          <cell r="J198">
            <v>0.3</v>
          </cell>
          <cell r="K198">
            <v>0.4</v>
          </cell>
        </row>
        <row r="199">
          <cell r="A199" t="str">
            <v>M1</v>
          </cell>
          <cell r="B199" t="str">
            <v>A5C</v>
          </cell>
          <cell r="C199" t="str">
            <v>P</v>
          </cell>
          <cell r="D199" t="str">
            <v>22102</v>
          </cell>
          <cell r="E199" t="str">
            <v>PIPE</v>
          </cell>
          <cell r="F199">
            <v>1</v>
          </cell>
          <cell r="G199" t="str">
            <v>CB100404000400</v>
          </cell>
          <cell r="H199">
            <v>4</v>
          </cell>
          <cell r="I199" t="str">
            <v>--</v>
          </cell>
          <cell r="J199">
            <v>0.3</v>
          </cell>
          <cell r="K199">
            <v>0.4</v>
          </cell>
        </row>
        <row r="200">
          <cell r="A200" t="str">
            <v>M1</v>
          </cell>
          <cell r="B200" t="str">
            <v>A5C</v>
          </cell>
          <cell r="C200" t="str">
            <v>TRIM</v>
          </cell>
          <cell r="D200" t="str">
            <v>V-2211</v>
          </cell>
          <cell r="E200" t="str">
            <v>PIPE</v>
          </cell>
          <cell r="F200">
            <v>1</v>
          </cell>
          <cell r="G200" t="str">
            <v>CB100404000400</v>
          </cell>
          <cell r="H200">
            <v>4</v>
          </cell>
          <cell r="I200" t="str">
            <v>--</v>
          </cell>
          <cell r="J200">
            <v>1.5</v>
          </cell>
          <cell r="K200">
            <v>1.8</v>
          </cell>
        </row>
        <row r="201">
          <cell r="A201" t="str">
            <v>M1</v>
          </cell>
          <cell r="B201" t="str">
            <v>A5C</v>
          </cell>
          <cell r="C201" t="str">
            <v>TRIM</v>
          </cell>
          <cell r="D201" t="str">
            <v>X-2220</v>
          </cell>
          <cell r="E201" t="str">
            <v>PIPE</v>
          </cell>
          <cell r="F201">
            <v>1</v>
          </cell>
          <cell r="G201" t="str">
            <v>CB100404000400</v>
          </cell>
          <cell r="H201">
            <v>4</v>
          </cell>
          <cell r="I201" t="str">
            <v>--</v>
          </cell>
          <cell r="J201">
            <v>2.5</v>
          </cell>
          <cell r="K201">
            <v>3</v>
          </cell>
        </row>
        <row r="202">
          <cell r="A202" t="str">
            <v>M1</v>
          </cell>
          <cell r="B202" t="str">
            <v>A5C</v>
          </cell>
          <cell r="C202" t="str">
            <v>P</v>
          </cell>
          <cell r="D202" t="str">
            <v>22139</v>
          </cell>
          <cell r="E202" t="str">
            <v>PIPE</v>
          </cell>
          <cell r="F202">
            <v>1</v>
          </cell>
          <cell r="G202" t="str">
            <v>CB100404000400</v>
          </cell>
          <cell r="H202">
            <v>4</v>
          </cell>
          <cell r="I202" t="str">
            <v>--</v>
          </cell>
          <cell r="J202">
            <v>2.7</v>
          </cell>
          <cell r="K202">
            <v>3.3</v>
          </cell>
        </row>
        <row r="203">
          <cell r="A203" t="str">
            <v>M1</v>
          </cell>
          <cell r="B203" t="str">
            <v>A5C</v>
          </cell>
          <cell r="C203" t="str">
            <v>P</v>
          </cell>
          <cell r="D203" t="str">
            <v>22021</v>
          </cell>
          <cell r="E203" t="str">
            <v>PIPE</v>
          </cell>
          <cell r="F203">
            <v>1</v>
          </cell>
          <cell r="G203" t="str">
            <v>CB100404000400</v>
          </cell>
          <cell r="H203">
            <v>4</v>
          </cell>
          <cell r="I203" t="str">
            <v>--</v>
          </cell>
          <cell r="J203">
            <v>3</v>
          </cell>
          <cell r="K203">
            <v>3.6</v>
          </cell>
        </row>
        <row r="204">
          <cell r="A204" t="str">
            <v>M1</v>
          </cell>
          <cell r="B204" t="str">
            <v>A5C</v>
          </cell>
          <cell r="C204" t="str">
            <v>P</v>
          </cell>
          <cell r="D204" t="str">
            <v>22059</v>
          </cell>
          <cell r="E204" t="str">
            <v>PIPE</v>
          </cell>
          <cell r="F204">
            <v>1</v>
          </cell>
          <cell r="G204" t="str">
            <v>CB100404000400</v>
          </cell>
          <cell r="H204">
            <v>4</v>
          </cell>
          <cell r="I204" t="str">
            <v>--</v>
          </cell>
          <cell r="J204">
            <v>3</v>
          </cell>
          <cell r="K204">
            <v>3.6</v>
          </cell>
        </row>
        <row r="205">
          <cell r="A205" t="str">
            <v>M1</v>
          </cell>
          <cell r="B205" t="str">
            <v>A5C</v>
          </cell>
          <cell r="C205" t="str">
            <v>P</v>
          </cell>
          <cell r="D205" t="str">
            <v>22024</v>
          </cell>
          <cell r="E205" t="str">
            <v>PIPE</v>
          </cell>
          <cell r="F205">
            <v>1</v>
          </cell>
          <cell r="G205" t="str">
            <v>CB100404000400</v>
          </cell>
          <cell r="H205">
            <v>4</v>
          </cell>
          <cell r="I205" t="str">
            <v>--</v>
          </cell>
          <cell r="J205">
            <v>3.5</v>
          </cell>
          <cell r="K205">
            <v>4.2</v>
          </cell>
        </row>
        <row r="206">
          <cell r="A206" t="str">
            <v>M1</v>
          </cell>
          <cell r="B206" t="str">
            <v>A5C</v>
          </cell>
          <cell r="C206" t="str">
            <v>P</v>
          </cell>
          <cell r="D206" t="str">
            <v>22057</v>
          </cell>
          <cell r="E206" t="str">
            <v>PIPE</v>
          </cell>
          <cell r="F206">
            <v>1</v>
          </cell>
          <cell r="G206" t="str">
            <v>CB100404000400</v>
          </cell>
          <cell r="H206">
            <v>4</v>
          </cell>
          <cell r="I206" t="str">
            <v>--</v>
          </cell>
          <cell r="J206">
            <v>4.2</v>
          </cell>
          <cell r="K206">
            <v>5.0999999999999996</v>
          </cell>
        </row>
        <row r="207">
          <cell r="A207" t="str">
            <v>M1</v>
          </cell>
          <cell r="B207" t="str">
            <v>A5C</v>
          </cell>
          <cell r="C207" t="str">
            <v>WW</v>
          </cell>
          <cell r="D207" t="str">
            <v>22601</v>
          </cell>
          <cell r="E207" t="str">
            <v>PIPE</v>
          </cell>
          <cell r="F207">
            <v>1</v>
          </cell>
          <cell r="G207" t="str">
            <v>CB100404000400</v>
          </cell>
          <cell r="H207">
            <v>4</v>
          </cell>
          <cell r="I207" t="str">
            <v>--</v>
          </cell>
          <cell r="J207">
            <v>4.5999999999999996</v>
          </cell>
          <cell r="K207">
            <v>5.6</v>
          </cell>
        </row>
        <row r="208">
          <cell r="A208" t="str">
            <v>M1</v>
          </cell>
          <cell r="B208" t="str">
            <v>A5C</v>
          </cell>
          <cell r="C208" t="str">
            <v>P</v>
          </cell>
          <cell r="D208" t="str">
            <v>22098</v>
          </cell>
          <cell r="E208" t="str">
            <v>PIPE</v>
          </cell>
          <cell r="F208">
            <v>1</v>
          </cell>
          <cell r="G208" t="str">
            <v>CB100404000400</v>
          </cell>
          <cell r="H208">
            <v>4</v>
          </cell>
          <cell r="I208" t="str">
            <v>--</v>
          </cell>
          <cell r="J208">
            <v>5</v>
          </cell>
          <cell r="K208">
            <v>6</v>
          </cell>
        </row>
        <row r="209">
          <cell r="A209" t="str">
            <v>M1</v>
          </cell>
          <cell r="B209" t="str">
            <v>A5C</v>
          </cell>
          <cell r="C209" t="str">
            <v>COMP</v>
          </cell>
          <cell r="D209" t="str">
            <v>005</v>
          </cell>
          <cell r="E209" t="str">
            <v>PIPE</v>
          </cell>
          <cell r="F209">
            <v>1</v>
          </cell>
          <cell r="G209" t="str">
            <v>CB100404000400</v>
          </cell>
          <cell r="H209">
            <v>4</v>
          </cell>
          <cell r="I209" t="str">
            <v>--</v>
          </cell>
          <cell r="J209">
            <v>8</v>
          </cell>
          <cell r="K209">
            <v>9.6</v>
          </cell>
        </row>
        <row r="210">
          <cell r="A210" t="str">
            <v>M1</v>
          </cell>
          <cell r="B210" t="str">
            <v>B1C</v>
          </cell>
          <cell r="C210" t="str">
            <v>P</v>
          </cell>
          <cell r="D210" t="str">
            <v>22029</v>
          </cell>
          <cell r="E210" t="str">
            <v>PIPE</v>
          </cell>
          <cell r="F210">
            <v>1</v>
          </cell>
          <cell r="G210" t="str">
            <v>CB100404000400</v>
          </cell>
          <cell r="H210">
            <v>4</v>
          </cell>
          <cell r="I210" t="str">
            <v>--</v>
          </cell>
          <cell r="J210">
            <v>8.1999999999999993</v>
          </cell>
          <cell r="K210">
            <v>9.9</v>
          </cell>
        </row>
        <row r="211">
          <cell r="A211" t="str">
            <v>M1</v>
          </cell>
          <cell r="B211" t="str">
            <v>A5C</v>
          </cell>
          <cell r="C211" t="str">
            <v>P</v>
          </cell>
          <cell r="D211" t="str">
            <v>22099</v>
          </cell>
          <cell r="E211" t="str">
            <v>PIPE</v>
          </cell>
          <cell r="F211">
            <v>1</v>
          </cell>
          <cell r="G211" t="str">
            <v>CB100404000400</v>
          </cell>
          <cell r="H211">
            <v>4</v>
          </cell>
          <cell r="I211" t="str">
            <v>--</v>
          </cell>
          <cell r="J211">
            <v>9</v>
          </cell>
          <cell r="K211">
            <v>10.8</v>
          </cell>
        </row>
        <row r="212">
          <cell r="A212" t="str">
            <v>M1</v>
          </cell>
          <cell r="B212" t="str">
            <v>A6C</v>
          </cell>
          <cell r="C212" t="str">
            <v>HOS</v>
          </cell>
          <cell r="D212" t="str">
            <v>65634</v>
          </cell>
          <cell r="E212" t="str">
            <v>PIPE</v>
          </cell>
          <cell r="F212">
            <v>1</v>
          </cell>
          <cell r="G212" t="str">
            <v>CB100404000400</v>
          </cell>
          <cell r="H212">
            <v>4</v>
          </cell>
          <cell r="I212" t="str">
            <v>--</v>
          </cell>
          <cell r="J212">
            <v>10.3</v>
          </cell>
          <cell r="K212">
            <v>12.4</v>
          </cell>
        </row>
        <row r="213">
          <cell r="A213" t="str">
            <v>M1</v>
          </cell>
          <cell r="B213" t="str">
            <v>A6C</v>
          </cell>
          <cell r="C213" t="str">
            <v>HOR</v>
          </cell>
          <cell r="D213" t="str">
            <v>65813</v>
          </cell>
          <cell r="E213" t="str">
            <v>PIPE</v>
          </cell>
          <cell r="F213">
            <v>1</v>
          </cell>
          <cell r="G213" t="str">
            <v>CB100404000400</v>
          </cell>
          <cell r="H213">
            <v>4</v>
          </cell>
          <cell r="I213" t="str">
            <v>--</v>
          </cell>
          <cell r="J213">
            <v>10.3</v>
          </cell>
          <cell r="K213">
            <v>12.4</v>
          </cell>
        </row>
        <row r="214">
          <cell r="A214" t="str">
            <v>M1</v>
          </cell>
          <cell r="B214" t="str">
            <v>A6C</v>
          </cell>
          <cell r="C214" t="str">
            <v>HOS</v>
          </cell>
          <cell r="D214" t="str">
            <v>65614</v>
          </cell>
          <cell r="E214" t="str">
            <v>PIPE</v>
          </cell>
          <cell r="F214">
            <v>1</v>
          </cell>
          <cell r="G214" t="str">
            <v>CB100404000400</v>
          </cell>
          <cell r="H214">
            <v>4</v>
          </cell>
          <cell r="I214" t="str">
            <v>--</v>
          </cell>
          <cell r="J214">
            <v>10.3</v>
          </cell>
          <cell r="K214">
            <v>12.4</v>
          </cell>
        </row>
        <row r="215">
          <cell r="A215" t="str">
            <v>M1</v>
          </cell>
          <cell r="B215" t="str">
            <v>A5C</v>
          </cell>
          <cell r="C215" t="str">
            <v>P</v>
          </cell>
          <cell r="D215" t="str">
            <v>22082</v>
          </cell>
          <cell r="E215" t="str">
            <v>PIPE</v>
          </cell>
          <cell r="F215">
            <v>1</v>
          </cell>
          <cell r="G215" t="str">
            <v>CB100404000400</v>
          </cell>
          <cell r="H215">
            <v>4</v>
          </cell>
          <cell r="I215" t="str">
            <v>--</v>
          </cell>
          <cell r="J215">
            <v>11.3</v>
          </cell>
          <cell r="K215">
            <v>13.6</v>
          </cell>
        </row>
        <row r="216">
          <cell r="A216" t="str">
            <v>M1</v>
          </cell>
          <cell r="B216" t="str">
            <v>A5C</v>
          </cell>
          <cell r="C216" t="str">
            <v>P</v>
          </cell>
          <cell r="D216" t="str">
            <v>22069</v>
          </cell>
          <cell r="E216" t="str">
            <v>PIPE</v>
          </cell>
          <cell r="F216">
            <v>1</v>
          </cell>
          <cell r="G216" t="str">
            <v>CB100404000400</v>
          </cell>
          <cell r="H216">
            <v>4</v>
          </cell>
          <cell r="I216" t="str">
            <v>--</v>
          </cell>
          <cell r="J216">
            <v>12</v>
          </cell>
          <cell r="K216">
            <v>14.4</v>
          </cell>
        </row>
        <row r="217">
          <cell r="A217" t="str">
            <v>M1</v>
          </cell>
          <cell r="B217" t="str">
            <v>A4C</v>
          </cell>
          <cell r="C217" t="str">
            <v>P</v>
          </cell>
          <cell r="D217" t="str">
            <v>22009</v>
          </cell>
          <cell r="E217" t="str">
            <v>PIPE</v>
          </cell>
          <cell r="F217">
            <v>1</v>
          </cell>
          <cell r="G217" t="str">
            <v>CB110404000400</v>
          </cell>
          <cell r="H217">
            <v>4</v>
          </cell>
          <cell r="I217" t="str">
            <v>--</v>
          </cell>
          <cell r="J217">
            <v>19.8</v>
          </cell>
          <cell r="K217">
            <v>23.8</v>
          </cell>
        </row>
        <row r="218">
          <cell r="A218" t="str">
            <v>M1</v>
          </cell>
          <cell r="B218" t="str">
            <v>A5C</v>
          </cell>
          <cell r="C218" t="str">
            <v>WW</v>
          </cell>
          <cell r="D218" t="str">
            <v>22613</v>
          </cell>
          <cell r="E218" t="str">
            <v>PIPE</v>
          </cell>
          <cell r="F218">
            <v>1</v>
          </cell>
          <cell r="G218" t="str">
            <v>CB100404000400</v>
          </cell>
          <cell r="H218">
            <v>4</v>
          </cell>
          <cell r="I218" t="str">
            <v>--</v>
          </cell>
          <cell r="J218">
            <v>22</v>
          </cell>
          <cell r="K218">
            <v>26.4</v>
          </cell>
        </row>
        <row r="219">
          <cell r="A219" t="str">
            <v>M1</v>
          </cell>
          <cell r="B219" t="str">
            <v>A5C</v>
          </cell>
          <cell r="C219" t="str">
            <v>P</v>
          </cell>
          <cell r="D219" t="str">
            <v>22094</v>
          </cell>
          <cell r="E219" t="str">
            <v>PIPE</v>
          </cell>
          <cell r="F219">
            <v>1</v>
          </cell>
          <cell r="G219" t="str">
            <v>CB100404000400</v>
          </cell>
          <cell r="H219">
            <v>4</v>
          </cell>
          <cell r="I219" t="str">
            <v>--</v>
          </cell>
          <cell r="J219">
            <v>22.5</v>
          </cell>
          <cell r="K219">
            <v>27</v>
          </cell>
        </row>
        <row r="220">
          <cell r="A220" t="str">
            <v>M1</v>
          </cell>
          <cell r="B220" t="str">
            <v>A5C</v>
          </cell>
          <cell r="C220" t="str">
            <v>P</v>
          </cell>
          <cell r="D220" t="str">
            <v>22095</v>
          </cell>
          <cell r="E220" t="str">
            <v>PIPE</v>
          </cell>
          <cell r="F220">
            <v>1</v>
          </cell>
          <cell r="G220" t="str">
            <v>CB100404000400</v>
          </cell>
          <cell r="H220">
            <v>4</v>
          </cell>
          <cell r="I220" t="str">
            <v>--</v>
          </cell>
          <cell r="J220">
            <v>22.5</v>
          </cell>
          <cell r="K220">
            <v>27</v>
          </cell>
        </row>
        <row r="221">
          <cell r="A221" t="str">
            <v>M1</v>
          </cell>
          <cell r="B221" t="str">
            <v>A5C</v>
          </cell>
          <cell r="C221" t="str">
            <v>P</v>
          </cell>
          <cell r="D221" t="str">
            <v>22069</v>
          </cell>
          <cell r="E221" t="str">
            <v>PIPE</v>
          </cell>
          <cell r="F221">
            <v>1</v>
          </cell>
          <cell r="G221" t="str">
            <v>CB100404000400</v>
          </cell>
          <cell r="H221">
            <v>4</v>
          </cell>
          <cell r="I221" t="str">
            <v>--</v>
          </cell>
          <cell r="J221">
            <v>23.3</v>
          </cell>
          <cell r="K221">
            <v>28</v>
          </cell>
        </row>
        <row r="222">
          <cell r="A222" t="str">
            <v>M1</v>
          </cell>
          <cell r="B222" t="str">
            <v>A6C</v>
          </cell>
          <cell r="C222" t="str">
            <v>HOS</v>
          </cell>
          <cell r="D222" t="str">
            <v>65628</v>
          </cell>
          <cell r="E222" t="str">
            <v>PIPE</v>
          </cell>
          <cell r="F222">
            <v>1</v>
          </cell>
          <cell r="G222" t="str">
            <v>CB100404000400</v>
          </cell>
          <cell r="H222">
            <v>4</v>
          </cell>
          <cell r="I222" t="str">
            <v>--</v>
          </cell>
          <cell r="J222">
            <v>26.2</v>
          </cell>
          <cell r="K222">
            <v>31.5</v>
          </cell>
        </row>
        <row r="223">
          <cell r="A223" t="str">
            <v>M1</v>
          </cell>
          <cell r="B223" t="str">
            <v>A5C</v>
          </cell>
          <cell r="C223" t="str">
            <v>P</v>
          </cell>
          <cell r="D223" t="str">
            <v>21005</v>
          </cell>
          <cell r="E223" t="str">
            <v>PIPE</v>
          </cell>
          <cell r="F223">
            <v>1</v>
          </cell>
          <cell r="G223" t="str">
            <v>CB1004040004000400</v>
          </cell>
          <cell r="H223">
            <v>4</v>
          </cell>
          <cell r="I223" t="str">
            <v>--</v>
          </cell>
          <cell r="J223">
            <v>33.4</v>
          </cell>
          <cell r="K223">
            <v>40.1</v>
          </cell>
        </row>
        <row r="224">
          <cell r="A224" t="str">
            <v>M1</v>
          </cell>
          <cell r="B224" t="str">
            <v>A5C</v>
          </cell>
          <cell r="C224" t="str">
            <v>P</v>
          </cell>
          <cell r="D224" t="str">
            <v>22022</v>
          </cell>
          <cell r="E224" t="str">
            <v>PIPE</v>
          </cell>
          <cell r="F224">
            <v>1</v>
          </cell>
          <cell r="G224" t="str">
            <v>CB100404000600</v>
          </cell>
          <cell r="H224">
            <v>6</v>
          </cell>
          <cell r="I224" t="str">
            <v>--</v>
          </cell>
          <cell r="J224">
            <v>0.2</v>
          </cell>
          <cell r="K224">
            <v>0.3</v>
          </cell>
        </row>
        <row r="225">
          <cell r="A225" t="str">
            <v>M1</v>
          </cell>
          <cell r="B225" t="str">
            <v>A6C</v>
          </cell>
          <cell r="C225" t="str">
            <v>HOR</v>
          </cell>
          <cell r="D225" t="str">
            <v>65635</v>
          </cell>
          <cell r="E225" t="str">
            <v>PIPE</v>
          </cell>
          <cell r="F225">
            <v>1</v>
          </cell>
          <cell r="G225" t="str">
            <v>CB100404000600</v>
          </cell>
          <cell r="H225">
            <v>6</v>
          </cell>
          <cell r="I225" t="str">
            <v>--</v>
          </cell>
          <cell r="J225">
            <v>1</v>
          </cell>
          <cell r="K225">
            <v>1.2</v>
          </cell>
        </row>
        <row r="226">
          <cell r="A226" t="str">
            <v>M1</v>
          </cell>
          <cell r="B226" t="str">
            <v>A5C</v>
          </cell>
          <cell r="C226" t="str">
            <v>P</v>
          </cell>
          <cell r="D226" t="str">
            <v>22034</v>
          </cell>
          <cell r="E226" t="str">
            <v>PIPE</v>
          </cell>
          <cell r="F226">
            <v>1</v>
          </cell>
          <cell r="G226" t="str">
            <v>CB1004040006000600</v>
          </cell>
          <cell r="H226">
            <v>6</v>
          </cell>
          <cell r="I226" t="str">
            <v>--</v>
          </cell>
          <cell r="J226">
            <v>2.5</v>
          </cell>
          <cell r="K226">
            <v>3</v>
          </cell>
        </row>
        <row r="227">
          <cell r="A227" t="str">
            <v>M1</v>
          </cell>
          <cell r="B227" t="str">
            <v>A6C</v>
          </cell>
          <cell r="C227" t="str">
            <v>HOS</v>
          </cell>
          <cell r="D227" t="str">
            <v>65624</v>
          </cell>
          <cell r="E227" t="str">
            <v>PIPE</v>
          </cell>
          <cell r="F227">
            <v>1</v>
          </cell>
          <cell r="G227" t="str">
            <v>CB100404000600</v>
          </cell>
          <cell r="H227">
            <v>6</v>
          </cell>
          <cell r="I227" t="str">
            <v>--</v>
          </cell>
          <cell r="J227">
            <v>6.4</v>
          </cell>
          <cell r="K227">
            <v>7.7</v>
          </cell>
        </row>
        <row r="228">
          <cell r="A228" t="str">
            <v>M1</v>
          </cell>
          <cell r="B228" t="str">
            <v>A6C</v>
          </cell>
          <cell r="C228" t="str">
            <v>HOS</v>
          </cell>
          <cell r="D228" t="str">
            <v>65624</v>
          </cell>
          <cell r="E228" t="str">
            <v>PIPE</v>
          </cell>
          <cell r="F228">
            <v>1</v>
          </cell>
          <cell r="G228" t="str">
            <v>CB100404000600</v>
          </cell>
          <cell r="H228">
            <v>6</v>
          </cell>
          <cell r="I228" t="str">
            <v>--</v>
          </cell>
          <cell r="J228">
            <v>6.4</v>
          </cell>
          <cell r="K228">
            <v>7.7</v>
          </cell>
        </row>
        <row r="229">
          <cell r="A229" t="str">
            <v>M1</v>
          </cell>
          <cell r="B229" t="str">
            <v>A6C</v>
          </cell>
          <cell r="C229" t="str">
            <v>HOR</v>
          </cell>
          <cell r="D229" t="str">
            <v>65611</v>
          </cell>
          <cell r="E229" t="str">
            <v>PIPE</v>
          </cell>
          <cell r="F229">
            <v>1</v>
          </cell>
          <cell r="G229" t="str">
            <v>CB100404000600</v>
          </cell>
          <cell r="H229">
            <v>6</v>
          </cell>
          <cell r="I229" t="str">
            <v>--</v>
          </cell>
          <cell r="J229">
            <v>6.4</v>
          </cell>
          <cell r="K229">
            <v>7.7</v>
          </cell>
        </row>
        <row r="230">
          <cell r="A230" t="str">
            <v>M1</v>
          </cell>
          <cell r="B230" t="str">
            <v>A6C</v>
          </cell>
          <cell r="C230" t="str">
            <v>HOR</v>
          </cell>
          <cell r="D230" t="str">
            <v>65611</v>
          </cell>
          <cell r="E230" t="str">
            <v>PIPE</v>
          </cell>
          <cell r="F230">
            <v>1</v>
          </cell>
          <cell r="G230" t="str">
            <v>CB100404000600</v>
          </cell>
          <cell r="H230">
            <v>6</v>
          </cell>
          <cell r="I230" t="str">
            <v>--</v>
          </cell>
          <cell r="J230">
            <v>6.4</v>
          </cell>
          <cell r="K230">
            <v>7.7</v>
          </cell>
        </row>
        <row r="231">
          <cell r="A231" t="str">
            <v>M1</v>
          </cell>
          <cell r="B231" t="str">
            <v>A5C</v>
          </cell>
          <cell r="C231" t="str">
            <v>COMP</v>
          </cell>
          <cell r="D231" t="str">
            <v>003</v>
          </cell>
          <cell r="E231" t="str">
            <v>PIPE</v>
          </cell>
          <cell r="F231">
            <v>1</v>
          </cell>
          <cell r="G231" t="str">
            <v>CB100404000600</v>
          </cell>
          <cell r="H231">
            <v>6</v>
          </cell>
          <cell r="I231" t="str">
            <v>--</v>
          </cell>
          <cell r="J231">
            <v>6.5</v>
          </cell>
          <cell r="K231">
            <v>7.8</v>
          </cell>
        </row>
        <row r="232">
          <cell r="A232" t="str">
            <v>M1</v>
          </cell>
          <cell r="B232" t="str">
            <v>A5C</v>
          </cell>
          <cell r="C232" t="str">
            <v>P</v>
          </cell>
          <cell r="D232" t="str">
            <v>22055</v>
          </cell>
          <cell r="E232" t="str">
            <v>PIPE</v>
          </cell>
          <cell r="F232">
            <v>1</v>
          </cell>
          <cell r="G232" t="str">
            <v>CB100404000600</v>
          </cell>
          <cell r="H232">
            <v>6</v>
          </cell>
          <cell r="I232" t="str">
            <v>--</v>
          </cell>
          <cell r="J232">
            <v>8</v>
          </cell>
          <cell r="K232">
            <v>9.6</v>
          </cell>
        </row>
        <row r="233">
          <cell r="A233" t="str">
            <v>M1</v>
          </cell>
          <cell r="B233" t="str">
            <v>A5C</v>
          </cell>
          <cell r="C233" t="str">
            <v>P</v>
          </cell>
          <cell r="D233" t="str">
            <v>22035</v>
          </cell>
          <cell r="E233" t="str">
            <v>PIPE</v>
          </cell>
          <cell r="F233">
            <v>1</v>
          </cell>
          <cell r="G233" t="str">
            <v>CB100404000600</v>
          </cell>
          <cell r="H233">
            <v>6</v>
          </cell>
          <cell r="I233" t="str">
            <v>--</v>
          </cell>
          <cell r="J233">
            <v>8.8000000000000007</v>
          </cell>
          <cell r="K233">
            <v>10.6</v>
          </cell>
        </row>
        <row r="234">
          <cell r="A234" t="str">
            <v>M1</v>
          </cell>
          <cell r="B234" t="str">
            <v>A5C</v>
          </cell>
          <cell r="C234" t="str">
            <v>P</v>
          </cell>
          <cell r="D234" t="str">
            <v>22023</v>
          </cell>
          <cell r="E234" t="str">
            <v>PIPE</v>
          </cell>
          <cell r="F234">
            <v>1</v>
          </cell>
          <cell r="G234" t="str">
            <v>CB100404000600</v>
          </cell>
          <cell r="H234">
            <v>6</v>
          </cell>
          <cell r="I234" t="str">
            <v>--</v>
          </cell>
          <cell r="J234">
            <v>12.1</v>
          </cell>
          <cell r="K234">
            <v>14.6</v>
          </cell>
        </row>
        <row r="235">
          <cell r="A235" t="str">
            <v>M1</v>
          </cell>
          <cell r="B235" t="str">
            <v>A5C</v>
          </cell>
          <cell r="C235" t="str">
            <v>P</v>
          </cell>
          <cell r="D235" t="str">
            <v>22028</v>
          </cell>
          <cell r="E235" t="str">
            <v>PIPE</v>
          </cell>
          <cell r="F235">
            <v>1</v>
          </cell>
          <cell r="G235" t="str">
            <v>CB100404000600</v>
          </cell>
          <cell r="H235">
            <v>6</v>
          </cell>
          <cell r="I235" t="str">
            <v>--</v>
          </cell>
          <cell r="J235">
            <v>12.8</v>
          </cell>
          <cell r="K235">
            <v>15.4</v>
          </cell>
        </row>
        <row r="236">
          <cell r="A236" t="str">
            <v>M1</v>
          </cell>
          <cell r="B236" t="str">
            <v>A5C</v>
          </cell>
          <cell r="C236" t="str">
            <v>P</v>
          </cell>
          <cell r="D236" t="str">
            <v>22065</v>
          </cell>
          <cell r="E236" t="str">
            <v>PIPE</v>
          </cell>
          <cell r="F236">
            <v>1</v>
          </cell>
          <cell r="G236" t="str">
            <v>CB100404000600</v>
          </cell>
          <cell r="H236">
            <v>6</v>
          </cell>
          <cell r="I236" t="str">
            <v>--</v>
          </cell>
          <cell r="J236">
            <v>13.9</v>
          </cell>
          <cell r="K236">
            <v>16.7</v>
          </cell>
        </row>
        <row r="237">
          <cell r="A237" t="str">
            <v>M1</v>
          </cell>
          <cell r="B237" t="str">
            <v>A5C</v>
          </cell>
          <cell r="C237" t="str">
            <v>P</v>
          </cell>
          <cell r="D237" t="str">
            <v>22139</v>
          </cell>
          <cell r="E237" t="str">
            <v>PIPE</v>
          </cell>
          <cell r="F237">
            <v>1</v>
          </cell>
          <cell r="G237" t="str">
            <v>CB100404000600</v>
          </cell>
          <cell r="H237">
            <v>6</v>
          </cell>
          <cell r="I237" t="str">
            <v>--</v>
          </cell>
          <cell r="J237">
            <v>14.7</v>
          </cell>
          <cell r="K237">
            <v>17.7</v>
          </cell>
        </row>
        <row r="238">
          <cell r="A238" t="str">
            <v>M1</v>
          </cell>
          <cell r="B238" t="str">
            <v>B1C</v>
          </cell>
          <cell r="C238" t="str">
            <v>P</v>
          </cell>
          <cell r="D238" t="str">
            <v>22029</v>
          </cell>
          <cell r="E238" t="str">
            <v>PIPE</v>
          </cell>
          <cell r="F238">
            <v>1</v>
          </cell>
          <cell r="G238" t="str">
            <v>CB100404000600</v>
          </cell>
          <cell r="H238">
            <v>6</v>
          </cell>
          <cell r="I238" t="str">
            <v>--</v>
          </cell>
          <cell r="J238">
            <v>14.7</v>
          </cell>
          <cell r="K238">
            <v>17.7</v>
          </cell>
        </row>
        <row r="239">
          <cell r="A239" t="str">
            <v>M1</v>
          </cell>
          <cell r="B239" t="str">
            <v>A5C</v>
          </cell>
          <cell r="C239" t="str">
            <v>WW</v>
          </cell>
          <cell r="D239" t="str">
            <v>22601</v>
          </cell>
          <cell r="E239" t="str">
            <v>PIPE</v>
          </cell>
          <cell r="F239">
            <v>1</v>
          </cell>
          <cell r="G239" t="str">
            <v>CB100404000600</v>
          </cell>
          <cell r="H239">
            <v>6</v>
          </cell>
          <cell r="I239" t="str">
            <v>--</v>
          </cell>
          <cell r="J239">
            <v>15</v>
          </cell>
          <cell r="K239">
            <v>18</v>
          </cell>
        </row>
        <row r="240">
          <cell r="A240" t="str">
            <v>M1</v>
          </cell>
          <cell r="B240" t="str">
            <v>A5C</v>
          </cell>
          <cell r="C240" t="str">
            <v>P</v>
          </cell>
          <cell r="D240" t="str">
            <v>22019</v>
          </cell>
          <cell r="E240" t="str">
            <v>PIPE</v>
          </cell>
          <cell r="F240">
            <v>1</v>
          </cell>
          <cell r="G240" t="str">
            <v>CB1004040006000600</v>
          </cell>
          <cell r="H240">
            <v>6</v>
          </cell>
          <cell r="I240" t="str">
            <v>--</v>
          </cell>
          <cell r="J240">
            <v>17</v>
          </cell>
          <cell r="K240">
            <v>20.399999999999999</v>
          </cell>
        </row>
        <row r="241">
          <cell r="A241" t="str">
            <v>M1</v>
          </cell>
          <cell r="B241" t="str">
            <v>A5C</v>
          </cell>
          <cell r="C241" t="str">
            <v>P</v>
          </cell>
          <cell r="D241" t="str">
            <v>22048</v>
          </cell>
          <cell r="E241" t="str">
            <v>PIPE</v>
          </cell>
          <cell r="F241">
            <v>1</v>
          </cell>
          <cell r="G241" t="str">
            <v>CB1004040006000600</v>
          </cell>
          <cell r="H241">
            <v>6</v>
          </cell>
          <cell r="I241" t="str">
            <v>--</v>
          </cell>
          <cell r="J241">
            <v>17.5</v>
          </cell>
          <cell r="K241">
            <v>21</v>
          </cell>
        </row>
        <row r="242">
          <cell r="A242" t="str">
            <v>M1</v>
          </cell>
          <cell r="B242" t="str">
            <v>A5C</v>
          </cell>
          <cell r="C242" t="str">
            <v>P</v>
          </cell>
          <cell r="D242" t="str">
            <v>22048</v>
          </cell>
          <cell r="E242" t="str">
            <v>PIPE</v>
          </cell>
          <cell r="F242">
            <v>1</v>
          </cell>
          <cell r="G242" t="str">
            <v>CB1004040006000600</v>
          </cell>
          <cell r="H242">
            <v>6</v>
          </cell>
          <cell r="I242" t="str">
            <v>--</v>
          </cell>
          <cell r="J242">
            <v>19.5</v>
          </cell>
          <cell r="K242">
            <v>23.4</v>
          </cell>
        </row>
        <row r="243">
          <cell r="A243" t="str">
            <v>M1</v>
          </cell>
          <cell r="B243" t="str">
            <v>A5C</v>
          </cell>
          <cell r="C243" t="str">
            <v>P</v>
          </cell>
          <cell r="D243" t="str">
            <v>22020</v>
          </cell>
          <cell r="E243" t="str">
            <v>PIPE</v>
          </cell>
          <cell r="F243">
            <v>1</v>
          </cell>
          <cell r="G243" t="str">
            <v>CB1004040006000600</v>
          </cell>
          <cell r="H243">
            <v>6</v>
          </cell>
          <cell r="I243" t="str">
            <v>--</v>
          </cell>
          <cell r="J243">
            <v>45.9</v>
          </cell>
          <cell r="K243">
            <v>55.1</v>
          </cell>
        </row>
        <row r="244">
          <cell r="A244" t="str">
            <v>M1</v>
          </cell>
          <cell r="B244" t="str">
            <v>A5C</v>
          </cell>
          <cell r="C244" t="str">
            <v>WW</v>
          </cell>
          <cell r="D244" t="str">
            <v>22601</v>
          </cell>
          <cell r="E244" t="str">
            <v>PIPE</v>
          </cell>
          <cell r="F244">
            <v>1</v>
          </cell>
          <cell r="G244" t="str">
            <v>CB100404000600</v>
          </cell>
          <cell r="H244">
            <v>6</v>
          </cell>
          <cell r="I244" t="str">
            <v>--</v>
          </cell>
          <cell r="J244">
            <v>49</v>
          </cell>
          <cell r="K244">
            <v>58.8</v>
          </cell>
        </row>
        <row r="245">
          <cell r="A245" t="str">
            <v>M1</v>
          </cell>
          <cell r="B245" t="str">
            <v>A6C</v>
          </cell>
          <cell r="C245" t="str">
            <v>HOS</v>
          </cell>
          <cell r="D245" t="str">
            <v>65631</v>
          </cell>
          <cell r="E245" t="str">
            <v>PIPE</v>
          </cell>
          <cell r="F245">
            <v>1</v>
          </cell>
          <cell r="G245" t="str">
            <v>CB100404000800</v>
          </cell>
          <cell r="H245">
            <v>8</v>
          </cell>
          <cell r="I245" t="str">
            <v>--</v>
          </cell>
          <cell r="J245">
            <v>0.9</v>
          </cell>
          <cell r="K245">
            <v>1.1000000000000001</v>
          </cell>
        </row>
        <row r="246">
          <cell r="A246" t="str">
            <v>M1</v>
          </cell>
          <cell r="B246" t="str">
            <v>A6C</v>
          </cell>
          <cell r="C246" t="str">
            <v>HOR</v>
          </cell>
          <cell r="D246" t="str">
            <v>65615</v>
          </cell>
          <cell r="E246" t="str">
            <v>PIPE</v>
          </cell>
          <cell r="F246">
            <v>1</v>
          </cell>
          <cell r="G246" t="str">
            <v>CB100404000800</v>
          </cell>
          <cell r="H246">
            <v>8</v>
          </cell>
          <cell r="I246" t="str">
            <v>--</v>
          </cell>
          <cell r="J246">
            <v>1.6</v>
          </cell>
          <cell r="K246">
            <v>2</v>
          </cell>
        </row>
        <row r="247">
          <cell r="A247" t="str">
            <v>M1</v>
          </cell>
          <cell r="B247" t="str">
            <v>A5C</v>
          </cell>
          <cell r="C247" t="str">
            <v>P</v>
          </cell>
          <cell r="D247" t="str">
            <v>22074</v>
          </cell>
          <cell r="E247" t="str">
            <v>PIPE</v>
          </cell>
          <cell r="F247">
            <v>1</v>
          </cell>
          <cell r="G247" t="str">
            <v>CB100404000800</v>
          </cell>
          <cell r="H247">
            <v>8</v>
          </cell>
          <cell r="I247" t="str">
            <v>--</v>
          </cell>
          <cell r="J247">
            <v>1.8</v>
          </cell>
          <cell r="K247">
            <v>2.2000000000000002</v>
          </cell>
        </row>
        <row r="248">
          <cell r="A248" t="str">
            <v>M1</v>
          </cell>
          <cell r="B248" t="str">
            <v>A6C</v>
          </cell>
          <cell r="C248" t="str">
            <v>HOR</v>
          </cell>
          <cell r="D248" t="str">
            <v>65621</v>
          </cell>
          <cell r="E248" t="str">
            <v>PIPE</v>
          </cell>
          <cell r="F248">
            <v>1</v>
          </cell>
          <cell r="G248" t="str">
            <v>CB100404000800</v>
          </cell>
          <cell r="H248">
            <v>8</v>
          </cell>
          <cell r="I248" t="str">
            <v>--</v>
          </cell>
          <cell r="J248">
            <v>2.2000000000000002</v>
          </cell>
          <cell r="K248">
            <v>2.7</v>
          </cell>
        </row>
        <row r="249">
          <cell r="A249" t="str">
            <v>M1</v>
          </cell>
          <cell r="B249" t="str">
            <v>A6C</v>
          </cell>
          <cell r="C249" t="str">
            <v>HOS</v>
          </cell>
          <cell r="D249" t="str">
            <v>65619</v>
          </cell>
          <cell r="E249" t="str">
            <v>PIPE</v>
          </cell>
          <cell r="F249">
            <v>1</v>
          </cell>
          <cell r="G249" t="str">
            <v>CB100404000800</v>
          </cell>
          <cell r="H249">
            <v>8</v>
          </cell>
          <cell r="I249" t="str">
            <v>--</v>
          </cell>
          <cell r="J249">
            <v>2.7</v>
          </cell>
          <cell r="K249">
            <v>3.3</v>
          </cell>
        </row>
        <row r="250">
          <cell r="A250" t="str">
            <v>M1</v>
          </cell>
          <cell r="B250" t="str">
            <v>A5C</v>
          </cell>
          <cell r="C250" t="str">
            <v>P</v>
          </cell>
          <cell r="D250" t="str">
            <v>22044</v>
          </cell>
          <cell r="E250" t="str">
            <v>PIPE</v>
          </cell>
          <cell r="F250">
            <v>1</v>
          </cell>
          <cell r="G250" t="str">
            <v>CB100404000800</v>
          </cell>
          <cell r="H250">
            <v>8</v>
          </cell>
          <cell r="I250" t="str">
            <v>--</v>
          </cell>
          <cell r="J250">
            <v>3.6</v>
          </cell>
          <cell r="K250">
            <v>4.4000000000000004</v>
          </cell>
        </row>
        <row r="251">
          <cell r="A251" t="str">
            <v>M1</v>
          </cell>
          <cell r="B251" t="str">
            <v>A6C</v>
          </cell>
          <cell r="C251" t="str">
            <v>HOS</v>
          </cell>
          <cell r="D251" t="str">
            <v>65613</v>
          </cell>
          <cell r="E251" t="str">
            <v>PIPE</v>
          </cell>
          <cell r="F251">
            <v>1</v>
          </cell>
          <cell r="G251" t="str">
            <v>CB100404000800</v>
          </cell>
          <cell r="H251">
            <v>8</v>
          </cell>
          <cell r="I251" t="str">
            <v>--</v>
          </cell>
          <cell r="J251">
            <v>3.6</v>
          </cell>
          <cell r="K251">
            <v>4.4000000000000004</v>
          </cell>
        </row>
        <row r="252">
          <cell r="A252" t="str">
            <v>M1</v>
          </cell>
          <cell r="B252" t="str">
            <v>A6C</v>
          </cell>
          <cell r="C252" t="str">
            <v>HOS</v>
          </cell>
          <cell r="D252" t="str">
            <v>65624</v>
          </cell>
          <cell r="E252" t="str">
            <v>PIPE</v>
          </cell>
          <cell r="F252">
            <v>1</v>
          </cell>
          <cell r="G252" t="str">
            <v>CB100404000800</v>
          </cell>
          <cell r="H252">
            <v>8</v>
          </cell>
          <cell r="I252" t="str">
            <v>--</v>
          </cell>
          <cell r="J252">
            <v>3.7</v>
          </cell>
          <cell r="K252">
            <v>4.5</v>
          </cell>
        </row>
        <row r="253">
          <cell r="A253" t="str">
            <v>M1</v>
          </cell>
          <cell r="B253" t="str">
            <v>A6C</v>
          </cell>
          <cell r="C253" t="str">
            <v>HOS</v>
          </cell>
          <cell r="D253" t="str">
            <v>65617</v>
          </cell>
          <cell r="E253" t="str">
            <v>PIPE</v>
          </cell>
          <cell r="F253">
            <v>1</v>
          </cell>
          <cell r="G253" t="str">
            <v>CB100404000800</v>
          </cell>
          <cell r="H253">
            <v>8</v>
          </cell>
          <cell r="I253" t="str">
            <v>--</v>
          </cell>
          <cell r="J253">
            <v>4</v>
          </cell>
          <cell r="K253">
            <v>4.8</v>
          </cell>
        </row>
        <row r="254">
          <cell r="A254" t="str">
            <v>M1</v>
          </cell>
          <cell r="B254" t="str">
            <v>A6C</v>
          </cell>
          <cell r="C254" t="str">
            <v>HOR</v>
          </cell>
          <cell r="D254" t="str">
            <v>65619</v>
          </cell>
          <cell r="E254" t="str">
            <v>PIPE</v>
          </cell>
          <cell r="F254">
            <v>1</v>
          </cell>
          <cell r="G254" t="str">
            <v>CB100404000800</v>
          </cell>
          <cell r="H254">
            <v>8</v>
          </cell>
          <cell r="I254" t="str">
            <v>--</v>
          </cell>
          <cell r="J254">
            <v>4.4000000000000004</v>
          </cell>
          <cell r="K254">
            <v>5.3</v>
          </cell>
        </row>
        <row r="255">
          <cell r="A255" t="str">
            <v>M1</v>
          </cell>
          <cell r="B255" t="str">
            <v>A6C</v>
          </cell>
          <cell r="C255" t="str">
            <v>HOS</v>
          </cell>
          <cell r="D255" t="str">
            <v>65624</v>
          </cell>
          <cell r="E255" t="str">
            <v>PIPE</v>
          </cell>
          <cell r="F255">
            <v>1</v>
          </cell>
          <cell r="G255" t="str">
            <v>CB100404000800</v>
          </cell>
          <cell r="H255">
            <v>8</v>
          </cell>
          <cell r="I255" t="str">
            <v>--</v>
          </cell>
          <cell r="J255">
            <v>6</v>
          </cell>
          <cell r="K255">
            <v>7.2</v>
          </cell>
        </row>
        <row r="256">
          <cell r="A256" t="str">
            <v>M1</v>
          </cell>
          <cell r="B256" t="str">
            <v>A6C</v>
          </cell>
          <cell r="C256" t="str">
            <v>HOS</v>
          </cell>
          <cell r="D256" t="str">
            <v>65613</v>
          </cell>
          <cell r="E256" t="str">
            <v>PIPE</v>
          </cell>
          <cell r="F256">
            <v>1</v>
          </cell>
          <cell r="G256" t="str">
            <v>CB100404000800</v>
          </cell>
          <cell r="H256">
            <v>8</v>
          </cell>
          <cell r="I256" t="str">
            <v>--</v>
          </cell>
          <cell r="J256">
            <v>6.5</v>
          </cell>
          <cell r="K256">
            <v>7.8</v>
          </cell>
        </row>
        <row r="257">
          <cell r="A257" t="str">
            <v>M1</v>
          </cell>
          <cell r="B257" t="str">
            <v>A6C</v>
          </cell>
          <cell r="C257" t="str">
            <v>HOS</v>
          </cell>
          <cell r="D257" t="str">
            <v>65624</v>
          </cell>
          <cell r="E257" t="str">
            <v>PIPE</v>
          </cell>
          <cell r="F257">
            <v>1</v>
          </cell>
          <cell r="G257" t="str">
            <v>CB100404000800</v>
          </cell>
          <cell r="H257">
            <v>8</v>
          </cell>
          <cell r="I257" t="str">
            <v>--</v>
          </cell>
          <cell r="J257">
            <v>7</v>
          </cell>
          <cell r="K257">
            <v>8.4</v>
          </cell>
        </row>
        <row r="258">
          <cell r="A258" t="str">
            <v>M1</v>
          </cell>
          <cell r="B258" t="str">
            <v>A6C</v>
          </cell>
          <cell r="C258" t="str">
            <v>HOS</v>
          </cell>
          <cell r="D258" t="str">
            <v>65624</v>
          </cell>
          <cell r="E258" t="str">
            <v>PIPE</v>
          </cell>
          <cell r="F258">
            <v>1</v>
          </cell>
          <cell r="G258" t="str">
            <v>CB100404000800</v>
          </cell>
          <cell r="H258">
            <v>8</v>
          </cell>
          <cell r="I258" t="str">
            <v>--</v>
          </cell>
          <cell r="J258">
            <v>7.1</v>
          </cell>
          <cell r="K258">
            <v>8.6</v>
          </cell>
        </row>
        <row r="259">
          <cell r="A259" t="str">
            <v>M1</v>
          </cell>
          <cell r="B259" t="str">
            <v>A6C</v>
          </cell>
          <cell r="C259" t="str">
            <v>HOS</v>
          </cell>
          <cell r="D259" t="str">
            <v>65615</v>
          </cell>
          <cell r="E259" t="str">
            <v>PIPE</v>
          </cell>
          <cell r="F259">
            <v>1</v>
          </cell>
          <cell r="G259" t="str">
            <v>CB100404000800</v>
          </cell>
          <cell r="H259">
            <v>8</v>
          </cell>
          <cell r="I259" t="str">
            <v>--</v>
          </cell>
          <cell r="J259">
            <v>7.4</v>
          </cell>
          <cell r="K259">
            <v>8.9</v>
          </cell>
        </row>
        <row r="260">
          <cell r="A260" t="str">
            <v>M1</v>
          </cell>
          <cell r="B260" t="str">
            <v>A5C</v>
          </cell>
          <cell r="C260" t="str">
            <v>COMP</v>
          </cell>
          <cell r="D260" t="str">
            <v>004</v>
          </cell>
          <cell r="E260" t="str">
            <v>PIPE</v>
          </cell>
          <cell r="F260">
            <v>1</v>
          </cell>
          <cell r="G260" t="str">
            <v>CB100404000800</v>
          </cell>
          <cell r="H260">
            <v>8</v>
          </cell>
          <cell r="I260" t="str">
            <v>--</v>
          </cell>
          <cell r="J260">
            <v>8</v>
          </cell>
          <cell r="K260">
            <v>9.6</v>
          </cell>
        </row>
        <row r="261">
          <cell r="A261" t="str">
            <v>M1</v>
          </cell>
          <cell r="B261" t="str">
            <v>A5C</v>
          </cell>
          <cell r="C261" t="str">
            <v>P</v>
          </cell>
          <cell r="D261" t="str">
            <v>22011</v>
          </cell>
          <cell r="E261" t="str">
            <v>PIPE</v>
          </cell>
          <cell r="F261">
            <v>1</v>
          </cell>
          <cell r="G261" t="str">
            <v>CB100404000800</v>
          </cell>
          <cell r="H261">
            <v>8</v>
          </cell>
          <cell r="I261" t="str">
            <v>--</v>
          </cell>
          <cell r="J261">
            <v>8</v>
          </cell>
          <cell r="K261">
            <v>9.6</v>
          </cell>
        </row>
        <row r="262">
          <cell r="A262" t="str">
            <v>M1</v>
          </cell>
          <cell r="B262" t="str">
            <v>A6C</v>
          </cell>
          <cell r="C262" t="str">
            <v>HOR</v>
          </cell>
          <cell r="D262" t="str">
            <v>65611</v>
          </cell>
          <cell r="E262" t="str">
            <v>PIPE</v>
          </cell>
          <cell r="F262">
            <v>1</v>
          </cell>
          <cell r="G262" t="str">
            <v>CB100404000800</v>
          </cell>
          <cell r="H262">
            <v>8</v>
          </cell>
          <cell r="I262" t="str">
            <v>--</v>
          </cell>
          <cell r="J262">
            <v>8.1999999999999993</v>
          </cell>
          <cell r="K262">
            <v>9.9</v>
          </cell>
        </row>
        <row r="263">
          <cell r="A263" t="str">
            <v>M1</v>
          </cell>
          <cell r="B263" t="str">
            <v>A6C</v>
          </cell>
          <cell r="C263" t="str">
            <v>HOR</v>
          </cell>
          <cell r="D263" t="str">
            <v>65611</v>
          </cell>
          <cell r="E263" t="str">
            <v>PIPE</v>
          </cell>
          <cell r="F263">
            <v>1</v>
          </cell>
          <cell r="G263" t="str">
            <v>CB100404000800</v>
          </cell>
          <cell r="H263">
            <v>8</v>
          </cell>
          <cell r="I263" t="str">
            <v>--</v>
          </cell>
          <cell r="J263">
            <v>8.5</v>
          </cell>
          <cell r="K263">
            <v>10.199999999999999</v>
          </cell>
        </row>
        <row r="264">
          <cell r="A264" t="str">
            <v>M1</v>
          </cell>
          <cell r="B264" t="str">
            <v>A6C</v>
          </cell>
          <cell r="C264" t="str">
            <v>HOS</v>
          </cell>
          <cell r="D264" t="str">
            <v>65613</v>
          </cell>
          <cell r="E264" t="str">
            <v>PIPE</v>
          </cell>
          <cell r="F264">
            <v>1</v>
          </cell>
          <cell r="G264" t="str">
            <v>CB100404000800</v>
          </cell>
          <cell r="H264">
            <v>8</v>
          </cell>
          <cell r="I264" t="str">
            <v>--</v>
          </cell>
          <cell r="J264">
            <v>9.1</v>
          </cell>
          <cell r="K264">
            <v>11</v>
          </cell>
        </row>
        <row r="265">
          <cell r="A265" t="str">
            <v>M1</v>
          </cell>
          <cell r="B265" t="str">
            <v>A6C</v>
          </cell>
          <cell r="C265" t="str">
            <v>HOS</v>
          </cell>
          <cell r="D265" t="str">
            <v>65625</v>
          </cell>
          <cell r="E265" t="str">
            <v>PIPE</v>
          </cell>
          <cell r="F265">
            <v>1</v>
          </cell>
          <cell r="G265" t="str">
            <v>CB100404000800</v>
          </cell>
          <cell r="H265">
            <v>8</v>
          </cell>
          <cell r="I265" t="str">
            <v>--</v>
          </cell>
          <cell r="J265">
            <v>9.5</v>
          </cell>
          <cell r="K265">
            <v>11.4</v>
          </cell>
        </row>
        <row r="266">
          <cell r="A266" t="str">
            <v>M1</v>
          </cell>
          <cell r="B266" t="str">
            <v>A6C</v>
          </cell>
          <cell r="C266" t="str">
            <v>HOR</v>
          </cell>
          <cell r="D266" t="str">
            <v>65611</v>
          </cell>
          <cell r="E266" t="str">
            <v>PIPE</v>
          </cell>
          <cell r="F266">
            <v>1</v>
          </cell>
          <cell r="G266" t="str">
            <v>CB100404000800</v>
          </cell>
          <cell r="H266">
            <v>8</v>
          </cell>
          <cell r="I266" t="str">
            <v>--</v>
          </cell>
          <cell r="J266">
            <v>14.2</v>
          </cell>
          <cell r="K266">
            <v>17.100000000000001</v>
          </cell>
        </row>
        <row r="267">
          <cell r="A267" t="str">
            <v>M1</v>
          </cell>
          <cell r="B267" t="str">
            <v>A6C</v>
          </cell>
          <cell r="C267" t="str">
            <v>HOR</v>
          </cell>
          <cell r="D267" t="str">
            <v>65619</v>
          </cell>
          <cell r="E267" t="str">
            <v>PIPE</v>
          </cell>
          <cell r="F267">
            <v>1</v>
          </cell>
          <cell r="G267" t="str">
            <v>CB100404000800</v>
          </cell>
          <cell r="H267">
            <v>8</v>
          </cell>
          <cell r="I267" t="str">
            <v>--</v>
          </cell>
          <cell r="J267">
            <v>19.5</v>
          </cell>
          <cell r="K267">
            <v>23.4</v>
          </cell>
        </row>
        <row r="268">
          <cell r="A268" t="str">
            <v>M1</v>
          </cell>
          <cell r="B268" t="str">
            <v>A6C</v>
          </cell>
          <cell r="C268" t="str">
            <v>HOS</v>
          </cell>
          <cell r="D268" t="str">
            <v>65627</v>
          </cell>
          <cell r="E268" t="str">
            <v>PIPE</v>
          </cell>
          <cell r="F268">
            <v>1</v>
          </cell>
          <cell r="G268" t="str">
            <v>CB100404000800</v>
          </cell>
          <cell r="H268">
            <v>8</v>
          </cell>
          <cell r="I268" t="str">
            <v>--</v>
          </cell>
          <cell r="J268">
            <v>25.8</v>
          </cell>
          <cell r="K268">
            <v>31</v>
          </cell>
        </row>
        <row r="269">
          <cell r="A269" t="str">
            <v>M1</v>
          </cell>
          <cell r="B269" t="str">
            <v>A6C</v>
          </cell>
          <cell r="C269" t="str">
            <v>HOS</v>
          </cell>
          <cell r="D269" t="str">
            <v>65624</v>
          </cell>
          <cell r="E269" t="str">
            <v>PIPE</v>
          </cell>
          <cell r="F269">
            <v>1</v>
          </cell>
          <cell r="G269" t="str">
            <v>CB100404000800</v>
          </cell>
          <cell r="H269">
            <v>8</v>
          </cell>
          <cell r="I269" t="str">
            <v>--</v>
          </cell>
          <cell r="J269">
            <v>33.4</v>
          </cell>
          <cell r="K269">
            <v>40.1</v>
          </cell>
        </row>
        <row r="270">
          <cell r="A270" t="str">
            <v>M1</v>
          </cell>
          <cell r="B270" t="str">
            <v>A6C</v>
          </cell>
          <cell r="C270" t="str">
            <v>HOR</v>
          </cell>
          <cell r="D270" t="str">
            <v>65621</v>
          </cell>
          <cell r="E270" t="str">
            <v>PIPE</v>
          </cell>
          <cell r="F270">
            <v>1</v>
          </cell>
          <cell r="G270" t="str">
            <v>CB100404000800</v>
          </cell>
          <cell r="H270">
            <v>8</v>
          </cell>
          <cell r="I270" t="str">
            <v>--</v>
          </cell>
          <cell r="J270">
            <v>34.799999999999997</v>
          </cell>
          <cell r="K270">
            <v>41.8</v>
          </cell>
        </row>
        <row r="271">
          <cell r="A271" t="str">
            <v>M1</v>
          </cell>
          <cell r="B271" t="str">
            <v>A6C</v>
          </cell>
          <cell r="C271" t="str">
            <v>HOR</v>
          </cell>
          <cell r="D271" t="str">
            <v>65615</v>
          </cell>
          <cell r="E271" t="str">
            <v>PIPE</v>
          </cell>
          <cell r="F271">
            <v>1</v>
          </cell>
          <cell r="G271" t="str">
            <v>CB100404000800</v>
          </cell>
          <cell r="H271">
            <v>8</v>
          </cell>
          <cell r="I271" t="str">
            <v>--</v>
          </cell>
          <cell r="J271">
            <v>37.200000000000003</v>
          </cell>
          <cell r="K271">
            <v>44.7</v>
          </cell>
        </row>
        <row r="272">
          <cell r="A272" t="str">
            <v>M1</v>
          </cell>
          <cell r="B272" t="str">
            <v>A4C</v>
          </cell>
          <cell r="C272" t="str">
            <v>P</v>
          </cell>
          <cell r="D272" t="str">
            <v>22008</v>
          </cell>
          <cell r="E272" t="str">
            <v>PIPE</v>
          </cell>
          <cell r="F272">
            <v>1</v>
          </cell>
          <cell r="G272" t="str">
            <v>CB110404001000</v>
          </cell>
          <cell r="H272">
            <v>10</v>
          </cell>
          <cell r="I272" t="str">
            <v>--</v>
          </cell>
          <cell r="J272">
            <v>5.9</v>
          </cell>
          <cell r="K272">
            <v>6.5</v>
          </cell>
        </row>
        <row r="273">
          <cell r="A273" t="str">
            <v>M1</v>
          </cell>
          <cell r="B273" t="str">
            <v>A5C</v>
          </cell>
          <cell r="C273" t="str">
            <v>P</v>
          </cell>
          <cell r="D273" t="str">
            <v>22073</v>
          </cell>
          <cell r="E273" t="str">
            <v>PIPE</v>
          </cell>
          <cell r="F273">
            <v>1</v>
          </cell>
          <cell r="G273" t="str">
            <v>CB100404001000</v>
          </cell>
          <cell r="H273">
            <v>10</v>
          </cell>
          <cell r="I273" t="str">
            <v>--</v>
          </cell>
          <cell r="J273">
            <v>6.8</v>
          </cell>
          <cell r="K273">
            <v>7.5</v>
          </cell>
        </row>
        <row r="274">
          <cell r="A274" t="str">
            <v>M1</v>
          </cell>
          <cell r="B274" t="str">
            <v>A5C</v>
          </cell>
          <cell r="C274" t="str">
            <v>P</v>
          </cell>
          <cell r="D274" t="str">
            <v>22074</v>
          </cell>
          <cell r="E274" t="str">
            <v>PIPE</v>
          </cell>
          <cell r="F274">
            <v>1</v>
          </cell>
          <cell r="G274" t="str">
            <v>CB100404001000</v>
          </cell>
          <cell r="H274">
            <v>10</v>
          </cell>
          <cell r="I274" t="str">
            <v>--</v>
          </cell>
          <cell r="J274">
            <v>7.9</v>
          </cell>
          <cell r="K274">
            <v>8.6999999999999993</v>
          </cell>
        </row>
        <row r="275">
          <cell r="A275" t="str">
            <v>M1</v>
          </cell>
          <cell r="B275" t="str">
            <v>A5C</v>
          </cell>
          <cell r="C275" t="str">
            <v>P</v>
          </cell>
          <cell r="D275" t="str">
            <v>22075</v>
          </cell>
          <cell r="E275" t="str">
            <v>PIPE</v>
          </cell>
          <cell r="F275">
            <v>1</v>
          </cell>
          <cell r="G275" t="str">
            <v>CB100404001000</v>
          </cell>
          <cell r="H275">
            <v>10</v>
          </cell>
          <cell r="I275" t="str">
            <v>--</v>
          </cell>
          <cell r="J275">
            <v>8.3000000000000007</v>
          </cell>
          <cell r="K275">
            <v>9.1999999999999993</v>
          </cell>
        </row>
        <row r="276">
          <cell r="A276" t="str">
            <v>M1</v>
          </cell>
          <cell r="B276" t="str">
            <v>A5C</v>
          </cell>
          <cell r="C276" t="str">
            <v>P</v>
          </cell>
          <cell r="D276" t="str">
            <v>22062</v>
          </cell>
          <cell r="E276" t="str">
            <v>PIPE</v>
          </cell>
          <cell r="F276">
            <v>1</v>
          </cell>
          <cell r="G276" t="str">
            <v>CB100404001000</v>
          </cell>
          <cell r="H276">
            <v>10</v>
          </cell>
          <cell r="I276" t="str">
            <v>--</v>
          </cell>
          <cell r="J276">
            <v>9.3000000000000007</v>
          </cell>
          <cell r="K276">
            <v>10.3</v>
          </cell>
        </row>
        <row r="277">
          <cell r="A277" t="str">
            <v>M1</v>
          </cell>
          <cell r="B277" t="str">
            <v>A4C</v>
          </cell>
          <cell r="C277" t="str">
            <v>P</v>
          </cell>
          <cell r="D277" t="str">
            <v>22080</v>
          </cell>
          <cell r="E277" t="str">
            <v>PIPE</v>
          </cell>
          <cell r="F277">
            <v>1</v>
          </cell>
          <cell r="G277" t="str">
            <v>CB110404001000</v>
          </cell>
          <cell r="H277">
            <v>10</v>
          </cell>
          <cell r="I277" t="str">
            <v>--</v>
          </cell>
          <cell r="J277">
            <v>9.3000000000000007</v>
          </cell>
          <cell r="K277">
            <v>10.3</v>
          </cell>
        </row>
        <row r="278">
          <cell r="A278" t="str">
            <v>M1</v>
          </cell>
          <cell r="B278" t="str">
            <v>A5C</v>
          </cell>
          <cell r="C278" t="str">
            <v>P</v>
          </cell>
          <cell r="D278" t="str">
            <v>22060</v>
          </cell>
          <cell r="E278" t="str">
            <v>PIPE</v>
          </cell>
          <cell r="F278">
            <v>1</v>
          </cell>
          <cell r="G278" t="str">
            <v>CB100404001000</v>
          </cell>
          <cell r="H278">
            <v>10</v>
          </cell>
          <cell r="I278" t="str">
            <v>--</v>
          </cell>
          <cell r="J278">
            <v>9.4</v>
          </cell>
          <cell r="K278">
            <v>10.4</v>
          </cell>
        </row>
        <row r="279">
          <cell r="A279" t="str">
            <v>M1</v>
          </cell>
          <cell r="B279" t="str">
            <v>A5C</v>
          </cell>
          <cell r="C279" t="str">
            <v>P</v>
          </cell>
          <cell r="D279" t="str">
            <v>22077</v>
          </cell>
          <cell r="E279" t="str">
            <v>PIPE</v>
          </cell>
          <cell r="F279">
            <v>1</v>
          </cell>
          <cell r="G279" t="str">
            <v>CB100404001000</v>
          </cell>
          <cell r="H279">
            <v>10</v>
          </cell>
          <cell r="I279" t="str">
            <v>--</v>
          </cell>
          <cell r="J279">
            <v>13.4</v>
          </cell>
          <cell r="K279">
            <v>14.8</v>
          </cell>
        </row>
        <row r="280">
          <cell r="A280" t="str">
            <v>M1</v>
          </cell>
          <cell r="B280" t="str">
            <v>A4C</v>
          </cell>
          <cell r="C280" t="str">
            <v>P</v>
          </cell>
          <cell r="D280" t="str">
            <v>22008</v>
          </cell>
          <cell r="E280" t="str">
            <v>PIPE</v>
          </cell>
          <cell r="F280">
            <v>1</v>
          </cell>
          <cell r="G280" t="str">
            <v>CB110404001000</v>
          </cell>
          <cell r="H280">
            <v>10</v>
          </cell>
          <cell r="I280" t="str">
            <v>--</v>
          </cell>
          <cell r="J280">
            <v>22.7</v>
          </cell>
          <cell r="K280">
            <v>25</v>
          </cell>
        </row>
        <row r="281">
          <cell r="A281" t="str">
            <v>M1</v>
          </cell>
          <cell r="B281" t="str">
            <v>A4C</v>
          </cell>
          <cell r="C281" t="str">
            <v>P</v>
          </cell>
          <cell r="D281" t="str">
            <v>22008</v>
          </cell>
          <cell r="E281" t="str">
            <v>PIPE</v>
          </cell>
          <cell r="F281">
            <v>1</v>
          </cell>
          <cell r="G281" t="str">
            <v>CB110404001000</v>
          </cell>
          <cell r="H281">
            <v>10</v>
          </cell>
          <cell r="I281" t="str">
            <v>--</v>
          </cell>
          <cell r="J281">
            <v>25.4</v>
          </cell>
          <cell r="K281">
            <v>28</v>
          </cell>
        </row>
        <row r="282">
          <cell r="A282" t="str">
            <v>M1</v>
          </cell>
          <cell r="B282" t="str">
            <v>A5C</v>
          </cell>
          <cell r="C282" t="str">
            <v>P</v>
          </cell>
          <cell r="D282" t="str">
            <v>22062</v>
          </cell>
          <cell r="E282" t="str">
            <v>PIPE</v>
          </cell>
          <cell r="F282">
            <v>1</v>
          </cell>
          <cell r="G282" t="str">
            <v>CB100404001000</v>
          </cell>
          <cell r="H282">
            <v>10</v>
          </cell>
          <cell r="I282" t="str">
            <v>--</v>
          </cell>
          <cell r="J282">
            <v>34.1</v>
          </cell>
          <cell r="K282">
            <v>37.6</v>
          </cell>
        </row>
        <row r="283">
          <cell r="A283" t="str">
            <v>M1</v>
          </cell>
          <cell r="B283" t="str">
            <v>A5C</v>
          </cell>
          <cell r="C283" t="str">
            <v>P</v>
          </cell>
          <cell r="D283" t="str">
            <v>22077</v>
          </cell>
          <cell r="E283" t="str">
            <v>PIPE</v>
          </cell>
          <cell r="F283">
            <v>1</v>
          </cell>
          <cell r="G283" t="str">
            <v>CB100404001000</v>
          </cell>
          <cell r="H283">
            <v>10</v>
          </cell>
          <cell r="I283" t="str">
            <v>--</v>
          </cell>
          <cell r="J283">
            <v>38.6</v>
          </cell>
          <cell r="K283">
            <v>42.5</v>
          </cell>
        </row>
        <row r="284">
          <cell r="A284" t="str">
            <v>M1</v>
          </cell>
          <cell r="B284" t="str">
            <v>B1X</v>
          </cell>
          <cell r="C284" t="str">
            <v>P</v>
          </cell>
          <cell r="D284" t="str">
            <v>22042</v>
          </cell>
          <cell r="E284" t="str">
            <v>PIPE</v>
          </cell>
          <cell r="F284">
            <v>1</v>
          </cell>
          <cell r="G284" t="str">
            <v>LN100404001200</v>
          </cell>
          <cell r="H284">
            <v>12</v>
          </cell>
          <cell r="I284" t="str">
            <v>--</v>
          </cell>
          <cell r="J284">
            <v>2</v>
          </cell>
          <cell r="K284">
            <v>2.2000000000000002</v>
          </cell>
        </row>
        <row r="285">
          <cell r="A285" t="str">
            <v>M1</v>
          </cell>
          <cell r="B285" t="str">
            <v>A5C</v>
          </cell>
          <cell r="C285" t="str">
            <v>COMP</v>
          </cell>
          <cell r="D285" t="str">
            <v>001</v>
          </cell>
          <cell r="E285" t="str">
            <v>PIPE</v>
          </cell>
          <cell r="F285">
            <v>1</v>
          </cell>
          <cell r="G285" t="str">
            <v>CB100404001200</v>
          </cell>
          <cell r="H285">
            <v>12</v>
          </cell>
          <cell r="I285" t="str">
            <v>--</v>
          </cell>
          <cell r="J285">
            <v>6.5</v>
          </cell>
          <cell r="K285">
            <v>7.2</v>
          </cell>
        </row>
        <row r="286">
          <cell r="A286" t="str">
            <v>M1</v>
          </cell>
          <cell r="B286" t="str">
            <v>A5C</v>
          </cell>
          <cell r="C286" t="str">
            <v>COMP</v>
          </cell>
          <cell r="D286" t="str">
            <v>002</v>
          </cell>
          <cell r="E286" t="str">
            <v>PIPE</v>
          </cell>
          <cell r="F286">
            <v>1</v>
          </cell>
          <cell r="G286" t="str">
            <v>CB100404001200</v>
          </cell>
          <cell r="H286">
            <v>12</v>
          </cell>
          <cell r="I286" t="str">
            <v>--</v>
          </cell>
          <cell r="J286">
            <v>6.5</v>
          </cell>
          <cell r="K286">
            <v>7.2</v>
          </cell>
        </row>
        <row r="287">
          <cell r="A287" t="str">
            <v>M1</v>
          </cell>
          <cell r="B287" t="str">
            <v>B1C</v>
          </cell>
          <cell r="C287" t="str">
            <v>P</v>
          </cell>
          <cell r="D287" t="str">
            <v>22027</v>
          </cell>
          <cell r="E287" t="str">
            <v>PIPE</v>
          </cell>
          <cell r="F287">
            <v>1</v>
          </cell>
          <cell r="G287" t="str">
            <v>CB100404001400</v>
          </cell>
          <cell r="H287">
            <v>14</v>
          </cell>
          <cell r="I287" t="str">
            <v>--</v>
          </cell>
          <cell r="J287">
            <v>1</v>
          </cell>
          <cell r="K287">
            <v>1</v>
          </cell>
        </row>
        <row r="288">
          <cell r="A288" t="str">
            <v>M1</v>
          </cell>
          <cell r="B288" t="str">
            <v>A5C</v>
          </cell>
          <cell r="C288" t="str">
            <v>P</v>
          </cell>
          <cell r="D288" t="str">
            <v>22056</v>
          </cell>
          <cell r="E288" t="str">
            <v>PIPE</v>
          </cell>
          <cell r="F288">
            <v>1</v>
          </cell>
          <cell r="G288" t="str">
            <v>CB100404001400</v>
          </cell>
          <cell r="H288">
            <v>14</v>
          </cell>
          <cell r="I288" t="str">
            <v>--</v>
          </cell>
          <cell r="J288">
            <v>5.9</v>
          </cell>
          <cell r="K288">
            <v>5.9</v>
          </cell>
        </row>
        <row r="289">
          <cell r="A289" t="str">
            <v>M1</v>
          </cell>
          <cell r="B289" t="str">
            <v>A5C</v>
          </cell>
          <cell r="C289" t="str">
            <v>P</v>
          </cell>
          <cell r="D289" t="str">
            <v>22058</v>
          </cell>
          <cell r="E289" t="str">
            <v>PIPE</v>
          </cell>
          <cell r="F289">
            <v>1</v>
          </cell>
          <cell r="G289" t="str">
            <v>CB100404001400</v>
          </cell>
          <cell r="H289">
            <v>14</v>
          </cell>
          <cell r="I289" t="str">
            <v>--</v>
          </cell>
          <cell r="J289">
            <v>5.9</v>
          </cell>
          <cell r="K289">
            <v>5.9</v>
          </cell>
        </row>
        <row r="290">
          <cell r="A290" t="str">
            <v>M1</v>
          </cell>
          <cell r="B290" t="str">
            <v>A5C</v>
          </cell>
          <cell r="C290" t="str">
            <v>P</v>
          </cell>
          <cell r="D290" t="str">
            <v>22054</v>
          </cell>
          <cell r="E290" t="str">
            <v>PIPE</v>
          </cell>
          <cell r="F290">
            <v>1</v>
          </cell>
          <cell r="G290" t="str">
            <v>CB100404001400</v>
          </cell>
          <cell r="H290">
            <v>14</v>
          </cell>
          <cell r="I290" t="str">
            <v>--</v>
          </cell>
          <cell r="J290">
            <v>7.1</v>
          </cell>
          <cell r="K290">
            <v>7.1</v>
          </cell>
        </row>
        <row r="291">
          <cell r="A291" t="str">
            <v>M1</v>
          </cell>
          <cell r="B291" t="str">
            <v>A5C</v>
          </cell>
          <cell r="C291" t="str">
            <v>P</v>
          </cell>
          <cell r="D291" t="str">
            <v>22074</v>
          </cell>
          <cell r="E291" t="str">
            <v>PIPE</v>
          </cell>
          <cell r="F291">
            <v>1</v>
          </cell>
          <cell r="G291" t="str">
            <v>CB100404001600</v>
          </cell>
          <cell r="H291">
            <v>16</v>
          </cell>
          <cell r="I291" t="str">
            <v>--</v>
          </cell>
          <cell r="J291">
            <v>4</v>
          </cell>
          <cell r="K291">
            <v>4</v>
          </cell>
        </row>
        <row r="292">
          <cell r="A292" t="str">
            <v>M1</v>
          </cell>
          <cell r="B292" t="str">
            <v>A5C</v>
          </cell>
          <cell r="C292" t="str">
            <v>P</v>
          </cell>
          <cell r="D292" t="str">
            <v>22034</v>
          </cell>
          <cell r="E292" t="str">
            <v>PIPE</v>
          </cell>
          <cell r="F292">
            <v>1</v>
          </cell>
          <cell r="G292" t="str">
            <v>CB1005080001000100</v>
          </cell>
          <cell r="H292">
            <v>1</v>
          </cell>
          <cell r="I292" t="str">
            <v>--</v>
          </cell>
          <cell r="J292">
            <v>0.5</v>
          </cell>
          <cell r="K292">
            <v>0.5</v>
          </cell>
        </row>
        <row r="293">
          <cell r="A293" t="str">
            <v>M1</v>
          </cell>
          <cell r="B293" t="str">
            <v>A5C</v>
          </cell>
          <cell r="C293" t="str">
            <v>P</v>
          </cell>
          <cell r="D293" t="str">
            <v>21002</v>
          </cell>
          <cell r="E293" t="str">
            <v>PIPE</v>
          </cell>
          <cell r="F293">
            <v>1</v>
          </cell>
          <cell r="G293" t="str">
            <v>CB1004040010001000</v>
          </cell>
          <cell r="H293">
            <v>10</v>
          </cell>
          <cell r="I293" t="str">
            <v>--</v>
          </cell>
          <cell r="J293">
            <v>1</v>
          </cell>
          <cell r="K293">
            <v>1.1000000000000001</v>
          </cell>
        </row>
        <row r="294">
          <cell r="A294" t="str">
            <v>M1</v>
          </cell>
          <cell r="B294" t="str">
            <v>A5C</v>
          </cell>
          <cell r="C294" t="str">
            <v>P</v>
          </cell>
          <cell r="D294" t="str">
            <v>22046</v>
          </cell>
          <cell r="E294" t="str">
            <v>PIPE</v>
          </cell>
          <cell r="F294">
            <v>1</v>
          </cell>
          <cell r="G294" t="str">
            <v>CB1004040010001000</v>
          </cell>
          <cell r="H294">
            <v>10</v>
          </cell>
          <cell r="I294" t="str">
            <v>--</v>
          </cell>
          <cell r="J294">
            <v>3.1</v>
          </cell>
          <cell r="K294">
            <v>3.5</v>
          </cell>
        </row>
        <row r="295">
          <cell r="A295" t="str">
            <v>M1</v>
          </cell>
          <cell r="B295" t="str">
            <v>B2C</v>
          </cell>
          <cell r="C295" t="str">
            <v>SH</v>
          </cell>
          <cell r="D295" t="str">
            <v>22601</v>
          </cell>
          <cell r="E295" t="str">
            <v>NPL</v>
          </cell>
          <cell r="F295">
            <v>2</v>
          </cell>
          <cell r="G295" t="str">
            <v>CB132108000HVR</v>
          </cell>
          <cell r="H295">
            <v>0.5</v>
          </cell>
          <cell r="I295" t="str">
            <v>75mm</v>
          </cell>
          <cell r="J295">
            <v>2</v>
          </cell>
          <cell r="K295">
            <v>2</v>
          </cell>
        </row>
        <row r="296">
          <cell r="A296" t="str">
            <v>M1</v>
          </cell>
          <cell r="B296" t="str">
            <v>B2C</v>
          </cell>
          <cell r="C296" t="str">
            <v>SH</v>
          </cell>
          <cell r="D296" t="str">
            <v>22614</v>
          </cell>
          <cell r="E296" t="str">
            <v>NPL</v>
          </cell>
          <cell r="F296">
            <v>2</v>
          </cell>
          <cell r="G296" t="str">
            <v>CB132108000HVR</v>
          </cell>
          <cell r="H296">
            <v>0.5</v>
          </cell>
          <cell r="I296" t="str">
            <v>75mm</v>
          </cell>
          <cell r="J296">
            <v>1</v>
          </cell>
          <cell r="K296">
            <v>1</v>
          </cell>
        </row>
        <row r="297">
          <cell r="A297" t="str">
            <v>M1</v>
          </cell>
          <cell r="B297" t="str">
            <v>B2C</v>
          </cell>
          <cell r="C297" t="str">
            <v>SH</v>
          </cell>
          <cell r="D297" t="str">
            <v>22614</v>
          </cell>
          <cell r="E297" t="str">
            <v>NPL</v>
          </cell>
          <cell r="F297">
            <v>2</v>
          </cell>
          <cell r="G297" t="str">
            <v>CB132108000HWL</v>
          </cell>
          <cell r="H297">
            <v>0.5</v>
          </cell>
          <cell r="I297" t="str">
            <v>150mm</v>
          </cell>
          <cell r="J297">
            <v>1</v>
          </cell>
          <cell r="K297">
            <v>1</v>
          </cell>
        </row>
        <row r="298">
          <cell r="A298" t="str">
            <v>M1</v>
          </cell>
          <cell r="B298" t="str">
            <v>A5C</v>
          </cell>
          <cell r="C298" t="str">
            <v>COMP</v>
          </cell>
          <cell r="D298" t="str">
            <v>006</v>
          </cell>
          <cell r="E298" t="str">
            <v>90 ELL</v>
          </cell>
          <cell r="F298">
            <v>2</v>
          </cell>
          <cell r="G298" t="str">
            <v>CB400100001000</v>
          </cell>
          <cell r="H298">
            <v>0.5</v>
          </cell>
          <cell r="I298" t="str">
            <v>--</v>
          </cell>
          <cell r="J298">
            <v>8</v>
          </cell>
          <cell r="K298">
            <v>8</v>
          </cell>
        </row>
        <row r="299">
          <cell r="A299" t="str">
            <v>M1</v>
          </cell>
          <cell r="B299" t="str">
            <v>A5C</v>
          </cell>
          <cell r="C299" t="str">
            <v>P</v>
          </cell>
          <cell r="D299" t="str">
            <v>22107</v>
          </cell>
          <cell r="E299" t="str">
            <v>90 ELL</v>
          </cell>
          <cell r="F299">
            <v>2</v>
          </cell>
          <cell r="G299" t="str">
            <v>CB400100001000</v>
          </cell>
          <cell r="H299">
            <v>0.5</v>
          </cell>
          <cell r="I299" t="str">
            <v>--</v>
          </cell>
          <cell r="J299">
            <v>20</v>
          </cell>
          <cell r="K299">
            <v>20</v>
          </cell>
        </row>
        <row r="300">
          <cell r="A300" t="str">
            <v>M1</v>
          </cell>
          <cell r="B300" t="str">
            <v>A5C</v>
          </cell>
          <cell r="C300" t="str">
            <v>P</v>
          </cell>
          <cell r="D300" t="str">
            <v>22157</v>
          </cell>
          <cell r="E300" t="str">
            <v>90 ELL</v>
          </cell>
          <cell r="F300">
            <v>2</v>
          </cell>
          <cell r="G300" t="str">
            <v>CB400100001000</v>
          </cell>
          <cell r="H300">
            <v>0.5</v>
          </cell>
          <cell r="I300" t="str">
            <v>--</v>
          </cell>
          <cell r="J300">
            <v>1</v>
          </cell>
          <cell r="K300">
            <v>1</v>
          </cell>
        </row>
        <row r="301">
          <cell r="A301" t="str">
            <v>M1</v>
          </cell>
          <cell r="B301" t="str">
            <v>A5C</v>
          </cell>
          <cell r="C301" t="str">
            <v>P</v>
          </cell>
          <cell r="D301" t="str">
            <v>22158</v>
          </cell>
          <cell r="E301" t="str">
            <v>90 ELL</v>
          </cell>
          <cell r="F301">
            <v>2</v>
          </cell>
          <cell r="G301" t="str">
            <v>CB400100001000</v>
          </cell>
          <cell r="H301">
            <v>0.5</v>
          </cell>
          <cell r="I301" t="str">
            <v>--</v>
          </cell>
          <cell r="J301">
            <v>1</v>
          </cell>
          <cell r="K301">
            <v>1</v>
          </cell>
        </row>
        <row r="302">
          <cell r="A302" t="str">
            <v>M1</v>
          </cell>
          <cell r="B302" t="str">
            <v>A5C</v>
          </cell>
          <cell r="C302" t="str">
            <v>SCD</v>
          </cell>
          <cell r="D302" t="str">
            <v>HOLD1</v>
          </cell>
          <cell r="E302" t="str">
            <v>C SWG</v>
          </cell>
          <cell r="F302">
            <v>2</v>
          </cell>
          <cell r="G302" t="str">
            <v>CB161308080H0Q</v>
          </cell>
          <cell r="H302">
            <v>0.5</v>
          </cell>
          <cell r="I302">
            <v>0.25</v>
          </cell>
          <cell r="J302">
            <v>2</v>
          </cell>
          <cell r="K302">
            <v>2</v>
          </cell>
        </row>
        <row r="303">
          <cell r="A303" t="str">
            <v>M1</v>
          </cell>
          <cell r="B303" t="str">
            <v>A5C</v>
          </cell>
          <cell r="C303" t="str">
            <v>SCC</v>
          </cell>
          <cell r="D303" t="str">
            <v>HOLD1</v>
          </cell>
          <cell r="E303" t="str">
            <v>C SWG</v>
          </cell>
          <cell r="F303">
            <v>2</v>
          </cell>
          <cell r="G303" t="str">
            <v>CB161308080H0Q</v>
          </cell>
          <cell r="H303">
            <v>0.5</v>
          </cell>
          <cell r="I303">
            <v>0.25</v>
          </cell>
          <cell r="J303">
            <v>3</v>
          </cell>
          <cell r="K303">
            <v>3</v>
          </cell>
        </row>
        <row r="304">
          <cell r="A304" t="str">
            <v>M1</v>
          </cell>
          <cell r="B304" t="str">
            <v>A5C</v>
          </cell>
          <cell r="C304" t="str">
            <v>P</v>
          </cell>
          <cell r="D304" t="str">
            <v>22107</v>
          </cell>
          <cell r="E304" t="str">
            <v>CAP</v>
          </cell>
          <cell r="F304">
            <v>2</v>
          </cell>
          <cell r="G304" t="str">
            <v>CB520700000H00</v>
          </cell>
          <cell r="H304">
            <v>0.5</v>
          </cell>
          <cell r="I304" t="str">
            <v>--</v>
          </cell>
          <cell r="J304">
            <v>4</v>
          </cell>
          <cell r="K304">
            <v>4</v>
          </cell>
        </row>
        <row r="305">
          <cell r="A305" t="str">
            <v>M1</v>
          </cell>
          <cell r="B305" t="str">
            <v>A5C</v>
          </cell>
          <cell r="C305" t="str">
            <v>P</v>
          </cell>
          <cell r="D305" t="str">
            <v>22065</v>
          </cell>
          <cell r="E305" t="str">
            <v>CPLG</v>
          </cell>
          <cell r="F305">
            <v>2</v>
          </cell>
          <cell r="G305" t="str">
            <v>CB400500000H00</v>
          </cell>
          <cell r="H305">
            <v>0.5</v>
          </cell>
          <cell r="I305" t="str">
            <v>--</v>
          </cell>
          <cell r="J305">
            <v>1</v>
          </cell>
          <cell r="K305">
            <v>1</v>
          </cell>
        </row>
        <row r="306">
          <cell r="A306" t="str">
            <v>M1</v>
          </cell>
          <cell r="B306" t="str">
            <v>A5C</v>
          </cell>
          <cell r="C306" t="str">
            <v>P</v>
          </cell>
          <cell r="D306" t="str">
            <v>22104</v>
          </cell>
          <cell r="E306" t="str">
            <v>CPLG</v>
          </cell>
          <cell r="F306">
            <v>2</v>
          </cell>
          <cell r="G306" t="str">
            <v>CB400500000H00</v>
          </cell>
          <cell r="H306">
            <v>0.5</v>
          </cell>
          <cell r="I306" t="str">
            <v>--</v>
          </cell>
          <cell r="J306">
            <v>2</v>
          </cell>
          <cell r="K306">
            <v>2</v>
          </cell>
        </row>
        <row r="307">
          <cell r="A307" t="str">
            <v>M1</v>
          </cell>
          <cell r="B307" t="str">
            <v>A5C</v>
          </cell>
          <cell r="C307" t="str">
            <v>COMP</v>
          </cell>
          <cell r="D307" t="str">
            <v>006</v>
          </cell>
          <cell r="E307" t="str">
            <v>TEE</v>
          </cell>
          <cell r="F307">
            <v>2</v>
          </cell>
          <cell r="G307" t="str">
            <v>CB400300000H00</v>
          </cell>
          <cell r="H307">
            <v>0.5</v>
          </cell>
          <cell r="I307" t="str">
            <v>--</v>
          </cell>
          <cell r="J307">
            <v>4</v>
          </cell>
          <cell r="K307">
            <v>4</v>
          </cell>
        </row>
        <row r="308">
          <cell r="A308" t="str">
            <v>M1</v>
          </cell>
          <cell r="B308" t="str">
            <v>A5C</v>
          </cell>
          <cell r="C308" t="str">
            <v>P</v>
          </cell>
          <cell r="D308" t="str">
            <v>22065</v>
          </cell>
          <cell r="E308" t="str">
            <v>TEE</v>
          </cell>
          <cell r="F308">
            <v>2</v>
          </cell>
          <cell r="G308" t="str">
            <v>CB400300000H00</v>
          </cell>
          <cell r="H308">
            <v>0.5</v>
          </cell>
          <cell r="I308" t="str">
            <v>--</v>
          </cell>
          <cell r="J308">
            <v>1</v>
          </cell>
          <cell r="K308">
            <v>1</v>
          </cell>
        </row>
        <row r="309">
          <cell r="A309" t="str">
            <v>M1</v>
          </cell>
          <cell r="B309" t="str">
            <v>A5C</v>
          </cell>
          <cell r="C309" t="str">
            <v>SCC</v>
          </cell>
          <cell r="D309" t="str">
            <v>HOLD1</v>
          </cell>
          <cell r="E309" t="str">
            <v>TEE</v>
          </cell>
          <cell r="F309">
            <v>2</v>
          </cell>
          <cell r="G309" t="str">
            <v>CB400300000H00</v>
          </cell>
          <cell r="H309">
            <v>0.5</v>
          </cell>
          <cell r="I309" t="str">
            <v>--</v>
          </cell>
          <cell r="J309">
            <v>3</v>
          </cell>
          <cell r="K309">
            <v>3</v>
          </cell>
        </row>
        <row r="310">
          <cell r="A310" t="str">
            <v>M1</v>
          </cell>
          <cell r="B310" t="str">
            <v>A5C</v>
          </cell>
          <cell r="C310" t="str">
            <v>P</v>
          </cell>
          <cell r="D310" t="str">
            <v>22107</v>
          </cell>
          <cell r="E310" t="str">
            <v>TEE</v>
          </cell>
          <cell r="F310">
            <v>2</v>
          </cell>
          <cell r="G310" t="str">
            <v>CB400300000H00</v>
          </cell>
          <cell r="H310">
            <v>0.5</v>
          </cell>
          <cell r="I310" t="str">
            <v>--</v>
          </cell>
          <cell r="J310">
            <v>8</v>
          </cell>
          <cell r="K310">
            <v>8</v>
          </cell>
        </row>
        <row r="311">
          <cell r="A311" t="str">
            <v>M1</v>
          </cell>
          <cell r="B311" t="str">
            <v>A5C</v>
          </cell>
          <cell r="C311" t="str">
            <v>SCD</v>
          </cell>
          <cell r="D311" t="str">
            <v>HOLD1</v>
          </cell>
          <cell r="E311" t="str">
            <v>TEE</v>
          </cell>
          <cell r="F311">
            <v>2</v>
          </cell>
          <cell r="G311" t="str">
            <v>CB400300000H00</v>
          </cell>
          <cell r="H311">
            <v>0.5</v>
          </cell>
          <cell r="I311" t="str">
            <v>--</v>
          </cell>
          <cell r="J311">
            <v>2</v>
          </cell>
          <cell r="K311">
            <v>2</v>
          </cell>
        </row>
        <row r="312">
          <cell r="A312" t="str">
            <v>M1</v>
          </cell>
          <cell r="B312" t="str">
            <v>A5C</v>
          </cell>
          <cell r="C312" t="str">
            <v>P</v>
          </cell>
          <cell r="D312" t="str">
            <v>22041</v>
          </cell>
          <cell r="E312" t="str">
            <v>CPLG</v>
          </cell>
          <cell r="F312">
            <v>2</v>
          </cell>
          <cell r="G312" t="str">
            <v>CB400500000H00</v>
          </cell>
          <cell r="H312">
            <v>0.5</v>
          </cell>
          <cell r="I312" t="str">
            <v>--</v>
          </cell>
          <cell r="J312">
            <v>1</v>
          </cell>
          <cell r="K312">
            <v>1</v>
          </cell>
        </row>
        <row r="313">
          <cell r="A313" t="str">
            <v>M1</v>
          </cell>
          <cell r="B313" t="str">
            <v>A6C</v>
          </cell>
          <cell r="C313" t="str">
            <v>HOS</v>
          </cell>
          <cell r="D313" t="str">
            <v>65624</v>
          </cell>
          <cell r="E313" t="str">
            <v>NPL</v>
          </cell>
          <cell r="F313">
            <v>2</v>
          </cell>
          <cell r="G313" t="str">
            <v>CB132308000HVR</v>
          </cell>
          <cell r="H313">
            <v>0.5</v>
          </cell>
          <cell r="I313" t="str">
            <v>75mm</v>
          </cell>
          <cell r="J313">
            <v>2</v>
          </cell>
          <cell r="K313">
            <v>2</v>
          </cell>
        </row>
        <row r="314">
          <cell r="A314" t="str">
            <v>M1</v>
          </cell>
          <cell r="B314" t="str">
            <v>A6C</v>
          </cell>
          <cell r="C314" t="str">
            <v>HOS</v>
          </cell>
          <cell r="D314" t="str">
            <v>65615</v>
          </cell>
          <cell r="E314" t="str">
            <v>NPL</v>
          </cell>
          <cell r="F314">
            <v>2</v>
          </cell>
          <cell r="G314" t="str">
            <v>CB132308000HVR</v>
          </cell>
          <cell r="H314">
            <v>0.5</v>
          </cell>
          <cell r="I314" t="str">
            <v>75mm</v>
          </cell>
          <cell r="J314">
            <v>2</v>
          </cell>
          <cell r="K314">
            <v>2</v>
          </cell>
        </row>
        <row r="315">
          <cell r="A315" t="str">
            <v>M1</v>
          </cell>
          <cell r="B315" t="str">
            <v>A6C</v>
          </cell>
          <cell r="C315" t="str">
            <v>HOS</v>
          </cell>
          <cell r="D315" t="str">
            <v>65628</v>
          </cell>
          <cell r="E315" t="str">
            <v>NPL</v>
          </cell>
          <cell r="F315">
            <v>2</v>
          </cell>
          <cell r="G315" t="str">
            <v>CB132308000HVR</v>
          </cell>
          <cell r="H315">
            <v>0.5</v>
          </cell>
          <cell r="I315" t="str">
            <v>75mm</v>
          </cell>
          <cell r="J315">
            <v>2</v>
          </cell>
          <cell r="K315">
            <v>2</v>
          </cell>
        </row>
        <row r="316">
          <cell r="A316" t="str">
            <v>M1</v>
          </cell>
          <cell r="B316" t="str">
            <v>B2C</v>
          </cell>
          <cell r="C316" t="str">
            <v>SH</v>
          </cell>
          <cell r="D316" t="str">
            <v>22601</v>
          </cell>
          <cell r="E316" t="str">
            <v>CAP</v>
          </cell>
          <cell r="F316">
            <v>2</v>
          </cell>
          <cell r="G316" t="str">
            <v>CB520700000T00</v>
          </cell>
          <cell r="H316">
            <v>0.75</v>
          </cell>
          <cell r="I316" t="str">
            <v>--</v>
          </cell>
          <cell r="J316">
            <v>1</v>
          </cell>
          <cell r="K316">
            <v>1</v>
          </cell>
        </row>
        <row r="317">
          <cell r="A317" t="str">
            <v>M1</v>
          </cell>
          <cell r="B317" t="str">
            <v>B2C</v>
          </cell>
          <cell r="C317" t="str">
            <v>SH</v>
          </cell>
          <cell r="D317" t="str">
            <v>22612</v>
          </cell>
          <cell r="E317" t="str">
            <v>CAP</v>
          </cell>
          <cell r="F317">
            <v>2</v>
          </cell>
          <cell r="G317" t="str">
            <v>CB520700000T00</v>
          </cell>
          <cell r="H317">
            <v>0.75</v>
          </cell>
          <cell r="I317" t="str">
            <v>--</v>
          </cell>
          <cell r="J317">
            <v>1</v>
          </cell>
          <cell r="K317">
            <v>1</v>
          </cell>
        </row>
        <row r="318">
          <cell r="A318" t="str">
            <v>M1</v>
          </cell>
          <cell r="B318" t="str">
            <v>B2C</v>
          </cell>
          <cell r="C318" t="str">
            <v>SH</v>
          </cell>
          <cell r="D318" t="str">
            <v>22613</v>
          </cell>
          <cell r="E318" t="str">
            <v>CAP</v>
          </cell>
          <cell r="F318">
            <v>2</v>
          </cell>
          <cell r="G318" t="str">
            <v>CB520700000T00</v>
          </cell>
          <cell r="H318">
            <v>0.75</v>
          </cell>
          <cell r="I318" t="str">
            <v>--</v>
          </cell>
          <cell r="J318">
            <v>1</v>
          </cell>
          <cell r="K318">
            <v>1</v>
          </cell>
        </row>
        <row r="319">
          <cell r="A319" t="str">
            <v>M1</v>
          </cell>
          <cell r="B319" t="str">
            <v>B2C</v>
          </cell>
          <cell r="C319" t="str">
            <v>TRIM</v>
          </cell>
          <cell r="D319" t="str">
            <v>V-2218</v>
          </cell>
          <cell r="E319" t="str">
            <v>CAP</v>
          </cell>
          <cell r="F319">
            <v>2</v>
          </cell>
          <cell r="G319" t="str">
            <v>CB520700000T00</v>
          </cell>
          <cell r="H319">
            <v>0.75</v>
          </cell>
          <cell r="I319" t="str">
            <v>--</v>
          </cell>
          <cell r="J319">
            <v>2</v>
          </cell>
          <cell r="K319">
            <v>2</v>
          </cell>
        </row>
        <row r="320">
          <cell r="A320" t="str">
            <v>M1</v>
          </cell>
          <cell r="B320" t="str">
            <v>B2C</v>
          </cell>
          <cell r="C320" t="str">
            <v>SH</v>
          </cell>
          <cell r="D320" t="str">
            <v>22612</v>
          </cell>
          <cell r="E320" t="str">
            <v>NPL</v>
          </cell>
          <cell r="F320">
            <v>2</v>
          </cell>
          <cell r="G320" t="str">
            <v>CB132308000TVR</v>
          </cell>
          <cell r="H320">
            <v>0.75</v>
          </cell>
          <cell r="I320" t="str">
            <v>75mm</v>
          </cell>
          <cell r="J320">
            <v>1</v>
          </cell>
          <cell r="K320">
            <v>1</v>
          </cell>
        </row>
        <row r="321">
          <cell r="A321" t="str">
            <v>M1</v>
          </cell>
          <cell r="B321" t="str">
            <v>B2C</v>
          </cell>
          <cell r="C321" t="str">
            <v>SH</v>
          </cell>
          <cell r="D321" t="str">
            <v>22612</v>
          </cell>
          <cell r="E321" t="str">
            <v>NPL</v>
          </cell>
          <cell r="F321">
            <v>2</v>
          </cell>
          <cell r="G321" t="str">
            <v>CB132108000TVR</v>
          </cell>
          <cell r="H321">
            <v>0.75</v>
          </cell>
          <cell r="I321" t="str">
            <v>75mm</v>
          </cell>
          <cell r="J321">
            <v>2</v>
          </cell>
          <cell r="K321">
            <v>2</v>
          </cell>
        </row>
        <row r="322">
          <cell r="A322" t="str">
            <v>M1</v>
          </cell>
          <cell r="B322" t="str">
            <v>B2C</v>
          </cell>
          <cell r="C322" t="str">
            <v>SH</v>
          </cell>
          <cell r="D322" t="str">
            <v>22601</v>
          </cell>
          <cell r="E322" t="str">
            <v>NPL</v>
          </cell>
          <cell r="F322">
            <v>2</v>
          </cell>
          <cell r="G322" t="str">
            <v>CB132308000TVR</v>
          </cell>
          <cell r="H322">
            <v>0.75</v>
          </cell>
          <cell r="I322" t="str">
            <v>75mm</v>
          </cell>
          <cell r="J322">
            <v>1</v>
          </cell>
          <cell r="K322">
            <v>1</v>
          </cell>
        </row>
        <row r="323">
          <cell r="A323" t="str">
            <v>M1</v>
          </cell>
          <cell r="B323" t="str">
            <v>B2C</v>
          </cell>
          <cell r="C323" t="str">
            <v>SH</v>
          </cell>
          <cell r="D323" t="str">
            <v>22613</v>
          </cell>
          <cell r="E323" t="str">
            <v>NPL</v>
          </cell>
          <cell r="F323">
            <v>2</v>
          </cell>
          <cell r="G323" t="str">
            <v>CB132108000TVR</v>
          </cell>
          <cell r="H323">
            <v>0.75</v>
          </cell>
          <cell r="I323" t="str">
            <v>75mm</v>
          </cell>
          <cell r="J323">
            <v>2</v>
          </cell>
          <cell r="K323">
            <v>2</v>
          </cell>
        </row>
        <row r="324">
          <cell r="A324" t="str">
            <v>M1</v>
          </cell>
          <cell r="B324" t="str">
            <v>B2C</v>
          </cell>
          <cell r="C324" t="str">
            <v>SH</v>
          </cell>
          <cell r="D324" t="str">
            <v>22613</v>
          </cell>
          <cell r="E324" t="str">
            <v>NPL</v>
          </cell>
          <cell r="F324">
            <v>2</v>
          </cell>
          <cell r="G324" t="str">
            <v>CB132208000TVR</v>
          </cell>
          <cell r="H324">
            <v>0.75</v>
          </cell>
          <cell r="I324" t="str">
            <v>75mm</v>
          </cell>
          <cell r="J324">
            <v>1</v>
          </cell>
          <cell r="K324">
            <v>1</v>
          </cell>
        </row>
        <row r="325">
          <cell r="A325" t="str">
            <v>M1</v>
          </cell>
          <cell r="B325" t="str">
            <v>B2C</v>
          </cell>
          <cell r="C325" t="str">
            <v>TRIM</v>
          </cell>
          <cell r="D325" t="str">
            <v>V-2218</v>
          </cell>
          <cell r="E325" t="str">
            <v>NPL</v>
          </cell>
          <cell r="F325">
            <v>2</v>
          </cell>
          <cell r="G325" t="str">
            <v>CB132108000TVR</v>
          </cell>
          <cell r="H325">
            <v>0.75</v>
          </cell>
          <cell r="I325" t="str">
            <v>75mm</v>
          </cell>
          <cell r="J325">
            <v>4</v>
          </cell>
          <cell r="K325">
            <v>4</v>
          </cell>
        </row>
        <row r="326">
          <cell r="A326" t="str">
            <v>M1</v>
          </cell>
          <cell r="B326" t="str">
            <v>B2C</v>
          </cell>
          <cell r="C326" t="str">
            <v>TRIM</v>
          </cell>
          <cell r="D326" t="str">
            <v>V-2218</v>
          </cell>
          <cell r="E326" t="str">
            <v>NPL</v>
          </cell>
          <cell r="F326">
            <v>2</v>
          </cell>
          <cell r="G326" t="str">
            <v>CB132308000TVR</v>
          </cell>
          <cell r="H326">
            <v>0.75</v>
          </cell>
          <cell r="I326" t="str">
            <v>75mm</v>
          </cell>
          <cell r="J326">
            <v>2</v>
          </cell>
          <cell r="K326">
            <v>2</v>
          </cell>
        </row>
        <row r="327">
          <cell r="A327" t="str">
            <v>M1</v>
          </cell>
          <cell r="B327" t="str">
            <v>B2C</v>
          </cell>
          <cell r="C327" t="str">
            <v>SH</v>
          </cell>
          <cell r="D327" t="str">
            <v>22614</v>
          </cell>
          <cell r="E327" t="str">
            <v>NPL</v>
          </cell>
          <cell r="F327">
            <v>2</v>
          </cell>
          <cell r="G327" t="str">
            <v>CB132108000TVR</v>
          </cell>
          <cell r="H327">
            <v>0.75</v>
          </cell>
          <cell r="I327" t="str">
            <v>75mm</v>
          </cell>
          <cell r="J327">
            <v>1</v>
          </cell>
          <cell r="K327">
            <v>1</v>
          </cell>
        </row>
        <row r="328">
          <cell r="A328" t="str">
            <v>M1</v>
          </cell>
          <cell r="B328" t="str">
            <v>A5C</v>
          </cell>
          <cell r="C328" t="str">
            <v>N</v>
          </cell>
          <cell r="D328" t="str">
            <v>22617</v>
          </cell>
          <cell r="E328" t="str">
            <v>90 ELL</v>
          </cell>
          <cell r="F328">
            <v>2</v>
          </cell>
          <cell r="G328" t="str">
            <v>CB400100001000</v>
          </cell>
          <cell r="H328">
            <v>0.75</v>
          </cell>
          <cell r="I328" t="str">
            <v>--</v>
          </cell>
          <cell r="J328">
            <v>2</v>
          </cell>
          <cell r="K328">
            <v>2</v>
          </cell>
        </row>
        <row r="329">
          <cell r="A329" t="str">
            <v>M1</v>
          </cell>
          <cell r="B329" t="str">
            <v>A5C</v>
          </cell>
          <cell r="C329" t="str">
            <v>P</v>
          </cell>
          <cell r="D329" t="str">
            <v>22069</v>
          </cell>
          <cell r="E329" t="str">
            <v>90 ELL</v>
          </cell>
          <cell r="F329">
            <v>2</v>
          </cell>
          <cell r="G329" t="str">
            <v>CB400100001000</v>
          </cell>
          <cell r="H329">
            <v>0.75</v>
          </cell>
          <cell r="I329" t="str">
            <v>--</v>
          </cell>
          <cell r="J329">
            <v>4</v>
          </cell>
          <cell r="K329">
            <v>4</v>
          </cell>
        </row>
        <row r="330">
          <cell r="A330" t="str">
            <v>M1</v>
          </cell>
          <cell r="B330" t="str">
            <v>A5C</v>
          </cell>
          <cell r="C330" t="str">
            <v>P</v>
          </cell>
          <cell r="D330" t="str">
            <v>22071</v>
          </cell>
          <cell r="E330" t="str">
            <v>90 ELL</v>
          </cell>
          <cell r="F330">
            <v>2</v>
          </cell>
          <cell r="G330" t="str">
            <v>CB400100001000</v>
          </cell>
          <cell r="H330">
            <v>0.75</v>
          </cell>
          <cell r="I330" t="str">
            <v>--</v>
          </cell>
          <cell r="J330">
            <v>1</v>
          </cell>
          <cell r="K330">
            <v>1</v>
          </cell>
        </row>
        <row r="331">
          <cell r="A331" t="str">
            <v>M1</v>
          </cell>
          <cell r="B331" t="str">
            <v>A5C</v>
          </cell>
          <cell r="C331" t="str">
            <v>P</v>
          </cell>
          <cell r="D331" t="str">
            <v>22102</v>
          </cell>
          <cell r="E331" t="str">
            <v>90 ELL</v>
          </cell>
          <cell r="F331">
            <v>2</v>
          </cell>
          <cell r="G331" t="str">
            <v>CB400100001000</v>
          </cell>
          <cell r="H331">
            <v>0.75</v>
          </cell>
          <cell r="I331" t="str">
            <v>--</v>
          </cell>
          <cell r="J331">
            <v>2</v>
          </cell>
          <cell r="K331">
            <v>2</v>
          </cell>
        </row>
        <row r="332">
          <cell r="A332" t="str">
            <v>M1</v>
          </cell>
          <cell r="B332" t="str">
            <v>A5C</v>
          </cell>
          <cell r="C332" t="str">
            <v>P</v>
          </cell>
          <cell r="D332" t="str">
            <v>22130</v>
          </cell>
          <cell r="E332" t="str">
            <v>90 ELL</v>
          </cell>
          <cell r="F332">
            <v>2</v>
          </cell>
          <cell r="G332" t="str">
            <v>CB400100001000</v>
          </cell>
          <cell r="H332">
            <v>0.75</v>
          </cell>
          <cell r="I332" t="str">
            <v>--</v>
          </cell>
          <cell r="J332">
            <v>2</v>
          </cell>
          <cell r="K332">
            <v>2</v>
          </cell>
        </row>
        <row r="333">
          <cell r="A333" t="str">
            <v>M1</v>
          </cell>
          <cell r="B333" t="str">
            <v>A5C</v>
          </cell>
          <cell r="C333" t="str">
            <v>P</v>
          </cell>
          <cell r="D333" t="str">
            <v>22139</v>
          </cell>
          <cell r="E333" t="str">
            <v>90 ELL</v>
          </cell>
          <cell r="F333">
            <v>2</v>
          </cell>
          <cell r="G333" t="str">
            <v>CB400100001000</v>
          </cell>
          <cell r="H333">
            <v>0.75</v>
          </cell>
          <cell r="I333" t="str">
            <v>--</v>
          </cell>
          <cell r="J333">
            <v>2</v>
          </cell>
          <cell r="K333">
            <v>2</v>
          </cell>
        </row>
        <row r="334">
          <cell r="A334" t="str">
            <v>M1</v>
          </cell>
          <cell r="B334" t="str">
            <v>A5C</v>
          </cell>
          <cell r="C334" t="str">
            <v>P</v>
          </cell>
          <cell r="D334" t="str">
            <v>22140</v>
          </cell>
          <cell r="E334" t="str">
            <v>90 ELL</v>
          </cell>
          <cell r="F334">
            <v>2</v>
          </cell>
          <cell r="G334" t="str">
            <v>CB400100001000</v>
          </cell>
          <cell r="H334">
            <v>0.75</v>
          </cell>
          <cell r="I334" t="str">
            <v>--</v>
          </cell>
          <cell r="J334">
            <v>2</v>
          </cell>
          <cell r="K334">
            <v>2</v>
          </cell>
        </row>
        <row r="335">
          <cell r="A335" t="str">
            <v>M1</v>
          </cell>
          <cell r="B335" t="str">
            <v>A5C</v>
          </cell>
          <cell r="C335" t="str">
            <v>P</v>
          </cell>
          <cell r="D335" t="str">
            <v>24029</v>
          </cell>
          <cell r="E335" t="str">
            <v>90 ELL</v>
          </cell>
          <cell r="F335">
            <v>2</v>
          </cell>
          <cell r="G335" t="str">
            <v>CB400100001000</v>
          </cell>
          <cell r="H335">
            <v>0.75</v>
          </cell>
          <cell r="I335" t="str">
            <v>--</v>
          </cell>
          <cell r="J335">
            <v>5</v>
          </cell>
          <cell r="K335">
            <v>5</v>
          </cell>
        </row>
        <row r="336">
          <cell r="A336" t="str">
            <v>M1</v>
          </cell>
          <cell r="B336" t="str">
            <v>A5C</v>
          </cell>
          <cell r="C336" t="str">
            <v>SCC</v>
          </cell>
          <cell r="D336" t="str">
            <v>HOLD1</v>
          </cell>
          <cell r="E336" t="str">
            <v>90 ELL</v>
          </cell>
          <cell r="F336">
            <v>2</v>
          </cell>
          <cell r="G336" t="str">
            <v>CB400100001000</v>
          </cell>
          <cell r="H336">
            <v>0.75</v>
          </cell>
          <cell r="I336" t="str">
            <v>--</v>
          </cell>
          <cell r="J336">
            <v>18</v>
          </cell>
          <cell r="K336">
            <v>18</v>
          </cell>
        </row>
        <row r="337">
          <cell r="A337" t="str">
            <v>M1</v>
          </cell>
          <cell r="B337" t="str">
            <v>A5C</v>
          </cell>
          <cell r="C337" t="str">
            <v>SCD</v>
          </cell>
          <cell r="D337" t="str">
            <v>HOLD1</v>
          </cell>
          <cell r="E337" t="str">
            <v>90 ELL</v>
          </cell>
          <cell r="F337">
            <v>2</v>
          </cell>
          <cell r="G337" t="str">
            <v>CB400100001000</v>
          </cell>
          <cell r="H337">
            <v>0.75</v>
          </cell>
          <cell r="I337" t="str">
            <v>--</v>
          </cell>
          <cell r="J337">
            <v>8</v>
          </cell>
          <cell r="K337">
            <v>8</v>
          </cell>
        </row>
        <row r="338">
          <cell r="A338" t="str">
            <v>M1</v>
          </cell>
          <cell r="B338" t="str">
            <v>A5C</v>
          </cell>
          <cell r="C338" t="str">
            <v>TRIM</v>
          </cell>
          <cell r="D338" t="str">
            <v>V-2206</v>
          </cell>
          <cell r="E338" t="str">
            <v>90 ELL</v>
          </cell>
          <cell r="F338">
            <v>2</v>
          </cell>
          <cell r="G338" t="str">
            <v>CB400100001000</v>
          </cell>
          <cell r="H338">
            <v>0.75</v>
          </cell>
          <cell r="I338" t="str">
            <v>--</v>
          </cell>
          <cell r="J338">
            <v>1</v>
          </cell>
          <cell r="K338">
            <v>1</v>
          </cell>
        </row>
        <row r="339">
          <cell r="A339" t="str">
            <v>M1</v>
          </cell>
          <cell r="B339" t="str">
            <v>A5C</v>
          </cell>
          <cell r="C339" t="str">
            <v>N</v>
          </cell>
          <cell r="D339" t="str">
            <v>22670</v>
          </cell>
          <cell r="E339" t="str">
            <v>90 ELL</v>
          </cell>
          <cell r="F339">
            <v>2</v>
          </cell>
          <cell r="G339" t="str">
            <v>CB400100001000</v>
          </cell>
          <cell r="H339">
            <v>0.75</v>
          </cell>
          <cell r="I339" t="str">
            <v>--</v>
          </cell>
          <cell r="J339">
            <v>1</v>
          </cell>
          <cell r="K339">
            <v>1</v>
          </cell>
        </row>
        <row r="340">
          <cell r="A340" t="str">
            <v>M1</v>
          </cell>
          <cell r="B340" t="str">
            <v>A5C</v>
          </cell>
          <cell r="C340" t="str">
            <v>P</v>
          </cell>
          <cell r="D340" t="str">
            <v>22065</v>
          </cell>
          <cell r="E340" t="str">
            <v>90 ELL</v>
          </cell>
          <cell r="F340">
            <v>2</v>
          </cell>
          <cell r="G340" t="str">
            <v>CB400100001000</v>
          </cell>
          <cell r="H340">
            <v>0.75</v>
          </cell>
          <cell r="I340" t="str">
            <v>--</v>
          </cell>
          <cell r="J340">
            <v>5</v>
          </cell>
          <cell r="K340">
            <v>5</v>
          </cell>
        </row>
        <row r="341">
          <cell r="A341" t="str">
            <v>M1</v>
          </cell>
          <cell r="B341" t="str">
            <v>A5C</v>
          </cell>
          <cell r="C341" t="str">
            <v>P</v>
          </cell>
          <cell r="D341" t="str">
            <v>22071</v>
          </cell>
          <cell r="E341" t="str">
            <v>90 ELL</v>
          </cell>
          <cell r="F341">
            <v>2</v>
          </cell>
          <cell r="G341" t="str">
            <v>CB400100001000</v>
          </cell>
          <cell r="H341">
            <v>0.75</v>
          </cell>
          <cell r="I341" t="str">
            <v>--</v>
          </cell>
          <cell r="J341">
            <v>4</v>
          </cell>
          <cell r="K341">
            <v>4</v>
          </cell>
        </row>
        <row r="342">
          <cell r="A342" t="str">
            <v>M1</v>
          </cell>
          <cell r="B342" t="str">
            <v>A5C</v>
          </cell>
          <cell r="C342" t="str">
            <v>P</v>
          </cell>
          <cell r="D342" t="str">
            <v>22065</v>
          </cell>
          <cell r="E342" t="str">
            <v>C SWG</v>
          </cell>
          <cell r="F342">
            <v>2</v>
          </cell>
          <cell r="G342" t="str">
            <v>CB161108080T0H</v>
          </cell>
          <cell r="H342">
            <v>0.75</v>
          </cell>
          <cell r="I342">
            <v>0.5</v>
          </cell>
          <cell r="J342">
            <v>1</v>
          </cell>
          <cell r="K342">
            <v>1</v>
          </cell>
        </row>
        <row r="343">
          <cell r="A343" t="str">
            <v>M1</v>
          </cell>
          <cell r="B343" t="str">
            <v>A5C</v>
          </cell>
          <cell r="C343" t="str">
            <v>SCD</v>
          </cell>
          <cell r="D343" t="str">
            <v>HOLD1</v>
          </cell>
          <cell r="E343" t="str">
            <v>C SWG</v>
          </cell>
          <cell r="F343">
            <v>2</v>
          </cell>
          <cell r="G343" t="str">
            <v>CB161308080T0Q</v>
          </cell>
          <cell r="H343">
            <v>0.75</v>
          </cell>
          <cell r="I343">
            <v>0.25</v>
          </cell>
          <cell r="J343">
            <v>2</v>
          </cell>
          <cell r="K343">
            <v>2</v>
          </cell>
        </row>
        <row r="344">
          <cell r="A344" t="str">
            <v>M1</v>
          </cell>
          <cell r="B344" t="str">
            <v>A5C</v>
          </cell>
          <cell r="C344" t="str">
            <v>SCD</v>
          </cell>
          <cell r="D344" t="str">
            <v>HOLD1</v>
          </cell>
          <cell r="E344" t="str">
            <v>C SWG</v>
          </cell>
          <cell r="F344">
            <v>2</v>
          </cell>
          <cell r="G344" t="str">
            <v>CB161108080T0H</v>
          </cell>
          <cell r="H344">
            <v>0.75</v>
          </cell>
          <cell r="I344">
            <v>0.5</v>
          </cell>
          <cell r="J344">
            <v>2</v>
          </cell>
          <cell r="K344">
            <v>2</v>
          </cell>
        </row>
        <row r="345">
          <cell r="A345" t="str">
            <v>M1</v>
          </cell>
          <cell r="B345" t="str">
            <v>A5C</v>
          </cell>
          <cell r="C345" t="str">
            <v>SCC</v>
          </cell>
          <cell r="D345" t="str">
            <v>HOLD1</v>
          </cell>
          <cell r="E345" t="str">
            <v>C SWG</v>
          </cell>
          <cell r="F345">
            <v>2</v>
          </cell>
          <cell r="G345" t="str">
            <v>CB161308080T0Q</v>
          </cell>
          <cell r="H345">
            <v>0.75</v>
          </cell>
          <cell r="I345">
            <v>0.25</v>
          </cell>
          <cell r="J345">
            <v>3</v>
          </cell>
          <cell r="K345">
            <v>3</v>
          </cell>
        </row>
        <row r="346">
          <cell r="A346" t="str">
            <v>M1</v>
          </cell>
          <cell r="B346" t="str">
            <v>A5C</v>
          </cell>
          <cell r="C346" t="str">
            <v>SCC</v>
          </cell>
          <cell r="D346" t="str">
            <v>HOLD1</v>
          </cell>
          <cell r="E346" t="str">
            <v>C SWG</v>
          </cell>
          <cell r="F346">
            <v>2</v>
          </cell>
          <cell r="G346" t="str">
            <v>CB161108080T0H</v>
          </cell>
          <cell r="H346">
            <v>0.75</v>
          </cell>
          <cell r="I346">
            <v>0.5</v>
          </cell>
          <cell r="J346">
            <v>3</v>
          </cell>
          <cell r="K346">
            <v>3</v>
          </cell>
        </row>
        <row r="347">
          <cell r="A347" t="str">
            <v>M1</v>
          </cell>
          <cell r="B347" t="str">
            <v>A5C</v>
          </cell>
          <cell r="C347" t="str">
            <v>N</v>
          </cell>
          <cell r="D347" t="str">
            <v>25611</v>
          </cell>
          <cell r="E347" t="str">
            <v>CAP</v>
          </cell>
          <cell r="F347">
            <v>2</v>
          </cell>
          <cell r="G347" t="str">
            <v>CB520700000T00</v>
          </cell>
          <cell r="H347">
            <v>0.75</v>
          </cell>
          <cell r="I347" t="str">
            <v>--</v>
          </cell>
          <cell r="J347">
            <v>1</v>
          </cell>
          <cell r="K347">
            <v>1</v>
          </cell>
        </row>
        <row r="348">
          <cell r="A348" t="str">
            <v>M1</v>
          </cell>
          <cell r="B348" t="str">
            <v>A5C</v>
          </cell>
          <cell r="C348" t="str">
            <v>P</v>
          </cell>
          <cell r="D348" t="str">
            <v>22065</v>
          </cell>
          <cell r="E348" t="str">
            <v>CAP</v>
          </cell>
          <cell r="F348">
            <v>2</v>
          </cell>
          <cell r="G348" t="str">
            <v>CB520700000T00</v>
          </cell>
          <cell r="H348">
            <v>0.75</v>
          </cell>
          <cell r="I348" t="str">
            <v>--</v>
          </cell>
          <cell r="J348">
            <v>4</v>
          </cell>
          <cell r="K348">
            <v>4</v>
          </cell>
        </row>
        <row r="349">
          <cell r="A349" t="str">
            <v>M1</v>
          </cell>
          <cell r="B349" t="str">
            <v>A5C</v>
          </cell>
          <cell r="C349" t="str">
            <v>P</v>
          </cell>
          <cell r="D349" t="str">
            <v>22068</v>
          </cell>
          <cell r="E349" t="str">
            <v>CAP</v>
          </cell>
          <cell r="F349">
            <v>2</v>
          </cell>
          <cell r="G349" t="str">
            <v>CB520700000T00</v>
          </cell>
          <cell r="H349">
            <v>0.75</v>
          </cell>
          <cell r="I349" t="str">
            <v>--</v>
          </cell>
          <cell r="J349">
            <v>2</v>
          </cell>
          <cell r="K349">
            <v>2</v>
          </cell>
        </row>
        <row r="350">
          <cell r="A350" t="str">
            <v>M1</v>
          </cell>
          <cell r="B350" t="str">
            <v>A5C</v>
          </cell>
          <cell r="C350" t="str">
            <v>P</v>
          </cell>
          <cell r="D350" t="str">
            <v>22069</v>
          </cell>
          <cell r="E350" t="str">
            <v>CAP</v>
          </cell>
          <cell r="F350">
            <v>2</v>
          </cell>
          <cell r="G350" t="str">
            <v>CB520700000T00</v>
          </cell>
          <cell r="H350">
            <v>0.75</v>
          </cell>
          <cell r="I350" t="str">
            <v>--</v>
          </cell>
          <cell r="J350">
            <v>2</v>
          </cell>
          <cell r="K350">
            <v>2</v>
          </cell>
        </row>
        <row r="351">
          <cell r="A351" t="str">
            <v>M1</v>
          </cell>
          <cell r="B351" t="str">
            <v>A5C</v>
          </cell>
          <cell r="C351" t="str">
            <v>P</v>
          </cell>
          <cell r="D351" t="str">
            <v>22069</v>
          </cell>
          <cell r="E351" t="str">
            <v>CAP</v>
          </cell>
          <cell r="F351">
            <v>2</v>
          </cell>
          <cell r="G351" t="str">
            <v>CB520700000T00</v>
          </cell>
          <cell r="H351">
            <v>0.75</v>
          </cell>
          <cell r="I351" t="str">
            <v>--</v>
          </cell>
          <cell r="J351">
            <v>1</v>
          </cell>
          <cell r="K351">
            <v>1</v>
          </cell>
        </row>
        <row r="352">
          <cell r="A352" t="str">
            <v>M1</v>
          </cell>
          <cell r="B352" t="str">
            <v>A5C</v>
          </cell>
          <cell r="C352" t="str">
            <v>P</v>
          </cell>
          <cell r="D352" t="str">
            <v>22071</v>
          </cell>
          <cell r="E352" t="str">
            <v>CAP</v>
          </cell>
          <cell r="F352">
            <v>2</v>
          </cell>
          <cell r="G352" t="str">
            <v>CB520700000T00</v>
          </cell>
          <cell r="H352">
            <v>0.75</v>
          </cell>
          <cell r="I352" t="str">
            <v>--</v>
          </cell>
          <cell r="J352">
            <v>1</v>
          </cell>
          <cell r="K352">
            <v>1</v>
          </cell>
        </row>
        <row r="353">
          <cell r="A353" t="str">
            <v>M1</v>
          </cell>
          <cell r="B353" t="str">
            <v>A5C</v>
          </cell>
          <cell r="C353" t="str">
            <v>P</v>
          </cell>
          <cell r="D353" t="str">
            <v>22078</v>
          </cell>
          <cell r="E353" t="str">
            <v>CAP</v>
          </cell>
          <cell r="F353">
            <v>2</v>
          </cell>
          <cell r="G353" t="str">
            <v>CB520700000T00</v>
          </cell>
          <cell r="H353">
            <v>0.75</v>
          </cell>
          <cell r="I353" t="str">
            <v>--</v>
          </cell>
          <cell r="J353">
            <v>1</v>
          </cell>
          <cell r="K353">
            <v>1</v>
          </cell>
        </row>
        <row r="354">
          <cell r="A354" t="str">
            <v>M1</v>
          </cell>
          <cell r="B354" t="str">
            <v>A5C</v>
          </cell>
          <cell r="C354" t="str">
            <v>P</v>
          </cell>
          <cell r="D354" t="str">
            <v>22087</v>
          </cell>
          <cell r="E354" t="str">
            <v>CAP</v>
          </cell>
          <cell r="F354">
            <v>2</v>
          </cell>
          <cell r="G354" t="str">
            <v>CB520700000T00</v>
          </cell>
          <cell r="H354">
            <v>0.75</v>
          </cell>
          <cell r="I354" t="str">
            <v>--</v>
          </cell>
          <cell r="J354">
            <v>1</v>
          </cell>
          <cell r="K354">
            <v>1</v>
          </cell>
        </row>
        <row r="355">
          <cell r="A355" t="str">
            <v>M1</v>
          </cell>
          <cell r="B355" t="str">
            <v>A5C</v>
          </cell>
          <cell r="C355" t="str">
            <v>P</v>
          </cell>
          <cell r="D355" t="str">
            <v>22071</v>
          </cell>
          <cell r="E355" t="str">
            <v>CAP</v>
          </cell>
          <cell r="F355">
            <v>2</v>
          </cell>
          <cell r="G355" t="str">
            <v>CB520700000T00</v>
          </cell>
          <cell r="H355">
            <v>0.75</v>
          </cell>
          <cell r="I355" t="str">
            <v>--</v>
          </cell>
          <cell r="J355">
            <v>2</v>
          </cell>
          <cell r="K355">
            <v>2</v>
          </cell>
        </row>
        <row r="356">
          <cell r="A356" t="str">
            <v>M1</v>
          </cell>
          <cell r="B356" t="str">
            <v>A5C</v>
          </cell>
          <cell r="C356" t="str">
            <v>P</v>
          </cell>
          <cell r="D356" t="str">
            <v>22071</v>
          </cell>
          <cell r="E356" t="str">
            <v>CAP</v>
          </cell>
          <cell r="F356">
            <v>2</v>
          </cell>
          <cell r="G356" t="str">
            <v>CB520700000T00</v>
          </cell>
          <cell r="H356">
            <v>0.75</v>
          </cell>
          <cell r="I356" t="str">
            <v>--</v>
          </cell>
          <cell r="J356">
            <v>4</v>
          </cell>
          <cell r="K356">
            <v>4</v>
          </cell>
        </row>
        <row r="357">
          <cell r="A357" t="str">
            <v>M1</v>
          </cell>
          <cell r="B357" t="str">
            <v>A5C</v>
          </cell>
          <cell r="C357" t="str">
            <v>P</v>
          </cell>
          <cell r="D357" t="str">
            <v>22081</v>
          </cell>
          <cell r="E357" t="str">
            <v>CAP</v>
          </cell>
          <cell r="F357">
            <v>2</v>
          </cell>
          <cell r="G357" t="str">
            <v>CB520700000T00</v>
          </cell>
          <cell r="H357">
            <v>0.75</v>
          </cell>
          <cell r="I357" t="str">
            <v>--</v>
          </cell>
          <cell r="J357">
            <v>3</v>
          </cell>
          <cell r="K357">
            <v>3</v>
          </cell>
        </row>
        <row r="358">
          <cell r="A358" t="str">
            <v>M1</v>
          </cell>
          <cell r="B358" t="str">
            <v>A5C</v>
          </cell>
          <cell r="C358" t="str">
            <v>P</v>
          </cell>
          <cell r="D358" t="str">
            <v>22101</v>
          </cell>
          <cell r="E358" t="str">
            <v>CAP</v>
          </cell>
          <cell r="F358">
            <v>2</v>
          </cell>
          <cell r="G358" t="str">
            <v>CB520700000T00</v>
          </cell>
          <cell r="H358">
            <v>0.75</v>
          </cell>
          <cell r="I358" t="str">
            <v>--</v>
          </cell>
          <cell r="J358">
            <v>2</v>
          </cell>
          <cell r="K358">
            <v>2</v>
          </cell>
        </row>
        <row r="359">
          <cell r="A359" t="str">
            <v>M1</v>
          </cell>
          <cell r="B359" t="str">
            <v>A5C</v>
          </cell>
          <cell r="C359" t="str">
            <v>P</v>
          </cell>
          <cell r="D359" t="str">
            <v>22102</v>
          </cell>
          <cell r="E359" t="str">
            <v>CAP</v>
          </cell>
          <cell r="F359">
            <v>2</v>
          </cell>
          <cell r="G359" t="str">
            <v>CB520700000T00</v>
          </cell>
          <cell r="H359">
            <v>0.75</v>
          </cell>
          <cell r="I359" t="str">
            <v>--</v>
          </cell>
          <cell r="J359">
            <v>2</v>
          </cell>
          <cell r="K359">
            <v>2</v>
          </cell>
        </row>
        <row r="360">
          <cell r="A360" t="str">
            <v>M1</v>
          </cell>
          <cell r="B360" t="str">
            <v>A5C</v>
          </cell>
          <cell r="C360" t="str">
            <v>P</v>
          </cell>
          <cell r="D360" t="str">
            <v>22103</v>
          </cell>
          <cell r="E360" t="str">
            <v>CAP</v>
          </cell>
          <cell r="F360">
            <v>2</v>
          </cell>
          <cell r="G360" t="str">
            <v>CB520700000T00</v>
          </cell>
          <cell r="H360">
            <v>0.75</v>
          </cell>
          <cell r="I360" t="str">
            <v>--</v>
          </cell>
          <cell r="J360">
            <v>1</v>
          </cell>
          <cell r="K360">
            <v>1</v>
          </cell>
        </row>
        <row r="361">
          <cell r="A361" t="str">
            <v>M1</v>
          </cell>
          <cell r="B361" t="str">
            <v>A5C</v>
          </cell>
          <cell r="C361" t="str">
            <v>P</v>
          </cell>
          <cell r="D361" t="str">
            <v>22114</v>
          </cell>
          <cell r="E361" t="str">
            <v>CAP</v>
          </cell>
          <cell r="F361">
            <v>2</v>
          </cell>
          <cell r="G361" t="str">
            <v>CB520700000T00</v>
          </cell>
          <cell r="H361">
            <v>0.75</v>
          </cell>
          <cell r="I361" t="str">
            <v>--</v>
          </cell>
          <cell r="J361">
            <v>1</v>
          </cell>
          <cell r="K361">
            <v>1</v>
          </cell>
        </row>
        <row r="362">
          <cell r="A362" t="str">
            <v>M1</v>
          </cell>
          <cell r="B362" t="str">
            <v>A5C</v>
          </cell>
          <cell r="C362" t="str">
            <v>P</v>
          </cell>
          <cell r="D362" t="str">
            <v>22113</v>
          </cell>
          <cell r="E362" t="str">
            <v>CAP</v>
          </cell>
          <cell r="F362">
            <v>2</v>
          </cell>
          <cell r="G362" t="str">
            <v>CB520700000T00</v>
          </cell>
          <cell r="H362">
            <v>0.75</v>
          </cell>
          <cell r="I362" t="str">
            <v>--</v>
          </cell>
          <cell r="J362">
            <v>1</v>
          </cell>
          <cell r="K362">
            <v>1</v>
          </cell>
        </row>
        <row r="363">
          <cell r="A363" t="str">
            <v>M1</v>
          </cell>
          <cell r="B363" t="str">
            <v>A5C</v>
          </cell>
          <cell r="C363" t="str">
            <v>SCD</v>
          </cell>
          <cell r="D363" t="str">
            <v>HOLD1</v>
          </cell>
          <cell r="E363" t="str">
            <v>CAP</v>
          </cell>
          <cell r="F363">
            <v>2</v>
          </cell>
          <cell r="G363" t="str">
            <v>CB520700000T00</v>
          </cell>
          <cell r="H363">
            <v>0.75</v>
          </cell>
          <cell r="I363" t="str">
            <v>--</v>
          </cell>
          <cell r="J363">
            <v>2</v>
          </cell>
          <cell r="K363">
            <v>2</v>
          </cell>
        </row>
        <row r="364">
          <cell r="A364" t="str">
            <v>M1</v>
          </cell>
          <cell r="B364" t="str">
            <v>A5C</v>
          </cell>
          <cell r="C364" t="str">
            <v>TRIM</v>
          </cell>
          <cell r="D364" t="str">
            <v>V-2211</v>
          </cell>
          <cell r="E364" t="str">
            <v>CAP</v>
          </cell>
          <cell r="F364">
            <v>2</v>
          </cell>
          <cell r="G364" t="str">
            <v>CB520700000T00</v>
          </cell>
          <cell r="H364">
            <v>0.75</v>
          </cell>
          <cell r="I364" t="str">
            <v>--</v>
          </cell>
          <cell r="J364">
            <v>2</v>
          </cell>
          <cell r="K364">
            <v>2</v>
          </cell>
        </row>
        <row r="365">
          <cell r="A365" t="str">
            <v>M1</v>
          </cell>
          <cell r="B365" t="str">
            <v>A5C</v>
          </cell>
          <cell r="C365" t="str">
            <v>P</v>
          </cell>
          <cell r="D365" t="str">
            <v>22028</v>
          </cell>
          <cell r="E365" t="str">
            <v>CAP</v>
          </cell>
          <cell r="F365">
            <v>2</v>
          </cell>
          <cell r="G365" t="str">
            <v>CB520700000T00</v>
          </cell>
          <cell r="H365">
            <v>0.75</v>
          </cell>
          <cell r="I365" t="str">
            <v>--</v>
          </cell>
          <cell r="J365">
            <v>1</v>
          </cell>
          <cell r="K365">
            <v>1</v>
          </cell>
        </row>
        <row r="366">
          <cell r="A366" t="str">
            <v>M1</v>
          </cell>
          <cell r="B366" t="str">
            <v>A5C</v>
          </cell>
          <cell r="C366" t="str">
            <v>P</v>
          </cell>
          <cell r="D366" t="str">
            <v>22066</v>
          </cell>
          <cell r="E366" t="str">
            <v>CAP</v>
          </cell>
          <cell r="F366">
            <v>2</v>
          </cell>
          <cell r="G366" t="str">
            <v>CB520700000T00</v>
          </cell>
          <cell r="H366">
            <v>0.75</v>
          </cell>
          <cell r="I366" t="str">
            <v>--</v>
          </cell>
          <cell r="J366">
            <v>4</v>
          </cell>
          <cell r="K366">
            <v>4</v>
          </cell>
        </row>
        <row r="367">
          <cell r="A367" t="str">
            <v>M1</v>
          </cell>
          <cell r="B367" t="str">
            <v>A5C</v>
          </cell>
          <cell r="C367" t="str">
            <v>P</v>
          </cell>
          <cell r="D367" t="str">
            <v>22082</v>
          </cell>
          <cell r="E367" t="str">
            <v>CAP</v>
          </cell>
          <cell r="F367">
            <v>2</v>
          </cell>
          <cell r="G367" t="str">
            <v>CB520700000T00</v>
          </cell>
          <cell r="H367">
            <v>0.75</v>
          </cell>
          <cell r="I367" t="str">
            <v>--</v>
          </cell>
          <cell r="J367">
            <v>2</v>
          </cell>
          <cell r="K367">
            <v>2</v>
          </cell>
        </row>
        <row r="368">
          <cell r="A368" t="str">
            <v>M1</v>
          </cell>
          <cell r="B368" t="str">
            <v>A5C</v>
          </cell>
          <cell r="C368" t="str">
            <v>P</v>
          </cell>
          <cell r="D368" t="str">
            <v>22102</v>
          </cell>
          <cell r="E368" t="str">
            <v>CAP</v>
          </cell>
          <cell r="F368">
            <v>2</v>
          </cell>
          <cell r="G368" t="str">
            <v>CB520700000T00</v>
          </cell>
          <cell r="H368">
            <v>0.75</v>
          </cell>
          <cell r="I368" t="str">
            <v>--</v>
          </cell>
          <cell r="J368">
            <v>2</v>
          </cell>
          <cell r="K368">
            <v>2</v>
          </cell>
        </row>
        <row r="369">
          <cell r="A369" t="str">
            <v>M1</v>
          </cell>
          <cell r="B369" t="str">
            <v>A5C</v>
          </cell>
          <cell r="C369" t="str">
            <v>P</v>
          </cell>
          <cell r="D369" t="str">
            <v>22104</v>
          </cell>
          <cell r="E369" t="str">
            <v>CAP</v>
          </cell>
          <cell r="F369">
            <v>2</v>
          </cell>
          <cell r="G369" t="str">
            <v>CB520700000T00</v>
          </cell>
          <cell r="H369">
            <v>0.75</v>
          </cell>
          <cell r="I369" t="str">
            <v>--</v>
          </cell>
          <cell r="J369">
            <v>1</v>
          </cell>
          <cell r="K369">
            <v>1</v>
          </cell>
        </row>
        <row r="370">
          <cell r="A370" t="str">
            <v>M1</v>
          </cell>
          <cell r="B370" t="str">
            <v>A5C</v>
          </cell>
          <cell r="C370" t="str">
            <v>P</v>
          </cell>
          <cell r="D370" t="str">
            <v>22106</v>
          </cell>
          <cell r="E370" t="str">
            <v>CAP</v>
          </cell>
          <cell r="F370">
            <v>2</v>
          </cell>
          <cell r="G370" t="str">
            <v>CB520700000T00</v>
          </cell>
          <cell r="H370">
            <v>0.75</v>
          </cell>
          <cell r="I370" t="str">
            <v>--</v>
          </cell>
          <cell r="J370">
            <v>2</v>
          </cell>
          <cell r="K370">
            <v>2</v>
          </cell>
        </row>
        <row r="371">
          <cell r="A371" t="str">
            <v>M1</v>
          </cell>
          <cell r="B371" t="str">
            <v>A5C</v>
          </cell>
          <cell r="C371" t="str">
            <v>P</v>
          </cell>
          <cell r="D371" t="str">
            <v>22153</v>
          </cell>
          <cell r="E371" t="str">
            <v>CAP</v>
          </cell>
          <cell r="F371">
            <v>2</v>
          </cell>
          <cell r="G371" t="str">
            <v>CB520700000T00</v>
          </cell>
          <cell r="H371">
            <v>0.75</v>
          </cell>
          <cell r="I371" t="str">
            <v>--</v>
          </cell>
          <cell r="J371">
            <v>2</v>
          </cell>
          <cell r="K371">
            <v>2</v>
          </cell>
        </row>
        <row r="372">
          <cell r="A372" t="str">
            <v>M1</v>
          </cell>
          <cell r="B372" t="str">
            <v>A5C</v>
          </cell>
          <cell r="C372" t="str">
            <v>N</v>
          </cell>
          <cell r="D372" t="str">
            <v>22670</v>
          </cell>
          <cell r="E372" t="str">
            <v>CPLG</v>
          </cell>
          <cell r="F372">
            <v>2</v>
          </cell>
          <cell r="G372" t="str">
            <v>CB400500000T00</v>
          </cell>
          <cell r="H372">
            <v>0.75</v>
          </cell>
          <cell r="I372" t="str">
            <v>--</v>
          </cell>
          <cell r="J372">
            <v>1</v>
          </cell>
          <cell r="K372">
            <v>1</v>
          </cell>
        </row>
        <row r="373">
          <cell r="A373" t="str">
            <v>M1</v>
          </cell>
          <cell r="B373" t="str">
            <v>A5C</v>
          </cell>
          <cell r="C373" t="str">
            <v>P</v>
          </cell>
          <cell r="D373" t="str">
            <v>22065</v>
          </cell>
          <cell r="E373" t="str">
            <v>CPLG</v>
          </cell>
          <cell r="F373">
            <v>2</v>
          </cell>
          <cell r="G373" t="str">
            <v>CB400500000T00</v>
          </cell>
          <cell r="H373">
            <v>0.75</v>
          </cell>
          <cell r="I373" t="str">
            <v>--</v>
          </cell>
          <cell r="J373">
            <v>2</v>
          </cell>
          <cell r="K373">
            <v>2</v>
          </cell>
        </row>
        <row r="374">
          <cell r="A374" t="str">
            <v>M1</v>
          </cell>
          <cell r="B374" t="str">
            <v>A5C</v>
          </cell>
          <cell r="C374" t="str">
            <v>P</v>
          </cell>
          <cell r="D374" t="str">
            <v>24029</v>
          </cell>
          <cell r="E374" t="str">
            <v>CPLG</v>
          </cell>
          <cell r="F374">
            <v>2</v>
          </cell>
          <cell r="G374" t="str">
            <v>CB400500000T00</v>
          </cell>
          <cell r="H374">
            <v>0.75</v>
          </cell>
          <cell r="I374" t="str">
            <v>--</v>
          </cell>
          <cell r="J374">
            <v>6</v>
          </cell>
          <cell r="K374">
            <v>6</v>
          </cell>
        </row>
        <row r="375">
          <cell r="A375" t="str">
            <v>M1</v>
          </cell>
          <cell r="B375" t="str">
            <v>A5C</v>
          </cell>
          <cell r="C375" t="str">
            <v>TRIM</v>
          </cell>
          <cell r="D375" t="str">
            <v>V-2206</v>
          </cell>
          <cell r="E375" t="str">
            <v>CPLG</v>
          </cell>
          <cell r="F375">
            <v>2</v>
          </cell>
          <cell r="G375" t="str">
            <v>CB400500000T00</v>
          </cell>
          <cell r="H375">
            <v>0.75</v>
          </cell>
          <cell r="I375" t="str">
            <v>--</v>
          </cell>
          <cell r="J375">
            <v>1</v>
          </cell>
          <cell r="K375">
            <v>1</v>
          </cell>
        </row>
        <row r="376">
          <cell r="A376" t="str">
            <v>M1</v>
          </cell>
          <cell r="B376" t="str">
            <v>A5C</v>
          </cell>
          <cell r="C376" t="str">
            <v>P</v>
          </cell>
          <cell r="D376" t="str">
            <v>22069</v>
          </cell>
          <cell r="E376" t="str">
            <v>NPL</v>
          </cell>
          <cell r="F376">
            <v>2</v>
          </cell>
          <cell r="G376" t="str">
            <v>CB132108000TVR</v>
          </cell>
          <cell r="H376">
            <v>0.75</v>
          </cell>
          <cell r="I376" t="str">
            <v>75mm</v>
          </cell>
          <cell r="J376">
            <v>4</v>
          </cell>
          <cell r="K376">
            <v>4</v>
          </cell>
        </row>
        <row r="377">
          <cell r="A377" t="str">
            <v>M1</v>
          </cell>
          <cell r="B377" t="str">
            <v>A5C</v>
          </cell>
          <cell r="C377" t="str">
            <v>P</v>
          </cell>
          <cell r="D377" t="str">
            <v>22071</v>
          </cell>
          <cell r="E377" t="str">
            <v>NPL</v>
          </cell>
          <cell r="F377">
            <v>2</v>
          </cell>
          <cell r="G377" t="str">
            <v>CB132108000TVR</v>
          </cell>
          <cell r="H377">
            <v>0.75</v>
          </cell>
          <cell r="I377" t="str">
            <v>75mm</v>
          </cell>
          <cell r="J377">
            <v>4</v>
          </cell>
          <cell r="K377">
            <v>4</v>
          </cell>
        </row>
        <row r="378">
          <cell r="A378" t="str">
            <v>M1</v>
          </cell>
          <cell r="B378" t="str">
            <v>A5C</v>
          </cell>
          <cell r="C378" t="str">
            <v>P</v>
          </cell>
          <cell r="D378" t="str">
            <v>22071</v>
          </cell>
          <cell r="E378" t="str">
            <v>NPL</v>
          </cell>
          <cell r="F378">
            <v>2</v>
          </cell>
          <cell r="G378" t="str">
            <v>CB132108000TVR</v>
          </cell>
          <cell r="H378">
            <v>0.75</v>
          </cell>
          <cell r="I378" t="str">
            <v>75mm</v>
          </cell>
          <cell r="J378">
            <v>1</v>
          </cell>
          <cell r="K378">
            <v>1</v>
          </cell>
        </row>
        <row r="379">
          <cell r="A379" t="str">
            <v>M1</v>
          </cell>
          <cell r="B379" t="str">
            <v>A5C</v>
          </cell>
          <cell r="C379" t="str">
            <v>P</v>
          </cell>
          <cell r="D379" t="str">
            <v>22102</v>
          </cell>
          <cell r="E379" t="str">
            <v>NPL</v>
          </cell>
          <cell r="F379">
            <v>2</v>
          </cell>
          <cell r="G379" t="str">
            <v>CB132108000TVR</v>
          </cell>
          <cell r="H379">
            <v>0.75</v>
          </cell>
          <cell r="I379" t="str">
            <v>75mm</v>
          </cell>
          <cell r="J379">
            <v>2</v>
          </cell>
          <cell r="K379">
            <v>2</v>
          </cell>
        </row>
        <row r="380">
          <cell r="A380" t="str">
            <v>M1</v>
          </cell>
          <cell r="B380" t="str">
            <v>A5C</v>
          </cell>
          <cell r="C380" t="str">
            <v>P</v>
          </cell>
          <cell r="D380" t="str">
            <v>22130</v>
          </cell>
          <cell r="E380" t="str">
            <v>NPL</v>
          </cell>
          <cell r="F380">
            <v>2</v>
          </cell>
          <cell r="G380" t="str">
            <v>CB132108000TVR</v>
          </cell>
          <cell r="H380">
            <v>0.75</v>
          </cell>
          <cell r="I380" t="str">
            <v>75mm</v>
          </cell>
          <cell r="J380">
            <v>2</v>
          </cell>
          <cell r="K380">
            <v>2</v>
          </cell>
        </row>
        <row r="381">
          <cell r="A381" t="str">
            <v>M1</v>
          </cell>
          <cell r="B381" t="str">
            <v>A5C</v>
          </cell>
          <cell r="C381" t="str">
            <v>P</v>
          </cell>
          <cell r="D381" t="str">
            <v>22140</v>
          </cell>
          <cell r="E381" t="str">
            <v>NPL</v>
          </cell>
          <cell r="F381">
            <v>2</v>
          </cell>
          <cell r="G381" t="str">
            <v>CB132108000TVR</v>
          </cell>
          <cell r="H381">
            <v>0.75</v>
          </cell>
          <cell r="I381" t="str">
            <v>75mm</v>
          </cell>
          <cell r="J381">
            <v>2</v>
          </cell>
          <cell r="K381">
            <v>2</v>
          </cell>
        </row>
        <row r="382">
          <cell r="A382" t="str">
            <v>M1</v>
          </cell>
          <cell r="B382" t="str">
            <v>A5C</v>
          </cell>
          <cell r="C382" t="str">
            <v>P</v>
          </cell>
          <cell r="D382" t="str">
            <v>22153</v>
          </cell>
          <cell r="E382" t="str">
            <v>NPL</v>
          </cell>
          <cell r="F382">
            <v>2</v>
          </cell>
          <cell r="G382" t="str">
            <v>CB132108000TVR</v>
          </cell>
          <cell r="H382">
            <v>0.75</v>
          </cell>
          <cell r="I382" t="str">
            <v>75mm</v>
          </cell>
          <cell r="J382">
            <v>4</v>
          </cell>
          <cell r="K382">
            <v>4</v>
          </cell>
        </row>
        <row r="383">
          <cell r="A383" t="str">
            <v>M1</v>
          </cell>
          <cell r="B383" t="str">
            <v>A5C</v>
          </cell>
          <cell r="C383" t="str">
            <v>P</v>
          </cell>
          <cell r="D383" t="str">
            <v>22153</v>
          </cell>
          <cell r="E383" t="str">
            <v>NPL</v>
          </cell>
          <cell r="F383">
            <v>2</v>
          </cell>
          <cell r="G383" t="str">
            <v>CB132308000TVR</v>
          </cell>
          <cell r="H383">
            <v>0.75</v>
          </cell>
          <cell r="I383" t="str">
            <v>75mm</v>
          </cell>
          <cell r="J383">
            <v>2</v>
          </cell>
          <cell r="K383">
            <v>2</v>
          </cell>
        </row>
        <row r="384">
          <cell r="A384" t="str">
            <v>M1</v>
          </cell>
          <cell r="B384" t="str">
            <v>A5C</v>
          </cell>
          <cell r="C384" t="str">
            <v>TRIM</v>
          </cell>
          <cell r="D384" t="str">
            <v>V-2206</v>
          </cell>
          <cell r="E384" t="str">
            <v>NPL</v>
          </cell>
          <cell r="F384">
            <v>2</v>
          </cell>
          <cell r="G384" t="str">
            <v>CB132108000TVR</v>
          </cell>
          <cell r="H384">
            <v>0.75</v>
          </cell>
          <cell r="I384" t="str">
            <v>75mm</v>
          </cell>
          <cell r="J384">
            <v>1</v>
          </cell>
          <cell r="K384">
            <v>1</v>
          </cell>
        </row>
        <row r="385">
          <cell r="A385" t="str">
            <v>M1</v>
          </cell>
          <cell r="B385" t="str">
            <v>A5C</v>
          </cell>
          <cell r="C385" t="str">
            <v>N</v>
          </cell>
          <cell r="D385" t="str">
            <v>22617</v>
          </cell>
          <cell r="E385" t="str">
            <v>NPL</v>
          </cell>
          <cell r="F385">
            <v>2</v>
          </cell>
          <cell r="G385" t="str">
            <v>CB132108000TVR</v>
          </cell>
          <cell r="H385">
            <v>0.75</v>
          </cell>
          <cell r="I385" t="str">
            <v>75mm</v>
          </cell>
          <cell r="J385">
            <v>1</v>
          </cell>
          <cell r="K385">
            <v>1</v>
          </cell>
        </row>
        <row r="386">
          <cell r="A386" t="str">
            <v>M1</v>
          </cell>
          <cell r="B386" t="str">
            <v>A5C</v>
          </cell>
          <cell r="C386" t="str">
            <v>P</v>
          </cell>
          <cell r="D386" t="str">
            <v>22139</v>
          </cell>
          <cell r="E386" t="str">
            <v>NPL</v>
          </cell>
          <cell r="F386">
            <v>2</v>
          </cell>
          <cell r="G386" t="str">
            <v>CB132108000TVR</v>
          </cell>
          <cell r="H386">
            <v>0.75</v>
          </cell>
          <cell r="I386" t="str">
            <v>75mm</v>
          </cell>
          <cell r="J386">
            <v>2</v>
          </cell>
          <cell r="K386">
            <v>2</v>
          </cell>
        </row>
        <row r="387">
          <cell r="A387" t="str">
            <v>M1</v>
          </cell>
          <cell r="B387" t="str">
            <v>A5C</v>
          </cell>
          <cell r="C387" t="str">
            <v>P</v>
          </cell>
          <cell r="D387" t="str">
            <v>22065</v>
          </cell>
          <cell r="E387" t="str">
            <v>R TEE</v>
          </cell>
          <cell r="F387">
            <v>2</v>
          </cell>
          <cell r="G387" t="str">
            <v>CB400400000T0H</v>
          </cell>
          <cell r="H387">
            <v>0.75</v>
          </cell>
          <cell r="I387">
            <v>0.5</v>
          </cell>
          <cell r="J387">
            <v>1</v>
          </cell>
          <cell r="K387">
            <v>1</v>
          </cell>
        </row>
        <row r="388">
          <cell r="A388" t="str">
            <v>M1</v>
          </cell>
          <cell r="B388" t="str">
            <v>A5C</v>
          </cell>
          <cell r="C388" t="str">
            <v>SCC</v>
          </cell>
          <cell r="D388" t="str">
            <v>HOLD1</v>
          </cell>
          <cell r="E388" t="str">
            <v>R TEE</v>
          </cell>
          <cell r="F388">
            <v>2</v>
          </cell>
          <cell r="G388" t="str">
            <v>CB400400000T0H</v>
          </cell>
          <cell r="H388">
            <v>0.75</v>
          </cell>
          <cell r="I388">
            <v>0.5</v>
          </cell>
          <cell r="J388">
            <v>3</v>
          </cell>
          <cell r="K388">
            <v>3</v>
          </cell>
        </row>
        <row r="389">
          <cell r="A389" t="str">
            <v>M1</v>
          </cell>
          <cell r="B389" t="str">
            <v>A5C</v>
          </cell>
          <cell r="C389" t="str">
            <v>SCD</v>
          </cell>
          <cell r="D389" t="str">
            <v>HOLD1</v>
          </cell>
          <cell r="E389" t="str">
            <v>R TEE</v>
          </cell>
          <cell r="F389">
            <v>2</v>
          </cell>
          <cell r="G389" t="str">
            <v>CB400400000T0H</v>
          </cell>
          <cell r="H389">
            <v>0.75</v>
          </cell>
          <cell r="I389">
            <v>0.5</v>
          </cell>
          <cell r="J389">
            <v>2</v>
          </cell>
          <cell r="K389">
            <v>2</v>
          </cell>
        </row>
        <row r="390">
          <cell r="A390" t="str">
            <v>M1</v>
          </cell>
          <cell r="B390" t="str">
            <v>A5C</v>
          </cell>
          <cell r="C390" t="str">
            <v>N</v>
          </cell>
          <cell r="D390" t="str">
            <v>22617</v>
          </cell>
          <cell r="E390" t="str">
            <v>TEE</v>
          </cell>
          <cell r="F390">
            <v>2</v>
          </cell>
          <cell r="G390" t="str">
            <v>CB400300000T00</v>
          </cell>
          <cell r="H390">
            <v>0.75</v>
          </cell>
          <cell r="I390" t="str">
            <v>--</v>
          </cell>
          <cell r="J390">
            <v>1</v>
          </cell>
          <cell r="K390">
            <v>1</v>
          </cell>
        </row>
        <row r="391">
          <cell r="A391" t="str">
            <v>M1</v>
          </cell>
          <cell r="B391" t="str">
            <v>A5C</v>
          </cell>
          <cell r="C391" t="str">
            <v>P</v>
          </cell>
          <cell r="D391" t="str">
            <v>22094</v>
          </cell>
          <cell r="E391" t="str">
            <v>90 ELL</v>
          </cell>
          <cell r="F391">
            <v>2</v>
          </cell>
          <cell r="G391" t="str">
            <v>CB400100001000</v>
          </cell>
          <cell r="H391">
            <v>0.75</v>
          </cell>
          <cell r="I391" t="str">
            <v>--</v>
          </cell>
          <cell r="J391">
            <v>2</v>
          </cell>
          <cell r="K391">
            <v>2</v>
          </cell>
        </row>
        <row r="392">
          <cell r="A392" t="str">
            <v>M1</v>
          </cell>
          <cell r="B392" t="str">
            <v>A5C</v>
          </cell>
          <cell r="C392" t="str">
            <v>P</v>
          </cell>
          <cell r="D392" t="str">
            <v>22095</v>
          </cell>
          <cell r="E392" t="str">
            <v>90 ELL</v>
          </cell>
          <cell r="F392">
            <v>2</v>
          </cell>
          <cell r="G392" t="str">
            <v>CB400100001000</v>
          </cell>
          <cell r="H392">
            <v>0.75</v>
          </cell>
          <cell r="I392" t="str">
            <v>--</v>
          </cell>
          <cell r="J392">
            <v>2</v>
          </cell>
          <cell r="K392">
            <v>2</v>
          </cell>
        </row>
        <row r="393">
          <cell r="A393" t="str">
            <v>M1</v>
          </cell>
          <cell r="B393" t="str">
            <v>A5C</v>
          </cell>
          <cell r="C393" t="str">
            <v>P</v>
          </cell>
          <cell r="D393" t="str">
            <v>22100</v>
          </cell>
          <cell r="E393" t="str">
            <v>90 ELL</v>
          </cell>
          <cell r="F393">
            <v>2</v>
          </cell>
          <cell r="G393" t="str">
            <v>CB400100001000</v>
          </cell>
          <cell r="H393">
            <v>0.75</v>
          </cell>
          <cell r="I393" t="str">
            <v>--</v>
          </cell>
          <cell r="J393">
            <v>2</v>
          </cell>
          <cell r="K393">
            <v>2</v>
          </cell>
        </row>
        <row r="394">
          <cell r="A394" t="str">
            <v>M1</v>
          </cell>
          <cell r="B394" t="str">
            <v>A5C</v>
          </cell>
          <cell r="C394" t="str">
            <v>P</v>
          </cell>
          <cell r="D394" t="str">
            <v>22099</v>
          </cell>
          <cell r="E394" t="str">
            <v>90 ELL</v>
          </cell>
          <cell r="F394">
            <v>2</v>
          </cell>
          <cell r="G394" t="str">
            <v>CB400100001000</v>
          </cell>
          <cell r="H394">
            <v>0.75</v>
          </cell>
          <cell r="I394" t="str">
            <v>--</v>
          </cell>
          <cell r="J394">
            <v>2</v>
          </cell>
          <cell r="K394">
            <v>2</v>
          </cell>
        </row>
        <row r="395">
          <cell r="A395" t="str">
            <v>M1</v>
          </cell>
          <cell r="B395" t="str">
            <v>A5C</v>
          </cell>
          <cell r="C395" t="str">
            <v>P</v>
          </cell>
          <cell r="D395" t="str">
            <v>22090</v>
          </cell>
          <cell r="E395" t="str">
            <v>CAP</v>
          </cell>
          <cell r="F395">
            <v>2</v>
          </cell>
          <cell r="G395" t="str">
            <v>CB520700000T00</v>
          </cell>
          <cell r="H395">
            <v>0.75</v>
          </cell>
          <cell r="I395" t="str">
            <v>--</v>
          </cell>
          <cell r="J395">
            <v>1</v>
          </cell>
          <cell r="K395">
            <v>1</v>
          </cell>
        </row>
        <row r="396">
          <cell r="A396" t="str">
            <v>M1</v>
          </cell>
          <cell r="B396" t="str">
            <v>A5C</v>
          </cell>
          <cell r="C396" t="str">
            <v>P</v>
          </cell>
          <cell r="D396" t="str">
            <v>22094</v>
          </cell>
          <cell r="E396" t="str">
            <v>NPL</v>
          </cell>
          <cell r="F396">
            <v>2</v>
          </cell>
          <cell r="G396" t="str">
            <v>CB132108000TVR</v>
          </cell>
          <cell r="H396">
            <v>0.75</v>
          </cell>
          <cell r="I396" t="str">
            <v>75mm</v>
          </cell>
          <cell r="J396">
            <v>2</v>
          </cell>
          <cell r="K396">
            <v>2</v>
          </cell>
        </row>
        <row r="397">
          <cell r="A397" t="str">
            <v>M1</v>
          </cell>
          <cell r="B397" t="str">
            <v>A5C</v>
          </cell>
          <cell r="C397" t="str">
            <v>P</v>
          </cell>
          <cell r="D397" t="str">
            <v>22095</v>
          </cell>
          <cell r="E397" t="str">
            <v>NPL</v>
          </cell>
          <cell r="F397">
            <v>2</v>
          </cell>
          <cell r="G397" t="str">
            <v>CB132108000TVR</v>
          </cell>
          <cell r="H397">
            <v>0.75</v>
          </cell>
          <cell r="I397" t="str">
            <v>75mm</v>
          </cell>
          <cell r="J397">
            <v>2</v>
          </cell>
          <cell r="K397">
            <v>2</v>
          </cell>
        </row>
        <row r="398">
          <cell r="A398" t="str">
            <v>M1</v>
          </cell>
          <cell r="B398" t="str">
            <v>A5C</v>
          </cell>
          <cell r="C398" t="str">
            <v>P</v>
          </cell>
          <cell r="D398" t="str">
            <v>22100</v>
          </cell>
          <cell r="E398" t="str">
            <v>NPL</v>
          </cell>
          <cell r="F398">
            <v>2</v>
          </cell>
          <cell r="G398" t="str">
            <v>CB132108000TVR</v>
          </cell>
          <cell r="H398">
            <v>0.75</v>
          </cell>
          <cell r="I398" t="str">
            <v>75mm</v>
          </cell>
          <cell r="J398">
            <v>2</v>
          </cell>
          <cell r="K398">
            <v>2</v>
          </cell>
        </row>
        <row r="399">
          <cell r="A399" t="str">
            <v>M1</v>
          </cell>
          <cell r="B399" t="str">
            <v>A5C</v>
          </cell>
          <cell r="C399" t="str">
            <v>P</v>
          </cell>
          <cell r="D399" t="str">
            <v>22099</v>
          </cell>
          <cell r="E399" t="str">
            <v>NPL</v>
          </cell>
          <cell r="F399">
            <v>2</v>
          </cell>
          <cell r="G399" t="str">
            <v>CB132108000TVR</v>
          </cell>
          <cell r="H399">
            <v>0.75</v>
          </cell>
          <cell r="I399" t="str">
            <v>75mm</v>
          </cell>
          <cell r="J399">
            <v>2</v>
          </cell>
          <cell r="K399">
            <v>2</v>
          </cell>
        </row>
        <row r="400">
          <cell r="A400" t="str">
            <v>M1</v>
          </cell>
          <cell r="B400" t="str">
            <v>A6C</v>
          </cell>
          <cell r="C400" t="str">
            <v>HOR</v>
          </cell>
          <cell r="D400" t="str">
            <v>65612</v>
          </cell>
          <cell r="E400" t="str">
            <v>90 ELL</v>
          </cell>
          <cell r="F400">
            <v>2</v>
          </cell>
          <cell r="G400" t="str">
            <v>CB400100001000</v>
          </cell>
          <cell r="H400">
            <v>0.75</v>
          </cell>
          <cell r="I400" t="str">
            <v>--</v>
          </cell>
          <cell r="J400">
            <v>4</v>
          </cell>
          <cell r="K400">
            <v>4</v>
          </cell>
        </row>
        <row r="401">
          <cell r="A401" t="str">
            <v>M1</v>
          </cell>
          <cell r="B401" t="str">
            <v>A5C</v>
          </cell>
          <cell r="C401" t="str">
            <v>P</v>
          </cell>
          <cell r="D401" t="str">
            <v>22062</v>
          </cell>
          <cell r="E401" t="str">
            <v>90 ELL</v>
          </cell>
          <cell r="F401">
            <v>2</v>
          </cell>
          <cell r="G401" t="str">
            <v>CB400100001000</v>
          </cell>
          <cell r="H401">
            <v>0.75</v>
          </cell>
          <cell r="I401" t="str">
            <v>--</v>
          </cell>
          <cell r="J401">
            <v>2</v>
          </cell>
          <cell r="K401">
            <v>2</v>
          </cell>
        </row>
        <row r="402">
          <cell r="A402" t="str">
            <v>M1</v>
          </cell>
          <cell r="B402" t="str">
            <v>A5C</v>
          </cell>
          <cell r="C402" t="str">
            <v>P</v>
          </cell>
          <cell r="D402" t="str">
            <v>22002</v>
          </cell>
          <cell r="E402" t="str">
            <v>90 ELL</v>
          </cell>
          <cell r="F402">
            <v>2</v>
          </cell>
          <cell r="G402" t="str">
            <v>CB400100001000</v>
          </cell>
          <cell r="H402">
            <v>0.75</v>
          </cell>
          <cell r="I402" t="str">
            <v>--</v>
          </cell>
          <cell r="J402">
            <v>2</v>
          </cell>
          <cell r="K402">
            <v>2</v>
          </cell>
        </row>
        <row r="403">
          <cell r="A403" t="str">
            <v>M1</v>
          </cell>
          <cell r="B403" t="str">
            <v>A5C</v>
          </cell>
          <cell r="C403" t="str">
            <v>P</v>
          </cell>
          <cell r="D403" t="str">
            <v>22073</v>
          </cell>
          <cell r="E403" t="str">
            <v>90 ELL</v>
          </cell>
          <cell r="F403">
            <v>2</v>
          </cell>
          <cell r="G403" t="str">
            <v>CB400100001000</v>
          </cell>
          <cell r="H403">
            <v>0.75</v>
          </cell>
          <cell r="I403" t="str">
            <v>--</v>
          </cell>
          <cell r="J403">
            <v>2</v>
          </cell>
          <cell r="K403">
            <v>2</v>
          </cell>
        </row>
        <row r="404">
          <cell r="A404" t="str">
            <v>M1</v>
          </cell>
          <cell r="B404" t="str">
            <v>A5C</v>
          </cell>
          <cell r="C404" t="str">
            <v>WW</v>
          </cell>
          <cell r="D404" t="str">
            <v>22601</v>
          </cell>
          <cell r="E404" t="str">
            <v>90 ELL</v>
          </cell>
          <cell r="F404">
            <v>2</v>
          </cell>
          <cell r="G404" t="str">
            <v>CB400100001000</v>
          </cell>
          <cell r="H404">
            <v>0.75</v>
          </cell>
          <cell r="I404" t="str">
            <v>--</v>
          </cell>
          <cell r="J404">
            <v>4</v>
          </cell>
          <cell r="K404">
            <v>4</v>
          </cell>
        </row>
        <row r="405">
          <cell r="A405" t="str">
            <v>M1</v>
          </cell>
          <cell r="B405" t="str">
            <v>A6C</v>
          </cell>
          <cell r="C405" t="str">
            <v>HOS</v>
          </cell>
          <cell r="D405" t="str">
            <v>65632</v>
          </cell>
          <cell r="E405" t="str">
            <v>CAP</v>
          </cell>
          <cell r="F405">
            <v>2</v>
          </cell>
          <cell r="G405" t="str">
            <v>CB520700000T00</v>
          </cell>
          <cell r="H405">
            <v>0.75</v>
          </cell>
          <cell r="I405" t="str">
            <v>--</v>
          </cell>
          <cell r="J405">
            <v>2</v>
          </cell>
          <cell r="K405">
            <v>2</v>
          </cell>
        </row>
        <row r="406">
          <cell r="A406" t="str">
            <v>M1</v>
          </cell>
          <cell r="B406" t="str">
            <v>A6C</v>
          </cell>
          <cell r="C406" t="str">
            <v>HOS</v>
          </cell>
          <cell r="D406" t="str">
            <v>65633</v>
          </cell>
          <cell r="E406" t="str">
            <v>CAP</v>
          </cell>
          <cell r="F406">
            <v>2</v>
          </cell>
          <cell r="G406" t="str">
            <v>CB520700000T00</v>
          </cell>
          <cell r="H406">
            <v>0.75</v>
          </cell>
          <cell r="I406" t="str">
            <v>--</v>
          </cell>
          <cell r="J406">
            <v>1</v>
          </cell>
          <cell r="K406">
            <v>1</v>
          </cell>
        </row>
        <row r="407">
          <cell r="A407" t="str">
            <v>M1</v>
          </cell>
          <cell r="B407" t="str">
            <v>A5C</v>
          </cell>
          <cell r="C407" t="str">
            <v>P</v>
          </cell>
          <cell r="D407" t="str">
            <v>22003</v>
          </cell>
          <cell r="E407" t="str">
            <v>CAP</v>
          </cell>
          <cell r="F407">
            <v>2</v>
          </cell>
          <cell r="G407" t="str">
            <v>CB520700000T00</v>
          </cell>
          <cell r="H407">
            <v>0.75</v>
          </cell>
          <cell r="I407" t="str">
            <v>--</v>
          </cell>
          <cell r="J407">
            <v>1</v>
          </cell>
          <cell r="K407">
            <v>1</v>
          </cell>
        </row>
        <row r="408">
          <cell r="A408" t="str">
            <v>M1</v>
          </cell>
          <cell r="B408" t="str">
            <v>A5C</v>
          </cell>
          <cell r="C408" t="str">
            <v>P</v>
          </cell>
          <cell r="D408" t="str">
            <v>22004</v>
          </cell>
          <cell r="E408" t="str">
            <v>CAP</v>
          </cell>
          <cell r="F408">
            <v>2</v>
          </cell>
          <cell r="G408" t="str">
            <v>CB520700000T00</v>
          </cell>
          <cell r="H408">
            <v>0.75</v>
          </cell>
          <cell r="I408" t="str">
            <v>--</v>
          </cell>
          <cell r="J408">
            <v>2</v>
          </cell>
          <cell r="K408">
            <v>2</v>
          </cell>
        </row>
        <row r="409">
          <cell r="A409" t="str">
            <v>M1</v>
          </cell>
          <cell r="B409" t="str">
            <v>A5C</v>
          </cell>
          <cell r="C409" t="str">
            <v>P</v>
          </cell>
          <cell r="D409" t="str">
            <v>22004</v>
          </cell>
          <cell r="E409" t="str">
            <v>CAP</v>
          </cell>
          <cell r="F409">
            <v>2</v>
          </cell>
          <cell r="G409" t="str">
            <v>CB520700000T00</v>
          </cell>
          <cell r="H409">
            <v>0.75</v>
          </cell>
          <cell r="I409" t="str">
            <v>--</v>
          </cell>
          <cell r="J409">
            <v>1</v>
          </cell>
          <cell r="K409">
            <v>1</v>
          </cell>
        </row>
        <row r="410">
          <cell r="A410" t="str">
            <v>M1</v>
          </cell>
          <cell r="B410" t="str">
            <v>A5C</v>
          </cell>
          <cell r="C410" t="str">
            <v>P</v>
          </cell>
          <cell r="D410" t="str">
            <v>22074</v>
          </cell>
          <cell r="E410" t="str">
            <v>CAP</v>
          </cell>
          <cell r="F410">
            <v>2</v>
          </cell>
          <cell r="G410" t="str">
            <v>CB520700000T00</v>
          </cell>
          <cell r="H410">
            <v>0.75</v>
          </cell>
          <cell r="I410" t="str">
            <v>--</v>
          </cell>
          <cell r="J410">
            <v>3</v>
          </cell>
          <cell r="K410">
            <v>3</v>
          </cell>
        </row>
        <row r="411">
          <cell r="A411" t="str">
            <v>M1</v>
          </cell>
          <cell r="B411" t="str">
            <v>A5C</v>
          </cell>
          <cell r="C411" t="str">
            <v>P</v>
          </cell>
          <cell r="D411" t="str">
            <v>22077</v>
          </cell>
          <cell r="E411" t="str">
            <v>CAP</v>
          </cell>
          <cell r="F411">
            <v>2</v>
          </cell>
          <cell r="G411" t="str">
            <v>CB520700000T00</v>
          </cell>
          <cell r="H411">
            <v>0.75</v>
          </cell>
          <cell r="I411" t="str">
            <v>--</v>
          </cell>
          <cell r="J411">
            <v>1</v>
          </cell>
          <cell r="K411">
            <v>1</v>
          </cell>
        </row>
        <row r="412">
          <cell r="A412" t="str">
            <v>M1</v>
          </cell>
          <cell r="B412" t="str">
            <v>A5C</v>
          </cell>
          <cell r="C412" t="str">
            <v>P</v>
          </cell>
          <cell r="D412" t="str">
            <v>22077</v>
          </cell>
          <cell r="E412" t="str">
            <v>CAP</v>
          </cell>
          <cell r="F412">
            <v>2</v>
          </cell>
          <cell r="G412" t="str">
            <v>CB520700000T00</v>
          </cell>
          <cell r="H412">
            <v>0.75</v>
          </cell>
          <cell r="I412" t="str">
            <v>--</v>
          </cell>
          <cell r="J412">
            <v>1</v>
          </cell>
          <cell r="K412">
            <v>1</v>
          </cell>
        </row>
        <row r="413">
          <cell r="A413" t="str">
            <v>M1</v>
          </cell>
          <cell r="B413" t="str">
            <v>A5C</v>
          </cell>
          <cell r="C413" t="str">
            <v>P</v>
          </cell>
          <cell r="D413" t="str">
            <v>22111</v>
          </cell>
          <cell r="E413" t="str">
            <v>CAP</v>
          </cell>
          <cell r="F413">
            <v>2</v>
          </cell>
          <cell r="G413" t="str">
            <v>CB520700000T00</v>
          </cell>
          <cell r="H413">
            <v>0.75</v>
          </cell>
          <cell r="I413" t="str">
            <v>--</v>
          </cell>
          <cell r="J413">
            <v>2</v>
          </cell>
          <cell r="K413">
            <v>2</v>
          </cell>
        </row>
        <row r="414">
          <cell r="A414" t="str">
            <v>M1</v>
          </cell>
          <cell r="B414" t="str">
            <v>A5C</v>
          </cell>
          <cell r="C414" t="str">
            <v>TRIM</v>
          </cell>
          <cell r="D414" t="str">
            <v>V-2214</v>
          </cell>
          <cell r="E414" t="str">
            <v>CAP</v>
          </cell>
          <cell r="F414">
            <v>2</v>
          </cell>
          <cell r="G414" t="str">
            <v>CB520700000T00</v>
          </cell>
          <cell r="H414">
            <v>0.75</v>
          </cell>
          <cell r="I414" t="str">
            <v>--</v>
          </cell>
          <cell r="J414">
            <v>1</v>
          </cell>
          <cell r="K414">
            <v>1</v>
          </cell>
        </row>
        <row r="415">
          <cell r="A415" t="str">
            <v>M1</v>
          </cell>
          <cell r="B415" t="str">
            <v>A5C</v>
          </cell>
          <cell r="C415" t="str">
            <v>P</v>
          </cell>
          <cell r="D415" t="str">
            <v>22005</v>
          </cell>
          <cell r="E415" t="str">
            <v>CAP</v>
          </cell>
          <cell r="F415">
            <v>2</v>
          </cell>
          <cell r="G415" t="str">
            <v>CB520700000T00</v>
          </cell>
          <cell r="H415">
            <v>0.75</v>
          </cell>
          <cell r="I415" t="str">
            <v>--</v>
          </cell>
          <cell r="J415">
            <v>1</v>
          </cell>
          <cell r="K415">
            <v>1</v>
          </cell>
        </row>
        <row r="416">
          <cell r="A416" t="str">
            <v>M1</v>
          </cell>
          <cell r="B416" t="str">
            <v>A6C</v>
          </cell>
          <cell r="C416" t="str">
            <v>HOS</v>
          </cell>
          <cell r="D416" t="str">
            <v>65633</v>
          </cell>
          <cell r="E416" t="str">
            <v>CPLG</v>
          </cell>
          <cell r="F416">
            <v>2</v>
          </cell>
          <cell r="G416" t="str">
            <v>CB400500000T00</v>
          </cell>
          <cell r="H416">
            <v>0.75</v>
          </cell>
          <cell r="I416" t="str">
            <v>--</v>
          </cell>
          <cell r="J416">
            <v>1</v>
          </cell>
          <cell r="K416">
            <v>1</v>
          </cell>
        </row>
        <row r="417">
          <cell r="A417" t="str">
            <v>M1</v>
          </cell>
          <cell r="B417" t="str">
            <v>A6C</v>
          </cell>
          <cell r="C417" t="str">
            <v>HOS</v>
          </cell>
          <cell r="D417" t="str">
            <v>65632</v>
          </cell>
          <cell r="E417" t="str">
            <v>NPL</v>
          </cell>
          <cell r="F417">
            <v>2</v>
          </cell>
          <cell r="G417" t="str">
            <v>CB132308000TVR</v>
          </cell>
          <cell r="H417">
            <v>0.75</v>
          </cell>
          <cell r="I417" t="str">
            <v>75mm</v>
          </cell>
          <cell r="J417">
            <v>2</v>
          </cell>
          <cell r="K417">
            <v>2</v>
          </cell>
        </row>
        <row r="418">
          <cell r="A418" t="str">
            <v>M1</v>
          </cell>
          <cell r="B418" t="str">
            <v>A6C</v>
          </cell>
          <cell r="C418" t="str">
            <v>HOS</v>
          </cell>
          <cell r="D418" t="str">
            <v>65633</v>
          </cell>
          <cell r="E418" t="str">
            <v>NPL</v>
          </cell>
          <cell r="F418">
            <v>2</v>
          </cell>
          <cell r="G418" t="str">
            <v>CB132108000TVR</v>
          </cell>
          <cell r="H418">
            <v>0.75</v>
          </cell>
          <cell r="I418" t="str">
            <v>75mm</v>
          </cell>
          <cell r="J418">
            <v>3</v>
          </cell>
          <cell r="K418">
            <v>3</v>
          </cell>
        </row>
        <row r="419">
          <cell r="A419" t="str">
            <v>M1</v>
          </cell>
          <cell r="B419" t="str">
            <v>A6C</v>
          </cell>
          <cell r="C419" t="str">
            <v>HOS</v>
          </cell>
          <cell r="D419" t="str">
            <v>65632</v>
          </cell>
          <cell r="E419" t="str">
            <v>NPL</v>
          </cell>
          <cell r="F419">
            <v>2</v>
          </cell>
          <cell r="G419" t="str">
            <v>CB132108000TVR</v>
          </cell>
          <cell r="H419">
            <v>0.75</v>
          </cell>
          <cell r="I419" t="str">
            <v>75mm</v>
          </cell>
          <cell r="J419">
            <v>2</v>
          </cell>
          <cell r="K419">
            <v>2</v>
          </cell>
        </row>
        <row r="420">
          <cell r="A420" t="str">
            <v>M1</v>
          </cell>
          <cell r="B420" t="str">
            <v>A5C</v>
          </cell>
          <cell r="C420" t="str">
            <v>P</v>
          </cell>
          <cell r="D420" t="str">
            <v>22002</v>
          </cell>
          <cell r="E420" t="str">
            <v>NPL</v>
          </cell>
          <cell r="F420">
            <v>2</v>
          </cell>
          <cell r="G420" t="str">
            <v>CB132108000TVR</v>
          </cell>
          <cell r="H420">
            <v>0.75</v>
          </cell>
          <cell r="I420" t="str">
            <v>75mm</v>
          </cell>
          <cell r="J420">
            <v>4</v>
          </cell>
          <cell r="K420">
            <v>4</v>
          </cell>
        </row>
        <row r="421">
          <cell r="A421" t="str">
            <v>M1</v>
          </cell>
          <cell r="B421" t="str">
            <v>A5C</v>
          </cell>
          <cell r="C421" t="str">
            <v>P</v>
          </cell>
          <cell r="D421" t="str">
            <v>22003</v>
          </cell>
          <cell r="E421" t="str">
            <v>NPL</v>
          </cell>
          <cell r="F421">
            <v>2</v>
          </cell>
          <cell r="G421" t="str">
            <v>CB132108000TVR</v>
          </cell>
          <cell r="H421">
            <v>0.75</v>
          </cell>
          <cell r="I421" t="str">
            <v>75mm</v>
          </cell>
          <cell r="J421">
            <v>3</v>
          </cell>
          <cell r="K421">
            <v>3</v>
          </cell>
        </row>
        <row r="422">
          <cell r="A422" t="str">
            <v>M1</v>
          </cell>
          <cell r="B422" t="str">
            <v>A5C</v>
          </cell>
          <cell r="C422" t="str">
            <v>P</v>
          </cell>
          <cell r="D422" t="str">
            <v>22004</v>
          </cell>
          <cell r="E422" t="str">
            <v>NPL</v>
          </cell>
          <cell r="F422">
            <v>2</v>
          </cell>
          <cell r="G422" t="str">
            <v>CB132108000TVR</v>
          </cell>
          <cell r="H422">
            <v>0.75</v>
          </cell>
          <cell r="I422" t="str">
            <v>75mm</v>
          </cell>
          <cell r="J422">
            <v>2</v>
          </cell>
          <cell r="K422">
            <v>2</v>
          </cell>
        </row>
        <row r="423">
          <cell r="A423" t="str">
            <v>M1</v>
          </cell>
          <cell r="B423" t="str">
            <v>A5C</v>
          </cell>
          <cell r="C423" t="str">
            <v>P</v>
          </cell>
          <cell r="D423" t="str">
            <v>22004</v>
          </cell>
          <cell r="E423" t="str">
            <v>NPL</v>
          </cell>
          <cell r="F423">
            <v>2</v>
          </cell>
          <cell r="G423" t="str">
            <v>CB132308000TVR</v>
          </cell>
          <cell r="H423">
            <v>0.75</v>
          </cell>
          <cell r="I423" t="str">
            <v>75mm</v>
          </cell>
          <cell r="J423">
            <v>2</v>
          </cell>
          <cell r="K423">
            <v>2</v>
          </cell>
        </row>
        <row r="424">
          <cell r="A424" t="str">
            <v>M1</v>
          </cell>
          <cell r="B424" t="str">
            <v>A5C</v>
          </cell>
          <cell r="C424" t="str">
            <v>P</v>
          </cell>
          <cell r="D424" t="str">
            <v>22004</v>
          </cell>
          <cell r="E424" t="str">
            <v>NPL</v>
          </cell>
          <cell r="F424">
            <v>2</v>
          </cell>
          <cell r="G424" t="str">
            <v>CB132108000TVR</v>
          </cell>
          <cell r="H424">
            <v>0.75</v>
          </cell>
          <cell r="I424" t="str">
            <v>75mm</v>
          </cell>
          <cell r="J424">
            <v>1</v>
          </cell>
          <cell r="K424">
            <v>1</v>
          </cell>
        </row>
        <row r="425">
          <cell r="A425" t="str">
            <v>M1</v>
          </cell>
          <cell r="B425" t="str">
            <v>A5C</v>
          </cell>
          <cell r="C425" t="str">
            <v>P</v>
          </cell>
          <cell r="D425" t="str">
            <v>22005</v>
          </cell>
          <cell r="E425" t="str">
            <v>NPL</v>
          </cell>
          <cell r="F425">
            <v>2</v>
          </cell>
          <cell r="G425" t="str">
            <v>CB132308000TVR</v>
          </cell>
          <cell r="H425">
            <v>0.75</v>
          </cell>
          <cell r="I425" t="str">
            <v>75mm</v>
          </cell>
          <cell r="J425">
            <v>2</v>
          </cell>
          <cell r="K425">
            <v>2</v>
          </cell>
        </row>
        <row r="426">
          <cell r="A426" t="str">
            <v>M1</v>
          </cell>
          <cell r="B426" t="str">
            <v>A5C</v>
          </cell>
          <cell r="C426" t="str">
            <v>P</v>
          </cell>
          <cell r="D426" t="str">
            <v>22062</v>
          </cell>
          <cell r="E426" t="str">
            <v>NPL</v>
          </cell>
          <cell r="F426">
            <v>2</v>
          </cell>
          <cell r="G426" t="str">
            <v>CB132108000TVR</v>
          </cell>
          <cell r="H426">
            <v>0.75</v>
          </cell>
          <cell r="I426" t="str">
            <v>75mm</v>
          </cell>
          <cell r="J426">
            <v>2</v>
          </cell>
          <cell r="K426">
            <v>2</v>
          </cell>
        </row>
        <row r="427">
          <cell r="A427" t="str">
            <v>M1</v>
          </cell>
          <cell r="B427" t="str">
            <v>A5C</v>
          </cell>
          <cell r="C427" t="str">
            <v>P</v>
          </cell>
          <cell r="D427" t="str">
            <v>22001</v>
          </cell>
          <cell r="E427" t="str">
            <v>NPL</v>
          </cell>
          <cell r="F427">
            <v>2</v>
          </cell>
          <cell r="G427" t="str">
            <v>CB132108000TVR</v>
          </cell>
          <cell r="H427">
            <v>0.75</v>
          </cell>
          <cell r="I427" t="str">
            <v>75mm</v>
          </cell>
          <cell r="J427">
            <v>3</v>
          </cell>
          <cell r="K427">
            <v>3</v>
          </cell>
        </row>
        <row r="428">
          <cell r="A428" t="str">
            <v>M1</v>
          </cell>
          <cell r="B428" t="str">
            <v>A5C</v>
          </cell>
          <cell r="C428" t="str">
            <v>P</v>
          </cell>
          <cell r="D428" t="str">
            <v>22004</v>
          </cell>
          <cell r="E428" t="str">
            <v>NPL</v>
          </cell>
          <cell r="F428">
            <v>2</v>
          </cell>
          <cell r="G428" t="str">
            <v>CB132308000TVR</v>
          </cell>
          <cell r="H428">
            <v>0.75</v>
          </cell>
          <cell r="I428" t="str">
            <v>75mm</v>
          </cell>
          <cell r="J428">
            <v>1</v>
          </cell>
          <cell r="K428">
            <v>1</v>
          </cell>
        </row>
        <row r="429">
          <cell r="A429" t="str">
            <v>M1</v>
          </cell>
          <cell r="B429" t="str">
            <v>A5C</v>
          </cell>
          <cell r="C429" t="str">
            <v>P</v>
          </cell>
          <cell r="D429" t="str">
            <v>22073</v>
          </cell>
          <cell r="E429" t="str">
            <v>NPL</v>
          </cell>
          <cell r="F429">
            <v>2</v>
          </cell>
          <cell r="G429" t="str">
            <v>CB132108000TVR</v>
          </cell>
          <cell r="H429">
            <v>0.75</v>
          </cell>
          <cell r="I429" t="str">
            <v>75mm</v>
          </cell>
          <cell r="J429">
            <v>2</v>
          </cell>
          <cell r="K429">
            <v>2</v>
          </cell>
        </row>
        <row r="430">
          <cell r="A430" t="str">
            <v>M1</v>
          </cell>
          <cell r="B430" t="str">
            <v>A6C</v>
          </cell>
          <cell r="C430" t="str">
            <v>HOS</v>
          </cell>
          <cell r="D430" t="str">
            <v>65629</v>
          </cell>
          <cell r="E430" t="str">
            <v>90 ELL</v>
          </cell>
          <cell r="F430">
            <v>2</v>
          </cell>
          <cell r="G430" t="str">
            <v>CB400100001000</v>
          </cell>
          <cell r="H430">
            <v>0.75</v>
          </cell>
          <cell r="I430" t="str">
            <v>--</v>
          </cell>
          <cell r="J430">
            <v>3</v>
          </cell>
          <cell r="K430">
            <v>3</v>
          </cell>
        </row>
        <row r="431">
          <cell r="A431" t="str">
            <v>M1</v>
          </cell>
          <cell r="B431" t="str">
            <v>A6C</v>
          </cell>
          <cell r="C431" t="str">
            <v>HOS</v>
          </cell>
          <cell r="D431" t="str">
            <v>65624</v>
          </cell>
          <cell r="E431" t="str">
            <v>90 ELL</v>
          </cell>
          <cell r="F431">
            <v>2</v>
          </cell>
          <cell r="G431" t="str">
            <v>CB400100001000</v>
          </cell>
          <cell r="H431">
            <v>0.75</v>
          </cell>
          <cell r="I431" t="str">
            <v>--</v>
          </cell>
          <cell r="J431">
            <v>1</v>
          </cell>
          <cell r="K431">
            <v>1</v>
          </cell>
        </row>
        <row r="432">
          <cell r="A432" t="str">
            <v>M1</v>
          </cell>
          <cell r="B432" t="str">
            <v>A6C</v>
          </cell>
          <cell r="C432" t="str">
            <v>HOS</v>
          </cell>
          <cell r="D432" t="str">
            <v>65634</v>
          </cell>
          <cell r="E432" t="str">
            <v>90 ELL</v>
          </cell>
          <cell r="F432">
            <v>2</v>
          </cell>
          <cell r="G432" t="str">
            <v>CB400100001000</v>
          </cell>
          <cell r="H432">
            <v>0.75</v>
          </cell>
          <cell r="I432" t="str">
            <v>--</v>
          </cell>
          <cell r="J432">
            <v>3</v>
          </cell>
          <cell r="K432">
            <v>3</v>
          </cell>
        </row>
        <row r="433">
          <cell r="A433" t="str">
            <v>M1</v>
          </cell>
          <cell r="B433" t="str">
            <v>A4C</v>
          </cell>
          <cell r="C433" t="str">
            <v>P</v>
          </cell>
          <cell r="D433" t="str">
            <v>22008</v>
          </cell>
          <cell r="E433" t="str">
            <v>90 ELL</v>
          </cell>
          <cell r="F433">
            <v>2</v>
          </cell>
          <cell r="G433" t="str">
            <v>CB400100001000</v>
          </cell>
          <cell r="H433">
            <v>0.75</v>
          </cell>
          <cell r="I433" t="str">
            <v>--</v>
          </cell>
          <cell r="J433">
            <v>1</v>
          </cell>
          <cell r="K433">
            <v>1</v>
          </cell>
        </row>
        <row r="434">
          <cell r="A434" t="str">
            <v>M1</v>
          </cell>
          <cell r="B434" t="str">
            <v>A4C</v>
          </cell>
          <cell r="C434" t="str">
            <v>P</v>
          </cell>
          <cell r="D434" t="str">
            <v>22031</v>
          </cell>
          <cell r="E434" t="str">
            <v>90 ELL</v>
          </cell>
          <cell r="F434">
            <v>2</v>
          </cell>
          <cell r="G434" t="str">
            <v>CB400100001000</v>
          </cell>
          <cell r="H434">
            <v>0.75</v>
          </cell>
          <cell r="I434" t="str">
            <v>--</v>
          </cell>
          <cell r="J434">
            <v>1</v>
          </cell>
          <cell r="K434">
            <v>1</v>
          </cell>
        </row>
        <row r="435">
          <cell r="A435" t="str">
            <v>M1</v>
          </cell>
          <cell r="B435" t="str">
            <v>A6C</v>
          </cell>
          <cell r="C435" t="str">
            <v>TRIM</v>
          </cell>
          <cell r="D435" t="str">
            <v>H-6501</v>
          </cell>
          <cell r="E435" t="str">
            <v>90 ELL</v>
          </cell>
          <cell r="F435">
            <v>2</v>
          </cell>
          <cell r="G435" t="str">
            <v>CB400100001000</v>
          </cell>
          <cell r="H435">
            <v>0.75</v>
          </cell>
          <cell r="I435" t="str">
            <v>--</v>
          </cell>
          <cell r="J435">
            <v>1</v>
          </cell>
          <cell r="K435">
            <v>1</v>
          </cell>
        </row>
        <row r="436">
          <cell r="A436" t="str">
            <v>M1</v>
          </cell>
          <cell r="B436" t="str">
            <v>A6C</v>
          </cell>
          <cell r="C436" t="str">
            <v>TRIM</v>
          </cell>
          <cell r="D436" t="str">
            <v>V-6502</v>
          </cell>
          <cell r="E436" t="str">
            <v>90 ELL</v>
          </cell>
          <cell r="F436">
            <v>2</v>
          </cell>
          <cell r="G436" t="str">
            <v>CB400100001000</v>
          </cell>
          <cell r="H436">
            <v>0.75</v>
          </cell>
          <cell r="I436" t="str">
            <v>--</v>
          </cell>
          <cell r="J436">
            <v>2</v>
          </cell>
          <cell r="K436">
            <v>2</v>
          </cell>
        </row>
        <row r="437">
          <cell r="A437" t="str">
            <v>M1</v>
          </cell>
          <cell r="B437" t="str">
            <v>A6C</v>
          </cell>
          <cell r="C437" t="str">
            <v>HOR</v>
          </cell>
          <cell r="D437" t="str">
            <v>65620</v>
          </cell>
          <cell r="E437" t="str">
            <v>90 ELL</v>
          </cell>
          <cell r="F437">
            <v>2</v>
          </cell>
          <cell r="G437" t="str">
            <v>CB400100001000</v>
          </cell>
          <cell r="H437">
            <v>0.75</v>
          </cell>
          <cell r="I437" t="str">
            <v>--</v>
          </cell>
          <cell r="J437">
            <v>7</v>
          </cell>
          <cell r="K437">
            <v>7</v>
          </cell>
        </row>
        <row r="438">
          <cell r="A438" t="str">
            <v>M1</v>
          </cell>
          <cell r="B438" t="str">
            <v>A4C</v>
          </cell>
          <cell r="C438" t="str">
            <v>P</v>
          </cell>
          <cell r="D438" t="str">
            <v>22008</v>
          </cell>
          <cell r="E438" t="str">
            <v>90 ELL</v>
          </cell>
          <cell r="F438">
            <v>2</v>
          </cell>
          <cell r="G438" t="str">
            <v>CB400100001000</v>
          </cell>
          <cell r="H438">
            <v>0.75</v>
          </cell>
          <cell r="I438" t="str">
            <v>--</v>
          </cell>
          <cell r="J438">
            <v>1</v>
          </cell>
          <cell r="K438">
            <v>1</v>
          </cell>
        </row>
        <row r="439">
          <cell r="A439" t="str">
            <v>M1</v>
          </cell>
          <cell r="B439" t="str">
            <v>A4C</v>
          </cell>
          <cell r="C439" t="str">
            <v>P</v>
          </cell>
          <cell r="D439" t="str">
            <v>22009</v>
          </cell>
          <cell r="E439" t="str">
            <v>90 ELL</v>
          </cell>
          <cell r="F439">
            <v>2</v>
          </cell>
          <cell r="G439" t="str">
            <v>CB400100001000</v>
          </cell>
          <cell r="H439">
            <v>0.75</v>
          </cell>
          <cell r="I439" t="str">
            <v>--</v>
          </cell>
          <cell r="J439">
            <v>2</v>
          </cell>
          <cell r="K439">
            <v>2</v>
          </cell>
        </row>
        <row r="440">
          <cell r="A440" t="str">
            <v>M1</v>
          </cell>
          <cell r="B440" t="str">
            <v>A5C</v>
          </cell>
          <cell r="C440" t="str">
            <v>P</v>
          </cell>
          <cell r="D440" t="str">
            <v>22098</v>
          </cell>
          <cell r="E440" t="str">
            <v>90 ELL</v>
          </cell>
          <cell r="F440">
            <v>2</v>
          </cell>
          <cell r="G440" t="str">
            <v>CB400100001000</v>
          </cell>
          <cell r="H440">
            <v>0.75</v>
          </cell>
          <cell r="I440" t="str">
            <v>--</v>
          </cell>
          <cell r="J440">
            <v>1</v>
          </cell>
          <cell r="K440">
            <v>1</v>
          </cell>
        </row>
        <row r="441">
          <cell r="A441" t="str">
            <v>M1</v>
          </cell>
          <cell r="B441" t="str">
            <v>A6C</v>
          </cell>
          <cell r="C441" t="str">
            <v>HOR</v>
          </cell>
          <cell r="D441" t="str">
            <v>65620</v>
          </cell>
          <cell r="E441" t="str">
            <v>C SWG</v>
          </cell>
          <cell r="F441">
            <v>2</v>
          </cell>
          <cell r="G441" t="str">
            <v>CB161308080T0Q</v>
          </cell>
          <cell r="H441">
            <v>0.75</v>
          </cell>
          <cell r="I441">
            <v>0.25</v>
          </cell>
          <cell r="J441">
            <v>1</v>
          </cell>
          <cell r="K441">
            <v>1</v>
          </cell>
        </row>
        <row r="442">
          <cell r="A442" t="str">
            <v>M1</v>
          </cell>
          <cell r="B442" t="str">
            <v>A6C</v>
          </cell>
          <cell r="C442" t="str">
            <v>HOS</v>
          </cell>
          <cell r="D442" t="str">
            <v>65613</v>
          </cell>
          <cell r="E442" t="str">
            <v>CAP</v>
          </cell>
          <cell r="F442">
            <v>2</v>
          </cell>
          <cell r="G442" t="str">
            <v>CB520700000T00</v>
          </cell>
          <cell r="H442">
            <v>0.75</v>
          </cell>
          <cell r="I442" t="str">
            <v>--</v>
          </cell>
          <cell r="J442">
            <v>2</v>
          </cell>
          <cell r="K442">
            <v>2</v>
          </cell>
        </row>
        <row r="443">
          <cell r="A443" t="str">
            <v>M1</v>
          </cell>
          <cell r="B443" t="str">
            <v>A6C</v>
          </cell>
          <cell r="C443" t="str">
            <v>HOS</v>
          </cell>
          <cell r="D443" t="str">
            <v>65624</v>
          </cell>
          <cell r="E443" t="str">
            <v>CAP</v>
          </cell>
          <cell r="F443">
            <v>2</v>
          </cell>
          <cell r="G443" t="str">
            <v>CB520700000T00</v>
          </cell>
          <cell r="H443">
            <v>0.75</v>
          </cell>
          <cell r="I443" t="str">
            <v>--</v>
          </cell>
          <cell r="J443">
            <v>2</v>
          </cell>
          <cell r="K443">
            <v>2</v>
          </cell>
        </row>
        <row r="444">
          <cell r="A444" t="str">
            <v>M1</v>
          </cell>
          <cell r="B444" t="str">
            <v>A6C</v>
          </cell>
          <cell r="C444" t="str">
            <v>HOS</v>
          </cell>
          <cell r="D444" t="str">
            <v>65627</v>
          </cell>
          <cell r="E444" t="str">
            <v>CAP</v>
          </cell>
          <cell r="F444">
            <v>2</v>
          </cell>
          <cell r="G444" t="str">
            <v>CB520700000T00</v>
          </cell>
          <cell r="H444">
            <v>0.75</v>
          </cell>
          <cell r="I444" t="str">
            <v>--</v>
          </cell>
          <cell r="J444">
            <v>1</v>
          </cell>
          <cell r="K444">
            <v>1</v>
          </cell>
        </row>
        <row r="445">
          <cell r="A445" t="str">
            <v>M1</v>
          </cell>
          <cell r="B445" t="str">
            <v>A6C</v>
          </cell>
          <cell r="C445" t="str">
            <v>HOS</v>
          </cell>
          <cell r="D445" t="str">
            <v>65628</v>
          </cell>
          <cell r="E445" t="str">
            <v>CAP</v>
          </cell>
          <cell r="F445">
            <v>2</v>
          </cell>
          <cell r="G445" t="str">
            <v>CB520700000T00</v>
          </cell>
          <cell r="H445">
            <v>0.75</v>
          </cell>
          <cell r="I445" t="str">
            <v>--</v>
          </cell>
          <cell r="J445">
            <v>1</v>
          </cell>
          <cell r="K445">
            <v>1</v>
          </cell>
        </row>
        <row r="446">
          <cell r="A446" t="str">
            <v>M1</v>
          </cell>
          <cell r="B446" t="str">
            <v>A5C</v>
          </cell>
          <cell r="C446" t="str">
            <v>P</v>
          </cell>
          <cell r="D446" t="str">
            <v>22089</v>
          </cell>
          <cell r="E446" t="str">
            <v>CAP</v>
          </cell>
          <cell r="F446">
            <v>2</v>
          </cell>
          <cell r="G446" t="str">
            <v>CB520700000T00</v>
          </cell>
          <cell r="H446">
            <v>0.75</v>
          </cell>
          <cell r="I446" t="str">
            <v>--</v>
          </cell>
          <cell r="J446">
            <v>1</v>
          </cell>
          <cell r="K446">
            <v>1</v>
          </cell>
        </row>
        <row r="447">
          <cell r="A447" t="str">
            <v>M1</v>
          </cell>
          <cell r="B447" t="str">
            <v>A5C</v>
          </cell>
          <cell r="C447" t="str">
            <v>TRIM</v>
          </cell>
          <cell r="D447" t="str">
            <v>C-2201</v>
          </cell>
          <cell r="E447" t="str">
            <v>CAP</v>
          </cell>
          <cell r="F447">
            <v>2</v>
          </cell>
          <cell r="G447" t="str">
            <v>CB520700000T00</v>
          </cell>
          <cell r="H447">
            <v>0.75</v>
          </cell>
          <cell r="I447" t="str">
            <v>--</v>
          </cell>
          <cell r="J447">
            <v>2</v>
          </cell>
          <cell r="K447">
            <v>2</v>
          </cell>
        </row>
        <row r="448">
          <cell r="A448" t="str">
            <v>M1</v>
          </cell>
          <cell r="B448" t="str">
            <v>A6C</v>
          </cell>
          <cell r="C448" t="str">
            <v>TRIM</v>
          </cell>
          <cell r="D448" t="str">
            <v>V-6501</v>
          </cell>
          <cell r="E448" t="str">
            <v>CAP</v>
          </cell>
          <cell r="F448">
            <v>2</v>
          </cell>
          <cell r="G448" t="str">
            <v>CB520700000T00</v>
          </cell>
          <cell r="H448">
            <v>0.75</v>
          </cell>
          <cell r="I448" t="str">
            <v>--</v>
          </cell>
          <cell r="J448">
            <v>2</v>
          </cell>
          <cell r="K448">
            <v>2</v>
          </cell>
        </row>
        <row r="449">
          <cell r="A449" t="str">
            <v>M1</v>
          </cell>
          <cell r="B449" t="str">
            <v>A6C</v>
          </cell>
          <cell r="C449" t="str">
            <v>HOR</v>
          </cell>
          <cell r="D449" t="str">
            <v>65619</v>
          </cell>
          <cell r="E449" t="str">
            <v>CAP</v>
          </cell>
          <cell r="F449">
            <v>2</v>
          </cell>
          <cell r="G449" t="str">
            <v>CB520700000T00</v>
          </cell>
          <cell r="H449">
            <v>0.75</v>
          </cell>
          <cell r="I449" t="str">
            <v>--</v>
          </cell>
          <cell r="J449">
            <v>1</v>
          </cell>
          <cell r="K449">
            <v>1</v>
          </cell>
        </row>
        <row r="450">
          <cell r="A450" t="str">
            <v>M1</v>
          </cell>
          <cell r="B450" t="str">
            <v>A6C</v>
          </cell>
          <cell r="C450" t="str">
            <v>HOR</v>
          </cell>
          <cell r="D450" t="str">
            <v>65611</v>
          </cell>
          <cell r="E450" t="str">
            <v>CAP</v>
          </cell>
          <cell r="F450">
            <v>2</v>
          </cell>
          <cell r="G450" t="str">
            <v>CB520700000T00</v>
          </cell>
          <cell r="H450">
            <v>0.75</v>
          </cell>
          <cell r="I450" t="str">
            <v>--</v>
          </cell>
          <cell r="J450">
            <v>1</v>
          </cell>
          <cell r="K450">
            <v>1</v>
          </cell>
        </row>
        <row r="451">
          <cell r="A451" t="str">
            <v>M1</v>
          </cell>
          <cell r="B451" t="str">
            <v>A6C</v>
          </cell>
          <cell r="C451" t="str">
            <v>HOR</v>
          </cell>
          <cell r="D451" t="str">
            <v>65619</v>
          </cell>
          <cell r="E451" t="str">
            <v>CAP</v>
          </cell>
          <cell r="F451">
            <v>2</v>
          </cell>
          <cell r="G451" t="str">
            <v>CB520700000T00</v>
          </cell>
          <cell r="H451">
            <v>0.75</v>
          </cell>
          <cell r="I451" t="str">
            <v>--</v>
          </cell>
          <cell r="J451">
            <v>4</v>
          </cell>
          <cell r="K451">
            <v>4</v>
          </cell>
        </row>
        <row r="452">
          <cell r="A452" t="str">
            <v>M1</v>
          </cell>
          <cell r="B452" t="str">
            <v>A5C</v>
          </cell>
          <cell r="C452" t="str">
            <v>P</v>
          </cell>
          <cell r="D452" t="str">
            <v>22088</v>
          </cell>
          <cell r="E452" t="str">
            <v>CAP</v>
          </cell>
          <cell r="F452">
            <v>2</v>
          </cell>
          <cell r="G452" t="str">
            <v>CB520700000T00</v>
          </cell>
          <cell r="H452">
            <v>0.75</v>
          </cell>
          <cell r="I452" t="str">
            <v>--</v>
          </cell>
          <cell r="J452">
            <v>1</v>
          </cell>
          <cell r="K452">
            <v>1</v>
          </cell>
        </row>
        <row r="453">
          <cell r="A453" t="str">
            <v>M1</v>
          </cell>
          <cell r="B453" t="str">
            <v>A6C</v>
          </cell>
          <cell r="C453" t="str">
            <v>TRIM</v>
          </cell>
          <cell r="D453" t="str">
            <v>H-6501</v>
          </cell>
          <cell r="E453" t="str">
            <v>CAP</v>
          </cell>
          <cell r="F453">
            <v>2</v>
          </cell>
          <cell r="G453" t="str">
            <v>CB520700000T00</v>
          </cell>
          <cell r="H453">
            <v>0.75</v>
          </cell>
          <cell r="I453" t="str">
            <v>--</v>
          </cell>
          <cell r="J453">
            <v>1</v>
          </cell>
          <cell r="K453">
            <v>1</v>
          </cell>
        </row>
        <row r="454">
          <cell r="A454" t="str">
            <v>M1</v>
          </cell>
          <cell r="B454" t="str">
            <v>A6C</v>
          </cell>
          <cell r="C454" t="str">
            <v>HOS</v>
          </cell>
          <cell r="D454" t="str">
            <v>65629</v>
          </cell>
          <cell r="E454" t="str">
            <v>CPLG</v>
          </cell>
          <cell r="F454">
            <v>2</v>
          </cell>
          <cell r="G454" t="str">
            <v>CB400500000T00</v>
          </cell>
          <cell r="H454">
            <v>0.75</v>
          </cell>
          <cell r="I454" t="str">
            <v>--</v>
          </cell>
          <cell r="J454">
            <v>2</v>
          </cell>
          <cell r="K454">
            <v>2</v>
          </cell>
        </row>
        <row r="455">
          <cell r="A455" t="str">
            <v>M1</v>
          </cell>
          <cell r="B455" t="str">
            <v>A5C</v>
          </cell>
          <cell r="C455" t="str">
            <v>TRIM</v>
          </cell>
          <cell r="D455" t="str">
            <v>V-2208</v>
          </cell>
          <cell r="E455" t="str">
            <v>CPLG</v>
          </cell>
          <cell r="F455">
            <v>2</v>
          </cell>
          <cell r="G455" t="str">
            <v>CB400500000T00</v>
          </cell>
          <cell r="H455">
            <v>0.75</v>
          </cell>
          <cell r="I455" t="str">
            <v>--</v>
          </cell>
          <cell r="J455">
            <v>1</v>
          </cell>
          <cell r="K455">
            <v>1</v>
          </cell>
        </row>
        <row r="456">
          <cell r="A456" t="str">
            <v>M1</v>
          </cell>
          <cell r="B456" t="str">
            <v>A6C</v>
          </cell>
          <cell r="C456" t="str">
            <v>HOR</v>
          </cell>
          <cell r="D456" t="str">
            <v>65622</v>
          </cell>
          <cell r="E456" t="str">
            <v>CPLG</v>
          </cell>
          <cell r="F456">
            <v>2</v>
          </cell>
          <cell r="G456" t="str">
            <v>CB400500000T00</v>
          </cell>
          <cell r="H456">
            <v>0.75</v>
          </cell>
          <cell r="I456" t="str">
            <v>--</v>
          </cell>
          <cell r="J456">
            <v>4</v>
          </cell>
          <cell r="K456">
            <v>4</v>
          </cell>
        </row>
        <row r="457">
          <cell r="A457" t="str">
            <v>M1</v>
          </cell>
          <cell r="B457" t="str">
            <v>A5C</v>
          </cell>
          <cell r="C457" t="str">
            <v>TRIM</v>
          </cell>
          <cell r="D457" t="str">
            <v>V-2209</v>
          </cell>
          <cell r="E457" t="str">
            <v>CPLG</v>
          </cell>
          <cell r="F457">
            <v>2</v>
          </cell>
          <cell r="G457" t="str">
            <v>CB400500000T00</v>
          </cell>
          <cell r="H457">
            <v>0.75</v>
          </cell>
          <cell r="I457" t="str">
            <v>--</v>
          </cell>
          <cell r="J457">
            <v>1</v>
          </cell>
          <cell r="K457">
            <v>1</v>
          </cell>
        </row>
        <row r="458">
          <cell r="A458" t="str">
            <v>M1</v>
          </cell>
          <cell r="B458" t="str">
            <v>A6C</v>
          </cell>
          <cell r="C458" t="str">
            <v>HOS</v>
          </cell>
          <cell r="D458" t="str">
            <v>65624</v>
          </cell>
          <cell r="E458" t="str">
            <v>NPL</v>
          </cell>
          <cell r="F458">
            <v>2</v>
          </cell>
          <cell r="G458" t="str">
            <v>CB132108000TVR</v>
          </cell>
          <cell r="H458">
            <v>0.75</v>
          </cell>
          <cell r="I458" t="str">
            <v>75mm</v>
          </cell>
          <cell r="J458">
            <v>6</v>
          </cell>
          <cell r="K458">
            <v>6</v>
          </cell>
        </row>
        <row r="459">
          <cell r="A459" t="str">
            <v>M1</v>
          </cell>
          <cell r="B459" t="str">
            <v>A6C</v>
          </cell>
          <cell r="C459" t="str">
            <v>HOS</v>
          </cell>
          <cell r="D459" t="str">
            <v>65627</v>
          </cell>
          <cell r="E459" t="str">
            <v>NPL</v>
          </cell>
          <cell r="F459">
            <v>2</v>
          </cell>
          <cell r="G459" t="str">
            <v>CB132108000TVR</v>
          </cell>
          <cell r="H459">
            <v>0.75</v>
          </cell>
          <cell r="I459" t="str">
            <v>75mm</v>
          </cell>
          <cell r="J459">
            <v>1</v>
          </cell>
          <cell r="K459">
            <v>1</v>
          </cell>
        </row>
        <row r="460">
          <cell r="A460" t="str">
            <v>M1</v>
          </cell>
          <cell r="B460" t="str">
            <v>A6C</v>
          </cell>
          <cell r="C460" t="str">
            <v>HOS</v>
          </cell>
          <cell r="D460" t="str">
            <v>65627</v>
          </cell>
          <cell r="E460" t="str">
            <v>NPL</v>
          </cell>
          <cell r="F460">
            <v>2</v>
          </cell>
          <cell r="G460" t="str">
            <v>CB132308000TVR</v>
          </cell>
          <cell r="H460">
            <v>0.75</v>
          </cell>
          <cell r="I460" t="str">
            <v>75mm</v>
          </cell>
          <cell r="J460">
            <v>1</v>
          </cell>
          <cell r="K460">
            <v>1</v>
          </cell>
        </row>
        <row r="461">
          <cell r="A461" t="str">
            <v>M1</v>
          </cell>
          <cell r="B461" t="str">
            <v>A6C</v>
          </cell>
          <cell r="C461" t="str">
            <v>HOS</v>
          </cell>
          <cell r="D461" t="str">
            <v>65628</v>
          </cell>
          <cell r="E461" t="str">
            <v>NPL</v>
          </cell>
          <cell r="F461">
            <v>2</v>
          </cell>
          <cell r="G461" t="str">
            <v>CB132108000TVR</v>
          </cell>
          <cell r="H461">
            <v>0.75</v>
          </cell>
          <cell r="I461" t="str">
            <v>75mm</v>
          </cell>
          <cell r="J461">
            <v>2</v>
          </cell>
          <cell r="K461">
            <v>2</v>
          </cell>
        </row>
        <row r="462">
          <cell r="A462" t="str">
            <v>M1</v>
          </cell>
          <cell r="B462" t="str">
            <v>A4C</v>
          </cell>
          <cell r="C462" t="str">
            <v>P</v>
          </cell>
          <cell r="D462" t="str">
            <v>22008</v>
          </cell>
          <cell r="E462" t="str">
            <v>NPL</v>
          </cell>
          <cell r="F462">
            <v>2</v>
          </cell>
          <cell r="G462" t="str">
            <v>CB132108000TVR</v>
          </cell>
          <cell r="H462">
            <v>0.75</v>
          </cell>
          <cell r="I462" t="str">
            <v>75mm</v>
          </cell>
          <cell r="J462">
            <v>1</v>
          </cell>
          <cell r="K462">
            <v>1</v>
          </cell>
        </row>
        <row r="463">
          <cell r="A463" t="str">
            <v>M1</v>
          </cell>
          <cell r="B463" t="str">
            <v>A4C</v>
          </cell>
          <cell r="C463" t="str">
            <v>P</v>
          </cell>
          <cell r="D463" t="str">
            <v>22008</v>
          </cell>
          <cell r="E463" t="str">
            <v>NPL</v>
          </cell>
          <cell r="F463">
            <v>2</v>
          </cell>
          <cell r="G463" t="str">
            <v>CB132108000TVR</v>
          </cell>
          <cell r="H463">
            <v>0.75</v>
          </cell>
          <cell r="I463" t="str">
            <v>75mm</v>
          </cell>
          <cell r="J463">
            <v>2</v>
          </cell>
          <cell r="K463">
            <v>2</v>
          </cell>
        </row>
        <row r="464">
          <cell r="A464" t="str">
            <v>M1</v>
          </cell>
          <cell r="B464" t="str">
            <v>A4C</v>
          </cell>
          <cell r="C464" t="str">
            <v>P</v>
          </cell>
          <cell r="D464" t="str">
            <v>22031</v>
          </cell>
          <cell r="E464" t="str">
            <v>NPL</v>
          </cell>
          <cell r="F464">
            <v>2</v>
          </cell>
          <cell r="G464" t="str">
            <v>CB132108000TVR</v>
          </cell>
          <cell r="H464">
            <v>0.75</v>
          </cell>
          <cell r="I464" t="str">
            <v>75mm</v>
          </cell>
          <cell r="J464">
            <v>1</v>
          </cell>
          <cell r="K464">
            <v>1</v>
          </cell>
        </row>
        <row r="465">
          <cell r="A465" t="str">
            <v>M1</v>
          </cell>
          <cell r="B465" t="str">
            <v>A6C</v>
          </cell>
          <cell r="C465" t="str">
            <v>HOR</v>
          </cell>
          <cell r="D465" t="str">
            <v>65611</v>
          </cell>
          <cell r="E465" t="str">
            <v>NPL</v>
          </cell>
          <cell r="F465">
            <v>2</v>
          </cell>
          <cell r="G465" t="str">
            <v>CB132108000TVR</v>
          </cell>
          <cell r="H465">
            <v>0.75</v>
          </cell>
          <cell r="I465" t="str">
            <v>75mm</v>
          </cell>
          <cell r="J465">
            <v>2</v>
          </cell>
          <cell r="K465">
            <v>2</v>
          </cell>
        </row>
        <row r="466">
          <cell r="A466" t="str">
            <v>M1</v>
          </cell>
          <cell r="B466" t="str">
            <v>A6C</v>
          </cell>
          <cell r="C466" t="str">
            <v>HOS</v>
          </cell>
          <cell r="D466" t="str">
            <v>65613</v>
          </cell>
          <cell r="E466" t="str">
            <v>NPL</v>
          </cell>
          <cell r="F466">
            <v>2</v>
          </cell>
          <cell r="G466" t="str">
            <v>CB132308000TVR</v>
          </cell>
          <cell r="H466">
            <v>0.75</v>
          </cell>
          <cell r="I466" t="str">
            <v>75mm</v>
          </cell>
          <cell r="J466">
            <v>6</v>
          </cell>
          <cell r="K466">
            <v>6</v>
          </cell>
        </row>
        <row r="467">
          <cell r="A467" t="str">
            <v>M1</v>
          </cell>
          <cell r="B467" t="str">
            <v>A6C</v>
          </cell>
          <cell r="C467" t="str">
            <v>HOR</v>
          </cell>
          <cell r="D467" t="str">
            <v>65619</v>
          </cell>
          <cell r="E467" t="str">
            <v>NPL</v>
          </cell>
          <cell r="F467">
            <v>2</v>
          </cell>
          <cell r="G467" t="str">
            <v>CB132108000TVR</v>
          </cell>
          <cell r="H467">
            <v>0.75</v>
          </cell>
          <cell r="I467" t="str">
            <v>75mm</v>
          </cell>
          <cell r="J467">
            <v>2</v>
          </cell>
          <cell r="K467">
            <v>2</v>
          </cell>
        </row>
        <row r="468">
          <cell r="A468" t="str">
            <v>M1</v>
          </cell>
          <cell r="B468" t="str">
            <v>A6C</v>
          </cell>
          <cell r="C468" t="str">
            <v>HOR</v>
          </cell>
          <cell r="D468" t="str">
            <v>65619</v>
          </cell>
          <cell r="E468" t="str">
            <v>NPL</v>
          </cell>
          <cell r="F468">
            <v>2</v>
          </cell>
          <cell r="G468" t="str">
            <v>CB132108000TVR</v>
          </cell>
          <cell r="H468">
            <v>0.75</v>
          </cell>
          <cell r="I468" t="str">
            <v>75mm</v>
          </cell>
          <cell r="J468">
            <v>10</v>
          </cell>
          <cell r="K468">
            <v>10</v>
          </cell>
        </row>
        <row r="469">
          <cell r="A469" t="str">
            <v>M1</v>
          </cell>
          <cell r="B469" t="str">
            <v>A4C</v>
          </cell>
          <cell r="C469" t="str">
            <v>P</v>
          </cell>
          <cell r="D469" t="str">
            <v>22009</v>
          </cell>
          <cell r="E469" t="str">
            <v>NPL</v>
          </cell>
          <cell r="F469">
            <v>2</v>
          </cell>
          <cell r="G469" t="str">
            <v>CB132108000TVR</v>
          </cell>
          <cell r="H469">
            <v>0.75</v>
          </cell>
          <cell r="I469" t="str">
            <v>75mm</v>
          </cell>
          <cell r="J469">
            <v>2</v>
          </cell>
          <cell r="K469">
            <v>2</v>
          </cell>
        </row>
        <row r="470">
          <cell r="A470" t="str">
            <v>M1</v>
          </cell>
          <cell r="B470" t="str">
            <v>A6C</v>
          </cell>
          <cell r="C470" t="str">
            <v>TRIM</v>
          </cell>
          <cell r="D470" t="str">
            <v>H-6501</v>
          </cell>
          <cell r="E470" t="str">
            <v>NPL</v>
          </cell>
          <cell r="F470">
            <v>2</v>
          </cell>
          <cell r="G470" t="str">
            <v>CB132108000TVR</v>
          </cell>
          <cell r="H470">
            <v>0.75</v>
          </cell>
          <cell r="I470" t="str">
            <v>75mm</v>
          </cell>
          <cell r="J470">
            <v>4</v>
          </cell>
          <cell r="K470">
            <v>4</v>
          </cell>
        </row>
        <row r="471">
          <cell r="A471" t="str">
            <v>M1</v>
          </cell>
          <cell r="B471" t="str">
            <v>A6C</v>
          </cell>
          <cell r="C471" t="str">
            <v>TRIM</v>
          </cell>
          <cell r="D471" t="str">
            <v>V-6501</v>
          </cell>
          <cell r="E471" t="str">
            <v>NPL</v>
          </cell>
          <cell r="F471">
            <v>2</v>
          </cell>
          <cell r="G471" t="str">
            <v>CB132108000TVR</v>
          </cell>
          <cell r="H471">
            <v>0.75</v>
          </cell>
          <cell r="I471" t="str">
            <v>75mm</v>
          </cell>
          <cell r="J471">
            <v>8</v>
          </cell>
          <cell r="K471">
            <v>8</v>
          </cell>
        </row>
        <row r="472">
          <cell r="A472" t="str">
            <v>M1</v>
          </cell>
          <cell r="B472" t="str">
            <v>A4C</v>
          </cell>
          <cell r="C472" t="str">
            <v>P</v>
          </cell>
          <cell r="D472" t="str">
            <v>22008</v>
          </cell>
          <cell r="E472" t="str">
            <v>TEE</v>
          </cell>
          <cell r="F472">
            <v>2</v>
          </cell>
          <cell r="G472" t="str">
            <v>CB400300000T00</v>
          </cell>
          <cell r="H472">
            <v>0.75</v>
          </cell>
          <cell r="I472" t="str">
            <v>--</v>
          </cell>
          <cell r="J472">
            <v>1</v>
          </cell>
          <cell r="K472">
            <v>1</v>
          </cell>
        </row>
        <row r="473">
          <cell r="A473" t="str">
            <v>M1</v>
          </cell>
          <cell r="B473" t="str">
            <v>A6C</v>
          </cell>
          <cell r="C473" t="str">
            <v>TRIM</v>
          </cell>
          <cell r="D473" t="str">
            <v>H-6501</v>
          </cell>
          <cell r="E473" t="str">
            <v>TEE</v>
          </cell>
          <cell r="F473">
            <v>2</v>
          </cell>
          <cell r="G473" t="str">
            <v>CB400300000T00</v>
          </cell>
          <cell r="H473">
            <v>0.75</v>
          </cell>
          <cell r="I473" t="str">
            <v>--</v>
          </cell>
          <cell r="J473">
            <v>2</v>
          </cell>
          <cell r="K473">
            <v>2</v>
          </cell>
        </row>
        <row r="474">
          <cell r="A474" t="str">
            <v>M1</v>
          </cell>
          <cell r="B474" t="str">
            <v>A6C</v>
          </cell>
          <cell r="C474" t="str">
            <v>HOR</v>
          </cell>
          <cell r="D474" t="str">
            <v>65620</v>
          </cell>
          <cell r="E474" t="str">
            <v>TEE</v>
          </cell>
          <cell r="F474">
            <v>2</v>
          </cell>
          <cell r="G474" t="str">
            <v>CB400300000T00</v>
          </cell>
          <cell r="H474">
            <v>0.75</v>
          </cell>
          <cell r="I474" t="str">
            <v>--</v>
          </cell>
          <cell r="J474">
            <v>1</v>
          </cell>
          <cell r="K474">
            <v>1</v>
          </cell>
        </row>
        <row r="475">
          <cell r="A475" t="str">
            <v>M1</v>
          </cell>
          <cell r="B475" t="str">
            <v>B1C</v>
          </cell>
          <cell r="C475" t="str">
            <v>P</v>
          </cell>
          <cell r="D475" t="str">
            <v>22029</v>
          </cell>
          <cell r="E475" t="str">
            <v>90 ELL</v>
          </cell>
          <cell r="F475">
            <v>2</v>
          </cell>
          <cell r="G475" t="str">
            <v>CB400100001000</v>
          </cell>
          <cell r="H475">
            <v>0.75</v>
          </cell>
          <cell r="I475" t="str">
            <v>--</v>
          </cell>
          <cell r="J475">
            <v>2</v>
          </cell>
          <cell r="K475">
            <v>2</v>
          </cell>
        </row>
        <row r="476">
          <cell r="A476" t="str">
            <v>M1</v>
          </cell>
          <cell r="B476" t="str">
            <v>B1C</v>
          </cell>
          <cell r="C476" t="str">
            <v>P</v>
          </cell>
          <cell r="D476" t="str">
            <v>22027</v>
          </cell>
          <cell r="E476" t="str">
            <v>90 ELL</v>
          </cell>
          <cell r="F476">
            <v>2</v>
          </cell>
          <cell r="G476" t="str">
            <v>CB400100001000</v>
          </cell>
          <cell r="H476">
            <v>0.75</v>
          </cell>
          <cell r="I476" t="str">
            <v>--</v>
          </cell>
          <cell r="J476">
            <v>1</v>
          </cell>
          <cell r="K476">
            <v>1</v>
          </cell>
        </row>
        <row r="477">
          <cell r="A477" t="str">
            <v>M1</v>
          </cell>
          <cell r="B477" t="str">
            <v>B1X</v>
          </cell>
          <cell r="C477" t="str">
            <v>P</v>
          </cell>
          <cell r="D477" t="str">
            <v>22042</v>
          </cell>
          <cell r="E477" t="str">
            <v>90 ELL</v>
          </cell>
          <cell r="F477">
            <v>2</v>
          </cell>
          <cell r="G477" t="str">
            <v>CB400100001000</v>
          </cell>
          <cell r="H477">
            <v>0.75</v>
          </cell>
          <cell r="I477" t="str">
            <v>--</v>
          </cell>
          <cell r="J477">
            <v>2</v>
          </cell>
          <cell r="K477">
            <v>2</v>
          </cell>
        </row>
        <row r="478">
          <cell r="A478" t="str">
            <v>M1</v>
          </cell>
          <cell r="B478" t="str">
            <v>B1C</v>
          </cell>
          <cell r="C478" t="str">
            <v>P</v>
          </cell>
          <cell r="D478" t="str">
            <v>22027</v>
          </cell>
          <cell r="E478" t="str">
            <v>NPL</v>
          </cell>
          <cell r="F478">
            <v>2</v>
          </cell>
          <cell r="G478" t="str">
            <v>CB132308000TVR</v>
          </cell>
          <cell r="H478">
            <v>0.75</v>
          </cell>
          <cell r="I478" t="str">
            <v>75mm</v>
          </cell>
          <cell r="J478">
            <v>1</v>
          </cell>
          <cell r="K478">
            <v>1</v>
          </cell>
        </row>
        <row r="479">
          <cell r="A479" t="str">
            <v>M1</v>
          </cell>
          <cell r="B479" t="str">
            <v>A6C</v>
          </cell>
          <cell r="C479" t="str">
            <v>HOS</v>
          </cell>
          <cell r="D479" t="str">
            <v>65613</v>
          </cell>
          <cell r="E479" t="str">
            <v>90 ELL</v>
          </cell>
          <cell r="F479">
            <v>2</v>
          </cell>
          <cell r="G479" t="str">
            <v>CB400100001000</v>
          </cell>
          <cell r="H479">
            <v>1</v>
          </cell>
          <cell r="I479" t="str">
            <v>--</v>
          </cell>
          <cell r="J479">
            <v>8</v>
          </cell>
          <cell r="K479">
            <v>8</v>
          </cell>
        </row>
        <row r="480">
          <cell r="A480" t="str">
            <v>M1</v>
          </cell>
          <cell r="B480" t="str">
            <v>A5C</v>
          </cell>
          <cell r="C480" t="str">
            <v>P</v>
          </cell>
          <cell r="D480" t="str">
            <v>22103</v>
          </cell>
          <cell r="E480" t="str">
            <v>90 ELL</v>
          </cell>
          <cell r="F480">
            <v>2</v>
          </cell>
          <cell r="G480" t="str">
            <v>CB400100001000</v>
          </cell>
          <cell r="H480">
            <v>1</v>
          </cell>
          <cell r="I480" t="str">
            <v>--</v>
          </cell>
          <cell r="J480">
            <v>6</v>
          </cell>
          <cell r="K480">
            <v>6</v>
          </cell>
        </row>
        <row r="481">
          <cell r="A481" t="str">
            <v>M1</v>
          </cell>
          <cell r="B481" t="str">
            <v>A5C</v>
          </cell>
          <cell r="C481" t="str">
            <v>P</v>
          </cell>
          <cell r="D481" t="str">
            <v>22106</v>
          </cell>
          <cell r="E481" t="str">
            <v>90 ELL</v>
          </cell>
          <cell r="F481">
            <v>2</v>
          </cell>
          <cell r="G481" t="str">
            <v>CB400100000100</v>
          </cell>
          <cell r="H481">
            <v>1</v>
          </cell>
          <cell r="I481" t="str">
            <v>--</v>
          </cell>
          <cell r="J481">
            <v>5</v>
          </cell>
          <cell r="K481">
            <v>5</v>
          </cell>
        </row>
        <row r="482">
          <cell r="A482" t="str">
            <v>M1</v>
          </cell>
          <cell r="B482" t="str">
            <v>A6C</v>
          </cell>
          <cell r="C482" t="str">
            <v>HOR</v>
          </cell>
          <cell r="D482" t="str">
            <v>65612</v>
          </cell>
          <cell r="E482" t="str">
            <v>90 ELL</v>
          </cell>
          <cell r="F482">
            <v>2</v>
          </cell>
          <cell r="G482" t="str">
            <v>CB400100000100</v>
          </cell>
          <cell r="H482">
            <v>1</v>
          </cell>
          <cell r="I482" t="str">
            <v>--</v>
          </cell>
          <cell r="J482">
            <v>5</v>
          </cell>
          <cell r="K482">
            <v>5</v>
          </cell>
        </row>
        <row r="483">
          <cell r="A483" t="str">
            <v>M1</v>
          </cell>
          <cell r="B483" t="str">
            <v>A6C</v>
          </cell>
          <cell r="C483" t="str">
            <v>HOR</v>
          </cell>
          <cell r="D483" t="str">
            <v>65622</v>
          </cell>
          <cell r="E483" t="str">
            <v>90 ELL</v>
          </cell>
          <cell r="F483">
            <v>2</v>
          </cell>
          <cell r="G483" t="str">
            <v>CB400100000100</v>
          </cell>
          <cell r="H483">
            <v>1</v>
          </cell>
          <cell r="I483" t="str">
            <v>--</v>
          </cell>
          <cell r="J483">
            <v>4</v>
          </cell>
          <cell r="K483">
            <v>4</v>
          </cell>
        </row>
        <row r="484">
          <cell r="A484" t="str">
            <v>M1</v>
          </cell>
          <cell r="B484" t="str">
            <v>A5C</v>
          </cell>
          <cell r="C484" t="str">
            <v>P</v>
          </cell>
          <cell r="D484" t="str">
            <v>22106</v>
          </cell>
          <cell r="E484" t="str">
            <v>R TEE</v>
          </cell>
          <cell r="F484">
            <v>2</v>
          </cell>
          <cell r="G484" t="str">
            <v>CB40040000010H</v>
          </cell>
          <cell r="H484">
            <v>1</v>
          </cell>
          <cell r="I484">
            <v>0.5</v>
          </cell>
          <cell r="J484">
            <v>4</v>
          </cell>
          <cell r="K484">
            <v>4</v>
          </cell>
        </row>
        <row r="485">
          <cell r="A485" t="str">
            <v>M1</v>
          </cell>
          <cell r="B485" t="str">
            <v>A6C</v>
          </cell>
          <cell r="C485" t="str">
            <v>HOR</v>
          </cell>
          <cell r="D485" t="str">
            <v>65612</v>
          </cell>
          <cell r="E485" t="str">
            <v>R TEE</v>
          </cell>
          <cell r="F485">
            <v>2</v>
          </cell>
          <cell r="G485" t="str">
            <v>CB40040000010T</v>
          </cell>
          <cell r="H485">
            <v>1</v>
          </cell>
          <cell r="I485">
            <v>0.75</v>
          </cell>
          <cell r="J485">
            <v>4</v>
          </cell>
          <cell r="K485">
            <v>4</v>
          </cell>
        </row>
        <row r="486">
          <cell r="A486" t="str">
            <v>M1</v>
          </cell>
          <cell r="B486" t="str">
            <v>A4C</v>
          </cell>
          <cell r="C486" t="str">
            <v>N</v>
          </cell>
          <cell r="D486" t="str">
            <v>22661</v>
          </cell>
          <cell r="E486" t="str">
            <v>90 ELL</v>
          </cell>
          <cell r="F486">
            <v>2</v>
          </cell>
          <cell r="G486" t="str">
            <v>CB400100000100</v>
          </cell>
          <cell r="H486">
            <v>1</v>
          </cell>
          <cell r="I486" t="str">
            <v>--</v>
          </cell>
          <cell r="J486">
            <v>3</v>
          </cell>
          <cell r="K486">
            <v>3</v>
          </cell>
        </row>
        <row r="487">
          <cell r="A487" t="str">
            <v>M1</v>
          </cell>
          <cell r="B487" t="str">
            <v>A5C</v>
          </cell>
          <cell r="C487" t="str">
            <v>P</v>
          </cell>
          <cell r="D487" t="str">
            <v>22105</v>
          </cell>
          <cell r="E487" t="str">
            <v>90 ELL</v>
          </cell>
          <cell r="F487">
            <v>2</v>
          </cell>
          <cell r="G487" t="str">
            <v>CB400100001000</v>
          </cell>
          <cell r="H487">
            <v>1</v>
          </cell>
          <cell r="I487" t="str">
            <v>--</v>
          </cell>
          <cell r="J487">
            <v>4</v>
          </cell>
          <cell r="K487">
            <v>4</v>
          </cell>
        </row>
        <row r="488">
          <cell r="A488" t="str">
            <v>M1</v>
          </cell>
          <cell r="B488" t="str">
            <v>A5C</v>
          </cell>
          <cell r="C488" t="str">
            <v>P</v>
          </cell>
          <cell r="D488" t="str">
            <v>22157</v>
          </cell>
          <cell r="E488" t="str">
            <v>R TEE</v>
          </cell>
          <cell r="F488">
            <v>2</v>
          </cell>
          <cell r="G488" t="str">
            <v>CB400400001H01</v>
          </cell>
          <cell r="H488">
            <v>1</v>
          </cell>
          <cell r="I488" t="str">
            <v>-</v>
          </cell>
          <cell r="J488">
            <v>5</v>
          </cell>
          <cell r="K488">
            <v>5</v>
          </cell>
        </row>
        <row r="489">
          <cell r="A489" t="str">
            <v>M1</v>
          </cell>
          <cell r="B489" t="str">
            <v>B2C</v>
          </cell>
          <cell r="C489" t="str">
            <v>SH</v>
          </cell>
          <cell r="D489" t="str">
            <v>22614</v>
          </cell>
          <cell r="E489" t="str">
            <v>90 ELL</v>
          </cell>
          <cell r="F489">
            <v>2</v>
          </cell>
          <cell r="G489" t="str">
            <v>CB400100001000</v>
          </cell>
          <cell r="H489">
            <v>1</v>
          </cell>
          <cell r="I489" t="str">
            <v>--</v>
          </cell>
          <cell r="J489">
            <v>2</v>
          </cell>
          <cell r="K489">
            <v>2</v>
          </cell>
        </row>
        <row r="490">
          <cell r="A490" t="str">
            <v>M1</v>
          </cell>
          <cell r="B490" t="str">
            <v>B2C</v>
          </cell>
          <cell r="C490" t="str">
            <v>SH</v>
          </cell>
          <cell r="D490" t="str">
            <v>22611</v>
          </cell>
          <cell r="E490" t="str">
            <v>CPLG</v>
          </cell>
          <cell r="F490">
            <v>2</v>
          </cell>
          <cell r="G490" t="str">
            <v>CB400500000100</v>
          </cell>
          <cell r="H490">
            <v>1</v>
          </cell>
          <cell r="I490" t="str">
            <v>--</v>
          </cell>
          <cell r="J490">
            <v>2</v>
          </cell>
          <cell r="K490">
            <v>2</v>
          </cell>
        </row>
        <row r="491">
          <cell r="A491" t="str">
            <v>M1</v>
          </cell>
          <cell r="B491" t="str">
            <v>B2C</v>
          </cell>
          <cell r="C491" t="str">
            <v>TRIM</v>
          </cell>
          <cell r="D491" t="str">
            <v>E-2204</v>
          </cell>
          <cell r="E491" t="str">
            <v>NPL</v>
          </cell>
          <cell r="F491">
            <v>2</v>
          </cell>
          <cell r="G491" t="str">
            <v>CB1321080001VR</v>
          </cell>
          <cell r="H491">
            <v>1</v>
          </cell>
          <cell r="I491" t="str">
            <v>75mm</v>
          </cell>
          <cell r="J491">
            <v>2</v>
          </cell>
          <cell r="K491">
            <v>2</v>
          </cell>
        </row>
        <row r="492">
          <cell r="A492" t="str">
            <v>M1</v>
          </cell>
          <cell r="B492" t="str">
            <v>A5C</v>
          </cell>
          <cell r="C492" t="str">
            <v>P</v>
          </cell>
          <cell r="D492" t="str">
            <v>22063</v>
          </cell>
          <cell r="E492" t="str">
            <v>90 ELL</v>
          </cell>
          <cell r="F492">
            <v>2</v>
          </cell>
          <cell r="G492" t="str">
            <v>CB400100001000</v>
          </cell>
          <cell r="H492">
            <v>1</v>
          </cell>
          <cell r="I492" t="str">
            <v>--</v>
          </cell>
          <cell r="J492">
            <v>2</v>
          </cell>
          <cell r="K492">
            <v>2</v>
          </cell>
        </row>
        <row r="493">
          <cell r="A493" t="str">
            <v>M1</v>
          </cell>
          <cell r="B493" t="str">
            <v>A5C</v>
          </cell>
          <cell r="C493" t="str">
            <v>P</v>
          </cell>
          <cell r="D493" t="str">
            <v>99002</v>
          </cell>
          <cell r="E493" t="str">
            <v>90 ELL</v>
          </cell>
          <cell r="F493">
            <v>2</v>
          </cell>
          <cell r="G493" t="str">
            <v>CB400100000100</v>
          </cell>
          <cell r="H493">
            <v>1</v>
          </cell>
          <cell r="I493" t="str">
            <v>--</v>
          </cell>
          <cell r="J493">
            <v>2</v>
          </cell>
          <cell r="K493">
            <v>2</v>
          </cell>
        </row>
        <row r="494">
          <cell r="A494" t="str">
            <v>M1</v>
          </cell>
          <cell r="B494" t="str">
            <v>A5C</v>
          </cell>
          <cell r="C494" t="str">
            <v>P</v>
          </cell>
          <cell r="D494" t="str">
            <v>22106</v>
          </cell>
          <cell r="E494" t="str">
            <v>R TEE</v>
          </cell>
          <cell r="F494">
            <v>2</v>
          </cell>
          <cell r="G494" t="str">
            <v>CB40040000010T</v>
          </cell>
          <cell r="H494">
            <v>1</v>
          </cell>
          <cell r="I494">
            <v>0.75</v>
          </cell>
          <cell r="J494">
            <v>2</v>
          </cell>
          <cell r="K494">
            <v>2</v>
          </cell>
        </row>
        <row r="495">
          <cell r="A495" t="str">
            <v>M1</v>
          </cell>
          <cell r="B495" t="str">
            <v>A6C</v>
          </cell>
          <cell r="C495" t="str">
            <v>HOS</v>
          </cell>
          <cell r="D495" t="str">
            <v>65625</v>
          </cell>
          <cell r="E495" t="str">
            <v>NPL</v>
          </cell>
          <cell r="F495">
            <v>2</v>
          </cell>
          <cell r="G495" t="str">
            <v>CB1321080001VR</v>
          </cell>
          <cell r="H495">
            <v>1</v>
          </cell>
          <cell r="I495" t="str">
            <v>75mm</v>
          </cell>
          <cell r="J495">
            <v>2</v>
          </cell>
          <cell r="K495">
            <v>2</v>
          </cell>
        </row>
        <row r="496">
          <cell r="A496" t="str">
            <v>M1</v>
          </cell>
          <cell r="B496" t="str">
            <v>A6C</v>
          </cell>
          <cell r="C496" t="str">
            <v>HOS</v>
          </cell>
          <cell r="D496" t="str">
            <v>65613</v>
          </cell>
          <cell r="E496" t="str">
            <v>NPL</v>
          </cell>
          <cell r="F496">
            <v>2</v>
          </cell>
          <cell r="G496" t="str">
            <v>CB1323080001VR</v>
          </cell>
          <cell r="H496">
            <v>1</v>
          </cell>
          <cell r="I496" t="str">
            <v>75mm</v>
          </cell>
          <cell r="J496">
            <v>2</v>
          </cell>
          <cell r="K496">
            <v>2</v>
          </cell>
        </row>
        <row r="497">
          <cell r="A497" t="str">
            <v>M1</v>
          </cell>
          <cell r="B497" t="str">
            <v>A6C</v>
          </cell>
          <cell r="C497" t="str">
            <v>HOS</v>
          </cell>
          <cell r="D497" t="str">
            <v>65621</v>
          </cell>
          <cell r="E497" t="str">
            <v>TEE</v>
          </cell>
          <cell r="F497">
            <v>2</v>
          </cell>
          <cell r="G497" t="str">
            <v>CB400300000100</v>
          </cell>
          <cell r="H497">
            <v>1</v>
          </cell>
          <cell r="I497" t="str">
            <v>--</v>
          </cell>
          <cell r="J497">
            <v>1</v>
          </cell>
          <cell r="K497">
            <v>1</v>
          </cell>
        </row>
        <row r="498">
          <cell r="A498" t="str">
            <v>M1</v>
          </cell>
          <cell r="B498" t="str">
            <v>A6C</v>
          </cell>
          <cell r="C498" t="str">
            <v>HOR</v>
          </cell>
          <cell r="D498" t="str">
            <v>65612</v>
          </cell>
          <cell r="E498" t="str">
            <v>TEE</v>
          </cell>
          <cell r="F498">
            <v>2</v>
          </cell>
          <cell r="G498" t="str">
            <v>CB400300000100</v>
          </cell>
          <cell r="H498">
            <v>1</v>
          </cell>
          <cell r="I498" t="str">
            <v>--</v>
          </cell>
          <cell r="J498">
            <v>1</v>
          </cell>
          <cell r="K498">
            <v>1</v>
          </cell>
        </row>
        <row r="499">
          <cell r="A499" t="str">
            <v>M1</v>
          </cell>
          <cell r="B499" t="str">
            <v>A6C</v>
          </cell>
          <cell r="C499" t="str">
            <v>HOR</v>
          </cell>
          <cell r="D499" t="str">
            <v>65622</v>
          </cell>
          <cell r="E499" t="str">
            <v>TEE</v>
          </cell>
          <cell r="F499">
            <v>2</v>
          </cell>
          <cell r="G499" t="str">
            <v>CB400300000100</v>
          </cell>
          <cell r="H499">
            <v>1</v>
          </cell>
          <cell r="I499" t="str">
            <v>--</v>
          </cell>
          <cell r="J499">
            <v>1</v>
          </cell>
          <cell r="K499">
            <v>1</v>
          </cell>
        </row>
        <row r="500">
          <cell r="A500" t="str">
            <v>M1</v>
          </cell>
          <cell r="B500" t="str">
            <v>A5C</v>
          </cell>
          <cell r="C500" t="str">
            <v>N</v>
          </cell>
          <cell r="D500" t="str">
            <v>22679</v>
          </cell>
          <cell r="E500" t="str">
            <v>90 ELL</v>
          </cell>
          <cell r="F500">
            <v>2</v>
          </cell>
          <cell r="G500" t="str">
            <v>CB400100001000</v>
          </cell>
          <cell r="H500">
            <v>1</v>
          </cell>
          <cell r="I500" t="str">
            <v>--</v>
          </cell>
          <cell r="J500">
            <v>2</v>
          </cell>
          <cell r="K500">
            <v>2</v>
          </cell>
        </row>
        <row r="501">
          <cell r="A501" t="str">
            <v>M1</v>
          </cell>
          <cell r="B501" t="str">
            <v>A5C</v>
          </cell>
          <cell r="C501" t="str">
            <v>N</v>
          </cell>
          <cell r="D501" t="str">
            <v>25614</v>
          </cell>
          <cell r="E501" t="str">
            <v>90 ELL</v>
          </cell>
          <cell r="F501">
            <v>2</v>
          </cell>
          <cell r="G501" t="str">
            <v>CB400100000100</v>
          </cell>
          <cell r="H501">
            <v>1</v>
          </cell>
          <cell r="I501" t="str">
            <v>--</v>
          </cell>
          <cell r="J501">
            <v>2</v>
          </cell>
          <cell r="K501">
            <v>2</v>
          </cell>
        </row>
        <row r="502">
          <cell r="A502" t="str">
            <v>M1</v>
          </cell>
          <cell r="B502" t="str">
            <v>A5C</v>
          </cell>
          <cell r="C502" t="str">
            <v>N</v>
          </cell>
          <cell r="D502" t="str">
            <v>22670</v>
          </cell>
          <cell r="E502" t="str">
            <v>C SWG</v>
          </cell>
          <cell r="F502">
            <v>2</v>
          </cell>
          <cell r="G502" t="str">
            <v>CB16110808010H</v>
          </cell>
          <cell r="H502">
            <v>1</v>
          </cell>
          <cell r="I502">
            <v>0.5</v>
          </cell>
          <cell r="J502">
            <v>4</v>
          </cell>
          <cell r="K502">
            <v>4</v>
          </cell>
        </row>
        <row r="503">
          <cell r="A503" t="str">
            <v>M1</v>
          </cell>
          <cell r="B503" t="str">
            <v>A5C</v>
          </cell>
          <cell r="C503" t="str">
            <v>P</v>
          </cell>
          <cell r="D503" t="str">
            <v>22066</v>
          </cell>
          <cell r="E503" t="str">
            <v>CPLG</v>
          </cell>
          <cell r="F503">
            <v>2</v>
          </cell>
          <cell r="G503" t="str">
            <v>CB400500000100</v>
          </cell>
          <cell r="H503">
            <v>1</v>
          </cell>
          <cell r="I503" t="str">
            <v>--</v>
          </cell>
          <cell r="J503">
            <v>2</v>
          </cell>
          <cell r="K503">
            <v>2</v>
          </cell>
        </row>
        <row r="504">
          <cell r="A504" t="str">
            <v>M1</v>
          </cell>
          <cell r="B504" t="str">
            <v>A5C</v>
          </cell>
          <cell r="C504" t="str">
            <v>P</v>
          </cell>
          <cell r="D504" t="str">
            <v>99002</v>
          </cell>
          <cell r="E504" t="str">
            <v>CPLG</v>
          </cell>
          <cell r="F504">
            <v>2</v>
          </cell>
          <cell r="G504" t="str">
            <v>CB400500000100</v>
          </cell>
          <cell r="H504">
            <v>1</v>
          </cell>
          <cell r="I504" t="str">
            <v>--</v>
          </cell>
          <cell r="J504">
            <v>2</v>
          </cell>
          <cell r="K504">
            <v>2</v>
          </cell>
        </row>
        <row r="505">
          <cell r="A505" t="str">
            <v>M1</v>
          </cell>
          <cell r="B505" t="str">
            <v>A5C</v>
          </cell>
          <cell r="C505" t="str">
            <v>TRIM</v>
          </cell>
          <cell r="D505" t="str">
            <v>V-2206</v>
          </cell>
          <cell r="E505" t="str">
            <v>NPL</v>
          </cell>
          <cell r="F505">
            <v>2</v>
          </cell>
          <cell r="G505" t="str">
            <v>CB1321080001VR</v>
          </cell>
          <cell r="H505">
            <v>1</v>
          </cell>
          <cell r="I505" t="str">
            <v>75mm</v>
          </cell>
          <cell r="J505">
            <v>2</v>
          </cell>
          <cell r="K505">
            <v>2</v>
          </cell>
        </row>
        <row r="506">
          <cell r="A506" t="str">
            <v>M1</v>
          </cell>
          <cell r="B506" t="str">
            <v>A6C</v>
          </cell>
          <cell r="C506" t="str">
            <v>HOS</v>
          </cell>
          <cell r="D506" t="str">
            <v>65624</v>
          </cell>
          <cell r="E506" t="str">
            <v>NPL</v>
          </cell>
          <cell r="F506">
            <v>2</v>
          </cell>
          <cell r="G506" t="str">
            <v>CB1321080001VR</v>
          </cell>
          <cell r="H506">
            <v>1</v>
          </cell>
          <cell r="I506" t="str">
            <v>75mm</v>
          </cell>
          <cell r="J506">
            <v>2</v>
          </cell>
          <cell r="K506">
            <v>2</v>
          </cell>
        </row>
        <row r="507">
          <cell r="A507" t="str">
            <v>M1</v>
          </cell>
          <cell r="B507" t="str">
            <v>A4C</v>
          </cell>
          <cell r="C507" t="str">
            <v>N</v>
          </cell>
          <cell r="D507" t="str">
            <v>22661</v>
          </cell>
          <cell r="E507" t="str">
            <v>TEE</v>
          </cell>
          <cell r="F507">
            <v>2</v>
          </cell>
          <cell r="G507" t="str">
            <v>CB400300000100</v>
          </cell>
          <cell r="H507">
            <v>1</v>
          </cell>
          <cell r="I507" t="str">
            <v>--</v>
          </cell>
          <cell r="J507">
            <v>1</v>
          </cell>
          <cell r="K507">
            <v>1</v>
          </cell>
        </row>
        <row r="508">
          <cell r="A508" t="str">
            <v>M1</v>
          </cell>
          <cell r="B508" t="str">
            <v>A5C</v>
          </cell>
          <cell r="C508" t="str">
            <v>N</v>
          </cell>
          <cell r="D508" t="str">
            <v>22684</v>
          </cell>
          <cell r="E508" t="str">
            <v>90 ELL</v>
          </cell>
          <cell r="F508">
            <v>2</v>
          </cell>
          <cell r="G508" t="str">
            <v>CB400100001000</v>
          </cell>
          <cell r="H508">
            <v>1</v>
          </cell>
          <cell r="I508" t="str">
            <v>--</v>
          </cell>
          <cell r="J508">
            <v>1</v>
          </cell>
          <cell r="K508">
            <v>1</v>
          </cell>
        </row>
        <row r="509">
          <cell r="A509" t="str">
            <v>M1</v>
          </cell>
          <cell r="B509" t="str">
            <v>A5C</v>
          </cell>
          <cell r="C509" t="str">
            <v>N</v>
          </cell>
          <cell r="D509" t="str">
            <v>25611</v>
          </cell>
          <cell r="E509" t="str">
            <v>90 ELL</v>
          </cell>
          <cell r="F509">
            <v>2</v>
          </cell>
          <cell r="G509" t="str">
            <v>CB400100001000</v>
          </cell>
          <cell r="H509">
            <v>1</v>
          </cell>
          <cell r="I509" t="str">
            <v>--</v>
          </cell>
          <cell r="J509">
            <v>1</v>
          </cell>
          <cell r="K509">
            <v>1</v>
          </cell>
        </row>
        <row r="510">
          <cell r="A510" t="str">
            <v>M1</v>
          </cell>
          <cell r="B510" t="str">
            <v>A5C</v>
          </cell>
          <cell r="C510" t="str">
            <v>N</v>
          </cell>
          <cell r="D510" t="str">
            <v>22682</v>
          </cell>
          <cell r="E510" t="str">
            <v>90 ELL</v>
          </cell>
          <cell r="F510">
            <v>2</v>
          </cell>
          <cell r="G510" t="str">
            <v>CB400100000100</v>
          </cell>
          <cell r="H510">
            <v>1</v>
          </cell>
          <cell r="I510" t="str">
            <v>--</v>
          </cell>
          <cell r="J510">
            <v>1</v>
          </cell>
          <cell r="K510">
            <v>1</v>
          </cell>
        </row>
        <row r="511">
          <cell r="A511" t="str">
            <v>M1</v>
          </cell>
          <cell r="B511" t="str">
            <v>A5C</v>
          </cell>
          <cell r="C511" t="str">
            <v>N</v>
          </cell>
          <cell r="D511" t="str">
            <v>22683</v>
          </cell>
          <cell r="E511" t="str">
            <v>90 ELL</v>
          </cell>
          <cell r="F511">
            <v>2</v>
          </cell>
          <cell r="G511" t="str">
            <v>CB400100000100</v>
          </cell>
          <cell r="H511">
            <v>1</v>
          </cell>
          <cell r="I511" t="str">
            <v>--</v>
          </cell>
          <cell r="J511">
            <v>1</v>
          </cell>
          <cell r="K511">
            <v>1</v>
          </cell>
        </row>
        <row r="512">
          <cell r="A512" t="str">
            <v>M1</v>
          </cell>
          <cell r="B512" t="str">
            <v>A5C</v>
          </cell>
          <cell r="C512" t="str">
            <v>N</v>
          </cell>
          <cell r="D512" t="str">
            <v>22670</v>
          </cell>
          <cell r="E512" t="str">
            <v>CPLG</v>
          </cell>
          <cell r="F512">
            <v>2</v>
          </cell>
          <cell r="G512" t="str">
            <v>CB400500000100</v>
          </cell>
          <cell r="H512">
            <v>1</v>
          </cell>
          <cell r="I512" t="str">
            <v>--</v>
          </cell>
          <cell r="J512">
            <v>1</v>
          </cell>
          <cell r="K512">
            <v>1</v>
          </cell>
        </row>
        <row r="513">
          <cell r="A513" t="str">
            <v>M1</v>
          </cell>
          <cell r="B513" t="str">
            <v>A5C</v>
          </cell>
          <cell r="C513" t="str">
            <v>P</v>
          </cell>
          <cell r="D513" t="str">
            <v>22157</v>
          </cell>
          <cell r="E513" t="str">
            <v>CPLG</v>
          </cell>
          <cell r="F513">
            <v>2</v>
          </cell>
          <cell r="G513" t="str">
            <v>CB400500000100</v>
          </cell>
          <cell r="H513">
            <v>1</v>
          </cell>
          <cell r="I513" t="str">
            <v>--</v>
          </cell>
          <cell r="J513">
            <v>1</v>
          </cell>
          <cell r="K513">
            <v>1</v>
          </cell>
        </row>
        <row r="514">
          <cell r="A514" t="str">
            <v>M1</v>
          </cell>
          <cell r="B514" t="str">
            <v>A5C</v>
          </cell>
          <cell r="C514" t="str">
            <v>TRIM</v>
          </cell>
          <cell r="D514" t="str">
            <v>V-2206</v>
          </cell>
          <cell r="E514" t="str">
            <v>R TEE</v>
          </cell>
          <cell r="F514">
            <v>2</v>
          </cell>
          <cell r="G514" t="str">
            <v>CB40040000010T</v>
          </cell>
          <cell r="H514">
            <v>1</v>
          </cell>
          <cell r="I514">
            <v>0.75</v>
          </cell>
          <cell r="J514">
            <v>1</v>
          </cell>
          <cell r="K514">
            <v>1</v>
          </cell>
        </row>
        <row r="515">
          <cell r="A515" t="str">
            <v>M1</v>
          </cell>
          <cell r="B515" t="str">
            <v>A5C</v>
          </cell>
          <cell r="C515" t="str">
            <v>P</v>
          </cell>
          <cell r="D515" t="str">
            <v>22040</v>
          </cell>
          <cell r="E515" t="str">
            <v>90 ELL</v>
          </cell>
          <cell r="F515">
            <v>2</v>
          </cell>
          <cell r="G515" t="str">
            <v>CB400100001000</v>
          </cell>
          <cell r="H515">
            <v>1</v>
          </cell>
          <cell r="I515" t="str">
            <v>--</v>
          </cell>
          <cell r="J515">
            <v>1</v>
          </cell>
          <cell r="K515">
            <v>1</v>
          </cell>
        </row>
        <row r="516">
          <cell r="A516" t="str">
            <v>M1</v>
          </cell>
          <cell r="B516" t="str">
            <v>A5C</v>
          </cell>
          <cell r="C516" t="str">
            <v>P</v>
          </cell>
          <cell r="D516" t="str">
            <v>22039</v>
          </cell>
          <cell r="E516" t="str">
            <v>CPLG</v>
          </cell>
          <cell r="F516">
            <v>2</v>
          </cell>
          <cell r="G516" t="str">
            <v>CB400500000100</v>
          </cell>
          <cell r="H516">
            <v>1</v>
          </cell>
          <cell r="I516" t="str">
            <v>--</v>
          </cell>
          <cell r="J516">
            <v>1</v>
          </cell>
          <cell r="K516">
            <v>1</v>
          </cell>
        </row>
        <row r="517">
          <cell r="A517" t="str">
            <v>M1</v>
          </cell>
          <cell r="B517" t="str">
            <v>A5C</v>
          </cell>
          <cell r="C517" t="str">
            <v>P</v>
          </cell>
          <cell r="D517" t="str">
            <v>22111</v>
          </cell>
          <cell r="E517" t="str">
            <v>CPLG</v>
          </cell>
          <cell r="F517">
            <v>2</v>
          </cell>
          <cell r="G517" t="str">
            <v>CB400500000100</v>
          </cell>
          <cell r="H517">
            <v>1</v>
          </cell>
          <cell r="I517" t="str">
            <v>--</v>
          </cell>
          <cell r="J517">
            <v>1</v>
          </cell>
          <cell r="K517">
            <v>1</v>
          </cell>
        </row>
        <row r="518">
          <cell r="A518" t="str">
            <v>M1</v>
          </cell>
          <cell r="B518" t="str">
            <v>A5C</v>
          </cell>
          <cell r="C518" t="str">
            <v>TRIM</v>
          </cell>
          <cell r="D518" t="str">
            <v>V-2208</v>
          </cell>
          <cell r="E518" t="str">
            <v>NPL</v>
          </cell>
          <cell r="F518">
            <v>2</v>
          </cell>
          <cell r="G518" t="str">
            <v>CB1321080001VR</v>
          </cell>
          <cell r="H518">
            <v>1</v>
          </cell>
          <cell r="I518" t="str">
            <v>75mm</v>
          </cell>
          <cell r="J518">
            <v>1</v>
          </cell>
          <cell r="K518">
            <v>1</v>
          </cell>
        </row>
        <row r="519">
          <cell r="A519" t="str">
            <v>M1</v>
          </cell>
          <cell r="B519" t="str">
            <v>A5C</v>
          </cell>
          <cell r="C519" t="str">
            <v>TRIM</v>
          </cell>
          <cell r="D519" t="str">
            <v>V-2209</v>
          </cell>
          <cell r="E519" t="str">
            <v>NPL</v>
          </cell>
          <cell r="F519">
            <v>2</v>
          </cell>
          <cell r="G519" t="str">
            <v>CB1321080001VR</v>
          </cell>
          <cell r="H519">
            <v>1</v>
          </cell>
          <cell r="I519" t="str">
            <v>75mm</v>
          </cell>
          <cell r="J519">
            <v>1</v>
          </cell>
          <cell r="K519">
            <v>1</v>
          </cell>
        </row>
        <row r="520">
          <cell r="A520" t="str">
            <v>M1</v>
          </cell>
          <cell r="B520" t="str">
            <v>A6C</v>
          </cell>
          <cell r="C520" t="str">
            <v>HOR</v>
          </cell>
          <cell r="D520" t="str">
            <v>65612</v>
          </cell>
          <cell r="E520" t="str">
            <v>R TEE</v>
          </cell>
          <cell r="F520">
            <v>2</v>
          </cell>
          <cell r="G520" t="str">
            <v>CB400400001H01</v>
          </cell>
          <cell r="H520">
            <v>1</v>
          </cell>
          <cell r="I520" t="str">
            <v>-</v>
          </cell>
          <cell r="J520">
            <v>2</v>
          </cell>
          <cell r="K520">
            <v>2</v>
          </cell>
        </row>
        <row r="521">
          <cell r="A521" t="str">
            <v>M1</v>
          </cell>
          <cell r="B521" t="str">
            <v>B2C</v>
          </cell>
          <cell r="C521" t="str">
            <v>TRIM</v>
          </cell>
          <cell r="D521" t="str">
            <v>E-2204</v>
          </cell>
          <cell r="E521" t="str">
            <v>CAP</v>
          </cell>
          <cell r="F521">
            <v>2</v>
          </cell>
          <cell r="G521" t="str">
            <v>CB520700000100</v>
          </cell>
          <cell r="H521">
            <v>1</v>
          </cell>
          <cell r="I521" t="str">
            <v>--</v>
          </cell>
          <cell r="J521">
            <v>1</v>
          </cell>
          <cell r="K521">
            <v>1</v>
          </cell>
        </row>
        <row r="522">
          <cell r="A522" t="str">
            <v>M1</v>
          </cell>
          <cell r="B522" t="str">
            <v>A5C</v>
          </cell>
          <cell r="C522" t="str">
            <v>P</v>
          </cell>
          <cell r="D522" t="str">
            <v>21004</v>
          </cell>
          <cell r="E522" t="str">
            <v>90 ELL</v>
          </cell>
          <cell r="F522">
            <v>2</v>
          </cell>
          <cell r="G522" t="str">
            <v>CB400100001000</v>
          </cell>
          <cell r="H522">
            <v>1</v>
          </cell>
          <cell r="I522" t="str">
            <v>--</v>
          </cell>
          <cell r="J522">
            <v>2</v>
          </cell>
          <cell r="K522">
            <v>2</v>
          </cell>
        </row>
        <row r="523">
          <cell r="A523" t="str">
            <v>M1</v>
          </cell>
          <cell r="B523" t="str">
            <v>A5C</v>
          </cell>
          <cell r="C523" t="str">
            <v>P</v>
          </cell>
          <cell r="D523" t="str">
            <v>24029</v>
          </cell>
          <cell r="E523" t="str">
            <v>C SWG</v>
          </cell>
          <cell r="F523">
            <v>2</v>
          </cell>
          <cell r="G523" t="str">
            <v>CB16110808010T</v>
          </cell>
          <cell r="H523">
            <v>1</v>
          </cell>
          <cell r="I523">
            <v>0.75</v>
          </cell>
          <cell r="J523">
            <v>1</v>
          </cell>
          <cell r="K523">
            <v>1</v>
          </cell>
        </row>
        <row r="524">
          <cell r="A524" t="str">
            <v>M1</v>
          </cell>
          <cell r="B524" t="str">
            <v>A5C</v>
          </cell>
          <cell r="C524" t="str">
            <v>TRIM</v>
          </cell>
          <cell r="D524" t="str">
            <v>V-2206</v>
          </cell>
          <cell r="E524" t="str">
            <v>C SWG</v>
          </cell>
          <cell r="F524">
            <v>2</v>
          </cell>
          <cell r="G524" t="str">
            <v>CB16110808010T</v>
          </cell>
          <cell r="H524">
            <v>1</v>
          </cell>
          <cell r="I524">
            <v>0.75</v>
          </cell>
          <cell r="J524">
            <v>1</v>
          </cell>
          <cell r="K524">
            <v>1</v>
          </cell>
        </row>
        <row r="525">
          <cell r="A525" t="str">
            <v>M1</v>
          </cell>
          <cell r="B525" t="str">
            <v>A5C</v>
          </cell>
          <cell r="C525" t="str">
            <v>P</v>
          </cell>
          <cell r="D525" t="str">
            <v>22158</v>
          </cell>
          <cell r="E525" t="str">
            <v>CPLG</v>
          </cell>
          <cell r="F525">
            <v>2</v>
          </cell>
          <cell r="G525" t="str">
            <v>CB400500000100</v>
          </cell>
          <cell r="H525">
            <v>1</v>
          </cell>
          <cell r="I525" t="str">
            <v>--</v>
          </cell>
          <cell r="J525">
            <v>1</v>
          </cell>
          <cell r="K525">
            <v>1</v>
          </cell>
        </row>
        <row r="526">
          <cell r="A526" t="str">
            <v>M1</v>
          </cell>
          <cell r="B526" t="str">
            <v>A5C</v>
          </cell>
          <cell r="C526" t="str">
            <v>P</v>
          </cell>
          <cell r="D526" t="str">
            <v>24029</v>
          </cell>
          <cell r="E526" t="str">
            <v>CPLG</v>
          </cell>
          <cell r="F526">
            <v>2</v>
          </cell>
          <cell r="G526" t="str">
            <v>CB400500000100</v>
          </cell>
          <cell r="H526">
            <v>1</v>
          </cell>
          <cell r="I526" t="str">
            <v>--</v>
          </cell>
          <cell r="J526">
            <v>1</v>
          </cell>
          <cell r="K526">
            <v>1</v>
          </cell>
        </row>
        <row r="527">
          <cell r="A527" t="str">
            <v>M1</v>
          </cell>
          <cell r="B527" t="str">
            <v>A5C</v>
          </cell>
          <cell r="C527" t="str">
            <v>TRIM</v>
          </cell>
          <cell r="D527" t="str">
            <v>V-2206</v>
          </cell>
          <cell r="E527" t="str">
            <v>CPLG</v>
          </cell>
          <cell r="F527">
            <v>2</v>
          </cell>
          <cell r="G527" t="str">
            <v>CB400500000100</v>
          </cell>
          <cell r="H527">
            <v>1</v>
          </cell>
          <cell r="I527" t="str">
            <v>--</v>
          </cell>
          <cell r="J527">
            <v>1</v>
          </cell>
          <cell r="K527">
            <v>1</v>
          </cell>
        </row>
        <row r="528">
          <cell r="A528" t="str">
            <v>M1</v>
          </cell>
          <cell r="B528" t="str">
            <v>A5C</v>
          </cell>
          <cell r="C528" t="str">
            <v>P</v>
          </cell>
          <cell r="D528" t="str">
            <v>22103</v>
          </cell>
          <cell r="E528" t="str">
            <v>R TEE</v>
          </cell>
          <cell r="F528">
            <v>2</v>
          </cell>
          <cell r="G528" t="str">
            <v>CB40040000010T</v>
          </cell>
          <cell r="H528">
            <v>1</v>
          </cell>
          <cell r="I528">
            <v>0.75</v>
          </cell>
          <cell r="J528">
            <v>1</v>
          </cell>
          <cell r="K528">
            <v>1</v>
          </cell>
        </row>
        <row r="529">
          <cell r="A529" t="str">
            <v>M1</v>
          </cell>
          <cell r="B529" t="str">
            <v>A6C</v>
          </cell>
          <cell r="C529" t="str">
            <v>HOS</v>
          </cell>
          <cell r="D529" t="str">
            <v>65616</v>
          </cell>
          <cell r="E529" t="str">
            <v>90 ELL</v>
          </cell>
          <cell r="F529">
            <v>2</v>
          </cell>
          <cell r="G529" t="str">
            <v>CB400100001000</v>
          </cell>
          <cell r="H529">
            <v>1</v>
          </cell>
          <cell r="I529" t="str">
            <v>--</v>
          </cell>
          <cell r="J529">
            <v>2</v>
          </cell>
          <cell r="K529">
            <v>2</v>
          </cell>
        </row>
        <row r="530">
          <cell r="A530" t="str">
            <v>M1</v>
          </cell>
          <cell r="B530" t="str">
            <v>A5C</v>
          </cell>
          <cell r="C530" t="str">
            <v>TRIM</v>
          </cell>
          <cell r="D530" t="str">
            <v>V-2208</v>
          </cell>
          <cell r="E530" t="str">
            <v>C SWG</v>
          </cell>
          <cell r="F530">
            <v>2</v>
          </cell>
          <cell r="G530" t="str">
            <v>CB16110808010T</v>
          </cell>
          <cell r="H530">
            <v>1</v>
          </cell>
          <cell r="I530">
            <v>0.75</v>
          </cell>
          <cell r="J530">
            <v>1</v>
          </cell>
          <cell r="K530">
            <v>1</v>
          </cell>
        </row>
        <row r="531">
          <cell r="A531" t="str">
            <v>M1</v>
          </cell>
          <cell r="B531" t="str">
            <v>A6C</v>
          </cell>
          <cell r="C531" t="str">
            <v>HOR</v>
          </cell>
          <cell r="D531" t="str">
            <v>65622</v>
          </cell>
          <cell r="E531" t="str">
            <v>C SWG</v>
          </cell>
          <cell r="F531">
            <v>2</v>
          </cell>
          <cell r="G531" t="str">
            <v>CB16110808010T</v>
          </cell>
          <cell r="H531">
            <v>1</v>
          </cell>
          <cell r="I531">
            <v>0.75</v>
          </cell>
          <cell r="J531">
            <v>4</v>
          </cell>
          <cell r="K531">
            <v>4</v>
          </cell>
        </row>
        <row r="532">
          <cell r="A532" t="str">
            <v>M1</v>
          </cell>
          <cell r="B532" t="str">
            <v>A5C</v>
          </cell>
          <cell r="C532" t="str">
            <v>TRIM</v>
          </cell>
          <cell r="D532" t="str">
            <v>V-2209</v>
          </cell>
          <cell r="E532" t="str">
            <v>C SWG</v>
          </cell>
          <cell r="F532">
            <v>2</v>
          </cell>
          <cell r="G532" t="str">
            <v>CB16110808010T</v>
          </cell>
          <cell r="H532">
            <v>1</v>
          </cell>
          <cell r="I532">
            <v>0.75</v>
          </cell>
          <cell r="J532">
            <v>1</v>
          </cell>
          <cell r="K532">
            <v>1</v>
          </cell>
        </row>
        <row r="533">
          <cell r="A533" t="str">
            <v>M1</v>
          </cell>
          <cell r="B533" t="str">
            <v>A6C</v>
          </cell>
          <cell r="C533" t="str">
            <v>HOS</v>
          </cell>
          <cell r="D533" t="str">
            <v>65625</v>
          </cell>
          <cell r="E533" t="str">
            <v>CAP</v>
          </cell>
          <cell r="F533">
            <v>2</v>
          </cell>
          <cell r="G533" t="str">
            <v>CB520700000100</v>
          </cell>
          <cell r="H533">
            <v>1</v>
          </cell>
          <cell r="I533" t="str">
            <v>--</v>
          </cell>
          <cell r="J533">
            <v>1</v>
          </cell>
          <cell r="K533">
            <v>1</v>
          </cell>
        </row>
        <row r="534">
          <cell r="A534" t="str">
            <v>M1</v>
          </cell>
          <cell r="B534" t="str">
            <v>A5C</v>
          </cell>
          <cell r="C534" t="str">
            <v>TRIM</v>
          </cell>
          <cell r="D534" t="str">
            <v>V-2208</v>
          </cell>
          <cell r="E534" t="str">
            <v>CPLG</v>
          </cell>
          <cell r="F534">
            <v>2</v>
          </cell>
          <cell r="G534" t="str">
            <v>CB400500000100</v>
          </cell>
          <cell r="H534">
            <v>1</v>
          </cell>
          <cell r="I534" t="str">
            <v>--</v>
          </cell>
          <cell r="J534">
            <v>1</v>
          </cell>
          <cell r="K534">
            <v>1</v>
          </cell>
        </row>
        <row r="535">
          <cell r="A535" t="str">
            <v>M1</v>
          </cell>
          <cell r="B535" t="str">
            <v>A5C</v>
          </cell>
          <cell r="C535" t="str">
            <v>P</v>
          </cell>
          <cell r="D535" t="str">
            <v>22102</v>
          </cell>
          <cell r="E535" t="str">
            <v>C SWG</v>
          </cell>
          <cell r="F535">
            <v>2</v>
          </cell>
          <cell r="G535" t="str">
            <v>CB161108081H01</v>
          </cell>
          <cell r="H535">
            <v>1</v>
          </cell>
          <cell r="I535" t="str">
            <v>-</v>
          </cell>
          <cell r="J535">
            <v>1</v>
          </cell>
          <cell r="K535">
            <v>1</v>
          </cell>
        </row>
        <row r="536">
          <cell r="A536" t="str">
            <v>M1</v>
          </cell>
          <cell r="B536" t="str">
            <v>A5C</v>
          </cell>
          <cell r="C536" t="str">
            <v>P</v>
          </cell>
          <cell r="D536" t="str">
            <v>22157</v>
          </cell>
          <cell r="E536" t="str">
            <v>C SWG</v>
          </cell>
          <cell r="F536">
            <v>2</v>
          </cell>
          <cell r="G536" t="str">
            <v>CB161108081H01</v>
          </cell>
          <cell r="H536">
            <v>1</v>
          </cell>
          <cell r="I536" t="str">
            <v>-</v>
          </cell>
          <cell r="J536">
            <v>1</v>
          </cell>
          <cell r="K536">
            <v>1</v>
          </cell>
        </row>
        <row r="537">
          <cell r="A537" t="str">
            <v>M1</v>
          </cell>
          <cell r="B537" t="str">
            <v>A5C</v>
          </cell>
          <cell r="C537" t="str">
            <v>P</v>
          </cell>
          <cell r="D537" t="str">
            <v>22158</v>
          </cell>
          <cell r="E537" t="str">
            <v>C SWG</v>
          </cell>
          <cell r="F537">
            <v>2</v>
          </cell>
          <cell r="G537" t="str">
            <v>CB161108081H01</v>
          </cell>
          <cell r="H537">
            <v>1</v>
          </cell>
          <cell r="I537" t="str">
            <v>-</v>
          </cell>
          <cell r="J537">
            <v>1</v>
          </cell>
          <cell r="K537">
            <v>1</v>
          </cell>
        </row>
        <row r="538">
          <cell r="A538" t="str">
            <v>M1</v>
          </cell>
          <cell r="B538" t="str">
            <v>A5C</v>
          </cell>
          <cell r="C538" t="str">
            <v>P</v>
          </cell>
          <cell r="D538" t="str">
            <v>22109</v>
          </cell>
          <cell r="E538" t="str">
            <v>R TEE</v>
          </cell>
          <cell r="F538">
            <v>2</v>
          </cell>
          <cell r="G538" t="str">
            <v>CB400400001H01</v>
          </cell>
          <cell r="H538">
            <v>1</v>
          </cell>
          <cell r="I538" t="str">
            <v>-</v>
          </cell>
          <cell r="J538">
            <v>1</v>
          </cell>
          <cell r="K538">
            <v>1</v>
          </cell>
        </row>
        <row r="539">
          <cell r="A539" t="str">
            <v>M1</v>
          </cell>
          <cell r="B539" t="str">
            <v>A6C</v>
          </cell>
          <cell r="C539" t="str">
            <v>HOS</v>
          </cell>
          <cell r="D539" t="str">
            <v>65623</v>
          </cell>
          <cell r="E539" t="str">
            <v>E SWG</v>
          </cell>
          <cell r="F539">
            <v>2</v>
          </cell>
          <cell r="G539" t="str">
            <v>CB162108081H01</v>
          </cell>
          <cell r="H539">
            <v>1</v>
          </cell>
          <cell r="I539" t="str">
            <v>-</v>
          </cell>
          <cell r="J539">
            <v>1</v>
          </cell>
          <cell r="K539">
            <v>1</v>
          </cell>
        </row>
        <row r="540">
          <cell r="A540" t="str">
            <v>M1</v>
          </cell>
          <cell r="B540" t="str">
            <v>A5C</v>
          </cell>
          <cell r="C540" t="str">
            <v>TRIM</v>
          </cell>
          <cell r="D540" t="str">
            <v>V-2214</v>
          </cell>
          <cell r="E540" t="str">
            <v>C SWG</v>
          </cell>
          <cell r="F540">
            <v>2</v>
          </cell>
          <cell r="G540" t="str">
            <v>CB161408080201</v>
          </cell>
          <cell r="H540">
            <v>1</v>
          </cell>
          <cell r="I540" t="str">
            <v>-</v>
          </cell>
          <cell r="J540">
            <v>1</v>
          </cell>
          <cell r="K540">
            <v>2</v>
          </cell>
        </row>
        <row r="541">
          <cell r="A541" t="str">
            <v>M1</v>
          </cell>
          <cell r="B541" t="str">
            <v>A6C</v>
          </cell>
          <cell r="C541" t="str">
            <v>HOS</v>
          </cell>
          <cell r="D541" t="str">
            <v>65621</v>
          </cell>
          <cell r="E541" t="str">
            <v>90 ELL</v>
          </cell>
          <cell r="F541">
            <v>2</v>
          </cell>
          <cell r="G541" t="str">
            <v>CB400100001000</v>
          </cell>
          <cell r="H541">
            <v>1</v>
          </cell>
          <cell r="I541" t="str">
            <v>--</v>
          </cell>
          <cell r="J541">
            <v>2</v>
          </cell>
          <cell r="K541">
            <v>2</v>
          </cell>
        </row>
        <row r="542">
          <cell r="A542" t="str">
            <v>M1</v>
          </cell>
          <cell r="B542" t="str">
            <v>A5C</v>
          </cell>
          <cell r="C542" t="str">
            <v>P</v>
          </cell>
          <cell r="D542" t="str">
            <v>22039</v>
          </cell>
          <cell r="E542" t="str">
            <v>90 ELL</v>
          </cell>
          <cell r="F542">
            <v>2</v>
          </cell>
          <cell r="G542" t="str">
            <v>CB400100001000</v>
          </cell>
          <cell r="H542">
            <v>1</v>
          </cell>
          <cell r="I542" t="str">
            <v>--</v>
          </cell>
          <cell r="J542">
            <v>1</v>
          </cell>
          <cell r="K542">
            <v>1</v>
          </cell>
        </row>
        <row r="543">
          <cell r="A543" t="str">
            <v>M1</v>
          </cell>
          <cell r="B543" t="str">
            <v>A5C</v>
          </cell>
          <cell r="C543" t="str">
            <v>P</v>
          </cell>
          <cell r="D543" t="str">
            <v>22001</v>
          </cell>
          <cell r="E543" t="str">
            <v>90 ELL</v>
          </cell>
          <cell r="F543">
            <v>2</v>
          </cell>
          <cell r="G543" t="str">
            <v>CB400100001000</v>
          </cell>
          <cell r="H543">
            <v>1</v>
          </cell>
          <cell r="I543" t="str">
            <v>--</v>
          </cell>
          <cell r="J543">
            <v>1</v>
          </cell>
          <cell r="K543">
            <v>1</v>
          </cell>
        </row>
        <row r="544">
          <cell r="A544" t="str">
            <v>M1</v>
          </cell>
          <cell r="B544" t="str">
            <v>A5C</v>
          </cell>
          <cell r="C544" t="str">
            <v>P</v>
          </cell>
          <cell r="D544" t="str">
            <v>22003</v>
          </cell>
          <cell r="E544" t="str">
            <v>NPL</v>
          </cell>
          <cell r="F544">
            <v>2</v>
          </cell>
          <cell r="G544" t="str">
            <v>CB1321080001VR</v>
          </cell>
          <cell r="H544">
            <v>1</v>
          </cell>
          <cell r="I544" t="str">
            <v>75mm</v>
          </cell>
          <cell r="J544">
            <v>1</v>
          </cell>
          <cell r="K544">
            <v>1</v>
          </cell>
        </row>
        <row r="545">
          <cell r="A545" t="str">
            <v>M1</v>
          </cell>
          <cell r="B545" t="str">
            <v>A6C</v>
          </cell>
          <cell r="C545" t="str">
            <v>HOS</v>
          </cell>
          <cell r="D545" t="str">
            <v>65613</v>
          </cell>
          <cell r="E545" t="str">
            <v>NPL</v>
          </cell>
          <cell r="F545">
            <v>2</v>
          </cell>
          <cell r="G545" t="str">
            <v>CB1321080001VR</v>
          </cell>
          <cell r="H545">
            <v>1</v>
          </cell>
          <cell r="I545" t="str">
            <v>75mm</v>
          </cell>
          <cell r="J545">
            <v>2</v>
          </cell>
          <cell r="K545">
            <v>2</v>
          </cell>
        </row>
        <row r="546">
          <cell r="A546" t="str">
            <v>M1</v>
          </cell>
          <cell r="B546" t="str">
            <v>A6C</v>
          </cell>
          <cell r="C546" t="str">
            <v>HOS</v>
          </cell>
          <cell r="D546" t="str">
            <v>65613</v>
          </cell>
          <cell r="E546" t="str">
            <v>SOL</v>
          </cell>
          <cell r="F546">
            <v>2</v>
          </cell>
          <cell r="G546" t="str">
            <v>CB390200000801</v>
          </cell>
          <cell r="H546">
            <v>1</v>
          </cell>
          <cell r="I546" t="str">
            <v>-</v>
          </cell>
          <cell r="J546">
            <v>6</v>
          </cell>
          <cell r="K546">
            <v>7</v>
          </cell>
        </row>
        <row r="547">
          <cell r="A547" t="str">
            <v>M1</v>
          </cell>
          <cell r="B547" t="str">
            <v>A5C</v>
          </cell>
          <cell r="C547" t="str">
            <v>N</v>
          </cell>
          <cell r="D547" t="str">
            <v>22670</v>
          </cell>
          <cell r="E547" t="str">
            <v>C SWG</v>
          </cell>
          <cell r="F547">
            <v>2</v>
          </cell>
          <cell r="G547" t="str">
            <v>CB16110808010T</v>
          </cell>
          <cell r="H547">
            <v>1</v>
          </cell>
          <cell r="I547">
            <v>0.75</v>
          </cell>
          <cell r="J547">
            <v>1</v>
          </cell>
          <cell r="K547">
            <v>1</v>
          </cell>
        </row>
        <row r="548">
          <cell r="A548" t="str">
            <v>M1</v>
          </cell>
          <cell r="B548" t="str">
            <v>A6C</v>
          </cell>
          <cell r="C548" t="str">
            <v>HOS</v>
          </cell>
          <cell r="D548" t="str">
            <v>65613</v>
          </cell>
          <cell r="E548" t="str">
            <v>CAP</v>
          </cell>
          <cell r="F548">
            <v>2</v>
          </cell>
          <cell r="G548" t="str">
            <v>CB520700000100</v>
          </cell>
          <cell r="H548">
            <v>1</v>
          </cell>
          <cell r="I548" t="str">
            <v>--</v>
          </cell>
          <cell r="J548">
            <v>1</v>
          </cell>
          <cell r="K548">
            <v>1</v>
          </cell>
        </row>
        <row r="549">
          <cell r="A549" t="str">
            <v>M1</v>
          </cell>
          <cell r="B549" t="str">
            <v>A6C</v>
          </cell>
          <cell r="C549" t="str">
            <v>HOS</v>
          </cell>
          <cell r="D549" t="str">
            <v>65624</v>
          </cell>
          <cell r="E549" t="str">
            <v>CAP</v>
          </cell>
          <cell r="F549">
            <v>2</v>
          </cell>
          <cell r="G549" t="str">
            <v>CB520700000100</v>
          </cell>
          <cell r="H549">
            <v>1</v>
          </cell>
          <cell r="I549" t="str">
            <v>--</v>
          </cell>
          <cell r="J549">
            <v>1</v>
          </cell>
          <cell r="K549">
            <v>1</v>
          </cell>
        </row>
        <row r="550">
          <cell r="A550" t="str">
            <v>M1</v>
          </cell>
          <cell r="B550" t="str">
            <v>A5C</v>
          </cell>
          <cell r="C550" t="str">
            <v>P</v>
          </cell>
          <cell r="D550" t="str">
            <v>22104</v>
          </cell>
          <cell r="E550" t="str">
            <v>R TEE</v>
          </cell>
          <cell r="F550">
            <v>2</v>
          </cell>
          <cell r="G550" t="str">
            <v>CB400400001H01</v>
          </cell>
          <cell r="H550">
            <v>1</v>
          </cell>
          <cell r="I550" t="str">
            <v>-</v>
          </cell>
          <cell r="J550">
            <v>1</v>
          </cell>
          <cell r="K550">
            <v>1</v>
          </cell>
        </row>
        <row r="551">
          <cell r="A551" t="str">
            <v>M1</v>
          </cell>
          <cell r="B551" t="str">
            <v>A5C</v>
          </cell>
          <cell r="C551" t="str">
            <v>P</v>
          </cell>
          <cell r="D551" t="str">
            <v>22102</v>
          </cell>
          <cell r="E551" t="str">
            <v>90 ELL</v>
          </cell>
          <cell r="F551">
            <v>2</v>
          </cell>
          <cell r="G551" t="str">
            <v>CB400100001H00</v>
          </cell>
          <cell r="H551">
            <v>1.5</v>
          </cell>
          <cell r="I551" t="str">
            <v>--</v>
          </cell>
          <cell r="J551">
            <v>11</v>
          </cell>
          <cell r="K551">
            <v>11</v>
          </cell>
        </row>
        <row r="552">
          <cell r="A552" t="str">
            <v>M1</v>
          </cell>
          <cell r="B552" t="str">
            <v>A4C</v>
          </cell>
          <cell r="C552" t="str">
            <v>P</v>
          </cell>
          <cell r="D552" t="str">
            <v>22031</v>
          </cell>
          <cell r="E552" t="str">
            <v>TEE</v>
          </cell>
          <cell r="F552">
            <v>2</v>
          </cell>
          <cell r="G552" t="str">
            <v>CB400300001H00</v>
          </cell>
          <cell r="H552">
            <v>1.5</v>
          </cell>
          <cell r="I552" t="str">
            <v>--</v>
          </cell>
          <cell r="J552">
            <v>9</v>
          </cell>
          <cell r="K552">
            <v>9</v>
          </cell>
        </row>
        <row r="553">
          <cell r="A553" t="str">
            <v>M1</v>
          </cell>
          <cell r="B553" t="str">
            <v>A5C</v>
          </cell>
          <cell r="C553" t="str">
            <v>P</v>
          </cell>
          <cell r="D553" t="str">
            <v>22102</v>
          </cell>
          <cell r="E553" t="str">
            <v>90 ELL</v>
          </cell>
          <cell r="F553">
            <v>2</v>
          </cell>
          <cell r="G553" t="str">
            <v>CB400100001H00</v>
          </cell>
          <cell r="H553">
            <v>1.5</v>
          </cell>
          <cell r="I553" t="str">
            <v>--</v>
          </cell>
          <cell r="J553">
            <v>9</v>
          </cell>
          <cell r="K553">
            <v>9</v>
          </cell>
        </row>
        <row r="554">
          <cell r="A554" t="str">
            <v>M1</v>
          </cell>
          <cell r="B554" t="str">
            <v>A5C</v>
          </cell>
          <cell r="C554" t="str">
            <v>P</v>
          </cell>
          <cell r="D554" t="str">
            <v>22111</v>
          </cell>
          <cell r="E554" t="str">
            <v>90 ELL</v>
          </cell>
          <cell r="F554">
            <v>2</v>
          </cell>
          <cell r="G554" t="str">
            <v>CB400100001H00</v>
          </cell>
          <cell r="H554">
            <v>1.5</v>
          </cell>
          <cell r="I554" t="str">
            <v>--</v>
          </cell>
          <cell r="J554">
            <v>9</v>
          </cell>
          <cell r="K554">
            <v>9</v>
          </cell>
        </row>
        <row r="555">
          <cell r="A555" t="str">
            <v>M1</v>
          </cell>
          <cell r="B555" t="str">
            <v>A5C</v>
          </cell>
          <cell r="C555" t="str">
            <v>P</v>
          </cell>
          <cell r="D555" t="str">
            <v>22071</v>
          </cell>
          <cell r="E555" t="str">
            <v>90 ELL</v>
          </cell>
          <cell r="F555">
            <v>2</v>
          </cell>
          <cell r="G555" t="str">
            <v>CB400100001H00</v>
          </cell>
          <cell r="H555">
            <v>1.5</v>
          </cell>
          <cell r="I555" t="str">
            <v>--</v>
          </cell>
          <cell r="J555">
            <v>9</v>
          </cell>
          <cell r="K555">
            <v>9</v>
          </cell>
        </row>
        <row r="556">
          <cell r="A556" t="str">
            <v>M1</v>
          </cell>
          <cell r="B556" t="str">
            <v>A5C</v>
          </cell>
          <cell r="C556" t="str">
            <v>P</v>
          </cell>
          <cell r="D556" t="str">
            <v>22071</v>
          </cell>
          <cell r="E556" t="str">
            <v>90 ELL</v>
          </cell>
          <cell r="F556">
            <v>2</v>
          </cell>
          <cell r="G556" t="str">
            <v>CB400100001H00</v>
          </cell>
          <cell r="H556">
            <v>1.5</v>
          </cell>
          <cell r="I556" t="str">
            <v>--</v>
          </cell>
          <cell r="J556">
            <v>8</v>
          </cell>
          <cell r="K556">
            <v>8</v>
          </cell>
        </row>
        <row r="557">
          <cell r="A557" t="str">
            <v>M1</v>
          </cell>
          <cell r="B557" t="str">
            <v>A5C</v>
          </cell>
          <cell r="C557" t="str">
            <v>P</v>
          </cell>
          <cell r="D557" t="str">
            <v>22070</v>
          </cell>
          <cell r="E557" t="str">
            <v>90 ELL</v>
          </cell>
          <cell r="F557">
            <v>2</v>
          </cell>
          <cell r="G557" t="str">
            <v>CB400100001H00</v>
          </cell>
          <cell r="H557">
            <v>1.5</v>
          </cell>
          <cell r="I557" t="str">
            <v>--</v>
          </cell>
          <cell r="J557">
            <v>9</v>
          </cell>
          <cell r="K557">
            <v>9</v>
          </cell>
        </row>
        <row r="558">
          <cell r="A558" t="str">
            <v>M1</v>
          </cell>
          <cell r="B558" t="str">
            <v>A5C</v>
          </cell>
          <cell r="C558" t="str">
            <v>P</v>
          </cell>
          <cell r="D558" t="str">
            <v>22109</v>
          </cell>
          <cell r="E558" t="str">
            <v>90 ELL</v>
          </cell>
          <cell r="F558">
            <v>2</v>
          </cell>
          <cell r="G558" t="str">
            <v>CB400100001H00</v>
          </cell>
          <cell r="H558">
            <v>1.5</v>
          </cell>
          <cell r="I558" t="str">
            <v>--</v>
          </cell>
          <cell r="J558">
            <v>8</v>
          </cell>
          <cell r="K558">
            <v>8</v>
          </cell>
        </row>
        <row r="559">
          <cell r="A559" t="str">
            <v>M1</v>
          </cell>
          <cell r="B559" t="str">
            <v>A5C</v>
          </cell>
          <cell r="C559" t="str">
            <v>P</v>
          </cell>
          <cell r="D559" t="str">
            <v>22104</v>
          </cell>
          <cell r="E559" t="str">
            <v>90 ELL</v>
          </cell>
          <cell r="F559">
            <v>2</v>
          </cell>
          <cell r="G559" t="str">
            <v>CB400100001H00</v>
          </cell>
          <cell r="H559">
            <v>1.5</v>
          </cell>
          <cell r="I559" t="str">
            <v>--</v>
          </cell>
          <cell r="J559">
            <v>8</v>
          </cell>
          <cell r="K559">
            <v>8</v>
          </cell>
        </row>
        <row r="560">
          <cell r="A560" t="str">
            <v>M1</v>
          </cell>
          <cell r="B560" t="str">
            <v>A6C</v>
          </cell>
          <cell r="C560" t="str">
            <v>HOS</v>
          </cell>
          <cell r="D560" t="str">
            <v>65633</v>
          </cell>
          <cell r="E560" t="str">
            <v>90 ELL</v>
          </cell>
          <cell r="F560">
            <v>2</v>
          </cell>
          <cell r="G560" t="str">
            <v>CB400100001H00</v>
          </cell>
          <cell r="H560">
            <v>1.5</v>
          </cell>
          <cell r="I560" t="str">
            <v>--</v>
          </cell>
          <cell r="J560">
            <v>8</v>
          </cell>
          <cell r="K560">
            <v>8</v>
          </cell>
        </row>
        <row r="561">
          <cell r="A561" t="str">
            <v>M1</v>
          </cell>
          <cell r="B561" t="str">
            <v>A5C</v>
          </cell>
          <cell r="C561" t="str">
            <v>P</v>
          </cell>
          <cell r="D561" t="str">
            <v>22102</v>
          </cell>
          <cell r="E561" t="str">
            <v>TEE</v>
          </cell>
          <cell r="F561">
            <v>2</v>
          </cell>
          <cell r="G561" t="str">
            <v>CB400300001H00</v>
          </cell>
          <cell r="H561">
            <v>1.5</v>
          </cell>
          <cell r="I561" t="str">
            <v>--</v>
          </cell>
          <cell r="J561">
            <v>5</v>
          </cell>
          <cell r="K561">
            <v>5</v>
          </cell>
        </row>
        <row r="562">
          <cell r="A562" t="str">
            <v>M1</v>
          </cell>
          <cell r="B562" t="str">
            <v>A5C</v>
          </cell>
          <cell r="C562" t="str">
            <v>P</v>
          </cell>
          <cell r="D562" t="str">
            <v>22108</v>
          </cell>
          <cell r="E562" t="str">
            <v>90 ELL</v>
          </cell>
          <cell r="F562">
            <v>2</v>
          </cell>
          <cell r="G562" t="str">
            <v>CB400100001H00</v>
          </cell>
          <cell r="H562">
            <v>1.5</v>
          </cell>
          <cell r="I562" t="str">
            <v>--</v>
          </cell>
          <cell r="J562">
            <v>9</v>
          </cell>
          <cell r="K562">
            <v>9</v>
          </cell>
        </row>
        <row r="563">
          <cell r="A563" t="str">
            <v>M1</v>
          </cell>
          <cell r="B563" t="str">
            <v>A6C</v>
          </cell>
          <cell r="C563" t="str">
            <v>HOS</v>
          </cell>
          <cell r="D563" t="str">
            <v>65632</v>
          </cell>
          <cell r="E563" t="str">
            <v>90 ELL</v>
          </cell>
          <cell r="F563">
            <v>2</v>
          </cell>
          <cell r="G563" t="str">
            <v>CB400100001H00</v>
          </cell>
          <cell r="H563">
            <v>1.5</v>
          </cell>
          <cell r="I563" t="str">
            <v>--</v>
          </cell>
          <cell r="J563">
            <v>7</v>
          </cell>
          <cell r="K563">
            <v>7</v>
          </cell>
        </row>
        <row r="564">
          <cell r="A564" t="str">
            <v>M1</v>
          </cell>
          <cell r="B564" t="str">
            <v>A5C</v>
          </cell>
          <cell r="C564" t="str">
            <v>RW</v>
          </cell>
          <cell r="D564" t="str">
            <v>25611</v>
          </cell>
          <cell r="E564" t="str">
            <v>90 ELL</v>
          </cell>
          <cell r="F564">
            <v>2</v>
          </cell>
          <cell r="G564" t="str">
            <v>CB400100001H00</v>
          </cell>
          <cell r="H564">
            <v>1.5</v>
          </cell>
          <cell r="I564" t="str">
            <v>--</v>
          </cell>
          <cell r="J564">
            <v>7</v>
          </cell>
          <cell r="K564">
            <v>7</v>
          </cell>
        </row>
        <row r="565">
          <cell r="A565" t="str">
            <v>M1</v>
          </cell>
          <cell r="B565" t="str">
            <v>A5C</v>
          </cell>
          <cell r="C565" t="str">
            <v>P</v>
          </cell>
          <cell r="D565" t="str">
            <v>22113</v>
          </cell>
          <cell r="E565" t="str">
            <v>90 ELL</v>
          </cell>
          <cell r="F565">
            <v>2</v>
          </cell>
          <cell r="G565" t="str">
            <v>CB400100001H00</v>
          </cell>
          <cell r="H565">
            <v>1.5</v>
          </cell>
          <cell r="I565" t="str">
            <v>--</v>
          </cell>
          <cell r="J565">
            <v>6</v>
          </cell>
          <cell r="K565">
            <v>6</v>
          </cell>
        </row>
        <row r="566">
          <cell r="A566" t="str">
            <v>M1</v>
          </cell>
          <cell r="B566" t="str">
            <v>A5C</v>
          </cell>
          <cell r="C566" t="str">
            <v>P</v>
          </cell>
          <cell r="D566" t="str">
            <v>22111</v>
          </cell>
          <cell r="E566" t="str">
            <v>TEE</v>
          </cell>
          <cell r="F566">
            <v>2</v>
          </cell>
          <cell r="G566" t="str">
            <v>CB400300001H00</v>
          </cell>
          <cell r="H566">
            <v>1.5</v>
          </cell>
          <cell r="I566" t="str">
            <v>--</v>
          </cell>
          <cell r="J566">
            <v>5</v>
          </cell>
          <cell r="K566">
            <v>5</v>
          </cell>
        </row>
        <row r="567">
          <cell r="A567" t="str">
            <v>M1</v>
          </cell>
          <cell r="B567" t="str">
            <v>A5C</v>
          </cell>
          <cell r="C567" t="str">
            <v>P</v>
          </cell>
          <cell r="D567" t="str">
            <v>22087</v>
          </cell>
          <cell r="E567" t="str">
            <v>90 ELL</v>
          </cell>
          <cell r="F567">
            <v>2</v>
          </cell>
          <cell r="G567" t="str">
            <v>CB400100001H00</v>
          </cell>
          <cell r="H567">
            <v>1.5</v>
          </cell>
          <cell r="I567" t="str">
            <v>--</v>
          </cell>
          <cell r="J567">
            <v>6</v>
          </cell>
          <cell r="K567">
            <v>6</v>
          </cell>
        </row>
        <row r="568">
          <cell r="A568" t="str">
            <v>M1</v>
          </cell>
          <cell r="B568" t="str">
            <v>A5C</v>
          </cell>
          <cell r="C568" t="str">
            <v>P</v>
          </cell>
          <cell r="D568" t="str">
            <v>22111</v>
          </cell>
          <cell r="E568" t="str">
            <v>R TEE</v>
          </cell>
          <cell r="F568">
            <v>2</v>
          </cell>
          <cell r="G568" t="str">
            <v>CB400400001H0T</v>
          </cell>
          <cell r="H568">
            <v>1.5</v>
          </cell>
          <cell r="I568">
            <v>0.75</v>
          </cell>
          <cell r="J568">
            <v>6</v>
          </cell>
          <cell r="K568">
            <v>6</v>
          </cell>
        </row>
        <row r="569">
          <cell r="A569" t="str">
            <v>M1</v>
          </cell>
          <cell r="B569" t="str">
            <v>A5C</v>
          </cell>
          <cell r="C569" t="str">
            <v>P</v>
          </cell>
          <cell r="D569" t="str">
            <v>22078</v>
          </cell>
          <cell r="E569" t="str">
            <v>90 ELL</v>
          </cell>
          <cell r="F569">
            <v>2</v>
          </cell>
          <cell r="G569" t="str">
            <v>CB400100001H00</v>
          </cell>
          <cell r="H569">
            <v>1.5</v>
          </cell>
          <cell r="I569" t="str">
            <v>--</v>
          </cell>
          <cell r="J569">
            <v>5</v>
          </cell>
          <cell r="K569">
            <v>5</v>
          </cell>
        </row>
        <row r="570">
          <cell r="A570" t="str">
            <v>M1</v>
          </cell>
          <cell r="B570" t="str">
            <v>A5C</v>
          </cell>
          <cell r="C570" t="str">
            <v>P</v>
          </cell>
          <cell r="D570" t="str">
            <v>22079</v>
          </cell>
          <cell r="E570" t="str">
            <v>90 ELL</v>
          </cell>
          <cell r="F570">
            <v>2</v>
          </cell>
          <cell r="G570" t="str">
            <v>CB400100001H00</v>
          </cell>
          <cell r="H570">
            <v>1.5</v>
          </cell>
          <cell r="I570" t="str">
            <v>--</v>
          </cell>
          <cell r="J570">
            <v>5</v>
          </cell>
          <cell r="K570">
            <v>5</v>
          </cell>
        </row>
        <row r="571">
          <cell r="A571" t="str">
            <v>M1</v>
          </cell>
          <cell r="B571" t="str">
            <v>A6C</v>
          </cell>
          <cell r="C571" t="str">
            <v>HOS</v>
          </cell>
          <cell r="D571" t="str">
            <v>65633</v>
          </cell>
          <cell r="E571" t="str">
            <v>90 ELL</v>
          </cell>
          <cell r="F571">
            <v>2</v>
          </cell>
          <cell r="G571" t="str">
            <v>CB400100001H00</v>
          </cell>
          <cell r="H571">
            <v>1.5</v>
          </cell>
          <cell r="I571" t="str">
            <v>--</v>
          </cell>
          <cell r="J571">
            <v>5</v>
          </cell>
          <cell r="K571">
            <v>5</v>
          </cell>
        </row>
        <row r="572">
          <cell r="A572" t="str">
            <v>M1</v>
          </cell>
          <cell r="B572" t="str">
            <v>A5C</v>
          </cell>
          <cell r="C572" t="str">
            <v>P</v>
          </cell>
          <cell r="D572" t="str">
            <v>22036</v>
          </cell>
          <cell r="E572" t="str">
            <v>90 ELL</v>
          </cell>
          <cell r="F572">
            <v>2</v>
          </cell>
          <cell r="G572" t="str">
            <v>CB400100001H00</v>
          </cell>
          <cell r="H572">
            <v>1.5</v>
          </cell>
          <cell r="I572" t="str">
            <v>--</v>
          </cell>
          <cell r="J572">
            <v>4</v>
          </cell>
          <cell r="K572">
            <v>4</v>
          </cell>
        </row>
        <row r="573">
          <cell r="A573" t="str">
            <v>M1</v>
          </cell>
          <cell r="B573" t="str">
            <v>A5C</v>
          </cell>
          <cell r="C573" t="str">
            <v>P</v>
          </cell>
          <cell r="D573" t="str">
            <v>22045</v>
          </cell>
          <cell r="E573" t="str">
            <v>90 ELL</v>
          </cell>
          <cell r="F573">
            <v>2</v>
          </cell>
          <cell r="G573" t="str">
            <v>CB400100001H00</v>
          </cell>
          <cell r="H573">
            <v>1.5</v>
          </cell>
          <cell r="I573" t="str">
            <v>--</v>
          </cell>
          <cell r="J573">
            <v>4</v>
          </cell>
          <cell r="K573">
            <v>4</v>
          </cell>
        </row>
        <row r="574">
          <cell r="A574" t="str">
            <v>M1</v>
          </cell>
          <cell r="B574" t="str">
            <v>A5C</v>
          </cell>
          <cell r="C574" t="str">
            <v>P</v>
          </cell>
          <cell r="D574" t="str">
            <v>22071</v>
          </cell>
          <cell r="E574" t="str">
            <v>90 ELL</v>
          </cell>
          <cell r="F574">
            <v>2</v>
          </cell>
          <cell r="G574" t="str">
            <v>CB400100001H00</v>
          </cell>
          <cell r="H574">
            <v>1.5</v>
          </cell>
          <cell r="I574" t="str">
            <v>--</v>
          </cell>
          <cell r="J574">
            <v>4</v>
          </cell>
          <cell r="K574">
            <v>4</v>
          </cell>
        </row>
        <row r="575">
          <cell r="A575" t="str">
            <v>M1</v>
          </cell>
          <cell r="B575" t="str">
            <v>A5C</v>
          </cell>
          <cell r="C575" t="str">
            <v>P</v>
          </cell>
          <cell r="D575" t="str">
            <v>22114</v>
          </cell>
          <cell r="E575" t="str">
            <v>90 ELL</v>
          </cell>
          <cell r="F575">
            <v>2</v>
          </cell>
          <cell r="G575" t="str">
            <v>CB400100001H00</v>
          </cell>
          <cell r="H575">
            <v>1.5</v>
          </cell>
          <cell r="I575" t="str">
            <v>--</v>
          </cell>
          <cell r="J575">
            <v>4</v>
          </cell>
          <cell r="K575">
            <v>4</v>
          </cell>
        </row>
        <row r="576">
          <cell r="A576" t="str">
            <v>M1</v>
          </cell>
          <cell r="B576" t="str">
            <v>A5C</v>
          </cell>
          <cell r="C576" t="str">
            <v>P</v>
          </cell>
          <cell r="D576" t="str">
            <v>22002</v>
          </cell>
          <cell r="E576" t="str">
            <v>90 ELL</v>
          </cell>
          <cell r="F576">
            <v>2</v>
          </cell>
          <cell r="G576" t="str">
            <v>CB400100001H00</v>
          </cell>
          <cell r="H576">
            <v>1.5</v>
          </cell>
          <cell r="I576" t="str">
            <v>--</v>
          </cell>
          <cell r="J576">
            <v>4</v>
          </cell>
          <cell r="K576">
            <v>4</v>
          </cell>
        </row>
        <row r="577">
          <cell r="A577" t="str">
            <v>M1</v>
          </cell>
          <cell r="B577" t="str">
            <v>A5C</v>
          </cell>
          <cell r="C577" t="str">
            <v>P</v>
          </cell>
          <cell r="D577" t="str">
            <v>22102</v>
          </cell>
          <cell r="E577" t="str">
            <v>R TEE</v>
          </cell>
          <cell r="F577">
            <v>2</v>
          </cell>
          <cell r="G577" t="str">
            <v>CB400400001H0T</v>
          </cell>
          <cell r="H577">
            <v>1.5</v>
          </cell>
          <cell r="I577">
            <v>0.75</v>
          </cell>
          <cell r="J577">
            <v>5</v>
          </cell>
          <cell r="K577">
            <v>5</v>
          </cell>
        </row>
        <row r="578">
          <cell r="A578" t="str">
            <v>M1</v>
          </cell>
          <cell r="B578" t="str">
            <v>A5C</v>
          </cell>
          <cell r="C578" t="str">
            <v>P</v>
          </cell>
          <cell r="D578" t="str">
            <v>22157</v>
          </cell>
          <cell r="E578" t="str">
            <v>R TEE</v>
          </cell>
          <cell r="F578">
            <v>2</v>
          </cell>
          <cell r="G578" t="str">
            <v>CB400400001H01</v>
          </cell>
          <cell r="H578">
            <v>1.5</v>
          </cell>
          <cell r="I578">
            <v>1</v>
          </cell>
          <cell r="J578">
            <v>5</v>
          </cell>
          <cell r="K578">
            <v>5</v>
          </cell>
        </row>
        <row r="579">
          <cell r="A579" t="str">
            <v>M1</v>
          </cell>
          <cell r="B579" t="str">
            <v>A5C</v>
          </cell>
          <cell r="C579" t="str">
            <v>P</v>
          </cell>
          <cell r="D579" t="str">
            <v>22157</v>
          </cell>
          <cell r="E579" t="str">
            <v>90 ELL</v>
          </cell>
          <cell r="F579">
            <v>2</v>
          </cell>
          <cell r="G579" t="str">
            <v>CB400100001H00</v>
          </cell>
          <cell r="H579">
            <v>1.5</v>
          </cell>
          <cell r="I579" t="str">
            <v>--</v>
          </cell>
          <cell r="J579">
            <v>3</v>
          </cell>
          <cell r="K579">
            <v>3</v>
          </cell>
        </row>
        <row r="580">
          <cell r="A580" t="str">
            <v>M1</v>
          </cell>
          <cell r="B580" t="str">
            <v>A5C</v>
          </cell>
          <cell r="C580" t="str">
            <v>P</v>
          </cell>
          <cell r="D580" t="str">
            <v>22071</v>
          </cell>
          <cell r="E580" t="str">
            <v>TEE</v>
          </cell>
          <cell r="F580">
            <v>2</v>
          </cell>
          <cell r="G580" t="str">
            <v>CB400300001H00</v>
          </cell>
          <cell r="H580">
            <v>1.5</v>
          </cell>
          <cell r="I580" t="str">
            <v>--</v>
          </cell>
          <cell r="J580">
            <v>2</v>
          </cell>
          <cell r="K580">
            <v>2</v>
          </cell>
        </row>
        <row r="581">
          <cell r="A581" t="str">
            <v>M1</v>
          </cell>
          <cell r="B581" t="str">
            <v>A5C</v>
          </cell>
          <cell r="C581" t="str">
            <v>P</v>
          </cell>
          <cell r="D581" t="str">
            <v>22102</v>
          </cell>
          <cell r="E581" t="str">
            <v>TEE</v>
          </cell>
          <cell r="F581">
            <v>2</v>
          </cell>
          <cell r="G581" t="str">
            <v>CB400300001H00</v>
          </cell>
          <cell r="H581">
            <v>1.5</v>
          </cell>
          <cell r="I581" t="str">
            <v>--</v>
          </cell>
          <cell r="J581">
            <v>2</v>
          </cell>
          <cell r="K581">
            <v>2</v>
          </cell>
        </row>
        <row r="582">
          <cell r="A582" t="str">
            <v>M1</v>
          </cell>
          <cell r="B582" t="str">
            <v>A5C</v>
          </cell>
          <cell r="C582" t="str">
            <v>P</v>
          </cell>
          <cell r="D582" t="str">
            <v>22104</v>
          </cell>
          <cell r="E582" t="str">
            <v>TEE</v>
          </cell>
          <cell r="F582">
            <v>2</v>
          </cell>
          <cell r="G582" t="str">
            <v>CB400300001H00</v>
          </cell>
          <cell r="H582">
            <v>1.5</v>
          </cell>
          <cell r="I582" t="str">
            <v>--</v>
          </cell>
          <cell r="J582">
            <v>2</v>
          </cell>
          <cell r="K582">
            <v>2</v>
          </cell>
        </row>
        <row r="583">
          <cell r="A583" t="str">
            <v>M1</v>
          </cell>
          <cell r="B583" t="str">
            <v>A5C</v>
          </cell>
          <cell r="C583" t="str">
            <v>P</v>
          </cell>
          <cell r="D583" t="str">
            <v>22109</v>
          </cell>
          <cell r="E583" t="str">
            <v>TEE</v>
          </cell>
          <cell r="F583">
            <v>2</v>
          </cell>
          <cell r="G583" t="str">
            <v>CB400300001H00</v>
          </cell>
          <cell r="H583">
            <v>1.5</v>
          </cell>
          <cell r="I583" t="str">
            <v>--</v>
          </cell>
          <cell r="J583">
            <v>2</v>
          </cell>
          <cell r="K583">
            <v>2</v>
          </cell>
        </row>
        <row r="584">
          <cell r="A584" t="str">
            <v>M1</v>
          </cell>
          <cell r="B584" t="str">
            <v>A6C</v>
          </cell>
          <cell r="C584" t="str">
            <v>HOS</v>
          </cell>
          <cell r="D584" t="str">
            <v>65623</v>
          </cell>
          <cell r="E584" t="str">
            <v>90 ELL</v>
          </cell>
          <cell r="F584">
            <v>2</v>
          </cell>
          <cell r="G584" t="str">
            <v>CB400100001H00</v>
          </cell>
          <cell r="H584">
            <v>1.5</v>
          </cell>
          <cell r="I584" t="str">
            <v>--</v>
          </cell>
          <cell r="J584">
            <v>3</v>
          </cell>
          <cell r="K584">
            <v>3</v>
          </cell>
        </row>
        <row r="585">
          <cell r="A585" t="str">
            <v>M1</v>
          </cell>
          <cell r="B585" t="str">
            <v>A6C</v>
          </cell>
          <cell r="C585" t="str">
            <v>HOS</v>
          </cell>
          <cell r="D585" t="str">
            <v>65618</v>
          </cell>
          <cell r="E585" t="str">
            <v>90 ELL</v>
          </cell>
          <cell r="F585">
            <v>2</v>
          </cell>
          <cell r="G585" t="str">
            <v>CB400100001H00</v>
          </cell>
          <cell r="H585">
            <v>1.5</v>
          </cell>
          <cell r="I585" t="str">
            <v>--</v>
          </cell>
          <cell r="J585">
            <v>3</v>
          </cell>
          <cell r="K585">
            <v>3</v>
          </cell>
        </row>
        <row r="586">
          <cell r="A586" t="str">
            <v>M1</v>
          </cell>
          <cell r="B586" t="str">
            <v>A6C</v>
          </cell>
          <cell r="C586" t="str">
            <v>HOS</v>
          </cell>
          <cell r="D586" t="str">
            <v>65622</v>
          </cell>
          <cell r="E586" t="str">
            <v>TEE</v>
          </cell>
          <cell r="F586">
            <v>2</v>
          </cell>
          <cell r="G586" t="str">
            <v>CB400300001H00</v>
          </cell>
          <cell r="H586">
            <v>1.5</v>
          </cell>
          <cell r="I586" t="str">
            <v>--</v>
          </cell>
          <cell r="J586">
            <v>2</v>
          </cell>
          <cell r="K586">
            <v>2</v>
          </cell>
        </row>
        <row r="587">
          <cell r="A587" t="str">
            <v>M1</v>
          </cell>
          <cell r="B587" t="str">
            <v>A6C</v>
          </cell>
          <cell r="C587" t="str">
            <v>HOS</v>
          </cell>
          <cell r="D587" t="str">
            <v>65623</v>
          </cell>
          <cell r="E587" t="str">
            <v>TEE</v>
          </cell>
          <cell r="F587">
            <v>2</v>
          </cell>
          <cell r="G587" t="str">
            <v>CB400300001H00</v>
          </cell>
          <cell r="H587">
            <v>1.5</v>
          </cell>
          <cell r="I587" t="str">
            <v>--</v>
          </cell>
          <cell r="J587">
            <v>2</v>
          </cell>
          <cell r="K587">
            <v>2</v>
          </cell>
        </row>
        <row r="588">
          <cell r="A588" t="str">
            <v>M1</v>
          </cell>
          <cell r="B588" t="str">
            <v>A4C</v>
          </cell>
          <cell r="C588" t="str">
            <v>P</v>
          </cell>
          <cell r="D588" t="str">
            <v>22031</v>
          </cell>
          <cell r="E588" t="str">
            <v>90 ELL</v>
          </cell>
          <cell r="F588">
            <v>2</v>
          </cell>
          <cell r="G588" t="str">
            <v>CB400100001H00</v>
          </cell>
          <cell r="H588">
            <v>1.5</v>
          </cell>
          <cell r="I588" t="str">
            <v>--</v>
          </cell>
          <cell r="J588">
            <v>5</v>
          </cell>
          <cell r="K588">
            <v>5</v>
          </cell>
        </row>
        <row r="589">
          <cell r="A589" t="str">
            <v>M1</v>
          </cell>
          <cell r="B589" t="str">
            <v>A6C</v>
          </cell>
          <cell r="C589" t="str">
            <v>HOS</v>
          </cell>
          <cell r="D589" t="str">
            <v>65633</v>
          </cell>
          <cell r="E589" t="str">
            <v>CPLG</v>
          </cell>
          <cell r="F589">
            <v>2</v>
          </cell>
          <cell r="G589" t="str">
            <v>CB400500001H00</v>
          </cell>
          <cell r="H589">
            <v>1.5</v>
          </cell>
          <cell r="I589" t="str">
            <v>--</v>
          </cell>
          <cell r="J589">
            <v>3</v>
          </cell>
          <cell r="K589">
            <v>3</v>
          </cell>
        </row>
        <row r="590">
          <cell r="A590" t="str">
            <v>M1</v>
          </cell>
          <cell r="B590" t="str">
            <v>A6C</v>
          </cell>
          <cell r="C590" t="str">
            <v>HOS</v>
          </cell>
          <cell r="D590" t="str">
            <v>65632</v>
          </cell>
          <cell r="E590" t="str">
            <v>NPL</v>
          </cell>
          <cell r="F590">
            <v>2</v>
          </cell>
          <cell r="G590" t="str">
            <v>CB132108001HVR</v>
          </cell>
          <cell r="H590">
            <v>1.5</v>
          </cell>
          <cell r="I590" t="str">
            <v>75mm</v>
          </cell>
          <cell r="J590">
            <v>3</v>
          </cell>
          <cell r="K590">
            <v>3</v>
          </cell>
        </row>
        <row r="591">
          <cell r="A591" t="str">
            <v>M1</v>
          </cell>
          <cell r="B591" t="str">
            <v>A5C</v>
          </cell>
          <cell r="C591" t="str">
            <v>P</v>
          </cell>
          <cell r="D591" t="str">
            <v>22071</v>
          </cell>
          <cell r="E591" t="str">
            <v>R TEE</v>
          </cell>
          <cell r="F591">
            <v>2</v>
          </cell>
          <cell r="G591" t="str">
            <v>CB400400001H0T</v>
          </cell>
          <cell r="H591">
            <v>1.5</v>
          </cell>
          <cell r="I591">
            <v>0.75</v>
          </cell>
          <cell r="J591">
            <v>4</v>
          </cell>
          <cell r="K591">
            <v>4</v>
          </cell>
        </row>
        <row r="592">
          <cell r="A592" t="str">
            <v>M1</v>
          </cell>
          <cell r="B592" t="str">
            <v>A5C</v>
          </cell>
          <cell r="C592" t="str">
            <v>P</v>
          </cell>
          <cell r="D592" t="str">
            <v>22071</v>
          </cell>
          <cell r="E592" t="str">
            <v>R TEE</v>
          </cell>
          <cell r="F592">
            <v>2</v>
          </cell>
          <cell r="G592" t="str">
            <v>CB400400001H0T</v>
          </cell>
          <cell r="H592">
            <v>1.5</v>
          </cell>
          <cell r="I592">
            <v>0.75</v>
          </cell>
          <cell r="J592">
            <v>4</v>
          </cell>
          <cell r="K592">
            <v>4</v>
          </cell>
        </row>
        <row r="593">
          <cell r="A593" t="str">
            <v>M1</v>
          </cell>
          <cell r="B593" t="str">
            <v>A5C</v>
          </cell>
          <cell r="C593" t="str">
            <v>P</v>
          </cell>
          <cell r="D593" t="str">
            <v>22079</v>
          </cell>
          <cell r="E593" t="str">
            <v>CPLG</v>
          </cell>
          <cell r="F593">
            <v>2</v>
          </cell>
          <cell r="G593" t="str">
            <v>CB400500001H00</v>
          </cell>
          <cell r="H593">
            <v>1.5</v>
          </cell>
          <cell r="I593" t="str">
            <v>--</v>
          </cell>
          <cell r="J593">
            <v>2</v>
          </cell>
          <cell r="K593">
            <v>2</v>
          </cell>
        </row>
        <row r="594">
          <cell r="A594" t="str">
            <v>M1</v>
          </cell>
          <cell r="B594" t="str">
            <v>A6C</v>
          </cell>
          <cell r="C594" t="str">
            <v>HOS</v>
          </cell>
          <cell r="D594" t="str">
            <v>65622</v>
          </cell>
          <cell r="E594" t="str">
            <v>90 ELL</v>
          </cell>
          <cell r="F594">
            <v>2</v>
          </cell>
          <cell r="G594" t="str">
            <v>CB400100001H00</v>
          </cell>
          <cell r="H594">
            <v>1.5</v>
          </cell>
          <cell r="I594" t="str">
            <v>--</v>
          </cell>
          <cell r="J594">
            <v>2</v>
          </cell>
          <cell r="K594">
            <v>2</v>
          </cell>
        </row>
        <row r="595">
          <cell r="A595" t="str">
            <v>M1</v>
          </cell>
          <cell r="B595" t="str">
            <v>A6C</v>
          </cell>
          <cell r="C595" t="str">
            <v>HOR</v>
          </cell>
          <cell r="D595" t="str">
            <v>65618</v>
          </cell>
          <cell r="E595" t="str">
            <v>90 ELL</v>
          </cell>
          <cell r="F595">
            <v>2</v>
          </cell>
          <cell r="G595" t="str">
            <v>CB400100001H00</v>
          </cell>
          <cell r="H595">
            <v>1.5</v>
          </cell>
          <cell r="I595" t="str">
            <v>--</v>
          </cell>
          <cell r="J595">
            <v>2</v>
          </cell>
          <cell r="K595">
            <v>2</v>
          </cell>
        </row>
        <row r="596">
          <cell r="A596" t="str">
            <v>M1</v>
          </cell>
          <cell r="B596" t="str">
            <v>A6C</v>
          </cell>
          <cell r="C596" t="str">
            <v>HOR</v>
          </cell>
          <cell r="D596" t="str">
            <v>65612</v>
          </cell>
          <cell r="E596" t="str">
            <v>CPLG</v>
          </cell>
          <cell r="F596">
            <v>2</v>
          </cell>
          <cell r="G596" t="str">
            <v>CB400500001H00</v>
          </cell>
          <cell r="H596">
            <v>1.5</v>
          </cell>
          <cell r="I596" t="str">
            <v>--</v>
          </cell>
          <cell r="J596">
            <v>2</v>
          </cell>
          <cell r="K596">
            <v>2</v>
          </cell>
        </row>
        <row r="597">
          <cell r="A597" t="str">
            <v>M1</v>
          </cell>
          <cell r="B597" t="str">
            <v>A6C</v>
          </cell>
          <cell r="C597" t="str">
            <v>HOR</v>
          </cell>
          <cell r="D597" t="str">
            <v>65612</v>
          </cell>
          <cell r="E597" t="str">
            <v>R TEE</v>
          </cell>
          <cell r="F597">
            <v>2</v>
          </cell>
          <cell r="G597" t="str">
            <v>CB400400001H0T</v>
          </cell>
          <cell r="H597">
            <v>1.5</v>
          </cell>
          <cell r="I597">
            <v>0.75</v>
          </cell>
          <cell r="J597">
            <v>2</v>
          </cell>
          <cell r="K597">
            <v>2</v>
          </cell>
        </row>
        <row r="598">
          <cell r="A598" t="str">
            <v>M1</v>
          </cell>
          <cell r="B598" t="str">
            <v>A6C</v>
          </cell>
          <cell r="C598" t="str">
            <v>HOR</v>
          </cell>
          <cell r="D598" t="str">
            <v>65612</v>
          </cell>
          <cell r="E598" t="str">
            <v>R TEE</v>
          </cell>
          <cell r="F598">
            <v>2</v>
          </cell>
          <cell r="G598" t="str">
            <v>CB400400001H01</v>
          </cell>
          <cell r="H598">
            <v>1.5</v>
          </cell>
          <cell r="I598">
            <v>1</v>
          </cell>
          <cell r="J598">
            <v>2</v>
          </cell>
          <cell r="K598">
            <v>2</v>
          </cell>
        </row>
        <row r="599">
          <cell r="A599" t="str">
            <v>M1</v>
          </cell>
          <cell r="B599" t="str">
            <v>A5C</v>
          </cell>
          <cell r="C599" t="str">
            <v>P</v>
          </cell>
          <cell r="D599" t="str">
            <v>22064</v>
          </cell>
          <cell r="E599" t="str">
            <v>90 ELL</v>
          </cell>
          <cell r="F599">
            <v>2</v>
          </cell>
          <cell r="G599" t="str">
            <v>CB400100001H00</v>
          </cell>
          <cell r="H599">
            <v>1.5</v>
          </cell>
          <cell r="I599" t="str">
            <v>--</v>
          </cell>
          <cell r="J599">
            <v>2</v>
          </cell>
          <cell r="K599">
            <v>2</v>
          </cell>
        </row>
        <row r="600">
          <cell r="A600" t="str">
            <v>M1</v>
          </cell>
          <cell r="B600" t="str">
            <v>A5C</v>
          </cell>
          <cell r="C600" t="str">
            <v>P</v>
          </cell>
          <cell r="D600" t="str">
            <v>22085</v>
          </cell>
          <cell r="E600" t="str">
            <v>90 ELL</v>
          </cell>
          <cell r="F600">
            <v>2</v>
          </cell>
          <cell r="G600" t="str">
            <v>CB400100001H00</v>
          </cell>
          <cell r="H600">
            <v>1.5</v>
          </cell>
          <cell r="I600" t="str">
            <v>--</v>
          </cell>
          <cell r="J600">
            <v>2</v>
          </cell>
          <cell r="K600">
            <v>2</v>
          </cell>
        </row>
        <row r="601">
          <cell r="A601" t="str">
            <v>M1</v>
          </cell>
          <cell r="B601" t="str">
            <v>A5C</v>
          </cell>
          <cell r="C601" t="str">
            <v>P</v>
          </cell>
          <cell r="D601" t="str">
            <v>22102</v>
          </cell>
          <cell r="E601" t="str">
            <v>CPLG</v>
          </cell>
          <cell r="F601">
            <v>2</v>
          </cell>
          <cell r="G601" t="str">
            <v>CB400500001H00</v>
          </cell>
          <cell r="H601">
            <v>1.5</v>
          </cell>
          <cell r="I601" t="str">
            <v>--</v>
          </cell>
          <cell r="J601">
            <v>3</v>
          </cell>
          <cell r="K601">
            <v>3</v>
          </cell>
        </row>
        <row r="602">
          <cell r="A602" t="str">
            <v>M1</v>
          </cell>
          <cell r="B602" t="str">
            <v>A6C</v>
          </cell>
          <cell r="C602" t="str">
            <v>HOS</v>
          </cell>
          <cell r="D602" t="str">
            <v>65633</v>
          </cell>
          <cell r="E602" t="str">
            <v>TEE</v>
          </cell>
          <cell r="F602">
            <v>2</v>
          </cell>
          <cell r="G602" t="str">
            <v>CB400300001H00</v>
          </cell>
          <cell r="H602">
            <v>1.5</v>
          </cell>
          <cell r="I602" t="str">
            <v>--</v>
          </cell>
          <cell r="J602">
            <v>2</v>
          </cell>
          <cell r="K602">
            <v>2</v>
          </cell>
        </row>
        <row r="603">
          <cell r="A603" t="str">
            <v>M1</v>
          </cell>
          <cell r="B603" t="str">
            <v>A5C</v>
          </cell>
          <cell r="C603" t="str">
            <v>P</v>
          </cell>
          <cell r="D603" t="str">
            <v>22071</v>
          </cell>
          <cell r="E603" t="str">
            <v>TEE</v>
          </cell>
          <cell r="F603">
            <v>2</v>
          </cell>
          <cell r="G603" t="str">
            <v>CB400300001H00</v>
          </cell>
          <cell r="H603">
            <v>1.5</v>
          </cell>
          <cell r="I603" t="str">
            <v>--</v>
          </cell>
          <cell r="J603">
            <v>1</v>
          </cell>
          <cell r="K603">
            <v>1</v>
          </cell>
        </row>
        <row r="604">
          <cell r="A604" t="str">
            <v>M1</v>
          </cell>
          <cell r="B604" t="str">
            <v>A5C</v>
          </cell>
          <cell r="C604" t="str">
            <v>P</v>
          </cell>
          <cell r="D604" t="str">
            <v>22113</v>
          </cell>
          <cell r="E604" t="str">
            <v>TEE</v>
          </cell>
          <cell r="F604">
            <v>2</v>
          </cell>
          <cell r="G604" t="str">
            <v>CB400300001H00</v>
          </cell>
          <cell r="H604">
            <v>1.5</v>
          </cell>
          <cell r="I604" t="str">
            <v>--</v>
          </cell>
          <cell r="J604">
            <v>1</v>
          </cell>
          <cell r="K604">
            <v>1</v>
          </cell>
        </row>
        <row r="605">
          <cell r="A605" t="str">
            <v>M1</v>
          </cell>
          <cell r="B605" t="str">
            <v>A5C</v>
          </cell>
          <cell r="C605" t="str">
            <v>P</v>
          </cell>
          <cell r="D605" t="str">
            <v>22157</v>
          </cell>
          <cell r="E605" t="str">
            <v>TEE</v>
          </cell>
          <cell r="F605">
            <v>2</v>
          </cell>
          <cell r="G605" t="str">
            <v>CB400300001H00</v>
          </cell>
          <cell r="H605">
            <v>1.5</v>
          </cell>
          <cell r="I605" t="str">
            <v>--</v>
          </cell>
          <cell r="J605">
            <v>1</v>
          </cell>
          <cell r="K605">
            <v>1</v>
          </cell>
        </row>
        <row r="606">
          <cell r="A606" t="str">
            <v>M1</v>
          </cell>
          <cell r="B606" t="str">
            <v>A5C</v>
          </cell>
          <cell r="C606" t="str">
            <v>P</v>
          </cell>
          <cell r="D606" t="str">
            <v>22158</v>
          </cell>
          <cell r="E606" t="str">
            <v>TEE</v>
          </cell>
          <cell r="F606">
            <v>2</v>
          </cell>
          <cell r="G606" t="str">
            <v>CB400300001H00</v>
          </cell>
          <cell r="H606">
            <v>1.5</v>
          </cell>
          <cell r="I606" t="str">
            <v>--</v>
          </cell>
          <cell r="J606">
            <v>1</v>
          </cell>
          <cell r="K606">
            <v>1</v>
          </cell>
        </row>
        <row r="607">
          <cell r="A607" t="str">
            <v>M1</v>
          </cell>
          <cell r="B607" t="str">
            <v>A5C</v>
          </cell>
          <cell r="C607" t="str">
            <v>P</v>
          </cell>
          <cell r="D607" t="str">
            <v>22039</v>
          </cell>
          <cell r="E607" t="str">
            <v>TEE</v>
          </cell>
          <cell r="F607">
            <v>2</v>
          </cell>
          <cell r="G607" t="str">
            <v>CB400300001H00</v>
          </cell>
          <cell r="H607">
            <v>1.5</v>
          </cell>
          <cell r="I607" t="str">
            <v>--</v>
          </cell>
          <cell r="J607">
            <v>1</v>
          </cell>
          <cell r="K607">
            <v>1</v>
          </cell>
        </row>
        <row r="608">
          <cell r="A608" t="str">
            <v>M1</v>
          </cell>
          <cell r="B608" t="str">
            <v>A5C</v>
          </cell>
          <cell r="C608" t="str">
            <v>P</v>
          </cell>
          <cell r="D608" t="str">
            <v>22040</v>
          </cell>
          <cell r="E608" t="str">
            <v>TEE</v>
          </cell>
          <cell r="F608">
            <v>2</v>
          </cell>
          <cell r="G608" t="str">
            <v>CB400300001H00</v>
          </cell>
          <cell r="H608">
            <v>1.5</v>
          </cell>
          <cell r="I608" t="str">
            <v>--</v>
          </cell>
          <cell r="J608">
            <v>1</v>
          </cell>
          <cell r="K608">
            <v>1</v>
          </cell>
        </row>
        <row r="609">
          <cell r="A609" t="str">
            <v>M1</v>
          </cell>
          <cell r="B609" t="str">
            <v>A5C</v>
          </cell>
          <cell r="C609" t="str">
            <v>P</v>
          </cell>
          <cell r="D609" t="str">
            <v>22041</v>
          </cell>
          <cell r="E609" t="str">
            <v>TEE</v>
          </cell>
          <cell r="F609">
            <v>2</v>
          </cell>
          <cell r="G609" t="str">
            <v>CB400300001H00</v>
          </cell>
          <cell r="H609">
            <v>1.5</v>
          </cell>
          <cell r="I609" t="str">
            <v>--</v>
          </cell>
          <cell r="J609">
            <v>1</v>
          </cell>
          <cell r="K609">
            <v>1</v>
          </cell>
        </row>
        <row r="610">
          <cell r="A610" t="str">
            <v>M1</v>
          </cell>
          <cell r="B610" t="str">
            <v>A5C</v>
          </cell>
          <cell r="C610" t="str">
            <v>P</v>
          </cell>
          <cell r="D610" t="str">
            <v>22045</v>
          </cell>
          <cell r="E610" t="str">
            <v>CPLG</v>
          </cell>
          <cell r="F610">
            <v>2</v>
          </cell>
          <cell r="G610" t="str">
            <v>CB400500001H00</v>
          </cell>
          <cell r="H610">
            <v>1.5</v>
          </cell>
          <cell r="I610" t="str">
            <v>--</v>
          </cell>
          <cell r="J610">
            <v>2</v>
          </cell>
          <cell r="K610">
            <v>2</v>
          </cell>
        </row>
        <row r="611">
          <cell r="A611" t="str">
            <v>M1</v>
          </cell>
          <cell r="B611" t="str">
            <v>A5C</v>
          </cell>
          <cell r="C611" t="str">
            <v>P</v>
          </cell>
          <cell r="D611" t="str">
            <v>22109</v>
          </cell>
          <cell r="E611" t="str">
            <v>CPLG</v>
          </cell>
          <cell r="F611">
            <v>2</v>
          </cell>
          <cell r="G611" t="str">
            <v>CB400500001H00</v>
          </cell>
          <cell r="H611">
            <v>1.5</v>
          </cell>
          <cell r="I611" t="str">
            <v>--</v>
          </cell>
          <cell r="J611">
            <v>2</v>
          </cell>
          <cell r="K611">
            <v>2</v>
          </cell>
        </row>
        <row r="612">
          <cell r="A612" t="str">
            <v>M1</v>
          </cell>
          <cell r="B612" t="str">
            <v>A6C</v>
          </cell>
          <cell r="C612" t="str">
            <v>HOS</v>
          </cell>
          <cell r="D612" t="str">
            <v>65611</v>
          </cell>
          <cell r="E612" t="str">
            <v>90 ELL</v>
          </cell>
          <cell r="F612">
            <v>2</v>
          </cell>
          <cell r="G612" t="str">
            <v>CB400100001H00</v>
          </cell>
          <cell r="H612">
            <v>1.5</v>
          </cell>
          <cell r="I612" t="str">
            <v>--</v>
          </cell>
          <cell r="J612">
            <v>2</v>
          </cell>
          <cell r="K612">
            <v>2</v>
          </cell>
        </row>
        <row r="613">
          <cell r="A613" t="str">
            <v>M1</v>
          </cell>
          <cell r="B613" t="str">
            <v>A5C</v>
          </cell>
          <cell r="C613" t="str">
            <v>RW</v>
          </cell>
          <cell r="D613" t="str">
            <v>25611</v>
          </cell>
          <cell r="E613" t="str">
            <v>TEE</v>
          </cell>
          <cell r="F613">
            <v>2</v>
          </cell>
          <cell r="G613" t="str">
            <v>CB400300001H00</v>
          </cell>
          <cell r="H613">
            <v>1.5</v>
          </cell>
          <cell r="I613" t="str">
            <v>--</v>
          </cell>
          <cell r="J613">
            <v>2</v>
          </cell>
          <cell r="K613">
            <v>2</v>
          </cell>
        </row>
        <row r="614">
          <cell r="A614" t="str">
            <v>M1</v>
          </cell>
          <cell r="B614" t="str">
            <v>A4C</v>
          </cell>
          <cell r="C614" t="str">
            <v>P</v>
          </cell>
          <cell r="D614" t="str">
            <v>22031</v>
          </cell>
          <cell r="E614" t="str">
            <v>C SWG</v>
          </cell>
          <cell r="F614">
            <v>2</v>
          </cell>
          <cell r="G614" t="str">
            <v>CB161108081H0H</v>
          </cell>
          <cell r="H614">
            <v>1.5</v>
          </cell>
          <cell r="I614">
            <v>0.5</v>
          </cell>
          <cell r="J614">
            <v>6</v>
          </cell>
          <cell r="K614">
            <v>6</v>
          </cell>
        </row>
        <row r="615">
          <cell r="A615" t="str">
            <v>M1</v>
          </cell>
          <cell r="B615" t="str">
            <v>A5C</v>
          </cell>
          <cell r="C615" t="str">
            <v>P</v>
          </cell>
          <cell r="D615" t="str">
            <v>22002</v>
          </cell>
          <cell r="E615" t="str">
            <v>R TEE</v>
          </cell>
          <cell r="F615">
            <v>2</v>
          </cell>
          <cell r="G615" t="str">
            <v>CB400400001H0T</v>
          </cell>
          <cell r="H615">
            <v>1.5</v>
          </cell>
          <cell r="I615">
            <v>0.75</v>
          </cell>
          <cell r="J615">
            <v>2</v>
          </cell>
          <cell r="K615">
            <v>2</v>
          </cell>
        </row>
        <row r="616">
          <cell r="A616" t="str">
            <v>M1</v>
          </cell>
          <cell r="B616" t="str">
            <v>A5C</v>
          </cell>
          <cell r="C616" t="str">
            <v>P</v>
          </cell>
          <cell r="D616" t="str">
            <v>22071</v>
          </cell>
          <cell r="E616" t="str">
            <v>CPLG</v>
          </cell>
          <cell r="F616">
            <v>2</v>
          </cell>
          <cell r="G616" t="str">
            <v>CB400500001H00</v>
          </cell>
          <cell r="H616">
            <v>1.5</v>
          </cell>
          <cell r="I616" t="str">
            <v>--</v>
          </cell>
          <cell r="J616">
            <v>1</v>
          </cell>
          <cell r="K616">
            <v>1</v>
          </cell>
        </row>
        <row r="617">
          <cell r="A617" t="str">
            <v>M1</v>
          </cell>
          <cell r="B617" t="str">
            <v>A5C</v>
          </cell>
          <cell r="C617" t="str">
            <v>P</v>
          </cell>
          <cell r="D617" t="str">
            <v>22099</v>
          </cell>
          <cell r="E617" t="str">
            <v>90 ELL</v>
          </cell>
          <cell r="F617">
            <v>2</v>
          </cell>
          <cell r="G617" t="str">
            <v>CB400100001H00</v>
          </cell>
          <cell r="H617">
            <v>1.5</v>
          </cell>
          <cell r="I617" t="str">
            <v>--</v>
          </cell>
          <cell r="J617">
            <v>1</v>
          </cell>
          <cell r="K617">
            <v>1</v>
          </cell>
        </row>
        <row r="618">
          <cell r="A618" t="str">
            <v>M1</v>
          </cell>
          <cell r="B618" t="str">
            <v>A5C</v>
          </cell>
          <cell r="C618" t="str">
            <v>P</v>
          </cell>
          <cell r="D618" t="str">
            <v>22099</v>
          </cell>
          <cell r="E618" t="str">
            <v>NPL</v>
          </cell>
          <cell r="F618">
            <v>2</v>
          </cell>
          <cell r="G618" t="str">
            <v>CB132108001HVR</v>
          </cell>
          <cell r="H618">
            <v>1.5</v>
          </cell>
          <cell r="I618" t="str">
            <v>75mm</v>
          </cell>
          <cell r="J618">
            <v>1</v>
          </cell>
          <cell r="K618">
            <v>1</v>
          </cell>
        </row>
        <row r="619">
          <cell r="A619" t="str">
            <v>M1</v>
          </cell>
          <cell r="B619" t="str">
            <v>A5C</v>
          </cell>
          <cell r="C619" t="str">
            <v>P</v>
          </cell>
          <cell r="D619" t="str">
            <v>22039</v>
          </cell>
          <cell r="E619" t="str">
            <v>CPLG</v>
          </cell>
          <cell r="F619">
            <v>2</v>
          </cell>
          <cell r="G619" t="str">
            <v>CB400500001H00</v>
          </cell>
          <cell r="H619">
            <v>1.5</v>
          </cell>
          <cell r="I619" t="str">
            <v>--</v>
          </cell>
          <cell r="J619">
            <v>1</v>
          </cell>
          <cell r="K619">
            <v>1</v>
          </cell>
        </row>
        <row r="620">
          <cell r="A620" t="str">
            <v>M1</v>
          </cell>
          <cell r="B620" t="str">
            <v>A5C</v>
          </cell>
          <cell r="C620" t="str">
            <v>P</v>
          </cell>
          <cell r="D620" t="str">
            <v>22041</v>
          </cell>
          <cell r="E620" t="str">
            <v>CPLG</v>
          </cell>
          <cell r="F620">
            <v>2</v>
          </cell>
          <cell r="G620" t="str">
            <v>CB400500001H00</v>
          </cell>
          <cell r="H620">
            <v>1.5</v>
          </cell>
          <cell r="I620" t="str">
            <v>--</v>
          </cell>
          <cell r="J620">
            <v>1</v>
          </cell>
          <cell r="K620">
            <v>1</v>
          </cell>
        </row>
        <row r="621">
          <cell r="A621" t="str">
            <v>M1</v>
          </cell>
          <cell r="B621" t="str">
            <v>A5C</v>
          </cell>
          <cell r="C621" t="str">
            <v>P</v>
          </cell>
          <cell r="D621" t="str">
            <v>22040</v>
          </cell>
          <cell r="E621" t="str">
            <v>CPLG</v>
          </cell>
          <cell r="F621">
            <v>2</v>
          </cell>
          <cell r="G621" t="str">
            <v>CB400500001H00</v>
          </cell>
          <cell r="H621">
            <v>1.5</v>
          </cell>
          <cell r="I621" t="str">
            <v>--</v>
          </cell>
          <cell r="J621">
            <v>1</v>
          </cell>
          <cell r="K621">
            <v>1</v>
          </cell>
        </row>
        <row r="622">
          <cell r="A622" t="str">
            <v>M1</v>
          </cell>
          <cell r="B622" t="str">
            <v>A5C</v>
          </cell>
          <cell r="C622" t="str">
            <v>P</v>
          </cell>
          <cell r="D622" t="str">
            <v>22040</v>
          </cell>
          <cell r="E622" t="str">
            <v>NPL</v>
          </cell>
          <cell r="F622">
            <v>2</v>
          </cell>
          <cell r="G622" t="str">
            <v>CB132308001HVR</v>
          </cell>
          <cell r="H622">
            <v>1.5</v>
          </cell>
          <cell r="I622" t="str">
            <v>75mm</v>
          </cell>
          <cell r="J622">
            <v>1</v>
          </cell>
          <cell r="K622">
            <v>1</v>
          </cell>
        </row>
        <row r="623">
          <cell r="A623" t="str">
            <v>M1</v>
          </cell>
          <cell r="B623" t="str">
            <v>A5C</v>
          </cell>
          <cell r="C623" t="str">
            <v>P</v>
          </cell>
          <cell r="D623" t="str">
            <v>22041</v>
          </cell>
          <cell r="E623" t="str">
            <v>NPL</v>
          </cell>
          <cell r="F623">
            <v>2</v>
          </cell>
          <cell r="G623" t="str">
            <v>CB132308001HVR</v>
          </cell>
          <cell r="H623">
            <v>1.5</v>
          </cell>
          <cell r="I623" t="str">
            <v>75mm</v>
          </cell>
          <cell r="J623">
            <v>1</v>
          </cell>
          <cell r="K623">
            <v>1</v>
          </cell>
        </row>
        <row r="624">
          <cell r="A624" t="str">
            <v>M1</v>
          </cell>
          <cell r="B624" t="str">
            <v>A5C</v>
          </cell>
          <cell r="C624" t="str">
            <v>P</v>
          </cell>
          <cell r="D624" t="str">
            <v>22039</v>
          </cell>
          <cell r="E624" t="str">
            <v>NPL</v>
          </cell>
          <cell r="F624">
            <v>2</v>
          </cell>
          <cell r="G624" t="str">
            <v>CB132308001HVR</v>
          </cell>
          <cell r="H624">
            <v>1.5</v>
          </cell>
          <cell r="I624" t="str">
            <v>75mm</v>
          </cell>
          <cell r="J624">
            <v>1</v>
          </cell>
          <cell r="K624">
            <v>1</v>
          </cell>
        </row>
        <row r="625">
          <cell r="A625" t="str">
            <v>M1</v>
          </cell>
          <cell r="B625" t="str">
            <v>A5C</v>
          </cell>
          <cell r="C625" t="str">
            <v>P</v>
          </cell>
          <cell r="D625" t="str">
            <v>22039</v>
          </cell>
          <cell r="E625" t="str">
            <v>R TEE</v>
          </cell>
          <cell r="F625">
            <v>2</v>
          </cell>
          <cell r="G625" t="str">
            <v>CB400400001H0H</v>
          </cell>
          <cell r="H625">
            <v>1.5</v>
          </cell>
          <cell r="I625">
            <v>0.5</v>
          </cell>
          <cell r="J625">
            <v>1</v>
          </cell>
          <cell r="K625">
            <v>1</v>
          </cell>
        </row>
        <row r="626">
          <cell r="A626" t="str">
            <v>M1</v>
          </cell>
          <cell r="B626" t="str">
            <v>A5C</v>
          </cell>
          <cell r="C626" t="str">
            <v>P</v>
          </cell>
          <cell r="D626" t="str">
            <v>22041</v>
          </cell>
          <cell r="E626" t="str">
            <v>R TEE</v>
          </cell>
          <cell r="F626">
            <v>2</v>
          </cell>
          <cell r="G626" t="str">
            <v>CB400400001H0H</v>
          </cell>
          <cell r="H626">
            <v>1.5</v>
          </cell>
          <cell r="I626">
            <v>0.5</v>
          </cell>
          <cell r="J626">
            <v>1</v>
          </cell>
          <cell r="K626">
            <v>1</v>
          </cell>
        </row>
        <row r="627">
          <cell r="A627" t="str">
            <v>M1</v>
          </cell>
          <cell r="B627" t="str">
            <v>A5C</v>
          </cell>
          <cell r="C627" t="str">
            <v>P</v>
          </cell>
          <cell r="D627" t="str">
            <v>22040</v>
          </cell>
          <cell r="E627" t="str">
            <v>R TEE</v>
          </cell>
          <cell r="F627">
            <v>2</v>
          </cell>
          <cell r="G627" t="str">
            <v>CB400400001H0H</v>
          </cell>
          <cell r="H627">
            <v>1.5</v>
          </cell>
          <cell r="I627">
            <v>0.5</v>
          </cell>
          <cell r="J627">
            <v>1</v>
          </cell>
          <cell r="K627">
            <v>1</v>
          </cell>
        </row>
        <row r="628">
          <cell r="A628" t="str">
            <v>M1</v>
          </cell>
          <cell r="B628" t="str">
            <v>A5C</v>
          </cell>
          <cell r="C628" t="str">
            <v>P</v>
          </cell>
          <cell r="D628" t="str">
            <v>22102</v>
          </cell>
          <cell r="E628" t="str">
            <v>C SWG</v>
          </cell>
          <cell r="F628">
            <v>2</v>
          </cell>
          <cell r="G628" t="str">
            <v>CB161108081H01</v>
          </cell>
          <cell r="H628">
            <v>1.5</v>
          </cell>
          <cell r="I628">
            <v>1</v>
          </cell>
          <cell r="J628">
            <v>1</v>
          </cell>
          <cell r="K628">
            <v>1</v>
          </cell>
        </row>
        <row r="629">
          <cell r="A629" t="str">
            <v>M1</v>
          </cell>
          <cell r="B629" t="str">
            <v>A5C</v>
          </cell>
          <cell r="C629" t="str">
            <v>P</v>
          </cell>
          <cell r="D629" t="str">
            <v>22157</v>
          </cell>
          <cell r="E629" t="str">
            <v>C SWG</v>
          </cell>
          <cell r="F629">
            <v>2</v>
          </cell>
          <cell r="G629" t="str">
            <v>CB161108081H01</v>
          </cell>
          <cell r="H629">
            <v>1.5</v>
          </cell>
          <cell r="I629">
            <v>1</v>
          </cell>
          <cell r="J629">
            <v>1</v>
          </cell>
          <cell r="K629">
            <v>1</v>
          </cell>
        </row>
        <row r="630">
          <cell r="A630" t="str">
            <v>M1</v>
          </cell>
          <cell r="B630" t="str">
            <v>A5C</v>
          </cell>
          <cell r="C630" t="str">
            <v>P</v>
          </cell>
          <cell r="D630" t="str">
            <v>22157</v>
          </cell>
          <cell r="E630" t="str">
            <v>CAP</v>
          </cell>
          <cell r="F630">
            <v>2</v>
          </cell>
          <cell r="G630" t="str">
            <v>CB520700001H00</v>
          </cell>
          <cell r="H630">
            <v>1.5</v>
          </cell>
          <cell r="I630" t="str">
            <v>--</v>
          </cell>
          <cell r="J630">
            <v>1</v>
          </cell>
          <cell r="K630">
            <v>1</v>
          </cell>
        </row>
        <row r="631">
          <cell r="A631" t="str">
            <v>M1</v>
          </cell>
          <cell r="B631" t="str">
            <v>A5C</v>
          </cell>
          <cell r="C631" t="str">
            <v>P</v>
          </cell>
          <cell r="D631" t="str">
            <v>22158</v>
          </cell>
          <cell r="E631" t="str">
            <v>CAP</v>
          </cell>
          <cell r="F631">
            <v>2</v>
          </cell>
          <cell r="G631" t="str">
            <v>CB520700001H00</v>
          </cell>
          <cell r="H631">
            <v>1.5</v>
          </cell>
          <cell r="I631" t="str">
            <v>--</v>
          </cell>
          <cell r="J631">
            <v>1</v>
          </cell>
          <cell r="K631">
            <v>1</v>
          </cell>
        </row>
        <row r="632">
          <cell r="A632" t="str">
            <v>M1</v>
          </cell>
          <cell r="B632" t="str">
            <v>A5C</v>
          </cell>
          <cell r="C632" t="str">
            <v>P</v>
          </cell>
          <cell r="D632" t="str">
            <v>22036</v>
          </cell>
          <cell r="E632" t="str">
            <v>CPLG</v>
          </cell>
          <cell r="F632">
            <v>2</v>
          </cell>
          <cell r="G632" t="str">
            <v>CB400500001H00</v>
          </cell>
          <cell r="H632">
            <v>1.5</v>
          </cell>
          <cell r="I632" t="str">
            <v>--</v>
          </cell>
          <cell r="J632">
            <v>1</v>
          </cell>
          <cell r="K632">
            <v>1</v>
          </cell>
        </row>
        <row r="633">
          <cell r="A633" t="str">
            <v>M1</v>
          </cell>
          <cell r="B633" t="str">
            <v>A5C</v>
          </cell>
          <cell r="C633" t="str">
            <v>P</v>
          </cell>
          <cell r="D633" t="str">
            <v>22101</v>
          </cell>
          <cell r="E633" t="str">
            <v>CPLG</v>
          </cell>
          <cell r="F633">
            <v>2</v>
          </cell>
          <cell r="G633" t="str">
            <v>CB400500001H00</v>
          </cell>
          <cell r="H633">
            <v>1.5</v>
          </cell>
          <cell r="I633" t="str">
            <v>--</v>
          </cell>
          <cell r="J633">
            <v>1</v>
          </cell>
          <cell r="K633">
            <v>1</v>
          </cell>
        </row>
        <row r="634">
          <cell r="A634" t="str">
            <v>M1</v>
          </cell>
          <cell r="B634" t="str">
            <v>A5C</v>
          </cell>
          <cell r="C634" t="str">
            <v>P</v>
          </cell>
          <cell r="D634" t="str">
            <v>22102</v>
          </cell>
          <cell r="E634" t="str">
            <v>CPLG</v>
          </cell>
          <cell r="F634">
            <v>2</v>
          </cell>
          <cell r="G634" t="str">
            <v>CB400500001H00</v>
          </cell>
          <cell r="H634">
            <v>1.5</v>
          </cell>
          <cell r="I634" t="str">
            <v>--</v>
          </cell>
          <cell r="J634">
            <v>1</v>
          </cell>
          <cell r="K634">
            <v>1</v>
          </cell>
        </row>
        <row r="635">
          <cell r="A635" t="str">
            <v>M1</v>
          </cell>
          <cell r="B635" t="str">
            <v>A5C</v>
          </cell>
          <cell r="C635" t="str">
            <v>P</v>
          </cell>
          <cell r="D635" t="str">
            <v>22108</v>
          </cell>
          <cell r="E635" t="str">
            <v>CPLG</v>
          </cell>
          <cell r="F635">
            <v>2</v>
          </cell>
          <cell r="G635" t="str">
            <v>CB400500001H00</v>
          </cell>
          <cell r="H635">
            <v>1.5</v>
          </cell>
          <cell r="I635" t="str">
            <v>--</v>
          </cell>
          <cell r="J635">
            <v>1</v>
          </cell>
          <cell r="K635">
            <v>1</v>
          </cell>
        </row>
        <row r="636">
          <cell r="A636" t="str">
            <v>M1</v>
          </cell>
          <cell r="B636" t="str">
            <v>A5C</v>
          </cell>
          <cell r="C636" t="str">
            <v>P</v>
          </cell>
          <cell r="D636" t="str">
            <v>22099</v>
          </cell>
          <cell r="E636" t="str">
            <v>CAP</v>
          </cell>
          <cell r="F636">
            <v>2</v>
          </cell>
          <cell r="G636" t="str">
            <v>CB520700001H00</v>
          </cell>
          <cell r="H636">
            <v>1.5</v>
          </cell>
          <cell r="I636" t="str">
            <v>--</v>
          </cell>
          <cell r="J636">
            <v>1</v>
          </cell>
          <cell r="K636">
            <v>1</v>
          </cell>
        </row>
        <row r="637">
          <cell r="A637" t="str">
            <v>M1</v>
          </cell>
          <cell r="B637" t="str">
            <v>A5C</v>
          </cell>
          <cell r="C637" t="str">
            <v>P</v>
          </cell>
          <cell r="D637" t="str">
            <v>22040</v>
          </cell>
          <cell r="E637" t="str">
            <v>C SWG</v>
          </cell>
          <cell r="F637">
            <v>2</v>
          </cell>
          <cell r="G637" t="str">
            <v>CB161108081H01</v>
          </cell>
          <cell r="H637">
            <v>1.5</v>
          </cell>
          <cell r="I637">
            <v>1</v>
          </cell>
          <cell r="J637">
            <v>1</v>
          </cell>
          <cell r="K637">
            <v>1</v>
          </cell>
        </row>
        <row r="638">
          <cell r="A638" t="str">
            <v>M1</v>
          </cell>
          <cell r="B638" t="str">
            <v>A5C</v>
          </cell>
          <cell r="C638" t="str">
            <v>P</v>
          </cell>
          <cell r="D638" t="str">
            <v>22041</v>
          </cell>
          <cell r="E638" t="str">
            <v>C SWG</v>
          </cell>
          <cell r="F638">
            <v>2</v>
          </cell>
          <cell r="G638" t="str">
            <v>CB161108081H01</v>
          </cell>
          <cell r="H638">
            <v>1.5</v>
          </cell>
          <cell r="I638">
            <v>1</v>
          </cell>
          <cell r="J638">
            <v>1</v>
          </cell>
          <cell r="K638">
            <v>1</v>
          </cell>
        </row>
        <row r="639">
          <cell r="A639" t="str">
            <v>M1</v>
          </cell>
          <cell r="B639" t="str">
            <v>A5C</v>
          </cell>
          <cell r="C639" t="str">
            <v>P</v>
          </cell>
          <cell r="D639" t="str">
            <v>22039</v>
          </cell>
          <cell r="E639" t="str">
            <v>C SWG</v>
          </cell>
          <cell r="F639">
            <v>2</v>
          </cell>
          <cell r="G639" t="str">
            <v>CB161108081H01</v>
          </cell>
          <cell r="H639">
            <v>1.5</v>
          </cell>
          <cell r="I639">
            <v>1</v>
          </cell>
          <cell r="J639">
            <v>1</v>
          </cell>
          <cell r="K639">
            <v>1</v>
          </cell>
        </row>
        <row r="640">
          <cell r="A640" t="str">
            <v>M1</v>
          </cell>
          <cell r="B640" t="str">
            <v>A5C</v>
          </cell>
          <cell r="C640" t="str">
            <v>P</v>
          </cell>
          <cell r="D640" t="str">
            <v>22039</v>
          </cell>
          <cell r="E640" t="str">
            <v>CAP</v>
          </cell>
          <cell r="F640">
            <v>2</v>
          </cell>
          <cell r="G640" t="str">
            <v>CB520700001H00</v>
          </cell>
          <cell r="H640">
            <v>1.5</v>
          </cell>
          <cell r="I640" t="str">
            <v>--</v>
          </cell>
          <cell r="J640">
            <v>1</v>
          </cell>
          <cell r="K640">
            <v>1</v>
          </cell>
        </row>
        <row r="641">
          <cell r="A641" t="str">
            <v>M1</v>
          </cell>
          <cell r="B641" t="str">
            <v>A5C</v>
          </cell>
          <cell r="C641" t="str">
            <v>P</v>
          </cell>
          <cell r="D641" t="str">
            <v>22040</v>
          </cell>
          <cell r="E641" t="str">
            <v>CAP</v>
          </cell>
          <cell r="F641">
            <v>2</v>
          </cell>
          <cell r="G641" t="str">
            <v>CB520700001H00</v>
          </cell>
          <cell r="H641">
            <v>1.5</v>
          </cell>
          <cell r="I641" t="str">
            <v>--</v>
          </cell>
          <cell r="J641">
            <v>1</v>
          </cell>
          <cell r="K641">
            <v>1</v>
          </cell>
        </row>
        <row r="642">
          <cell r="A642" t="str">
            <v>M1</v>
          </cell>
          <cell r="B642" t="str">
            <v>A5C</v>
          </cell>
          <cell r="C642" t="str">
            <v>P</v>
          </cell>
          <cell r="D642" t="str">
            <v>22041</v>
          </cell>
          <cell r="E642" t="str">
            <v>CAP</v>
          </cell>
          <cell r="F642">
            <v>2</v>
          </cell>
          <cell r="G642" t="str">
            <v>CB520700001H00</v>
          </cell>
          <cell r="H642">
            <v>1.5</v>
          </cell>
          <cell r="I642" t="str">
            <v>--</v>
          </cell>
          <cell r="J642">
            <v>1</v>
          </cell>
          <cell r="K642">
            <v>1</v>
          </cell>
        </row>
        <row r="643">
          <cell r="A643" t="str">
            <v>M1</v>
          </cell>
          <cell r="B643" t="str">
            <v>A6C</v>
          </cell>
          <cell r="C643" t="str">
            <v>HOS</v>
          </cell>
          <cell r="D643" t="str">
            <v>65623</v>
          </cell>
          <cell r="E643" t="str">
            <v>E SWG</v>
          </cell>
          <cell r="F643">
            <v>2</v>
          </cell>
          <cell r="G643" t="str">
            <v>CB162108081H01</v>
          </cell>
          <cell r="H643">
            <v>1.5</v>
          </cell>
          <cell r="I643">
            <v>1</v>
          </cell>
          <cell r="J643">
            <v>1</v>
          </cell>
          <cell r="K643">
            <v>1</v>
          </cell>
        </row>
        <row r="644">
          <cell r="A644" t="str">
            <v>M1</v>
          </cell>
          <cell r="B644" t="str">
            <v>A6C</v>
          </cell>
          <cell r="C644" t="str">
            <v>HOS</v>
          </cell>
          <cell r="D644" t="str">
            <v>65633</v>
          </cell>
          <cell r="E644" t="str">
            <v>CPLG</v>
          </cell>
          <cell r="F644">
            <v>2</v>
          </cell>
          <cell r="G644" t="str">
            <v>CB400500001H00</v>
          </cell>
          <cell r="H644">
            <v>1.5</v>
          </cell>
          <cell r="I644" t="str">
            <v>--</v>
          </cell>
          <cell r="J644">
            <v>1</v>
          </cell>
          <cell r="K644">
            <v>1</v>
          </cell>
        </row>
        <row r="645">
          <cell r="A645" t="str">
            <v>M1</v>
          </cell>
          <cell r="B645" t="str">
            <v>A5C</v>
          </cell>
          <cell r="C645" t="str">
            <v>P</v>
          </cell>
          <cell r="D645" t="str">
            <v>22111</v>
          </cell>
          <cell r="E645" t="str">
            <v>CPLG</v>
          </cell>
          <cell r="F645">
            <v>2</v>
          </cell>
          <cell r="G645" t="str">
            <v>CB400500001H00</v>
          </cell>
          <cell r="H645">
            <v>1.5</v>
          </cell>
          <cell r="I645" t="str">
            <v>--</v>
          </cell>
          <cell r="J645">
            <v>1</v>
          </cell>
          <cell r="K645">
            <v>1</v>
          </cell>
        </row>
        <row r="646">
          <cell r="A646" t="str">
            <v>M1</v>
          </cell>
          <cell r="B646" t="str">
            <v>A5C</v>
          </cell>
          <cell r="C646" t="str">
            <v>P</v>
          </cell>
          <cell r="D646" t="str">
            <v>22045</v>
          </cell>
          <cell r="E646" t="str">
            <v>TEE</v>
          </cell>
          <cell r="F646">
            <v>2</v>
          </cell>
          <cell r="G646" t="str">
            <v>CB400300001H00</v>
          </cell>
          <cell r="H646">
            <v>1.5</v>
          </cell>
          <cell r="I646" t="str">
            <v>--</v>
          </cell>
          <cell r="J646">
            <v>2</v>
          </cell>
          <cell r="K646">
            <v>2</v>
          </cell>
        </row>
        <row r="647">
          <cell r="A647" t="str">
            <v>M1</v>
          </cell>
          <cell r="B647" t="str">
            <v>A5C</v>
          </cell>
          <cell r="C647" t="str">
            <v>P</v>
          </cell>
          <cell r="D647" t="str">
            <v>22117</v>
          </cell>
          <cell r="E647" t="str">
            <v>CPLG</v>
          </cell>
          <cell r="F647">
            <v>2</v>
          </cell>
          <cell r="G647" t="str">
            <v>CB400500001H00</v>
          </cell>
          <cell r="H647">
            <v>1.5</v>
          </cell>
          <cell r="I647" t="str">
            <v>--</v>
          </cell>
          <cell r="J647">
            <v>1</v>
          </cell>
          <cell r="K647">
            <v>1</v>
          </cell>
        </row>
        <row r="648">
          <cell r="A648" t="str">
            <v>M1</v>
          </cell>
          <cell r="B648" t="str">
            <v>A5C</v>
          </cell>
          <cell r="C648" t="str">
            <v>P</v>
          </cell>
          <cell r="D648" t="str">
            <v>22102</v>
          </cell>
          <cell r="E648" t="str">
            <v>R TEE</v>
          </cell>
          <cell r="F648">
            <v>2</v>
          </cell>
          <cell r="G648" t="str">
            <v>CB400400001H0T</v>
          </cell>
          <cell r="H648">
            <v>1.5</v>
          </cell>
          <cell r="I648">
            <v>0.75</v>
          </cell>
          <cell r="J648">
            <v>2</v>
          </cell>
          <cell r="K648">
            <v>2</v>
          </cell>
        </row>
        <row r="649">
          <cell r="A649" t="str">
            <v>M1</v>
          </cell>
          <cell r="B649" t="str">
            <v>A6C</v>
          </cell>
          <cell r="C649" t="str">
            <v>HOS</v>
          </cell>
          <cell r="D649" t="str">
            <v>65632</v>
          </cell>
          <cell r="E649" t="str">
            <v>NPL</v>
          </cell>
          <cell r="F649">
            <v>2</v>
          </cell>
          <cell r="G649" t="str">
            <v>CB132308001HVR</v>
          </cell>
          <cell r="H649">
            <v>1.5</v>
          </cell>
          <cell r="I649" t="str">
            <v>75mm</v>
          </cell>
          <cell r="J649">
            <v>1</v>
          </cell>
          <cell r="K649">
            <v>1</v>
          </cell>
        </row>
        <row r="650">
          <cell r="A650" t="str">
            <v>M1</v>
          </cell>
          <cell r="B650" t="str">
            <v>A6C</v>
          </cell>
          <cell r="C650" t="str">
            <v>HOS</v>
          </cell>
          <cell r="D650" t="str">
            <v>65633</v>
          </cell>
          <cell r="E650" t="str">
            <v>R TEE</v>
          </cell>
          <cell r="F650">
            <v>2</v>
          </cell>
          <cell r="G650" t="str">
            <v>CB400400001H0T</v>
          </cell>
          <cell r="H650">
            <v>1.5</v>
          </cell>
          <cell r="I650">
            <v>0.75</v>
          </cell>
          <cell r="J650">
            <v>1</v>
          </cell>
          <cell r="K650">
            <v>1</v>
          </cell>
        </row>
        <row r="651">
          <cell r="A651" t="str">
            <v>M1</v>
          </cell>
          <cell r="B651" t="str">
            <v>A6C</v>
          </cell>
          <cell r="C651" t="str">
            <v>HOS</v>
          </cell>
          <cell r="D651" t="str">
            <v>65632</v>
          </cell>
          <cell r="E651" t="str">
            <v>TEE</v>
          </cell>
          <cell r="F651">
            <v>2</v>
          </cell>
          <cell r="G651" t="str">
            <v>CB400300001H00</v>
          </cell>
          <cell r="H651">
            <v>1.5</v>
          </cell>
          <cell r="I651" t="str">
            <v>--</v>
          </cell>
          <cell r="J651">
            <v>1</v>
          </cell>
          <cell r="K651">
            <v>1</v>
          </cell>
        </row>
        <row r="652">
          <cell r="A652" t="str">
            <v>M1</v>
          </cell>
          <cell r="B652" t="str">
            <v>A5C</v>
          </cell>
          <cell r="C652" t="str">
            <v>P</v>
          </cell>
          <cell r="D652" t="str">
            <v>22002</v>
          </cell>
          <cell r="E652" t="str">
            <v>TEE</v>
          </cell>
          <cell r="F652">
            <v>2</v>
          </cell>
          <cell r="G652" t="str">
            <v>CB400300001H00</v>
          </cell>
          <cell r="H652">
            <v>1.5</v>
          </cell>
          <cell r="I652" t="str">
            <v>--</v>
          </cell>
          <cell r="J652">
            <v>1</v>
          </cell>
          <cell r="K652">
            <v>1</v>
          </cell>
        </row>
        <row r="653">
          <cell r="A653" t="str">
            <v>M1</v>
          </cell>
          <cell r="B653" t="str">
            <v>A5C</v>
          </cell>
          <cell r="C653" t="str">
            <v>P</v>
          </cell>
          <cell r="D653" t="str">
            <v>22158</v>
          </cell>
          <cell r="E653" t="str">
            <v>C SWG</v>
          </cell>
          <cell r="F653">
            <v>2</v>
          </cell>
          <cell r="G653" t="str">
            <v>CB161108081H01</v>
          </cell>
          <cell r="H653">
            <v>1.5</v>
          </cell>
          <cell r="I653">
            <v>1</v>
          </cell>
          <cell r="J653">
            <v>1</v>
          </cell>
          <cell r="K653">
            <v>1</v>
          </cell>
        </row>
        <row r="654">
          <cell r="A654" t="str">
            <v>M1</v>
          </cell>
          <cell r="B654" t="str">
            <v>A6C</v>
          </cell>
          <cell r="C654" t="str">
            <v>HOS</v>
          </cell>
          <cell r="D654" t="str">
            <v>65633</v>
          </cell>
          <cell r="E654" t="str">
            <v>C SWG</v>
          </cell>
          <cell r="F654">
            <v>2</v>
          </cell>
          <cell r="G654" t="str">
            <v>CB161108081H0T</v>
          </cell>
          <cell r="H654">
            <v>1.5</v>
          </cell>
          <cell r="I654">
            <v>0.75</v>
          </cell>
          <cell r="J654">
            <v>1</v>
          </cell>
          <cell r="K654">
            <v>1</v>
          </cell>
        </row>
        <row r="655">
          <cell r="A655" t="str">
            <v>M1</v>
          </cell>
          <cell r="B655" t="str">
            <v>A5C</v>
          </cell>
          <cell r="C655" t="str">
            <v>P</v>
          </cell>
          <cell r="D655" t="str">
            <v>22111</v>
          </cell>
          <cell r="E655" t="str">
            <v>C SWG</v>
          </cell>
          <cell r="F655">
            <v>2</v>
          </cell>
          <cell r="G655" t="str">
            <v>CB161108081H01</v>
          </cell>
          <cell r="H655">
            <v>1.5</v>
          </cell>
          <cell r="I655">
            <v>1</v>
          </cell>
          <cell r="J655">
            <v>1</v>
          </cell>
          <cell r="K655">
            <v>1</v>
          </cell>
        </row>
        <row r="656">
          <cell r="A656" t="str">
            <v>M1</v>
          </cell>
          <cell r="B656" t="str">
            <v>A5C</v>
          </cell>
          <cell r="C656" t="str">
            <v>P</v>
          </cell>
          <cell r="D656" t="str">
            <v>22085</v>
          </cell>
          <cell r="E656" t="str">
            <v>TEE</v>
          </cell>
          <cell r="F656">
            <v>2</v>
          </cell>
          <cell r="G656" t="str">
            <v>CB400300001H00</v>
          </cell>
          <cell r="H656">
            <v>1.5</v>
          </cell>
          <cell r="I656" t="str">
            <v>--</v>
          </cell>
          <cell r="J656">
            <v>1</v>
          </cell>
          <cell r="K656">
            <v>1</v>
          </cell>
        </row>
        <row r="657">
          <cell r="A657" t="str">
            <v>M1</v>
          </cell>
          <cell r="B657" t="str">
            <v>A5C</v>
          </cell>
          <cell r="C657" t="str">
            <v>P</v>
          </cell>
          <cell r="D657" t="str">
            <v>22157</v>
          </cell>
          <cell r="E657" t="str">
            <v>CPLG</v>
          </cell>
          <cell r="F657">
            <v>2</v>
          </cell>
          <cell r="G657" t="str">
            <v>CB400500001H00</v>
          </cell>
          <cell r="H657">
            <v>1.5</v>
          </cell>
          <cell r="I657" t="str">
            <v>--</v>
          </cell>
          <cell r="J657">
            <v>1</v>
          </cell>
          <cell r="K657">
            <v>1</v>
          </cell>
        </row>
        <row r="658">
          <cell r="A658" t="str">
            <v>M1</v>
          </cell>
          <cell r="B658" t="str">
            <v>A5C</v>
          </cell>
          <cell r="C658" t="str">
            <v>P</v>
          </cell>
          <cell r="D658" t="str">
            <v>22158</v>
          </cell>
          <cell r="E658" t="str">
            <v>CPLG</v>
          </cell>
          <cell r="F658">
            <v>2</v>
          </cell>
          <cell r="G658" t="str">
            <v>CB400500001H00</v>
          </cell>
          <cell r="H658">
            <v>1.5</v>
          </cell>
          <cell r="I658" t="str">
            <v>--</v>
          </cell>
          <cell r="J658">
            <v>1</v>
          </cell>
          <cell r="K658">
            <v>1</v>
          </cell>
        </row>
        <row r="659">
          <cell r="A659" t="str">
            <v>M1</v>
          </cell>
          <cell r="B659" t="str">
            <v>A5C</v>
          </cell>
          <cell r="C659" t="str">
            <v>P</v>
          </cell>
          <cell r="D659" t="str">
            <v>22157</v>
          </cell>
          <cell r="E659" t="str">
            <v>NPL</v>
          </cell>
          <cell r="F659">
            <v>2</v>
          </cell>
          <cell r="G659" t="str">
            <v>CB132308001HVR</v>
          </cell>
          <cell r="H659">
            <v>1.5</v>
          </cell>
          <cell r="I659" t="str">
            <v>75mm</v>
          </cell>
          <cell r="J659">
            <v>1</v>
          </cell>
          <cell r="K659">
            <v>1</v>
          </cell>
        </row>
        <row r="660">
          <cell r="A660" t="str">
            <v>M1</v>
          </cell>
          <cell r="B660" t="str">
            <v>A5C</v>
          </cell>
          <cell r="C660" t="str">
            <v>P</v>
          </cell>
          <cell r="D660" t="str">
            <v>22071</v>
          </cell>
          <cell r="E660" t="str">
            <v>R TEE</v>
          </cell>
          <cell r="F660">
            <v>2</v>
          </cell>
          <cell r="G660" t="str">
            <v>CB400400001H0T</v>
          </cell>
          <cell r="H660">
            <v>1.5</v>
          </cell>
          <cell r="I660">
            <v>0.75</v>
          </cell>
          <cell r="J660">
            <v>1</v>
          </cell>
          <cell r="K660">
            <v>1</v>
          </cell>
        </row>
        <row r="661">
          <cell r="A661" t="str">
            <v>M1</v>
          </cell>
          <cell r="B661" t="str">
            <v>A5C</v>
          </cell>
          <cell r="C661" t="str">
            <v>P</v>
          </cell>
          <cell r="D661" t="str">
            <v>22071</v>
          </cell>
          <cell r="E661" t="str">
            <v>R TEE</v>
          </cell>
          <cell r="F661">
            <v>2</v>
          </cell>
          <cell r="G661" t="str">
            <v>CB400400001H01</v>
          </cell>
          <cell r="H661">
            <v>1.5</v>
          </cell>
          <cell r="I661">
            <v>1</v>
          </cell>
          <cell r="J661">
            <v>1</v>
          </cell>
          <cell r="K661">
            <v>1</v>
          </cell>
        </row>
        <row r="662">
          <cell r="A662" t="str">
            <v>M1</v>
          </cell>
          <cell r="B662" t="str">
            <v>A5C</v>
          </cell>
          <cell r="C662" t="str">
            <v>P</v>
          </cell>
          <cell r="D662" t="str">
            <v>22109</v>
          </cell>
          <cell r="E662" t="str">
            <v>R TEE</v>
          </cell>
          <cell r="F662">
            <v>2</v>
          </cell>
          <cell r="G662" t="str">
            <v>CB400400001H01</v>
          </cell>
          <cell r="H662">
            <v>1.5</v>
          </cell>
          <cell r="I662">
            <v>1</v>
          </cell>
          <cell r="J662">
            <v>1</v>
          </cell>
          <cell r="K662">
            <v>1</v>
          </cell>
        </row>
        <row r="663">
          <cell r="A663" t="str">
            <v>M1</v>
          </cell>
          <cell r="B663" t="str">
            <v>A5C</v>
          </cell>
          <cell r="C663" t="str">
            <v>P</v>
          </cell>
          <cell r="D663" t="str">
            <v>22104</v>
          </cell>
          <cell r="E663" t="str">
            <v>R TEE</v>
          </cell>
          <cell r="F663">
            <v>2</v>
          </cell>
          <cell r="G663" t="str">
            <v>CB400400001H0T</v>
          </cell>
          <cell r="H663">
            <v>1.5</v>
          </cell>
          <cell r="I663">
            <v>0.75</v>
          </cell>
          <cell r="J663">
            <v>1</v>
          </cell>
          <cell r="K663">
            <v>1</v>
          </cell>
        </row>
        <row r="664">
          <cell r="A664" t="str">
            <v>M1</v>
          </cell>
          <cell r="B664" t="str">
            <v>A5C</v>
          </cell>
          <cell r="C664" t="str">
            <v>P</v>
          </cell>
          <cell r="D664" t="str">
            <v>22104</v>
          </cell>
          <cell r="E664" t="str">
            <v>R TEE</v>
          </cell>
          <cell r="F664">
            <v>2</v>
          </cell>
          <cell r="G664" t="str">
            <v>CB400400001H01</v>
          </cell>
          <cell r="H664">
            <v>1.5</v>
          </cell>
          <cell r="I664">
            <v>1</v>
          </cell>
          <cell r="J664">
            <v>1</v>
          </cell>
          <cell r="K664">
            <v>1</v>
          </cell>
        </row>
        <row r="665">
          <cell r="A665" t="str">
            <v>M1</v>
          </cell>
          <cell r="B665" t="str">
            <v>A5C</v>
          </cell>
          <cell r="C665" t="str">
            <v>P</v>
          </cell>
          <cell r="D665" t="str">
            <v>22157</v>
          </cell>
          <cell r="E665" t="str">
            <v>R TEE</v>
          </cell>
          <cell r="F665">
            <v>2</v>
          </cell>
          <cell r="G665" t="str">
            <v>CB400400001H0H</v>
          </cell>
          <cell r="H665">
            <v>1.5</v>
          </cell>
          <cell r="I665">
            <v>0.5</v>
          </cell>
          <cell r="J665">
            <v>1</v>
          </cell>
          <cell r="K665">
            <v>1</v>
          </cell>
        </row>
        <row r="666">
          <cell r="A666" t="str">
            <v>M1</v>
          </cell>
          <cell r="B666" t="str">
            <v>A5C</v>
          </cell>
          <cell r="C666" t="str">
            <v>TRIM</v>
          </cell>
          <cell r="D666" t="str">
            <v>X-2207</v>
          </cell>
          <cell r="E666" t="str">
            <v>NPL</v>
          </cell>
          <cell r="F666">
            <v>2</v>
          </cell>
          <cell r="G666" t="str">
            <v>CB132108001HVR</v>
          </cell>
          <cell r="H666">
            <v>1.5</v>
          </cell>
          <cell r="I666" t="str">
            <v>75mm</v>
          </cell>
          <cell r="J666">
            <v>2</v>
          </cell>
          <cell r="K666">
            <v>2</v>
          </cell>
        </row>
        <row r="667">
          <cell r="A667" t="str">
            <v>M1</v>
          </cell>
          <cell r="B667" t="str">
            <v>A5C</v>
          </cell>
          <cell r="C667" t="str">
            <v>P</v>
          </cell>
          <cell r="D667" t="str">
            <v>22158</v>
          </cell>
          <cell r="E667" t="str">
            <v>R TEE</v>
          </cell>
          <cell r="F667">
            <v>2</v>
          </cell>
          <cell r="G667" t="str">
            <v>CB400400001H0H</v>
          </cell>
          <cell r="H667">
            <v>1.5</v>
          </cell>
          <cell r="I667">
            <v>0.5</v>
          </cell>
          <cell r="J667">
            <v>1</v>
          </cell>
          <cell r="K667">
            <v>1</v>
          </cell>
        </row>
        <row r="668">
          <cell r="A668" t="str">
            <v>M1</v>
          </cell>
          <cell r="B668" t="str">
            <v>A5C</v>
          </cell>
          <cell r="C668" t="str">
            <v>P</v>
          </cell>
          <cell r="D668" t="str">
            <v>22078</v>
          </cell>
          <cell r="E668" t="str">
            <v>R TEE</v>
          </cell>
          <cell r="F668">
            <v>2</v>
          </cell>
          <cell r="G668" t="str">
            <v>CB400400001H0T</v>
          </cell>
          <cell r="H668">
            <v>1.5</v>
          </cell>
          <cell r="I668">
            <v>0.75</v>
          </cell>
          <cell r="J668">
            <v>1</v>
          </cell>
          <cell r="K668">
            <v>1</v>
          </cell>
        </row>
        <row r="669">
          <cell r="A669" t="str">
            <v>M1</v>
          </cell>
          <cell r="B669" t="str">
            <v>A5C</v>
          </cell>
          <cell r="C669" t="str">
            <v>P</v>
          </cell>
          <cell r="D669" t="str">
            <v>22087</v>
          </cell>
          <cell r="E669" t="str">
            <v>R TEE</v>
          </cell>
          <cell r="F669">
            <v>2</v>
          </cell>
          <cell r="G669" t="str">
            <v>CB400400001H0T</v>
          </cell>
          <cell r="H669">
            <v>1.5</v>
          </cell>
          <cell r="I669">
            <v>0.75</v>
          </cell>
          <cell r="J669">
            <v>1</v>
          </cell>
          <cell r="K669">
            <v>1</v>
          </cell>
        </row>
        <row r="670">
          <cell r="A670" t="str">
            <v>M1</v>
          </cell>
          <cell r="B670" t="str">
            <v>A5C</v>
          </cell>
          <cell r="C670" t="str">
            <v>P</v>
          </cell>
          <cell r="D670" t="str">
            <v>22087</v>
          </cell>
          <cell r="E670" t="str">
            <v>R TEE</v>
          </cell>
          <cell r="F670">
            <v>2</v>
          </cell>
          <cell r="G670" t="str">
            <v>CB400400001H01</v>
          </cell>
          <cell r="H670">
            <v>1.5</v>
          </cell>
          <cell r="I670">
            <v>1</v>
          </cell>
          <cell r="J670">
            <v>1</v>
          </cell>
          <cell r="K670">
            <v>1</v>
          </cell>
        </row>
        <row r="671">
          <cell r="A671" t="str">
            <v>M1</v>
          </cell>
          <cell r="B671" t="str">
            <v>A5C</v>
          </cell>
          <cell r="C671" t="str">
            <v>P</v>
          </cell>
          <cell r="D671" t="str">
            <v>22102</v>
          </cell>
          <cell r="E671" t="str">
            <v>R TEE</v>
          </cell>
          <cell r="F671">
            <v>2</v>
          </cell>
          <cell r="G671" t="str">
            <v>CB400400001H01</v>
          </cell>
          <cell r="H671">
            <v>1.5</v>
          </cell>
          <cell r="I671">
            <v>1</v>
          </cell>
          <cell r="J671">
            <v>1</v>
          </cell>
          <cell r="K671">
            <v>1</v>
          </cell>
        </row>
        <row r="672">
          <cell r="A672" t="str">
            <v>M1</v>
          </cell>
          <cell r="B672" t="str">
            <v>A5C</v>
          </cell>
          <cell r="C672" t="str">
            <v>P</v>
          </cell>
          <cell r="D672" t="str">
            <v>22113</v>
          </cell>
          <cell r="E672" t="str">
            <v>R TEE</v>
          </cell>
          <cell r="F672">
            <v>2</v>
          </cell>
          <cell r="G672" t="str">
            <v>CB400400001H0T</v>
          </cell>
          <cell r="H672">
            <v>1.5</v>
          </cell>
          <cell r="I672">
            <v>0.75</v>
          </cell>
          <cell r="J672">
            <v>1</v>
          </cell>
          <cell r="K672">
            <v>1</v>
          </cell>
        </row>
        <row r="673">
          <cell r="A673" t="str">
            <v>M1</v>
          </cell>
          <cell r="B673" t="str">
            <v>A5C</v>
          </cell>
          <cell r="C673" t="str">
            <v>P</v>
          </cell>
          <cell r="D673" t="str">
            <v>22114</v>
          </cell>
          <cell r="E673" t="str">
            <v>R TEE</v>
          </cell>
          <cell r="F673">
            <v>2</v>
          </cell>
          <cell r="G673" t="str">
            <v>CB400400001H0T</v>
          </cell>
          <cell r="H673">
            <v>1.5</v>
          </cell>
          <cell r="I673">
            <v>0.75</v>
          </cell>
          <cell r="J673">
            <v>1</v>
          </cell>
          <cell r="K673">
            <v>1</v>
          </cell>
        </row>
        <row r="674">
          <cell r="A674" t="str">
            <v>M1</v>
          </cell>
          <cell r="B674" t="str">
            <v>A4C</v>
          </cell>
          <cell r="C674" t="str">
            <v>P</v>
          </cell>
          <cell r="D674" t="str">
            <v>22031</v>
          </cell>
          <cell r="E674" t="str">
            <v>90 ELL</v>
          </cell>
          <cell r="F674">
            <v>2</v>
          </cell>
          <cell r="G674" t="str">
            <v>CB400100001H00</v>
          </cell>
          <cell r="H674">
            <v>1.5</v>
          </cell>
          <cell r="I674" t="str">
            <v>--</v>
          </cell>
          <cell r="J674">
            <v>1</v>
          </cell>
          <cell r="K674">
            <v>1</v>
          </cell>
        </row>
        <row r="675">
          <cell r="A675" t="str">
            <v>M1</v>
          </cell>
          <cell r="B675" t="str">
            <v>A5C</v>
          </cell>
          <cell r="C675" t="str">
            <v>TRIM</v>
          </cell>
          <cell r="D675" t="str">
            <v>V-2201</v>
          </cell>
          <cell r="E675" t="str">
            <v>NPL</v>
          </cell>
          <cell r="F675">
            <v>2</v>
          </cell>
          <cell r="G675" t="str">
            <v>CB132308001HVR</v>
          </cell>
          <cell r="H675">
            <v>1.5</v>
          </cell>
          <cell r="I675" t="str">
            <v>75mm</v>
          </cell>
          <cell r="J675">
            <v>1</v>
          </cell>
          <cell r="K675">
            <v>1</v>
          </cell>
        </row>
        <row r="676">
          <cell r="A676" t="str">
            <v>M1</v>
          </cell>
          <cell r="B676" t="str">
            <v>A5C</v>
          </cell>
          <cell r="C676" t="str">
            <v>TRIM</v>
          </cell>
          <cell r="D676" t="str">
            <v>V-2201</v>
          </cell>
          <cell r="E676" t="str">
            <v>CAP</v>
          </cell>
          <cell r="F676">
            <v>2</v>
          </cell>
          <cell r="G676" t="str">
            <v>CB520700001H00</v>
          </cell>
          <cell r="H676">
            <v>1.5</v>
          </cell>
          <cell r="I676" t="str">
            <v>--</v>
          </cell>
          <cell r="J676">
            <v>1</v>
          </cell>
          <cell r="K676">
            <v>1</v>
          </cell>
        </row>
        <row r="677">
          <cell r="A677" t="str">
            <v>M1</v>
          </cell>
          <cell r="B677" t="str">
            <v>A5C</v>
          </cell>
          <cell r="C677" t="str">
            <v>TRIM</v>
          </cell>
          <cell r="D677" t="str">
            <v>V-2201</v>
          </cell>
          <cell r="E677" t="str">
            <v>NPL</v>
          </cell>
          <cell r="F677">
            <v>2</v>
          </cell>
          <cell r="G677" t="str">
            <v>CB132108001HVR</v>
          </cell>
          <cell r="H677">
            <v>1.5</v>
          </cell>
          <cell r="I677" t="str">
            <v>75mm</v>
          </cell>
          <cell r="J677">
            <v>1</v>
          </cell>
          <cell r="K677">
            <v>1</v>
          </cell>
        </row>
        <row r="678">
          <cell r="A678" t="str">
            <v>M1</v>
          </cell>
          <cell r="B678" t="str">
            <v>A5C</v>
          </cell>
          <cell r="C678" t="str">
            <v>P</v>
          </cell>
          <cell r="D678" t="str">
            <v>22078</v>
          </cell>
          <cell r="E678" t="str">
            <v>TEE</v>
          </cell>
          <cell r="F678">
            <v>2</v>
          </cell>
          <cell r="G678" t="str">
            <v>CB400300001H00</v>
          </cell>
          <cell r="H678">
            <v>1.5</v>
          </cell>
          <cell r="I678" t="str">
            <v>--</v>
          </cell>
          <cell r="J678">
            <v>2</v>
          </cell>
          <cell r="K678">
            <v>2</v>
          </cell>
        </row>
        <row r="679">
          <cell r="A679" t="str">
            <v>M1</v>
          </cell>
          <cell r="B679" t="str">
            <v>A4C</v>
          </cell>
          <cell r="C679" t="str">
            <v>P</v>
          </cell>
          <cell r="D679" t="str">
            <v>22031</v>
          </cell>
          <cell r="E679" t="str">
            <v>R TEE</v>
          </cell>
          <cell r="F679">
            <v>2</v>
          </cell>
          <cell r="G679" t="str">
            <v>CB400400001H0T</v>
          </cell>
          <cell r="H679">
            <v>1.5</v>
          </cell>
          <cell r="I679">
            <v>0.75</v>
          </cell>
          <cell r="J679">
            <v>1</v>
          </cell>
          <cell r="K679">
            <v>1</v>
          </cell>
        </row>
        <row r="680">
          <cell r="A680" t="str">
            <v>M1</v>
          </cell>
          <cell r="B680" t="str">
            <v>A4C</v>
          </cell>
          <cell r="C680" t="str">
            <v>P</v>
          </cell>
          <cell r="D680" t="str">
            <v>22031</v>
          </cell>
          <cell r="E680" t="str">
            <v>TEE</v>
          </cell>
          <cell r="F680">
            <v>2</v>
          </cell>
          <cell r="G680" t="str">
            <v>CB400300001H00</v>
          </cell>
          <cell r="H680">
            <v>1.5</v>
          </cell>
          <cell r="I680" t="str">
            <v>--</v>
          </cell>
          <cell r="J680">
            <v>1</v>
          </cell>
          <cell r="K680">
            <v>1</v>
          </cell>
        </row>
        <row r="681">
          <cell r="A681" t="str">
            <v>M1</v>
          </cell>
          <cell r="B681" t="str">
            <v>A5C</v>
          </cell>
          <cell r="C681" t="str">
            <v>P</v>
          </cell>
          <cell r="D681" t="str">
            <v>22071</v>
          </cell>
          <cell r="E681" t="str">
            <v>TEE</v>
          </cell>
          <cell r="F681">
            <v>2</v>
          </cell>
          <cell r="G681" t="str">
            <v>CB400300001H00</v>
          </cell>
          <cell r="H681">
            <v>1.5</v>
          </cell>
          <cell r="I681" t="str">
            <v>--</v>
          </cell>
          <cell r="J681">
            <v>2</v>
          </cell>
          <cell r="K681">
            <v>2</v>
          </cell>
        </row>
        <row r="682">
          <cell r="A682" t="str">
            <v>M1</v>
          </cell>
          <cell r="B682" t="str">
            <v>B2C</v>
          </cell>
          <cell r="C682" t="str">
            <v>CWR</v>
          </cell>
          <cell r="D682" t="str">
            <v>22619</v>
          </cell>
          <cell r="E682" t="str">
            <v>90 ELL</v>
          </cell>
          <cell r="F682">
            <v>2</v>
          </cell>
          <cell r="G682" t="str">
            <v>CB300108000200</v>
          </cell>
          <cell r="H682">
            <v>2</v>
          </cell>
          <cell r="I682" t="str">
            <v>--</v>
          </cell>
          <cell r="J682">
            <v>1</v>
          </cell>
          <cell r="K682">
            <v>2</v>
          </cell>
        </row>
        <row r="683">
          <cell r="A683" t="str">
            <v>M1</v>
          </cell>
          <cell r="B683" t="str">
            <v>B2C</v>
          </cell>
          <cell r="C683" t="str">
            <v>CWR</v>
          </cell>
          <cell r="D683" t="str">
            <v>22620</v>
          </cell>
          <cell r="E683" t="str">
            <v>90 ELL</v>
          </cell>
          <cell r="F683">
            <v>2</v>
          </cell>
          <cell r="G683" t="str">
            <v>CB300108000200</v>
          </cell>
          <cell r="H683">
            <v>2</v>
          </cell>
          <cell r="I683" t="str">
            <v>--</v>
          </cell>
          <cell r="J683">
            <v>1</v>
          </cell>
          <cell r="K683">
            <v>2</v>
          </cell>
        </row>
        <row r="684">
          <cell r="A684" t="str">
            <v>M1</v>
          </cell>
          <cell r="B684" t="str">
            <v>B2C</v>
          </cell>
          <cell r="C684" t="str">
            <v>SH</v>
          </cell>
          <cell r="D684" t="str">
            <v>22611</v>
          </cell>
          <cell r="E684" t="str">
            <v>45 ELL</v>
          </cell>
          <cell r="F684">
            <v>2</v>
          </cell>
          <cell r="G684" t="str">
            <v>CB300208000200</v>
          </cell>
          <cell r="H684">
            <v>2</v>
          </cell>
          <cell r="I684" t="str">
            <v>--</v>
          </cell>
          <cell r="J684">
            <v>1</v>
          </cell>
          <cell r="K684">
            <v>2</v>
          </cell>
        </row>
        <row r="685">
          <cell r="A685" t="str">
            <v>M1</v>
          </cell>
          <cell r="B685" t="str">
            <v>B2C</v>
          </cell>
          <cell r="C685" t="str">
            <v>SH</v>
          </cell>
          <cell r="D685" t="str">
            <v>22611</v>
          </cell>
          <cell r="E685" t="str">
            <v>90 ELL</v>
          </cell>
          <cell r="F685">
            <v>2</v>
          </cell>
          <cell r="G685" t="str">
            <v>CB300108000200</v>
          </cell>
          <cell r="H685">
            <v>2</v>
          </cell>
          <cell r="I685" t="str">
            <v>--</v>
          </cell>
          <cell r="J685">
            <v>4</v>
          </cell>
          <cell r="K685">
            <v>5</v>
          </cell>
        </row>
        <row r="686">
          <cell r="A686" t="str">
            <v>M1</v>
          </cell>
          <cell r="B686" t="str">
            <v>B2C</v>
          </cell>
          <cell r="C686" t="str">
            <v>SH</v>
          </cell>
          <cell r="D686" t="str">
            <v>22611</v>
          </cell>
          <cell r="E686" t="str">
            <v>90 ELL</v>
          </cell>
          <cell r="F686">
            <v>2</v>
          </cell>
          <cell r="G686" t="str">
            <v>CB300108000200</v>
          </cell>
          <cell r="H686">
            <v>2</v>
          </cell>
          <cell r="I686" t="str">
            <v>--</v>
          </cell>
          <cell r="J686">
            <v>2</v>
          </cell>
          <cell r="K686">
            <v>3</v>
          </cell>
        </row>
        <row r="687">
          <cell r="A687" t="str">
            <v>M1</v>
          </cell>
          <cell r="B687" t="str">
            <v>B2C</v>
          </cell>
          <cell r="C687" t="str">
            <v>SH</v>
          </cell>
          <cell r="D687" t="str">
            <v>22612</v>
          </cell>
          <cell r="E687" t="str">
            <v>90 ELL</v>
          </cell>
          <cell r="F687">
            <v>2</v>
          </cell>
          <cell r="G687" t="str">
            <v>CB300108000200</v>
          </cell>
          <cell r="H687">
            <v>2</v>
          </cell>
          <cell r="I687" t="str">
            <v>--</v>
          </cell>
          <cell r="J687">
            <v>13</v>
          </cell>
          <cell r="K687">
            <v>15</v>
          </cell>
        </row>
        <row r="688">
          <cell r="A688" t="str">
            <v>M1</v>
          </cell>
          <cell r="B688" t="str">
            <v>B2C</v>
          </cell>
          <cell r="C688" t="str">
            <v>SH</v>
          </cell>
          <cell r="D688" t="str">
            <v>22613</v>
          </cell>
          <cell r="E688" t="str">
            <v>90 ELL</v>
          </cell>
          <cell r="F688">
            <v>2</v>
          </cell>
          <cell r="G688" t="str">
            <v>CB300108000200</v>
          </cell>
          <cell r="H688">
            <v>2</v>
          </cell>
          <cell r="I688" t="str">
            <v>--</v>
          </cell>
          <cell r="J688">
            <v>13</v>
          </cell>
          <cell r="K688">
            <v>15</v>
          </cell>
        </row>
        <row r="689">
          <cell r="A689" t="str">
            <v>M1</v>
          </cell>
          <cell r="B689" t="str">
            <v>B2C</v>
          </cell>
          <cell r="C689" t="str">
            <v>SH</v>
          </cell>
          <cell r="D689" t="str">
            <v>22614</v>
          </cell>
          <cell r="E689" t="str">
            <v>90 ELL</v>
          </cell>
          <cell r="F689">
            <v>2</v>
          </cell>
          <cell r="G689" t="str">
            <v>CB300108000200</v>
          </cell>
          <cell r="H689">
            <v>2</v>
          </cell>
          <cell r="I689" t="str">
            <v>--</v>
          </cell>
          <cell r="J689">
            <v>8</v>
          </cell>
          <cell r="K689">
            <v>9</v>
          </cell>
        </row>
        <row r="690">
          <cell r="A690" t="str">
            <v>M1</v>
          </cell>
          <cell r="B690" t="str">
            <v>B2C</v>
          </cell>
          <cell r="C690" t="str">
            <v>SH</v>
          </cell>
          <cell r="D690" t="str">
            <v>22614</v>
          </cell>
          <cell r="E690" t="str">
            <v>E SWG</v>
          </cell>
          <cell r="F690">
            <v>2</v>
          </cell>
          <cell r="G690" t="str">
            <v>CB1624080802IH</v>
          </cell>
          <cell r="H690">
            <v>2</v>
          </cell>
          <cell r="I690">
            <v>1.5</v>
          </cell>
          <cell r="J690">
            <v>2</v>
          </cell>
          <cell r="K690">
            <v>3</v>
          </cell>
        </row>
        <row r="691">
          <cell r="A691" t="str">
            <v>M1</v>
          </cell>
          <cell r="B691" t="str">
            <v>B2C</v>
          </cell>
          <cell r="C691" t="str">
            <v>SH</v>
          </cell>
          <cell r="D691" t="str">
            <v>22611</v>
          </cell>
          <cell r="E691" t="str">
            <v>E SWG</v>
          </cell>
          <cell r="F691">
            <v>2</v>
          </cell>
          <cell r="G691" t="str">
            <v>CB162408080201</v>
          </cell>
          <cell r="H691">
            <v>2</v>
          </cell>
          <cell r="I691">
            <v>1</v>
          </cell>
          <cell r="J691">
            <v>2</v>
          </cell>
          <cell r="K691">
            <v>3</v>
          </cell>
        </row>
        <row r="692">
          <cell r="A692" t="str">
            <v>M1</v>
          </cell>
          <cell r="B692" t="str">
            <v>B2C</v>
          </cell>
          <cell r="C692" t="str">
            <v>SH</v>
          </cell>
          <cell r="D692" t="str">
            <v>22613</v>
          </cell>
          <cell r="E692" t="str">
            <v>E SWG</v>
          </cell>
          <cell r="F692">
            <v>2</v>
          </cell>
          <cell r="G692" t="str">
            <v>CB1624080802IH</v>
          </cell>
          <cell r="H692">
            <v>2</v>
          </cell>
          <cell r="I692">
            <v>1.5</v>
          </cell>
          <cell r="J692">
            <v>2</v>
          </cell>
          <cell r="K692">
            <v>3</v>
          </cell>
        </row>
        <row r="693">
          <cell r="A693" t="str">
            <v>M1</v>
          </cell>
          <cell r="B693" t="str">
            <v>B2C</v>
          </cell>
          <cell r="C693" t="str">
            <v>SH</v>
          </cell>
          <cell r="D693" t="str">
            <v>22612</v>
          </cell>
          <cell r="E693" t="str">
            <v>SOL</v>
          </cell>
          <cell r="F693">
            <v>2</v>
          </cell>
          <cell r="G693" t="str">
            <v>CB39020000020T</v>
          </cell>
          <cell r="H693">
            <v>2</v>
          </cell>
          <cell r="I693">
            <v>0.75</v>
          </cell>
          <cell r="J693">
            <v>2</v>
          </cell>
          <cell r="K693">
            <v>3</v>
          </cell>
        </row>
        <row r="694">
          <cell r="A694" t="str">
            <v>M1</v>
          </cell>
          <cell r="B694" t="str">
            <v>B2C</v>
          </cell>
          <cell r="C694" t="str">
            <v>SH</v>
          </cell>
          <cell r="D694" t="str">
            <v>22611</v>
          </cell>
          <cell r="E694" t="str">
            <v>SOL</v>
          </cell>
          <cell r="F694">
            <v>2</v>
          </cell>
          <cell r="G694" t="str">
            <v>CB39020000020T</v>
          </cell>
          <cell r="H694">
            <v>2</v>
          </cell>
          <cell r="I694">
            <v>0.75</v>
          </cell>
          <cell r="J694">
            <v>1</v>
          </cell>
          <cell r="K694">
            <v>2</v>
          </cell>
        </row>
        <row r="695">
          <cell r="A695" t="str">
            <v>M1</v>
          </cell>
          <cell r="B695" t="str">
            <v>B2C</v>
          </cell>
          <cell r="C695" t="str">
            <v>SH</v>
          </cell>
          <cell r="D695" t="str">
            <v>22614</v>
          </cell>
          <cell r="E695" t="str">
            <v>SOL</v>
          </cell>
          <cell r="F695">
            <v>2</v>
          </cell>
          <cell r="G695" t="str">
            <v>CB39020000020T</v>
          </cell>
          <cell r="H695">
            <v>2</v>
          </cell>
          <cell r="I695">
            <v>0.75</v>
          </cell>
          <cell r="J695">
            <v>2</v>
          </cell>
          <cell r="K695">
            <v>3</v>
          </cell>
        </row>
        <row r="696">
          <cell r="A696" t="str">
            <v>M1</v>
          </cell>
          <cell r="B696" t="str">
            <v>B2C</v>
          </cell>
          <cell r="C696" t="str">
            <v>SH</v>
          </cell>
          <cell r="D696" t="str">
            <v>22614</v>
          </cell>
          <cell r="E696" t="str">
            <v>SOL</v>
          </cell>
          <cell r="F696">
            <v>2</v>
          </cell>
          <cell r="G696" t="str">
            <v>CB390200000201</v>
          </cell>
          <cell r="H696">
            <v>2</v>
          </cell>
          <cell r="I696">
            <v>1</v>
          </cell>
          <cell r="J696">
            <v>1</v>
          </cell>
          <cell r="K696">
            <v>2</v>
          </cell>
        </row>
        <row r="697">
          <cell r="A697" t="str">
            <v>M1</v>
          </cell>
          <cell r="B697" t="str">
            <v>B2C</v>
          </cell>
          <cell r="C697" t="str">
            <v>SH</v>
          </cell>
          <cell r="D697" t="str">
            <v>22613</v>
          </cell>
          <cell r="E697" t="str">
            <v>SOL</v>
          </cell>
          <cell r="F697">
            <v>2</v>
          </cell>
          <cell r="G697" t="str">
            <v>CB39020000020T</v>
          </cell>
          <cell r="H697">
            <v>2</v>
          </cell>
          <cell r="I697">
            <v>0.75</v>
          </cell>
          <cell r="J697">
            <v>2</v>
          </cell>
          <cell r="K697">
            <v>3</v>
          </cell>
        </row>
        <row r="698">
          <cell r="A698" t="str">
            <v>M1</v>
          </cell>
          <cell r="B698" t="str">
            <v>B2C</v>
          </cell>
          <cell r="C698" t="str">
            <v>SH</v>
          </cell>
          <cell r="D698" t="str">
            <v>22614</v>
          </cell>
          <cell r="E698" t="str">
            <v>TEE</v>
          </cell>
          <cell r="F698">
            <v>2</v>
          </cell>
          <cell r="G698" t="str">
            <v>CB300308000200</v>
          </cell>
          <cell r="H698">
            <v>2</v>
          </cell>
          <cell r="I698" t="str">
            <v>--</v>
          </cell>
          <cell r="J698">
            <v>2</v>
          </cell>
          <cell r="K698">
            <v>3</v>
          </cell>
        </row>
        <row r="699">
          <cell r="A699" t="str">
            <v>M1</v>
          </cell>
          <cell r="B699" t="str">
            <v>B2C</v>
          </cell>
          <cell r="C699" t="str">
            <v>SH</v>
          </cell>
          <cell r="D699" t="str">
            <v>22611</v>
          </cell>
          <cell r="E699" t="str">
            <v>TEE</v>
          </cell>
          <cell r="F699">
            <v>2</v>
          </cell>
          <cell r="G699" t="str">
            <v>CB300308000200</v>
          </cell>
          <cell r="H699">
            <v>2</v>
          </cell>
          <cell r="I699" t="str">
            <v>--</v>
          </cell>
          <cell r="J699">
            <v>2</v>
          </cell>
          <cell r="K699">
            <v>3</v>
          </cell>
        </row>
        <row r="700">
          <cell r="A700" t="str">
            <v>M1</v>
          </cell>
          <cell r="B700" t="str">
            <v>B2C</v>
          </cell>
          <cell r="C700" t="str">
            <v>SH</v>
          </cell>
          <cell r="D700" t="str">
            <v>22613</v>
          </cell>
          <cell r="E700" t="str">
            <v>TEE</v>
          </cell>
          <cell r="F700">
            <v>2</v>
          </cell>
          <cell r="G700" t="str">
            <v>CB300308000200</v>
          </cell>
          <cell r="H700">
            <v>2</v>
          </cell>
          <cell r="I700" t="str">
            <v>--</v>
          </cell>
          <cell r="J700">
            <v>6</v>
          </cell>
          <cell r="K700">
            <v>7</v>
          </cell>
        </row>
        <row r="701">
          <cell r="A701" t="str">
            <v>M1</v>
          </cell>
          <cell r="B701" t="str">
            <v>B2C</v>
          </cell>
          <cell r="C701" t="str">
            <v>SH</v>
          </cell>
          <cell r="D701" t="str">
            <v>22612</v>
          </cell>
          <cell r="E701" t="str">
            <v>TEE</v>
          </cell>
          <cell r="F701">
            <v>2</v>
          </cell>
          <cell r="G701" t="str">
            <v>CB300308000200</v>
          </cell>
          <cell r="H701">
            <v>2</v>
          </cell>
          <cell r="I701" t="str">
            <v>--</v>
          </cell>
          <cell r="J701">
            <v>8</v>
          </cell>
          <cell r="K701">
            <v>9</v>
          </cell>
        </row>
        <row r="702">
          <cell r="A702" t="str">
            <v>M1</v>
          </cell>
          <cell r="B702" t="str">
            <v>A5C</v>
          </cell>
          <cell r="C702" t="str">
            <v>P</v>
          </cell>
          <cell r="D702" t="str">
            <v>21006</v>
          </cell>
          <cell r="E702" t="str">
            <v>45 ELL</v>
          </cell>
          <cell r="F702">
            <v>2</v>
          </cell>
          <cell r="G702" t="str">
            <v>CB300208000200</v>
          </cell>
          <cell r="H702">
            <v>2</v>
          </cell>
          <cell r="I702" t="str">
            <v>--</v>
          </cell>
          <cell r="J702">
            <v>1</v>
          </cell>
          <cell r="K702">
            <v>2</v>
          </cell>
        </row>
        <row r="703">
          <cell r="A703" t="str">
            <v>M1</v>
          </cell>
          <cell r="B703" t="str">
            <v>CA304</v>
          </cell>
          <cell r="C703" t="str">
            <v>MC</v>
          </cell>
          <cell r="D703" t="str">
            <v>12014</v>
          </cell>
          <cell r="E703" t="str">
            <v>90 ELL</v>
          </cell>
          <cell r="F703">
            <v>2</v>
          </cell>
          <cell r="G703" t="str">
            <v>CB300105000200</v>
          </cell>
          <cell r="H703">
            <v>2</v>
          </cell>
          <cell r="I703" t="str">
            <v>--</v>
          </cell>
          <cell r="J703">
            <v>3</v>
          </cell>
          <cell r="K703">
            <v>4</v>
          </cell>
        </row>
        <row r="704">
          <cell r="A704" t="str">
            <v>M1</v>
          </cell>
          <cell r="B704" t="str">
            <v>A5C</v>
          </cell>
          <cell r="C704" t="str">
            <v>COMP</v>
          </cell>
          <cell r="D704" t="str">
            <v>005</v>
          </cell>
          <cell r="E704" t="str">
            <v>90 ELL</v>
          </cell>
          <cell r="F704">
            <v>2</v>
          </cell>
          <cell r="G704" t="str">
            <v>CB300108000200</v>
          </cell>
          <cell r="H704">
            <v>2</v>
          </cell>
          <cell r="I704" t="str">
            <v>--</v>
          </cell>
          <cell r="J704">
            <v>1</v>
          </cell>
          <cell r="K704">
            <v>2</v>
          </cell>
        </row>
        <row r="705">
          <cell r="A705" t="str">
            <v>M1</v>
          </cell>
          <cell r="B705" t="str">
            <v>A5C</v>
          </cell>
          <cell r="C705" t="str">
            <v>N</v>
          </cell>
          <cell r="D705" t="str">
            <v>25611</v>
          </cell>
          <cell r="E705" t="str">
            <v>90 ELL</v>
          </cell>
          <cell r="F705">
            <v>2</v>
          </cell>
          <cell r="G705" t="str">
            <v>CB300108000200</v>
          </cell>
          <cell r="H705">
            <v>2</v>
          </cell>
          <cell r="I705" t="str">
            <v>--</v>
          </cell>
          <cell r="J705">
            <v>3</v>
          </cell>
          <cell r="K705">
            <v>4</v>
          </cell>
        </row>
        <row r="706">
          <cell r="A706" t="str">
            <v>M1</v>
          </cell>
          <cell r="B706" t="str">
            <v>A5C</v>
          </cell>
          <cell r="C706" t="str">
            <v>P</v>
          </cell>
          <cell r="D706" t="str">
            <v>21006</v>
          </cell>
          <cell r="E706" t="str">
            <v>90 ELL</v>
          </cell>
          <cell r="F706">
            <v>2</v>
          </cell>
          <cell r="G706" t="str">
            <v>CB300108000200</v>
          </cell>
          <cell r="H706">
            <v>2</v>
          </cell>
          <cell r="I706" t="str">
            <v>--</v>
          </cell>
          <cell r="J706">
            <v>1</v>
          </cell>
          <cell r="K706">
            <v>2</v>
          </cell>
        </row>
        <row r="707">
          <cell r="A707" t="str">
            <v>M1</v>
          </cell>
          <cell r="B707" t="str">
            <v>A5C</v>
          </cell>
          <cell r="C707" t="str">
            <v>P</v>
          </cell>
          <cell r="D707" t="str">
            <v>22068</v>
          </cell>
          <cell r="E707" t="str">
            <v>90 ELL</v>
          </cell>
          <cell r="F707">
            <v>2</v>
          </cell>
          <cell r="G707" t="str">
            <v>CB300108000200</v>
          </cell>
          <cell r="H707">
            <v>2</v>
          </cell>
          <cell r="I707" t="str">
            <v>--</v>
          </cell>
          <cell r="J707">
            <v>2</v>
          </cell>
          <cell r="K707">
            <v>3</v>
          </cell>
        </row>
        <row r="708">
          <cell r="A708" t="str">
            <v>M1</v>
          </cell>
          <cell r="B708" t="str">
            <v>A5C</v>
          </cell>
          <cell r="C708" t="str">
            <v>P</v>
          </cell>
          <cell r="D708" t="str">
            <v>22069</v>
          </cell>
          <cell r="E708" t="str">
            <v>90 ELL</v>
          </cell>
          <cell r="F708">
            <v>2</v>
          </cell>
          <cell r="G708" t="str">
            <v>CB300108000200</v>
          </cell>
          <cell r="H708">
            <v>2</v>
          </cell>
          <cell r="I708" t="str">
            <v>--</v>
          </cell>
          <cell r="J708">
            <v>1</v>
          </cell>
          <cell r="K708">
            <v>2</v>
          </cell>
        </row>
        <row r="709">
          <cell r="A709" t="str">
            <v>M1</v>
          </cell>
          <cell r="B709" t="str">
            <v>A5C</v>
          </cell>
          <cell r="C709" t="str">
            <v>P</v>
          </cell>
          <cell r="D709" t="str">
            <v>22101</v>
          </cell>
          <cell r="E709" t="str">
            <v>90 ELL</v>
          </cell>
          <cell r="F709">
            <v>2</v>
          </cell>
          <cell r="G709" t="str">
            <v>CB300108000200</v>
          </cell>
          <cell r="H709">
            <v>2</v>
          </cell>
          <cell r="I709" t="str">
            <v>--</v>
          </cell>
          <cell r="J709">
            <v>2</v>
          </cell>
          <cell r="K709">
            <v>3</v>
          </cell>
        </row>
        <row r="710">
          <cell r="A710" t="str">
            <v>M1</v>
          </cell>
          <cell r="B710" t="str">
            <v>A5C</v>
          </cell>
          <cell r="C710" t="str">
            <v>P</v>
          </cell>
          <cell r="D710" t="str">
            <v>22110</v>
          </cell>
          <cell r="E710" t="str">
            <v>90 ELL</v>
          </cell>
          <cell r="F710">
            <v>2</v>
          </cell>
          <cell r="G710" t="str">
            <v>CB300108000200</v>
          </cell>
          <cell r="H710">
            <v>2</v>
          </cell>
          <cell r="I710" t="str">
            <v>--</v>
          </cell>
          <cell r="J710">
            <v>5</v>
          </cell>
          <cell r="K710">
            <v>6</v>
          </cell>
        </row>
        <row r="711">
          <cell r="A711" t="str">
            <v>M1</v>
          </cell>
          <cell r="B711" t="str">
            <v>A5C</v>
          </cell>
          <cell r="C711" t="str">
            <v>P</v>
          </cell>
          <cell r="D711" t="str">
            <v>22117</v>
          </cell>
          <cell r="E711" t="str">
            <v>90 ELL</v>
          </cell>
          <cell r="F711">
            <v>2</v>
          </cell>
          <cell r="G711" t="str">
            <v>CB300108000200</v>
          </cell>
          <cell r="H711">
            <v>2</v>
          </cell>
          <cell r="I711" t="str">
            <v>--</v>
          </cell>
          <cell r="J711">
            <v>3</v>
          </cell>
          <cell r="K711">
            <v>4</v>
          </cell>
        </row>
        <row r="712">
          <cell r="A712" t="str">
            <v>M1</v>
          </cell>
          <cell r="B712" t="str">
            <v>A5C</v>
          </cell>
          <cell r="C712" t="str">
            <v>P</v>
          </cell>
          <cell r="D712" t="str">
            <v>22130</v>
          </cell>
          <cell r="E712" t="str">
            <v>90 ELL</v>
          </cell>
          <cell r="F712">
            <v>2</v>
          </cell>
          <cell r="G712" t="str">
            <v>CB300108000200</v>
          </cell>
          <cell r="H712">
            <v>2</v>
          </cell>
          <cell r="I712" t="str">
            <v>--</v>
          </cell>
          <cell r="J712">
            <v>4</v>
          </cell>
          <cell r="K712">
            <v>5</v>
          </cell>
        </row>
        <row r="713">
          <cell r="A713" t="str">
            <v>M1</v>
          </cell>
          <cell r="B713" t="str">
            <v>A5C</v>
          </cell>
          <cell r="C713" t="str">
            <v>P</v>
          </cell>
          <cell r="D713" t="str">
            <v>22140</v>
          </cell>
          <cell r="E713" t="str">
            <v>90 ELL</v>
          </cell>
          <cell r="F713">
            <v>2</v>
          </cell>
          <cell r="G713" t="str">
            <v>CB300108000200</v>
          </cell>
          <cell r="H713">
            <v>2</v>
          </cell>
          <cell r="I713" t="str">
            <v>--</v>
          </cell>
          <cell r="J713">
            <v>4</v>
          </cell>
          <cell r="K713">
            <v>5</v>
          </cell>
        </row>
        <row r="714">
          <cell r="A714" t="str">
            <v>M1</v>
          </cell>
          <cell r="B714" t="str">
            <v>A5C</v>
          </cell>
          <cell r="C714" t="str">
            <v>N</v>
          </cell>
          <cell r="D714" t="str">
            <v>25617</v>
          </cell>
          <cell r="E714" t="str">
            <v>90 ELL</v>
          </cell>
          <cell r="F714">
            <v>2</v>
          </cell>
          <cell r="G714" t="str">
            <v>CB300108000200</v>
          </cell>
          <cell r="H714">
            <v>2</v>
          </cell>
          <cell r="I714" t="str">
            <v>--</v>
          </cell>
          <cell r="J714">
            <v>4</v>
          </cell>
          <cell r="K714">
            <v>5</v>
          </cell>
        </row>
        <row r="715">
          <cell r="A715" t="str">
            <v>M1</v>
          </cell>
          <cell r="B715" t="str">
            <v>A5C</v>
          </cell>
          <cell r="C715" t="str">
            <v>P</v>
          </cell>
          <cell r="D715" t="str">
            <v>22066</v>
          </cell>
          <cell r="E715" t="str">
            <v>90 ELL</v>
          </cell>
          <cell r="F715">
            <v>2</v>
          </cell>
          <cell r="G715" t="str">
            <v>CB300108000200</v>
          </cell>
          <cell r="H715">
            <v>2</v>
          </cell>
          <cell r="I715" t="str">
            <v>--</v>
          </cell>
          <cell r="J715">
            <v>3</v>
          </cell>
          <cell r="K715">
            <v>4</v>
          </cell>
        </row>
        <row r="716">
          <cell r="A716" t="str">
            <v>M1</v>
          </cell>
          <cell r="B716" t="str">
            <v>A5C</v>
          </cell>
          <cell r="C716" t="str">
            <v>P</v>
          </cell>
          <cell r="D716" t="str">
            <v>22117</v>
          </cell>
          <cell r="E716" t="str">
            <v>C SWG</v>
          </cell>
          <cell r="F716">
            <v>2</v>
          </cell>
          <cell r="G716" t="str">
            <v>CB1614080802IH</v>
          </cell>
          <cell r="H716">
            <v>2</v>
          </cell>
          <cell r="I716">
            <v>1.5</v>
          </cell>
          <cell r="J716">
            <v>1</v>
          </cell>
          <cell r="K716">
            <v>2</v>
          </cell>
        </row>
        <row r="717">
          <cell r="A717" t="str">
            <v>M1</v>
          </cell>
          <cell r="B717" t="str">
            <v>A5C</v>
          </cell>
          <cell r="C717" t="str">
            <v>P</v>
          </cell>
          <cell r="D717" t="str">
            <v>22130</v>
          </cell>
          <cell r="E717" t="str">
            <v>C SWG</v>
          </cell>
          <cell r="F717">
            <v>2</v>
          </cell>
          <cell r="G717" t="str">
            <v>CB161408080201</v>
          </cell>
          <cell r="H717">
            <v>2</v>
          </cell>
          <cell r="I717">
            <v>1</v>
          </cell>
          <cell r="J717">
            <v>2</v>
          </cell>
          <cell r="K717">
            <v>3</v>
          </cell>
        </row>
        <row r="718">
          <cell r="A718" t="str">
            <v>M1</v>
          </cell>
          <cell r="B718" t="str">
            <v>A5C</v>
          </cell>
          <cell r="C718" t="str">
            <v>P</v>
          </cell>
          <cell r="D718" t="str">
            <v>22140</v>
          </cell>
          <cell r="E718" t="str">
            <v>C SWG</v>
          </cell>
          <cell r="F718">
            <v>2</v>
          </cell>
          <cell r="G718" t="str">
            <v>CB161408080201</v>
          </cell>
          <cell r="H718">
            <v>2</v>
          </cell>
          <cell r="I718">
            <v>1</v>
          </cell>
          <cell r="J718">
            <v>2</v>
          </cell>
          <cell r="K718">
            <v>3</v>
          </cell>
        </row>
        <row r="719">
          <cell r="A719" t="str">
            <v>M1</v>
          </cell>
          <cell r="B719" t="str">
            <v>A5C</v>
          </cell>
          <cell r="C719" t="str">
            <v>P</v>
          </cell>
          <cell r="D719" t="str">
            <v>22066</v>
          </cell>
          <cell r="E719" t="str">
            <v>E SWG</v>
          </cell>
          <cell r="F719">
            <v>2</v>
          </cell>
          <cell r="G719" t="str">
            <v>CB162408080201</v>
          </cell>
          <cell r="H719">
            <v>2</v>
          </cell>
          <cell r="I719">
            <v>1</v>
          </cell>
          <cell r="J719">
            <v>2</v>
          </cell>
          <cell r="K719">
            <v>3</v>
          </cell>
        </row>
        <row r="720">
          <cell r="A720" t="str">
            <v>M1</v>
          </cell>
          <cell r="B720" t="str">
            <v>A5C</v>
          </cell>
          <cell r="C720" t="str">
            <v>P</v>
          </cell>
          <cell r="D720" t="str">
            <v>22101</v>
          </cell>
          <cell r="E720" t="str">
            <v>E SWG</v>
          </cell>
          <cell r="F720">
            <v>2</v>
          </cell>
          <cell r="G720" t="str">
            <v>CB1624080802IH</v>
          </cell>
          <cell r="H720">
            <v>2</v>
          </cell>
          <cell r="I720">
            <v>1.5</v>
          </cell>
          <cell r="J720">
            <v>1</v>
          </cell>
          <cell r="K720">
            <v>2</v>
          </cell>
        </row>
        <row r="721">
          <cell r="A721" t="str">
            <v>M1</v>
          </cell>
          <cell r="B721" t="str">
            <v>A5C</v>
          </cell>
          <cell r="C721" t="str">
            <v>P</v>
          </cell>
          <cell r="D721" t="str">
            <v>22109</v>
          </cell>
          <cell r="E721" t="str">
            <v>E SWG</v>
          </cell>
          <cell r="F721">
            <v>2</v>
          </cell>
          <cell r="G721" t="str">
            <v>CB1624080802IH</v>
          </cell>
          <cell r="H721">
            <v>2</v>
          </cell>
          <cell r="I721">
            <v>1.5</v>
          </cell>
          <cell r="J721">
            <v>2</v>
          </cell>
          <cell r="K721">
            <v>3</v>
          </cell>
        </row>
        <row r="722">
          <cell r="A722" t="str">
            <v>M1</v>
          </cell>
          <cell r="B722" t="str">
            <v>A5C</v>
          </cell>
          <cell r="C722" t="str">
            <v>N</v>
          </cell>
          <cell r="D722" t="str">
            <v>25611</v>
          </cell>
          <cell r="E722" t="str">
            <v>SOL</v>
          </cell>
          <cell r="F722">
            <v>2</v>
          </cell>
          <cell r="G722" t="str">
            <v>CB390200000201</v>
          </cell>
          <cell r="H722">
            <v>2</v>
          </cell>
          <cell r="I722">
            <v>1</v>
          </cell>
          <cell r="J722">
            <v>1</v>
          </cell>
          <cell r="K722">
            <v>2</v>
          </cell>
        </row>
        <row r="723">
          <cell r="A723" t="str">
            <v>M1</v>
          </cell>
          <cell r="B723" t="str">
            <v>A5C</v>
          </cell>
          <cell r="C723" t="str">
            <v>N</v>
          </cell>
          <cell r="D723" t="str">
            <v>25611</v>
          </cell>
          <cell r="E723" t="str">
            <v>SOL</v>
          </cell>
          <cell r="F723">
            <v>2</v>
          </cell>
          <cell r="G723" t="str">
            <v>CB39020000020T</v>
          </cell>
          <cell r="H723">
            <v>2</v>
          </cell>
          <cell r="I723">
            <v>0.75</v>
          </cell>
          <cell r="J723">
            <v>2</v>
          </cell>
          <cell r="K723">
            <v>3</v>
          </cell>
        </row>
        <row r="724">
          <cell r="A724" t="str">
            <v>M1</v>
          </cell>
          <cell r="B724" t="str">
            <v>A5C</v>
          </cell>
          <cell r="C724" t="str">
            <v>P</v>
          </cell>
          <cell r="D724" t="str">
            <v>22068</v>
          </cell>
          <cell r="E724" t="str">
            <v>SOL</v>
          </cell>
          <cell r="F724">
            <v>2</v>
          </cell>
          <cell r="G724" t="str">
            <v>CB39020000020T</v>
          </cell>
          <cell r="H724">
            <v>2</v>
          </cell>
          <cell r="I724">
            <v>0.75</v>
          </cell>
          <cell r="J724">
            <v>2</v>
          </cell>
          <cell r="K724">
            <v>3</v>
          </cell>
        </row>
        <row r="725">
          <cell r="A725" t="str">
            <v>M1</v>
          </cell>
          <cell r="B725" t="str">
            <v>A5C</v>
          </cell>
          <cell r="C725" t="str">
            <v>P</v>
          </cell>
          <cell r="D725" t="str">
            <v>22140</v>
          </cell>
          <cell r="E725" t="str">
            <v>SOL</v>
          </cell>
          <cell r="F725">
            <v>2</v>
          </cell>
          <cell r="G725" t="str">
            <v>CB39020000020T</v>
          </cell>
          <cell r="H725">
            <v>2</v>
          </cell>
          <cell r="I725">
            <v>0.75</v>
          </cell>
          <cell r="J725">
            <v>2</v>
          </cell>
          <cell r="K725">
            <v>3</v>
          </cell>
        </row>
        <row r="726">
          <cell r="A726" t="str">
            <v>M1</v>
          </cell>
          <cell r="B726" t="str">
            <v>A5C</v>
          </cell>
          <cell r="C726" t="str">
            <v>P</v>
          </cell>
          <cell r="D726" t="str">
            <v>22130</v>
          </cell>
          <cell r="E726" t="str">
            <v>SOL</v>
          </cell>
          <cell r="F726">
            <v>2</v>
          </cell>
          <cell r="G726" t="str">
            <v>CB39020000020T</v>
          </cell>
          <cell r="H726">
            <v>2</v>
          </cell>
          <cell r="I726">
            <v>0.75</v>
          </cell>
          <cell r="J726">
            <v>2</v>
          </cell>
          <cell r="K726">
            <v>3</v>
          </cell>
        </row>
        <row r="727">
          <cell r="A727" t="str">
            <v>M1</v>
          </cell>
          <cell r="B727" t="str">
            <v>A5C</v>
          </cell>
          <cell r="C727" t="str">
            <v>P</v>
          </cell>
          <cell r="D727" t="str">
            <v>22101</v>
          </cell>
          <cell r="E727" t="str">
            <v>TEE</v>
          </cell>
          <cell r="F727">
            <v>2</v>
          </cell>
          <cell r="G727" t="str">
            <v>CB300308000200</v>
          </cell>
          <cell r="H727">
            <v>2</v>
          </cell>
          <cell r="I727" t="str">
            <v>--</v>
          </cell>
          <cell r="J727">
            <v>2</v>
          </cell>
          <cell r="K727">
            <v>3</v>
          </cell>
        </row>
        <row r="728">
          <cell r="A728" t="str">
            <v>M1</v>
          </cell>
          <cell r="B728" t="str">
            <v>A5C</v>
          </cell>
          <cell r="C728" t="str">
            <v>P</v>
          </cell>
          <cell r="D728" t="str">
            <v>22130</v>
          </cell>
          <cell r="E728" t="str">
            <v>TEE</v>
          </cell>
          <cell r="F728">
            <v>2</v>
          </cell>
          <cell r="G728" t="str">
            <v>CB300308000200</v>
          </cell>
          <cell r="H728">
            <v>2</v>
          </cell>
          <cell r="I728" t="str">
            <v>--</v>
          </cell>
          <cell r="J728">
            <v>1</v>
          </cell>
          <cell r="K728">
            <v>2</v>
          </cell>
        </row>
        <row r="729">
          <cell r="A729" t="str">
            <v>M1</v>
          </cell>
          <cell r="B729" t="str">
            <v>A5C</v>
          </cell>
          <cell r="C729" t="str">
            <v>P</v>
          </cell>
          <cell r="D729" t="str">
            <v>22140</v>
          </cell>
          <cell r="E729" t="str">
            <v>TEE</v>
          </cell>
          <cell r="F729">
            <v>2</v>
          </cell>
          <cell r="G729" t="str">
            <v>CB300308000200</v>
          </cell>
          <cell r="H729">
            <v>2</v>
          </cell>
          <cell r="I729" t="str">
            <v>--</v>
          </cell>
          <cell r="J729">
            <v>1</v>
          </cell>
          <cell r="K729">
            <v>2</v>
          </cell>
        </row>
        <row r="730">
          <cell r="A730" t="str">
            <v>M1</v>
          </cell>
          <cell r="B730" t="str">
            <v>A5C</v>
          </cell>
          <cell r="C730" t="str">
            <v>P</v>
          </cell>
          <cell r="D730" t="str">
            <v>22100</v>
          </cell>
          <cell r="E730" t="str">
            <v>90 ELL</v>
          </cell>
          <cell r="F730">
            <v>2</v>
          </cell>
          <cell r="G730" t="str">
            <v>CB300108000200</v>
          </cell>
          <cell r="H730">
            <v>2</v>
          </cell>
          <cell r="I730" t="str">
            <v>--</v>
          </cell>
          <cell r="J730">
            <v>4</v>
          </cell>
          <cell r="K730">
            <v>5</v>
          </cell>
        </row>
        <row r="731">
          <cell r="A731" t="str">
            <v>M1</v>
          </cell>
          <cell r="B731" t="str">
            <v>A5C</v>
          </cell>
          <cell r="C731" t="str">
            <v>P</v>
          </cell>
          <cell r="D731" t="str">
            <v>22115</v>
          </cell>
          <cell r="E731" t="str">
            <v>90 ELL</v>
          </cell>
          <cell r="F731">
            <v>2</v>
          </cell>
          <cell r="G731" t="str">
            <v>CB300108000200</v>
          </cell>
          <cell r="H731">
            <v>2</v>
          </cell>
          <cell r="I731" t="str">
            <v>--</v>
          </cell>
          <cell r="J731">
            <v>2</v>
          </cell>
          <cell r="K731">
            <v>3</v>
          </cell>
        </row>
        <row r="732">
          <cell r="A732" t="str">
            <v>M1</v>
          </cell>
          <cell r="B732" t="str">
            <v>A5C</v>
          </cell>
          <cell r="C732" t="str">
            <v>P</v>
          </cell>
          <cell r="D732" t="str">
            <v>22100</v>
          </cell>
          <cell r="E732" t="str">
            <v>C SWG</v>
          </cell>
          <cell r="F732">
            <v>2</v>
          </cell>
          <cell r="G732" t="str">
            <v>CB1614080802IH</v>
          </cell>
          <cell r="H732">
            <v>2</v>
          </cell>
          <cell r="I732">
            <v>1.5</v>
          </cell>
          <cell r="J732">
            <v>2</v>
          </cell>
          <cell r="K732">
            <v>3</v>
          </cell>
        </row>
        <row r="733">
          <cell r="A733" t="str">
            <v>M1</v>
          </cell>
          <cell r="B733" t="str">
            <v>A5C</v>
          </cell>
          <cell r="C733" t="str">
            <v>P</v>
          </cell>
          <cell r="D733" t="str">
            <v>22100</v>
          </cell>
          <cell r="E733" t="str">
            <v>SOL</v>
          </cell>
          <cell r="F733">
            <v>2</v>
          </cell>
          <cell r="G733" t="str">
            <v>CB39020000020T</v>
          </cell>
          <cell r="H733">
            <v>2</v>
          </cell>
          <cell r="I733">
            <v>0.75</v>
          </cell>
          <cell r="J733">
            <v>2</v>
          </cell>
          <cell r="K733">
            <v>3</v>
          </cell>
        </row>
        <row r="734">
          <cell r="A734" t="str">
            <v>M1</v>
          </cell>
          <cell r="B734" t="str">
            <v>A5C</v>
          </cell>
          <cell r="C734" t="str">
            <v>P</v>
          </cell>
          <cell r="D734" t="str">
            <v>22100</v>
          </cell>
          <cell r="E734" t="str">
            <v>TEE</v>
          </cell>
          <cell r="F734">
            <v>2</v>
          </cell>
          <cell r="G734" t="str">
            <v>CB300308000200</v>
          </cell>
          <cell r="H734">
            <v>2</v>
          </cell>
          <cell r="I734" t="str">
            <v>--</v>
          </cell>
          <cell r="J734">
            <v>1</v>
          </cell>
          <cell r="K734">
            <v>2</v>
          </cell>
        </row>
        <row r="735">
          <cell r="A735" t="str">
            <v>M1</v>
          </cell>
          <cell r="B735" t="str">
            <v>A6C</v>
          </cell>
          <cell r="C735" t="str">
            <v>HOS</v>
          </cell>
          <cell r="D735" t="str">
            <v>65620</v>
          </cell>
          <cell r="E735" t="str">
            <v>90 ELL</v>
          </cell>
          <cell r="F735">
            <v>2</v>
          </cell>
          <cell r="G735" t="str">
            <v>CB300108000200</v>
          </cell>
          <cell r="H735">
            <v>2</v>
          </cell>
          <cell r="I735" t="str">
            <v>--</v>
          </cell>
          <cell r="J735">
            <v>6</v>
          </cell>
          <cell r="K735">
            <v>7</v>
          </cell>
        </row>
        <row r="736">
          <cell r="A736" t="str">
            <v>M1</v>
          </cell>
          <cell r="B736" t="str">
            <v>A6C</v>
          </cell>
          <cell r="C736" t="str">
            <v>HOS</v>
          </cell>
          <cell r="D736" t="str">
            <v>65620</v>
          </cell>
          <cell r="E736" t="str">
            <v>TEE</v>
          </cell>
          <cell r="F736">
            <v>2</v>
          </cell>
          <cell r="G736" t="str">
            <v>CB300308000200</v>
          </cell>
          <cell r="H736">
            <v>2</v>
          </cell>
          <cell r="I736" t="str">
            <v>--</v>
          </cell>
          <cell r="J736">
            <v>1</v>
          </cell>
          <cell r="K736">
            <v>2</v>
          </cell>
        </row>
        <row r="737">
          <cell r="A737" t="str">
            <v>M1</v>
          </cell>
          <cell r="B737" t="str">
            <v>A6C</v>
          </cell>
          <cell r="C737" t="str">
            <v>HOS</v>
          </cell>
          <cell r="D737" t="str">
            <v>65620</v>
          </cell>
          <cell r="E737" t="str">
            <v>TOL</v>
          </cell>
          <cell r="F737">
            <v>2</v>
          </cell>
          <cell r="G737" t="str">
            <v>CB39030000020T</v>
          </cell>
          <cell r="H737">
            <v>2</v>
          </cell>
          <cell r="I737">
            <v>0.75</v>
          </cell>
          <cell r="J737">
            <v>1</v>
          </cell>
          <cell r="K737">
            <v>2</v>
          </cell>
        </row>
        <row r="738">
          <cell r="A738" t="str">
            <v>M1</v>
          </cell>
          <cell r="B738" t="str">
            <v>A5C</v>
          </cell>
          <cell r="C738" t="str">
            <v>P</v>
          </cell>
          <cell r="D738" t="str">
            <v>22004</v>
          </cell>
          <cell r="E738" t="str">
            <v>90 ELL</v>
          </cell>
          <cell r="F738">
            <v>2</v>
          </cell>
          <cell r="G738" t="str">
            <v>CB300108000200</v>
          </cell>
          <cell r="H738">
            <v>2</v>
          </cell>
          <cell r="I738" t="str">
            <v>--</v>
          </cell>
          <cell r="J738">
            <v>5</v>
          </cell>
          <cell r="K738">
            <v>6</v>
          </cell>
        </row>
        <row r="739">
          <cell r="A739" t="str">
            <v>M1</v>
          </cell>
          <cell r="B739" t="str">
            <v>A5C</v>
          </cell>
          <cell r="C739" t="str">
            <v>P</v>
          </cell>
          <cell r="D739" t="str">
            <v>22004</v>
          </cell>
          <cell r="E739" t="str">
            <v>90 ELL</v>
          </cell>
          <cell r="F739">
            <v>2</v>
          </cell>
          <cell r="G739" t="str">
            <v>CB300108000200</v>
          </cell>
          <cell r="H739">
            <v>2</v>
          </cell>
          <cell r="I739" t="str">
            <v>--</v>
          </cell>
          <cell r="J739">
            <v>3</v>
          </cell>
          <cell r="K739">
            <v>4</v>
          </cell>
        </row>
        <row r="740">
          <cell r="A740" t="str">
            <v>M1</v>
          </cell>
          <cell r="B740" t="str">
            <v>A5C</v>
          </cell>
          <cell r="C740" t="str">
            <v>P</v>
          </cell>
          <cell r="D740" t="str">
            <v>22004</v>
          </cell>
          <cell r="E740" t="str">
            <v>90 ELL</v>
          </cell>
          <cell r="F740">
            <v>2</v>
          </cell>
          <cell r="G740" t="str">
            <v>CB300108000200</v>
          </cell>
          <cell r="H740">
            <v>2</v>
          </cell>
          <cell r="I740" t="str">
            <v>--</v>
          </cell>
          <cell r="J740">
            <v>2</v>
          </cell>
          <cell r="K740">
            <v>3</v>
          </cell>
        </row>
        <row r="741">
          <cell r="A741" t="str">
            <v>M1</v>
          </cell>
          <cell r="B741" t="str">
            <v>A5C</v>
          </cell>
          <cell r="C741" t="str">
            <v>TRIM</v>
          </cell>
          <cell r="D741" t="str">
            <v>V-2214</v>
          </cell>
          <cell r="E741" t="str">
            <v>C SWG</v>
          </cell>
          <cell r="F741">
            <v>2</v>
          </cell>
          <cell r="G741" t="str">
            <v>CB161408080201</v>
          </cell>
          <cell r="H741">
            <v>2</v>
          </cell>
          <cell r="I741">
            <v>1</v>
          </cell>
          <cell r="J741">
            <v>1</v>
          </cell>
          <cell r="K741">
            <v>2</v>
          </cell>
        </row>
        <row r="742">
          <cell r="A742" t="str">
            <v>M1</v>
          </cell>
          <cell r="B742" t="str">
            <v>A5C</v>
          </cell>
          <cell r="C742" t="str">
            <v>P</v>
          </cell>
          <cell r="D742" t="str">
            <v>22004</v>
          </cell>
          <cell r="E742" t="str">
            <v>SOL</v>
          </cell>
          <cell r="F742">
            <v>2</v>
          </cell>
          <cell r="G742" t="str">
            <v>CB39020000020T</v>
          </cell>
          <cell r="H742">
            <v>2</v>
          </cell>
          <cell r="I742">
            <v>0.75</v>
          </cell>
          <cell r="J742">
            <v>1</v>
          </cell>
          <cell r="K742">
            <v>2</v>
          </cell>
        </row>
        <row r="743">
          <cell r="A743" t="str">
            <v>M1</v>
          </cell>
          <cell r="B743" t="str">
            <v>A5C</v>
          </cell>
          <cell r="C743" t="str">
            <v>P</v>
          </cell>
          <cell r="D743" t="str">
            <v>22004</v>
          </cell>
          <cell r="E743" t="str">
            <v>SOL</v>
          </cell>
          <cell r="F743">
            <v>2</v>
          </cell>
          <cell r="G743" t="str">
            <v>CB39020000020T</v>
          </cell>
          <cell r="H743">
            <v>2</v>
          </cell>
          <cell r="I743">
            <v>0.75</v>
          </cell>
          <cell r="J743">
            <v>1</v>
          </cell>
          <cell r="K743">
            <v>2</v>
          </cell>
        </row>
        <row r="744">
          <cell r="A744" t="str">
            <v>M1</v>
          </cell>
          <cell r="B744" t="str">
            <v>A5C</v>
          </cell>
          <cell r="C744" t="str">
            <v>P</v>
          </cell>
          <cell r="D744" t="str">
            <v>22004</v>
          </cell>
          <cell r="E744" t="str">
            <v>TEE</v>
          </cell>
          <cell r="F744">
            <v>2</v>
          </cell>
          <cell r="G744" t="str">
            <v>CB300308000200</v>
          </cell>
          <cell r="H744">
            <v>2</v>
          </cell>
          <cell r="I744" t="str">
            <v>--</v>
          </cell>
          <cell r="J744">
            <v>1</v>
          </cell>
          <cell r="K744">
            <v>2</v>
          </cell>
        </row>
        <row r="745">
          <cell r="A745" t="str">
            <v>M1</v>
          </cell>
          <cell r="B745" t="str">
            <v>A5C</v>
          </cell>
          <cell r="C745" t="str">
            <v>P</v>
          </cell>
          <cell r="D745" t="str">
            <v>22004</v>
          </cell>
          <cell r="E745" t="str">
            <v>TEE</v>
          </cell>
          <cell r="F745">
            <v>2</v>
          </cell>
          <cell r="G745" t="str">
            <v>CB300308000200</v>
          </cell>
          <cell r="H745">
            <v>2</v>
          </cell>
          <cell r="I745" t="str">
            <v>--</v>
          </cell>
          <cell r="J745">
            <v>2</v>
          </cell>
          <cell r="K745">
            <v>3</v>
          </cell>
        </row>
        <row r="746">
          <cell r="A746" t="str">
            <v>M1</v>
          </cell>
          <cell r="B746" t="str">
            <v>A6C</v>
          </cell>
          <cell r="C746" t="str">
            <v>HOS</v>
          </cell>
          <cell r="D746" t="str">
            <v>65624</v>
          </cell>
          <cell r="E746" t="str">
            <v>90 ELL</v>
          </cell>
          <cell r="F746">
            <v>2</v>
          </cell>
          <cell r="G746" t="str">
            <v>CB300108000200</v>
          </cell>
          <cell r="H746">
            <v>2</v>
          </cell>
          <cell r="I746" t="str">
            <v>--</v>
          </cell>
          <cell r="J746">
            <v>7</v>
          </cell>
          <cell r="K746">
            <v>8</v>
          </cell>
        </row>
        <row r="747">
          <cell r="A747" t="str">
            <v>M1</v>
          </cell>
          <cell r="B747" t="str">
            <v>A5C</v>
          </cell>
          <cell r="C747" t="str">
            <v>P</v>
          </cell>
          <cell r="D747" t="str">
            <v>22096</v>
          </cell>
          <cell r="E747" t="str">
            <v>90 ELL</v>
          </cell>
          <cell r="F747">
            <v>2</v>
          </cell>
          <cell r="G747" t="str">
            <v>CB300108000200</v>
          </cell>
          <cell r="H747">
            <v>2</v>
          </cell>
          <cell r="I747" t="str">
            <v>--</v>
          </cell>
          <cell r="J747">
            <v>1</v>
          </cell>
          <cell r="K747">
            <v>2</v>
          </cell>
        </row>
        <row r="748">
          <cell r="A748" t="str">
            <v>M1</v>
          </cell>
          <cell r="B748" t="str">
            <v>A6C</v>
          </cell>
          <cell r="C748" t="str">
            <v>HOR</v>
          </cell>
          <cell r="D748" t="str">
            <v>65611</v>
          </cell>
          <cell r="E748" t="str">
            <v>90 ELL</v>
          </cell>
          <cell r="F748">
            <v>2</v>
          </cell>
          <cell r="G748" t="str">
            <v>CB300108000200</v>
          </cell>
          <cell r="H748">
            <v>2</v>
          </cell>
          <cell r="I748" t="str">
            <v>--</v>
          </cell>
          <cell r="J748">
            <v>7</v>
          </cell>
          <cell r="K748">
            <v>8</v>
          </cell>
        </row>
        <row r="749">
          <cell r="A749" t="str">
            <v>M1</v>
          </cell>
          <cell r="B749" t="str">
            <v>A6C</v>
          </cell>
          <cell r="C749" t="str">
            <v>HOR</v>
          </cell>
          <cell r="D749" t="str">
            <v>65611</v>
          </cell>
          <cell r="E749" t="str">
            <v>90 ELL</v>
          </cell>
          <cell r="F749">
            <v>2</v>
          </cell>
          <cell r="G749" t="str">
            <v>CB300108000200</v>
          </cell>
          <cell r="H749">
            <v>2</v>
          </cell>
          <cell r="I749" t="str">
            <v>--</v>
          </cell>
          <cell r="J749">
            <v>7</v>
          </cell>
          <cell r="K749">
            <v>8</v>
          </cell>
        </row>
        <row r="750">
          <cell r="A750" t="str">
            <v>M1</v>
          </cell>
          <cell r="B750" t="str">
            <v>A6C</v>
          </cell>
          <cell r="C750" t="str">
            <v>HOS</v>
          </cell>
          <cell r="D750" t="str">
            <v>65624</v>
          </cell>
          <cell r="E750" t="str">
            <v>90 ELL</v>
          </cell>
          <cell r="F750">
            <v>2</v>
          </cell>
          <cell r="G750" t="str">
            <v>CB300108000200</v>
          </cell>
          <cell r="H750">
            <v>2</v>
          </cell>
          <cell r="I750" t="str">
            <v>--</v>
          </cell>
          <cell r="J750">
            <v>7</v>
          </cell>
          <cell r="K750">
            <v>8</v>
          </cell>
        </row>
        <row r="751">
          <cell r="A751" t="str">
            <v>M1</v>
          </cell>
          <cell r="B751" t="str">
            <v>A5C</v>
          </cell>
          <cell r="C751" t="str">
            <v>P</v>
          </cell>
          <cell r="D751" t="str">
            <v>22097</v>
          </cell>
          <cell r="E751" t="str">
            <v>90 ELL</v>
          </cell>
          <cell r="F751">
            <v>2</v>
          </cell>
          <cell r="G751" t="str">
            <v>CB300108000200</v>
          </cell>
          <cell r="H751">
            <v>2</v>
          </cell>
          <cell r="I751" t="str">
            <v>--</v>
          </cell>
          <cell r="J751">
            <v>3</v>
          </cell>
          <cell r="K751">
            <v>4</v>
          </cell>
        </row>
        <row r="752">
          <cell r="A752" t="str">
            <v>M1</v>
          </cell>
          <cell r="B752" t="str">
            <v>A6C</v>
          </cell>
          <cell r="C752" t="str">
            <v>TRIM</v>
          </cell>
          <cell r="D752" t="str">
            <v>V-6501</v>
          </cell>
          <cell r="E752" t="str">
            <v>90 ELL</v>
          </cell>
          <cell r="F752">
            <v>2</v>
          </cell>
          <cell r="G752" t="str">
            <v>CB300108000200</v>
          </cell>
          <cell r="H752">
            <v>2</v>
          </cell>
          <cell r="I752" t="str">
            <v>--</v>
          </cell>
          <cell r="J752">
            <v>2</v>
          </cell>
          <cell r="K752">
            <v>3</v>
          </cell>
        </row>
        <row r="753">
          <cell r="A753" t="str">
            <v>M1</v>
          </cell>
          <cell r="B753" t="str">
            <v>A4C</v>
          </cell>
          <cell r="C753" t="str">
            <v>P</v>
          </cell>
          <cell r="D753" t="str">
            <v>22031</v>
          </cell>
          <cell r="E753" t="str">
            <v>C SWG</v>
          </cell>
          <cell r="F753">
            <v>2</v>
          </cell>
          <cell r="G753" t="str">
            <v>CB1614080802IH</v>
          </cell>
          <cell r="H753">
            <v>2</v>
          </cell>
          <cell r="I753">
            <v>1.5</v>
          </cell>
          <cell r="J753">
            <v>1</v>
          </cell>
          <cell r="K753">
            <v>2</v>
          </cell>
        </row>
        <row r="754">
          <cell r="A754" t="str">
            <v>M1</v>
          </cell>
          <cell r="B754" t="str">
            <v>A4C</v>
          </cell>
          <cell r="C754" t="str">
            <v>P</v>
          </cell>
          <cell r="D754" t="str">
            <v>22031</v>
          </cell>
          <cell r="E754" t="str">
            <v>C SWG</v>
          </cell>
          <cell r="F754">
            <v>2</v>
          </cell>
          <cell r="G754" t="str">
            <v>CB1614080802IH</v>
          </cell>
          <cell r="H754">
            <v>2</v>
          </cell>
          <cell r="I754">
            <v>1.5</v>
          </cell>
          <cell r="J754">
            <v>5</v>
          </cell>
          <cell r="K754">
            <v>6</v>
          </cell>
        </row>
        <row r="755">
          <cell r="A755" t="str">
            <v>M1</v>
          </cell>
          <cell r="B755" t="str">
            <v>A5C</v>
          </cell>
          <cell r="C755" t="str">
            <v>P</v>
          </cell>
          <cell r="D755" t="str">
            <v>22096</v>
          </cell>
          <cell r="E755" t="str">
            <v>SOL</v>
          </cell>
          <cell r="F755">
            <v>2</v>
          </cell>
          <cell r="G755" t="str">
            <v>CB390200000201</v>
          </cell>
          <cell r="H755">
            <v>2</v>
          </cell>
          <cell r="I755">
            <v>1</v>
          </cell>
          <cell r="J755">
            <v>1</v>
          </cell>
          <cell r="K755">
            <v>2</v>
          </cell>
        </row>
        <row r="756">
          <cell r="A756" t="str">
            <v>M1</v>
          </cell>
          <cell r="B756" t="str">
            <v>A5C</v>
          </cell>
          <cell r="C756" t="str">
            <v>P</v>
          </cell>
          <cell r="D756" t="str">
            <v>22096</v>
          </cell>
          <cell r="E756" t="str">
            <v>TEE</v>
          </cell>
          <cell r="F756">
            <v>2</v>
          </cell>
          <cell r="G756" t="str">
            <v>CB300308000200</v>
          </cell>
          <cell r="H756">
            <v>2</v>
          </cell>
          <cell r="I756" t="str">
            <v>--</v>
          </cell>
          <cell r="J756">
            <v>2</v>
          </cell>
          <cell r="K756">
            <v>3</v>
          </cell>
        </row>
        <row r="757">
          <cell r="A757" t="str">
            <v>M1</v>
          </cell>
          <cell r="B757" t="str">
            <v>B2C</v>
          </cell>
          <cell r="C757" t="str">
            <v>SH</v>
          </cell>
          <cell r="D757" t="str">
            <v>22601</v>
          </cell>
          <cell r="E757" t="str">
            <v>90 ELL</v>
          </cell>
          <cell r="F757">
            <v>2</v>
          </cell>
          <cell r="G757" t="str">
            <v>CB300104000300</v>
          </cell>
          <cell r="H757">
            <v>3</v>
          </cell>
          <cell r="I757" t="str">
            <v>--</v>
          </cell>
          <cell r="J757">
            <v>6</v>
          </cell>
          <cell r="K757">
            <v>7</v>
          </cell>
        </row>
        <row r="758">
          <cell r="A758" t="str">
            <v>M1</v>
          </cell>
          <cell r="B758" t="str">
            <v>B2C</v>
          </cell>
          <cell r="C758" t="str">
            <v>TRIM</v>
          </cell>
          <cell r="D758" t="str">
            <v>V-2218</v>
          </cell>
          <cell r="E758" t="str">
            <v>90 ELL</v>
          </cell>
          <cell r="F758">
            <v>2</v>
          </cell>
          <cell r="G758" t="str">
            <v>CB300104000300</v>
          </cell>
          <cell r="H758">
            <v>3</v>
          </cell>
          <cell r="I758" t="str">
            <v>--</v>
          </cell>
          <cell r="J758">
            <v>1</v>
          </cell>
          <cell r="K758">
            <v>2</v>
          </cell>
        </row>
        <row r="759">
          <cell r="A759" t="str">
            <v>M1</v>
          </cell>
          <cell r="B759" t="str">
            <v>B2C</v>
          </cell>
          <cell r="C759" t="str">
            <v>SH</v>
          </cell>
          <cell r="D759" t="str">
            <v>22625</v>
          </cell>
          <cell r="E759" t="str">
            <v>90 ELL</v>
          </cell>
          <cell r="F759">
            <v>2</v>
          </cell>
          <cell r="G759" t="str">
            <v>CB300104000300</v>
          </cell>
          <cell r="H759">
            <v>3</v>
          </cell>
          <cell r="I759" t="str">
            <v>--</v>
          </cell>
          <cell r="J759">
            <v>3</v>
          </cell>
          <cell r="K759">
            <v>4</v>
          </cell>
        </row>
        <row r="760">
          <cell r="A760" t="str">
            <v>M1</v>
          </cell>
          <cell r="B760" t="str">
            <v>B2C</v>
          </cell>
          <cell r="C760" t="str">
            <v>SH</v>
          </cell>
          <cell r="D760" t="str">
            <v>22601</v>
          </cell>
          <cell r="E760" t="str">
            <v>CAP</v>
          </cell>
          <cell r="F760">
            <v>2</v>
          </cell>
          <cell r="G760" t="str">
            <v>CB300704000300</v>
          </cell>
          <cell r="H760">
            <v>3</v>
          </cell>
          <cell r="I760" t="str">
            <v>--</v>
          </cell>
          <cell r="J760">
            <v>1</v>
          </cell>
          <cell r="K760">
            <v>2</v>
          </cell>
        </row>
        <row r="761">
          <cell r="A761" t="str">
            <v>M1</v>
          </cell>
          <cell r="B761" t="str">
            <v>B2C</v>
          </cell>
          <cell r="C761" t="str">
            <v>TRIM</v>
          </cell>
          <cell r="D761" t="str">
            <v>V-2218</v>
          </cell>
          <cell r="E761" t="str">
            <v>CAP</v>
          </cell>
          <cell r="F761">
            <v>2</v>
          </cell>
          <cell r="G761" t="str">
            <v>CB300704000300</v>
          </cell>
          <cell r="H761">
            <v>3</v>
          </cell>
          <cell r="I761" t="str">
            <v>--</v>
          </cell>
          <cell r="J761">
            <v>2</v>
          </cell>
          <cell r="K761">
            <v>3</v>
          </cell>
        </row>
        <row r="762">
          <cell r="A762" t="str">
            <v>M1</v>
          </cell>
          <cell r="B762" t="str">
            <v>B2C</v>
          </cell>
          <cell r="C762" t="str">
            <v>SH</v>
          </cell>
          <cell r="D762" t="str">
            <v>22612</v>
          </cell>
          <cell r="E762" t="str">
            <v>E RED</v>
          </cell>
          <cell r="F762">
            <v>2</v>
          </cell>
          <cell r="G762" t="str">
            <v>CB300604080302</v>
          </cell>
          <cell r="H762">
            <v>3</v>
          </cell>
          <cell r="I762">
            <v>2</v>
          </cell>
          <cell r="J762">
            <v>1</v>
          </cell>
          <cell r="K762">
            <v>2</v>
          </cell>
        </row>
        <row r="763">
          <cell r="A763" t="str">
            <v>M1</v>
          </cell>
          <cell r="B763" t="str">
            <v>B2C</v>
          </cell>
          <cell r="C763" t="str">
            <v>SH</v>
          </cell>
          <cell r="D763" t="str">
            <v>22625</v>
          </cell>
          <cell r="E763" t="str">
            <v>E RED</v>
          </cell>
          <cell r="F763">
            <v>2</v>
          </cell>
          <cell r="G763" t="str">
            <v>CB300604080302</v>
          </cell>
          <cell r="H763">
            <v>3</v>
          </cell>
          <cell r="I763">
            <v>2</v>
          </cell>
          <cell r="J763">
            <v>1</v>
          </cell>
          <cell r="K763">
            <v>2</v>
          </cell>
        </row>
        <row r="764">
          <cell r="A764" t="str">
            <v>M1</v>
          </cell>
          <cell r="B764" t="str">
            <v>B2C</v>
          </cell>
          <cell r="C764" t="str">
            <v>SH</v>
          </cell>
          <cell r="D764" t="str">
            <v>22601</v>
          </cell>
          <cell r="E764" t="str">
            <v>SOL</v>
          </cell>
          <cell r="F764">
            <v>2</v>
          </cell>
          <cell r="G764" t="str">
            <v>CB39020000030T</v>
          </cell>
          <cell r="H764">
            <v>3</v>
          </cell>
          <cell r="I764">
            <v>0.75</v>
          </cell>
          <cell r="J764">
            <v>2</v>
          </cell>
          <cell r="K764">
            <v>3</v>
          </cell>
        </row>
        <row r="765">
          <cell r="A765" t="str">
            <v>M1</v>
          </cell>
          <cell r="B765" t="str">
            <v>B2C</v>
          </cell>
          <cell r="C765" t="str">
            <v>TRIM</v>
          </cell>
          <cell r="D765" t="str">
            <v>V-2218</v>
          </cell>
          <cell r="E765" t="str">
            <v>SOL</v>
          </cell>
          <cell r="F765">
            <v>2</v>
          </cell>
          <cell r="G765" t="str">
            <v>CB39020000030T</v>
          </cell>
          <cell r="H765">
            <v>3</v>
          </cell>
          <cell r="I765">
            <v>0.75</v>
          </cell>
          <cell r="J765">
            <v>6</v>
          </cell>
          <cell r="K765">
            <v>7</v>
          </cell>
        </row>
        <row r="766">
          <cell r="A766" t="str">
            <v>M1</v>
          </cell>
          <cell r="B766" t="str">
            <v>B2C</v>
          </cell>
          <cell r="C766" t="str">
            <v>SH</v>
          </cell>
          <cell r="D766" t="str">
            <v>22601</v>
          </cell>
          <cell r="E766" t="str">
            <v>TEE</v>
          </cell>
          <cell r="F766">
            <v>2</v>
          </cell>
          <cell r="G766" t="str">
            <v>CB300304000300</v>
          </cell>
          <cell r="H766">
            <v>3</v>
          </cell>
          <cell r="I766" t="str">
            <v>--</v>
          </cell>
          <cell r="J766">
            <v>1</v>
          </cell>
          <cell r="K766">
            <v>2</v>
          </cell>
        </row>
        <row r="767">
          <cell r="A767" t="str">
            <v>M1</v>
          </cell>
          <cell r="B767" t="str">
            <v>B2C</v>
          </cell>
          <cell r="C767" t="str">
            <v>SH</v>
          </cell>
          <cell r="D767" t="str">
            <v>22601</v>
          </cell>
          <cell r="E767" t="str">
            <v>TOL</v>
          </cell>
          <cell r="F767">
            <v>2</v>
          </cell>
          <cell r="G767" t="str">
            <v>CB39030000030T</v>
          </cell>
          <cell r="H767">
            <v>3</v>
          </cell>
          <cell r="I767">
            <v>0.75</v>
          </cell>
          <cell r="J767">
            <v>1</v>
          </cell>
          <cell r="K767">
            <v>2</v>
          </cell>
        </row>
        <row r="768">
          <cell r="A768" t="str">
            <v>M1</v>
          </cell>
          <cell r="B768" t="str">
            <v>B2C</v>
          </cell>
          <cell r="C768" t="str">
            <v>SH</v>
          </cell>
          <cell r="D768" t="str">
            <v>22625</v>
          </cell>
          <cell r="E768" t="str">
            <v>TOL</v>
          </cell>
          <cell r="F768">
            <v>2</v>
          </cell>
          <cell r="G768" t="str">
            <v>CB39030000030T</v>
          </cell>
          <cell r="H768">
            <v>3</v>
          </cell>
          <cell r="I768">
            <v>0.75</v>
          </cell>
          <cell r="J768">
            <v>1</v>
          </cell>
          <cell r="K768">
            <v>2</v>
          </cell>
        </row>
        <row r="769">
          <cell r="A769" t="str">
            <v>M1</v>
          </cell>
          <cell r="B769" t="str">
            <v>A5C</v>
          </cell>
          <cell r="C769" t="str">
            <v>P</v>
          </cell>
          <cell r="D769" t="str">
            <v>22025</v>
          </cell>
          <cell r="E769" t="str">
            <v>45 ELL</v>
          </cell>
          <cell r="F769">
            <v>2</v>
          </cell>
          <cell r="G769" t="str">
            <v>CB300204000300</v>
          </cell>
          <cell r="H769">
            <v>3</v>
          </cell>
          <cell r="I769" t="str">
            <v>--</v>
          </cell>
          <cell r="J769">
            <v>2</v>
          </cell>
          <cell r="K769">
            <v>3</v>
          </cell>
        </row>
        <row r="770">
          <cell r="A770" t="str">
            <v>M1</v>
          </cell>
          <cell r="B770" t="str">
            <v>A5C</v>
          </cell>
          <cell r="C770" t="str">
            <v>P</v>
          </cell>
          <cell r="D770" t="str">
            <v>22134</v>
          </cell>
          <cell r="E770" t="str">
            <v>45 ELL</v>
          </cell>
          <cell r="F770">
            <v>2</v>
          </cell>
          <cell r="G770" t="str">
            <v>CB300204000300</v>
          </cell>
          <cell r="H770">
            <v>3</v>
          </cell>
          <cell r="I770" t="str">
            <v>--</v>
          </cell>
          <cell r="J770">
            <v>1</v>
          </cell>
          <cell r="K770">
            <v>2</v>
          </cell>
        </row>
        <row r="771">
          <cell r="A771" t="str">
            <v>M1</v>
          </cell>
          <cell r="B771" t="str">
            <v>A5C</v>
          </cell>
          <cell r="C771" t="str">
            <v>P</v>
          </cell>
          <cell r="D771" t="str">
            <v>22081</v>
          </cell>
          <cell r="E771" t="str">
            <v>90 ELL</v>
          </cell>
          <cell r="F771">
            <v>2</v>
          </cell>
          <cell r="G771" t="str">
            <v>CB300104000300</v>
          </cell>
          <cell r="H771">
            <v>3</v>
          </cell>
          <cell r="I771" t="str">
            <v>--</v>
          </cell>
          <cell r="J771">
            <v>9</v>
          </cell>
          <cell r="K771">
            <v>10</v>
          </cell>
        </row>
        <row r="772">
          <cell r="A772" t="str">
            <v>M1</v>
          </cell>
          <cell r="B772" t="str">
            <v>A5C</v>
          </cell>
          <cell r="C772" t="str">
            <v>P</v>
          </cell>
          <cell r="D772" t="str">
            <v>22130</v>
          </cell>
          <cell r="E772" t="str">
            <v>90 ELL</v>
          </cell>
          <cell r="F772">
            <v>2</v>
          </cell>
          <cell r="G772" t="str">
            <v>CB300104000300</v>
          </cell>
          <cell r="H772">
            <v>3</v>
          </cell>
          <cell r="I772" t="str">
            <v>--</v>
          </cell>
          <cell r="J772">
            <v>2</v>
          </cell>
          <cell r="K772">
            <v>3</v>
          </cell>
        </row>
        <row r="773">
          <cell r="A773" t="str">
            <v>M1</v>
          </cell>
          <cell r="B773" t="str">
            <v>A5C</v>
          </cell>
          <cell r="C773" t="str">
            <v>P</v>
          </cell>
          <cell r="D773" t="str">
            <v>22140</v>
          </cell>
          <cell r="E773" t="str">
            <v>90 ELL</v>
          </cell>
          <cell r="F773">
            <v>2</v>
          </cell>
          <cell r="G773" t="str">
            <v>CB300104000300</v>
          </cell>
          <cell r="H773">
            <v>3</v>
          </cell>
          <cell r="I773" t="str">
            <v>--</v>
          </cell>
          <cell r="J773">
            <v>2</v>
          </cell>
          <cell r="K773">
            <v>3</v>
          </cell>
        </row>
        <row r="774">
          <cell r="A774" t="str">
            <v>M1</v>
          </cell>
          <cell r="B774" t="str">
            <v>A5C</v>
          </cell>
          <cell r="C774" t="str">
            <v>P</v>
          </cell>
          <cell r="D774" t="str">
            <v>22133</v>
          </cell>
          <cell r="E774" t="str">
            <v>90 ELL</v>
          </cell>
          <cell r="F774">
            <v>2</v>
          </cell>
          <cell r="G774" t="str">
            <v>CB300104000300</v>
          </cell>
          <cell r="H774">
            <v>3</v>
          </cell>
          <cell r="I774" t="str">
            <v>--</v>
          </cell>
          <cell r="J774">
            <v>1</v>
          </cell>
          <cell r="K774">
            <v>2</v>
          </cell>
        </row>
        <row r="775">
          <cell r="A775" t="str">
            <v>M1</v>
          </cell>
          <cell r="B775" t="str">
            <v>A5C</v>
          </cell>
          <cell r="C775" t="str">
            <v>P</v>
          </cell>
          <cell r="D775" t="str">
            <v>22134</v>
          </cell>
          <cell r="E775" t="str">
            <v>90 ELL</v>
          </cell>
          <cell r="F775">
            <v>2</v>
          </cell>
          <cell r="G775" t="str">
            <v>CB300104000300</v>
          </cell>
          <cell r="H775">
            <v>3</v>
          </cell>
          <cell r="I775" t="str">
            <v>--</v>
          </cell>
          <cell r="J775">
            <v>1</v>
          </cell>
          <cell r="K775">
            <v>2</v>
          </cell>
        </row>
        <row r="776">
          <cell r="A776" t="str">
            <v>M1</v>
          </cell>
          <cell r="B776" t="str">
            <v>A5C</v>
          </cell>
          <cell r="C776" t="str">
            <v>TRIM</v>
          </cell>
          <cell r="D776" t="str">
            <v>V-2211</v>
          </cell>
          <cell r="E776" t="str">
            <v>90 ELL</v>
          </cell>
          <cell r="F776">
            <v>2</v>
          </cell>
          <cell r="G776" t="str">
            <v>CB300104000300</v>
          </cell>
          <cell r="H776">
            <v>3</v>
          </cell>
          <cell r="I776" t="str">
            <v>--</v>
          </cell>
          <cell r="J776">
            <v>2</v>
          </cell>
          <cell r="K776">
            <v>3</v>
          </cell>
        </row>
        <row r="777">
          <cell r="A777" t="str">
            <v>M1</v>
          </cell>
          <cell r="B777" t="str">
            <v>A5C</v>
          </cell>
          <cell r="C777" t="str">
            <v>P</v>
          </cell>
          <cell r="D777" t="str">
            <v>22153</v>
          </cell>
          <cell r="E777" t="str">
            <v>CAP</v>
          </cell>
          <cell r="F777">
            <v>2</v>
          </cell>
          <cell r="G777" t="str">
            <v>CB300704000300</v>
          </cell>
          <cell r="H777">
            <v>3</v>
          </cell>
          <cell r="I777" t="str">
            <v>--</v>
          </cell>
          <cell r="J777">
            <v>2</v>
          </cell>
          <cell r="K777">
            <v>3</v>
          </cell>
        </row>
        <row r="778">
          <cell r="A778" t="str">
            <v>M1</v>
          </cell>
          <cell r="B778" t="str">
            <v>A5C</v>
          </cell>
          <cell r="C778" t="str">
            <v>P</v>
          </cell>
          <cell r="D778" t="str">
            <v>22066</v>
          </cell>
          <cell r="E778" t="str">
            <v>E RED</v>
          </cell>
          <cell r="F778">
            <v>2</v>
          </cell>
          <cell r="G778" t="str">
            <v>CB300604080302</v>
          </cell>
          <cell r="H778">
            <v>3</v>
          </cell>
          <cell r="I778">
            <v>2</v>
          </cell>
          <cell r="J778">
            <v>1</v>
          </cell>
          <cell r="K778">
            <v>2</v>
          </cell>
        </row>
        <row r="779">
          <cell r="A779" t="str">
            <v>M1</v>
          </cell>
          <cell r="B779" t="str">
            <v>A5C</v>
          </cell>
          <cell r="C779" t="str">
            <v>P</v>
          </cell>
          <cell r="D779" t="str">
            <v>22130</v>
          </cell>
          <cell r="E779" t="str">
            <v>E RED</v>
          </cell>
          <cell r="F779">
            <v>2</v>
          </cell>
          <cell r="G779" t="str">
            <v>CB300604080302</v>
          </cell>
          <cell r="H779">
            <v>3</v>
          </cell>
          <cell r="I779">
            <v>2</v>
          </cell>
          <cell r="J779">
            <v>2</v>
          </cell>
          <cell r="K779">
            <v>3</v>
          </cell>
        </row>
        <row r="780">
          <cell r="A780" t="str">
            <v>M1</v>
          </cell>
          <cell r="B780" t="str">
            <v>A5C</v>
          </cell>
          <cell r="C780" t="str">
            <v>P</v>
          </cell>
          <cell r="D780" t="str">
            <v>22140</v>
          </cell>
          <cell r="E780" t="str">
            <v>E RED</v>
          </cell>
          <cell r="F780">
            <v>2</v>
          </cell>
          <cell r="G780" t="str">
            <v>CB300604080302</v>
          </cell>
          <cell r="H780">
            <v>3</v>
          </cell>
          <cell r="I780">
            <v>2</v>
          </cell>
          <cell r="J780">
            <v>2</v>
          </cell>
          <cell r="K780">
            <v>3</v>
          </cell>
        </row>
        <row r="781">
          <cell r="A781" t="str">
            <v>M1</v>
          </cell>
          <cell r="B781" t="str">
            <v>A5C</v>
          </cell>
          <cell r="C781" t="str">
            <v>P</v>
          </cell>
          <cell r="D781" t="str">
            <v>22081</v>
          </cell>
          <cell r="E781" t="str">
            <v>E RED</v>
          </cell>
          <cell r="F781">
            <v>2</v>
          </cell>
          <cell r="G781" t="str">
            <v>CB300604080302</v>
          </cell>
          <cell r="H781">
            <v>3</v>
          </cell>
          <cell r="I781">
            <v>2</v>
          </cell>
          <cell r="J781">
            <v>2</v>
          </cell>
          <cell r="K781">
            <v>3</v>
          </cell>
        </row>
        <row r="782">
          <cell r="A782" t="str">
            <v>M1</v>
          </cell>
          <cell r="B782" t="str">
            <v>A5C</v>
          </cell>
          <cell r="C782" t="str">
            <v>P</v>
          </cell>
          <cell r="D782" t="str">
            <v>22153</v>
          </cell>
          <cell r="E782" t="str">
            <v>SOL</v>
          </cell>
          <cell r="F782">
            <v>2</v>
          </cell>
          <cell r="G782" t="str">
            <v>CB39020000030T</v>
          </cell>
          <cell r="H782">
            <v>3</v>
          </cell>
          <cell r="I782">
            <v>0.75</v>
          </cell>
          <cell r="J782">
            <v>4</v>
          </cell>
          <cell r="K782">
            <v>5</v>
          </cell>
        </row>
        <row r="783">
          <cell r="A783" t="str">
            <v>M1</v>
          </cell>
          <cell r="B783" t="str">
            <v>A5C</v>
          </cell>
          <cell r="C783" t="str">
            <v>TRIM</v>
          </cell>
          <cell r="D783" t="str">
            <v>V-2211</v>
          </cell>
          <cell r="E783" t="str">
            <v>SOL</v>
          </cell>
          <cell r="F783">
            <v>2</v>
          </cell>
          <cell r="G783" t="str">
            <v>CB39020000030T</v>
          </cell>
          <cell r="H783">
            <v>3</v>
          </cell>
          <cell r="I783">
            <v>0.75</v>
          </cell>
          <cell r="J783">
            <v>5</v>
          </cell>
          <cell r="K783">
            <v>6</v>
          </cell>
        </row>
        <row r="784">
          <cell r="A784" t="str">
            <v>M1</v>
          </cell>
          <cell r="B784" t="str">
            <v>A5C</v>
          </cell>
          <cell r="C784" t="str">
            <v>P</v>
          </cell>
          <cell r="D784" t="str">
            <v>22081</v>
          </cell>
          <cell r="E784" t="str">
            <v>SOL</v>
          </cell>
          <cell r="F784">
            <v>2</v>
          </cell>
          <cell r="G784" t="str">
            <v>CB39020000030T</v>
          </cell>
          <cell r="H784">
            <v>3</v>
          </cell>
          <cell r="I784">
            <v>0.75</v>
          </cell>
          <cell r="J784">
            <v>3</v>
          </cell>
          <cell r="K784">
            <v>4</v>
          </cell>
        </row>
        <row r="785">
          <cell r="A785" t="str">
            <v>M1</v>
          </cell>
          <cell r="B785" t="str">
            <v>A5C</v>
          </cell>
          <cell r="C785" t="str">
            <v>P</v>
          </cell>
          <cell r="D785" t="str">
            <v>22153</v>
          </cell>
          <cell r="E785" t="str">
            <v>TEE</v>
          </cell>
          <cell r="F785">
            <v>2</v>
          </cell>
          <cell r="G785" t="str">
            <v>CB300304000300</v>
          </cell>
          <cell r="H785">
            <v>3</v>
          </cell>
          <cell r="I785" t="str">
            <v>--</v>
          </cell>
          <cell r="J785">
            <v>2</v>
          </cell>
          <cell r="K785">
            <v>3</v>
          </cell>
        </row>
        <row r="786">
          <cell r="A786" t="str">
            <v>M1</v>
          </cell>
          <cell r="B786" t="str">
            <v>A5C</v>
          </cell>
          <cell r="C786" t="str">
            <v>P</v>
          </cell>
          <cell r="D786" t="str">
            <v>22134</v>
          </cell>
          <cell r="E786" t="str">
            <v>TEE</v>
          </cell>
          <cell r="F786">
            <v>2</v>
          </cell>
          <cell r="G786" t="str">
            <v>CB300304000300</v>
          </cell>
          <cell r="H786">
            <v>3</v>
          </cell>
          <cell r="I786" t="str">
            <v>--</v>
          </cell>
          <cell r="J786">
            <v>1</v>
          </cell>
          <cell r="K786">
            <v>2</v>
          </cell>
        </row>
        <row r="787">
          <cell r="A787" t="str">
            <v>M1</v>
          </cell>
          <cell r="B787" t="str">
            <v>A5C</v>
          </cell>
          <cell r="C787" t="str">
            <v>P</v>
          </cell>
          <cell r="D787" t="str">
            <v>22100</v>
          </cell>
          <cell r="E787" t="str">
            <v>45 ELL</v>
          </cell>
          <cell r="F787">
            <v>2</v>
          </cell>
          <cell r="G787" t="str">
            <v>CB300204000300</v>
          </cell>
          <cell r="H787">
            <v>3</v>
          </cell>
          <cell r="I787" t="str">
            <v>--</v>
          </cell>
          <cell r="J787">
            <v>1</v>
          </cell>
          <cell r="K787">
            <v>2</v>
          </cell>
        </row>
        <row r="788">
          <cell r="A788" t="str">
            <v>M1</v>
          </cell>
          <cell r="B788" t="str">
            <v>A5C</v>
          </cell>
          <cell r="C788" t="str">
            <v>P</v>
          </cell>
          <cell r="D788" t="str">
            <v>22090</v>
          </cell>
          <cell r="E788" t="str">
            <v>90 ELL</v>
          </cell>
          <cell r="F788">
            <v>2</v>
          </cell>
          <cell r="G788" t="str">
            <v>CB300104000300</v>
          </cell>
          <cell r="H788">
            <v>3</v>
          </cell>
          <cell r="I788" t="str">
            <v>--</v>
          </cell>
          <cell r="J788">
            <v>1</v>
          </cell>
          <cell r="K788">
            <v>2</v>
          </cell>
        </row>
        <row r="789">
          <cell r="A789" t="str">
            <v>M1</v>
          </cell>
          <cell r="B789" t="str">
            <v>A5C</v>
          </cell>
          <cell r="C789" t="str">
            <v>P</v>
          </cell>
          <cell r="D789" t="str">
            <v>22091</v>
          </cell>
          <cell r="E789" t="str">
            <v>90 ELL</v>
          </cell>
          <cell r="F789">
            <v>2</v>
          </cell>
          <cell r="G789" t="str">
            <v>CB300104000300</v>
          </cell>
          <cell r="H789">
            <v>3</v>
          </cell>
          <cell r="I789" t="str">
            <v>--</v>
          </cell>
          <cell r="J789">
            <v>3</v>
          </cell>
          <cell r="K789">
            <v>4</v>
          </cell>
        </row>
        <row r="790">
          <cell r="A790" t="str">
            <v>M1</v>
          </cell>
          <cell r="B790" t="str">
            <v>A5C</v>
          </cell>
          <cell r="C790" t="str">
            <v>P</v>
          </cell>
          <cell r="D790" t="str">
            <v>22094</v>
          </cell>
          <cell r="E790" t="str">
            <v>90 ELL</v>
          </cell>
          <cell r="F790">
            <v>2</v>
          </cell>
          <cell r="G790" t="str">
            <v>CB300104000300</v>
          </cell>
          <cell r="H790">
            <v>3</v>
          </cell>
          <cell r="I790" t="str">
            <v>--</v>
          </cell>
          <cell r="J790">
            <v>4</v>
          </cell>
          <cell r="K790">
            <v>5</v>
          </cell>
        </row>
        <row r="791">
          <cell r="A791" t="str">
            <v>M1</v>
          </cell>
          <cell r="B791" t="str">
            <v>A5C</v>
          </cell>
          <cell r="C791" t="str">
            <v>P</v>
          </cell>
          <cell r="D791" t="str">
            <v>22100</v>
          </cell>
          <cell r="E791" t="str">
            <v>90 ELL</v>
          </cell>
          <cell r="F791">
            <v>2</v>
          </cell>
          <cell r="G791" t="str">
            <v>CB300104000300</v>
          </cell>
          <cell r="H791">
            <v>3</v>
          </cell>
          <cell r="I791" t="str">
            <v>--</v>
          </cell>
          <cell r="J791">
            <v>6</v>
          </cell>
          <cell r="K791">
            <v>7</v>
          </cell>
        </row>
        <row r="792">
          <cell r="A792" t="str">
            <v>M1</v>
          </cell>
          <cell r="B792" t="str">
            <v>A5C</v>
          </cell>
          <cell r="C792" t="str">
            <v>P</v>
          </cell>
          <cell r="D792" t="str">
            <v>22090</v>
          </cell>
          <cell r="E792" t="str">
            <v>90 ELL</v>
          </cell>
          <cell r="F792">
            <v>2</v>
          </cell>
          <cell r="G792" t="str">
            <v>CB300104000300</v>
          </cell>
          <cell r="H792">
            <v>3</v>
          </cell>
          <cell r="I792" t="str">
            <v>--</v>
          </cell>
          <cell r="J792">
            <v>5</v>
          </cell>
          <cell r="K792">
            <v>6</v>
          </cell>
        </row>
        <row r="793">
          <cell r="A793" t="str">
            <v>M1</v>
          </cell>
          <cell r="B793" t="str">
            <v>A5C</v>
          </cell>
          <cell r="C793" t="str">
            <v>P</v>
          </cell>
          <cell r="D793" t="str">
            <v>22095</v>
          </cell>
          <cell r="E793" t="str">
            <v>90 ELL</v>
          </cell>
          <cell r="F793">
            <v>2</v>
          </cell>
          <cell r="G793" t="str">
            <v>CB300104000300</v>
          </cell>
          <cell r="H793">
            <v>3</v>
          </cell>
          <cell r="I793" t="str">
            <v>--</v>
          </cell>
          <cell r="J793">
            <v>4</v>
          </cell>
          <cell r="K793">
            <v>5</v>
          </cell>
        </row>
        <row r="794">
          <cell r="A794" t="str">
            <v>M1</v>
          </cell>
          <cell r="B794" t="str">
            <v>A5C</v>
          </cell>
          <cell r="C794" t="str">
            <v>P</v>
          </cell>
          <cell r="D794" t="str">
            <v>22092</v>
          </cell>
          <cell r="E794" t="str">
            <v>90 ELL</v>
          </cell>
          <cell r="F794">
            <v>2</v>
          </cell>
          <cell r="G794" t="str">
            <v>CB300104000300</v>
          </cell>
          <cell r="H794">
            <v>3</v>
          </cell>
          <cell r="I794" t="str">
            <v>--</v>
          </cell>
          <cell r="J794">
            <v>1</v>
          </cell>
          <cell r="K794">
            <v>2</v>
          </cell>
        </row>
        <row r="795">
          <cell r="A795" t="str">
            <v>M1</v>
          </cell>
          <cell r="B795" t="str">
            <v>A5C</v>
          </cell>
          <cell r="C795" t="str">
            <v>P</v>
          </cell>
          <cell r="D795" t="str">
            <v>22093</v>
          </cell>
          <cell r="E795" t="str">
            <v>90 ELL</v>
          </cell>
          <cell r="F795">
            <v>2</v>
          </cell>
          <cell r="G795" t="str">
            <v>CB300104000300</v>
          </cell>
          <cell r="H795">
            <v>3</v>
          </cell>
          <cell r="I795" t="str">
            <v>--</v>
          </cell>
          <cell r="J795">
            <v>2</v>
          </cell>
          <cell r="K795">
            <v>3</v>
          </cell>
        </row>
        <row r="796">
          <cell r="A796" t="str">
            <v>M1</v>
          </cell>
          <cell r="B796" t="str">
            <v>A5C</v>
          </cell>
          <cell r="C796" t="str">
            <v>P</v>
          </cell>
          <cell r="D796" t="str">
            <v>22094</v>
          </cell>
          <cell r="E796" t="str">
            <v>C SWG</v>
          </cell>
          <cell r="F796">
            <v>2</v>
          </cell>
          <cell r="G796" t="str">
            <v>CB1614040803IH</v>
          </cell>
          <cell r="H796">
            <v>3</v>
          </cell>
          <cell r="I796">
            <v>1.5</v>
          </cell>
          <cell r="J796">
            <v>2</v>
          </cell>
          <cell r="K796">
            <v>3</v>
          </cell>
        </row>
        <row r="797">
          <cell r="A797" t="str">
            <v>M1</v>
          </cell>
          <cell r="B797" t="str">
            <v>A5C</v>
          </cell>
          <cell r="C797" t="str">
            <v>P</v>
          </cell>
          <cell r="D797" t="str">
            <v>22095</v>
          </cell>
          <cell r="E797" t="str">
            <v>C SWG</v>
          </cell>
          <cell r="F797">
            <v>2</v>
          </cell>
          <cell r="G797" t="str">
            <v>CB1614040803IH</v>
          </cell>
          <cell r="H797">
            <v>3</v>
          </cell>
          <cell r="I797">
            <v>1.5</v>
          </cell>
          <cell r="J797">
            <v>2</v>
          </cell>
          <cell r="K797">
            <v>3</v>
          </cell>
        </row>
        <row r="798">
          <cell r="A798" t="str">
            <v>M1</v>
          </cell>
          <cell r="B798" t="str">
            <v>A5C</v>
          </cell>
          <cell r="C798" t="str">
            <v>P</v>
          </cell>
          <cell r="D798" t="str">
            <v>22090</v>
          </cell>
          <cell r="E798" t="str">
            <v>SOL</v>
          </cell>
          <cell r="F798">
            <v>2</v>
          </cell>
          <cell r="G798" t="str">
            <v>CB390200000301</v>
          </cell>
          <cell r="H798">
            <v>3</v>
          </cell>
          <cell r="I798">
            <v>1</v>
          </cell>
          <cell r="J798">
            <v>1</v>
          </cell>
          <cell r="K798">
            <v>2</v>
          </cell>
        </row>
        <row r="799">
          <cell r="A799" t="str">
            <v>M1</v>
          </cell>
          <cell r="B799" t="str">
            <v>A5C</v>
          </cell>
          <cell r="C799" t="str">
            <v>P</v>
          </cell>
          <cell r="D799" t="str">
            <v>22091</v>
          </cell>
          <cell r="E799" t="str">
            <v>SOL</v>
          </cell>
          <cell r="F799">
            <v>2</v>
          </cell>
          <cell r="G799" t="str">
            <v>CB390200000301</v>
          </cell>
          <cell r="H799">
            <v>3</v>
          </cell>
          <cell r="I799">
            <v>1</v>
          </cell>
          <cell r="J799">
            <v>1</v>
          </cell>
          <cell r="K799">
            <v>2</v>
          </cell>
        </row>
        <row r="800">
          <cell r="A800" t="str">
            <v>M1</v>
          </cell>
          <cell r="B800" t="str">
            <v>A5C</v>
          </cell>
          <cell r="C800" t="str">
            <v>P</v>
          </cell>
          <cell r="D800" t="str">
            <v>22092</v>
          </cell>
          <cell r="E800" t="str">
            <v>SOL</v>
          </cell>
          <cell r="F800">
            <v>2</v>
          </cell>
          <cell r="G800" t="str">
            <v>CB390200000301</v>
          </cell>
          <cell r="H800">
            <v>3</v>
          </cell>
          <cell r="I800">
            <v>1</v>
          </cell>
          <cell r="J800">
            <v>1</v>
          </cell>
          <cell r="K800">
            <v>2</v>
          </cell>
        </row>
        <row r="801">
          <cell r="A801" t="str">
            <v>M1</v>
          </cell>
          <cell r="B801" t="str">
            <v>A5C</v>
          </cell>
          <cell r="C801" t="str">
            <v>P</v>
          </cell>
          <cell r="D801" t="str">
            <v>22092</v>
          </cell>
          <cell r="E801" t="str">
            <v>SOL</v>
          </cell>
          <cell r="F801">
            <v>2</v>
          </cell>
          <cell r="G801" t="str">
            <v>CB39020000030T</v>
          </cell>
          <cell r="H801">
            <v>3</v>
          </cell>
          <cell r="I801">
            <v>0.75</v>
          </cell>
          <cell r="J801">
            <v>1</v>
          </cell>
          <cell r="K801">
            <v>2</v>
          </cell>
        </row>
        <row r="802">
          <cell r="A802" t="str">
            <v>M1</v>
          </cell>
          <cell r="B802" t="str">
            <v>A5C</v>
          </cell>
          <cell r="C802" t="str">
            <v>P</v>
          </cell>
          <cell r="D802" t="str">
            <v>22095</v>
          </cell>
          <cell r="E802" t="str">
            <v>SOL</v>
          </cell>
          <cell r="F802">
            <v>2</v>
          </cell>
          <cell r="G802" t="str">
            <v>CB39020000030T</v>
          </cell>
          <cell r="H802">
            <v>3</v>
          </cell>
          <cell r="I802">
            <v>0.75</v>
          </cell>
          <cell r="J802">
            <v>5</v>
          </cell>
          <cell r="K802">
            <v>6</v>
          </cell>
        </row>
        <row r="803">
          <cell r="A803" t="str">
            <v>M1</v>
          </cell>
          <cell r="B803" t="str">
            <v>A5C</v>
          </cell>
          <cell r="C803" t="str">
            <v>P</v>
          </cell>
          <cell r="D803" t="str">
            <v>22090</v>
          </cell>
          <cell r="E803" t="str">
            <v>SOL</v>
          </cell>
          <cell r="F803">
            <v>2</v>
          </cell>
          <cell r="G803" t="str">
            <v>CB39020000030T</v>
          </cell>
          <cell r="H803">
            <v>3</v>
          </cell>
          <cell r="I803">
            <v>0.75</v>
          </cell>
          <cell r="J803">
            <v>1</v>
          </cell>
          <cell r="K803">
            <v>2</v>
          </cell>
        </row>
        <row r="804">
          <cell r="A804" t="str">
            <v>M1</v>
          </cell>
          <cell r="B804" t="str">
            <v>A5C</v>
          </cell>
          <cell r="C804" t="str">
            <v>P</v>
          </cell>
          <cell r="D804" t="str">
            <v>22093</v>
          </cell>
          <cell r="E804" t="str">
            <v>SOL</v>
          </cell>
          <cell r="F804">
            <v>2</v>
          </cell>
          <cell r="G804" t="str">
            <v>CB39020000030T</v>
          </cell>
          <cell r="H804">
            <v>3</v>
          </cell>
          <cell r="I804">
            <v>0.75</v>
          </cell>
          <cell r="J804">
            <v>1</v>
          </cell>
          <cell r="K804">
            <v>2</v>
          </cell>
        </row>
        <row r="805">
          <cell r="A805" t="str">
            <v>M1</v>
          </cell>
          <cell r="B805" t="str">
            <v>A5C</v>
          </cell>
          <cell r="C805" t="str">
            <v>P</v>
          </cell>
          <cell r="D805" t="str">
            <v>22093</v>
          </cell>
          <cell r="E805" t="str">
            <v>SOL</v>
          </cell>
          <cell r="F805">
            <v>2</v>
          </cell>
          <cell r="G805" t="str">
            <v>CB390200000301</v>
          </cell>
          <cell r="H805">
            <v>3</v>
          </cell>
          <cell r="I805">
            <v>1</v>
          </cell>
          <cell r="J805">
            <v>1</v>
          </cell>
          <cell r="K805">
            <v>2</v>
          </cell>
        </row>
        <row r="806">
          <cell r="A806" t="str">
            <v>M1</v>
          </cell>
          <cell r="B806" t="str">
            <v>A5C</v>
          </cell>
          <cell r="C806" t="str">
            <v>P</v>
          </cell>
          <cell r="D806" t="str">
            <v>22094</v>
          </cell>
          <cell r="E806" t="str">
            <v>SOL</v>
          </cell>
          <cell r="F806">
            <v>2</v>
          </cell>
          <cell r="G806" t="str">
            <v>CB39020000030T</v>
          </cell>
          <cell r="H806">
            <v>3</v>
          </cell>
          <cell r="I806">
            <v>0.75</v>
          </cell>
          <cell r="J806">
            <v>5</v>
          </cell>
          <cell r="K806">
            <v>6</v>
          </cell>
        </row>
        <row r="807">
          <cell r="A807" t="str">
            <v>M1</v>
          </cell>
          <cell r="B807" t="str">
            <v>A5C</v>
          </cell>
          <cell r="C807" t="str">
            <v>P</v>
          </cell>
          <cell r="D807" t="str">
            <v>22090</v>
          </cell>
          <cell r="E807" t="str">
            <v>TEE</v>
          </cell>
          <cell r="F807">
            <v>2</v>
          </cell>
          <cell r="G807" t="str">
            <v>CB300304000300</v>
          </cell>
          <cell r="H807">
            <v>3</v>
          </cell>
          <cell r="I807" t="str">
            <v>--</v>
          </cell>
          <cell r="J807">
            <v>1</v>
          </cell>
          <cell r="K807">
            <v>2</v>
          </cell>
        </row>
        <row r="808">
          <cell r="A808" t="str">
            <v>M1</v>
          </cell>
          <cell r="B808" t="str">
            <v>A5C</v>
          </cell>
          <cell r="C808" t="str">
            <v>P</v>
          </cell>
          <cell r="D808" t="str">
            <v>22092</v>
          </cell>
          <cell r="E808" t="str">
            <v>TEE</v>
          </cell>
          <cell r="F808">
            <v>2</v>
          </cell>
          <cell r="G808" t="str">
            <v>CB300304000300</v>
          </cell>
          <cell r="H808">
            <v>3</v>
          </cell>
          <cell r="I808" t="str">
            <v>--</v>
          </cell>
          <cell r="J808">
            <v>1</v>
          </cell>
          <cell r="K808">
            <v>2</v>
          </cell>
        </row>
        <row r="809">
          <cell r="A809" t="str">
            <v>M1</v>
          </cell>
          <cell r="B809" t="str">
            <v>A5C</v>
          </cell>
          <cell r="C809" t="str">
            <v>P</v>
          </cell>
          <cell r="D809" t="str">
            <v>22095</v>
          </cell>
          <cell r="E809" t="str">
            <v>TEE</v>
          </cell>
          <cell r="F809">
            <v>2</v>
          </cell>
          <cell r="G809" t="str">
            <v>CB300304000300</v>
          </cell>
          <cell r="H809">
            <v>3</v>
          </cell>
          <cell r="I809" t="str">
            <v>--</v>
          </cell>
          <cell r="J809">
            <v>1</v>
          </cell>
          <cell r="K809">
            <v>2</v>
          </cell>
        </row>
        <row r="810">
          <cell r="A810" t="str">
            <v>M1</v>
          </cell>
          <cell r="B810" t="str">
            <v>A5C</v>
          </cell>
          <cell r="C810" t="str">
            <v>P</v>
          </cell>
          <cell r="D810" t="str">
            <v>22100</v>
          </cell>
          <cell r="E810" t="str">
            <v>TEE</v>
          </cell>
          <cell r="F810">
            <v>2</v>
          </cell>
          <cell r="G810" t="str">
            <v>CB300304000300</v>
          </cell>
          <cell r="H810">
            <v>3</v>
          </cell>
          <cell r="I810" t="str">
            <v>--</v>
          </cell>
          <cell r="J810">
            <v>1</v>
          </cell>
          <cell r="K810">
            <v>2</v>
          </cell>
        </row>
        <row r="811">
          <cell r="A811" t="str">
            <v>M1</v>
          </cell>
          <cell r="B811" t="str">
            <v>A5C</v>
          </cell>
          <cell r="C811" t="str">
            <v>P</v>
          </cell>
          <cell r="D811" t="str">
            <v>22090</v>
          </cell>
          <cell r="E811" t="str">
            <v>TEE</v>
          </cell>
          <cell r="F811">
            <v>2</v>
          </cell>
          <cell r="G811" t="str">
            <v>CB300304000300</v>
          </cell>
          <cell r="H811">
            <v>3</v>
          </cell>
          <cell r="I811" t="str">
            <v>--</v>
          </cell>
          <cell r="J811">
            <v>1</v>
          </cell>
          <cell r="K811">
            <v>2</v>
          </cell>
        </row>
        <row r="812">
          <cell r="A812" t="str">
            <v>M1</v>
          </cell>
          <cell r="B812" t="str">
            <v>A5C</v>
          </cell>
          <cell r="C812" t="str">
            <v>P</v>
          </cell>
          <cell r="D812" t="str">
            <v>22094</v>
          </cell>
          <cell r="E812" t="str">
            <v>TEE</v>
          </cell>
          <cell r="F812">
            <v>2</v>
          </cell>
          <cell r="G812" t="str">
            <v>CB300304000300</v>
          </cell>
          <cell r="H812">
            <v>3</v>
          </cell>
          <cell r="I812" t="str">
            <v>--</v>
          </cell>
          <cell r="J812">
            <v>1</v>
          </cell>
          <cell r="K812">
            <v>2</v>
          </cell>
        </row>
        <row r="813">
          <cell r="A813" t="str">
            <v>M1</v>
          </cell>
          <cell r="B813" t="str">
            <v>A5C</v>
          </cell>
          <cell r="C813" t="str">
            <v>P</v>
          </cell>
          <cell r="D813" t="str">
            <v>22004</v>
          </cell>
          <cell r="E813" t="str">
            <v>45 ELL</v>
          </cell>
          <cell r="F813">
            <v>2</v>
          </cell>
          <cell r="G813" t="str">
            <v>CB300204000300</v>
          </cell>
          <cell r="H813">
            <v>3</v>
          </cell>
          <cell r="I813" t="str">
            <v>--</v>
          </cell>
          <cell r="J813">
            <v>2</v>
          </cell>
          <cell r="K813">
            <v>3</v>
          </cell>
        </row>
        <row r="814">
          <cell r="A814" t="str">
            <v>M1</v>
          </cell>
          <cell r="B814" t="str">
            <v>A5C</v>
          </cell>
          <cell r="C814" t="str">
            <v>P</v>
          </cell>
          <cell r="D814" t="str">
            <v>22061</v>
          </cell>
          <cell r="E814" t="str">
            <v>45 ELL</v>
          </cell>
          <cell r="F814">
            <v>2</v>
          </cell>
          <cell r="G814" t="str">
            <v>CB300204000300</v>
          </cell>
          <cell r="H814">
            <v>3</v>
          </cell>
          <cell r="I814" t="str">
            <v>--</v>
          </cell>
          <cell r="J814">
            <v>2</v>
          </cell>
          <cell r="K814">
            <v>3</v>
          </cell>
        </row>
        <row r="815">
          <cell r="A815" t="str">
            <v>M1</v>
          </cell>
          <cell r="B815" t="str">
            <v>A5C</v>
          </cell>
          <cell r="C815" t="str">
            <v>P</v>
          </cell>
          <cell r="D815" t="str">
            <v>22026</v>
          </cell>
          <cell r="E815" t="str">
            <v>45 ELL</v>
          </cell>
          <cell r="F815">
            <v>2</v>
          </cell>
          <cell r="G815" t="str">
            <v>CB300204000300</v>
          </cell>
          <cell r="H815">
            <v>3</v>
          </cell>
          <cell r="I815" t="str">
            <v>--</v>
          </cell>
          <cell r="J815">
            <v>1</v>
          </cell>
          <cell r="K815">
            <v>2</v>
          </cell>
        </row>
        <row r="816">
          <cell r="A816" t="str">
            <v>M1</v>
          </cell>
          <cell r="B816" t="str">
            <v>A5C</v>
          </cell>
          <cell r="C816" t="str">
            <v>P</v>
          </cell>
          <cell r="D816" t="str">
            <v>22003</v>
          </cell>
          <cell r="E816" t="str">
            <v>90 ELL</v>
          </cell>
          <cell r="F816">
            <v>2</v>
          </cell>
          <cell r="G816" t="str">
            <v>CB300104000300</v>
          </cell>
          <cell r="H816">
            <v>3</v>
          </cell>
          <cell r="I816" t="str">
            <v>--</v>
          </cell>
          <cell r="J816">
            <v>5</v>
          </cell>
          <cell r="K816">
            <v>6</v>
          </cell>
        </row>
        <row r="817">
          <cell r="A817" t="str">
            <v>M1</v>
          </cell>
          <cell r="B817" t="str">
            <v>A4C</v>
          </cell>
          <cell r="C817" t="str">
            <v>P</v>
          </cell>
          <cell r="D817" t="str">
            <v>22003</v>
          </cell>
          <cell r="E817" t="str">
            <v>90 ELL</v>
          </cell>
          <cell r="F817">
            <v>2</v>
          </cell>
          <cell r="G817" t="str">
            <v>CB300104000300</v>
          </cell>
          <cell r="H817">
            <v>3</v>
          </cell>
          <cell r="I817" t="str">
            <v>--</v>
          </cell>
          <cell r="J817">
            <v>6</v>
          </cell>
          <cell r="K817">
            <v>7</v>
          </cell>
        </row>
        <row r="818">
          <cell r="A818" t="str">
            <v>M1</v>
          </cell>
          <cell r="B818" t="str">
            <v>A5C</v>
          </cell>
          <cell r="C818" t="str">
            <v>P</v>
          </cell>
          <cell r="D818" t="str">
            <v>22004</v>
          </cell>
          <cell r="E818" t="str">
            <v>90 ELL</v>
          </cell>
          <cell r="F818">
            <v>2</v>
          </cell>
          <cell r="G818" t="str">
            <v>CB300104000300</v>
          </cell>
          <cell r="H818">
            <v>3</v>
          </cell>
          <cell r="I818" t="str">
            <v>--</v>
          </cell>
          <cell r="J818">
            <v>3</v>
          </cell>
          <cell r="K818">
            <v>4</v>
          </cell>
        </row>
        <row r="819">
          <cell r="A819" t="str">
            <v>M1</v>
          </cell>
          <cell r="B819" t="str">
            <v>A5C</v>
          </cell>
          <cell r="C819" t="str">
            <v>P</v>
          </cell>
          <cell r="D819" t="str">
            <v>22004</v>
          </cell>
          <cell r="E819" t="str">
            <v>90 ELL</v>
          </cell>
          <cell r="F819">
            <v>2</v>
          </cell>
          <cell r="G819" t="str">
            <v>CB300104000300</v>
          </cell>
          <cell r="H819">
            <v>3</v>
          </cell>
          <cell r="I819" t="str">
            <v>--</v>
          </cell>
          <cell r="J819">
            <v>2</v>
          </cell>
          <cell r="K819">
            <v>3</v>
          </cell>
        </row>
        <row r="820">
          <cell r="A820" t="str">
            <v>M1</v>
          </cell>
          <cell r="B820" t="str">
            <v>A5C</v>
          </cell>
          <cell r="C820" t="str">
            <v>P</v>
          </cell>
          <cell r="D820" t="str">
            <v>22005</v>
          </cell>
          <cell r="E820" t="str">
            <v>90 ELL</v>
          </cell>
          <cell r="F820">
            <v>2</v>
          </cell>
          <cell r="G820" t="str">
            <v>CB300104000300</v>
          </cell>
          <cell r="H820">
            <v>3</v>
          </cell>
          <cell r="I820" t="str">
            <v>--</v>
          </cell>
          <cell r="J820">
            <v>4</v>
          </cell>
          <cell r="K820">
            <v>5</v>
          </cell>
        </row>
        <row r="821">
          <cell r="A821" t="str">
            <v>M1</v>
          </cell>
          <cell r="B821" t="str">
            <v>A5C</v>
          </cell>
          <cell r="C821" t="str">
            <v>P</v>
          </cell>
          <cell r="D821" t="str">
            <v>22001</v>
          </cell>
          <cell r="E821" t="str">
            <v>90 ELL</v>
          </cell>
          <cell r="F821">
            <v>2</v>
          </cell>
          <cell r="G821" t="str">
            <v>CB300104000300</v>
          </cell>
          <cell r="H821">
            <v>3</v>
          </cell>
          <cell r="I821" t="str">
            <v>--</v>
          </cell>
          <cell r="J821">
            <v>14</v>
          </cell>
          <cell r="K821">
            <v>16</v>
          </cell>
        </row>
        <row r="822">
          <cell r="A822" t="str">
            <v>M1</v>
          </cell>
          <cell r="B822" t="str">
            <v>A5C</v>
          </cell>
          <cell r="C822" t="str">
            <v>P</v>
          </cell>
          <cell r="D822" t="str">
            <v>22026</v>
          </cell>
          <cell r="E822" t="str">
            <v>90 ELL</v>
          </cell>
          <cell r="F822">
            <v>2</v>
          </cell>
          <cell r="G822" t="str">
            <v>CB300104000300</v>
          </cell>
          <cell r="H822">
            <v>3</v>
          </cell>
          <cell r="I822" t="str">
            <v>--</v>
          </cell>
          <cell r="J822">
            <v>3</v>
          </cell>
          <cell r="K822">
            <v>4</v>
          </cell>
        </row>
        <row r="823">
          <cell r="A823" t="str">
            <v>M1</v>
          </cell>
          <cell r="B823" t="str">
            <v>A5C</v>
          </cell>
          <cell r="C823" t="str">
            <v>P</v>
          </cell>
          <cell r="D823" t="str">
            <v>22004</v>
          </cell>
          <cell r="E823" t="str">
            <v>C RED</v>
          </cell>
          <cell r="F823">
            <v>2</v>
          </cell>
          <cell r="G823" t="str">
            <v>CB300504080302</v>
          </cell>
          <cell r="H823">
            <v>3</v>
          </cell>
          <cell r="I823">
            <v>2</v>
          </cell>
          <cell r="J823">
            <v>1</v>
          </cell>
          <cell r="K823">
            <v>2</v>
          </cell>
        </row>
        <row r="824">
          <cell r="A824" t="str">
            <v>M1</v>
          </cell>
          <cell r="B824" t="str">
            <v>A5C</v>
          </cell>
          <cell r="C824" t="str">
            <v>P</v>
          </cell>
          <cell r="D824" t="str">
            <v>22004</v>
          </cell>
          <cell r="E824" t="str">
            <v>C RED</v>
          </cell>
          <cell r="F824">
            <v>2</v>
          </cell>
          <cell r="G824" t="str">
            <v>CB300504080302</v>
          </cell>
          <cell r="H824">
            <v>3</v>
          </cell>
          <cell r="I824">
            <v>2</v>
          </cell>
          <cell r="J824">
            <v>1</v>
          </cell>
          <cell r="K824">
            <v>2</v>
          </cell>
        </row>
        <row r="825">
          <cell r="A825" t="str">
            <v>M1</v>
          </cell>
          <cell r="B825" t="str">
            <v>A5C</v>
          </cell>
          <cell r="C825" t="str">
            <v>P</v>
          </cell>
          <cell r="D825" t="str">
            <v>22003</v>
          </cell>
          <cell r="E825" t="str">
            <v>SOL</v>
          </cell>
          <cell r="F825">
            <v>2</v>
          </cell>
          <cell r="G825" t="str">
            <v>CB39020000030T</v>
          </cell>
          <cell r="H825">
            <v>3</v>
          </cell>
          <cell r="I825">
            <v>0.75</v>
          </cell>
          <cell r="J825">
            <v>2</v>
          </cell>
          <cell r="K825">
            <v>3</v>
          </cell>
        </row>
        <row r="826">
          <cell r="A826" t="str">
            <v>M1</v>
          </cell>
          <cell r="B826" t="str">
            <v>A5C</v>
          </cell>
          <cell r="C826" t="str">
            <v>P</v>
          </cell>
          <cell r="D826" t="str">
            <v>22003</v>
          </cell>
          <cell r="E826" t="str">
            <v>SOL</v>
          </cell>
          <cell r="F826">
            <v>2</v>
          </cell>
          <cell r="G826" t="str">
            <v>CB390200000301</v>
          </cell>
          <cell r="H826">
            <v>3</v>
          </cell>
          <cell r="I826">
            <v>1</v>
          </cell>
          <cell r="J826">
            <v>1</v>
          </cell>
          <cell r="K826">
            <v>2</v>
          </cell>
        </row>
        <row r="827">
          <cell r="A827" t="str">
            <v>M1</v>
          </cell>
          <cell r="B827" t="str">
            <v>A5C</v>
          </cell>
          <cell r="C827" t="str">
            <v>P</v>
          </cell>
          <cell r="D827" t="str">
            <v>22004</v>
          </cell>
          <cell r="E827" t="str">
            <v>SOL</v>
          </cell>
          <cell r="F827">
            <v>2</v>
          </cell>
          <cell r="G827" t="str">
            <v>CB39020000030T</v>
          </cell>
          <cell r="H827">
            <v>3</v>
          </cell>
          <cell r="I827">
            <v>0.75</v>
          </cell>
          <cell r="J827">
            <v>1</v>
          </cell>
          <cell r="K827">
            <v>2</v>
          </cell>
        </row>
        <row r="828">
          <cell r="A828" t="str">
            <v>M1</v>
          </cell>
          <cell r="B828" t="str">
            <v>A5C</v>
          </cell>
          <cell r="C828" t="str">
            <v>P</v>
          </cell>
          <cell r="D828" t="str">
            <v>22004</v>
          </cell>
          <cell r="E828" t="str">
            <v>SOL</v>
          </cell>
          <cell r="F828">
            <v>2</v>
          </cell>
          <cell r="G828" t="str">
            <v>CB3902000003IH</v>
          </cell>
          <cell r="H828">
            <v>3</v>
          </cell>
          <cell r="I828">
            <v>1.5</v>
          </cell>
          <cell r="J828">
            <v>1</v>
          </cell>
          <cell r="K828">
            <v>2</v>
          </cell>
        </row>
        <row r="829">
          <cell r="A829" t="str">
            <v>M1</v>
          </cell>
          <cell r="B829" t="str">
            <v>A5C</v>
          </cell>
          <cell r="C829" t="str">
            <v>P</v>
          </cell>
          <cell r="D829" t="str">
            <v>22005</v>
          </cell>
          <cell r="E829" t="str">
            <v>SOL</v>
          </cell>
          <cell r="F829">
            <v>2</v>
          </cell>
          <cell r="G829" t="str">
            <v>CB39020000030T</v>
          </cell>
          <cell r="H829">
            <v>3</v>
          </cell>
          <cell r="I829">
            <v>0.75</v>
          </cell>
          <cell r="J829">
            <v>1</v>
          </cell>
          <cell r="K829">
            <v>2</v>
          </cell>
        </row>
        <row r="830">
          <cell r="A830" t="str">
            <v>M1</v>
          </cell>
          <cell r="B830" t="str">
            <v>A5C</v>
          </cell>
          <cell r="C830" t="str">
            <v>P</v>
          </cell>
          <cell r="D830" t="str">
            <v>22001</v>
          </cell>
          <cell r="E830" t="str">
            <v>SOL</v>
          </cell>
          <cell r="F830">
            <v>2</v>
          </cell>
          <cell r="G830" t="str">
            <v>CB39020000030T</v>
          </cell>
          <cell r="H830">
            <v>3</v>
          </cell>
          <cell r="I830">
            <v>0.75</v>
          </cell>
          <cell r="J830">
            <v>3</v>
          </cell>
          <cell r="K830">
            <v>4</v>
          </cell>
        </row>
        <row r="831">
          <cell r="A831" t="str">
            <v>M1</v>
          </cell>
          <cell r="B831" t="str">
            <v>A5C</v>
          </cell>
          <cell r="C831" t="str">
            <v>P</v>
          </cell>
          <cell r="D831" t="str">
            <v>22001</v>
          </cell>
          <cell r="E831" t="str">
            <v>SOL</v>
          </cell>
          <cell r="F831">
            <v>2</v>
          </cell>
          <cell r="G831" t="str">
            <v>CB390200000301</v>
          </cell>
          <cell r="H831">
            <v>3</v>
          </cell>
          <cell r="I831">
            <v>1</v>
          </cell>
          <cell r="J831">
            <v>1</v>
          </cell>
          <cell r="K831">
            <v>2</v>
          </cell>
        </row>
        <row r="832">
          <cell r="A832" t="str">
            <v>M1</v>
          </cell>
          <cell r="B832" t="str">
            <v>A5C</v>
          </cell>
          <cell r="C832" t="str">
            <v>P</v>
          </cell>
          <cell r="D832" t="str">
            <v>22001</v>
          </cell>
          <cell r="E832" t="str">
            <v>SOL</v>
          </cell>
          <cell r="F832">
            <v>2</v>
          </cell>
          <cell r="G832" t="str">
            <v>CB3902000003IH</v>
          </cell>
          <cell r="H832">
            <v>3</v>
          </cell>
          <cell r="I832">
            <v>1.5</v>
          </cell>
          <cell r="J832">
            <v>1</v>
          </cell>
          <cell r="K832">
            <v>2</v>
          </cell>
        </row>
        <row r="833">
          <cell r="A833" t="str">
            <v>M1</v>
          </cell>
          <cell r="B833" t="str">
            <v>A5C</v>
          </cell>
          <cell r="C833" t="str">
            <v>TRIM</v>
          </cell>
          <cell r="D833" t="str">
            <v>V-2213</v>
          </cell>
          <cell r="E833" t="str">
            <v>SOL</v>
          </cell>
          <cell r="F833">
            <v>2</v>
          </cell>
          <cell r="G833" t="str">
            <v>CB39020000030T</v>
          </cell>
          <cell r="H833">
            <v>3</v>
          </cell>
          <cell r="I833">
            <v>0.75</v>
          </cell>
          <cell r="J833">
            <v>1</v>
          </cell>
          <cell r="K833">
            <v>2</v>
          </cell>
        </row>
        <row r="834">
          <cell r="A834" t="str">
            <v>M1</v>
          </cell>
          <cell r="B834" t="str">
            <v>A5C</v>
          </cell>
          <cell r="C834" t="str">
            <v>P</v>
          </cell>
          <cell r="D834" t="str">
            <v>22003</v>
          </cell>
          <cell r="E834" t="str">
            <v>TEE</v>
          </cell>
          <cell r="F834">
            <v>2</v>
          </cell>
          <cell r="G834" t="str">
            <v>CB300304000300</v>
          </cell>
          <cell r="H834">
            <v>3</v>
          </cell>
          <cell r="I834" t="str">
            <v>--</v>
          </cell>
          <cell r="J834">
            <v>2</v>
          </cell>
          <cell r="K834">
            <v>3</v>
          </cell>
        </row>
        <row r="835">
          <cell r="A835" t="str">
            <v>M1</v>
          </cell>
          <cell r="B835" t="str">
            <v>A5C</v>
          </cell>
          <cell r="C835" t="str">
            <v>P</v>
          </cell>
          <cell r="D835" t="str">
            <v>22004</v>
          </cell>
          <cell r="E835" t="str">
            <v>TEE</v>
          </cell>
          <cell r="F835">
            <v>2</v>
          </cell>
          <cell r="G835" t="str">
            <v>CB300304000300</v>
          </cell>
          <cell r="H835">
            <v>3</v>
          </cell>
          <cell r="I835" t="str">
            <v>--</v>
          </cell>
          <cell r="J835">
            <v>2</v>
          </cell>
          <cell r="K835">
            <v>3</v>
          </cell>
        </row>
        <row r="836">
          <cell r="A836" t="str">
            <v>M1</v>
          </cell>
          <cell r="B836" t="str">
            <v>A5C</v>
          </cell>
          <cell r="C836" t="str">
            <v>P</v>
          </cell>
          <cell r="D836" t="str">
            <v>22026</v>
          </cell>
          <cell r="E836" t="str">
            <v>TEE</v>
          </cell>
          <cell r="F836">
            <v>2</v>
          </cell>
          <cell r="G836" t="str">
            <v>CB300304000300</v>
          </cell>
          <cell r="H836">
            <v>3</v>
          </cell>
          <cell r="I836" t="str">
            <v>--</v>
          </cell>
          <cell r="J836">
            <v>2</v>
          </cell>
          <cell r="K836">
            <v>3</v>
          </cell>
        </row>
        <row r="837">
          <cell r="A837" t="str">
            <v>M1</v>
          </cell>
          <cell r="B837" t="str">
            <v>A4C</v>
          </cell>
          <cell r="C837" t="str">
            <v>P</v>
          </cell>
          <cell r="D837" t="str">
            <v>22003</v>
          </cell>
          <cell r="E837" t="str">
            <v>TOL</v>
          </cell>
          <cell r="F837">
            <v>2</v>
          </cell>
          <cell r="G837" t="str">
            <v>CB39030000030T</v>
          </cell>
          <cell r="H837">
            <v>3</v>
          </cell>
          <cell r="I837">
            <v>0.75</v>
          </cell>
          <cell r="J837">
            <v>1</v>
          </cell>
          <cell r="K837">
            <v>2</v>
          </cell>
        </row>
        <row r="838">
          <cell r="A838" t="str">
            <v>M1</v>
          </cell>
          <cell r="B838" t="str">
            <v>A6C</v>
          </cell>
          <cell r="C838" t="str">
            <v>HOR</v>
          </cell>
          <cell r="D838" t="str">
            <v>65621</v>
          </cell>
          <cell r="E838" t="str">
            <v>90 ELL</v>
          </cell>
          <cell r="F838">
            <v>2</v>
          </cell>
          <cell r="G838" t="str">
            <v>CB300104000300</v>
          </cell>
          <cell r="H838">
            <v>3</v>
          </cell>
          <cell r="I838" t="str">
            <v>--</v>
          </cell>
          <cell r="J838">
            <v>3</v>
          </cell>
          <cell r="K838">
            <v>4</v>
          </cell>
        </row>
        <row r="839">
          <cell r="A839" t="str">
            <v>M1</v>
          </cell>
          <cell r="B839" t="str">
            <v>A6C</v>
          </cell>
          <cell r="C839" t="str">
            <v>HOR</v>
          </cell>
          <cell r="D839" t="str">
            <v>65813</v>
          </cell>
          <cell r="E839" t="str">
            <v>90 ELL</v>
          </cell>
          <cell r="F839">
            <v>2</v>
          </cell>
          <cell r="G839" t="str">
            <v>CB300104000300</v>
          </cell>
          <cell r="H839">
            <v>3</v>
          </cell>
          <cell r="I839" t="str">
            <v>--</v>
          </cell>
          <cell r="J839">
            <v>1</v>
          </cell>
          <cell r="K839">
            <v>2</v>
          </cell>
        </row>
        <row r="840">
          <cell r="A840" t="str">
            <v>M1</v>
          </cell>
          <cell r="B840" t="str">
            <v>A6C</v>
          </cell>
          <cell r="C840" t="str">
            <v>HOS</v>
          </cell>
          <cell r="D840" t="str">
            <v>65612</v>
          </cell>
          <cell r="E840" t="str">
            <v>90 ELL</v>
          </cell>
          <cell r="F840">
            <v>2</v>
          </cell>
          <cell r="G840" t="str">
            <v>CB300104000300</v>
          </cell>
          <cell r="H840">
            <v>3</v>
          </cell>
          <cell r="I840" t="str">
            <v>--</v>
          </cell>
          <cell r="J840">
            <v>5</v>
          </cell>
          <cell r="K840">
            <v>6</v>
          </cell>
        </row>
        <row r="841">
          <cell r="A841" t="str">
            <v>M1</v>
          </cell>
          <cell r="B841" t="str">
            <v>A6C</v>
          </cell>
          <cell r="C841" t="str">
            <v>HOS</v>
          </cell>
          <cell r="D841" t="str">
            <v>65634</v>
          </cell>
          <cell r="E841" t="str">
            <v>90 ELL</v>
          </cell>
          <cell r="F841">
            <v>2</v>
          </cell>
          <cell r="G841" t="str">
            <v>CB300104000300</v>
          </cell>
          <cell r="H841">
            <v>3</v>
          </cell>
          <cell r="I841" t="str">
            <v>--</v>
          </cell>
          <cell r="J841">
            <v>4</v>
          </cell>
          <cell r="K841">
            <v>5</v>
          </cell>
        </row>
        <row r="842">
          <cell r="A842" t="str">
            <v>M1</v>
          </cell>
          <cell r="B842" t="str">
            <v>A5C</v>
          </cell>
          <cell r="C842" t="str">
            <v>P</v>
          </cell>
          <cell r="D842" t="str">
            <v>22088</v>
          </cell>
          <cell r="E842" t="str">
            <v>90 ELL</v>
          </cell>
          <cell r="F842">
            <v>2</v>
          </cell>
          <cell r="G842" t="str">
            <v>CB300104000300</v>
          </cell>
          <cell r="H842">
            <v>3</v>
          </cell>
          <cell r="I842" t="str">
            <v>--</v>
          </cell>
          <cell r="J842">
            <v>11</v>
          </cell>
          <cell r="K842">
            <v>13</v>
          </cell>
        </row>
        <row r="843">
          <cell r="A843" t="str">
            <v>M1</v>
          </cell>
          <cell r="B843" t="str">
            <v>A5C</v>
          </cell>
          <cell r="C843" t="str">
            <v>P</v>
          </cell>
          <cell r="D843" t="str">
            <v>22089</v>
          </cell>
          <cell r="E843" t="str">
            <v>90 ELL</v>
          </cell>
          <cell r="F843">
            <v>2</v>
          </cell>
          <cell r="G843" t="str">
            <v>CB300104000300</v>
          </cell>
          <cell r="H843">
            <v>3</v>
          </cell>
          <cell r="I843" t="str">
            <v>--</v>
          </cell>
          <cell r="J843">
            <v>5</v>
          </cell>
          <cell r="K843">
            <v>6</v>
          </cell>
        </row>
        <row r="844">
          <cell r="A844" t="str">
            <v>M1</v>
          </cell>
          <cell r="B844" t="str">
            <v>A5C</v>
          </cell>
          <cell r="C844" t="str">
            <v>P</v>
          </cell>
          <cell r="D844" t="str">
            <v>22096</v>
          </cell>
          <cell r="E844" t="str">
            <v>90 ELL</v>
          </cell>
          <cell r="F844">
            <v>2</v>
          </cell>
          <cell r="G844" t="str">
            <v>CB300104000300</v>
          </cell>
          <cell r="H844">
            <v>3</v>
          </cell>
          <cell r="I844" t="str">
            <v>--</v>
          </cell>
          <cell r="J844">
            <v>2</v>
          </cell>
          <cell r="K844">
            <v>3</v>
          </cell>
        </row>
        <row r="845">
          <cell r="A845" t="str">
            <v>M1</v>
          </cell>
          <cell r="B845" t="str">
            <v>A5C</v>
          </cell>
          <cell r="C845" t="str">
            <v>TRIM</v>
          </cell>
          <cell r="D845" t="str">
            <v>V-2216A</v>
          </cell>
          <cell r="E845" t="str">
            <v>90 ELL</v>
          </cell>
          <cell r="F845">
            <v>2</v>
          </cell>
          <cell r="G845" t="str">
            <v>CB300104000300</v>
          </cell>
          <cell r="H845">
            <v>3</v>
          </cell>
          <cell r="I845" t="str">
            <v>--</v>
          </cell>
          <cell r="J845">
            <v>1</v>
          </cell>
          <cell r="K845">
            <v>2</v>
          </cell>
        </row>
        <row r="846">
          <cell r="A846" t="str">
            <v>M1</v>
          </cell>
          <cell r="B846" t="str">
            <v>A5C</v>
          </cell>
          <cell r="C846" t="str">
            <v>TRIM</v>
          </cell>
          <cell r="D846" t="str">
            <v>V-2216B</v>
          </cell>
          <cell r="E846" t="str">
            <v>90 ELL</v>
          </cell>
          <cell r="F846">
            <v>2</v>
          </cell>
          <cell r="G846" t="str">
            <v>CB300104000300</v>
          </cell>
          <cell r="H846">
            <v>3</v>
          </cell>
          <cell r="I846" t="str">
            <v>--</v>
          </cell>
          <cell r="J846">
            <v>1</v>
          </cell>
          <cell r="K846">
            <v>2</v>
          </cell>
        </row>
        <row r="847">
          <cell r="A847" t="str">
            <v>M1</v>
          </cell>
          <cell r="B847" t="str">
            <v>A4C</v>
          </cell>
          <cell r="C847" t="str">
            <v>P</v>
          </cell>
          <cell r="D847" t="str">
            <v>22031</v>
          </cell>
          <cell r="E847" t="str">
            <v>C RED</v>
          </cell>
          <cell r="F847">
            <v>2</v>
          </cell>
          <cell r="G847" t="str">
            <v>CB300504080302</v>
          </cell>
          <cell r="H847">
            <v>3</v>
          </cell>
          <cell r="I847">
            <v>2</v>
          </cell>
          <cell r="J847">
            <v>5</v>
          </cell>
          <cell r="K847">
            <v>6</v>
          </cell>
        </row>
        <row r="848">
          <cell r="A848" t="str">
            <v>M1</v>
          </cell>
          <cell r="B848" t="str">
            <v>A4C</v>
          </cell>
          <cell r="C848" t="str">
            <v>P</v>
          </cell>
          <cell r="D848" t="str">
            <v>22031</v>
          </cell>
          <cell r="E848" t="str">
            <v>C RED</v>
          </cell>
          <cell r="F848">
            <v>2</v>
          </cell>
          <cell r="G848" t="str">
            <v>CB300504080302</v>
          </cell>
          <cell r="H848">
            <v>3</v>
          </cell>
          <cell r="I848">
            <v>2</v>
          </cell>
          <cell r="J848">
            <v>1</v>
          </cell>
          <cell r="K848">
            <v>2</v>
          </cell>
        </row>
        <row r="849">
          <cell r="A849" t="str">
            <v>M1</v>
          </cell>
          <cell r="B849" t="str">
            <v>A5C</v>
          </cell>
          <cell r="C849" t="str">
            <v>TRIM</v>
          </cell>
          <cell r="D849" t="str">
            <v>C-2201</v>
          </cell>
          <cell r="E849" t="str">
            <v>CAP</v>
          </cell>
          <cell r="F849">
            <v>2</v>
          </cell>
          <cell r="G849" t="str">
            <v>CB300704000300</v>
          </cell>
          <cell r="H849">
            <v>3</v>
          </cell>
          <cell r="I849" t="str">
            <v>--</v>
          </cell>
          <cell r="J849">
            <v>2</v>
          </cell>
          <cell r="K849">
            <v>3</v>
          </cell>
        </row>
        <row r="850">
          <cell r="A850" t="str">
            <v>M1</v>
          </cell>
          <cell r="B850" t="str">
            <v>A6C</v>
          </cell>
          <cell r="C850" t="str">
            <v>TRIM</v>
          </cell>
          <cell r="D850" t="str">
            <v>V-6501</v>
          </cell>
          <cell r="E850" t="str">
            <v>CAP</v>
          </cell>
          <cell r="F850">
            <v>2</v>
          </cell>
          <cell r="G850" t="str">
            <v>CB300704000300</v>
          </cell>
          <cell r="H850">
            <v>3</v>
          </cell>
          <cell r="I850" t="str">
            <v>--</v>
          </cell>
          <cell r="J850">
            <v>2</v>
          </cell>
          <cell r="K850">
            <v>3</v>
          </cell>
        </row>
        <row r="851">
          <cell r="A851" t="str">
            <v>M1</v>
          </cell>
          <cell r="B851" t="str">
            <v>A5C</v>
          </cell>
          <cell r="C851" t="str">
            <v>P</v>
          </cell>
          <cell r="D851" t="str">
            <v>22096</v>
          </cell>
          <cell r="E851" t="str">
            <v>E RED</v>
          </cell>
          <cell r="F851">
            <v>2</v>
          </cell>
          <cell r="G851" t="str">
            <v>CB300604080302</v>
          </cell>
          <cell r="H851">
            <v>3</v>
          </cell>
          <cell r="I851">
            <v>2</v>
          </cell>
          <cell r="J851">
            <v>1</v>
          </cell>
          <cell r="K851">
            <v>2</v>
          </cell>
        </row>
        <row r="852">
          <cell r="A852" t="str">
            <v>M1</v>
          </cell>
          <cell r="B852" t="str">
            <v>A5C</v>
          </cell>
          <cell r="C852" t="str">
            <v>TRIM</v>
          </cell>
          <cell r="D852" t="str">
            <v>C-2201</v>
          </cell>
          <cell r="E852" t="str">
            <v>SOL</v>
          </cell>
          <cell r="F852">
            <v>2</v>
          </cell>
          <cell r="G852" t="str">
            <v>CB39020000030T</v>
          </cell>
          <cell r="H852">
            <v>3</v>
          </cell>
          <cell r="I852">
            <v>0.75</v>
          </cell>
          <cell r="J852">
            <v>4</v>
          </cell>
          <cell r="K852">
            <v>5</v>
          </cell>
        </row>
        <row r="853">
          <cell r="A853" t="str">
            <v>M1</v>
          </cell>
          <cell r="B853" t="str">
            <v>A6C</v>
          </cell>
          <cell r="C853" t="str">
            <v>TRIM</v>
          </cell>
          <cell r="D853" t="str">
            <v>V-6501</v>
          </cell>
          <cell r="E853" t="str">
            <v>SOL</v>
          </cell>
          <cell r="F853">
            <v>2</v>
          </cell>
          <cell r="G853" t="str">
            <v>CB39020000030T</v>
          </cell>
          <cell r="H853">
            <v>3</v>
          </cell>
          <cell r="I853">
            <v>0.75</v>
          </cell>
          <cell r="J853">
            <v>6</v>
          </cell>
          <cell r="K853">
            <v>7</v>
          </cell>
        </row>
        <row r="854">
          <cell r="A854" t="str">
            <v>M1</v>
          </cell>
          <cell r="B854" t="str">
            <v>A5C</v>
          </cell>
          <cell r="C854" t="str">
            <v>P</v>
          </cell>
          <cell r="D854" t="str">
            <v>22088</v>
          </cell>
          <cell r="E854" t="str">
            <v>SOL</v>
          </cell>
          <cell r="F854">
            <v>2</v>
          </cell>
          <cell r="G854" t="str">
            <v>CB39020000030T</v>
          </cell>
          <cell r="H854">
            <v>3</v>
          </cell>
          <cell r="I854">
            <v>0.75</v>
          </cell>
          <cell r="J854">
            <v>3</v>
          </cell>
          <cell r="K854">
            <v>4</v>
          </cell>
        </row>
        <row r="855">
          <cell r="A855" t="str">
            <v>M1</v>
          </cell>
          <cell r="B855" t="str">
            <v>A5C</v>
          </cell>
          <cell r="C855" t="str">
            <v>P</v>
          </cell>
          <cell r="D855" t="str">
            <v>22089</v>
          </cell>
          <cell r="E855" t="str">
            <v>SOL</v>
          </cell>
          <cell r="F855">
            <v>2</v>
          </cell>
          <cell r="G855" t="str">
            <v>CB39020000030T</v>
          </cell>
          <cell r="H855">
            <v>3</v>
          </cell>
          <cell r="I855">
            <v>0.75</v>
          </cell>
          <cell r="J855">
            <v>1</v>
          </cell>
          <cell r="K855">
            <v>2</v>
          </cell>
        </row>
        <row r="856">
          <cell r="A856" t="str">
            <v>M1</v>
          </cell>
          <cell r="B856" t="str">
            <v>A5C</v>
          </cell>
          <cell r="C856" t="str">
            <v>TRIM</v>
          </cell>
          <cell r="D856" t="str">
            <v>C-2201</v>
          </cell>
          <cell r="E856" t="str">
            <v>TEE</v>
          </cell>
          <cell r="F856">
            <v>2</v>
          </cell>
          <cell r="G856" t="str">
            <v>CB300304000300</v>
          </cell>
          <cell r="H856">
            <v>3</v>
          </cell>
          <cell r="I856" t="str">
            <v>--</v>
          </cell>
          <cell r="J856">
            <v>2</v>
          </cell>
          <cell r="K856">
            <v>3</v>
          </cell>
        </row>
        <row r="857">
          <cell r="A857" t="str">
            <v>M1</v>
          </cell>
          <cell r="B857" t="str">
            <v>A5C</v>
          </cell>
          <cell r="C857" t="str">
            <v>P</v>
          </cell>
          <cell r="D857" t="str">
            <v>22088</v>
          </cell>
          <cell r="E857" t="str">
            <v>TEE</v>
          </cell>
          <cell r="F857">
            <v>2</v>
          </cell>
          <cell r="G857" t="str">
            <v>CB300304000300</v>
          </cell>
          <cell r="H857">
            <v>3</v>
          </cell>
          <cell r="I857" t="str">
            <v>--</v>
          </cell>
          <cell r="J857">
            <v>2</v>
          </cell>
          <cell r="K857">
            <v>3</v>
          </cell>
        </row>
        <row r="858">
          <cell r="A858" t="str">
            <v>M1</v>
          </cell>
          <cell r="B858" t="str">
            <v>A5C</v>
          </cell>
          <cell r="C858" t="str">
            <v>P</v>
          </cell>
          <cell r="D858" t="str">
            <v>21005</v>
          </cell>
          <cell r="E858" t="str">
            <v>12D 90 BEND</v>
          </cell>
          <cell r="F858">
            <v>2</v>
          </cell>
          <cell r="G858" t="str">
            <v>CB309004000400</v>
          </cell>
          <cell r="H858">
            <v>4</v>
          </cell>
          <cell r="I858" t="str">
            <v>--</v>
          </cell>
          <cell r="J858">
            <v>5</v>
          </cell>
          <cell r="K858">
            <v>6</v>
          </cell>
        </row>
        <row r="859">
          <cell r="A859" t="str">
            <v>M1</v>
          </cell>
          <cell r="B859" t="str">
            <v>A5C</v>
          </cell>
          <cell r="C859" t="str">
            <v>P</v>
          </cell>
          <cell r="D859" t="str">
            <v>22057</v>
          </cell>
          <cell r="E859" t="str">
            <v>45 ELL</v>
          </cell>
          <cell r="F859">
            <v>2</v>
          </cell>
          <cell r="G859" t="str">
            <v>CB300204000400</v>
          </cell>
          <cell r="H859">
            <v>4</v>
          </cell>
          <cell r="I859" t="str">
            <v>--</v>
          </cell>
          <cell r="J859">
            <v>2</v>
          </cell>
          <cell r="K859">
            <v>3</v>
          </cell>
        </row>
        <row r="860">
          <cell r="A860" t="str">
            <v>M1</v>
          </cell>
          <cell r="B860" t="str">
            <v>A5C</v>
          </cell>
          <cell r="C860" t="str">
            <v>P</v>
          </cell>
          <cell r="D860" t="str">
            <v>22021</v>
          </cell>
          <cell r="E860" t="str">
            <v>45 ELL</v>
          </cell>
          <cell r="F860">
            <v>2</v>
          </cell>
          <cell r="G860" t="str">
            <v>CB300204000400</v>
          </cell>
          <cell r="H860">
            <v>4</v>
          </cell>
          <cell r="I860" t="str">
            <v>--</v>
          </cell>
          <cell r="J860">
            <v>2</v>
          </cell>
          <cell r="K860">
            <v>3</v>
          </cell>
        </row>
        <row r="861">
          <cell r="A861" t="str">
            <v>M1</v>
          </cell>
          <cell r="B861" t="str">
            <v>A5C</v>
          </cell>
          <cell r="C861" t="str">
            <v>P</v>
          </cell>
          <cell r="D861" t="str">
            <v>22069</v>
          </cell>
          <cell r="E861" t="str">
            <v>45 ELL</v>
          </cell>
          <cell r="F861">
            <v>2</v>
          </cell>
          <cell r="G861" t="str">
            <v>CB300204000400</v>
          </cell>
          <cell r="H861">
            <v>4</v>
          </cell>
          <cell r="I861" t="str">
            <v>--</v>
          </cell>
          <cell r="J861">
            <v>1</v>
          </cell>
          <cell r="K861">
            <v>2</v>
          </cell>
        </row>
        <row r="862">
          <cell r="A862" t="str">
            <v>M1</v>
          </cell>
          <cell r="B862" t="str">
            <v>A4C</v>
          </cell>
          <cell r="C862" t="str">
            <v>N</v>
          </cell>
          <cell r="D862" t="str">
            <v>22611</v>
          </cell>
          <cell r="E862" t="str">
            <v>90 ELL</v>
          </cell>
          <cell r="F862">
            <v>2</v>
          </cell>
          <cell r="G862" t="str">
            <v>CB300104000400</v>
          </cell>
          <cell r="H862">
            <v>4</v>
          </cell>
          <cell r="I862" t="str">
            <v>--</v>
          </cell>
          <cell r="J862">
            <v>2</v>
          </cell>
          <cell r="K862">
            <v>3</v>
          </cell>
        </row>
        <row r="863">
          <cell r="A863" t="str">
            <v>M1</v>
          </cell>
          <cell r="B863" t="str">
            <v>A5C</v>
          </cell>
          <cell r="C863" t="str">
            <v>COMP</v>
          </cell>
          <cell r="D863" t="str">
            <v>005</v>
          </cell>
          <cell r="E863" t="str">
            <v>90 ELL</v>
          </cell>
          <cell r="F863">
            <v>2</v>
          </cell>
          <cell r="G863" t="str">
            <v>CB300104000400</v>
          </cell>
          <cell r="H863">
            <v>4</v>
          </cell>
          <cell r="I863" t="str">
            <v>--</v>
          </cell>
          <cell r="J863">
            <v>3</v>
          </cell>
          <cell r="K863">
            <v>4</v>
          </cell>
        </row>
        <row r="864">
          <cell r="A864" t="str">
            <v>M1</v>
          </cell>
          <cell r="B864" t="str">
            <v>A5C</v>
          </cell>
          <cell r="C864" t="str">
            <v>P</v>
          </cell>
          <cell r="D864" t="str">
            <v>22069</v>
          </cell>
          <cell r="E864" t="str">
            <v>90 ELL</v>
          </cell>
          <cell r="F864">
            <v>2</v>
          </cell>
          <cell r="G864" t="str">
            <v>CB300104000400</v>
          </cell>
          <cell r="H864">
            <v>4</v>
          </cell>
          <cell r="I864" t="str">
            <v>--</v>
          </cell>
          <cell r="J864">
            <v>4</v>
          </cell>
          <cell r="K864">
            <v>5</v>
          </cell>
        </row>
        <row r="865">
          <cell r="A865" t="str">
            <v>M1</v>
          </cell>
          <cell r="B865" t="str">
            <v>A5C</v>
          </cell>
          <cell r="C865" t="str">
            <v>P</v>
          </cell>
          <cell r="D865" t="str">
            <v>22069</v>
          </cell>
          <cell r="E865" t="str">
            <v>90 ELL</v>
          </cell>
          <cell r="F865">
            <v>2</v>
          </cell>
          <cell r="G865" t="str">
            <v>CB300104000400</v>
          </cell>
          <cell r="H865">
            <v>4</v>
          </cell>
          <cell r="I865" t="str">
            <v>--</v>
          </cell>
          <cell r="J865">
            <v>8</v>
          </cell>
          <cell r="K865">
            <v>10</v>
          </cell>
        </row>
        <row r="866">
          <cell r="A866" t="str">
            <v>M1</v>
          </cell>
          <cell r="B866" t="str">
            <v>A5C</v>
          </cell>
          <cell r="C866" t="str">
            <v>P</v>
          </cell>
          <cell r="D866" t="str">
            <v>22139</v>
          </cell>
          <cell r="E866" t="str">
            <v>90 ELL</v>
          </cell>
          <cell r="F866">
            <v>2</v>
          </cell>
          <cell r="G866" t="str">
            <v>CB300104000400</v>
          </cell>
          <cell r="H866">
            <v>4</v>
          </cell>
          <cell r="I866" t="str">
            <v>--</v>
          </cell>
          <cell r="J866">
            <v>2</v>
          </cell>
          <cell r="K866">
            <v>3</v>
          </cell>
        </row>
        <row r="867">
          <cell r="A867" t="str">
            <v>M1</v>
          </cell>
          <cell r="B867" t="str">
            <v>A5C</v>
          </cell>
          <cell r="C867" t="str">
            <v>TRIM</v>
          </cell>
          <cell r="D867" t="str">
            <v>V-2211</v>
          </cell>
          <cell r="E867" t="str">
            <v>90 ELL</v>
          </cell>
          <cell r="F867">
            <v>2</v>
          </cell>
          <cell r="G867" t="str">
            <v>CB300104000400</v>
          </cell>
          <cell r="H867">
            <v>4</v>
          </cell>
          <cell r="I867" t="str">
            <v>--</v>
          </cell>
          <cell r="J867">
            <v>1</v>
          </cell>
          <cell r="K867">
            <v>2</v>
          </cell>
        </row>
        <row r="868">
          <cell r="A868" t="str">
            <v>M1</v>
          </cell>
          <cell r="B868" t="str">
            <v>A5C</v>
          </cell>
          <cell r="C868" t="str">
            <v>TRIM</v>
          </cell>
          <cell r="D868" t="str">
            <v>X-2220</v>
          </cell>
          <cell r="E868" t="str">
            <v>90 ELL</v>
          </cell>
          <cell r="F868">
            <v>2</v>
          </cell>
          <cell r="G868" t="str">
            <v>CB300104000400</v>
          </cell>
          <cell r="H868">
            <v>4</v>
          </cell>
          <cell r="I868" t="str">
            <v>--</v>
          </cell>
          <cell r="J868">
            <v>1</v>
          </cell>
          <cell r="K868">
            <v>2</v>
          </cell>
        </row>
        <row r="869">
          <cell r="A869" t="str">
            <v>M1</v>
          </cell>
          <cell r="B869" t="str">
            <v>A5C</v>
          </cell>
          <cell r="C869" t="str">
            <v>P</v>
          </cell>
          <cell r="D869" t="str">
            <v>22082</v>
          </cell>
          <cell r="E869" t="str">
            <v>90 ELL</v>
          </cell>
          <cell r="F869">
            <v>2</v>
          </cell>
          <cell r="G869" t="str">
            <v>CB300104000400</v>
          </cell>
          <cell r="H869">
            <v>4</v>
          </cell>
          <cell r="I869" t="str">
            <v>--</v>
          </cell>
          <cell r="J869">
            <v>7</v>
          </cell>
          <cell r="K869">
            <v>9</v>
          </cell>
        </row>
        <row r="870">
          <cell r="A870" t="str">
            <v>M1</v>
          </cell>
          <cell r="B870" t="str">
            <v>A5C</v>
          </cell>
          <cell r="C870" t="str">
            <v>P</v>
          </cell>
          <cell r="D870" t="str">
            <v>22069</v>
          </cell>
          <cell r="E870" t="str">
            <v>C RED</v>
          </cell>
          <cell r="F870">
            <v>2</v>
          </cell>
          <cell r="G870" t="str">
            <v>CB300504080402</v>
          </cell>
          <cell r="H870">
            <v>4</v>
          </cell>
          <cell r="I870">
            <v>2</v>
          </cell>
          <cell r="J870">
            <v>1</v>
          </cell>
          <cell r="K870">
            <v>2</v>
          </cell>
        </row>
        <row r="871">
          <cell r="A871" t="str">
            <v>M1</v>
          </cell>
          <cell r="B871" t="str">
            <v>A5C</v>
          </cell>
          <cell r="C871" t="str">
            <v>P</v>
          </cell>
          <cell r="D871" t="str">
            <v>22118</v>
          </cell>
          <cell r="E871" t="str">
            <v>C RED</v>
          </cell>
          <cell r="F871">
            <v>2</v>
          </cell>
          <cell r="G871" t="str">
            <v>CB300504040403</v>
          </cell>
          <cell r="H871">
            <v>4</v>
          </cell>
          <cell r="I871">
            <v>3</v>
          </cell>
          <cell r="J871">
            <v>1</v>
          </cell>
          <cell r="K871">
            <v>2</v>
          </cell>
        </row>
        <row r="872">
          <cell r="A872" t="str">
            <v>M1</v>
          </cell>
          <cell r="B872" t="str">
            <v>A5C</v>
          </cell>
          <cell r="C872" t="str">
            <v>TRIM</v>
          </cell>
          <cell r="D872" t="str">
            <v>V-2211</v>
          </cell>
          <cell r="E872" t="str">
            <v>C RED</v>
          </cell>
          <cell r="F872">
            <v>2</v>
          </cell>
          <cell r="G872" t="str">
            <v>CB300504040403</v>
          </cell>
          <cell r="H872">
            <v>4</v>
          </cell>
          <cell r="I872">
            <v>3</v>
          </cell>
          <cell r="J872">
            <v>1</v>
          </cell>
          <cell r="K872">
            <v>2</v>
          </cell>
        </row>
        <row r="873">
          <cell r="A873" t="str">
            <v>M1</v>
          </cell>
          <cell r="B873" t="str">
            <v>A5C</v>
          </cell>
          <cell r="C873" t="str">
            <v>P</v>
          </cell>
          <cell r="D873" t="str">
            <v>22102</v>
          </cell>
          <cell r="E873" t="str">
            <v>CAP</v>
          </cell>
          <cell r="F873">
            <v>2</v>
          </cell>
          <cell r="G873" t="str">
            <v>CB300704000400</v>
          </cell>
          <cell r="H873">
            <v>4</v>
          </cell>
          <cell r="I873" t="str">
            <v>--</v>
          </cell>
          <cell r="J873">
            <v>2</v>
          </cell>
          <cell r="K873">
            <v>3</v>
          </cell>
        </row>
        <row r="874">
          <cell r="A874" t="str">
            <v>M1</v>
          </cell>
          <cell r="B874" t="str">
            <v>A5C</v>
          </cell>
          <cell r="C874" t="str">
            <v>COMP</v>
          </cell>
          <cell r="D874" t="str">
            <v>005</v>
          </cell>
          <cell r="E874" t="str">
            <v>E RED</v>
          </cell>
          <cell r="F874">
            <v>2</v>
          </cell>
          <cell r="G874" t="str">
            <v>CB300604080402</v>
          </cell>
          <cell r="H874">
            <v>4</v>
          </cell>
          <cell r="I874">
            <v>2</v>
          </cell>
          <cell r="J874">
            <v>1</v>
          </cell>
          <cell r="K874">
            <v>2</v>
          </cell>
        </row>
        <row r="875">
          <cell r="A875" t="str">
            <v>M1</v>
          </cell>
          <cell r="B875" t="str">
            <v>A5C</v>
          </cell>
          <cell r="C875" t="str">
            <v>P</v>
          </cell>
          <cell r="D875" t="str">
            <v>22109</v>
          </cell>
          <cell r="E875" t="str">
            <v>E RED</v>
          </cell>
          <cell r="F875">
            <v>2</v>
          </cell>
          <cell r="G875" t="str">
            <v>CB300604080402</v>
          </cell>
          <cell r="H875">
            <v>4</v>
          </cell>
          <cell r="I875">
            <v>2</v>
          </cell>
          <cell r="J875">
            <v>2</v>
          </cell>
          <cell r="K875">
            <v>3</v>
          </cell>
        </row>
        <row r="876">
          <cell r="A876" t="str">
            <v>M1</v>
          </cell>
          <cell r="B876" t="str">
            <v>A5C</v>
          </cell>
          <cell r="C876" t="str">
            <v>P</v>
          </cell>
          <cell r="D876" t="str">
            <v>22021</v>
          </cell>
          <cell r="E876" t="str">
            <v>SOL</v>
          </cell>
          <cell r="F876">
            <v>2</v>
          </cell>
          <cell r="G876" t="str">
            <v>CB39020000040T</v>
          </cell>
          <cell r="H876">
            <v>4</v>
          </cell>
          <cell r="I876">
            <v>0.75</v>
          </cell>
          <cell r="J876">
            <v>1</v>
          </cell>
          <cell r="K876">
            <v>2</v>
          </cell>
        </row>
        <row r="877">
          <cell r="A877" t="str">
            <v>M1</v>
          </cell>
          <cell r="B877" t="str">
            <v>A5C</v>
          </cell>
          <cell r="C877" t="str">
            <v>P</v>
          </cell>
          <cell r="D877" t="str">
            <v>22024</v>
          </cell>
          <cell r="E877" t="str">
            <v>SOL</v>
          </cell>
          <cell r="F877">
            <v>2</v>
          </cell>
          <cell r="G877" t="str">
            <v>CB39020000040T</v>
          </cell>
          <cell r="H877">
            <v>4</v>
          </cell>
          <cell r="I877">
            <v>0.75</v>
          </cell>
          <cell r="J877">
            <v>1</v>
          </cell>
          <cell r="K877">
            <v>2</v>
          </cell>
        </row>
        <row r="878">
          <cell r="A878" t="str">
            <v>M1</v>
          </cell>
          <cell r="B878" t="str">
            <v>A5C</v>
          </cell>
          <cell r="C878" t="str">
            <v>P</v>
          </cell>
          <cell r="D878" t="str">
            <v>22069</v>
          </cell>
          <cell r="E878" t="str">
            <v>SOL</v>
          </cell>
          <cell r="F878">
            <v>2</v>
          </cell>
          <cell r="G878" t="str">
            <v>CB39020000040T</v>
          </cell>
          <cell r="H878">
            <v>4</v>
          </cell>
          <cell r="I878">
            <v>0.75</v>
          </cell>
          <cell r="J878">
            <v>4</v>
          </cell>
          <cell r="K878">
            <v>5</v>
          </cell>
        </row>
        <row r="879">
          <cell r="A879" t="str">
            <v>M1</v>
          </cell>
          <cell r="B879" t="str">
            <v>A5C</v>
          </cell>
          <cell r="C879" t="str">
            <v>P</v>
          </cell>
          <cell r="D879" t="str">
            <v>22069</v>
          </cell>
          <cell r="E879" t="str">
            <v>SOL</v>
          </cell>
          <cell r="F879">
            <v>2</v>
          </cell>
          <cell r="G879" t="str">
            <v>CB3902000004IH</v>
          </cell>
          <cell r="H879">
            <v>4</v>
          </cell>
          <cell r="I879">
            <v>1.5</v>
          </cell>
          <cell r="J879">
            <v>1</v>
          </cell>
          <cell r="K879">
            <v>2</v>
          </cell>
        </row>
        <row r="880">
          <cell r="A880" t="str">
            <v>M1</v>
          </cell>
          <cell r="B880" t="str">
            <v>A5C</v>
          </cell>
          <cell r="C880" t="str">
            <v>P</v>
          </cell>
          <cell r="D880" t="str">
            <v>22069</v>
          </cell>
          <cell r="E880" t="str">
            <v>SOL</v>
          </cell>
          <cell r="F880">
            <v>2</v>
          </cell>
          <cell r="G880" t="str">
            <v>CB390200000401</v>
          </cell>
          <cell r="H880">
            <v>4</v>
          </cell>
          <cell r="I880">
            <v>1</v>
          </cell>
          <cell r="J880">
            <v>1</v>
          </cell>
          <cell r="K880">
            <v>2</v>
          </cell>
        </row>
        <row r="881">
          <cell r="A881" t="str">
            <v>M1</v>
          </cell>
          <cell r="B881" t="str">
            <v>A5C</v>
          </cell>
          <cell r="C881" t="str">
            <v>P</v>
          </cell>
          <cell r="D881" t="str">
            <v>22069</v>
          </cell>
          <cell r="E881" t="str">
            <v>SOL</v>
          </cell>
          <cell r="F881">
            <v>2</v>
          </cell>
          <cell r="G881" t="str">
            <v>CB39020000040T</v>
          </cell>
          <cell r="H881">
            <v>4</v>
          </cell>
          <cell r="I881">
            <v>0.75</v>
          </cell>
          <cell r="J881">
            <v>1</v>
          </cell>
          <cell r="K881">
            <v>2</v>
          </cell>
        </row>
        <row r="882">
          <cell r="A882" t="str">
            <v>M1</v>
          </cell>
          <cell r="B882" t="str">
            <v>A5C</v>
          </cell>
          <cell r="C882" t="str">
            <v>P</v>
          </cell>
          <cell r="D882" t="str">
            <v>22082</v>
          </cell>
          <cell r="E882" t="str">
            <v>SOL</v>
          </cell>
          <cell r="F882">
            <v>2</v>
          </cell>
          <cell r="G882" t="str">
            <v>CB39020000040T</v>
          </cell>
          <cell r="H882">
            <v>4</v>
          </cell>
          <cell r="I882">
            <v>0.75</v>
          </cell>
          <cell r="J882">
            <v>2</v>
          </cell>
          <cell r="K882">
            <v>3</v>
          </cell>
        </row>
        <row r="883">
          <cell r="A883" t="str">
            <v>M1</v>
          </cell>
          <cell r="B883" t="str">
            <v>A5C</v>
          </cell>
          <cell r="C883" t="str">
            <v>P</v>
          </cell>
          <cell r="D883" t="str">
            <v>22139</v>
          </cell>
          <cell r="E883" t="str">
            <v>SOL</v>
          </cell>
          <cell r="F883">
            <v>2</v>
          </cell>
          <cell r="G883" t="str">
            <v>CB39020000040T</v>
          </cell>
          <cell r="H883">
            <v>4</v>
          </cell>
          <cell r="I883">
            <v>0.75</v>
          </cell>
          <cell r="J883">
            <v>2</v>
          </cell>
          <cell r="K883">
            <v>3</v>
          </cell>
        </row>
        <row r="884">
          <cell r="A884" t="str">
            <v>M1</v>
          </cell>
          <cell r="B884" t="str">
            <v>A5C</v>
          </cell>
          <cell r="C884" t="str">
            <v>TRIM</v>
          </cell>
          <cell r="D884" t="str">
            <v>V-2211</v>
          </cell>
          <cell r="E884" t="str">
            <v>SOL</v>
          </cell>
          <cell r="F884">
            <v>2</v>
          </cell>
          <cell r="G884" t="str">
            <v>CB39020000040T</v>
          </cell>
          <cell r="H884">
            <v>4</v>
          </cell>
          <cell r="I884">
            <v>0.75</v>
          </cell>
          <cell r="J884">
            <v>1</v>
          </cell>
          <cell r="K884">
            <v>2</v>
          </cell>
        </row>
        <row r="885">
          <cell r="A885" t="str">
            <v>M1</v>
          </cell>
          <cell r="B885" t="str">
            <v>A5C</v>
          </cell>
          <cell r="C885" t="str">
            <v>P</v>
          </cell>
          <cell r="D885" t="str">
            <v>22102</v>
          </cell>
          <cell r="E885" t="str">
            <v>SOL</v>
          </cell>
          <cell r="F885">
            <v>2</v>
          </cell>
          <cell r="G885" t="str">
            <v>CB3902000004IH</v>
          </cell>
          <cell r="H885">
            <v>4</v>
          </cell>
          <cell r="I885">
            <v>1.5</v>
          </cell>
          <cell r="J885">
            <v>2</v>
          </cell>
          <cell r="K885">
            <v>3</v>
          </cell>
        </row>
        <row r="886">
          <cell r="A886" t="str">
            <v>M1</v>
          </cell>
          <cell r="B886" t="str">
            <v>A5C</v>
          </cell>
          <cell r="C886" t="str">
            <v>P</v>
          </cell>
          <cell r="D886" t="str">
            <v>22069</v>
          </cell>
          <cell r="E886" t="str">
            <v>TEE</v>
          </cell>
          <cell r="F886">
            <v>2</v>
          </cell>
          <cell r="G886" t="str">
            <v>CB300304000400</v>
          </cell>
          <cell r="H886">
            <v>4</v>
          </cell>
          <cell r="I886" t="str">
            <v>--</v>
          </cell>
          <cell r="J886">
            <v>1</v>
          </cell>
          <cell r="K886">
            <v>2</v>
          </cell>
        </row>
        <row r="887">
          <cell r="A887" t="str">
            <v>M1</v>
          </cell>
          <cell r="B887" t="str">
            <v>A5C</v>
          </cell>
          <cell r="C887" t="str">
            <v>P</v>
          </cell>
          <cell r="D887" t="str">
            <v>22069</v>
          </cell>
          <cell r="E887" t="str">
            <v>TEE</v>
          </cell>
          <cell r="F887">
            <v>2</v>
          </cell>
          <cell r="G887" t="str">
            <v>CB300304000400</v>
          </cell>
          <cell r="H887">
            <v>4</v>
          </cell>
          <cell r="I887" t="str">
            <v>--</v>
          </cell>
          <cell r="J887">
            <v>3</v>
          </cell>
          <cell r="K887">
            <v>4</v>
          </cell>
        </row>
        <row r="888">
          <cell r="A888" t="str">
            <v>M1</v>
          </cell>
          <cell r="B888" t="str">
            <v>A5C</v>
          </cell>
          <cell r="C888" t="str">
            <v>P</v>
          </cell>
          <cell r="D888" t="str">
            <v>22139</v>
          </cell>
          <cell r="E888" t="str">
            <v>TEE</v>
          </cell>
          <cell r="F888">
            <v>2</v>
          </cell>
          <cell r="G888" t="str">
            <v>CB300304000400</v>
          </cell>
          <cell r="H888">
            <v>4</v>
          </cell>
          <cell r="I888" t="str">
            <v>--</v>
          </cell>
          <cell r="J888">
            <v>1</v>
          </cell>
          <cell r="K888">
            <v>2</v>
          </cell>
        </row>
        <row r="889">
          <cell r="A889" t="str">
            <v>M1</v>
          </cell>
          <cell r="B889" t="str">
            <v>A5C</v>
          </cell>
          <cell r="C889" t="str">
            <v>P</v>
          </cell>
          <cell r="D889" t="str">
            <v>22094</v>
          </cell>
          <cell r="E889" t="str">
            <v>90 ELL</v>
          </cell>
          <cell r="F889">
            <v>2</v>
          </cell>
          <cell r="G889" t="str">
            <v>CB300104000400</v>
          </cell>
          <cell r="H889">
            <v>4</v>
          </cell>
          <cell r="I889" t="str">
            <v>--</v>
          </cell>
          <cell r="J889">
            <v>8</v>
          </cell>
          <cell r="K889">
            <v>10</v>
          </cell>
        </row>
        <row r="890">
          <cell r="A890" t="str">
            <v>M1</v>
          </cell>
          <cell r="B890" t="str">
            <v>A5C</v>
          </cell>
          <cell r="C890" t="str">
            <v>P</v>
          </cell>
          <cell r="D890" t="str">
            <v>22099</v>
          </cell>
          <cell r="E890" t="str">
            <v>90 ELL</v>
          </cell>
          <cell r="F890">
            <v>2</v>
          </cell>
          <cell r="G890" t="str">
            <v>CB300104000400</v>
          </cell>
          <cell r="H890">
            <v>4</v>
          </cell>
          <cell r="I890" t="str">
            <v>--</v>
          </cell>
          <cell r="J890">
            <v>5</v>
          </cell>
          <cell r="K890">
            <v>6</v>
          </cell>
        </row>
        <row r="891">
          <cell r="A891" t="str">
            <v>M1</v>
          </cell>
          <cell r="B891" t="str">
            <v>A5C</v>
          </cell>
          <cell r="C891" t="str">
            <v>P</v>
          </cell>
          <cell r="D891" t="str">
            <v>22095</v>
          </cell>
          <cell r="E891" t="str">
            <v>90 ELL</v>
          </cell>
          <cell r="F891">
            <v>2</v>
          </cell>
          <cell r="G891" t="str">
            <v>CB300104000400</v>
          </cell>
          <cell r="H891">
            <v>4</v>
          </cell>
          <cell r="I891" t="str">
            <v>--</v>
          </cell>
          <cell r="J891">
            <v>8</v>
          </cell>
          <cell r="K891">
            <v>10</v>
          </cell>
        </row>
        <row r="892">
          <cell r="A892" t="str">
            <v>M1</v>
          </cell>
          <cell r="B892" t="str">
            <v>A5C</v>
          </cell>
          <cell r="C892" t="str">
            <v>P</v>
          </cell>
          <cell r="D892" t="str">
            <v>22094</v>
          </cell>
          <cell r="E892" t="str">
            <v>E RED</v>
          </cell>
          <cell r="F892">
            <v>2</v>
          </cell>
          <cell r="G892" t="str">
            <v>CB300604040403</v>
          </cell>
          <cell r="H892">
            <v>4</v>
          </cell>
          <cell r="I892">
            <v>3</v>
          </cell>
          <cell r="J892">
            <v>2</v>
          </cell>
          <cell r="K892">
            <v>3</v>
          </cell>
        </row>
        <row r="893">
          <cell r="A893" t="str">
            <v>M1</v>
          </cell>
          <cell r="B893" t="str">
            <v>A5C</v>
          </cell>
          <cell r="C893" t="str">
            <v>P</v>
          </cell>
          <cell r="D893" t="str">
            <v>22095</v>
          </cell>
          <cell r="E893" t="str">
            <v>E RED</v>
          </cell>
          <cell r="F893">
            <v>2</v>
          </cell>
          <cell r="G893" t="str">
            <v>CB300604040403</v>
          </cell>
          <cell r="H893">
            <v>4</v>
          </cell>
          <cell r="I893">
            <v>3</v>
          </cell>
          <cell r="J893">
            <v>2</v>
          </cell>
          <cell r="K893">
            <v>3</v>
          </cell>
        </row>
        <row r="894">
          <cell r="A894" t="str">
            <v>M1</v>
          </cell>
          <cell r="B894" t="str">
            <v>A5C</v>
          </cell>
          <cell r="C894" t="str">
            <v>P</v>
          </cell>
          <cell r="D894" t="str">
            <v>22099</v>
          </cell>
          <cell r="E894" t="str">
            <v>SOL</v>
          </cell>
          <cell r="F894">
            <v>2</v>
          </cell>
          <cell r="G894" t="str">
            <v>CB39020000040T</v>
          </cell>
          <cell r="H894">
            <v>4</v>
          </cell>
          <cell r="I894">
            <v>0.75</v>
          </cell>
          <cell r="J894">
            <v>2</v>
          </cell>
          <cell r="K894">
            <v>3</v>
          </cell>
        </row>
        <row r="895">
          <cell r="A895" t="str">
            <v>M1</v>
          </cell>
          <cell r="B895" t="str">
            <v>A5C</v>
          </cell>
          <cell r="C895" t="str">
            <v>P</v>
          </cell>
          <cell r="D895" t="str">
            <v>22099</v>
          </cell>
          <cell r="E895" t="str">
            <v>SOL</v>
          </cell>
          <cell r="F895">
            <v>2</v>
          </cell>
          <cell r="G895" t="str">
            <v>CB3902000004IH</v>
          </cell>
          <cell r="H895">
            <v>4</v>
          </cell>
          <cell r="I895">
            <v>1.5</v>
          </cell>
          <cell r="J895">
            <v>1</v>
          </cell>
          <cell r="K895">
            <v>2</v>
          </cell>
        </row>
        <row r="896">
          <cell r="A896" t="str">
            <v>M1</v>
          </cell>
          <cell r="B896" t="str">
            <v>A5C</v>
          </cell>
          <cell r="C896" t="str">
            <v>P</v>
          </cell>
          <cell r="D896" t="str">
            <v>22059</v>
          </cell>
          <cell r="E896" t="str">
            <v>45 ELL</v>
          </cell>
          <cell r="F896">
            <v>2</v>
          </cell>
          <cell r="G896" t="str">
            <v>CB300204000400</v>
          </cell>
          <cell r="H896">
            <v>4</v>
          </cell>
          <cell r="I896" t="str">
            <v>--</v>
          </cell>
          <cell r="J896">
            <v>2</v>
          </cell>
          <cell r="K896">
            <v>3</v>
          </cell>
        </row>
        <row r="897">
          <cell r="A897" t="str">
            <v>M1</v>
          </cell>
          <cell r="B897" t="str">
            <v>A5C</v>
          </cell>
          <cell r="C897" t="str">
            <v>P</v>
          </cell>
          <cell r="D897" t="str">
            <v>22003</v>
          </cell>
          <cell r="E897" t="str">
            <v>E RED</v>
          </cell>
          <cell r="F897">
            <v>2</v>
          </cell>
          <cell r="G897" t="str">
            <v>CB300604040403</v>
          </cell>
          <cell r="H897">
            <v>4</v>
          </cell>
          <cell r="I897">
            <v>3</v>
          </cell>
          <cell r="J897">
            <v>2</v>
          </cell>
          <cell r="K897">
            <v>3</v>
          </cell>
        </row>
        <row r="898">
          <cell r="A898" t="str">
            <v>M1</v>
          </cell>
          <cell r="B898" t="str">
            <v>A5C</v>
          </cell>
          <cell r="C898" t="str">
            <v>WW</v>
          </cell>
          <cell r="D898" t="str">
            <v>22601</v>
          </cell>
          <cell r="E898" t="str">
            <v>90 ELL</v>
          </cell>
          <cell r="F898">
            <v>2</v>
          </cell>
          <cell r="G898" t="str">
            <v>CB300104000400</v>
          </cell>
          <cell r="H898">
            <v>4</v>
          </cell>
          <cell r="I898" t="str">
            <v>--</v>
          </cell>
          <cell r="J898">
            <v>2</v>
          </cell>
          <cell r="K898">
            <v>3</v>
          </cell>
        </row>
        <row r="899">
          <cell r="A899" t="str">
            <v>M1</v>
          </cell>
          <cell r="B899" t="str">
            <v>A5C</v>
          </cell>
          <cell r="C899" t="str">
            <v>WW</v>
          </cell>
          <cell r="D899" t="str">
            <v>22613</v>
          </cell>
          <cell r="E899" t="str">
            <v>90 ELL</v>
          </cell>
          <cell r="F899">
            <v>2</v>
          </cell>
          <cell r="G899" t="str">
            <v>CB300104000400</v>
          </cell>
          <cell r="H899">
            <v>4</v>
          </cell>
          <cell r="I899" t="str">
            <v>--</v>
          </cell>
          <cell r="J899">
            <v>4</v>
          </cell>
          <cell r="K899">
            <v>5</v>
          </cell>
        </row>
        <row r="900">
          <cell r="A900" t="str">
            <v>M1</v>
          </cell>
          <cell r="B900" t="str">
            <v>A5C</v>
          </cell>
          <cell r="C900" t="str">
            <v>WW</v>
          </cell>
          <cell r="D900" t="str">
            <v>22601</v>
          </cell>
          <cell r="E900" t="str">
            <v>E RED</v>
          </cell>
          <cell r="F900">
            <v>2</v>
          </cell>
          <cell r="G900" t="str">
            <v>CB300604040403</v>
          </cell>
          <cell r="H900">
            <v>4</v>
          </cell>
          <cell r="I900">
            <v>3</v>
          </cell>
          <cell r="J900">
            <v>2</v>
          </cell>
          <cell r="K900">
            <v>3</v>
          </cell>
        </row>
        <row r="901">
          <cell r="A901" t="str">
            <v>M1</v>
          </cell>
          <cell r="B901" t="str">
            <v>A5C</v>
          </cell>
          <cell r="C901" t="str">
            <v>WW</v>
          </cell>
          <cell r="D901" t="str">
            <v>22601</v>
          </cell>
          <cell r="E901" t="str">
            <v>SOL</v>
          </cell>
          <cell r="F901">
            <v>2</v>
          </cell>
          <cell r="G901" t="str">
            <v>CB39020000040T</v>
          </cell>
          <cell r="H901">
            <v>4</v>
          </cell>
          <cell r="I901">
            <v>0.75</v>
          </cell>
          <cell r="J901">
            <v>4</v>
          </cell>
          <cell r="K901">
            <v>5</v>
          </cell>
        </row>
        <row r="902">
          <cell r="A902" t="str">
            <v>M1</v>
          </cell>
          <cell r="B902" t="str">
            <v>A5C</v>
          </cell>
          <cell r="C902" t="str">
            <v>WW</v>
          </cell>
          <cell r="D902" t="str">
            <v>22613</v>
          </cell>
          <cell r="E902" t="str">
            <v>TEE</v>
          </cell>
          <cell r="F902">
            <v>2</v>
          </cell>
          <cell r="G902" t="str">
            <v>CB300304000400</v>
          </cell>
          <cell r="H902">
            <v>4</v>
          </cell>
          <cell r="I902" t="str">
            <v>--</v>
          </cell>
          <cell r="J902">
            <v>1</v>
          </cell>
          <cell r="K902">
            <v>2</v>
          </cell>
        </row>
        <row r="903">
          <cell r="A903" t="str">
            <v>M1</v>
          </cell>
          <cell r="B903" t="str">
            <v>A6C</v>
          </cell>
          <cell r="C903" t="str">
            <v>HOS</v>
          </cell>
          <cell r="D903" t="str">
            <v>65628</v>
          </cell>
          <cell r="E903" t="str">
            <v>90 ELL</v>
          </cell>
          <cell r="F903">
            <v>2</v>
          </cell>
          <cell r="G903" t="str">
            <v>CB300104000400</v>
          </cell>
          <cell r="H903">
            <v>4</v>
          </cell>
          <cell r="I903" t="str">
            <v>--</v>
          </cell>
          <cell r="J903">
            <v>10</v>
          </cell>
          <cell r="K903">
            <v>12</v>
          </cell>
        </row>
        <row r="904">
          <cell r="A904" t="str">
            <v>M1</v>
          </cell>
          <cell r="B904" t="str">
            <v>A4C</v>
          </cell>
          <cell r="C904" t="str">
            <v>P</v>
          </cell>
          <cell r="D904" t="str">
            <v>22009</v>
          </cell>
          <cell r="E904" t="str">
            <v>90 ELL</v>
          </cell>
          <cell r="F904">
            <v>2</v>
          </cell>
          <cell r="G904" t="str">
            <v>CB300104000400</v>
          </cell>
          <cell r="H904">
            <v>4</v>
          </cell>
          <cell r="I904" t="str">
            <v>--</v>
          </cell>
          <cell r="J904">
            <v>6</v>
          </cell>
          <cell r="K904">
            <v>7</v>
          </cell>
        </row>
        <row r="905">
          <cell r="A905" t="str">
            <v>M1</v>
          </cell>
          <cell r="B905" t="str">
            <v>A6C</v>
          </cell>
          <cell r="C905" t="str">
            <v>HOS</v>
          </cell>
          <cell r="D905" t="str">
            <v>65614</v>
          </cell>
          <cell r="E905" t="str">
            <v>90 ELL</v>
          </cell>
          <cell r="F905">
            <v>2</v>
          </cell>
          <cell r="G905" t="str">
            <v>CB300104000400</v>
          </cell>
          <cell r="H905">
            <v>4</v>
          </cell>
          <cell r="I905" t="str">
            <v>--</v>
          </cell>
          <cell r="J905">
            <v>7</v>
          </cell>
          <cell r="K905">
            <v>9</v>
          </cell>
        </row>
        <row r="906">
          <cell r="A906" t="str">
            <v>M1</v>
          </cell>
          <cell r="B906" t="str">
            <v>A6C</v>
          </cell>
          <cell r="C906" t="str">
            <v>HOS</v>
          </cell>
          <cell r="D906" t="str">
            <v>65634</v>
          </cell>
          <cell r="E906" t="str">
            <v>90 ELL</v>
          </cell>
          <cell r="F906">
            <v>2</v>
          </cell>
          <cell r="G906" t="str">
            <v>CB300104000400</v>
          </cell>
          <cell r="H906">
            <v>4</v>
          </cell>
          <cell r="I906" t="str">
            <v>--</v>
          </cell>
          <cell r="J906">
            <v>1</v>
          </cell>
          <cell r="K906">
            <v>2</v>
          </cell>
        </row>
        <row r="907">
          <cell r="A907" t="str">
            <v>M1</v>
          </cell>
          <cell r="B907" t="str">
            <v>A5C</v>
          </cell>
          <cell r="C907" t="str">
            <v>P</v>
          </cell>
          <cell r="D907" t="str">
            <v>22098</v>
          </cell>
          <cell r="E907" t="str">
            <v>90 ELL</v>
          </cell>
          <cell r="F907">
            <v>2</v>
          </cell>
          <cell r="G907" t="str">
            <v>CB300104000400</v>
          </cell>
          <cell r="H907">
            <v>4</v>
          </cell>
          <cell r="I907" t="str">
            <v>--</v>
          </cell>
          <cell r="J907">
            <v>3</v>
          </cell>
          <cell r="K907">
            <v>4</v>
          </cell>
        </row>
        <row r="908">
          <cell r="A908" t="str">
            <v>M1</v>
          </cell>
          <cell r="B908" t="str">
            <v>A5C</v>
          </cell>
          <cell r="C908" t="str">
            <v>TRIM</v>
          </cell>
          <cell r="D908" t="str">
            <v>V-2216A</v>
          </cell>
          <cell r="E908" t="str">
            <v>C RED</v>
          </cell>
          <cell r="F908">
            <v>2</v>
          </cell>
          <cell r="G908" t="str">
            <v>CB300504040403</v>
          </cell>
          <cell r="H908">
            <v>4</v>
          </cell>
          <cell r="I908">
            <v>3</v>
          </cell>
          <cell r="J908">
            <v>1</v>
          </cell>
          <cell r="K908">
            <v>2</v>
          </cell>
        </row>
        <row r="909">
          <cell r="A909" t="str">
            <v>M1</v>
          </cell>
          <cell r="B909" t="str">
            <v>A5C</v>
          </cell>
          <cell r="C909" t="str">
            <v>TRIM</v>
          </cell>
          <cell r="D909" t="str">
            <v>V-2216B</v>
          </cell>
          <cell r="E909" t="str">
            <v>C RED</v>
          </cell>
          <cell r="F909">
            <v>2</v>
          </cell>
          <cell r="G909" t="str">
            <v>CB300504040403</v>
          </cell>
          <cell r="H909">
            <v>4</v>
          </cell>
          <cell r="I909">
            <v>3</v>
          </cell>
          <cell r="J909">
            <v>1</v>
          </cell>
          <cell r="K909">
            <v>2</v>
          </cell>
        </row>
        <row r="910">
          <cell r="A910" t="str">
            <v>M1</v>
          </cell>
          <cell r="B910" t="str">
            <v>A6C</v>
          </cell>
          <cell r="C910" t="str">
            <v>HOR</v>
          </cell>
          <cell r="D910" t="str">
            <v>65619</v>
          </cell>
          <cell r="E910" t="str">
            <v>E RED</v>
          </cell>
          <cell r="F910">
            <v>2</v>
          </cell>
          <cell r="G910" t="str">
            <v>CB300604040403</v>
          </cell>
          <cell r="H910">
            <v>4</v>
          </cell>
          <cell r="I910">
            <v>3</v>
          </cell>
          <cell r="J910">
            <v>1</v>
          </cell>
          <cell r="K910">
            <v>2</v>
          </cell>
        </row>
        <row r="911">
          <cell r="A911" t="str">
            <v>M1</v>
          </cell>
          <cell r="B911" t="str">
            <v>A6C</v>
          </cell>
          <cell r="C911" t="str">
            <v>HOS</v>
          </cell>
          <cell r="D911" t="str">
            <v>65634</v>
          </cell>
          <cell r="E911" t="str">
            <v>SOL</v>
          </cell>
          <cell r="F911">
            <v>2</v>
          </cell>
          <cell r="G911" t="str">
            <v>CB39020000040T</v>
          </cell>
          <cell r="H911">
            <v>4</v>
          </cell>
          <cell r="I911">
            <v>0.75</v>
          </cell>
          <cell r="J911">
            <v>1</v>
          </cell>
          <cell r="K911">
            <v>2</v>
          </cell>
        </row>
        <row r="912">
          <cell r="A912" t="str">
            <v>M1</v>
          </cell>
          <cell r="B912" t="str">
            <v>A4C</v>
          </cell>
          <cell r="C912" t="str">
            <v>P</v>
          </cell>
          <cell r="D912" t="str">
            <v>22009</v>
          </cell>
          <cell r="E912" t="str">
            <v>SOL</v>
          </cell>
          <cell r="F912">
            <v>2</v>
          </cell>
          <cell r="G912" t="str">
            <v>CB39020000040T</v>
          </cell>
          <cell r="H912">
            <v>4</v>
          </cell>
          <cell r="I912">
            <v>0.75</v>
          </cell>
          <cell r="J912">
            <v>2</v>
          </cell>
          <cell r="K912">
            <v>3</v>
          </cell>
        </row>
        <row r="913">
          <cell r="A913" t="str">
            <v>M1</v>
          </cell>
          <cell r="B913" t="str">
            <v>A5C</v>
          </cell>
          <cell r="C913" t="str">
            <v>P</v>
          </cell>
          <cell r="D913" t="str">
            <v>22098</v>
          </cell>
          <cell r="E913" t="str">
            <v>SOL</v>
          </cell>
          <cell r="F913">
            <v>2</v>
          </cell>
          <cell r="G913" t="str">
            <v>CB39020000040T</v>
          </cell>
          <cell r="H913">
            <v>4</v>
          </cell>
          <cell r="I913">
            <v>0.75</v>
          </cell>
          <cell r="J913">
            <v>1</v>
          </cell>
          <cell r="K913">
            <v>2</v>
          </cell>
        </row>
        <row r="914">
          <cell r="A914" t="str">
            <v>M1</v>
          </cell>
          <cell r="B914" t="str">
            <v>A6C</v>
          </cell>
          <cell r="C914" t="str">
            <v>HOR</v>
          </cell>
          <cell r="D914" t="str">
            <v>65813</v>
          </cell>
          <cell r="E914" t="str">
            <v>SOL</v>
          </cell>
          <cell r="F914">
            <v>2</v>
          </cell>
          <cell r="G914" t="str">
            <v>CB39020000040T</v>
          </cell>
          <cell r="H914">
            <v>4</v>
          </cell>
          <cell r="I914">
            <v>0.75</v>
          </cell>
          <cell r="J914">
            <v>1</v>
          </cell>
          <cell r="K914">
            <v>2</v>
          </cell>
        </row>
        <row r="915">
          <cell r="A915" t="str">
            <v>M1</v>
          </cell>
          <cell r="B915" t="str">
            <v>A6C</v>
          </cell>
          <cell r="C915" t="str">
            <v>HOS</v>
          </cell>
          <cell r="D915" t="str">
            <v>65628</v>
          </cell>
          <cell r="E915" t="str">
            <v>SOL</v>
          </cell>
          <cell r="F915">
            <v>2</v>
          </cell>
          <cell r="G915" t="str">
            <v>CB39020000040T</v>
          </cell>
          <cell r="H915">
            <v>4</v>
          </cell>
          <cell r="I915">
            <v>0.75</v>
          </cell>
          <cell r="J915">
            <v>1</v>
          </cell>
          <cell r="K915">
            <v>2</v>
          </cell>
        </row>
        <row r="916">
          <cell r="A916" t="str">
            <v>M1</v>
          </cell>
          <cell r="B916" t="str">
            <v>A6C</v>
          </cell>
          <cell r="C916" t="str">
            <v>HOS</v>
          </cell>
          <cell r="D916" t="str">
            <v>65628</v>
          </cell>
          <cell r="E916" t="str">
            <v>TEE</v>
          </cell>
          <cell r="F916">
            <v>2</v>
          </cell>
          <cell r="G916" t="str">
            <v>CB300304000400</v>
          </cell>
          <cell r="H916">
            <v>4</v>
          </cell>
          <cell r="I916" t="str">
            <v>--</v>
          </cell>
          <cell r="J916">
            <v>2</v>
          </cell>
          <cell r="K916">
            <v>3</v>
          </cell>
        </row>
        <row r="917">
          <cell r="A917" t="str">
            <v>M1</v>
          </cell>
          <cell r="B917" t="str">
            <v>A6C</v>
          </cell>
          <cell r="C917" t="str">
            <v>HOS</v>
          </cell>
          <cell r="D917" t="str">
            <v>65634</v>
          </cell>
          <cell r="E917" t="str">
            <v>TEE</v>
          </cell>
          <cell r="F917">
            <v>2</v>
          </cell>
          <cell r="G917" t="str">
            <v>CB300304000400</v>
          </cell>
          <cell r="H917">
            <v>4</v>
          </cell>
          <cell r="I917" t="str">
            <v>--</v>
          </cell>
          <cell r="J917">
            <v>1</v>
          </cell>
          <cell r="K917">
            <v>2</v>
          </cell>
        </row>
        <row r="918">
          <cell r="A918" t="str">
            <v>M1</v>
          </cell>
          <cell r="B918" t="str">
            <v>A4C</v>
          </cell>
          <cell r="C918" t="str">
            <v>P</v>
          </cell>
          <cell r="D918" t="str">
            <v>22009</v>
          </cell>
          <cell r="E918" t="str">
            <v>TEE</v>
          </cell>
          <cell r="F918">
            <v>2</v>
          </cell>
          <cell r="G918" t="str">
            <v>CB300304000400</v>
          </cell>
          <cell r="H918">
            <v>4</v>
          </cell>
          <cell r="I918" t="str">
            <v>--</v>
          </cell>
          <cell r="J918">
            <v>1</v>
          </cell>
          <cell r="K918">
            <v>2</v>
          </cell>
        </row>
        <row r="919">
          <cell r="A919" t="str">
            <v>M1</v>
          </cell>
          <cell r="B919" t="str">
            <v>A6C</v>
          </cell>
          <cell r="C919" t="str">
            <v>HOS</v>
          </cell>
          <cell r="D919" t="str">
            <v>65614</v>
          </cell>
          <cell r="E919" t="str">
            <v>TEE</v>
          </cell>
          <cell r="F919">
            <v>2</v>
          </cell>
          <cell r="G919" t="str">
            <v>CB300304000400</v>
          </cell>
          <cell r="H919">
            <v>4</v>
          </cell>
          <cell r="I919" t="str">
            <v>--</v>
          </cell>
          <cell r="J919">
            <v>1</v>
          </cell>
          <cell r="K919">
            <v>2</v>
          </cell>
        </row>
        <row r="920">
          <cell r="A920" t="str">
            <v>M1</v>
          </cell>
          <cell r="B920" t="str">
            <v>A6C</v>
          </cell>
          <cell r="C920" t="str">
            <v>HOR</v>
          </cell>
          <cell r="D920" t="str">
            <v>65813</v>
          </cell>
          <cell r="E920" t="str">
            <v>TEE</v>
          </cell>
          <cell r="F920">
            <v>2</v>
          </cell>
          <cell r="G920" t="str">
            <v>CB300304000400</v>
          </cell>
          <cell r="H920">
            <v>4</v>
          </cell>
          <cell r="I920" t="str">
            <v>--</v>
          </cell>
          <cell r="J920">
            <v>1</v>
          </cell>
          <cell r="K920">
            <v>2</v>
          </cell>
        </row>
        <row r="921">
          <cell r="A921" t="str">
            <v>M1</v>
          </cell>
          <cell r="B921" t="str">
            <v>A6C</v>
          </cell>
          <cell r="C921" t="str">
            <v>HOS</v>
          </cell>
          <cell r="D921" t="str">
            <v>65614</v>
          </cell>
          <cell r="E921" t="str">
            <v>TOL</v>
          </cell>
          <cell r="F921">
            <v>2</v>
          </cell>
          <cell r="G921" t="str">
            <v>CB39030000040T</v>
          </cell>
          <cell r="H921">
            <v>4</v>
          </cell>
          <cell r="I921">
            <v>0.75</v>
          </cell>
          <cell r="J921">
            <v>1</v>
          </cell>
          <cell r="K921">
            <v>2</v>
          </cell>
        </row>
        <row r="922">
          <cell r="A922" t="str">
            <v>M1</v>
          </cell>
          <cell r="B922" t="str">
            <v>A6C</v>
          </cell>
          <cell r="C922" t="str">
            <v>HOS</v>
          </cell>
          <cell r="D922" t="str">
            <v>65628</v>
          </cell>
          <cell r="E922" t="str">
            <v>TOL</v>
          </cell>
          <cell r="F922">
            <v>2</v>
          </cell>
          <cell r="G922" t="str">
            <v>CB39030000040T</v>
          </cell>
          <cell r="H922">
            <v>4</v>
          </cell>
          <cell r="I922">
            <v>0.75</v>
          </cell>
          <cell r="J922">
            <v>1</v>
          </cell>
          <cell r="K922">
            <v>2</v>
          </cell>
        </row>
        <row r="923">
          <cell r="A923" t="str">
            <v>M1</v>
          </cell>
          <cell r="B923" t="str">
            <v>B1C</v>
          </cell>
          <cell r="C923" t="str">
            <v>P</v>
          </cell>
          <cell r="D923" t="str">
            <v>22029</v>
          </cell>
          <cell r="E923" t="str">
            <v>90 ELL</v>
          </cell>
          <cell r="F923">
            <v>2</v>
          </cell>
          <cell r="G923" t="str">
            <v>CB300104000400</v>
          </cell>
          <cell r="H923">
            <v>4</v>
          </cell>
          <cell r="I923" t="str">
            <v>--</v>
          </cell>
          <cell r="J923">
            <v>4</v>
          </cell>
          <cell r="K923">
            <v>5</v>
          </cell>
        </row>
        <row r="924">
          <cell r="A924" t="str">
            <v>M1</v>
          </cell>
          <cell r="B924" t="str">
            <v>B1C</v>
          </cell>
          <cell r="C924" t="str">
            <v>P</v>
          </cell>
          <cell r="D924" t="str">
            <v>22029</v>
          </cell>
          <cell r="E924" t="str">
            <v>SOL</v>
          </cell>
          <cell r="F924">
            <v>2</v>
          </cell>
          <cell r="G924" t="str">
            <v>CB39020000040T</v>
          </cell>
          <cell r="H924">
            <v>4</v>
          </cell>
          <cell r="I924">
            <v>0.75</v>
          </cell>
          <cell r="J924">
            <v>5</v>
          </cell>
          <cell r="K924">
            <v>6</v>
          </cell>
        </row>
        <row r="925">
          <cell r="A925" t="str">
            <v>M1</v>
          </cell>
          <cell r="B925" t="str">
            <v>B1C</v>
          </cell>
          <cell r="C925" t="str">
            <v>P</v>
          </cell>
          <cell r="D925" t="str">
            <v>22029</v>
          </cell>
          <cell r="E925" t="str">
            <v>TEE</v>
          </cell>
          <cell r="F925">
            <v>2</v>
          </cell>
          <cell r="G925" t="str">
            <v>CB300304000400</v>
          </cell>
          <cell r="H925">
            <v>4</v>
          </cell>
          <cell r="I925" t="str">
            <v>--</v>
          </cell>
          <cell r="J925">
            <v>2</v>
          </cell>
          <cell r="K925">
            <v>3</v>
          </cell>
        </row>
        <row r="926">
          <cell r="A926" t="str">
            <v>M1</v>
          </cell>
          <cell r="B926" t="str">
            <v>A5C</v>
          </cell>
          <cell r="C926" t="str">
            <v>P</v>
          </cell>
          <cell r="D926" t="str">
            <v>22020</v>
          </cell>
          <cell r="E926" t="str">
            <v>12D 45 BEND</v>
          </cell>
          <cell r="F926">
            <v>2</v>
          </cell>
          <cell r="G926" t="str">
            <v>CB309104000600</v>
          </cell>
          <cell r="H926">
            <v>6</v>
          </cell>
          <cell r="I926" t="str">
            <v>--</v>
          </cell>
          <cell r="J926">
            <v>1</v>
          </cell>
          <cell r="K926">
            <v>2</v>
          </cell>
        </row>
        <row r="927">
          <cell r="A927" t="str">
            <v>M1</v>
          </cell>
          <cell r="B927" t="str">
            <v>A5C</v>
          </cell>
          <cell r="C927" t="str">
            <v>P</v>
          </cell>
          <cell r="D927" t="str">
            <v>22048</v>
          </cell>
          <cell r="E927" t="str">
            <v>12D 45 BEND</v>
          </cell>
          <cell r="F927">
            <v>2</v>
          </cell>
          <cell r="G927" t="str">
            <v>CB309104000600</v>
          </cell>
          <cell r="H927">
            <v>6</v>
          </cell>
          <cell r="I927" t="str">
            <v>--</v>
          </cell>
          <cell r="J927">
            <v>1</v>
          </cell>
          <cell r="K927">
            <v>2</v>
          </cell>
        </row>
        <row r="928">
          <cell r="A928" t="str">
            <v>M1</v>
          </cell>
          <cell r="B928" t="str">
            <v>A5C</v>
          </cell>
          <cell r="C928" t="str">
            <v>P</v>
          </cell>
          <cell r="D928" t="str">
            <v>22019</v>
          </cell>
          <cell r="E928" t="str">
            <v>12D 90 BEND</v>
          </cell>
          <cell r="F928">
            <v>2</v>
          </cell>
          <cell r="G928" t="str">
            <v>CB309004000600</v>
          </cell>
          <cell r="H928">
            <v>6</v>
          </cell>
          <cell r="I928" t="str">
            <v>--</v>
          </cell>
          <cell r="J928">
            <v>3</v>
          </cell>
          <cell r="K928">
            <v>4</v>
          </cell>
        </row>
        <row r="929">
          <cell r="A929" t="str">
            <v>M1</v>
          </cell>
          <cell r="B929" t="str">
            <v>A5C</v>
          </cell>
          <cell r="C929" t="str">
            <v>P</v>
          </cell>
          <cell r="D929" t="str">
            <v>22048</v>
          </cell>
          <cell r="E929" t="str">
            <v>12D 90 BEND</v>
          </cell>
          <cell r="F929">
            <v>2</v>
          </cell>
          <cell r="G929" t="str">
            <v>CB309004000600</v>
          </cell>
          <cell r="H929">
            <v>6</v>
          </cell>
          <cell r="I929" t="str">
            <v>--</v>
          </cell>
          <cell r="J929">
            <v>3</v>
          </cell>
          <cell r="K929">
            <v>4</v>
          </cell>
        </row>
        <row r="930">
          <cell r="A930" t="str">
            <v>M1</v>
          </cell>
          <cell r="B930" t="str">
            <v>A5C</v>
          </cell>
          <cell r="C930" t="str">
            <v>P</v>
          </cell>
          <cell r="D930" t="str">
            <v>22020</v>
          </cell>
          <cell r="E930" t="str">
            <v>12D 90 BEND</v>
          </cell>
          <cell r="F930">
            <v>2</v>
          </cell>
          <cell r="G930" t="str">
            <v>CB309004000600</v>
          </cell>
          <cell r="H930">
            <v>6</v>
          </cell>
          <cell r="I930" t="str">
            <v>--</v>
          </cell>
          <cell r="J930">
            <v>7</v>
          </cell>
          <cell r="K930">
            <v>9</v>
          </cell>
        </row>
        <row r="931">
          <cell r="A931" t="str">
            <v>M1</v>
          </cell>
          <cell r="B931" t="str">
            <v>A5C</v>
          </cell>
          <cell r="C931" t="str">
            <v>P</v>
          </cell>
          <cell r="D931" t="str">
            <v>22048</v>
          </cell>
          <cell r="E931" t="str">
            <v>12D 90 BEND</v>
          </cell>
          <cell r="F931">
            <v>2</v>
          </cell>
          <cell r="G931" t="str">
            <v>CB309004000600</v>
          </cell>
          <cell r="H931">
            <v>6</v>
          </cell>
          <cell r="I931" t="str">
            <v>--</v>
          </cell>
          <cell r="J931">
            <v>3</v>
          </cell>
          <cell r="K931">
            <v>4</v>
          </cell>
        </row>
        <row r="932">
          <cell r="A932" t="str">
            <v>M1</v>
          </cell>
          <cell r="B932" t="str">
            <v>A5C</v>
          </cell>
          <cell r="C932" t="str">
            <v>P</v>
          </cell>
          <cell r="D932" t="str">
            <v>22055</v>
          </cell>
          <cell r="E932" t="str">
            <v>45 ELL</v>
          </cell>
          <cell r="F932">
            <v>2</v>
          </cell>
          <cell r="G932" t="str">
            <v>CB300204000600</v>
          </cell>
          <cell r="H932">
            <v>6</v>
          </cell>
          <cell r="I932" t="str">
            <v>--</v>
          </cell>
          <cell r="J932">
            <v>2</v>
          </cell>
          <cell r="K932">
            <v>3</v>
          </cell>
        </row>
        <row r="933">
          <cell r="A933" t="str">
            <v>M1</v>
          </cell>
          <cell r="B933" t="str">
            <v>A5C</v>
          </cell>
          <cell r="C933" t="str">
            <v>P</v>
          </cell>
          <cell r="D933" t="str">
            <v>22139</v>
          </cell>
          <cell r="E933" t="str">
            <v>45 ELL</v>
          </cell>
          <cell r="F933">
            <v>2</v>
          </cell>
          <cell r="G933" t="str">
            <v>CB300204000600</v>
          </cell>
          <cell r="H933">
            <v>6</v>
          </cell>
          <cell r="I933" t="str">
            <v>--</v>
          </cell>
          <cell r="J933">
            <v>1</v>
          </cell>
          <cell r="K933">
            <v>2</v>
          </cell>
        </row>
        <row r="934">
          <cell r="A934" t="str">
            <v>M1</v>
          </cell>
          <cell r="B934" t="str">
            <v>A5C</v>
          </cell>
          <cell r="C934" t="str">
            <v>COMP</v>
          </cell>
          <cell r="D934" t="str">
            <v>003</v>
          </cell>
          <cell r="E934" t="str">
            <v>90 ELL</v>
          </cell>
          <cell r="F934">
            <v>2</v>
          </cell>
          <cell r="G934" t="str">
            <v>CB300104000600</v>
          </cell>
          <cell r="H934">
            <v>6</v>
          </cell>
          <cell r="I934" t="str">
            <v>--</v>
          </cell>
          <cell r="J934">
            <v>2</v>
          </cell>
          <cell r="K934">
            <v>3</v>
          </cell>
        </row>
        <row r="935">
          <cell r="A935" t="str">
            <v>M1</v>
          </cell>
          <cell r="B935" t="str">
            <v>A5C</v>
          </cell>
          <cell r="C935" t="str">
            <v>P</v>
          </cell>
          <cell r="D935" t="str">
            <v>22023</v>
          </cell>
          <cell r="E935" t="str">
            <v>90 ELL</v>
          </cell>
          <cell r="F935">
            <v>2</v>
          </cell>
          <cell r="G935" t="str">
            <v>CB300104000600</v>
          </cell>
          <cell r="H935">
            <v>6</v>
          </cell>
          <cell r="I935" t="str">
            <v>--</v>
          </cell>
          <cell r="J935">
            <v>6</v>
          </cell>
          <cell r="K935">
            <v>7</v>
          </cell>
        </row>
        <row r="936">
          <cell r="A936" t="str">
            <v>M1</v>
          </cell>
          <cell r="B936" t="str">
            <v>A5C</v>
          </cell>
          <cell r="C936" t="str">
            <v>P</v>
          </cell>
          <cell r="D936" t="str">
            <v>22028</v>
          </cell>
          <cell r="E936" t="str">
            <v>90 ELL</v>
          </cell>
          <cell r="F936">
            <v>2</v>
          </cell>
          <cell r="G936" t="str">
            <v>CB300104000600</v>
          </cell>
          <cell r="H936">
            <v>6</v>
          </cell>
          <cell r="I936" t="str">
            <v>--</v>
          </cell>
          <cell r="J936">
            <v>4</v>
          </cell>
          <cell r="K936">
            <v>5</v>
          </cell>
        </row>
        <row r="937">
          <cell r="A937" t="str">
            <v>M1</v>
          </cell>
          <cell r="B937" t="str">
            <v>A5C</v>
          </cell>
          <cell r="C937" t="str">
            <v>P</v>
          </cell>
          <cell r="D937" t="str">
            <v>22065</v>
          </cell>
          <cell r="E937" t="str">
            <v>90 ELL</v>
          </cell>
          <cell r="F937">
            <v>2</v>
          </cell>
          <cell r="G937" t="str">
            <v>CB300104000600</v>
          </cell>
          <cell r="H937">
            <v>6</v>
          </cell>
          <cell r="I937" t="str">
            <v>--</v>
          </cell>
          <cell r="J937">
            <v>6</v>
          </cell>
          <cell r="K937">
            <v>7</v>
          </cell>
        </row>
        <row r="938">
          <cell r="A938" t="str">
            <v>M1</v>
          </cell>
          <cell r="B938" t="str">
            <v>A5C</v>
          </cell>
          <cell r="C938" t="str">
            <v>P</v>
          </cell>
          <cell r="D938" t="str">
            <v>22139</v>
          </cell>
          <cell r="E938" t="str">
            <v>90 ELL</v>
          </cell>
          <cell r="F938">
            <v>2</v>
          </cell>
          <cell r="G938" t="str">
            <v>CB300104000600</v>
          </cell>
          <cell r="H938">
            <v>6</v>
          </cell>
          <cell r="I938" t="str">
            <v>--</v>
          </cell>
          <cell r="J938">
            <v>4</v>
          </cell>
          <cell r="K938">
            <v>5</v>
          </cell>
        </row>
        <row r="939">
          <cell r="A939" t="str">
            <v>M1</v>
          </cell>
          <cell r="B939" t="str">
            <v>A5C</v>
          </cell>
          <cell r="C939" t="str">
            <v>P</v>
          </cell>
          <cell r="D939" t="str">
            <v>22065</v>
          </cell>
          <cell r="E939" t="str">
            <v>E RED</v>
          </cell>
          <cell r="F939">
            <v>2</v>
          </cell>
          <cell r="G939" t="str">
            <v>CB300604040604</v>
          </cell>
          <cell r="H939">
            <v>6</v>
          </cell>
          <cell r="I939">
            <v>4</v>
          </cell>
          <cell r="J939">
            <v>2</v>
          </cell>
          <cell r="K939">
            <v>3</v>
          </cell>
        </row>
        <row r="940">
          <cell r="A940" t="str">
            <v>M1</v>
          </cell>
          <cell r="B940" t="str">
            <v>A5C</v>
          </cell>
          <cell r="C940" t="str">
            <v>P</v>
          </cell>
          <cell r="D940" t="str">
            <v>22066</v>
          </cell>
          <cell r="E940" t="str">
            <v>E RED</v>
          </cell>
          <cell r="F940">
            <v>2</v>
          </cell>
          <cell r="G940" t="str">
            <v>CB300604040603</v>
          </cell>
          <cell r="H940">
            <v>6</v>
          </cell>
          <cell r="I940">
            <v>3</v>
          </cell>
          <cell r="J940">
            <v>1</v>
          </cell>
          <cell r="K940">
            <v>2</v>
          </cell>
        </row>
        <row r="941">
          <cell r="A941" t="str">
            <v>M1</v>
          </cell>
          <cell r="B941" t="str">
            <v>A5C</v>
          </cell>
          <cell r="C941" t="str">
            <v>P</v>
          </cell>
          <cell r="D941" t="str">
            <v>22028</v>
          </cell>
          <cell r="E941" t="str">
            <v>SOL</v>
          </cell>
          <cell r="F941">
            <v>2</v>
          </cell>
          <cell r="G941" t="str">
            <v>CB39020000060T</v>
          </cell>
          <cell r="H941">
            <v>6</v>
          </cell>
          <cell r="I941">
            <v>0.75</v>
          </cell>
          <cell r="J941">
            <v>1</v>
          </cell>
          <cell r="K941">
            <v>2</v>
          </cell>
        </row>
        <row r="942">
          <cell r="A942" t="str">
            <v>M1</v>
          </cell>
          <cell r="B942" t="str">
            <v>A5C</v>
          </cell>
          <cell r="C942" t="str">
            <v>P</v>
          </cell>
          <cell r="D942" t="str">
            <v>22022</v>
          </cell>
          <cell r="E942" t="str">
            <v>SOL</v>
          </cell>
          <cell r="F942">
            <v>2</v>
          </cell>
          <cell r="G942" t="str">
            <v>CB39020000060H</v>
          </cell>
          <cell r="H942">
            <v>6</v>
          </cell>
          <cell r="I942">
            <v>0.5</v>
          </cell>
          <cell r="J942">
            <v>1</v>
          </cell>
          <cell r="K942">
            <v>2</v>
          </cell>
        </row>
        <row r="943">
          <cell r="A943" t="str">
            <v>M1</v>
          </cell>
          <cell r="B943" t="str">
            <v>A5C</v>
          </cell>
          <cell r="C943" t="str">
            <v>P</v>
          </cell>
          <cell r="D943" t="str">
            <v>22065</v>
          </cell>
          <cell r="E943" t="str">
            <v>SOL</v>
          </cell>
          <cell r="F943">
            <v>2</v>
          </cell>
          <cell r="G943" t="str">
            <v>CB39020000060T</v>
          </cell>
          <cell r="H943">
            <v>6</v>
          </cell>
          <cell r="I943">
            <v>0.75</v>
          </cell>
          <cell r="J943">
            <v>1</v>
          </cell>
          <cell r="K943">
            <v>2</v>
          </cell>
        </row>
        <row r="944">
          <cell r="A944" t="str">
            <v>M1</v>
          </cell>
          <cell r="B944" t="str">
            <v>A5C</v>
          </cell>
          <cell r="C944" t="str">
            <v>P</v>
          </cell>
          <cell r="D944" t="str">
            <v>22065</v>
          </cell>
          <cell r="E944" t="str">
            <v>TEE</v>
          </cell>
          <cell r="F944">
            <v>2</v>
          </cell>
          <cell r="G944" t="str">
            <v>CB300304000600</v>
          </cell>
          <cell r="H944">
            <v>6</v>
          </cell>
          <cell r="I944" t="str">
            <v>--</v>
          </cell>
          <cell r="J944">
            <v>1</v>
          </cell>
          <cell r="K944">
            <v>2</v>
          </cell>
        </row>
        <row r="945">
          <cell r="A945" t="str">
            <v>M1</v>
          </cell>
          <cell r="B945" t="str">
            <v>A5C</v>
          </cell>
          <cell r="C945" t="str">
            <v>P</v>
          </cell>
          <cell r="D945" t="str">
            <v>22139</v>
          </cell>
          <cell r="E945" t="str">
            <v>TEE</v>
          </cell>
          <cell r="F945">
            <v>2</v>
          </cell>
          <cell r="G945" t="str">
            <v>CB300304000600</v>
          </cell>
          <cell r="H945">
            <v>6</v>
          </cell>
          <cell r="I945" t="str">
            <v>--</v>
          </cell>
          <cell r="J945">
            <v>1</v>
          </cell>
          <cell r="K945">
            <v>2</v>
          </cell>
        </row>
        <row r="946">
          <cell r="A946" t="str">
            <v>M1</v>
          </cell>
          <cell r="B946" t="str">
            <v>A5C</v>
          </cell>
          <cell r="C946" t="str">
            <v>P</v>
          </cell>
          <cell r="D946" t="str">
            <v>22028</v>
          </cell>
          <cell r="E946" t="str">
            <v>TOL</v>
          </cell>
          <cell r="F946">
            <v>2</v>
          </cell>
          <cell r="G946" t="str">
            <v>CB39030000060T</v>
          </cell>
          <cell r="H946">
            <v>6</v>
          </cell>
          <cell r="I946">
            <v>0.75</v>
          </cell>
          <cell r="J946">
            <v>1</v>
          </cell>
          <cell r="K946">
            <v>2</v>
          </cell>
        </row>
        <row r="947">
          <cell r="A947" t="str">
            <v>M1</v>
          </cell>
          <cell r="B947" t="str">
            <v>A5C</v>
          </cell>
          <cell r="C947" t="str">
            <v>P</v>
          </cell>
          <cell r="D947" t="str">
            <v>22048</v>
          </cell>
          <cell r="E947" t="str">
            <v>TOL</v>
          </cell>
          <cell r="F947">
            <v>2</v>
          </cell>
          <cell r="G947" t="str">
            <v>CB39030000060T060T</v>
          </cell>
          <cell r="H947">
            <v>6</v>
          </cell>
          <cell r="I947">
            <v>0.75</v>
          </cell>
          <cell r="J947">
            <v>1</v>
          </cell>
          <cell r="K947">
            <v>2</v>
          </cell>
        </row>
        <row r="948">
          <cell r="A948" t="str">
            <v>M1</v>
          </cell>
          <cell r="B948" t="str">
            <v>A5C</v>
          </cell>
          <cell r="C948" t="str">
            <v>P</v>
          </cell>
          <cell r="D948" t="str">
            <v>22019</v>
          </cell>
          <cell r="E948" t="str">
            <v>TOL</v>
          </cell>
          <cell r="F948">
            <v>2</v>
          </cell>
          <cell r="G948" t="str">
            <v>CB39030000060T060T</v>
          </cell>
          <cell r="H948">
            <v>6</v>
          </cell>
          <cell r="I948">
            <v>0.75</v>
          </cell>
          <cell r="J948">
            <v>1</v>
          </cell>
          <cell r="K948">
            <v>2</v>
          </cell>
        </row>
        <row r="949">
          <cell r="A949" t="str">
            <v>M1</v>
          </cell>
          <cell r="B949" t="str">
            <v>A5C</v>
          </cell>
          <cell r="C949" t="str">
            <v>P</v>
          </cell>
          <cell r="D949" t="str">
            <v>22035</v>
          </cell>
          <cell r="E949" t="str">
            <v>90 ELL</v>
          </cell>
          <cell r="F949">
            <v>2</v>
          </cell>
          <cell r="G949" t="str">
            <v>CB300104000600</v>
          </cell>
          <cell r="H949">
            <v>6</v>
          </cell>
          <cell r="I949" t="str">
            <v>--</v>
          </cell>
          <cell r="J949">
            <v>2</v>
          </cell>
          <cell r="K949">
            <v>3</v>
          </cell>
        </row>
        <row r="950">
          <cell r="A950" t="str">
            <v>M1</v>
          </cell>
          <cell r="B950" t="str">
            <v>A5C</v>
          </cell>
          <cell r="C950" t="str">
            <v>P</v>
          </cell>
          <cell r="D950" t="str">
            <v>22034</v>
          </cell>
          <cell r="E950" t="str">
            <v>SOL</v>
          </cell>
          <cell r="F950">
            <v>2</v>
          </cell>
          <cell r="G950" t="str">
            <v>CB3902000006010601</v>
          </cell>
          <cell r="H950">
            <v>6</v>
          </cell>
          <cell r="I950">
            <v>1</v>
          </cell>
          <cell r="J950">
            <v>2</v>
          </cell>
          <cell r="K950">
            <v>3</v>
          </cell>
        </row>
        <row r="951">
          <cell r="A951" t="str">
            <v>M1</v>
          </cell>
          <cell r="B951" t="str">
            <v>A5C</v>
          </cell>
          <cell r="C951" t="str">
            <v>P</v>
          </cell>
          <cell r="D951" t="str">
            <v>22034</v>
          </cell>
          <cell r="E951" t="str">
            <v>TEE</v>
          </cell>
          <cell r="F951">
            <v>2</v>
          </cell>
          <cell r="G951" t="str">
            <v>CB3003040006000600</v>
          </cell>
          <cell r="H951">
            <v>6</v>
          </cell>
          <cell r="I951" t="str">
            <v>--</v>
          </cell>
          <cell r="J951">
            <v>1</v>
          </cell>
          <cell r="K951">
            <v>2</v>
          </cell>
        </row>
        <row r="952">
          <cell r="A952" t="str">
            <v>M1</v>
          </cell>
          <cell r="B952" t="str">
            <v>A5C</v>
          </cell>
          <cell r="C952" t="str">
            <v>WW</v>
          </cell>
          <cell r="D952" t="str">
            <v>22601</v>
          </cell>
          <cell r="E952" t="str">
            <v>90 ELL</v>
          </cell>
          <cell r="F952">
            <v>2</v>
          </cell>
          <cell r="G952" t="str">
            <v>CB300104000600</v>
          </cell>
          <cell r="H952">
            <v>6</v>
          </cell>
          <cell r="I952" t="str">
            <v>--</v>
          </cell>
          <cell r="J952">
            <v>2</v>
          </cell>
          <cell r="K952">
            <v>3</v>
          </cell>
        </row>
        <row r="953">
          <cell r="A953" t="str">
            <v>M1</v>
          </cell>
          <cell r="B953" t="str">
            <v>A5C</v>
          </cell>
          <cell r="C953" t="str">
            <v>WW</v>
          </cell>
          <cell r="D953" t="str">
            <v>22601</v>
          </cell>
          <cell r="E953" t="str">
            <v>90 ELL</v>
          </cell>
          <cell r="F953">
            <v>2</v>
          </cell>
          <cell r="G953" t="str">
            <v>CB300104000600</v>
          </cell>
          <cell r="H953">
            <v>6</v>
          </cell>
          <cell r="I953" t="str">
            <v>--</v>
          </cell>
          <cell r="J953">
            <v>3</v>
          </cell>
          <cell r="K953">
            <v>4</v>
          </cell>
        </row>
        <row r="954">
          <cell r="A954" t="str">
            <v>M1</v>
          </cell>
          <cell r="B954" t="str">
            <v>A5C</v>
          </cell>
          <cell r="C954" t="str">
            <v>WW</v>
          </cell>
          <cell r="D954" t="str">
            <v>22601</v>
          </cell>
          <cell r="E954" t="str">
            <v>E RED</v>
          </cell>
          <cell r="F954">
            <v>2</v>
          </cell>
          <cell r="G954" t="str">
            <v>CB300604040604</v>
          </cell>
          <cell r="H954">
            <v>6</v>
          </cell>
          <cell r="I954">
            <v>4</v>
          </cell>
          <cell r="J954">
            <v>2</v>
          </cell>
          <cell r="K954">
            <v>3</v>
          </cell>
        </row>
        <row r="955">
          <cell r="A955" t="str">
            <v>M1</v>
          </cell>
          <cell r="B955" t="str">
            <v>A5C</v>
          </cell>
          <cell r="C955" t="str">
            <v>WW</v>
          </cell>
          <cell r="D955" t="str">
            <v>22601</v>
          </cell>
          <cell r="E955" t="str">
            <v>TEE</v>
          </cell>
          <cell r="F955">
            <v>2</v>
          </cell>
          <cell r="G955" t="str">
            <v>CB300304000600</v>
          </cell>
          <cell r="H955">
            <v>6</v>
          </cell>
          <cell r="I955" t="str">
            <v>--</v>
          </cell>
          <cell r="J955">
            <v>1</v>
          </cell>
          <cell r="K955">
            <v>2</v>
          </cell>
        </row>
        <row r="956">
          <cell r="A956" t="str">
            <v>M1</v>
          </cell>
          <cell r="B956" t="str">
            <v>A6C</v>
          </cell>
          <cell r="C956" t="str">
            <v>HOS</v>
          </cell>
          <cell r="D956" t="str">
            <v>65624</v>
          </cell>
          <cell r="E956" t="str">
            <v>45 ELL</v>
          </cell>
          <cell r="F956">
            <v>2</v>
          </cell>
          <cell r="G956" t="str">
            <v>CB300204000600</v>
          </cell>
          <cell r="H956">
            <v>6</v>
          </cell>
          <cell r="I956" t="str">
            <v>--</v>
          </cell>
          <cell r="J956">
            <v>4</v>
          </cell>
          <cell r="K956">
            <v>5</v>
          </cell>
        </row>
        <row r="957">
          <cell r="A957" t="str">
            <v>M1</v>
          </cell>
          <cell r="B957" t="str">
            <v>A6C</v>
          </cell>
          <cell r="C957" t="str">
            <v>HOS</v>
          </cell>
          <cell r="D957" t="str">
            <v>65624</v>
          </cell>
          <cell r="E957" t="str">
            <v>45 ELL</v>
          </cell>
          <cell r="F957">
            <v>2</v>
          </cell>
          <cell r="G957" t="str">
            <v>CB300204000600</v>
          </cell>
          <cell r="H957">
            <v>6</v>
          </cell>
          <cell r="I957" t="str">
            <v>--</v>
          </cell>
          <cell r="J957">
            <v>4</v>
          </cell>
          <cell r="K957">
            <v>5</v>
          </cell>
        </row>
        <row r="958">
          <cell r="A958" t="str">
            <v>M1</v>
          </cell>
          <cell r="B958" t="str">
            <v>A6C</v>
          </cell>
          <cell r="C958" t="str">
            <v>HOR</v>
          </cell>
          <cell r="D958" t="str">
            <v>65611</v>
          </cell>
          <cell r="E958" t="str">
            <v>45 ELL</v>
          </cell>
          <cell r="F958">
            <v>2</v>
          </cell>
          <cell r="G958" t="str">
            <v>CB300204000600</v>
          </cell>
          <cell r="H958">
            <v>6</v>
          </cell>
          <cell r="I958" t="str">
            <v>--</v>
          </cell>
          <cell r="J958">
            <v>4</v>
          </cell>
          <cell r="K958">
            <v>5</v>
          </cell>
        </row>
        <row r="959">
          <cell r="A959" t="str">
            <v>M1</v>
          </cell>
          <cell r="B959" t="str">
            <v>A6C</v>
          </cell>
          <cell r="C959" t="str">
            <v>HOR</v>
          </cell>
          <cell r="D959" t="str">
            <v>65611</v>
          </cell>
          <cell r="E959" t="str">
            <v>45 ELL</v>
          </cell>
          <cell r="F959">
            <v>2</v>
          </cell>
          <cell r="G959" t="str">
            <v>CB300204000600</v>
          </cell>
          <cell r="H959">
            <v>6</v>
          </cell>
          <cell r="I959" t="str">
            <v>--</v>
          </cell>
          <cell r="J959">
            <v>4</v>
          </cell>
          <cell r="K959">
            <v>5</v>
          </cell>
        </row>
        <row r="960">
          <cell r="A960" t="str">
            <v>M1</v>
          </cell>
          <cell r="B960" t="str">
            <v>A6C</v>
          </cell>
          <cell r="C960" t="str">
            <v>HOS</v>
          </cell>
          <cell r="D960" t="str">
            <v>65624</v>
          </cell>
          <cell r="E960" t="str">
            <v>SOL</v>
          </cell>
          <cell r="F960">
            <v>2</v>
          </cell>
          <cell r="G960" t="str">
            <v>CB39020000060T</v>
          </cell>
          <cell r="H960">
            <v>6</v>
          </cell>
          <cell r="I960">
            <v>0.75</v>
          </cell>
          <cell r="J960">
            <v>1</v>
          </cell>
          <cell r="K960">
            <v>2</v>
          </cell>
        </row>
        <row r="961">
          <cell r="A961" t="str">
            <v>M1</v>
          </cell>
          <cell r="B961" t="str">
            <v>A6C</v>
          </cell>
          <cell r="C961" t="str">
            <v>HOS</v>
          </cell>
          <cell r="D961" t="str">
            <v>65624</v>
          </cell>
          <cell r="E961" t="str">
            <v>SOL</v>
          </cell>
          <cell r="F961">
            <v>2</v>
          </cell>
          <cell r="G961" t="str">
            <v>CB39020000060T</v>
          </cell>
          <cell r="H961">
            <v>6</v>
          </cell>
          <cell r="I961">
            <v>0.75</v>
          </cell>
          <cell r="J961">
            <v>1</v>
          </cell>
          <cell r="K961">
            <v>2</v>
          </cell>
        </row>
        <row r="962">
          <cell r="A962" t="str">
            <v>M1</v>
          </cell>
          <cell r="B962" t="str">
            <v>A6C</v>
          </cell>
          <cell r="C962" t="str">
            <v>HOR</v>
          </cell>
          <cell r="D962" t="str">
            <v>65611</v>
          </cell>
          <cell r="E962" t="str">
            <v>SOL</v>
          </cell>
          <cell r="F962">
            <v>2</v>
          </cell>
          <cell r="G962" t="str">
            <v>CB39020000060T</v>
          </cell>
          <cell r="H962">
            <v>6</v>
          </cell>
          <cell r="I962">
            <v>0.75</v>
          </cell>
          <cell r="J962">
            <v>1</v>
          </cell>
          <cell r="K962">
            <v>2</v>
          </cell>
        </row>
        <row r="963">
          <cell r="A963" t="str">
            <v>M1</v>
          </cell>
          <cell r="B963" t="str">
            <v>A6C</v>
          </cell>
          <cell r="C963" t="str">
            <v>HOR</v>
          </cell>
          <cell r="D963" t="str">
            <v>65611</v>
          </cell>
          <cell r="E963" t="str">
            <v>SOL</v>
          </cell>
          <cell r="F963">
            <v>2</v>
          </cell>
          <cell r="G963" t="str">
            <v>CB39020000060T</v>
          </cell>
          <cell r="H963">
            <v>6</v>
          </cell>
          <cell r="I963">
            <v>0.75</v>
          </cell>
          <cell r="J963">
            <v>1</v>
          </cell>
          <cell r="K963">
            <v>2</v>
          </cell>
        </row>
        <row r="964">
          <cell r="A964" t="str">
            <v>M1</v>
          </cell>
          <cell r="B964" t="str">
            <v>A6C</v>
          </cell>
          <cell r="C964" t="str">
            <v>HOS</v>
          </cell>
          <cell r="D964" t="str">
            <v>65624</v>
          </cell>
          <cell r="E964" t="str">
            <v>TEE</v>
          </cell>
          <cell r="F964">
            <v>2</v>
          </cell>
          <cell r="G964" t="str">
            <v>CB300304000600</v>
          </cell>
          <cell r="H964">
            <v>6</v>
          </cell>
          <cell r="I964" t="str">
            <v>--</v>
          </cell>
          <cell r="J964">
            <v>1</v>
          </cell>
          <cell r="K964">
            <v>2</v>
          </cell>
        </row>
        <row r="965">
          <cell r="A965" t="str">
            <v>M1</v>
          </cell>
          <cell r="B965" t="str">
            <v>A6C</v>
          </cell>
          <cell r="C965" t="str">
            <v>HOS</v>
          </cell>
          <cell r="D965" t="str">
            <v>65624</v>
          </cell>
          <cell r="E965" t="str">
            <v>TEE</v>
          </cell>
          <cell r="F965">
            <v>2</v>
          </cell>
          <cell r="G965" t="str">
            <v>CB300304000600</v>
          </cell>
          <cell r="H965">
            <v>6</v>
          </cell>
          <cell r="I965" t="str">
            <v>--</v>
          </cell>
          <cell r="J965">
            <v>1</v>
          </cell>
          <cell r="K965">
            <v>2</v>
          </cell>
        </row>
        <row r="966">
          <cell r="A966" t="str">
            <v>M1</v>
          </cell>
          <cell r="B966" t="str">
            <v>A6C</v>
          </cell>
          <cell r="C966" t="str">
            <v>HOR</v>
          </cell>
          <cell r="D966" t="str">
            <v>65611</v>
          </cell>
          <cell r="E966" t="str">
            <v>TEE</v>
          </cell>
          <cell r="F966">
            <v>2</v>
          </cell>
          <cell r="G966" t="str">
            <v>CB300304000600</v>
          </cell>
          <cell r="H966">
            <v>6</v>
          </cell>
          <cell r="I966" t="str">
            <v>--</v>
          </cell>
          <cell r="J966">
            <v>1</v>
          </cell>
          <cell r="K966">
            <v>2</v>
          </cell>
        </row>
        <row r="967">
          <cell r="A967" t="str">
            <v>M1</v>
          </cell>
          <cell r="B967" t="str">
            <v>A6C</v>
          </cell>
          <cell r="C967" t="str">
            <v>HOR</v>
          </cell>
          <cell r="D967" t="str">
            <v>65611</v>
          </cell>
          <cell r="E967" t="str">
            <v>TEE</v>
          </cell>
          <cell r="F967">
            <v>2</v>
          </cell>
          <cell r="G967" t="str">
            <v>CB300304000600</v>
          </cell>
          <cell r="H967">
            <v>6</v>
          </cell>
          <cell r="I967" t="str">
            <v>--</v>
          </cell>
          <cell r="J967">
            <v>1</v>
          </cell>
          <cell r="K967">
            <v>2</v>
          </cell>
        </row>
        <row r="968">
          <cell r="A968" t="str">
            <v>M1</v>
          </cell>
          <cell r="B968" t="str">
            <v>B1C</v>
          </cell>
          <cell r="C968" t="str">
            <v>P</v>
          </cell>
          <cell r="D968" t="str">
            <v>22029</v>
          </cell>
          <cell r="E968" t="str">
            <v>45 ELL</v>
          </cell>
          <cell r="F968">
            <v>2</v>
          </cell>
          <cell r="G968" t="str">
            <v>CB300204000600</v>
          </cell>
          <cell r="H968">
            <v>6</v>
          </cell>
          <cell r="I968" t="str">
            <v>--</v>
          </cell>
          <cell r="J968">
            <v>1</v>
          </cell>
          <cell r="K968">
            <v>2</v>
          </cell>
        </row>
        <row r="969">
          <cell r="A969" t="str">
            <v>M1</v>
          </cell>
          <cell r="B969" t="str">
            <v>B1C</v>
          </cell>
          <cell r="C969" t="str">
            <v>P</v>
          </cell>
          <cell r="D969" t="str">
            <v>22029</v>
          </cell>
          <cell r="E969" t="str">
            <v>90 ELL</v>
          </cell>
          <cell r="F969">
            <v>2</v>
          </cell>
          <cell r="G969" t="str">
            <v>CB300104000600</v>
          </cell>
          <cell r="H969">
            <v>6</v>
          </cell>
          <cell r="I969" t="str">
            <v>--</v>
          </cell>
          <cell r="J969">
            <v>4</v>
          </cell>
          <cell r="K969">
            <v>5</v>
          </cell>
        </row>
        <row r="970">
          <cell r="A970" t="str">
            <v>M1</v>
          </cell>
          <cell r="B970" t="str">
            <v>B1C</v>
          </cell>
          <cell r="C970" t="str">
            <v>P</v>
          </cell>
          <cell r="D970" t="str">
            <v>22029</v>
          </cell>
          <cell r="E970" t="str">
            <v>TEE</v>
          </cell>
          <cell r="F970">
            <v>2</v>
          </cell>
          <cell r="G970" t="str">
            <v>CB300304000600</v>
          </cell>
          <cell r="H970">
            <v>6</v>
          </cell>
          <cell r="I970" t="str">
            <v>--</v>
          </cell>
          <cell r="J970">
            <v>1</v>
          </cell>
          <cell r="K970">
            <v>2</v>
          </cell>
        </row>
        <row r="971">
          <cell r="A971" t="str">
            <v>M1</v>
          </cell>
          <cell r="B971" t="str">
            <v>A5C</v>
          </cell>
          <cell r="C971" t="str">
            <v>P</v>
          </cell>
          <cell r="D971" t="str">
            <v>22011</v>
          </cell>
          <cell r="E971" t="str">
            <v>45 ELL</v>
          </cell>
          <cell r="F971">
            <v>2</v>
          </cell>
          <cell r="G971" t="str">
            <v>CB300204000800</v>
          </cell>
          <cell r="H971">
            <v>8</v>
          </cell>
          <cell r="I971" t="str">
            <v>--</v>
          </cell>
          <cell r="J971">
            <v>1</v>
          </cell>
          <cell r="K971">
            <v>2</v>
          </cell>
        </row>
        <row r="972">
          <cell r="A972" t="str">
            <v>M1</v>
          </cell>
          <cell r="B972" t="str">
            <v>A5C</v>
          </cell>
          <cell r="C972" t="str">
            <v>COMP</v>
          </cell>
          <cell r="D972" t="str">
            <v>004</v>
          </cell>
          <cell r="E972" t="str">
            <v>90 ELL</v>
          </cell>
          <cell r="F972">
            <v>2</v>
          </cell>
          <cell r="G972" t="str">
            <v>CB300104000800</v>
          </cell>
          <cell r="H972">
            <v>8</v>
          </cell>
          <cell r="I972" t="str">
            <v>--</v>
          </cell>
          <cell r="J972">
            <v>2</v>
          </cell>
          <cell r="K972">
            <v>3</v>
          </cell>
        </row>
        <row r="973">
          <cell r="A973" t="str">
            <v>M1</v>
          </cell>
          <cell r="B973" t="str">
            <v>A5C</v>
          </cell>
          <cell r="C973" t="str">
            <v>P</v>
          </cell>
          <cell r="D973" t="str">
            <v>22011</v>
          </cell>
          <cell r="E973" t="str">
            <v>90 ELL</v>
          </cell>
          <cell r="F973">
            <v>2</v>
          </cell>
          <cell r="G973" t="str">
            <v>CB300104000800</v>
          </cell>
          <cell r="H973">
            <v>8</v>
          </cell>
          <cell r="I973" t="str">
            <v>--</v>
          </cell>
          <cell r="J973">
            <v>5</v>
          </cell>
          <cell r="K973">
            <v>6</v>
          </cell>
        </row>
        <row r="974">
          <cell r="A974" t="str">
            <v>M1</v>
          </cell>
          <cell r="B974" t="str">
            <v>A5C</v>
          </cell>
          <cell r="C974" t="str">
            <v>P</v>
          </cell>
          <cell r="D974" t="str">
            <v>22118</v>
          </cell>
          <cell r="E974" t="str">
            <v>C RED</v>
          </cell>
          <cell r="F974">
            <v>2</v>
          </cell>
          <cell r="G974" t="str">
            <v>CB300504040804</v>
          </cell>
          <cell r="H974">
            <v>8</v>
          </cell>
          <cell r="I974">
            <v>4</v>
          </cell>
          <cell r="J974">
            <v>1</v>
          </cell>
          <cell r="K974">
            <v>2</v>
          </cell>
        </row>
        <row r="975">
          <cell r="A975" t="str">
            <v>M1</v>
          </cell>
          <cell r="B975" t="str">
            <v>A5C</v>
          </cell>
          <cell r="C975" t="str">
            <v>P</v>
          </cell>
          <cell r="D975" t="str">
            <v>22011</v>
          </cell>
          <cell r="E975" t="str">
            <v>SOL</v>
          </cell>
          <cell r="F975">
            <v>2</v>
          </cell>
          <cell r="G975" t="str">
            <v>CB39020000080T</v>
          </cell>
          <cell r="H975">
            <v>8</v>
          </cell>
          <cell r="I975">
            <v>0.75</v>
          </cell>
          <cell r="J975">
            <v>1</v>
          </cell>
          <cell r="K975">
            <v>2</v>
          </cell>
        </row>
        <row r="976">
          <cell r="A976" t="str">
            <v>M1</v>
          </cell>
          <cell r="B976" t="str">
            <v>A5C</v>
          </cell>
          <cell r="C976" t="str">
            <v>COMP</v>
          </cell>
          <cell r="D976" t="str">
            <v>004</v>
          </cell>
          <cell r="E976" t="str">
            <v>TEE</v>
          </cell>
          <cell r="F976">
            <v>2</v>
          </cell>
          <cell r="G976" t="str">
            <v>CB300304000800</v>
          </cell>
          <cell r="H976">
            <v>8</v>
          </cell>
          <cell r="I976" t="str">
            <v>--</v>
          </cell>
          <cell r="J976">
            <v>1</v>
          </cell>
          <cell r="K976">
            <v>2</v>
          </cell>
        </row>
        <row r="977">
          <cell r="A977" t="str">
            <v>M1</v>
          </cell>
          <cell r="B977" t="str">
            <v>A6C</v>
          </cell>
          <cell r="C977" t="str">
            <v>HOS</v>
          </cell>
          <cell r="D977" t="str">
            <v>65617</v>
          </cell>
          <cell r="E977" t="str">
            <v>90 ELL</v>
          </cell>
          <cell r="F977">
            <v>2</v>
          </cell>
          <cell r="G977" t="str">
            <v>CB300104000800</v>
          </cell>
          <cell r="H977">
            <v>8</v>
          </cell>
          <cell r="I977" t="str">
            <v>--</v>
          </cell>
          <cell r="J977">
            <v>4</v>
          </cell>
          <cell r="K977">
            <v>5</v>
          </cell>
        </row>
        <row r="978">
          <cell r="A978" t="str">
            <v>M1</v>
          </cell>
          <cell r="B978" t="str">
            <v>A5C</v>
          </cell>
          <cell r="C978" t="str">
            <v>P</v>
          </cell>
          <cell r="D978" t="str">
            <v>22074</v>
          </cell>
          <cell r="E978" t="str">
            <v>SOL</v>
          </cell>
          <cell r="F978">
            <v>2</v>
          </cell>
          <cell r="G978" t="str">
            <v>CB39020000080T</v>
          </cell>
          <cell r="H978">
            <v>8</v>
          </cell>
          <cell r="I978">
            <v>0.75</v>
          </cell>
          <cell r="J978">
            <v>3</v>
          </cell>
          <cell r="K978">
            <v>4</v>
          </cell>
        </row>
        <row r="979">
          <cell r="A979" t="str">
            <v>M1</v>
          </cell>
          <cell r="B979" t="str">
            <v>A6C</v>
          </cell>
          <cell r="C979" t="str">
            <v>HOS</v>
          </cell>
          <cell r="D979" t="str">
            <v>65624</v>
          </cell>
          <cell r="E979" t="str">
            <v>45 ELL</v>
          </cell>
          <cell r="F979">
            <v>2</v>
          </cell>
          <cell r="G979" t="str">
            <v>CB300204000800</v>
          </cell>
          <cell r="H979">
            <v>8</v>
          </cell>
          <cell r="I979" t="str">
            <v>--</v>
          </cell>
          <cell r="J979">
            <v>1</v>
          </cell>
          <cell r="K979">
            <v>2</v>
          </cell>
        </row>
        <row r="980">
          <cell r="A980" t="str">
            <v>M1</v>
          </cell>
          <cell r="B980" t="str">
            <v>A6C</v>
          </cell>
          <cell r="C980" t="str">
            <v>HOR</v>
          </cell>
          <cell r="D980" t="str">
            <v>65611</v>
          </cell>
          <cell r="E980" t="str">
            <v>45 ELL</v>
          </cell>
          <cell r="F980">
            <v>2</v>
          </cell>
          <cell r="G980" t="str">
            <v>CB300204000800</v>
          </cell>
          <cell r="H980">
            <v>8</v>
          </cell>
          <cell r="I980" t="str">
            <v>--</v>
          </cell>
          <cell r="J980">
            <v>2</v>
          </cell>
          <cell r="K980">
            <v>3</v>
          </cell>
        </row>
        <row r="981">
          <cell r="A981" t="str">
            <v>M1</v>
          </cell>
          <cell r="B981" t="str">
            <v>A6C</v>
          </cell>
          <cell r="C981" t="str">
            <v>HOR</v>
          </cell>
          <cell r="D981" t="str">
            <v>65611</v>
          </cell>
          <cell r="E981" t="str">
            <v>45 ELL</v>
          </cell>
          <cell r="F981">
            <v>2</v>
          </cell>
          <cell r="G981" t="str">
            <v>CB300204000800</v>
          </cell>
          <cell r="H981">
            <v>8</v>
          </cell>
          <cell r="I981" t="str">
            <v>--</v>
          </cell>
          <cell r="J981">
            <v>1</v>
          </cell>
          <cell r="K981">
            <v>2</v>
          </cell>
        </row>
        <row r="982">
          <cell r="A982" t="str">
            <v>M1</v>
          </cell>
          <cell r="B982" t="str">
            <v>A6C</v>
          </cell>
          <cell r="C982" t="str">
            <v>HOR</v>
          </cell>
          <cell r="D982" t="str">
            <v>65615</v>
          </cell>
          <cell r="E982" t="str">
            <v>45 ELL</v>
          </cell>
          <cell r="F982">
            <v>2</v>
          </cell>
          <cell r="G982" t="str">
            <v>CB300204000800</v>
          </cell>
          <cell r="H982">
            <v>8</v>
          </cell>
          <cell r="I982" t="str">
            <v>--</v>
          </cell>
          <cell r="J982">
            <v>1</v>
          </cell>
          <cell r="K982">
            <v>2</v>
          </cell>
        </row>
        <row r="983">
          <cell r="A983" t="str">
            <v>M1</v>
          </cell>
          <cell r="B983" t="str">
            <v>A6C</v>
          </cell>
          <cell r="C983" t="str">
            <v>HOR</v>
          </cell>
          <cell r="D983" t="str">
            <v>65619</v>
          </cell>
          <cell r="E983" t="str">
            <v>45 ELL</v>
          </cell>
          <cell r="F983">
            <v>2</v>
          </cell>
          <cell r="G983" t="str">
            <v>CB300204000800</v>
          </cell>
          <cell r="H983">
            <v>8</v>
          </cell>
          <cell r="I983" t="str">
            <v>--</v>
          </cell>
          <cell r="J983">
            <v>1</v>
          </cell>
          <cell r="K983">
            <v>2</v>
          </cell>
        </row>
        <row r="984">
          <cell r="A984" t="str">
            <v>M1</v>
          </cell>
          <cell r="B984" t="str">
            <v>A6C</v>
          </cell>
          <cell r="C984" t="str">
            <v>HOS</v>
          </cell>
          <cell r="D984" t="str">
            <v>65619</v>
          </cell>
          <cell r="E984" t="str">
            <v>90 ELL</v>
          </cell>
          <cell r="F984">
            <v>2</v>
          </cell>
          <cell r="G984" t="str">
            <v>CB300104000800</v>
          </cell>
          <cell r="H984">
            <v>8</v>
          </cell>
          <cell r="I984" t="str">
            <v>--</v>
          </cell>
          <cell r="J984">
            <v>6</v>
          </cell>
          <cell r="K984">
            <v>7</v>
          </cell>
        </row>
        <row r="985">
          <cell r="A985" t="str">
            <v>M1</v>
          </cell>
          <cell r="B985" t="str">
            <v>A6C</v>
          </cell>
          <cell r="C985" t="str">
            <v>HOR</v>
          </cell>
          <cell r="D985" t="str">
            <v>65621</v>
          </cell>
          <cell r="E985" t="str">
            <v>90 ELL</v>
          </cell>
          <cell r="F985">
            <v>2</v>
          </cell>
          <cell r="G985" t="str">
            <v>CB300104000800</v>
          </cell>
          <cell r="H985">
            <v>8</v>
          </cell>
          <cell r="I985" t="str">
            <v>--</v>
          </cell>
          <cell r="J985">
            <v>3</v>
          </cell>
          <cell r="K985">
            <v>4</v>
          </cell>
        </row>
        <row r="986">
          <cell r="A986" t="str">
            <v>M1</v>
          </cell>
          <cell r="B986" t="str">
            <v>A6C</v>
          </cell>
          <cell r="C986" t="str">
            <v>HOS</v>
          </cell>
          <cell r="D986" t="str">
            <v>65624</v>
          </cell>
          <cell r="E986" t="str">
            <v>90 ELL</v>
          </cell>
          <cell r="F986">
            <v>2</v>
          </cell>
          <cell r="G986" t="str">
            <v>CB300104000800</v>
          </cell>
          <cell r="H986">
            <v>8</v>
          </cell>
          <cell r="I986" t="str">
            <v>--</v>
          </cell>
          <cell r="J986">
            <v>5</v>
          </cell>
          <cell r="K986">
            <v>6</v>
          </cell>
        </row>
        <row r="987">
          <cell r="A987" t="str">
            <v>M1</v>
          </cell>
          <cell r="B987" t="str">
            <v>A6C</v>
          </cell>
          <cell r="C987" t="str">
            <v>HOS</v>
          </cell>
          <cell r="D987" t="str">
            <v>65613</v>
          </cell>
          <cell r="E987" t="str">
            <v>90 ELL</v>
          </cell>
          <cell r="F987">
            <v>2</v>
          </cell>
          <cell r="G987" t="str">
            <v>CB300104000800</v>
          </cell>
          <cell r="H987">
            <v>8</v>
          </cell>
          <cell r="I987" t="str">
            <v>--</v>
          </cell>
          <cell r="J987">
            <v>11</v>
          </cell>
          <cell r="K987">
            <v>13</v>
          </cell>
        </row>
        <row r="988">
          <cell r="A988" t="str">
            <v>M1</v>
          </cell>
          <cell r="B988" t="str">
            <v>A6C</v>
          </cell>
          <cell r="C988" t="str">
            <v>HOS</v>
          </cell>
          <cell r="D988" t="str">
            <v>65627</v>
          </cell>
          <cell r="E988" t="str">
            <v>90 ELL</v>
          </cell>
          <cell r="F988">
            <v>2</v>
          </cell>
          <cell r="G988" t="str">
            <v>CB300104000800</v>
          </cell>
          <cell r="H988">
            <v>8</v>
          </cell>
          <cell r="I988" t="str">
            <v>--</v>
          </cell>
          <cell r="J988">
            <v>6</v>
          </cell>
          <cell r="K988">
            <v>7</v>
          </cell>
        </row>
        <row r="989">
          <cell r="A989" t="str">
            <v>M1</v>
          </cell>
          <cell r="B989" t="str">
            <v>A6C</v>
          </cell>
          <cell r="C989" t="str">
            <v>HOS</v>
          </cell>
          <cell r="D989" t="str">
            <v>65631</v>
          </cell>
          <cell r="E989" t="str">
            <v>90 ELL</v>
          </cell>
          <cell r="F989">
            <v>2</v>
          </cell>
          <cell r="G989" t="str">
            <v>CB300104000800</v>
          </cell>
          <cell r="H989">
            <v>8</v>
          </cell>
          <cell r="I989" t="str">
            <v>--</v>
          </cell>
          <cell r="J989">
            <v>4</v>
          </cell>
          <cell r="K989">
            <v>5</v>
          </cell>
        </row>
        <row r="990">
          <cell r="A990" t="str">
            <v>M1</v>
          </cell>
          <cell r="B990" t="str">
            <v>A6C</v>
          </cell>
          <cell r="C990" t="str">
            <v>HOS</v>
          </cell>
          <cell r="D990" t="str">
            <v>65624</v>
          </cell>
          <cell r="E990" t="str">
            <v>90 ELL</v>
          </cell>
          <cell r="F990">
            <v>2</v>
          </cell>
          <cell r="G990" t="str">
            <v>CB300104000800</v>
          </cell>
          <cell r="H990">
            <v>8</v>
          </cell>
          <cell r="I990" t="str">
            <v>--</v>
          </cell>
          <cell r="J990">
            <v>9</v>
          </cell>
          <cell r="K990">
            <v>11</v>
          </cell>
        </row>
        <row r="991">
          <cell r="A991" t="str">
            <v>M1</v>
          </cell>
          <cell r="B991" t="str">
            <v>A6C</v>
          </cell>
          <cell r="C991" t="str">
            <v>HOS</v>
          </cell>
          <cell r="D991" t="str">
            <v>65624</v>
          </cell>
          <cell r="E991" t="str">
            <v>90 ELL</v>
          </cell>
          <cell r="F991">
            <v>2</v>
          </cell>
          <cell r="G991" t="str">
            <v>CB300104000800</v>
          </cell>
          <cell r="H991">
            <v>8</v>
          </cell>
          <cell r="I991" t="str">
            <v>--</v>
          </cell>
          <cell r="J991">
            <v>1</v>
          </cell>
          <cell r="K991">
            <v>2</v>
          </cell>
        </row>
        <row r="992">
          <cell r="A992" t="str">
            <v>M1</v>
          </cell>
          <cell r="B992" t="str">
            <v>A6C</v>
          </cell>
          <cell r="C992" t="str">
            <v>HOS</v>
          </cell>
          <cell r="D992" t="str">
            <v>65624</v>
          </cell>
          <cell r="E992" t="str">
            <v>90 ELL</v>
          </cell>
          <cell r="F992">
            <v>2</v>
          </cell>
          <cell r="G992" t="str">
            <v>CB300104000800</v>
          </cell>
          <cell r="H992">
            <v>8</v>
          </cell>
          <cell r="I992" t="str">
            <v>--</v>
          </cell>
          <cell r="J992">
            <v>2</v>
          </cell>
          <cell r="K992">
            <v>3</v>
          </cell>
        </row>
        <row r="993">
          <cell r="A993" t="str">
            <v>M1</v>
          </cell>
          <cell r="B993" t="str">
            <v>A6C</v>
          </cell>
          <cell r="C993" t="str">
            <v>HOS</v>
          </cell>
          <cell r="D993" t="str">
            <v>65625</v>
          </cell>
          <cell r="E993" t="str">
            <v>90 ELL</v>
          </cell>
          <cell r="F993">
            <v>2</v>
          </cell>
          <cell r="G993" t="str">
            <v>CB300104000800</v>
          </cell>
          <cell r="H993">
            <v>8</v>
          </cell>
          <cell r="I993" t="str">
            <v>--</v>
          </cell>
          <cell r="J993">
            <v>6</v>
          </cell>
          <cell r="K993">
            <v>7</v>
          </cell>
        </row>
        <row r="994">
          <cell r="A994" t="str">
            <v>M1</v>
          </cell>
          <cell r="B994" t="str">
            <v>A6C</v>
          </cell>
          <cell r="C994" t="str">
            <v>HOR</v>
          </cell>
          <cell r="D994" t="str">
            <v>65611</v>
          </cell>
          <cell r="E994" t="str">
            <v>90 ELL</v>
          </cell>
          <cell r="F994">
            <v>2</v>
          </cell>
          <cell r="G994" t="str">
            <v>CB300104000800</v>
          </cell>
          <cell r="H994">
            <v>8</v>
          </cell>
          <cell r="I994" t="str">
            <v>--</v>
          </cell>
          <cell r="J994">
            <v>4</v>
          </cell>
          <cell r="K994">
            <v>5</v>
          </cell>
        </row>
        <row r="995">
          <cell r="A995" t="str">
            <v>M1</v>
          </cell>
          <cell r="B995" t="str">
            <v>A6C</v>
          </cell>
          <cell r="C995" t="str">
            <v>HOR</v>
          </cell>
          <cell r="D995" t="str">
            <v>65621</v>
          </cell>
          <cell r="E995" t="str">
            <v>90 ELL</v>
          </cell>
          <cell r="F995">
            <v>2</v>
          </cell>
          <cell r="G995" t="str">
            <v>CB300104000800</v>
          </cell>
          <cell r="H995">
            <v>8</v>
          </cell>
          <cell r="I995" t="str">
            <v>--</v>
          </cell>
          <cell r="J995">
            <v>7</v>
          </cell>
          <cell r="K995">
            <v>9</v>
          </cell>
        </row>
        <row r="996">
          <cell r="A996" t="str">
            <v>M1</v>
          </cell>
          <cell r="B996" t="str">
            <v>A6C</v>
          </cell>
          <cell r="C996" t="str">
            <v>HOR</v>
          </cell>
          <cell r="D996" t="str">
            <v>65611</v>
          </cell>
          <cell r="E996" t="str">
            <v>90 ELL</v>
          </cell>
          <cell r="F996">
            <v>2</v>
          </cell>
          <cell r="G996" t="str">
            <v>CB300104000800</v>
          </cell>
          <cell r="H996">
            <v>8</v>
          </cell>
          <cell r="I996" t="str">
            <v>--</v>
          </cell>
          <cell r="J996">
            <v>3</v>
          </cell>
          <cell r="K996">
            <v>4</v>
          </cell>
        </row>
        <row r="997">
          <cell r="A997" t="str">
            <v>M1</v>
          </cell>
          <cell r="B997" t="str">
            <v>A6C</v>
          </cell>
          <cell r="C997" t="str">
            <v>HOS</v>
          </cell>
          <cell r="D997" t="str">
            <v>65613</v>
          </cell>
          <cell r="E997" t="str">
            <v>90 ELL</v>
          </cell>
          <cell r="F997">
            <v>2</v>
          </cell>
          <cell r="G997" t="str">
            <v>CB300104000800</v>
          </cell>
          <cell r="H997">
            <v>8</v>
          </cell>
          <cell r="I997" t="str">
            <v>--</v>
          </cell>
          <cell r="J997">
            <v>2</v>
          </cell>
          <cell r="K997">
            <v>3</v>
          </cell>
        </row>
        <row r="998">
          <cell r="A998" t="str">
            <v>M1</v>
          </cell>
          <cell r="B998" t="str">
            <v>A6C</v>
          </cell>
          <cell r="C998" t="str">
            <v>HOR</v>
          </cell>
          <cell r="D998" t="str">
            <v>65615</v>
          </cell>
          <cell r="E998" t="str">
            <v>90 ELL</v>
          </cell>
          <cell r="F998">
            <v>2</v>
          </cell>
          <cell r="G998" t="str">
            <v>CB300104000800</v>
          </cell>
          <cell r="H998">
            <v>8</v>
          </cell>
          <cell r="I998" t="str">
            <v>--</v>
          </cell>
          <cell r="J998">
            <v>6</v>
          </cell>
          <cell r="K998">
            <v>7</v>
          </cell>
        </row>
        <row r="999">
          <cell r="A999" t="str">
            <v>M1</v>
          </cell>
          <cell r="B999" t="str">
            <v>A6C</v>
          </cell>
          <cell r="C999" t="str">
            <v>HOS</v>
          </cell>
          <cell r="D999" t="str">
            <v>65613</v>
          </cell>
          <cell r="E999" t="str">
            <v>90 ELL</v>
          </cell>
          <cell r="F999">
            <v>2</v>
          </cell>
          <cell r="G999" t="str">
            <v>CB300104000800</v>
          </cell>
          <cell r="H999">
            <v>8</v>
          </cell>
          <cell r="I999" t="str">
            <v>--</v>
          </cell>
          <cell r="J999">
            <v>7</v>
          </cell>
          <cell r="K999">
            <v>9</v>
          </cell>
        </row>
        <row r="1000">
          <cell r="A1000" t="str">
            <v>M1</v>
          </cell>
          <cell r="B1000" t="str">
            <v>A6C</v>
          </cell>
          <cell r="C1000" t="str">
            <v>HOS</v>
          </cell>
          <cell r="D1000" t="str">
            <v>65615</v>
          </cell>
          <cell r="E1000" t="str">
            <v>90 ELL</v>
          </cell>
          <cell r="F1000">
            <v>2</v>
          </cell>
          <cell r="G1000" t="str">
            <v>CB300104000800</v>
          </cell>
          <cell r="H1000">
            <v>8</v>
          </cell>
          <cell r="I1000" t="str">
            <v>--</v>
          </cell>
          <cell r="J1000">
            <v>6</v>
          </cell>
          <cell r="K1000">
            <v>7</v>
          </cell>
        </row>
        <row r="1001">
          <cell r="A1001" t="str">
            <v>M1</v>
          </cell>
          <cell r="B1001" t="str">
            <v>A6C</v>
          </cell>
          <cell r="C1001" t="str">
            <v>HOR</v>
          </cell>
          <cell r="D1001" t="str">
            <v>65619</v>
          </cell>
          <cell r="E1001" t="str">
            <v>90 ELL</v>
          </cell>
          <cell r="F1001">
            <v>2</v>
          </cell>
          <cell r="G1001" t="str">
            <v>CB300104000800</v>
          </cell>
          <cell r="H1001">
            <v>8</v>
          </cell>
          <cell r="I1001" t="str">
            <v>--</v>
          </cell>
          <cell r="J1001">
            <v>7</v>
          </cell>
          <cell r="K1001">
            <v>9</v>
          </cell>
        </row>
        <row r="1002">
          <cell r="A1002" t="str">
            <v>M1</v>
          </cell>
          <cell r="B1002" t="str">
            <v>A6C</v>
          </cell>
          <cell r="C1002" t="str">
            <v>HOR</v>
          </cell>
          <cell r="D1002" t="str">
            <v>65611</v>
          </cell>
          <cell r="E1002" t="str">
            <v>90 ELL</v>
          </cell>
          <cell r="F1002">
            <v>2</v>
          </cell>
          <cell r="G1002" t="str">
            <v>CB300104000800</v>
          </cell>
          <cell r="H1002">
            <v>8</v>
          </cell>
          <cell r="I1002" t="str">
            <v>--</v>
          </cell>
          <cell r="J1002">
            <v>3</v>
          </cell>
          <cell r="K1002">
            <v>4</v>
          </cell>
        </row>
        <row r="1003">
          <cell r="A1003" t="str">
            <v>M1</v>
          </cell>
          <cell r="B1003" t="str">
            <v>A6C</v>
          </cell>
          <cell r="C1003" t="str">
            <v>HOR</v>
          </cell>
          <cell r="D1003" t="str">
            <v>65615</v>
          </cell>
          <cell r="E1003" t="str">
            <v>90 ELL</v>
          </cell>
          <cell r="F1003">
            <v>2</v>
          </cell>
          <cell r="G1003" t="str">
            <v>CB300104000800</v>
          </cell>
          <cell r="H1003">
            <v>8</v>
          </cell>
          <cell r="I1003" t="str">
            <v>--</v>
          </cell>
          <cell r="J1003">
            <v>3</v>
          </cell>
          <cell r="K1003">
            <v>4</v>
          </cell>
        </row>
        <row r="1004">
          <cell r="A1004" t="str">
            <v>M1</v>
          </cell>
          <cell r="B1004" t="str">
            <v>A6C</v>
          </cell>
          <cell r="C1004" t="str">
            <v>HOR</v>
          </cell>
          <cell r="D1004" t="str">
            <v>65619</v>
          </cell>
          <cell r="E1004" t="str">
            <v>90 ELL</v>
          </cell>
          <cell r="F1004">
            <v>2</v>
          </cell>
          <cell r="G1004" t="str">
            <v>CB300104000800</v>
          </cell>
          <cell r="H1004">
            <v>8</v>
          </cell>
          <cell r="I1004" t="str">
            <v>--</v>
          </cell>
          <cell r="J1004">
            <v>4</v>
          </cell>
          <cell r="K1004">
            <v>5</v>
          </cell>
        </row>
        <row r="1005">
          <cell r="A1005" t="str">
            <v>M1</v>
          </cell>
          <cell r="B1005" t="str">
            <v>A6C</v>
          </cell>
          <cell r="C1005" t="str">
            <v>HOS</v>
          </cell>
          <cell r="D1005" t="str">
            <v>65613</v>
          </cell>
          <cell r="E1005" t="str">
            <v>C RED</v>
          </cell>
          <cell r="F1005">
            <v>2</v>
          </cell>
          <cell r="G1005" t="str">
            <v>CB300504040806</v>
          </cell>
          <cell r="H1005">
            <v>8</v>
          </cell>
          <cell r="I1005">
            <v>6</v>
          </cell>
          <cell r="J1005">
            <v>2</v>
          </cell>
          <cell r="K1005">
            <v>3</v>
          </cell>
        </row>
        <row r="1006">
          <cell r="A1006" t="str">
            <v>M1</v>
          </cell>
          <cell r="B1006" t="str">
            <v>A6C</v>
          </cell>
          <cell r="C1006" t="str">
            <v>HOS</v>
          </cell>
          <cell r="D1006" t="str">
            <v>65624</v>
          </cell>
          <cell r="E1006" t="str">
            <v>C RED</v>
          </cell>
          <cell r="F1006">
            <v>2</v>
          </cell>
          <cell r="G1006" t="str">
            <v>CB300504040804</v>
          </cell>
          <cell r="H1006">
            <v>8</v>
          </cell>
          <cell r="I1006">
            <v>4</v>
          </cell>
          <cell r="J1006">
            <v>1</v>
          </cell>
          <cell r="K1006">
            <v>2</v>
          </cell>
        </row>
        <row r="1007">
          <cell r="A1007" t="str">
            <v>M1</v>
          </cell>
          <cell r="B1007" t="str">
            <v>A6C</v>
          </cell>
          <cell r="C1007" t="str">
            <v>HOS</v>
          </cell>
          <cell r="D1007" t="str">
            <v>65624</v>
          </cell>
          <cell r="E1007" t="str">
            <v>C RED</v>
          </cell>
          <cell r="F1007">
            <v>2</v>
          </cell>
          <cell r="G1007" t="str">
            <v>CB300504040806</v>
          </cell>
          <cell r="H1007">
            <v>8</v>
          </cell>
          <cell r="I1007">
            <v>6</v>
          </cell>
          <cell r="J1007">
            <v>1</v>
          </cell>
          <cell r="K1007">
            <v>2</v>
          </cell>
        </row>
        <row r="1008">
          <cell r="A1008" t="str">
            <v>M1</v>
          </cell>
          <cell r="B1008" t="str">
            <v>A6C</v>
          </cell>
          <cell r="C1008" t="str">
            <v>HOS</v>
          </cell>
          <cell r="D1008" t="str">
            <v>65624</v>
          </cell>
          <cell r="E1008" t="str">
            <v>C RED</v>
          </cell>
          <cell r="F1008">
            <v>2</v>
          </cell>
          <cell r="G1008" t="str">
            <v>CB300504040806</v>
          </cell>
          <cell r="H1008">
            <v>8</v>
          </cell>
          <cell r="I1008">
            <v>6</v>
          </cell>
          <cell r="J1008">
            <v>1</v>
          </cell>
          <cell r="K1008">
            <v>2</v>
          </cell>
        </row>
        <row r="1009">
          <cell r="A1009" t="str">
            <v>M1</v>
          </cell>
          <cell r="B1009" t="str">
            <v>A6C</v>
          </cell>
          <cell r="C1009" t="str">
            <v>HOR</v>
          </cell>
          <cell r="D1009" t="str">
            <v>65611</v>
          </cell>
          <cell r="E1009" t="str">
            <v>C RED</v>
          </cell>
          <cell r="F1009">
            <v>2</v>
          </cell>
          <cell r="G1009" t="str">
            <v>CB300504040806</v>
          </cell>
          <cell r="H1009">
            <v>8</v>
          </cell>
          <cell r="I1009">
            <v>6</v>
          </cell>
          <cell r="J1009">
            <v>1</v>
          </cell>
          <cell r="K1009">
            <v>2</v>
          </cell>
        </row>
        <row r="1010">
          <cell r="A1010" t="str">
            <v>M1</v>
          </cell>
          <cell r="B1010" t="str">
            <v>A6C</v>
          </cell>
          <cell r="C1010" t="str">
            <v>HOR</v>
          </cell>
          <cell r="D1010" t="str">
            <v>65611</v>
          </cell>
          <cell r="E1010" t="str">
            <v>C RED</v>
          </cell>
          <cell r="F1010">
            <v>2</v>
          </cell>
          <cell r="G1010" t="str">
            <v>CB300504040806</v>
          </cell>
          <cell r="H1010">
            <v>8</v>
          </cell>
          <cell r="I1010">
            <v>6</v>
          </cell>
          <cell r="J1010">
            <v>1</v>
          </cell>
          <cell r="K1010">
            <v>2</v>
          </cell>
        </row>
        <row r="1011">
          <cell r="A1011" t="str">
            <v>M1</v>
          </cell>
          <cell r="B1011" t="str">
            <v>A6C</v>
          </cell>
          <cell r="C1011" t="str">
            <v>HOR</v>
          </cell>
          <cell r="D1011" t="str">
            <v>65619</v>
          </cell>
          <cell r="E1011" t="str">
            <v>E RED</v>
          </cell>
          <cell r="F1011">
            <v>2</v>
          </cell>
          <cell r="G1011" t="str">
            <v>CB300604040806</v>
          </cell>
          <cell r="H1011">
            <v>8</v>
          </cell>
          <cell r="I1011">
            <v>6</v>
          </cell>
          <cell r="J1011">
            <v>2</v>
          </cell>
          <cell r="K1011">
            <v>3</v>
          </cell>
        </row>
        <row r="1012">
          <cell r="A1012" t="str">
            <v>M1</v>
          </cell>
          <cell r="B1012" t="str">
            <v>A6C</v>
          </cell>
          <cell r="C1012" t="str">
            <v>HOR</v>
          </cell>
          <cell r="D1012" t="str">
            <v>65619</v>
          </cell>
          <cell r="E1012" t="str">
            <v>E RED</v>
          </cell>
          <cell r="F1012">
            <v>2</v>
          </cell>
          <cell r="G1012" t="str">
            <v>CB300604040804</v>
          </cell>
          <cell r="H1012">
            <v>8</v>
          </cell>
          <cell r="I1012">
            <v>4</v>
          </cell>
          <cell r="J1012">
            <v>1</v>
          </cell>
          <cell r="K1012">
            <v>2</v>
          </cell>
        </row>
        <row r="1013">
          <cell r="A1013" t="str">
            <v>M1</v>
          </cell>
          <cell r="B1013" t="str">
            <v>A6C</v>
          </cell>
          <cell r="C1013" t="str">
            <v>HOS</v>
          </cell>
          <cell r="D1013" t="str">
            <v>65613</v>
          </cell>
          <cell r="E1013" t="str">
            <v>SOL</v>
          </cell>
          <cell r="F1013">
            <v>2</v>
          </cell>
          <cell r="G1013" t="str">
            <v>CB39020000080T</v>
          </cell>
          <cell r="H1013">
            <v>8</v>
          </cell>
          <cell r="I1013">
            <v>0.75</v>
          </cell>
          <cell r="J1013">
            <v>3</v>
          </cell>
          <cell r="K1013">
            <v>4</v>
          </cell>
        </row>
        <row r="1014">
          <cell r="A1014" t="str">
            <v>M1</v>
          </cell>
          <cell r="B1014" t="str">
            <v>A6C</v>
          </cell>
          <cell r="C1014" t="str">
            <v>HOS</v>
          </cell>
          <cell r="D1014" t="str">
            <v>65613</v>
          </cell>
          <cell r="E1014" t="str">
            <v>SOL</v>
          </cell>
          <cell r="F1014">
            <v>2</v>
          </cell>
          <cell r="G1014" t="str">
            <v>CB3902000008IH</v>
          </cell>
          <cell r="H1014">
            <v>8</v>
          </cell>
          <cell r="I1014">
            <v>1.5</v>
          </cell>
          <cell r="J1014">
            <v>1</v>
          </cell>
          <cell r="K1014">
            <v>2</v>
          </cell>
        </row>
        <row r="1015">
          <cell r="A1015" t="str">
            <v>M1</v>
          </cell>
          <cell r="B1015" t="str">
            <v>A6C</v>
          </cell>
          <cell r="C1015" t="str">
            <v>HOS</v>
          </cell>
          <cell r="D1015" t="str">
            <v>65619</v>
          </cell>
          <cell r="E1015" t="str">
            <v>SOL</v>
          </cell>
          <cell r="F1015">
            <v>2</v>
          </cell>
          <cell r="G1015" t="str">
            <v>CB39020000080T</v>
          </cell>
          <cell r="H1015">
            <v>8</v>
          </cell>
          <cell r="I1015">
            <v>0.75</v>
          </cell>
          <cell r="J1015">
            <v>1</v>
          </cell>
          <cell r="K1015">
            <v>2</v>
          </cell>
        </row>
        <row r="1016">
          <cell r="A1016" t="str">
            <v>M1</v>
          </cell>
          <cell r="B1016" t="str">
            <v>A6C</v>
          </cell>
          <cell r="C1016" t="str">
            <v>HOS</v>
          </cell>
          <cell r="D1016" t="str">
            <v>65627</v>
          </cell>
          <cell r="E1016" t="str">
            <v>SOL</v>
          </cell>
          <cell r="F1016">
            <v>2</v>
          </cell>
          <cell r="G1016" t="str">
            <v>CB39020000080T</v>
          </cell>
          <cell r="H1016">
            <v>8</v>
          </cell>
          <cell r="I1016">
            <v>0.75</v>
          </cell>
          <cell r="J1016">
            <v>1</v>
          </cell>
          <cell r="K1016">
            <v>2</v>
          </cell>
        </row>
        <row r="1017">
          <cell r="A1017" t="str">
            <v>M1</v>
          </cell>
          <cell r="B1017" t="str">
            <v>A6C</v>
          </cell>
          <cell r="C1017" t="str">
            <v>HOS</v>
          </cell>
          <cell r="D1017" t="str">
            <v>65624</v>
          </cell>
          <cell r="E1017" t="str">
            <v>SOL</v>
          </cell>
          <cell r="F1017">
            <v>2</v>
          </cell>
          <cell r="G1017" t="str">
            <v>CB390200000801</v>
          </cell>
          <cell r="H1017">
            <v>8</v>
          </cell>
          <cell r="I1017">
            <v>1</v>
          </cell>
          <cell r="J1017">
            <v>1</v>
          </cell>
          <cell r="K1017">
            <v>2</v>
          </cell>
        </row>
        <row r="1018">
          <cell r="A1018" t="str">
            <v>M1</v>
          </cell>
          <cell r="B1018" t="str">
            <v>A6C</v>
          </cell>
          <cell r="C1018" t="str">
            <v>HOS</v>
          </cell>
          <cell r="D1018" t="str">
            <v>65624</v>
          </cell>
          <cell r="E1018" t="str">
            <v>SOL</v>
          </cell>
          <cell r="F1018">
            <v>2</v>
          </cell>
          <cell r="G1018" t="str">
            <v>CB39020000080T</v>
          </cell>
          <cell r="H1018">
            <v>8</v>
          </cell>
          <cell r="I1018">
            <v>0.75</v>
          </cell>
          <cell r="J1018">
            <v>4</v>
          </cell>
          <cell r="K1018">
            <v>5</v>
          </cell>
        </row>
        <row r="1019">
          <cell r="A1019" t="str">
            <v>M1</v>
          </cell>
          <cell r="B1019" t="str">
            <v>A6C</v>
          </cell>
          <cell r="C1019" t="str">
            <v>HOS</v>
          </cell>
          <cell r="D1019" t="str">
            <v>65625</v>
          </cell>
          <cell r="E1019" t="str">
            <v>SOL</v>
          </cell>
          <cell r="F1019">
            <v>2</v>
          </cell>
          <cell r="G1019" t="str">
            <v>CB390200000801</v>
          </cell>
          <cell r="H1019">
            <v>8</v>
          </cell>
          <cell r="I1019">
            <v>1</v>
          </cell>
          <cell r="J1019">
            <v>1</v>
          </cell>
          <cell r="K1019">
            <v>2</v>
          </cell>
        </row>
        <row r="1020">
          <cell r="A1020" t="str">
            <v>M1</v>
          </cell>
          <cell r="B1020" t="str">
            <v>A6C</v>
          </cell>
          <cell r="C1020" t="str">
            <v>HOR</v>
          </cell>
          <cell r="D1020" t="str">
            <v>65611</v>
          </cell>
          <cell r="E1020" t="str">
            <v>SOL</v>
          </cell>
          <cell r="F1020">
            <v>2</v>
          </cell>
          <cell r="G1020" t="str">
            <v>CB39020000080T</v>
          </cell>
          <cell r="H1020">
            <v>8</v>
          </cell>
          <cell r="I1020">
            <v>0.75</v>
          </cell>
          <cell r="J1020">
            <v>1</v>
          </cell>
          <cell r="K1020">
            <v>2</v>
          </cell>
        </row>
        <row r="1021">
          <cell r="A1021" t="str">
            <v>M1</v>
          </cell>
          <cell r="B1021" t="str">
            <v>A6C</v>
          </cell>
          <cell r="C1021" t="str">
            <v>HOS</v>
          </cell>
          <cell r="D1021" t="str">
            <v>65613</v>
          </cell>
          <cell r="E1021" t="str">
            <v>SOL</v>
          </cell>
          <cell r="F1021">
            <v>2</v>
          </cell>
          <cell r="G1021" t="str">
            <v>CB390200000801</v>
          </cell>
          <cell r="H1021">
            <v>8</v>
          </cell>
          <cell r="I1021">
            <v>1</v>
          </cell>
          <cell r="J1021">
            <v>1</v>
          </cell>
          <cell r="K1021">
            <v>2</v>
          </cell>
        </row>
        <row r="1022">
          <cell r="A1022" t="str">
            <v>M1</v>
          </cell>
          <cell r="B1022" t="str">
            <v>A6C</v>
          </cell>
          <cell r="C1022" t="str">
            <v>HOS</v>
          </cell>
          <cell r="D1022" t="str">
            <v>65613</v>
          </cell>
          <cell r="E1022" t="str">
            <v>SOL</v>
          </cell>
          <cell r="F1022">
            <v>2</v>
          </cell>
          <cell r="G1022" t="str">
            <v>CB3902000008IH</v>
          </cell>
          <cell r="H1022">
            <v>8</v>
          </cell>
          <cell r="I1022">
            <v>1.5</v>
          </cell>
          <cell r="J1022">
            <v>1</v>
          </cell>
          <cell r="K1022">
            <v>2</v>
          </cell>
        </row>
        <row r="1023">
          <cell r="A1023" t="str">
            <v>M1</v>
          </cell>
          <cell r="B1023" t="str">
            <v>A6C</v>
          </cell>
          <cell r="C1023" t="str">
            <v>HOS</v>
          </cell>
          <cell r="D1023" t="str">
            <v>65613</v>
          </cell>
          <cell r="E1023" t="str">
            <v>SOL</v>
          </cell>
          <cell r="F1023">
            <v>2</v>
          </cell>
          <cell r="G1023" t="str">
            <v>CB390200000801</v>
          </cell>
          <cell r="H1023">
            <v>8</v>
          </cell>
          <cell r="I1023">
            <v>1</v>
          </cell>
          <cell r="J1023">
            <v>1</v>
          </cell>
          <cell r="K1023">
            <v>2</v>
          </cell>
        </row>
        <row r="1024">
          <cell r="A1024" t="str">
            <v>M1</v>
          </cell>
          <cell r="B1024" t="str">
            <v>A6C</v>
          </cell>
          <cell r="C1024" t="str">
            <v>HOR</v>
          </cell>
          <cell r="D1024" t="str">
            <v>65619</v>
          </cell>
          <cell r="E1024" t="str">
            <v>SOL</v>
          </cell>
          <cell r="F1024">
            <v>2</v>
          </cell>
          <cell r="G1024" t="str">
            <v>CB39020000080T</v>
          </cell>
          <cell r="H1024">
            <v>8</v>
          </cell>
          <cell r="I1024">
            <v>0.75</v>
          </cell>
          <cell r="J1024">
            <v>1</v>
          </cell>
          <cell r="K1024">
            <v>2</v>
          </cell>
        </row>
        <row r="1025">
          <cell r="A1025" t="str">
            <v>M1</v>
          </cell>
          <cell r="B1025" t="str">
            <v>A6C</v>
          </cell>
          <cell r="C1025" t="str">
            <v>HOR</v>
          </cell>
          <cell r="D1025" t="str">
            <v>65619</v>
          </cell>
          <cell r="E1025" t="str">
            <v>SOL</v>
          </cell>
          <cell r="F1025">
            <v>2</v>
          </cell>
          <cell r="G1025" t="str">
            <v>CB39020000080T</v>
          </cell>
          <cell r="H1025">
            <v>8</v>
          </cell>
          <cell r="I1025">
            <v>0.75</v>
          </cell>
          <cell r="J1025">
            <v>2</v>
          </cell>
          <cell r="K1025">
            <v>3</v>
          </cell>
        </row>
        <row r="1026">
          <cell r="A1026" t="str">
            <v>M1</v>
          </cell>
          <cell r="B1026" t="str">
            <v>A6C</v>
          </cell>
          <cell r="C1026" t="str">
            <v>HOS</v>
          </cell>
          <cell r="D1026" t="str">
            <v>65613</v>
          </cell>
          <cell r="E1026" t="str">
            <v>SOL</v>
          </cell>
          <cell r="F1026">
            <v>2</v>
          </cell>
          <cell r="G1026" t="str">
            <v>CB390200000801</v>
          </cell>
          <cell r="H1026">
            <v>8</v>
          </cell>
          <cell r="I1026">
            <v>1</v>
          </cell>
          <cell r="J1026">
            <v>6</v>
          </cell>
          <cell r="K1026">
            <v>7</v>
          </cell>
        </row>
        <row r="1027">
          <cell r="A1027" t="str">
            <v>M1</v>
          </cell>
          <cell r="B1027" t="str">
            <v>A6C</v>
          </cell>
          <cell r="C1027" t="str">
            <v>HOR</v>
          </cell>
          <cell r="D1027" t="str">
            <v>65619</v>
          </cell>
          <cell r="E1027" t="str">
            <v>TEE</v>
          </cell>
          <cell r="F1027">
            <v>2</v>
          </cell>
          <cell r="G1027" t="str">
            <v>CB300304000800</v>
          </cell>
          <cell r="H1027">
            <v>8</v>
          </cell>
          <cell r="I1027" t="str">
            <v>--</v>
          </cell>
          <cell r="J1027">
            <v>2</v>
          </cell>
          <cell r="K1027">
            <v>3</v>
          </cell>
        </row>
        <row r="1028">
          <cell r="A1028" t="str">
            <v>M1</v>
          </cell>
          <cell r="B1028" t="str">
            <v>A6C</v>
          </cell>
          <cell r="C1028" t="str">
            <v>HOS</v>
          </cell>
          <cell r="D1028" t="str">
            <v>65613</v>
          </cell>
          <cell r="E1028" t="str">
            <v>TEE</v>
          </cell>
          <cell r="F1028">
            <v>2</v>
          </cell>
          <cell r="G1028" t="str">
            <v>CB300304000800</v>
          </cell>
          <cell r="H1028">
            <v>8</v>
          </cell>
          <cell r="I1028" t="str">
            <v>--</v>
          </cell>
          <cell r="J1028">
            <v>1</v>
          </cell>
          <cell r="K1028">
            <v>2</v>
          </cell>
        </row>
        <row r="1029">
          <cell r="A1029" t="str">
            <v>M1</v>
          </cell>
          <cell r="B1029" t="str">
            <v>A6C</v>
          </cell>
          <cell r="C1029" t="str">
            <v>HOS</v>
          </cell>
          <cell r="D1029" t="str">
            <v>65625</v>
          </cell>
          <cell r="E1029" t="str">
            <v>TEE</v>
          </cell>
          <cell r="F1029">
            <v>2</v>
          </cell>
          <cell r="G1029" t="str">
            <v>CB300304000800</v>
          </cell>
          <cell r="H1029">
            <v>8</v>
          </cell>
          <cell r="I1029" t="str">
            <v>--</v>
          </cell>
          <cell r="J1029">
            <v>1</v>
          </cell>
          <cell r="K1029">
            <v>2</v>
          </cell>
        </row>
        <row r="1030">
          <cell r="A1030" t="str">
            <v>M1</v>
          </cell>
          <cell r="B1030" t="str">
            <v>A6C</v>
          </cell>
          <cell r="C1030" t="str">
            <v>HOS</v>
          </cell>
          <cell r="D1030" t="str">
            <v>65613</v>
          </cell>
          <cell r="E1030" t="str">
            <v>TEE</v>
          </cell>
          <cell r="F1030">
            <v>2</v>
          </cell>
          <cell r="G1030" t="str">
            <v>CB300304000800</v>
          </cell>
          <cell r="H1030">
            <v>8</v>
          </cell>
          <cell r="I1030" t="str">
            <v>--</v>
          </cell>
          <cell r="J1030">
            <v>3</v>
          </cell>
          <cell r="K1030">
            <v>4</v>
          </cell>
        </row>
        <row r="1031">
          <cell r="A1031" t="str">
            <v>M1</v>
          </cell>
          <cell r="B1031" t="str">
            <v>A6C</v>
          </cell>
          <cell r="C1031" t="str">
            <v>HOS</v>
          </cell>
          <cell r="D1031" t="str">
            <v>65624</v>
          </cell>
          <cell r="E1031" t="str">
            <v>TEE</v>
          </cell>
          <cell r="F1031">
            <v>2</v>
          </cell>
          <cell r="G1031" t="str">
            <v>CB300304000800</v>
          </cell>
          <cell r="H1031">
            <v>8</v>
          </cell>
          <cell r="I1031" t="str">
            <v>--</v>
          </cell>
          <cell r="J1031">
            <v>1</v>
          </cell>
          <cell r="K1031">
            <v>2</v>
          </cell>
        </row>
        <row r="1032">
          <cell r="A1032" t="str">
            <v>M1</v>
          </cell>
          <cell r="B1032" t="str">
            <v>A6C</v>
          </cell>
          <cell r="C1032" t="str">
            <v>HOS</v>
          </cell>
          <cell r="D1032" t="str">
            <v>65627</v>
          </cell>
          <cell r="E1032" t="str">
            <v>TEE</v>
          </cell>
          <cell r="F1032">
            <v>2</v>
          </cell>
          <cell r="G1032" t="str">
            <v>CB300304000800</v>
          </cell>
          <cell r="H1032">
            <v>8</v>
          </cell>
          <cell r="I1032" t="str">
            <v>--</v>
          </cell>
          <cell r="J1032">
            <v>4</v>
          </cell>
          <cell r="K1032">
            <v>5</v>
          </cell>
        </row>
        <row r="1033">
          <cell r="A1033" t="str">
            <v>M1</v>
          </cell>
          <cell r="B1033" t="str">
            <v>A6C</v>
          </cell>
          <cell r="C1033" t="str">
            <v>HOS</v>
          </cell>
          <cell r="D1033" t="str">
            <v>65624</v>
          </cell>
          <cell r="E1033" t="str">
            <v>TEE</v>
          </cell>
          <cell r="F1033">
            <v>2</v>
          </cell>
          <cell r="G1033" t="str">
            <v>CB300304000800</v>
          </cell>
          <cell r="H1033">
            <v>8</v>
          </cell>
          <cell r="I1033" t="str">
            <v>--</v>
          </cell>
          <cell r="J1033">
            <v>1</v>
          </cell>
          <cell r="K1033">
            <v>2</v>
          </cell>
        </row>
        <row r="1034">
          <cell r="A1034" t="str">
            <v>M1</v>
          </cell>
          <cell r="B1034" t="str">
            <v>A6C</v>
          </cell>
          <cell r="C1034" t="str">
            <v>HOS</v>
          </cell>
          <cell r="D1034" t="str">
            <v>65624</v>
          </cell>
          <cell r="E1034" t="str">
            <v>TEE</v>
          </cell>
          <cell r="F1034">
            <v>2</v>
          </cell>
          <cell r="G1034" t="str">
            <v>CB300304000800</v>
          </cell>
          <cell r="H1034">
            <v>8</v>
          </cell>
          <cell r="I1034" t="str">
            <v>--</v>
          </cell>
          <cell r="J1034">
            <v>4</v>
          </cell>
          <cell r="K1034">
            <v>5</v>
          </cell>
        </row>
        <row r="1035">
          <cell r="A1035" t="str">
            <v>M1</v>
          </cell>
          <cell r="B1035" t="str">
            <v>A6C</v>
          </cell>
          <cell r="C1035" t="str">
            <v>HOR</v>
          </cell>
          <cell r="D1035" t="str">
            <v>65619</v>
          </cell>
          <cell r="E1035" t="str">
            <v>TEE</v>
          </cell>
          <cell r="F1035">
            <v>2</v>
          </cell>
          <cell r="G1035" t="str">
            <v>CB300304000800</v>
          </cell>
          <cell r="H1035">
            <v>8</v>
          </cell>
          <cell r="I1035" t="str">
            <v>--</v>
          </cell>
          <cell r="J1035">
            <v>2</v>
          </cell>
          <cell r="K1035">
            <v>3</v>
          </cell>
        </row>
        <row r="1036">
          <cell r="A1036" t="str">
            <v>M1</v>
          </cell>
          <cell r="B1036" t="str">
            <v>A6C</v>
          </cell>
          <cell r="C1036" t="str">
            <v>HOS</v>
          </cell>
          <cell r="D1036" t="str">
            <v>65613</v>
          </cell>
          <cell r="E1036" t="str">
            <v>TOL</v>
          </cell>
          <cell r="F1036">
            <v>2</v>
          </cell>
          <cell r="G1036" t="str">
            <v>CB39030000080T</v>
          </cell>
          <cell r="H1036">
            <v>8</v>
          </cell>
          <cell r="I1036">
            <v>0.75</v>
          </cell>
          <cell r="J1036">
            <v>2</v>
          </cell>
          <cell r="K1036">
            <v>3</v>
          </cell>
        </row>
        <row r="1037">
          <cell r="A1037" t="str">
            <v>M1</v>
          </cell>
          <cell r="B1037" t="str">
            <v>A6C</v>
          </cell>
          <cell r="C1037" t="str">
            <v>HOS</v>
          </cell>
          <cell r="D1037" t="str">
            <v>65625</v>
          </cell>
          <cell r="E1037" t="str">
            <v>TOL</v>
          </cell>
          <cell r="F1037">
            <v>2</v>
          </cell>
          <cell r="G1037" t="str">
            <v>CB39030000080T</v>
          </cell>
          <cell r="H1037">
            <v>8</v>
          </cell>
          <cell r="I1037">
            <v>0.75</v>
          </cell>
          <cell r="J1037">
            <v>2</v>
          </cell>
          <cell r="K1037">
            <v>3</v>
          </cell>
        </row>
        <row r="1038">
          <cell r="A1038" t="str">
            <v>M1</v>
          </cell>
          <cell r="B1038" t="str">
            <v>A6C</v>
          </cell>
          <cell r="C1038" t="str">
            <v>HOS</v>
          </cell>
          <cell r="D1038" t="str">
            <v>65615</v>
          </cell>
          <cell r="E1038" t="str">
            <v>TOL</v>
          </cell>
          <cell r="F1038">
            <v>2</v>
          </cell>
          <cell r="G1038" t="str">
            <v>CB39030000080T</v>
          </cell>
          <cell r="H1038">
            <v>8</v>
          </cell>
          <cell r="I1038">
            <v>0.75</v>
          </cell>
          <cell r="J1038">
            <v>1</v>
          </cell>
          <cell r="K1038">
            <v>2</v>
          </cell>
        </row>
        <row r="1039">
          <cell r="A1039" t="str">
            <v>M1</v>
          </cell>
          <cell r="B1039" t="str">
            <v>A6C</v>
          </cell>
          <cell r="C1039" t="str">
            <v>HOS</v>
          </cell>
          <cell r="D1039" t="str">
            <v>65619</v>
          </cell>
          <cell r="E1039" t="str">
            <v>TOL</v>
          </cell>
          <cell r="F1039">
            <v>2</v>
          </cell>
          <cell r="G1039" t="str">
            <v>CB39030000080T</v>
          </cell>
          <cell r="H1039">
            <v>8</v>
          </cell>
          <cell r="I1039">
            <v>0.75</v>
          </cell>
          <cell r="J1039">
            <v>1</v>
          </cell>
          <cell r="K1039">
            <v>2</v>
          </cell>
        </row>
        <row r="1040">
          <cell r="A1040" t="str">
            <v>M1</v>
          </cell>
          <cell r="B1040" t="str">
            <v>A5C</v>
          </cell>
          <cell r="C1040" t="str">
            <v>P</v>
          </cell>
          <cell r="D1040" t="str">
            <v>22078</v>
          </cell>
          <cell r="E1040" t="str">
            <v>SOL</v>
          </cell>
          <cell r="F1040">
            <v>2</v>
          </cell>
          <cell r="G1040" t="str">
            <v>CB3902000010IH</v>
          </cell>
          <cell r="H1040">
            <v>10</v>
          </cell>
          <cell r="I1040">
            <v>1.5</v>
          </cell>
          <cell r="J1040">
            <v>1</v>
          </cell>
          <cell r="K1040">
            <v>2</v>
          </cell>
        </row>
        <row r="1041">
          <cell r="A1041" t="str">
            <v>M1</v>
          </cell>
          <cell r="B1041" t="str">
            <v>A5C</v>
          </cell>
          <cell r="C1041" t="str">
            <v>P</v>
          </cell>
          <cell r="D1041" t="str">
            <v>22062</v>
          </cell>
          <cell r="E1041" t="str">
            <v>90 ELL</v>
          </cell>
          <cell r="F1041">
            <v>2</v>
          </cell>
          <cell r="G1041" t="str">
            <v>CB300104001000</v>
          </cell>
          <cell r="H1041">
            <v>10</v>
          </cell>
          <cell r="I1041" t="str">
            <v>--</v>
          </cell>
          <cell r="J1041">
            <v>5</v>
          </cell>
          <cell r="K1041">
            <v>6</v>
          </cell>
        </row>
        <row r="1042">
          <cell r="A1042" t="str">
            <v>M1</v>
          </cell>
          <cell r="B1042" t="str">
            <v>A5C</v>
          </cell>
          <cell r="C1042" t="str">
            <v>P</v>
          </cell>
          <cell r="D1042" t="str">
            <v>22060</v>
          </cell>
          <cell r="E1042" t="str">
            <v>90 ELL</v>
          </cell>
          <cell r="F1042">
            <v>2</v>
          </cell>
          <cell r="G1042" t="str">
            <v>CB300104001000</v>
          </cell>
          <cell r="H1042">
            <v>10</v>
          </cell>
          <cell r="I1042" t="str">
            <v>--</v>
          </cell>
          <cell r="J1042">
            <v>5</v>
          </cell>
          <cell r="K1042">
            <v>6</v>
          </cell>
        </row>
        <row r="1043">
          <cell r="A1043" t="str">
            <v>M1</v>
          </cell>
          <cell r="B1043" t="str">
            <v>A5C</v>
          </cell>
          <cell r="C1043" t="str">
            <v>P</v>
          </cell>
          <cell r="D1043" t="str">
            <v>22074</v>
          </cell>
          <cell r="E1043" t="str">
            <v>90 ELL</v>
          </cell>
          <cell r="F1043">
            <v>2</v>
          </cell>
          <cell r="G1043" t="str">
            <v>CB300104001000</v>
          </cell>
          <cell r="H1043">
            <v>10</v>
          </cell>
          <cell r="I1043" t="str">
            <v>--</v>
          </cell>
          <cell r="J1043">
            <v>3</v>
          </cell>
          <cell r="K1043">
            <v>4</v>
          </cell>
        </row>
        <row r="1044">
          <cell r="A1044" t="str">
            <v>M1</v>
          </cell>
          <cell r="B1044" t="str">
            <v>A5C</v>
          </cell>
          <cell r="C1044" t="str">
            <v>P</v>
          </cell>
          <cell r="D1044" t="str">
            <v>22077</v>
          </cell>
          <cell r="E1044" t="str">
            <v>90 ELL</v>
          </cell>
          <cell r="F1044">
            <v>2</v>
          </cell>
          <cell r="G1044" t="str">
            <v>CB300104001000</v>
          </cell>
          <cell r="H1044">
            <v>10</v>
          </cell>
          <cell r="I1044" t="str">
            <v>--</v>
          </cell>
          <cell r="J1044">
            <v>5</v>
          </cell>
          <cell r="K1044">
            <v>6</v>
          </cell>
        </row>
        <row r="1045">
          <cell r="A1045" t="str">
            <v>M1</v>
          </cell>
          <cell r="B1045" t="str">
            <v>A5C</v>
          </cell>
          <cell r="C1045" t="str">
            <v>P</v>
          </cell>
          <cell r="D1045" t="str">
            <v>22077</v>
          </cell>
          <cell r="E1045" t="str">
            <v>90 ELL</v>
          </cell>
          <cell r="F1045">
            <v>2</v>
          </cell>
          <cell r="G1045" t="str">
            <v>CB300104001000</v>
          </cell>
          <cell r="H1045">
            <v>10</v>
          </cell>
          <cell r="I1045" t="str">
            <v>--</v>
          </cell>
          <cell r="J1045">
            <v>6</v>
          </cell>
          <cell r="K1045">
            <v>7</v>
          </cell>
        </row>
        <row r="1046">
          <cell r="A1046" t="str">
            <v>M1</v>
          </cell>
          <cell r="B1046" t="str">
            <v>A5C</v>
          </cell>
          <cell r="C1046" t="str">
            <v>P</v>
          </cell>
          <cell r="D1046" t="str">
            <v>22062</v>
          </cell>
          <cell r="E1046" t="str">
            <v>90 ELL</v>
          </cell>
          <cell r="F1046">
            <v>2</v>
          </cell>
          <cell r="G1046" t="str">
            <v>CB300104001000</v>
          </cell>
          <cell r="H1046">
            <v>10</v>
          </cell>
          <cell r="I1046" t="str">
            <v>--</v>
          </cell>
          <cell r="J1046">
            <v>8</v>
          </cell>
          <cell r="K1046">
            <v>9</v>
          </cell>
        </row>
        <row r="1047">
          <cell r="A1047" t="str">
            <v>M1</v>
          </cell>
          <cell r="B1047" t="str">
            <v>A5C</v>
          </cell>
          <cell r="C1047" t="str">
            <v>P</v>
          </cell>
          <cell r="D1047" t="str">
            <v>22073</v>
          </cell>
          <cell r="E1047" t="str">
            <v>90 ELL</v>
          </cell>
          <cell r="F1047">
            <v>2</v>
          </cell>
          <cell r="G1047" t="str">
            <v>CB300104001000</v>
          </cell>
          <cell r="H1047">
            <v>10</v>
          </cell>
          <cell r="I1047" t="str">
            <v>--</v>
          </cell>
          <cell r="J1047">
            <v>7</v>
          </cell>
          <cell r="K1047">
            <v>8</v>
          </cell>
        </row>
        <row r="1048">
          <cell r="A1048" t="str">
            <v>M1</v>
          </cell>
          <cell r="B1048" t="str">
            <v>A5C</v>
          </cell>
          <cell r="C1048" t="str">
            <v>P</v>
          </cell>
          <cell r="D1048" t="str">
            <v>22062</v>
          </cell>
          <cell r="E1048" t="str">
            <v>C RED</v>
          </cell>
          <cell r="F1048">
            <v>2</v>
          </cell>
          <cell r="G1048" t="str">
            <v>CB300504041004</v>
          </cell>
          <cell r="H1048">
            <v>10</v>
          </cell>
          <cell r="I1048">
            <v>4</v>
          </cell>
          <cell r="J1048">
            <v>1</v>
          </cell>
          <cell r="K1048">
            <v>2</v>
          </cell>
        </row>
        <row r="1049">
          <cell r="A1049" t="str">
            <v>M1</v>
          </cell>
          <cell r="B1049" t="str">
            <v>A5C</v>
          </cell>
          <cell r="C1049" t="str">
            <v>P</v>
          </cell>
          <cell r="D1049" t="str">
            <v>22077</v>
          </cell>
          <cell r="E1049" t="str">
            <v>E RED</v>
          </cell>
          <cell r="F1049">
            <v>2</v>
          </cell>
          <cell r="G1049" t="str">
            <v>CB300604041008</v>
          </cell>
          <cell r="H1049">
            <v>10</v>
          </cell>
          <cell r="I1049">
            <v>8</v>
          </cell>
          <cell r="J1049">
            <v>2</v>
          </cell>
          <cell r="K1049">
            <v>3</v>
          </cell>
        </row>
        <row r="1050">
          <cell r="A1050" t="str">
            <v>M1</v>
          </cell>
          <cell r="B1050" t="str">
            <v>A5C</v>
          </cell>
          <cell r="C1050" t="str">
            <v>P</v>
          </cell>
          <cell r="D1050" t="str">
            <v>22060</v>
          </cell>
          <cell r="E1050" t="str">
            <v>SOL</v>
          </cell>
          <cell r="F1050">
            <v>2</v>
          </cell>
          <cell r="G1050" t="str">
            <v>CB39020000100T</v>
          </cell>
          <cell r="H1050">
            <v>10</v>
          </cell>
          <cell r="I1050">
            <v>0.75</v>
          </cell>
          <cell r="J1050">
            <v>1</v>
          </cell>
          <cell r="K1050">
            <v>2</v>
          </cell>
        </row>
        <row r="1051">
          <cell r="A1051" t="str">
            <v>M1</v>
          </cell>
          <cell r="B1051" t="str">
            <v>A5C</v>
          </cell>
          <cell r="C1051" t="str">
            <v>P</v>
          </cell>
          <cell r="D1051" t="str">
            <v>22062</v>
          </cell>
          <cell r="E1051" t="str">
            <v>SOL</v>
          </cell>
          <cell r="F1051">
            <v>2</v>
          </cell>
          <cell r="G1051" t="str">
            <v>CB39020000100T</v>
          </cell>
          <cell r="H1051">
            <v>10</v>
          </cell>
          <cell r="I1051">
            <v>0.75</v>
          </cell>
          <cell r="J1051">
            <v>2</v>
          </cell>
          <cell r="K1051">
            <v>3</v>
          </cell>
        </row>
        <row r="1052">
          <cell r="A1052" t="str">
            <v>M1</v>
          </cell>
          <cell r="B1052" t="str">
            <v>A5C</v>
          </cell>
          <cell r="C1052" t="str">
            <v>P</v>
          </cell>
          <cell r="D1052" t="str">
            <v>22062</v>
          </cell>
          <cell r="E1052" t="str">
            <v>SOL</v>
          </cell>
          <cell r="F1052">
            <v>2</v>
          </cell>
          <cell r="G1052" t="str">
            <v>CB390200001001</v>
          </cell>
          <cell r="H1052">
            <v>10</v>
          </cell>
          <cell r="I1052">
            <v>1</v>
          </cell>
          <cell r="J1052">
            <v>2</v>
          </cell>
          <cell r="K1052">
            <v>3</v>
          </cell>
        </row>
        <row r="1053">
          <cell r="A1053" t="str">
            <v>M1</v>
          </cell>
          <cell r="B1053" t="str">
            <v>A5C</v>
          </cell>
          <cell r="C1053" t="str">
            <v>P</v>
          </cell>
          <cell r="D1053" t="str">
            <v>22062</v>
          </cell>
          <cell r="E1053" t="str">
            <v>SOL</v>
          </cell>
          <cell r="F1053">
            <v>2</v>
          </cell>
          <cell r="G1053" t="str">
            <v>CB39020000100T</v>
          </cell>
          <cell r="H1053">
            <v>10</v>
          </cell>
          <cell r="I1053">
            <v>0.75</v>
          </cell>
          <cell r="J1053">
            <v>1</v>
          </cell>
          <cell r="K1053">
            <v>2</v>
          </cell>
        </row>
        <row r="1054">
          <cell r="A1054" t="str">
            <v>M1</v>
          </cell>
          <cell r="B1054" t="str">
            <v>A5C</v>
          </cell>
          <cell r="C1054" t="str">
            <v>P</v>
          </cell>
          <cell r="D1054" t="str">
            <v>22077</v>
          </cell>
          <cell r="E1054" t="str">
            <v>SOL</v>
          </cell>
          <cell r="F1054">
            <v>2</v>
          </cell>
          <cell r="G1054" t="str">
            <v>CB39020000100T</v>
          </cell>
          <cell r="H1054">
            <v>10</v>
          </cell>
          <cell r="I1054">
            <v>0.75</v>
          </cell>
          <cell r="J1054">
            <v>1</v>
          </cell>
          <cell r="K1054">
            <v>2</v>
          </cell>
        </row>
        <row r="1055">
          <cell r="A1055" t="str">
            <v>M1</v>
          </cell>
          <cell r="B1055" t="str">
            <v>A5C</v>
          </cell>
          <cell r="C1055" t="str">
            <v>P</v>
          </cell>
          <cell r="D1055" t="str">
            <v>22073</v>
          </cell>
          <cell r="E1055" t="str">
            <v>SOL</v>
          </cell>
          <cell r="F1055">
            <v>2</v>
          </cell>
          <cell r="G1055" t="str">
            <v>CB390200001001</v>
          </cell>
          <cell r="H1055">
            <v>10</v>
          </cell>
          <cell r="I1055">
            <v>1</v>
          </cell>
          <cell r="J1055">
            <v>2</v>
          </cell>
          <cell r="K1055">
            <v>3</v>
          </cell>
        </row>
        <row r="1056">
          <cell r="A1056" t="str">
            <v>M1</v>
          </cell>
          <cell r="B1056" t="str">
            <v>A5C</v>
          </cell>
          <cell r="C1056" t="str">
            <v>P</v>
          </cell>
          <cell r="D1056" t="str">
            <v>22077</v>
          </cell>
          <cell r="E1056" t="str">
            <v>SOL</v>
          </cell>
          <cell r="F1056">
            <v>2</v>
          </cell>
          <cell r="G1056" t="str">
            <v>CB39020000100T</v>
          </cell>
          <cell r="H1056">
            <v>10</v>
          </cell>
          <cell r="I1056">
            <v>0.75</v>
          </cell>
          <cell r="J1056">
            <v>1</v>
          </cell>
          <cell r="K1056">
            <v>2</v>
          </cell>
        </row>
        <row r="1057">
          <cell r="A1057" t="str">
            <v>M1</v>
          </cell>
          <cell r="B1057" t="str">
            <v>A5C</v>
          </cell>
          <cell r="C1057" t="str">
            <v>P</v>
          </cell>
          <cell r="D1057" t="str">
            <v>22077</v>
          </cell>
          <cell r="E1057" t="str">
            <v>SOL</v>
          </cell>
          <cell r="F1057">
            <v>2</v>
          </cell>
          <cell r="G1057" t="str">
            <v>CB3902000010IH</v>
          </cell>
          <cell r="H1057">
            <v>10</v>
          </cell>
          <cell r="I1057">
            <v>1.5</v>
          </cell>
          <cell r="J1057">
            <v>1</v>
          </cell>
          <cell r="K1057">
            <v>2</v>
          </cell>
        </row>
        <row r="1058">
          <cell r="A1058" t="str">
            <v>M1</v>
          </cell>
          <cell r="B1058" t="str">
            <v>A5C</v>
          </cell>
          <cell r="C1058" t="str">
            <v>P</v>
          </cell>
          <cell r="D1058" t="str">
            <v>22073</v>
          </cell>
          <cell r="E1058" t="str">
            <v>SOL</v>
          </cell>
          <cell r="F1058">
            <v>2</v>
          </cell>
          <cell r="G1058" t="str">
            <v>CB39020000100T</v>
          </cell>
          <cell r="H1058">
            <v>10</v>
          </cell>
          <cell r="I1058">
            <v>0.75</v>
          </cell>
          <cell r="J1058">
            <v>2</v>
          </cell>
          <cell r="K1058">
            <v>3</v>
          </cell>
        </row>
        <row r="1059">
          <cell r="A1059" t="str">
            <v>M1</v>
          </cell>
          <cell r="B1059" t="str">
            <v>A5C</v>
          </cell>
          <cell r="C1059" t="str">
            <v>P</v>
          </cell>
          <cell r="D1059" t="str">
            <v>22062</v>
          </cell>
          <cell r="E1059" t="str">
            <v>TEE</v>
          </cell>
          <cell r="F1059">
            <v>2</v>
          </cell>
          <cell r="G1059" t="str">
            <v>CB300304001000</v>
          </cell>
          <cell r="H1059">
            <v>10</v>
          </cell>
          <cell r="I1059" t="str">
            <v>--</v>
          </cell>
          <cell r="J1059">
            <v>1</v>
          </cell>
          <cell r="K1059">
            <v>2</v>
          </cell>
        </row>
        <row r="1060">
          <cell r="A1060" t="str">
            <v>M1</v>
          </cell>
          <cell r="B1060" t="str">
            <v>A5C</v>
          </cell>
          <cell r="C1060" t="str">
            <v>P</v>
          </cell>
          <cell r="D1060" t="str">
            <v>22062</v>
          </cell>
          <cell r="E1060" t="str">
            <v>TEE</v>
          </cell>
          <cell r="F1060">
            <v>2</v>
          </cell>
          <cell r="G1060" t="str">
            <v>CB300304001000</v>
          </cell>
          <cell r="H1060">
            <v>10</v>
          </cell>
          <cell r="I1060" t="str">
            <v>--</v>
          </cell>
          <cell r="J1060">
            <v>1</v>
          </cell>
          <cell r="K1060">
            <v>2</v>
          </cell>
        </row>
        <row r="1061">
          <cell r="A1061" t="str">
            <v>M1</v>
          </cell>
          <cell r="B1061" t="str">
            <v>A5C</v>
          </cell>
          <cell r="C1061" t="str">
            <v>P</v>
          </cell>
          <cell r="D1061" t="str">
            <v>22073</v>
          </cell>
          <cell r="E1061" t="str">
            <v>TEE</v>
          </cell>
          <cell r="F1061">
            <v>2</v>
          </cell>
          <cell r="G1061" t="str">
            <v>CB300304001000</v>
          </cell>
          <cell r="H1061">
            <v>10</v>
          </cell>
          <cell r="I1061" t="str">
            <v>--</v>
          </cell>
          <cell r="J1061">
            <v>1</v>
          </cell>
          <cell r="K1061">
            <v>2</v>
          </cell>
        </row>
        <row r="1062">
          <cell r="A1062" t="str">
            <v>M1</v>
          </cell>
          <cell r="B1062" t="str">
            <v>A5C</v>
          </cell>
          <cell r="C1062" t="str">
            <v>P</v>
          </cell>
          <cell r="D1062" t="str">
            <v>22073</v>
          </cell>
          <cell r="E1062" t="str">
            <v>TOL</v>
          </cell>
          <cell r="F1062">
            <v>2</v>
          </cell>
          <cell r="G1062" t="str">
            <v>CB39030000100T</v>
          </cell>
          <cell r="H1062">
            <v>10</v>
          </cell>
          <cell r="I1062">
            <v>0.75</v>
          </cell>
          <cell r="J1062">
            <v>2</v>
          </cell>
          <cell r="K1062">
            <v>3</v>
          </cell>
        </row>
        <row r="1063">
          <cell r="A1063" t="str">
            <v>M1</v>
          </cell>
          <cell r="B1063" t="str">
            <v>A5C</v>
          </cell>
          <cell r="C1063" t="str">
            <v>P</v>
          </cell>
          <cell r="D1063" t="str">
            <v>22074</v>
          </cell>
          <cell r="E1063" t="str">
            <v>TOL</v>
          </cell>
          <cell r="F1063">
            <v>2</v>
          </cell>
          <cell r="G1063" t="str">
            <v>CB39030000100T</v>
          </cell>
          <cell r="H1063">
            <v>10</v>
          </cell>
          <cell r="I1063">
            <v>0.75</v>
          </cell>
          <cell r="J1063">
            <v>1</v>
          </cell>
          <cell r="K1063">
            <v>2</v>
          </cell>
        </row>
        <row r="1064">
          <cell r="A1064" t="str">
            <v>M1</v>
          </cell>
          <cell r="B1064" t="str">
            <v>A5C</v>
          </cell>
          <cell r="C1064" t="str">
            <v>P</v>
          </cell>
          <cell r="D1064" t="str">
            <v>22062</v>
          </cell>
          <cell r="E1064" t="str">
            <v>TOL</v>
          </cell>
          <cell r="F1064">
            <v>2</v>
          </cell>
          <cell r="G1064" t="str">
            <v>CB39030000100T</v>
          </cell>
          <cell r="H1064">
            <v>10</v>
          </cell>
          <cell r="I1064">
            <v>0.75</v>
          </cell>
          <cell r="J1064">
            <v>1</v>
          </cell>
          <cell r="K1064">
            <v>2</v>
          </cell>
        </row>
        <row r="1065">
          <cell r="A1065" t="str">
            <v>M1</v>
          </cell>
          <cell r="B1065" t="str">
            <v>A5C</v>
          </cell>
          <cell r="C1065" t="str">
            <v>P</v>
          </cell>
          <cell r="D1065" t="str">
            <v>22077</v>
          </cell>
          <cell r="E1065" t="str">
            <v>TOL</v>
          </cell>
          <cell r="F1065">
            <v>2</v>
          </cell>
          <cell r="G1065" t="str">
            <v>CB39030000100T</v>
          </cell>
          <cell r="H1065">
            <v>10</v>
          </cell>
          <cell r="I1065">
            <v>0.75</v>
          </cell>
          <cell r="J1065">
            <v>1</v>
          </cell>
          <cell r="K1065">
            <v>2</v>
          </cell>
        </row>
        <row r="1066">
          <cell r="A1066" t="str">
            <v>M1</v>
          </cell>
          <cell r="B1066" t="str">
            <v>A4C</v>
          </cell>
          <cell r="C1066" t="str">
            <v>P</v>
          </cell>
          <cell r="D1066" t="str">
            <v>22008</v>
          </cell>
          <cell r="E1066" t="str">
            <v>45 ELL</v>
          </cell>
          <cell r="F1066">
            <v>2</v>
          </cell>
          <cell r="G1066" t="str">
            <v>CB300204001000</v>
          </cell>
          <cell r="H1066">
            <v>10</v>
          </cell>
          <cell r="I1066" t="str">
            <v>--</v>
          </cell>
          <cell r="J1066">
            <v>1</v>
          </cell>
          <cell r="K1066">
            <v>2</v>
          </cell>
        </row>
        <row r="1067">
          <cell r="A1067" t="str">
            <v>M1</v>
          </cell>
          <cell r="B1067" t="str">
            <v>A4C</v>
          </cell>
          <cell r="C1067" t="str">
            <v>P</v>
          </cell>
          <cell r="D1067" t="str">
            <v>22008</v>
          </cell>
          <cell r="E1067" t="str">
            <v>90 ELL</v>
          </cell>
          <cell r="F1067">
            <v>2</v>
          </cell>
          <cell r="G1067" t="str">
            <v>CB300104001000</v>
          </cell>
          <cell r="H1067">
            <v>10</v>
          </cell>
          <cell r="I1067" t="str">
            <v>--</v>
          </cell>
          <cell r="J1067">
            <v>1</v>
          </cell>
          <cell r="K1067">
            <v>2</v>
          </cell>
        </row>
        <row r="1068">
          <cell r="A1068" t="str">
            <v>M1</v>
          </cell>
          <cell r="B1068" t="str">
            <v>A4C</v>
          </cell>
          <cell r="C1068" t="str">
            <v>P</v>
          </cell>
          <cell r="D1068" t="str">
            <v>22008</v>
          </cell>
          <cell r="E1068" t="str">
            <v>90 ELL</v>
          </cell>
          <cell r="F1068">
            <v>2</v>
          </cell>
          <cell r="G1068" t="str">
            <v>CB300104001000</v>
          </cell>
          <cell r="H1068">
            <v>10</v>
          </cell>
          <cell r="I1068" t="str">
            <v>--</v>
          </cell>
          <cell r="J1068">
            <v>6</v>
          </cell>
          <cell r="K1068">
            <v>7</v>
          </cell>
        </row>
        <row r="1069">
          <cell r="A1069" t="str">
            <v>M1</v>
          </cell>
          <cell r="B1069" t="str">
            <v>A4C</v>
          </cell>
          <cell r="C1069" t="str">
            <v>P</v>
          </cell>
          <cell r="D1069" t="str">
            <v>22008</v>
          </cell>
          <cell r="E1069" t="str">
            <v>90 ELL</v>
          </cell>
          <cell r="F1069">
            <v>2</v>
          </cell>
          <cell r="G1069" t="str">
            <v>CB300104001000</v>
          </cell>
          <cell r="H1069">
            <v>10</v>
          </cell>
          <cell r="I1069" t="str">
            <v>--</v>
          </cell>
          <cell r="J1069">
            <v>8</v>
          </cell>
          <cell r="K1069">
            <v>9</v>
          </cell>
        </row>
        <row r="1070">
          <cell r="A1070" t="str">
            <v>M1</v>
          </cell>
          <cell r="B1070" t="str">
            <v>A5C</v>
          </cell>
          <cell r="C1070" t="str">
            <v>P</v>
          </cell>
          <cell r="D1070" t="str">
            <v>22075</v>
          </cell>
          <cell r="E1070" t="str">
            <v>90 ELL</v>
          </cell>
          <cell r="F1070">
            <v>2</v>
          </cell>
          <cell r="G1070" t="str">
            <v>CB300104001000</v>
          </cell>
          <cell r="H1070">
            <v>10</v>
          </cell>
          <cell r="I1070" t="str">
            <v>--</v>
          </cell>
          <cell r="J1070">
            <v>7</v>
          </cell>
          <cell r="K1070">
            <v>8</v>
          </cell>
        </row>
        <row r="1071">
          <cell r="A1071" t="str">
            <v>M1</v>
          </cell>
          <cell r="B1071" t="str">
            <v>A4C</v>
          </cell>
          <cell r="C1071" t="str">
            <v>P</v>
          </cell>
          <cell r="D1071" t="str">
            <v>22080</v>
          </cell>
          <cell r="E1071" t="str">
            <v>90 ELL</v>
          </cell>
          <cell r="F1071">
            <v>2</v>
          </cell>
          <cell r="G1071" t="str">
            <v>CB300104001000</v>
          </cell>
          <cell r="H1071">
            <v>10</v>
          </cell>
          <cell r="I1071" t="str">
            <v>--</v>
          </cell>
          <cell r="J1071">
            <v>5</v>
          </cell>
          <cell r="K1071">
            <v>6</v>
          </cell>
        </row>
        <row r="1072">
          <cell r="A1072" t="str">
            <v>M1</v>
          </cell>
          <cell r="B1072" t="str">
            <v>A4C</v>
          </cell>
          <cell r="C1072" t="str">
            <v>P</v>
          </cell>
          <cell r="D1072" t="str">
            <v>22008</v>
          </cell>
          <cell r="E1072" t="str">
            <v>SOL</v>
          </cell>
          <cell r="F1072">
            <v>2</v>
          </cell>
          <cell r="G1072" t="str">
            <v>CB39020000100T</v>
          </cell>
          <cell r="H1072">
            <v>10</v>
          </cell>
          <cell r="I1072">
            <v>0.75</v>
          </cell>
          <cell r="J1072">
            <v>1</v>
          </cell>
          <cell r="K1072">
            <v>2</v>
          </cell>
        </row>
        <row r="1073">
          <cell r="A1073" t="str">
            <v>M1</v>
          </cell>
          <cell r="B1073" t="str">
            <v>A4C</v>
          </cell>
          <cell r="C1073" t="str">
            <v>P</v>
          </cell>
          <cell r="D1073" t="str">
            <v>22008</v>
          </cell>
          <cell r="E1073" t="str">
            <v>SOL</v>
          </cell>
          <cell r="F1073">
            <v>2</v>
          </cell>
          <cell r="G1073" t="str">
            <v>CB390200001001</v>
          </cell>
          <cell r="H1073">
            <v>10</v>
          </cell>
          <cell r="I1073">
            <v>1</v>
          </cell>
          <cell r="J1073">
            <v>2</v>
          </cell>
          <cell r="K1073">
            <v>3</v>
          </cell>
        </row>
        <row r="1074">
          <cell r="A1074" t="str">
            <v>M1</v>
          </cell>
          <cell r="B1074" t="str">
            <v>A4C</v>
          </cell>
          <cell r="C1074" t="str">
            <v>P</v>
          </cell>
          <cell r="D1074" t="str">
            <v>22008</v>
          </cell>
          <cell r="E1074" t="str">
            <v>SOL</v>
          </cell>
          <cell r="F1074">
            <v>2</v>
          </cell>
          <cell r="G1074" t="str">
            <v>CB39020000100T</v>
          </cell>
          <cell r="H1074">
            <v>10</v>
          </cell>
          <cell r="I1074">
            <v>0.75</v>
          </cell>
          <cell r="J1074">
            <v>1</v>
          </cell>
          <cell r="K1074">
            <v>2</v>
          </cell>
        </row>
        <row r="1075">
          <cell r="A1075" t="str">
            <v>M1</v>
          </cell>
          <cell r="B1075" t="str">
            <v>A4C</v>
          </cell>
          <cell r="C1075" t="str">
            <v>P</v>
          </cell>
          <cell r="D1075" t="str">
            <v>22008</v>
          </cell>
          <cell r="E1075" t="str">
            <v>SOL</v>
          </cell>
          <cell r="F1075">
            <v>2</v>
          </cell>
          <cell r="G1075" t="str">
            <v>CB3902000010IH</v>
          </cell>
          <cell r="H1075">
            <v>10</v>
          </cell>
          <cell r="I1075">
            <v>1.5</v>
          </cell>
          <cell r="J1075">
            <v>2</v>
          </cell>
          <cell r="K1075">
            <v>3</v>
          </cell>
        </row>
        <row r="1076">
          <cell r="A1076" t="str">
            <v>M1</v>
          </cell>
          <cell r="B1076" t="str">
            <v>A4C</v>
          </cell>
          <cell r="C1076" t="str">
            <v>P</v>
          </cell>
          <cell r="D1076" t="str">
            <v>22008</v>
          </cell>
          <cell r="E1076" t="str">
            <v>SOL</v>
          </cell>
          <cell r="F1076">
            <v>2</v>
          </cell>
          <cell r="G1076" t="str">
            <v>CB39020000100T</v>
          </cell>
          <cell r="H1076">
            <v>10</v>
          </cell>
          <cell r="I1076">
            <v>0.75</v>
          </cell>
          <cell r="J1076">
            <v>2</v>
          </cell>
          <cell r="K1076">
            <v>3</v>
          </cell>
        </row>
        <row r="1077">
          <cell r="A1077" t="str">
            <v>M1</v>
          </cell>
          <cell r="B1077" t="str">
            <v>A4C</v>
          </cell>
          <cell r="C1077" t="str">
            <v>P</v>
          </cell>
          <cell r="D1077" t="str">
            <v>22008</v>
          </cell>
          <cell r="E1077" t="str">
            <v>SOL</v>
          </cell>
          <cell r="F1077">
            <v>2</v>
          </cell>
          <cell r="G1077" t="str">
            <v>CB390200001001</v>
          </cell>
          <cell r="H1077">
            <v>10</v>
          </cell>
          <cell r="I1077">
            <v>1</v>
          </cell>
          <cell r="J1077">
            <v>2</v>
          </cell>
          <cell r="K1077">
            <v>3</v>
          </cell>
        </row>
        <row r="1078">
          <cell r="A1078" t="str">
            <v>M1</v>
          </cell>
          <cell r="B1078" t="str">
            <v>A4C</v>
          </cell>
          <cell r="C1078" t="str">
            <v>P</v>
          </cell>
          <cell r="D1078" t="str">
            <v>22008</v>
          </cell>
          <cell r="E1078" t="str">
            <v>TEE</v>
          </cell>
          <cell r="F1078">
            <v>2</v>
          </cell>
          <cell r="G1078" t="str">
            <v>CB300304001000</v>
          </cell>
          <cell r="H1078">
            <v>10</v>
          </cell>
          <cell r="I1078" t="str">
            <v>--</v>
          </cell>
          <cell r="J1078">
            <v>1</v>
          </cell>
          <cell r="K1078">
            <v>2</v>
          </cell>
        </row>
        <row r="1079">
          <cell r="A1079" t="str">
            <v>M1</v>
          </cell>
          <cell r="B1079" t="str">
            <v>A4C</v>
          </cell>
          <cell r="C1079" t="str">
            <v>P</v>
          </cell>
          <cell r="D1079" t="str">
            <v>22008</v>
          </cell>
          <cell r="E1079" t="str">
            <v>TEE</v>
          </cell>
          <cell r="F1079">
            <v>2</v>
          </cell>
          <cell r="G1079" t="str">
            <v>CB300304001000</v>
          </cell>
          <cell r="H1079">
            <v>10</v>
          </cell>
          <cell r="I1079" t="str">
            <v>--</v>
          </cell>
          <cell r="J1079">
            <v>1</v>
          </cell>
          <cell r="K1079">
            <v>2</v>
          </cell>
        </row>
        <row r="1080">
          <cell r="A1080" t="str">
            <v>M1</v>
          </cell>
          <cell r="B1080" t="str">
            <v>A5C</v>
          </cell>
          <cell r="C1080" t="str">
            <v>P</v>
          </cell>
          <cell r="D1080" t="str">
            <v>22075</v>
          </cell>
          <cell r="E1080" t="str">
            <v>TOL</v>
          </cell>
          <cell r="F1080">
            <v>2</v>
          </cell>
          <cell r="G1080" t="str">
            <v>CB39030000100T</v>
          </cell>
          <cell r="H1080">
            <v>10</v>
          </cell>
          <cell r="I1080">
            <v>0.75</v>
          </cell>
          <cell r="J1080">
            <v>1</v>
          </cell>
          <cell r="K1080">
            <v>2</v>
          </cell>
        </row>
        <row r="1081">
          <cell r="A1081" t="str">
            <v>M1</v>
          </cell>
          <cell r="B1081" t="str">
            <v>A4C</v>
          </cell>
          <cell r="C1081" t="str">
            <v>P</v>
          </cell>
          <cell r="D1081" t="str">
            <v>22080</v>
          </cell>
          <cell r="E1081" t="str">
            <v>TOL</v>
          </cell>
          <cell r="F1081">
            <v>2</v>
          </cell>
          <cell r="G1081" t="str">
            <v>CB39030000100T</v>
          </cell>
          <cell r="H1081">
            <v>10</v>
          </cell>
          <cell r="I1081">
            <v>0.75</v>
          </cell>
          <cell r="J1081">
            <v>1</v>
          </cell>
          <cell r="K1081">
            <v>2</v>
          </cell>
        </row>
        <row r="1082">
          <cell r="A1082" t="str">
            <v>M1</v>
          </cell>
          <cell r="B1082" t="str">
            <v>A5C</v>
          </cell>
          <cell r="C1082" t="str">
            <v>COMP</v>
          </cell>
          <cell r="D1082" t="str">
            <v>001</v>
          </cell>
          <cell r="E1082" t="str">
            <v>90 ELL</v>
          </cell>
          <cell r="F1082">
            <v>2</v>
          </cell>
          <cell r="G1082" t="str">
            <v>CB300104001200</v>
          </cell>
          <cell r="H1082">
            <v>12</v>
          </cell>
          <cell r="I1082" t="str">
            <v>--</v>
          </cell>
          <cell r="J1082">
            <v>2</v>
          </cell>
          <cell r="K1082">
            <v>3</v>
          </cell>
        </row>
        <row r="1083">
          <cell r="A1083" t="str">
            <v>M1</v>
          </cell>
          <cell r="B1083" t="str">
            <v>A5C</v>
          </cell>
          <cell r="C1083" t="str">
            <v>COMP</v>
          </cell>
          <cell r="D1083" t="str">
            <v>002</v>
          </cell>
          <cell r="E1083" t="str">
            <v>90 ELL</v>
          </cell>
          <cell r="F1083">
            <v>2</v>
          </cell>
          <cell r="G1083" t="str">
            <v>CB300104001200</v>
          </cell>
          <cell r="H1083">
            <v>12</v>
          </cell>
          <cell r="I1083" t="str">
            <v>--</v>
          </cell>
          <cell r="J1083">
            <v>2</v>
          </cell>
          <cell r="K1083">
            <v>3</v>
          </cell>
        </row>
        <row r="1084">
          <cell r="A1084" t="str">
            <v>M1</v>
          </cell>
          <cell r="B1084" t="str">
            <v>B1X</v>
          </cell>
          <cell r="C1084" t="str">
            <v>P</v>
          </cell>
          <cell r="D1084" t="str">
            <v>22042</v>
          </cell>
          <cell r="E1084" t="str">
            <v>90 ELL</v>
          </cell>
          <cell r="F1084">
            <v>2</v>
          </cell>
          <cell r="G1084" t="str">
            <v>LN300100001200</v>
          </cell>
          <cell r="H1084">
            <v>12</v>
          </cell>
          <cell r="I1084" t="str">
            <v>--</v>
          </cell>
          <cell r="J1084">
            <v>2</v>
          </cell>
          <cell r="K1084">
            <v>3</v>
          </cell>
        </row>
        <row r="1085">
          <cell r="A1085" t="str">
            <v>M1</v>
          </cell>
          <cell r="B1085" t="str">
            <v>B1X</v>
          </cell>
          <cell r="C1085" t="str">
            <v>P</v>
          </cell>
          <cell r="D1085" t="str">
            <v>22042</v>
          </cell>
          <cell r="E1085" t="str">
            <v>SOL</v>
          </cell>
          <cell r="F1085">
            <v>2</v>
          </cell>
          <cell r="G1085" t="str">
            <v>CB39020000120T</v>
          </cell>
          <cell r="H1085">
            <v>12</v>
          </cell>
          <cell r="I1085">
            <v>0.75</v>
          </cell>
          <cell r="J1085">
            <v>2</v>
          </cell>
          <cell r="K1085">
            <v>3</v>
          </cell>
        </row>
        <row r="1086">
          <cell r="A1086" t="str">
            <v>M1</v>
          </cell>
          <cell r="B1086" t="str">
            <v>B1X</v>
          </cell>
          <cell r="C1086" t="str">
            <v>P</v>
          </cell>
          <cell r="D1086" t="str">
            <v>22042</v>
          </cell>
          <cell r="E1086" t="str">
            <v>TOL</v>
          </cell>
          <cell r="F1086">
            <v>2</v>
          </cell>
          <cell r="G1086" t="str">
            <v>CB39030000120T</v>
          </cell>
          <cell r="H1086">
            <v>12</v>
          </cell>
          <cell r="I1086">
            <v>0.75</v>
          </cell>
          <cell r="J1086">
            <v>1</v>
          </cell>
          <cell r="K1086">
            <v>2</v>
          </cell>
        </row>
        <row r="1087">
          <cell r="A1087" t="str">
            <v>M1</v>
          </cell>
          <cell r="B1087" t="str">
            <v>A5C</v>
          </cell>
          <cell r="C1087" t="str">
            <v>P</v>
          </cell>
          <cell r="D1087" t="str">
            <v>22054</v>
          </cell>
          <cell r="E1087" t="str">
            <v>90 ELL</v>
          </cell>
          <cell r="F1087">
            <v>2</v>
          </cell>
          <cell r="G1087" t="str">
            <v>CB300104001400</v>
          </cell>
          <cell r="H1087">
            <v>14</v>
          </cell>
          <cell r="I1087" t="str">
            <v>--</v>
          </cell>
          <cell r="J1087">
            <v>2</v>
          </cell>
          <cell r="K1087">
            <v>2</v>
          </cell>
        </row>
        <row r="1088">
          <cell r="A1088" t="str">
            <v>M1</v>
          </cell>
          <cell r="B1088" t="str">
            <v>A5C</v>
          </cell>
          <cell r="C1088" t="str">
            <v>P</v>
          </cell>
          <cell r="D1088" t="str">
            <v>22056</v>
          </cell>
          <cell r="E1088" t="str">
            <v>90 ELL</v>
          </cell>
          <cell r="F1088">
            <v>2</v>
          </cell>
          <cell r="G1088" t="str">
            <v>CB300104001400</v>
          </cell>
          <cell r="H1088">
            <v>14</v>
          </cell>
          <cell r="I1088" t="str">
            <v>--</v>
          </cell>
          <cell r="J1088">
            <v>2</v>
          </cell>
          <cell r="K1088">
            <v>2</v>
          </cell>
        </row>
        <row r="1089">
          <cell r="A1089" t="str">
            <v>M1</v>
          </cell>
          <cell r="B1089" t="str">
            <v>A5C</v>
          </cell>
          <cell r="C1089" t="str">
            <v>P</v>
          </cell>
          <cell r="D1089" t="str">
            <v>22054</v>
          </cell>
          <cell r="E1089" t="str">
            <v>TOL</v>
          </cell>
          <cell r="F1089">
            <v>2</v>
          </cell>
          <cell r="G1089" t="str">
            <v>CB39030000140T</v>
          </cell>
          <cell r="H1089">
            <v>14</v>
          </cell>
          <cell r="I1089">
            <v>0.75</v>
          </cell>
          <cell r="J1089">
            <v>1</v>
          </cell>
          <cell r="K1089">
            <v>1</v>
          </cell>
        </row>
        <row r="1090">
          <cell r="A1090" t="str">
            <v>M1</v>
          </cell>
          <cell r="B1090" t="str">
            <v>A5C</v>
          </cell>
          <cell r="C1090" t="str">
            <v>P</v>
          </cell>
          <cell r="D1090" t="str">
            <v>22058</v>
          </cell>
          <cell r="E1090" t="str">
            <v>90 ELL</v>
          </cell>
          <cell r="F1090">
            <v>2</v>
          </cell>
          <cell r="G1090" t="str">
            <v>CB300104001400</v>
          </cell>
          <cell r="H1090">
            <v>14</v>
          </cell>
          <cell r="I1090" t="str">
            <v>--</v>
          </cell>
          <cell r="J1090">
            <v>2</v>
          </cell>
          <cell r="K1090">
            <v>2</v>
          </cell>
        </row>
        <row r="1091">
          <cell r="A1091" t="str">
            <v>M1</v>
          </cell>
          <cell r="B1091" t="str">
            <v>A5C</v>
          </cell>
          <cell r="C1091" t="str">
            <v>P</v>
          </cell>
          <cell r="D1091" t="str">
            <v>22058</v>
          </cell>
          <cell r="E1091" t="str">
            <v>SOL</v>
          </cell>
          <cell r="F1091">
            <v>2</v>
          </cell>
          <cell r="G1091" t="str">
            <v>CB39020000140T</v>
          </cell>
          <cell r="H1091">
            <v>14</v>
          </cell>
          <cell r="I1091">
            <v>0.75</v>
          </cell>
          <cell r="J1091">
            <v>1</v>
          </cell>
          <cell r="K1091">
            <v>1</v>
          </cell>
        </row>
        <row r="1092">
          <cell r="A1092" t="str">
            <v>M1</v>
          </cell>
          <cell r="B1092" t="str">
            <v>B1C</v>
          </cell>
          <cell r="C1092" t="str">
            <v>P</v>
          </cell>
          <cell r="D1092" t="str">
            <v>22027</v>
          </cell>
          <cell r="E1092" t="str">
            <v>5D 90 BEND</v>
          </cell>
          <cell r="F1092">
            <v>2</v>
          </cell>
          <cell r="G1092" t="str">
            <v>CB308804001400</v>
          </cell>
          <cell r="H1092">
            <v>14</v>
          </cell>
          <cell r="I1092" t="str">
            <v>--</v>
          </cell>
          <cell r="J1092">
            <v>3</v>
          </cell>
          <cell r="K1092">
            <v>3</v>
          </cell>
        </row>
        <row r="1093">
          <cell r="A1093" t="str">
            <v>M1</v>
          </cell>
          <cell r="B1093" t="str">
            <v>B1C</v>
          </cell>
          <cell r="C1093" t="str">
            <v>P</v>
          </cell>
          <cell r="D1093" t="str">
            <v>22027</v>
          </cell>
          <cell r="E1093" t="str">
            <v>SOL</v>
          </cell>
          <cell r="F1093">
            <v>2</v>
          </cell>
          <cell r="G1093" t="str">
            <v>CB39020000140T</v>
          </cell>
          <cell r="H1093">
            <v>14</v>
          </cell>
          <cell r="I1093">
            <v>0.75</v>
          </cell>
          <cell r="J1093">
            <v>1</v>
          </cell>
          <cell r="K1093">
            <v>1</v>
          </cell>
        </row>
        <row r="1094">
          <cell r="A1094" t="str">
            <v>M1</v>
          </cell>
          <cell r="B1094" t="str">
            <v>B1C</v>
          </cell>
          <cell r="C1094" t="str">
            <v>P</v>
          </cell>
          <cell r="D1094" t="str">
            <v>22027</v>
          </cell>
          <cell r="E1094" t="str">
            <v>TOL</v>
          </cell>
          <cell r="F1094">
            <v>2</v>
          </cell>
          <cell r="G1094" t="str">
            <v>CB39030000140T</v>
          </cell>
          <cell r="H1094">
            <v>14</v>
          </cell>
          <cell r="I1094">
            <v>0.75</v>
          </cell>
          <cell r="J1094">
            <v>1</v>
          </cell>
          <cell r="K1094">
            <v>1</v>
          </cell>
        </row>
        <row r="1095">
          <cell r="A1095" t="str">
            <v>M1</v>
          </cell>
          <cell r="B1095" t="str">
            <v>A5C</v>
          </cell>
          <cell r="C1095" t="str">
            <v>P</v>
          </cell>
          <cell r="D1095" t="str">
            <v>22074</v>
          </cell>
          <cell r="E1095" t="str">
            <v>CAP</v>
          </cell>
          <cell r="F1095">
            <v>2</v>
          </cell>
          <cell r="G1095" t="str">
            <v>CB300704001600</v>
          </cell>
          <cell r="H1095">
            <v>16</v>
          </cell>
          <cell r="I1095" t="str">
            <v>--</v>
          </cell>
          <cell r="J1095">
            <v>2</v>
          </cell>
          <cell r="K1095">
            <v>2</v>
          </cell>
        </row>
        <row r="1096">
          <cell r="A1096" t="str">
            <v>M1</v>
          </cell>
          <cell r="B1096" t="str">
            <v>A5C</v>
          </cell>
          <cell r="C1096" t="str">
            <v>COMP</v>
          </cell>
          <cell r="D1096" t="str">
            <v>006</v>
          </cell>
          <cell r="E1096" t="str">
            <v>SW FLG</v>
          </cell>
          <cell r="F1096">
            <v>3</v>
          </cell>
          <cell r="G1096" t="str">
            <v>CB240108000H00</v>
          </cell>
          <cell r="H1096">
            <v>0.5</v>
          </cell>
          <cell r="I1096" t="str">
            <v>--</v>
          </cell>
          <cell r="J1096">
            <v>10</v>
          </cell>
          <cell r="K1096">
            <v>10</v>
          </cell>
        </row>
        <row r="1097">
          <cell r="A1097" t="str">
            <v>M1</v>
          </cell>
          <cell r="B1097" t="str">
            <v>A5C</v>
          </cell>
          <cell r="C1097" t="str">
            <v>P</v>
          </cell>
          <cell r="D1097" t="str">
            <v>22107</v>
          </cell>
          <cell r="E1097" t="str">
            <v>SW FLG</v>
          </cell>
          <cell r="F1097">
            <v>3</v>
          </cell>
          <cell r="G1097" t="str">
            <v>CB240108000H00</v>
          </cell>
          <cell r="H1097">
            <v>0.5</v>
          </cell>
          <cell r="I1097" t="str">
            <v>--</v>
          </cell>
          <cell r="J1097">
            <v>20</v>
          </cell>
          <cell r="K1097">
            <v>20</v>
          </cell>
        </row>
        <row r="1098">
          <cell r="A1098" t="str">
            <v>M1</v>
          </cell>
          <cell r="B1098" t="str">
            <v>A5C</v>
          </cell>
          <cell r="C1098" t="str">
            <v>P</v>
          </cell>
          <cell r="D1098" t="str">
            <v>22157</v>
          </cell>
          <cell r="E1098" t="str">
            <v>SW FLG</v>
          </cell>
          <cell r="F1098">
            <v>3</v>
          </cell>
          <cell r="G1098" t="str">
            <v>CB240108000H00</v>
          </cell>
          <cell r="H1098">
            <v>0.5</v>
          </cell>
          <cell r="I1098" t="str">
            <v>--</v>
          </cell>
          <cell r="J1098">
            <v>2</v>
          </cell>
          <cell r="K1098">
            <v>2</v>
          </cell>
        </row>
        <row r="1099">
          <cell r="A1099" t="str">
            <v>M1</v>
          </cell>
          <cell r="B1099" t="str">
            <v>A5C</v>
          </cell>
          <cell r="C1099" t="str">
            <v>P</v>
          </cell>
          <cell r="D1099" t="str">
            <v>22158</v>
          </cell>
          <cell r="E1099" t="str">
            <v>SW FLG</v>
          </cell>
          <cell r="F1099">
            <v>3</v>
          </cell>
          <cell r="G1099" t="str">
            <v>CB240108000H00</v>
          </cell>
          <cell r="H1099">
            <v>0.5</v>
          </cell>
          <cell r="I1099" t="str">
            <v>--</v>
          </cell>
          <cell r="J1099">
            <v>2</v>
          </cell>
          <cell r="K1099">
            <v>2</v>
          </cell>
        </row>
        <row r="1100">
          <cell r="A1100" t="str">
            <v>M1</v>
          </cell>
          <cell r="B1100" t="str">
            <v>A5C</v>
          </cell>
          <cell r="C1100" t="str">
            <v>SCC</v>
          </cell>
          <cell r="D1100" t="str">
            <v>HOLD1</v>
          </cell>
          <cell r="E1100" t="str">
            <v>SW FLG</v>
          </cell>
          <cell r="F1100">
            <v>3</v>
          </cell>
          <cell r="G1100" t="str">
            <v>CB240108000H00</v>
          </cell>
          <cell r="H1100">
            <v>0.5</v>
          </cell>
          <cell r="I1100" t="str">
            <v>--</v>
          </cell>
          <cell r="J1100">
            <v>6</v>
          </cell>
          <cell r="K1100">
            <v>6</v>
          </cell>
        </row>
        <row r="1101">
          <cell r="A1101" t="str">
            <v>M1</v>
          </cell>
          <cell r="B1101" t="str">
            <v>A5C</v>
          </cell>
          <cell r="C1101" t="str">
            <v>SCD</v>
          </cell>
          <cell r="D1101" t="str">
            <v>HOLD1</v>
          </cell>
          <cell r="E1101" t="str">
            <v>SW FLG</v>
          </cell>
          <cell r="F1101">
            <v>3</v>
          </cell>
          <cell r="G1101" t="str">
            <v>CB240108000H00</v>
          </cell>
          <cell r="H1101">
            <v>0.5</v>
          </cell>
          <cell r="I1101" t="str">
            <v>--</v>
          </cell>
          <cell r="J1101">
            <v>4</v>
          </cell>
          <cell r="K1101">
            <v>4</v>
          </cell>
        </row>
        <row r="1102">
          <cell r="A1102" t="str">
            <v>M1</v>
          </cell>
          <cell r="B1102" t="str">
            <v>A5C</v>
          </cell>
          <cell r="C1102" t="str">
            <v>P</v>
          </cell>
          <cell r="D1102" t="str">
            <v>22039</v>
          </cell>
          <cell r="E1102" t="str">
            <v>SW FLG</v>
          </cell>
          <cell r="F1102">
            <v>3</v>
          </cell>
          <cell r="G1102" t="str">
            <v>CB240108000H00</v>
          </cell>
          <cell r="H1102">
            <v>0.5</v>
          </cell>
          <cell r="I1102" t="str">
            <v>--</v>
          </cell>
          <cell r="J1102">
            <v>2</v>
          </cell>
          <cell r="K1102">
            <v>2</v>
          </cell>
        </row>
        <row r="1103">
          <cell r="A1103" t="str">
            <v>M1</v>
          </cell>
          <cell r="B1103" t="str">
            <v>A5C</v>
          </cell>
          <cell r="C1103" t="str">
            <v>P</v>
          </cell>
          <cell r="D1103" t="str">
            <v>22041</v>
          </cell>
          <cell r="E1103" t="str">
            <v>SW FLG</v>
          </cell>
          <cell r="F1103">
            <v>3</v>
          </cell>
          <cell r="G1103" t="str">
            <v>CB240108000H00</v>
          </cell>
          <cell r="H1103">
            <v>0.5</v>
          </cell>
          <cell r="I1103" t="str">
            <v>--</v>
          </cell>
          <cell r="J1103">
            <v>2</v>
          </cell>
          <cell r="K1103">
            <v>2</v>
          </cell>
        </row>
        <row r="1104">
          <cell r="A1104" t="str">
            <v>M1</v>
          </cell>
          <cell r="B1104" t="str">
            <v>A5C</v>
          </cell>
          <cell r="C1104" t="str">
            <v>P</v>
          </cell>
          <cell r="D1104" t="str">
            <v>22040</v>
          </cell>
          <cell r="E1104" t="str">
            <v>SW FLG</v>
          </cell>
          <cell r="F1104">
            <v>3</v>
          </cell>
          <cell r="G1104" t="str">
            <v>CB240108000H00</v>
          </cell>
          <cell r="H1104">
            <v>0.5</v>
          </cell>
          <cell r="I1104" t="str">
            <v>--</v>
          </cell>
          <cell r="J1104">
            <v>2</v>
          </cell>
          <cell r="K1104">
            <v>2</v>
          </cell>
        </row>
        <row r="1105">
          <cell r="A1105" t="str">
            <v>M1</v>
          </cell>
          <cell r="B1105" t="str">
            <v>A4C</v>
          </cell>
          <cell r="C1105" t="str">
            <v>P</v>
          </cell>
          <cell r="D1105" t="str">
            <v>22031</v>
          </cell>
          <cell r="E1105" t="str">
            <v>SW FLG</v>
          </cell>
          <cell r="F1105">
            <v>3</v>
          </cell>
          <cell r="G1105" t="str">
            <v>CB240108000H00</v>
          </cell>
          <cell r="H1105">
            <v>0.5</v>
          </cell>
          <cell r="I1105" t="str">
            <v>--</v>
          </cell>
          <cell r="J1105">
            <v>6</v>
          </cell>
          <cell r="K1105">
            <v>6</v>
          </cell>
        </row>
        <row r="1106">
          <cell r="A1106" t="str">
            <v>M1</v>
          </cell>
          <cell r="B1106" t="str">
            <v>A5C</v>
          </cell>
          <cell r="C1106" t="str">
            <v>N</v>
          </cell>
          <cell r="D1106" t="str">
            <v>25613</v>
          </cell>
          <cell r="E1106" t="str">
            <v>SW FLG</v>
          </cell>
          <cell r="F1106">
            <v>3</v>
          </cell>
          <cell r="G1106" t="str">
            <v>CB240108000T00</v>
          </cell>
          <cell r="H1106">
            <v>0.75</v>
          </cell>
          <cell r="I1106" t="str">
            <v>--</v>
          </cell>
          <cell r="J1106">
            <v>1</v>
          </cell>
          <cell r="K1106">
            <v>1</v>
          </cell>
        </row>
        <row r="1107">
          <cell r="A1107" t="str">
            <v>M1</v>
          </cell>
          <cell r="B1107" t="str">
            <v>A5C</v>
          </cell>
          <cell r="C1107" t="str">
            <v>N</v>
          </cell>
          <cell r="D1107" t="str">
            <v>25618</v>
          </cell>
          <cell r="E1107" t="str">
            <v>SW FLG</v>
          </cell>
          <cell r="F1107">
            <v>3</v>
          </cell>
          <cell r="G1107" t="str">
            <v>CB240108000T00</v>
          </cell>
          <cell r="H1107">
            <v>0.75</v>
          </cell>
          <cell r="I1107" t="str">
            <v>--</v>
          </cell>
          <cell r="J1107">
            <v>1</v>
          </cell>
          <cell r="K1107">
            <v>1</v>
          </cell>
        </row>
        <row r="1108">
          <cell r="A1108" t="str">
            <v>M1</v>
          </cell>
          <cell r="B1108" t="str">
            <v>A5C</v>
          </cell>
          <cell r="C1108" t="str">
            <v>P</v>
          </cell>
          <cell r="D1108" t="str">
            <v>22101</v>
          </cell>
          <cell r="E1108" t="str">
            <v>SW FLG</v>
          </cell>
          <cell r="F1108">
            <v>3</v>
          </cell>
          <cell r="G1108" t="str">
            <v>CB240108000T00</v>
          </cell>
          <cell r="H1108">
            <v>0.75</v>
          </cell>
          <cell r="I1108" t="str">
            <v>--</v>
          </cell>
          <cell r="J1108">
            <v>2</v>
          </cell>
          <cell r="K1108">
            <v>2</v>
          </cell>
        </row>
        <row r="1109">
          <cell r="A1109" t="str">
            <v>M1</v>
          </cell>
          <cell r="B1109" t="str">
            <v>A5C</v>
          </cell>
          <cell r="C1109" t="str">
            <v>IA</v>
          </cell>
          <cell r="D1109" t="str">
            <v>22611</v>
          </cell>
          <cell r="E1109" t="str">
            <v>SW FLG</v>
          </cell>
          <cell r="F1109">
            <v>3</v>
          </cell>
          <cell r="G1109" t="str">
            <v>CB240108000T00</v>
          </cell>
          <cell r="H1109">
            <v>0.75</v>
          </cell>
          <cell r="I1109" t="str">
            <v>--</v>
          </cell>
          <cell r="J1109">
            <v>2</v>
          </cell>
          <cell r="K1109">
            <v>2</v>
          </cell>
        </row>
        <row r="1110">
          <cell r="A1110" t="str">
            <v>M1</v>
          </cell>
          <cell r="B1110" t="str">
            <v>A5C</v>
          </cell>
          <cell r="C1110" t="str">
            <v>N</v>
          </cell>
          <cell r="D1110" t="str">
            <v>22617</v>
          </cell>
          <cell r="E1110" t="str">
            <v>SW FLG</v>
          </cell>
          <cell r="F1110">
            <v>3</v>
          </cell>
          <cell r="G1110" t="str">
            <v>CB240108000T00</v>
          </cell>
          <cell r="H1110">
            <v>0.75</v>
          </cell>
          <cell r="I1110" t="str">
            <v>--</v>
          </cell>
          <cell r="J1110">
            <v>3</v>
          </cell>
          <cell r="K1110">
            <v>3</v>
          </cell>
        </row>
        <row r="1111">
          <cell r="A1111" t="str">
            <v>M1</v>
          </cell>
          <cell r="B1111" t="str">
            <v>A5C</v>
          </cell>
          <cell r="C1111" t="str">
            <v>P</v>
          </cell>
          <cell r="D1111" t="str">
            <v>22102</v>
          </cell>
          <cell r="E1111" t="str">
            <v>SW FLG</v>
          </cell>
          <cell r="F1111">
            <v>3</v>
          </cell>
          <cell r="G1111" t="str">
            <v>CB240108000T00</v>
          </cell>
          <cell r="H1111">
            <v>0.75</v>
          </cell>
          <cell r="I1111" t="str">
            <v>--</v>
          </cell>
          <cell r="J1111">
            <v>2</v>
          </cell>
          <cell r="K1111">
            <v>2</v>
          </cell>
        </row>
        <row r="1112">
          <cell r="A1112" t="str">
            <v>M1</v>
          </cell>
          <cell r="B1112" t="str">
            <v>A5C</v>
          </cell>
          <cell r="C1112" t="str">
            <v>SCD</v>
          </cell>
          <cell r="D1112" t="str">
            <v>HOLD1</v>
          </cell>
          <cell r="E1112" t="str">
            <v>SW FLG</v>
          </cell>
          <cell r="F1112">
            <v>3</v>
          </cell>
          <cell r="G1112" t="str">
            <v>CB240108000T00</v>
          </cell>
          <cell r="H1112">
            <v>0.75</v>
          </cell>
          <cell r="I1112" t="str">
            <v>--</v>
          </cell>
          <cell r="J1112">
            <v>6</v>
          </cell>
          <cell r="K1112">
            <v>6</v>
          </cell>
        </row>
        <row r="1113">
          <cell r="A1113" t="str">
            <v>M1</v>
          </cell>
          <cell r="B1113" t="str">
            <v>A5C</v>
          </cell>
          <cell r="C1113" t="str">
            <v>TRIM</v>
          </cell>
          <cell r="D1113" t="str">
            <v>V-2214</v>
          </cell>
          <cell r="E1113" t="str">
            <v>SW FLG</v>
          </cell>
          <cell r="F1113">
            <v>3</v>
          </cell>
          <cell r="G1113" t="str">
            <v>CB240108000T00</v>
          </cell>
          <cell r="H1113">
            <v>0.75</v>
          </cell>
          <cell r="I1113" t="str">
            <v>--</v>
          </cell>
          <cell r="J1113">
            <v>4</v>
          </cell>
          <cell r="K1113">
            <v>4</v>
          </cell>
        </row>
        <row r="1114">
          <cell r="A1114" t="str">
            <v>M1</v>
          </cell>
          <cell r="B1114" t="str">
            <v>A5C</v>
          </cell>
          <cell r="C1114" t="str">
            <v>TRIM</v>
          </cell>
          <cell r="D1114" t="str">
            <v>V-2213</v>
          </cell>
          <cell r="E1114" t="str">
            <v>SW FLG</v>
          </cell>
          <cell r="F1114">
            <v>3</v>
          </cell>
          <cell r="G1114" t="str">
            <v>CB240108000T00</v>
          </cell>
          <cell r="H1114">
            <v>0.75</v>
          </cell>
          <cell r="I1114" t="str">
            <v>--</v>
          </cell>
          <cell r="J1114">
            <v>2</v>
          </cell>
          <cell r="K1114">
            <v>2</v>
          </cell>
        </row>
        <row r="1115">
          <cell r="A1115" t="str">
            <v>M1</v>
          </cell>
          <cell r="B1115" t="str">
            <v>A6C</v>
          </cell>
          <cell r="C1115" t="str">
            <v>HOS</v>
          </cell>
          <cell r="D1115" t="str">
            <v>65634</v>
          </cell>
          <cell r="E1115" t="str">
            <v>SW FLG</v>
          </cell>
          <cell r="F1115">
            <v>3</v>
          </cell>
          <cell r="G1115" t="str">
            <v>CB240108000T00</v>
          </cell>
          <cell r="H1115">
            <v>0.75</v>
          </cell>
          <cell r="I1115" t="str">
            <v>--</v>
          </cell>
          <cell r="J1115">
            <v>1</v>
          </cell>
          <cell r="K1115">
            <v>1</v>
          </cell>
        </row>
        <row r="1116">
          <cell r="A1116" t="str">
            <v>M1</v>
          </cell>
          <cell r="B1116" t="str">
            <v>A6C</v>
          </cell>
          <cell r="C1116" t="str">
            <v>TRIM</v>
          </cell>
          <cell r="D1116" t="str">
            <v>H-6501</v>
          </cell>
          <cell r="E1116" t="str">
            <v>SW FLG</v>
          </cell>
          <cell r="F1116">
            <v>3</v>
          </cell>
          <cell r="G1116" t="str">
            <v>CB240108000T00</v>
          </cell>
          <cell r="H1116">
            <v>0.75</v>
          </cell>
          <cell r="I1116" t="str">
            <v>--</v>
          </cell>
          <cell r="J1116">
            <v>1</v>
          </cell>
          <cell r="K1116">
            <v>1</v>
          </cell>
        </row>
        <row r="1117">
          <cell r="A1117" t="str">
            <v>M1</v>
          </cell>
          <cell r="B1117" t="str">
            <v>A6C</v>
          </cell>
          <cell r="C1117" t="str">
            <v>TRIM</v>
          </cell>
          <cell r="D1117" t="str">
            <v>V-6502</v>
          </cell>
          <cell r="E1117" t="str">
            <v>SW FLG</v>
          </cell>
          <cell r="F1117">
            <v>3</v>
          </cell>
          <cell r="G1117" t="str">
            <v>CB240108000T00</v>
          </cell>
          <cell r="H1117">
            <v>0.75</v>
          </cell>
          <cell r="I1117" t="str">
            <v>--</v>
          </cell>
          <cell r="J1117">
            <v>2</v>
          </cell>
          <cell r="K1117">
            <v>2</v>
          </cell>
        </row>
        <row r="1118">
          <cell r="A1118" t="str">
            <v>M1</v>
          </cell>
          <cell r="B1118" t="str">
            <v>A6C</v>
          </cell>
          <cell r="C1118" t="str">
            <v>HOR</v>
          </cell>
          <cell r="D1118" t="str">
            <v>65620</v>
          </cell>
          <cell r="E1118" t="str">
            <v>SW FLG</v>
          </cell>
          <cell r="F1118">
            <v>3</v>
          </cell>
          <cell r="G1118" t="str">
            <v>CB240108000T00</v>
          </cell>
          <cell r="H1118">
            <v>0.75</v>
          </cell>
          <cell r="I1118" t="str">
            <v>--</v>
          </cell>
          <cell r="J1118">
            <v>1</v>
          </cell>
          <cell r="K1118">
            <v>1</v>
          </cell>
        </row>
        <row r="1119">
          <cell r="A1119" t="str">
            <v>M1</v>
          </cell>
          <cell r="B1119" t="str">
            <v>A6C</v>
          </cell>
          <cell r="C1119" t="str">
            <v>HOR</v>
          </cell>
          <cell r="D1119" t="str">
            <v>65622</v>
          </cell>
          <cell r="E1119" t="str">
            <v>SW FLG</v>
          </cell>
          <cell r="F1119">
            <v>3</v>
          </cell>
          <cell r="G1119" t="str">
            <v>CB240108000T00</v>
          </cell>
          <cell r="H1119">
            <v>0.75</v>
          </cell>
          <cell r="I1119" t="str">
            <v>--</v>
          </cell>
          <cell r="J1119">
            <v>4</v>
          </cell>
          <cell r="K1119">
            <v>4</v>
          </cell>
        </row>
        <row r="1120">
          <cell r="A1120" t="str">
            <v>M1</v>
          </cell>
          <cell r="B1120" t="str">
            <v>B1X</v>
          </cell>
          <cell r="C1120" t="str">
            <v>P</v>
          </cell>
          <cell r="D1120" t="str">
            <v>22042</v>
          </cell>
          <cell r="E1120" t="str">
            <v>WN FLG</v>
          </cell>
          <cell r="F1120">
            <v>3</v>
          </cell>
          <cell r="G1120" t="str">
            <v>CB200208000T00</v>
          </cell>
          <cell r="H1120">
            <v>0.75</v>
          </cell>
          <cell r="I1120" t="str">
            <v>--</v>
          </cell>
          <cell r="J1120">
            <v>2</v>
          </cell>
          <cell r="K1120">
            <v>2</v>
          </cell>
        </row>
        <row r="1121">
          <cell r="A1121" t="str">
            <v>M1</v>
          </cell>
          <cell r="B1121" t="str">
            <v>B2C</v>
          </cell>
          <cell r="C1121" t="str">
            <v>SH</v>
          </cell>
          <cell r="D1121" t="str">
            <v>22614</v>
          </cell>
          <cell r="E1121" t="str">
            <v>SW FLG</v>
          </cell>
          <cell r="F1121">
            <v>3</v>
          </cell>
          <cell r="G1121" t="str">
            <v>CB240208000100</v>
          </cell>
          <cell r="H1121">
            <v>1</v>
          </cell>
          <cell r="I1121" t="str">
            <v>--</v>
          </cell>
          <cell r="J1121">
            <v>1</v>
          </cell>
          <cell r="K1121">
            <v>1</v>
          </cell>
        </row>
        <row r="1122">
          <cell r="A1122" t="str">
            <v>M1</v>
          </cell>
          <cell r="B1122" t="str">
            <v>B2C</v>
          </cell>
          <cell r="C1122" t="str">
            <v>SH</v>
          </cell>
          <cell r="D1122" t="str">
            <v>22611</v>
          </cell>
          <cell r="E1122" t="str">
            <v>SW FLG</v>
          </cell>
          <cell r="F1122">
            <v>3</v>
          </cell>
          <cell r="G1122" t="str">
            <v>CB240208000100</v>
          </cell>
          <cell r="H1122">
            <v>1</v>
          </cell>
          <cell r="I1122" t="str">
            <v>--</v>
          </cell>
          <cell r="J1122">
            <v>2</v>
          </cell>
          <cell r="K1122">
            <v>2</v>
          </cell>
        </row>
        <row r="1123">
          <cell r="A1123" t="str">
            <v>M1</v>
          </cell>
          <cell r="B1123" t="str">
            <v>B2C</v>
          </cell>
          <cell r="C1123" t="str">
            <v>TRIM</v>
          </cell>
          <cell r="D1123" t="str">
            <v>E-2204</v>
          </cell>
          <cell r="E1123" t="str">
            <v>SW FLG</v>
          </cell>
          <cell r="F1123">
            <v>3</v>
          </cell>
          <cell r="G1123" t="str">
            <v>CB240208000100</v>
          </cell>
          <cell r="H1123">
            <v>1</v>
          </cell>
          <cell r="I1123" t="str">
            <v>--</v>
          </cell>
          <cell r="J1123">
            <v>1</v>
          </cell>
          <cell r="K1123">
            <v>1</v>
          </cell>
        </row>
        <row r="1124">
          <cell r="A1124" t="str">
            <v>M1</v>
          </cell>
          <cell r="B1124" t="str">
            <v>A5C</v>
          </cell>
          <cell r="C1124" t="str">
            <v>P</v>
          </cell>
          <cell r="D1124" t="str">
            <v>22109</v>
          </cell>
          <cell r="E1124" t="str">
            <v>LWN FLG</v>
          </cell>
          <cell r="F1124">
            <v>3</v>
          </cell>
          <cell r="G1124" t="str">
            <v>CB2901000001WL</v>
          </cell>
          <cell r="H1124">
            <v>1</v>
          </cell>
          <cell r="I1124" t="str">
            <v>150mm</v>
          </cell>
          <cell r="J1124">
            <v>1</v>
          </cell>
          <cell r="K1124">
            <v>1</v>
          </cell>
        </row>
        <row r="1125">
          <cell r="A1125" t="str">
            <v>M1</v>
          </cell>
          <cell r="B1125" t="str">
            <v>A5C</v>
          </cell>
          <cell r="C1125" t="str">
            <v>P</v>
          </cell>
          <cell r="D1125" t="str">
            <v>22102</v>
          </cell>
          <cell r="E1125" t="str">
            <v>LWN FLG</v>
          </cell>
          <cell r="F1125">
            <v>3</v>
          </cell>
          <cell r="G1125" t="str">
            <v>CB2901000001WL</v>
          </cell>
          <cell r="H1125">
            <v>1</v>
          </cell>
          <cell r="I1125" t="str">
            <v>150mm</v>
          </cell>
          <cell r="J1125">
            <v>1</v>
          </cell>
          <cell r="K1125">
            <v>1</v>
          </cell>
        </row>
        <row r="1126">
          <cell r="A1126" t="str">
            <v>M1</v>
          </cell>
          <cell r="B1126" t="str">
            <v>A5C</v>
          </cell>
          <cell r="C1126" t="str">
            <v>P</v>
          </cell>
          <cell r="D1126" t="str">
            <v>22054</v>
          </cell>
          <cell r="E1126" t="str">
            <v>LWN FLG</v>
          </cell>
          <cell r="F1126">
            <v>3</v>
          </cell>
          <cell r="G1126" t="str">
            <v>CB2901000001WL</v>
          </cell>
          <cell r="H1126">
            <v>1</v>
          </cell>
          <cell r="I1126" t="str">
            <v>150mm</v>
          </cell>
          <cell r="J1126">
            <v>1</v>
          </cell>
          <cell r="K1126">
            <v>1</v>
          </cell>
        </row>
        <row r="1127">
          <cell r="A1127" t="str">
            <v>M1</v>
          </cell>
          <cell r="B1127" t="str">
            <v>A5C</v>
          </cell>
          <cell r="C1127" t="str">
            <v>P</v>
          </cell>
          <cell r="D1127" t="str">
            <v>22056</v>
          </cell>
          <cell r="E1127" t="str">
            <v>LWN FLG</v>
          </cell>
          <cell r="F1127">
            <v>3</v>
          </cell>
          <cell r="G1127" t="str">
            <v>CB2901000001WL</v>
          </cell>
          <cell r="H1127">
            <v>1</v>
          </cell>
          <cell r="I1127" t="str">
            <v>150mm</v>
          </cell>
          <cell r="J1127">
            <v>1</v>
          </cell>
          <cell r="K1127">
            <v>1</v>
          </cell>
        </row>
        <row r="1128">
          <cell r="A1128" t="str">
            <v>M1</v>
          </cell>
          <cell r="B1128" t="str">
            <v>A5C</v>
          </cell>
          <cell r="C1128" t="str">
            <v>N</v>
          </cell>
          <cell r="D1128" t="str">
            <v>22630</v>
          </cell>
          <cell r="E1128" t="str">
            <v>SW FLG</v>
          </cell>
          <cell r="F1128">
            <v>3</v>
          </cell>
          <cell r="G1128" t="str">
            <v>CB240108000100</v>
          </cell>
          <cell r="H1128">
            <v>1</v>
          </cell>
          <cell r="I1128" t="str">
            <v>--</v>
          </cell>
          <cell r="J1128">
            <v>1</v>
          </cell>
          <cell r="K1128">
            <v>1</v>
          </cell>
        </row>
        <row r="1129">
          <cell r="A1129" t="str">
            <v>M1</v>
          </cell>
          <cell r="B1129" t="str">
            <v>A5C</v>
          </cell>
          <cell r="C1129" t="str">
            <v>N</v>
          </cell>
          <cell r="D1129" t="str">
            <v>22670</v>
          </cell>
          <cell r="E1129" t="str">
            <v>SW FLG</v>
          </cell>
          <cell r="F1129">
            <v>3</v>
          </cell>
          <cell r="G1129" t="str">
            <v>CB240108000100</v>
          </cell>
          <cell r="H1129">
            <v>1</v>
          </cell>
          <cell r="I1129" t="str">
            <v>--</v>
          </cell>
          <cell r="J1129">
            <v>4</v>
          </cell>
          <cell r="K1129">
            <v>4</v>
          </cell>
        </row>
        <row r="1130">
          <cell r="A1130" t="str">
            <v>M1</v>
          </cell>
          <cell r="B1130" t="str">
            <v>A5C</v>
          </cell>
          <cell r="C1130" t="str">
            <v>N</v>
          </cell>
          <cell r="D1130" t="str">
            <v>22682</v>
          </cell>
          <cell r="E1130" t="str">
            <v>SW FLG</v>
          </cell>
          <cell r="F1130">
            <v>3</v>
          </cell>
          <cell r="G1130" t="str">
            <v>CB240208000100</v>
          </cell>
          <cell r="H1130">
            <v>1</v>
          </cell>
          <cell r="I1130" t="str">
            <v>--</v>
          </cell>
          <cell r="J1130">
            <v>2</v>
          </cell>
          <cell r="K1130">
            <v>2</v>
          </cell>
        </row>
        <row r="1131">
          <cell r="A1131" t="str">
            <v>M1</v>
          </cell>
          <cell r="B1131" t="str">
            <v>A5C</v>
          </cell>
          <cell r="C1131" t="str">
            <v>N</v>
          </cell>
          <cell r="D1131" t="str">
            <v>22681</v>
          </cell>
          <cell r="E1131" t="str">
            <v>SW FLG</v>
          </cell>
          <cell r="F1131">
            <v>3</v>
          </cell>
          <cell r="G1131" t="str">
            <v>CB240208000100</v>
          </cell>
          <cell r="H1131">
            <v>1</v>
          </cell>
          <cell r="I1131" t="str">
            <v>--</v>
          </cell>
          <cell r="J1131">
            <v>2</v>
          </cell>
          <cell r="K1131">
            <v>2</v>
          </cell>
        </row>
        <row r="1132">
          <cell r="A1132" t="str">
            <v>M1</v>
          </cell>
          <cell r="B1132" t="str">
            <v>A5C</v>
          </cell>
          <cell r="C1132" t="str">
            <v>N</v>
          </cell>
          <cell r="D1132" t="str">
            <v>25611</v>
          </cell>
          <cell r="E1132" t="str">
            <v>SW FLG</v>
          </cell>
          <cell r="F1132">
            <v>3</v>
          </cell>
          <cell r="G1132" t="str">
            <v>CB240108000100</v>
          </cell>
          <cell r="H1132">
            <v>1</v>
          </cell>
          <cell r="I1132" t="str">
            <v>--</v>
          </cell>
          <cell r="J1132">
            <v>1</v>
          </cell>
          <cell r="K1132">
            <v>1</v>
          </cell>
        </row>
        <row r="1133">
          <cell r="A1133" t="str">
            <v>M1</v>
          </cell>
          <cell r="B1133" t="str">
            <v>A5C</v>
          </cell>
          <cell r="C1133" t="str">
            <v>N</v>
          </cell>
          <cell r="D1133" t="str">
            <v>25614</v>
          </cell>
          <cell r="E1133" t="str">
            <v>SW FLG</v>
          </cell>
          <cell r="F1133">
            <v>3</v>
          </cell>
          <cell r="G1133" t="str">
            <v>CB240108000100</v>
          </cell>
          <cell r="H1133">
            <v>1</v>
          </cell>
          <cell r="I1133" t="str">
            <v>--</v>
          </cell>
          <cell r="J1133">
            <v>1</v>
          </cell>
          <cell r="K1133">
            <v>1</v>
          </cell>
        </row>
        <row r="1134">
          <cell r="A1134" t="str">
            <v>M1</v>
          </cell>
          <cell r="B1134" t="str">
            <v>A5C</v>
          </cell>
          <cell r="C1134" t="str">
            <v>P</v>
          </cell>
          <cell r="D1134" t="str">
            <v>21004</v>
          </cell>
          <cell r="E1134" t="str">
            <v>SW FLG</v>
          </cell>
          <cell r="F1134">
            <v>3</v>
          </cell>
          <cell r="G1134" t="str">
            <v>CB240108000100</v>
          </cell>
          <cell r="H1134">
            <v>1</v>
          </cell>
          <cell r="I1134" t="str">
            <v>--</v>
          </cell>
          <cell r="J1134">
            <v>1</v>
          </cell>
          <cell r="K1134">
            <v>1</v>
          </cell>
        </row>
        <row r="1135">
          <cell r="A1135" t="str">
            <v>M1</v>
          </cell>
          <cell r="B1135" t="str">
            <v>A5C</v>
          </cell>
          <cell r="C1135" t="str">
            <v>P</v>
          </cell>
          <cell r="D1135" t="str">
            <v>22011</v>
          </cell>
          <cell r="E1135" t="str">
            <v>SW FLG</v>
          </cell>
          <cell r="F1135">
            <v>3</v>
          </cell>
          <cell r="G1135" t="str">
            <v>CB240108000100</v>
          </cell>
          <cell r="H1135">
            <v>1</v>
          </cell>
          <cell r="I1135" t="str">
            <v>--</v>
          </cell>
          <cell r="J1135">
            <v>1</v>
          </cell>
          <cell r="K1135">
            <v>1</v>
          </cell>
        </row>
        <row r="1136">
          <cell r="A1136" t="str">
            <v>M1</v>
          </cell>
          <cell r="B1136" t="str">
            <v>A5C</v>
          </cell>
          <cell r="C1136" t="str">
            <v>P</v>
          </cell>
          <cell r="D1136" t="str">
            <v>22066</v>
          </cell>
          <cell r="E1136" t="str">
            <v>SW FLG</v>
          </cell>
          <cell r="F1136">
            <v>3</v>
          </cell>
          <cell r="G1136" t="str">
            <v>CB240108000100</v>
          </cell>
          <cell r="H1136">
            <v>1</v>
          </cell>
          <cell r="I1136" t="str">
            <v>--</v>
          </cell>
          <cell r="J1136">
            <v>2</v>
          </cell>
          <cell r="K1136">
            <v>2</v>
          </cell>
        </row>
        <row r="1137">
          <cell r="A1137" t="str">
            <v>M1</v>
          </cell>
          <cell r="B1137" t="str">
            <v>A5C</v>
          </cell>
          <cell r="C1137" t="str">
            <v>P</v>
          </cell>
          <cell r="D1137" t="str">
            <v>22103</v>
          </cell>
          <cell r="E1137" t="str">
            <v>SW FLG</v>
          </cell>
          <cell r="F1137">
            <v>3</v>
          </cell>
          <cell r="G1137" t="str">
            <v>CB240208000100</v>
          </cell>
          <cell r="H1137">
            <v>1</v>
          </cell>
          <cell r="I1137" t="str">
            <v>--</v>
          </cell>
          <cell r="J1137">
            <v>2</v>
          </cell>
          <cell r="K1137">
            <v>2</v>
          </cell>
        </row>
        <row r="1138">
          <cell r="A1138" t="str">
            <v>M1</v>
          </cell>
          <cell r="B1138" t="str">
            <v>A5C</v>
          </cell>
          <cell r="C1138" t="str">
            <v>P</v>
          </cell>
          <cell r="D1138" t="str">
            <v>22106</v>
          </cell>
          <cell r="E1138" t="str">
            <v>SW FLG</v>
          </cell>
          <cell r="F1138">
            <v>3</v>
          </cell>
          <cell r="G1138" t="str">
            <v>CB240108000100</v>
          </cell>
          <cell r="H1138">
            <v>1</v>
          </cell>
          <cell r="I1138" t="str">
            <v>--</v>
          </cell>
          <cell r="J1138">
            <v>1</v>
          </cell>
          <cell r="K1138">
            <v>1</v>
          </cell>
        </row>
        <row r="1139">
          <cell r="A1139" t="str">
            <v>M1</v>
          </cell>
          <cell r="B1139" t="str">
            <v>A5C</v>
          </cell>
          <cell r="C1139" t="str">
            <v>P</v>
          </cell>
          <cell r="D1139" t="str">
            <v>22140</v>
          </cell>
          <cell r="E1139" t="str">
            <v>SW FLG</v>
          </cell>
          <cell r="F1139">
            <v>3</v>
          </cell>
          <cell r="G1139" t="str">
            <v>CB240108000100</v>
          </cell>
          <cell r="H1139">
            <v>1</v>
          </cell>
          <cell r="I1139" t="str">
            <v>--</v>
          </cell>
          <cell r="J1139">
            <v>2</v>
          </cell>
          <cell r="K1139">
            <v>2</v>
          </cell>
        </row>
        <row r="1140">
          <cell r="A1140" t="str">
            <v>M1</v>
          </cell>
          <cell r="B1140" t="str">
            <v>A5C</v>
          </cell>
          <cell r="C1140" t="str">
            <v>P</v>
          </cell>
          <cell r="D1140" t="str">
            <v>99002</v>
          </cell>
          <cell r="E1140" t="str">
            <v>SW FLG</v>
          </cell>
          <cell r="F1140">
            <v>3</v>
          </cell>
          <cell r="G1140" t="str">
            <v>CB240108000100</v>
          </cell>
          <cell r="H1140">
            <v>1</v>
          </cell>
          <cell r="I1140" t="str">
            <v>--</v>
          </cell>
          <cell r="J1140">
            <v>3</v>
          </cell>
          <cell r="K1140">
            <v>3</v>
          </cell>
        </row>
        <row r="1141">
          <cell r="A1141" t="str">
            <v>M1</v>
          </cell>
          <cell r="B1141" t="str">
            <v>A5C</v>
          </cell>
          <cell r="C1141" t="str">
            <v>N</v>
          </cell>
          <cell r="D1141" t="str">
            <v>22670</v>
          </cell>
          <cell r="E1141" t="str">
            <v>SW FLG</v>
          </cell>
          <cell r="F1141">
            <v>3</v>
          </cell>
          <cell r="G1141" t="str">
            <v>CB240108000100</v>
          </cell>
          <cell r="H1141">
            <v>1</v>
          </cell>
          <cell r="I1141" t="str">
            <v>--</v>
          </cell>
          <cell r="J1141">
            <v>2</v>
          </cell>
          <cell r="K1141">
            <v>2</v>
          </cell>
        </row>
        <row r="1142">
          <cell r="A1142" t="str">
            <v>M1</v>
          </cell>
          <cell r="B1142" t="str">
            <v>A5C</v>
          </cell>
          <cell r="C1142" t="str">
            <v>N</v>
          </cell>
          <cell r="D1142" t="str">
            <v>25614</v>
          </cell>
          <cell r="E1142" t="str">
            <v>SW FLG</v>
          </cell>
          <cell r="F1142">
            <v>3</v>
          </cell>
          <cell r="G1142" t="str">
            <v>CB240208000100</v>
          </cell>
          <cell r="H1142">
            <v>1</v>
          </cell>
          <cell r="I1142" t="str">
            <v>--</v>
          </cell>
          <cell r="J1142">
            <v>2</v>
          </cell>
          <cell r="K1142">
            <v>2</v>
          </cell>
        </row>
        <row r="1143">
          <cell r="A1143" t="str">
            <v>M1</v>
          </cell>
          <cell r="B1143" t="str">
            <v>A5C</v>
          </cell>
          <cell r="C1143" t="str">
            <v>P</v>
          </cell>
          <cell r="D1143" t="str">
            <v>22102</v>
          </cell>
          <cell r="E1143" t="str">
            <v>SW FLG</v>
          </cell>
          <cell r="F1143">
            <v>3</v>
          </cell>
          <cell r="G1143" t="str">
            <v>CB240108000100</v>
          </cell>
          <cell r="H1143">
            <v>1</v>
          </cell>
          <cell r="I1143" t="str">
            <v>--</v>
          </cell>
          <cell r="J1143">
            <v>1</v>
          </cell>
          <cell r="K1143">
            <v>1</v>
          </cell>
        </row>
        <row r="1144">
          <cell r="A1144" t="str">
            <v>M1</v>
          </cell>
          <cell r="B1144" t="str">
            <v>A5C</v>
          </cell>
          <cell r="C1144" t="str">
            <v>P</v>
          </cell>
          <cell r="D1144" t="str">
            <v>22130</v>
          </cell>
          <cell r="E1144" t="str">
            <v>SW FLG</v>
          </cell>
          <cell r="F1144">
            <v>3</v>
          </cell>
          <cell r="G1144" t="str">
            <v>CB240108000100</v>
          </cell>
          <cell r="H1144">
            <v>1</v>
          </cell>
          <cell r="I1144" t="str">
            <v>--</v>
          </cell>
          <cell r="J1144">
            <v>2</v>
          </cell>
          <cell r="K1144">
            <v>2</v>
          </cell>
        </row>
        <row r="1145">
          <cell r="A1145" t="str">
            <v>M1</v>
          </cell>
          <cell r="B1145" t="str">
            <v>A5C</v>
          </cell>
          <cell r="C1145" t="str">
            <v>TRIM</v>
          </cell>
          <cell r="D1145" t="str">
            <v>V-2202</v>
          </cell>
          <cell r="E1145" t="str">
            <v>SW FLG</v>
          </cell>
          <cell r="F1145">
            <v>3</v>
          </cell>
          <cell r="G1145" t="str">
            <v>CB240108000100</v>
          </cell>
          <cell r="H1145">
            <v>1</v>
          </cell>
          <cell r="I1145" t="str">
            <v>--</v>
          </cell>
          <cell r="J1145">
            <v>3</v>
          </cell>
          <cell r="K1145">
            <v>3</v>
          </cell>
        </row>
        <row r="1146">
          <cell r="A1146" t="str">
            <v>M1</v>
          </cell>
          <cell r="B1146" t="str">
            <v>A5C</v>
          </cell>
          <cell r="C1146" t="str">
            <v>TRIM</v>
          </cell>
          <cell r="D1146" t="str">
            <v>V-2206</v>
          </cell>
          <cell r="E1146" t="str">
            <v>SW FLG</v>
          </cell>
          <cell r="F1146">
            <v>3</v>
          </cell>
          <cell r="G1146" t="str">
            <v>CB240108000100</v>
          </cell>
          <cell r="H1146">
            <v>1</v>
          </cell>
          <cell r="I1146" t="str">
            <v>--</v>
          </cell>
          <cell r="J1146">
            <v>1</v>
          </cell>
          <cell r="K1146">
            <v>1</v>
          </cell>
        </row>
        <row r="1147">
          <cell r="A1147" t="str">
            <v>M1</v>
          </cell>
          <cell r="B1147" t="str">
            <v>A5C</v>
          </cell>
          <cell r="C1147" t="str">
            <v>P</v>
          </cell>
          <cell r="D1147" t="str">
            <v>22099</v>
          </cell>
          <cell r="E1147" t="str">
            <v>LWN FLG</v>
          </cell>
          <cell r="F1147">
            <v>3</v>
          </cell>
          <cell r="G1147" t="str">
            <v>CB2901000001WL</v>
          </cell>
          <cell r="H1147">
            <v>1</v>
          </cell>
          <cell r="I1147" t="str">
            <v>150mm</v>
          </cell>
          <cell r="J1147">
            <v>1</v>
          </cell>
          <cell r="K1147">
            <v>1</v>
          </cell>
        </row>
        <row r="1148">
          <cell r="A1148" t="str">
            <v>M1</v>
          </cell>
          <cell r="B1148" t="str">
            <v>A6C</v>
          </cell>
          <cell r="C1148" t="str">
            <v>HOS</v>
          </cell>
          <cell r="D1148" t="str">
            <v>65621</v>
          </cell>
          <cell r="E1148" t="str">
            <v>SW FLG</v>
          </cell>
          <cell r="F1148">
            <v>3</v>
          </cell>
          <cell r="G1148" t="str">
            <v>CB240108000100</v>
          </cell>
          <cell r="H1148">
            <v>1</v>
          </cell>
          <cell r="I1148" t="str">
            <v>--</v>
          </cell>
          <cell r="J1148">
            <v>3</v>
          </cell>
          <cell r="K1148">
            <v>3</v>
          </cell>
        </row>
        <row r="1149">
          <cell r="A1149" t="str">
            <v>M1</v>
          </cell>
          <cell r="B1149" t="str">
            <v>A6C</v>
          </cell>
          <cell r="C1149" t="str">
            <v>HOR</v>
          </cell>
          <cell r="D1149" t="str">
            <v>65612</v>
          </cell>
          <cell r="E1149" t="str">
            <v>SW FLG</v>
          </cell>
          <cell r="F1149">
            <v>3</v>
          </cell>
          <cell r="G1149" t="str">
            <v>CB240108000100</v>
          </cell>
          <cell r="H1149">
            <v>1</v>
          </cell>
          <cell r="I1149" t="str">
            <v>--</v>
          </cell>
          <cell r="J1149">
            <v>2</v>
          </cell>
          <cell r="K1149">
            <v>2</v>
          </cell>
        </row>
        <row r="1150">
          <cell r="A1150" t="str">
            <v>M1</v>
          </cell>
          <cell r="B1150" t="str">
            <v>A5C</v>
          </cell>
          <cell r="C1150" t="str">
            <v>P</v>
          </cell>
          <cell r="D1150" t="str">
            <v>22003</v>
          </cell>
          <cell r="E1150" t="str">
            <v>LWN FLG</v>
          </cell>
          <cell r="F1150">
            <v>3</v>
          </cell>
          <cell r="G1150" t="str">
            <v>CB2901000001WL</v>
          </cell>
          <cell r="H1150">
            <v>1</v>
          </cell>
          <cell r="I1150" t="str">
            <v>150mm</v>
          </cell>
          <cell r="J1150">
            <v>1</v>
          </cell>
          <cell r="K1150">
            <v>1</v>
          </cell>
        </row>
        <row r="1151">
          <cell r="A1151" t="str">
            <v>M1</v>
          </cell>
          <cell r="B1151" t="str">
            <v>A5C</v>
          </cell>
          <cell r="C1151" t="str">
            <v>P</v>
          </cell>
          <cell r="D1151" t="str">
            <v>22058</v>
          </cell>
          <cell r="E1151" t="str">
            <v>LWN FLG</v>
          </cell>
          <cell r="F1151">
            <v>3</v>
          </cell>
          <cell r="G1151" t="str">
            <v>CB2901000001WL</v>
          </cell>
          <cell r="H1151">
            <v>1</v>
          </cell>
          <cell r="I1151" t="str">
            <v>150mm</v>
          </cell>
          <cell r="J1151">
            <v>1</v>
          </cell>
          <cell r="K1151">
            <v>1</v>
          </cell>
        </row>
        <row r="1152">
          <cell r="A1152" t="str">
            <v>M1</v>
          </cell>
          <cell r="B1152" t="str">
            <v>A5C</v>
          </cell>
          <cell r="C1152" t="str">
            <v>P</v>
          </cell>
          <cell r="D1152" t="str">
            <v>22060</v>
          </cell>
          <cell r="E1152" t="str">
            <v>LWN FLG</v>
          </cell>
          <cell r="F1152">
            <v>3</v>
          </cell>
          <cell r="G1152" t="str">
            <v>CB2901000001WL</v>
          </cell>
          <cell r="H1152">
            <v>1</v>
          </cell>
          <cell r="I1152" t="str">
            <v>150mm</v>
          </cell>
          <cell r="J1152">
            <v>1</v>
          </cell>
          <cell r="K1152">
            <v>1</v>
          </cell>
        </row>
        <row r="1153">
          <cell r="A1153" t="str">
            <v>M1</v>
          </cell>
          <cell r="B1153" t="str">
            <v>A6C</v>
          </cell>
          <cell r="C1153" t="str">
            <v>HOS</v>
          </cell>
          <cell r="D1153" t="str">
            <v>65624</v>
          </cell>
          <cell r="E1153" t="str">
            <v>LWN FLG</v>
          </cell>
          <cell r="F1153">
            <v>3</v>
          </cell>
          <cell r="G1153" t="str">
            <v>CB2901000001WL</v>
          </cell>
          <cell r="H1153">
            <v>1</v>
          </cell>
          <cell r="I1153" t="str">
            <v>150mm</v>
          </cell>
          <cell r="J1153">
            <v>1</v>
          </cell>
          <cell r="K1153">
            <v>1</v>
          </cell>
        </row>
        <row r="1154">
          <cell r="A1154" t="str">
            <v>M1</v>
          </cell>
          <cell r="B1154" t="str">
            <v>A6C</v>
          </cell>
          <cell r="C1154" t="str">
            <v>HOS</v>
          </cell>
          <cell r="D1154" t="str">
            <v>65613</v>
          </cell>
          <cell r="E1154" t="str">
            <v>LWN FLG</v>
          </cell>
          <cell r="F1154">
            <v>3</v>
          </cell>
          <cell r="G1154" t="str">
            <v>CB2901000001WL</v>
          </cell>
          <cell r="H1154">
            <v>1</v>
          </cell>
          <cell r="I1154" t="str">
            <v>150mm</v>
          </cell>
          <cell r="J1154">
            <v>1</v>
          </cell>
          <cell r="K1154">
            <v>1</v>
          </cell>
        </row>
        <row r="1155">
          <cell r="A1155" t="str">
            <v>M1</v>
          </cell>
          <cell r="B1155" t="str">
            <v>A6C</v>
          </cell>
          <cell r="C1155" t="str">
            <v>HOS</v>
          </cell>
          <cell r="D1155" t="str">
            <v>65631</v>
          </cell>
          <cell r="E1155" t="str">
            <v>LWN FLG</v>
          </cell>
          <cell r="F1155">
            <v>3</v>
          </cell>
          <cell r="G1155" t="str">
            <v>CB2901000001WL</v>
          </cell>
          <cell r="H1155">
            <v>1</v>
          </cell>
          <cell r="I1155" t="str">
            <v>150mm</v>
          </cell>
          <cell r="J1155">
            <v>1</v>
          </cell>
          <cell r="K1155">
            <v>1</v>
          </cell>
        </row>
        <row r="1156">
          <cell r="A1156" t="str">
            <v>M1</v>
          </cell>
          <cell r="B1156" t="str">
            <v>A5C</v>
          </cell>
          <cell r="C1156" t="str">
            <v>P</v>
          </cell>
          <cell r="D1156" t="str">
            <v>22096</v>
          </cell>
          <cell r="E1156" t="str">
            <v>LWN FLG</v>
          </cell>
          <cell r="F1156">
            <v>3</v>
          </cell>
          <cell r="G1156" t="str">
            <v>CB2901000001WL</v>
          </cell>
          <cell r="H1156">
            <v>1</v>
          </cell>
          <cell r="I1156" t="str">
            <v>150mm</v>
          </cell>
          <cell r="J1156">
            <v>1</v>
          </cell>
          <cell r="K1156">
            <v>1</v>
          </cell>
        </row>
        <row r="1157">
          <cell r="A1157" t="str">
            <v>M1</v>
          </cell>
          <cell r="B1157" t="str">
            <v>A6C</v>
          </cell>
          <cell r="C1157" t="str">
            <v>HOR</v>
          </cell>
          <cell r="D1157" t="str">
            <v>65813</v>
          </cell>
          <cell r="E1157" t="str">
            <v>LWN FLG</v>
          </cell>
          <cell r="F1157">
            <v>3</v>
          </cell>
          <cell r="G1157" t="str">
            <v>CB2901000001WL</v>
          </cell>
          <cell r="H1157">
            <v>1</v>
          </cell>
          <cell r="I1157" t="str">
            <v>150mm</v>
          </cell>
          <cell r="J1157">
            <v>1</v>
          </cell>
          <cell r="K1157">
            <v>1</v>
          </cell>
        </row>
        <row r="1158">
          <cell r="A1158" t="str">
            <v>M1</v>
          </cell>
          <cell r="B1158" t="str">
            <v>A6C</v>
          </cell>
          <cell r="C1158" t="str">
            <v>HOR</v>
          </cell>
          <cell r="D1158" t="str">
            <v>65611</v>
          </cell>
          <cell r="E1158" t="str">
            <v>LWN FLG</v>
          </cell>
          <cell r="F1158">
            <v>3</v>
          </cell>
          <cell r="G1158" t="str">
            <v>CB2901000001WL</v>
          </cell>
          <cell r="H1158">
            <v>1</v>
          </cell>
          <cell r="I1158" t="str">
            <v>150mm</v>
          </cell>
          <cell r="J1158">
            <v>1</v>
          </cell>
          <cell r="K1158">
            <v>1</v>
          </cell>
        </row>
        <row r="1159">
          <cell r="A1159" t="str">
            <v>M1</v>
          </cell>
          <cell r="B1159" t="str">
            <v>A6C</v>
          </cell>
          <cell r="C1159" t="str">
            <v>HOR</v>
          </cell>
          <cell r="D1159" t="str">
            <v>65619</v>
          </cell>
          <cell r="E1159" t="str">
            <v>LWN FLG</v>
          </cell>
          <cell r="F1159">
            <v>3</v>
          </cell>
          <cell r="G1159" t="str">
            <v>CB2901000001WL</v>
          </cell>
          <cell r="H1159">
            <v>1</v>
          </cell>
          <cell r="I1159" t="str">
            <v>150mm</v>
          </cell>
          <cell r="J1159">
            <v>1</v>
          </cell>
          <cell r="K1159">
            <v>1</v>
          </cell>
        </row>
        <row r="1160">
          <cell r="A1160" t="str">
            <v>M1</v>
          </cell>
          <cell r="B1160" t="str">
            <v>A6C</v>
          </cell>
          <cell r="C1160" t="str">
            <v>HOS</v>
          </cell>
          <cell r="D1160" t="str">
            <v>65624</v>
          </cell>
          <cell r="E1160" t="str">
            <v>LWN FLG</v>
          </cell>
          <cell r="F1160">
            <v>3</v>
          </cell>
          <cell r="G1160" t="str">
            <v>CB2901000001WL</v>
          </cell>
          <cell r="H1160">
            <v>1</v>
          </cell>
          <cell r="I1160" t="str">
            <v>150mm</v>
          </cell>
          <cell r="J1160">
            <v>1</v>
          </cell>
          <cell r="K1160">
            <v>1</v>
          </cell>
        </row>
        <row r="1161">
          <cell r="A1161" t="str">
            <v>M1</v>
          </cell>
          <cell r="B1161" t="str">
            <v>A4C</v>
          </cell>
          <cell r="C1161" t="str">
            <v>P</v>
          </cell>
          <cell r="D1161" t="str">
            <v>22008</v>
          </cell>
          <cell r="E1161" t="str">
            <v>LWN FLG</v>
          </cell>
          <cell r="F1161">
            <v>3</v>
          </cell>
          <cell r="G1161" t="str">
            <v>CB2901000001WL</v>
          </cell>
          <cell r="H1161">
            <v>1</v>
          </cell>
          <cell r="I1161" t="str">
            <v>150mm</v>
          </cell>
          <cell r="J1161">
            <v>1</v>
          </cell>
          <cell r="K1161">
            <v>1</v>
          </cell>
        </row>
        <row r="1162">
          <cell r="A1162" t="str">
            <v>M1</v>
          </cell>
          <cell r="B1162" t="str">
            <v>A4C</v>
          </cell>
          <cell r="C1162" t="str">
            <v>P</v>
          </cell>
          <cell r="D1162" t="str">
            <v>22008</v>
          </cell>
          <cell r="E1162" t="str">
            <v>LWN FLG</v>
          </cell>
          <cell r="F1162">
            <v>3</v>
          </cell>
          <cell r="G1162" t="str">
            <v>CB2901000001WL</v>
          </cell>
          <cell r="H1162">
            <v>1</v>
          </cell>
          <cell r="I1162" t="str">
            <v>150mm</v>
          </cell>
          <cell r="J1162">
            <v>1</v>
          </cell>
          <cell r="K1162">
            <v>1</v>
          </cell>
        </row>
        <row r="1163">
          <cell r="A1163" t="str">
            <v>M1</v>
          </cell>
          <cell r="B1163" t="str">
            <v>A4C</v>
          </cell>
          <cell r="C1163" t="str">
            <v>P</v>
          </cell>
          <cell r="D1163" t="str">
            <v>22080</v>
          </cell>
          <cell r="E1163" t="str">
            <v>LWN FLG</v>
          </cell>
          <cell r="F1163">
            <v>3</v>
          </cell>
          <cell r="G1163" t="str">
            <v>CB2901000001WL</v>
          </cell>
          <cell r="H1163">
            <v>1</v>
          </cell>
          <cell r="I1163" t="str">
            <v>150mm</v>
          </cell>
          <cell r="J1163">
            <v>2</v>
          </cell>
          <cell r="K1163">
            <v>2</v>
          </cell>
        </row>
        <row r="1164">
          <cell r="A1164" t="str">
            <v>M1</v>
          </cell>
          <cell r="B1164" t="str">
            <v>A6C</v>
          </cell>
          <cell r="C1164" t="str">
            <v>HOS</v>
          </cell>
          <cell r="D1164" t="str">
            <v>65613</v>
          </cell>
          <cell r="E1164" t="str">
            <v>SW FLG</v>
          </cell>
          <cell r="F1164">
            <v>3</v>
          </cell>
          <cell r="G1164" t="str">
            <v>CB240108000100</v>
          </cell>
          <cell r="H1164">
            <v>1</v>
          </cell>
          <cell r="I1164" t="str">
            <v>--</v>
          </cell>
          <cell r="J1164">
            <v>4</v>
          </cell>
          <cell r="K1164">
            <v>4</v>
          </cell>
        </row>
        <row r="1165">
          <cell r="A1165" t="str">
            <v>M1</v>
          </cell>
          <cell r="B1165" t="str">
            <v>A5C</v>
          </cell>
          <cell r="C1165" t="str">
            <v>TRIM</v>
          </cell>
          <cell r="D1165" t="str">
            <v>C-2201</v>
          </cell>
          <cell r="E1165" t="str">
            <v>SW FLG</v>
          </cell>
          <cell r="F1165">
            <v>3</v>
          </cell>
          <cell r="G1165" t="str">
            <v>CB240108000100</v>
          </cell>
          <cell r="H1165">
            <v>1</v>
          </cell>
          <cell r="I1165" t="str">
            <v>--</v>
          </cell>
          <cell r="J1165">
            <v>2</v>
          </cell>
          <cell r="K1165">
            <v>2</v>
          </cell>
        </row>
        <row r="1166">
          <cell r="A1166" t="str">
            <v>M1</v>
          </cell>
          <cell r="B1166" t="str">
            <v>A5C</v>
          </cell>
          <cell r="C1166" t="str">
            <v>TRIM</v>
          </cell>
          <cell r="D1166" t="str">
            <v>V-2209</v>
          </cell>
          <cell r="E1166" t="str">
            <v>SW FLG</v>
          </cell>
          <cell r="F1166">
            <v>3</v>
          </cell>
          <cell r="G1166" t="str">
            <v>CB240108000100</v>
          </cell>
          <cell r="H1166">
            <v>1</v>
          </cell>
          <cell r="I1166" t="str">
            <v>--</v>
          </cell>
          <cell r="J1166">
            <v>1</v>
          </cell>
          <cell r="K1166">
            <v>1</v>
          </cell>
        </row>
        <row r="1167">
          <cell r="A1167" t="str">
            <v>M1</v>
          </cell>
          <cell r="B1167" t="str">
            <v>A6C</v>
          </cell>
          <cell r="C1167" t="str">
            <v>HOR</v>
          </cell>
          <cell r="D1167" t="str">
            <v>65622</v>
          </cell>
          <cell r="E1167" t="str">
            <v>SW FLG</v>
          </cell>
          <cell r="F1167">
            <v>3</v>
          </cell>
          <cell r="G1167" t="str">
            <v>CB240108000100</v>
          </cell>
          <cell r="H1167">
            <v>1</v>
          </cell>
          <cell r="I1167" t="str">
            <v>--</v>
          </cell>
          <cell r="J1167">
            <v>1</v>
          </cell>
          <cell r="K1167">
            <v>1</v>
          </cell>
        </row>
        <row r="1168">
          <cell r="A1168" t="str">
            <v>M1</v>
          </cell>
          <cell r="B1168" t="str">
            <v>A5C</v>
          </cell>
          <cell r="C1168" t="str">
            <v>TRIM</v>
          </cell>
          <cell r="D1168" t="str">
            <v>V-2208</v>
          </cell>
          <cell r="E1168" t="str">
            <v>SW FLG</v>
          </cell>
          <cell r="F1168">
            <v>3</v>
          </cell>
          <cell r="G1168" t="str">
            <v>CB240108000100</v>
          </cell>
          <cell r="H1168">
            <v>1</v>
          </cell>
          <cell r="I1168" t="str">
            <v>--</v>
          </cell>
          <cell r="J1168">
            <v>1</v>
          </cell>
          <cell r="K1168">
            <v>1</v>
          </cell>
        </row>
        <row r="1169">
          <cell r="A1169" t="str">
            <v>M1</v>
          </cell>
          <cell r="B1169" t="str">
            <v>B2C</v>
          </cell>
          <cell r="C1169" t="str">
            <v>SH</v>
          </cell>
          <cell r="D1169" t="str">
            <v>22614</v>
          </cell>
          <cell r="E1169" t="str">
            <v>SW FLG</v>
          </cell>
          <cell r="F1169">
            <v>3</v>
          </cell>
          <cell r="G1169" t="str">
            <v>CB240208001H00</v>
          </cell>
          <cell r="H1169">
            <v>1.5</v>
          </cell>
          <cell r="I1169" t="str">
            <v>--</v>
          </cell>
          <cell r="J1169">
            <v>2</v>
          </cell>
          <cell r="K1169">
            <v>2</v>
          </cell>
        </row>
        <row r="1170">
          <cell r="A1170" t="str">
            <v>M1</v>
          </cell>
          <cell r="B1170" t="str">
            <v>B2C</v>
          </cell>
          <cell r="C1170" t="str">
            <v>SH</v>
          </cell>
          <cell r="D1170" t="str">
            <v>22613</v>
          </cell>
          <cell r="E1170" t="str">
            <v>SW FLG</v>
          </cell>
          <cell r="F1170">
            <v>3</v>
          </cell>
          <cell r="G1170" t="str">
            <v>CB240208001H00</v>
          </cell>
          <cell r="H1170">
            <v>1.5</v>
          </cell>
          <cell r="I1170" t="str">
            <v>--</v>
          </cell>
          <cell r="J1170">
            <v>2</v>
          </cell>
          <cell r="K1170">
            <v>2</v>
          </cell>
        </row>
        <row r="1171">
          <cell r="A1171" t="str">
            <v>M1</v>
          </cell>
          <cell r="B1171" t="str">
            <v>A5C</v>
          </cell>
          <cell r="C1171" t="str">
            <v>P</v>
          </cell>
          <cell r="D1171" t="str">
            <v>22036</v>
          </cell>
          <cell r="E1171" t="str">
            <v>SW FLG</v>
          </cell>
          <cell r="F1171">
            <v>3</v>
          </cell>
          <cell r="G1171" t="str">
            <v>CB240108001H00</v>
          </cell>
          <cell r="H1171">
            <v>1.5</v>
          </cell>
          <cell r="I1171" t="str">
            <v>--</v>
          </cell>
          <cell r="J1171">
            <v>1</v>
          </cell>
          <cell r="K1171">
            <v>1</v>
          </cell>
        </row>
        <row r="1172">
          <cell r="A1172" t="str">
            <v>M1</v>
          </cell>
          <cell r="B1172" t="str">
            <v>A5C</v>
          </cell>
          <cell r="C1172" t="str">
            <v>P</v>
          </cell>
          <cell r="D1172" t="str">
            <v>22045</v>
          </cell>
          <cell r="E1172" t="str">
            <v>SW FLG</v>
          </cell>
          <cell r="F1172">
            <v>3</v>
          </cell>
          <cell r="G1172" t="str">
            <v>CB240108001H00</v>
          </cell>
          <cell r="H1172">
            <v>1.5</v>
          </cell>
          <cell r="I1172" t="str">
            <v>--</v>
          </cell>
          <cell r="J1172">
            <v>5</v>
          </cell>
          <cell r="K1172">
            <v>5</v>
          </cell>
        </row>
        <row r="1173">
          <cell r="A1173" t="str">
            <v>M1</v>
          </cell>
          <cell r="B1173" t="str">
            <v>A5C</v>
          </cell>
          <cell r="C1173" t="str">
            <v>P</v>
          </cell>
          <cell r="D1173" t="str">
            <v>22078</v>
          </cell>
          <cell r="E1173" t="str">
            <v>SW FLG</v>
          </cell>
          <cell r="F1173">
            <v>3</v>
          </cell>
          <cell r="G1173" t="str">
            <v>CB240108001H00</v>
          </cell>
          <cell r="H1173">
            <v>1.5</v>
          </cell>
          <cell r="I1173" t="str">
            <v>--</v>
          </cell>
          <cell r="J1173">
            <v>1</v>
          </cell>
          <cell r="K1173">
            <v>1</v>
          </cell>
        </row>
        <row r="1174">
          <cell r="A1174" t="str">
            <v>M1</v>
          </cell>
          <cell r="B1174" t="str">
            <v>A5C</v>
          </cell>
          <cell r="C1174" t="str">
            <v>P</v>
          </cell>
          <cell r="D1174" t="str">
            <v>22078</v>
          </cell>
          <cell r="E1174" t="str">
            <v>SW FLG</v>
          </cell>
          <cell r="F1174">
            <v>3</v>
          </cell>
          <cell r="G1174" t="str">
            <v>CB240208001H00</v>
          </cell>
          <cell r="H1174">
            <v>1.5</v>
          </cell>
          <cell r="I1174" t="str">
            <v>--</v>
          </cell>
          <cell r="J1174">
            <v>2</v>
          </cell>
          <cell r="K1174">
            <v>2</v>
          </cell>
        </row>
        <row r="1175">
          <cell r="A1175" t="str">
            <v>M1</v>
          </cell>
          <cell r="B1175" t="str">
            <v>A5C</v>
          </cell>
          <cell r="C1175" t="str">
            <v>P</v>
          </cell>
          <cell r="D1175" t="str">
            <v>22071</v>
          </cell>
          <cell r="E1175" t="str">
            <v>SW FLG</v>
          </cell>
          <cell r="F1175">
            <v>3</v>
          </cell>
          <cell r="G1175" t="str">
            <v>CB240208001H00</v>
          </cell>
          <cell r="H1175">
            <v>1.5</v>
          </cell>
          <cell r="I1175" t="str">
            <v>--</v>
          </cell>
          <cell r="J1175">
            <v>2</v>
          </cell>
          <cell r="K1175">
            <v>2</v>
          </cell>
        </row>
        <row r="1176">
          <cell r="A1176" t="str">
            <v>M1</v>
          </cell>
          <cell r="B1176" t="str">
            <v>A5C</v>
          </cell>
          <cell r="C1176" t="str">
            <v>P</v>
          </cell>
          <cell r="D1176" t="str">
            <v>22071</v>
          </cell>
          <cell r="E1176" t="str">
            <v>SW FLG</v>
          </cell>
          <cell r="F1176">
            <v>3</v>
          </cell>
          <cell r="G1176" t="str">
            <v>CB240108001H00</v>
          </cell>
          <cell r="H1176">
            <v>1.5</v>
          </cell>
          <cell r="I1176" t="str">
            <v>--</v>
          </cell>
          <cell r="J1176">
            <v>4</v>
          </cell>
          <cell r="K1176">
            <v>4</v>
          </cell>
        </row>
        <row r="1177">
          <cell r="A1177" t="str">
            <v>M1</v>
          </cell>
          <cell r="B1177" t="str">
            <v>A5C</v>
          </cell>
          <cell r="C1177" t="str">
            <v>P</v>
          </cell>
          <cell r="D1177" t="str">
            <v>22079</v>
          </cell>
          <cell r="E1177" t="str">
            <v>SW FLG</v>
          </cell>
          <cell r="F1177">
            <v>3</v>
          </cell>
          <cell r="G1177" t="str">
            <v>CB240108001H00</v>
          </cell>
          <cell r="H1177">
            <v>1.5</v>
          </cell>
          <cell r="I1177" t="str">
            <v>--</v>
          </cell>
          <cell r="J1177">
            <v>1</v>
          </cell>
          <cell r="K1177">
            <v>1</v>
          </cell>
        </row>
        <row r="1178">
          <cell r="A1178" t="str">
            <v>M1</v>
          </cell>
          <cell r="B1178" t="str">
            <v>A5C</v>
          </cell>
          <cell r="C1178" t="str">
            <v>P</v>
          </cell>
          <cell r="D1178" t="str">
            <v>22101</v>
          </cell>
          <cell r="E1178" t="str">
            <v>SW FLG</v>
          </cell>
          <cell r="F1178">
            <v>3</v>
          </cell>
          <cell r="G1178" t="str">
            <v>CB240108001H00</v>
          </cell>
          <cell r="H1178">
            <v>1.5</v>
          </cell>
          <cell r="I1178" t="str">
            <v>--</v>
          </cell>
          <cell r="J1178">
            <v>1</v>
          </cell>
          <cell r="K1178">
            <v>1</v>
          </cell>
        </row>
        <row r="1179">
          <cell r="A1179" t="str">
            <v>M1</v>
          </cell>
          <cell r="B1179" t="str">
            <v>A5C</v>
          </cell>
          <cell r="C1179" t="str">
            <v>P</v>
          </cell>
          <cell r="D1179" t="str">
            <v>22102</v>
          </cell>
          <cell r="E1179" t="str">
            <v>SW FLG</v>
          </cell>
          <cell r="F1179">
            <v>3</v>
          </cell>
          <cell r="G1179" t="str">
            <v>CB240108001H00</v>
          </cell>
          <cell r="H1179">
            <v>1.5</v>
          </cell>
          <cell r="I1179" t="str">
            <v>--</v>
          </cell>
          <cell r="J1179">
            <v>2</v>
          </cell>
          <cell r="K1179">
            <v>2</v>
          </cell>
        </row>
        <row r="1180">
          <cell r="A1180" t="str">
            <v>M1</v>
          </cell>
          <cell r="B1180" t="str">
            <v>A5C</v>
          </cell>
          <cell r="C1180" t="str">
            <v>P</v>
          </cell>
          <cell r="D1180" t="str">
            <v>22109</v>
          </cell>
          <cell r="E1180" t="str">
            <v>SW FLG</v>
          </cell>
          <cell r="F1180">
            <v>3</v>
          </cell>
          <cell r="G1180" t="str">
            <v>CB240108001H00</v>
          </cell>
          <cell r="H1180">
            <v>1.5</v>
          </cell>
          <cell r="I1180" t="str">
            <v>--</v>
          </cell>
          <cell r="J1180">
            <v>6</v>
          </cell>
          <cell r="K1180">
            <v>6</v>
          </cell>
        </row>
        <row r="1181">
          <cell r="A1181" t="str">
            <v>M1</v>
          </cell>
          <cell r="B1181" t="str">
            <v>A5C</v>
          </cell>
          <cell r="C1181" t="str">
            <v>P</v>
          </cell>
          <cell r="D1181" t="str">
            <v>22102</v>
          </cell>
          <cell r="E1181" t="str">
            <v>SW FLG</v>
          </cell>
          <cell r="F1181">
            <v>3</v>
          </cell>
          <cell r="G1181" t="str">
            <v>CB240208001H00</v>
          </cell>
          <cell r="H1181">
            <v>1.5</v>
          </cell>
          <cell r="I1181" t="str">
            <v>--</v>
          </cell>
          <cell r="J1181">
            <v>2</v>
          </cell>
          <cell r="K1181">
            <v>2</v>
          </cell>
        </row>
        <row r="1182">
          <cell r="A1182" t="str">
            <v>M1</v>
          </cell>
          <cell r="B1182" t="str">
            <v>A5C</v>
          </cell>
          <cell r="C1182" t="str">
            <v>P</v>
          </cell>
          <cell r="D1182" t="str">
            <v>22102</v>
          </cell>
          <cell r="E1182" t="str">
            <v>SW FLG</v>
          </cell>
          <cell r="F1182">
            <v>3</v>
          </cell>
          <cell r="G1182" t="str">
            <v>CB240108001H00</v>
          </cell>
          <cell r="H1182">
            <v>1.5</v>
          </cell>
          <cell r="I1182" t="str">
            <v>--</v>
          </cell>
          <cell r="J1182">
            <v>8</v>
          </cell>
          <cell r="K1182">
            <v>8</v>
          </cell>
        </row>
        <row r="1183">
          <cell r="A1183" t="str">
            <v>M1</v>
          </cell>
          <cell r="B1183" t="str">
            <v>A5C</v>
          </cell>
          <cell r="C1183" t="str">
            <v>P</v>
          </cell>
          <cell r="D1183" t="str">
            <v>22104</v>
          </cell>
          <cell r="E1183" t="str">
            <v>SW FLG</v>
          </cell>
          <cell r="F1183">
            <v>3</v>
          </cell>
          <cell r="G1183" t="str">
            <v>CB240208001H00</v>
          </cell>
          <cell r="H1183">
            <v>1.5</v>
          </cell>
          <cell r="I1183" t="str">
            <v>--</v>
          </cell>
          <cell r="J1183">
            <v>2</v>
          </cell>
          <cell r="K1183">
            <v>2</v>
          </cell>
        </row>
        <row r="1184">
          <cell r="A1184" t="str">
            <v>M1</v>
          </cell>
          <cell r="B1184" t="str">
            <v>A5C</v>
          </cell>
          <cell r="C1184" t="str">
            <v>P</v>
          </cell>
          <cell r="D1184" t="str">
            <v>22104</v>
          </cell>
          <cell r="E1184" t="str">
            <v>SW FLG</v>
          </cell>
          <cell r="F1184">
            <v>3</v>
          </cell>
          <cell r="G1184" t="str">
            <v>CB240108001H00</v>
          </cell>
          <cell r="H1184">
            <v>1.5</v>
          </cell>
          <cell r="I1184" t="str">
            <v>--</v>
          </cell>
          <cell r="J1184">
            <v>1</v>
          </cell>
          <cell r="K1184">
            <v>1</v>
          </cell>
        </row>
        <row r="1185">
          <cell r="A1185" t="str">
            <v>M1</v>
          </cell>
          <cell r="B1185" t="str">
            <v>A5C</v>
          </cell>
          <cell r="C1185" t="str">
            <v>P</v>
          </cell>
          <cell r="D1185" t="str">
            <v>22113</v>
          </cell>
          <cell r="E1185" t="str">
            <v>SW FLG</v>
          </cell>
          <cell r="F1185">
            <v>3</v>
          </cell>
          <cell r="G1185" t="str">
            <v>CB240108001H00</v>
          </cell>
          <cell r="H1185">
            <v>1.5</v>
          </cell>
          <cell r="I1185" t="str">
            <v>--</v>
          </cell>
          <cell r="J1185">
            <v>3</v>
          </cell>
          <cell r="K1185">
            <v>3</v>
          </cell>
        </row>
        <row r="1186">
          <cell r="A1186" t="str">
            <v>M1</v>
          </cell>
          <cell r="B1186" t="str">
            <v>A5C</v>
          </cell>
          <cell r="C1186" t="str">
            <v>P</v>
          </cell>
          <cell r="D1186" t="str">
            <v>22157</v>
          </cell>
          <cell r="E1186" t="str">
            <v>SW FLG</v>
          </cell>
          <cell r="F1186">
            <v>3</v>
          </cell>
          <cell r="G1186" t="str">
            <v>CB240108001H00</v>
          </cell>
          <cell r="H1186">
            <v>1.5</v>
          </cell>
          <cell r="I1186" t="str">
            <v>--</v>
          </cell>
          <cell r="J1186">
            <v>5</v>
          </cell>
          <cell r="K1186">
            <v>5</v>
          </cell>
        </row>
        <row r="1187">
          <cell r="A1187" t="str">
            <v>M1</v>
          </cell>
          <cell r="B1187" t="str">
            <v>A5C</v>
          </cell>
          <cell r="C1187" t="str">
            <v>P</v>
          </cell>
          <cell r="D1187" t="str">
            <v>22158</v>
          </cell>
          <cell r="E1187" t="str">
            <v>SW FLG</v>
          </cell>
          <cell r="F1187">
            <v>3</v>
          </cell>
          <cell r="G1187" t="str">
            <v>CB240108001H00</v>
          </cell>
          <cell r="H1187">
            <v>1.5</v>
          </cell>
          <cell r="I1187" t="str">
            <v>--</v>
          </cell>
          <cell r="J1187">
            <v>5</v>
          </cell>
          <cell r="K1187">
            <v>5</v>
          </cell>
        </row>
        <row r="1188">
          <cell r="A1188" t="str">
            <v>M1</v>
          </cell>
          <cell r="B1188" t="str">
            <v>A5C</v>
          </cell>
          <cell r="C1188" t="str">
            <v>P</v>
          </cell>
          <cell r="D1188" t="str">
            <v>22087</v>
          </cell>
          <cell r="E1188" t="str">
            <v>SW FLG</v>
          </cell>
          <cell r="F1188">
            <v>3</v>
          </cell>
          <cell r="G1188" t="str">
            <v>CB240108001H00</v>
          </cell>
          <cell r="H1188">
            <v>1.5</v>
          </cell>
          <cell r="I1188" t="str">
            <v>--</v>
          </cell>
          <cell r="J1188">
            <v>1</v>
          </cell>
          <cell r="K1188">
            <v>1</v>
          </cell>
        </row>
        <row r="1189">
          <cell r="A1189" t="str">
            <v>M1</v>
          </cell>
          <cell r="B1189" t="str">
            <v>A5C</v>
          </cell>
          <cell r="C1189" t="str">
            <v>P</v>
          </cell>
          <cell r="D1189" t="str">
            <v>22087</v>
          </cell>
          <cell r="E1189" t="str">
            <v>SW FLG</v>
          </cell>
          <cell r="F1189">
            <v>3</v>
          </cell>
          <cell r="G1189" t="str">
            <v>CB240208001H00</v>
          </cell>
          <cell r="H1189">
            <v>1.5</v>
          </cell>
          <cell r="I1189" t="str">
            <v>--</v>
          </cell>
          <cell r="J1189">
            <v>2</v>
          </cell>
          <cell r="K1189">
            <v>2</v>
          </cell>
        </row>
        <row r="1190">
          <cell r="A1190" t="str">
            <v>M1</v>
          </cell>
          <cell r="B1190" t="str">
            <v>A5C</v>
          </cell>
          <cell r="C1190" t="str">
            <v>P</v>
          </cell>
          <cell r="D1190" t="str">
            <v>22102</v>
          </cell>
          <cell r="E1190" t="str">
            <v>SW FLG</v>
          </cell>
          <cell r="F1190">
            <v>3</v>
          </cell>
          <cell r="G1190" t="str">
            <v>CB240108001H00</v>
          </cell>
          <cell r="H1190">
            <v>1.5</v>
          </cell>
          <cell r="I1190" t="str">
            <v>--</v>
          </cell>
          <cell r="J1190">
            <v>2</v>
          </cell>
          <cell r="K1190">
            <v>2</v>
          </cell>
        </row>
        <row r="1191">
          <cell r="A1191" t="str">
            <v>M1</v>
          </cell>
          <cell r="B1191" t="str">
            <v>A5C</v>
          </cell>
          <cell r="C1191" t="str">
            <v>P</v>
          </cell>
          <cell r="D1191" t="str">
            <v>22114</v>
          </cell>
          <cell r="E1191" t="str">
            <v>SW FLG</v>
          </cell>
          <cell r="F1191">
            <v>3</v>
          </cell>
          <cell r="G1191" t="str">
            <v>CB240108001H00</v>
          </cell>
          <cell r="H1191">
            <v>1.5</v>
          </cell>
          <cell r="I1191" t="str">
            <v>--</v>
          </cell>
          <cell r="J1191">
            <v>1</v>
          </cell>
          <cell r="K1191">
            <v>1</v>
          </cell>
        </row>
        <row r="1192">
          <cell r="A1192" t="str">
            <v>M1</v>
          </cell>
          <cell r="B1192" t="str">
            <v>A5C</v>
          </cell>
          <cell r="C1192" t="str">
            <v>P</v>
          </cell>
          <cell r="D1192" t="str">
            <v>22094</v>
          </cell>
          <cell r="E1192" t="str">
            <v>SW FLG</v>
          </cell>
          <cell r="F1192">
            <v>3</v>
          </cell>
          <cell r="G1192" t="str">
            <v>CB240208001H00</v>
          </cell>
          <cell r="H1192">
            <v>1.5</v>
          </cell>
          <cell r="I1192" t="str">
            <v>--</v>
          </cell>
          <cell r="J1192">
            <v>2</v>
          </cell>
          <cell r="K1192">
            <v>2</v>
          </cell>
        </row>
        <row r="1193">
          <cell r="A1193" t="str">
            <v>M1</v>
          </cell>
          <cell r="B1193" t="str">
            <v>A5C</v>
          </cell>
          <cell r="C1193" t="str">
            <v>P</v>
          </cell>
          <cell r="D1193" t="str">
            <v>22095</v>
          </cell>
          <cell r="E1193" t="str">
            <v>SW FLG</v>
          </cell>
          <cell r="F1193">
            <v>3</v>
          </cell>
          <cell r="G1193" t="str">
            <v>CB240208001H00</v>
          </cell>
          <cell r="H1193">
            <v>1.5</v>
          </cell>
          <cell r="I1193" t="str">
            <v>--</v>
          </cell>
          <cell r="J1193">
            <v>2</v>
          </cell>
          <cell r="K1193">
            <v>2</v>
          </cell>
        </row>
        <row r="1194">
          <cell r="A1194" t="str">
            <v>M1</v>
          </cell>
          <cell r="B1194" t="str">
            <v>A5C</v>
          </cell>
          <cell r="C1194" t="str">
            <v>P</v>
          </cell>
          <cell r="D1194" t="str">
            <v>22099</v>
          </cell>
          <cell r="E1194" t="str">
            <v>SW FLG</v>
          </cell>
          <cell r="F1194">
            <v>3</v>
          </cell>
          <cell r="G1194" t="str">
            <v>CB240108001H00</v>
          </cell>
          <cell r="H1194">
            <v>1.5</v>
          </cell>
          <cell r="I1194" t="str">
            <v>--</v>
          </cell>
          <cell r="J1194">
            <v>1</v>
          </cell>
          <cell r="K1194">
            <v>1</v>
          </cell>
        </row>
        <row r="1195">
          <cell r="A1195" t="str">
            <v>M1</v>
          </cell>
          <cell r="B1195" t="str">
            <v>A5C</v>
          </cell>
          <cell r="C1195" t="str">
            <v>P</v>
          </cell>
          <cell r="D1195" t="str">
            <v>22100</v>
          </cell>
          <cell r="E1195" t="str">
            <v>SW FLG</v>
          </cell>
          <cell r="F1195">
            <v>3</v>
          </cell>
          <cell r="G1195" t="str">
            <v>CB240208001H00</v>
          </cell>
          <cell r="H1195">
            <v>1.5</v>
          </cell>
          <cell r="I1195" t="str">
            <v>--</v>
          </cell>
          <cell r="J1195">
            <v>2</v>
          </cell>
          <cell r="K1195">
            <v>2</v>
          </cell>
        </row>
        <row r="1196">
          <cell r="A1196" t="str">
            <v>M1</v>
          </cell>
          <cell r="B1196" t="str">
            <v>A6C</v>
          </cell>
          <cell r="C1196" t="str">
            <v>HOS</v>
          </cell>
          <cell r="D1196" t="str">
            <v>65622</v>
          </cell>
          <cell r="E1196" t="str">
            <v>SW FLG</v>
          </cell>
          <cell r="F1196">
            <v>3</v>
          </cell>
          <cell r="G1196" t="str">
            <v>CB240108001H00</v>
          </cell>
          <cell r="H1196">
            <v>1.5</v>
          </cell>
          <cell r="I1196" t="str">
            <v>--</v>
          </cell>
          <cell r="J1196">
            <v>2</v>
          </cell>
          <cell r="K1196">
            <v>2</v>
          </cell>
        </row>
        <row r="1197">
          <cell r="A1197" t="str">
            <v>M1</v>
          </cell>
          <cell r="B1197" t="str">
            <v>A6C</v>
          </cell>
          <cell r="C1197" t="str">
            <v>HOS</v>
          </cell>
          <cell r="D1197" t="str">
            <v>65623</v>
          </cell>
          <cell r="E1197" t="str">
            <v>SW FLG</v>
          </cell>
          <cell r="F1197">
            <v>3</v>
          </cell>
          <cell r="G1197" t="str">
            <v>CB240108001H00</v>
          </cell>
          <cell r="H1197">
            <v>1.5</v>
          </cell>
          <cell r="I1197" t="str">
            <v>--</v>
          </cell>
          <cell r="J1197">
            <v>2</v>
          </cell>
          <cell r="K1197">
            <v>2</v>
          </cell>
        </row>
        <row r="1198">
          <cell r="A1198" t="str">
            <v>M1</v>
          </cell>
          <cell r="B1198" t="str">
            <v>A5C</v>
          </cell>
          <cell r="C1198" t="str">
            <v>P</v>
          </cell>
          <cell r="D1198" t="str">
            <v>22039</v>
          </cell>
          <cell r="E1198" t="str">
            <v>SW FLG</v>
          </cell>
          <cell r="F1198">
            <v>3</v>
          </cell>
          <cell r="G1198" t="str">
            <v>CB240108001H00</v>
          </cell>
          <cell r="H1198">
            <v>1.5</v>
          </cell>
          <cell r="I1198" t="str">
            <v>--</v>
          </cell>
          <cell r="J1198">
            <v>5</v>
          </cell>
          <cell r="K1198">
            <v>5</v>
          </cell>
        </row>
        <row r="1199">
          <cell r="A1199" t="str">
            <v>M1</v>
          </cell>
          <cell r="B1199" t="str">
            <v>A5C</v>
          </cell>
          <cell r="C1199" t="str">
            <v>P</v>
          </cell>
          <cell r="D1199" t="str">
            <v>22041</v>
          </cell>
          <cell r="E1199" t="str">
            <v>SW FLG</v>
          </cell>
          <cell r="F1199">
            <v>3</v>
          </cell>
          <cell r="G1199" t="str">
            <v>CB240108001H00</v>
          </cell>
          <cell r="H1199">
            <v>1.5</v>
          </cell>
          <cell r="I1199" t="str">
            <v>--</v>
          </cell>
          <cell r="J1199">
            <v>5</v>
          </cell>
          <cell r="K1199">
            <v>5</v>
          </cell>
        </row>
        <row r="1200">
          <cell r="A1200" t="str">
            <v>M1</v>
          </cell>
          <cell r="B1200" t="str">
            <v>A6C</v>
          </cell>
          <cell r="C1200" t="str">
            <v>HOR</v>
          </cell>
          <cell r="D1200" t="str">
            <v>65618</v>
          </cell>
          <cell r="E1200" t="str">
            <v>SW FLG</v>
          </cell>
          <cell r="F1200">
            <v>3</v>
          </cell>
          <cell r="G1200" t="str">
            <v>CB240108001H00</v>
          </cell>
          <cell r="H1200">
            <v>1.5</v>
          </cell>
          <cell r="I1200" t="str">
            <v>--</v>
          </cell>
          <cell r="J1200">
            <v>3</v>
          </cell>
          <cell r="K1200">
            <v>3</v>
          </cell>
        </row>
        <row r="1201">
          <cell r="A1201" t="str">
            <v>M1</v>
          </cell>
          <cell r="B1201" t="str">
            <v>A6C</v>
          </cell>
          <cell r="C1201" t="str">
            <v>HOR</v>
          </cell>
          <cell r="D1201" t="str">
            <v>65612</v>
          </cell>
          <cell r="E1201" t="str">
            <v>SW FLG</v>
          </cell>
          <cell r="F1201">
            <v>3</v>
          </cell>
          <cell r="G1201" t="str">
            <v>CB240108001H00</v>
          </cell>
          <cell r="H1201">
            <v>1.5</v>
          </cell>
          <cell r="I1201" t="str">
            <v>--</v>
          </cell>
          <cell r="J1201">
            <v>1</v>
          </cell>
          <cell r="K1201">
            <v>1</v>
          </cell>
        </row>
        <row r="1202">
          <cell r="A1202" t="str">
            <v>M1</v>
          </cell>
          <cell r="B1202" t="str">
            <v>A5C</v>
          </cell>
          <cell r="C1202" t="str">
            <v>P</v>
          </cell>
          <cell r="D1202" t="str">
            <v>22040</v>
          </cell>
          <cell r="E1202" t="str">
            <v>SW FLG</v>
          </cell>
          <cell r="F1202">
            <v>3</v>
          </cell>
          <cell r="G1202" t="str">
            <v>CB240108001H00</v>
          </cell>
          <cell r="H1202">
            <v>1.5</v>
          </cell>
          <cell r="I1202" t="str">
            <v>--</v>
          </cell>
          <cell r="J1202">
            <v>5</v>
          </cell>
          <cell r="K1202">
            <v>5</v>
          </cell>
        </row>
        <row r="1203">
          <cell r="A1203" t="str">
            <v>M1</v>
          </cell>
          <cell r="B1203" t="str">
            <v>A6C</v>
          </cell>
          <cell r="C1203" t="str">
            <v>HOS</v>
          </cell>
          <cell r="D1203" t="str">
            <v>65632</v>
          </cell>
          <cell r="E1203" t="str">
            <v>SW FLG</v>
          </cell>
          <cell r="F1203">
            <v>3</v>
          </cell>
          <cell r="G1203" t="str">
            <v>CB240108001H00</v>
          </cell>
          <cell r="H1203">
            <v>1.5</v>
          </cell>
          <cell r="I1203" t="str">
            <v>--</v>
          </cell>
          <cell r="J1203">
            <v>4</v>
          </cell>
          <cell r="K1203">
            <v>4</v>
          </cell>
        </row>
        <row r="1204">
          <cell r="A1204" t="str">
            <v>M1</v>
          </cell>
          <cell r="B1204" t="str">
            <v>A6C</v>
          </cell>
          <cell r="C1204" t="str">
            <v>HOS</v>
          </cell>
          <cell r="D1204" t="str">
            <v>65633</v>
          </cell>
          <cell r="E1204" t="str">
            <v>SW FLG</v>
          </cell>
          <cell r="F1204">
            <v>3</v>
          </cell>
          <cell r="G1204" t="str">
            <v>CB240108001H00</v>
          </cell>
          <cell r="H1204">
            <v>1.5</v>
          </cell>
          <cell r="I1204" t="str">
            <v>--</v>
          </cell>
          <cell r="J1204">
            <v>1</v>
          </cell>
          <cell r="K1204">
            <v>1</v>
          </cell>
        </row>
        <row r="1205">
          <cell r="A1205" t="str">
            <v>M1</v>
          </cell>
          <cell r="B1205" t="str">
            <v>A6C</v>
          </cell>
          <cell r="C1205" t="str">
            <v>HOS</v>
          </cell>
          <cell r="D1205" t="str">
            <v>65633</v>
          </cell>
          <cell r="E1205" t="str">
            <v>SW FLG</v>
          </cell>
          <cell r="F1205">
            <v>3</v>
          </cell>
          <cell r="G1205" t="str">
            <v>CB240108001H00</v>
          </cell>
          <cell r="H1205">
            <v>1.5</v>
          </cell>
          <cell r="I1205" t="str">
            <v>--</v>
          </cell>
          <cell r="J1205">
            <v>1</v>
          </cell>
          <cell r="K1205">
            <v>1</v>
          </cell>
        </row>
        <row r="1206">
          <cell r="A1206" t="str">
            <v>M1</v>
          </cell>
          <cell r="B1206" t="str">
            <v>A5C</v>
          </cell>
          <cell r="C1206" t="str">
            <v>P</v>
          </cell>
          <cell r="D1206" t="str">
            <v>22002</v>
          </cell>
          <cell r="E1206" t="str">
            <v>SW FLG</v>
          </cell>
          <cell r="F1206">
            <v>3</v>
          </cell>
          <cell r="G1206" t="str">
            <v>CB240108001H00</v>
          </cell>
          <cell r="H1206">
            <v>1.5</v>
          </cell>
          <cell r="I1206" t="str">
            <v>--</v>
          </cell>
          <cell r="J1206">
            <v>4</v>
          </cell>
          <cell r="K1206">
            <v>4</v>
          </cell>
        </row>
        <row r="1207">
          <cell r="A1207" t="str">
            <v>M1</v>
          </cell>
          <cell r="B1207" t="str">
            <v>A5C</v>
          </cell>
          <cell r="C1207" t="str">
            <v>P</v>
          </cell>
          <cell r="D1207" t="str">
            <v>22002</v>
          </cell>
          <cell r="E1207" t="str">
            <v>SW FLG</v>
          </cell>
          <cell r="F1207">
            <v>3</v>
          </cell>
          <cell r="G1207" t="str">
            <v>CB240208001H00</v>
          </cell>
          <cell r="H1207">
            <v>1.5</v>
          </cell>
          <cell r="I1207" t="str">
            <v>--</v>
          </cell>
          <cell r="J1207">
            <v>2</v>
          </cell>
          <cell r="K1207">
            <v>2</v>
          </cell>
        </row>
        <row r="1208">
          <cell r="A1208" t="str">
            <v>M1</v>
          </cell>
          <cell r="B1208" t="str">
            <v>A5C</v>
          </cell>
          <cell r="C1208" t="str">
            <v>P</v>
          </cell>
          <cell r="D1208" t="str">
            <v>22064</v>
          </cell>
          <cell r="E1208" t="str">
            <v>SW FLG</v>
          </cell>
          <cell r="F1208">
            <v>3</v>
          </cell>
          <cell r="G1208" t="str">
            <v>CB240108001H00</v>
          </cell>
          <cell r="H1208">
            <v>1.5</v>
          </cell>
          <cell r="I1208" t="str">
            <v>--</v>
          </cell>
          <cell r="J1208">
            <v>2</v>
          </cell>
          <cell r="K1208">
            <v>2</v>
          </cell>
        </row>
        <row r="1209">
          <cell r="A1209" t="str">
            <v>M1</v>
          </cell>
          <cell r="B1209" t="str">
            <v>A5C</v>
          </cell>
          <cell r="C1209" t="str">
            <v>P</v>
          </cell>
          <cell r="D1209" t="str">
            <v>22111</v>
          </cell>
          <cell r="E1209" t="str">
            <v>SW FLG</v>
          </cell>
          <cell r="F1209">
            <v>3</v>
          </cell>
          <cell r="G1209" t="str">
            <v>CB240208001H00</v>
          </cell>
          <cell r="H1209">
            <v>1.5</v>
          </cell>
          <cell r="I1209" t="str">
            <v>--</v>
          </cell>
          <cell r="J1209">
            <v>6</v>
          </cell>
          <cell r="K1209">
            <v>6</v>
          </cell>
        </row>
        <row r="1210">
          <cell r="A1210" t="str">
            <v>M1</v>
          </cell>
          <cell r="B1210" t="str">
            <v>A5C</v>
          </cell>
          <cell r="C1210" t="str">
            <v>P</v>
          </cell>
          <cell r="D1210" t="str">
            <v>22111</v>
          </cell>
          <cell r="E1210" t="str">
            <v>SW FLG</v>
          </cell>
          <cell r="F1210">
            <v>3</v>
          </cell>
          <cell r="G1210" t="str">
            <v>CB240108001H00</v>
          </cell>
          <cell r="H1210">
            <v>1.5</v>
          </cell>
          <cell r="I1210" t="str">
            <v>--</v>
          </cell>
          <cell r="J1210">
            <v>3</v>
          </cell>
          <cell r="K1210">
            <v>3</v>
          </cell>
        </row>
        <row r="1211">
          <cell r="A1211" t="str">
            <v>M1</v>
          </cell>
          <cell r="B1211" t="str">
            <v>A6C</v>
          </cell>
          <cell r="C1211" t="str">
            <v>HOS</v>
          </cell>
          <cell r="D1211" t="str">
            <v>65611</v>
          </cell>
          <cell r="E1211" t="str">
            <v>SW FLG</v>
          </cell>
          <cell r="F1211">
            <v>3</v>
          </cell>
          <cell r="G1211" t="str">
            <v>CB240108001H00</v>
          </cell>
          <cell r="H1211">
            <v>1.5</v>
          </cell>
          <cell r="I1211" t="str">
            <v>--</v>
          </cell>
          <cell r="J1211">
            <v>1</v>
          </cell>
          <cell r="K1211">
            <v>1</v>
          </cell>
        </row>
        <row r="1212">
          <cell r="A1212" t="str">
            <v>M1</v>
          </cell>
          <cell r="B1212" t="str">
            <v>A5C</v>
          </cell>
          <cell r="C1212" t="str">
            <v>RW</v>
          </cell>
          <cell r="D1212" t="str">
            <v>25611</v>
          </cell>
          <cell r="E1212" t="str">
            <v>SW FLG</v>
          </cell>
          <cell r="F1212">
            <v>3</v>
          </cell>
          <cell r="G1212" t="str">
            <v>CB240108001H00</v>
          </cell>
          <cell r="H1212">
            <v>1.5</v>
          </cell>
          <cell r="I1212" t="str">
            <v>--</v>
          </cell>
          <cell r="J1212">
            <v>3</v>
          </cell>
          <cell r="K1212">
            <v>3</v>
          </cell>
        </row>
        <row r="1213">
          <cell r="A1213" t="str">
            <v>M1</v>
          </cell>
          <cell r="B1213" t="str">
            <v>A4C</v>
          </cell>
          <cell r="C1213" t="str">
            <v>P</v>
          </cell>
          <cell r="D1213" t="str">
            <v>22031</v>
          </cell>
          <cell r="E1213" t="str">
            <v>SW FLG</v>
          </cell>
          <cell r="F1213">
            <v>3</v>
          </cell>
          <cell r="G1213" t="str">
            <v>CB240108001H00</v>
          </cell>
          <cell r="H1213">
            <v>1.5</v>
          </cell>
          <cell r="I1213" t="str">
            <v>--</v>
          </cell>
          <cell r="J1213">
            <v>6</v>
          </cell>
          <cell r="K1213">
            <v>6</v>
          </cell>
        </row>
        <row r="1214">
          <cell r="A1214" t="str">
            <v>M1</v>
          </cell>
          <cell r="B1214" t="str">
            <v>A5C</v>
          </cell>
          <cell r="C1214" t="str">
            <v>TRIM</v>
          </cell>
          <cell r="D1214" t="str">
            <v>X-2207</v>
          </cell>
          <cell r="E1214" t="str">
            <v>SW FLG</v>
          </cell>
          <cell r="F1214">
            <v>3</v>
          </cell>
          <cell r="G1214" t="str">
            <v>CB240108001H00</v>
          </cell>
          <cell r="H1214">
            <v>1.5</v>
          </cell>
          <cell r="I1214" t="str">
            <v>--</v>
          </cell>
          <cell r="J1214">
            <v>2</v>
          </cell>
          <cell r="K1214">
            <v>2</v>
          </cell>
        </row>
        <row r="1215">
          <cell r="A1215" t="str">
            <v>M1</v>
          </cell>
          <cell r="B1215" t="str">
            <v>A5C</v>
          </cell>
          <cell r="C1215" t="str">
            <v>TRIM</v>
          </cell>
          <cell r="D1215" t="str">
            <v>V-2201</v>
          </cell>
          <cell r="E1215" t="str">
            <v>SW FLG</v>
          </cell>
          <cell r="F1215">
            <v>3</v>
          </cell>
          <cell r="G1215" t="str">
            <v>CB240108001H00</v>
          </cell>
          <cell r="H1215">
            <v>1.5</v>
          </cell>
          <cell r="I1215" t="str">
            <v>--</v>
          </cell>
          <cell r="J1215">
            <v>1</v>
          </cell>
          <cell r="K1215">
            <v>1</v>
          </cell>
        </row>
        <row r="1216">
          <cell r="A1216" t="str">
            <v>M1</v>
          </cell>
          <cell r="B1216" t="str">
            <v>B2C</v>
          </cell>
          <cell r="C1216" t="str">
            <v>CWR</v>
          </cell>
          <cell r="D1216" t="str">
            <v>22620</v>
          </cell>
          <cell r="E1216" t="str">
            <v>WN FLG</v>
          </cell>
          <cell r="F1216">
            <v>3</v>
          </cell>
          <cell r="G1216" t="str">
            <v>CB200208000200</v>
          </cell>
          <cell r="H1216">
            <v>2</v>
          </cell>
          <cell r="I1216" t="str">
            <v>--</v>
          </cell>
          <cell r="J1216">
            <v>2</v>
          </cell>
          <cell r="K1216">
            <v>3</v>
          </cell>
        </row>
        <row r="1217">
          <cell r="A1217" t="str">
            <v>M1</v>
          </cell>
          <cell r="B1217" t="str">
            <v>B2C</v>
          </cell>
          <cell r="C1217" t="str">
            <v>CWR</v>
          </cell>
          <cell r="D1217" t="str">
            <v>22619</v>
          </cell>
          <cell r="E1217" t="str">
            <v>WN FLG</v>
          </cell>
          <cell r="F1217">
            <v>3</v>
          </cell>
          <cell r="G1217" t="str">
            <v>CB200208000200</v>
          </cell>
          <cell r="H1217">
            <v>2</v>
          </cell>
          <cell r="I1217" t="str">
            <v>--</v>
          </cell>
          <cell r="J1217">
            <v>2</v>
          </cell>
          <cell r="K1217">
            <v>3</v>
          </cell>
        </row>
        <row r="1218">
          <cell r="A1218" t="str">
            <v>M1</v>
          </cell>
          <cell r="B1218" t="str">
            <v>B2C</v>
          </cell>
          <cell r="C1218" t="str">
            <v>SH</v>
          </cell>
          <cell r="D1218" t="str">
            <v>22612</v>
          </cell>
          <cell r="E1218" t="str">
            <v>WN FLG</v>
          </cell>
          <cell r="F1218">
            <v>3</v>
          </cell>
          <cell r="G1218" t="str">
            <v>CB200208000200</v>
          </cell>
          <cell r="H1218">
            <v>2</v>
          </cell>
          <cell r="I1218" t="str">
            <v>--</v>
          </cell>
          <cell r="J1218">
            <v>15</v>
          </cell>
          <cell r="K1218">
            <v>17</v>
          </cell>
        </row>
        <row r="1219">
          <cell r="A1219" t="str">
            <v>M1</v>
          </cell>
          <cell r="B1219" t="str">
            <v>B2C</v>
          </cell>
          <cell r="C1219" t="str">
            <v>SH</v>
          </cell>
          <cell r="D1219" t="str">
            <v>22613</v>
          </cell>
          <cell r="E1219" t="str">
            <v>WN FLG</v>
          </cell>
          <cell r="F1219">
            <v>3</v>
          </cell>
          <cell r="G1219" t="str">
            <v>CB200208000200</v>
          </cell>
          <cell r="H1219">
            <v>2</v>
          </cell>
          <cell r="I1219" t="str">
            <v>--</v>
          </cell>
          <cell r="J1219">
            <v>15</v>
          </cell>
          <cell r="K1219">
            <v>17</v>
          </cell>
        </row>
        <row r="1220">
          <cell r="A1220" t="str">
            <v>M1</v>
          </cell>
          <cell r="B1220" t="str">
            <v>B2C</v>
          </cell>
          <cell r="C1220" t="str">
            <v>SH</v>
          </cell>
          <cell r="D1220" t="str">
            <v>22614</v>
          </cell>
          <cell r="E1220" t="str">
            <v>WN FLG</v>
          </cell>
          <cell r="F1220">
            <v>3</v>
          </cell>
          <cell r="G1220" t="str">
            <v>CB200208000200</v>
          </cell>
          <cell r="H1220">
            <v>2</v>
          </cell>
          <cell r="I1220" t="str">
            <v>--</v>
          </cell>
          <cell r="J1220">
            <v>9</v>
          </cell>
          <cell r="K1220">
            <v>10</v>
          </cell>
        </row>
        <row r="1221">
          <cell r="A1221" t="str">
            <v>M1</v>
          </cell>
          <cell r="B1221" t="str">
            <v>B2C</v>
          </cell>
          <cell r="C1221" t="str">
            <v>SH</v>
          </cell>
          <cell r="D1221" t="str">
            <v>22611</v>
          </cell>
          <cell r="E1221" t="str">
            <v>WN FLG</v>
          </cell>
          <cell r="F1221">
            <v>3</v>
          </cell>
          <cell r="G1221" t="str">
            <v>CB200208000200</v>
          </cell>
          <cell r="H1221">
            <v>2</v>
          </cell>
          <cell r="I1221" t="str">
            <v>--</v>
          </cell>
          <cell r="J1221">
            <v>7</v>
          </cell>
          <cell r="K1221">
            <v>8</v>
          </cell>
        </row>
        <row r="1222">
          <cell r="A1222" t="str">
            <v>M1</v>
          </cell>
          <cell r="B1222" t="str">
            <v>B2C</v>
          </cell>
          <cell r="C1222" t="str">
            <v>SH</v>
          </cell>
          <cell r="D1222" t="str">
            <v>22611</v>
          </cell>
          <cell r="E1222" t="str">
            <v>WN FLG</v>
          </cell>
          <cell r="F1222">
            <v>3</v>
          </cell>
          <cell r="G1222" t="str">
            <v>CB200208000200</v>
          </cell>
          <cell r="H1222">
            <v>2</v>
          </cell>
          <cell r="I1222" t="str">
            <v>--</v>
          </cell>
          <cell r="J1222">
            <v>2</v>
          </cell>
          <cell r="K1222">
            <v>3</v>
          </cell>
        </row>
        <row r="1223">
          <cell r="A1223" t="str">
            <v>M1</v>
          </cell>
          <cell r="B1223" t="str">
            <v>B2C</v>
          </cell>
          <cell r="C1223" t="str">
            <v>SH</v>
          </cell>
          <cell r="D1223" t="str">
            <v>22612</v>
          </cell>
          <cell r="E1223" t="str">
            <v>WN FLG</v>
          </cell>
          <cell r="F1223">
            <v>3</v>
          </cell>
          <cell r="G1223" t="str">
            <v>CB200208000200</v>
          </cell>
          <cell r="H1223">
            <v>2</v>
          </cell>
          <cell r="I1223" t="str">
            <v>--</v>
          </cell>
          <cell r="J1223">
            <v>2</v>
          </cell>
          <cell r="K1223">
            <v>3</v>
          </cell>
        </row>
        <row r="1224">
          <cell r="A1224" t="str">
            <v>M1</v>
          </cell>
          <cell r="B1224" t="str">
            <v>B2C</v>
          </cell>
          <cell r="C1224" t="str">
            <v>TRIM</v>
          </cell>
          <cell r="D1224" t="str">
            <v>V-2218</v>
          </cell>
          <cell r="E1224" t="str">
            <v>WN FLG</v>
          </cell>
          <cell r="F1224">
            <v>3</v>
          </cell>
          <cell r="G1224" t="str">
            <v>CB200208000200</v>
          </cell>
          <cell r="H1224">
            <v>2</v>
          </cell>
          <cell r="I1224" t="str">
            <v>--</v>
          </cell>
          <cell r="J1224">
            <v>2</v>
          </cell>
          <cell r="K1224">
            <v>3</v>
          </cell>
        </row>
        <row r="1225">
          <cell r="A1225" t="str">
            <v>M1</v>
          </cell>
          <cell r="B1225" t="str">
            <v>A5C</v>
          </cell>
          <cell r="C1225" t="str">
            <v>COMP</v>
          </cell>
          <cell r="D1225" t="str">
            <v>005</v>
          </cell>
          <cell r="E1225" t="str">
            <v>WN FLG</v>
          </cell>
          <cell r="F1225">
            <v>3</v>
          </cell>
          <cell r="G1225" t="str">
            <v>CB200108000200</v>
          </cell>
          <cell r="H1225">
            <v>2</v>
          </cell>
          <cell r="I1225" t="str">
            <v>--</v>
          </cell>
          <cell r="J1225">
            <v>2</v>
          </cell>
          <cell r="K1225">
            <v>3</v>
          </cell>
        </row>
        <row r="1226">
          <cell r="A1226" t="str">
            <v>M1</v>
          </cell>
          <cell r="B1226" t="str">
            <v>A5C</v>
          </cell>
          <cell r="C1226" t="str">
            <v>N</v>
          </cell>
          <cell r="D1226" t="str">
            <v>25611</v>
          </cell>
          <cell r="E1226" t="str">
            <v>WN FLG</v>
          </cell>
          <cell r="F1226">
            <v>3</v>
          </cell>
          <cell r="G1226" t="str">
            <v>CB200108000200</v>
          </cell>
          <cell r="H1226">
            <v>2</v>
          </cell>
          <cell r="I1226" t="str">
            <v>--</v>
          </cell>
          <cell r="J1226">
            <v>3</v>
          </cell>
          <cell r="K1226">
            <v>4</v>
          </cell>
        </row>
        <row r="1227">
          <cell r="A1227" t="str">
            <v>M1</v>
          </cell>
          <cell r="B1227" t="str">
            <v>A5C</v>
          </cell>
          <cell r="C1227" t="str">
            <v>N</v>
          </cell>
          <cell r="D1227" t="str">
            <v>25611</v>
          </cell>
          <cell r="E1227" t="str">
            <v>WN FLG</v>
          </cell>
          <cell r="F1227">
            <v>3</v>
          </cell>
          <cell r="G1227" t="str">
            <v>CB200208000200</v>
          </cell>
          <cell r="H1227">
            <v>2</v>
          </cell>
          <cell r="I1227" t="str">
            <v>--</v>
          </cell>
          <cell r="J1227">
            <v>1</v>
          </cell>
          <cell r="K1227">
            <v>2</v>
          </cell>
        </row>
        <row r="1228">
          <cell r="A1228" t="str">
            <v>M1</v>
          </cell>
          <cell r="B1228" t="str">
            <v>A5C</v>
          </cell>
          <cell r="C1228" t="str">
            <v>N</v>
          </cell>
          <cell r="D1228" t="str">
            <v>25617</v>
          </cell>
          <cell r="E1228" t="str">
            <v>WN FLG</v>
          </cell>
          <cell r="F1228">
            <v>3</v>
          </cell>
          <cell r="G1228" t="str">
            <v>CB200108000200</v>
          </cell>
          <cell r="H1228">
            <v>2</v>
          </cell>
          <cell r="I1228" t="str">
            <v>--</v>
          </cell>
          <cell r="J1228">
            <v>2</v>
          </cell>
          <cell r="K1228">
            <v>3</v>
          </cell>
        </row>
        <row r="1229">
          <cell r="A1229" t="str">
            <v>M1</v>
          </cell>
          <cell r="B1229" t="str">
            <v>A5C</v>
          </cell>
          <cell r="C1229" t="str">
            <v>N</v>
          </cell>
          <cell r="D1229" t="str">
            <v>25617</v>
          </cell>
          <cell r="E1229" t="str">
            <v>WN FLG</v>
          </cell>
          <cell r="F1229">
            <v>3</v>
          </cell>
          <cell r="G1229" t="str">
            <v>CB200208000200</v>
          </cell>
          <cell r="H1229">
            <v>2</v>
          </cell>
          <cell r="I1229" t="str">
            <v>--</v>
          </cell>
          <cell r="J1229">
            <v>2</v>
          </cell>
          <cell r="K1229">
            <v>3</v>
          </cell>
        </row>
        <row r="1230">
          <cell r="A1230" t="str">
            <v>M1</v>
          </cell>
          <cell r="B1230" t="str">
            <v>A5C</v>
          </cell>
          <cell r="C1230" t="str">
            <v>P</v>
          </cell>
          <cell r="D1230" t="str">
            <v>21006</v>
          </cell>
          <cell r="E1230" t="str">
            <v>WN FLG</v>
          </cell>
          <cell r="F1230">
            <v>3</v>
          </cell>
          <cell r="G1230" t="str">
            <v>CB200108000200</v>
          </cell>
          <cell r="H1230">
            <v>2</v>
          </cell>
          <cell r="I1230" t="str">
            <v>--</v>
          </cell>
          <cell r="J1230">
            <v>2</v>
          </cell>
          <cell r="K1230">
            <v>3</v>
          </cell>
        </row>
        <row r="1231">
          <cell r="A1231" t="str">
            <v>M1</v>
          </cell>
          <cell r="B1231" t="str">
            <v>A5C</v>
          </cell>
          <cell r="C1231" t="str">
            <v>P</v>
          </cell>
          <cell r="D1231" t="str">
            <v>22066</v>
          </cell>
          <cell r="E1231" t="str">
            <v>WN FLG</v>
          </cell>
          <cell r="F1231">
            <v>3</v>
          </cell>
          <cell r="G1231" t="str">
            <v>CB200108000200</v>
          </cell>
          <cell r="H1231">
            <v>2</v>
          </cell>
          <cell r="I1231" t="str">
            <v>--</v>
          </cell>
          <cell r="J1231">
            <v>8</v>
          </cell>
          <cell r="K1231">
            <v>9</v>
          </cell>
        </row>
        <row r="1232">
          <cell r="A1232" t="str">
            <v>M1</v>
          </cell>
          <cell r="B1232" t="str">
            <v>A5C</v>
          </cell>
          <cell r="C1232" t="str">
            <v>P</v>
          </cell>
          <cell r="D1232" t="str">
            <v>22069</v>
          </cell>
          <cell r="E1232" t="str">
            <v>WN FLG</v>
          </cell>
          <cell r="F1232">
            <v>3</v>
          </cell>
          <cell r="G1232" t="str">
            <v>CB200108000200</v>
          </cell>
          <cell r="H1232">
            <v>2</v>
          </cell>
          <cell r="I1232" t="str">
            <v>--</v>
          </cell>
          <cell r="J1232">
            <v>1</v>
          </cell>
          <cell r="K1232">
            <v>2</v>
          </cell>
        </row>
        <row r="1233">
          <cell r="A1233" t="str">
            <v>M1</v>
          </cell>
          <cell r="B1233" t="str">
            <v>A5C</v>
          </cell>
          <cell r="C1233" t="str">
            <v>P</v>
          </cell>
          <cell r="D1233" t="str">
            <v>22068</v>
          </cell>
          <cell r="E1233" t="str">
            <v>WN FLG</v>
          </cell>
          <cell r="F1233">
            <v>3</v>
          </cell>
          <cell r="G1233" t="str">
            <v>CB200108000200</v>
          </cell>
          <cell r="H1233">
            <v>2</v>
          </cell>
          <cell r="I1233" t="str">
            <v>--</v>
          </cell>
          <cell r="J1233">
            <v>3</v>
          </cell>
          <cell r="K1233">
            <v>4</v>
          </cell>
        </row>
        <row r="1234">
          <cell r="A1234" t="str">
            <v>M1</v>
          </cell>
          <cell r="B1234" t="str">
            <v>A5C</v>
          </cell>
          <cell r="C1234" t="str">
            <v>P</v>
          </cell>
          <cell r="D1234" t="str">
            <v>22081</v>
          </cell>
          <cell r="E1234" t="str">
            <v>WN FLG</v>
          </cell>
          <cell r="F1234">
            <v>3</v>
          </cell>
          <cell r="G1234" t="str">
            <v>CB200208000200</v>
          </cell>
          <cell r="H1234">
            <v>2</v>
          </cell>
          <cell r="I1234" t="str">
            <v>--</v>
          </cell>
          <cell r="J1234">
            <v>2</v>
          </cell>
          <cell r="K1234">
            <v>3</v>
          </cell>
        </row>
        <row r="1235">
          <cell r="A1235" t="str">
            <v>M1</v>
          </cell>
          <cell r="B1235" t="str">
            <v>A5C</v>
          </cell>
          <cell r="C1235" t="str">
            <v>P</v>
          </cell>
          <cell r="D1235" t="str">
            <v>22101</v>
          </cell>
          <cell r="E1235" t="str">
            <v>WN FLG</v>
          </cell>
          <cell r="F1235">
            <v>3</v>
          </cell>
          <cell r="G1235" t="str">
            <v>CB200108000200</v>
          </cell>
          <cell r="H1235">
            <v>2</v>
          </cell>
          <cell r="I1235" t="str">
            <v>--</v>
          </cell>
          <cell r="J1235">
            <v>3</v>
          </cell>
          <cell r="K1235">
            <v>4</v>
          </cell>
        </row>
        <row r="1236">
          <cell r="A1236" t="str">
            <v>M1</v>
          </cell>
          <cell r="B1236" t="str">
            <v>A5C</v>
          </cell>
          <cell r="C1236" t="str">
            <v>P</v>
          </cell>
          <cell r="D1236" t="str">
            <v>22110</v>
          </cell>
          <cell r="E1236" t="str">
            <v>WN FLG</v>
          </cell>
          <cell r="F1236">
            <v>3</v>
          </cell>
          <cell r="G1236" t="str">
            <v>CB200108000200</v>
          </cell>
          <cell r="H1236">
            <v>2</v>
          </cell>
          <cell r="I1236" t="str">
            <v>--</v>
          </cell>
          <cell r="J1236">
            <v>2</v>
          </cell>
          <cell r="K1236">
            <v>3</v>
          </cell>
        </row>
        <row r="1237">
          <cell r="A1237" t="str">
            <v>M1</v>
          </cell>
          <cell r="B1237" t="str">
            <v>A5C</v>
          </cell>
          <cell r="C1237" t="str">
            <v>P</v>
          </cell>
          <cell r="D1237" t="str">
            <v>22117</v>
          </cell>
          <cell r="E1237" t="str">
            <v>WN FLG</v>
          </cell>
          <cell r="F1237">
            <v>3</v>
          </cell>
          <cell r="G1237" t="str">
            <v>CB200108000200</v>
          </cell>
          <cell r="H1237">
            <v>2</v>
          </cell>
          <cell r="I1237" t="str">
            <v>--</v>
          </cell>
          <cell r="J1237">
            <v>2</v>
          </cell>
          <cell r="K1237">
            <v>3</v>
          </cell>
        </row>
        <row r="1238">
          <cell r="A1238" t="str">
            <v>M1</v>
          </cell>
          <cell r="B1238" t="str">
            <v>A5C</v>
          </cell>
          <cell r="C1238" t="str">
            <v>P</v>
          </cell>
          <cell r="D1238" t="str">
            <v>22153</v>
          </cell>
          <cell r="E1238" t="str">
            <v>WN FLG</v>
          </cell>
          <cell r="F1238">
            <v>3</v>
          </cell>
          <cell r="G1238" t="str">
            <v>CB200108000200</v>
          </cell>
          <cell r="H1238">
            <v>2</v>
          </cell>
          <cell r="I1238" t="str">
            <v>--</v>
          </cell>
          <cell r="J1238">
            <v>2</v>
          </cell>
          <cell r="K1238">
            <v>3</v>
          </cell>
        </row>
        <row r="1239">
          <cell r="A1239" t="str">
            <v>M1</v>
          </cell>
          <cell r="B1239" t="str">
            <v>A5C</v>
          </cell>
          <cell r="C1239" t="str">
            <v>P</v>
          </cell>
          <cell r="D1239" t="str">
            <v>22130</v>
          </cell>
          <cell r="E1239" t="str">
            <v>WN FLG</v>
          </cell>
          <cell r="F1239">
            <v>3</v>
          </cell>
          <cell r="G1239" t="str">
            <v>CB200108000200</v>
          </cell>
          <cell r="H1239">
            <v>2</v>
          </cell>
          <cell r="I1239" t="str">
            <v>--</v>
          </cell>
          <cell r="J1239">
            <v>11</v>
          </cell>
          <cell r="K1239">
            <v>13</v>
          </cell>
        </row>
        <row r="1240">
          <cell r="A1240" t="str">
            <v>M1</v>
          </cell>
          <cell r="B1240" t="str">
            <v>A5C</v>
          </cell>
          <cell r="C1240" t="str">
            <v>P</v>
          </cell>
          <cell r="D1240" t="str">
            <v>22140</v>
          </cell>
          <cell r="E1240" t="str">
            <v>WN FLG</v>
          </cell>
          <cell r="F1240">
            <v>3</v>
          </cell>
          <cell r="G1240" t="str">
            <v>CB200108000200</v>
          </cell>
          <cell r="H1240">
            <v>2</v>
          </cell>
          <cell r="I1240" t="str">
            <v>--</v>
          </cell>
          <cell r="J1240">
            <v>11</v>
          </cell>
          <cell r="K1240">
            <v>13</v>
          </cell>
        </row>
        <row r="1241">
          <cell r="A1241" t="str">
            <v>M1</v>
          </cell>
          <cell r="B1241" t="str">
            <v>A5C</v>
          </cell>
          <cell r="C1241" t="str">
            <v>P</v>
          </cell>
          <cell r="D1241" t="str">
            <v>22091</v>
          </cell>
          <cell r="E1241" t="str">
            <v>WN FLG</v>
          </cell>
          <cell r="F1241">
            <v>3</v>
          </cell>
          <cell r="G1241" t="str">
            <v>CB200108000200</v>
          </cell>
          <cell r="H1241">
            <v>2</v>
          </cell>
          <cell r="I1241" t="str">
            <v>--</v>
          </cell>
          <cell r="J1241">
            <v>1</v>
          </cell>
          <cell r="K1241">
            <v>2</v>
          </cell>
        </row>
        <row r="1242">
          <cell r="A1242" t="str">
            <v>M1</v>
          </cell>
          <cell r="B1242" t="str">
            <v>A5C</v>
          </cell>
          <cell r="C1242" t="str">
            <v>P</v>
          </cell>
          <cell r="D1242" t="str">
            <v>22090</v>
          </cell>
          <cell r="E1242" t="str">
            <v>WN FLG</v>
          </cell>
          <cell r="F1242">
            <v>3</v>
          </cell>
          <cell r="G1242" t="str">
            <v>CB200108000200</v>
          </cell>
          <cell r="H1242">
            <v>2</v>
          </cell>
          <cell r="I1242" t="str">
            <v>--</v>
          </cell>
          <cell r="J1242">
            <v>1</v>
          </cell>
          <cell r="K1242">
            <v>2</v>
          </cell>
        </row>
        <row r="1243">
          <cell r="A1243" t="str">
            <v>M1</v>
          </cell>
          <cell r="B1243" t="str">
            <v>A5C</v>
          </cell>
          <cell r="C1243" t="str">
            <v>P</v>
          </cell>
          <cell r="D1243" t="str">
            <v>22100</v>
          </cell>
          <cell r="E1243" t="str">
            <v>WN FLG</v>
          </cell>
          <cell r="F1243">
            <v>3</v>
          </cell>
          <cell r="G1243" t="str">
            <v>CB200108000200</v>
          </cell>
          <cell r="H1243">
            <v>2</v>
          </cell>
          <cell r="I1243" t="str">
            <v>--</v>
          </cell>
          <cell r="J1243">
            <v>11</v>
          </cell>
          <cell r="K1243">
            <v>13</v>
          </cell>
        </row>
        <row r="1244">
          <cell r="A1244" t="str">
            <v>M1</v>
          </cell>
          <cell r="B1244" t="str">
            <v>A5C</v>
          </cell>
          <cell r="C1244" t="str">
            <v>P</v>
          </cell>
          <cell r="D1244" t="str">
            <v>22115</v>
          </cell>
          <cell r="E1244" t="str">
            <v>WN FLG</v>
          </cell>
          <cell r="F1244">
            <v>3</v>
          </cell>
          <cell r="G1244" t="str">
            <v>CB200108000200</v>
          </cell>
          <cell r="H1244">
            <v>2</v>
          </cell>
          <cell r="I1244" t="str">
            <v>--</v>
          </cell>
          <cell r="J1244">
            <v>2</v>
          </cell>
          <cell r="K1244">
            <v>3</v>
          </cell>
        </row>
        <row r="1245">
          <cell r="A1245" t="str">
            <v>M1</v>
          </cell>
          <cell r="B1245" t="str">
            <v>A6C</v>
          </cell>
          <cell r="C1245" t="str">
            <v>HOS</v>
          </cell>
          <cell r="D1245" t="str">
            <v>65620</v>
          </cell>
          <cell r="E1245" t="str">
            <v>WN FLG</v>
          </cell>
          <cell r="F1245">
            <v>3</v>
          </cell>
          <cell r="G1245" t="str">
            <v>CB200108000200</v>
          </cell>
          <cell r="H1245">
            <v>2</v>
          </cell>
          <cell r="I1245" t="str">
            <v>--</v>
          </cell>
          <cell r="J1245">
            <v>3</v>
          </cell>
          <cell r="K1245">
            <v>4</v>
          </cell>
        </row>
        <row r="1246">
          <cell r="A1246" t="str">
            <v>M1</v>
          </cell>
          <cell r="B1246" t="str">
            <v>A5C</v>
          </cell>
          <cell r="C1246" t="str">
            <v>P</v>
          </cell>
          <cell r="D1246" t="str">
            <v>22004</v>
          </cell>
          <cell r="E1246" t="str">
            <v>WN FLG</v>
          </cell>
          <cell r="F1246">
            <v>3</v>
          </cell>
          <cell r="G1246" t="str">
            <v>CB200108000200</v>
          </cell>
          <cell r="H1246">
            <v>2</v>
          </cell>
          <cell r="I1246" t="str">
            <v>--</v>
          </cell>
          <cell r="J1246">
            <v>4</v>
          </cell>
          <cell r="K1246">
            <v>5</v>
          </cell>
        </row>
        <row r="1247">
          <cell r="A1247" t="str">
            <v>M1</v>
          </cell>
          <cell r="B1247" t="str">
            <v>A5C</v>
          </cell>
          <cell r="C1247" t="str">
            <v>P</v>
          </cell>
          <cell r="D1247" t="str">
            <v>22004</v>
          </cell>
          <cell r="E1247" t="str">
            <v>WN FLG</v>
          </cell>
          <cell r="F1247">
            <v>3</v>
          </cell>
          <cell r="G1247" t="str">
            <v>CB200108000200</v>
          </cell>
          <cell r="H1247">
            <v>2</v>
          </cell>
          <cell r="I1247" t="str">
            <v>--</v>
          </cell>
          <cell r="J1247">
            <v>6</v>
          </cell>
          <cell r="K1247">
            <v>7</v>
          </cell>
        </row>
        <row r="1248">
          <cell r="A1248" t="str">
            <v>M1</v>
          </cell>
          <cell r="B1248" t="str">
            <v>A5C</v>
          </cell>
          <cell r="C1248" t="str">
            <v>P</v>
          </cell>
          <cell r="D1248" t="str">
            <v>22004</v>
          </cell>
          <cell r="E1248" t="str">
            <v>WN FLG</v>
          </cell>
          <cell r="F1248">
            <v>3</v>
          </cell>
          <cell r="G1248" t="str">
            <v>CB200208000200</v>
          </cell>
          <cell r="H1248">
            <v>2</v>
          </cell>
          <cell r="I1248" t="str">
            <v>--</v>
          </cell>
          <cell r="J1248">
            <v>4</v>
          </cell>
          <cell r="K1248">
            <v>5</v>
          </cell>
        </row>
        <row r="1249">
          <cell r="A1249" t="str">
            <v>M1</v>
          </cell>
          <cell r="B1249" t="str">
            <v>A5C</v>
          </cell>
          <cell r="C1249" t="str">
            <v>P</v>
          </cell>
          <cell r="D1249" t="str">
            <v>22004</v>
          </cell>
          <cell r="E1249" t="str">
            <v>WN FLG</v>
          </cell>
          <cell r="F1249">
            <v>3</v>
          </cell>
          <cell r="G1249" t="str">
            <v>CB200208000200</v>
          </cell>
          <cell r="H1249">
            <v>2</v>
          </cell>
          <cell r="I1249" t="str">
            <v>--</v>
          </cell>
          <cell r="J1249">
            <v>2</v>
          </cell>
          <cell r="K1249">
            <v>3</v>
          </cell>
        </row>
        <row r="1250">
          <cell r="A1250" t="str">
            <v>M1</v>
          </cell>
          <cell r="B1250" t="str">
            <v>A5C</v>
          </cell>
          <cell r="C1250" t="str">
            <v>TRIM</v>
          </cell>
          <cell r="D1250" t="str">
            <v>V-2214</v>
          </cell>
          <cell r="E1250" t="str">
            <v>WN FLG</v>
          </cell>
          <cell r="F1250">
            <v>3</v>
          </cell>
          <cell r="G1250" t="str">
            <v>CB200108000200</v>
          </cell>
          <cell r="H1250">
            <v>2</v>
          </cell>
          <cell r="I1250" t="str">
            <v>--</v>
          </cell>
          <cell r="J1250">
            <v>1</v>
          </cell>
          <cell r="K1250">
            <v>2</v>
          </cell>
        </row>
        <row r="1251">
          <cell r="A1251" t="str">
            <v>M1</v>
          </cell>
          <cell r="B1251" t="str">
            <v>A6C</v>
          </cell>
          <cell r="C1251" t="str">
            <v>HOS</v>
          </cell>
          <cell r="D1251" t="str">
            <v>65624</v>
          </cell>
          <cell r="E1251" t="str">
            <v>WN FLG</v>
          </cell>
          <cell r="F1251">
            <v>3</v>
          </cell>
          <cell r="G1251" t="str">
            <v>CB200108000200</v>
          </cell>
          <cell r="H1251">
            <v>2</v>
          </cell>
          <cell r="I1251" t="str">
            <v>--</v>
          </cell>
          <cell r="J1251">
            <v>21</v>
          </cell>
          <cell r="K1251">
            <v>24</v>
          </cell>
        </row>
        <row r="1252">
          <cell r="A1252" t="str">
            <v>M1</v>
          </cell>
          <cell r="B1252" t="str">
            <v>A6C</v>
          </cell>
          <cell r="C1252" t="str">
            <v>HOS</v>
          </cell>
          <cell r="D1252" t="str">
            <v>65624</v>
          </cell>
          <cell r="E1252" t="str">
            <v>WN FLG</v>
          </cell>
          <cell r="F1252">
            <v>3</v>
          </cell>
          <cell r="G1252" t="str">
            <v>CB200108000200</v>
          </cell>
          <cell r="H1252">
            <v>2</v>
          </cell>
          <cell r="I1252" t="str">
            <v>--</v>
          </cell>
          <cell r="J1252">
            <v>21</v>
          </cell>
          <cell r="K1252">
            <v>24</v>
          </cell>
        </row>
        <row r="1253">
          <cell r="A1253" t="str">
            <v>M1</v>
          </cell>
          <cell r="B1253" t="str">
            <v>A5C</v>
          </cell>
          <cell r="C1253" t="str">
            <v>P</v>
          </cell>
          <cell r="D1253" t="str">
            <v>22097</v>
          </cell>
          <cell r="E1253" t="str">
            <v>WN FLG</v>
          </cell>
          <cell r="F1253">
            <v>3</v>
          </cell>
          <cell r="G1253" t="str">
            <v>CB200108000200</v>
          </cell>
          <cell r="H1253">
            <v>2</v>
          </cell>
          <cell r="I1253" t="str">
            <v>--</v>
          </cell>
          <cell r="J1253">
            <v>1</v>
          </cell>
          <cell r="K1253">
            <v>2</v>
          </cell>
        </row>
        <row r="1254">
          <cell r="A1254" t="str">
            <v>M1</v>
          </cell>
          <cell r="B1254" t="str">
            <v>A5C</v>
          </cell>
          <cell r="C1254" t="str">
            <v>TRIM</v>
          </cell>
          <cell r="D1254" t="str">
            <v>C-2201</v>
          </cell>
          <cell r="E1254" t="str">
            <v>WN FLG</v>
          </cell>
          <cell r="F1254">
            <v>3</v>
          </cell>
          <cell r="G1254" t="str">
            <v>CB200108000200</v>
          </cell>
          <cell r="H1254">
            <v>2</v>
          </cell>
          <cell r="I1254" t="str">
            <v>--</v>
          </cell>
          <cell r="J1254">
            <v>2</v>
          </cell>
          <cell r="K1254">
            <v>3</v>
          </cell>
        </row>
        <row r="1255">
          <cell r="A1255" t="str">
            <v>M1</v>
          </cell>
          <cell r="B1255" t="str">
            <v>A6C</v>
          </cell>
          <cell r="C1255" t="str">
            <v>TRIM</v>
          </cell>
          <cell r="D1255" t="str">
            <v>V-6501</v>
          </cell>
          <cell r="E1255" t="str">
            <v>WN FLG</v>
          </cell>
          <cell r="F1255">
            <v>3</v>
          </cell>
          <cell r="G1255" t="str">
            <v>CB200108000200</v>
          </cell>
          <cell r="H1255">
            <v>2</v>
          </cell>
          <cell r="I1255" t="str">
            <v>--</v>
          </cell>
          <cell r="J1255">
            <v>6</v>
          </cell>
          <cell r="K1255">
            <v>7</v>
          </cell>
        </row>
        <row r="1256">
          <cell r="A1256" t="str">
            <v>M1</v>
          </cell>
          <cell r="B1256" t="str">
            <v>A6C</v>
          </cell>
          <cell r="C1256" t="str">
            <v>HOR</v>
          </cell>
          <cell r="D1256" t="str">
            <v>65611</v>
          </cell>
          <cell r="E1256" t="str">
            <v>WN FLG</v>
          </cell>
          <cell r="F1256">
            <v>3</v>
          </cell>
          <cell r="G1256" t="str">
            <v>CB200108000200</v>
          </cell>
          <cell r="H1256">
            <v>2</v>
          </cell>
          <cell r="I1256" t="str">
            <v>--</v>
          </cell>
          <cell r="J1256">
            <v>7</v>
          </cell>
          <cell r="K1256">
            <v>8</v>
          </cell>
        </row>
        <row r="1257">
          <cell r="A1257" t="str">
            <v>M1</v>
          </cell>
          <cell r="B1257" t="str">
            <v>A6C</v>
          </cell>
          <cell r="C1257" t="str">
            <v>HOR</v>
          </cell>
          <cell r="D1257" t="str">
            <v>65611</v>
          </cell>
          <cell r="E1257" t="str">
            <v>WN FLG</v>
          </cell>
          <cell r="F1257">
            <v>3</v>
          </cell>
          <cell r="G1257" t="str">
            <v>CB200108000200</v>
          </cell>
          <cell r="H1257">
            <v>2</v>
          </cell>
          <cell r="I1257" t="str">
            <v>--</v>
          </cell>
          <cell r="J1257">
            <v>7</v>
          </cell>
          <cell r="K1257">
            <v>8</v>
          </cell>
        </row>
        <row r="1258">
          <cell r="A1258" t="str">
            <v>M1</v>
          </cell>
          <cell r="B1258" t="str">
            <v>A5C</v>
          </cell>
          <cell r="C1258" t="str">
            <v>P</v>
          </cell>
          <cell r="D1258" t="str">
            <v>22096</v>
          </cell>
          <cell r="E1258" t="str">
            <v>WN FLG</v>
          </cell>
          <cell r="F1258">
            <v>3</v>
          </cell>
          <cell r="G1258" t="str">
            <v>CB200108000200</v>
          </cell>
          <cell r="H1258">
            <v>2</v>
          </cell>
          <cell r="I1258" t="str">
            <v>--</v>
          </cell>
          <cell r="J1258">
            <v>6</v>
          </cell>
          <cell r="K1258">
            <v>7</v>
          </cell>
        </row>
        <row r="1259">
          <cell r="A1259" t="str">
            <v>M1</v>
          </cell>
          <cell r="B1259" t="str">
            <v>B2C</v>
          </cell>
          <cell r="C1259" t="str">
            <v>SH</v>
          </cell>
          <cell r="D1259" t="str">
            <v>22601</v>
          </cell>
          <cell r="E1259" t="str">
            <v>WN FLG</v>
          </cell>
          <cell r="F1259">
            <v>3</v>
          </cell>
          <cell r="G1259" t="str">
            <v>CB200204000300</v>
          </cell>
          <cell r="H1259">
            <v>3</v>
          </cell>
          <cell r="I1259" t="str">
            <v>--</v>
          </cell>
          <cell r="J1259">
            <v>3</v>
          </cell>
          <cell r="K1259">
            <v>4</v>
          </cell>
        </row>
        <row r="1260">
          <cell r="A1260" t="str">
            <v>M1</v>
          </cell>
          <cell r="B1260" t="str">
            <v>B2C</v>
          </cell>
          <cell r="C1260" t="str">
            <v>SH</v>
          </cell>
          <cell r="D1260" t="str">
            <v>22625</v>
          </cell>
          <cell r="E1260" t="str">
            <v>WN FLG</v>
          </cell>
          <cell r="F1260">
            <v>3</v>
          </cell>
          <cell r="G1260" t="str">
            <v>CB200204000300</v>
          </cell>
          <cell r="H1260">
            <v>3</v>
          </cell>
          <cell r="I1260" t="str">
            <v>--</v>
          </cell>
          <cell r="J1260">
            <v>2</v>
          </cell>
          <cell r="K1260">
            <v>3</v>
          </cell>
        </row>
        <row r="1261">
          <cell r="A1261" t="str">
            <v>M1</v>
          </cell>
          <cell r="B1261" t="str">
            <v>B2C</v>
          </cell>
          <cell r="C1261" t="str">
            <v>TRIM</v>
          </cell>
          <cell r="D1261" t="str">
            <v>V-2218</v>
          </cell>
          <cell r="E1261" t="str">
            <v>WN FLG</v>
          </cell>
          <cell r="F1261">
            <v>3</v>
          </cell>
          <cell r="G1261" t="str">
            <v>CB200204000300</v>
          </cell>
          <cell r="H1261">
            <v>3</v>
          </cell>
          <cell r="I1261" t="str">
            <v>--</v>
          </cell>
          <cell r="J1261">
            <v>3</v>
          </cell>
          <cell r="K1261">
            <v>4</v>
          </cell>
        </row>
        <row r="1262">
          <cell r="A1262" t="str">
            <v>M1</v>
          </cell>
          <cell r="B1262" t="str">
            <v>A5C</v>
          </cell>
          <cell r="C1262" t="str">
            <v>P</v>
          </cell>
          <cell r="D1262" t="str">
            <v>22025</v>
          </cell>
          <cell r="E1262" t="str">
            <v>WN FLG</v>
          </cell>
          <cell r="F1262">
            <v>3</v>
          </cell>
          <cell r="G1262" t="str">
            <v>CB200104000300</v>
          </cell>
          <cell r="H1262">
            <v>3</v>
          </cell>
          <cell r="I1262" t="str">
            <v>--</v>
          </cell>
          <cell r="J1262">
            <v>2</v>
          </cell>
          <cell r="K1262">
            <v>3</v>
          </cell>
        </row>
        <row r="1263">
          <cell r="A1263" t="str">
            <v>M1</v>
          </cell>
          <cell r="B1263" t="str">
            <v>A5C</v>
          </cell>
          <cell r="C1263" t="str">
            <v>P</v>
          </cell>
          <cell r="D1263" t="str">
            <v>22025</v>
          </cell>
          <cell r="E1263" t="str">
            <v>WN FLG</v>
          </cell>
          <cell r="F1263">
            <v>3</v>
          </cell>
          <cell r="G1263" t="str">
            <v>CB200204000300</v>
          </cell>
          <cell r="H1263">
            <v>3</v>
          </cell>
          <cell r="I1263" t="str">
            <v>--</v>
          </cell>
          <cell r="J1263">
            <v>2</v>
          </cell>
          <cell r="K1263">
            <v>3</v>
          </cell>
        </row>
        <row r="1264">
          <cell r="A1264" t="str">
            <v>M1</v>
          </cell>
          <cell r="B1264" t="str">
            <v>A5C</v>
          </cell>
          <cell r="C1264" t="str">
            <v>P</v>
          </cell>
          <cell r="D1264" t="str">
            <v>22081</v>
          </cell>
          <cell r="E1264" t="str">
            <v>WN FLG</v>
          </cell>
          <cell r="F1264">
            <v>3</v>
          </cell>
          <cell r="G1264" t="str">
            <v>CB200104000300</v>
          </cell>
          <cell r="H1264">
            <v>3</v>
          </cell>
          <cell r="I1264" t="str">
            <v>--</v>
          </cell>
          <cell r="J1264">
            <v>8</v>
          </cell>
          <cell r="K1264">
            <v>9</v>
          </cell>
        </row>
        <row r="1265">
          <cell r="A1265" t="str">
            <v>M1</v>
          </cell>
          <cell r="B1265" t="str">
            <v>A5C</v>
          </cell>
          <cell r="C1265" t="str">
            <v>P</v>
          </cell>
          <cell r="D1265" t="str">
            <v>22133</v>
          </cell>
          <cell r="E1265" t="str">
            <v>WN FLG</v>
          </cell>
          <cell r="F1265">
            <v>3</v>
          </cell>
          <cell r="G1265" t="str">
            <v>CB200104000300</v>
          </cell>
          <cell r="H1265">
            <v>3</v>
          </cell>
          <cell r="I1265" t="str">
            <v>--</v>
          </cell>
          <cell r="J1265">
            <v>1</v>
          </cell>
          <cell r="K1265">
            <v>2</v>
          </cell>
        </row>
        <row r="1266">
          <cell r="A1266" t="str">
            <v>M1</v>
          </cell>
          <cell r="B1266" t="str">
            <v>A5C</v>
          </cell>
          <cell r="C1266" t="str">
            <v>P</v>
          </cell>
          <cell r="D1266" t="str">
            <v>22118</v>
          </cell>
          <cell r="E1266" t="str">
            <v>WN FLG</v>
          </cell>
          <cell r="F1266">
            <v>3</v>
          </cell>
          <cell r="G1266" t="str">
            <v>CB200104000300</v>
          </cell>
          <cell r="H1266">
            <v>3</v>
          </cell>
          <cell r="I1266" t="str">
            <v>--</v>
          </cell>
          <cell r="J1266">
            <v>1</v>
          </cell>
          <cell r="K1266">
            <v>2</v>
          </cell>
        </row>
        <row r="1267">
          <cell r="A1267" t="str">
            <v>M1</v>
          </cell>
          <cell r="B1267" t="str">
            <v>A5C</v>
          </cell>
          <cell r="C1267" t="str">
            <v>P</v>
          </cell>
          <cell r="D1267" t="str">
            <v>22118</v>
          </cell>
          <cell r="E1267" t="str">
            <v>WN FLG</v>
          </cell>
          <cell r="F1267">
            <v>3</v>
          </cell>
          <cell r="G1267" t="str">
            <v>CB200204000300</v>
          </cell>
          <cell r="H1267">
            <v>3</v>
          </cell>
          <cell r="I1267" t="str">
            <v>--</v>
          </cell>
          <cell r="J1267">
            <v>2</v>
          </cell>
          <cell r="K1267">
            <v>3</v>
          </cell>
        </row>
        <row r="1268">
          <cell r="A1268" t="str">
            <v>M1</v>
          </cell>
          <cell r="B1268" t="str">
            <v>A5C</v>
          </cell>
          <cell r="C1268" t="str">
            <v>P</v>
          </cell>
          <cell r="D1268" t="str">
            <v>22134</v>
          </cell>
          <cell r="E1268" t="str">
            <v>WN FLG</v>
          </cell>
          <cell r="F1268">
            <v>3</v>
          </cell>
          <cell r="G1268" t="str">
            <v>CB200104000300</v>
          </cell>
          <cell r="H1268">
            <v>3</v>
          </cell>
          <cell r="I1268" t="str">
            <v>--</v>
          </cell>
          <cell r="J1268">
            <v>1</v>
          </cell>
          <cell r="K1268">
            <v>2</v>
          </cell>
        </row>
        <row r="1269">
          <cell r="A1269" t="str">
            <v>M1</v>
          </cell>
          <cell r="B1269" t="str">
            <v>A5C</v>
          </cell>
          <cell r="C1269" t="str">
            <v>P</v>
          </cell>
          <cell r="D1269" t="str">
            <v>25002</v>
          </cell>
          <cell r="E1269" t="str">
            <v>WN FLG</v>
          </cell>
          <cell r="F1269">
            <v>3</v>
          </cell>
          <cell r="G1269" t="str">
            <v>CB200204000300</v>
          </cell>
          <cell r="H1269">
            <v>3</v>
          </cell>
          <cell r="I1269" t="str">
            <v>--</v>
          </cell>
          <cell r="J1269">
            <v>2</v>
          </cell>
          <cell r="K1269">
            <v>3</v>
          </cell>
        </row>
        <row r="1270">
          <cell r="A1270" t="str">
            <v>M1</v>
          </cell>
          <cell r="B1270" t="str">
            <v>A5C</v>
          </cell>
          <cell r="C1270" t="str">
            <v>TRIM</v>
          </cell>
          <cell r="D1270" t="str">
            <v>V-2211</v>
          </cell>
          <cell r="E1270" t="str">
            <v>WN FLG</v>
          </cell>
          <cell r="F1270">
            <v>3</v>
          </cell>
          <cell r="G1270" t="str">
            <v>CB200104000300</v>
          </cell>
          <cell r="H1270">
            <v>3</v>
          </cell>
          <cell r="I1270" t="str">
            <v>--</v>
          </cell>
          <cell r="J1270">
            <v>3</v>
          </cell>
          <cell r="K1270">
            <v>4</v>
          </cell>
        </row>
        <row r="1271">
          <cell r="A1271" t="str">
            <v>M1</v>
          </cell>
          <cell r="B1271" t="str">
            <v>A5C</v>
          </cell>
          <cell r="C1271" t="str">
            <v>P</v>
          </cell>
          <cell r="D1271" t="str">
            <v>22153</v>
          </cell>
          <cell r="E1271" t="str">
            <v>WN FLG</v>
          </cell>
          <cell r="F1271">
            <v>3</v>
          </cell>
          <cell r="G1271" t="str">
            <v>CB200104000300</v>
          </cell>
          <cell r="H1271">
            <v>3</v>
          </cell>
          <cell r="I1271" t="str">
            <v>--</v>
          </cell>
          <cell r="J1271">
            <v>2</v>
          </cell>
          <cell r="K1271">
            <v>3</v>
          </cell>
        </row>
        <row r="1272">
          <cell r="A1272" t="str">
            <v>M1</v>
          </cell>
          <cell r="B1272" t="str">
            <v>A5C</v>
          </cell>
          <cell r="C1272" t="str">
            <v>P</v>
          </cell>
          <cell r="D1272" t="str">
            <v>22090</v>
          </cell>
          <cell r="E1272" t="str">
            <v>WN FLG</v>
          </cell>
          <cell r="F1272">
            <v>3</v>
          </cell>
          <cell r="G1272" t="str">
            <v>CB200104000300</v>
          </cell>
          <cell r="H1272">
            <v>3</v>
          </cell>
          <cell r="I1272" t="str">
            <v>--</v>
          </cell>
          <cell r="J1272">
            <v>5</v>
          </cell>
          <cell r="K1272">
            <v>6</v>
          </cell>
        </row>
        <row r="1273">
          <cell r="A1273" t="str">
            <v>M1</v>
          </cell>
          <cell r="B1273" t="str">
            <v>A5C</v>
          </cell>
          <cell r="C1273" t="str">
            <v>P</v>
          </cell>
          <cell r="D1273" t="str">
            <v>22090</v>
          </cell>
          <cell r="E1273" t="str">
            <v>WN FLG</v>
          </cell>
          <cell r="F1273">
            <v>3</v>
          </cell>
          <cell r="G1273" t="str">
            <v>CB200104000300</v>
          </cell>
          <cell r="H1273">
            <v>3</v>
          </cell>
          <cell r="I1273" t="str">
            <v>--</v>
          </cell>
          <cell r="J1273">
            <v>6</v>
          </cell>
          <cell r="K1273">
            <v>7</v>
          </cell>
        </row>
        <row r="1274">
          <cell r="A1274" t="str">
            <v>M1</v>
          </cell>
          <cell r="B1274" t="str">
            <v>A5C</v>
          </cell>
          <cell r="C1274" t="str">
            <v>P</v>
          </cell>
          <cell r="D1274" t="str">
            <v>22091</v>
          </cell>
          <cell r="E1274" t="str">
            <v>WN FLG</v>
          </cell>
          <cell r="F1274">
            <v>3</v>
          </cell>
          <cell r="G1274" t="str">
            <v>CB200104000300</v>
          </cell>
          <cell r="H1274">
            <v>3</v>
          </cell>
          <cell r="I1274" t="str">
            <v>--</v>
          </cell>
          <cell r="J1274">
            <v>1</v>
          </cell>
          <cell r="K1274">
            <v>2</v>
          </cell>
        </row>
        <row r="1275">
          <cell r="A1275" t="str">
            <v>M1</v>
          </cell>
          <cell r="B1275" t="str">
            <v>A5C</v>
          </cell>
          <cell r="C1275" t="str">
            <v>P</v>
          </cell>
          <cell r="D1275" t="str">
            <v>22092</v>
          </cell>
          <cell r="E1275" t="str">
            <v>WN FLG</v>
          </cell>
          <cell r="F1275">
            <v>3</v>
          </cell>
          <cell r="G1275" t="str">
            <v>CB200104000300</v>
          </cell>
          <cell r="H1275">
            <v>3</v>
          </cell>
          <cell r="I1275" t="str">
            <v>--</v>
          </cell>
          <cell r="J1275">
            <v>3</v>
          </cell>
          <cell r="K1275">
            <v>4</v>
          </cell>
        </row>
        <row r="1276">
          <cell r="A1276" t="str">
            <v>M1</v>
          </cell>
          <cell r="B1276" t="str">
            <v>A5C</v>
          </cell>
          <cell r="C1276" t="str">
            <v>P</v>
          </cell>
          <cell r="D1276" t="str">
            <v>22094</v>
          </cell>
          <cell r="E1276" t="str">
            <v>WN FLG</v>
          </cell>
          <cell r="F1276">
            <v>3</v>
          </cell>
          <cell r="G1276" t="str">
            <v>CB200104000300</v>
          </cell>
          <cell r="H1276">
            <v>3</v>
          </cell>
          <cell r="I1276" t="str">
            <v>--</v>
          </cell>
          <cell r="J1276">
            <v>11</v>
          </cell>
          <cell r="K1276">
            <v>13</v>
          </cell>
        </row>
        <row r="1277">
          <cell r="A1277" t="str">
            <v>M1</v>
          </cell>
          <cell r="B1277" t="str">
            <v>A5C</v>
          </cell>
          <cell r="C1277" t="str">
            <v>P</v>
          </cell>
          <cell r="D1277" t="str">
            <v>22095</v>
          </cell>
          <cell r="E1277" t="str">
            <v>WN FLG</v>
          </cell>
          <cell r="F1277">
            <v>3</v>
          </cell>
          <cell r="G1277" t="str">
            <v>CB200104000300</v>
          </cell>
          <cell r="H1277">
            <v>3</v>
          </cell>
          <cell r="I1277" t="str">
            <v>--</v>
          </cell>
          <cell r="J1277">
            <v>11</v>
          </cell>
          <cell r="K1277">
            <v>13</v>
          </cell>
        </row>
        <row r="1278">
          <cell r="A1278" t="str">
            <v>M1</v>
          </cell>
          <cell r="B1278" t="str">
            <v>A5C</v>
          </cell>
          <cell r="C1278" t="str">
            <v>P</v>
          </cell>
          <cell r="D1278" t="str">
            <v>22100</v>
          </cell>
          <cell r="E1278" t="str">
            <v>WN FLG</v>
          </cell>
          <cell r="F1278">
            <v>3</v>
          </cell>
          <cell r="G1278" t="str">
            <v>CB200104000300</v>
          </cell>
          <cell r="H1278">
            <v>3</v>
          </cell>
          <cell r="I1278" t="str">
            <v>--</v>
          </cell>
          <cell r="J1278">
            <v>2</v>
          </cell>
          <cell r="K1278">
            <v>3</v>
          </cell>
        </row>
        <row r="1279">
          <cell r="A1279" t="str">
            <v>M1</v>
          </cell>
          <cell r="B1279" t="str">
            <v>A5C</v>
          </cell>
          <cell r="C1279" t="str">
            <v>P</v>
          </cell>
          <cell r="D1279" t="str">
            <v>22090</v>
          </cell>
          <cell r="E1279" t="str">
            <v>WN FLG</v>
          </cell>
          <cell r="F1279">
            <v>3</v>
          </cell>
          <cell r="G1279" t="str">
            <v>CB200204000300</v>
          </cell>
          <cell r="H1279">
            <v>3</v>
          </cell>
          <cell r="I1279" t="str">
            <v>--</v>
          </cell>
          <cell r="J1279">
            <v>2</v>
          </cell>
          <cell r="K1279">
            <v>3</v>
          </cell>
        </row>
        <row r="1280">
          <cell r="A1280" t="str">
            <v>M1</v>
          </cell>
          <cell r="B1280" t="str">
            <v>A5C</v>
          </cell>
          <cell r="C1280" t="str">
            <v>P</v>
          </cell>
          <cell r="D1280" t="str">
            <v>22093</v>
          </cell>
          <cell r="E1280" t="str">
            <v>WN FLG</v>
          </cell>
          <cell r="F1280">
            <v>3</v>
          </cell>
          <cell r="G1280" t="str">
            <v>CB200104000300</v>
          </cell>
          <cell r="H1280">
            <v>3</v>
          </cell>
          <cell r="I1280" t="str">
            <v>--</v>
          </cell>
          <cell r="J1280">
            <v>3</v>
          </cell>
          <cell r="K1280">
            <v>4</v>
          </cell>
        </row>
        <row r="1281">
          <cell r="A1281" t="str">
            <v>M1</v>
          </cell>
          <cell r="B1281" t="str">
            <v>A5C</v>
          </cell>
          <cell r="C1281" t="str">
            <v>WW</v>
          </cell>
          <cell r="D1281" t="str">
            <v>22601</v>
          </cell>
          <cell r="E1281" t="str">
            <v>WN FLG</v>
          </cell>
          <cell r="F1281">
            <v>3</v>
          </cell>
          <cell r="G1281" t="str">
            <v>CB200104000300</v>
          </cell>
          <cell r="H1281">
            <v>3</v>
          </cell>
          <cell r="I1281" t="str">
            <v>--</v>
          </cell>
          <cell r="J1281">
            <v>2</v>
          </cell>
          <cell r="K1281">
            <v>3</v>
          </cell>
        </row>
        <row r="1282">
          <cell r="A1282" t="str">
            <v>M1</v>
          </cell>
          <cell r="B1282" t="str">
            <v>A5C</v>
          </cell>
          <cell r="C1282" t="str">
            <v>P</v>
          </cell>
          <cell r="D1282" t="str">
            <v>22003</v>
          </cell>
          <cell r="E1282" t="str">
            <v>WN FLG</v>
          </cell>
          <cell r="F1282">
            <v>3</v>
          </cell>
          <cell r="G1282" t="str">
            <v>CB200204000300</v>
          </cell>
          <cell r="H1282">
            <v>3</v>
          </cell>
          <cell r="I1282" t="str">
            <v>--</v>
          </cell>
          <cell r="J1282">
            <v>2</v>
          </cell>
          <cell r="K1282">
            <v>3</v>
          </cell>
        </row>
        <row r="1283">
          <cell r="A1283" t="str">
            <v>M1</v>
          </cell>
          <cell r="B1283" t="str">
            <v>A5C</v>
          </cell>
          <cell r="C1283" t="str">
            <v>P</v>
          </cell>
          <cell r="D1283" t="str">
            <v>22003</v>
          </cell>
          <cell r="E1283" t="str">
            <v>WN FLG</v>
          </cell>
          <cell r="F1283">
            <v>3</v>
          </cell>
          <cell r="G1283" t="str">
            <v>CB200104000300</v>
          </cell>
          <cell r="H1283">
            <v>3</v>
          </cell>
          <cell r="I1283" t="str">
            <v>--</v>
          </cell>
          <cell r="J1283">
            <v>11</v>
          </cell>
          <cell r="K1283">
            <v>13</v>
          </cell>
        </row>
        <row r="1284">
          <cell r="A1284" t="str">
            <v>M1</v>
          </cell>
          <cell r="B1284" t="str">
            <v>A5C</v>
          </cell>
          <cell r="C1284" t="str">
            <v>P</v>
          </cell>
          <cell r="D1284" t="str">
            <v>22004</v>
          </cell>
          <cell r="E1284" t="str">
            <v>WN FLG</v>
          </cell>
          <cell r="F1284">
            <v>3</v>
          </cell>
          <cell r="G1284" t="str">
            <v>CB200204000300</v>
          </cell>
          <cell r="H1284">
            <v>3</v>
          </cell>
          <cell r="I1284" t="str">
            <v>--</v>
          </cell>
          <cell r="J1284">
            <v>2</v>
          </cell>
          <cell r="K1284">
            <v>3</v>
          </cell>
        </row>
        <row r="1285">
          <cell r="A1285" t="str">
            <v>M1</v>
          </cell>
          <cell r="B1285" t="str">
            <v>A5C</v>
          </cell>
          <cell r="C1285" t="str">
            <v>P</v>
          </cell>
          <cell r="D1285" t="str">
            <v>22005</v>
          </cell>
          <cell r="E1285" t="str">
            <v>WN FLG</v>
          </cell>
          <cell r="F1285">
            <v>3</v>
          </cell>
          <cell r="G1285" t="str">
            <v>CB200204000300</v>
          </cell>
          <cell r="H1285">
            <v>3</v>
          </cell>
          <cell r="I1285" t="str">
            <v>--</v>
          </cell>
          <cell r="J1285">
            <v>2</v>
          </cell>
          <cell r="K1285">
            <v>3</v>
          </cell>
        </row>
        <row r="1286">
          <cell r="A1286" t="str">
            <v>M1</v>
          </cell>
          <cell r="B1286" t="str">
            <v>A5C</v>
          </cell>
          <cell r="C1286" t="str">
            <v>P</v>
          </cell>
          <cell r="D1286" t="str">
            <v>22005</v>
          </cell>
          <cell r="E1286" t="str">
            <v>WN FLG</v>
          </cell>
          <cell r="F1286">
            <v>3</v>
          </cell>
          <cell r="G1286" t="str">
            <v>CB200104000300</v>
          </cell>
          <cell r="H1286">
            <v>3</v>
          </cell>
          <cell r="I1286" t="str">
            <v>--</v>
          </cell>
          <cell r="J1286">
            <v>2</v>
          </cell>
          <cell r="K1286">
            <v>3</v>
          </cell>
        </row>
        <row r="1287">
          <cell r="A1287" t="str">
            <v>M1</v>
          </cell>
          <cell r="B1287" t="str">
            <v>A5C</v>
          </cell>
          <cell r="C1287" t="str">
            <v>P</v>
          </cell>
          <cell r="D1287" t="str">
            <v>22026</v>
          </cell>
          <cell r="E1287" t="str">
            <v>WN FLG</v>
          </cell>
          <cell r="F1287">
            <v>3</v>
          </cell>
          <cell r="G1287" t="str">
            <v>CB200204000300</v>
          </cell>
          <cell r="H1287">
            <v>3</v>
          </cell>
          <cell r="I1287" t="str">
            <v>--</v>
          </cell>
          <cell r="J1287">
            <v>2</v>
          </cell>
          <cell r="K1287">
            <v>3</v>
          </cell>
        </row>
        <row r="1288">
          <cell r="A1288" t="str">
            <v>M1</v>
          </cell>
          <cell r="B1288" t="str">
            <v>A5C</v>
          </cell>
          <cell r="C1288" t="str">
            <v>P</v>
          </cell>
          <cell r="D1288" t="str">
            <v>22026</v>
          </cell>
          <cell r="E1288" t="str">
            <v>WN FLG</v>
          </cell>
          <cell r="F1288">
            <v>3</v>
          </cell>
          <cell r="G1288" t="str">
            <v>CB200104000300</v>
          </cell>
          <cell r="H1288">
            <v>3</v>
          </cell>
          <cell r="I1288" t="str">
            <v>--</v>
          </cell>
          <cell r="J1288">
            <v>8</v>
          </cell>
          <cell r="K1288">
            <v>9</v>
          </cell>
        </row>
        <row r="1289">
          <cell r="A1289" t="str">
            <v>M1</v>
          </cell>
          <cell r="B1289" t="str">
            <v>A5C</v>
          </cell>
          <cell r="C1289" t="str">
            <v>P</v>
          </cell>
          <cell r="D1289" t="str">
            <v>22073</v>
          </cell>
          <cell r="E1289" t="str">
            <v>WN FLG</v>
          </cell>
          <cell r="F1289">
            <v>3</v>
          </cell>
          <cell r="G1289" t="str">
            <v>CB200104000300</v>
          </cell>
          <cell r="H1289">
            <v>3</v>
          </cell>
          <cell r="I1289" t="str">
            <v>--</v>
          </cell>
          <cell r="J1289">
            <v>1</v>
          </cell>
          <cell r="K1289">
            <v>2</v>
          </cell>
        </row>
        <row r="1290">
          <cell r="A1290" t="str">
            <v>M1</v>
          </cell>
          <cell r="B1290" t="str">
            <v>A5C</v>
          </cell>
          <cell r="C1290" t="str">
            <v>P</v>
          </cell>
          <cell r="D1290" t="str">
            <v>22061</v>
          </cell>
          <cell r="E1290" t="str">
            <v>WN FLG</v>
          </cell>
          <cell r="F1290">
            <v>3</v>
          </cell>
          <cell r="G1290" t="str">
            <v>CB200104000300</v>
          </cell>
          <cell r="H1290">
            <v>3</v>
          </cell>
          <cell r="I1290" t="str">
            <v>--</v>
          </cell>
          <cell r="J1290">
            <v>2</v>
          </cell>
          <cell r="K1290">
            <v>3</v>
          </cell>
        </row>
        <row r="1291">
          <cell r="A1291" t="str">
            <v>M1</v>
          </cell>
          <cell r="B1291" t="str">
            <v>A5C</v>
          </cell>
          <cell r="C1291" t="str">
            <v>P</v>
          </cell>
          <cell r="D1291" t="str">
            <v>22062</v>
          </cell>
          <cell r="E1291" t="str">
            <v>WN FLG</v>
          </cell>
          <cell r="F1291">
            <v>3</v>
          </cell>
          <cell r="G1291" t="str">
            <v>CB200104000300</v>
          </cell>
          <cell r="H1291">
            <v>3</v>
          </cell>
          <cell r="I1291" t="str">
            <v>--</v>
          </cell>
          <cell r="J1291">
            <v>1</v>
          </cell>
          <cell r="K1291">
            <v>2</v>
          </cell>
        </row>
        <row r="1292">
          <cell r="A1292" t="str">
            <v>M1</v>
          </cell>
          <cell r="B1292" t="str">
            <v>A5C</v>
          </cell>
          <cell r="C1292" t="str">
            <v>TRIM</v>
          </cell>
          <cell r="D1292" t="str">
            <v>V-2213</v>
          </cell>
          <cell r="E1292" t="str">
            <v>WN FLG</v>
          </cell>
          <cell r="F1292">
            <v>3</v>
          </cell>
          <cell r="G1292" t="str">
            <v>CB200104000300</v>
          </cell>
          <cell r="H1292">
            <v>3</v>
          </cell>
          <cell r="I1292" t="str">
            <v>--</v>
          </cell>
          <cell r="J1292">
            <v>1</v>
          </cell>
          <cell r="K1292">
            <v>2</v>
          </cell>
        </row>
        <row r="1293">
          <cell r="A1293" t="str">
            <v>M1</v>
          </cell>
          <cell r="B1293" t="str">
            <v>A5C</v>
          </cell>
          <cell r="C1293" t="str">
            <v>P</v>
          </cell>
          <cell r="D1293" t="str">
            <v>22001</v>
          </cell>
          <cell r="E1293" t="str">
            <v>WN FLG</v>
          </cell>
          <cell r="F1293">
            <v>3</v>
          </cell>
          <cell r="G1293" t="str">
            <v>CB200104000300</v>
          </cell>
          <cell r="H1293">
            <v>3</v>
          </cell>
          <cell r="I1293" t="str">
            <v>--</v>
          </cell>
          <cell r="J1293">
            <v>2</v>
          </cell>
          <cell r="K1293">
            <v>3</v>
          </cell>
        </row>
        <row r="1294">
          <cell r="A1294" t="str">
            <v>M1</v>
          </cell>
          <cell r="B1294" t="str">
            <v>A6C</v>
          </cell>
          <cell r="C1294" t="str">
            <v>HOS</v>
          </cell>
          <cell r="D1294" t="str">
            <v>65634</v>
          </cell>
          <cell r="E1294" t="str">
            <v>WN FLG</v>
          </cell>
          <cell r="F1294">
            <v>3</v>
          </cell>
          <cell r="G1294" t="str">
            <v>CB200104000300</v>
          </cell>
          <cell r="H1294">
            <v>3</v>
          </cell>
          <cell r="I1294" t="str">
            <v>--</v>
          </cell>
          <cell r="J1294">
            <v>4</v>
          </cell>
          <cell r="K1294">
            <v>5</v>
          </cell>
        </row>
        <row r="1295">
          <cell r="A1295" t="str">
            <v>M1</v>
          </cell>
          <cell r="B1295" t="str">
            <v>A4C</v>
          </cell>
          <cell r="C1295" t="str">
            <v>P</v>
          </cell>
          <cell r="D1295" t="str">
            <v>22031</v>
          </cell>
          <cell r="E1295" t="str">
            <v>WN FLG</v>
          </cell>
          <cell r="F1295">
            <v>3</v>
          </cell>
          <cell r="G1295" t="str">
            <v>CB200104000300</v>
          </cell>
          <cell r="H1295">
            <v>3</v>
          </cell>
          <cell r="I1295" t="str">
            <v>--</v>
          </cell>
          <cell r="J1295">
            <v>5</v>
          </cell>
          <cell r="K1295">
            <v>6</v>
          </cell>
        </row>
        <row r="1296">
          <cell r="A1296" t="str">
            <v>M1</v>
          </cell>
          <cell r="B1296" t="str">
            <v>A4C</v>
          </cell>
          <cell r="C1296" t="str">
            <v>P</v>
          </cell>
          <cell r="D1296" t="str">
            <v>22031</v>
          </cell>
          <cell r="E1296" t="str">
            <v>WN FLG</v>
          </cell>
          <cell r="F1296">
            <v>3</v>
          </cell>
          <cell r="G1296" t="str">
            <v>CB200104000300</v>
          </cell>
          <cell r="H1296">
            <v>3</v>
          </cell>
          <cell r="I1296" t="str">
            <v>--</v>
          </cell>
          <cell r="J1296">
            <v>1</v>
          </cell>
          <cell r="K1296">
            <v>2</v>
          </cell>
        </row>
        <row r="1297">
          <cell r="A1297" t="str">
            <v>M1</v>
          </cell>
          <cell r="B1297" t="str">
            <v>A5C</v>
          </cell>
          <cell r="C1297" t="str">
            <v>P</v>
          </cell>
          <cell r="D1297" t="str">
            <v>22088</v>
          </cell>
          <cell r="E1297" t="str">
            <v>WN FLG</v>
          </cell>
          <cell r="F1297">
            <v>3</v>
          </cell>
          <cell r="G1297" t="str">
            <v>CB200104000300</v>
          </cell>
          <cell r="H1297">
            <v>3</v>
          </cell>
          <cell r="I1297" t="str">
            <v>--</v>
          </cell>
          <cell r="J1297">
            <v>4</v>
          </cell>
          <cell r="K1297">
            <v>5</v>
          </cell>
        </row>
        <row r="1298">
          <cell r="A1298" t="str">
            <v>M1</v>
          </cell>
          <cell r="B1298" t="str">
            <v>A5C</v>
          </cell>
          <cell r="C1298" t="str">
            <v>P</v>
          </cell>
          <cell r="D1298" t="str">
            <v>22088</v>
          </cell>
          <cell r="E1298" t="str">
            <v>WN FLG</v>
          </cell>
          <cell r="F1298">
            <v>3</v>
          </cell>
          <cell r="G1298" t="str">
            <v>CB200204000300</v>
          </cell>
          <cell r="H1298">
            <v>3</v>
          </cell>
          <cell r="I1298" t="str">
            <v>--</v>
          </cell>
          <cell r="J1298">
            <v>2</v>
          </cell>
          <cell r="K1298">
            <v>3</v>
          </cell>
        </row>
        <row r="1299">
          <cell r="A1299" t="str">
            <v>M1</v>
          </cell>
          <cell r="B1299" t="str">
            <v>A5C</v>
          </cell>
          <cell r="C1299" t="str">
            <v>P</v>
          </cell>
          <cell r="D1299" t="str">
            <v>22089</v>
          </cell>
          <cell r="E1299" t="str">
            <v>WN FLG</v>
          </cell>
          <cell r="F1299">
            <v>3</v>
          </cell>
          <cell r="G1299" t="str">
            <v>CB200104000300</v>
          </cell>
          <cell r="H1299">
            <v>3</v>
          </cell>
          <cell r="I1299" t="str">
            <v>--</v>
          </cell>
          <cell r="J1299">
            <v>1</v>
          </cell>
          <cell r="K1299">
            <v>2</v>
          </cell>
        </row>
        <row r="1300">
          <cell r="A1300" t="str">
            <v>M1</v>
          </cell>
          <cell r="B1300" t="str">
            <v>A5C</v>
          </cell>
          <cell r="C1300" t="str">
            <v>TRIM</v>
          </cell>
          <cell r="D1300" t="str">
            <v>C-2201</v>
          </cell>
          <cell r="E1300" t="str">
            <v>WN FLG</v>
          </cell>
          <cell r="F1300">
            <v>3</v>
          </cell>
          <cell r="G1300" t="str">
            <v>CB200104000300</v>
          </cell>
          <cell r="H1300">
            <v>3</v>
          </cell>
          <cell r="I1300" t="str">
            <v>--</v>
          </cell>
          <cell r="J1300">
            <v>2</v>
          </cell>
          <cell r="K1300">
            <v>3</v>
          </cell>
        </row>
        <row r="1301">
          <cell r="A1301" t="str">
            <v>M1</v>
          </cell>
          <cell r="B1301" t="str">
            <v>A5C</v>
          </cell>
          <cell r="C1301" t="str">
            <v>TRIM</v>
          </cell>
          <cell r="D1301" t="str">
            <v>V-2216A</v>
          </cell>
          <cell r="E1301" t="str">
            <v>WN FLG</v>
          </cell>
          <cell r="F1301">
            <v>3</v>
          </cell>
          <cell r="G1301" t="str">
            <v>CB200104000300</v>
          </cell>
          <cell r="H1301">
            <v>3</v>
          </cell>
          <cell r="I1301" t="str">
            <v>--</v>
          </cell>
          <cell r="J1301">
            <v>3</v>
          </cell>
          <cell r="K1301">
            <v>4</v>
          </cell>
        </row>
        <row r="1302">
          <cell r="A1302" t="str">
            <v>M1</v>
          </cell>
          <cell r="B1302" t="str">
            <v>A5C</v>
          </cell>
          <cell r="C1302" t="str">
            <v>TRIM</v>
          </cell>
          <cell r="D1302" t="str">
            <v>V-2216B</v>
          </cell>
          <cell r="E1302" t="str">
            <v>WN FLG</v>
          </cell>
          <cell r="F1302">
            <v>3</v>
          </cell>
          <cell r="G1302" t="str">
            <v>CB200104000300</v>
          </cell>
          <cell r="H1302">
            <v>3</v>
          </cell>
          <cell r="I1302" t="str">
            <v>--</v>
          </cell>
          <cell r="J1302">
            <v>3</v>
          </cell>
          <cell r="K1302">
            <v>4</v>
          </cell>
        </row>
        <row r="1303">
          <cell r="A1303" t="str">
            <v>M1</v>
          </cell>
          <cell r="B1303" t="str">
            <v>A6C</v>
          </cell>
          <cell r="C1303" t="str">
            <v>HOR</v>
          </cell>
          <cell r="D1303" t="str">
            <v>65621</v>
          </cell>
          <cell r="E1303" t="str">
            <v>WN FLG</v>
          </cell>
          <cell r="F1303">
            <v>3</v>
          </cell>
          <cell r="G1303" t="str">
            <v>CB200104000300</v>
          </cell>
          <cell r="H1303">
            <v>3</v>
          </cell>
          <cell r="I1303" t="str">
            <v>--</v>
          </cell>
          <cell r="J1303">
            <v>2</v>
          </cell>
          <cell r="K1303">
            <v>3</v>
          </cell>
        </row>
        <row r="1304">
          <cell r="A1304" t="str">
            <v>M1</v>
          </cell>
          <cell r="B1304" t="str">
            <v>A6C</v>
          </cell>
          <cell r="C1304" t="str">
            <v>HOR</v>
          </cell>
          <cell r="D1304" t="str">
            <v>65813</v>
          </cell>
          <cell r="E1304" t="str">
            <v>WN FLG</v>
          </cell>
          <cell r="F1304">
            <v>3</v>
          </cell>
          <cell r="G1304" t="str">
            <v>CB200104000300</v>
          </cell>
          <cell r="H1304">
            <v>3</v>
          </cell>
          <cell r="I1304" t="str">
            <v>--</v>
          </cell>
          <cell r="J1304">
            <v>1</v>
          </cell>
          <cell r="K1304">
            <v>2</v>
          </cell>
        </row>
        <row r="1305">
          <cell r="A1305" t="str">
            <v>M1</v>
          </cell>
          <cell r="B1305" t="str">
            <v>A6C</v>
          </cell>
          <cell r="C1305" t="str">
            <v>HOS</v>
          </cell>
          <cell r="D1305" t="str">
            <v>65612</v>
          </cell>
          <cell r="E1305" t="str">
            <v>WN FLG</v>
          </cell>
          <cell r="F1305">
            <v>3</v>
          </cell>
          <cell r="G1305" t="str">
            <v>CB200104000300</v>
          </cell>
          <cell r="H1305">
            <v>3</v>
          </cell>
          <cell r="I1305" t="str">
            <v>--</v>
          </cell>
          <cell r="J1305">
            <v>1</v>
          </cell>
          <cell r="K1305">
            <v>2</v>
          </cell>
        </row>
        <row r="1306">
          <cell r="A1306" t="str">
            <v>M1</v>
          </cell>
          <cell r="B1306" t="str">
            <v>A5C</v>
          </cell>
          <cell r="C1306" t="str">
            <v>P</v>
          </cell>
          <cell r="D1306" t="str">
            <v>22089</v>
          </cell>
          <cell r="E1306" t="str">
            <v>WN FLG</v>
          </cell>
          <cell r="F1306">
            <v>3</v>
          </cell>
          <cell r="G1306" t="str">
            <v>CB200204000300</v>
          </cell>
          <cell r="H1306">
            <v>3</v>
          </cell>
          <cell r="I1306" t="str">
            <v>--</v>
          </cell>
          <cell r="J1306">
            <v>2</v>
          </cell>
          <cell r="K1306">
            <v>3</v>
          </cell>
        </row>
        <row r="1307">
          <cell r="A1307" t="str">
            <v>M1</v>
          </cell>
          <cell r="B1307" t="str">
            <v>A5C</v>
          </cell>
          <cell r="C1307" t="str">
            <v>P</v>
          </cell>
          <cell r="D1307" t="str">
            <v>22096</v>
          </cell>
          <cell r="E1307" t="str">
            <v>WN FLG</v>
          </cell>
          <cell r="F1307">
            <v>3</v>
          </cell>
          <cell r="G1307" t="str">
            <v>CB200104000300</v>
          </cell>
          <cell r="H1307">
            <v>3</v>
          </cell>
          <cell r="I1307" t="str">
            <v>--</v>
          </cell>
          <cell r="J1307">
            <v>1</v>
          </cell>
          <cell r="K1307">
            <v>2</v>
          </cell>
        </row>
        <row r="1308">
          <cell r="A1308" t="str">
            <v>M1</v>
          </cell>
          <cell r="B1308" t="str">
            <v>A5C</v>
          </cell>
          <cell r="C1308" t="str">
            <v>TRIM</v>
          </cell>
          <cell r="D1308" t="str">
            <v>X-2207</v>
          </cell>
          <cell r="E1308" t="str">
            <v>WN FLG</v>
          </cell>
          <cell r="F1308">
            <v>3</v>
          </cell>
          <cell r="G1308" t="str">
            <v>CB200104000300</v>
          </cell>
          <cell r="H1308">
            <v>3</v>
          </cell>
          <cell r="I1308" t="str">
            <v>--</v>
          </cell>
          <cell r="J1308">
            <v>2</v>
          </cell>
          <cell r="K1308">
            <v>3</v>
          </cell>
        </row>
        <row r="1309">
          <cell r="A1309" t="str">
            <v>M1</v>
          </cell>
          <cell r="B1309" t="str">
            <v>A4C</v>
          </cell>
          <cell r="C1309" t="str">
            <v>N</v>
          </cell>
          <cell r="D1309" t="str">
            <v>22611</v>
          </cell>
          <cell r="E1309" t="str">
            <v>WN FLG</v>
          </cell>
          <cell r="F1309">
            <v>3</v>
          </cell>
          <cell r="G1309" t="str">
            <v>CB200104000400</v>
          </cell>
          <cell r="H1309">
            <v>4</v>
          </cell>
          <cell r="I1309" t="str">
            <v>--</v>
          </cell>
          <cell r="J1309">
            <v>2</v>
          </cell>
          <cell r="K1309">
            <v>3</v>
          </cell>
        </row>
        <row r="1310">
          <cell r="A1310" t="str">
            <v>M1</v>
          </cell>
          <cell r="B1310" t="str">
            <v>A5C</v>
          </cell>
          <cell r="C1310" t="str">
            <v>COMP</v>
          </cell>
          <cell r="D1310" t="str">
            <v>005</v>
          </cell>
          <cell r="E1310" t="str">
            <v>WN FLG</v>
          </cell>
          <cell r="F1310">
            <v>3</v>
          </cell>
          <cell r="G1310" t="str">
            <v>CB200104000400</v>
          </cell>
          <cell r="H1310">
            <v>4</v>
          </cell>
          <cell r="I1310" t="str">
            <v>--</v>
          </cell>
          <cell r="J1310">
            <v>1</v>
          </cell>
          <cell r="K1310">
            <v>2</v>
          </cell>
        </row>
        <row r="1311">
          <cell r="A1311" t="str">
            <v>M1</v>
          </cell>
          <cell r="B1311" t="str">
            <v>A5C</v>
          </cell>
          <cell r="C1311" t="str">
            <v>P</v>
          </cell>
          <cell r="D1311" t="str">
            <v>22024</v>
          </cell>
          <cell r="E1311" t="str">
            <v>WN FLG</v>
          </cell>
          <cell r="F1311">
            <v>3</v>
          </cell>
          <cell r="G1311" t="str">
            <v>CB200104000400</v>
          </cell>
          <cell r="H1311">
            <v>4</v>
          </cell>
          <cell r="I1311" t="str">
            <v>--</v>
          </cell>
          <cell r="J1311">
            <v>2</v>
          </cell>
          <cell r="K1311">
            <v>3</v>
          </cell>
        </row>
        <row r="1312">
          <cell r="A1312" t="str">
            <v>M1</v>
          </cell>
          <cell r="B1312" t="str">
            <v>A5C</v>
          </cell>
          <cell r="C1312" t="str">
            <v>P</v>
          </cell>
          <cell r="D1312" t="str">
            <v>22057</v>
          </cell>
          <cell r="E1312" t="str">
            <v>WN FLG</v>
          </cell>
          <cell r="F1312">
            <v>3</v>
          </cell>
          <cell r="G1312" t="str">
            <v>CB200104000400</v>
          </cell>
          <cell r="H1312">
            <v>4</v>
          </cell>
          <cell r="I1312" t="str">
            <v>--</v>
          </cell>
          <cell r="J1312">
            <v>2</v>
          </cell>
          <cell r="K1312">
            <v>3</v>
          </cell>
        </row>
        <row r="1313">
          <cell r="A1313" t="str">
            <v>M1</v>
          </cell>
          <cell r="B1313" t="str">
            <v>A5C</v>
          </cell>
          <cell r="C1313" t="str">
            <v>P</v>
          </cell>
          <cell r="D1313" t="str">
            <v>22069</v>
          </cell>
          <cell r="E1313" t="str">
            <v>WN FLG</v>
          </cell>
          <cell r="F1313">
            <v>3</v>
          </cell>
          <cell r="G1313" t="str">
            <v>CB200104000400</v>
          </cell>
          <cell r="H1313">
            <v>4</v>
          </cell>
          <cell r="I1313" t="str">
            <v>--</v>
          </cell>
          <cell r="J1313">
            <v>10</v>
          </cell>
          <cell r="K1313">
            <v>12</v>
          </cell>
        </row>
        <row r="1314">
          <cell r="A1314" t="str">
            <v>M1</v>
          </cell>
          <cell r="B1314" t="str">
            <v>A5C</v>
          </cell>
          <cell r="C1314" t="str">
            <v>P</v>
          </cell>
          <cell r="D1314" t="str">
            <v>22069</v>
          </cell>
          <cell r="E1314" t="str">
            <v>WN FLG</v>
          </cell>
          <cell r="F1314">
            <v>3</v>
          </cell>
          <cell r="G1314" t="str">
            <v>CB200104000400</v>
          </cell>
          <cell r="H1314">
            <v>4</v>
          </cell>
          <cell r="I1314" t="str">
            <v>--</v>
          </cell>
          <cell r="J1314">
            <v>7</v>
          </cell>
          <cell r="K1314">
            <v>9</v>
          </cell>
        </row>
        <row r="1315">
          <cell r="A1315" t="str">
            <v>M1</v>
          </cell>
          <cell r="B1315" t="str">
            <v>A5C</v>
          </cell>
          <cell r="C1315" t="str">
            <v>P</v>
          </cell>
          <cell r="D1315" t="str">
            <v>22082</v>
          </cell>
          <cell r="E1315" t="str">
            <v>WN FLG</v>
          </cell>
          <cell r="F1315">
            <v>3</v>
          </cell>
          <cell r="G1315" t="str">
            <v>CB200104000400</v>
          </cell>
          <cell r="H1315">
            <v>4</v>
          </cell>
          <cell r="I1315" t="str">
            <v>--</v>
          </cell>
          <cell r="J1315">
            <v>2</v>
          </cell>
          <cell r="K1315">
            <v>3</v>
          </cell>
        </row>
        <row r="1316">
          <cell r="A1316" t="str">
            <v>M1</v>
          </cell>
          <cell r="B1316" t="str">
            <v>A5C</v>
          </cell>
          <cell r="C1316" t="str">
            <v>P</v>
          </cell>
          <cell r="D1316" t="str">
            <v>22139</v>
          </cell>
          <cell r="E1316" t="str">
            <v>WN FLG</v>
          </cell>
          <cell r="F1316">
            <v>3</v>
          </cell>
          <cell r="G1316" t="str">
            <v>CB200104000400</v>
          </cell>
          <cell r="H1316">
            <v>4</v>
          </cell>
          <cell r="I1316" t="str">
            <v>--</v>
          </cell>
          <cell r="J1316">
            <v>10</v>
          </cell>
          <cell r="K1316">
            <v>12</v>
          </cell>
        </row>
        <row r="1317">
          <cell r="A1317" t="str">
            <v>M1</v>
          </cell>
          <cell r="B1317" t="str">
            <v>A5C</v>
          </cell>
          <cell r="C1317" t="str">
            <v>VENT</v>
          </cell>
          <cell r="D1317" t="str">
            <v>X2220</v>
          </cell>
          <cell r="E1317" t="str">
            <v>WN FLG</v>
          </cell>
          <cell r="F1317">
            <v>3</v>
          </cell>
          <cell r="G1317" t="str">
            <v>CB200104000400</v>
          </cell>
          <cell r="H1317">
            <v>4</v>
          </cell>
          <cell r="I1317" t="str">
            <v>--</v>
          </cell>
          <cell r="J1317">
            <v>1</v>
          </cell>
          <cell r="K1317">
            <v>2</v>
          </cell>
        </row>
        <row r="1318">
          <cell r="A1318" t="str">
            <v>M1</v>
          </cell>
          <cell r="B1318" t="str">
            <v>A5C</v>
          </cell>
          <cell r="C1318" t="str">
            <v>TRIM</v>
          </cell>
          <cell r="D1318" t="str">
            <v>V-2211</v>
          </cell>
          <cell r="E1318" t="str">
            <v>WN FLG</v>
          </cell>
          <cell r="F1318">
            <v>3</v>
          </cell>
          <cell r="G1318" t="str">
            <v>CB200104000400</v>
          </cell>
          <cell r="H1318">
            <v>4</v>
          </cell>
          <cell r="I1318" t="str">
            <v>--</v>
          </cell>
          <cell r="J1318">
            <v>3</v>
          </cell>
          <cell r="K1318">
            <v>4</v>
          </cell>
        </row>
        <row r="1319">
          <cell r="A1319" t="str">
            <v>M1</v>
          </cell>
          <cell r="B1319" t="str">
            <v>A5C</v>
          </cell>
          <cell r="C1319" t="str">
            <v>P</v>
          </cell>
          <cell r="D1319" t="str">
            <v>22021</v>
          </cell>
          <cell r="E1319" t="str">
            <v>WN FLG</v>
          </cell>
          <cell r="F1319">
            <v>3</v>
          </cell>
          <cell r="G1319" t="str">
            <v>CB200104000400</v>
          </cell>
          <cell r="H1319">
            <v>4</v>
          </cell>
          <cell r="I1319" t="str">
            <v>--</v>
          </cell>
          <cell r="J1319">
            <v>2</v>
          </cell>
          <cell r="K1319">
            <v>3</v>
          </cell>
        </row>
        <row r="1320">
          <cell r="A1320" t="str">
            <v>M1</v>
          </cell>
          <cell r="B1320" t="str">
            <v>A5C</v>
          </cell>
          <cell r="C1320" t="str">
            <v>P</v>
          </cell>
          <cell r="D1320" t="str">
            <v>22065</v>
          </cell>
          <cell r="E1320" t="str">
            <v>WN FLG</v>
          </cell>
          <cell r="F1320">
            <v>3</v>
          </cell>
          <cell r="G1320" t="str">
            <v>CB200104000400</v>
          </cell>
          <cell r="H1320">
            <v>4</v>
          </cell>
          <cell r="I1320" t="str">
            <v>--</v>
          </cell>
          <cell r="J1320">
            <v>2</v>
          </cell>
          <cell r="K1320">
            <v>3</v>
          </cell>
        </row>
        <row r="1321">
          <cell r="A1321" t="str">
            <v>M1</v>
          </cell>
          <cell r="B1321" t="str">
            <v>A5C</v>
          </cell>
          <cell r="C1321" t="str">
            <v>P</v>
          </cell>
          <cell r="D1321" t="str">
            <v>22069</v>
          </cell>
          <cell r="E1321" t="str">
            <v>WN FLG</v>
          </cell>
          <cell r="F1321">
            <v>3</v>
          </cell>
          <cell r="G1321" t="str">
            <v>CB200204000400</v>
          </cell>
          <cell r="H1321">
            <v>4</v>
          </cell>
          <cell r="I1321" t="str">
            <v>--</v>
          </cell>
          <cell r="J1321">
            <v>2</v>
          </cell>
          <cell r="K1321">
            <v>3</v>
          </cell>
        </row>
        <row r="1322">
          <cell r="A1322" t="str">
            <v>M1</v>
          </cell>
          <cell r="B1322" t="str">
            <v>A5C</v>
          </cell>
          <cell r="C1322" t="str">
            <v>P</v>
          </cell>
          <cell r="D1322" t="str">
            <v>21005</v>
          </cell>
          <cell r="E1322" t="str">
            <v>WN FLG</v>
          </cell>
          <cell r="F1322">
            <v>3</v>
          </cell>
          <cell r="G1322" t="str">
            <v>CB2001040004000400</v>
          </cell>
          <cell r="H1322">
            <v>4</v>
          </cell>
          <cell r="I1322" t="str">
            <v>--</v>
          </cell>
          <cell r="J1322">
            <v>26</v>
          </cell>
          <cell r="K1322">
            <v>30</v>
          </cell>
        </row>
        <row r="1323">
          <cell r="A1323" t="str">
            <v>M1</v>
          </cell>
          <cell r="B1323" t="str">
            <v>A5C</v>
          </cell>
          <cell r="C1323" t="str">
            <v>P</v>
          </cell>
          <cell r="D1323" t="str">
            <v>21005</v>
          </cell>
          <cell r="E1323" t="str">
            <v>WN FLG</v>
          </cell>
          <cell r="F1323">
            <v>3</v>
          </cell>
          <cell r="G1323" t="str">
            <v>CB2002040004000400</v>
          </cell>
          <cell r="H1323">
            <v>4</v>
          </cell>
          <cell r="I1323" t="str">
            <v>--</v>
          </cell>
          <cell r="J1323">
            <v>2</v>
          </cell>
          <cell r="K1323">
            <v>3</v>
          </cell>
        </row>
        <row r="1324">
          <cell r="A1324" t="str">
            <v>M1</v>
          </cell>
          <cell r="B1324" t="str">
            <v>A5C</v>
          </cell>
          <cell r="C1324" t="str">
            <v>P</v>
          </cell>
          <cell r="D1324" t="str">
            <v>22099</v>
          </cell>
          <cell r="E1324" t="str">
            <v>WN FLG</v>
          </cell>
          <cell r="F1324">
            <v>3</v>
          </cell>
          <cell r="G1324" t="str">
            <v>CB200104000400</v>
          </cell>
          <cell r="H1324">
            <v>4</v>
          </cell>
          <cell r="I1324" t="str">
            <v>--</v>
          </cell>
          <cell r="J1324">
            <v>2</v>
          </cell>
          <cell r="K1324">
            <v>3</v>
          </cell>
        </row>
        <row r="1325">
          <cell r="A1325" t="str">
            <v>M1</v>
          </cell>
          <cell r="B1325" t="str">
            <v>A5C</v>
          </cell>
          <cell r="C1325" t="str">
            <v>P</v>
          </cell>
          <cell r="D1325" t="str">
            <v>22094</v>
          </cell>
          <cell r="E1325" t="str">
            <v>WN FLG</v>
          </cell>
          <cell r="F1325">
            <v>3</v>
          </cell>
          <cell r="G1325" t="str">
            <v>CB200104000400</v>
          </cell>
          <cell r="H1325">
            <v>4</v>
          </cell>
          <cell r="I1325" t="str">
            <v>--</v>
          </cell>
          <cell r="J1325">
            <v>4</v>
          </cell>
          <cell r="K1325">
            <v>5</v>
          </cell>
        </row>
        <row r="1326">
          <cell r="A1326" t="str">
            <v>M1</v>
          </cell>
          <cell r="B1326" t="str">
            <v>A5C</v>
          </cell>
          <cell r="C1326" t="str">
            <v>P</v>
          </cell>
          <cell r="D1326" t="str">
            <v>22095</v>
          </cell>
          <cell r="E1326" t="str">
            <v>WN FLG</v>
          </cell>
          <cell r="F1326">
            <v>3</v>
          </cell>
          <cell r="G1326" t="str">
            <v>CB200104000400</v>
          </cell>
          <cell r="H1326">
            <v>4</v>
          </cell>
          <cell r="I1326" t="str">
            <v>--</v>
          </cell>
          <cell r="J1326">
            <v>4</v>
          </cell>
          <cell r="K1326">
            <v>5</v>
          </cell>
        </row>
        <row r="1327">
          <cell r="A1327" t="str">
            <v>M1</v>
          </cell>
          <cell r="B1327" t="str">
            <v>A5C</v>
          </cell>
          <cell r="C1327" t="str">
            <v>P</v>
          </cell>
          <cell r="D1327" t="str">
            <v>22059</v>
          </cell>
          <cell r="E1327" t="str">
            <v>WN FLG</v>
          </cell>
          <cell r="F1327">
            <v>3</v>
          </cell>
          <cell r="G1327" t="str">
            <v>CB200104000400</v>
          </cell>
          <cell r="H1327">
            <v>4</v>
          </cell>
          <cell r="I1327" t="str">
            <v>--</v>
          </cell>
          <cell r="J1327">
            <v>2</v>
          </cell>
          <cell r="K1327">
            <v>3</v>
          </cell>
        </row>
        <row r="1328">
          <cell r="A1328" t="str">
            <v>M1</v>
          </cell>
          <cell r="B1328" t="str">
            <v>A5C</v>
          </cell>
          <cell r="C1328" t="str">
            <v>WW</v>
          </cell>
          <cell r="D1328" t="str">
            <v>22613</v>
          </cell>
          <cell r="E1328" t="str">
            <v>WN FLG</v>
          </cell>
          <cell r="F1328">
            <v>3</v>
          </cell>
          <cell r="G1328" t="str">
            <v>CB200104000400</v>
          </cell>
          <cell r="H1328">
            <v>4</v>
          </cell>
          <cell r="I1328" t="str">
            <v>--</v>
          </cell>
          <cell r="J1328">
            <v>4</v>
          </cell>
          <cell r="K1328">
            <v>5</v>
          </cell>
        </row>
        <row r="1329">
          <cell r="A1329" t="str">
            <v>M1</v>
          </cell>
          <cell r="B1329" t="str">
            <v>A5C</v>
          </cell>
          <cell r="C1329" t="str">
            <v>WW</v>
          </cell>
          <cell r="D1329" t="str">
            <v>22601</v>
          </cell>
          <cell r="E1329" t="str">
            <v>WN FLG</v>
          </cell>
          <cell r="F1329">
            <v>3</v>
          </cell>
          <cell r="G1329" t="str">
            <v>CB200104000400</v>
          </cell>
          <cell r="H1329">
            <v>4</v>
          </cell>
          <cell r="I1329" t="str">
            <v>--</v>
          </cell>
          <cell r="J1329">
            <v>8</v>
          </cell>
          <cell r="K1329">
            <v>10</v>
          </cell>
        </row>
        <row r="1330">
          <cell r="A1330" t="str">
            <v>M1</v>
          </cell>
          <cell r="B1330" t="str">
            <v>A6C</v>
          </cell>
          <cell r="C1330" t="str">
            <v>HOS</v>
          </cell>
          <cell r="D1330" t="str">
            <v>65628</v>
          </cell>
          <cell r="E1330" t="str">
            <v>WN FLG</v>
          </cell>
          <cell r="F1330">
            <v>3</v>
          </cell>
          <cell r="G1330" t="str">
            <v>CB200204000400</v>
          </cell>
          <cell r="H1330">
            <v>4</v>
          </cell>
          <cell r="I1330" t="str">
            <v>--</v>
          </cell>
          <cell r="J1330">
            <v>2</v>
          </cell>
          <cell r="K1330">
            <v>3</v>
          </cell>
        </row>
        <row r="1331">
          <cell r="A1331" t="str">
            <v>M1</v>
          </cell>
          <cell r="B1331" t="str">
            <v>A6C</v>
          </cell>
          <cell r="C1331" t="str">
            <v>HOS</v>
          </cell>
          <cell r="D1331" t="str">
            <v>65628</v>
          </cell>
          <cell r="E1331" t="str">
            <v>WN FLG</v>
          </cell>
          <cell r="F1331">
            <v>3</v>
          </cell>
          <cell r="G1331" t="str">
            <v>CB200104000400</v>
          </cell>
          <cell r="H1331">
            <v>4</v>
          </cell>
          <cell r="I1331" t="str">
            <v>--</v>
          </cell>
          <cell r="J1331">
            <v>7</v>
          </cell>
          <cell r="K1331">
            <v>9</v>
          </cell>
        </row>
        <row r="1332">
          <cell r="A1332" t="str">
            <v>M1</v>
          </cell>
          <cell r="B1332" t="str">
            <v>A6C</v>
          </cell>
          <cell r="C1332" t="str">
            <v>HOS</v>
          </cell>
          <cell r="D1332" t="str">
            <v>65634</v>
          </cell>
          <cell r="E1332" t="str">
            <v>WN FLG</v>
          </cell>
          <cell r="F1332">
            <v>3</v>
          </cell>
          <cell r="G1332" t="str">
            <v>CB200104000400</v>
          </cell>
          <cell r="H1332">
            <v>4</v>
          </cell>
          <cell r="I1332" t="str">
            <v>--</v>
          </cell>
          <cell r="J1332">
            <v>3</v>
          </cell>
          <cell r="K1332">
            <v>4</v>
          </cell>
        </row>
        <row r="1333">
          <cell r="A1333" t="str">
            <v>M1</v>
          </cell>
          <cell r="B1333" t="str">
            <v>A4C</v>
          </cell>
          <cell r="C1333" t="str">
            <v>P</v>
          </cell>
          <cell r="D1333" t="str">
            <v>22009</v>
          </cell>
          <cell r="E1333" t="str">
            <v>WN FLG</v>
          </cell>
          <cell r="F1333">
            <v>3</v>
          </cell>
          <cell r="G1333" t="str">
            <v>CB200204000400</v>
          </cell>
          <cell r="H1333">
            <v>4</v>
          </cell>
          <cell r="I1333" t="str">
            <v>--</v>
          </cell>
          <cell r="J1333">
            <v>2</v>
          </cell>
          <cell r="K1333">
            <v>3</v>
          </cell>
        </row>
        <row r="1334">
          <cell r="A1334" t="str">
            <v>M1</v>
          </cell>
          <cell r="B1334" t="str">
            <v>A5C</v>
          </cell>
          <cell r="C1334" t="str">
            <v>P</v>
          </cell>
          <cell r="D1334" t="str">
            <v>22098</v>
          </cell>
          <cell r="E1334" t="str">
            <v>WN FLG</v>
          </cell>
          <cell r="F1334">
            <v>3</v>
          </cell>
          <cell r="G1334" t="str">
            <v>CB200104000400</v>
          </cell>
          <cell r="H1334">
            <v>4</v>
          </cell>
          <cell r="I1334" t="str">
            <v>--</v>
          </cell>
          <cell r="J1334">
            <v>2</v>
          </cell>
          <cell r="K1334">
            <v>3</v>
          </cell>
        </row>
        <row r="1335">
          <cell r="A1335" t="str">
            <v>M1</v>
          </cell>
          <cell r="B1335" t="str">
            <v>A5C</v>
          </cell>
          <cell r="C1335" t="str">
            <v>TRIM</v>
          </cell>
          <cell r="D1335" t="str">
            <v>V-2216B</v>
          </cell>
          <cell r="E1335" t="str">
            <v>WN FLG</v>
          </cell>
          <cell r="F1335">
            <v>3</v>
          </cell>
          <cell r="G1335" t="str">
            <v>CB200104000400</v>
          </cell>
          <cell r="H1335">
            <v>4</v>
          </cell>
          <cell r="I1335" t="str">
            <v>--</v>
          </cell>
          <cell r="J1335">
            <v>1</v>
          </cell>
          <cell r="K1335">
            <v>2</v>
          </cell>
        </row>
        <row r="1336">
          <cell r="A1336" t="str">
            <v>M1</v>
          </cell>
          <cell r="B1336" t="str">
            <v>A5C</v>
          </cell>
          <cell r="C1336" t="str">
            <v>TRIM</v>
          </cell>
          <cell r="D1336" t="str">
            <v>V-2216A</v>
          </cell>
          <cell r="E1336" t="str">
            <v>WN FLG</v>
          </cell>
          <cell r="F1336">
            <v>3</v>
          </cell>
          <cell r="G1336" t="str">
            <v>CB200104000400</v>
          </cell>
          <cell r="H1336">
            <v>4</v>
          </cell>
          <cell r="I1336" t="str">
            <v>--</v>
          </cell>
          <cell r="J1336">
            <v>1</v>
          </cell>
          <cell r="K1336">
            <v>2</v>
          </cell>
        </row>
        <row r="1337">
          <cell r="A1337" t="str">
            <v>M1</v>
          </cell>
          <cell r="B1337" t="str">
            <v>A6C</v>
          </cell>
          <cell r="C1337" t="str">
            <v>HOR</v>
          </cell>
          <cell r="D1337" t="str">
            <v>65813</v>
          </cell>
          <cell r="E1337" t="str">
            <v>WN FLG</v>
          </cell>
          <cell r="F1337">
            <v>3</v>
          </cell>
          <cell r="G1337" t="str">
            <v>CB200104000400</v>
          </cell>
          <cell r="H1337">
            <v>4</v>
          </cell>
          <cell r="I1337" t="str">
            <v>--</v>
          </cell>
          <cell r="J1337">
            <v>2</v>
          </cell>
          <cell r="K1337">
            <v>3</v>
          </cell>
        </row>
        <row r="1338">
          <cell r="A1338" t="str">
            <v>M1</v>
          </cell>
          <cell r="B1338" t="str">
            <v>A6C</v>
          </cell>
          <cell r="C1338" t="str">
            <v>HOS</v>
          </cell>
          <cell r="D1338" t="str">
            <v>65614</v>
          </cell>
          <cell r="E1338" t="str">
            <v>WN FLG</v>
          </cell>
          <cell r="F1338">
            <v>3</v>
          </cell>
          <cell r="G1338" t="str">
            <v>CB200104000400</v>
          </cell>
          <cell r="H1338">
            <v>4</v>
          </cell>
          <cell r="I1338" t="str">
            <v>--</v>
          </cell>
          <cell r="J1338">
            <v>5</v>
          </cell>
          <cell r="K1338">
            <v>6</v>
          </cell>
        </row>
        <row r="1339">
          <cell r="A1339" t="str">
            <v>M1</v>
          </cell>
          <cell r="B1339" t="str">
            <v>A4C</v>
          </cell>
          <cell r="C1339" t="str">
            <v>P</v>
          </cell>
          <cell r="D1339" t="str">
            <v>22009</v>
          </cell>
          <cell r="E1339" t="str">
            <v>WN FLG</v>
          </cell>
          <cell r="F1339">
            <v>3</v>
          </cell>
          <cell r="G1339" t="str">
            <v>CB200104000400</v>
          </cell>
          <cell r="H1339">
            <v>4</v>
          </cell>
          <cell r="I1339" t="str">
            <v>--</v>
          </cell>
          <cell r="J1339">
            <v>8</v>
          </cell>
          <cell r="K1339">
            <v>10</v>
          </cell>
        </row>
        <row r="1340">
          <cell r="A1340" t="str">
            <v>M1</v>
          </cell>
          <cell r="B1340" t="str">
            <v>B1C</v>
          </cell>
          <cell r="C1340" t="str">
            <v>P</v>
          </cell>
          <cell r="D1340" t="str">
            <v>22029</v>
          </cell>
          <cell r="E1340" t="str">
            <v>WN FLG</v>
          </cell>
          <cell r="F1340">
            <v>3</v>
          </cell>
          <cell r="G1340" t="str">
            <v>CB200204000400</v>
          </cell>
          <cell r="H1340">
            <v>4</v>
          </cell>
          <cell r="I1340" t="str">
            <v>--</v>
          </cell>
          <cell r="J1340">
            <v>10</v>
          </cell>
          <cell r="K1340">
            <v>12</v>
          </cell>
        </row>
        <row r="1341">
          <cell r="A1341" t="str">
            <v>M1</v>
          </cell>
          <cell r="B1341" t="str">
            <v>A5C</v>
          </cell>
          <cell r="C1341" t="str">
            <v>P</v>
          </cell>
          <cell r="D1341" t="str">
            <v>25002</v>
          </cell>
          <cell r="E1341" t="str">
            <v>RWN FLG</v>
          </cell>
          <cell r="F1341">
            <v>3</v>
          </cell>
          <cell r="G1341" t="str">
            <v>CB190104040603</v>
          </cell>
          <cell r="H1341">
            <v>6</v>
          </cell>
          <cell r="I1341">
            <v>3</v>
          </cell>
          <cell r="J1341">
            <v>1</v>
          </cell>
          <cell r="K1341">
            <v>2</v>
          </cell>
        </row>
        <row r="1342">
          <cell r="A1342" t="str">
            <v>M1</v>
          </cell>
          <cell r="B1342" t="str">
            <v>A5C</v>
          </cell>
          <cell r="C1342" t="str">
            <v>COMP</v>
          </cell>
          <cell r="D1342" t="str">
            <v>003</v>
          </cell>
          <cell r="E1342" t="str">
            <v>WN FLG</v>
          </cell>
          <cell r="F1342">
            <v>3</v>
          </cell>
          <cell r="G1342" t="str">
            <v>CB200104000600</v>
          </cell>
          <cell r="H1342">
            <v>6</v>
          </cell>
          <cell r="I1342" t="str">
            <v>--</v>
          </cell>
          <cell r="J1342">
            <v>2</v>
          </cell>
          <cell r="K1342">
            <v>3</v>
          </cell>
        </row>
        <row r="1343">
          <cell r="A1343" t="str">
            <v>M1</v>
          </cell>
          <cell r="B1343" t="str">
            <v>A5C</v>
          </cell>
          <cell r="C1343" t="str">
            <v>P</v>
          </cell>
          <cell r="D1343" t="str">
            <v>22028</v>
          </cell>
          <cell r="E1343" t="str">
            <v>WN FLG</v>
          </cell>
          <cell r="F1343">
            <v>3</v>
          </cell>
          <cell r="G1343" t="str">
            <v>CB200204000600</v>
          </cell>
          <cell r="H1343">
            <v>6</v>
          </cell>
          <cell r="I1343" t="str">
            <v>--</v>
          </cell>
          <cell r="J1343">
            <v>2</v>
          </cell>
          <cell r="K1343">
            <v>3</v>
          </cell>
        </row>
        <row r="1344">
          <cell r="A1344" t="str">
            <v>M1</v>
          </cell>
          <cell r="B1344" t="str">
            <v>A5C</v>
          </cell>
          <cell r="C1344" t="str">
            <v>P</v>
          </cell>
          <cell r="D1344" t="str">
            <v>22022</v>
          </cell>
          <cell r="E1344" t="str">
            <v>WN FLG</v>
          </cell>
          <cell r="F1344">
            <v>3</v>
          </cell>
          <cell r="G1344" t="str">
            <v>CB200204000600</v>
          </cell>
          <cell r="H1344">
            <v>6</v>
          </cell>
          <cell r="I1344" t="str">
            <v>--</v>
          </cell>
          <cell r="J1344">
            <v>2</v>
          </cell>
          <cell r="K1344">
            <v>3</v>
          </cell>
        </row>
        <row r="1345">
          <cell r="A1345" t="str">
            <v>M1</v>
          </cell>
          <cell r="B1345" t="str">
            <v>A5C</v>
          </cell>
          <cell r="C1345" t="str">
            <v>P</v>
          </cell>
          <cell r="D1345" t="str">
            <v>22023</v>
          </cell>
          <cell r="E1345" t="str">
            <v>WN FLG</v>
          </cell>
          <cell r="F1345">
            <v>3</v>
          </cell>
          <cell r="G1345" t="str">
            <v>CB200104000600</v>
          </cell>
          <cell r="H1345">
            <v>6</v>
          </cell>
          <cell r="I1345" t="str">
            <v>--</v>
          </cell>
          <cell r="J1345">
            <v>4</v>
          </cell>
          <cell r="K1345">
            <v>5</v>
          </cell>
        </row>
        <row r="1346">
          <cell r="A1346" t="str">
            <v>M1</v>
          </cell>
          <cell r="B1346" t="str">
            <v>A5C</v>
          </cell>
          <cell r="C1346" t="str">
            <v>P</v>
          </cell>
          <cell r="D1346" t="str">
            <v>22028</v>
          </cell>
          <cell r="E1346" t="str">
            <v>WN FLG</v>
          </cell>
          <cell r="F1346">
            <v>3</v>
          </cell>
          <cell r="G1346" t="str">
            <v>CB200104000600</v>
          </cell>
          <cell r="H1346">
            <v>6</v>
          </cell>
          <cell r="I1346" t="str">
            <v>--</v>
          </cell>
          <cell r="J1346">
            <v>2</v>
          </cell>
          <cell r="K1346">
            <v>3</v>
          </cell>
        </row>
        <row r="1347">
          <cell r="A1347" t="str">
            <v>M1</v>
          </cell>
          <cell r="B1347" t="str">
            <v>A5C</v>
          </cell>
          <cell r="C1347" t="str">
            <v>P</v>
          </cell>
          <cell r="D1347" t="str">
            <v>22055</v>
          </cell>
          <cell r="E1347" t="str">
            <v>WN FLG</v>
          </cell>
          <cell r="F1347">
            <v>3</v>
          </cell>
          <cell r="G1347" t="str">
            <v>CB200104000600</v>
          </cell>
          <cell r="H1347">
            <v>6</v>
          </cell>
          <cell r="I1347" t="str">
            <v>--</v>
          </cell>
          <cell r="J1347">
            <v>2</v>
          </cell>
          <cell r="K1347">
            <v>3</v>
          </cell>
        </row>
        <row r="1348">
          <cell r="A1348" t="str">
            <v>M1</v>
          </cell>
          <cell r="B1348" t="str">
            <v>A5C</v>
          </cell>
          <cell r="C1348" t="str">
            <v>P</v>
          </cell>
          <cell r="D1348" t="str">
            <v>22065</v>
          </cell>
          <cell r="E1348" t="str">
            <v>WN FLG</v>
          </cell>
          <cell r="F1348">
            <v>3</v>
          </cell>
          <cell r="G1348" t="str">
            <v>CB200104000600</v>
          </cell>
          <cell r="H1348">
            <v>6</v>
          </cell>
          <cell r="I1348" t="str">
            <v>--</v>
          </cell>
          <cell r="J1348">
            <v>9</v>
          </cell>
          <cell r="K1348">
            <v>11</v>
          </cell>
        </row>
        <row r="1349">
          <cell r="A1349" t="str">
            <v>M1</v>
          </cell>
          <cell r="B1349" t="str">
            <v>A5C</v>
          </cell>
          <cell r="C1349" t="str">
            <v>P</v>
          </cell>
          <cell r="D1349" t="str">
            <v>22139</v>
          </cell>
          <cell r="E1349" t="str">
            <v>WN FLG</v>
          </cell>
          <cell r="F1349">
            <v>3</v>
          </cell>
          <cell r="G1349" t="str">
            <v>CB200104000600</v>
          </cell>
          <cell r="H1349">
            <v>6</v>
          </cell>
          <cell r="I1349" t="str">
            <v>--</v>
          </cell>
          <cell r="J1349">
            <v>2</v>
          </cell>
          <cell r="K1349">
            <v>3</v>
          </cell>
        </row>
        <row r="1350">
          <cell r="A1350" t="str">
            <v>M1</v>
          </cell>
          <cell r="B1350" t="str">
            <v>A5C</v>
          </cell>
          <cell r="C1350" t="str">
            <v>P</v>
          </cell>
          <cell r="D1350" t="str">
            <v>22022</v>
          </cell>
          <cell r="E1350" t="str">
            <v>WN FLG</v>
          </cell>
          <cell r="F1350">
            <v>3</v>
          </cell>
          <cell r="G1350" t="str">
            <v>CB200104000600</v>
          </cell>
          <cell r="H1350">
            <v>6</v>
          </cell>
          <cell r="I1350" t="str">
            <v>--</v>
          </cell>
          <cell r="J1350">
            <v>4</v>
          </cell>
          <cell r="K1350">
            <v>5</v>
          </cell>
        </row>
        <row r="1351">
          <cell r="A1351" t="str">
            <v>M1</v>
          </cell>
          <cell r="B1351" t="str">
            <v>A5C</v>
          </cell>
          <cell r="C1351" t="str">
            <v>P</v>
          </cell>
          <cell r="D1351" t="str">
            <v>22019</v>
          </cell>
          <cell r="E1351" t="str">
            <v>WN FLG</v>
          </cell>
          <cell r="F1351">
            <v>3</v>
          </cell>
          <cell r="G1351" t="str">
            <v>CB2001040006000600</v>
          </cell>
          <cell r="H1351">
            <v>6</v>
          </cell>
          <cell r="I1351" t="str">
            <v>--</v>
          </cell>
          <cell r="J1351">
            <v>7</v>
          </cell>
          <cell r="K1351">
            <v>9</v>
          </cell>
        </row>
        <row r="1352">
          <cell r="A1352" t="str">
            <v>M1</v>
          </cell>
          <cell r="B1352" t="str">
            <v>A5C</v>
          </cell>
          <cell r="C1352" t="str">
            <v>P</v>
          </cell>
          <cell r="D1352" t="str">
            <v>22020</v>
          </cell>
          <cell r="E1352" t="str">
            <v>WN FLG</v>
          </cell>
          <cell r="F1352">
            <v>3</v>
          </cell>
          <cell r="G1352" t="str">
            <v>CB2001040006000600</v>
          </cell>
          <cell r="H1352">
            <v>6</v>
          </cell>
          <cell r="I1352" t="str">
            <v>--</v>
          </cell>
          <cell r="J1352">
            <v>24</v>
          </cell>
          <cell r="K1352">
            <v>28</v>
          </cell>
        </row>
        <row r="1353">
          <cell r="A1353" t="str">
            <v>M1</v>
          </cell>
          <cell r="B1353" t="str">
            <v>A5C</v>
          </cell>
          <cell r="C1353" t="str">
            <v>P</v>
          </cell>
          <cell r="D1353" t="str">
            <v>22048</v>
          </cell>
          <cell r="E1353" t="str">
            <v>WN FLG</v>
          </cell>
          <cell r="F1353">
            <v>3</v>
          </cell>
          <cell r="G1353" t="str">
            <v>CB2002040006000600</v>
          </cell>
          <cell r="H1353">
            <v>6</v>
          </cell>
          <cell r="I1353" t="str">
            <v>--</v>
          </cell>
          <cell r="J1353">
            <v>4</v>
          </cell>
          <cell r="K1353">
            <v>5</v>
          </cell>
        </row>
        <row r="1354">
          <cell r="A1354" t="str">
            <v>M1</v>
          </cell>
          <cell r="B1354" t="str">
            <v>A5C</v>
          </cell>
          <cell r="C1354" t="str">
            <v>P</v>
          </cell>
          <cell r="D1354" t="str">
            <v>22048</v>
          </cell>
          <cell r="E1354" t="str">
            <v>WN FLG</v>
          </cell>
          <cell r="F1354">
            <v>3</v>
          </cell>
          <cell r="G1354" t="str">
            <v>CB2001040006000600</v>
          </cell>
          <cell r="H1354">
            <v>6</v>
          </cell>
          <cell r="I1354" t="str">
            <v>--</v>
          </cell>
          <cell r="J1354">
            <v>16</v>
          </cell>
          <cell r="K1354">
            <v>19</v>
          </cell>
        </row>
        <row r="1355">
          <cell r="A1355" t="str">
            <v>M1</v>
          </cell>
          <cell r="B1355" t="str">
            <v>A5C</v>
          </cell>
          <cell r="C1355" t="str">
            <v>P</v>
          </cell>
          <cell r="D1355" t="str">
            <v>22048</v>
          </cell>
          <cell r="E1355" t="str">
            <v>WN FLG</v>
          </cell>
          <cell r="F1355">
            <v>3</v>
          </cell>
          <cell r="G1355" t="str">
            <v>CB2001040006000600</v>
          </cell>
          <cell r="H1355">
            <v>6</v>
          </cell>
          <cell r="I1355" t="str">
            <v>--</v>
          </cell>
          <cell r="J1355">
            <v>13</v>
          </cell>
          <cell r="K1355">
            <v>15</v>
          </cell>
        </row>
        <row r="1356">
          <cell r="A1356" t="str">
            <v>M1</v>
          </cell>
          <cell r="B1356" t="str">
            <v>A5C</v>
          </cell>
          <cell r="C1356" t="str">
            <v>P</v>
          </cell>
          <cell r="D1356" t="str">
            <v>22019</v>
          </cell>
          <cell r="E1356" t="str">
            <v>WN FLG</v>
          </cell>
          <cell r="F1356">
            <v>3</v>
          </cell>
          <cell r="G1356" t="str">
            <v>CB2002040006000600</v>
          </cell>
          <cell r="H1356">
            <v>6</v>
          </cell>
          <cell r="I1356" t="str">
            <v>--</v>
          </cell>
          <cell r="J1356">
            <v>4</v>
          </cell>
          <cell r="K1356">
            <v>5</v>
          </cell>
        </row>
        <row r="1357">
          <cell r="A1357" t="str">
            <v>M1</v>
          </cell>
          <cell r="B1357" t="str">
            <v>A5C</v>
          </cell>
          <cell r="C1357" t="str">
            <v>P</v>
          </cell>
          <cell r="D1357" t="str">
            <v>22020</v>
          </cell>
          <cell r="E1357" t="str">
            <v>WN FLG</v>
          </cell>
          <cell r="F1357">
            <v>3</v>
          </cell>
          <cell r="G1357" t="str">
            <v>CB2002040006000600</v>
          </cell>
          <cell r="H1357">
            <v>6</v>
          </cell>
          <cell r="I1357" t="str">
            <v>--</v>
          </cell>
          <cell r="J1357">
            <v>2</v>
          </cell>
          <cell r="K1357">
            <v>3</v>
          </cell>
        </row>
        <row r="1358">
          <cell r="A1358" t="str">
            <v>M1</v>
          </cell>
          <cell r="B1358" t="str">
            <v>A5C</v>
          </cell>
          <cell r="C1358" t="str">
            <v>P</v>
          </cell>
          <cell r="D1358" t="str">
            <v>22035</v>
          </cell>
          <cell r="E1358" t="str">
            <v>WN FLG</v>
          </cell>
          <cell r="F1358">
            <v>3</v>
          </cell>
          <cell r="G1358" t="str">
            <v>CB200104000600</v>
          </cell>
          <cell r="H1358">
            <v>6</v>
          </cell>
          <cell r="I1358" t="str">
            <v>--</v>
          </cell>
          <cell r="J1358">
            <v>7</v>
          </cell>
          <cell r="K1358">
            <v>9</v>
          </cell>
        </row>
        <row r="1359">
          <cell r="A1359" t="str">
            <v>M1</v>
          </cell>
          <cell r="B1359" t="str">
            <v>A5C</v>
          </cell>
          <cell r="C1359" t="str">
            <v>P</v>
          </cell>
          <cell r="D1359" t="str">
            <v>22034</v>
          </cell>
          <cell r="E1359" t="str">
            <v>WN FLG</v>
          </cell>
          <cell r="F1359">
            <v>3</v>
          </cell>
          <cell r="G1359" t="str">
            <v>CB2001040006000600</v>
          </cell>
          <cell r="H1359">
            <v>6</v>
          </cell>
          <cell r="I1359" t="str">
            <v>--</v>
          </cell>
          <cell r="J1359">
            <v>6</v>
          </cell>
          <cell r="K1359">
            <v>7</v>
          </cell>
        </row>
        <row r="1360">
          <cell r="A1360" t="str">
            <v>M1</v>
          </cell>
          <cell r="B1360" t="str">
            <v>A6C</v>
          </cell>
          <cell r="C1360" t="str">
            <v>HOS</v>
          </cell>
          <cell r="D1360" t="str">
            <v>65624</v>
          </cell>
          <cell r="E1360" t="str">
            <v>WN FLG</v>
          </cell>
          <cell r="F1360">
            <v>3</v>
          </cell>
          <cell r="G1360" t="str">
            <v>CB200104000600</v>
          </cell>
          <cell r="H1360">
            <v>6</v>
          </cell>
          <cell r="I1360" t="str">
            <v>--</v>
          </cell>
          <cell r="J1360">
            <v>2</v>
          </cell>
          <cell r="K1360">
            <v>3</v>
          </cell>
        </row>
        <row r="1361">
          <cell r="A1361" t="str">
            <v>M1</v>
          </cell>
          <cell r="B1361" t="str">
            <v>A6C</v>
          </cell>
          <cell r="C1361" t="str">
            <v>HOS</v>
          </cell>
          <cell r="D1361" t="str">
            <v>65613</v>
          </cell>
          <cell r="E1361" t="str">
            <v>WN FLG</v>
          </cell>
          <cell r="F1361">
            <v>3</v>
          </cell>
          <cell r="G1361" t="str">
            <v>CB200104000600</v>
          </cell>
          <cell r="H1361">
            <v>6</v>
          </cell>
          <cell r="I1361" t="str">
            <v>--</v>
          </cell>
          <cell r="J1361">
            <v>2</v>
          </cell>
          <cell r="K1361">
            <v>3</v>
          </cell>
        </row>
        <row r="1362">
          <cell r="A1362" t="str">
            <v>M1</v>
          </cell>
          <cell r="B1362" t="str">
            <v>A6C</v>
          </cell>
          <cell r="C1362" t="str">
            <v>HOS</v>
          </cell>
          <cell r="D1362" t="str">
            <v>65624</v>
          </cell>
          <cell r="E1362" t="str">
            <v>WN FLG</v>
          </cell>
          <cell r="F1362">
            <v>3</v>
          </cell>
          <cell r="G1362" t="str">
            <v>CB200104000600</v>
          </cell>
          <cell r="H1362">
            <v>6</v>
          </cell>
          <cell r="I1362" t="str">
            <v>--</v>
          </cell>
          <cell r="J1362">
            <v>2</v>
          </cell>
          <cell r="K1362">
            <v>3</v>
          </cell>
        </row>
        <row r="1363">
          <cell r="A1363" t="str">
            <v>M1</v>
          </cell>
          <cell r="B1363" t="str">
            <v>A6C</v>
          </cell>
          <cell r="C1363" t="str">
            <v>HOR</v>
          </cell>
          <cell r="D1363" t="str">
            <v>65611</v>
          </cell>
          <cell r="E1363" t="str">
            <v>WN FLG</v>
          </cell>
          <cell r="F1363">
            <v>3</v>
          </cell>
          <cell r="G1363" t="str">
            <v>CB200104000600</v>
          </cell>
          <cell r="H1363">
            <v>6</v>
          </cell>
          <cell r="I1363" t="str">
            <v>--</v>
          </cell>
          <cell r="J1363">
            <v>2</v>
          </cell>
          <cell r="K1363">
            <v>3</v>
          </cell>
        </row>
        <row r="1364">
          <cell r="A1364" t="str">
            <v>M1</v>
          </cell>
          <cell r="B1364" t="str">
            <v>A6C</v>
          </cell>
          <cell r="C1364" t="str">
            <v>HOR</v>
          </cell>
          <cell r="D1364" t="str">
            <v>65611</v>
          </cell>
          <cell r="E1364" t="str">
            <v>WN FLG</v>
          </cell>
          <cell r="F1364">
            <v>3</v>
          </cell>
          <cell r="G1364" t="str">
            <v>CB200104000600</v>
          </cell>
          <cell r="H1364">
            <v>6</v>
          </cell>
          <cell r="I1364" t="str">
            <v>--</v>
          </cell>
          <cell r="J1364">
            <v>2</v>
          </cell>
          <cell r="K1364">
            <v>3</v>
          </cell>
        </row>
        <row r="1365">
          <cell r="A1365" t="str">
            <v>M1</v>
          </cell>
          <cell r="B1365" t="str">
            <v>A6C</v>
          </cell>
          <cell r="C1365" t="str">
            <v>HOR</v>
          </cell>
          <cell r="D1365" t="str">
            <v>65619</v>
          </cell>
          <cell r="E1365" t="str">
            <v>WN FLG</v>
          </cell>
          <cell r="F1365">
            <v>3</v>
          </cell>
          <cell r="G1365" t="str">
            <v>CB200104000600</v>
          </cell>
          <cell r="H1365">
            <v>6</v>
          </cell>
          <cell r="I1365" t="str">
            <v>--</v>
          </cell>
          <cell r="J1365">
            <v>2</v>
          </cell>
          <cell r="K1365">
            <v>3</v>
          </cell>
        </row>
        <row r="1366">
          <cell r="A1366" t="str">
            <v>M1</v>
          </cell>
          <cell r="B1366" t="str">
            <v>A6C</v>
          </cell>
          <cell r="C1366" t="str">
            <v>HOR</v>
          </cell>
          <cell r="D1366" t="str">
            <v>65635</v>
          </cell>
          <cell r="E1366" t="str">
            <v>WN FLG</v>
          </cell>
          <cell r="F1366">
            <v>3</v>
          </cell>
          <cell r="G1366" t="str">
            <v>CB200104000600</v>
          </cell>
          <cell r="H1366">
            <v>6</v>
          </cell>
          <cell r="I1366" t="str">
            <v>--</v>
          </cell>
          <cell r="J1366">
            <v>2</v>
          </cell>
          <cell r="K1366">
            <v>3</v>
          </cell>
        </row>
        <row r="1367">
          <cell r="A1367" t="str">
            <v>M1</v>
          </cell>
          <cell r="B1367" t="str">
            <v>B1C</v>
          </cell>
          <cell r="C1367" t="str">
            <v>P</v>
          </cell>
          <cell r="D1367" t="str">
            <v>22029</v>
          </cell>
          <cell r="E1367" t="str">
            <v>WN FLG</v>
          </cell>
          <cell r="F1367">
            <v>3</v>
          </cell>
          <cell r="G1367" t="str">
            <v>CB200204000600</v>
          </cell>
          <cell r="H1367">
            <v>6</v>
          </cell>
          <cell r="I1367" t="str">
            <v>--</v>
          </cell>
          <cell r="J1367">
            <v>2</v>
          </cell>
          <cell r="K1367">
            <v>3</v>
          </cell>
        </row>
        <row r="1368">
          <cell r="A1368" t="str">
            <v>M1</v>
          </cell>
          <cell r="B1368" t="str">
            <v>A5C</v>
          </cell>
          <cell r="C1368" t="str">
            <v>P</v>
          </cell>
          <cell r="D1368" t="str">
            <v>25002</v>
          </cell>
          <cell r="E1368" t="str">
            <v>RWN FLG</v>
          </cell>
          <cell r="F1368">
            <v>3</v>
          </cell>
          <cell r="G1368" t="str">
            <v>CB190104040803</v>
          </cell>
          <cell r="H1368">
            <v>8</v>
          </cell>
          <cell r="I1368">
            <v>3</v>
          </cell>
          <cell r="J1368">
            <v>1</v>
          </cell>
          <cell r="K1368">
            <v>2</v>
          </cell>
        </row>
        <row r="1369">
          <cell r="A1369" t="str">
            <v>M1</v>
          </cell>
          <cell r="B1369" t="str">
            <v>A5C</v>
          </cell>
          <cell r="C1369" t="str">
            <v>COMP</v>
          </cell>
          <cell r="D1369" t="str">
            <v>004</v>
          </cell>
          <cell r="E1369" t="str">
            <v>WN FLG</v>
          </cell>
          <cell r="F1369">
            <v>3</v>
          </cell>
          <cell r="G1369" t="str">
            <v>CB200104000800</v>
          </cell>
          <cell r="H1369">
            <v>8</v>
          </cell>
          <cell r="I1369" t="str">
            <v>--</v>
          </cell>
          <cell r="J1369">
            <v>4</v>
          </cell>
          <cell r="K1369">
            <v>5</v>
          </cell>
        </row>
        <row r="1370">
          <cell r="A1370" t="str">
            <v>M1</v>
          </cell>
          <cell r="B1370" t="str">
            <v>A5C</v>
          </cell>
          <cell r="C1370" t="str">
            <v>P</v>
          </cell>
          <cell r="D1370" t="str">
            <v>22011</v>
          </cell>
          <cell r="E1370" t="str">
            <v>WN FLG</v>
          </cell>
          <cell r="F1370">
            <v>3</v>
          </cell>
          <cell r="G1370" t="str">
            <v>CB200204000800</v>
          </cell>
          <cell r="H1370">
            <v>8</v>
          </cell>
          <cell r="I1370" t="str">
            <v>--</v>
          </cell>
          <cell r="J1370">
            <v>2</v>
          </cell>
          <cell r="K1370">
            <v>3</v>
          </cell>
        </row>
        <row r="1371">
          <cell r="A1371" t="str">
            <v>M1</v>
          </cell>
          <cell r="B1371" t="str">
            <v>A5C</v>
          </cell>
          <cell r="C1371" t="str">
            <v>P</v>
          </cell>
          <cell r="D1371" t="str">
            <v>22011</v>
          </cell>
          <cell r="E1371" t="str">
            <v>WN FLG</v>
          </cell>
          <cell r="F1371">
            <v>3</v>
          </cell>
          <cell r="G1371" t="str">
            <v>CB200104000800</v>
          </cell>
          <cell r="H1371">
            <v>8</v>
          </cell>
          <cell r="I1371" t="str">
            <v>--</v>
          </cell>
          <cell r="J1371">
            <v>2</v>
          </cell>
          <cell r="K1371">
            <v>3</v>
          </cell>
        </row>
        <row r="1372">
          <cell r="A1372" t="str">
            <v>M1</v>
          </cell>
          <cell r="B1372" t="str">
            <v>A5C</v>
          </cell>
          <cell r="C1372" t="str">
            <v>P</v>
          </cell>
          <cell r="D1372" t="str">
            <v>22118</v>
          </cell>
          <cell r="E1372" t="str">
            <v>WN FLG</v>
          </cell>
          <cell r="F1372">
            <v>3</v>
          </cell>
          <cell r="G1372" t="str">
            <v>CB200104000800</v>
          </cell>
          <cell r="H1372">
            <v>8</v>
          </cell>
          <cell r="I1372" t="str">
            <v>--</v>
          </cell>
          <cell r="J1372">
            <v>1</v>
          </cell>
          <cell r="K1372">
            <v>2</v>
          </cell>
        </row>
        <row r="1373">
          <cell r="A1373" t="str">
            <v>M1</v>
          </cell>
          <cell r="B1373" t="str">
            <v>A5C</v>
          </cell>
          <cell r="C1373" t="str">
            <v>P</v>
          </cell>
          <cell r="D1373" t="str">
            <v>25002</v>
          </cell>
          <cell r="E1373" t="str">
            <v>WN FLG</v>
          </cell>
          <cell r="F1373">
            <v>3</v>
          </cell>
          <cell r="G1373" t="str">
            <v>CB200104000800</v>
          </cell>
          <cell r="H1373">
            <v>8</v>
          </cell>
          <cell r="I1373" t="str">
            <v>--</v>
          </cell>
          <cell r="J1373">
            <v>1</v>
          </cell>
          <cell r="K1373">
            <v>2</v>
          </cell>
        </row>
        <row r="1374">
          <cell r="A1374" t="str">
            <v>M1</v>
          </cell>
          <cell r="B1374" t="str">
            <v>A5C</v>
          </cell>
          <cell r="C1374" t="str">
            <v>P</v>
          </cell>
          <cell r="D1374" t="str">
            <v>22018</v>
          </cell>
          <cell r="E1374" t="str">
            <v>WN FLG</v>
          </cell>
          <cell r="F1374">
            <v>3</v>
          </cell>
          <cell r="G1374" t="str">
            <v>CB2001040008000800</v>
          </cell>
          <cell r="H1374">
            <v>8</v>
          </cell>
          <cell r="I1374" t="str">
            <v>--</v>
          </cell>
          <cell r="J1374">
            <v>1</v>
          </cell>
          <cell r="K1374">
            <v>2</v>
          </cell>
        </row>
        <row r="1375">
          <cell r="A1375" t="str">
            <v>M1</v>
          </cell>
          <cell r="B1375" t="str">
            <v>A6C</v>
          </cell>
          <cell r="C1375" t="str">
            <v>HOS</v>
          </cell>
          <cell r="D1375" t="str">
            <v>65617</v>
          </cell>
          <cell r="E1375" t="str">
            <v>WN FLG</v>
          </cell>
          <cell r="F1375">
            <v>3</v>
          </cell>
          <cell r="G1375" t="str">
            <v>CB200204000800</v>
          </cell>
          <cell r="H1375">
            <v>8</v>
          </cell>
          <cell r="I1375" t="str">
            <v>--</v>
          </cell>
          <cell r="J1375">
            <v>2</v>
          </cell>
          <cell r="K1375">
            <v>3</v>
          </cell>
        </row>
        <row r="1376">
          <cell r="A1376" t="str">
            <v>M1</v>
          </cell>
          <cell r="B1376" t="str">
            <v>A5C</v>
          </cell>
          <cell r="C1376" t="str">
            <v>P</v>
          </cell>
          <cell r="D1376" t="str">
            <v>22044</v>
          </cell>
          <cell r="E1376" t="str">
            <v>WN FLG</v>
          </cell>
          <cell r="F1376">
            <v>3</v>
          </cell>
          <cell r="G1376" t="str">
            <v>CB200104000800</v>
          </cell>
          <cell r="H1376">
            <v>8</v>
          </cell>
          <cell r="I1376" t="str">
            <v>--</v>
          </cell>
          <cell r="J1376">
            <v>2</v>
          </cell>
          <cell r="K1376">
            <v>3</v>
          </cell>
        </row>
        <row r="1377">
          <cell r="A1377" t="str">
            <v>M1</v>
          </cell>
          <cell r="B1377" t="str">
            <v>A5C</v>
          </cell>
          <cell r="C1377" t="str">
            <v>P</v>
          </cell>
          <cell r="D1377" t="str">
            <v>22074</v>
          </cell>
          <cell r="E1377" t="str">
            <v>WN FLG</v>
          </cell>
          <cell r="F1377">
            <v>3</v>
          </cell>
          <cell r="G1377" t="str">
            <v>CB200104000800</v>
          </cell>
          <cell r="H1377">
            <v>8</v>
          </cell>
          <cell r="I1377" t="str">
            <v>--</v>
          </cell>
          <cell r="J1377">
            <v>9</v>
          </cell>
          <cell r="K1377">
            <v>11</v>
          </cell>
        </row>
        <row r="1378">
          <cell r="A1378" t="str">
            <v>M1</v>
          </cell>
          <cell r="B1378" t="str">
            <v>A5C</v>
          </cell>
          <cell r="C1378" t="str">
            <v>P</v>
          </cell>
          <cell r="D1378" t="str">
            <v>22074</v>
          </cell>
          <cell r="E1378" t="str">
            <v>WN FLG</v>
          </cell>
          <cell r="F1378">
            <v>3</v>
          </cell>
          <cell r="G1378" t="str">
            <v>CB200204000800</v>
          </cell>
          <cell r="H1378">
            <v>8</v>
          </cell>
          <cell r="I1378" t="str">
            <v>--</v>
          </cell>
          <cell r="J1378">
            <v>6</v>
          </cell>
          <cell r="K1378">
            <v>7</v>
          </cell>
        </row>
        <row r="1379">
          <cell r="A1379" t="str">
            <v>M1</v>
          </cell>
          <cell r="B1379" t="str">
            <v>A5C</v>
          </cell>
          <cell r="C1379" t="str">
            <v>P</v>
          </cell>
          <cell r="D1379" t="str">
            <v>22077</v>
          </cell>
          <cell r="E1379" t="str">
            <v>WN FLG</v>
          </cell>
          <cell r="F1379">
            <v>3</v>
          </cell>
          <cell r="G1379" t="str">
            <v>CB200204000800</v>
          </cell>
          <cell r="H1379">
            <v>8</v>
          </cell>
          <cell r="I1379" t="str">
            <v>--</v>
          </cell>
          <cell r="J1379">
            <v>2</v>
          </cell>
          <cell r="K1379">
            <v>3</v>
          </cell>
        </row>
        <row r="1380">
          <cell r="A1380" t="str">
            <v>M1</v>
          </cell>
          <cell r="B1380" t="str">
            <v>A5C</v>
          </cell>
          <cell r="C1380" t="str">
            <v>P</v>
          </cell>
          <cell r="D1380" t="str">
            <v>22077</v>
          </cell>
          <cell r="E1380" t="str">
            <v>WN FLG</v>
          </cell>
          <cell r="F1380">
            <v>3</v>
          </cell>
          <cell r="G1380" t="str">
            <v>CB200104000800</v>
          </cell>
          <cell r="H1380">
            <v>8</v>
          </cell>
          <cell r="I1380" t="str">
            <v>--</v>
          </cell>
          <cell r="J1380">
            <v>2</v>
          </cell>
          <cell r="K1380">
            <v>3</v>
          </cell>
        </row>
        <row r="1381">
          <cell r="A1381" t="str">
            <v>M1</v>
          </cell>
          <cell r="B1381" t="str">
            <v>A6C</v>
          </cell>
          <cell r="C1381" t="str">
            <v>HOS</v>
          </cell>
          <cell r="D1381" t="str">
            <v>65619</v>
          </cell>
          <cell r="E1381" t="str">
            <v>WN FLG</v>
          </cell>
          <cell r="F1381">
            <v>3</v>
          </cell>
          <cell r="G1381" t="str">
            <v>CB200104000800</v>
          </cell>
          <cell r="H1381">
            <v>8</v>
          </cell>
          <cell r="I1381" t="str">
            <v>--</v>
          </cell>
          <cell r="J1381">
            <v>1</v>
          </cell>
          <cell r="K1381">
            <v>2</v>
          </cell>
        </row>
        <row r="1382">
          <cell r="A1382" t="str">
            <v>M1</v>
          </cell>
          <cell r="B1382" t="str">
            <v>A6C</v>
          </cell>
          <cell r="C1382" t="str">
            <v>HOR</v>
          </cell>
          <cell r="D1382" t="str">
            <v>65621</v>
          </cell>
          <cell r="E1382" t="str">
            <v>WN FLG</v>
          </cell>
          <cell r="F1382">
            <v>3</v>
          </cell>
          <cell r="G1382" t="str">
            <v>CB200104000800</v>
          </cell>
          <cell r="H1382">
            <v>8</v>
          </cell>
          <cell r="I1382" t="str">
            <v>--</v>
          </cell>
          <cell r="J1382">
            <v>3</v>
          </cell>
          <cell r="K1382">
            <v>4</v>
          </cell>
        </row>
        <row r="1383">
          <cell r="A1383" t="str">
            <v>M1</v>
          </cell>
          <cell r="B1383" t="str">
            <v>A6C</v>
          </cell>
          <cell r="C1383" t="str">
            <v>HOS</v>
          </cell>
          <cell r="D1383" t="str">
            <v>65613</v>
          </cell>
          <cell r="E1383" t="str">
            <v>WN FLG</v>
          </cell>
          <cell r="F1383">
            <v>3</v>
          </cell>
          <cell r="G1383" t="str">
            <v>CB200104000800</v>
          </cell>
          <cell r="H1383">
            <v>8</v>
          </cell>
          <cell r="I1383" t="str">
            <v>--</v>
          </cell>
          <cell r="J1383">
            <v>8</v>
          </cell>
          <cell r="K1383">
            <v>10</v>
          </cell>
        </row>
        <row r="1384">
          <cell r="A1384" t="str">
            <v>M1</v>
          </cell>
          <cell r="B1384" t="str">
            <v>A6C</v>
          </cell>
          <cell r="C1384" t="str">
            <v>HOS</v>
          </cell>
          <cell r="D1384" t="str">
            <v>65613</v>
          </cell>
          <cell r="E1384" t="str">
            <v>WN FLG</v>
          </cell>
          <cell r="F1384">
            <v>3</v>
          </cell>
          <cell r="G1384" t="str">
            <v>CB200204000800</v>
          </cell>
          <cell r="H1384">
            <v>8</v>
          </cell>
          <cell r="I1384" t="str">
            <v>--</v>
          </cell>
          <cell r="J1384">
            <v>2</v>
          </cell>
          <cell r="K1384">
            <v>3</v>
          </cell>
        </row>
        <row r="1385">
          <cell r="A1385" t="str">
            <v>M1</v>
          </cell>
          <cell r="B1385" t="str">
            <v>A6C</v>
          </cell>
          <cell r="C1385" t="str">
            <v>HOS</v>
          </cell>
          <cell r="D1385" t="str">
            <v>65613</v>
          </cell>
          <cell r="E1385" t="str">
            <v>WN FLG</v>
          </cell>
          <cell r="F1385">
            <v>3</v>
          </cell>
          <cell r="G1385" t="str">
            <v>CB200104000800</v>
          </cell>
          <cell r="H1385">
            <v>8</v>
          </cell>
          <cell r="I1385" t="str">
            <v>--</v>
          </cell>
          <cell r="J1385">
            <v>1</v>
          </cell>
          <cell r="K1385">
            <v>2</v>
          </cell>
        </row>
        <row r="1386">
          <cell r="A1386" t="str">
            <v>M1</v>
          </cell>
          <cell r="B1386" t="str">
            <v>A6C</v>
          </cell>
          <cell r="C1386" t="str">
            <v>HOS</v>
          </cell>
          <cell r="D1386" t="str">
            <v>65615</v>
          </cell>
          <cell r="E1386" t="str">
            <v>WN FLG</v>
          </cell>
          <cell r="F1386">
            <v>3</v>
          </cell>
          <cell r="G1386" t="str">
            <v>CB200104000800</v>
          </cell>
          <cell r="H1386">
            <v>8</v>
          </cell>
          <cell r="I1386" t="str">
            <v>--</v>
          </cell>
          <cell r="J1386">
            <v>1</v>
          </cell>
          <cell r="K1386">
            <v>2</v>
          </cell>
        </row>
        <row r="1387">
          <cell r="A1387" t="str">
            <v>M1</v>
          </cell>
          <cell r="B1387" t="str">
            <v>A6C</v>
          </cell>
          <cell r="C1387" t="str">
            <v>HOS</v>
          </cell>
          <cell r="D1387" t="str">
            <v>65627</v>
          </cell>
          <cell r="E1387" t="str">
            <v>WN FLG</v>
          </cell>
          <cell r="F1387">
            <v>3</v>
          </cell>
          <cell r="G1387" t="str">
            <v>CB200104000800</v>
          </cell>
          <cell r="H1387">
            <v>8</v>
          </cell>
          <cell r="I1387" t="str">
            <v>--</v>
          </cell>
          <cell r="J1387">
            <v>6</v>
          </cell>
          <cell r="K1387">
            <v>7</v>
          </cell>
        </row>
        <row r="1388">
          <cell r="A1388" t="str">
            <v>M1</v>
          </cell>
          <cell r="B1388" t="str">
            <v>A6C</v>
          </cell>
          <cell r="C1388" t="str">
            <v>HOS</v>
          </cell>
          <cell r="D1388" t="str">
            <v>65627</v>
          </cell>
          <cell r="E1388" t="str">
            <v>WN FLG</v>
          </cell>
          <cell r="F1388">
            <v>3</v>
          </cell>
          <cell r="G1388" t="str">
            <v>CB200204000800</v>
          </cell>
          <cell r="H1388">
            <v>8</v>
          </cell>
          <cell r="I1388" t="str">
            <v>--</v>
          </cell>
          <cell r="J1388">
            <v>2</v>
          </cell>
          <cell r="K1388">
            <v>3</v>
          </cell>
        </row>
        <row r="1389">
          <cell r="A1389" t="str">
            <v>M1</v>
          </cell>
          <cell r="B1389" t="str">
            <v>A6C</v>
          </cell>
          <cell r="C1389" t="str">
            <v>HOS</v>
          </cell>
          <cell r="D1389" t="str">
            <v>65624</v>
          </cell>
          <cell r="E1389" t="str">
            <v>WN FLG</v>
          </cell>
          <cell r="F1389">
            <v>3</v>
          </cell>
          <cell r="G1389" t="str">
            <v>CB200204000800</v>
          </cell>
          <cell r="H1389">
            <v>8</v>
          </cell>
          <cell r="I1389" t="str">
            <v>--</v>
          </cell>
          <cell r="J1389">
            <v>2</v>
          </cell>
          <cell r="K1389">
            <v>3</v>
          </cell>
        </row>
        <row r="1390">
          <cell r="A1390" t="str">
            <v>M1</v>
          </cell>
          <cell r="B1390" t="str">
            <v>A6C</v>
          </cell>
          <cell r="C1390" t="str">
            <v>HOS</v>
          </cell>
          <cell r="D1390" t="str">
            <v>65624</v>
          </cell>
          <cell r="E1390" t="str">
            <v>WN FLG</v>
          </cell>
          <cell r="F1390">
            <v>3</v>
          </cell>
          <cell r="G1390" t="str">
            <v>CB200104000800</v>
          </cell>
          <cell r="H1390">
            <v>8</v>
          </cell>
          <cell r="I1390" t="str">
            <v>--</v>
          </cell>
          <cell r="J1390">
            <v>1</v>
          </cell>
          <cell r="K1390">
            <v>2</v>
          </cell>
        </row>
        <row r="1391">
          <cell r="A1391" t="str">
            <v>M1</v>
          </cell>
          <cell r="B1391" t="str">
            <v>A6C</v>
          </cell>
          <cell r="C1391" t="str">
            <v>HOS</v>
          </cell>
          <cell r="D1391" t="str">
            <v>65631</v>
          </cell>
          <cell r="E1391" t="str">
            <v>WN FLG</v>
          </cell>
          <cell r="F1391">
            <v>3</v>
          </cell>
          <cell r="G1391" t="str">
            <v>CB200104000800</v>
          </cell>
          <cell r="H1391">
            <v>8</v>
          </cell>
          <cell r="I1391" t="str">
            <v>--</v>
          </cell>
          <cell r="J1391">
            <v>1</v>
          </cell>
          <cell r="K1391">
            <v>2</v>
          </cell>
        </row>
        <row r="1392">
          <cell r="A1392" t="str">
            <v>M1</v>
          </cell>
          <cell r="B1392" t="str">
            <v>A6C</v>
          </cell>
          <cell r="C1392" t="str">
            <v>HOS</v>
          </cell>
          <cell r="D1392" t="str">
            <v>65624</v>
          </cell>
          <cell r="E1392" t="str">
            <v>WN FLG</v>
          </cell>
          <cell r="F1392">
            <v>3</v>
          </cell>
          <cell r="G1392" t="str">
            <v>CB200104000800</v>
          </cell>
          <cell r="H1392">
            <v>8</v>
          </cell>
          <cell r="I1392" t="str">
            <v>--</v>
          </cell>
          <cell r="J1392">
            <v>6</v>
          </cell>
          <cell r="K1392">
            <v>7</v>
          </cell>
        </row>
        <row r="1393">
          <cell r="A1393" t="str">
            <v>M1</v>
          </cell>
          <cell r="B1393" t="str">
            <v>A6C</v>
          </cell>
          <cell r="C1393" t="str">
            <v>HOR</v>
          </cell>
          <cell r="D1393" t="str">
            <v>65611</v>
          </cell>
          <cell r="E1393" t="str">
            <v>WN FLG</v>
          </cell>
          <cell r="F1393">
            <v>3</v>
          </cell>
          <cell r="G1393" t="str">
            <v>CB200104000800</v>
          </cell>
          <cell r="H1393">
            <v>8</v>
          </cell>
          <cell r="I1393" t="str">
            <v>--</v>
          </cell>
          <cell r="J1393">
            <v>2</v>
          </cell>
          <cell r="K1393">
            <v>3</v>
          </cell>
        </row>
        <row r="1394">
          <cell r="A1394" t="str">
            <v>M1</v>
          </cell>
          <cell r="B1394" t="str">
            <v>A6C</v>
          </cell>
          <cell r="C1394" t="str">
            <v>HOS</v>
          </cell>
          <cell r="D1394" t="str">
            <v>65613</v>
          </cell>
          <cell r="E1394" t="str">
            <v>WN FLG</v>
          </cell>
          <cell r="F1394">
            <v>3</v>
          </cell>
          <cell r="G1394" t="str">
            <v>CB200204000800</v>
          </cell>
          <cell r="H1394">
            <v>8</v>
          </cell>
          <cell r="I1394" t="str">
            <v>--</v>
          </cell>
          <cell r="J1394">
            <v>2</v>
          </cell>
          <cell r="K1394">
            <v>3</v>
          </cell>
        </row>
        <row r="1395">
          <cell r="A1395" t="str">
            <v>M1</v>
          </cell>
          <cell r="B1395" t="str">
            <v>A6C</v>
          </cell>
          <cell r="C1395" t="str">
            <v>HOR</v>
          </cell>
          <cell r="D1395" t="str">
            <v>65615</v>
          </cell>
          <cell r="E1395" t="str">
            <v>WN FLG</v>
          </cell>
          <cell r="F1395">
            <v>3</v>
          </cell>
          <cell r="G1395" t="str">
            <v>CB200104000800</v>
          </cell>
          <cell r="H1395">
            <v>8</v>
          </cell>
          <cell r="I1395" t="str">
            <v>--</v>
          </cell>
          <cell r="J1395">
            <v>3</v>
          </cell>
          <cell r="K1395">
            <v>4</v>
          </cell>
        </row>
        <row r="1396">
          <cell r="A1396" t="str">
            <v>M1</v>
          </cell>
          <cell r="B1396" t="str">
            <v>A6C</v>
          </cell>
          <cell r="C1396" t="str">
            <v>HOR</v>
          </cell>
          <cell r="D1396" t="str">
            <v>65619</v>
          </cell>
          <cell r="E1396" t="str">
            <v>WN FLG</v>
          </cell>
          <cell r="F1396">
            <v>3</v>
          </cell>
          <cell r="G1396" t="str">
            <v>CB200104000800</v>
          </cell>
          <cell r="H1396">
            <v>8</v>
          </cell>
          <cell r="I1396" t="str">
            <v>--</v>
          </cell>
          <cell r="J1396">
            <v>7</v>
          </cell>
          <cell r="K1396">
            <v>9</v>
          </cell>
        </row>
        <row r="1397">
          <cell r="A1397" t="str">
            <v>M1</v>
          </cell>
          <cell r="B1397" t="str">
            <v>A6C</v>
          </cell>
          <cell r="C1397" t="str">
            <v>HOR</v>
          </cell>
          <cell r="D1397" t="str">
            <v>65611</v>
          </cell>
          <cell r="E1397" t="str">
            <v>WN FLG</v>
          </cell>
          <cell r="F1397">
            <v>3</v>
          </cell>
          <cell r="G1397" t="str">
            <v>CB200104000800</v>
          </cell>
          <cell r="H1397">
            <v>8</v>
          </cell>
          <cell r="I1397" t="str">
            <v>--</v>
          </cell>
          <cell r="J1397">
            <v>1</v>
          </cell>
          <cell r="K1397">
            <v>2</v>
          </cell>
        </row>
        <row r="1398">
          <cell r="A1398" t="str">
            <v>M1</v>
          </cell>
          <cell r="B1398" t="str">
            <v>A6C</v>
          </cell>
          <cell r="C1398" t="str">
            <v>HOR</v>
          </cell>
          <cell r="D1398" t="str">
            <v>65619</v>
          </cell>
          <cell r="E1398" t="str">
            <v>WN FLG</v>
          </cell>
          <cell r="F1398">
            <v>3</v>
          </cell>
          <cell r="G1398" t="str">
            <v>CB200104000800</v>
          </cell>
          <cell r="H1398">
            <v>8</v>
          </cell>
          <cell r="I1398" t="str">
            <v>--</v>
          </cell>
          <cell r="J1398">
            <v>8</v>
          </cell>
          <cell r="K1398">
            <v>10</v>
          </cell>
        </row>
        <row r="1399">
          <cell r="A1399" t="str">
            <v>M1</v>
          </cell>
          <cell r="B1399" t="str">
            <v>A6C</v>
          </cell>
          <cell r="C1399" t="str">
            <v>HOS</v>
          </cell>
          <cell r="D1399" t="str">
            <v>65619</v>
          </cell>
          <cell r="E1399" t="str">
            <v>WN FLG</v>
          </cell>
          <cell r="F1399">
            <v>3</v>
          </cell>
          <cell r="G1399" t="str">
            <v>CB200204000800</v>
          </cell>
          <cell r="H1399">
            <v>8</v>
          </cell>
          <cell r="I1399" t="str">
            <v>--</v>
          </cell>
          <cell r="J1399">
            <v>2</v>
          </cell>
          <cell r="K1399">
            <v>3</v>
          </cell>
        </row>
        <row r="1400">
          <cell r="A1400" t="str">
            <v>M1</v>
          </cell>
          <cell r="B1400" t="str">
            <v>A6C</v>
          </cell>
          <cell r="C1400" t="str">
            <v>HOS</v>
          </cell>
          <cell r="D1400" t="str">
            <v>65624</v>
          </cell>
          <cell r="E1400" t="str">
            <v>WN FLG</v>
          </cell>
          <cell r="F1400">
            <v>3</v>
          </cell>
          <cell r="G1400" t="str">
            <v>CB200204000800</v>
          </cell>
          <cell r="H1400">
            <v>8</v>
          </cell>
          <cell r="I1400" t="str">
            <v>--</v>
          </cell>
          <cell r="J1400">
            <v>2</v>
          </cell>
          <cell r="K1400">
            <v>3</v>
          </cell>
        </row>
        <row r="1401">
          <cell r="A1401" t="str">
            <v>M1</v>
          </cell>
          <cell r="B1401" t="str">
            <v>A6C</v>
          </cell>
          <cell r="C1401" t="str">
            <v>HOS</v>
          </cell>
          <cell r="D1401" t="str">
            <v>65625</v>
          </cell>
          <cell r="E1401" t="str">
            <v>WN FLG</v>
          </cell>
          <cell r="F1401">
            <v>3</v>
          </cell>
          <cell r="G1401" t="str">
            <v>CB200104000800</v>
          </cell>
          <cell r="H1401">
            <v>8</v>
          </cell>
          <cell r="I1401" t="str">
            <v>--</v>
          </cell>
          <cell r="J1401">
            <v>1</v>
          </cell>
          <cell r="K1401">
            <v>2</v>
          </cell>
        </row>
        <row r="1402">
          <cell r="A1402" t="str">
            <v>M1</v>
          </cell>
          <cell r="B1402" t="str">
            <v>A6C</v>
          </cell>
          <cell r="C1402" t="str">
            <v>HOS</v>
          </cell>
          <cell r="D1402" t="str">
            <v>65625</v>
          </cell>
          <cell r="E1402" t="str">
            <v>WN FLG</v>
          </cell>
          <cell r="F1402">
            <v>3</v>
          </cell>
          <cell r="G1402" t="str">
            <v>CB200204000800</v>
          </cell>
          <cell r="H1402">
            <v>8</v>
          </cell>
          <cell r="I1402" t="str">
            <v>--</v>
          </cell>
          <cell r="J1402">
            <v>2</v>
          </cell>
          <cell r="K1402">
            <v>3</v>
          </cell>
        </row>
        <row r="1403">
          <cell r="A1403" t="str">
            <v>M1</v>
          </cell>
          <cell r="B1403" t="str">
            <v>A5C</v>
          </cell>
          <cell r="C1403" t="str">
            <v>P</v>
          </cell>
          <cell r="D1403" t="str">
            <v>22015</v>
          </cell>
          <cell r="E1403" t="str">
            <v>WN FLG</v>
          </cell>
          <cell r="F1403">
            <v>3</v>
          </cell>
          <cell r="G1403" t="str">
            <v>CB200104001000</v>
          </cell>
          <cell r="H1403">
            <v>10</v>
          </cell>
          <cell r="I1403" t="str">
            <v>--</v>
          </cell>
          <cell r="J1403">
            <v>1</v>
          </cell>
          <cell r="K1403">
            <v>2</v>
          </cell>
        </row>
        <row r="1404">
          <cell r="A1404" t="str">
            <v>M1</v>
          </cell>
          <cell r="B1404" t="str">
            <v>A5C</v>
          </cell>
          <cell r="C1404" t="str">
            <v>P</v>
          </cell>
          <cell r="D1404" t="str">
            <v>22062</v>
          </cell>
          <cell r="E1404" t="str">
            <v>WN FLG</v>
          </cell>
          <cell r="F1404">
            <v>3</v>
          </cell>
          <cell r="G1404" t="str">
            <v>CB200104001000</v>
          </cell>
          <cell r="H1404">
            <v>10</v>
          </cell>
          <cell r="I1404" t="str">
            <v>--</v>
          </cell>
          <cell r="J1404">
            <v>3</v>
          </cell>
          <cell r="K1404">
            <v>4</v>
          </cell>
        </row>
        <row r="1405">
          <cell r="A1405" t="str">
            <v>M1</v>
          </cell>
          <cell r="B1405" t="str">
            <v>A5C</v>
          </cell>
          <cell r="C1405" t="str">
            <v>P</v>
          </cell>
          <cell r="D1405" t="str">
            <v>22073</v>
          </cell>
          <cell r="E1405" t="str">
            <v>WN FLG</v>
          </cell>
          <cell r="F1405">
            <v>3</v>
          </cell>
          <cell r="G1405" t="str">
            <v>CB200104001000</v>
          </cell>
          <cell r="H1405">
            <v>10</v>
          </cell>
          <cell r="I1405" t="str">
            <v>--</v>
          </cell>
          <cell r="J1405">
            <v>7</v>
          </cell>
          <cell r="K1405">
            <v>8</v>
          </cell>
        </row>
        <row r="1406">
          <cell r="A1406" t="str">
            <v>M1</v>
          </cell>
          <cell r="B1406" t="str">
            <v>A5C</v>
          </cell>
          <cell r="C1406" t="str">
            <v>P</v>
          </cell>
          <cell r="D1406" t="str">
            <v>22074</v>
          </cell>
          <cell r="E1406" t="str">
            <v>WN FLG</v>
          </cell>
          <cell r="F1406">
            <v>3</v>
          </cell>
          <cell r="G1406" t="str">
            <v>CB200104001000</v>
          </cell>
          <cell r="H1406">
            <v>10</v>
          </cell>
          <cell r="I1406" t="str">
            <v>--</v>
          </cell>
          <cell r="J1406">
            <v>1</v>
          </cell>
          <cell r="K1406">
            <v>2</v>
          </cell>
        </row>
        <row r="1407">
          <cell r="A1407" t="str">
            <v>M1</v>
          </cell>
          <cell r="B1407" t="str">
            <v>A5C</v>
          </cell>
          <cell r="C1407" t="str">
            <v>P</v>
          </cell>
          <cell r="D1407" t="str">
            <v>22060</v>
          </cell>
          <cell r="E1407" t="str">
            <v>WN FLG</v>
          </cell>
          <cell r="F1407">
            <v>3</v>
          </cell>
          <cell r="G1407" t="str">
            <v>CB200104001000</v>
          </cell>
          <cell r="H1407">
            <v>10</v>
          </cell>
          <cell r="I1407" t="str">
            <v>--</v>
          </cell>
          <cell r="J1407">
            <v>2</v>
          </cell>
          <cell r="K1407">
            <v>3</v>
          </cell>
        </row>
        <row r="1408">
          <cell r="A1408" t="str">
            <v>M1</v>
          </cell>
          <cell r="B1408" t="str">
            <v>A5C</v>
          </cell>
          <cell r="C1408" t="str">
            <v>P</v>
          </cell>
          <cell r="D1408" t="str">
            <v>22062</v>
          </cell>
          <cell r="E1408" t="str">
            <v>WN FLG</v>
          </cell>
          <cell r="F1408">
            <v>3</v>
          </cell>
          <cell r="G1408" t="str">
            <v>CB200104001000</v>
          </cell>
          <cell r="H1408">
            <v>10</v>
          </cell>
          <cell r="I1408" t="str">
            <v>--</v>
          </cell>
          <cell r="J1408">
            <v>6</v>
          </cell>
          <cell r="K1408">
            <v>7</v>
          </cell>
        </row>
        <row r="1409">
          <cell r="A1409" t="str">
            <v>M1</v>
          </cell>
          <cell r="B1409" t="str">
            <v>A5C</v>
          </cell>
          <cell r="C1409" t="str">
            <v>P</v>
          </cell>
          <cell r="D1409" t="str">
            <v>22077</v>
          </cell>
          <cell r="E1409" t="str">
            <v>WN FLG</v>
          </cell>
          <cell r="F1409">
            <v>3</v>
          </cell>
          <cell r="G1409" t="str">
            <v>CB200104001000</v>
          </cell>
          <cell r="H1409">
            <v>10</v>
          </cell>
          <cell r="I1409" t="str">
            <v>--</v>
          </cell>
          <cell r="J1409">
            <v>1</v>
          </cell>
          <cell r="K1409">
            <v>2</v>
          </cell>
        </row>
        <row r="1410">
          <cell r="A1410" t="str">
            <v>M1</v>
          </cell>
          <cell r="B1410" t="str">
            <v>A5C</v>
          </cell>
          <cell r="C1410" t="str">
            <v>P</v>
          </cell>
          <cell r="D1410" t="str">
            <v>22077</v>
          </cell>
          <cell r="E1410" t="str">
            <v>WN FLG</v>
          </cell>
          <cell r="F1410">
            <v>3</v>
          </cell>
          <cell r="G1410" t="str">
            <v>CB200104001000</v>
          </cell>
          <cell r="H1410">
            <v>10</v>
          </cell>
          <cell r="I1410" t="str">
            <v>--</v>
          </cell>
          <cell r="J1410">
            <v>5</v>
          </cell>
          <cell r="K1410">
            <v>6</v>
          </cell>
        </row>
        <row r="1411">
          <cell r="A1411" t="str">
            <v>M1</v>
          </cell>
          <cell r="B1411" t="str">
            <v>A4C</v>
          </cell>
          <cell r="C1411" t="str">
            <v>P</v>
          </cell>
          <cell r="D1411" t="str">
            <v>22008</v>
          </cell>
          <cell r="E1411" t="str">
            <v>WN FLG</v>
          </cell>
          <cell r="F1411">
            <v>3</v>
          </cell>
          <cell r="G1411" t="str">
            <v>CB200104001000</v>
          </cell>
          <cell r="H1411">
            <v>10</v>
          </cell>
          <cell r="I1411" t="str">
            <v>--</v>
          </cell>
          <cell r="J1411">
            <v>7</v>
          </cell>
          <cell r="K1411">
            <v>8</v>
          </cell>
        </row>
        <row r="1412">
          <cell r="A1412" t="str">
            <v>M1</v>
          </cell>
          <cell r="B1412" t="str">
            <v>A4C</v>
          </cell>
          <cell r="C1412" t="str">
            <v>P</v>
          </cell>
          <cell r="D1412" t="str">
            <v>22008</v>
          </cell>
          <cell r="E1412" t="str">
            <v>WN FLG</v>
          </cell>
          <cell r="F1412">
            <v>3</v>
          </cell>
          <cell r="G1412" t="str">
            <v>CB200104001000</v>
          </cell>
          <cell r="H1412">
            <v>10</v>
          </cell>
          <cell r="I1412" t="str">
            <v>--</v>
          </cell>
          <cell r="J1412">
            <v>6</v>
          </cell>
          <cell r="K1412">
            <v>7</v>
          </cell>
        </row>
        <row r="1413">
          <cell r="A1413" t="str">
            <v>M1</v>
          </cell>
          <cell r="B1413" t="str">
            <v>A5C</v>
          </cell>
          <cell r="C1413" t="str">
            <v>P</v>
          </cell>
          <cell r="D1413" t="str">
            <v>22075</v>
          </cell>
          <cell r="E1413" t="str">
            <v>WN FLG</v>
          </cell>
          <cell r="F1413">
            <v>3</v>
          </cell>
          <cell r="G1413" t="str">
            <v>CB200104001000</v>
          </cell>
          <cell r="H1413">
            <v>10</v>
          </cell>
          <cell r="I1413" t="str">
            <v>--</v>
          </cell>
          <cell r="J1413">
            <v>2</v>
          </cell>
          <cell r="K1413">
            <v>3</v>
          </cell>
        </row>
        <row r="1414">
          <cell r="A1414" t="str">
            <v>M1</v>
          </cell>
          <cell r="B1414" t="str">
            <v>A4C</v>
          </cell>
          <cell r="C1414" t="str">
            <v>P</v>
          </cell>
          <cell r="D1414" t="str">
            <v>22008</v>
          </cell>
          <cell r="E1414" t="str">
            <v>WN FLG</v>
          </cell>
          <cell r="F1414">
            <v>3</v>
          </cell>
          <cell r="G1414" t="str">
            <v>CB200104001000</v>
          </cell>
          <cell r="H1414">
            <v>10</v>
          </cell>
          <cell r="I1414" t="str">
            <v>--</v>
          </cell>
          <cell r="J1414">
            <v>1</v>
          </cell>
          <cell r="K1414">
            <v>2</v>
          </cell>
        </row>
        <row r="1415">
          <cell r="A1415" t="str">
            <v>M1</v>
          </cell>
          <cell r="B1415" t="str">
            <v>A4C</v>
          </cell>
          <cell r="C1415" t="str">
            <v>P</v>
          </cell>
          <cell r="D1415" t="str">
            <v>22080</v>
          </cell>
          <cell r="E1415" t="str">
            <v>WN FLG</v>
          </cell>
          <cell r="F1415">
            <v>3</v>
          </cell>
          <cell r="G1415" t="str">
            <v>CB200104001000</v>
          </cell>
          <cell r="H1415">
            <v>10</v>
          </cell>
          <cell r="I1415" t="str">
            <v>--</v>
          </cell>
          <cell r="J1415">
            <v>4</v>
          </cell>
          <cell r="K1415">
            <v>5</v>
          </cell>
        </row>
        <row r="1416">
          <cell r="A1416" t="str">
            <v>M1</v>
          </cell>
          <cell r="B1416" t="str">
            <v>A5C</v>
          </cell>
          <cell r="C1416" t="str">
            <v>COMP</v>
          </cell>
          <cell r="D1416" t="str">
            <v>001</v>
          </cell>
          <cell r="E1416" t="str">
            <v>WN FLG</v>
          </cell>
          <cell r="F1416">
            <v>3</v>
          </cell>
          <cell r="G1416" t="str">
            <v>CB200104001200</v>
          </cell>
          <cell r="H1416">
            <v>12</v>
          </cell>
          <cell r="I1416" t="str">
            <v>--</v>
          </cell>
          <cell r="J1416">
            <v>2</v>
          </cell>
          <cell r="K1416">
            <v>3</v>
          </cell>
        </row>
        <row r="1417">
          <cell r="A1417" t="str">
            <v>M1</v>
          </cell>
          <cell r="B1417" t="str">
            <v>A5C</v>
          </cell>
          <cell r="C1417" t="str">
            <v>COMP</v>
          </cell>
          <cell r="D1417" t="str">
            <v>002</v>
          </cell>
          <cell r="E1417" t="str">
            <v>WN FLG</v>
          </cell>
          <cell r="F1417">
            <v>3</v>
          </cell>
          <cell r="G1417" t="str">
            <v>CB200104001200</v>
          </cell>
          <cell r="H1417">
            <v>12</v>
          </cell>
          <cell r="I1417" t="str">
            <v>--</v>
          </cell>
          <cell r="J1417">
            <v>2</v>
          </cell>
          <cell r="K1417">
            <v>3</v>
          </cell>
        </row>
        <row r="1418">
          <cell r="A1418" t="str">
            <v>M1</v>
          </cell>
          <cell r="B1418" t="str">
            <v>B1X</v>
          </cell>
          <cell r="C1418" t="str">
            <v>P</v>
          </cell>
          <cell r="D1418" t="str">
            <v>22042</v>
          </cell>
          <cell r="E1418" t="str">
            <v>WN FLG</v>
          </cell>
          <cell r="F1418">
            <v>3</v>
          </cell>
          <cell r="G1418" t="str">
            <v>CB200204001200</v>
          </cell>
          <cell r="H1418">
            <v>12</v>
          </cell>
          <cell r="I1418" t="str">
            <v>--</v>
          </cell>
          <cell r="J1418">
            <v>4</v>
          </cell>
          <cell r="K1418">
            <v>5</v>
          </cell>
        </row>
        <row r="1419">
          <cell r="A1419" t="str">
            <v>M1</v>
          </cell>
          <cell r="B1419" t="str">
            <v>A5C</v>
          </cell>
          <cell r="C1419" t="str">
            <v>P</v>
          </cell>
          <cell r="D1419" t="str">
            <v>22054</v>
          </cell>
          <cell r="E1419" t="str">
            <v>WN FLG</v>
          </cell>
          <cell r="F1419">
            <v>3</v>
          </cell>
          <cell r="G1419" t="str">
            <v>CB200104001400</v>
          </cell>
          <cell r="H1419">
            <v>14</v>
          </cell>
          <cell r="I1419" t="str">
            <v>--</v>
          </cell>
          <cell r="J1419">
            <v>2</v>
          </cell>
          <cell r="K1419">
            <v>2</v>
          </cell>
        </row>
        <row r="1420">
          <cell r="A1420" t="str">
            <v>M1</v>
          </cell>
          <cell r="B1420" t="str">
            <v>A5C</v>
          </cell>
          <cell r="C1420" t="str">
            <v>P</v>
          </cell>
          <cell r="D1420" t="str">
            <v>22056</v>
          </cell>
          <cell r="E1420" t="str">
            <v>WN FLG</v>
          </cell>
          <cell r="F1420">
            <v>3</v>
          </cell>
          <cell r="G1420" t="str">
            <v>CB200104001400</v>
          </cell>
          <cell r="H1420">
            <v>14</v>
          </cell>
          <cell r="I1420" t="str">
            <v>--</v>
          </cell>
          <cell r="J1420">
            <v>2</v>
          </cell>
          <cell r="K1420">
            <v>2</v>
          </cell>
        </row>
        <row r="1421">
          <cell r="A1421" t="str">
            <v>M1</v>
          </cell>
          <cell r="B1421" t="str">
            <v>A5C</v>
          </cell>
          <cell r="C1421" t="str">
            <v>P</v>
          </cell>
          <cell r="D1421" t="str">
            <v>22058</v>
          </cell>
          <cell r="E1421" t="str">
            <v>WN FLG</v>
          </cell>
          <cell r="F1421">
            <v>3</v>
          </cell>
          <cell r="G1421" t="str">
            <v>CB200104001400</v>
          </cell>
          <cell r="H1421">
            <v>14</v>
          </cell>
          <cell r="I1421" t="str">
            <v>--</v>
          </cell>
          <cell r="J1421">
            <v>2</v>
          </cell>
          <cell r="K1421">
            <v>2</v>
          </cell>
        </row>
        <row r="1422">
          <cell r="A1422" t="str">
            <v>M1</v>
          </cell>
          <cell r="B1422" t="str">
            <v>B1C</v>
          </cell>
          <cell r="C1422" t="str">
            <v>P</v>
          </cell>
          <cell r="D1422" t="str">
            <v>22027</v>
          </cell>
          <cell r="E1422" t="str">
            <v>WN FLG</v>
          </cell>
          <cell r="F1422">
            <v>3</v>
          </cell>
          <cell r="G1422" t="str">
            <v>CB200204001400</v>
          </cell>
          <cell r="H1422">
            <v>14</v>
          </cell>
          <cell r="I1422" t="str">
            <v>--</v>
          </cell>
          <cell r="J1422">
            <v>2</v>
          </cell>
          <cell r="K1422">
            <v>2</v>
          </cell>
        </row>
        <row r="1423">
          <cell r="A1423" t="str">
            <v>M1</v>
          </cell>
          <cell r="B1423" t="str">
            <v>A5C</v>
          </cell>
          <cell r="C1423" t="str">
            <v>P</v>
          </cell>
          <cell r="D1423" t="str">
            <v>22034</v>
          </cell>
          <cell r="E1423" t="str">
            <v>SW FLG</v>
          </cell>
          <cell r="F1423">
            <v>3</v>
          </cell>
          <cell r="G1423" t="str">
            <v>CB2401080001000100</v>
          </cell>
          <cell r="H1423">
            <v>1</v>
          </cell>
          <cell r="I1423" t="str">
            <v>--</v>
          </cell>
          <cell r="J1423">
            <v>3</v>
          </cell>
          <cell r="K1423">
            <v>3</v>
          </cell>
        </row>
        <row r="1424">
          <cell r="A1424" t="str">
            <v>M1</v>
          </cell>
          <cell r="B1424" t="str">
            <v>A5C</v>
          </cell>
          <cell r="C1424" t="str">
            <v>P</v>
          </cell>
          <cell r="D1424" t="str">
            <v>21002</v>
          </cell>
          <cell r="E1424" t="str">
            <v>WN FLG</v>
          </cell>
          <cell r="F1424">
            <v>3</v>
          </cell>
          <cell r="G1424" t="str">
            <v>CB2001040010001000</v>
          </cell>
          <cell r="H1424">
            <v>10</v>
          </cell>
          <cell r="I1424" t="str">
            <v>--</v>
          </cell>
          <cell r="J1424">
            <v>2</v>
          </cell>
          <cell r="K1424">
            <v>3</v>
          </cell>
        </row>
        <row r="1425">
          <cell r="A1425" t="str">
            <v>M1</v>
          </cell>
          <cell r="B1425" t="str">
            <v>A5C</v>
          </cell>
          <cell r="C1425" t="str">
            <v>P</v>
          </cell>
          <cell r="D1425" t="str">
            <v>22046</v>
          </cell>
          <cell r="E1425" t="str">
            <v>WN FLG</v>
          </cell>
          <cell r="F1425">
            <v>3</v>
          </cell>
          <cell r="G1425" t="str">
            <v>CB2002040010001000</v>
          </cell>
          <cell r="H1425">
            <v>10</v>
          </cell>
          <cell r="I1425" t="str">
            <v>--</v>
          </cell>
          <cell r="J1425">
            <v>2</v>
          </cell>
          <cell r="K1425">
            <v>3</v>
          </cell>
        </row>
        <row r="1426">
          <cell r="A1426" t="str">
            <v>M1</v>
          </cell>
          <cell r="B1426" t="str">
            <v>A5C</v>
          </cell>
          <cell r="C1426" t="str">
            <v>P</v>
          </cell>
          <cell r="D1426" t="str">
            <v>22046</v>
          </cell>
          <cell r="E1426" t="str">
            <v>WN FLG</v>
          </cell>
          <cell r="F1426">
            <v>3</v>
          </cell>
          <cell r="G1426" t="str">
            <v>CB2001040010001000</v>
          </cell>
          <cell r="H1426">
            <v>10</v>
          </cell>
          <cell r="I1426" t="str">
            <v>--</v>
          </cell>
          <cell r="J1426">
            <v>2</v>
          </cell>
          <cell r="K1426">
            <v>3</v>
          </cell>
        </row>
        <row r="1427">
          <cell r="A1427" t="str">
            <v>M1</v>
          </cell>
          <cell r="B1427" t="str">
            <v>B2C</v>
          </cell>
          <cell r="C1427" t="str">
            <v>SH</v>
          </cell>
          <cell r="D1427" t="str">
            <v>22611</v>
          </cell>
          <cell r="E1427" t="str">
            <v>GATE VA</v>
          </cell>
          <cell r="F1427">
            <v>6</v>
          </cell>
          <cell r="G1427" t="str">
            <v>VG8010400000H00</v>
          </cell>
          <cell r="H1427">
            <v>0.5</v>
          </cell>
          <cell r="I1427" t="str">
            <v>--</v>
          </cell>
          <cell r="J1427">
            <v>2</v>
          </cell>
          <cell r="K1427">
            <v>2</v>
          </cell>
        </row>
        <row r="1428">
          <cell r="A1428" t="str">
            <v>M1</v>
          </cell>
          <cell r="B1428" t="str">
            <v>B2C</v>
          </cell>
          <cell r="C1428" t="str">
            <v>SH</v>
          </cell>
          <cell r="D1428" t="str">
            <v>22614</v>
          </cell>
          <cell r="E1428" t="str">
            <v>GATE VA</v>
          </cell>
          <cell r="F1428">
            <v>6</v>
          </cell>
          <cell r="G1428" t="str">
            <v>VG8010100000H00</v>
          </cell>
          <cell r="H1428">
            <v>0.5</v>
          </cell>
          <cell r="I1428" t="str">
            <v>--</v>
          </cell>
          <cell r="J1428">
            <v>2</v>
          </cell>
          <cell r="K1428">
            <v>2</v>
          </cell>
        </row>
        <row r="1429">
          <cell r="A1429" t="str">
            <v>M1</v>
          </cell>
          <cell r="B1429" t="str">
            <v>B2C</v>
          </cell>
          <cell r="C1429" t="str">
            <v>SH</v>
          </cell>
          <cell r="D1429" t="str">
            <v>22601</v>
          </cell>
          <cell r="E1429" t="str">
            <v>GATE VA</v>
          </cell>
          <cell r="F1429">
            <v>6</v>
          </cell>
          <cell r="G1429" t="str">
            <v>VG8010400000H00</v>
          </cell>
          <cell r="H1429">
            <v>0.5</v>
          </cell>
          <cell r="I1429" t="str">
            <v>--</v>
          </cell>
          <cell r="J1429">
            <v>2</v>
          </cell>
          <cell r="K1429">
            <v>2</v>
          </cell>
        </row>
        <row r="1430">
          <cell r="A1430" t="str">
            <v>M1</v>
          </cell>
          <cell r="B1430" t="str">
            <v>A5C</v>
          </cell>
          <cell r="C1430" t="str">
            <v>P</v>
          </cell>
          <cell r="D1430" t="str">
            <v>22065</v>
          </cell>
          <cell r="E1430" t="str">
            <v>BALL VA</v>
          </cell>
          <cell r="F1430">
            <v>6</v>
          </cell>
          <cell r="G1430" t="str">
            <v>VB8010600000H00</v>
          </cell>
          <cell r="H1430">
            <v>0.5</v>
          </cell>
          <cell r="I1430" t="str">
            <v>--</v>
          </cell>
          <cell r="J1430">
            <v>2</v>
          </cell>
          <cell r="K1430">
            <v>2</v>
          </cell>
        </row>
        <row r="1431">
          <cell r="A1431" t="str">
            <v>M1</v>
          </cell>
          <cell r="B1431" t="str">
            <v>A5C</v>
          </cell>
          <cell r="C1431" t="str">
            <v>P</v>
          </cell>
          <cell r="D1431" t="str">
            <v>22070</v>
          </cell>
          <cell r="E1431" t="str">
            <v>BALL VA</v>
          </cell>
          <cell r="F1431">
            <v>6</v>
          </cell>
          <cell r="G1431" t="str">
            <v>VB8010600000H00</v>
          </cell>
          <cell r="H1431">
            <v>0.5</v>
          </cell>
          <cell r="I1431" t="str">
            <v>--</v>
          </cell>
          <cell r="J1431">
            <v>2</v>
          </cell>
          <cell r="K1431">
            <v>2</v>
          </cell>
        </row>
        <row r="1432">
          <cell r="A1432" t="str">
            <v>M1</v>
          </cell>
          <cell r="B1432" t="str">
            <v>A5C</v>
          </cell>
          <cell r="C1432" t="str">
            <v>P</v>
          </cell>
          <cell r="D1432" t="str">
            <v>22078</v>
          </cell>
          <cell r="E1432" t="str">
            <v>BALL VA</v>
          </cell>
          <cell r="F1432">
            <v>6</v>
          </cell>
          <cell r="G1432" t="str">
            <v>VB8010600000H00</v>
          </cell>
          <cell r="H1432">
            <v>0.5</v>
          </cell>
          <cell r="I1432" t="str">
            <v>--</v>
          </cell>
          <cell r="J1432">
            <v>2</v>
          </cell>
          <cell r="K1432">
            <v>2</v>
          </cell>
        </row>
        <row r="1433">
          <cell r="A1433" t="str">
            <v>M1</v>
          </cell>
          <cell r="B1433" t="str">
            <v>A5C</v>
          </cell>
          <cell r="C1433" t="str">
            <v>P</v>
          </cell>
          <cell r="D1433" t="str">
            <v>22104</v>
          </cell>
          <cell r="E1433" t="str">
            <v>BALL VA</v>
          </cell>
          <cell r="F1433">
            <v>6</v>
          </cell>
          <cell r="G1433" t="str">
            <v>VB8010600000H00</v>
          </cell>
          <cell r="H1433">
            <v>0.5</v>
          </cell>
          <cell r="I1433" t="str">
            <v>--</v>
          </cell>
          <cell r="J1433">
            <v>2</v>
          </cell>
          <cell r="K1433">
            <v>2</v>
          </cell>
        </row>
        <row r="1434">
          <cell r="A1434" t="str">
            <v>M1</v>
          </cell>
          <cell r="B1434" t="str">
            <v>A5C</v>
          </cell>
          <cell r="C1434" t="str">
            <v>P</v>
          </cell>
          <cell r="D1434" t="str">
            <v>22107</v>
          </cell>
          <cell r="E1434" t="str">
            <v>BALL VA</v>
          </cell>
          <cell r="F1434">
            <v>6</v>
          </cell>
          <cell r="G1434" t="str">
            <v>VB8010600000H00</v>
          </cell>
          <cell r="H1434">
            <v>0.5</v>
          </cell>
          <cell r="I1434" t="str">
            <v>--</v>
          </cell>
          <cell r="J1434">
            <v>20</v>
          </cell>
          <cell r="K1434">
            <v>20</v>
          </cell>
        </row>
        <row r="1435">
          <cell r="A1435" t="str">
            <v>M1</v>
          </cell>
          <cell r="B1435" t="str">
            <v>A5C</v>
          </cell>
          <cell r="C1435" t="str">
            <v>P</v>
          </cell>
          <cell r="D1435" t="str">
            <v>22157</v>
          </cell>
          <cell r="E1435" t="str">
            <v>BALL VA</v>
          </cell>
          <cell r="F1435">
            <v>6</v>
          </cell>
          <cell r="G1435" t="str">
            <v>VB8010600000H00</v>
          </cell>
          <cell r="H1435">
            <v>0.5</v>
          </cell>
          <cell r="I1435" t="str">
            <v>--</v>
          </cell>
          <cell r="J1435">
            <v>1</v>
          </cell>
          <cell r="K1435">
            <v>1</v>
          </cell>
        </row>
        <row r="1436">
          <cell r="A1436" t="str">
            <v>M1</v>
          </cell>
          <cell r="B1436" t="str">
            <v>A5C</v>
          </cell>
          <cell r="C1436" t="str">
            <v>P</v>
          </cell>
          <cell r="D1436" t="str">
            <v>22158</v>
          </cell>
          <cell r="E1436" t="str">
            <v>BALL VA</v>
          </cell>
          <cell r="F1436">
            <v>6</v>
          </cell>
          <cell r="G1436" t="str">
            <v>VB8010600000H00</v>
          </cell>
          <cell r="H1436">
            <v>0.5</v>
          </cell>
          <cell r="I1436" t="str">
            <v>--</v>
          </cell>
          <cell r="J1436">
            <v>1</v>
          </cell>
          <cell r="K1436">
            <v>1</v>
          </cell>
        </row>
        <row r="1437">
          <cell r="A1437" t="str">
            <v>M1</v>
          </cell>
          <cell r="B1437" t="str">
            <v>A5C</v>
          </cell>
          <cell r="C1437" t="str">
            <v>N</v>
          </cell>
          <cell r="D1437" t="str">
            <v>22670</v>
          </cell>
          <cell r="E1437" t="str">
            <v>BALL VA</v>
          </cell>
          <cell r="F1437">
            <v>6</v>
          </cell>
          <cell r="G1437" t="str">
            <v>VB8010600000H00</v>
          </cell>
          <cell r="H1437">
            <v>0.5</v>
          </cell>
          <cell r="I1437" t="str">
            <v>--</v>
          </cell>
          <cell r="J1437">
            <v>4</v>
          </cell>
          <cell r="K1437">
            <v>4</v>
          </cell>
        </row>
        <row r="1438">
          <cell r="A1438" t="str">
            <v>M1</v>
          </cell>
          <cell r="B1438" t="str">
            <v>A5C</v>
          </cell>
          <cell r="C1438" t="str">
            <v>N</v>
          </cell>
          <cell r="D1438" t="str">
            <v>22670</v>
          </cell>
          <cell r="E1438" t="str">
            <v>CHECK VA</v>
          </cell>
          <cell r="F1438">
            <v>6</v>
          </cell>
          <cell r="G1438" t="str">
            <v>VCB8010400000H00</v>
          </cell>
          <cell r="H1438">
            <v>0.5</v>
          </cell>
          <cell r="I1438" t="str">
            <v>--</v>
          </cell>
          <cell r="J1438">
            <v>4</v>
          </cell>
          <cell r="K1438">
            <v>4</v>
          </cell>
        </row>
        <row r="1439">
          <cell r="A1439" t="str">
            <v>M1</v>
          </cell>
          <cell r="B1439" t="str">
            <v>A5C</v>
          </cell>
          <cell r="C1439" t="str">
            <v>P</v>
          </cell>
          <cell r="D1439" t="str">
            <v>22157</v>
          </cell>
          <cell r="E1439" t="str">
            <v>CHECK VA</v>
          </cell>
          <cell r="F1439">
            <v>6</v>
          </cell>
          <cell r="G1439" t="str">
            <v>VCB8010400000H00</v>
          </cell>
          <cell r="H1439">
            <v>0.5</v>
          </cell>
          <cell r="I1439" t="str">
            <v>--</v>
          </cell>
          <cell r="J1439">
            <v>1</v>
          </cell>
          <cell r="K1439">
            <v>1</v>
          </cell>
        </row>
        <row r="1440">
          <cell r="A1440" t="str">
            <v>M1</v>
          </cell>
          <cell r="B1440" t="str">
            <v>A5C</v>
          </cell>
          <cell r="C1440" t="str">
            <v>COMP</v>
          </cell>
          <cell r="D1440" t="str">
            <v>006</v>
          </cell>
          <cell r="E1440" t="str">
            <v>GATE VA</v>
          </cell>
          <cell r="F1440">
            <v>6</v>
          </cell>
          <cell r="G1440" t="str">
            <v>VG8010400000H00</v>
          </cell>
          <cell r="H1440">
            <v>0.5</v>
          </cell>
          <cell r="I1440" t="str">
            <v>--</v>
          </cell>
          <cell r="J1440">
            <v>2</v>
          </cell>
          <cell r="K1440">
            <v>2</v>
          </cell>
        </row>
        <row r="1441">
          <cell r="A1441" t="str">
            <v>M1</v>
          </cell>
          <cell r="B1441" t="str">
            <v>A5C</v>
          </cell>
          <cell r="C1441" t="str">
            <v>SCD</v>
          </cell>
          <cell r="D1441" t="str">
            <v>HOLD1</v>
          </cell>
          <cell r="E1441" t="str">
            <v>GATE VA</v>
          </cell>
          <cell r="F1441">
            <v>6</v>
          </cell>
          <cell r="G1441" t="str">
            <v>VG8010100000H00</v>
          </cell>
          <cell r="H1441">
            <v>0.5</v>
          </cell>
          <cell r="I1441" t="str">
            <v>--</v>
          </cell>
          <cell r="J1441">
            <v>2</v>
          </cell>
          <cell r="K1441">
            <v>2</v>
          </cell>
        </row>
        <row r="1442">
          <cell r="A1442" t="str">
            <v>M1</v>
          </cell>
          <cell r="B1442" t="str">
            <v>A5C</v>
          </cell>
          <cell r="C1442" t="str">
            <v>SCC</v>
          </cell>
          <cell r="D1442" t="str">
            <v>HOLD1</v>
          </cell>
          <cell r="E1442" t="str">
            <v>GATE VA</v>
          </cell>
          <cell r="F1442">
            <v>6</v>
          </cell>
          <cell r="G1442" t="str">
            <v>VG8010100000H00</v>
          </cell>
          <cell r="H1442">
            <v>0.5</v>
          </cell>
          <cell r="I1442" t="str">
            <v>--</v>
          </cell>
          <cell r="J1442">
            <v>3</v>
          </cell>
          <cell r="K1442">
            <v>3</v>
          </cell>
        </row>
        <row r="1443">
          <cell r="A1443" t="str">
            <v>M1</v>
          </cell>
          <cell r="B1443" t="str">
            <v>A5C</v>
          </cell>
          <cell r="C1443" t="str">
            <v>COMP</v>
          </cell>
          <cell r="D1443" t="str">
            <v>006</v>
          </cell>
          <cell r="E1443" t="str">
            <v>GLOBE VA</v>
          </cell>
          <cell r="F1443">
            <v>6</v>
          </cell>
          <cell r="G1443" t="str">
            <v>VL8010100000H00</v>
          </cell>
          <cell r="H1443">
            <v>0.5</v>
          </cell>
          <cell r="I1443" t="str">
            <v>--</v>
          </cell>
          <cell r="J1443">
            <v>4</v>
          </cell>
          <cell r="K1443">
            <v>4</v>
          </cell>
        </row>
        <row r="1444">
          <cell r="A1444" t="str">
            <v>M1</v>
          </cell>
          <cell r="B1444" t="str">
            <v>A5C</v>
          </cell>
          <cell r="C1444" t="str">
            <v>SCC</v>
          </cell>
          <cell r="D1444" t="str">
            <v>HOLD1</v>
          </cell>
          <cell r="E1444" t="str">
            <v>GLOBE VA</v>
          </cell>
          <cell r="F1444">
            <v>6</v>
          </cell>
          <cell r="G1444" t="str">
            <v>VL8010100000H00</v>
          </cell>
          <cell r="H1444">
            <v>0.5</v>
          </cell>
          <cell r="I1444" t="str">
            <v>--</v>
          </cell>
          <cell r="J1444">
            <v>3</v>
          </cell>
          <cell r="K1444">
            <v>3</v>
          </cell>
        </row>
        <row r="1445">
          <cell r="A1445" t="str">
            <v>M1</v>
          </cell>
          <cell r="B1445" t="str">
            <v>A5C</v>
          </cell>
          <cell r="C1445" t="str">
            <v>SCD</v>
          </cell>
          <cell r="D1445" t="str">
            <v>HOLD1</v>
          </cell>
          <cell r="E1445" t="str">
            <v>GLOBE VA</v>
          </cell>
          <cell r="F1445">
            <v>6</v>
          </cell>
          <cell r="G1445" t="str">
            <v>VL8010100000H00</v>
          </cell>
          <cell r="H1445">
            <v>0.5</v>
          </cell>
          <cell r="I1445" t="str">
            <v>--</v>
          </cell>
          <cell r="J1445">
            <v>2</v>
          </cell>
          <cell r="K1445">
            <v>2</v>
          </cell>
        </row>
        <row r="1446">
          <cell r="A1446" t="str">
            <v>M1</v>
          </cell>
          <cell r="B1446" t="str">
            <v>A5C</v>
          </cell>
          <cell r="C1446" t="str">
            <v>P</v>
          </cell>
          <cell r="D1446" t="str">
            <v>22039</v>
          </cell>
          <cell r="E1446" t="str">
            <v>BALL VA</v>
          </cell>
          <cell r="F1446">
            <v>6</v>
          </cell>
          <cell r="G1446" t="str">
            <v>VB8010600000H00</v>
          </cell>
          <cell r="H1446">
            <v>0.5</v>
          </cell>
          <cell r="I1446" t="str">
            <v>--</v>
          </cell>
          <cell r="J1446">
            <v>1</v>
          </cell>
          <cell r="K1446">
            <v>1</v>
          </cell>
        </row>
        <row r="1447">
          <cell r="A1447" t="str">
            <v>M1</v>
          </cell>
          <cell r="B1447" t="str">
            <v>A5C</v>
          </cell>
          <cell r="C1447" t="str">
            <v>P</v>
          </cell>
          <cell r="D1447" t="str">
            <v>22040</v>
          </cell>
          <cell r="E1447" t="str">
            <v>BALL VA</v>
          </cell>
          <cell r="F1447">
            <v>6</v>
          </cell>
          <cell r="G1447" t="str">
            <v>VB8010600000H00</v>
          </cell>
          <cell r="H1447">
            <v>0.5</v>
          </cell>
          <cell r="I1447" t="str">
            <v>--</v>
          </cell>
          <cell r="J1447">
            <v>1</v>
          </cell>
          <cell r="K1447">
            <v>1</v>
          </cell>
        </row>
        <row r="1448">
          <cell r="A1448" t="str">
            <v>M1</v>
          </cell>
          <cell r="B1448" t="str">
            <v>A5C</v>
          </cell>
          <cell r="C1448" t="str">
            <v>P</v>
          </cell>
          <cell r="D1448" t="str">
            <v>22041</v>
          </cell>
          <cell r="E1448" t="str">
            <v>BALL VA</v>
          </cell>
          <cell r="F1448">
            <v>6</v>
          </cell>
          <cell r="G1448" t="str">
            <v>VB8010600000H00</v>
          </cell>
          <cell r="H1448">
            <v>0.5</v>
          </cell>
          <cell r="I1448" t="str">
            <v>--</v>
          </cell>
          <cell r="J1448">
            <v>1</v>
          </cell>
          <cell r="K1448">
            <v>1</v>
          </cell>
        </row>
        <row r="1449">
          <cell r="A1449" t="str">
            <v>M1</v>
          </cell>
          <cell r="B1449" t="str">
            <v>A5C</v>
          </cell>
          <cell r="C1449" t="str">
            <v>P</v>
          </cell>
          <cell r="D1449" t="str">
            <v>22039</v>
          </cell>
          <cell r="E1449" t="str">
            <v>CHECK VA</v>
          </cell>
          <cell r="F1449">
            <v>6</v>
          </cell>
          <cell r="G1449" t="str">
            <v>VCB8010400000H00</v>
          </cell>
          <cell r="H1449">
            <v>0.5</v>
          </cell>
          <cell r="I1449" t="str">
            <v>--</v>
          </cell>
          <cell r="J1449">
            <v>1</v>
          </cell>
          <cell r="K1449">
            <v>1</v>
          </cell>
        </row>
        <row r="1450">
          <cell r="A1450" t="str">
            <v>M1</v>
          </cell>
          <cell r="B1450" t="str">
            <v>A5C</v>
          </cell>
          <cell r="C1450" t="str">
            <v>P</v>
          </cell>
          <cell r="D1450" t="str">
            <v>22040</v>
          </cell>
          <cell r="E1450" t="str">
            <v>CHECK VA</v>
          </cell>
          <cell r="F1450">
            <v>6</v>
          </cell>
          <cell r="G1450" t="str">
            <v>VCB8010400000H00</v>
          </cell>
          <cell r="H1450">
            <v>0.5</v>
          </cell>
          <cell r="I1450" t="str">
            <v>--</v>
          </cell>
          <cell r="J1450">
            <v>1</v>
          </cell>
          <cell r="K1450">
            <v>1</v>
          </cell>
        </row>
        <row r="1451">
          <cell r="A1451" t="str">
            <v>M1</v>
          </cell>
          <cell r="B1451" t="str">
            <v>A5C</v>
          </cell>
          <cell r="C1451" t="str">
            <v>P</v>
          </cell>
          <cell r="D1451" t="str">
            <v>22041</v>
          </cell>
          <cell r="E1451" t="str">
            <v>CHECK VA</v>
          </cell>
          <cell r="F1451">
            <v>6</v>
          </cell>
          <cell r="G1451" t="str">
            <v>VCB8010400000H00</v>
          </cell>
          <cell r="H1451">
            <v>0.5</v>
          </cell>
          <cell r="I1451" t="str">
            <v>--</v>
          </cell>
          <cell r="J1451">
            <v>1</v>
          </cell>
          <cell r="K1451">
            <v>1</v>
          </cell>
        </row>
        <row r="1452">
          <cell r="A1452" t="str">
            <v>M1</v>
          </cell>
          <cell r="B1452" t="str">
            <v>A5C</v>
          </cell>
          <cell r="C1452" t="str">
            <v>P</v>
          </cell>
          <cell r="D1452" t="str">
            <v>22003</v>
          </cell>
          <cell r="E1452" t="str">
            <v>BALL VA</v>
          </cell>
          <cell r="F1452">
            <v>6</v>
          </cell>
          <cell r="G1452" t="str">
            <v>VB8010600000H00</v>
          </cell>
          <cell r="H1452">
            <v>0.5</v>
          </cell>
          <cell r="I1452" t="str">
            <v>--</v>
          </cell>
          <cell r="J1452">
            <v>2</v>
          </cell>
          <cell r="K1452">
            <v>2</v>
          </cell>
        </row>
        <row r="1453">
          <cell r="A1453" t="str">
            <v>M1</v>
          </cell>
          <cell r="B1453" t="str">
            <v>A5C</v>
          </cell>
          <cell r="C1453" t="str">
            <v>P</v>
          </cell>
          <cell r="D1453" t="str">
            <v>22111</v>
          </cell>
          <cell r="E1453" t="str">
            <v>BALL VA</v>
          </cell>
          <cell r="F1453">
            <v>6</v>
          </cell>
          <cell r="G1453" t="str">
            <v>VB8010600000H00</v>
          </cell>
          <cell r="H1453">
            <v>0.5</v>
          </cell>
          <cell r="I1453" t="str">
            <v>--</v>
          </cell>
          <cell r="J1453">
            <v>2</v>
          </cell>
          <cell r="K1453">
            <v>2</v>
          </cell>
        </row>
        <row r="1454">
          <cell r="A1454" t="str">
            <v>M1</v>
          </cell>
          <cell r="B1454" t="str">
            <v>A5C</v>
          </cell>
          <cell r="C1454" t="str">
            <v>P</v>
          </cell>
          <cell r="D1454" t="str">
            <v>22004</v>
          </cell>
          <cell r="E1454" t="str">
            <v>GATE VA</v>
          </cell>
          <cell r="F1454">
            <v>6</v>
          </cell>
          <cell r="G1454" t="str">
            <v>VG8010400000H00</v>
          </cell>
          <cell r="H1454">
            <v>0.5</v>
          </cell>
          <cell r="I1454" t="str">
            <v>--</v>
          </cell>
          <cell r="J1454">
            <v>2</v>
          </cell>
          <cell r="K1454">
            <v>2</v>
          </cell>
        </row>
        <row r="1455">
          <cell r="A1455" t="str">
            <v>M1</v>
          </cell>
          <cell r="B1455" t="str">
            <v>A4C</v>
          </cell>
          <cell r="C1455" t="str">
            <v>P</v>
          </cell>
          <cell r="D1455" t="str">
            <v>22031</v>
          </cell>
          <cell r="E1455" t="str">
            <v>BALL VA</v>
          </cell>
          <cell r="F1455">
            <v>6</v>
          </cell>
          <cell r="G1455" t="str">
            <v>VB8010300000H00</v>
          </cell>
          <cell r="H1455">
            <v>0.5</v>
          </cell>
          <cell r="I1455" t="str">
            <v>--</v>
          </cell>
          <cell r="J1455">
            <v>3</v>
          </cell>
          <cell r="K1455">
            <v>3</v>
          </cell>
        </row>
        <row r="1456">
          <cell r="A1456" t="str">
            <v>M1</v>
          </cell>
          <cell r="B1456" t="str">
            <v>A4C</v>
          </cell>
          <cell r="C1456" t="str">
            <v>P</v>
          </cell>
          <cell r="D1456" t="str">
            <v>22008</v>
          </cell>
          <cell r="E1456" t="str">
            <v>BALL VA</v>
          </cell>
          <cell r="F1456">
            <v>6</v>
          </cell>
          <cell r="G1456" t="str">
            <v>VB8010300000H00</v>
          </cell>
          <cell r="H1456">
            <v>0.5</v>
          </cell>
          <cell r="I1456" t="str">
            <v>--</v>
          </cell>
          <cell r="J1456">
            <v>2</v>
          </cell>
          <cell r="K1456">
            <v>2</v>
          </cell>
        </row>
        <row r="1457">
          <cell r="A1457" t="str">
            <v>M1</v>
          </cell>
          <cell r="B1457" t="str">
            <v>A6C</v>
          </cell>
          <cell r="C1457" t="str">
            <v>HOS</v>
          </cell>
          <cell r="D1457" t="str">
            <v>65624</v>
          </cell>
          <cell r="E1457" t="str">
            <v>BELLOWS VA</v>
          </cell>
          <cell r="F1457">
            <v>6</v>
          </cell>
          <cell r="G1457" t="str">
            <v>VBE8010700000H00</v>
          </cell>
          <cell r="H1457">
            <v>0.5</v>
          </cell>
          <cell r="I1457" t="str">
            <v>--</v>
          </cell>
          <cell r="J1457">
            <v>2</v>
          </cell>
          <cell r="K1457">
            <v>2</v>
          </cell>
        </row>
        <row r="1458">
          <cell r="A1458" t="str">
            <v>M1</v>
          </cell>
          <cell r="B1458" t="str">
            <v>A6C</v>
          </cell>
          <cell r="C1458" t="str">
            <v>HOS</v>
          </cell>
          <cell r="D1458" t="str">
            <v>65628</v>
          </cell>
          <cell r="E1458" t="str">
            <v>BELLOWS VA</v>
          </cell>
          <cell r="F1458">
            <v>6</v>
          </cell>
          <cell r="G1458" t="str">
            <v>VBE8010700000H00</v>
          </cell>
          <cell r="H1458">
            <v>0.5</v>
          </cell>
          <cell r="I1458" t="str">
            <v>--</v>
          </cell>
          <cell r="J1458">
            <v>2</v>
          </cell>
          <cell r="K1458">
            <v>2</v>
          </cell>
        </row>
        <row r="1459">
          <cell r="A1459" t="str">
            <v>M1</v>
          </cell>
          <cell r="B1459" t="str">
            <v>A6C</v>
          </cell>
          <cell r="C1459" t="str">
            <v>HOS</v>
          </cell>
          <cell r="D1459" t="str">
            <v>65615</v>
          </cell>
          <cell r="E1459" t="str">
            <v>BELLOWS VA</v>
          </cell>
          <cell r="F1459">
            <v>6</v>
          </cell>
          <cell r="G1459" t="str">
            <v>VBE8010600000H00</v>
          </cell>
          <cell r="H1459">
            <v>0.5</v>
          </cell>
          <cell r="I1459" t="str">
            <v>--</v>
          </cell>
          <cell r="J1459">
            <v>2</v>
          </cell>
          <cell r="K1459">
            <v>2</v>
          </cell>
        </row>
        <row r="1460">
          <cell r="A1460" t="str">
            <v>M1</v>
          </cell>
          <cell r="B1460" t="str">
            <v>B2C</v>
          </cell>
          <cell r="C1460" t="str">
            <v>SH</v>
          </cell>
          <cell r="D1460" t="str">
            <v>22612</v>
          </cell>
          <cell r="E1460" t="str">
            <v>GATE VA</v>
          </cell>
          <cell r="F1460">
            <v>6</v>
          </cell>
          <cell r="G1460" t="str">
            <v>VG8010100000T00</v>
          </cell>
          <cell r="H1460">
            <v>0.75</v>
          </cell>
          <cell r="I1460" t="str">
            <v>--</v>
          </cell>
          <cell r="J1460">
            <v>1</v>
          </cell>
          <cell r="K1460">
            <v>1</v>
          </cell>
        </row>
        <row r="1461">
          <cell r="A1461" t="str">
            <v>M1</v>
          </cell>
          <cell r="B1461" t="str">
            <v>B2C</v>
          </cell>
          <cell r="C1461" t="str">
            <v>SH</v>
          </cell>
          <cell r="D1461" t="str">
            <v>22613</v>
          </cell>
          <cell r="E1461" t="str">
            <v>GATE VA</v>
          </cell>
          <cell r="F1461">
            <v>6</v>
          </cell>
          <cell r="G1461" t="str">
            <v>VG8010100000T00</v>
          </cell>
          <cell r="H1461">
            <v>0.75</v>
          </cell>
          <cell r="I1461" t="str">
            <v>--</v>
          </cell>
          <cell r="J1461">
            <v>1</v>
          </cell>
          <cell r="K1461">
            <v>1</v>
          </cell>
        </row>
        <row r="1462">
          <cell r="A1462" t="str">
            <v>M1</v>
          </cell>
          <cell r="B1462" t="str">
            <v>B2C</v>
          </cell>
          <cell r="C1462" t="str">
            <v>SH</v>
          </cell>
          <cell r="D1462" t="str">
            <v>22614</v>
          </cell>
          <cell r="E1462" t="str">
            <v>GATE VA</v>
          </cell>
          <cell r="F1462">
            <v>6</v>
          </cell>
          <cell r="G1462" t="str">
            <v>VG8010100000T00</v>
          </cell>
          <cell r="H1462">
            <v>0.75</v>
          </cell>
          <cell r="I1462" t="str">
            <v>--</v>
          </cell>
          <cell r="J1462">
            <v>1</v>
          </cell>
          <cell r="K1462">
            <v>1</v>
          </cell>
        </row>
        <row r="1463">
          <cell r="A1463" t="str">
            <v>M1</v>
          </cell>
          <cell r="B1463" t="str">
            <v>B2C</v>
          </cell>
          <cell r="C1463" t="str">
            <v>SH</v>
          </cell>
          <cell r="D1463" t="str">
            <v>22601</v>
          </cell>
          <cell r="E1463" t="str">
            <v>GATE VA</v>
          </cell>
          <cell r="F1463">
            <v>6</v>
          </cell>
          <cell r="G1463" t="str">
            <v>VG8010100000T00</v>
          </cell>
          <cell r="H1463">
            <v>0.75</v>
          </cell>
          <cell r="I1463" t="str">
            <v>--</v>
          </cell>
          <cell r="J1463">
            <v>2</v>
          </cell>
          <cell r="K1463">
            <v>2</v>
          </cell>
        </row>
        <row r="1464">
          <cell r="A1464" t="str">
            <v>M1</v>
          </cell>
          <cell r="B1464" t="str">
            <v>B2C</v>
          </cell>
          <cell r="C1464" t="str">
            <v>TRIM</v>
          </cell>
          <cell r="D1464" t="str">
            <v>V-2218</v>
          </cell>
          <cell r="E1464" t="str">
            <v>GATE VA</v>
          </cell>
          <cell r="F1464">
            <v>6</v>
          </cell>
          <cell r="G1464" t="str">
            <v>VG8010400000T00</v>
          </cell>
          <cell r="H1464">
            <v>0.75</v>
          </cell>
          <cell r="I1464" t="str">
            <v>--</v>
          </cell>
          <cell r="J1464">
            <v>4</v>
          </cell>
          <cell r="K1464">
            <v>4</v>
          </cell>
        </row>
        <row r="1465">
          <cell r="A1465" t="str">
            <v>M1</v>
          </cell>
          <cell r="B1465" t="str">
            <v>B2C</v>
          </cell>
          <cell r="C1465" t="str">
            <v>TRIM</v>
          </cell>
          <cell r="D1465" t="str">
            <v>V-2218</v>
          </cell>
          <cell r="E1465" t="str">
            <v>GATE VA</v>
          </cell>
          <cell r="F1465">
            <v>6</v>
          </cell>
          <cell r="G1465" t="str">
            <v>VG8010100000T00</v>
          </cell>
          <cell r="H1465">
            <v>0.75</v>
          </cell>
          <cell r="I1465" t="str">
            <v>--</v>
          </cell>
          <cell r="J1465">
            <v>2</v>
          </cell>
          <cell r="K1465">
            <v>2</v>
          </cell>
        </row>
        <row r="1466">
          <cell r="A1466" t="str">
            <v>M1</v>
          </cell>
          <cell r="B1466" t="str">
            <v>B2C</v>
          </cell>
          <cell r="C1466" t="str">
            <v>SH</v>
          </cell>
          <cell r="D1466" t="str">
            <v>22612</v>
          </cell>
          <cell r="E1466" t="str">
            <v>GLOBE VA</v>
          </cell>
          <cell r="F1466">
            <v>6</v>
          </cell>
          <cell r="G1466" t="str">
            <v>VL8010400000T00</v>
          </cell>
          <cell r="H1466">
            <v>0.75</v>
          </cell>
          <cell r="I1466" t="str">
            <v>--</v>
          </cell>
          <cell r="J1466">
            <v>1</v>
          </cell>
          <cell r="K1466">
            <v>1</v>
          </cell>
        </row>
        <row r="1467">
          <cell r="A1467" t="str">
            <v>M1</v>
          </cell>
          <cell r="B1467" t="str">
            <v>B2C</v>
          </cell>
          <cell r="C1467" t="str">
            <v>SH</v>
          </cell>
          <cell r="D1467" t="str">
            <v>22613</v>
          </cell>
          <cell r="E1467" t="str">
            <v>GLOBE VA</v>
          </cell>
          <cell r="F1467">
            <v>6</v>
          </cell>
          <cell r="G1467" t="str">
            <v>VL8010400000T00</v>
          </cell>
          <cell r="H1467">
            <v>0.75</v>
          </cell>
          <cell r="I1467" t="str">
            <v>--</v>
          </cell>
          <cell r="J1467">
            <v>1</v>
          </cell>
          <cell r="K1467">
            <v>1</v>
          </cell>
        </row>
        <row r="1468">
          <cell r="A1468" t="str">
            <v>M1</v>
          </cell>
          <cell r="B1468" t="str">
            <v>A5C</v>
          </cell>
          <cell r="C1468" t="str">
            <v>N</v>
          </cell>
          <cell r="D1468" t="str">
            <v>22670</v>
          </cell>
          <cell r="E1468" t="str">
            <v>BALL VA</v>
          </cell>
          <cell r="F1468">
            <v>6</v>
          </cell>
          <cell r="G1468" t="str">
            <v>VB8010600000T00</v>
          </cell>
          <cell r="H1468">
            <v>0.75</v>
          </cell>
          <cell r="I1468" t="str">
            <v>--</v>
          </cell>
          <cell r="J1468">
            <v>1</v>
          </cell>
          <cell r="K1468">
            <v>1</v>
          </cell>
        </row>
        <row r="1469">
          <cell r="A1469" t="str">
            <v>M1</v>
          </cell>
          <cell r="B1469" t="str">
            <v>A5C</v>
          </cell>
          <cell r="C1469" t="str">
            <v>N</v>
          </cell>
          <cell r="D1469" t="str">
            <v>25611</v>
          </cell>
          <cell r="E1469" t="str">
            <v>BALL VA</v>
          </cell>
          <cell r="F1469">
            <v>6</v>
          </cell>
          <cell r="G1469" t="str">
            <v>VB8010600000T00</v>
          </cell>
          <cell r="H1469">
            <v>0.75</v>
          </cell>
          <cell r="I1469" t="str">
            <v>--</v>
          </cell>
          <cell r="J1469">
            <v>1</v>
          </cell>
          <cell r="K1469">
            <v>1</v>
          </cell>
        </row>
        <row r="1470">
          <cell r="A1470" t="str">
            <v>M1</v>
          </cell>
          <cell r="B1470" t="str">
            <v>A5C</v>
          </cell>
          <cell r="C1470" t="str">
            <v>N</v>
          </cell>
          <cell r="D1470" t="str">
            <v>25611</v>
          </cell>
          <cell r="E1470" t="str">
            <v>BALL VA</v>
          </cell>
          <cell r="F1470">
            <v>6</v>
          </cell>
          <cell r="G1470" t="str">
            <v>VB8010600000T00</v>
          </cell>
          <cell r="H1470">
            <v>0.75</v>
          </cell>
          <cell r="I1470" t="str">
            <v>--</v>
          </cell>
          <cell r="J1470">
            <v>1</v>
          </cell>
          <cell r="K1470">
            <v>1</v>
          </cell>
        </row>
        <row r="1471">
          <cell r="A1471" t="str">
            <v>M1</v>
          </cell>
          <cell r="B1471" t="str">
            <v>A5C</v>
          </cell>
          <cell r="C1471" t="str">
            <v>P</v>
          </cell>
          <cell r="D1471" t="str">
            <v>22069</v>
          </cell>
          <cell r="E1471" t="str">
            <v>BALL VA</v>
          </cell>
          <cell r="F1471">
            <v>6</v>
          </cell>
          <cell r="G1471" t="str">
            <v>VB8010600000T00</v>
          </cell>
          <cell r="H1471">
            <v>0.75</v>
          </cell>
          <cell r="I1471" t="str">
            <v>--</v>
          </cell>
          <cell r="J1471">
            <v>1</v>
          </cell>
          <cell r="K1471">
            <v>1</v>
          </cell>
        </row>
        <row r="1472">
          <cell r="A1472" t="str">
            <v>M1</v>
          </cell>
          <cell r="B1472" t="str">
            <v>A5C</v>
          </cell>
          <cell r="C1472" t="str">
            <v>P</v>
          </cell>
          <cell r="D1472" t="str">
            <v>22071</v>
          </cell>
          <cell r="E1472" t="str">
            <v>BALL VA</v>
          </cell>
          <cell r="F1472">
            <v>6</v>
          </cell>
          <cell r="G1472" t="str">
            <v>VB8010600000T00</v>
          </cell>
          <cell r="H1472">
            <v>0.75</v>
          </cell>
          <cell r="I1472" t="str">
            <v>--</v>
          </cell>
          <cell r="J1472">
            <v>1</v>
          </cell>
          <cell r="K1472">
            <v>1</v>
          </cell>
        </row>
        <row r="1473">
          <cell r="A1473" t="str">
            <v>M1</v>
          </cell>
          <cell r="B1473" t="str">
            <v>A5C</v>
          </cell>
          <cell r="C1473" t="str">
            <v>P</v>
          </cell>
          <cell r="D1473" t="str">
            <v>22065</v>
          </cell>
          <cell r="E1473" t="str">
            <v>BALL VA</v>
          </cell>
          <cell r="F1473">
            <v>6</v>
          </cell>
          <cell r="G1473" t="str">
            <v>VB8010600000T00</v>
          </cell>
          <cell r="H1473">
            <v>0.75</v>
          </cell>
          <cell r="I1473" t="str">
            <v>--</v>
          </cell>
          <cell r="J1473">
            <v>5</v>
          </cell>
          <cell r="K1473">
            <v>5</v>
          </cell>
        </row>
        <row r="1474">
          <cell r="A1474" t="str">
            <v>M1</v>
          </cell>
          <cell r="B1474" t="str">
            <v>A5C</v>
          </cell>
          <cell r="C1474" t="str">
            <v>P</v>
          </cell>
          <cell r="D1474" t="str">
            <v>22065</v>
          </cell>
          <cell r="E1474" t="str">
            <v>BALL VA</v>
          </cell>
          <cell r="F1474">
            <v>6</v>
          </cell>
          <cell r="G1474" t="str">
            <v>VB8010600000T00</v>
          </cell>
          <cell r="H1474">
            <v>0.75</v>
          </cell>
          <cell r="I1474" t="str">
            <v>--</v>
          </cell>
          <cell r="J1474">
            <v>2</v>
          </cell>
          <cell r="K1474">
            <v>2</v>
          </cell>
        </row>
        <row r="1475">
          <cell r="A1475" t="str">
            <v>M1</v>
          </cell>
          <cell r="B1475" t="str">
            <v>A5C</v>
          </cell>
          <cell r="C1475" t="str">
            <v>P</v>
          </cell>
          <cell r="D1475" t="str">
            <v>22078</v>
          </cell>
          <cell r="E1475" t="str">
            <v>BALL VA</v>
          </cell>
          <cell r="F1475">
            <v>6</v>
          </cell>
          <cell r="G1475" t="str">
            <v>VB8010600000T00</v>
          </cell>
          <cell r="H1475">
            <v>0.75</v>
          </cell>
          <cell r="I1475" t="str">
            <v>--</v>
          </cell>
          <cell r="J1475">
            <v>1</v>
          </cell>
          <cell r="K1475">
            <v>1</v>
          </cell>
        </row>
        <row r="1476">
          <cell r="A1476" t="str">
            <v>M1</v>
          </cell>
          <cell r="B1476" t="str">
            <v>A5C</v>
          </cell>
          <cell r="C1476" t="str">
            <v>P</v>
          </cell>
          <cell r="D1476" t="str">
            <v>22087</v>
          </cell>
          <cell r="E1476" t="str">
            <v>BALL VA</v>
          </cell>
          <cell r="F1476">
            <v>6</v>
          </cell>
          <cell r="G1476" t="str">
            <v>VB8010600000T00</v>
          </cell>
          <cell r="H1476">
            <v>0.75</v>
          </cell>
          <cell r="I1476" t="str">
            <v>--</v>
          </cell>
          <cell r="J1476">
            <v>1</v>
          </cell>
          <cell r="K1476">
            <v>1</v>
          </cell>
        </row>
        <row r="1477">
          <cell r="A1477" t="str">
            <v>M1</v>
          </cell>
          <cell r="B1477" t="str">
            <v>A5C</v>
          </cell>
          <cell r="C1477" t="str">
            <v>P</v>
          </cell>
          <cell r="D1477" t="str">
            <v>22071</v>
          </cell>
          <cell r="E1477" t="str">
            <v>BALL VA</v>
          </cell>
          <cell r="F1477">
            <v>6</v>
          </cell>
          <cell r="G1477" t="str">
            <v>VB8010600000T00</v>
          </cell>
          <cell r="H1477">
            <v>0.75</v>
          </cell>
          <cell r="I1477" t="str">
            <v>--</v>
          </cell>
          <cell r="J1477">
            <v>2</v>
          </cell>
          <cell r="K1477">
            <v>2</v>
          </cell>
        </row>
        <row r="1478">
          <cell r="A1478" t="str">
            <v>M1</v>
          </cell>
          <cell r="B1478" t="str">
            <v>A5C</v>
          </cell>
          <cell r="C1478" t="str">
            <v>P</v>
          </cell>
          <cell r="D1478" t="str">
            <v>22101</v>
          </cell>
          <cell r="E1478" t="str">
            <v>BALL VA</v>
          </cell>
          <cell r="F1478">
            <v>6</v>
          </cell>
          <cell r="G1478" t="str">
            <v>VB8010600000T00</v>
          </cell>
          <cell r="H1478">
            <v>0.75</v>
          </cell>
          <cell r="I1478" t="str">
            <v>--</v>
          </cell>
          <cell r="J1478">
            <v>2</v>
          </cell>
          <cell r="K1478">
            <v>2</v>
          </cell>
        </row>
        <row r="1479">
          <cell r="A1479" t="str">
            <v>M1</v>
          </cell>
          <cell r="B1479" t="str">
            <v>A5C</v>
          </cell>
          <cell r="C1479" t="str">
            <v>P</v>
          </cell>
          <cell r="D1479" t="str">
            <v>22102</v>
          </cell>
          <cell r="E1479" t="str">
            <v>BALL VA</v>
          </cell>
          <cell r="F1479">
            <v>6</v>
          </cell>
          <cell r="G1479" t="str">
            <v>VB8010600000T00</v>
          </cell>
          <cell r="H1479">
            <v>0.75</v>
          </cell>
          <cell r="I1479" t="str">
            <v>--</v>
          </cell>
          <cell r="J1479">
            <v>2</v>
          </cell>
          <cell r="K1479">
            <v>2</v>
          </cell>
        </row>
        <row r="1480">
          <cell r="A1480" t="str">
            <v>M1</v>
          </cell>
          <cell r="B1480" t="str">
            <v>A5C</v>
          </cell>
          <cell r="C1480" t="str">
            <v>P</v>
          </cell>
          <cell r="D1480" t="str">
            <v>22102</v>
          </cell>
          <cell r="E1480" t="str">
            <v>BALL VA</v>
          </cell>
          <cell r="F1480">
            <v>6</v>
          </cell>
          <cell r="G1480" t="str">
            <v>VB8010600000T00</v>
          </cell>
          <cell r="H1480">
            <v>0.75</v>
          </cell>
          <cell r="I1480" t="str">
            <v>--</v>
          </cell>
          <cell r="J1480">
            <v>3</v>
          </cell>
          <cell r="K1480">
            <v>3</v>
          </cell>
        </row>
        <row r="1481">
          <cell r="A1481" t="str">
            <v>M1</v>
          </cell>
          <cell r="B1481" t="str">
            <v>A5C</v>
          </cell>
          <cell r="C1481" t="str">
            <v>P</v>
          </cell>
          <cell r="D1481" t="str">
            <v>22102</v>
          </cell>
          <cell r="E1481" t="str">
            <v>BALL VA</v>
          </cell>
          <cell r="F1481">
            <v>6</v>
          </cell>
          <cell r="G1481" t="str">
            <v>VB8010600000T00</v>
          </cell>
          <cell r="H1481">
            <v>0.75</v>
          </cell>
          <cell r="I1481" t="str">
            <v>--</v>
          </cell>
          <cell r="J1481">
            <v>2</v>
          </cell>
          <cell r="K1481">
            <v>2</v>
          </cell>
        </row>
        <row r="1482">
          <cell r="A1482" t="str">
            <v>M1</v>
          </cell>
          <cell r="B1482" t="str">
            <v>A5C</v>
          </cell>
          <cell r="C1482" t="str">
            <v>P</v>
          </cell>
          <cell r="D1482" t="str">
            <v>22102</v>
          </cell>
          <cell r="E1482" t="str">
            <v>BALL VA</v>
          </cell>
          <cell r="F1482">
            <v>6</v>
          </cell>
          <cell r="G1482" t="str">
            <v>VB8010600000T00</v>
          </cell>
          <cell r="H1482">
            <v>0.75</v>
          </cell>
          <cell r="I1482" t="str">
            <v>--</v>
          </cell>
          <cell r="J1482">
            <v>2</v>
          </cell>
          <cell r="K1482">
            <v>2</v>
          </cell>
        </row>
        <row r="1483">
          <cell r="A1483" t="str">
            <v>M1</v>
          </cell>
          <cell r="B1483" t="str">
            <v>A5C</v>
          </cell>
          <cell r="C1483" t="str">
            <v>P</v>
          </cell>
          <cell r="D1483" t="str">
            <v>22104</v>
          </cell>
          <cell r="E1483" t="str">
            <v>BALL VA</v>
          </cell>
          <cell r="F1483">
            <v>6</v>
          </cell>
          <cell r="G1483" t="str">
            <v>VB8010600000T00</v>
          </cell>
          <cell r="H1483">
            <v>0.75</v>
          </cell>
          <cell r="I1483" t="str">
            <v>--</v>
          </cell>
          <cell r="J1483">
            <v>1</v>
          </cell>
          <cell r="K1483">
            <v>1</v>
          </cell>
        </row>
        <row r="1484">
          <cell r="A1484" t="str">
            <v>M1</v>
          </cell>
          <cell r="B1484" t="str">
            <v>A5C</v>
          </cell>
          <cell r="C1484" t="str">
            <v>P</v>
          </cell>
          <cell r="D1484" t="str">
            <v>22114</v>
          </cell>
          <cell r="E1484" t="str">
            <v>BALL VA</v>
          </cell>
          <cell r="F1484">
            <v>6</v>
          </cell>
          <cell r="G1484" t="str">
            <v>VB8010600000T00</v>
          </cell>
          <cell r="H1484">
            <v>0.75</v>
          </cell>
          <cell r="I1484" t="str">
            <v>--</v>
          </cell>
          <cell r="J1484">
            <v>1</v>
          </cell>
          <cell r="K1484">
            <v>1</v>
          </cell>
        </row>
        <row r="1485">
          <cell r="A1485" t="str">
            <v>M1</v>
          </cell>
          <cell r="B1485" t="str">
            <v>A5C</v>
          </cell>
          <cell r="C1485" t="str">
            <v>P</v>
          </cell>
          <cell r="D1485" t="str">
            <v>22106</v>
          </cell>
          <cell r="E1485" t="str">
            <v>BALL VA</v>
          </cell>
          <cell r="F1485">
            <v>6</v>
          </cell>
          <cell r="G1485" t="str">
            <v>VB8010600000T00</v>
          </cell>
          <cell r="H1485">
            <v>0.75</v>
          </cell>
          <cell r="I1485" t="str">
            <v>--</v>
          </cell>
          <cell r="J1485">
            <v>2</v>
          </cell>
          <cell r="K1485">
            <v>2</v>
          </cell>
        </row>
        <row r="1486">
          <cell r="A1486" t="str">
            <v>M1</v>
          </cell>
          <cell r="B1486" t="str">
            <v>A5C</v>
          </cell>
          <cell r="C1486" t="str">
            <v>P</v>
          </cell>
          <cell r="D1486" t="str">
            <v>22113</v>
          </cell>
          <cell r="E1486" t="str">
            <v>BALL VA</v>
          </cell>
          <cell r="F1486">
            <v>6</v>
          </cell>
          <cell r="G1486" t="str">
            <v>VB8010600000T00</v>
          </cell>
          <cell r="H1486">
            <v>0.75</v>
          </cell>
          <cell r="I1486" t="str">
            <v>--</v>
          </cell>
          <cell r="J1486">
            <v>1</v>
          </cell>
          <cell r="K1486">
            <v>1</v>
          </cell>
        </row>
        <row r="1487">
          <cell r="A1487" t="str">
            <v>M1</v>
          </cell>
          <cell r="B1487" t="str">
            <v>A5C</v>
          </cell>
          <cell r="C1487" t="str">
            <v>P</v>
          </cell>
          <cell r="D1487" t="str">
            <v>22130</v>
          </cell>
          <cell r="E1487" t="str">
            <v>BALL VA</v>
          </cell>
          <cell r="F1487">
            <v>6</v>
          </cell>
          <cell r="G1487" t="str">
            <v>VB8010600000T00</v>
          </cell>
          <cell r="H1487">
            <v>0.75</v>
          </cell>
          <cell r="I1487" t="str">
            <v>--</v>
          </cell>
          <cell r="J1487">
            <v>2</v>
          </cell>
          <cell r="K1487">
            <v>2</v>
          </cell>
        </row>
        <row r="1488">
          <cell r="A1488" t="str">
            <v>M1</v>
          </cell>
          <cell r="B1488" t="str">
            <v>A5C</v>
          </cell>
          <cell r="C1488" t="str">
            <v>P</v>
          </cell>
          <cell r="D1488" t="str">
            <v>22140</v>
          </cell>
          <cell r="E1488" t="str">
            <v>BALL VA</v>
          </cell>
          <cell r="F1488">
            <v>6</v>
          </cell>
          <cell r="G1488" t="str">
            <v>VB8010600000T00</v>
          </cell>
          <cell r="H1488">
            <v>0.75</v>
          </cell>
          <cell r="I1488" t="str">
            <v>--</v>
          </cell>
          <cell r="J1488">
            <v>2</v>
          </cell>
          <cell r="K1488">
            <v>2</v>
          </cell>
        </row>
        <row r="1489">
          <cell r="A1489" t="str">
            <v>M1</v>
          </cell>
          <cell r="B1489" t="str">
            <v>A5C</v>
          </cell>
          <cell r="C1489" t="str">
            <v>TRIM</v>
          </cell>
          <cell r="D1489" t="str">
            <v>V-2206</v>
          </cell>
          <cell r="E1489" t="str">
            <v>BALL VA</v>
          </cell>
          <cell r="F1489">
            <v>6</v>
          </cell>
          <cell r="G1489" t="str">
            <v>VB8010600000T00</v>
          </cell>
          <cell r="H1489">
            <v>0.75</v>
          </cell>
          <cell r="I1489" t="str">
            <v>--</v>
          </cell>
          <cell r="J1489">
            <v>2</v>
          </cell>
          <cell r="K1489">
            <v>2</v>
          </cell>
        </row>
        <row r="1490">
          <cell r="A1490" t="str">
            <v>M1</v>
          </cell>
          <cell r="B1490" t="str">
            <v>A5C</v>
          </cell>
          <cell r="C1490" t="str">
            <v>TRIM</v>
          </cell>
          <cell r="D1490" t="str">
            <v>V-2211</v>
          </cell>
          <cell r="E1490" t="str">
            <v>BALL VA</v>
          </cell>
          <cell r="F1490">
            <v>6</v>
          </cell>
          <cell r="G1490" t="str">
            <v>VB8010600000T00</v>
          </cell>
          <cell r="H1490">
            <v>0.75</v>
          </cell>
          <cell r="I1490" t="str">
            <v>--</v>
          </cell>
          <cell r="J1490">
            <v>2</v>
          </cell>
          <cell r="K1490">
            <v>2</v>
          </cell>
        </row>
        <row r="1491">
          <cell r="A1491" t="str">
            <v>M1</v>
          </cell>
          <cell r="B1491" t="str">
            <v>A5C</v>
          </cell>
          <cell r="C1491" t="str">
            <v>TRIM</v>
          </cell>
          <cell r="D1491" t="str">
            <v>V-2211</v>
          </cell>
          <cell r="E1491" t="str">
            <v>BALL VA</v>
          </cell>
          <cell r="F1491">
            <v>6</v>
          </cell>
          <cell r="G1491" t="str">
            <v>VB8010600000T00</v>
          </cell>
          <cell r="H1491">
            <v>0.75</v>
          </cell>
          <cell r="I1491" t="str">
            <v>--</v>
          </cell>
          <cell r="J1491">
            <v>4</v>
          </cell>
          <cell r="K1491">
            <v>4</v>
          </cell>
        </row>
        <row r="1492">
          <cell r="A1492" t="str">
            <v>M1</v>
          </cell>
          <cell r="B1492" t="str">
            <v>A5C</v>
          </cell>
          <cell r="C1492" t="str">
            <v>N</v>
          </cell>
          <cell r="D1492" t="str">
            <v>25613</v>
          </cell>
          <cell r="E1492" t="str">
            <v>BALL VA</v>
          </cell>
          <cell r="F1492">
            <v>6</v>
          </cell>
          <cell r="G1492" t="str">
            <v>VB8010600000T00</v>
          </cell>
          <cell r="H1492">
            <v>0.75</v>
          </cell>
          <cell r="I1492" t="str">
            <v>--</v>
          </cell>
          <cell r="J1492">
            <v>1</v>
          </cell>
          <cell r="K1492">
            <v>1</v>
          </cell>
        </row>
        <row r="1493">
          <cell r="A1493" t="str">
            <v>M1</v>
          </cell>
          <cell r="B1493" t="str">
            <v>A5C</v>
          </cell>
          <cell r="C1493" t="str">
            <v>N</v>
          </cell>
          <cell r="D1493" t="str">
            <v>25618</v>
          </cell>
          <cell r="E1493" t="str">
            <v>BALL VA</v>
          </cell>
          <cell r="F1493">
            <v>6</v>
          </cell>
          <cell r="G1493" t="str">
            <v>VB8010600000T00</v>
          </cell>
          <cell r="H1493">
            <v>0.75</v>
          </cell>
          <cell r="I1493" t="str">
            <v>--</v>
          </cell>
          <cell r="J1493">
            <v>1</v>
          </cell>
          <cell r="K1493">
            <v>1</v>
          </cell>
        </row>
        <row r="1494">
          <cell r="A1494" t="str">
            <v>M1</v>
          </cell>
          <cell r="B1494" t="str">
            <v>A5C</v>
          </cell>
          <cell r="C1494" t="str">
            <v>P</v>
          </cell>
          <cell r="D1494" t="str">
            <v>22028</v>
          </cell>
          <cell r="E1494" t="str">
            <v>BALL VA</v>
          </cell>
          <cell r="F1494">
            <v>6</v>
          </cell>
          <cell r="G1494" t="str">
            <v>VB8010600000T00</v>
          </cell>
          <cell r="H1494">
            <v>0.75</v>
          </cell>
          <cell r="I1494" t="str">
            <v>--</v>
          </cell>
          <cell r="J1494">
            <v>1</v>
          </cell>
          <cell r="K1494">
            <v>1</v>
          </cell>
        </row>
        <row r="1495">
          <cell r="A1495" t="str">
            <v>M1</v>
          </cell>
          <cell r="B1495" t="str">
            <v>A5C</v>
          </cell>
          <cell r="C1495" t="str">
            <v>P</v>
          </cell>
          <cell r="D1495" t="str">
            <v>22066</v>
          </cell>
          <cell r="E1495" t="str">
            <v>BALL VA</v>
          </cell>
          <cell r="F1495">
            <v>6</v>
          </cell>
          <cell r="G1495" t="str">
            <v>VB8010600000T00</v>
          </cell>
          <cell r="H1495">
            <v>0.75</v>
          </cell>
          <cell r="I1495" t="str">
            <v>--</v>
          </cell>
          <cell r="J1495">
            <v>4</v>
          </cell>
          <cell r="K1495">
            <v>4</v>
          </cell>
        </row>
        <row r="1496">
          <cell r="A1496" t="str">
            <v>M1</v>
          </cell>
          <cell r="B1496" t="str">
            <v>A5C</v>
          </cell>
          <cell r="C1496" t="str">
            <v>P</v>
          </cell>
          <cell r="D1496" t="str">
            <v>22068</v>
          </cell>
          <cell r="E1496" t="str">
            <v>BALL VA</v>
          </cell>
          <cell r="F1496">
            <v>6</v>
          </cell>
          <cell r="G1496" t="str">
            <v>VB8010600000T00</v>
          </cell>
          <cell r="H1496">
            <v>0.75</v>
          </cell>
          <cell r="I1496" t="str">
            <v>--</v>
          </cell>
          <cell r="J1496">
            <v>2</v>
          </cell>
          <cell r="K1496">
            <v>2</v>
          </cell>
        </row>
        <row r="1497">
          <cell r="A1497" t="str">
            <v>M1</v>
          </cell>
          <cell r="B1497" t="str">
            <v>A5C</v>
          </cell>
          <cell r="C1497" t="str">
            <v>P</v>
          </cell>
          <cell r="D1497" t="str">
            <v>22069</v>
          </cell>
          <cell r="E1497" t="str">
            <v>BALL VA</v>
          </cell>
          <cell r="F1497">
            <v>6</v>
          </cell>
          <cell r="G1497" t="str">
            <v>VB8010600000T00</v>
          </cell>
          <cell r="H1497">
            <v>0.75</v>
          </cell>
          <cell r="I1497" t="str">
            <v>--</v>
          </cell>
          <cell r="J1497">
            <v>2</v>
          </cell>
          <cell r="K1497">
            <v>2</v>
          </cell>
        </row>
        <row r="1498">
          <cell r="A1498" t="str">
            <v>M1</v>
          </cell>
          <cell r="B1498" t="str">
            <v>A5C</v>
          </cell>
          <cell r="C1498" t="str">
            <v>P</v>
          </cell>
          <cell r="D1498" t="str">
            <v>22069</v>
          </cell>
          <cell r="E1498" t="str">
            <v>BALL VA</v>
          </cell>
          <cell r="F1498">
            <v>6</v>
          </cell>
          <cell r="G1498" t="str">
            <v>VB8010600000T00</v>
          </cell>
          <cell r="H1498">
            <v>0.75</v>
          </cell>
          <cell r="I1498" t="str">
            <v>--</v>
          </cell>
          <cell r="J1498">
            <v>2</v>
          </cell>
          <cell r="K1498">
            <v>2</v>
          </cell>
        </row>
        <row r="1499">
          <cell r="A1499" t="str">
            <v>M1</v>
          </cell>
          <cell r="B1499" t="str">
            <v>A5C</v>
          </cell>
          <cell r="C1499" t="str">
            <v>P</v>
          </cell>
          <cell r="D1499" t="str">
            <v>22071</v>
          </cell>
          <cell r="E1499" t="str">
            <v>BALL VA</v>
          </cell>
          <cell r="F1499">
            <v>6</v>
          </cell>
          <cell r="G1499" t="str">
            <v>VB8010600000T00</v>
          </cell>
          <cell r="H1499">
            <v>0.75</v>
          </cell>
          <cell r="I1499" t="str">
            <v>--</v>
          </cell>
          <cell r="J1499">
            <v>2</v>
          </cell>
          <cell r="K1499">
            <v>2</v>
          </cell>
        </row>
        <row r="1500">
          <cell r="A1500" t="str">
            <v>M1</v>
          </cell>
          <cell r="B1500" t="str">
            <v>A5C</v>
          </cell>
          <cell r="C1500" t="str">
            <v>P</v>
          </cell>
          <cell r="D1500" t="str">
            <v>22071</v>
          </cell>
          <cell r="E1500" t="str">
            <v>BALL VA</v>
          </cell>
          <cell r="F1500">
            <v>6</v>
          </cell>
          <cell r="G1500" t="str">
            <v>VB8010600000T00</v>
          </cell>
          <cell r="H1500">
            <v>0.75</v>
          </cell>
          <cell r="I1500" t="str">
            <v>--</v>
          </cell>
          <cell r="J1500">
            <v>4</v>
          </cell>
          <cell r="K1500">
            <v>4</v>
          </cell>
        </row>
        <row r="1501">
          <cell r="A1501" t="str">
            <v>M1</v>
          </cell>
          <cell r="B1501" t="str">
            <v>A5C</v>
          </cell>
          <cell r="C1501" t="str">
            <v>P</v>
          </cell>
          <cell r="D1501" t="str">
            <v>22082</v>
          </cell>
          <cell r="E1501" t="str">
            <v>BALL VA</v>
          </cell>
          <cell r="F1501">
            <v>6</v>
          </cell>
          <cell r="G1501" t="str">
            <v>VB8010600000T00</v>
          </cell>
          <cell r="H1501">
            <v>0.75</v>
          </cell>
          <cell r="I1501" t="str">
            <v>--</v>
          </cell>
          <cell r="J1501">
            <v>2</v>
          </cell>
          <cell r="K1501">
            <v>2</v>
          </cell>
        </row>
        <row r="1502">
          <cell r="A1502" t="str">
            <v>M1</v>
          </cell>
          <cell r="B1502" t="str">
            <v>A5C</v>
          </cell>
          <cell r="C1502" t="str">
            <v>P</v>
          </cell>
          <cell r="D1502" t="str">
            <v>22103</v>
          </cell>
          <cell r="E1502" t="str">
            <v>BALL VA</v>
          </cell>
          <cell r="F1502">
            <v>6</v>
          </cell>
          <cell r="G1502" t="str">
            <v>VB8010600000T00</v>
          </cell>
          <cell r="H1502">
            <v>0.75</v>
          </cell>
          <cell r="I1502" t="str">
            <v>--</v>
          </cell>
          <cell r="J1502">
            <v>1</v>
          </cell>
          <cell r="K1502">
            <v>1</v>
          </cell>
        </row>
        <row r="1503">
          <cell r="A1503" t="str">
            <v>M1</v>
          </cell>
          <cell r="B1503" t="str">
            <v>A5C</v>
          </cell>
          <cell r="C1503" t="str">
            <v>P</v>
          </cell>
          <cell r="D1503" t="str">
            <v>22139</v>
          </cell>
          <cell r="E1503" t="str">
            <v>BALL VA</v>
          </cell>
          <cell r="F1503">
            <v>6</v>
          </cell>
          <cell r="G1503" t="str">
            <v>VB8010600000T00</v>
          </cell>
          <cell r="H1503">
            <v>0.75</v>
          </cell>
          <cell r="I1503" t="str">
            <v>--</v>
          </cell>
          <cell r="J1503">
            <v>2</v>
          </cell>
          <cell r="K1503">
            <v>2</v>
          </cell>
        </row>
        <row r="1504">
          <cell r="A1504" t="str">
            <v>M1</v>
          </cell>
          <cell r="B1504" t="str">
            <v>A5C</v>
          </cell>
          <cell r="C1504" t="str">
            <v>P</v>
          </cell>
          <cell r="D1504" t="str">
            <v>22081</v>
          </cell>
          <cell r="E1504" t="str">
            <v>BALL VA</v>
          </cell>
          <cell r="F1504">
            <v>6</v>
          </cell>
          <cell r="G1504" t="str">
            <v>VB8010600000T00</v>
          </cell>
          <cell r="H1504">
            <v>0.75</v>
          </cell>
          <cell r="I1504" t="str">
            <v>--</v>
          </cell>
          <cell r="J1504">
            <v>3</v>
          </cell>
          <cell r="K1504">
            <v>3</v>
          </cell>
        </row>
        <row r="1505">
          <cell r="A1505" t="str">
            <v>M1</v>
          </cell>
          <cell r="B1505" t="str">
            <v>A5C</v>
          </cell>
          <cell r="C1505" t="str">
            <v>P</v>
          </cell>
          <cell r="D1505" t="str">
            <v>22153</v>
          </cell>
          <cell r="E1505" t="str">
            <v>BELLOWS VA</v>
          </cell>
          <cell r="F1505">
            <v>6</v>
          </cell>
          <cell r="G1505" t="str">
            <v>VBE8010200000T00</v>
          </cell>
          <cell r="H1505">
            <v>0.75</v>
          </cell>
          <cell r="I1505" t="str">
            <v>--</v>
          </cell>
          <cell r="J1505">
            <v>4</v>
          </cell>
          <cell r="K1505">
            <v>4</v>
          </cell>
        </row>
        <row r="1506">
          <cell r="A1506" t="str">
            <v>M1</v>
          </cell>
          <cell r="B1506" t="str">
            <v>A5C</v>
          </cell>
          <cell r="C1506" t="str">
            <v>N</v>
          </cell>
          <cell r="D1506" t="str">
            <v>22617</v>
          </cell>
          <cell r="E1506" t="str">
            <v>CHECK VA</v>
          </cell>
          <cell r="F1506">
            <v>6</v>
          </cell>
          <cell r="G1506" t="str">
            <v>VCB8010400000T00</v>
          </cell>
          <cell r="H1506">
            <v>0.75</v>
          </cell>
          <cell r="I1506" t="str">
            <v>--</v>
          </cell>
          <cell r="J1506">
            <v>1</v>
          </cell>
          <cell r="K1506">
            <v>1</v>
          </cell>
        </row>
        <row r="1507">
          <cell r="A1507" t="str">
            <v>M1</v>
          </cell>
          <cell r="B1507" t="str">
            <v>A5C</v>
          </cell>
          <cell r="C1507" t="str">
            <v>SCC</v>
          </cell>
          <cell r="D1507" t="str">
            <v>HOLD1</v>
          </cell>
          <cell r="E1507" t="str">
            <v>GATE VA</v>
          </cell>
          <cell r="F1507">
            <v>6</v>
          </cell>
          <cell r="G1507" t="str">
            <v>VG8010100000T00</v>
          </cell>
          <cell r="H1507">
            <v>0.75</v>
          </cell>
          <cell r="I1507" t="str">
            <v>--</v>
          </cell>
          <cell r="J1507">
            <v>6</v>
          </cell>
          <cell r="K1507">
            <v>6</v>
          </cell>
        </row>
        <row r="1508">
          <cell r="A1508" t="str">
            <v>M1</v>
          </cell>
          <cell r="B1508" t="str">
            <v>A5C</v>
          </cell>
          <cell r="C1508" t="str">
            <v>SCD</v>
          </cell>
          <cell r="D1508" t="str">
            <v>HOLD1</v>
          </cell>
          <cell r="E1508" t="str">
            <v>GATE VA</v>
          </cell>
          <cell r="F1508">
            <v>6</v>
          </cell>
          <cell r="G1508" t="str">
            <v>VG8010100000T00</v>
          </cell>
          <cell r="H1508">
            <v>0.75</v>
          </cell>
          <cell r="I1508" t="str">
            <v>--</v>
          </cell>
          <cell r="J1508">
            <v>6</v>
          </cell>
          <cell r="K1508">
            <v>6</v>
          </cell>
        </row>
        <row r="1509">
          <cell r="A1509" t="str">
            <v>M1</v>
          </cell>
          <cell r="B1509" t="str">
            <v>A5C</v>
          </cell>
          <cell r="C1509" t="str">
            <v>N</v>
          </cell>
          <cell r="D1509" t="str">
            <v>22617</v>
          </cell>
          <cell r="E1509" t="str">
            <v>GLOBE VA</v>
          </cell>
          <cell r="F1509">
            <v>6</v>
          </cell>
          <cell r="G1509" t="str">
            <v>VL8010100000T00</v>
          </cell>
          <cell r="H1509">
            <v>0.75</v>
          </cell>
          <cell r="I1509" t="str">
            <v>--</v>
          </cell>
          <cell r="J1509">
            <v>2</v>
          </cell>
          <cell r="K1509">
            <v>2</v>
          </cell>
        </row>
        <row r="1510">
          <cell r="A1510" t="str">
            <v>M1</v>
          </cell>
          <cell r="B1510" t="str">
            <v>A5C</v>
          </cell>
          <cell r="C1510" t="str">
            <v>P</v>
          </cell>
          <cell r="D1510" t="str">
            <v>22090</v>
          </cell>
          <cell r="E1510" t="str">
            <v>BALL VA</v>
          </cell>
          <cell r="F1510">
            <v>6</v>
          </cell>
          <cell r="G1510" t="str">
            <v>VB8010600000T00</v>
          </cell>
          <cell r="H1510">
            <v>0.75</v>
          </cell>
          <cell r="I1510" t="str">
            <v>--</v>
          </cell>
          <cell r="J1510">
            <v>1</v>
          </cell>
          <cell r="K1510">
            <v>1</v>
          </cell>
        </row>
        <row r="1511">
          <cell r="A1511" t="str">
            <v>M1</v>
          </cell>
          <cell r="B1511" t="str">
            <v>A5C</v>
          </cell>
          <cell r="C1511" t="str">
            <v>P</v>
          </cell>
          <cell r="D1511" t="str">
            <v>22100</v>
          </cell>
          <cell r="E1511" t="str">
            <v>BALL VA</v>
          </cell>
          <cell r="F1511">
            <v>6</v>
          </cell>
          <cell r="G1511" t="str">
            <v>VB8010600000T00</v>
          </cell>
          <cell r="H1511">
            <v>0.75</v>
          </cell>
          <cell r="I1511" t="str">
            <v>--</v>
          </cell>
          <cell r="J1511">
            <v>2</v>
          </cell>
          <cell r="K1511">
            <v>2</v>
          </cell>
        </row>
        <row r="1512">
          <cell r="A1512" t="str">
            <v>M1</v>
          </cell>
          <cell r="B1512" t="str">
            <v>A5C</v>
          </cell>
          <cell r="C1512" t="str">
            <v>P</v>
          </cell>
          <cell r="D1512" t="str">
            <v>22092</v>
          </cell>
          <cell r="E1512" t="str">
            <v>BALL VA</v>
          </cell>
          <cell r="F1512">
            <v>6</v>
          </cell>
          <cell r="G1512" t="str">
            <v>VB8010600000T00</v>
          </cell>
          <cell r="H1512">
            <v>0.75</v>
          </cell>
          <cell r="I1512" t="str">
            <v>--</v>
          </cell>
          <cell r="J1512">
            <v>1</v>
          </cell>
          <cell r="K1512">
            <v>1</v>
          </cell>
        </row>
        <row r="1513">
          <cell r="A1513" t="str">
            <v>M1</v>
          </cell>
          <cell r="B1513" t="str">
            <v>A5C</v>
          </cell>
          <cell r="C1513" t="str">
            <v>P</v>
          </cell>
          <cell r="D1513" t="str">
            <v>22093</v>
          </cell>
          <cell r="E1513" t="str">
            <v>BALL VA</v>
          </cell>
          <cell r="F1513">
            <v>6</v>
          </cell>
          <cell r="G1513" t="str">
            <v>VB8010600000T00</v>
          </cell>
          <cell r="H1513">
            <v>0.75</v>
          </cell>
          <cell r="I1513" t="str">
            <v>--</v>
          </cell>
          <cell r="J1513">
            <v>1</v>
          </cell>
          <cell r="K1513">
            <v>1</v>
          </cell>
        </row>
        <row r="1514">
          <cell r="A1514" t="str">
            <v>M1</v>
          </cell>
          <cell r="B1514" t="str">
            <v>A5C</v>
          </cell>
          <cell r="C1514" t="str">
            <v>P</v>
          </cell>
          <cell r="D1514" t="str">
            <v>22099</v>
          </cell>
          <cell r="E1514" t="str">
            <v>BALL VA</v>
          </cell>
          <cell r="F1514">
            <v>6</v>
          </cell>
          <cell r="G1514" t="str">
            <v>VB8010600000T00</v>
          </cell>
          <cell r="H1514">
            <v>0.75</v>
          </cell>
          <cell r="I1514" t="str">
            <v>--</v>
          </cell>
          <cell r="J1514">
            <v>2</v>
          </cell>
          <cell r="K1514">
            <v>2</v>
          </cell>
        </row>
        <row r="1515">
          <cell r="A1515" t="str">
            <v>M1</v>
          </cell>
          <cell r="B1515" t="str">
            <v>A6C</v>
          </cell>
          <cell r="C1515" t="str">
            <v>HOR</v>
          </cell>
          <cell r="D1515" t="str">
            <v>65612</v>
          </cell>
          <cell r="E1515" t="str">
            <v>BELLOWS VA</v>
          </cell>
          <cell r="F1515">
            <v>6</v>
          </cell>
          <cell r="G1515" t="str">
            <v>VBE8010800000T00</v>
          </cell>
          <cell r="H1515">
            <v>0.75</v>
          </cell>
          <cell r="I1515" t="str">
            <v>--</v>
          </cell>
          <cell r="J1515">
            <v>2</v>
          </cell>
          <cell r="K1515">
            <v>2</v>
          </cell>
        </row>
        <row r="1516">
          <cell r="A1516" t="str">
            <v>M1</v>
          </cell>
          <cell r="B1516" t="str">
            <v>A6C</v>
          </cell>
          <cell r="C1516" t="str">
            <v>HOR</v>
          </cell>
          <cell r="D1516" t="str">
            <v>65612</v>
          </cell>
          <cell r="E1516" t="str">
            <v>BELLOWS VA</v>
          </cell>
          <cell r="F1516">
            <v>6</v>
          </cell>
          <cell r="G1516" t="str">
            <v>VBE8010800000T00</v>
          </cell>
          <cell r="H1516">
            <v>0.75</v>
          </cell>
          <cell r="I1516" t="str">
            <v>--</v>
          </cell>
          <cell r="J1516">
            <v>4</v>
          </cell>
          <cell r="K1516">
            <v>4</v>
          </cell>
        </row>
        <row r="1517">
          <cell r="A1517" t="str">
            <v>M1</v>
          </cell>
          <cell r="B1517" t="str">
            <v>A5C</v>
          </cell>
          <cell r="C1517" t="str">
            <v>WW</v>
          </cell>
          <cell r="D1517" t="str">
            <v>22601</v>
          </cell>
          <cell r="E1517" t="str">
            <v>BALL VA</v>
          </cell>
          <cell r="F1517">
            <v>6</v>
          </cell>
          <cell r="G1517" t="str">
            <v>VB8010600000T00</v>
          </cell>
          <cell r="H1517">
            <v>0.75</v>
          </cell>
          <cell r="I1517" t="str">
            <v>--</v>
          </cell>
          <cell r="J1517">
            <v>2</v>
          </cell>
          <cell r="K1517">
            <v>2</v>
          </cell>
        </row>
        <row r="1518">
          <cell r="A1518" t="str">
            <v>M1</v>
          </cell>
          <cell r="B1518" t="str">
            <v>A5C</v>
          </cell>
          <cell r="C1518" t="str">
            <v>WW</v>
          </cell>
          <cell r="D1518" t="str">
            <v>22601</v>
          </cell>
          <cell r="E1518" t="str">
            <v>BALL VA</v>
          </cell>
          <cell r="F1518">
            <v>6</v>
          </cell>
          <cell r="G1518" t="str">
            <v>VB8010600000T00</v>
          </cell>
          <cell r="H1518">
            <v>0.75</v>
          </cell>
          <cell r="I1518" t="str">
            <v>--</v>
          </cell>
          <cell r="J1518">
            <v>2</v>
          </cell>
          <cell r="K1518">
            <v>2</v>
          </cell>
        </row>
        <row r="1519">
          <cell r="A1519" t="str">
            <v>M1</v>
          </cell>
          <cell r="B1519" t="str">
            <v>A5C</v>
          </cell>
          <cell r="C1519" t="str">
            <v>P</v>
          </cell>
          <cell r="D1519" t="str">
            <v>22062</v>
          </cell>
          <cell r="E1519" t="str">
            <v>BALL VA</v>
          </cell>
          <cell r="F1519">
            <v>6</v>
          </cell>
          <cell r="G1519" t="str">
            <v>VB8010600000T00</v>
          </cell>
          <cell r="H1519">
            <v>0.75</v>
          </cell>
          <cell r="I1519" t="str">
            <v>--</v>
          </cell>
          <cell r="J1519">
            <v>2</v>
          </cell>
          <cell r="K1519">
            <v>2</v>
          </cell>
        </row>
        <row r="1520">
          <cell r="A1520" t="str">
            <v>M1</v>
          </cell>
          <cell r="B1520" t="str">
            <v>A5C</v>
          </cell>
          <cell r="C1520" t="str">
            <v>P</v>
          </cell>
          <cell r="D1520" t="str">
            <v>22073</v>
          </cell>
          <cell r="E1520" t="str">
            <v>BALL VA</v>
          </cell>
          <cell r="F1520">
            <v>6</v>
          </cell>
          <cell r="G1520" t="str">
            <v>VB8010600000T00</v>
          </cell>
          <cell r="H1520">
            <v>0.75</v>
          </cell>
          <cell r="I1520" t="str">
            <v>--</v>
          </cell>
          <cell r="J1520">
            <v>2</v>
          </cell>
          <cell r="K1520">
            <v>2</v>
          </cell>
        </row>
        <row r="1521">
          <cell r="A1521" t="str">
            <v>M1</v>
          </cell>
          <cell r="B1521" t="str">
            <v>A5C</v>
          </cell>
          <cell r="C1521" t="str">
            <v>P</v>
          </cell>
          <cell r="D1521" t="str">
            <v>22074</v>
          </cell>
          <cell r="E1521" t="str">
            <v>BALL VA</v>
          </cell>
          <cell r="F1521">
            <v>6</v>
          </cell>
          <cell r="G1521" t="str">
            <v>VB8010600000T00</v>
          </cell>
          <cell r="H1521">
            <v>0.75</v>
          </cell>
          <cell r="I1521" t="str">
            <v>--</v>
          </cell>
          <cell r="J1521">
            <v>3</v>
          </cell>
          <cell r="K1521">
            <v>3</v>
          </cell>
        </row>
        <row r="1522">
          <cell r="A1522" t="str">
            <v>M1</v>
          </cell>
          <cell r="B1522" t="str">
            <v>A5C</v>
          </cell>
          <cell r="C1522" t="str">
            <v>P</v>
          </cell>
          <cell r="D1522" t="str">
            <v>22062</v>
          </cell>
          <cell r="E1522" t="str">
            <v>BALL VA</v>
          </cell>
          <cell r="F1522">
            <v>6</v>
          </cell>
          <cell r="G1522" t="str">
            <v>VB8010600000T00</v>
          </cell>
          <cell r="H1522">
            <v>0.75</v>
          </cell>
          <cell r="I1522" t="str">
            <v>--</v>
          </cell>
          <cell r="J1522">
            <v>1</v>
          </cell>
          <cell r="K1522">
            <v>1</v>
          </cell>
        </row>
        <row r="1523">
          <cell r="A1523" t="str">
            <v>M1</v>
          </cell>
          <cell r="B1523" t="str">
            <v>A5C</v>
          </cell>
          <cell r="C1523" t="str">
            <v>P</v>
          </cell>
          <cell r="D1523" t="str">
            <v>22077</v>
          </cell>
          <cell r="E1523" t="str">
            <v>BALL VA</v>
          </cell>
          <cell r="F1523">
            <v>6</v>
          </cell>
          <cell r="G1523" t="str">
            <v>VB8010600000T00</v>
          </cell>
          <cell r="H1523">
            <v>0.75</v>
          </cell>
          <cell r="I1523" t="str">
            <v>--</v>
          </cell>
          <cell r="J1523">
            <v>1</v>
          </cell>
          <cell r="K1523">
            <v>1</v>
          </cell>
        </row>
        <row r="1524">
          <cell r="A1524" t="str">
            <v>M1</v>
          </cell>
          <cell r="B1524" t="str">
            <v>A5C</v>
          </cell>
          <cell r="C1524" t="str">
            <v>P</v>
          </cell>
          <cell r="D1524" t="str">
            <v>22077</v>
          </cell>
          <cell r="E1524" t="str">
            <v>BALL VA</v>
          </cell>
          <cell r="F1524">
            <v>6</v>
          </cell>
          <cell r="G1524" t="str">
            <v>VB8010600000T00</v>
          </cell>
          <cell r="H1524">
            <v>0.75</v>
          </cell>
          <cell r="I1524" t="str">
            <v>--</v>
          </cell>
          <cell r="J1524">
            <v>1</v>
          </cell>
          <cell r="K1524">
            <v>1</v>
          </cell>
        </row>
        <row r="1525">
          <cell r="A1525" t="str">
            <v>M1</v>
          </cell>
          <cell r="B1525" t="str">
            <v>A5C</v>
          </cell>
          <cell r="C1525" t="str">
            <v>P</v>
          </cell>
          <cell r="D1525" t="str">
            <v>22077</v>
          </cell>
          <cell r="E1525" t="str">
            <v>BALL VA</v>
          </cell>
          <cell r="F1525">
            <v>6</v>
          </cell>
          <cell r="G1525" t="str">
            <v>VB8010600000T00</v>
          </cell>
          <cell r="H1525">
            <v>0.75</v>
          </cell>
          <cell r="I1525" t="str">
            <v>--</v>
          </cell>
          <cell r="J1525">
            <v>2</v>
          </cell>
          <cell r="K1525">
            <v>2</v>
          </cell>
        </row>
        <row r="1526">
          <cell r="A1526" t="str">
            <v>M1</v>
          </cell>
          <cell r="B1526" t="str">
            <v>A5C</v>
          </cell>
          <cell r="C1526" t="str">
            <v>P</v>
          </cell>
          <cell r="D1526" t="str">
            <v>22111</v>
          </cell>
          <cell r="E1526" t="str">
            <v>BALL VA</v>
          </cell>
          <cell r="F1526">
            <v>6</v>
          </cell>
          <cell r="G1526" t="str">
            <v>VB8010600000T00</v>
          </cell>
          <cell r="H1526">
            <v>0.75</v>
          </cell>
          <cell r="I1526" t="str">
            <v>--</v>
          </cell>
          <cell r="J1526">
            <v>3</v>
          </cell>
          <cell r="K1526">
            <v>3</v>
          </cell>
        </row>
        <row r="1527">
          <cell r="A1527" t="str">
            <v>M1</v>
          </cell>
          <cell r="B1527" t="str">
            <v>A5C</v>
          </cell>
          <cell r="C1527" t="str">
            <v>P</v>
          </cell>
          <cell r="D1527" t="str">
            <v>22111</v>
          </cell>
          <cell r="E1527" t="str">
            <v>BALL VA</v>
          </cell>
          <cell r="F1527">
            <v>6</v>
          </cell>
          <cell r="G1527" t="str">
            <v>VB8010600000T00</v>
          </cell>
          <cell r="H1527">
            <v>0.75</v>
          </cell>
          <cell r="I1527" t="str">
            <v>--</v>
          </cell>
          <cell r="J1527">
            <v>3</v>
          </cell>
          <cell r="K1527">
            <v>3</v>
          </cell>
        </row>
        <row r="1528">
          <cell r="A1528" t="str">
            <v>M1</v>
          </cell>
          <cell r="B1528" t="str">
            <v>A5C</v>
          </cell>
          <cell r="C1528" t="str">
            <v>TRIM</v>
          </cell>
          <cell r="D1528" t="str">
            <v>V-2214</v>
          </cell>
          <cell r="E1528" t="str">
            <v>BALL VA</v>
          </cell>
          <cell r="F1528">
            <v>6</v>
          </cell>
          <cell r="G1528" t="str">
            <v>VB8010600000T00</v>
          </cell>
          <cell r="H1528">
            <v>0.75</v>
          </cell>
          <cell r="I1528" t="str">
            <v>--</v>
          </cell>
          <cell r="J1528">
            <v>4</v>
          </cell>
          <cell r="K1528">
            <v>4</v>
          </cell>
        </row>
        <row r="1529">
          <cell r="A1529" t="str">
            <v>M1</v>
          </cell>
          <cell r="B1529" t="str">
            <v>A5C</v>
          </cell>
          <cell r="C1529" t="str">
            <v>TRIM</v>
          </cell>
          <cell r="D1529" t="str">
            <v>V-2214</v>
          </cell>
          <cell r="E1529" t="str">
            <v>BALL VA</v>
          </cell>
          <cell r="F1529">
            <v>6</v>
          </cell>
          <cell r="G1529" t="str">
            <v>VB8010600000T00</v>
          </cell>
          <cell r="H1529">
            <v>0.75</v>
          </cell>
          <cell r="I1529" t="str">
            <v>--</v>
          </cell>
          <cell r="J1529">
            <v>1</v>
          </cell>
          <cell r="K1529">
            <v>1</v>
          </cell>
        </row>
        <row r="1530">
          <cell r="A1530" t="str">
            <v>M1</v>
          </cell>
          <cell r="B1530" t="str">
            <v>A5C</v>
          </cell>
          <cell r="C1530" t="str">
            <v>P</v>
          </cell>
          <cell r="D1530" t="str">
            <v>22060</v>
          </cell>
          <cell r="E1530" t="str">
            <v>BALL VA</v>
          </cell>
          <cell r="F1530">
            <v>6</v>
          </cell>
          <cell r="G1530" t="str">
            <v>VB8010600000T00</v>
          </cell>
          <cell r="H1530">
            <v>0.75</v>
          </cell>
          <cell r="I1530" t="str">
            <v>--</v>
          </cell>
          <cell r="J1530">
            <v>1</v>
          </cell>
          <cell r="K1530">
            <v>1</v>
          </cell>
        </row>
        <row r="1531">
          <cell r="A1531" t="str">
            <v>M1</v>
          </cell>
          <cell r="B1531" t="str">
            <v>A5C</v>
          </cell>
          <cell r="C1531" t="str">
            <v>TRIM</v>
          </cell>
          <cell r="D1531" t="str">
            <v>V-2213</v>
          </cell>
          <cell r="E1531" t="str">
            <v>BALL VA</v>
          </cell>
          <cell r="F1531">
            <v>6</v>
          </cell>
          <cell r="G1531" t="str">
            <v>VB8010600000T00</v>
          </cell>
          <cell r="H1531">
            <v>0.75</v>
          </cell>
          <cell r="I1531" t="str">
            <v>--</v>
          </cell>
          <cell r="J1531">
            <v>1</v>
          </cell>
          <cell r="K1531">
            <v>1</v>
          </cell>
        </row>
        <row r="1532">
          <cell r="A1532" t="str">
            <v>M1</v>
          </cell>
          <cell r="B1532" t="str">
            <v>A5C</v>
          </cell>
          <cell r="C1532" t="str">
            <v>TRIM</v>
          </cell>
          <cell r="D1532" t="str">
            <v>V-2213</v>
          </cell>
          <cell r="E1532" t="str">
            <v>BALL VA</v>
          </cell>
          <cell r="F1532">
            <v>6</v>
          </cell>
          <cell r="G1532" t="str">
            <v>VB8010600000T00</v>
          </cell>
          <cell r="H1532">
            <v>0.75</v>
          </cell>
          <cell r="I1532" t="str">
            <v>--</v>
          </cell>
          <cell r="J1532">
            <v>2</v>
          </cell>
          <cell r="K1532">
            <v>2</v>
          </cell>
        </row>
        <row r="1533">
          <cell r="A1533" t="str">
            <v>M1</v>
          </cell>
          <cell r="B1533" t="str">
            <v>A6C</v>
          </cell>
          <cell r="C1533" t="str">
            <v>HOS</v>
          </cell>
          <cell r="D1533" t="str">
            <v>65632</v>
          </cell>
          <cell r="E1533" t="str">
            <v>BELLOWS VA</v>
          </cell>
          <cell r="F1533">
            <v>6</v>
          </cell>
          <cell r="G1533" t="str">
            <v>VBE8010700000T00</v>
          </cell>
          <cell r="H1533">
            <v>0.75</v>
          </cell>
          <cell r="I1533" t="str">
            <v>--</v>
          </cell>
          <cell r="J1533">
            <v>2</v>
          </cell>
          <cell r="K1533">
            <v>2</v>
          </cell>
        </row>
        <row r="1534">
          <cell r="A1534" t="str">
            <v>M1</v>
          </cell>
          <cell r="B1534" t="str">
            <v>A6C</v>
          </cell>
          <cell r="C1534" t="str">
            <v>HOS</v>
          </cell>
          <cell r="D1534" t="str">
            <v>65633</v>
          </cell>
          <cell r="E1534" t="str">
            <v>BELLOWS VA</v>
          </cell>
          <cell r="F1534">
            <v>6</v>
          </cell>
          <cell r="G1534" t="str">
            <v>VBE8010700000T00</v>
          </cell>
          <cell r="H1534">
            <v>0.75</v>
          </cell>
          <cell r="I1534" t="str">
            <v>--</v>
          </cell>
          <cell r="J1534">
            <v>2</v>
          </cell>
          <cell r="K1534">
            <v>2</v>
          </cell>
        </row>
        <row r="1535">
          <cell r="A1535" t="str">
            <v>M1</v>
          </cell>
          <cell r="B1535" t="str">
            <v>A5C</v>
          </cell>
          <cell r="C1535" t="str">
            <v>P</v>
          </cell>
          <cell r="D1535" t="str">
            <v>22001</v>
          </cell>
          <cell r="E1535" t="str">
            <v>BELLOWS VA</v>
          </cell>
          <cell r="F1535">
            <v>6</v>
          </cell>
          <cell r="G1535" t="str">
            <v>VBE8010200000T00</v>
          </cell>
          <cell r="H1535">
            <v>0.75</v>
          </cell>
          <cell r="I1535" t="str">
            <v>--</v>
          </cell>
          <cell r="J1535">
            <v>3</v>
          </cell>
          <cell r="K1535">
            <v>3</v>
          </cell>
        </row>
        <row r="1536">
          <cell r="A1536" t="str">
            <v>M1</v>
          </cell>
          <cell r="B1536" t="str">
            <v>A5C</v>
          </cell>
          <cell r="C1536" t="str">
            <v>P</v>
          </cell>
          <cell r="D1536" t="str">
            <v>22003</v>
          </cell>
          <cell r="E1536" t="str">
            <v>BELLOWS VA</v>
          </cell>
          <cell r="F1536">
            <v>6</v>
          </cell>
          <cell r="G1536" t="str">
            <v>VBE8010100000T00</v>
          </cell>
          <cell r="H1536">
            <v>0.75</v>
          </cell>
          <cell r="I1536" t="str">
            <v>--</v>
          </cell>
          <cell r="J1536">
            <v>1</v>
          </cell>
          <cell r="K1536">
            <v>1</v>
          </cell>
        </row>
        <row r="1537">
          <cell r="A1537" t="str">
            <v>M1</v>
          </cell>
          <cell r="B1537" t="str">
            <v>A5C</v>
          </cell>
          <cell r="C1537" t="str">
            <v>P</v>
          </cell>
          <cell r="D1537" t="str">
            <v>22003</v>
          </cell>
          <cell r="E1537" t="str">
            <v>BELLOWS VA</v>
          </cell>
          <cell r="F1537">
            <v>6</v>
          </cell>
          <cell r="G1537" t="str">
            <v>VBE8010200000T00</v>
          </cell>
          <cell r="H1537">
            <v>0.75</v>
          </cell>
          <cell r="I1537" t="str">
            <v>--</v>
          </cell>
          <cell r="J1537">
            <v>1</v>
          </cell>
          <cell r="K1537">
            <v>1</v>
          </cell>
        </row>
        <row r="1538">
          <cell r="A1538" t="str">
            <v>M1</v>
          </cell>
          <cell r="B1538" t="str">
            <v>A5C</v>
          </cell>
          <cell r="C1538" t="str">
            <v>P</v>
          </cell>
          <cell r="D1538" t="str">
            <v>22004</v>
          </cell>
          <cell r="E1538" t="str">
            <v>BELLOWS VA</v>
          </cell>
          <cell r="F1538">
            <v>6</v>
          </cell>
          <cell r="G1538" t="str">
            <v>VBE8010100000T00</v>
          </cell>
          <cell r="H1538">
            <v>0.75</v>
          </cell>
          <cell r="I1538" t="str">
            <v>--</v>
          </cell>
          <cell r="J1538">
            <v>2</v>
          </cell>
          <cell r="K1538">
            <v>2</v>
          </cell>
        </row>
        <row r="1539">
          <cell r="A1539" t="str">
            <v>M1</v>
          </cell>
          <cell r="B1539" t="str">
            <v>A5C</v>
          </cell>
          <cell r="C1539" t="str">
            <v>P</v>
          </cell>
          <cell r="D1539" t="str">
            <v>22004</v>
          </cell>
          <cell r="E1539" t="str">
            <v>BELLOWS VA</v>
          </cell>
          <cell r="F1539">
            <v>6</v>
          </cell>
          <cell r="G1539" t="str">
            <v>VBE8010100000T00</v>
          </cell>
          <cell r="H1539">
            <v>0.75</v>
          </cell>
          <cell r="I1539" t="str">
            <v>--</v>
          </cell>
          <cell r="J1539">
            <v>1</v>
          </cell>
          <cell r="K1539">
            <v>1</v>
          </cell>
        </row>
        <row r="1540">
          <cell r="A1540" t="str">
            <v>M1</v>
          </cell>
          <cell r="B1540" t="str">
            <v>A5C</v>
          </cell>
          <cell r="C1540" t="str">
            <v>P</v>
          </cell>
          <cell r="D1540" t="str">
            <v>22002</v>
          </cell>
          <cell r="E1540" t="str">
            <v>BELLOWS VA</v>
          </cell>
          <cell r="F1540">
            <v>6</v>
          </cell>
          <cell r="G1540" t="str">
            <v>VBE8010200000T00</v>
          </cell>
          <cell r="H1540">
            <v>0.75</v>
          </cell>
          <cell r="I1540" t="str">
            <v>--</v>
          </cell>
          <cell r="J1540">
            <v>2</v>
          </cell>
          <cell r="K1540">
            <v>2</v>
          </cell>
        </row>
        <row r="1541">
          <cell r="A1541" t="str">
            <v>M1</v>
          </cell>
          <cell r="B1541" t="str">
            <v>A5C</v>
          </cell>
          <cell r="C1541" t="str">
            <v>P</v>
          </cell>
          <cell r="D1541" t="str">
            <v>22005</v>
          </cell>
          <cell r="E1541" t="str">
            <v>BELLOWS VA</v>
          </cell>
          <cell r="F1541">
            <v>6</v>
          </cell>
          <cell r="G1541" t="str">
            <v>VBE8010100000T00</v>
          </cell>
          <cell r="H1541">
            <v>0.75</v>
          </cell>
          <cell r="I1541" t="str">
            <v>--</v>
          </cell>
          <cell r="J1541">
            <v>2</v>
          </cell>
          <cell r="K1541">
            <v>2</v>
          </cell>
        </row>
        <row r="1542">
          <cell r="A1542" t="str">
            <v>M1</v>
          </cell>
          <cell r="B1542" t="str">
            <v>A4C</v>
          </cell>
          <cell r="C1542" t="str">
            <v>P</v>
          </cell>
          <cell r="D1542" t="str">
            <v>22008</v>
          </cell>
          <cell r="E1542" t="str">
            <v>BALL VA</v>
          </cell>
          <cell r="F1542">
            <v>6</v>
          </cell>
          <cell r="G1542" t="str">
            <v>VB8010300000T00</v>
          </cell>
          <cell r="H1542">
            <v>0.75</v>
          </cell>
          <cell r="I1542" t="str">
            <v>--</v>
          </cell>
          <cell r="J1542">
            <v>1</v>
          </cell>
          <cell r="K1542">
            <v>1</v>
          </cell>
        </row>
        <row r="1543">
          <cell r="A1543" t="str">
            <v>M1</v>
          </cell>
          <cell r="B1543" t="str">
            <v>A4C</v>
          </cell>
          <cell r="C1543" t="str">
            <v>P</v>
          </cell>
          <cell r="D1543" t="str">
            <v>22008</v>
          </cell>
          <cell r="E1543" t="str">
            <v>BALL VA</v>
          </cell>
          <cell r="F1543">
            <v>6</v>
          </cell>
          <cell r="G1543" t="str">
            <v>VB8010300000T00</v>
          </cell>
          <cell r="H1543">
            <v>0.75</v>
          </cell>
          <cell r="I1543" t="str">
            <v>--</v>
          </cell>
          <cell r="J1543">
            <v>1</v>
          </cell>
          <cell r="K1543">
            <v>1</v>
          </cell>
        </row>
        <row r="1544">
          <cell r="A1544" t="str">
            <v>M1</v>
          </cell>
          <cell r="B1544" t="str">
            <v>A4C</v>
          </cell>
          <cell r="C1544" t="str">
            <v>P</v>
          </cell>
          <cell r="D1544" t="str">
            <v>22031</v>
          </cell>
          <cell r="E1544" t="str">
            <v>BALL VA</v>
          </cell>
          <cell r="F1544">
            <v>6</v>
          </cell>
          <cell r="G1544" t="str">
            <v>VB8010300000T00</v>
          </cell>
          <cell r="H1544">
            <v>0.75</v>
          </cell>
          <cell r="I1544" t="str">
            <v>--</v>
          </cell>
          <cell r="J1544">
            <v>1</v>
          </cell>
          <cell r="K1544">
            <v>1</v>
          </cell>
        </row>
        <row r="1545">
          <cell r="A1545" t="str">
            <v>M1</v>
          </cell>
          <cell r="B1545" t="str">
            <v>A5C</v>
          </cell>
          <cell r="C1545" t="str">
            <v>P</v>
          </cell>
          <cell r="D1545" t="str">
            <v>22088</v>
          </cell>
          <cell r="E1545" t="str">
            <v>BALL VA</v>
          </cell>
          <cell r="F1545">
            <v>6</v>
          </cell>
          <cell r="G1545" t="str">
            <v>VB8010600000T00</v>
          </cell>
          <cell r="H1545">
            <v>0.75</v>
          </cell>
          <cell r="I1545" t="str">
            <v>--</v>
          </cell>
          <cell r="J1545">
            <v>1</v>
          </cell>
          <cell r="K1545">
            <v>1</v>
          </cell>
        </row>
        <row r="1546">
          <cell r="A1546" t="str">
            <v>M1</v>
          </cell>
          <cell r="B1546" t="str">
            <v>A5C</v>
          </cell>
          <cell r="C1546" t="str">
            <v>P</v>
          </cell>
          <cell r="D1546" t="str">
            <v>22088</v>
          </cell>
          <cell r="E1546" t="str">
            <v>BALL VA</v>
          </cell>
          <cell r="F1546">
            <v>6</v>
          </cell>
          <cell r="G1546" t="str">
            <v>VB8010600000T00</v>
          </cell>
          <cell r="H1546">
            <v>0.75</v>
          </cell>
          <cell r="I1546" t="str">
            <v>--</v>
          </cell>
          <cell r="J1546">
            <v>2</v>
          </cell>
          <cell r="K1546">
            <v>2</v>
          </cell>
        </row>
        <row r="1547">
          <cell r="A1547" t="str">
            <v>M1</v>
          </cell>
          <cell r="B1547" t="str">
            <v>A5C</v>
          </cell>
          <cell r="C1547" t="str">
            <v>TRIM</v>
          </cell>
          <cell r="D1547" t="str">
            <v>C-2201</v>
          </cell>
          <cell r="E1547" t="str">
            <v>BALL VA</v>
          </cell>
          <cell r="F1547">
            <v>6</v>
          </cell>
          <cell r="G1547" t="str">
            <v>VB8010600000T00</v>
          </cell>
          <cell r="H1547">
            <v>0.75</v>
          </cell>
          <cell r="I1547" t="str">
            <v>--</v>
          </cell>
          <cell r="J1547">
            <v>2</v>
          </cell>
          <cell r="K1547">
            <v>2</v>
          </cell>
        </row>
        <row r="1548">
          <cell r="A1548" t="str">
            <v>M1</v>
          </cell>
          <cell r="B1548" t="str">
            <v>A5C</v>
          </cell>
          <cell r="C1548" t="str">
            <v>TRIM</v>
          </cell>
          <cell r="D1548" t="str">
            <v>C-2201</v>
          </cell>
          <cell r="E1548" t="str">
            <v>BALL VA</v>
          </cell>
          <cell r="F1548">
            <v>6</v>
          </cell>
          <cell r="G1548" t="str">
            <v>VB8010600000T00</v>
          </cell>
          <cell r="H1548">
            <v>0.75</v>
          </cell>
          <cell r="I1548" t="str">
            <v>--</v>
          </cell>
          <cell r="J1548">
            <v>2</v>
          </cell>
          <cell r="K1548">
            <v>2</v>
          </cell>
        </row>
        <row r="1549">
          <cell r="A1549" t="str">
            <v>M1</v>
          </cell>
          <cell r="B1549" t="str">
            <v>A5C</v>
          </cell>
          <cell r="C1549" t="str">
            <v>TRIM</v>
          </cell>
          <cell r="D1549" t="str">
            <v>V-2208</v>
          </cell>
          <cell r="E1549" t="str">
            <v>BALL VA</v>
          </cell>
          <cell r="F1549">
            <v>6</v>
          </cell>
          <cell r="G1549" t="str">
            <v>VB8010600000T00</v>
          </cell>
          <cell r="H1549">
            <v>0.75</v>
          </cell>
          <cell r="I1549" t="str">
            <v>--</v>
          </cell>
          <cell r="J1549">
            <v>1</v>
          </cell>
          <cell r="K1549">
            <v>1</v>
          </cell>
        </row>
        <row r="1550">
          <cell r="A1550" t="str">
            <v>M1</v>
          </cell>
          <cell r="B1550" t="str">
            <v>A4C</v>
          </cell>
          <cell r="C1550" t="str">
            <v>P</v>
          </cell>
          <cell r="D1550" t="str">
            <v>22008</v>
          </cell>
          <cell r="E1550" t="str">
            <v>BALL VA</v>
          </cell>
          <cell r="F1550">
            <v>6</v>
          </cell>
          <cell r="G1550" t="str">
            <v>VB8010300000T00</v>
          </cell>
          <cell r="H1550">
            <v>0.75</v>
          </cell>
          <cell r="I1550" t="str">
            <v>--</v>
          </cell>
          <cell r="J1550">
            <v>3</v>
          </cell>
          <cell r="K1550">
            <v>3</v>
          </cell>
        </row>
        <row r="1551">
          <cell r="A1551" t="str">
            <v>M1</v>
          </cell>
          <cell r="B1551" t="str">
            <v>A4C</v>
          </cell>
          <cell r="C1551" t="str">
            <v>P</v>
          </cell>
          <cell r="D1551" t="str">
            <v>22009</v>
          </cell>
          <cell r="E1551" t="str">
            <v>BALL VA</v>
          </cell>
          <cell r="F1551">
            <v>6</v>
          </cell>
          <cell r="G1551" t="str">
            <v>VB8010300000T00</v>
          </cell>
          <cell r="H1551">
            <v>0.75</v>
          </cell>
          <cell r="I1551" t="str">
            <v>--</v>
          </cell>
          <cell r="J1551">
            <v>2</v>
          </cell>
          <cell r="K1551">
            <v>2</v>
          </cell>
        </row>
        <row r="1552">
          <cell r="A1552" t="str">
            <v>M1</v>
          </cell>
          <cell r="B1552" t="str">
            <v>A5C</v>
          </cell>
          <cell r="C1552" t="str">
            <v>P</v>
          </cell>
          <cell r="D1552" t="str">
            <v>22089</v>
          </cell>
          <cell r="E1552" t="str">
            <v>BALL VA</v>
          </cell>
          <cell r="F1552">
            <v>6</v>
          </cell>
          <cell r="G1552" t="str">
            <v>VB8010600000T00</v>
          </cell>
          <cell r="H1552">
            <v>0.75</v>
          </cell>
          <cell r="I1552" t="str">
            <v>--</v>
          </cell>
          <cell r="J1552">
            <v>1</v>
          </cell>
          <cell r="K1552">
            <v>1</v>
          </cell>
        </row>
        <row r="1553">
          <cell r="A1553" t="str">
            <v>M1</v>
          </cell>
          <cell r="B1553" t="str">
            <v>A5C</v>
          </cell>
          <cell r="C1553" t="str">
            <v>P</v>
          </cell>
          <cell r="D1553" t="str">
            <v>22098</v>
          </cell>
          <cell r="E1553" t="str">
            <v>BALL VA</v>
          </cell>
          <cell r="F1553">
            <v>6</v>
          </cell>
          <cell r="G1553" t="str">
            <v>VB8010600000T00</v>
          </cell>
          <cell r="H1553">
            <v>0.75</v>
          </cell>
          <cell r="I1553" t="str">
            <v>--</v>
          </cell>
          <cell r="J1553">
            <v>1</v>
          </cell>
          <cell r="K1553">
            <v>1</v>
          </cell>
        </row>
        <row r="1554">
          <cell r="A1554" t="str">
            <v>M1</v>
          </cell>
          <cell r="B1554" t="str">
            <v>A5C</v>
          </cell>
          <cell r="C1554" t="str">
            <v>TRIM</v>
          </cell>
          <cell r="D1554" t="str">
            <v>V-2209</v>
          </cell>
          <cell r="E1554" t="str">
            <v>BALL VA</v>
          </cell>
          <cell r="F1554">
            <v>6</v>
          </cell>
          <cell r="G1554" t="str">
            <v>VB8010600000T00</v>
          </cell>
          <cell r="H1554">
            <v>0.75</v>
          </cell>
          <cell r="I1554" t="str">
            <v>--</v>
          </cell>
          <cell r="J1554">
            <v>1</v>
          </cell>
          <cell r="K1554">
            <v>1</v>
          </cell>
        </row>
        <row r="1555">
          <cell r="A1555" t="str">
            <v>M1</v>
          </cell>
          <cell r="B1555" t="str">
            <v>A6C</v>
          </cell>
          <cell r="C1555" t="str">
            <v>HOR</v>
          </cell>
          <cell r="D1555" t="str">
            <v>65620</v>
          </cell>
          <cell r="E1555" t="str">
            <v>BELLOWS VA</v>
          </cell>
          <cell r="F1555">
            <v>6</v>
          </cell>
          <cell r="G1555" t="str">
            <v>VBE8010600000T00</v>
          </cell>
          <cell r="H1555">
            <v>0.75</v>
          </cell>
          <cell r="I1555" t="str">
            <v>--</v>
          </cell>
          <cell r="J1555">
            <v>1</v>
          </cell>
          <cell r="K1555">
            <v>1</v>
          </cell>
        </row>
        <row r="1556">
          <cell r="A1556" t="str">
            <v>M1</v>
          </cell>
          <cell r="B1556" t="str">
            <v>A6C</v>
          </cell>
          <cell r="C1556" t="str">
            <v>HOS</v>
          </cell>
          <cell r="D1556" t="str">
            <v>65613</v>
          </cell>
          <cell r="E1556" t="str">
            <v>BELLOWS VA</v>
          </cell>
          <cell r="F1556">
            <v>6</v>
          </cell>
          <cell r="G1556" t="str">
            <v>VBE8010600000T00</v>
          </cell>
          <cell r="H1556">
            <v>0.75</v>
          </cell>
          <cell r="I1556" t="str">
            <v>--</v>
          </cell>
          <cell r="J1556">
            <v>4</v>
          </cell>
          <cell r="K1556">
            <v>4</v>
          </cell>
        </row>
        <row r="1557">
          <cell r="A1557" t="str">
            <v>M1</v>
          </cell>
          <cell r="B1557" t="str">
            <v>A6C</v>
          </cell>
          <cell r="C1557" t="str">
            <v>HOS</v>
          </cell>
          <cell r="D1557" t="str">
            <v>65629</v>
          </cell>
          <cell r="E1557" t="str">
            <v>BELLOWS VA</v>
          </cell>
          <cell r="F1557">
            <v>6</v>
          </cell>
          <cell r="G1557" t="str">
            <v>VBE8010800000T00</v>
          </cell>
          <cell r="H1557">
            <v>0.75</v>
          </cell>
          <cell r="I1557" t="str">
            <v>--</v>
          </cell>
          <cell r="J1557">
            <v>1</v>
          </cell>
          <cell r="K1557">
            <v>1</v>
          </cell>
        </row>
        <row r="1558">
          <cell r="A1558" t="str">
            <v>M1</v>
          </cell>
          <cell r="B1558" t="str">
            <v>A6C</v>
          </cell>
          <cell r="C1558" t="str">
            <v>HOS</v>
          </cell>
          <cell r="D1558" t="str">
            <v>65624</v>
          </cell>
          <cell r="E1558" t="str">
            <v>BELLOWS VA</v>
          </cell>
          <cell r="F1558">
            <v>6</v>
          </cell>
          <cell r="G1558" t="str">
            <v>VBE8010800000T00</v>
          </cell>
          <cell r="H1558">
            <v>0.75</v>
          </cell>
          <cell r="I1558" t="str">
            <v>--</v>
          </cell>
          <cell r="J1558">
            <v>1</v>
          </cell>
          <cell r="K1558">
            <v>1</v>
          </cell>
        </row>
        <row r="1559">
          <cell r="A1559" t="str">
            <v>M1</v>
          </cell>
          <cell r="B1559" t="str">
            <v>A6C</v>
          </cell>
          <cell r="C1559" t="str">
            <v>HOS</v>
          </cell>
          <cell r="D1559" t="str">
            <v>65624</v>
          </cell>
          <cell r="E1559" t="str">
            <v>BELLOWS VA</v>
          </cell>
          <cell r="F1559">
            <v>6</v>
          </cell>
          <cell r="G1559" t="str">
            <v>VBE8010600000T00</v>
          </cell>
          <cell r="H1559">
            <v>0.75</v>
          </cell>
          <cell r="I1559" t="str">
            <v>--</v>
          </cell>
          <cell r="J1559">
            <v>2</v>
          </cell>
          <cell r="K1559">
            <v>2</v>
          </cell>
        </row>
        <row r="1560">
          <cell r="A1560" t="str">
            <v>M1</v>
          </cell>
          <cell r="B1560" t="str">
            <v>A6C</v>
          </cell>
          <cell r="C1560" t="str">
            <v>HOS</v>
          </cell>
          <cell r="D1560" t="str">
            <v>65628</v>
          </cell>
          <cell r="E1560" t="str">
            <v>BELLOWS VA</v>
          </cell>
          <cell r="F1560">
            <v>6</v>
          </cell>
          <cell r="G1560" t="str">
            <v>VBE8010600000T00</v>
          </cell>
          <cell r="H1560">
            <v>0.75</v>
          </cell>
          <cell r="I1560" t="str">
            <v>--</v>
          </cell>
          <cell r="J1560">
            <v>1</v>
          </cell>
          <cell r="K1560">
            <v>1</v>
          </cell>
        </row>
        <row r="1561">
          <cell r="A1561" t="str">
            <v>M1</v>
          </cell>
          <cell r="B1561" t="str">
            <v>A6C</v>
          </cell>
          <cell r="C1561" t="str">
            <v>HOS</v>
          </cell>
          <cell r="D1561" t="str">
            <v>65634</v>
          </cell>
          <cell r="E1561" t="str">
            <v>BELLOWS VA</v>
          </cell>
          <cell r="F1561">
            <v>6</v>
          </cell>
          <cell r="G1561" t="str">
            <v>VBE8010800000T00</v>
          </cell>
          <cell r="H1561">
            <v>0.75</v>
          </cell>
          <cell r="I1561" t="str">
            <v>--</v>
          </cell>
          <cell r="J1561">
            <v>1</v>
          </cell>
          <cell r="K1561">
            <v>1</v>
          </cell>
        </row>
        <row r="1562">
          <cell r="A1562" t="str">
            <v>M1</v>
          </cell>
          <cell r="B1562" t="str">
            <v>A6C</v>
          </cell>
          <cell r="C1562" t="str">
            <v>TRIM</v>
          </cell>
          <cell r="D1562" t="str">
            <v>V-6501</v>
          </cell>
          <cell r="E1562" t="str">
            <v>BELLOWS VA</v>
          </cell>
          <cell r="F1562">
            <v>6</v>
          </cell>
          <cell r="G1562" t="str">
            <v>VBE8010700000T00</v>
          </cell>
          <cell r="H1562">
            <v>0.75</v>
          </cell>
          <cell r="I1562" t="str">
            <v>--</v>
          </cell>
          <cell r="J1562">
            <v>2</v>
          </cell>
          <cell r="K1562">
            <v>2</v>
          </cell>
        </row>
        <row r="1563">
          <cell r="A1563" t="str">
            <v>M1</v>
          </cell>
          <cell r="B1563" t="str">
            <v>A6C</v>
          </cell>
          <cell r="C1563" t="str">
            <v>HOR</v>
          </cell>
          <cell r="D1563" t="str">
            <v>65611</v>
          </cell>
          <cell r="E1563" t="str">
            <v>BELLOWS VA</v>
          </cell>
          <cell r="F1563">
            <v>6</v>
          </cell>
          <cell r="G1563" t="str">
            <v>VBE8010700000T00</v>
          </cell>
          <cell r="H1563">
            <v>0.75</v>
          </cell>
          <cell r="I1563" t="str">
            <v>--</v>
          </cell>
          <cell r="J1563">
            <v>1</v>
          </cell>
          <cell r="K1563">
            <v>1</v>
          </cell>
        </row>
        <row r="1564">
          <cell r="A1564" t="str">
            <v>M1</v>
          </cell>
          <cell r="B1564" t="str">
            <v>A6C</v>
          </cell>
          <cell r="C1564" t="str">
            <v>HOR</v>
          </cell>
          <cell r="D1564" t="str">
            <v>65619</v>
          </cell>
          <cell r="E1564" t="str">
            <v>BELLOWS VA</v>
          </cell>
          <cell r="F1564">
            <v>6</v>
          </cell>
          <cell r="G1564" t="str">
            <v>VBE8010700000T00</v>
          </cell>
          <cell r="H1564">
            <v>0.75</v>
          </cell>
          <cell r="I1564" t="str">
            <v>--</v>
          </cell>
          <cell r="J1564">
            <v>6</v>
          </cell>
          <cell r="K1564">
            <v>6</v>
          </cell>
        </row>
        <row r="1565">
          <cell r="A1565" t="str">
            <v>M1</v>
          </cell>
          <cell r="B1565" t="str">
            <v>A6C</v>
          </cell>
          <cell r="C1565" t="str">
            <v>HOR</v>
          </cell>
          <cell r="D1565" t="str">
            <v>65619</v>
          </cell>
          <cell r="E1565" t="str">
            <v>BELLOWS VA</v>
          </cell>
          <cell r="F1565">
            <v>6</v>
          </cell>
          <cell r="G1565" t="str">
            <v>VBE8010700000T00</v>
          </cell>
          <cell r="H1565">
            <v>0.75</v>
          </cell>
          <cell r="I1565" t="str">
            <v>--</v>
          </cell>
          <cell r="J1565">
            <v>1</v>
          </cell>
          <cell r="K1565">
            <v>1</v>
          </cell>
        </row>
        <row r="1566">
          <cell r="A1566" t="str">
            <v>M1</v>
          </cell>
          <cell r="B1566" t="str">
            <v>A6C</v>
          </cell>
          <cell r="C1566" t="str">
            <v>HOS</v>
          </cell>
          <cell r="D1566" t="str">
            <v>65634</v>
          </cell>
          <cell r="E1566" t="str">
            <v>BELLOWS VA</v>
          </cell>
          <cell r="F1566">
            <v>6</v>
          </cell>
          <cell r="G1566" t="str">
            <v>VBE8010700000T00</v>
          </cell>
          <cell r="H1566">
            <v>0.75</v>
          </cell>
          <cell r="I1566" t="str">
            <v>--</v>
          </cell>
          <cell r="J1566">
            <v>1</v>
          </cell>
          <cell r="K1566">
            <v>1</v>
          </cell>
        </row>
        <row r="1567">
          <cell r="A1567" t="str">
            <v>M1</v>
          </cell>
          <cell r="B1567" t="str">
            <v>A6C</v>
          </cell>
          <cell r="C1567" t="str">
            <v>TRIM</v>
          </cell>
          <cell r="D1567" t="str">
            <v>H-6501</v>
          </cell>
          <cell r="E1567" t="str">
            <v>BELLOWS VA</v>
          </cell>
          <cell r="F1567">
            <v>6</v>
          </cell>
          <cell r="G1567" t="str">
            <v>VBE8010700000T00</v>
          </cell>
          <cell r="H1567">
            <v>0.75</v>
          </cell>
          <cell r="I1567" t="str">
            <v>--</v>
          </cell>
          <cell r="J1567">
            <v>1</v>
          </cell>
          <cell r="K1567">
            <v>1</v>
          </cell>
        </row>
        <row r="1568">
          <cell r="A1568" t="str">
            <v>M1</v>
          </cell>
          <cell r="B1568" t="str">
            <v>A6C</v>
          </cell>
          <cell r="C1568" t="str">
            <v>TRIM</v>
          </cell>
          <cell r="D1568" t="str">
            <v>H-6501</v>
          </cell>
          <cell r="E1568" t="str">
            <v>BELLOWS VA</v>
          </cell>
          <cell r="F1568">
            <v>6</v>
          </cell>
          <cell r="G1568" t="str">
            <v>VBE8010600000T00</v>
          </cell>
          <cell r="H1568">
            <v>0.75</v>
          </cell>
          <cell r="I1568" t="str">
            <v>--</v>
          </cell>
          <cell r="J1568">
            <v>2</v>
          </cell>
          <cell r="K1568">
            <v>2</v>
          </cell>
        </row>
        <row r="1569">
          <cell r="A1569" t="str">
            <v>M1</v>
          </cell>
          <cell r="B1569" t="str">
            <v>A6C</v>
          </cell>
          <cell r="C1569" t="str">
            <v>TRIM</v>
          </cell>
          <cell r="D1569" t="str">
            <v>V-6501</v>
          </cell>
          <cell r="E1569" t="str">
            <v>BELLOWS VA</v>
          </cell>
          <cell r="F1569">
            <v>6</v>
          </cell>
          <cell r="G1569" t="str">
            <v>VBE8010600000T00</v>
          </cell>
          <cell r="H1569">
            <v>0.75</v>
          </cell>
          <cell r="I1569" t="str">
            <v>--</v>
          </cell>
          <cell r="J1569">
            <v>4</v>
          </cell>
          <cell r="K1569">
            <v>4</v>
          </cell>
        </row>
        <row r="1570">
          <cell r="A1570" t="str">
            <v>M1</v>
          </cell>
          <cell r="B1570" t="str">
            <v>B1C</v>
          </cell>
          <cell r="C1570" t="str">
            <v>P</v>
          </cell>
          <cell r="D1570" t="str">
            <v>22029</v>
          </cell>
          <cell r="E1570" t="str">
            <v>BALL VA</v>
          </cell>
          <cell r="F1570">
            <v>6</v>
          </cell>
          <cell r="G1570" t="str">
            <v>VB8010400000T00</v>
          </cell>
          <cell r="H1570">
            <v>0.75</v>
          </cell>
          <cell r="I1570" t="str">
            <v>--</v>
          </cell>
          <cell r="J1570">
            <v>5</v>
          </cell>
          <cell r="K1570">
            <v>5</v>
          </cell>
        </row>
        <row r="1571">
          <cell r="A1571" t="str">
            <v>M1</v>
          </cell>
          <cell r="B1571" t="str">
            <v>B1C</v>
          </cell>
          <cell r="C1571" t="str">
            <v>P</v>
          </cell>
          <cell r="D1571" t="str">
            <v>22027</v>
          </cell>
          <cell r="E1571" t="str">
            <v>BALL VA</v>
          </cell>
          <cell r="F1571">
            <v>6</v>
          </cell>
          <cell r="G1571" t="str">
            <v>VB8010400000T00</v>
          </cell>
          <cell r="H1571">
            <v>0.75</v>
          </cell>
          <cell r="I1571" t="str">
            <v>--</v>
          </cell>
          <cell r="J1571">
            <v>1</v>
          </cell>
          <cell r="K1571">
            <v>1</v>
          </cell>
        </row>
        <row r="1572">
          <cell r="A1572" t="str">
            <v>M1</v>
          </cell>
          <cell r="B1572" t="str">
            <v>B1X</v>
          </cell>
          <cell r="C1572" t="str">
            <v>P</v>
          </cell>
          <cell r="D1572" t="str">
            <v>22042</v>
          </cell>
          <cell r="E1572" t="str">
            <v>BALL VA</v>
          </cell>
          <cell r="F1572">
            <v>6</v>
          </cell>
          <cell r="G1572" t="str">
            <v>VB3010100000T00</v>
          </cell>
          <cell r="H1572">
            <v>0.75</v>
          </cell>
          <cell r="I1572" t="str">
            <v>--</v>
          </cell>
          <cell r="J1572">
            <v>3</v>
          </cell>
          <cell r="K1572">
            <v>3</v>
          </cell>
        </row>
        <row r="1573">
          <cell r="A1573" t="str">
            <v>M1</v>
          </cell>
          <cell r="B1573" t="str">
            <v>B2C</v>
          </cell>
          <cell r="C1573" t="str">
            <v>TRIM</v>
          </cell>
          <cell r="D1573" t="str">
            <v>E-2204</v>
          </cell>
          <cell r="E1573" t="str">
            <v>GATE VA</v>
          </cell>
          <cell r="F1573">
            <v>6</v>
          </cell>
          <cell r="G1573" t="str">
            <v>VG8010100000100</v>
          </cell>
          <cell r="H1573">
            <v>1</v>
          </cell>
          <cell r="I1573" t="str">
            <v>--</v>
          </cell>
          <cell r="J1573">
            <v>1</v>
          </cell>
          <cell r="K1573">
            <v>1</v>
          </cell>
        </row>
        <row r="1574">
          <cell r="A1574" t="str">
            <v>M1</v>
          </cell>
          <cell r="B1574" t="str">
            <v>A5C</v>
          </cell>
          <cell r="C1574" t="str">
            <v>N</v>
          </cell>
          <cell r="D1574" t="str">
            <v>22670</v>
          </cell>
          <cell r="E1574" t="str">
            <v>BALL VA</v>
          </cell>
          <cell r="F1574">
            <v>6</v>
          </cell>
          <cell r="G1574" t="str">
            <v>VB8010600000100</v>
          </cell>
          <cell r="H1574">
            <v>1</v>
          </cell>
          <cell r="I1574" t="str">
            <v>--</v>
          </cell>
          <cell r="J1574">
            <v>1</v>
          </cell>
          <cell r="K1574">
            <v>1</v>
          </cell>
        </row>
        <row r="1575">
          <cell r="A1575" t="str">
            <v>M1</v>
          </cell>
          <cell r="B1575" t="str">
            <v>A5C</v>
          </cell>
          <cell r="C1575" t="str">
            <v>N</v>
          </cell>
          <cell r="D1575" t="str">
            <v>22679</v>
          </cell>
          <cell r="E1575" t="str">
            <v>BALL VA</v>
          </cell>
          <cell r="F1575">
            <v>6</v>
          </cell>
          <cell r="G1575" t="str">
            <v>VB8010600000100</v>
          </cell>
          <cell r="H1575">
            <v>1</v>
          </cell>
          <cell r="I1575" t="str">
            <v>--</v>
          </cell>
          <cell r="J1575">
            <v>2</v>
          </cell>
          <cell r="K1575">
            <v>2</v>
          </cell>
        </row>
        <row r="1576">
          <cell r="A1576" t="str">
            <v>M1</v>
          </cell>
          <cell r="B1576" t="str">
            <v>A4C</v>
          </cell>
          <cell r="C1576" t="str">
            <v>N</v>
          </cell>
          <cell r="D1576" t="str">
            <v>22661</v>
          </cell>
          <cell r="E1576" t="str">
            <v>BALL VA</v>
          </cell>
          <cell r="F1576">
            <v>6</v>
          </cell>
          <cell r="G1576" t="str">
            <v>VB8010300000100</v>
          </cell>
          <cell r="H1576">
            <v>1</v>
          </cell>
          <cell r="I1576" t="str">
            <v>--</v>
          </cell>
          <cell r="J1576">
            <v>2</v>
          </cell>
          <cell r="K1576">
            <v>2</v>
          </cell>
        </row>
        <row r="1577">
          <cell r="A1577" t="str">
            <v>M1</v>
          </cell>
          <cell r="B1577" t="str">
            <v>A5C</v>
          </cell>
          <cell r="C1577" t="str">
            <v>N</v>
          </cell>
          <cell r="D1577" t="str">
            <v>22683</v>
          </cell>
          <cell r="E1577" t="str">
            <v>BALL VA</v>
          </cell>
          <cell r="F1577">
            <v>6</v>
          </cell>
          <cell r="G1577" t="str">
            <v>VB8010600000100</v>
          </cell>
          <cell r="H1577">
            <v>1</v>
          </cell>
          <cell r="I1577" t="str">
            <v>--</v>
          </cell>
          <cell r="J1577">
            <v>1</v>
          </cell>
          <cell r="K1577">
            <v>1</v>
          </cell>
        </row>
        <row r="1578">
          <cell r="A1578" t="str">
            <v>M1</v>
          </cell>
          <cell r="B1578" t="str">
            <v>A5C</v>
          </cell>
          <cell r="C1578" t="str">
            <v>N</v>
          </cell>
          <cell r="D1578" t="str">
            <v>22731</v>
          </cell>
          <cell r="E1578" t="str">
            <v>BALL VA</v>
          </cell>
          <cell r="F1578">
            <v>6</v>
          </cell>
          <cell r="G1578" t="str">
            <v>VB8010600000100</v>
          </cell>
          <cell r="H1578">
            <v>1</v>
          </cell>
          <cell r="I1578" t="str">
            <v>--</v>
          </cell>
          <cell r="J1578">
            <v>1</v>
          </cell>
          <cell r="K1578">
            <v>1</v>
          </cell>
        </row>
        <row r="1579">
          <cell r="A1579" t="str">
            <v>M1</v>
          </cell>
          <cell r="B1579" t="str">
            <v>A5C</v>
          </cell>
          <cell r="C1579" t="str">
            <v>N</v>
          </cell>
          <cell r="D1579" t="str">
            <v>25614</v>
          </cell>
          <cell r="E1579" t="str">
            <v>BALL VA</v>
          </cell>
          <cell r="F1579">
            <v>6</v>
          </cell>
          <cell r="G1579" t="str">
            <v>VB8010600000100</v>
          </cell>
          <cell r="H1579">
            <v>1</v>
          </cell>
          <cell r="I1579" t="str">
            <v>--</v>
          </cell>
          <cell r="J1579">
            <v>1</v>
          </cell>
          <cell r="K1579">
            <v>1</v>
          </cell>
        </row>
        <row r="1580">
          <cell r="A1580" t="str">
            <v>M1</v>
          </cell>
          <cell r="B1580" t="str">
            <v>A5C</v>
          </cell>
          <cell r="C1580" t="str">
            <v>P</v>
          </cell>
          <cell r="D1580" t="str">
            <v>22063</v>
          </cell>
          <cell r="E1580" t="str">
            <v>BALL VA</v>
          </cell>
          <cell r="F1580">
            <v>6</v>
          </cell>
          <cell r="G1580" t="str">
            <v>VB8010600000100</v>
          </cell>
          <cell r="H1580">
            <v>1</v>
          </cell>
          <cell r="I1580" t="str">
            <v>--</v>
          </cell>
          <cell r="J1580">
            <v>2</v>
          </cell>
          <cell r="K1580">
            <v>2</v>
          </cell>
        </row>
        <row r="1581">
          <cell r="A1581" t="str">
            <v>M1</v>
          </cell>
          <cell r="B1581" t="str">
            <v>A5C</v>
          </cell>
          <cell r="C1581" t="str">
            <v>P</v>
          </cell>
          <cell r="D1581" t="str">
            <v>22109</v>
          </cell>
          <cell r="E1581" t="str">
            <v>BALL VA</v>
          </cell>
          <cell r="F1581">
            <v>6</v>
          </cell>
          <cell r="G1581" t="str">
            <v>VB8010600000100</v>
          </cell>
          <cell r="H1581">
            <v>1</v>
          </cell>
          <cell r="I1581" t="str">
            <v>--</v>
          </cell>
          <cell r="J1581">
            <v>1</v>
          </cell>
          <cell r="K1581">
            <v>1</v>
          </cell>
        </row>
        <row r="1582">
          <cell r="A1582" t="str">
            <v>M1</v>
          </cell>
          <cell r="B1582" t="str">
            <v>A5C</v>
          </cell>
          <cell r="C1582" t="str">
            <v>P</v>
          </cell>
          <cell r="D1582" t="str">
            <v>22105</v>
          </cell>
          <cell r="E1582" t="str">
            <v>BALL VA</v>
          </cell>
          <cell r="F1582">
            <v>6</v>
          </cell>
          <cell r="G1582" t="str">
            <v>VB8010600000100</v>
          </cell>
          <cell r="H1582">
            <v>1</v>
          </cell>
          <cell r="I1582" t="str">
            <v>--</v>
          </cell>
          <cell r="J1582">
            <v>1</v>
          </cell>
          <cell r="K1582">
            <v>1</v>
          </cell>
        </row>
        <row r="1583">
          <cell r="A1583" t="str">
            <v>M1</v>
          </cell>
          <cell r="B1583" t="str">
            <v>A5C</v>
          </cell>
          <cell r="C1583" t="str">
            <v>P</v>
          </cell>
          <cell r="D1583" t="str">
            <v>22157</v>
          </cell>
          <cell r="E1583" t="str">
            <v>BALL VA</v>
          </cell>
          <cell r="F1583">
            <v>6</v>
          </cell>
          <cell r="G1583" t="str">
            <v>VB8010600000100</v>
          </cell>
          <cell r="H1583">
            <v>1</v>
          </cell>
          <cell r="I1583" t="str">
            <v>--</v>
          </cell>
          <cell r="J1583">
            <v>1</v>
          </cell>
          <cell r="K1583">
            <v>1</v>
          </cell>
        </row>
        <row r="1584">
          <cell r="A1584" t="str">
            <v>M1</v>
          </cell>
          <cell r="B1584" t="str">
            <v>A5C</v>
          </cell>
          <cell r="C1584" t="str">
            <v>P</v>
          </cell>
          <cell r="D1584" t="str">
            <v>22158</v>
          </cell>
          <cell r="E1584" t="str">
            <v>BALL VA</v>
          </cell>
          <cell r="F1584">
            <v>6</v>
          </cell>
          <cell r="G1584" t="str">
            <v>VB8010600000100</v>
          </cell>
          <cell r="H1584">
            <v>1</v>
          </cell>
          <cell r="I1584" t="str">
            <v>--</v>
          </cell>
          <cell r="J1584">
            <v>1</v>
          </cell>
          <cell r="K1584">
            <v>1</v>
          </cell>
        </row>
        <row r="1585">
          <cell r="A1585" t="str">
            <v>M1</v>
          </cell>
          <cell r="B1585" t="str">
            <v>A5C</v>
          </cell>
          <cell r="C1585" t="str">
            <v>P</v>
          </cell>
          <cell r="D1585" t="str">
            <v>22103</v>
          </cell>
          <cell r="E1585" t="str">
            <v>BALL VA</v>
          </cell>
          <cell r="F1585">
            <v>6</v>
          </cell>
          <cell r="G1585" t="str">
            <v>VB8010600000100</v>
          </cell>
          <cell r="H1585">
            <v>1</v>
          </cell>
          <cell r="I1585" t="str">
            <v>--</v>
          </cell>
          <cell r="J1585">
            <v>2</v>
          </cell>
          <cell r="K1585">
            <v>2</v>
          </cell>
        </row>
        <row r="1586">
          <cell r="A1586" t="str">
            <v>M1</v>
          </cell>
          <cell r="B1586" t="str">
            <v>A5C</v>
          </cell>
          <cell r="C1586" t="str">
            <v>P</v>
          </cell>
          <cell r="D1586" t="str">
            <v>22106</v>
          </cell>
          <cell r="E1586" t="str">
            <v>BALL VA</v>
          </cell>
          <cell r="F1586">
            <v>6</v>
          </cell>
          <cell r="G1586" t="str">
            <v>VB8010600000100</v>
          </cell>
          <cell r="H1586">
            <v>1</v>
          </cell>
          <cell r="I1586" t="str">
            <v>--</v>
          </cell>
          <cell r="J1586">
            <v>1</v>
          </cell>
          <cell r="K1586">
            <v>1</v>
          </cell>
        </row>
        <row r="1587">
          <cell r="A1587" t="str">
            <v>M1</v>
          </cell>
          <cell r="B1587" t="str">
            <v>A5C</v>
          </cell>
          <cell r="C1587" t="str">
            <v>P</v>
          </cell>
          <cell r="D1587" t="str">
            <v>99002</v>
          </cell>
          <cell r="E1587" t="str">
            <v>BELLOWS VA</v>
          </cell>
          <cell r="F1587">
            <v>6</v>
          </cell>
          <cell r="G1587" t="str">
            <v>VBE8010100000100</v>
          </cell>
          <cell r="H1587">
            <v>1</v>
          </cell>
          <cell r="I1587" t="str">
            <v>--</v>
          </cell>
          <cell r="J1587">
            <v>1</v>
          </cell>
          <cell r="K1587">
            <v>1</v>
          </cell>
        </row>
        <row r="1588">
          <cell r="A1588" t="str">
            <v>M1</v>
          </cell>
          <cell r="B1588" t="str">
            <v>A5C</v>
          </cell>
          <cell r="C1588" t="str">
            <v>N</v>
          </cell>
          <cell r="D1588" t="str">
            <v>22630</v>
          </cell>
          <cell r="E1588" t="str">
            <v>CHECK VA</v>
          </cell>
          <cell r="F1588">
            <v>6</v>
          </cell>
          <cell r="G1588" t="str">
            <v>VCB8010400000100</v>
          </cell>
          <cell r="H1588">
            <v>1</v>
          </cell>
          <cell r="I1588" t="str">
            <v>--</v>
          </cell>
          <cell r="J1588">
            <v>1</v>
          </cell>
          <cell r="K1588">
            <v>1</v>
          </cell>
        </row>
        <row r="1589">
          <cell r="A1589" t="str">
            <v>M1</v>
          </cell>
          <cell r="B1589" t="str">
            <v>A4C</v>
          </cell>
          <cell r="C1589" t="str">
            <v>N</v>
          </cell>
          <cell r="D1589" t="str">
            <v>22661</v>
          </cell>
          <cell r="E1589" t="str">
            <v>CHECK VA</v>
          </cell>
          <cell r="F1589">
            <v>6</v>
          </cell>
          <cell r="G1589" t="str">
            <v>VCB8010200000100</v>
          </cell>
          <cell r="H1589">
            <v>1</v>
          </cell>
          <cell r="I1589" t="str">
            <v>--</v>
          </cell>
          <cell r="J1589">
            <v>1</v>
          </cell>
          <cell r="K1589">
            <v>1</v>
          </cell>
        </row>
        <row r="1590">
          <cell r="A1590" t="str">
            <v>M1</v>
          </cell>
          <cell r="B1590" t="str">
            <v>A5C</v>
          </cell>
          <cell r="C1590" t="str">
            <v>N</v>
          </cell>
          <cell r="D1590" t="str">
            <v>22681</v>
          </cell>
          <cell r="E1590" t="str">
            <v>CHECK VA</v>
          </cell>
          <cell r="F1590">
            <v>6</v>
          </cell>
          <cell r="G1590" t="str">
            <v>VCB8010400000100</v>
          </cell>
          <cell r="H1590">
            <v>1</v>
          </cell>
          <cell r="I1590" t="str">
            <v>--</v>
          </cell>
          <cell r="J1590">
            <v>1</v>
          </cell>
          <cell r="K1590">
            <v>1</v>
          </cell>
        </row>
        <row r="1591">
          <cell r="A1591" t="str">
            <v>M1</v>
          </cell>
          <cell r="B1591" t="str">
            <v>A5C</v>
          </cell>
          <cell r="C1591" t="str">
            <v>N</v>
          </cell>
          <cell r="D1591" t="str">
            <v>22686</v>
          </cell>
          <cell r="E1591" t="str">
            <v>CHECK VA</v>
          </cell>
          <cell r="F1591">
            <v>6</v>
          </cell>
          <cell r="G1591" t="str">
            <v>VCB8010400000100</v>
          </cell>
          <cell r="H1591">
            <v>1</v>
          </cell>
          <cell r="I1591" t="str">
            <v>--</v>
          </cell>
          <cell r="J1591">
            <v>1</v>
          </cell>
          <cell r="K1591">
            <v>1</v>
          </cell>
        </row>
        <row r="1592">
          <cell r="A1592" t="str">
            <v>M1</v>
          </cell>
          <cell r="B1592" t="str">
            <v>A5C</v>
          </cell>
          <cell r="C1592" t="str">
            <v>N</v>
          </cell>
          <cell r="D1592" t="str">
            <v>22683</v>
          </cell>
          <cell r="E1592" t="str">
            <v>CHECK VA</v>
          </cell>
          <cell r="F1592">
            <v>6</v>
          </cell>
          <cell r="G1592" t="str">
            <v>VCB8010400000100</v>
          </cell>
          <cell r="H1592">
            <v>1</v>
          </cell>
          <cell r="I1592" t="str">
            <v>--</v>
          </cell>
          <cell r="J1592">
            <v>1</v>
          </cell>
          <cell r="K1592">
            <v>1</v>
          </cell>
        </row>
        <row r="1593">
          <cell r="A1593" t="str">
            <v>M1</v>
          </cell>
          <cell r="B1593" t="str">
            <v>A5C</v>
          </cell>
          <cell r="C1593" t="str">
            <v>N</v>
          </cell>
          <cell r="D1593" t="str">
            <v>22685</v>
          </cell>
          <cell r="E1593" t="str">
            <v>CHECK VA</v>
          </cell>
          <cell r="F1593">
            <v>6</v>
          </cell>
          <cell r="G1593" t="str">
            <v>VCB8010400000100</v>
          </cell>
          <cell r="H1593">
            <v>1</v>
          </cell>
          <cell r="I1593" t="str">
            <v>--</v>
          </cell>
          <cell r="J1593">
            <v>1</v>
          </cell>
          <cell r="K1593">
            <v>1</v>
          </cell>
        </row>
        <row r="1594">
          <cell r="A1594" t="str">
            <v>M1</v>
          </cell>
          <cell r="B1594" t="str">
            <v>A5C</v>
          </cell>
          <cell r="C1594" t="str">
            <v>N</v>
          </cell>
          <cell r="D1594" t="str">
            <v>22731</v>
          </cell>
          <cell r="E1594" t="str">
            <v>CHECK VA</v>
          </cell>
          <cell r="F1594">
            <v>6</v>
          </cell>
          <cell r="G1594" t="str">
            <v>VCB8010400000100</v>
          </cell>
          <cell r="H1594">
            <v>1</v>
          </cell>
          <cell r="I1594" t="str">
            <v>--</v>
          </cell>
          <cell r="J1594">
            <v>1</v>
          </cell>
          <cell r="K1594">
            <v>1</v>
          </cell>
        </row>
        <row r="1595">
          <cell r="A1595" t="str">
            <v>M1</v>
          </cell>
          <cell r="B1595" t="str">
            <v>A5C</v>
          </cell>
          <cell r="C1595" t="str">
            <v>P</v>
          </cell>
          <cell r="D1595" t="str">
            <v>22103</v>
          </cell>
          <cell r="E1595" t="str">
            <v>CHECK VA</v>
          </cell>
          <cell r="F1595">
            <v>6</v>
          </cell>
          <cell r="G1595" t="str">
            <v>VCB8010400000100</v>
          </cell>
          <cell r="H1595">
            <v>1</v>
          </cell>
          <cell r="I1595" t="str">
            <v>--</v>
          </cell>
          <cell r="J1595">
            <v>1</v>
          </cell>
          <cell r="K1595">
            <v>1</v>
          </cell>
        </row>
        <row r="1596">
          <cell r="A1596" t="str">
            <v>M1</v>
          </cell>
          <cell r="B1596" t="str">
            <v>A5C</v>
          </cell>
          <cell r="C1596" t="str">
            <v>N</v>
          </cell>
          <cell r="D1596" t="str">
            <v>22679</v>
          </cell>
          <cell r="E1596" t="str">
            <v>CHECK VA</v>
          </cell>
          <cell r="F1596">
            <v>6</v>
          </cell>
          <cell r="G1596" t="str">
            <v>VCB8010400000100</v>
          </cell>
          <cell r="H1596">
            <v>1</v>
          </cell>
          <cell r="I1596" t="str">
            <v>--</v>
          </cell>
          <cell r="J1596">
            <v>2</v>
          </cell>
          <cell r="K1596">
            <v>2</v>
          </cell>
        </row>
        <row r="1597">
          <cell r="A1597" t="str">
            <v>M1</v>
          </cell>
          <cell r="B1597" t="str">
            <v>A5C</v>
          </cell>
          <cell r="C1597" t="str">
            <v>N</v>
          </cell>
          <cell r="D1597" t="str">
            <v>22682</v>
          </cell>
          <cell r="E1597" t="str">
            <v>CHECK VA</v>
          </cell>
          <cell r="F1597">
            <v>6</v>
          </cell>
          <cell r="G1597" t="str">
            <v>VCB8010400000100</v>
          </cell>
          <cell r="H1597">
            <v>1</v>
          </cell>
          <cell r="I1597" t="str">
            <v>--</v>
          </cell>
          <cell r="J1597">
            <v>1</v>
          </cell>
          <cell r="K1597">
            <v>1</v>
          </cell>
        </row>
        <row r="1598">
          <cell r="A1598" t="str">
            <v>M1</v>
          </cell>
          <cell r="B1598" t="str">
            <v>A5C</v>
          </cell>
          <cell r="C1598" t="str">
            <v>N</v>
          </cell>
          <cell r="D1598" t="str">
            <v>22684</v>
          </cell>
          <cell r="E1598" t="str">
            <v>CHECK VA</v>
          </cell>
          <cell r="F1598">
            <v>6</v>
          </cell>
          <cell r="G1598" t="str">
            <v>VCB8010400000100</v>
          </cell>
          <cell r="H1598">
            <v>1</v>
          </cell>
          <cell r="I1598" t="str">
            <v>--</v>
          </cell>
          <cell r="J1598">
            <v>1</v>
          </cell>
          <cell r="K1598">
            <v>1</v>
          </cell>
        </row>
        <row r="1599">
          <cell r="A1599" t="str">
            <v>M1</v>
          </cell>
          <cell r="B1599" t="str">
            <v>A5C</v>
          </cell>
          <cell r="C1599" t="str">
            <v>P</v>
          </cell>
          <cell r="D1599" t="str">
            <v>99002</v>
          </cell>
          <cell r="E1599" t="str">
            <v>CHECK VA</v>
          </cell>
          <cell r="F1599">
            <v>6</v>
          </cell>
          <cell r="G1599" t="str">
            <v>VCB8010400000100</v>
          </cell>
          <cell r="H1599">
            <v>1</v>
          </cell>
          <cell r="I1599" t="str">
            <v>--</v>
          </cell>
          <cell r="J1599">
            <v>1</v>
          </cell>
          <cell r="K1599">
            <v>1</v>
          </cell>
        </row>
        <row r="1600">
          <cell r="A1600" t="str">
            <v>M1</v>
          </cell>
          <cell r="B1600" t="str">
            <v>A5C</v>
          </cell>
          <cell r="C1600" t="str">
            <v>P</v>
          </cell>
          <cell r="D1600" t="str">
            <v>21004</v>
          </cell>
          <cell r="E1600" t="str">
            <v>GATE VA</v>
          </cell>
          <cell r="F1600">
            <v>6</v>
          </cell>
          <cell r="G1600" t="str">
            <v>VG8010100000100</v>
          </cell>
          <cell r="H1600">
            <v>1</v>
          </cell>
          <cell r="I1600" t="str">
            <v>--</v>
          </cell>
          <cell r="J1600">
            <v>1</v>
          </cell>
          <cell r="K1600">
            <v>1</v>
          </cell>
        </row>
        <row r="1601">
          <cell r="A1601" t="str">
            <v>M1</v>
          </cell>
          <cell r="B1601" t="str">
            <v>A5C</v>
          </cell>
          <cell r="C1601" t="str">
            <v>N</v>
          </cell>
          <cell r="D1601" t="str">
            <v>22630</v>
          </cell>
          <cell r="E1601" t="str">
            <v>GLOBE VA</v>
          </cell>
          <cell r="F1601">
            <v>6</v>
          </cell>
          <cell r="G1601" t="str">
            <v>VL8010100000100</v>
          </cell>
          <cell r="H1601">
            <v>1</v>
          </cell>
          <cell r="I1601" t="str">
            <v>--</v>
          </cell>
          <cell r="J1601">
            <v>1</v>
          </cell>
          <cell r="K1601">
            <v>1</v>
          </cell>
        </row>
        <row r="1602">
          <cell r="A1602" t="str">
            <v>M1</v>
          </cell>
          <cell r="B1602" t="str">
            <v>A5C</v>
          </cell>
          <cell r="C1602" t="str">
            <v>N</v>
          </cell>
          <cell r="D1602" t="str">
            <v>22685</v>
          </cell>
          <cell r="E1602" t="str">
            <v>GLOBE VA</v>
          </cell>
          <cell r="F1602">
            <v>6</v>
          </cell>
          <cell r="G1602" t="str">
            <v>VL8010100000100</v>
          </cell>
          <cell r="H1602">
            <v>1</v>
          </cell>
          <cell r="I1602" t="str">
            <v>--</v>
          </cell>
          <cell r="J1602">
            <v>1</v>
          </cell>
          <cell r="K1602">
            <v>1</v>
          </cell>
        </row>
        <row r="1603">
          <cell r="A1603" t="str">
            <v>M1</v>
          </cell>
          <cell r="B1603" t="str">
            <v>A5C</v>
          </cell>
          <cell r="C1603" t="str">
            <v>N</v>
          </cell>
          <cell r="D1603" t="str">
            <v>22686</v>
          </cell>
          <cell r="E1603" t="str">
            <v>GLOBE VA</v>
          </cell>
          <cell r="F1603">
            <v>6</v>
          </cell>
          <cell r="G1603" t="str">
            <v>VL8010100000100</v>
          </cell>
          <cell r="H1603">
            <v>1</v>
          </cell>
          <cell r="I1603" t="str">
            <v>--</v>
          </cell>
          <cell r="J1603">
            <v>1</v>
          </cell>
          <cell r="K1603">
            <v>1</v>
          </cell>
        </row>
        <row r="1604">
          <cell r="A1604" t="str">
            <v>M1</v>
          </cell>
          <cell r="B1604" t="str">
            <v>A5C</v>
          </cell>
          <cell r="C1604" t="str">
            <v>N</v>
          </cell>
          <cell r="D1604" t="str">
            <v>22684</v>
          </cell>
          <cell r="E1604" t="str">
            <v>GLOBE VA</v>
          </cell>
          <cell r="F1604">
            <v>6</v>
          </cell>
          <cell r="G1604" t="str">
            <v>VL8010100000100</v>
          </cell>
          <cell r="H1604">
            <v>1</v>
          </cell>
          <cell r="I1604" t="str">
            <v>--</v>
          </cell>
          <cell r="J1604">
            <v>1</v>
          </cell>
          <cell r="K1604">
            <v>1</v>
          </cell>
        </row>
        <row r="1605">
          <cell r="A1605" t="str">
            <v>M1</v>
          </cell>
          <cell r="B1605" t="str">
            <v>A5C</v>
          </cell>
          <cell r="C1605" t="str">
            <v>P</v>
          </cell>
          <cell r="D1605" t="str">
            <v>22039</v>
          </cell>
          <cell r="E1605" t="str">
            <v>BALL VA</v>
          </cell>
          <cell r="F1605">
            <v>6</v>
          </cell>
          <cell r="G1605" t="str">
            <v>VB8010600000100</v>
          </cell>
          <cell r="H1605">
            <v>1</v>
          </cell>
          <cell r="I1605" t="str">
            <v>--</v>
          </cell>
          <cell r="J1605">
            <v>1</v>
          </cell>
          <cell r="K1605">
            <v>1</v>
          </cell>
        </row>
        <row r="1606">
          <cell r="A1606" t="str">
            <v>M1</v>
          </cell>
          <cell r="B1606" t="str">
            <v>A5C</v>
          </cell>
          <cell r="C1606" t="str">
            <v>P</v>
          </cell>
          <cell r="D1606" t="str">
            <v>22040</v>
          </cell>
          <cell r="E1606" t="str">
            <v>BALL VA</v>
          </cell>
          <cell r="F1606">
            <v>6</v>
          </cell>
          <cell r="G1606" t="str">
            <v>VB8010600000100</v>
          </cell>
          <cell r="H1606">
            <v>1</v>
          </cell>
          <cell r="I1606" t="str">
            <v>--</v>
          </cell>
          <cell r="J1606">
            <v>1</v>
          </cell>
          <cell r="K1606">
            <v>1</v>
          </cell>
        </row>
        <row r="1607">
          <cell r="A1607" t="str">
            <v>M1</v>
          </cell>
          <cell r="B1607" t="str">
            <v>A5C</v>
          </cell>
          <cell r="C1607" t="str">
            <v>P</v>
          </cell>
          <cell r="D1607" t="str">
            <v>22041</v>
          </cell>
          <cell r="E1607" t="str">
            <v>BALL VA</v>
          </cell>
          <cell r="F1607">
            <v>6</v>
          </cell>
          <cell r="G1607" t="str">
            <v>VB8010600000100</v>
          </cell>
          <cell r="H1607">
            <v>1</v>
          </cell>
          <cell r="I1607" t="str">
            <v>--</v>
          </cell>
          <cell r="J1607">
            <v>1</v>
          </cell>
          <cell r="K1607">
            <v>1</v>
          </cell>
        </row>
        <row r="1608">
          <cell r="A1608" t="str">
            <v>M1</v>
          </cell>
          <cell r="B1608" t="str">
            <v>A6C</v>
          </cell>
          <cell r="C1608" t="str">
            <v>HOS</v>
          </cell>
          <cell r="D1608" t="str">
            <v>65616</v>
          </cell>
          <cell r="E1608" t="str">
            <v>BELLOWS VA</v>
          </cell>
          <cell r="F1608">
            <v>6</v>
          </cell>
          <cell r="G1608" t="str">
            <v>VBE8010600000100</v>
          </cell>
          <cell r="H1608">
            <v>1</v>
          </cell>
          <cell r="I1608" t="str">
            <v>--</v>
          </cell>
          <cell r="J1608">
            <v>1</v>
          </cell>
          <cell r="K1608">
            <v>1</v>
          </cell>
        </row>
        <row r="1609">
          <cell r="A1609" t="str">
            <v>M1</v>
          </cell>
          <cell r="B1609" t="str">
            <v>A6C</v>
          </cell>
          <cell r="C1609" t="str">
            <v>HOS</v>
          </cell>
          <cell r="D1609" t="str">
            <v>65621</v>
          </cell>
          <cell r="E1609" t="str">
            <v>BELLOWS VA</v>
          </cell>
          <cell r="F1609">
            <v>6</v>
          </cell>
          <cell r="G1609" t="str">
            <v>VBE8010700000100</v>
          </cell>
          <cell r="H1609">
            <v>1</v>
          </cell>
          <cell r="I1609" t="str">
            <v>--</v>
          </cell>
          <cell r="J1609">
            <v>2</v>
          </cell>
          <cell r="K1609">
            <v>2</v>
          </cell>
        </row>
        <row r="1610">
          <cell r="A1610" t="str">
            <v>M1</v>
          </cell>
          <cell r="B1610" t="str">
            <v>A5C</v>
          </cell>
          <cell r="C1610" t="str">
            <v>P</v>
          </cell>
          <cell r="D1610" t="str">
            <v>22001</v>
          </cell>
          <cell r="E1610" t="str">
            <v>BELLOWS VA</v>
          </cell>
          <cell r="F1610">
            <v>6</v>
          </cell>
          <cell r="G1610" t="str">
            <v>VBE8010200000100</v>
          </cell>
          <cell r="H1610">
            <v>1</v>
          </cell>
          <cell r="I1610" t="str">
            <v>--</v>
          </cell>
          <cell r="J1610">
            <v>1</v>
          </cell>
          <cell r="K1610">
            <v>1</v>
          </cell>
        </row>
        <row r="1611">
          <cell r="A1611" t="str">
            <v>M1</v>
          </cell>
          <cell r="B1611" t="str">
            <v>A5C</v>
          </cell>
          <cell r="C1611" t="str">
            <v>P</v>
          </cell>
          <cell r="D1611" t="str">
            <v>22003</v>
          </cell>
          <cell r="E1611" t="str">
            <v>BELLOWS VA</v>
          </cell>
          <cell r="F1611">
            <v>6</v>
          </cell>
          <cell r="G1611" t="str">
            <v>VBE8010100000100</v>
          </cell>
          <cell r="H1611">
            <v>1</v>
          </cell>
          <cell r="I1611" t="str">
            <v>--</v>
          </cell>
          <cell r="J1611">
            <v>1</v>
          </cell>
          <cell r="K1611">
            <v>1</v>
          </cell>
        </row>
        <row r="1612">
          <cell r="A1612" t="str">
            <v>M1</v>
          </cell>
          <cell r="B1612" t="str">
            <v>A4C</v>
          </cell>
          <cell r="C1612" t="str">
            <v>P</v>
          </cell>
          <cell r="D1612" t="str">
            <v>22008</v>
          </cell>
          <cell r="E1612" t="str">
            <v>BALL VA</v>
          </cell>
          <cell r="F1612">
            <v>6</v>
          </cell>
          <cell r="G1612" t="str">
            <v>VB8010300000100</v>
          </cell>
          <cell r="H1612">
            <v>1</v>
          </cell>
          <cell r="I1612" t="str">
            <v>--</v>
          </cell>
          <cell r="J1612">
            <v>2</v>
          </cell>
          <cell r="K1612">
            <v>2</v>
          </cell>
        </row>
        <row r="1613">
          <cell r="A1613" t="str">
            <v>M1</v>
          </cell>
          <cell r="B1613" t="str">
            <v>A5C</v>
          </cell>
          <cell r="C1613" t="str">
            <v>TRIM</v>
          </cell>
          <cell r="D1613" t="str">
            <v>C-2201</v>
          </cell>
          <cell r="E1613" t="str">
            <v>BALL VA</v>
          </cell>
          <cell r="F1613">
            <v>6</v>
          </cell>
          <cell r="G1613" t="str">
            <v>VB8010600000100</v>
          </cell>
          <cell r="H1613">
            <v>1</v>
          </cell>
          <cell r="I1613" t="str">
            <v>--</v>
          </cell>
          <cell r="J1613">
            <v>2</v>
          </cell>
          <cell r="K1613">
            <v>2</v>
          </cell>
        </row>
        <row r="1614">
          <cell r="A1614" t="str">
            <v>M1</v>
          </cell>
          <cell r="B1614" t="str">
            <v>A6C</v>
          </cell>
          <cell r="C1614" t="str">
            <v>HOR</v>
          </cell>
          <cell r="D1614" t="str">
            <v>65622</v>
          </cell>
          <cell r="E1614" t="str">
            <v>BELLOWS VA</v>
          </cell>
          <cell r="F1614">
            <v>6</v>
          </cell>
          <cell r="G1614" t="str">
            <v>VBE8010700000100</v>
          </cell>
          <cell r="H1614">
            <v>1</v>
          </cell>
          <cell r="I1614" t="str">
            <v>--</v>
          </cell>
          <cell r="J1614">
            <v>2</v>
          </cell>
          <cell r="K1614">
            <v>2</v>
          </cell>
        </row>
        <row r="1615">
          <cell r="A1615" t="str">
            <v>M1</v>
          </cell>
          <cell r="B1615" t="str">
            <v>A6C</v>
          </cell>
          <cell r="C1615" t="str">
            <v>HOS</v>
          </cell>
          <cell r="D1615" t="str">
            <v>65613</v>
          </cell>
          <cell r="E1615" t="str">
            <v>BELLOWS VA</v>
          </cell>
          <cell r="F1615">
            <v>6</v>
          </cell>
          <cell r="G1615" t="str">
            <v>VBE8010800000100</v>
          </cell>
          <cell r="H1615">
            <v>1</v>
          </cell>
          <cell r="I1615" t="str">
            <v>--</v>
          </cell>
          <cell r="J1615">
            <v>2</v>
          </cell>
          <cell r="K1615">
            <v>2</v>
          </cell>
        </row>
        <row r="1616">
          <cell r="A1616" t="str">
            <v>M1</v>
          </cell>
          <cell r="B1616" t="str">
            <v>A6C</v>
          </cell>
          <cell r="C1616" t="str">
            <v>HOS</v>
          </cell>
          <cell r="D1616" t="str">
            <v>65613</v>
          </cell>
          <cell r="E1616" t="str">
            <v>BELLOWS VA</v>
          </cell>
          <cell r="F1616">
            <v>6</v>
          </cell>
          <cell r="G1616" t="str">
            <v>VBE8010700000100</v>
          </cell>
          <cell r="H1616">
            <v>1</v>
          </cell>
          <cell r="I1616" t="str">
            <v>--</v>
          </cell>
          <cell r="J1616">
            <v>1</v>
          </cell>
          <cell r="K1616">
            <v>1</v>
          </cell>
        </row>
        <row r="1617">
          <cell r="A1617" t="str">
            <v>M1</v>
          </cell>
          <cell r="B1617" t="str">
            <v>A6C</v>
          </cell>
          <cell r="C1617" t="str">
            <v>HOS</v>
          </cell>
          <cell r="D1617" t="str">
            <v>65624</v>
          </cell>
          <cell r="E1617" t="str">
            <v>BELLOWS VA</v>
          </cell>
          <cell r="F1617">
            <v>6</v>
          </cell>
          <cell r="G1617" t="str">
            <v>VBE8010700000100</v>
          </cell>
          <cell r="H1617">
            <v>1</v>
          </cell>
          <cell r="I1617" t="str">
            <v>--</v>
          </cell>
          <cell r="J1617">
            <v>1</v>
          </cell>
          <cell r="K1617">
            <v>1</v>
          </cell>
        </row>
        <row r="1618">
          <cell r="A1618" t="str">
            <v>M1</v>
          </cell>
          <cell r="B1618" t="str">
            <v>A6C</v>
          </cell>
          <cell r="C1618" t="str">
            <v>HOS</v>
          </cell>
          <cell r="D1618" t="str">
            <v>65625</v>
          </cell>
          <cell r="E1618" t="str">
            <v>BELLOWS VA</v>
          </cell>
          <cell r="F1618">
            <v>6</v>
          </cell>
          <cell r="G1618" t="str">
            <v>VBE8010700000100</v>
          </cell>
          <cell r="H1618">
            <v>1</v>
          </cell>
          <cell r="I1618" t="str">
            <v>--</v>
          </cell>
          <cell r="J1618">
            <v>1</v>
          </cell>
          <cell r="K1618">
            <v>1</v>
          </cell>
        </row>
        <row r="1619">
          <cell r="A1619" t="str">
            <v>M1</v>
          </cell>
          <cell r="B1619" t="str">
            <v>A4C</v>
          </cell>
          <cell r="C1619" t="str">
            <v>N</v>
          </cell>
          <cell r="D1619" t="str">
            <v>22662</v>
          </cell>
          <cell r="E1619" t="str">
            <v>BALL VA</v>
          </cell>
          <cell r="F1619">
            <v>6</v>
          </cell>
          <cell r="G1619" t="str">
            <v>VB8010300001H00</v>
          </cell>
          <cell r="H1619">
            <v>1.5</v>
          </cell>
          <cell r="I1619" t="str">
            <v>--</v>
          </cell>
          <cell r="J1619">
            <v>1</v>
          </cell>
          <cell r="K1619">
            <v>1</v>
          </cell>
        </row>
        <row r="1620">
          <cell r="A1620" t="str">
            <v>M1</v>
          </cell>
          <cell r="B1620" t="str">
            <v>A5C</v>
          </cell>
          <cell r="C1620" t="str">
            <v>P</v>
          </cell>
          <cell r="D1620" t="str">
            <v>22036</v>
          </cell>
          <cell r="E1620" t="str">
            <v>BALL VA</v>
          </cell>
          <cell r="F1620">
            <v>6</v>
          </cell>
          <cell r="G1620" t="str">
            <v>VB8010600001H00</v>
          </cell>
          <cell r="H1620">
            <v>1.5</v>
          </cell>
          <cell r="I1620" t="str">
            <v>--</v>
          </cell>
          <cell r="J1620">
            <v>2</v>
          </cell>
          <cell r="K1620">
            <v>2</v>
          </cell>
        </row>
        <row r="1621">
          <cell r="A1621" t="str">
            <v>M1</v>
          </cell>
          <cell r="B1621" t="str">
            <v>A5C</v>
          </cell>
          <cell r="C1621" t="str">
            <v>P</v>
          </cell>
          <cell r="D1621" t="str">
            <v>22045</v>
          </cell>
          <cell r="E1621" t="str">
            <v>BALL VA</v>
          </cell>
          <cell r="F1621">
            <v>6</v>
          </cell>
          <cell r="G1621" t="str">
            <v>VB8010600001H00</v>
          </cell>
          <cell r="H1621">
            <v>1.5</v>
          </cell>
          <cell r="I1621" t="str">
            <v>--</v>
          </cell>
          <cell r="J1621">
            <v>4</v>
          </cell>
          <cell r="K1621">
            <v>4</v>
          </cell>
        </row>
        <row r="1622">
          <cell r="A1622" t="str">
            <v>M1</v>
          </cell>
          <cell r="B1622" t="str">
            <v>A5C</v>
          </cell>
          <cell r="C1622" t="str">
            <v>P</v>
          </cell>
          <cell r="D1622" t="str">
            <v>22070</v>
          </cell>
          <cell r="E1622" t="str">
            <v>BALL VA</v>
          </cell>
          <cell r="F1622">
            <v>6</v>
          </cell>
          <cell r="G1622" t="str">
            <v>VB8010600001H00</v>
          </cell>
          <cell r="H1622">
            <v>1.5</v>
          </cell>
          <cell r="I1622" t="str">
            <v>--</v>
          </cell>
          <cell r="J1622">
            <v>1</v>
          </cell>
          <cell r="K1622">
            <v>1</v>
          </cell>
        </row>
        <row r="1623">
          <cell r="A1623" t="str">
            <v>M1</v>
          </cell>
          <cell r="B1623" t="str">
            <v>A5C</v>
          </cell>
          <cell r="C1623" t="str">
            <v>P</v>
          </cell>
          <cell r="D1623" t="str">
            <v>22071</v>
          </cell>
          <cell r="E1623" t="str">
            <v>BALL VA</v>
          </cell>
          <cell r="F1623">
            <v>6</v>
          </cell>
          <cell r="G1623" t="str">
            <v>VB8010600001H00</v>
          </cell>
          <cell r="H1623">
            <v>1.5</v>
          </cell>
          <cell r="I1623" t="str">
            <v>--</v>
          </cell>
          <cell r="J1623">
            <v>1</v>
          </cell>
          <cell r="K1623">
            <v>1</v>
          </cell>
        </row>
        <row r="1624">
          <cell r="A1624" t="str">
            <v>M1</v>
          </cell>
          <cell r="B1624" t="str">
            <v>A5C</v>
          </cell>
          <cell r="C1624" t="str">
            <v>P</v>
          </cell>
          <cell r="D1624" t="str">
            <v>22078</v>
          </cell>
          <cell r="E1624" t="str">
            <v>BALL VA</v>
          </cell>
          <cell r="F1624">
            <v>6</v>
          </cell>
          <cell r="G1624" t="str">
            <v>VB8010600001H00</v>
          </cell>
          <cell r="H1624">
            <v>1.5</v>
          </cell>
          <cell r="I1624" t="str">
            <v>--</v>
          </cell>
          <cell r="J1624">
            <v>3</v>
          </cell>
          <cell r="K1624">
            <v>3</v>
          </cell>
        </row>
        <row r="1625">
          <cell r="A1625" t="str">
            <v>M1</v>
          </cell>
          <cell r="B1625" t="str">
            <v>A5C</v>
          </cell>
          <cell r="C1625" t="str">
            <v>P</v>
          </cell>
          <cell r="D1625" t="str">
            <v>22087</v>
          </cell>
          <cell r="E1625" t="str">
            <v>BALL VA</v>
          </cell>
          <cell r="F1625">
            <v>6</v>
          </cell>
          <cell r="G1625" t="str">
            <v>VB8010600001H00</v>
          </cell>
          <cell r="H1625">
            <v>1.5</v>
          </cell>
          <cell r="I1625" t="str">
            <v>--</v>
          </cell>
          <cell r="J1625">
            <v>1</v>
          </cell>
          <cell r="K1625">
            <v>1</v>
          </cell>
        </row>
        <row r="1626">
          <cell r="A1626" t="str">
            <v>M1</v>
          </cell>
          <cell r="B1626" t="str">
            <v>A5C</v>
          </cell>
          <cell r="C1626" t="str">
            <v>P</v>
          </cell>
          <cell r="D1626" t="str">
            <v>22071</v>
          </cell>
          <cell r="E1626" t="str">
            <v>BALL VA</v>
          </cell>
          <cell r="F1626">
            <v>6</v>
          </cell>
          <cell r="G1626" t="str">
            <v>VB8010600001H00</v>
          </cell>
          <cell r="H1626">
            <v>1.5</v>
          </cell>
          <cell r="I1626" t="str">
            <v>--</v>
          </cell>
          <cell r="J1626">
            <v>2</v>
          </cell>
          <cell r="K1626">
            <v>2</v>
          </cell>
        </row>
        <row r="1627">
          <cell r="A1627" t="str">
            <v>M1</v>
          </cell>
          <cell r="B1627" t="str">
            <v>A5C</v>
          </cell>
          <cell r="C1627" t="str">
            <v>P</v>
          </cell>
          <cell r="D1627" t="str">
            <v>22079</v>
          </cell>
          <cell r="E1627" t="str">
            <v>BALL VA</v>
          </cell>
          <cell r="F1627">
            <v>6</v>
          </cell>
          <cell r="G1627" t="str">
            <v>VB8010600001H00</v>
          </cell>
          <cell r="H1627">
            <v>1.5</v>
          </cell>
          <cell r="I1627" t="str">
            <v>--</v>
          </cell>
          <cell r="J1627">
            <v>1</v>
          </cell>
          <cell r="K1627">
            <v>1</v>
          </cell>
        </row>
        <row r="1628">
          <cell r="A1628" t="str">
            <v>M1</v>
          </cell>
          <cell r="B1628" t="str">
            <v>A5C</v>
          </cell>
          <cell r="C1628" t="str">
            <v>P</v>
          </cell>
          <cell r="D1628" t="str">
            <v>22102</v>
          </cell>
          <cell r="E1628" t="str">
            <v>BALL VA</v>
          </cell>
          <cell r="F1628">
            <v>6</v>
          </cell>
          <cell r="G1628" t="str">
            <v>VB8010600001H00</v>
          </cell>
          <cell r="H1628">
            <v>1.5</v>
          </cell>
          <cell r="I1628" t="str">
            <v>--</v>
          </cell>
          <cell r="J1628">
            <v>4</v>
          </cell>
          <cell r="K1628">
            <v>4</v>
          </cell>
        </row>
        <row r="1629">
          <cell r="A1629" t="str">
            <v>M1</v>
          </cell>
          <cell r="B1629" t="str">
            <v>A5C</v>
          </cell>
          <cell r="C1629" t="str">
            <v>P</v>
          </cell>
          <cell r="D1629" t="str">
            <v>22102</v>
          </cell>
          <cell r="E1629" t="str">
            <v>BALL VA</v>
          </cell>
          <cell r="F1629">
            <v>6</v>
          </cell>
          <cell r="G1629" t="str">
            <v>VB8010600001H00</v>
          </cell>
          <cell r="H1629">
            <v>1.5</v>
          </cell>
          <cell r="I1629" t="str">
            <v>--</v>
          </cell>
          <cell r="J1629">
            <v>5</v>
          </cell>
          <cell r="K1629">
            <v>5</v>
          </cell>
        </row>
        <row r="1630">
          <cell r="A1630" t="str">
            <v>M1</v>
          </cell>
          <cell r="B1630" t="str">
            <v>A5C</v>
          </cell>
          <cell r="C1630" t="str">
            <v>P</v>
          </cell>
          <cell r="D1630" t="str">
            <v>22108</v>
          </cell>
          <cell r="E1630" t="str">
            <v>BALL VA</v>
          </cell>
          <cell r="F1630">
            <v>6</v>
          </cell>
          <cell r="G1630" t="str">
            <v>VB8010600001H00</v>
          </cell>
          <cell r="H1630">
            <v>1.5</v>
          </cell>
          <cell r="I1630" t="str">
            <v>--</v>
          </cell>
          <cell r="J1630">
            <v>1</v>
          </cell>
          <cell r="K1630">
            <v>1</v>
          </cell>
        </row>
        <row r="1631">
          <cell r="A1631" t="str">
            <v>M1</v>
          </cell>
          <cell r="B1631" t="str">
            <v>A5C</v>
          </cell>
          <cell r="C1631" t="str">
            <v>P</v>
          </cell>
          <cell r="D1631" t="str">
            <v>22109</v>
          </cell>
          <cell r="E1631" t="str">
            <v>BALL VA</v>
          </cell>
          <cell r="F1631">
            <v>6</v>
          </cell>
          <cell r="G1631" t="str">
            <v>VB8010600001H00</v>
          </cell>
          <cell r="H1631">
            <v>1.5</v>
          </cell>
          <cell r="I1631" t="str">
            <v>--</v>
          </cell>
          <cell r="J1631">
            <v>3</v>
          </cell>
          <cell r="K1631">
            <v>3</v>
          </cell>
        </row>
        <row r="1632">
          <cell r="A1632" t="str">
            <v>M1</v>
          </cell>
          <cell r="B1632" t="str">
            <v>A5C</v>
          </cell>
          <cell r="C1632" t="str">
            <v>P</v>
          </cell>
          <cell r="D1632" t="str">
            <v>22114</v>
          </cell>
          <cell r="E1632" t="str">
            <v>BALL VA</v>
          </cell>
          <cell r="F1632">
            <v>6</v>
          </cell>
          <cell r="G1632" t="str">
            <v>VB8010600001H00</v>
          </cell>
          <cell r="H1632">
            <v>1.5</v>
          </cell>
          <cell r="I1632" t="str">
            <v>--</v>
          </cell>
          <cell r="J1632">
            <v>1</v>
          </cell>
          <cell r="K1632">
            <v>1</v>
          </cell>
        </row>
        <row r="1633">
          <cell r="A1633" t="str">
            <v>M1</v>
          </cell>
          <cell r="B1633" t="str">
            <v>A5C</v>
          </cell>
          <cell r="C1633" t="str">
            <v>P</v>
          </cell>
          <cell r="D1633" t="str">
            <v>22157</v>
          </cell>
          <cell r="E1633" t="str">
            <v>BALL VA</v>
          </cell>
          <cell r="F1633">
            <v>6</v>
          </cell>
          <cell r="G1633" t="str">
            <v>VB8010600001H00</v>
          </cell>
          <cell r="H1633">
            <v>1.5</v>
          </cell>
          <cell r="I1633" t="str">
            <v>--</v>
          </cell>
          <cell r="J1633">
            <v>3</v>
          </cell>
          <cell r="K1633">
            <v>3</v>
          </cell>
        </row>
        <row r="1634">
          <cell r="A1634" t="str">
            <v>M1</v>
          </cell>
          <cell r="B1634" t="str">
            <v>A5C</v>
          </cell>
          <cell r="C1634" t="str">
            <v>P</v>
          </cell>
          <cell r="D1634" t="str">
            <v>22158</v>
          </cell>
          <cell r="E1634" t="str">
            <v>BALL VA</v>
          </cell>
          <cell r="F1634">
            <v>6</v>
          </cell>
          <cell r="G1634" t="str">
            <v>VB8010600001H00</v>
          </cell>
          <cell r="H1634">
            <v>1.5</v>
          </cell>
          <cell r="I1634" t="str">
            <v>--</v>
          </cell>
          <cell r="J1634">
            <v>1</v>
          </cell>
          <cell r="K1634">
            <v>1</v>
          </cell>
        </row>
        <row r="1635">
          <cell r="A1635" t="str">
            <v>M1</v>
          </cell>
          <cell r="B1635" t="str">
            <v>A5C</v>
          </cell>
          <cell r="C1635" t="str">
            <v>P</v>
          </cell>
          <cell r="D1635" t="str">
            <v>22071</v>
          </cell>
          <cell r="E1635" t="str">
            <v>BALL VA</v>
          </cell>
          <cell r="F1635">
            <v>6</v>
          </cell>
          <cell r="G1635" t="str">
            <v>VB8010600001H00</v>
          </cell>
          <cell r="H1635">
            <v>1.5</v>
          </cell>
          <cell r="I1635" t="str">
            <v>--</v>
          </cell>
          <cell r="J1635">
            <v>3</v>
          </cell>
          <cell r="K1635">
            <v>3</v>
          </cell>
        </row>
        <row r="1636">
          <cell r="A1636" t="str">
            <v>M1</v>
          </cell>
          <cell r="B1636" t="str">
            <v>A5C</v>
          </cell>
          <cell r="C1636" t="str">
            <v>P</v>
          </cell>
          <cell r="D1636" t="str">
            <v>22104</v>
          </cell>
          <cell r="E1636" t="str">
            <v>BALL VA</v>
          </cell>
          <cell r="F1636">
            <v>6</v>
          </cell>
          <cell r="G1636" t="str">
            <v>VB8010600001H00</v>
          </cell>
          <cell r="H1636">
            <v>1.5</v>
          </cell>
          <cell r="I1636" t="str">
            <v>--</v>
          </cell>
          <cell r="J1636">
            <v>2</v>
          </cell>
          <cell r="K1636">
            <v>2</v>
          </cell>
        </row>
        <row r="1637">
          <cell r="A1637" t="str">
            <v>M1</v>
          </cell>
          <cell r="B1637" t="str">
            <v>A4C</v>
          </cell>
          <cell r="C1637" t="str">
            <v>N</v>
          </cell>
          <cell r="D1637" t="str">
            <v>22662</v>
          </cell>
          <cell r="E1637" t="str">
            <v>CHECK VA</v>
          </cell>
          <cell r="F1637">
            <v>6</v>
          </cell>
          <cell r="G1637" t="str">
            <v>VCB8010200001H00</v>
          </cell>
          <cell r="H1637">
            <v>1.5</v>
          </cell>
          <cell r="I1637" t="str">
            <v>--</v>
          </cell>
          <cell r="J1637">
            <v>1</v>
          </cell>
          <cell r="K1637">
            <v>1</v>
          </cell>
        </row>
        <row r="1638">
          <cell r="A1638" t="str">
            <v>M1</v>
          </cell>
          <cell r="B1638" t="str">
            <v>A5C</v>
          </cell>
          <cell r="C1638" t="str">
            <v>P</v>
          </cell>
          <cell r="D1638" t="str">
            <v>22071</v>
          </cell>
          <cell r="E1638" t="str">
            <v>CHECK VA</v>
          </cell>
          <cell r="F1638">
            <v>6</v>
          </cell>
          <cell r="G1638" t="str">
            <v>VCB8010400001H00</v>
          </cell>
          <cell r="H1638">
            <v>1.5</v>
          </cell>
          <cell r="I1638" t="str">
            <v>--</v>
          </cell>
          <cell r="J1638">
            <v>2</v>
          </cell>
          <cell r="K1638">
            <v>2</v>
          </cell>
        </row>
        <row r="1639">
          <cell r="A1639" t="str">
            <v>M1</v>
          </cell>
          <cell r="B1639" t="str">
            <v>A5C</v>
          </cell>
          <cell r="C1639" t="str">
            <v>P</v>
          </cell>
          <cell r="D1639" t="str">
            <v>22158</v>
          </cell>
          <cell r="E1639" t="str">
            <v>GLOBE VA</v>
          </cell>
          <cell r="F1639">
            <v>6</v>
          </cell>
          <cell r="G1639" t="str">
            <v>VL8010100001H00</v>
          </cell>
          <cell r="H1639">
            <v>1.5</v>
          </cell>
          <cell r="I1639" t="str">
            <v>--</v>
          </cell>
          <cell r="J1639">
            <v>1</v>
          </cell>
          <cell r="K1639">
            <v>1</v>
          </cell>
        </row>
        <row r="1640">
          <cell r="A1640" t="str">
            <v>M1</v>
          </cell>
          <cell r="B1640" t="str">
            <v>A5C</v>
          </cell>
          <cell r="C1640" t="str">
            <v>P</v>
          </cell>
          <cell r="D1640" t="str">
            <v>22099</v>
          </cell>
          <cell r="E1640" t="str">
            <v>BALL VA</v>
          </cell>
          <cell r="F1640">
            <v>6</v>
          </cell>
          <cell r="G1640" t="str">
            <v>VB8010600001H00</v>
          </cell>
          <cell r="H1640">
            <v>1.5</v>
          </cell>
          <cell r="I1640" t="str">
            <v>--</v>
          </cell>
          <cell r="J1640">
            <v>1</v>
          </cell>
          <cell r="K1640">
            <v>1</v>
          </cell>
        </row>
        <row r="1641">
          <cell r="A1641" t="str">
            <v>M1</v>
          </cell>
          <cell r="B1641" t="str">
            <v>A5C</v>
          </cell>
          <cell r="C1641" t="str">
            <v>P</v>
          </cell>
          <cell r="D1641" t="str">
            <v>22039</v>
          </cell>
          <cell r="E1641" t="str">
            <v>BALL VA</v>
          </cell>
          <cell r="F1641">
            <v>6</v>
          </cell>
          <cell r="G1641" t="str">
            <v>VB8010600001H00</v>
          </cell>
          <cell r="H1641">
            <v>1.5</v>
          </cell>
          <cell r="I1641" t="str">
            <v>--</v>
          </cell>
          <cell r="J1641">
            <v>1</v>
          </cell>
          <cell r="K1641">
            <v>1</v>
          </cell>
        </row>
        <row r="1642">
          <cell r="A1642" t="str">
            <v>M1</v>
          </cell>
          <cell r="B1642" t="str">
            <v>A5C</v>
          </cell>
          <cell r="C1642" t="str">
            <v>P</v>
          </cell>
          <cell r="D1642" t="str">
            <v>22040</v>
          </cell>
          <cell r="E1642" t="str">
            <v>BALL VA</v>
          </cell>
          <cell r="F1642">
            <v>6</v>
          </cell>
          <cell r="G1642" t="str">
            <v>VB8010600001H00</v>
          </cell>
          <cell r="H1642">
            <v>1.5</v>
          </cell>
          <cell r="I1642" t="str">
            <v>--</v>
          </cell>
          <cell r="J1642">
            <v>1</v>
          </cell>
          <cell r="K1642">
            <v>1</v>
          </cell>
        </row>
        <row r="1643">
          <cell r="A1643" t="str">
            <v>M1</v>
          </cell>
          <cell r="B1643" t="str">
            <v>A5C</v>
          </cell>
          <cell r="C1643" t="str">
            <v>P</v>
          </cell>
          <cell r="D1643" t="str">
            <v>22041</v>
          </cell>
          <cell r="E1643" t="str">
            <v>BALL VA</v>
          </cell>
          <cell r="F1643">
            <v>6</v>
          </cell>
          <cell r="G1643" t="str">
            <v>VB8010600001H00</v>
          </cell>
          <cell r="H1643">
            <v>1.5</v>
          </cell>
          <cell r="I1643" t="str">
            <v>--</v>
          </cell>
          <cell r="J1643">
            <v>1</v>
          </cell>
          <cell r="K1643">
            <v>1</v>
          </cell>
        </row>
        <row r="1644">
          <cell r="A1644" t="str">
            <v>M1</v>
          </cell>
          <cell r="B1644" t="str">
            <v>A6C</v>
          </cell>
          <cell r="C1644" t="str">
            <v>HOS</v>
          </cell>
          <cell r="D1644" t="str">
            <v>65618</v>
          </cell>
          <cell r="E1644" t="str">
            <v>BELLOWS VA</v>
          </cell>
          <cell r="F1644">
            <v>6</v>
          </cell>
          <cell r="G1644" t="str">
            <v>VBE8010700001H00</v>
          </cell>
          <cell r="H1644">
            <v>1.5</v>
          </cell>
          <cell r="I1644" t="str">
            <v>--</v>
          </cell>
          <cell r="J1644">
            <v>1</v>
          </cell>
          <cell r="K1644">
            <v>1</v>
          </cell>
        </row>
        <row r="1645">
          <cell r="A1645" t="str">
            <v>M1</v>
          </cell>
          <cell r="B1645" t="str">
            <v>A6C</v>
          </cell>
          <cell r="C1645" t="str">
            <v>HOS</v>
          </cell>
          <cell r="D1645" t="str">
            <v>65623</v>
          </cell>
          <cell r="E1645" t="str">
            <v>BELLOWS VA</v>
          </cell>
          <cell r="F1645">
            <v>6</v>
          </cell>
          <cell r="G1645" t="str">
            <v>VBE8010600001H00</v>
          </cell>
          <cell r="H1645">
            <v>1.5</v>
          </cell>
          <cell r="I1645" t="str">
            <v>--</v>
          </cell>
          <cell r="J1645">
            <v>1</v>
          </cell>
          <cell r="K1645">
            <v>1</v>
          </cell>
        </row>
        <row r="1646">
          <cell r="A1646" t="str">
            <v>M1</v>
          </cell>
          <cell r="B1646" t="str">
            <v>A5C</v>
          </cell>
          <cell r="C1646" t="str">
            <v>P</v>
          </cell>
          <cell r="D1646" t="str">
            <v>22040</v>
          </cell>
          <cell r="E1646" t="str">
            <v>GLOBE VA</v>
          </cell>
          <cell r="F1646">
            <v>6</v>
          </cell>
          <cell r="G1646" t="str">
            <v>VL8010100001H00</v>
          </cell>
          <cell r="H1646">
            <v>1.5</v>
          </cell>
          <cell r="I1646" t="str">
            <v>--</v>
          </cell>
          <cell r="J1646">
            <v>1</v>
          </cell>
          <cell r="K1646">
            <v>1</v>
          </cell>
        </row>
        <row r="1647">
          <cell r="A1647" t="str">
            <v>M1</v>
          </cell>
          <cell r="B1647" t="str">
            <v>A5C</v>
          </cell>
          <cell r="C1647" t="str">
            <v>P</v>
          </cell>
          <cell r="D1647" t="str">
            <v>22041</v>
          </cell>
          <cell r="E1647" t="str">
            <v>GLOBE VA</v>
          </cell>
          <cell r="F1647">
            <v>6</v>
          </cell>
          <cell r="G1647" t="str">
            <v>VL8010100001H00</v>
          </cell>
          <cell r="H1647">
            <v>1.5</v>
          </cell>
          <cell r="I1647" t="str">
            <v>--</v>
          </cell>
          <cell r="J1647">
            <v>1</v>
          </cell>
          <cell r="K1647">
            <v>1</v>
          </cell>
        </row>
        <row r="1648">
          <cell r="A1648" t="str">
            <v>M1</v>
          </cell>
          <cell r="B1648" t="str">
            <v>A5C</v>
          </cell>
          <cell r="C1648" t="str">
            <v>P</v>
          </cell>
          <cell r="D1648" t="str">
            <v>22039</v>
          </cell>
          <cell r="E1648" t="str">
            <v>GLOBE VA</v>
          </cell>
          <cell r="F1648">
            <v>6</v>
          </cell>
          <cell r="G1648" t="str">
            <v>VL8010100001H00</v>
          </cell>
          <cell r="H1648">
            <v>1.5</v>
          </cell>
          <cell r="I1648" t="str">
            <v>--</v>
          </cell>
          <cell r="J1648">
            <v>1</v>
          </cell>
          <cell r="K1648">
            <v>1</v>
          </cell>
        </row>
        <row r="1649">
          <cell r="A1649" t="str">
            <v>M1</v>
          </cell>
          <cell r="B1649" t="str">
            <v>A5C</v>
          </cell>
          <cell r="C1649" t="str">
            <v>P</v>
          </cell>
          <cell r="D1649" t="str">
            <v>22064</v>
          </cell>
          <cell r="E1649" t="str">
            <v>BALL VA</v>
          </cell>
          <cell r="F1649">
            <v>6</v>
          </cell>
          <cell r="G1649" t="str">
            <v>VB8010600001H00</v>
          </cell>
          <cell r="H1649">
            <v>1.5</v>
          </cell>
          <cell r="I1649" t="str">
            <v>--</v>
          </cell>
          <cell r="J1649">
            <v>1</v>
          </cell>
          <cell r="K1649">
            <v>1</v>
          </cell>
        </row>
        <row r="1650">
          <cell r="A1650" t="str">
            <v>M1</v>
          </cell>
          <cell r="B1650" t="str">
            <v>A5C</v>
          </cell>
          <cell r="C1650" t="str">
            <v>P</v>
          </cell>
          <cell r="D1650" t="str">
            <v>22085</v>
          </cell>
          <cell r="E1650" t="str">
            <v>BALL VA</v>
          </cell>
          <cell r="F1650">
            <v>6</v>
          </cell>
          <cell r="G1650" t="str">
            <v>VB8010600001H00</v>
          </cell>
          <cell r="H1650">
            <v>1.5</v>
          </cell>
          <cell r="I1650" t="str">
            <v>--</v>
          </cell>
          <cell r="J1650">
            <v>1</v>
          </cell>
          <cell r="K1650">
            <v>1</v>
          </cell>
        </row>
        <row r="1651">
          <cell r="A1651" t="str">
            <v>M1</v>
          </cell>
          <cell r="B1651" t="str">
            <v>A5C</v>
          </cell>
          <cell r="C1651" t="str">
            <v>P</v>
          </cell>
          <cell r="D1651" t="str">
            <v>22111</v>
          </cell>
          <cell r="E1651" t="str">
            <v>BALL VA</v>
          </cell>
          <cell r="F1651">
            <v>6</v>
          </cell>
          <cell r="G1651" t="str">
            <v>VB8010600001H00</v>
          </cell>
          <cell r="H1651">
            <v>1.5</v>
          </cell>
          <cell r="I1651" t="str">
            <v>--</v>
          </cell>
          <cell r="J1651">
            <v>5</v>
          </cell>
          <cell r="K1651">
            <v>5</v>
          </cell>
        </row>
        <row r="1652">
          <cell r="A1652" t="str">
            <v>M1</v>
          </cell>
          <cell r="B1652" t="str">
            <v>A6C</v>
          </cell>
          <cell r="C1652" t="str">
            <v>HOS</v>
          </cell>
          <cell r="D1652" t="str">
            <v>65632</v>
          </cell>
          <cell r="E1652" t="str">
            <v>BELLOWS VA</v>
          </cell>
          <cell r="F1652">
            <v>6</v>
          </cell>
          <cell r="G1652" t="str">
            <v>VBE8010700001H00</v>
          </cell>
          <cell r="H1652">
            <v>1.5</v>
          </cell>
          <cell r="I1652" t="str">
            <v>--</v>
          </cell>
          <cell r="J1652">
            <v>4</v>
          </cell>
          <cell r="K1652">
            <v>4</v>
          </cell>
        </row>
        <row r="1653">
          <cell r="A1653" t="str">
            <v>M1</v>
          </cell>
          <cell r="B1653" t="str">
            <v>A6C</v>
          </cell>
          <cell r="C1653" t="str">
            <v>HOS</v>
          </cell>
          <cell r="D1653" t="str">
            <v>65633</v>
          </cell>
          <cell r="E1653" t="str">
            <v>BELLOWS VA</v>
          </cell>
          <cell r="F1653">
            <v>6</v>
          </cell>
          <cell r="G1653" t="str">
            <v>VBE8010600001H00</v>
          </cell>
          <cell r="H1653">
            <v>1.5</v>
          </cell>
          <cell r="I1653" t="str">
            <v>--</v>
          </cell>
          <cell r="J1653">
            <v>1</v>
          </cell>
          <cell r="K1653">
            <v>1</v>
          </cell>
        </row>
        <row r="1654">
          <cell r="A1654" t="str">
            <v>M1</v>
          </cell>
          <cell r="B1654" t="str">
            <v>A6C</v>
          </cell>
          <cell r="C1654" t="str">
            <v>HOS</v>
          </cell>
          <cell r="D1654" t="str">
            <v>65611</v>
          </cell>
          <cell r="E1654" t="str">
            <v>BELLOWS VA</v>
          </cell>
          <cell r="F1654">
            <v>6</v>
          </cell>
          <cell r="G1654" t="str">
            <v>VBE8010700001H00</v>
          </cell>
          <cell r="H1654">
            <v>1.5</v>
          </cell>
          <cell r="I1654" t="str">
            <v>--</v>
          </cell>
          <cell r="J1654">
            <v>1</v>
          </cell>
          <cell r="K1654">
            <v>1</v>
          </cell>
        </row>
        <row r="1655">
          <cell r="A1655" t="str">
            <v>M1</v>
          </cell>
          <cell r="B1655" t="str">
            <v>A5C</v>
          </cell>
          <cell r="C1655" t="str">
            <v>P</v>
          </cell>
          <cell r="D1655" t="str">
            <v>22002</v>
          </cell>
          <cell r="E1655" t="str">
            <v>BELLOWS VA</v>
          </cell>
          <cell r="F1655">
            <v>6</v>
          </cell>
          <cell r="G1655" t="str">
            <v>VBE8010100001H00</v>
          </cell>
          <cell r="H1655">
            <v>1.5</v>
          </cell>
          <cell r="I1655" t="str">
            <v>--</v>
          </cell>
          <cell r="J1655">
            <v>2</v>
          </cell>
          <cell r="K1655">
            <v>2</v>
          </cell>
        </row>
        <row r="1656">
          <cell r="A1656" t="str">
            <v>M1</v>
          </cell>
          <cell r="B1656" t="str">
            <v>A6C</v>
          </cell>
          <cell r="C1656" t="str">
            <v>HOS</v>
          </cell>
          <cell r="D1656" t="str">
            <v>65633</v>
          </cell>
          <cell r="E1656" t="str">
            <v>CHECK VA</v>
          </cell>
          <cell r="F1656">
            <v>6</v>
          </cell>
          <cell r="G1656" t="str">
            <v>VCB8010300001H00</v>
          </cell>
          <cell r="H1656">
            <v>1.5</v>
          </cell>
          <cell r="I1656" t="str">
            <v>--</v>
          </cell>
          <cell r="J1656">
            <v>1</v>
          </cell>
          <cell r="K1656">
            <v>1</v>
          </cell>
        </row>
        <row r="1657">
          <cell r="A1657" t="str">
            <v>M1</v>
          </cell>
          <cell r="B1657" t="str">
            <v>A5C</v>
          </cell>
          <cell r="C1657" t="str">
            <v>P</v>
          </cell>
          <cell r="D1657" t="str">
            <v>22004</v>
          </cell>
          <cell r="E1657" t="str">
            <v>CHECK VA</v>
          </cell>
          <cell r="F1657">
            <v>6</v>
          </cell>
          <cell r="G1657" t="str">
            <v>VCB8010400001H00</v>
          </cell>
          <cell r="H1657">
            <v>1.5</v>
          </cell>
          <cell r="I1657" t="str">
            <v>--</v>
          </cell>
          <cell r="J1657">
            <v>1</v>
          </cell>
          <cell r="K1657">
            <v>1</v>
          </cell>
        </row>
        <row r="1658">
          <cell r="A1658" t="str">
            <v>M1</v>
          </cell>
          <cell r="B1658" t="str">
            <v>A5C</v>
          </cell>
          <cell r="C1658" t="str">
            <v>P</v>
          </cell>
          <cell r="D1658" t="str">
            <v>22085</v>
          </cell>
          <cell r="E1658" t="str">
            <v>CHECK VA</v>
          </cell>
          <cell r="F1658">
            <v>6</v>
          </cell>
          <cell r="G1658" t="str">
            <v>VCB8010400001H00</v>
          </cell>
          <cell r="H1658">
            <v>1.5</v>
          </cell>
          <cell r="I1658" t="str">
            <v>--</v>
          </cell>
          <cell r="J1658">
            <v>1</v>
          </cell>
          <cell r="K1658">
            <v>1</v>
          </cell>
        </row>
        <row r="1659">
          <cell r="A1659" t="str">
            <v>M1</v>
          </cell>
          <cell r="B1659" t="str">
            <v>A5C</v>
          </cell>
          <cell r="C1659" t="str">
            <v>RW</v>
          </cell>
          <cell r="D1659" t="str">
            <v>25611</v>
          </cell>
          <cell r="E1659" t="str">
            <v>GLOBE VA</v>
          </cell>
          <cell r="F1659">
            <v>6</v>
          </cell>
          <cell r="G1659" t="str">
            <v>VL8010100001H00</v>
          </cell>
          <cell r="H1659">
            <v>1.5</v>
          </cell>
          <cell r="I1659" t="str">
            <v>--</v>
          </cell>
          <cell r="J1659">
            <v>1</v>
          </cell>
          <cell r="K1659">
            <v>1</v>
          </cell>
        </row>
        <row r="1660">
          <cell r="A1660" t="str">
            <v>M1</v>
          </cell>
          <cell r="B1660" t="str">
            <v>A4C</v>
          </cell>
          <cell r="C1660" t="str">
            <v>P</v>
          </cell>
          <cell r="D1660" t="str">
            <v>22031</v>
          </cell>
          <cell r="E1660" t="str">
            <v>BALL VA</v>
          </cell>
          <cell r="F1660">
            <v>6</v>
          </cell>
          <cell r="G1660" t="str">
            <v>VB8010300001H00</v>
          </cell>
          <cell r="H1660">
            <v>1.5</v>
          </cell>
          <cell r="I1660" t="str">
            <v>--</v>
          </cell>
          <cell r="J1660">
            <v>7</v>
          </cell>
          <cell r="K1660">
            <v>7</v>
          </cell>
        </row>
        <row r="1661">
          <cell r="A1661" t="str">
            <v>M1</v>
          </cell>
          <cell r="B1661" t="str">
            <v>A4C</v>
          </cell>
          <cell r="C1661" t="str">
            <v>P</v>
          </cell>
          <cell r="D1661" t="str">
            <v>22031</v>
          </cell>
          <cell r="E1661" t="str">
            <v>BALL VA</v>
          </cell>
          <cell r="F1661">
            <v>6</v>
          </cell>
          <cell r="G1661" t="str">
            <v>VB8010300001H00</v>
          </cell>
          <cell r="H1661">
            <v>1.5</v>
          </cell>
          <cell r="I1661" t="str">
            <v>--</v>
          </cell>
          <cell r="J1661">
            <v>1</v>
          </cell>
          <cell r="K1661">
            <v>1</v>
          </cell>
        </row>
        <row r="1662">
          <cell r="A1662" t="str">
            <v>M1</v>
          </cell>
          <cell r="B1662" t="str">
            <v>A5C</v>
          </cell>
          <cell r="C1662" t="str">
            <v>TRIM</v>
          </cell>
          <cell r="D1662" t="str">
            <v>X-2207</v>
          </cell>
          <cell r="E1662" t="str">
            <v>BALL VA</v>
          </cell>
          <cell r="F1662">
            <v>6</v>
          </cell>
          <cell r="G1662" t="str">
            <v>VB8010600001H00</v>
          </cell>
          <cell r="H1662">
            <v>1.5</v>
          </cell>
          <cell r="I1662" t="str">
            <v>--</v>
          </cell>
          <cell r="J1662">
            <v>1</v>
          </cell>
          <cell r="K1662">
            <v>1</v>
          </cell>
        </row>
        <row r="1663">
          <cell r="A1663" t="str">
            <v>M1</v>
          </cell>
          <cell r="B1663" t="str">
            <v>A5C</v>
          </cell>
          <cell r="C1663" t="str">
            <v>TRIM</v>
          </cell>
          <cell r="D1663" t="str">
            <v>V-2201</v>
          </cell>
          <cell r="E1663" t="str">
            <v>BELLOWS VA</v>
          </cell>
          <cell r="F1663">
            <v>6</v>
          </cell>
          <cell r="G1663" t="str">
            <v>VBE8010100001H00</v>
          </cell>
          <cell r="H1663">
            <v>1.5</v>
          </cell>
          <cell r="I1663" t="str">
            <v>--</v>
          </cell>
          <cell r="J1663">
            <v>1</v>
          </cell>
          <cell r="K1663">
            <v>1</v>
          </cell>
        </row>
        <row r="1664">
          <cell r="A1664" t="str">
            <v>M1</v>
          </cell>
          <cell r="B1664" t="str">
            <v>A4C</v>
          </cell>
          <cell r="C1664" t="str">
            <v>P</v>
          </cell>
          <cell r="D1664" t="str">
            <v>22031</v>
          </cell>
          <cell r="E1664" t="str">
            <v>CHECK VA</v>
          </cell>
          <cell r="F1664">
            <v>6</v>
          </cell>
          <cell r="G1664" t="str">
            <v>VCB8010200001H00</v>
          </cell>
          <cell r="H1664">
            <v>1.5</v>
          </cell>
          <cell r="I1664" t="str">
            <v>--</v>
          </cell>
          <cell r="J1664">
            <v>1</v>
          </cell>
          <cell r="K1664">
            <v>1</v>
          </cell>
        </row>
        <row r="1665">
          <cell r="A1665" t="str">
            <v>M2</v>
          </cell>
          <cell r="B1665" t="str">
            <v>A5C</v>
          </cell>
          <cell r="C1665" t="str">
            <v>P</v>
          </cell>
          <cell r="D1665" t="str">
            <v>23094</v>
          </cell>
          <cell r="E1665" t="str">
            <v>PIPE</v>
          </cell>
          <cell r="F1665">
            <v>1</v>
          </cell>
          <cell r="G1665" t="str">
            <v>CB100508000H00</v>
          </cell>
          <cell r="H1665">
            <v>0.5</v>
          </cell>
          <cell r="I1665" t="str">
            <v>--</v>
          </cell>
          <cell r="J1665">
            <v>2</v>
          </cell>
          <cell r="K1665">
            <v>2</v>
          </cell>
        </row>
        <row r="1666">
          <cell r="A1666" t="str">
            <v>M2</v>
          </cell>
          <cell r="B1666" t="str">
            <v>A5C</v>
          </cell>
          <cell r="C1666" t="str">
            <v>P</v>
          </cell>
          <cell r="D1666" t="str">
            <v>23113</v>
          </cell>
          <cell r="E1666" t="str">
            <v>PIPE</v>
          </cell>
          <cell r="F1666">
            <v>1</v>
          </cell>
          <cell r="G1666" t="str">
            <v>CB100508000H00</v>
          </cell>
          <cell r="H1666">
            <v>0.5</v>
          </cell>
          <cell r="I1666" t="str">
            <v>--</v>
          </cell>
          <cell r="J1666">
            <v>2</v>
          </cell>
          <cell r="K1666">
            <v>2</v>
          </cell>
        </row>
        <row r="1667">
          <cell r="A1667" t="str">
            <v>M2</v>
          </cell>
          <cell r="B1667" t="str">
            <v>A5C</v>
          </cell>
          <cell r="C1667" t="str">
            <v>P</v>
          </cell>
          <cell r="D1667" t="str">
            <v>23214</v>
          </cell>
          <cell r="E1667" t="str">
            <v>PIPE</v>
          </cell>
          <cell r="F1667">
            <v>1</v>
          </cell>
          <cell r="G1667" t="str">
            <v>CB100508000T00</v>
          </cell>
          <cell r="H1667">
            <v>0.75</v>
          </cell>
          <cell r="I1667" t="str">
            <v>--</v>
          </cell>
          <cell r="J1667">
            <v>0.1</v>
          </cell>
          <cell r="K1667">
            <v>0.1</v>
          </cell>
        </row>
        <row r="1668">
          <cell r="A1668" t="str">
            <v>M2</v>
          </cell>
          <cell r="B1668" t="str">
            <v>A5C</v>
          </cell>
          <cell r="C1668" t="str">
            <v>P</v>
          </cell>
          <cell r="D1668" t="str">
            <v>23212</v>
          </cell>
          <cell r="E1668" t="str">
            <v>PIPE</v>
          </cell>
          <cell r="F1668">
            <v>1</v>
          </cell>
          <cell r="G1668" t="str">
            <v>CB100508000T00</v>
          </cell>
          <cell r="H1668">
            <v>0.75</v>
          </cell>
          <cell r="I1668" t="str">
            <v>--</v>
          </cell>
          <cell r="J1668">
            <v>0.1</v>
          </cell>
          <cell r="K1668">
            <v>0.1</v>
          </cell>
        </row>
        <row r="1669">
          <cell r="A1669" t="str">
            <v>M2</v>
          </cell>
          <cell r="B1669" t="str">
            <v>A5C</v>
          </cell>
          <cell r="C1669" t="str">
            <v>P</v>
          </cell>
          <cell r="D1669" t="str">
            <v>23226</v>
          </cell>
          <cell r="E1669" t="str">
            <v>PIPE</v>
          </cell>
          <cell r="F1669">
            <v>1</v>
          </cell>
          <cell r="G1669" t="str">
            <v>CB100508000T00</v>
          </cell>
          <cell r="H1669">
            <v>0.75</v>
          </cell>
          <cell r="I1669" t="str">
            <v>--</v>
          </cell>
          <cell r="J1669">
            <v>0.1</v>
          </cell>
          <cell r="K1669">
            <v>0.1</v>
          </cell>
        </row>
        <row r="1670">
          <cell r="A1670" t="str">
            <v>M2</v>
          </cell>
          <cell r="B1670" t="str">
            <v>A5C</v>
          </cell>
          <cell r="C1670" t="str">
            <v>P</v>
          </cell>
          <cell r="D1670" t="str">
            <v>23248</v>
          </cell>
          <cell r="E1670" t="str">
            <v>PIPE</v>
          </cell>
          <cell r="F1670">
            <v>1</v>
          </cell>
          <cell r="G1670" t="str">
            <v>CB100508000T00</v>
          </cell>
          <cell r="H1670">
            <v>0.75</v>
          </cell>
          <cell r="I1670" t="str">
            <v>--</v>
          </cell>
          <cell r="J1670">
            <v>0.1</v>
          </cell>
          <cell r="K1670">
            <v>0.1</v>
          </cell>
        </row>
        <row r="1671">
          <cell r="A1671" t="str">
            <v>M2</v>
          </cell>
          <cell r="B1671" t="str">
            <v>A5C</v>
          </cell>
          <cell r="C1671" t="str">
            <v>P</v>
          </cell>
          <cell r="D1671" t="str">
            <v>24006</v>
          </cell>
          <cell r="E1671" t="str">
            <v>PIPE</v>
          </cell>
          <cell r="F1671">
            <v>1</v>
          </cell>
          <cell r="G1671" t="str">
            <v>CB100508000T00</v>
          </cell>
          <cell r="H1671">
            <v>0.75</v>
          </cell>
          <cell r="I1671" t="str">
            <v>--</v>
          </cell>
          <cell r="J1671">
            <v>0.1</v>
          </cell>
          <cell r="K1671">
            <v>0.1</v>
          </cell>
        </row>
        <row r="1672">
          <cell r="A1672" t="str">
            <v>M2</v>
          </cell>
          <cell r="B1672" t="str">
            <v>A5C</v>
          </cell>
          <cell r="C1672" t="str">
            <v>P</v>
          </cell>
          <cell r="D1672" t="str">
            <v>23264</v>
          </cell>
          <cell r="E1672" t="str">
            <v>PIPE</v>
          </cell>
          <cell r="F1672">
            <v>1</v>
          </cell>
          <cell r="G1672" t="str">
            <v>CB100508000T00</v>
          </cell>
          <cell r="H1672">
            <v>0.75</v>
          </cell>
          <cell r="I1672" t="str">
            <v>--</v>
          </cell>
          <cell r="J1672">
            <v>0.1</v>
          </cell>
          <cell r="K1672">
            <v>0.1</v>
          </cell>
        </row>
        <row r="1673">
          <cell r="A1673" t="str">
            <v>M2</v>
          </cell>
          <cell r="B1673" t="str">
            <v>B2C</v>
          </cell>
          <cell r="C1673" t="str">
            <v>SH</v>
          </cell>
          <cell r="D1673" t="str">
            <v>23601</v>
          </cell>
          <cell r="E1673" t="str">
            <v>PIPE</v>
          </cell>
          <cell r="F1673">
            <v>1</v>
          </cell>
          <cell r="G1673" t="str">
            <v>CB100508000T00</v>
          </cell>
          <cell r="H1673">
            <v>0.75</v>
          </cell>
          <cell r="I1673" t="str">
            <v>--</v>
          </cell>
          <cell r="J1673">
            <v>0.2</v>
          </cell>
          <cell r="K1673">
            <v>0.2</v>
          </cell>
        </row>
        <row r="1674">
          <cell r="A1674" t="str">
            <v>M2</v>
          </cell>
          <cell r="B1674" t="str">
            <v>A5C</v>
          </cell>
          <cell r="C1674" t="str">
            <v>P</v>
          </cell>
          <cell r="D1674" t="str">
            <v>23022</v>
          </cell>
          <cell r="E1674" t="str">
            <v>PIPE</v>
          </cell>
          <cell r="F1674">
            <v>1</v>
          </cell>
          <cell r="G1674" t="str">
            <v>CB100508000T00</v>
          </cell>
          <cell r="H1674">
            <v>0.75</v>
          </cell>
          <cell r="I1674" t="str">
            <v>--</v>
          </cell>
          <cell r="J1674">
            <v>0.2</v>
          </cell>
          <cell r="K1674">
            <v>0.2</v>
          </cell>
        </row>
        <row r="1675">
          <cell r="A1675" t="str">
            <v>M2</v>
          </cell>
          <cell r="B1675" t="str">
            <v>A5C</v>
          </cell>
          <cell r="C1675" t="str">
            <v>P</v>
          </cell>
          <cell r="D1675" t="str">
            <v>23121</v>
          </cell>
          <cell r="E1675" t="str">
            <v>PIPE</v>
          </cell>
          <cell r="F1675">
            <v>1</v>
          </cell>
          <cell r="G1675" t="str">
            <v>CB100508000T00</v>
          </cell>
          <cell r="H1675">
            <v>0.75</v>
          </cell>
          <cell r="I1675" t="str">
            <v>--</v>
          </cell>
          <cell r="J1675">
            <v>0.2</v>
          </cell>
          <cell r="K1675">
            <v>0.2</v>
          </cell>
        </row>
        <row r="1676">
          <cell r="A1676" t="str">
            <v>M2</v>
          </cell>
          <cell r="B1676" t="str">
            <v>A5C</v>
          </cell>
          <cell r="C1676" t="str">
            <v>P</v>
          </cell>
          <cell r="D1676" t="str">
            <v>23082</v>
          </cell>
          <cell r="E1676" t="str">
            <v>PIPE</v>
          </cell>
          <cell r="F1676">
            <v>1</v>
          </cell>
          <cell r="G1676" t="str">
            <v>CB100508000T00</v>
          </cell>
          <cell r="H1676">
            <v>0.75</v>
          </cell>
          <cell r="I1676" t="str">
            <v>--</v>
          </cell>
          <cell r="J1676">
            <v>0.2</v>
          </cell>
          <cell r="K1676">
            <v>0.2</v>
          </cell>
        </row>
        <row r="1677">
          <cell r="A1677" t="str">
            <v>M2</v>
          </cell>
          <cell r="B1677" t="str">
            <v>A5C</v>
          </cell>
          <cell r="C1677" t="str">
            <v>P</v>
          </cell>
          <cell r="D1677" t="str">
            <v>23089</v>
          </cell>
          <cell r="E1677" t="str">
            <v>PIPE</v>
          </cell>
          <cell r="F1677">
            <v>1</v>
          </cell>
          <cell r="G1677" t="str">
            <v>CB100508000T00</v>
          </cell>
          <cell r="H1677">
            <v>0.75</v>
          </cell>
          <cell r="I1677" t="str">
            <v>--</v>
          </cell>
          <cell r="J1677">
            <v>0.2</v>
          </cell>
          <cell r="K1677">
            <v>0.2</v>
          </cell>
        </row>
        <row r="1678">
          <cell r="A1678" t="str">
            <v>M2</v>
          </cell>
          <cell r="B1678" t="str">
            <v>A5C</v>
          </cell>
          <cell r="C1678" t="str">
            <v>P</v>
          </cell>
          <cell r="D1678" t="str">
            <v>23128</v>
          </cell>
          <cell r="E1678" t="str">
            <v>PIPE</v>
          </cell>
          <cell r="F1678">
            <v>1</v>
          </cell>
          <cell r="G1678" t="str">
            <v>CB100508000T00</v>
          </cell>
          <cell r="H1678">
            <v>0.75</v>
          </cell>
          <cell r="I1678" t="str">
            <v>--</v>
          </cell>
          <cell r="J1678">
            <v>0.2</v>
          </cell>
          <cell r="K1678">
            <v>0.2</v>
          </cell>
        </row>
        <row r="1679">
          <cell r="A1679" t="str">
            <v>M2</v>
          </cell>
          <cell r="B1679" t="str">
            <v>A5C</v>
          </cell>
          <cell r="C1679" t="str">
            <v>P</v>
          </cell>
          <cell r="D1679" t="str">
            <v>23057</v>
          </cell>
          <cell r="E1679" t="str">
            <v>PIPE</v>
          </cell>
          <cell r="F1679">
            <v>1</v>
          </cell>
          <cell r="G1679" t="str">
            <v>CB100508000T00</v>
          </cell>
          <cell r="H1679">
            <v>0.75</v>
          </cell>
          <cell r="I1679" t="str">
            <v>--</v>
          </cell>
          <cell r="J1679">
            <v>0.3</v>
          </cell>
          <cell r="K1679">
            <v>0.3</v>
          </cell>
        </row>
        <row r="1680">
          <cell r="A1680" t="str">
            <v>M2</v>
          </cell>
          <cell r="B1680" t="str">
            <v>A5C</v>
          </cell>
          <cell r="C1680" t="str">
            <v>P</v>
          </cell>
          <cell r="D1680" t="str">
            <v>23018</v>
          </cell>
          <cell r="E1680" t="str">
            <v>PIPE</v>
          </cell>
          <cell r="F1680">
            <v>1</v>
          </cell>
          <cell r="G1680" t="str">
            <v>CB100508000T00</v>
          </cell>
          <cell r="H1680">
            <v>0.75</v>
          </cell>
          <cell r="I1680" t="str">
            <v>--</v>
          </cell>
          <cell r="J1680">
            <v>0.3</v>
          </cell>
          <cell r="K1680">
            <v>0.3</v>
          </cell>
        </row>
        <row r="1681">
          <cell r="A1681" t="str">
            <v>M2</v>
          </cell>
          <cell r="B1681" t="str">
            <v>A5C</v>
          </cell>
          <cell r="C1681" t="str">
            <v>P</v>
          </cell>
          <cell r="D1681" t="str">
            <v>23005</v>
          </cell>
          <cell r="E1681" t="str">
            <v>PIPE</v>
          </cell>
          <cell r="F1681">
            <v>1</v>
          </cell>
          <cell r="G1681" t="str">
            <v>CB100508000T00</v>
          </cell>
          <cell r="H1681">
            <v>0.75</v>
          </cell>
          <cell r="I1681" t="str">
            <v>--</v>
          </cell>
          <cell r="J1681">
            <v>0.4</v>
          </cell>
          <cell r="K1681">
            <v>0.4</v>
          </cell>
        </row>
        <row r="1682">
          <cell r="A1682" t="str">
            <v>M2</v>
          </cell>
          <cell r="B1682" t="str">
            <v>A5C</v>
          </cell>
          <cell r="C1682" t="str">
            <v>P</v>
          </cell>
          <cell r="D1682" t="str">
            <v>23052</v>
          </cell>
          <cell r="E1682" t="str">
            <v>PIPE</v>
          </cell>
          <cell r="F1682">
            <v>1</v>
          </cell>
          <cell r="G1682" t="str">
            <v>CB100508000T00</v>
          </cell>
          <cell r="H1682">
            <v>0.75</v>
          </cell>
          <cell r="I1682" t="str">
            <v>--</v>
          </cell>
          <cell r="J1682">
            <v>0.4</v>
          </cell>
          <cell r="K1682">
            <v>0.4</v>
          </cell>
        </row>
        <row r="1683">
          <cell r="A1683" t="str">
            <v>M2</v>
          </cell>
          <cell r="B1683" t="str">
            <v>A5C</v>
          </cell>
          <cell r="C1683" t="str">
            <v>P</v>
          </cell>
          <cell r="D1683" t="str">
            <v>23110</v>
          </cell>
          <cell r="E1683" t="str">
            <v>PIPE</v>
          </cell>
          <cell r="F1683">
            <v>1</v>
          </cell>
          <cell r="G1683" t="str">
            <v>CB100508000T00</v>
          </cell>
          <cell r="H1683">
            <v>0.75</v>
          </cell>
          <cell r="I1683" t="str">
            <v>--</v>
          </cell>
          <cell r="J1683">
            <v>0.4</v>
          </cell>
          <cell r="K1683">
            <v>0.4</v>
          </cell>
        </row>
        <row r="1684">
          <cell r="A1684" t="str">
            <v>M2</v>
          </cell>
          <cell r="B1684" t="str">
            <v>A5C</v>
          </cell>
          <cell r="C1684" t="str">
            <v>P</v>
          </cell>
          <cell r="D1684" t="str">
            <v>23114</v>
          </cell>
          <cell r="E1684" t="str">
            <v>PIPE</v>
          </cell>
          <cell r="F1684">
            <v>1</v>
          </cell>
          <cell r="G1684" t="str">
            <v>CB100508000T00</v>
          </cell>
          <cell r="H1684">
            <v>0.75</v>
          </cell>
          <cell r="I1684" t="str">
            <v>--</v>
          </cell>
          <cell r="J1684">
            <v>0.4</v>
          </cell>
          <cell r="K1684">
            <v>0.4</v>
          </cell>
        </row>
        <row r="1685">
          <cell r="A1685" t="str">
            <v>M2</v>
          </cell>
          <cell r="B1685" t="str">
            <v>A5C</v>
          </cell>
          <cell r="C1685" t="str">
            <v>P</v>
          </cell>
          <cell r="D1685" t="str">
            <v>23152</v>
          </cell>
          <cell r="E1685" t="str">
            <v>PIPE</v>
          </cell>
          <cell r="F1685">
            <v>1</v>
          </cell>
          <cell r="G1685" t="str">
            <v>CB100508000T00</v>
          </cell>
          <cell r="H1685">
            <v>0.75</v>
          </cell>
          <cell r="I1685" t="str">
            <v>--</v>
          </cell>
          <cell r="J1685">
            <v>0.4</v>
          </cell>
          <cell r="K1685">
            <v>0.4</v>
          </cell>
        </row>
        <row r="1686">
          <cell r="A1686" t="str">
            <v>M2</v>
          </cell>
          <cell r="B1686" t="str">
            <v>A5C</v>
          </cell>
          <cell r="C1686" t="str">
            <v>P</v>
          </cell>
          <cell r="D1686" t="str">
            <v>23160</v>
          </cell>
          <cell r="E1686" t="str">
            <v>PIPE</v>
          </cell>
          <cell r="F1686">
            <v>1</v>
          </cell>
          <cell r="G1686" t="str">
            <v>CB100508000T00</v>
          </cell>
          <cell r="H1686">
            <v>0.75</v>
          </cell>
          <cell r="I1686" t="str">
            <v>--</v>
          </cell>
          <cell r="J1686">
            <v>0.4</v>
          </cell>
          <cell r="K1686">
            <v>0.4</v>
          </cell>
        </row>
        <row r="1687">
          <cell r="A1687" t="str">
            <v>M2</v>
          </cell>
          <cell r="B1687" t="str">
            <v>A5C</v>
          </cell>
          <cell r="C1687" t="str">
            <v>P</v>
          </cell>
          <cell r="D1687" t="str">
            <v>23164</v>
          </cell>
          <cell r="E1687" t="str">
            <v>PIPE</v>
          </cell>
          <cell r="F1687">
            <v>1</v>
          </cell>
          <cell r="G1687" t="str">
            <v>CB100508000T00</v>
          </cell>
          <cell r="H1687">
            <v>0.75</v>
          </cell>
          <cell r="I1687" t="str">
            <v>--</v>
          </cell>
          <cell r="J1687">
            <v>0.4</v>
          </cell>
          <cell r="K1687">
            <v>0.4</v>
          </cell>
        </row>
        <row r="1688">
          <cell r="A1688" t="str">
            <v>M2</v>
          </cell>
          <cell r="B1688" t="str">
            <v>A5C</v>
          </cell>
          <cell r="C1688" t="str">
            <v>P</v>
          </cell>
          <cell r="D1688" t="str">
            <v>23185</v>
          </cell>
          <cell r="E1688" t="str">
            <v>PIPE</v>
          </cell>
          <cell r="F1688">
            <v>1</v>
          </cell>
          <cell r="G1688" t="str">
            <v>CB100508000T00</v>
          </cell>
          <cell r="H1688">
            <v>0.75</v>
          </cell>
          <cell r="I1688" t="str">
            <v>--</v>
          </cell>
          <cell r="J1688">
            <v>0.4</v>
          </cell>
          <cell r="K1688">
            <v>0.4</v>
          </cell>
        </row>
        <row r="1689">
          <cell r="A1689" t="str">
            <v>M2</v>
          </cell>
          <cell r="B1689" t="str">
            <v>A5C</v>
          </cell>
          <cell r="C1689" t="str">
            <v>P</v>
          </cell>
          <cell r="D1689" t="str">
            <v>23240</v>
          </cell>
          <cell r="E1689" t="str">
            <v>PIPE</v>
          </cell>
          <cell r="F1689">
            <v>1</v>
          </cell>
          <cell r="G1689" t="str">
            <v>CB100508000T00</v>
          </cell>
          <cell r="H1689">
            <v>0.75</v>
          </cell>
          <cell r="I1689" t="str">
            <v>--</v>
          </cell>
          <cell r="J1689">
            <v>0.4</v>
          </cell>
          <cell r="K1689">
            <v>0.4</v>
          </cell>
        </row>
        <row r="1690">
          <cell r="A1690" t="str">
            <v>M2</v>
          </cell>
          <cell r="B1690" t="str">
            <v>A5C</v>
          </cell>
          <cell r="C1690" t="str">
            <v>P</v>
          </cell>
          <cell r="D1690" t="str">
            <v>24014</v>
          </cell>
          <cell r="E1690" t="str">
            <v>PIPE</v>
          </cell>
          <cell r="F1690">
            <v>1</v>
          </cell>
          <cell r="G1690" t="str">
            <v>CB100508000T00</v>
          </cell>
          <cell r="H1690">
            <v>0.75</v>
          </cell>
          <cell r="I1690" t="str">
            <v>--</v>
          </cell>
          <cell r="J1690">
            <v>0.4</v>
          </cell>
          <cell r="K1690">
            <v>0.4</v>
          </cell>
        </row>
        <row r="1691">
          <cell r="A1691" t="str">
            <v>M2</v>
          </cell>
          <cell r="B1691" t="str">
            <v>A5C</v>
          </cell>
          <cell r="C1691" t="str">
            <v>P</v>
          </cell>
          <cell r="D1691" t="str">
            <v>24021</v>
          </cell>
          <cell r="E1691" t="str">
            <v>PIPE</v>
          </cell>
          <cell r="F1691">
            <v>1</v>
          </cell>
          <cell r="G1691" t="str">
            <v>CB100508000T00</v>
          </cell>
          <cell r="H1691">
            <v>0.75</v>
          </cell>
          <cell r="I1691" t="str">
            <v>--</v>
          </cell>
          <cell r="J1691">
            <v>0.4</v>
          </cell>
          <cell r="K1691">
            <v>0.4</v>
          </cell>
        </row>
        <row r="1692">
          <cell r="A1692" t="str">
            <v>M2</v>
          </cell>
          <cell r="B1692" t="str">
            <v>A5C</v>
          </cell>
          <cell r="C1692" t="str">
            <v>P</v>
          </cell>
          <cell r="D1692" t="str">
            <v>23011</v>
          </cell>
          <cell r="E1692" t="str">
            <v>PIPE</v>
          </cell>
          <cell r="F1692">
            <v>1</v>
          </cell>
          <cell r="G1692" t="str">
            <v>CB100508000T00</v>
          </cell>
          <cell r="H1692">
            <v>0.75</v>
          </cell>
          <cell r="I1692" t="str">
            <v>--</v>
          </cell>
          <cell r="J1692">
            <v>0.4</v>
          </cell>
          <cell r="K1692">
            <v>0.4</v>
          </cell>
        </row>
        <row r="1693">
          <cell r="A1693" t="str">
            <v>M2</v>
          </cell>
          <cell r="B1693" t="str">
            <v>A5C</v>
          </cell>
          <cell r="C1693" t="str">
            <v>P</v>
          </cell>
          <cell r="D1693" t="str">
            <v>23037</v>
          </cell>
          <cell r="E1693" t="str">
            <v>PIPE</v>
          </cell>
          <cell r="F1693">
            <v>1</v>
          </cell>
          <cell r="G1693" t="str">
            <v>CB100508000T00</v>
          </cell>
          <cell r="H1693">
            <v>0.75</v>
          </cell>
          <cell r="I1693" t="str">
            <v>--</v>
          </cell>
          <cell r="J1693">
            <v>0.4</v>
          </cell>
          <cell r="K1693">
            <v>0.4</v>
          </cell>
        </row>
        <row r="1694">
          <cell r="A1694" t="str">
            <v>M2</v>
          </cell>
          <cell r="B1694" t="str">
            <v>A5C</v>
          </cell>
          <cell r="C1694" t="str">
            <v>P</v>
          </cell>
          <cell r="D1694" t="str">
            <v>23095</v>
          </cell>
          <cell r="E1694" t="str">
            <v>PIPE</v>
          </cell>
          <cell r="F1694">
            <v>1</v>
          </cell>
          <cell r="G1694" t="str">
            <v>CB100508000T00</v>
          </cell>
          <cell r="H1694">
            <v>0.75</v>
          </cell>
          <cell r="I1694" t="str">
            <v>--</v>
          </cell>
          <cell r="J1694">
            <v>0.4</v>
          </cell>
          <cell r="K1694">
            <v>0.4</v>
          </cell>
        </row>
        <row r="1695">
          <cell r="A1695" t="str">
            <v>M2</v>
          </cell>
          <cell r="B1695" t="str">
            <v>A5C</v>
          </cell>
          <cell r="C1695" t="str">
            <v>P</v>
          </cell>
          <cell r="D1695" t="str">
            <v>23102</v>
          </cell>
          <cell r="E1695" t="str">
            <v>PIPE</v>
          </cell>
          <cell r="F1695">
            <v>1</v>
          </cell>
          <cell r="G1695" t="str">
            <v>CB100508000T00</v>
          </cell>
          <cell r="H1695">
            <v>0.75</v>
          </cell>
          <cell r="I1695" t="str">
            <v>--</v>
          </cell>
          <cell r="J1695">
            <v>0.4</v>
          </cell>
          <cell r="K1695">
            <v>0.4</v>
          </cell>
        </row>
        <row r="1696">
          <cell r="A1696" t="str">
            <v>M2</v>
          </cell>
          <cell r="B1696" t="str">
            <v>A5C</v>
          </cell>
          <cell r="C1696" t="str">
            <v>P</v>
          </cell>
          <cell r="D1696" t="str">
            <v>23106</v>
          </cell>
          <cell r="E1696" t="str">
            <v>PIPE</v>
          </cell>
          <cell r="F1696">
            <v>1</v>
          </cell>
          <cell r="G1696" t="str">
            <v>CB100508000T00</v>
          </cell>
          <cell r="H1696">
            <v>0.75</v>
          </cell>
          <cell r="I1696" t="str">
            <v>--</v>
          </cell>
          <cell r="J1696">
            <v>0.4</v>
          </cell>
          <cell r="K1696">
            <v>0.4</v>
          </cell>
        </row>
        <row r="1697">
          <cell r="A1697" t="str">
            <v>M2</v>
          </cell>
          <cell r="B1697" t="str">
            <v>A5C</v>
          </cell>
          <cell r="C1697" t="str">
            <v>P</v>
          </cell>
          <cell r="D1697" t="str">
            <v>23236</v>
          </cell>
          <cell r="E1697" t="str">
            <v>PIPE</v>
          </cell>
          <cell r="F1697">
            <v>1</v>
          </cell>
          <cell r="G1697" t="str">
            <v>CB100508000T00</v>
          </cell>
          <cell r="H1697">
            <v>0.75</v>
          </cell>
          <cell r="I1697" t="str">
            <v>--</v>
          </cell>
          <cell r="J1697">
            <v>0.4</v>
          </cell>
          <cell r="K1697">
            <v>0.4</v>
          </cell>
        </row>
        <row r="1698">
          <cell r="A1698" t="str">
            <v>M2</v>
          </cell>
          <cell r="B1698" t="str">
            <v>A5C</v>
          </cell>
          <cell r="C1698" t="str">
            <v>P</v>
          </cell>
          <cell r="D1698" t="str">
            <v>23018</v>
          </cell>
          <cell r="E1698" t="str">
            <v>PIPE</v>
          </cell>
          <cell r="F1698">
            <v>1</v>
          </cell>
          <cell r="G1698" t="str">
            <v>CB100508000T00</v>
          </cell>
          <cell r="H1698">
            <v>0.75</v>
          </cell>
          <cell r="I1698" t="str">
            <v>--</v>
          </cell>
          <cell r="J1698">
            <v>0.4</v>
          </cell>
          <cell r="K1698">
            <v>0.4</v>
          </cell>
        </row>
        <row r="1699">
          <cell r="A1699" t="str">
            <v>M2</v>
          </cell>
          <cell r="B1699" t="str">
            <v>A5C</v>
          </cell>
          <cell r="C1699" t="str">
            <v>P</v>
          </cell>
          <cell r="D1699" t="str">
            <v>23032</v>
          </cell>
          <cell r="E1699" t="str">
            <v>PIPE</v>
          </cell>
          <cell r="F1699">
            <v>1</v>
          </cell>
          <cell r="G1699" t="str">
            <v>CB100508000T00</v>
          </cell>
          <cell r="H1699">
            <v>0.75</v>
          </cell>
          <cell r="I1699" t="str">
            <v>--</v>
          </cell>
          <cell r="J1699">
            <v>0.4</v>
          </cell>
          <cell r="K1699">
            <v>0.4</v>
          </cell>
        </row>
        <row r="1700">
          <cell r="A1700" t="str">
            <v>M2</v>
          </cell>
          <cell r="B1700" t="str">
            <v>A5C</v>
          </cell>
          <cell r="C1700" t="str">
            <v>P</v>
          </cell>
          <cell r="D1700" t="str">
            <v>24027</v>
          </cell>
          <cell r="E1700" t="str">
            <v>PIPE</v>
          </cell>
          <cell r="F1700">
            <v>1</v>
          </cell>
          <cell r="G1700" t="str">
            <v>CB100508000T00</v>
          </cell>
          <cell r="H1700">
            <v>0.75</v>
          </cell>
          <cell r="I1700" t="str">
            <v>--</v>
          </cell>
          <cell r="J1700">
            <v>0.4</v>
          </cell>
          <cell r="K1700">
            <v>0.4</v>
          </cell>
        </row>
        <row r="1701">
          <cell r="A1701" t="str">
            <v>M2</v>
          </cell>
          <cell r="B1701" t="str">
            <v>A5C</v>
          </cell>
          <cell r="C1701" t="str">
            <v>N</v>
          </cell>
          <cell r="D1701" t="str">
            <v>23628</v>
          </cell>
          <cell r="E1701" t="str">
            <v>PIPE</v>
          </cell>
          <cell r="F1701">
            <v>1</v>
          </cell>
          <cell r="G1701" t="str">
            <v>CB100508000T00</v>
          </cell>
          <cell r="H1701">
            <v>0.75</v>
          </cell>
          <cell r="I1701" t="str">
            <v>--</v>
          </cell>
          <cell r="J1701">
            <v>0.5</v>
          </cell>
          <cell r="K1701">
            <v>0.5</v>
          </cell>
        </row>
        <row r="1702">
          <cell r="A1702" t="str">
            <v>M2</v>
          </cell>
          <cell r="B1702" t="str">
            <v>A5C</v>
          </cell>
          <cell r="C1702" t="str">
            <v>N</v>
          </cell>
          <cell r="D1702" t="str">
            <v>23629</v>
          </cell>
          <cell r="E1702" t="str">
            <v>PIPE</v>
          </cell>
          <cell r="F1702">
            <v>1</v>
          </cell>
          <cell r="G1702" t="str">
            <v>CB100508000T00</v>
          </cell>
          <cell r="H1702">
            <v>0.75</v>
          </cell>
          <cell r="I1702" t="str">
            <v>--</v>
          </cell>
          <cell r="J1702">
            <v>0.5</v>
          </cell>
          <cell r="K1702">
            <v>0.5</v>
          </cell>
        </row>
        <row r="1703">
          <cell r="A1703" t="str">
            <v>M2</v>
          </cell>
          <cell r="B1703" t="str">
            <v>A5C</v>
          </cell>
          <cell r="C1703" t="str">
            <v>N</v>
          </cell>
          <cell r="D1703" t="str">
            <v>23630</v>
          </cell>
          <cell r="E1703" t="str">
            <v>PIPE</v>
          </cell>
          <cell r="F1703">
            <v>1</v>
          </cell>
          <cell r="G1703" t="str">
            <v>CB100508000T00</v>
          </cell>
          <cell r="H1703">
            <v>0.75</v>
          </cell>
          <cell r="I1703" t="str">
            <v>--</v>
          </cell>
          <cell r="J1703">
            <v>0.5</v>
          </cell>
          <cell r="K1703">
            <v>0.5</v>
          </cell>
        </row>
        <row r="1704">
          <cell r="A1704" t="str">
            <v>M2</v>
          </cell>
          <cell r="B1704" t="str">
            <v>A5C</v>
          </cell>
          <cell r="C1704" t="str">
            <v>N</v>
          </cell>
          <cell r="D1704" t="str">
            <v>23641</v>
          </cell>
          <cell r="E1704" t="str">
            <v>PIPE</v>
          </cell>
          <cell r="F1704">
            <v>1</v>
          </cell>
          <cell r="G1704" t="str">
            <v>CB100508000T00</v>
          </cell>
          <cell r="H1704">
            <v>0.75</v>
          </cell>
          <cell r="I1704" t="str">
            <v>--</v>
          </cell>
          <cell r="J1704">
            <v>0.5</v>
          </cell>
          <cell r="K1704">
            <v>0.5</v>
          </cell>
        </row>
        <row r="1705">
          <cell r="A1705" t="str">
            <v>M2</v>
          </cell>
          <cell r="B1705" t="str">
            <v>A5C</v>
          </cell>
          <cell r="C1705" t="str">
            <v>P</v>
          </cell>
          <cell r="D1705" t="str">
            <v>23058</v>
          </cell>
          <cell r="E1705" t="str">
            <v>PIPE</v>
          </cell>
          <cell r="F1705">
            <v>1</v>
          </cell>
          <cell r="G1705" t="str">
            <v>CB100508000T00</v>
          </cell>
          <cell r="H1705">
            <v>0.75</v>
          </cell>
          <cell r="I1705" t="str">
            <v>--</v>
          </cell>
          <cell r="J1705">
            <v>0.5</v>
          </cell>
          <cell r="K1705">
            <v>0.5</v>
          </cell>
        </row>
        <row r="1706">
          <cell r="A1706" t="str">
            <v>M2</v>
          </cell>
          <cell r="B1706" t="str">
            <v>A5C</v>
          </cell>
          <cell r="C1706" t="str">
            <v>P</v>
          </cell>
          <cell r="D1706" t="str">
            <v>23073</v>
          </cell>
          <cell r="E1706" t="str">
            <v>PIPE</v>
          </cell>
          <cell r="F1706">
            <v>1</v>
          </cell>
          <cell r="G1706" t="str">
            <v>CB100508000T00</v>
          </cell>
          <cell r="H1706">
            <v>0.75</v>
          </cell>
          <cell r="I1706" t="str">
            <v>--</v>
          </cell>
          <cell r="J1706">
            <v>0.5</v>
          </cell>
          <cell r="K1706">
            <v>0.5</v>
          </cell>
        </row>
        <row r="1707">
          <cell r="A1707" t="str">
            <v>M2</v>
          </cell>
          <cell r="B1707" t="str">
            <v>A5C</v>
          </cell>
          <cell r="C1707" t="str">
            <v>P</v>
          </cell>
          <cell r="D1707" t="str">
            <v>23181</v>
          </cell>
          <cell r="E1707" t="str">
            <v>PIPE</v>
          </cell>
          <cell r="F1707">
            <v>1</v>
          </cell>
          <cell r="G1707" t="str">
            <v>CB100508000T00</v>
          </cell>
          <cell r="H1707">
            <v>0.75</v>
          </cell>
          <cell r="I1707" t="str">
            <v>--</v>
          </cell>
          <cell r="J1707">
            <v>0.5</v>
          </cell>
          <cell r="K1707">
            <v>0.5</v>
          </cell>
        </row>
        <row r="1708">
          <cell r="A1708" t="str">
            <v>M2</v>
          </cell>
          <cell r="B1708" t="str">
            <v>A5C</v>
          </cell>
          <cell r="C1708" t="str">
            <v>N</v>
          </cell>
          <cell r="D1708" t="str">
            <v>23645</v>
          </cell>
          <cell r="E1708" t="str">
            <v>PIPE</v>
          </cell>
          <cell r="F1708">
            <v>1</v>
          </cell>
          <cell r="G1708" t="str">
            <v>CB100508000T00</v>
          </cell>
          <cell r="H1708">
            <v>0.75</v>
          </cell>
          <cell r="I1708" t="str">
            <v>--</v>
          </cell>
          <cell r="J1708">
            <v>0.5</v>
          </cell>
          <cell r="K1708">
            <v>0.5</v>
          </cell>
        </row>
        <row r="1709">
          <cell r="A1709" t="str">
            <v>M2</v>
          </cell>
          <cell r="B1709" t="str">
            <v>A5C</v>
          </cell>
          <cell r="C1709" t="str">
            <v>P</v>
          </cell>
          <cell r="D1709" t="str">
            <v>23149</v>
          </cell>
          <cell r="E1709" t="str">
            <v>PIPE</v>
          </cell>
          <cell r="F1709">
            <v>1</v>
          </cell>
          <cell r="G1709" t="str">
            <v>CB100508000T00</v>
          </cell>
          <cell r="H1709">
            <v>0.75</v>
          </cell>
          <cell r="I1709" t="str">
            <v>--</v>
          </cell>
          <cell r="J1709">
            <v>0.5</v>
          </cell>
          <cell r="K1709">
            <v>0.5</v>
          </cell>
        </row>
        <row r="1710">
          <cell r="A1710" t="str">
            <v>M2</v>
          </cell>
          <cell r="B1710" t="str">
            <v>A5C</v>
          </cell>
          <cell r="C1710" t="str">
            <v>P</v>
          </cell>
          <cell r="D1710" t="str">
            <v>24003</v>
          </cell>
          <cell r="E1710" t="str">
            <v>PIPE</v>
          </cell>
          <cell r="F1710">
            <v>1</v>
          </cell>
          <cell r="G1710" t="str">
            <v>CB100508000T00</v>
          </cell>
          <cell r="H1710">
            <v>0.75</v>
          </cell>
          <cell r="I1710" t="str">
            <v>--</v>
          </cell>
          <cell r="J1710">
            <v>0.5</v>
          </cell>
          <cell r="K1710">
            <v>0.5</v>
          </cell>
        </row>
        <row r="1711">
          <cell r="A1711" t="str">
            <v>M2</v>
          </cell>
          <cell r="B1711" t="str">
            <v>A5C</v>
          </cell>
          <cell r="C1711" t="str">
            <v>P</v>
          </cell>
          <cell r="D1711" t="str">
            <v>23142</v>
          </cell>
          <cell r="E1711" t="str">
            <v>PIPE</v>
          </cell>
          <cell r="F1711">
            <v>1</v>
          </cell>
          <cell r="G1711" t="str">
            <v>CB100508000T00</v>
          </cell>
          <cell r="H1711">
            <v>0.75</v>
          </cell>
          <cell r="I1711" t="str">
            <v>--</v>
          </cell>
          <cell r="J1711">
            <v>0.8</v>
          </cell>
          <cell r="K1711">
            <v>0.8</v>
          </cell>
        </row>
        <row r="1712">
          <cell r="A1712" t="str">
            <v>M2</v>
          </cell>
          <cell r="B1712" t="str">
            <v>A5C</v>
          </cell>
          <cell r="C1712" t="str">
            <v>P</v>
          </cell>
          <cell r="D1712" t="str">
            <v>23246</v>
          </cell>
          <cell r="E1712" t="str">
            <v>PIPE</v>
          </cell>
          <cell r="F1712">
            <v>1</v>
          </cell>
          <cell r="G1712" t="str">
            <v>CB100508000T00</v>
          </cell>
          <cell r="H1712">
            <v>0.75</v>
          </cell>
          <cell r="I1712" t="str">
            <v>--</v>
          </cell>
          <cell r="J1712">
            <v>0.8</v>
          </cell>
          <cell r="K1712">
            <v>0.8</v>
          </cell>
        </row>
        <row r="1713">
          <cell r="A1713" t="str">
            <v>M2</v>
          </cell>
          <cell r="B1713" t="str">
            <v>A5C</v>
          </cell>
          <cell r="C1713" t="str">
            <v>P</v>
          </cell>
          <cell r="D1713" t="str">
            <v>23134</v>
          </cell>
          <cell r="E1713" t="str">
            <v>PIPE</v>
          </cell>
          <cell r="F1713">
            <v>1</v>
          </cell>
          <cell r="G1713" t="str">
            <v>CB100508000T00</v>
          </cell>
          <cell r="H1713">
            <v>0.75</v>
          </cell>
          <cell r="I1713" t="str">
            <v>--</v>
          </cell>
          <cell r="J1713">
            <v>0.8</v>
          </cell>
          <cell r="K1713">
            <v>0.8</v>
          </cell>
        </row>
        <row r="1714">
          <cell r="A1714" t="str">
            <v>M2</v>
          </cell>
          <cell r="B1714" t="str">
            <v>A5C</v>
          </cell>
          <cell r="C1714" t="str">
            <v>P</v>
          </cell>
          <cell r="D1714" t="str">
            <v>23146</v>
          </cell>
          <cell r="E1714" t="str">
            <v>PIPE</v>
          </cell>
          <cell r="F1714">
            <v>1</v>
          </cell>
          <cell r="G1714" t="str">
            <v>CB100508000T00</v>
          </cell>
          <cell r="H1714">
            <v>0.75</v>
          </cell>
          <cell r="I1714" t="str">
            <v>--</v>
          </cell>
          <cell r="J1714">
            <v>0.8</v>
          </cell>
          <cell r="K1714">
            <v>0.8</v>
          </cell>
        </row>
        <row r="1715">
          <cell r="A1715" t="str">
            <v>M2</v>
          </cell>
          <cell r="B1715" t="str">
            <v>A5C</v>
          </cell>
          <cell r="C1715" t="str">
            <v>P</v>
          </cell>
          <cell r="D1715" t="str">
            <v>23224</v>
          </cell>
          <cell r="E1715" t="str">
            <v>PIPE</v>
          </cell>
          <cell r="F1715">
            <v>1</v>
          </cell>
          <cell r="G1715" t="str">
            <v>CB100508000T00</v>
          </cell>
          <cell r="H1715">
            <v>0.75</v>
          </cell>
          <cell r="I1715" t="str">
            <v>--</v>
          </cell>
          <cell r="J1715">
            <v>0.8</v>
          </cell>
          <cell r="K1715">
            <v>0.8</v>
          </cell>
        </row>
        <row r="1716">
          <cell r="A1716" t="str">
            <v>M2</v>
          </cell>
          <cell r="B1716" t="str">
            <v>A5C</v>
          </cell>
          <cell r="C1716" t="str">
            <v>P</v>
          </cell>
          <cell r="D1716" t="str">
            <v>23084</v>
          </cell>
          <cell r="E1716" t="str">
            <v>PIPE</v>
          </cell>
          <cell r="F1716">
            <v>1</v>
          </cell>
          <cell r="G1716" t="str">
            <v>CB100508000T00</v>
          </cell>
          <cell r="H1716">
            <v>0.75</v>
          </cell>
          <cell r="I1716" t="str">
            <v>--</v>
          </cell>
          <cell r="J1716">
            <v>1</v>
          </cell>
          <cell r="K1716">
            <v>1</v>
          </cell>
        </row>
        <row r="1717">
          <cell r="A1717" t="str">
            <v>M2</v>
          </cell>
          <cell r="B1717" t="str">
            <v>A5C</v>
          </cell>
          <cell r="C1717" t="str">
            <v>P</v>
          </cell>
          <cell r="D1717" t="str">
            <v>23127</v>
          </cell>
          <cell r="E1717" t="str">
            <v>PIPE</v>
          </cell>
          <cell r="F1717">
            <v>1</v>
          </cell>
          <cell r="G1717" t="str">
            <v>CB100508000T00</v>
          </cell>
          <cell r="H1717">
            <v>0.75</v>
          </cell>
          <cell r="I1717" t="str">
            <v>--</v>
          </cell>
          <cell r="J1717">
            <v>1</v>
          </cell>
          <cell r="K1717">
            <v>1</v>
          </cell>
        </row>
        <row r="1718">
          <cell r="A1718" t="str">
            <v>M2</v>
          </cell>
          <cell r="B1718" t="str">
            <v>A5C</v>
          </cell>
          <cell r="C1718" t="str">
            <v>P</v>
          </cell>
          <cell r="D1718" t="str">
            <v>23208</v>
          </cell>
          <cell r="E1718" t="str">
            <v>PIPE</v>
          </cell>
          <cell r="F1718">
            <v>1</v>
          </cell>
          <cell r="G1718" t="str">
            <v>CB100508000T00</v>
          </cell>
          <cell r="H1718">
            <v>0.75</v>
          </cell>
          <cell r="I1718" t="str">
            <v>--</v>
          </cell>
          <cell r="J1718">
            <v>1</v>
          </cell>
          <cell r="K1718">
            <v>1</v>
          </cell>
        </row>
        <row r="1719">
          <cell r="A1719" t="str">
            <v>M2</v>
          </cell>
          <cell r="B1719" t="str">
            <v>A5C</v>
          </cell>
          <cell r="C1719" t="str">
            <v>P</v>
          </cell>
          <cell r="D1719" t="str">
            <v>23205</v>
          </cell>
          <cell r="E1719" t="str">
            <v>PIPE</v>
          </cell>
          <cell r="F1719">
            <v>1</v>
          </cell>
          <cell r="G1719" t="str">
            <v>CB100508000T00</v>
          </cell>
          <cell r="H1719">
            <v>0.75</v>
          </cell>
          <cell r="I1719" t="str">
            <v>--</v>
          </cell>
          <cell r="J1719">
            <v>1</v>
          </cell>
          <cell r="K1719">
            <v>1</v>
          </cell>
        </row>
        <row r="1720">
          <cell r="A1720" t="str">
            <v>M2</v>
          </cell>
          <cell r="B1720" t="str">
            <v>A5C</v>
          </cell>
          <cell r="C1720" t="str">
            <v>P</v>
          </cell>
          <cell r="D1720" t="str">
            <v>23206</v>
          </cell>
          <cell r="E1720" t="str">
            <v>PIPE</v>
          </cell>
          <cell r="F1720">
            <v>1</v>
          </cell>
          <cell r="G1720" t="str">
            <v>CB100508000T00</v>
          </cell>
          <cell r="H1720">
            <v>0.75</v>
          </cell>
          <cell r="I1720" t="str">
            <v>--</v>
          </cell>
          <cell r="J1720">
            <v>1</v>
          </cell>
          <cell r="K1720">
            <v>1</v>
          </cell>
        </row>
        <row r="1721">
          <cell r="A1721" t="str">
            <v>M2</v>
          </cell>
          <cell r="B1721" t="str">
            <v>A5C</v>
          </cell>
          <cell r="C1721" t="str">
            <v>P</v>
          </cell>
          <cell r="D1721" t="str">
            <v>23239</v>
          </cell>
          <cell r="E1721" t="str">
            <v>PIPE</v>
          </cell>
          <cell r="F1721">
            <v>1</v>
          </cell>
          <cell r="G1721" t="str">
            <v>CB100508000T00</v>
          </cell>
          <cell r="H1721">
            <v>0.75</v>
          </cell>
          <cell r="I1721" t="str">
            <v>--</v>
          </cell>
          <cell r="J1721">
            <v>1</v>
          </cell>
          <cell r="K1721">
            <v>1</v>
          </cell>
        </row>
        <row r="1722">
          <cell r="A1722" t="str">
            <v>M2</v>
          </cell>
          <cell r="B1722" t="str">
            <v>A5C</v>
          </cell>
          <cell r="C1722" t="str">
            <v>P</v>
          </cell>
          <cell r="D1722" t="str">
            <v>23235</v>
          </cell>
          <cell r="E1722" t="str">
            <v>PIPE</v>
          </cell>
          <cell r="F1722">
            <v>1</v>
          </cell>
          <cell r="G1722" t="str">
            <v>CB100508000T00</v>
          </cell>
          <cell r="H1722">
            <v>0.75</v>
          </cell>
          <cell r="I1722" t="str">
            <v>--</v>
          </cell>
          <cell r="J1722">
            <v>1</v>
          </cell>
          <cell r="K1722">
            <v>1</v>
          </cell>
        </row>
        <row r="1723">
          <cell r="A1723" t="str">
            <v>M2</v>
          </cell>
          <cell r="B1723" t="str">
            <v>A5C</v>
          </cell>
          <cell r="C1723" t="str">
            <v>TRIM</v>
          </cell>
          <cell r="D1723" t="str">
            <v>V-2315</v>
          </cell>
          <cell r="E1723" t="str">
            <v>PIPE</v>
          </cell>
          <cell r="F1723">
            <v>1</v>
          </cell>
          <cell r="G1723" t="str">
            <v>CB100508000T00</v>
          </cell>
          <cell r="H1723">
            <v>0.75</v>
          </cell>
          <cell r="I1723" t="str">
            <v>--</v>
          </cell>
          <cell r="J1723">
            <v>1</v>
          </cell>
          <cell r="K1723">
            <v>1</v>
          </cell>
        </row>
        <row r="1724">
          <cell r="A1724" t="str">
            <v>M2</v>
          </cell>
          <cell r="B1724" t="str">
            <v>A5C</v>
          </cell>
          <cell r="C1724" t="str">
            <v>TRIM</v>
          </cell>
          <cell r="D1724" t="str">
            <v>V-2320</v>
          </cell>
          <cell r="E1724" t="str">
            <v>PIPE</v>
          </cell>
          <cell r="F1724">
            <v>1</v>
          </cell>
          <cell r="G1724" t="str">
            <v>CB100508000T00</v>
          </cell>
          <cell r="H1724">
            <v>0.75</v>
          </cell>
          <cell r="I1724" t="str">
            <v>--</v>
          </cell>
          <cell r="J1724">
            <v>1</v>
          </cell>
          <cell r="K1724">
            <v>1</v>
          </cell>
        </row>
        <row r="1725">
          <cell r="A1725" t="str">
            <v>M2</v>
          </cell>
          <cell r="B1725" t="str">
            <v>A5C</v>
          </cell>
          <cell r="C1725" t="str">
            <v>TRIM</v>
          </cell>
          <cell r="D1725" t="str">
            <v>V-2321</v>
          </cell>
          <cell r="E1725" t="str">
            <v>PIPE</v>
          </cell>
          <cell r="F1725">
            <v>1</v>
          </cell>
          <cell r="G1725" t="str">
            <v>CB100508000T00</v>
          </cell>
          <cell r="H1725">
            <v>0.75</v>
          </cell>
          <cell r="I1725" t="str">
            <v>--</v>
          </cell>
          <cell r="J1725">
            <v>1</v>
          </cell>
          <cell r="K1725">
            <v>1</v>
          </cell>
        </row>
        <row r="1726">
          <cell r="A1726" t="str">
            <v>M2</v>
          </cell>
          <cell r="B1726" t="str">
            <v>A5C</v>
          </cell>
          <cell r="C1726" t="str">
            <v>TRIM</v>
          </cell>
          <cell r="D1726" t="str">
            <v>V-2317</v>
          </cell>
          <cell r="E1726" t="str">
            <v>PIPE</v>
          </cell>
          <cell r="F1726">
            <v>1</v>
          </cell>
          <cell r="G1726" t="str">
            <v>CB100508000T00</v>
          </cell>
          <cell r="H1726">
            <v>0.75</v>
          </cell>
          <cell r="I1726" t="str">
            <v>--</v>
          </cell>
          <cell r="J1726">
            <v>1</v>
          </cell>
          <cell r="K1726">
            <v>1</v>
          </cell>
        </row>
        <row r="1727">
          <cell r="A1727" t="str">
            <v>M2</v>
          </cell>
          <cell r="B1727" t="str">
            <v>A5C</v>
          </cell>
          <cell r="C1727" t="str">
            <v>TRIM</v>
          </cell>
          <cell r="D1727" t="str">
            <v>V-2323</v>
          </cell>
          <cell r="E1727" t="str">
            <v>PIPE</v>
          </cell>
          <cell r="F1727">
            <v>1</v>
          </cell>
          <cell r="G1727" t="str">
            <v>CB100508000T00</v>
          </cell>
          <cell r="H1727">
            <v>0.75</v>
          </cell>
          <cell r="I1727" t="str">
            <v>--</v>
          </cell>
          <cell r="J1727">
            <v>1</v>
          </cell>
          <cell r="K1727">
            <v>1</v>
          </cell>
        </row>
        <row r="1728">
          <cell r="A1728" t="str">
            <v>M2</v>
          </cell>
          <cell r="B1728" t="str">
            <v>A5C</v>
          </cell>
          <cell r="C1728" t="str">
            <v>TRIM</v>
          </cell>
          <cell r="D1728" t="str">
            <v>V-2319</v>
          </cell>
          <cell r="E1728" t="str">
            <v>PIPE</v>
          </cell>
          <cell r="F1728">
            <v>1</v>
          </cell>
          <cell r="G1728" t="str">
            <v>CB100508000T00</v>
          </cell>
          <cell r="H1728">
            <v>0.75</v>
          </cell>
          <cell r="I1728" t="str">
            <v>--</v>
          </cell>
          <cell r="J1728">
            <v>1</v>
          </cell>
          <cell r="K1728">
            <v>1</v>
          </cell>
        </row>
        <row r="1729">
          <cell r="A1729" t="str">
            <v>M2</v>
          </cell>
          <cell r="B1729" t="str">
            <v>A5C</v>
          </cell>
          <cell r="C1729" t="str">
            <v>TRIM</v>
          </cell>
          <cell r="D1729" t="str">
            <v>V-2329</v>
          </cell>
          <cell r="E1729" t="str">
            <v>PIPE</v>
          </cell>
          <cell r="F1729">
            <v>1</v>
          </cell>
          <cell r="G1729" t="str">
            <v>CB100508000T00</v>
          </cell>
          <cell r="H1729">
            <v>0.75</v>
          </cell>
          <cell r="I1729" t="str">
            <v>--</v>
          </cell>
          <cell r="J1729">
            <v>1</v>
          </cell>
          <cell r="K1729">
            <v>1</v>
          </cell>
        </row>
        <row r="1730">
          <cell r="A1730" t="str">
            <v>M2</v>
          </cell>
          <cell r="B1730" t="str">
            <v>A5C</v>
          </cell>
          <cell r="C1730" t="str">
            <v>TRIM</v>
          </cell>
          <cell r="D1730" t="str">
            <v>V-2351</v>
          </cell>
          <cell r="E1730" t="str">
            <v>PIPE</v>
          </cell>
          <cell r="F1730">
            <v>1</v>
          </cell>
          <cell r="G1730" t="str">
            <v>CB100508000T00</v>
          </cell>
          <cell r="H1730">
            <v>0.75</v>
          </cell>
          <cell r="I1730" t="str">
            <v>--</v>
          </cell>
          <cell r="J1730">
            <v>1</v>
          </cell>
          <cell r="K1730">
            <v>1</v>
          </cell>
        </row>
        <row r="1731">
          <cell r="A1731" t="str">
            <v>M2</v>
          </cell>
          <cell r="B1731" t="str">
            <v>A5C</v>
          </cell>
          <cell r="C1731" t="str">
            <v>P</v>
          </cell>
          <cell r="D1731" t="str">
            <v>23068</v>
          </cell>
          <cell r="E1731" t="str">
            <v>PIPE</v>
          </cell>
          <cell r="F1731">
            <v>1</v>
          </cell>
          <cell r="G1731" t="str">
            <v>CB100508000T00</v>
          </cell>
          <cell r="H1731">
            <v>0.75</v>
          </cell>
          <cell r="I1731" t="str">
            <v>--</v>
          </cell>
          <cell r="J1731">
            <v>1</v>
          </cell>
          <cell r="K1731">
            <v>1</v>
          </cell>
        </row>
        <row r="1732">
          <cell r="A1732" t="str">
            <v>M2</v>
          </cell>
          <cell r="B1732" t="str">
            <v>A5C</v>
          </cell>
          <cell r="C1732" t="str">
            <v>P</v>
          </cell>
          <cell r="D1732" t="str">
            <v>23123</v>
          </cell>
          <cell r="E1732" t="str">
            <v>PIPE</v>
          </cell>
          <cell r="F1732">
            <v>1</v>
          </cell>
          <cell r="G1732" t="str">
            <v>CB100508000T00</v>
          </cell>
          <cell r="H1732">
            <v>0.75</v>
          </cell>
          <cell r="I1732" t="str">
            <v>--</v>
          </cell>
          <cell r="J1732">
            <v>1</v>
          </cell>
          <cell r="K1732">
            <v>1</v>
          </cell>
        </row>
        <row r="1733">
          <cell r="A1733" t="str">
            <v>M2</v>
          </cell>
          <cell r="B1733" t="str">
            <v>A5C</v>
          </cell>
          <cell r="C1733" t="str">
            <v>P</v>
          </cell>
          <cell r="D1733" t="str">
            <v>23204</v>
          </cell>
          <cell r="E1733" t="str">
            <v>PIPE</v>
          </cell>
          <cell r="F1733">
            <v>1</v>
          </cell>
          <cell r="G1733" t="str">
            <v>CB100508000T00</v>
          </cell>
          <cell r="H1733">
            <v>0.75</v>
          </cell>
          <cell r="I1733" t="str">
            <v>--</v>
          </cell>
          <cell r="J1733">
            <v>1</v>
          </cell>
          <cell r="K1733">
            <v>1</v>
          </cell>
        </row>
        <row r="1734">
          <cell r="A1734" t="str">
            <v>M2</v>
          </cell>
          <cell r="B1734" t="str">
            <v>A5C</v>
          </cell>
          <cell r="C1734" t="str">
            <v>P</v>
          </cell>
          <cell r="D1734" t="str">
            <v>23207</v>
          </cell>
          <cell r="E1734" t="str">
            <v>PIPE</v>
          </cell>
          <cell r="F1734">
            <v>1</v>
          </cell>
          <cell r="G1734" t="str">
            <v>CB100508000T00</v>
          </cell>
          <cell r="H1734">
            <v>0.75</v>
          </cell>
          <cell r="I1734" t="str">
            <v>--</v>
          </cell>
          <cell r="J1734">
            <v>1</v>
          </cell>
          <cell r="K1734">
            <v>1</v>
          </cell>
        </row>
        <row r="1735">
          <cell r="A1735" t="str">
            <v>M2</v>
          </cell>
          <cell r="B1735" t="str">
            <v>A5C</v>
          </cell>
          <cell r="C1735" t="str">
            <v>TRIM</v>
          </cell>
          <cell r="D1735" t="str">
            <v>V-2301</v>
          </cell>
          <cell r="E1735" t="str">
            <v>PIPE</v>
          </cell>
          <cell r="F1735">
            <v>1</v>
          </cell>
          <cell r="G1735" t="str">
            <v>CB100508000T00</v>
          </cell>
          <cell r="H1735">
            <v>0.75</v>
          </cell>
          <cell r="I1735" t="str">
            <v>--</v>
          </cell>
          <cell r="J1735">
            <v>1</v>
          </cell>
          <cell r="K1735">
            <v>1</v>
          </cell>
        </row>
        <row r="1736">
          <cell r="A1736" t="str">
            <v>M2</v>
          </cell>
          <cell r="B1736" t="str">
            <v>A5C</v>
          </cell>
          <cell r="C1736" t="str">
            <v>TRIM</v>
          </cell>
          <cell r="D1736" t="str">
            <v>V-2316</v>
          </cell>
          <cell r="E1736" t="str">
            <v>PIPE</v>
          </cell>
          <cell r="F1736">
            <v>1</v>
          </cell>
          <cell r="G1736" t="str">
            <v>CB100508000T00</v>
          </cell>
          <cell r="H1736">
            <v>0.75</v>
          </cell>
          <cell r="I1736" t="str">
            <v>--</v>
          </cell>
          <cell r="J1736">
            <v>1</v>
          </cell>
          <cell r="K1736">
            <v>1</v>
          </cell>
        </row>
        <row r="1737">
          <cell r="A1737" t="str">
            <v>M2</v>
          </cell>
          <cell r="B1737" t="str">
            <v>A5C</v>
          </cell>
          <cell r="C1737" t="str">
            <v>TRIM</v>
          </cell>
          <cell r="D1737" t="str">
            <v>V-2318</v>
          </cell>
          <cell r="E1737" t="str">
            <v>PIPE</v>
          </cell>
          <cell r="F1737">
            <v>1</v>
          </cell>
          <cell r="G1737" t="str">
            <v>CB100508000T00</v>
          </cell>
          <cell r="H1737">
            <v>0.75</v>
          </cell>
          <cell r="I1737" t="str">
            <v>--</v>
          </cell>
          <cell r="J1737">
            <v>1</v>
          </cell>
          <cell r="K1737">
            <v>1</v>
          </cell>
        </row>
        <row r="1738">
          <cell r="A1738" t="str">
            <v>M2</v>
          </cell>
          <cell r="B1738" t="str">
            <v>A5C</v>
          </cell>
          <cell r="C1738" t="str">
            <v>TRIM</v>
          </cell>
          <cell r="D1738" t="str">
            <v>V-2324</v>
          </cell>
          <cell r="E1738" t="str">
            <v>PIPE</v>
          </cell>
          <cell r="F1738">
            <v>1</v>
          </cell>
          <cell r="G1738" t="str">
            <v>CB100508000T00</v>
          </cell>
          <cell r="H1738">
            <v>0.75</v>
          </cell>
          <cell r="I1738" t="str">
            <v>--</v>
          </cell>
          <cell r="J1738">
            <v>1</v>
          </cell>
          <cell r="K1738">
            <v>1</v>
          </cell>
        </row>
        <row r="1739">
          <cell r="A1739" t="str">
            <v>M2</v>
          </cell>
          <cell r="B1739" t="str">
            <v>A5C</v>
          </cell>
          <cell r="C1739" t="str">
            <v>TRIM</v>
          </cell>
          <cell r="D1739" t="str">
            <v>V-2330</v>
          </cell>
          <cell r="E1739" t="str">
            <v>PIPE</v>
          </cell>
          <cell r="F1739">
            <v>1</v>
          </cell>
          <cell r="G1739" t="str">
            <v>CB100508000T00</v>
          </cell>
          <cell r="H1739">
            <v>0.75</v>
          </cell>
          <cell r="I1739" t="str">
            <v>--</v>
          </cell>
          <cell r="J1739">
            <v>1</v>
          </cell>
          <cell r="K1739">
            <v>1</v>
          </cell>
        </row>
        <row r="1740">
          <cell r="A1740" t="str">
            <v>M2</v>
          </cell>
          <cell r="B1740" t="str">
            <v>A5C</v>
          </cell>
          <cell r="C1740" t="str">
            <v>TRIM</v>
          </cell>
          <cell r="D1740" t="str">
            <v>V-2331</v>
          </cell>
          <cell r="E1740" t="str">
            <v>PIPE</v>
          </cell>
          <cell r="F1740">
            <v>1</v>
          </cell>
          <cell r="G1740" t="str">
            <v>CB100508000T00</v>
          </cell>
          <cell r="H1740">
            <v>0.75</v>
          </cell>
          <cell r="I1740" t="str">
            <v>--</v>
          </cell>
          <cell r="J1740">
            <v>1</v>
          </cell>
          <cell r="K1740">
            <v>1</v>
          </cell>
        </row>
        <row r="1741">
          <cell r="A1741" t="str">
            <v>M2</v>
          </cell>
          <cell r="B1741" t="str">
            <v>A5C</v>
          </cell>
          <cell r="C1741" t="str">
            <v>TRIM</v>
          </cell>
          <cell r="D1741" t="str">
            <v>V-2332</v>
          </cell>
          <cell r="E1741" t="str">
            <v>PIPE</v>
          </cell>
          <cell r="F1741">
            <v>1</v>
          </cell>
          <cell r="G1741" t="str">
            <v>CB100508000T00</v>
          </cell>
          <cell r="H1741">
            <v>0.75</v>
          </cell>
          <cell r="I1741" t="str">
            <v>--</v>
          </cell>
          <cell r="J1741">
            <v>1</v>
          </cell>
          <cell r="K1741">
            <v>1</v>
          </cell>
        </row>
        <row r="1742">
          <cell r="A1742" t="str">
            <v>M2</v>
          </cell>
          <cell r="B1742" t="str">
            <v>A5C</v>
          </cell>
          <cell r="C1742" t="str">
            <v>TRIM</v>
          </cell>
          <cell r="D1742" t="str">
            <v>V-2333</v>
          </cell>
          <cell r="E1742" t="str">
            <v>PIPE</v>
          </cell>
          <cell r="F1742">
            <v>1</v>
          </cell>
          <cell r="G1742" t="str">
            <v>CB100508000T00</v>
          </cell>
          <cell r="H1742">
            <v>0.75</v>
          </cell>
          <cell r="I1742" t="str">
            <v>--</v>
          </cell>
          <cell r="J1742">
            <v>1</v>
          </cell>
          <cell r="K1742">
            <v>1</v>
          </cell>
        </row>
        <row r="1743">
          <cell r="A1743" t="str">
            <v>M2</v>
          </cell>
          <cell r="B1743" t="str">
            <v>A5C</v>
          </cell>
          <cell r="C1743" t="str">
            <v>TRIM</v>
          </cell>
          <cell r="D1743" t="str">
            <v>V-2352</v>
          </cell>
          <cell r="E1743" t="str">
            <v>PIPE</v>
          </cell>
          <cell r="F1743">
            <v>1</v>
          </cell>
          <cell r="G1743" t="str">
            <v>CB100508000T00</v>
          </cell>
          <cell r="H1743">
            <v>0.75</v>
          </cell>
          <cell r="I1743" t="str">
            <v>--</v>
          </cell>
          <cell r="J1743">
            <v>1</v>
          </cell>
          <cell r="K1743">
            <v>1</v>
          </cell>
        </row>
        <row r="1744">
          <cell r="A1744" t="str">
            <v>M2</v>
          </cell>
          <cell r="B1744" t="str">
            <v>A5C</v>
          </cell>
          <cell r="C1744" t="str">
            <v>TRIM</v>
          </cell>
          <cell r="D1744" t="str">
            <v>V-2302</v>
          </cell>
          <cell r="E1744" t="str">
            <v>PIPE</v>
          </cell>
          <cell r="F1744">
            <v>1</v>
          </cell>
          <cell r="G1744" t="str">
            <v>CB100508000T00</v>
          </cell>
          <cell r="H1744">
            <v>0.75</v>
          </cell>
          <cell r="I1744" t="str">
            <v>--</v>
          </cell>
          <cell r="J1744">
            <v>1</v>
          </cell>
          <cell r="K1744">
            <v>1</v>
          </cell>
        </row>
        <row r="1745">
          <cell r="A1745" t="str">
            <v>M2</v>
          </cell>
          <cell r="B1745" t="str">
            <v>A5C</v>
          </cell>
          <cell r="C1745" t="str">
            <v>TRIM</v>
          </cell>
          <cell r="D1745" t="str">
            <v>V-2306</v>
          </cell>
          <cell r="E1745" t="str">
            <v>PIPE</v>
          </cell>
          <cell r="F1745">
            <v>1</v>
          </cell>
          <cell r="G1745" t="str">
            <v>CB100508000T00</v>
          </cell>
          <cell r="H1745">
            <v>0.75</v>
          </cell>
          <cell r="I1745" t="str">
            <v>--</v>
          </cell>
          <cell r="J1745">
            <v>1</v>
          </cell>
          <cell r="K1745">
            <v>1</v>
          </cell>
        </row>
        <row r="1746">
          <cell r="A1746" t="str">
            <v>M2</v>
          </cell>
          <cell r="B1746" t="str">
            <v>A5C</v>
          </cell>
          <cell r="C1746" t="str">
            <v>TRIM</v>
          </cell>
          <cell r="D1746" t="str">
            <v>V-2308</v>
          </cell>
          <cell r="E1746" t="str">
            <v>PIPE</v>
          </cell>
          <cell r="F1746">
            <v>1</v>
          </cell>
          <cell r="G1746" t="str">
            <v>CB100508000T00</v>
          </cell>
          <cell r="H1746">
            <v>0.75</v>
          </cell>
          <cell r="I1746" t="str">
            <v>--</v>
          </cell>
          <cell r="J1746">
            <v>1</v>
          </cell>
          <cell r="K1746">
            <v>1</v>
          </cell>
        </row>
        <row r="1747">
          <cell r="A1747" t="str">
            <v>M2</v>
          </cell>
          <cell r="B1747" t="str">
            <v>A5C</v>
          </cell>
          <cell r="C1747" t="str">
            <v>TRIM</v>
          </cell>
          <cell r="D1747" t="str">
            <v>V-2313</v>
          </cell>
          <cell r="E1747" t="str">
            <v>PIPE</v>
          </cell>
          <cell r="F1747">
            <v>1</v>
          </cell>
          <cell r="G1747" t="str">
            <v>CB100508000T00</v>
          </cell>
          <cell r="H1747">
            <v>0.75</v>
          </cell>
          <cell r="I1747" t="str">
            <v>--</v>
          </cell>
          <cell r="J1747">
            <v>1</v>
          </cell>
          <cell r="K1747">
            <v>1</v>
          </cell>
        </row>
        <row r="1748">
          <cell r="A1748" t="str">
            <v>M2</v>
          </cell>
          <cell r="B1748" t="str">
            <v>A5C</v>
          </cell>
          <cell r="C1748" t="str">
            <v>TRIM</v>
          </cell>
          <cell r="D1748" t="str">
            <v>V-2310</v>
          </cell>
          <cell r="E1748" t="str">
            <v>PIPE</v>
          </cell>
          <cell r="F1748">
            <v>1</v>
          </cell>
          <cell r="G1748" t="str">
            <v>CB100508000T00</v>
          </cell>
          <cell r="H1748">
            <v>0.75</v>
          </cell>
          <cell r="I1748" t="str">
            <v>--</v>
          </cell>
          <cell r="J1748">
            <v>1</v>
          </cell>
          <cell r="K1748">
            <v>1</v>
          </cell>
        </row>
        <row r="1749">
          <cell r="A1749" t="str">
            <v>M2</v>
          </cell>
          <cell r="B1749" t="str">
            <v>A5C</v>
          </cell>
          <cell r="C1749" t="str">
            <v>TRIM</v>
          </cell>
          <cell r="D1749" t="str">
            <v>V-2304</v>
          </cell>
          <cell r="E1749" t="str">
            <v>PIPE</v>
          </cell>
          <cell r="F1749">
            <v>1</v>
          </cell>
          <cell r="G1749" t="str">
            <v>CB100508000T00</v>
          </cell>
          <cell r="H1749">
            <v>0.75</v>
          </cell>
          <cell r="I1749" t="str">
            <v>--</v>
          </cell>
          <cell r="J1749">
            <v>1</v>
          </cell>
          <cell r="K1749">
            <v>1</v>
          </cell>
        </row>
        <row r="1750">
          <cell r="A1750" t="str">
            <v>M2</v>
          </cell>
          <cell r="B1750" t="str">
            <v>A5C</v>
          </cell>
          <cell r="C1750" t="str">
            <v>TRIM</v>
          </cell>
          <cell r="D1750" t="str">
            <v>V-2325</v>
          </cell>
          <cell r="E1750" t="str">
            <v>PIPE</v>
          </cell>
          <cell r="F1750">
            <v>1</v>
          </cell>
          <cell r="G1750" t="str">
            <v>CB100508000T00</v>
          </cell>
          <cell r="H1750">
            <v>0.75</v>
          </cell>
          <cell r="I1750" t="str">
            <v>--</v>
          </cell>
          <cell r="J1750">
            <v>1</v>
          </cell>
          <cell r="K1750">
            <v>1</v>
          </cell>
        </row>
        <row r="1751">
          <cell r="A1751" t="str">
            <v>M2</v>
          </cell>
          <cell r="B1751" t="str">
            <v>A5C</v>
          </cell>
          <cell r="C1751" t="str">
            <v>TRIM</v>
          </cell>
          <cell r="D1751" t="str">
            <v>V-2327</v>
          </cell>
          <cell r="E1751" t="str">
            <v>PIPE</v>
          </cell>
          <cell r="F1751">
            <v>1</v>
          </cell>
          <cell r="G1751" t="str">
            <v>CB100508000T00</v>
          </cell>
          <cell r="H1751">
            <v>0.75</v>
          </cell>
          <cell r="I1751" t="str">
            <v>--</v>
          </cell>
          <cell r="J1751">
            <v>1.2</v>
          </cell>
          <cell r="K1751">
            <v>1.2</v>
          </cell>
        </row>
        <row r="1752">
          <cell r="A1752" t="str">
            <v>M2</v>
          </cell>
          <cell r="B1752" t="str">
            <v>A5C</v>
          </cell>
          <cell r="C1752" t="str">
            <v>TRIM</v>
          </cell>
          <cell r="D1752" t="str">
            <v>V-2328</v>
          </cell>
          <cell r="E1752" t="str">
            <v>PIPE</v>
          </cell>
          <cell r="F1752">
            <v>1</v>
          </cell>
          <cell r="G1752" t="str">
            <v>CB100508000T00</v>
          </cell>
          <cell r="H1752">
            <v>0.75</v>
          </cell>
          <cell r="I1752" t="str">
            <v>--</v>
          </cell>
          <cell r="J1752">
            <v>1.2</v>
          </cell>
          <cell r="K1752">
            <v>1.2</v>
          </cell>
        </row>
        <row r="1753">
          <cell r="A1753" t="str">
            <v>M2</v>
          </cell>
          <cell r="B1753" t="str">
            <v>A5C</v>
          </cell>
          <cell r="C1753" t="str">
            <v>TRIM</v>
          </cell>
          <cell r="D1753" t="str">
            <v>V-2326</v>
          </cell>
          <cell r="E1753" t="str">
            <v>PIPE</v>
          </cell>
          <cell r="F1753">
            <v>1</v>
          </cell>
          <cell r="G1753" t="str">
            <v>CB100508000T00</v>
          </cell>
          <cell r="H1753">
            <v>0.75</v>
          </cell>
          <cell r="I1753" t="str">
            <v>--</v>
          </cell>
          <cell r="J1753">
            <v>1.2</v>
          </cell>
          <cell r="K1753">
            <v>1.2</v>
          </cell>
        </row>
        <row r="1754">
          <cell r="A1754" t="str">
            <v>M2</v>
          </cell>
          <cell r="B1754" t="str">
            <v>A5C</v>
          </cell>
          <cell r="C1754" t="str">
            <v>TRIM</v>
          </cell>
          <cell r="D1754" t="str">
            <v>V-2401</v>
          </cell>
          <cell r="E1754" t="str">
            <v>PIPE</v>
          </cell>
          <cell r="F1754">
            <v>1</v>
          </cell>
          <cell r="G1754" t="str">
            <v>CB100508000T00</v>
          </cell>
          <cell r="H1754">
            <v>0.75</v>
          </cell>
          <cell r="I1754" t="str">
            <v>--</v>
          </cell>
          <cell r="J1754">
            <v>1.2</v>
          </cell>
          <cell r="K1754">
            <v>1.2</v>
          </cell>
        </row>
        <row r="1755">
          <cell r="A1755" t="str">
            <v>M2</v>
          </cell>
          <cell r="B1755" t="str">
            <v>A5C</v>
          </cell>
          <cell r="C1755" t="str">
            <v>TRIM</v>
          </cell>
          <cell r="D1755" t="str">
            <v>V-2404</v>
          </cell>
          <cell r="E1755" t="str">
            <v>PIPE</v>
          </cell>
          <cell r="F1755">
            <v>1</v>
          </cell>
          <cell r="G1755" t="str">
            <v>CB100508000T00</v>
          </cell>
          <cell r="H1755">
            <v>0.75</v>
          </cell>
          <cell r="I1755" t="str">
            <v>--</v>
          </cell>
          <cell r="J1755">
            <v>1.2</v>
          </cell>
          <cell r="K1755">
            <v>1.2</v>
          </cell>
        </row>
        <row r="1756">
          <cell r="A1756" t="str">
            <v>M2</v>
          </cell>
          <cell r="B1756" t="str">
            <v>A5C</v>
          </cell>
          <cell r="C1756" t="str">
            <v>TRIM</v>
          </cell>
          <cell r="D1756" t="str">
            <v>R-2401</v>
          </cell>
          <cell r="E1756" t="str">
            <v>PIPE</v>
          </cell>
          <cell r="F1756">
            <v>1</v>
          </cell>
          <cell r="G1756" t="str">
            <v>CB100508000T00</v>
          </cell>
          <cell r="H1756">
            <v>0.75</v>
          </cell>
          <cell r="I1756" t="str">
            <v>--</v>
          </cell>
          <cell r="J1756">
            <v>1.2</v>
          </cell>
          <cell r="K1756">
            <v>1.2</v>
          </cell>
        </row>
        <row r="1757">
          <cell r="A1757" t="str">
            <v>M2</v>
          </cell>
          <cell r="B1757" t="str">
            <v>A5C</v>
          </cell>
          <cell r="C1757" t="str">
            <v>P</v>
          </cell>
          <cell r="D1757" t="str">
            <v>23085</v>
          </cell>
          <cell r="E1757" t="str">
            <v>PIPE</v>
          </cell>
          <cell r="F1757">
            <v>1</v>
          </cell>
          <cell r="G1757" t="str">
            <v>CB100508000T00</v>
          </cell>
          <cell r="H1757">
            <v>0.75</v>
          </cell>
          <cell r="I1757" t="str">
            <v>--</v>
          </cell>
          <cell r="J1757">
            <v>1.5</v>
          </cell>
          <cell r="K1757">
            <v>1.5</v>
          </cell>
        </row>
        <row r="1758">
          <cell r="A1758" t="str">
            <v>M2</v>
          </cell>
          <cell r="B1758" t="str">
            <v>A5C</v>
          </cell>
          <cell r="C1758" t="str">
            <v>P</v>
          </cell>
          <cell r="D1758" t="str">
            <v>23096</v>
          </cell>
          <cell r="E1758" t="str">
            <v>PIPE</v>
          </cell>
          <cell r="F1758">
            <v>1</v>
          </cell>
          <cell r="G1758" t="str">
            <v>CB100508000T00</v>
          </cell>
          <cell r="H1758">
            <v>0.75</v>
          </cell>
          <cell r="I1758" t="str">
            <v>--</v>
          </cell>
          <cell r="J1758">
            <v>1.5</v>
          </cell>
          <cell r="K1758">
            <v>1.5</v>
          </cell>
        </row>
        <row r="1759">
          <cell r="A1759" t="str">
            <v>M2</v>
          </cell>
          <cell r="B1759" t="str">
            <v>A5C</v>
          </cell>
          <cell r="C1759" t="str">
            <v>P</v>
          </cell>
          <cell r="D1759" t="str">
            <v>23124</v>
          </cell>
          <cell r="E1759" t="str">
            <v>PIPE</v>
          </cell>
          <cell r="F1759">
            <v>1</v>
          </cell>
          <cell r="G1759" t="str">
            <v>CB100508000T00</v>
          </cell>
          <cell r="H1759">
            <v>0.75</v>
          </cell>
          <cell r="I1759" t="str">
            <v>--</v>
          </cell>
          <cell r="J1759">
            <v>1.5</v>
          </cell>
          <cell r="K1759">
            <v>1.5</v>
          </cell>
        </row>
        <row r="1760">
          <cell r="A1760" t="str">
            <v>M2</v>
          </cell>
          <cell r="B1760" t="str">
            <v>A5C</v>
          </cell>
          <cell r="C1760" t="str">
            <v>P</v>
          </cell>
          <cell r="D1760" t="str">
            <v>23135</v>
          </cell>
          <cell r="E1760" t="str">
            <v>PIPE</v>
          </cell>
          <cell r="F1760">
            <v>1</v>
          </cell>
          <cell r="G1760" t="str">
            <v>CB100508000T00</v>
          </cell>
          <cell r="H1760">
            <v>0.75</v>
          </cell>
          <cell r="I1760" t="str">
            <v>--</v>
          </cell>
          <cell r="J1760">
            <v>1.5</v>
          </cell>
          <cell r="K1760">
            <v>1.5</v>
          </cell>
        </row>
        <row r="1761">
          <cell r="A1761" t="str">
            <v>M2</v>
          </cell>
          <cell r="B1761" t="str">
            <v>A5C</v>
          </cell>
          <cell r="C1761" t="str">
            <v>TRIM</v>
          </cell>
          <cell r="D1761" t="str">
            <v>C-2302</v>
          </cell>
          <cell r="E1761" t="str">
            <v>PIPE</v>
          </cell>
          <cell r="F1761">
            <v>1</v>
          </cell>
          <cell r="G1761" t="str">
            <v>CB100508000T00</v>
          </cell>
          <cell r="H1761">
            <v>0.75</v>
          </cell>
          <cell r="I1761" t="str">
            <v>--</v>
          </cell>
          <cell r="J1761">
            <v>1.5</v>
          </cell>
          <cell r="K1761">
            <v>1.5</v>
          </cell>
        </row>
        <row r="1762">
          <cell r="A1762" t="str">
            <v>M2</v>
          </cell>
          <cell r="B1762" t="str">
            <v>A5C</v>
          </cell>
          <cell r="C1762" t="str">
            <v>TRIM</v>
          </cell>
          <cell r="D1762" t="str">
            <v>C-2303</v>
          </cell>
          <cell r="E1762" t="str">
            <v>PIPE</v>
          </cell>
          <cell r="F1762">
            <v>1</v>
          </cell>
          <cell r="G1762" t="str">
            <v>CB100508000T00</v>
          </cell>
          <cell r="H1762">
            <v>0.75</v>
          </cell>
          <cell r="I1762" t="str">
            <v>--</v>
          </cell>
          <cell r="J1762">
            <v>1.5</v>
          </cell>
          <cell r="K1762">
            <v>1.5</v>
          </cell>
        </row>
        <row r="1763">
          <cell r="A1763" t="str">
            <v>M2</v>
          </cell>
          <cell r="B1763" t="str">
            <v>A5C</v>
          </cell>
          <cell r="C1763" t="str">
            <v>TRIM</v>
          </cell>
          <cell r="D1763" t="str">
            <v>C-2304</v>
          </cell>
          <cell r="E1763" t="str">
            <v>PIPE</v>
          </cell>
          <cell r="F1763">
            <v>1</v>
          </cell>
          <cell r="G1763" t="str">
            <v>CB100508000T00</v>
          </cell>
          <cell r="H1763">
            <v>0.75</v>
          </cell>
          <cell r="I1763" t="str">
            <v>--</v>
          </cell>
          <cell r="J1763">
            <v>1.5</v>
          </cell>
          <cell r="K1763">
            <v>1.5</v>
          </cell>
        </row>
        <row r="1764">
          <cell r="A1764" t="str">
            <v>M2</v>
          </cell>
          <cell r="B1764" t="str">
            <v>A5C</v>
          </cell>
          <cell r="C1764" t="str">
            <v>TRIM</v>
          </cell>
          <cell r="D1764" t="str">
            <v>C-2305</v>
          </cell>
          <cell r="E1764" t="str">
            <v>PIPE</v>
          </cell>
          <cell r="F1764">
            <v>1</v>
          </cell>
          <cell r="G1764" t="str">
            <v>CB100508000T00</v>
          </cell>
          <cell r="H1764">
            <v>0.75</v>
          </cell>
          <cell r="I1764" t="str">
            <v>--</v>
          </cell>
          <cell r="J1764">
            <v>1.5</v>
          </cell>
          <cell r="K1764">
            <v>1.5</v>
          </cell>
        </row>
        <row r="1765">
          <cell r="A1765" t="str">
            <v>M2</v>
          </cell>
          <cell r="B1765" t="str">
            <v>A5C</v>
          </cell>
          <cell r="C1765" t="str">
            <v>TRIM</v>
          </cell>
          <cell r="D1765" t="str">
            <v>C-2306</v>
          </cell>
          <cell r="E1765" t="str">
            <v>PIPE</v>
          </cell>
          <cell r="F1765">
            <v>1</v>
          </cell>
          <cell r="G1765" t="str">
            <v>CB100508000T00</v>
          </cell>
          <cell r="H1765">
            <v>0.75</v>
          </cell>
          <cell r="I1765" t="str">
            <v>--</v>
          </cell>
          <cell r="J1765">
            <v>1.5</v>
          </cell>
          <cell r="K1765">
            <v>1.5</v>
          </cell>
        </row>
        <row r="1766">
          <cell r="A1766" t="str">
            <v>M2</v>
          </cell>
          <cell r="B1766" t="str">
            <v>A5C</v>
          </cell>
          <cell r="C1766" t="str">
            <v>TRIM</v>
          </cell>
          <cell r="D1766" t="str">
            <v>C-2301</v>
          </cell>
          <cell r="E1766" t="str">
            <v>PIPE</v>
          </cell>
          <cell r="F1766">
            <v>1</v>
          </cell>
          <cell r="G1766" t="str">
            <v>CB100508000T00</v>
          </cell>
          <cell r="H1766">
            <v>0.75</v>
          </cell>
          <cell r="I1766" t="str">
            <v>--</v>
          </cell>
          <cell r="J1766">
            <v>1.5</v>
          </cell>
          <cell r="K1766">
            <v>1.5</v>
          </cell>
        </row>
        <row r="1767">
          <cell r="A1767" t="str">
            <v>M2</v>
          </cell>
          <cell r="B1767" t="str">
            <v>B2C</v>
          </cell>
          <cell r="C1767" t="str">
            <v>SCH</v>
          </cell>
          <cell r="D1767" t="str">
            <v>23613</v>
          </cell>
          <cell r="E1767" t="str">
            <v>PIPE</v>
          </cell>
          <cell r="F1767">
            <v>1</v>
          </cell>
          <cell r="G1767" t="str">
            <v>CB100508000T00</v>
          </cell>
          <cell r="H1767">
            <v>0.75</v>
          </cell>
          <cell r="I1767" t="str">
            <v>--</v>
          </cell>
          <cell r="J1767">
            <v>1.6</v>
          </cell>
          <cell r="K1767">
            <v>1.6</v>
          </cell>
        </row>
        <row r="1768">
          <cell r="A1768" t="str">
            <v>M2</v>
          </cell>
          <cell r="B1768" t="str">
            <v>A5C</v>
          </cell>
          <cell r="C1768" t="str">
            <v>TRIM</v>
          </cell>
          <cell r="D1768" t="str">
            <v>V-2403</v>
          </cell>
          <cell r="E1768" t="str">
            <v>PIPE</v>
          </cell>
          <cell r="F1768">
            <v>1</v>
          </cell>
          <cell r="G1768" t="str">
            <v>CB100508000T00</v>
          </cell>
          <cell r="H1768">
            <v>0.75</v>
          </cell>
          <cell r="I1768" t="str">
            <v>--</v>
          </cell>
          <cell r="J1768">
            <v>1.6</v>
          </cell>
          <cell r="K1768">
            <v>1.6</v>
          </cell>
        </row>
        <row r="1769">
          <cell r="A1769" t="str">
            <v>M2</v>
          </cell>
          <cell r="B1769" t="str">
            <v>A5C</v>
          </cell>
          <cell r="C1769" t="str">
            <v>N</v>
          </cell>
          <cell r="D1769" t="str">
            <v>23613</v>
          </cell>
          <cell r="E1769" t="str">
            <v>PIPE</v>
          </cell>
          <cell r="F1769">
            <v>1</v>
          </cell>
          <cell r="G1769" t="str">
            <v>CB100508000T00</v>
          </cell>
          <cell r="H1769">
            <v>0.75</v>
          </cell>
          <cell r="I1769" t="str">
            <v>--</v>
          </cell>
          <cell r="J1769">
            <v>2.2999999999999998</v>
          </cell>
          <cell r="K1769">
            <v>2.2999999999999998</v>
          </cell>
        </row>
        <row r="1770">
          <cell r="A1770" t="str">
            <v>M2</v>
          </cell>
          <cell r="B1770" t="str">
            <v>A5C</v>
          </cell>
          <cell r="C1770" t="str">
            <v>N</v>
          </cell>
          <cell r="D1770" t="str">
            <v>23647</v>
          </cell>
          <cell r="E1770" t="str">
            <v>PIPE</v>
          </cell>
          <cell r="F1770">
            <v>1</v>
          </cell>
          <cell r="G1770" t="str">
            <v>CB100508000T00</v>
          </cell>
          <cell r="H1770">
            <v>0.75</v>
          </cell>
          <cell r="I1770" t="str">
            <v>--</v>
          </cell>
          <cell r="J1770">
            <v>2.5</v>
          </cell>
          <cell r="K1770">
            <v>2.5</v>
          </cell>
        </row>
        <row r="1771">
          <cell r="A1771" t="str">
            <v>M2</v>
          </cell>
          <cell r="B1771" t="str">
            <v>A5C</v>
          </cell>
          <cell r="C1771" t="str">
            <v>N</v>
          </cell>
          <cell r="D1771" t="str">
            <v>23648</v>
          </cell>
          <cell r="E1771" t="str">
            <v>PIPE</v>
          </cell>
          <cell r="F1771">
            <v>1</v>
          </cell>
          <cell r="G1771" t="str">
            <v>CB100508000T00</v>
          </cell>
          <cell r="H1771">
            <v>0.75</v>
          </cell>
          <cell r="I1771" t="str">
            <v>--</v>
          </cell>
          <cell r="J1771">
            <v>2.5</v>
          </cell>
          <cell r="K1771">
            <v>2.5</v>
          </cell>
        </row>
        <row r="1772">
          <cell r="A1772" t="str">
            <v>M2</v>
          </cell>
          <cell r="B1772" t="str">
            <v>A5C</v>
          </cell>
          <cell r="C1772" t="str">
            <v>N</v>
          </cell>
          <cell r="D1772" t="str">
            <v>23621</v>
          </cell>
          <cell r="E1772" t="str">
            <v>PIPE</v>
          </cell>
          <cell r="F1772">
            <v>1</v>
          </cell>
          <cell r="G1772" t="str">
            <v>CB100508000T00</v>
          </cell>
          <cell r="H1772">
            <v>0.75</v>
          </cell>
          <cell r="I1772" t="str">
            <v>--</v>
          </cell>
          <cell r="J1772">
            <v>2.8</v>
          </cell>
          <cell r="K1772">
            <v>2.8</v>
          </cell>
        </row>
        <row r="1773">
          <cell r="A1773" t="str">
            <v>M2</v>
          </cell>
          <cell r="B1773" t="str">
            <v>A5C</v>
          </cell>
          <cell r="C1773" t="str">
            <v>P</v>
          </cell>
          <cell r="D1773" t="str">
            <v>23113</v>
          </cell>
          <cell r="E1773" t="str">
            <v>PIPE</v>
          </cell>
          <cell r="F1773">
            <v>1</v>
          </cell>
          <cell r="G1773" t="str">
            <v>CB100508000T00</v>
          </cell>
          <cell r="H1773">
            <v>0.75</v>
          </cell>
          <cell r="I1773" t="str">
            <v>--</v>
          </cell>
          <cell r="J1773">
            <v>3</v>
          </cell>
          <cell r="K1773">
            <v>3</v>
          </cell>
        </row>
        <row r="1774">
          <cell r="A1774" t="str">
            <v>M2</v>
          </cell>
          <cell r="B1774" t="str">
            <v>A5C</v>
          </cell>
          <cell r="C1774" t="str">
            <v>N</v>
          </cell>
          <cell r="D1774" t="str">
            <v>23619</v>
          </cell>
          <cell r="E1774" t="str">
            <v>PIPE</v>
          </cell>
          <cell r="F1774">
            <v>1</v>
          </cell>
          <cell r="G1774" t="str">
            <v>CB100508000T00</v>
          </cell>
          <cell r="H1774">
            <v>0.75</v>
          </cell>
          <cell r="I1774" t="str">
            <v>--</v>
          </cell>
          <cell r="J1774">
            <v>3.5</v>
          </cell>
          <cell r="K1774">
            <v>3.5</v>
          </cell>
        </row>
        <row r="1775">
          <cell r="A1775" t="str">
            <v>M2</v>
          </cell>
          <cell r="B1775" t="str">
            <v>A5C</v>
          </cell>
          <cell r="C1775" t="str">
            <v>N</v>
          </cell>
          <cell r="D1775" t="str">
            <v>23620</v>
          </cell>
          <cell r="E1775" t="str">
            <v>PIPE</v>
          </cell>
          <cell r="F1775">
            <v>1</v>
          </cell>
          <cell r="G1775" t="str">
            <v>CB100508000T00</v>
          </cell>
          <cell r="H1775">
            <v>0.75</v>
          </cell>
          <cell r="I1775" t="str">
            <v>--</v>
          </cell>
          <cell r="J1775">
            <v>3.5</v>
          </cell>
          <cell r="K1775">
            <v>3.5</v>
          </cell>
        </row>
        <row r="1776">
          <cell r="A1776" t="str">
            <v>M2</v>
          </cell>
          <cell r="B1776" t="str">
            <v>A5C</v>
          </cell>
          <cell r="C1776" t="str">
            <v>N</v>
          </cell>
          <cell r="D1776" t="str">
            <v>23642</v>
          </cell>
          <cell r="E1776" t="str">
            <v>PIPE</v>
          </cell>
          <cell r="F1776">
            <v>1</v>
          </cell>
          <cell r="G1776" t="str">
            <v>CB100508000T00</v>
          </cell>
          <cell r="H1776">
            <v>0.75</v>
          </cell>
          <cell r="I1776" t="str">
            <v>--</v>
          </cell>
          <cell r="J1776">
            <v>3.5</v>
          </cell>
          <cell r="K1776">
            <v>3.5</v>
          </cell>
        </row>
        <row r="1777">
          <cell r="A1777" t="str">
            <v>M2</v>
          </cell>
          <cell r="B1777" t="str">
            <v>A5C</v>
          </cell>
          <cell r="C1777" t="str">
            <v>N</v>
          </cell>
          <cell r="D1777" t="str">
            <v>24611</v>
          </cell>
          <cell r="E1777" t="str">
            <v>PIPE</v>
          </cell>
          <cell r="F1777">
            <v>1</v>
          </cell>
          <cell r="G1777" t="str">
            <v>CB100508000T00</v>
          </cell>
          <cell r="H1777">
            <v>0.75</v>
          </cell>
          <cell r="I1777" t="str">
            <v>--</v>
          </cell>
          <cell r="J1777">
            <v>3.5</v>
          </cell>
          <cell r="K1777">
            <v>3.5</v>
          </cell>
        </row>
        <row r="1778">
          <cell r="A1778" t="str">
            <v>M2</v>
          </cell>
          <cell r="B1778" t="str">
            <v>A5C</v>
          </cell>
          <cell r="C1778" t="str">
            <v>N</v>
          </cell>
          <cell r="D1778" t="str">
            <v>23646</v>
          </cell>
          <cell r="E1778" t="str">
            <v>PIPE</v>
          </cell>
          <cell r="F1778">
            <v>1</v>
          </cell>
          <cell r="G1778" t="str">
            <v>CB100508000T00</v>
          </cell>
          <cell r="H1778">
            <v>0.75</v>
          </cell>
          <cell r="I1778" t="str">
            <v>--</v>
          </cell>
          <cell r="J1778">
            <v>3.5</v>
          </cell>
          <cell r="K1778">
            <v>3.5</v>
          </cell>
        </row>
        <row r="1779">
          <cell r="A1779" t="str">
            <v>M2</v>
          </cell>
          <cell r="B1779" t="str">
            <v>A5C</v>
          </cell>
          <cell r="C1779" t="str">
            <v>P</v>
          </cell>
          <cell r="D1779" t="str">
            <v>24033</v>
          </cell>
          <cell r="E1779" t="str">
            <v>PIPE</v>
          </cell>
          <cell r="F1779">
            <v>1</v>
          </cell>
          <cell r="G1779" t="str">
            <v>CB100508000T00</v>
          </cell>
          <cell r="H1779">
            <v>0.75</v>
          </cell>
          <cell r="I1779" t="str">
            <v>--</v>
          </cell>
          <cell r="J1779">
            <v>3.5</v>
          </cell>
          <cell r="K1779">
            <v>3.5</v>
          </cell>
        </row>
        <row r="1780">
          <cell r="A1780" t="str">
            <v>M2</v>
          </cell>
          <cell r="B1780" t="str">
            <v>A5C</v>
          </cell>
          <cell r="C1780" t="str">
            <v>N</v>
          </cell>
          <cell r="D1780" t="str">
            <v>24612</v>
          </cell>
          <cell r="E1780" t="str">
            <v>PIPE</v>
          </cell>
          <cell r="F1780">
            <v>1</v>
          </cell>
          <cell r="G1780" t="str">
            <v>CB100508000T00</v>
          </cell>
          <cell r="H1780">
            <v>0.75</v>
          </cell>
          <cell r="I1780" t="str">
            <v>--</v>
          </cell>
          <cell r="J1780">
            <v>3.6</v>
          </cell>
          <cell r="K1780">
            <v>3.6</v>
          </cell>
        </row>
        <row r="1781">
          <cell r="A1781" t="str">
            <v>M2</v>
          </cell>
          <cell r="B1781" t="str">
            <v>A5C</v>
          </cell>
          <cell r="C1781" t="str">
            <v>N</v>
          </cell>
          <cell r="D1781" t="str">
            <v>24614</v>
          </cell>
          <cell r="E1781" t="str">
            <v>PIPE</v>
          </cell>
          <cell r="F1781">
            <v>1</v>
          </cell>
          <cell r="G1781" t="str">
            <v>CB100508000T00</v>
          </cell>
          <cell r="H1781">
            <v>0.75</v>
          </cell>
          <cell r="I1781" t="str">
            <v>--</v>
          </cell>
          <cell r="J1781">
            <v>3.6</v>
          </cell>
          <cell r="K1781">
            <v>3.6</v>
          </cell>
        </row>
        <row r="1782">
          <cell r="A1782" t="str">
            <v>M2</v>
          </cell>
          <cell r="B1782" t="str">
            <v>A5C</v>
          </cell>
          <cell r="C1782" t="str">
            <v>P</v>
          </cell>
          <cell r="D1782" t="str">
            <v>23053</v>
          </cell>
          <cell r="E1782" t="str">
            <v>PIPE</v>
          </cell>
          <cell r="F1782">
            <v>1</v>
          </cell>
          <cell r="G1782" t="str">
            <v>CB100508000T00</v>
          </cell>
          <cell r="H1782">
            <v>0.75</v>
          </cell>
          <cell r="I1782" t="str">
            <v>--</v>
          </cell>
          <cell r="J1782">
            <v>3.9</v>
          </cell>
          <cell r="K1782">
            <v>3.9</v>
          </cell>
        </row>
        <row r="1783">
          <cell r="A1783" t="str">
            <v>M2</v>
          </cell>
          <cell r="B1783" t="str">
            <v>A5C</v>
          </cell>
          <cell r="C1783" t="str">
            <v>P</v>
          </cell>
          <cell r="D1783" t="str">
            <v>23048</v>
          </cell>
          <cell r="E1783" t="str">
            <v>PIPE</v>
          </cell>
          <cell r="F1783">
            <v>1</v>
          </cell>
          <cell r="G1783" t="str">
            <v>CB100508000T00</v>
          </cell>
          <cell r="H1783">
            <v>0.75</v>
          </cell>
          <cell r="I1783" t="str">
            <v>--</v>
          </cell>
          <cell r="J1783">
            <v>4.3</v>
          </cell>
          <cell r="K1783">
            <v>4.3</v>
          </cell>
        </row>
        <row r="1784">
          <cell r="A1784" t="str">
            <v>M2</v>
          </cell>
          <cell r="B1784" t="str">
            <v>A5C</v>
          </cell>
          <cell r="C1784" t="str">
            <v>N</v>
          </cell>
          <cell r="D1784" t="str">
            <v>24613</v>
          </cell>
          <cell r="E1784" t="str">
            <v>PIPE</v>
          </cell>
          <cell r="F1784">
            <v>1</v>
          </cell>
          <cell r="G1784" t="str">
            <v>CB100508000T00</v>
          </cell>
          <cell r="H1784">
            <v>0.75</v>
          </cell>
          <cell r="I1784" t="str">
            <v>--</v>
          </cell>
          <cell r="J1784">
            <v>4.5</v>
          </cell>
          <cell r="K1784">
            <v>4.5</v>
          </cell>
        </row>
        <row r="1785">
          <cell r="A1785" t="str">
            <v>M2</v>
          </cell>
          <cell r="B1785" t="str">
            <v>A5C</v>
          </cell>
          <cell r="C1785" t="str">
            <v>P</v>
          </cell>
          <cell r="D1785" t="str">
            <v>23094</v>
          </cell>
          <cell r="E1785" t="str">
            <v>PIPE</v>
          </cell>
          <cell r="F1785">
            <v>1</v>
          </cell>
          <cell r="G1785" t="str">
            <v>CB100508000T00</v>
          </cell>
          <cell r="H1785">
            <v>0.75</v>
          </cell>
          <cell r="I1785" t="str">
            <v>--</v>
          </cell>
          <cell r="J1785">
            <v>5</v>
          </cell>
          <cell r="K1785">
            <v>5</v>
          </cell>
        </row>
        <row r="1786">
          <cell r="A1786" t="str">
            <v>M2</v>
          </cell>
          <cell r="B1786" t="str">
            <v>A5C</v>
          </cell>
          <cell r="C1786" t="str">
            <v>P</v>
          </cell>
          <cell r="D1786" t="str">
            <v>23101</v>
          </cell>
          <cell r="E1786" t="str">
            <v>PIPE</v>
          </cell>
          <cell r="F1786">
            <v>1</v>
          </cell>
          <cell r="G1786" t="str">
            <v>CB100508000T00</v>
          </cell>
          <cell r="H1786">
            <v>0.75</v>
          </cell>
          <cell r="I1786" t="str">
            <v>--</v>
          </cell>
          <cell r="J1786">
            <v>5</v>
          </cell>
          <cell r="K1786">
            <v>5</v>
          </cell>
        </row>
        <row r="1787">
          <cell r="A1787" t="str">
            <v>M2</v>
          </cell>
          <cell r="B1787" t="str">
            <v>A5C</v>
          </cell>
          <cell r="C1787" t="str">
            <v>P</v>
          </cell>
          <cell r="D1787" t="str">
            <v>23105</v>
          </cell>
          <cell r="E1787" t="str">
            <v>PIPE</v>
          </cell>
          <cell r="F1787">
            <v>1</v>
          </cell>
          <cell r="G1787" t="str">
            <v>CB100508000T00</v>
          </cell>
          <cell r="H1787">
            <v>0.75</v>
          </cell>
          <cell r="I1787" t="str">
            <v>--</v>
          </cell>
          <cell r="J1787">
            <v>5</v>
          </cell>
          <cell r="K1787">
            <v>5</v>
          </cell>
        </row>
        <row r="1788">
          <cell r="A1788" t="str">
            <v>M2</v>
          </cell>
          <cell r="B1788" t="str">
            <v>A5C</v>
          </cell>
          <cell r="C1788" t="str">
            <v>P</v>
          </cell>
          <cell r="D1788" t="str">
            <v>23109</v>
          </cell>
          <cell r="E1788" t="str">
            <v>PIPE</v>
          </cell>
          <cell r="F1788">
            <v>1</v>
          </cell>
          <cell r="G1788" t="str">
            <v>CB100508000T00</v>
          </cell>
          <cell r="H1788">
            <v>0.75</v>
          </cell>
          <cell r="I1788" t="str">
            <v>--</v>
          </cell>
          <cell r="J1788">
            <v>5</v>
          </cell>
          <cell r="K1788">
            <v>5</v>
          </cell>
        </row>
        <row r="1789">
          <cell r="A1789" t="str">
            <v>M2</v>
          </cell>
          <cell r="B1789" t="str">
            <v>A5C</v>
          </cell>
          <cell r="C1789" t="str">
            <v>P</v>
          </cell>
          <cell r="D1789" t="str">
            <v>23234</v>
          </cell>
          <cell r="E1789" t="str">
            <v>PIPE</v>
          </cell>
          <cell r="F1789">
            <v>1</v>
          </cell>
          <cell r="G1789" t="str">
            <v>CB100508000T00</v>
          </cell>
          <cell r="H1789">
            <v>0.75</v>
          </cell>
          <cell r="I1789" t="str">
            <v>--</v>
          </cell>
          <cell r="J1789">
            <v>5</v>
          </cell>
          <cell r="K1789">
            <v>5</v>
          </cell>
        </row>
        <row r="1790">
          <cell r="A1790" t="str">
            <v>M2</v>
          </cell>
          <cell r="B1790" t="str">
            <v>A5C</v>
          </cell>
          <cell r="C1790" t="str">
            <v>P</v>
          </cell>
          <cell r="D1790" t="str">
            <v>23238</v>
          </cell>
          <cell r="E1790" t="str">
            <v>PIPE</v>
          </cell>
          <cell r="F1790">
            <v>1</v>
          </cell>
          <cell r="G1790" t="str">
            <v>CB100508000T00</v>
          </cell>
          <cell r="H1790">
            <v>0.75</v>
          </cell>
          <cell r="I1790" t="str">
            <v>--</v>
          </cell>
          <cell r="J1790">
            <v>5</v>
          </cell>
          <cell r="K1790">
            <v>5</v>
          </cell>
        </row>
        <row r="1791">
          <cell r="A1791" t="str">
            <v>M2</v>
          </cell>
          <cell r="B1791" t="str">
            <v>A5C</v>
          </cell>
          <cell r="C1791" t="str">
            <v>P</v>
          </cell>
          <cell r="D1791" t="str">
            <v>24017</v>
          </cell>
          <cell r="E1791" t="str">
            <v>PIPE</v>
          </cell>
          <cell r="F1791">
            <v>1</v>
          </cell>
          <cell r="G1791" t="str">
            <v>CB100508000T00</v>
          </cell>
          <cell r="H1791">
            <v>0.75</v>
          </cell>
          <cell r="I1791" t="str">
            <v>--</v>
          </cell>
          <cell r="J1791">
            <v>5</v>
          </cell>
          <cell r="K1791">
            <v>5</v>
          </cell>
        </row>
        <row r="1792">
          <cell r="A1792" t="str">
            <v>M2</v>
          </cell>
          <cell r="B1792" t="str">
            <v>A5C</v>
          </cell>
          <cell r="C1792" t="str">
            <v>P</v>
          </cell>
          <cell r="D1792" t="str">
            <v>23176</v>
          </cell>
          <cell r="E1792" t="str">
            <v>PIPE</v>
          </cell>
          <cell r="F1792">
            <v>1</v>
          </cell>
          <cell r="G1792" t="str">
            <v>CB100508000T00</v>
          </cell>
          <cell r="H1792">
            <v>0.75</v>
          </cell>
          <cell r="I1792" t="str">
            <v>--</v>
          </cell>
          <cell r="J1792">
            <v>5.6</v>
          </cell>
          <cell r="K1792">
            <v>5.6</v>
          </cell>
        </row>
        <row r="1793">
          <cell r="A1793" t="str">
            <v>M2</v>
          </cell>
          <cell r="B1793" t="str">
            <v>A5C</v>
          </cell>
          <cell r="C1793" t="str">
            <v>P</v>
          </cell>
          <cell r="D1793" t="str">
            <v>24031</v>
          </cell>
          <cell r="E1793" t="str">
            <v>PIPE</v>
          </cell>
          <cell r="F1793">
            <v>1</v>
          </cell>
          <cell r="G1793" t="str">
            <v>CB100508000T00</v>
          </cell>
          <cell r="H1793">
            <v>0.75</v>
          </cell>
          <cell r="I1793" t="str">
            <v>--</v>
          </cell>
          <cell r="J1793">
            <v>6</v>
          </cell>
          <cell r="K1793">
            <v>6</v>
          </cell>
        </row>
        <row r="1794">
          <cell r="A1794" t="str">
            <v>M2</v>
          </cell>
          <cell r="B1794" t="str">
            <v>A5C</v>
          </cell>
          <cell r="C1794" t="str">
            <v>P</v>
          </cell>
          <cell r="D1794" t="str">
            <v>23193</v>
          </cell>
          <cell r="E1794" t="str">
            <v>PIPE</v>
          </cell>
          <cell r="F1794">
            <v>1</v>
          </cell>
          <cell r="G1794" t="str">
            <v>CB100508000T00</v>
          </cell>
          <cell r="H1794">
            <v>0.75</v>
          </cell>
          <cell r="I1794" t="str">
            <v>--</v>
          </cell>
          <cell r="J1794">
            <v>6.3</v>
          </cell>
          <cell r="K1794">
            <v>6.3</v>
          </cell>
        </row>
        <row r="1795">
          <cell r="A1795" t="str">
            <v>M2</v>
          </cell>
          <cell r="B1795" t="str">
            <v>A5C</v>
          </cell>
          <cell r="C1795" t="str">
            <v>P</v>
          </cell>
          <cell r="D1795" t="str">
            <v>23133</v>
          </cell>
          <cell r="E1795" t="str">
            <v>PIPE</v>
          </cell>
          <cell r="F1795">
            <v>1</v>
          </cell>
          <cell r="G1795" t="str">
            <v>CB100508000T00</v>
          </cell>
          <cell r="H1795">
            <v>0.75</v>
          </cell>
          <cell r="I1795" t="str">
            <v>--</v>
          </cell>
          <cell r="J1795">
            <v>6.5</v>
          </cell>
          <cell r="K1795">
            <v>6.5</v>
          </cell>
        </row>
        <row r="1796">
          <cell r="A1796" t="str">
            <v>M2</v>
          </cell>
          <cell r="B1796" t="str">
            <v>A5C</v>
          </cell>
          <cell r="C1796" t="str">
            <v>P</v>
          </cell>
          <cell r="D1796" t="str">
            <v>23141</v>
          </cell>
          <cell r="E1796" t="str">
            <v>PIPE</v>
          </cell>
          <cell r="F1796">
            <v>1</v>
          </cell>
          <cell r="G1796" t="str">
            <v>CB100508000T00</v>
          </cell>
          <cell r="H1796">
            <v>0.75</v>
          </cell>
          <cell r="I1796" t="str">
            <v>--</v>
          </cell>
          <cell r="J1796">
            <v>6.5</v>
          </cell>
          <cell r="K1796">
            <v>6.5</v>
          </cell>
        </row>
        <row r="1797">
          <cell r="A1797" t="str">
            <v>M2</v>
          </cell>
          <cell r="B1797" t="str">
            <v>A5C</v>
          </cell>
          <cell r="C1797" t="str">
            <v>P</v>
          </cell>
          <cell r="D1797" t="str">
            <v>23145</v>
          </cell>
          <cell r="E1797" t="str">
            <v>PIPE</v>
          </cell>
          <cell r="F1797">
            <v>1</v>
          </cell>
          <cell r="G1797" t="str">
            <v>CB100508000T00</v>
          </cell>
          <cell r="H1797">
            <v>0.75</v>
          </cell>
          <cell r="I1797" t="str">
            <v>--</v>
          </cell>
          <cell r="J1797">
            <v>6.5</v>
          </cell>
          <cell r="K1797">
            <v>6.5</v>
          </cell>
        </row>
        <row r="1798">
          <cell r="A1798" t="str">
            <v>M2</v>
          </cell>
          <cell r="B1798" t="str">
            <v>A5C</v>
          </cell>
          <cell r="C1798" t="str">
            <v>P</v>
          </cell>
          <cell r="D1798" t="str">
            <v>23184</v>
          </cell>
          <cell r="E1798" t="str">
            <v>PIPE</v>
          </cell>
          <cell r="F1798">
            <v>1</v>
          </cell>
          <cell r="G1798" t="str">
            <v>CB100508000T00</v>
          </cell>
          <cell r="H1798">
            <v>0.75</v>
          </cell>
          <cell r="I1798" t="str">
            <v>--</v>
          </cell>
          <cell r="J1798">
            <v>7</v>
          </cell>
          <cell r="K1798">
            <v>7</v>
          </cell>
        </row>
        <row r="1799">
          <cell r="A1799" t="str">
            <v>M2</v>
          </cell>
          <cell r="B1799" t="str">
            <v>A5C</v>
          </cell>
          <cell r="C1799" t="str">
            <v>P</v>
          </cell>
          <cell r="D1799" t="str">
            <v>23163</v>
          </cell>
          <cell r="E1799" t="str">
            <v>PIPE</v>
          </cell>
          <cell r="F1799">
            <v>1</v>
          </cell>
          <cell r="G1799" t="str">
            <v>CB100508000T00</v>
          </cell>
          <cell r="H1799">
            <v>0.75</v>
          </cell>
          <cell r="I1799" t="str">
            <v>--</v>
          </cell>
          <cell r="J1799">
            <v>8.8000000000000007</v>
          </cell>
          <cell r="K1799">
            <v>8.8000000000000007</v>
          </cell>
        </row>
        <row r="1800">
          <cell r="A1800" t="str">
            <v>M2</v>
          </cell>
          <cell r="B1800" t="str">
            <v>A5C</v>
          </cell>
          <cell r="C1800" t="str">
            <v>P</v>
          </cell>
          <cell r="D1800" t="str">
            <v>23113</v>
          </cell>
          <cell r="E1800" t="str">
            <v>PIPE</v>
          </cell>
          <cell r="F1800">
            <v>1</v>
          </cell>
          <cell r="G1800" t="str">
            <v>CB100508000T00</v>
          </cell>
          <cell r="H1800">
            <v>0.75</v>
          </cell>
          <cell r="I1800" t="str">
            <v>--</v>
          </cell>
          <cell r="J1800">
            <v>9</v>
          </cell>
          <cell r="K1800">
            <v>9</v>
          </cell>
        </row>
        <row r="1801">
          <cell r="A1801" t="str">
            <v>M2</v>
          </cell>
          <cell r="B1801" t="str">
            <v>A5C</v>
          </cell>
          <cell r="C1801" t="str">
            <v>P</v>
          </cell>
          <cell r="D1801" t="str">
            <v>23014</v>
          </cell>
          <cell r="E1801" t="str">
            <v>PIPE</v>
          </cell>
          <cell r="F1801">
            <v>1</v>
          </cell>
          <cell r="G1801" t="str">
            <v>CB100508000T00</v>
          </cell>
          <cell r="H1801">
            <v>0.75</v>
          </cell>
          <cell r="I1801" t="str">
            <v>--</v>
          </cell>
          <cell r="J1801">
            <v>9</v>
          </cell>
          <cell r="K1801">
            <v>9</v>
          </cell>
        </row>
        <row r="1802">
          <cell r="A1802" t="str">
            <v>M2</v>
          </cell>
          <cell r="B1802" t="str">
            <v>A5C</v>
          </cell>
          <cell r="C1802" t="str">
            <v>P</v>
          </cell>
          <cell r="D1802" t="str">
            <v>23219</v>
          </cell>
          <cell r="E1802" t="str">
            <v>PIPE</v>
          </cell>
          <cell r="F1802">
            <v>1</v>
          </cell>
          <cell r="G1802" t="str">
            <v>CB100508000T00</v>
          </cell>
          <cell r="H1802">
            <v>0.75</v>
          </cell>
          <cell r="I1802" t="str">
            <v>--</v>
          </cell>
          <cell r="J1802">
            <v>9.8000000000000007</v>
          </cell>
          <cell r="K1802">
            <v>9.8000000000000007</v>
          </cell>
        </row>
        <row r="1803">
          <cell r="A1803" t="str">
            <v>M2</v>
          </cell>
          <cell r="B1803" t="str">
            <v>A5C</v>
          </cell>
          <cell r="C1803" t="str">
            <v>P</v>
          </cell>
          <cell r="D1803" t="str">
            <v>23183</v>
          </cell>
          <cell r="E1803" t="str">
            <v>PIPE</v>
          </cell>
          <cell r="F1803">
            <v>1</v>
          </cell>
          <cell r="G1803" t="str">
            <v>CB100508000T00</v>
          </cell>
          <cell r="H1803">
            <v>0.75</v>
          </cell>
          <cell r="I1803" t="str">
            <v>--</v>
          </cell>
          <cell r="J1803">
            <v>10</v>
          </cell>
          <cell r="K1803">
            <v>10</v>
          </cell>
        </row>
        <row r="1804">
          <cell r="A1804" t="str">
            <v>M2</v>
          </cell>
          <cell r="B1804" t="str">
            <v>A5C</v>
          </cell>
          <cell r="C1804" t="str">
            <v>P</v>
          </cell>
          <cell r="D1804" t="str">
            <v>23065</v>
          </cell>
          <cell r="E1804" t="str">
            <v>PIPE</v>
          </cell>
          <cell r="F1804">
            <v>1</v>
          </cell>
          <cell r="G1804" t="str">
            <v>CB100508000T00</v>
          </cell>
          <cell r="H1804">
            <v>0.75</v>
          </cell>
          <cell r="I1804" t="str">
            <v>--</v>
          </cell>
          <cell r="J1804">
            <v>11</v>
          </cell>
          <cell r="K1804">
            <v>11</v>
          </cell>
        </row>
        <row r="1805">
          <cell r="A1805" t="str">
            <v>M2</v>
          </cell>
          <cell r="B1805" t="str">
            <v>A5C</v>
          </cell>
          <cell r="C1805" t="str">
            <v>P</v>
          </cell>
          <cell r="D1805" t="str">
            <v>23048</v>
          </cell>
          <cell r="E1805" t="str">
            <v>PIPE</v>
          </cell>
          <cell r="F1805">
            <v>1</v>
          </cell>
          <cell r="G1805" t="str">
            <v>CB100508000T00</v>
          </cell>
          <cell r="H1805">
            <v>0.75</v>
          </cell>
          <cell r="I1805" t="str">
            <v>--</v>
          </cell>
          <cell r="J1805">
            <v>12.7</v>
          </cell>
          <cell r="K1805">
            <v>12.7</v>
          </cell>
        </row>
        <row r="1806">
          <cell r="A1806" t="str">
            <v>M2</v>
          </cell>
          <cell r="B1806" t="str">
            <v>A5C</v>
          </cell>
          <cell r="C1806" t="str">
            <v>P</v>
          </cell>
          <cell r="D1806" t="str">
            <v>23155</v>
          </cell>
          <cell r="E1806" t="str">
            <v>PIPE</v>
          </cell>
          <cell r="F1806">
            <v>1</v>
          </cell>
          <cell r="G1806" t="str">
            <v>CB100508000T00</v>
          </cell>
          <cell r="H1806">
            <v>0.75</v>
          </cell>
          <cell r="I1806" t="str">
            <v>--</v>
          </cell>
          <cell r="J1806">
            <v>13.5</v>
          </cell>
          <cell r="K1806">
            <v>13.5</v>
          </cell>
        </row>
        <row r="1807">
          <cell r="A1807" t="str">
            <v>M2</v>
          </cell>
          <cell r="B1807" t="str">
            <v>B2C</v>
          </cell>
          <cell r="C1807" t="str">
            <v>SH</v>
          </cell>
          <cell r="D1807" t="str">
            <v>24612</v>
          </cell>
          <cell r="E1807" t="str">
            <v>PIPE</v>
          </cell>
          <cell r="F1807">
            <v>1</v>
          </cell>
          <cell r="G1807" t="str">
            <v>CB100508000T00</v>
          </cell>
          <cell r="H1807">
            <v>0.75</v>
          </cell>
          <cell r="I1807" t="str">
            <v>--</v>
          </cell>
          <cell r="J1807">
            <v>14</v>
          </cell>
          <cell r="K1807">
            <v>14</v>
          </cell>
        </row>
        <row r="1808">
          <cell r="A1808" t="str">
            <v>M2</v>
          </cell>
          <cell r="B1808" t="str">
            <v>B2C</v>
          </cell>
          <cell r="C1808" t="str">
            <v>SCL</v>
          </cell>
          <cell r="D1808" t="str">
            <v>TRAP</v>
          </cell>
          <cell r="E1808" t="str">
            <v>PIPE</v>
          </cell>
          <cell r="F1808">
            <v>1</v>
          </cell>
          <cell r="G1808" t="str">
            <v>CB100508000T00</v>
          </cell>
          <cell r="H1808">
            <v>0.75</v>
          </cell>
          <cell r="I1808" t="str">
            <v>--</v>
          </cell>
          <cell r="J1808">
            <v>15</v>
          </cell>
          <cell r="K1808">
            <v>15</v>
          </cell>
        </row>
        <row r="1809">
          <cell r="A1809" t="str">
            <v>M2</v>
          </cell>
          <cell r="B1809" t="str">
            <v>A5C</v>
          </cell>
          <cell r="C1809" t="str">
            <v>P</v>
          </cell>
          <cell r="D1809" t="str">
            <v>24029</v>
          </cell>
          <cell r="E1809" t="str">
            <v>PIPE</v>
          </cell>
          <cell r="F1809">
            <v>1</v>
          </cell>
          <cell r="G1809" t="str">
            <v>CB100508000T00</v>
          </cell>
          <cell r="H1809">
            <v>0.75</v>
          </cell>
          <cell r="I1809" t="str">
            <v>--</v>
          </cell>
          <cell r="J1809">
            <v>15</v>
          </cell>
          <cell r="K1809">
            <v>15</v>
          </cell>
        </row>
        <row r="1810">
          <cell r="A1810" t="str">
            <v>M2</v>
          </cell>
          <cell r="B1810" t="str">
            <v>A5C</v>
          </cell>
          <cell r="C1810" t="str">
            <v>P</v>
          </cell>
          <cell r="D1810" t="str">
            <v>23173</v>
          </cell>
          <cell r="E1810" t="str">
            <v>PIPE</v>
          </cell>
          <cell r="F1810">
            <v>1</v>
          </cell>
          <cell r="G1810" t="str">
            <v>CB100508000T00</v>
          </cell>
          <cell r="H1810">
            <v>0.75</v>
          </cell>
          <cell r="I1810" t="str">
            <v>--</v>
          </cell>
          <cell r="J1810">
            <v>17.600000000000001</v>
          </cell>
          <cell r="K1810">
            <v>17.600000000000001</v>
          </cell>
        </row>
        <row r="1811">
          <cell r="A1811" t="str">
            <v>M2</v>
          </cell>
          <cell r="B1811" t="str">
            <v>A5C</v>
          </cell>
          <cell r="C1811" t="str">
            <v>P</v>
          </cell>
          <cell r="D1811" t="str">
            <v>23247</v>
          </cell>
          <cell r="E1811" t="str">
            <v>PIPE</v>
          </cell>
          <cell r="F1811">
            <v>1</v>
          </cell>
          <cell r="G1811" t="str">
            <v>CB100508000T00</v>
          </cell>
          <cell r="H1811">
            <v>0.75</v>
          </cell>
          <cell r="I1811" t="str">
            <v>--</v>
          </cell>
          <cell r="J1811">
            <v>20.6</v>
          </cell>
          <cell r="K1811">
            <v>20.6</v>
          </cell>
        </row>
        <row r="1812">
          <cell r="A1812" t="str">
            <v>M2</v>
          </cell>
          <cell r="B1812" t="str">
            <v>A5C</v>
          </cell>
          <cell r="C1812" t="str">
            <v>P</v>
          </cell>
          <cell r="D1812" t="str">
            <v>23225</v>
          </cell>
          <cell r="E1812" t="str">
            <v>PIPE</v>
          </cell>
          <cell r="F1812">
            <v>1</v>
          </cell>
          <cell r="G1812" t="str">
            <v>CB100508000T00</v>
          </cell>
          <cell r="H1812">
            <v>0.75</v>
          </cell>
          <cell r="I1812" t="str">
            <v>--</v>
          </cell>
          <cell r="J1812">
            <v>21</v>
          </cell>
          <cell r="K1812">
            <v>21</v>
          </cell>
        </row>
        <row r="1813">
          <cell r="A1813" t="str">
            <v>M2</v>
          </cell>
          <cell r="B1813" t="str">
            <v>A5C</v>
          </cell>
          <cell r="C1813" t="str">
            <v>P</v>
          </cell>
          <cell r="D1813" t="str">
            <v>23188</v>
          </cell>
          <cell r="E1813" t="str">
            <v>PIPE</v>
          </cell>
          <cell r="F1813">
            <v>1</v>
          </cell>
          <cell r="G1813" t="str">
            <v>CB100508000T00</v>
          </cell>
          <cell r="H1813">
            <v>0.75</v>
          </cell>
          <cell r="I1813" t="str">
            <v>--</v>
          </cell>
          <cell r="J1813">
            <v>22.2</v>
          </cell>
          <cell r="K1813">
            <v>22.2</v>
          </cell>
        </row>
        <row r="1814">
          <cell r="A1814" t="str">
            <v>M2</v>
          </cell>
          <cell r="B1814" t="str">
            <v>A5C</v>
          </cell>
          <cell r="C1814" t="str">
            <v>P</v>
          </cell>
          <cell r="D1814" t="str">
            <v>23059</v>
          </cell>
          <cell r="E1814" t="str">
            <v>PIPE</v>
          </cell>
          <cell r="F1814">
            <v>1</v>
          </cell>
          <cell r="G1814" t="str">
            <v>CB100508000T00</v>
          </cell>
          <cell r="H1814">
            <v>0.75</v>
          </cell>
          <cell r="I1814" t="str">
            <v>--</v>
          </cell>
          <cell r="J1814">
            <v>23</v>
          </cell>
          <cell r="K1814">
            <v>23</v>
          </cell>
        </row>
        <row r="1815">
          <cell r="A1815" t="str">
            <v>M2</v>
          </cell>
          <cell r="B1815" t="str">
            <v>A5C</v>
          </cell>
          <cell r="C1815" t="str">
            <v>P</v>
          </cell>
          <cell r="D1815" t="str">
            <v>99004</v>
          </cell>
          <cell r="E1815" t="str">
            <v>PIPE</v>
          </cell>
          <cell r="F1815">
            <v>1</v>
          </cell>
          <cell r="G1815" t="str">
            <v>CB100508000T00</v>
          </cell>
          <cell r="H1815">
            <v>0.75</v>
          </cell>
          <cell r="I1815" t="str">
            <v>--</v>
          </cell>
          <cell r="J1815">
            <v>25.5</v>
          </cell>
          <cell r="K1815">
            <v>25.5</v>
          </cell>
        </row>
        <row r="1816">
          <cell r="A1816" t="str">
            <v>M2</v>
          </cell>
          <cell r="B1816" t="str">
            <v>A5C</v>
          </cell>
          <cell r="C1816" t="str">
            <v>P</v>
          </cell>
          <cell r="D1816" t="str">
            <v>23079</v>
          </cell>
          <cell r="E1816" t="str">
            <v>PIPE</v>
          </cell>
          <cell r="F1816">
            <v>1</v>
          </cell>
          <cell r="G1816" t="str">
            <v>CB100508000T00</v>
          </cell>
          <cell r="H1816">
            <v>0.75</v>
          </cell>
          <cell r="I1816" t="str">
            <v>--</v>
          </cell>
          <cell r="J1816">
            <v>26.2</v>
          </cell>
          <cell r="K1816">
            <v>26.2</v>
          </cell>
        </row>
        <row r="1817">
          <cell r="A1817" t="str">
            <v>M2</v>
          </cell>
          <cell r="B1817" t="str">
            <v>A5C</v>
          </cell>
          <cell r="C1817" t="str">
            <v>P</v>
          </cell>
          <cell r="D1817" t="str">
            <v>23094</v>
          </cell>
          <cell r="E1817" t="str">
            <v>PIPE</v>
          </cell>
          <cell r="F1817">
            <v>1</v>
          </cell>
          <cell r="G1817" t="str">
            <v>CB100508000T00</v>
          </cell>
          <cell r="H1817">
            <v>0.75</v>
          </cell>
          <cell r="I1817" t="str">
            <v>--</v>
          </cell>
          <cell r="J1817">
            <v>27</v>
          </cell>
          <cell r="K1817">
            <v>27</v>
          </cell>
        </row>
        <row r="1818">
          <cell r="A1818" t="str">
            <v>M2</v>
          </cell>
          <cell r="B1818" t="str">
            <v>A5C</v>
          </cell>
          <cell r="C1818" t="str">
            <v>P</v>
          </cell>
          <cell r="D1818" t="str">
            <v>23180</v>
          </cell>
          <cell r="E1818" t="str">
            <v>PIPE</v>
          </cell>
          <cell r="F1818">
            <v>1</v>
          </cell>
          <cell r="G1818" t="str">
            <v>CB100508000T00</v>
          </cell>
          <cell r="H1818">
            <v>0.75</v>
          </cell>
          <cell r="I1818" t="str">
            <v>--</v>
          </cell>
          <cell r="J1818">
            <v>29</v>
          </cell>
          <cell r="K1818">
            <v>29</v>
          </cell>
        </row>
        <row r="1819">
          <cell r="A1819" t="str">
            <v>M2</v>
          </cell>
          <cell r="B1819" t="str">
            <v>A5C</v>
          </cell>
          <cell r="C1819" t="str">
            <v>P</v>
          </cell>
          <cell r="D1819" t="str">
            <v>23028</v>
          </cell>
          <cell r="E1819" t="str">
            <v>PIPE</v>
          </cell>
          <cell r="F1819">
            <v>1</v>
          </cell>
          <cell r="G1819" t="str">
            <v>CB100508000T00</v>
          </cell>
          <cell r="H1819">
            <v>0.75</v>
          </cell>
          <cell r="I1819" t="str">
            <v>--</v>
          </cell>
          <cell r="J1819">
            <v>30.5</v>
          </cell>
          <cell r="K1819">
            <v>30.5</v>
          </cell>
        </row>
        <row r="1820">
          <cell r="A1820" t="str">
            <v>M2</v>
          </cell>
          <cell r="B1820" t="str">
            <v>A5C</v>
          </cell>
          <cell r="C1820" t="str">
            <v>P</v>
          </cell>
          <cell r="D1820" t="str">
            <v>23053</v>
          </cell>
          <cell r="E1820" t="str">
            <v>PIPE</v>
          </cell>
          <cell r="F1820">
            <v>1</v>
          </cell>
          <cell r="G1820" t="str">
            <v>CB100508000T00</v>
          </cell>
          <cell r="H1820">
            <v>0.75</v>
          </cell>
          <cell r="I1820" t="str">
            <v>--</v>
          </cell>
          <cell r="J1820">
            <v>31.5</v>
          </cell>
          <cell r="K1820">
            <v>31.5</v>
          </cell>
        </row>
        <row r="1821">
          <cell r="A1821" t="str">
            <v>M2</v>
          </cell>
          <cell r="B1821" t="str">
            <v>A5C</v>
          </cell>
          <cell r="C1821" t="str">
            <v>P</v>
          </cell>
          <cell r="D1821" t="str">
            <v>24016</v>
          </cell>
          <cell r="E1821" t="str">
            <v>PIPE</v>
          </cell>
          <cell r="F1821">
            <v>1</v>
          </cell>
          <cell r="G1821" t="str">
            <v>CB100508000T00</v>
          </cell>
          <cell r="H1821">
            <v>0.75</v>
          </cell>
          <cell r="I1821" t="str">
            <v>--</v>
          </cell>
          <cell r="J1821">
            <v>32.5</v>
          </cell>
          <cell r="K1821">
            <v>32.5</v>
          </cell>
        </row>
        <row r="1822">
          <cell r="A1822" t="str">
            <v>M2</v>
          </cell>
          <cell r="B1822" t="str">
            <v>A5C</v>
          </cell>
          <cell r="C1822" t="str">
            <v>P</v>
          </cell>
          <cell r="D1822" t="str">
            <v>23156</v>
          </cell>
          <cell r="E1822" t="str">
            <v>PIPE</v>
          </cell>
          <cell r="F1822">
            <v>1</v>
          </cell>
          <cell r="G1822" t="str">
            <v>CB100508000T00</v>
          </cell>
          <cell r="H1822">
            <v>0.75</v>
          </cell>
          <cell r="I1822" t="str">
            <v>--</v>
          </cell>
          <cell r="J1822">
            <v>34.9</v>
          </cell>
          <cell r="K1822">
            <v>34.9</v>
          </cell>
        </row>
        <row r="1823">
          <cell r="A1823" t="str">
            <v>M2</v>
          </cell>
          <cell r="B1823" t="str">
            <v>A5C</v>
          </cell>
          <cell r="C1823" t="str">
            <v>P</v>
          </cell>
          <cell r="D1823" t="str">
            <v>23191</v>
          </cell>
          <cell r="E1823" t="str">
            <v>PIPE</v>
          </cell>
          <cell r="F1823">
            <v>1</v>
          </cell>
          <cell r="G1823" t="str">
            <v>CB100508000T00</v>
          </cell>
          <cell r="H1823">
            <v>0.75</v>
          </cell>
          <cell r="I1823" t="str">
            <v>--</v>
          </cell>
          <cell r="J1823">
            <v>35</v>
          </cell>
          <cell r="K1823">
            <v>35</v>
          </cell>
        </row>
        <row r="1824">
          <cell r="A1824" t="str">
            <v>M2</v>
          </cell>
          <cell r="B1824" t="str">
            <v>A5C</v>
          </cell>
          <cell r="C1824" t="str">
            <v>P</v>
          </cell>
          <cell r="D1824" t="str">
            <v>23141</v>
          </cell>
          <cell r="E1824" t="str">
            <v>PIPE</v>
          </cell>
          <cell r="F1824">
            <v>1</v>
          </cell>
          <cell r="G1824" t="str">
            <v>CB100508000T00</v>
          </cell>
          <cell r="H1824">
            <v>0.75</v>
          </cell>
          <cell r="I1824" t="str">
            <v>--</v>
          </cell>
          <cell r="J1824">
            <v>37</v>
          </cell>
          <cell r="K1824">
            <v>37</v>
          </cell>
        </row>
        <row r="1825">
          <cell r="A1825" t="str">
            <v>M2</v>
          </cell>
          <cell r="B1825" t="str">
            <v>A5C</v>
          </cell>
          <cell r="C1825" t="str">
            <v>P</v>
          </cell>
          <cell r="D1825" t="str">
            <v>23081</v>
          </cell>
          <cell r="E1825" t="str">
            <v>PIPE</v>
          </cell>
          <cell r="F1825">
            <v>1</v>
          </cell>
          <cell r="G1825" t="str">
            <v>CB100508000T00</v>
          </cell>
          <cell r="H1825">
            <v>0.75</v>
          </cell>
          <cell r="I1825" t="str">
            <v>--</v>
          </cell>
          <cell r="J1825">
            <v>40</v>
          </cell>
          <cell r="K1825">
            <v>40</v>
          </cell>
        </row>
        <row r="1826">
          <cell r="A1826" t="str">
            <v>M2</v>
          </cell>
          <cell r="B1826" t="str">
            <v>A5C</v>
          </cell>
          <cell r="C1826" t="str">
            <v>P</v>
          </cell>
          <cell r="D1826" t="str">
            <v>24024</v>
          </cell>
          <cell r="E1826" t="str">
            <v>PIPE</v>
          </cell>
          <cell r="F1826">
            <v>1</v>
          </cell>
          <cell r="G1826" t="str">
            <v>CB100508000T00</v>
          </cell>
          <cell r="H1826">
            <v>0.75</v>
          </cell>
          <cell r="I1826" t="str">
            <v>--</v>
          </cell>
          <cell r="J1826">
            <v>49.5</v>
          </cell>
          <cell r="K1826">
            <v>49.5</v>
          </cell>
        </row>
        <row r="1827">
          <cell r="A1827" t="str">
            <v>M2</v>
          </cell>
          <cell r="B1827" t="str">
            <v>A5C</v>
          </cell>
          <cell r="C1827" t="str">
            <v>P</v>
          </cell>
          <cell r="D1827" t="str">
            <v>24018</v>
          </cell>
          <cell r="E1827" t="str">
            <v>PIPE</v>
          </cell>
          <cell r="F1827">
            <v>1</v>
          </cell>
          <cell r="G1827" t="str">
            <v>CB100508000T00</v>
          </cell>
          <cell r="H1827">
            <v>0.75</v>
          </cell>
          <cell r="I1827" t="str">
            <v>--</v>
          </cell>
          <cell r="J1827">
            <v>51</v>
          </cell>
          <cell r="K1827">
            <v>51</v>
          </cell>
        </row>
        <row r="1828">
          <cell r="A1828" t="str">
            <v>M2</v>
          </cell>
          <cell r="B1828" t="str">
            <v>A5C</v>
          </cell>
          <cell r="C1828" t="str">
            <v>P</v>
          </cell>
          <cell r="D1828" t="str">
            <v>23080</v>
          </cell>
          <cell r="E1828" t="str">
            <v>PIPE</v>
          </cell>
          <cell r="F1828">
            <v>1</v>
          </cell>
          <cell r="G1828" t="str">
            <v>CB100508000T00</v>
          </cell>
          <cell r="H1828">
            <v>0.75</v>
          </cell>
          <cell r="I1828" t="str">
            <v>--</v>
          </cell>
          <cell r="J1828">
            <v>67</v>
          </cell>
          <cell r="K1828">
            <v>67</v>
          </cell>
        </row>
        <row r="1829">
          <cell r="A1829" t="str">
            <v>M2</v>
          </cell>
          <cell r="B1829" t="str">
            <v>A5C</v>
          </cell>
          <cell r="C1829" t="str">
            <v>P</v>
          </cell>
          <cell r="D1829" t="str">
            <v>23133</v>
          </cell>
          <cell r="E1829" t="str">
            <v>PIPE</v>
          </cell>
          <cell r="F1829">
            <v>1</v>
          </cell>
          <cell r="G1829" t="str">
            <v>CB100508000100</v>
          </cell>
          <cell r="H1829">
            <v>1</v>
          </cell>
          <cell r="I1829" t="str">
            <v>--</v>
          </cell>
          <cell r="J1829">
            <v>0.1</v>
          </cell>
          <cell r="K1829">
            <v>0.1</v>
          </cell>
        </row>
        <row r="1830">
          <cell r="A1830" t="str">
            <v>M2</v>
          </cell>
          <cell r="B1830" t="str">
            <v>A5C</v>
          </cell>
          <cell r="C1830" t="str">
            <v>P</v>
          </cell>
          <cell r="D1830" t="str">
            <v>23141</v>
          </cell>
          <cell r="E1830" t="str">
            <v>PIPE</v>
          </cell>
          <cell r="F1830">
            <v>1</v>
          </cell>
          <cell r="G1830" t="str">
            <v>CB100508000100</v>
          </cell>
          <cell r="H1830">
            <v>1</v>
          </cell>
          <cell r="I1830" t="str">
            <v>--</v>
          </cell>
          <cell r="J1830">
            <v>0.1</v>
          </cell>
          <cell r="K1830">
            <v>0.1</v>
          </cell>
        </row>
        <row r="1831">
          <cell r="A1831" t="str">
            <v>M2</v>
          </cell>
          <cell r="B1831" t="str">
            <v>A5C</v>
          </cell>
          <cell r="C1831" t="str">
            <v>P</v>
          </cell>
          <cell r="D1831" t="str">
            <v>24001</v>
          </cell>
          <cell r="E1831" t="str">
            <v>PIPE</v>
          </cell>
          <cell r="F1831">
            <v>1</v>
          </cell>
          <cell r="G1831" t="str">
            <v>CB100508000100</v>
          </cell>
          <cell r="H1831">
            <v>1</v>
          </cell>
          <cell r="I1831" t="str">
            <v>--</v>
          </cell>
          <cell r="J1831">
            <v>0.3</v>
          </cell>
          <cell r="K1831">
            <v>0.3</v>
          </cell>
        </row>
        <row r="1832">
          <cell r="A1832" t="str">
            <v>M2</v>
          </cell>
          <cell r="B1832" t="str">
            <v>A5C</v>
          </cell>
          <cell r="C1832" t="str">
            <v>P</v>
          </cell>
          <cell r="D1832" t="str">
            <v>23006</v>
          </cell>
          <cell r="E1832" t="str">
            <v>PIPE</v>
          </cell>
          <cell r="F1832">
            <v>1</v>
          </cell>
          <cell r="G1832" t="str">
            <v>CB100508000100</v>
          </cell>
          <cell r="H1832">
            <v>1</v>
          </cell>
          <cell r="I1832" t="str">
            <v>--</v>
          </cell>
          <cell r="J1832">
            <v>0.4</v>
          </cell>
          <cell r="K1832">
            <v>0.4</v>
          </cell>
        </row>
        <row r="1833">
          <cell r="A1833" t="str">
            <v>M2</v>
          </cell>
          <cell r="B1833" t="str">
            <v>A5C</v>
          </cell>
          <cell r="C1833" t="str">
            <v>TRIM</v>
          </cell>
          <cell r="D1833" t="str">
            <v>V-2316</v>
          </cell>
          <cell r="E1833" t="str">
            <v>PIPE</v>
          </cell>
          <cell r="F1833">
            <v>1</v>
          </cell>
          <cell r="G1833" t="str">
            <v>CB100508000100</v>
          </cell>
          <cell r="H1833">
            <v>1</v>
          </cell>
          <cell r="I1833" t="str">
            <v>--</v>
          </cell>
          <cell r="J1833">
            <v>0.5</v>
          </cell>
          <cell r="K1833">
            <v>0.5</v>
          </cell>
        </row>
        <row r="1834">
          <cell r="A1834" t="str">
            <v>M2</v>
          </cell>
          <cell r="B1834" t="str">
            <v>A5C</v>
          </cell>
          <cell r="C1834" t="str">
            <v>TRIM</v>
          </cell>
          <cell r="D1834" t="str">
            <v>V-2325</v>
          </cell>
          <cell r="E1834" t="str">
            <v>PIPE</v>
          </cell>
          <cell r="F1834">
            <v>1</v>
          </cell>
          <cell r="G1834" t="str">
            <v>CB100508000100</v>
          </cell>
          <cell r="H1834">
            <v>1</v>
          </cell>
          <cell r="I1834" t="str">
            <v>--</v>
          </cell>
          <cell r="J1834">
            <v>0.5</v>
          </cell>
          <cell r="K1834">
            <v>0.5</v>
          </cell>
        </row>
        <row r="1835">
          <cell r="A1835" t="str">
            <v>M2</v>
          </cell>
          <cell r="B1835" t="str">
            <v>A5C</v>
          </cell>
          <cell r="C1835" t="str">
            <v>P</v>
          </cell>
          <cell r="D1835" t="str">
            <v>24031</v>
          </cell>
          <cell r="E1835" t="str">
            <v>PIPE</v>
          </cell>
          <cell r="F1835">
            <v>1</v>
          </cell>
          <cell r="G1835" t="str">
            <v>CB100508000100</v>
          </cell>
          <cell r="H1835">
            <v>1</v>
          </cell>
          <cell r="I1835" t="str">
            <v>--</v>
          </cell>
          <cell r="J1835">
            <v>0.5</v>
          </cell>
          <cell r="K1835">
            <v>0.5</v>
          </cell>
        </row>
        <row r="1836">
          <cell r="A1836" t="str">
            <v>M2</v>
          </cell>
          <cell r="B1836" t="str">
            <v>A5C</v>
          </cell>
          <cell r="C1836" t="str">
            <v>P</v>
          </cell>
          <cell r="D1836" t="str">
            <v>23037</v>
          </cell>
          <cell r="E1836" t="str">
            <v>PIPE</v>
          </cell>
          <cell r="F1836">
            <v>1</v>
          </cell>
          <cell r="G1836" t="str">
            <v>CB100508000100</v>
          </cell>
          <cell r="H1836">
            <v>1</v>
          </cell>
          <cell r="I1836" t="str">
            <v>--</v>
          </cell>
          <cell r="J1836">
            <v>1</v>
          </cell>
          <cell r="K1836">
            <v>1</v>
          </cell>
        </row>
        <row r="1837">
          <cell r="A1837" t="str">
            <v>M2</v>
          </cell>
          <cell r="B1837" t="str">
            <v>A5C</v>
          </cell>
          <cell r="C1837" t="str">
            <v>P</v>
          </cell>
          <cell r="D1837" t="str">
            <v>23052</v>
          </cell>
          <cell r="E1837" t="str">
            <v>PIPE</v>
          </cell>
          <cell r="F1837">
            <v>1</v>
          </cell>
          <cell r="G1837" t="str">
            <v>CB100508000100</v>
          </cell>
          <cell r="H1837">
            <v>1</v>
          </cell>
          <cell r="I1837" t="str">
            <v>--</v>
          </cell>
          <cell r="J1837">
            <v>1</v>
          </cell>
          <cell r="K1837">
            <v>1</v>
          </cell>
        </row>
        <row r="1838">
          <cell r="A1838" t="str">
            <v>M2</v>
          </cell>
          <cell r="B1838" t="str">
            <v>A5C</v>
          </cell>
          <cell r="C1838" t="str">
            <v>P</v>
          </cell>
          <cell r="D1838" t="str">
            <v>23145</v>
          </cell>
          <cell r="E1838" t="str">
            <v>PIPE</v>
          </cell>
          <cell r="F1838">
            <v>1</v>
          </cell>
          <cell r="G1838" t="str">
            <v>CB100508000100</v>
          </cell>
          <cell r="H1838">
            <v>1</v>
          </cell>
          <cell r="I1838" t="str">
            <v>--</v>
          </cell>
          <cell r="J1838">
            <v>1</v>
          </cell>
          <cell r="K1838">
            <v>1</v>
          </cell>
        </row>
        <row r="1839">
          <cell r="A1839" t="str">
            <v>M2</v>
          </cell>
          <cell r="B1839" t="str">
            <v>A5C</v>
          </cell>
          <cell r="C1839" t="str">
            <v>TRIM</v>
          </cell>
          <cell r="D1839" t="str">
            <v>V-2352</v>
          </cell>
          <cell r="E1839" t="str">
            <v>PIPE</v>
          </cell>
          <cell r="F1839">
            <v>1</v>
          </cell>
          <cell r="G1839" t="str">
            <v>CB100508000100</v>
          </cell>
          <cell r="H1839">
            <v>1</v>
          </cell>
          <cell r="I1839" t="str">
            <v>--</v>
          </cell>
          <cell r="J1839">
            <v>1</v>
          </cell>
          <cell r="K1839">
            <v>1</v>
          </cell>
        </row>
        <row r="1840">
          <cell r="A1840" t="str">
            <v>M2</v>
          </cell>
          <cell r="B1840" t="str">
            <v>A5C</v>
          </cell>
          <cell r="C1840" t="str">
            <v>P</v>
          </cell>
          <cell r="D1840" t="str">
            <v>23039</v>
          </cell>
          <cell r="E1840" t="str">
            <v>PIPE</v>
          </cell>
          <cell r="F1840">
            <v>1</v>
          </cell>
          <cell r="G1840" t="str">
            <v>CB100508000100</v>
          </cell>
          <cell r="H1840">
            <v>1</v>
          </cell>
          <cell r="I1840" t="str">
            <v>--</v>
          </cell>
          <cell r="J1840">
            <v>1</v>
          </cell>
          <cell r="K1840">
            <v>1</v>
          </cell>
        </row>
        <row r="1841">
          <cell r="A1841" t="str">
            <v>M2</v>
          </cell>
          <cell r="B1841" t="str">
            <v>A5C</v>
          </cell>
          <cell r="C1841" t="str">
            <v>P</v>
          </cell>
          <cell r="D1841" t="str">
            <v>99004</v>
          </cell>
          <cell r="E1841" t="str">
            <v>PIPE</v>
          </cell>
          <cell r="F1841">
            <v>1</v>
          </cell>
          <cell r="G1841" t="str">
            <v>CB100508000100</v>
          </cell>
          <cell r="H1841">
            <v>1</v>
          </cell>
          <cell r="I1841" t="str">
            <v>--</v>
          </cell>
          <cell r="J1841">
            <v>1</v>
          </cell>
          <cell r="K1841">
            <v>1</v>
          </cell>
        </row>
        <row r="1842">
          <cell r="A1842" t="str">
            <v>M2</v>
          </cell>
          <cell r="B1842" t="str">
            <v>A5C</v>
          </cell>
          <cell r="C1842" t="str">
            <v>N</v>
          </cell>
          <cell r="D1842" t="str">
            <v>23631</v>
          </cell>
          <cell r="E1842" t="str">
            <v>PIPE</v>
          </cell>
          <cell r="F1842">
            <v>1</v>
          </cell>
          <cell r="G1842" t="str">
            <v>CB100508000100</v>
          </cell>
          <cell r="H1842">
            <v>1</v>
          </cell>
          <cell r="I1842" t="str">
            <v>--</v>
          </cell>
          <cell r="J1842">
            <v>1.3</v>
          </cell>
          <cell r="K1842">
            <v>1.3</v>
          </cell>
        </row>
        <row r="1843">
          <cell r="A1843" t="str">
            <v>M2</v>
          </cell>
          <cell r="B1843" t="str">
            <v>A5C</v>
          </cell>
          <cell r="C1843" t="str">
            <v>N</v>
          </cell>
          <cell r="D1843" t="str">
            <v>23634</v>
          </cell>
          <cell r="E1843" t="str">
            <v>PIPE</v>
          </cell>
          <cell r="F1843">
            <v>1</v>
          </cell>
          <cell r="G1843" t="str">
            <v>CB100508000100</v>
          </cell>
          <cell r="H1843">
            <v>1</v>
          </cell>
          <cell r="I1843" t="str">
            <v>--</v>
          </cell>
          <cell r="J1843">
            <v>1.3</v>
          </cell>
          <cell r="K1843">
            <v>1.3</v>
          </cell>
        </row>
        <row r="1844">
          <cell r="A1844" t="str">
            <v>M2</v>
          </cell>
          <cell r="B1844" t="str">
            <v>A5C</v>
          </cell>
          <cell r="C1844" t="str">
            <v>N</v>
          </cell>
          <cell r="D1844" t="str">
            <v>23632</v>
          </cell>
          <cell r="E1844" t="str">
            <v>PIPE</v>
          </cell>
          <cell r="F1844">
            <v>1</v>
          </cell>
          <cell r="G1844" t="str">
            <v>CB100508000100</v>
          </cell>
          <cell r="H1844">
            <v>1</v>
          </cell>
          <cell r="I1844" t="str">
            <v>--</v>
          </cell>
          <cell r="J1844">
            <v>1.3</v>
          </cell>
          <cell r="K1844">
            <v>1.3</v>
          </cell>
        </row>
        <row r="1845">
          <cell r="A1845" t="str">
            <v>M2</v>
          </cell>
          <cell r="B1845" t="str">
            <v>A5C</v>
          </cell>
          <cell r="C1845" t="str">
            <v>P</v>
          </cell>
          <cell r="D1845" t="str">
            <v>23035</v>
          </cell>
          <cell r="E1845" t="str">
            <v>PIPE</v>
          </cell>
          <cell r="F1845">
            <v>1</v>
          </cell>
          <cell r="G1845" t="str">
            <v>CB100508000100</v>
          </cell>
          <cell r="H1845">
            <v>1</v>
          </cell>
          <cell r="I1845" t="str">
            <v>--</v>
          </cell>
          <cell r="J1845">
            <v>1.4</v>
          </cell>
          <cell r="K1845">
            <v>1.4</v>
          </cell>
        </row>
        <row r="1846">
          <cell r="A1846" t="str">
            <v>M2</v>
          </cell>
          <cell r="B1846" t="str">
            <v>A5C</v>
          </cell>
          <cell r="C1846" t="str">
            <v>N</v>
          </cell>
          <cell r="D1846" t="str">
            <v>23638</v>
          </cell>
          <cell r="E1846" t="str">
            <v>PIPE</v>
          </cell>
          <cell r="F1846">
            <v>1</v>
          </cell>
          <cell r="G1846" t="str">
            <v>CB100508000100</v>
          </cell>
          <cell r="H1846">
            <v>1</v>
          </cell>
          <cell r="I1846" t="str">
            <v>--</v>
          </cell>
          <cell r="J1846">
            <v>1.6</v>
          </cell>
          <cell r="K1846">
            <v>1.6</v>
          </cell>
        </row>
        <row r="1847">
          <cell r="A1847" t="str">
            <v>M2</v>
          </cell>
          <cell r="B1847" t="str">
            <v>A5C</v>
          </cell>
          <cell r="C1847" t="str">
            <v>N</v>
          </cell>
          <cell r="D1847" t="str">
            <v>23640</v>
          </cell>
          <cell r="E1847" t="str">
            <v>PIPE</v>
          </cell>
          <cell r="F1847">
            <v>1</v>
          </cell>
          <cell r="G1847" t="str">
            <v>CB100508000100</v>
          </cell>
          <cell r="H1847">
            <v>1</v>
          </cell>
          <cell r="I1847" t="str">
            <v>--</v>
          </cell>
          <cell r="J1847">
            <v>1.6</v>
          </cell>
          <cell r="K1847">
            <v>1.6</v>
          </cell>
        </row>
        <row r="1848">
          <cell r="A1848" t="str">
            <v>M2</v>
          </cell>
          <cell r="B1848" t="str">
            <v>A5C</v>
          </cell>
          <cell r="C1848" t="str">
            <v>P</v>
          </cell>
          <cell r="D1848" t="str">
            <v>23006</v>
          </cell>
          <cell r="E1848" t="str">
            <v>PIPE</v>
          </cell>
          <cell r="F1848">
            <v>1</v>
          </cell>
          <cell r="G1848" t="str">
            <v>CB100508000100</v>
          </cell>
          <cell r="H1848">
            <v>1</v>
          </cell>
          <cell r="I1848" t="str">
            <v>--</v>
          </cell>
          <cell r="J1848">
            <v>1.6</v>
          </cell>
          <cell r="K1848">
            <v>1.6</v>
          </cell>
        </row>
        <row r="1849">
          <cell r="A1849" t="str">
            <v>M2</v>
          </cell>
          <cell r="B1849" t="str">
            <v>A5C</v>
          </cell>
          <cell r="C1849" t="str">
            <v>N</v>
          </cell>
          <cell r="D1849" t="str">
            <v>23636</v>
          </cell>
          <cell r="E1849" t="str">
            <v>PIPE</v>
          </cell>
          <cell r="F1849">
            <v>1</v>
          </cell>
          <cell r="G1849" t="str">
            <v>CB100508000100</v>
          </cell>
          <cell r="H1849">
            <v>1</v>
          </cell>
          <cell r="I1849" t="str">
            <v>--</v>
          </cell>
          <cell r="J1849">
            <v>1.6</v>
          </cell>
          <cell r="K1849">
            <v>1.6</v>
          </cell>
        </row>
        <row r="1850">
          <cell r="A1850" t="str">
            <v>M2</v>
          </cell>
          <cell r="B1850" t="str">
            <v>A5C</v>
          </cell>
          <cell r="C1850" t="str">
            <v>P</v>
          </cell>
          <cell r="D1850" t="str">
            <v>23149</v>
          </cell>
          <cell r="E1850" t="str">
            <v>PIPE</v>
          </cell>
          <cell r="F1850">
            <v>1</v>
          </cell>
          <cell r="G1850" t="str">
            <v>CB100508000100</v>
          </cell>
          <cell r="H1850">
            <v>1</v>
          </cell>
          <cell r="I1850" t="str">
            <v>--</v>
          </cell>
          <cell r="J1850">
            <v>1.7</v>
          </cell>
          <cell r="K1850">
            <v>1.7</v>
          </cell>
        </row>
        <row r="1851">
          <cell r="A1851" t="str">
            <v>M2</v>
          </cell>
          <cell r="B1851" t="str">
            <v>A5C</v>
          </cell>
          <cell r="C1851" t="str">
            <v>P</v>
          </cell>
          <cell r="D1851" t="str">
            <v>23208</v>
          </cell>
          <cell r="E1851" t="str">
            <v>PIPE</v>
          </cell>
          <cell r="F1851">
            <v>1</v>
          </cell>
          <cell r="G1851" t="str">
            <v>CB100508000100</v>
          </cell>
          <cell r="H1851">
            <v>1</v>
          </cell>
          <cell r="I1851" t="str">
            <v>--</v>
          </cell>
          <cell r="J1851">
            <v>2</v>
          </cell>
          <cell r="K1851">
            <v>2</v>
          </cell>
        </row>
        <row r="1852">
          <cell r="A1852" t="str">
            <v>M2</v>
          </cell>
          <cell r="B1852" t="str">
            <v>A5C</v>
          </cell>
          <cell r="C1852" t="str">
            <v>P</v>
          </cell>
          <cell r="D1852" t="str">
            <v>23212</v>
          </cell>
          <cell r="E1852" t="str">
            <v>PIPE</v>
          </cell>
          <cell r="F1852">
            <v>1</v>
          </cell>
          <cell r="G1852" t="str">
            <v>CB100508000100</v>
          </cell>
          <cell r="H1852">
            <v>1</v>
          </cell>
          <cell r="I1852" t="str">
            <v>--</v>
          </cell>
          <cell r="J1852">
            <v>2</v>
          </cell>
          <cell r="K1852">
            <v>2</v>
          </cell>
        </row>
        <row r="1853">
          <cell r="A1853" t="str">
            <v>M2</v>
          </cell>
          <cell r="B1853" t="str">
            <v>A5C</v>
          </cell>
          <cell r="C1853" t="str">
            <v>P</v>
          </cell>
          <cell r="D1853" t="str">
            <v>23214</v>
          </cell>
          <cell r="E1853" t="str">
            <v>PIPE</v>
          </cell>
          <cell r="F1853">
            <v>1</v>
          </cell>
          <cell r="G1853" t="str">
            <v>CB100508000100</v>
          </cell>
          <cell r="H1853">
            <v>1</v>
          </cell>
          <cell r="I1853" t="str">
            <v>--</v>
          </cell>
          <cell r="J1853">
            <v>2</v>
          </cell>
          <cell r="K1853">
            <v>2</v>
          </cell>
        </row>
        <row r="1854">
          <cell r="A1854" t="str">
            <v>M2</v>
          </cell>
          <cell r="B1854" t="str">
            <v>A5C</v>
          </cell>
          <cell r="C1854" t="str">
            <v>P</v>
          </cell>
          <cell r="D1854" t="str">
            <v>23206</v>
          </cell>
          <cell r="E1854" t="str">
            <v>PIPE</v>
          </cell>
          <cell r="F1854">
            <v>1</v>
          </cell>
          <cell r="G1854" t="str">
            <v>CB100508000100</v>
          </cell>
          <cell r="H1854">
            <v>1</v>
          </cell>
          <cell r="I1854" t="str">
            <v>--</v>
          </cell>
          <cell r="J1854">
            <v>2</v>
          </cell>
          <cell r="K1854">
            <v>2</v>
          </cell>
        </row>
        <row r="1855">
          <cell r="A1855" t="str">
            <v>M2</v>
          </cell>
          <cell r="B1855" t="str">
            <v>A5C</v>
          </cell>
          <cell r="C1855" t="str">
            <v>P</v>
          </cell>
          <cell r="D1855" t="str">
            <v>23207</v>
          </cell>
          <cell r="E1855" t="str">
            <v>PIPE</v>
          </cell>
          <cell r="F1855">
            <v>1</v>
          </cell>
          <cell r="G1855" t="str">
            <v>CB100508000100</v>
          </cell>
          <cell r="H1855">
            <v>1</v>
          </cell>
          <cell r="I1855" t="str">
            <v>--</v>
          </cell>
          <cell r="J1855">
            <v>2</v>
          </cell>
          <cell r="K1855">
            <v>2</v>
          </cell>
        </row>
        <row r="1856">
          <cell r="A1856" t="str">
            <v>M2</v>
          </cell>
          <cell r="B1856" t="str">
            <v>A5C</v>
          </cell>
          <cell r="C1856" t="str">
            <v>P</v>
          </cell>
          <cell r="D1856" t="str">
            <v>23213</v>
          </cell>
          <cell r="E1856" t="str">
            <v>PIPE</v>
          </cell>
          <cell r="F1856">
            <v>1</v>
          </cell>
          <cell r="G1856" t="str">
            <v>CB100508000100</v>
          </cell>
          <cell r="H1856">
            <v>1</v>
          </cell>
          <cell r="I1856" t="str">
            <v>--</v>
          </cell>
          <cell r="J1856">
            <v>2</v>
          </cell>
          <cell r="K1856">
            <v>2</v>
          </cell>
        </row>
        <row r="1857">
          <cell r="A1857" t="str">
            <v>M2</v>
          </cell>
          <cell r="B1857" t="str">
            <v>A5C</v>
          </cell>
          <cell r="C1857" t="str">
            <v>P</v>
          </cell>
          <cell r="D1857" t="str">
            <v>23239</v>
          </cell>
          <cell r="E1857" t="str">
            <v>PIPE</v>
          </cell>
          <cell r="F1857">
            <v>1</v>
          </cell>
          <cell r="G1857" t="str">
            <v>CB100508000100</v>
          </cell>
          <cell r="H1857">
            <v>1</v>
          </cell>
          <cell r="I1857" t="str">
            <v>--</v>
          </cell>
          <cell r="J1857">
            <v>2</v>
          </cell>
          <cell r="K1857">
            <v>2</v>
          </cell>
        </row>
        <row r="1858">
          <cell r="A1858" t="str">
            <v>M2</v>
          </cell>
          <cell r="B1858" t="str">
            <v>A5C</v>
          </cell>
          <cell r="C1858" t="str">
            <v>P</v>
          </cell>
          <cell r="D1858" t="str">
            <v>23204</v>
          </cell>
          <cell r="E1858" t="str">
            <v>PIPE</v>
          </cell>
          <cell r="F1858">
            <v>1</v>
          </cell>
          <cell r="G1858" t="str">
            <v>CB100508000100</v>
          </cell>
          <cell r="H1858">
            <v>1</v>
          </cell>
          <cell r="I1858" t="str">
            <v>--</v>
          </cell>
          <cell r="J1858">
            <v>2</v>
          </cell>
          <cell r="K1858">
            <v>2</v>
          </cell>
        </row>
        <row r="1859">
          <cell r="A1859" t="str">
            <v>M2</v>
          </cell>
          <cell r="B1859" t="str">
            <v>A5C</v>
          </cell>
          <cell r="C1859" t="str">
            <v>P</v>
          </cell>
          <cell r="D1859" t="str">
            <v>23205</v>
          </cell>
          <cell r="E1859" t="str">
            <v>PIPE</v>
          </cell>
          <cell r="F1859">
            <v>1</v>
          </cell>
          <cell r="G1859" t="str">
            <v>CB100508000100</v>
          </cell>
          <cell r="H1859">
            <v>1</v>
          </cell>
          <cell r="I1859" t="str">
            <v>--</v>
          </cell>
          <cell r="J1859">
            <v>2</v>
          </cell>
          <cell r="K1859">
            <v>2</v>
          </cell>
        </row>
        <row r="1860">
          <cell r="A1860" t="str">
            <v>M2</v>
          </cell>
          <cell r="B1860" t="str">
            <v>A5C</v>
          </cell>
          <cell r="C1860" t="str">
            <v>P</v>
          </cell>
          <cell r="D1860" t="str">
            <v>23235</v>
          </cell>
          <cell r="E1860" t="str">
            <v>PIPE</v>
          </cell>
          <cell r="F1860">
            <v>1</v>
          </cell>
          <cell r="G1860" t="str">
            <v>CB100508000100</v>
          </cell>
          <cell r="H1860">
            <v>1</v>
          </cell>
          <cell r="I1860" t="str">
            <v>--</v>
          </cell>
          <cell r="J1860">
            <v>2</v>
          </cell>
          <cell r="K1860">
            <v>2</v>
          </cell>
        </row>
        <row r="1861">
          <cell r="A1861" t="str">
            <v>M2</v>
          </cell>
          <cell r="B1861" t="str">
            <v>A5C</v>
          </cell>
          <cell r="C1861" t="str">
            <v>P</v>
          </cell>
          <cell r="D1861" t="str">
            <v>23018</v>
          </cell>
          <cell r="E1861" t="str">
            <v>PIPE</v>
          </cell>
          <cell r="F1861">
            <v>1</v>
          </cell>
          <cell r="G1861" t="str">
            <v>CB100508000100</v>
          </cell>
          <cell r="H1861">
            <v>1</v>
          </cell>
          <cell r="I1861" t="str">
            <v>--</v>
          </cell>
          <cell r="J1861">
            <v>2</v>
          </cell>
          <cell r="K1861">
            <v>2</v>
          </cell>
        </row>
        <row r="1862">
          <cell r="A1862" t="str">
            <v>M2</v>
          </cell>
          <cell r="B1862" t="str">
            <v>A5C</v>
          </cell>
          <cell r="C1862" t="str">
            <v>P</v>
          </cell>
          <cell r="D1862" t="str">
            <v>23223</v>
          </cell>
          <cell r="E1862" t="str">
            <v>PIPE</v>
          </cell>
          <cell r="F1862">
            <v>1</v>
          </cell>
          <cell r="G1862" t="str">
            <v>CB100508000100</v>
          </cell>
          <cell r="H1862">
            <v>1</v>
          </cell>
          <cell r="I1862" t="str">
            <v>--</v>
          </cell>
          <cell r="J1862">
            <v>2</v>
          </cell>
          <cell r="K1862">
            <v>2</v>
          </cell>
        </row>
        <row r="1863">
          <cell r="A1863" t="str">
            <v>M2</v>
          </cell>
          <cell r="B1863" t="str">
            <v>A5C</v>
          </cell>
          <cell r="C1863" t="str">
            <v>P</v>
          </cell>
          <cell r="D1863" t="str">
            <v>99003</v>
          </cell>
          <cell r="E1863" t="str">
            <v>PIPE</v>
          </cell>
          <cell r="F1863">
            <v>1</v>
          </cell>
          <cell r="G1863" t="str">
            <v>CB100508000100</v>
          </cell>
          <cell r="H1863">
            <v>1</v>
          </cell>
          <cell r="I1863" t="str">
            <v>--</v>
          </cell>
          <cell r="J1863">
            <v>2.1</v>
          </cell>
          <cell r="K1863">
            <v>2.1</v>
          </cell>
        </row>
        <row r="1864">
          <cell r="A1864" t="str">
            <v>M2</v>
          </cell>
          <cell r="B1864" t="str">
            <v>B2C</v>
          </cell>
          <cell r="C1864" t="str">
            <v>SH</v>
          </cell>
          <cell r="D1864" t="str">
            <v>23613</v>
          </cell>
          <cell r="E1864" t="str">
            <v>PIPE</v>
          </cell>
          <cell r="F1864">
            <v>1</v>
          </cell>
          <cell r="G1864" t="str">
            <v>CB100508000100</v>
          </cell>
          <cell r="H1864">
            <v>1</v>
          </cell>
          <cell r="I1864" t="str">
            <v>--</v>
          </cell>
          <cell r="J1864">
            <v>2.2999999999999998</v>
          </cell>
          <cell r="K1864">
            <v>2.2999999999999998</v>
          </cell>
        </row>
        <row r="1865">
          <cell r="A1865" t="str">
            <v>M2</v>
          </cell>
          <cell r="B1865" t="str">
            <v>A5C</v>
          </cell>
          <cell r="C1865" t="str">
            <v>N</v>
          </cell>
          <cell r="D1865" t="str">
            <v>23637</v>
          </cell>
          <cell r="E1865" t="str">
            <v>PIPE</v>
          </cell>
          <cell r="F1865">
            <v>1</v>
          </cell>
          <cell r="G1865" t="str">
            <v>CB100508000100</v>
          </cell>
          <cell r="H1865">
            <v>1</v>
          </cell>
          <cell r="I1865" t="str">
            <v>--</v>
          </cell>
          <cell r="J1865">
            <v>2.2999999999999998</v>
          </cell>
          <cell r="K1865">
            <v>2.2999999999999998</v>
          </cell>
        </row>
        <row r="1866">
          <cell r="A1866" t="str">
            <v>M2</v>
          </cell>
          <cell r="B1866" t="str">
            <v>A5C</v>
          </cell>
          <cell r="C1866" t="str">
            <v>N</v>
          </cell>
          <cell r="D1866" t="str">
            <v>23639</v>
          </cell>
          <cell r="E1866" t="str">
            <v>PIPE</v>
          </cell>
          <cell r="F1866">
            <v>1</v>
          </cell>
          <cell r="G1866" t="str">
            <v>CB100508000100</v>
          </cell>
          <cell r="H1866">
            <v>1</v>
          </cell>
          <cell r="I1866" t="str">
            <v>--</v>
          </cell>
          <cell r="J1866">
            <v>2.2999999999999998</v>
          </cell>
          <cell r="K1866">
            <v>2.2999999999999998</v>
          </cell>
        </row>
        <row r="1867">
          <cell r="A1867" t="str">
            <v>M2</v>
          </cell>
          <cell r="B1867" t="str">
            <v>A5C</v>
          </cell>
          <cell r="C1867" t="str">
            <v>P</v>
          </cell>
          <cell r="D1867" t="str">
            <v>23019</v>
          </cell>
          <cell r="E1867" t="str">
            <v>PIPE</v>
          </cell>
          <cell r="F1867">
            <v>1</v>
          </cell>
          <cell r="G1867" t="str">
            <v>CB100508000100</v>
          </cell>
          <cell r="H1867">
            <v>1</v>
          </cell>
          <cell r="I1867" t="str">
            <v>--</v>
          </cell>
          <cell r="J1867">
            <v>2.5</v>
          </cell>
          <cell r="K1867">
            <v>2.5</v>
          </cell>
        </row>
        <row r="1868">
          <cell r="A1868" t="str">
            <v>M2</v>
          </cell>
          <cell r="B1868" t="str">
            <v>A5C</v>
          </cell>
          <cell r="C1868" t="str">
            <v>P</v>
          </cell>
          <cell r="D1868" t="str">
            <v>23063</v>
          </cell>
          <cell r="E1868" t="str">
            <v>PIPE</v>
          </cell>
          <cell r="F1868">
            <v>1</v>
          </cell>
          <cell r="G1868" t="str">
            <v>CB100508000100</v>
          </cell>
          <cell r="H1868">
            <v>1</v>
          </cell>
          <cell r="I1868" t="str">
            <v>--</v>
          </cell>
          <cell r="J1868">
            <v>2.7</v>
          </cell>
          <cell r="K1868">
            <v>2.7</v>
          </cell>
        </row>
        <row r="1869">
          <cell r="A1869" t="str">
            <v>M2</v>
          </cell>
          <cell r="B1869" t="str">
            <v>A5C</v>
          </cell>
          <cell r="C1869" t="str">
            <v>P</v>
          </cell>
          <cell r="D1869" t="str">
            <v>23078</v>
          </cell>
          <cell r="E1869" t="str">
            <v>PIPE</v>
          </cell>
          <cell r="F1869">
            <v>1</v>
          </cell>
          <cell r="G1869" t="str">
            <v>CB100508000100</v>
          </cell>
          <cell r="H1869">
            <v>1</v>
          </cell>
          <cell r="I1869" t="str">
            <v>--</v>
          </cell>
          <cell r="J1869">
            <v>2.7</v>
          </cell>
          <cell r="K1869">
            <v>2.7</v>
          </cell>
        </row>
        <row r="1870">
          <cell r="A1870" t="str">
            <v>M2</v>
          </cell>
          <cell r="B1870" t="str">
            <v>A5C</v>
          </cell>
          <cell r="C1870" t="str">
            <v>P</v>
          </cell>
          <cell r="D1870" t="str">
            <v>23027</v>
          </cell>
          <cell r="E1870" t="str">
            <v>PIPE</v>
          </cell>
          <cell r="F1870">
            <v>1</v>
          </cell>
          <cell r="G1870" t="str">
            <v>CB100508000100</v>
          </cell>
          <cell r="H1870">
            <v>1</v>
          </cell>
          <cell r="I1870" t="str">
            <v>--</v>
          </cell>
          <cell r="J1870">
            <v>2.7</v>
          </cell>
          <cell r="K1870">
            <v>2.7</v>
          </cell>
        </row>
        <row r="1871">
          <cell r="A1871" t="str">
            <v>M2</v>
          </cell>
          <cell r="B1871" t="str">
            <v>A5C</v>
          </cell>
          <cell r="C1871" t="str">
            <v>N</v>
          </cell>
          <cell r="D1871" t="str">
            <v>23635</v>
          </cell>
          <cell r="E1871" t="str">
            <v>PIPE</v>
          </cell>
          <cell r="F1871">
            <v>1</v>
          </cell>
          <cell r="G1871" t="str">
            <v>CB100508000100</v>
          </cell>
          <cell r="H1871">
            <v>1</v>
          </cell>
          <cell r="I1871" t="str">
            <v>--</v>
          </cell>
          <cell r="J1871">
            <v>2.9</v>
          </cell>
          <cell r="K1871">
            <v>2.9</v>
          </cell>
        </row>
        <row r="1872">
          <cell r="A1872" t="str">
            <v>M2</v>
          </cell>
          <cell r="B1872" t="str">
            <v>A5C</v>
          </cell>
          <cell r="C1872" t="str">
            <v>N</v>
          </cell>
          <cell r="D1872" t="str">
            <v>23633</v>
          </cell>
          <cell r="E1872" t="str">
            <v>PIPE</v>
          </cell>
          <cell r="F1872">
            <v>1</v>
          </cell>
          <cell r="G1872" t="str">
            <v>CB100508000100</v>
          </cell>
          <cell r="H1872">
            <v>1</v>
          </cell>
          <cell r="I1872" t="str">
            <v>--</v>
          </cell>
          <cell r="J1872">
            <v>3</v>
          </cell>
          <cell r="K1872">
            <v>3</v>
          </cell>
        </row>
        <row r="1873">
          <cell r="A1873" t="str">
            <v>M2</v>
          </cell>
          <cell r="B1873" t="str">
            <v>A5C</v>
          </cell>
          <cell r="C1873" t="str">
            <v>P</v>
          </cell>
          <cell r="D1873" t="str">
            <v>23164</v>
          </cell>
          <cell r="E1873" t="str">
            <v>PIPE</v>
          </cell>
          <cell r="F1873">
            <v>1</v>
          </cell>
          <cell r="G1873" t="str">
            <v>CB100508000100</v>
          </cell>
          <cell r="H1873">
            <v>1</v>
          </cell>
          <cell r="I1873" t="str">
            <v>--</v>
          </cell>
          <cell r="J1873">
            <v>3.3</v>
          </cell>
          <cell r="K1873">
            <v>3.3</v>
          </cell>
        </row>
        <row r="1874">
          <cell r="A1874" t="str">
            <v>M2</v>
          </cell>
          <cell r="B1874" t="str">
            <v>A5C</v>
          </cell>
          <cell r="C1874" t="str">
            <v>P</v>
          </cell>
          <cell r="D1874" t="str">
            <v>24007</v>
          </cell>
          <cell r="E1874" t="str">
            <v>PIPE</v>
          </cell>
          <cell r="F1874">
            <v>1</v>
          </cell>
          <cell r="G1874" t="str">
            <v>CB100508000100</v>
          </cell>
          <cell r="H1874">
            <v>1</v>
          </cell>
          <cell r="I1874" t="str">
            <v>--</v>
          </cell>
          <cell r="J1874">
            <v>4</v>
          </cell>
          <cell r="K1874">
            <v>4</v>
          </cell>
        </row>
        <row r="1875">
          <cell r="A1875" t="str">
            <v>M2</v>
          </cell>
          <cell r="B1875" t="str">
            <v>A5C</v>
          </cell>
          <cell r="C1875" t="str">
            <v>P</v>
          </cell>
          <cell r="D1875" t="str">
            <v>24015</v>
          </cell>
          <cell r="E1875" t="str">
            <v>PIPE</v>
          </cell>
          <cell r="F1875">
            <v>1</v>
          </cell>
          <cell r="G1875" t="str">
            <v>CB100508000100</v>
          </cell>
          <cell r="H1875">
            <v>1</v>
          </cell>
          <cell r="I1875" t="str">
            <v>--</v>
          </cell>
          <cell r="J1875">
            <v>4.5</v>
          </cell>
          <cell r="K1875">
            <v>4.5</v>
          </cell>
        </row>
        <row r="1876">
          <cell r="A1876" t="str">
            <v>M2</v>
          </cell>
          <cell r="B1876" t="str">
            <v>A5C</v>
          </cell>
          <cell r="C1876" t="str">
            <v>P</v>
          </cell>
          <cell r="D1876" t="str">
            <v>24020</v>
          </cell>
          <cell r="E1876" t="str">
            <v>PIPE</v>
          </cell>
          <cell r="F1876">
            <v>1</v>
          </cell>
          <cell r="G1876" t="str">
            <v>CB100508000100</v>
          </cell>
          <cell r="H1876">
            <v>1</v>
          </cell>
          <cell r="I1876" t="str">
            <v>--</v>
          </cell>
          <cell r="J1876">
            <v>4.9000000000000004</v>
          </cell>
          <cell r="K1876">
            <v>4.9000000000000004</v>
          </cell>
        </row>
        <row r="1877">
          <cell r="A1877" t="str">
            <v>M2</v>
          </cell>
          <cell r="B1877" t="str">
            <v>A5C</v>
          </cell>
          <cell r="C1877" t="str">
            <v>P</v>
          </cell>
          <cell r="D1877" t="str">
            <v>24010</v>
          </cell>
          <cell r="E1877" t="str">
            <v>PIPE</v>
          </cell>
          <cell r="F1877">
            <v>1</v>
          </cell>
          <cell r="G1877" t="str">
            <v>CB100508000100</v>
          </cell>
          <cell r="H1877">
            <v>1</v>
          </cell>
          <cell r="I1877" t="str">
            <v>--</v>
          </cell>
          <cell r="J1877">
            <v>5</v>
          </cell>
          <cell r="K1877">
            <v>5</v>
          </cell>
        </row>
        <row r="1878">
          <cell r="A1878" t="str">
            <v>M2</v>
          </cell>
          <cell r="B1878" t="str">
            <v>A5C</v>
          </cell>
          <cell r="C1878" t="str">
            <v>P</v>
          </cell>
          <cell r="D1878" t="str">
            <v>24026</v>
          </cell>
          <cell r="E1878" t="str">
            <v>PIPE</v>
          </cell>
          <cell r="F1878">
            <v>1</v>
          </cell>
          <cell r="G1878" t="str">
            <v>CB100508000100</v>
          </cell>
          <cell r="H1878">
            <v>1</v>
          </cell>
          <cell r="I1878" t="str">
            <v>--</v>
          </cell>
          <cell r="J1878">
            <v>5.9</v>
          </cell>
          <cell r="K1878">
            <v>5.9</v>
          </cell>
        </row>
        <row r="1879">
          <cell r="A1879" t="str">
            <v>M2</v>
          </cell>
          <cell r="B1879" t="str">
            <v>A5C</v>
          </cell>
          <cell r="C1879" t="str">
            <v>P</v>
          </cell>
          <cell r="D1879" t="str">
            <v>24002</v>
          </cell>
          <cell r="E1879" t="str">
            <v>PIPE</v>
          </cell>
          <cell r="F1879">
            <v>1</v>
          </cell>
          <cell r="G1879" t="str">
            <v>CB100508000100</v>
          </cell>
          <cell r="H1879">
            <v>1</v>
          </cell>
          <cell r="I1879" t="str">
            <v>--</v>
          </cell>
          <cell r="J1879">
            <v>5.9</v>
          </cell>
          <cell r="K1879">
            <v>5.9</v>
          </cell>
        </row>
        <row r="1880">
          <cell r="A1880" t="str">
            <v>M2</v>
          </cell>
          <cell r="B1880" t="str">
            <v>A5C</v>
          </cell>
          <cell r="C1880" t="str">
            <v>P</v>
          </cell>
          <cell r="D1880" t="str">
            <v>23104</v>
          </cell>
          <cell r="E1880" t="str">
            <v>PIPE</v>
          </cell>
          <cell r="F1880">
            <v>1</v>
          </cell>
          <cell r="G1880" t="str">
            <v>CB100508000100</v>
          </cell>
          <cell r="H1880">
            <v>1</v>
          </cell>
          <cell r="I1880" t="str">
            <v>--</v>
          </cell>
          <cell r="J1880">
            <v>6</v>
          </cell>
          <cell r="K1880">
            <v>6</v>
          </cell>
        </row>
        <row r="1881">
          <cell r="A1881" t="str">
            <v>M2</v>
          </cell>
          <cell r="B1881" t="str">
            <v>A5C</v>
          </cell>
          <cell r="C1881" t="str">
            <v>P</v>
          </cell>
          <cell r="D1881" t="str">
            <v>23108</v>
          </cell>
          <cell r="E1881" t="str">
            <v>PIPE</v>
          </cell>
          <cell r="F1881">
            <v>1</v>
          </cell>
          <cell r="G1881" t="str">
            <v>CB100508000100</v>
          </cell>
          <cell r="H1881">
            <v>1</v>
          </cell>
          <cell r="I1881" t="str">
            <v>--</v>
          </cell>
          <cell r="J1881">
            <v>6</v>
          </cell>
          <cell r="K1881">
            <v>6</v>
          </cell>
        </row>
        <row r="1882">
          <cell r="A1882" t="str">
            <v>M2</v>
          </cell>
          <cell r="B1882" t="str">
            <v>A5C</v>
          </cell>
          <cell r="C1882" t="str">
            <v>P</v>
          </cell>
          <cell r="D1882" t="str">
            <v>23112</v>
          </cell>
          <cell r="E1882" t="str">
            <v>PIPE</v>
          </cell>
          <cell r="F1882">
            <v>1</v>
          </cell>
          <cell r="G1882" t="str">
            <v>CB100508000100</v>
          </cell>
          <cell r="H1882">
            <v>1</v>
          </cell>
          <cell r="I1882" t="str">
            <v>--</v>
          </cell>
          <cell r="J1882">
            <v>6</v>
          </cell>
          <cell r="K1882">
            <v>6</v>
          </cell>
        </row>
        <row r="1883">
          <cell r="A1883" t="str">
            <v>M2</v>
          </cell>
          <cell r="B1883" t="str">
            <v>A5C</v>
          </cell>
          <cell r="C1883" t="str">
            <v>P</v>
          </cell>
          <cell r="D1883" t="str">
            <v>23048</v>
          </cell>
          <cell r="E1883" t="str">
            <v>PIPE</v>
          </cell>
          <cell r="F1883">
            <v>1</v>
          </cell>
          <cell r="G1883" t="str">
            <v>CB100508000100</v>
          </cell>
          <cell r="H1883">
            <v>1</v>
          </cell>
          <cell r="I1883" t="str">
            <v>--</v>
          </cell>
          <cell r="J1883">
            <v>6.5</v>
          </cell>
          <cell r="K1883">
            <v>6.5</v>
          </cell>
        </row>
        <row r="1884">
          <cell r="A1884" t="str">
            <v>M2</v>
          </cell>
          <cell r="B1884" t="str">
            <v>A5C</v>
          </cell>
          <cell r="C1884" t="str">
            <v>P</v>
          </cell>
          <cell r="D1884" t="str">
            <v>23245</v>
          </cell>
          <cell r="E1884" t="str">
            <v>PIPE</v>
          </cell>
          <cell r="F1884">
            <v>1</v>
          </cell>
          <cell r="G1884" t="str">
            <v>CB100508000100</v>
          </cell>
          <cell r="H1884">
            <v>1</v>
          </cell>
          <cell r="I1884" t="str">
            <v>--</v>
          </cell>
          <cell r="J1884">
            <v>7.5</v>
          </cell>
          <cell r="K1884">
            <v>7.5</v>
          </cell>
        </row>
        <row r="1885">
          <cell r="A1885" t="str">
            <v>M2</v>
          </cell>
          <cell r="B1885" t="str">
            <v>A5C</v>
          </cell>
          <cell r="C1885" t="str">
            <v>P</v>
          </cell>
          <cell r="D1885" t="str">
            <v>23230</v>
          </cell>
          <cell r="E1885" t="str">
            <v>PIPE</v>
          </cell>
          <cell r="F1885">
            <v>1</v>
          </cell>
          <cell r="G1885" t="str">
            <v>CB100508000100</v>
          </cell>
          <cell r="H1885">
            <v>1</v>
          </cell>
          <cell r="I1885" t="str">
            <v>--</v>
          </cell>
          <cell r="J1885">
            <v>8</v>
          </cell>
          <cell r="K1885">
            <v>8</v>
          </cell>
        </row>
        <row r="1886">
          <cell r="A1886" t="str">
            <v>M2</v>
          </cell>
          <cell r="B1886" t="str">
            <v>A5C</v>
          </cell>
          <cell r="C1886" t="str">
            <v>P</v>
          </cell>
          <cell r="D1886" t="str">
            <v>24025</v>
          </cell>
          <cell r="E1886" t="str">
            <v>PIPE</v>
          </cell>
          <cell r="F1886">
            <v>1</v>
          </cell>
          <cell r="G1886" t="str">
            <v>CB100508000100</v>
          </cell>
          <cell r="H1886">
            <v>1</v>
          </cell>
          <cell r="I1886" t="str">
            <v>--</v>
          </cell>
          <cell r="J1886">
            <v>8</v>
          </cell>
          <cell r="K1886">
            <v>8</v>
          </cell>
        </row>
        <row r="1887">
          <cell r="A1887" t="str">
            <v>M2</v>
          </cell>
          <cell r="B1887" t="str">
            <v>A5C</v>
          </cell>
          <cell r="C1887" t="str">
            <v>P</v>
          </cell>
          <cell r="D1887" t="str">
            <v>23194</v>
          </cell>
          <cell r="E1887" t="str">
            <v>PIPE</v>
          </cell>
          <cell r="F1887">
            <v>1</v>
          </cell>
          <cell r="G1887" t="str">
            <v>CB100508000100</v>
          </cell>
          <cell r="H1887">
            <v>1</v>
          </cell>
          <cell r="I1887" t="str">
            <v>--</v>
          </cell>
          <cell r="J1887">
            <v>10</v>
          </cell>
          <cell r="K1887">
            <v>10</v>
          </cell>
        </row>
        <row r="1888">
          <cell r="A1888" t="str">
            <v>M2</v>
          </cell>
          <cell r="B1888" t="str">
            <v>A5C</v>
          </cell>
          <cell r="C1888" t="str">
            <v>P</v>
          </cell>
          <cell r="D1888" t="str">
            <v>23059</v>
          </cell>
          <cell r="E1888" t="str">
            <v>PIPE</v>
          </cell>
          <cell r="F1888">
            <v>1</v>
          </cell>
          <cell r="G1888" t="str">
            <v>CB100508000100</v>
          </cell>
          <cell r="H1888">
            <v>1</v>
          </cell>
          <cell r="I1888" t="str">
            <v>--</v>
          </cell>
          <cell r="J1888">
            <v>10.199999999999999</v>
          </cell>
          <cell r="K1888">
            <v>10.199999999999999</v>
          </cell>
        </row>
        <row r="1889">
          <cell r="A1889" t="str">
            <v>M2</v>
          </cell>
          <cell r="B1889" t="str">
            <v>A5C</v>
          </cell>
          <cell r="C1889" t="str">
            <v>P</v>
          </cell>
          <cell r="D1889" t="str">
            <v>23154</v>
          </cell>
          <cell r="E1889" t="str">
            <v>PIPE</v>
          </cell>
          <cell r="F1889">
            <v>1</v>
          </cell>
          <cell r="G1889" t="str">
            <v>CB100508000100</v>
          </cell>
          <cell r="H1889">
            <v>1</v>
          </cell>
          <cell r="I1889" t="str">
            <v>--</v>
          </cell>
          <cell r="J1889">
            <v>10.8</v>
          </cell>
          <cell r="K1889">
            <v>10.8</v>
          </cell>
        </row>
        <row r="1890">
          <cell r="A1890" t="str">
            <v>M2</v>
          </cell>
          <cell r="B1890" t="str">
            <v>A5C</v>
          </cell>
          <cell r="C1890" t="str">
            <v>P</v>
          </cell>
          <cell r="D1890" t="str">
            <v>23122</v>
          </cell>
          <cell r="E1890" t="str">
            <v>PIPE</v>
          </cell>
          <cell r="F1890">
            <v>1</v>
          </cell>
          <cell r="G1890" t="str">
            <v>CB100508000100</v>
          </cell>
          <cell r="H1890">
            <v>1</v>
          </cell>
          <cell r="I1890" t="str">
            <v>--</v>
          </cell>
          <cell r="J1890">
            <v>11.9</v>
          </cell>
          <cell r="K1890">
            <v>11.9</v>
          </cell>
        </row>
        <row r="1891">
          <cell r="A1891" t="str">
            <v>M2</v>
          </cell>
          <cell r="B1891" t="str">
            <v>A5C</v>
          </cell>
          <cell r="C1891" t="str">
            <v>P</v>
          </cell>
          <cell r="D1891" t="str">
            <v>23018</v>
          </cell>
          <cell r="E1891" t="str">
            <v>PIPE</v>
          </cell>
          <cell r="F1891">
            <v>1</v>
          </cell>
          <cell r="G1891" t="str">
            <v>CB100508000100</v>
          </cell>
          <cell r="H1891">
            <v>1</v>
          </cell>
          <cell r="I1891" t="str">
            <v>--</v>
          </cell>
          <cell r="J1891">
            <v>12</v>
          </cell>
          <cell r="K1891">
            <v>12</v>
          </cell>
        </row>
        <row r="1892">
          <cell r="A1892" t="str">
            <v>M2</v>
          </cell>
          <cell r="B1892" t="str">
            <v>A5C</v>
          </cell>
          <cell r="C1892" t="str">
            <v>P</v>
          </cell>
          <cell r="D1892" t="str">
            <v>23083</v>
          </cell>
          <cell r="E1892" t="str">
            <v>PIPE</v>
          </cell>
          <cell r="F1892">
            <v>1</v>
          </cell>
          <cell r="G1892" t="str">
            <v>CB100508000100</v>
          </cell>
          <cell r="H1892">
            <v>1</v>
          </cell>
          <cell r="I1892" t="str">
            <v>--</v>
          </cell>
          <cell r="J1892">
            <v>13.9</v>
          </cell>
          <cell r="K1892">
            <v>13.9</v>
          </cell>
        </row>
        <row r="1893">
          <cell r="A1893" t="str">
            <v>M2</v>
          </cell>
          <cell r="B1893" t="str">
            <v>A5C</v>
          </cell>
          <cell r="C1893" t="str">
            <v>P</v>
          </cell>
          <cell r="D1893" t="str">
            <v>23252</v>
          </cell>
          <cell r="E1893" t="str">
            <v>PIPE</v>
          </cell>
          <cell r="F1893">
            <v>1</v>
          </cell>
          <cell r="G1893" t="str">
            <v>CB100508000100</v>
          </cell>
          <cell r="H1893">
            <v>1</v>
          </cell>
          <cell r="I1893" t="str">
            <v>--</v>
          </cell>
          <cell r="J1893">
            <v>13.9</v>
          </cell>
          <cell r="K1893">
            <v>13.9</v>
          </cell>
        </row>
        <row r="1894">
          <cell r="A1894" t="str">
            <v>M2</v>
          </cell>
          <cell r="B1894" t="str">
            <v>A5C</v>
          </cell>
          <cell r="C1894" t="str">
            <v>P</v>
          </cell>
          <cell r="D1894" t="str">
            <v>23079</v>
          </cell>
          <cell r="E1894" t="str">
            <v>PIPE</v>
          </cell>
          <cell r="F1894">
            <v>1</v>
          </cell>
          <cell r="G1894" t="str">
            <v>CB100508000100</v>
          </cell>
          <cell r="H1894">
            <v>1</v>
          </cell>
          <cell r="I1894" t="str">
            <v>--</v>
          </cell>
          <cell r="J1894">
            <v>14</v>
          </cell>
          <cell r="K1894">
            <v>14</v>
          </cell>
        </row>
        <row r="1895">
          <cell r="A1895" t="str">
            <v>M2</v>
          </cell>
          <cell r="B1895" t="str">
            <v>A5C</v>
          </cell>
          <cell r="C1895" t="str">
            <v>P</v>
          </cell>
          <cell r="D1895" t="str">
            <v>23144</v>
          </cell>
          <cell r="E1895" t="str">
            <v>PIPE</v>
          </cell>
          <cell r="F1895">
            <v>1</v>
          </cell>
          <cell r="G1895" t="str">
            <v>CB100508000100</v>
          </cell>
          <cell r="H1895">
            <v>1</v>
          </cell>
          <cell r="I1895" t="str">
            <v>--</v>
          </cell>
          <cell r="J1895">
            <v>14.5</v>
          </cell>
          <cell r="K1895">
            <v>14.5</v>
          </cell>
        </row>
        <row r="1896">
          <cell r="A1896" t="str">
            <v>M2</v>
          </cell>
          <cell r="B1896" t="str">
            <v>A5C</v>
          </cell>
          <cell r="C1896" t="str">
            <v>P</v>
          </cell>
          <cell r="D1896" t="str">
            <v>24013</v>
          </cell>
          <cell r="E1896" t="str">
            <v>PIPE</v>
          </cell>
          <cell r="F1896">
            <v>1</v>
          </cell>
          <cell r="G1896" t="str">
            <v>CB100508000100</v>
          </cell>
          <cell r="H1896">
            <v>1</v>
          </cell>
          <cell r="I1896" t="str">
            <v>--</v>
          </cell>
          <cell r="J1896">
            <v>15.5</v>
          </cell>
          <cell r="K1896">
            <v>15.5</v>
          </cell>
        </row>
        <row r="1897">
          <cell r="A1897" t="str">
            <v>M2</v>
          </cell>
          <cell r="B1897" t="str">
            <v>A5C</v>
          </cell>
          <cell r="C1897" t="str">
            <v>P</v>
          </cell>
          <cell r="D1897" t="str">
            <v>23013</v>
          </cell>
          <cell r="E1897" t="str">
            <v>PIPE</v>
          </cell>
          <cell r="F1897">
            <v>1</v>
          </cell>
          <cell r="G1897" t="str">
            <v>CB100508000100</v>
          </cell>
          <cell r="H1897">
            <v>1</v>
          </cell>
          <cell r="I1897" t="str">
            <v>--</v>
          </cell>
          <cell r="J1897">
            <v>16.8</v>
          </cell>
          <cell r="K1897">
            <v>16.8</v>
          </cell>
        </row>
        <row r="1898">
          <cell r="A1898" t="str">
            <v>M2</v>
          </cell>
          <cell r="B1898" t="str">
            <v>A5C</v>
          </cell>
          <cell r="C1898" t="str">
            <v>P</v>
          </cell>
          <cell r="D1898" t="str">
            <v>23104</v>
          </cell>
          <cell r="E1898" t="str">
            <v>PIPE</v>
          </cell>
          <cell r="F1898">
            <v>1</v>
          </cell>
          <cell r="G1898" t="str">
            <v>CB100508000100</v>
          </cell>
          <cell r="H1898">
            <v>1</v>
          </cell>
          <cell r="I1898" t="str">
            <v>--</v>
          </cell>
          <cell r="J1898">
            <v>21</v>
          </cell>
          <cell r="K1898">
            <v>21</v>
          </cell>
        </row>
        <row r="1899">
          <cell r="A1899" t="str">
            <v>M2</v>
          </cell>
          <cell r="B1899" t="str">
            <v>A5C</v>
          </cell>
          <cell r="C1899" t="str">
            <v>P</v>
          </cell>
          <cell r="D1899" t="str">
            <v>23112</v>
          </cell>
          <cell r="E1899" t="str">
            <v>PIPE</v>
          </cell>
          <cell r="F1899">
            <v>1</v>
          </cell>
          <cell r="G1899" t="str">
            <v>CB100508000100</v>
          </cell>
          <cell r="H1899">
            <v>1</v>
          </cell>
          <cell r="I1899" t="str">
            <v>--</v>
          </cell>
          <cell r="J1899">
            <v>21</v>
          </cell>
          <cell r="K1899">
            <v>21</v>
          </cell>
        </row>
        <row r="1900">
          <cell r="A1900" t="str">
            <v>M2</v>
          </cell>
          <cell r="B1900" t="str">
            <v>A5C</v>
          </cell>
          <cell r="C1900" t="str">
            <v>P</v>
          </cell>
          <cell r="D1900" t="str">
            <v>23108</v>
          </cell>
          <cell r="E1900" t="str">
            <v>PIPE</v>
          </cell>
          <cell r="F1900">
            <v>1</v>
          </cell>
          <cell r="G1900" t="str">
            <v>CB100508000100</v>
          </cell>
          <cell r="H1900">
            <v>1</v>
          </cell>
          <cell r="I1900" t="str">
            <v>--</v>
          </cell>
          <cell r="J1900">
            <v>21</v>
          </cell>
          <cell r="K1900">
            <v>21</v>
          </cell>
        </row>
        <row r="1901">
          <cell r="A1901" t="str">
            <v>M2</v>
          </cell>
          <cell r="B1901" t="str">
            <v>A5C</v>
          </cell>
          <cell r="C1901" t="str">
            <v>P</v>
          </cell>
          <cell r="D1901" t="str">
            <v>23148</v>
          </cell>
          <cell r="E1901" t="str">
            <v>PIPE</v>
          </cell>
          <cell r="F1901">
            <v>1</v>
          </cell>
          <cell r="G1901" t="str">
            <v>CB100508000100</v>
          </cell>
          <cell r="H1901">
            <v>1</v>
          </cell>
          <cell r="I1901" t="str">
            <v>--</v>
          </cell>
          <cell r="J1901">
            <v>22.9</v>
          </cell>
          <cell r="K1901">
            <v>22.9</v>
          </cell>
        </row>
        <row r="1902">
          <cell r="A1902" t="str">
            <v>M2</v>
          </cell>
          <cell r="B1902" t="str">
            <v>A5C</v>
          </cell>
          <cell r="C1902" t="str">
            <v>P</v>
          </cell>
          <cell r="D1902" t="str">
            <v>24032</v>
          </cell>
          <cell r="E1902" t="str">
            <v>PIPE</v>
          </cell>
          <cell r="F1902">
            <v>1</v>
          </cell>
          <cell r="G1902" t="str">
            <v>CB100508000100</v>
          </cell>
          <cell r="H1902">
            <v>1</v>
          </cell>
          <cell r="I1902" t="str">
            <v>--</v>
          </cell>
          <cell r="J1902">
            <v>24</v>
          </cell>
          <cell r="K1902">
            <v>24</v>
          </cell>
        </row>
        <row r="1903">
          <cell r="A1903" t="str">
            <v>M2</v>
          </cell>
          <cell r="B1903" t="str">
            <v>A5C</v>
          </cell>
          <cell r="C1903" t="str">
            <v>P</v>
          </cell>
          <cell r="D1903" t="str">
            <v>23074</v>
          </cell>
          <cell r="E1903" t="str">
            <v>PIPE</v>
          </cell>
          <cell r="F1903">
            <v>1</v>
          </cell>
          <cell r="G1903" t="str">
            <v>CB100508000100</v>
          </cell>
          <cell r="H1903">
            <v>1</v>
          </cell>
          <cell r="I1903" t="str">
            <v>--</v>
          </cell>
          <cell r="J1903">
            <v>27</v>
          </cell>
          <cell r="K1903">
            <v>27</v>
          </cell>
        </row>
        <row r="1904">
          <cell r="A1904" t="str">
            <v>M2</v>
          </cell>
          <cell r="B1904" t="str">
            <v>A5C</v>
          </cell>
          <cell r="C1904" t="str">
            <v>P</v>
          </cell>
          <cell r="D1904" t="str">
            <v>24004</v>
          </cell>
          <cell r="E1904" t="str">
            <v>PIPE</v>
          </cell>
          <cell r="F1904">
            <v>1</v>
          </cell>
          <cell r="G1904" t="str">
            <v>CB100508000100</v>
          </cell>
          <cell r="H1904">
            <v>1</v>
          </cell>
          <cell r="I1904" t="str">
            <v>--</v>
          </cell>
          <cell r="J1904">
            <v>27.4</v>
          </cell>
          <cell r="K1904">
            <v>27.4</v>
          </cell>
        </row>
        <row r="1905">
          <cell r="A1905" t="str">
            <v>M2</v>
          </cell>
          <cell r="B1905" t="str">
            <v>A5C</v>
          </cell>
          <cell r="C1905" t="str">
            <v>P</v>
          </cell>
          <cell r="D1905" t="str">
            <v>24008</v>
          </cell>
          <cell r="E1905" t="str">
            <v>PIPE</v>
          </cell>
          <cell r="F1905">
            <v>1</v>
          </cell>
          <cell r="G1905" t="str">
            <v>CB100508000100</v>
          </cell>
          <cell r="H1905">
            <v>1</v>
          </cell>
          <cell r="I1905" t="str">
            <v>--</v>
          </cell>
          <cell r="J1905">
            <v>28.5</v>
          </cell>
          <cell r="K1905">
            <v>28.5</v>
          </cell>
        </row>
        <row r="1906">
          <cell r="A1906" t="str">
            <v>M2</v>
          </cell>
          <cell r="B1906" t="str">
            <v>A5C</v>
          </cell>
          <cell r="C1906" t="str">
            <v>P</v>
          </cell>
          <cell r="D1906" t="str">
            <v>23030</v>
          </cell>
          <cell r="E1906" t="str">
            <v>PIPE</v>
          </cell>
          <cell r="F1906">
            <v>1</v>
          </cell>
          <cell r="G1906" t="str">
            <v>CB100508001H00</v>
          </cell>
          <cell r="H1906">
            <v>1.5</v>
          </cell>
          <cell r="I1906" t="str">
            <v>--</v>
          </cell>
          <cell r="J1906">
            <v>0.6</v>
          </cell>
          <cell r="K1906">
            <v>0.6</v>
          </cell>
        </row>
        <row r="1907">
          <cell r="A1907" t="str">
            <v>M2</v>
          </cell>
          <cell r="B1907" t="str">
            <v>A5C</v>
          </cell>
          <cell r="C1907" t="str">
            <v>P</v>
          </cell>
          <cell r="D1907" t="str">
            <v>23020</v>
          </cell>
          <cell r="E1907" t="str">
            <v>PIPE</v>
          </cell>
          <cell r="F1907">
            <v>1</v>
          </cell>
          <cell r="G1907" t="str">
            <v>CB100508001H00</v>
          </cell>
          <cell r="H1907">
            <v>1.5</v>
          </cell>
          <cell r="I1907" t="str">
            <v>--</v>
          </cell>
          <cell r="J1907">
            <v>1</v>
          </cell>
          <cell r="K1907">
            <v>1</v>
          </cell>
        </row>
        <row r="1908">
          <cell r="A1908" t="str">
            <v>M2</v>
          </cell>
          <cell r="B1908" t="str">
            <v>A5C</v>
          </cell>
          <cell r="C1908" t="str">
            <v>P</v>
          </cell>
          <cell r="D1908" t="str">
            <v>23054</v>
          </cell>
          <cell r="E1908" t="str">
            <v>PIPE</v>
          </cell>
          <cell r="F1908">
            <v>1</v>
          </cell>
          <cell r="G1908" t="str">
            <v>CB100508001H00</v>
          </cell>
          <cell r="H1908">
            <v>1.5</v>
          </cell>
          <cell r="I1908" t="str">
            <v>--</v>
          </cell>
          <cell r="J1908">
            <v>1</v>
          </cell>
          <cell r="K1908">
            <v>1</v>
          </cell>
        </row>
        <row r="1909">
          <cell r="A1909" t="str">
            <v>M2</v>
          </cell>
          <cell r="B1909" t="str">
            <v>A5C</v>
          </cell>
          <cell r="C1909" t="str">
            <v>TRIM</v>
          </cell>
          <cell r="D1909" t="str">
            <v>V-2301</v>
          </cell>
          <cell r="E1909" t="str">
            <v>PIPE</v>
          </cell>
          <cell r="F1909">
            <v>1</v>
          </cell>
          <cell r="G1909" t="str">
            <v>CB100508001H00</v>
          </cell>
          <cell r="H1909">
            <v>1.5</v>
          </cell>
          <cell r="I1909" t="str">
            <v>--</v>
          </cell>
          <cell r="J1909">
            <v>1.5</v>
          </cell>
          <cell r="K1909">
            <v>1.5</v>
          </cell>
        </row>
        <row r="1910">
          <cell r="A1910" t="str">
            <v>M2</v>
          </cell>
          <cell r="B1910" t="str">
            <v>A5C</v>
          </cell>
          <cell r="C1910" t="str">
            <v>TRIM</v>
          </cell>
          <cell r="D1910" t="str">
            <v>C-2303</v>
          </cell>
          <cell r="E1910" t="str">
            <v>PIPE</v>
          </cell>
          <cell r="F1910">
            <v>1</v>
          </cell>
          <cell r="G1910" t="str">
            <v>CB100508001H00</v>
          </cell>
          <cell r="H1910">
            <v>1.5</v>
          </cell>
          <cell r="I1910" t="str">
            <v>--</v>
          </cell>
          <cell r="J1910">
            <v>1.5</v>
          </cell>
          <cell r="K1910">
            <v>1.5</v>
          </cell>
        </row>
        <row r="1911">
          <cell r="A1911" t="str">
            <v>M2</v>
          </cell>
          <cell r="B1911" t="str">
            <v>A5C</v>
          </cell>
          <cell r="C1911" t="str">
            <v>TRIM</v>
          </cell>
          <cell r="D1911" t="str">
            <v>C-2304</v>
          </cell>
          <cell r="E1911" t="str">
            <v>PIPE</v>
          </cell>
          <cell r="F1911">
            <v>1</v>
          </cell>
          <cell r="G1911" t="str">
            <v>CB100508001H00</v>
          </cell>
          <cell r="H1911">
            <v>1.5</v>
          </cell>
          <cell r="I1911" t="str">
            <v>--</v>
          </cell>
          <cell r="J1911">
            <v>1.5</v>
          </cell>
          <cell r="K1911">
            <v>1.5</v>
          </cell>
        </row>
        <row r="1912">
          <cell r="A1912" t="str">
            <v>M2</v>
          </cell>
          <cell r="B1912" t="str">
            <v>A5C</v>
          </cell>
          <cell r="C1912" t="str">
            <v>TRIM</v>
          </cell>
          <cell r="D1912" t="str">
            <v>V-2302</v>
          </cell>
          <cell r="E1912" t="str">
            <v>PIPE</v>
          </cell>
          <cell r="F1912">
            <v>1</v>
          </cell>
          <cell r="G1912" t="str">
            <v>CB100508001H00</v>
          </cell>
          <cell r="H1912">
            <v>1.5</v>
          </cell>
          <cell r="I1912" t="str">
            <v>--</v>
          </cell>
          <cell r="J1912">
            <v>1.5</v>
          </cell>
          <cell r="K1912">
            <v>1.5</v>
          </cell>
        </row>
        <row r="1913">
          <cell r="A1913" t="str">
            <v>M2</v>
          </cell>
          <cell r="B1913" t="str">
            <v>A5C</v>
          </cell>
          <cell r="C1913" t="str">
            <v>TRIM</v>
          </cell>
          <cell r="D1913" t="str">
            <v>C-2306</v>
          </cell>
          <cell r="E1913" t="str">
            <v>PIPE</v>
          </cell>
          <cell r="F1913">
            <v>1</v>
          </cell>
          <cell r="G1913" t="str">
            <v>CB100508001H00</v>
          </cell>
          <cell r="H1913">
            <v>1.5</v>
          </cell>
          <cell r="I1913" t="str">
            <v>--</v>
          </cell>
          <cell r="J1913">
            <v>1.5</v>
          </cell>
          <cell r="K1913">
            <v>1.5</v>
          </cell>
        </row>
        <row r="1914">
          <cell r="A1914" t="str">
            <v>M2</v>
          </cell>
          <cell r="B1914" t="str">
            <v>A5C</v>
          </cell>
          <cell r="C1914" t="str">
            <v>TRIM</v>
          </cell>
          <cell r="D1914" t="str">
            <v>V-2304</v>
          </cell>
          <cell r="E1914" t="str">
            <v>PIPE</v>
          </cell>
          <cell r="F1914">
            <v>1</v>
          </cell>
          <cell r="G1914" t="str">
            <v>CB100508001H00</v>
          </cell>
          <cell r="H1914">
            <v>1.5</v>
          </cell>
          <cell r="I1914" t="str">
            <v>--</v>
          </cell>
          <cell r="J1914">
            <v>1.5</v>
          </cell>
          <cell r="K1914">
            <v>1.5</v>
          </cell>
        </row>
        <row r="1915">
          <cell r="A1915" t="str">
            <v>M2</v>
          </cell>
          <cell r="B1915" t="str">
            <v>A5C</v>
          </cell>
          <cell r="C1915" t="str">
            <v>TRIM</v>
          </cell>
          <cell r="D1915" t="str">
            <v>V-2308</v>
          </cell>
          <cell r="E1915" t="str">
            <v>PIPE</v>
          </cell>
          <cell r="F1915">
            <v>1</v>
          </cell>
          <cell r="G1915" t="str">
            <v>CB100508001H00</v>
          </cell>
          <cell r="H1915">
            <v>1.5</v>
          </cell>
          <cell r="I1915" t="str">
            <v>--</v>
          </cell>
          <cell r="J1915">
            <v>1.5</v>
          </cell>
          <cell r="K1915">
            <v>1.5</v>
          </cell>
        </row>
        <row r="1916">
          <cell r="A1916" t="str">
            <v>M2</v>
          </cell>
          <cell r="B1916" t="str">
            <v>A5C</v>
          </cell>
          <cell r="C1916" t="str">
            <v>TRIM</v>
          </cell>
          <cell r="D1916" t="str">
            <v>V-2313</v>
          </cell>
          <cell r="E1916" t="str">
            <v>PIPE</v>
          </cell>
          <cell r="F1916">
            <v>1</v>
          </cell>
          <cell r="G1916" t="str">
            <v>CB100508001H00</v>
          </cell>
          <cell r="H1916">
            <v>1.5</v>
          </cell>
          <cell r="I1916" t="str">
            <v>--</v>
          </cell>
          <cell r="J1916">
            <v>1.5</v>
          </cell>
          <cell r="K1916">
            <v>1.5</v>
          </cell>
        </row>
        <row r="1917">
          <cell r="A1917" t="str">
            <v>M2</v>
          </cell>
          <cell r="B1917" t="str">
            <v>A5C</v>
          </cell>
          <cell r="C1917" t="str">
            <v>TRIM</v>
          </cell>
          <cell r="D1917" t="str">
            <v>V-2310</v>
          </cell>
          <cell r="E1917" t="str">
            <v>PIPE</v>
          </cell>
          <cell r="F1917">
            <v>1</v>
          </cell>
          <cell r="G1917" t="str">
            <v>CB100508001H00</v>
          </cell>
          <cell r="H1917">
            <v>1.5</v>
          </cell>
          <cell r="I1917" t="str">
            <v>--</v>
          </cell>
          <cell r="J1917">
            <v>1.5</v>
          </cell>
          <cell r="K1917">
            <v>1.5</v>
          </cell>
        </row>
        <row r="1918">
          <cell r="A1918" t="str">
            <v>M2</v>
          </cell>
          <cell r="B1918" t="str">
            <v>A5C</v>
          </cell>
          <cell r="C1918" t="str">
            <v>TRIM</v>
          </cell>
          <cell r="D1918" t="str">
            <v>C-2305</v>
          </cell>
          <cell r="E1918" t="str">
            <v>PIPE</v>
          </cell>
          <cell r="F1918">
            <v>1</v>
          </cell>
          <cell r="G1918" t="str">
            <v>CB100508001H00</v>
          </cell>
          <cell r="H1918">
            <v>1.5</v>
          </cell>
          <cell r="I1918" t="str">
            <v>--</v>
          </cell>
          <cell r="J1918">
            <v>1.5</v>
          </cell>
          <cell r="K1918">
            <v>1.5</v>
          </cell>
        </row>
        <row r="1919">
          <cell r="A1919" t="str">
            <v>M2</v>
          </cell>
          <cell r="B1919" t="str">
            <v>A5C</v>
          </cell>
          <cell r="C1919" t="str">
            <v>TRIM</v>
          </cell>
          <cell r="D1919" t="str">
            <v>V-2306</v>
          </cell>
          <cell r="E1919" t="str">
            <v>PIPE</v>
          </cell>
          <cell r="F1919">
            <v>1</v>
          </cell>
          <cell r="G1919" t="str">
            <v>CB100508001H00</v>
          </cell>
          <cell r="H1919">
            <v>1.5</v>
          </cell>
          <cell r="I1919" t="str">
            <v>--</v>
          </cell>
          <cell r="J1919">
            <v>1.5</v>
          </cell>
          <cell r="K1919">
            <v>1.5</v>
          </cell>
        </row>
        <row r="1920">
          <cell r="A1920" t="str">
            <v>M2</v>
          </cell>
          <cell r="B1920" t="str">
            <v>A5C</v>
          </cell>
          <cell r="C1920" t="str">
            <v>TRIM</v>
          </cell>
          <cell r="D1920" t="str">
            <v>C-2301</v>
          </cell>
          <cell r="E1920" t="str">
            <v>PIPE</v>
          </cell>
          <cell r="F1920">
            <v>1</v>
          </cell>
          <cell r="G1920" t="str">
            <v>CB100508001H00</v>
          </cell>
          <cell r="H1920">
            <v>1.5</v>
          </cell>
          <cell r="I1920" t="str">
            <v>--</v>
          </cell>
          <cell r="J1920">
            <v>1.5</v>
          </cell>
          <cell r="K1920">
            <v>1.5</v>
          </cell>
        </row>
        <row r="1921">
          <cell r="A1921" t="str">
            <v>M2</v>
          </cell>
          <cell r="B1921" t="str">
            <v>A5C</v>
          </cell>
          <cell r="C1921" t="str">
            <v>P</v>
          </cell>
          <cell r="D1921" t="str">
            <v>23157</v>
          </cell>
          <cell r="E1921" t="str">
            <v>PIPE</v>
          </cell>
          <cell r="F1921">
            <v>1</v>
          </cell>
          <cell r="G1921" t="str">
            <v>CB100508001H00</v>
          </cell>
          <cell r="H1921">
            <v>1.5</v>
          </cell>
          <cell r="I1921" t="str">
            <v>--</v>
          </cell>
          <cell r="J1921">
            <v>2.5</v>
          </cell>
          <cell r="K1921">
            <v>2.5</v>
          </cell>
        </row>
        <row r="1922">
          <cell r="A1922" t="str">
            <v>M2</v>
          </cell>
          <cell r="B1922" t="str">
            <v>A5C</v>
          </cell>
          <cell r="C1922" t="str">
            <v>P</v>
          </cell>
          <cell r="D1922" t="str">
            <v>23038</v>
          </cell>
          <cell r="E1922" t="str">
            <v>PIPE</v>
          </cell>
          <cell r="F1922">
            <v>1</v>
          </cell>
          <cell r="G1922" t="str">
            <v>CB100508001H00</v>
          </cell>
          <cell r="H1922">
            <v>1.5</v>
          </cell>
          <cell r="I1922" t="str">
            <v>--</v>
          </cell>
          <cell r="J1922">
            <v>3.3</v>
          </cell>
          <cell r="K1922">
            <v>3.3</v>
          </cell>
        </row>
        <row r="1923">
          <cell r="A1923" t="str">
            <v>M2</v>
          </cell>
          <cell r="B1923" t="str">
            <v>A5C</v>
          </cell>
          <cell r="C1923" t="str">
            <v>P</v>
          </cell>
          <cell r="D1923" t="str">
            <v>23117</v>
          </cell>
          <cell r="E1923" t="str">
            <v>PIPE</v>
          </cell>
          <cell r="F1923">
            <v>1</v>
          </cell>
          <cell r="G1923" t="str">
            <v>CB100508001H00</v>
          </cell>
          <cell r="H1923">
            <v>1.5</v>
          </cell>
          <cell r="I1923" t="str">
            <v>--</v>
          </cell>
          <cell r="J1923">
            <v>3.3</v>
          </cell>
          <cell r="K1923">
            <v>3.3</v>
          </cell>
        </row>
        <row r="1924">
          <cell r="A1924" t="str">
            <v>M2</v>
          </cell>
          <cell r="B1924" t="str">
            <v>A5C</v>
          </cell>
          <cell r="C1924" t="str">
            <v>P</v>
          </cell>
          <cell r="D1924" t="str">
            <v>23185</v>
          </cell>
          <cell r="E1924" t="str">
            <v>PIPE</v>
          </cell>
          <cell r="F1924">
            <v>1</v>
          </cell>
          <cell r="G1924" t="str">
            <v>CB100508001H00</v>
          </cell>
          <cell r="H1924">
            <v>1.5</v>
          </cell>
          <cell r="I1924" t="str">
            <v>--</v>
          </cell>
          <cell r="J1924">
            <v>3.3</v>
          </cell>
          <cell r="K1924">
            <v>3.3</v>
          </cell>
        </row>
        <row r="1925">
          <cell r="A1925" t="str">
            <v>M2</v>
          </cell>
          <cell r="B1925" t="str">
            <v>A5C</v>
          </cell>
          <cell r="C1925" t="str">
            <v>P</v>
          </cell>
          <cell r="D1925" t="str">
            <v>23019</v>
          </cell>
          <cell r="E1925" t="str">
            <v>PIPE</v>
          </cell>
          <cell r="F1925">
            <v>1</v>
          </cell>
          <cell r="G1925" t="str">
            <v>CB100508001H00</v>
          </cell>
          <cell r="H1925">
            <v>1.5</v>
          </cell>
          <cell r="I1925" t="str">
            <v>--</v>
          </cell>
          <cell r="J1925">
            <v>3.5</v>
          </cell>
          <cell r="K1925">
            <v>3.5</v>
          </cell>
        </row>
        <row r="1926">
          <cell r="A1926" t="str">
            <v>M2</v>
          </cell>
          <cell r="B1926" t="str">
            <v>A5C</v>
          </cell>
          <cell r="C1926" t="str">
            <v>P</v>
          </cell>
          <cell r="D1926" t="str">
            <v>23164</v>
          </cell>
          <cell r="E1926" t="str">
            <v>PIPE</v>
          </cell>
          <cell r="F1926">
            <v>1</v>
          </cell>
          <cell r="G1926" t="str">
            <v>CB100508001H00</v>
          </cell>
          <cell r="H1926">
            <v>1.5</v>
          </cell>
          <cell r="I1926" t="str">
            <v>--</v>
          </cell>
          <cell r="J1926">
            <v>4</v>
          </cell>
          <cell r="K1926">
            <v>4</v>
          </cell>
        </row>
        <row r="1927">
          <cell r="A1927" t="str">
            <v>M2</v>
          </cell>
          <cell r="B1927" t="str">
            <v>A5C</v>
          </cell>
          <cell r="C1927" t="str">
            <v>P</v>
          </cell>
          <cell r="D1927" t="str">
            <v>23196</v>
          </cell>
          <cell r="E1927" t="str">
            <v>PIPE</v>
          </cell>
          <cell r="F1927">
            <v>1</v>
          </cell>
          <cell r="G1927" t="str">
            <v>CB100508001H00</v>
          </cell>
          <cell r="H1927">
            <v>1.5</v>
          </cell>
          <cell r="I1927" t="str">
            <v>--</v>
          </cell>
          <cell r="J1927">
            <v>4</v>
          </cell>
          <cell r="K1927">
            <v>4</v>
          </cell>
        </row>
        <row r="1928">
          <cell r="A1928" t="str">
            <v>M2</v>
          </cell>
          <cell r="B1928" t="str">
            <v>A5C</v>
          </cell>
          <cell r="C1928" t="str">
            <v>P</v>
          </cell>
          <cell r="D1928" t="str">
            <v>23076</v>
          </cell>
          <cell r="E1928" t="str">
            <v>PIPE</v>
          </cell>
          <cell r="F1928">
            <v>1</v>
          </cell>
          <cell r="G1928" t="str">
            <v>CB100508001H00</v>
          </cell>
          <cell r="H1928">
            <v>1.5</v>
          </cell>
          <cell r="I1928" t="str">
            <v>--</v>
          </cell>
          <cell r="J1928">
            <v>4</v>
          </cell>
          <cell r="K1928">
            <v>4</v>
          </cell>
        </row>
        <row r="1929">
          <cell r="A1929" t="str">
            <v>M2</v>
          </cell>
          <cell r="B1929" t="str">
            <v>A5C</v>
          </cell>
          <cell r="C1929" t="str">
            <v>P</v>
          </cell>
          <cell r="D1929" t="str">
            <v>23222</v>
          </cell>
          <cell r="E1929" t="str">
            <v>PIPE</v>
          </cell>
          <cell r="F1929">
            <v>1</v>
          </cell>
          <cell r="G1929" t="str">
            <v>CB100508001H00</v>
          </cell>
          <cell r="H1929">
            <v>1.5</v>
          </cell>
          <cell r="I1929" t="str">
            <v>--</v>
          </cell>
          <cell r="J1929">
            <v>4.5</v>
          </cell>
          <cell r="K1929">
            <v>4.5</v>
          </cell>
        </row>
        <row r="1930">
          <cell r="A1930" t="str">
            <v>M2</v>
          </cell>
          <cell r="B1930" t="str">
            <v>A5C</v>
          </cell>
          <cell r="C1930" t="str">
            <v>P</v>
          </cell>
          <cell r="D1930" t="str">
            <v>23242</v>
          </cell>
          <cell r="E1930" t="str">
            <v>PIPE</v>
          </cell>
          <cell r="F1930">
            <v>1</v>
          </cell>
          <cell r="G1930" t="str">
            <v>CB100508001H00</v>
          </cell>
          <cell r="H1930">
            <v>1.5</v>
          </cell>
          <cell r="I1930" t="str">
            <v>--</v>
          </cell>
          <cell r="J1930">
            <v>4.5</v>
          </cell>
          <cell r="K1930">
            <v>4.5</v>
          </cell>
        </row>
        <row r="1931">
          <cell r="A1931" t="str">
            <v>M2</v>
          </cell>
          <cell r="B1931" t="str">
            <v>A5C</v>
          </cell>
          <cell r="C1931" t="str">
            <v>P</v>
          </cell>
          <cell r="D1931" t="str">
            <v>99003</v>
          </cell>
          <cell r="E1931" t="str">
            <v>PIPE</v>
          </cell>
          <cell r="F1931">
            <v>1</v>
          </cell>
          <cell r="G1931" t="str">
            <v>CB100508001H00</v>
          </cell>
          <cell r="H1931">
            <v>1.5</v>
          </cell>
          <cell r="I1931" t="str">
            <v>--</v>
          </cell>
          <cell r="J1931">
            <v>4.5999999999999996</v>
          </cell>
          <cell r="K1931">
            <v>4.5999999999999996</v>
          </cell>
        </row>
        <row r="1932">
          <cell r="A1932" t="str">
            <v>M2</v>
          </cell>
          <cell r="B1932" t="str">
            <v>A5C</v>
          </cell>
          <cell r="C1932" t="str">
            <v>P</v>
          </cell>
          <cell r="D1932" t="str">
            <v>23039</v>
          </cell>
          <cell r="E1932" t="str">
            <v>PIPE</v>
          </cell>
          <cell r="F1932">
            <v>1</v>
          </cell>
          <cell r="G1932" t="str">
            <v>CB100508001H00</v>
          </cell>
          <cell r="H1932">
            <v>1.5</v>
          </cell>
          <cell r="I1932" t="str">
            <v>--</v>
          </cell>
          <cell r="J1932">
            <v>4.9000000000000004</v>
          </cell>
          <cell r="K1932">
            <v>4.9000000000000004</v>
          </cell>
        </row>
        <row r="1933">
          <cell r="A1933" t="str">
            <v>M2</v>
          </cell>
          <cell r="B1933" t="str">
            <v>A5C</v>
          </cell>
          <cell r="C1933" t="str">
            <v>P</v>
          </cell>
          <cell r="D1933" t="str">
            <v>24014</v>
          </cell>
          <cell r="E1933" t="str">
            <v>PIPE</v>
          </cell>
          <cell r="F1933">
            <v>1</v>
          </cell>
          <cell r="G1933" t="str">
            <v>CB100508001H00</v>
          </cell>
          <cell r="H1933">
            <v>1.5</v>
          </cell>
          <cell r="I1933" t="str">
            <v>--</v>
          </cell>
          <cell r="J1933">
            <v>5</v>
          </cell>
          <cell r="K1933">
            <v>5</v>
          </cell>
        </row>
        <row r="1934">
          <cell r="A1934" t="str">
            <v>M2</v>
          </cell>
          <cell r="B1934" t="str">
            <v>A5C</v>
          </cell>
          <cell r="C1934" t="str">
            <v>P</v>
          </cell>
          <cell r="D1934" t="str">
            <v>23035</v>
          </cell>
          <cell r="E1934" t="str">
            <v>PIPE</v>
          </cell>
          <cell r="F1934">
            <v>1</v>
          </cell>
          <cell r="G1934" t="str">
            <v>CB100508001H00</v>
          </cell>
          <cell r="H1934">
            <v>1.5</v>
          </cell>
          <cell r="I1934" t="str">
            <v>--</v>
          </cell>
          <cell r="J1934">
            <v>5.2</v>
          </cell>
          <cell r="K1934">
            <v>5.2</v>
          </cell>
        </row>
        <row r="1935">
          <cell r="A1935" t="str">
            <v>M2</v>
          </cell>
          <cell r="B1935" t="str">
            <v>A5C</v>
          </cell>
          <cell r="C1935" t="str">
            <v>P</v>
          </cell>
          <cell r="D1935" t="str">
            <v>23052</v>
          </cell>
          <cell r="E1935" t="str">
            <v>PIPE</v>
          </cell>
          <cell r="F1935">
            <v>1</v>
          </cell>
          <cell r="G1935" t="str">
            <v>CB100508001H00</v>
          </cell>
          <cell r="H1935">
            <v>1.5</v>
          </cell>
          <cell r="I1935" t="str">
            <v>--</v>
          </cell>
          <cell r="J1935">
            <v>5.3</v>
          </cell>
          <cell r="K1935">
            <v>5.3</v>
          </cell>
        </row>
        <row r="1936">
          <cell r="A1936" t="str">
            <v>M2</v>
          </cell>
          <cell r="B1936" t="str">
            <v>A5C</v>
          </cell>
          <cell r="C1936" t="str">
            <v>P</v>
          </cell>
          <cell r="D1936" t="str">
            <v>23078</v>
          </cell>
          <cell r="E1936" t="str">
            <v>PIPE</v>
          </cell>
          <cell r="F1936">
            <v>1</v>
          </cell>
          <cell r="G1936" t="str">
            <v>CB100508001H00</v>
          </cell>
          <cell r="H1936">
            <v>1.5</v>
          </cell>
          <cell r="I1936" t="str">
            <v>--</v>
          </cell>
          <cell r="J1936">
            <v>5.3</v>
          </cell>
          <cell r="K1936">
            <v>5.3</v>
          </cell>
        </row>
        <row r="1937">
          <cell r="A1937" t="str">
            <v>M2</v>
          </cell>
          <cell r="B1937" t="str">
            <v>A5C</v>
          </cell>
          <cell r="C1937" t="str">
            <v>P</v>
          </cell>
          <cell r="D1937" t="str">
            <v>23037</v>
          </cell>
          <cell r="E1937" t="str">
            <v>PIPE</v>
          </cell>
          <cell r="F1937">
            <v>1</v>
          </cell>
          <cell r="G1937" t="str">
            <v>CB100508001H00</v>
          </cell>
          <cell r="H1937">
            <v>1.5</v>
          </cell>
          <cell r="I1937" t="str">
            <v>--</v>
          </cell>
          <cell r="J1937">
            <v>5.3</v>
          </cell>
          <cell r="K1937">
            <v>5.3</v>
          </cell>
        </row>
        <row r="1938">
          <cell r="A1938" t="str">
            <v>M2</v>
          </cell>
          <cell r="B1938" t="str">
            <v>A5C</v>
          </cell>
          <cell r="C1938" t="str">
            <v>P</v>
          </cell>
          <cell r="D1938" t="str">
            <v>23063</v>
          </cell>
          <cell r="E1938" t="str">
            <v>PIPE</v>
          </cell>
          <cell r="F1938">
            <v>1</v>
          </cell>
          <cell r="G1938" t="str">
            <v>CB100508001H00</v>
          </cell>
          <cell r="H1938">
            <v>1.5</v>
          </cell>
          <cell r="I1938" t="str">
            <v>--</v>
          </cell>
          <cell r="J1938">
            <v>5.3</v>
          </cell>
          <cell r="K1938">
            <v>5.3</v>
          </cell>
        </row>
        <row r="1939">
          <cell r="A1939" t="str">
            <v>M2</v>
          </cell>
          <cell r="B1939" t="str">
            <v>A5C</v>
          </cell>
          <cell r="C1939" t="str">
            <v>P</v>
          </cell>
          <cell r="D1939" t="str">
            <v>23027</v>
          </cell>
          <cell r="E1939" t="str">
            <v>PIPE</v>
          </cell>
          <cell r="F1939">
            <v>1</v>
          </cell>
          <cell r="G1939" t="str">
            <v>CB100508001H00</v>
          </cell>
          <cell r="H1939">
            <v>1.5</v>
          </cell>
          <cell r="I1939" t="str">
            <v>--</v>
          </cell>
          <cell r="J1939">
            <v>5.3</v>
          </cell>
          <cell r="K1939">
            <v>5.3</v>
          </cell>
        </row>
        <row r="1940">
          <cell r="A1940" t="str">
            <v>M2</v>
          </cell>
          <cell r="B1940" t="str">
            <v>A5C</v>
          </cell>
          <cell r="C1940" t="str">
            <v>P</v>
          </cell>
          <cell r="D1940" t="str">
            <v>23259</v>
          </cell>
          <cell r="E1940" t="str">
            <v>PIPE</v>
          </cell>
          <cell r="F1940">
            <v>1</v>
          </cell>
          <cell r="G1940" t="str">
            <v>CB100508001H00</v>
          </cell>
          <cell r="H1940">
            <v>1.5</v>
          </cell>
          <cell r="I1940" t="str">
            <v>--</v>
          </cell>
          <cell r="J1940">
            <v>5.5</v>
          </cell>
          <cell r="K1940">
            <v>5.5</v>
          </cell>
        </row>
        <row r="1941">
          <cell r="A1941" t="str">
            <v>M2</v>
          </cell>
          <cell r="B1941" t="str">
            <v>A5C</v>
          </cell>
          <cell r="C1941" t="str">
            <v>P</v>
          </cell>
          <cell r="D1941" t="str">
            <v>23007</v>
          </cell>
          <cell r="E1941" t="str">
            <v>PIPE</v>
          </cell>
          <cell r="F1941">
            <v>1</v>
          </cell>
          <cell r="G1941" t="str">
            <v>CB100508001H00</v>
          </cell>
          <cell r="H1941">
            <v>1.5</v>
          </cell>
          <cell r="I1941" t="str">
            <v>--</v>
          </cell>
          <cell r="J1941">
            <v>5.8</v>
          </cell>
          <cell r="K1941">
            <v>5.8</v>
          </cell>
        </row>
        <row r="1942">
          <cell r="A1942" t="str">
            <v>M2</v>
          </cell>
          <cell r="B1942" t="str">
            <v>A5C</v>
          </cell>
          <cell r="C1942" t="str">
            <v>P</v>
          </cell>
          <cell r="D1942" t="str">
            <v>23253</v>
          </cell>
          <cell r="E1942" t="str">
            <v>PIPE</v>
          </cell>
          <cell r="F1942">
            <v>1</v>
          </cell>
          <cell r="G1942" t="str">
            <v>CB100508001H00</v>
          </cell>
          <cell r="H1942">
            <v>1.5</v>
          </cell>
          <cell r="I1942" t="str">
            <v>--</v>
          </cell>
          <cell r="J1942">
            <v>6</v>
          </cell>
          <cell r="K1942">
            <v>6</v>
          </cell>
        </row>
        <row r="1943">
          <cell r="A1943" t="str">
            <v>M2</v>
          </cell>
          <cell r="B1943" t="str">
            <v>A5C</v>
          </cell>
          <cell r="C1943" t="str">
            <v>P</v>
          </cell>
          <cell r="D1943" t="str">
            <v>23231</v>
          </cell>
          <cell r="E1943" t="str">
            <v>PIPE</v>
          </cell>
          <cell r="F1943">
            <v>1</v>
          </cell>
          <cell r="G1943" t="str">
            <v>CB100508001H00</v>
          </cell>
          <cell r="H1943">
            <v>1.5</v>
          </cell>
          <cell r="I1943" t="str">
            <v>--</v>
          </cell>
          <cell r="J1943">
            <v>6</v>
          </cell>
          <cell r="K1943">
            <v>6</v>
          </cell>
        </row>
        <row r="1944">
          <cell r="A1944" t="str">
            <v>M2</v>
          </cell>
          <cell r="B1944" t="str">
            <v>A5C</v>
          </cell>
          <cell r="C1944" t="str">
            <v>P</v>
          </cell>
          <cell r="D1944" t="str">
            <v>23216</v>
          </cell>
          <cell r="E1944" t="str">
            <v>PIPE</v>
          </cell>
          <cell r="F1944">
            <v>1</v>
          </cell>
          <cell r="G1944" t="str">
            <v>CB100508001H00</v>
          </cell>
          <cell r="H1944">
            <v>1.5</v>
          </cell>
          <cell r="I1944" t="str">
            <v>--</v>
          </cell>
          <cell r="J1944">
            <v>6</v>
          </cell>
          <cell r="K1944">
            <v>6</v>
          </cell>
        </row>
        <row r="1945">
          <cell r="A1945" t="str">
            <v>M2</v>
          </cell>
          <cell r="B1945" t="str">
            <v>A5C</v>
          </cell>
          <cell r="C1945" t="str">
            <v>P</v>
          </cell>
          <cell r="D1945" t="str">
            <v>23220</v>
          </cell>
          <cell r="E1945" t="str">
            <v>PIPE</v>
          </cell>
          <cell r="F1945">
            <v>1</v>
          </cell>
          <cell r="G1945" t="str">
            <v>CB100508001H00</v>
          </cell>
          <cell r="H1945">
            <v>1.5</v>
          </cell>
          <cell r="I1945" t="str">
            <v>--</v>
          </cell>
          <cell r="J1945">
            <v>6.5</v>
          </cell>
          <cell r="K1945">
            <v>6.5</v>
          </cell>
        </row>
        <row r="1946">
          <cell r="A1946" t="str">
            <v>M2</v>
          </cell>
          <cell r="B1946" t="str">
            <v>A5C</v>
          </cell>
          <cell r="C1946" t="str">
            <v>P</v>
          </cell>
          <cell r="D1946" t="str">
            <v>23243</v>
          </cell>
          <cell r="E1946" t="str">
            <v>PIPE</v>
          </cell>
          <cell r="F1946">
            <v>1</v>
          </cell>
          <cell r="G1946" t="str">
            <v>CB100508001H00</v>
          </cell>
          <cell r="H1946">
            <v>1.5</v>
          </cell>
          <cell r="I1946" t="str">
            <v>--</v>
          </cell>
          <cell r="J1946">
            <v>6.5</v>
          </cell>
          <cell r="K1946">
            <v>6.5</v>
          </cell>
        </row>
        <row r="1947">
          <cell r="A1947" t="str">
            <v>M2</v>
          </cell>
          <cell r="B1947" t="str">
            <v>A5C</v>
          </cell>
          <cell r="C1947" t="str">
            <v>P</v>
          </cell>
          <cell r="D1947" t="str">
            <v>23033</v>
          </cell>
          <cell r="E1947" t="str">
            <v>PIPE</v>
          </cell>
          <cell r="F1947">
            <v>1</v>
          </cell>
          <cell r="G1947" t="str">
            <v>CB100508001H00</v>
          </cell>
          <cell r="H1947">
            <v>1.5</v>
          </cell>
          <cell r="I1947" t="str">
            <v>--</v>
          </cell>
          <cell r="J1947">
            <v>7.1</v>
          </cell>
          <cell r="K1947">
            <v>7.1</v>
          </cell>
        </row>
        <row r="1948">
          <cell r="A1948" t="str">
            <v>M2</v>
          </cell>
          <cell r="B1948" t="str">
            <v>A5C</v>
          </cell>
          <cell r="C1948" t="str">
            <v>P</v>
          </cell>
          <cell r="D1948" t="str">
            <v>24012</v>
          </cell>
          <cell r="E1948" t="str">
            <v>PIPE</v>
          </cell>
          <cell r="F1948">
            <v>1</v>
          </cell>
          <cell r="G1948" t="str">
            <v>CB100508001H00</v>
          </cell>
          <cell r="H1948">
            <v>1.5</v>
          </cell>
          <cell r="I1948" t="str">
            <v>--</v>
          </cell>
          <cell r="J1948">
            <v>7.5</v>
          </cell>
          <cell r="K1948">
            <v>7.5</v>
          </cell>
        </row>
        <row r="1949">
          <cell r="A1949" t="str">
            <v>M2</v>
          </cell>
          <cell r="B1949" t="str">
            <v>A5C</v>
          </cell>
          <cell r="C1949" t="str">
            <v>P</v>
          </cell>
          <cell r="D1949" t="str">
            <v>23147</v>
          </cell>
          <cell r="E1949" t="str">
            <v>PIPE</v>
          </cell>
          <cell r="F1949">
            <v>1</v>
          </cell>
          <cell r="G1949" t="str">
            <v>CB100508001H00</v>
          </cell>
          <cell r="H1949">
            <v>1.5</v>
          </cell>
          <cell r="I1949" t="str">
            <v>--</v>
          </cell>
          <cell r="J1949">
            <v>7.8</v>
          </cell>
          <cell r="K1949">
            <v>7.8</v>
          </cell>
        </row>
        <row r="1950">
          <cell r="A1950" t="str">
            <v>M2</v>
          </cell>
          <cell r="B1950" t="str">
            <v>A5C</v>
          </cell>
          <cell r="C1950" t="str">
            <v>P</v>
          </cell>
          <cell r="D1950" t="str">
            <v>23116</v>
          </cell>
          <cell r="E1950" t="str">
            <v>PIPE</v>
          </cell>
          <cell r="F1950">
            <v>1</v>
          </cell>
          <cell r="G1950" t="str">
            <v>CB100508001H00</v>
          </cell>
          <cell r="H1950">
            <v>1.5</v>
          </cell>
          <cell r="I1950" t="str">
            <v>--</v>
          </cell>
          <cell r="J1950">
            <v>8</v>
          </cell>
          <cell r="K1950">
            <v>8</v>
          </cell>
        </row>
        <row r="1951">
          <cell r="A1951" t="str">
            <v>M2</v>
          </cell>
          <cell r="B1951" t="str">
            <v>A5C</v>
          </cell>
          <cell r="C1951" t="str">
            <v>P</v>
          </cell>
          <cell r="D1951" t="str">
            <v>23215</v>
          </cell>
          <cell r="E1951" t="str">
            <v>PIPE</v>
          </cell>
          <cell r="F1951">
            <v>1</v>
          </cell>
          <cell r="G1951" t="str">
            <v>CB100508001H00</v>
          </cell>
          <cell r="H1951">
            <v>1.5</v>
          </cell>
          <cell r="I1951" t="str">
            <v>--</v>
          </cell>
          <cell r="J1951">
            <v>9.3000000000000007</v>
          </cell>
          <cell r="K1951">
            <v>9.3000000000000007</v>
          </cell>
        </row>
        <row r="1952">
          <cell r="A1952" t="str">
            <v>M2</v>
          </cell>
          <cell r="B1952" t="str">
            <v>A5C</v>
          </cell>
          <cell r="C1952" t="str">
            <v>P</v>
          </cell>
          <cell r="D1952" t="str">
            <v>23019</v>
          </cell>
          <cell r="E1952" t="str">
            <v>PIPE</v>
          </cell>
          <cell r="F1952">
            <v>1</v>
          </cell>
          <cell r="G1952" t="str">
            <v>CB100508001H00</v>
          </cell>
          <cell r="H1952">
            <v>1.5</v>
          </cell>
          <cell r="I1952" t="str">
            <v>--</v>
          </cell>
          <cell r="J1952">
            <v>12.3</v>
          </cell>
          <cell r="K1952">
            <v>12.3</v>
          </cell>
        </row>
        <row r="1953">
          <cell r="A1953" t="str">
            <v>M2</v>
          </cell>
          <cell r="B1953" t="str">
            <v>A5C</v>
          </cell>
          <cell r="C1953" t="str">
            <v>P</v>
          </cell>
          <cell r="D1953" t="str">
            <v>23070</v>
          </cell>
          <cell r="E1953" t="str">
            <v>PIPE</v>
          </cell>
          <cell r="F1953">
            <v>1</v>
          </cell>
          <cell r="G1953" t="str">
            <v>CB100508001H00</v>
          </cell>
          <cell r="H1953">
            <v>1.5</v>
          </cell>
          <cell r="I1953" t="str">
            <v>--</v>
          </cell>
          <cell r="J1953">
            <v>12.4</v>
          </cell>
          <cell r="K1953">
            <v>12.4</v>
          </cell>
        </row>
        <row r="1954">
          <cell r="A1954" t="str">
            <v>M2</v>
          </cell>
          <cell r="B1954" t="str">
            <v>A5C</v>
          </cell>
          <cell r="C1954" t="str">
            <v>P</v>
          </cell>
          <cell r="D1954" t="str">
            <v>23055</v>
          </cell>
          <cell r="E1954" t="str">
            <v>PIPE</v>
          </cell>
          <cell r="F1954">
            <v>1</v>
          </cell>
          <cell r="G1954" t="str">
            <v>CB100508001H00</v>
          </cell>
          <cell r="H1954">
            <v>1.5</v>
          </cell>
          <cell r="I1954" t="str">
            <v>--</v>
          </cell>
          <cell r="J1954">
            <v>12.4</v>
          </cell>
          <cell r="K1954">
            <v>12.4</v>
          </cell>
        </row>
        <row r="1955">
          <cell r="A1955" t="str">
            <v>M2</v>
          </cell>
          <cell r="B1955" t="str">
            <v>A5C</v>
          </cell>
          <cell r="C1955" t="str">
            <v>P</v>
          </cell>
          <cell r="D1955" t="str">
            <v>23044</v>
          </cell>
          <cell r="E1955" t="str">
            <v>PIPE</v>
          </cell>
          <cell r="F1955">
            <v>1</v>
          </cell>
          <cell r="G1955" t="str">
            <v>CB100508001H00</v>
          </cell>
          <cell r="H1955">
            <v>1.5</v>
          </cell>
          <cell r="I1955" t="str">
            <v>--</v>
          </cell>
          <cell r="J1955">
            <v>12.4</v>
          </cell>
          <cell r="K1955">
            <v>12.4</v>
          </cell>
        </row>
        <row r="1956">
          <cell r="A1956" t="str">
            <v>M2</v>
          </cell>
          <cell r="B1956" t="str">
            <v>A5C</v>
          </cell>
          <cell r="C1956" t="str">
            <v>P</v>
          </cell>
          <cell r="D1956" t="str">
            <v>23006</v>
          </cell>
          <cell r="E1956" t="str">
            <v>PIPE</v>
          </cell>
          <cell r="F1956">
            <v>1</v>
          </cell>
          <cell r="G1956" t="str">
            <v>CB100508001H00</v>
          </cell>
          <cell r="H1956">
            <v>1.5</v>
          </cell>
          <cell r="I1956" t="str">
            <v>--</v>
          </cell>
          <cell r="J1956">
            <v>13.1</v>
          </cell>
          <cell r="K1956">
            <v>13.1</v>
          </cell>
        </row>
        <row r="1957">
          <cell r="A1957" t="str">
            <v>M2</v>
          </cell>
          <cell r="B1957" t="str">
            <v>A5C</v>
          </cell>
          <cell r="C1957" t="str">
            <v>P</v>
          </cell>
          <cell r="D1957" t="str">
            <v>99003</v>
          </cell>
          <cell r="E1957" t="str">
            <v>PIPE</v>
          </cell>
          <cell r="F1957">
            <v>1</v>
          </cell>
          <cell r="G1957" t="str">
            <v>CB100508001H00</v>
          </cell>
          <cell r="H1957">
            <v>1.5</v>
          </cell>
          <cell r="I1957" t="str">
            <v>--</v>
          </cell>
          <cell r="J1957">
            <v>13.1</v>
          </cell>
          <cell r="K1957">
            <v>13.1</v>
          </cell>
        </row>
        <row r="1958">
          <cell r="A1958" t="str">
            <v>M2</v>
          </cell>
          <cell r="B1958" t="str">
            <v>A5C</v>
          </cell>
          <cell r="C1958" t="str">
            <v>P</v>
          </cell>
          <cell r="D1958" t="str">
            <v>23107</v>
          </cell>
          <cell r="E1958" t="str">
            <v>PIPE</v>
          </cell>
          <cell r="F1958">
            <v>1</v>
          </cell>
          <cell r="G1958" t="str">
            <v>CB100508001H00</v>
          </cell>
          <cell r="H1958">
            <v>1.5</v>
          </cell>
          <cell r="I1958" t="str">
            <v>--</v>
          </cell>
          <cell r="J1958">
            <v>14</v>
          </cell>
          <cell r="K1958">
            <v>14</v>
          </cell>
        </row>
        <row r="1959">
          <cell r="A1959" t="str">
            <v>M2</v>
          </cell>
          <cell r="B1959" t="str">
            <v>A5C</v>
          </cell>
          <cell r="C1959" t="str">
            <v>P</v>
          </cell>
          <cell r="D1959" t="str">
            <v>23111</v>
          </cell>
          <cell r="E1959" t="str">
            <v>PIPE</v>
          </cell>
          <cell r="F1959">
            <v>1</v>
          </cell>
          <cell r="G1959" t="str">
            <v>CB100508001H00</v>
          </cell>
          <cell r="H1959">
            <v>1.5</v>
          </cell>
          <cell r="I1959" t="str">
            <v>--</v>
          </cell>
          <cell r="J1959">
            <v>14</v>
          </cell>
          <cell r="K1959">
            <v>14</v>
          </cell>
        </row>
        <row r="1960">
          <cell r="A1960" t="str">
            <v>M2</v>
          </cell>
          <cell r="B1960" t="str">
            <v>A5C</v>
          </cell>
          <cell r="C1960" t="str">
            <v>P</v>
          </cell>
          <cell r="D1960" t="str">
            <v>23103</v>
          </cell>
          <cell r="E1960" t="str">
            <v>PIPE</v>
          </cell>
          <cell r="F1960">
            <v>1</v>
          </cell>
          <cell r="G1960" t="str">
            <v>CB100508001H00</v>
          </cell>
          <cell r="H1960">
            <v>1.5</v>
          </cell>
          <cell r="I1960" t="str">
            <v>--</v>
          </cell>
          <cell r="J1960">
            <v>14</v>
          </cell>
          <cell r="K1960">
            <v>14</v>
          </cell>
        </row>
        <row r="1961">
          <cell r="A1961" t="str">
            <v>M2</v>
          </cell>
          <cell r="B1961" t="str">
            <v>A5C</v>
          </cell>
          <cell r="C1961" t="str">
            <v>P</v>
          </cell>
          <cell r="D1961" t="str">
            <v>24001</v>
          </cell>
          <cell r="E1961" t="str">
            <v>PIPE</v>
          </cell>
          <cell r="F1961">
            <v>1</v>
          </cell>
          <cell r="G1961" t="str">
            <v>CB100508001H00</v>
          </cell>
          <cell r="H1961">
            <v>1.5</v>
          </cell>
          <cell r="I1961" t="str">
            <v>--</v>
          </cell>
          <cell r="J1961">
            <v>14</v>
          </cell>
          <cell r="K1961">
            <v>14</v>
          </cell>
        </row>
        <row r="1962">
          <cell r="A1962" t="str">
            <v>M2</v>
          </cell>
          <cell r="B1962" t="str">
            <v>A5C</v>
          </cell>
          <cell r="C1962" t="str">
            <v>P</v>
          </cell>
          <cell r="D1962" t="str">
            <v>23039</v>
          </cell>
          <cell r="E1962" t="str">
            <v>PIPE</v>
          </cell>
          <cell r="F1962">
            <v>1</v>
          </cell>
          <cell r="G1962" t="str">
            <v>CB100508001H00</v>
          </cell>
          <cell r="H1962">
            <v>1.5</v>
          </cell>
          <cell r="I1962" t="str">
            <v>--</v>
          </cell>
          <cell r="J1962">
            <v>14.5</v>
          </cell>
          <cell r="K1962">
            <v>14.5</v>
          </cell>
        </row>
        <row r="1963">
          <cell r="A1963" t="str">
            <v>M2</v>
          </cell>
          <cell r="B1963" t="str">
            <v>A5C</v>
          </cell>
          <cell r="C1963" t="str">
            <v>P</v>
          </cell>
          <cell r="D1963" t="str">
            <v>23033</v>
          </cell>
          <cell r="E1963" t="str">
            <v>PIPE</v>
          </cell>
          <cell r="F1963">
            <v>1</v>
          </cell>
          <cell r="G1963" t="str">
            <v>CB100508001H00</v>
          </cell>
          <cell r="H1963">
            <v>1.5</v>
          </cell>
          <cell r="I1963" t="str">
            <v>--</v>
          </cell>
          <cell r="J1963">
            <v>15.5</v>
          </cell>
          <cell r="K1963">
            <v>15.5</v>
          </cell>
        </row>
        <row r="1964">
          <cell r="A1964" t="str">
            <v>M2</v>
          </cell>
          <cell r="B1964" t="str">
            <v>A5C</v>
          </cell>
          <cell r="C1964" t="str">
            <v>P</v>
          </cell>
          <cell r="D1964" t="str">
            <v>23009</v>
          </cell>
          <cell r="E1964" t="str">
            <v>PIPE</v>
          </cell>
          <cell r="F1964">
            <v>1</v>
          </cell>
          <cell r="G1964" t="str">
            <v>CB100508001H00</v>
          </cell>
          <cell r="H1964">
            <v>1.5</v>
          </cell>
          <cell r="I1964" t="str">
            <v>--</v>
          </cell>
          <cell r="J1964">
            <v>15.5</v>
          </cell>
          <cell r="K1964">
            <v>15.5</v>
          </cell>
        </row>
        <row r="1965">
          <cell r="A1965" t="str">
            <v>M2</v>
          </cell>
          <cell r="B1965" t="str">
            <v>A5C</v>
          </cell>
          <cell r="C1965" t="str">
            <v>P</v>
          </cell>
          <cell r="D1965" t="str">
            <v>23006</v>
          </cell>
          <cell r="E1965" t="str">
            <v>PIPE</v>
          </cell>
          <cell r="F1965">
            <v>1</v>
          </cell>
          <cell r="G1965" t="str">
            <v>CB100508001H00</v>
          </cell>
          <cell r="H1965">
            <v>1.5</v>
          </cell>
          <cell r="I1965" t="str">
            <v>--</v>
          </cell>
          <cell r="J1965">
            <v>15.8</v>
          </cell>
          <cell r="K1965">
            <v>15.8</v>
          </cell>
        </row>
        <row r="1966">
          <cell r="A1966" t="str">
            <v>M2</v>
          </cell>
          <cell r="B1966" t="str">
            <v>A5C</v>
          </cell>
          <cell r="C1966" t="str">
            <v>P</v>
          </cell>
          <cell r="D1966" t="str">
            <v>23226</v>
          </cell>
          <cell r="E1966" t="str">
            <v>PIPE</v>
          </cell>
          <cell r="F1966">
            <v>1</v>
          </cell>
          <cell r="G1966" t="str">
            <v>CB100508001H00</v>
          </cell>
          <cell r="H1966">
            <v>1.5</v>
          </cell>
          <cell r="I1966" t="str">
            <v>--</v>
          </cell>
          <cell r="J1966">
            <v>17</v>
          </cell>
          <cell r="K1966">
            <v>17</v>
          </cell>
        </row>
        <row r="1967">
          <cell r="A1967" t="str">
            <v>M2</v>
          </cell>
          <cell r="B1967" t="str">
            <v>A5C</v>
          </cell>
          <cell r="C1967" t="str">
            <v>P</v>
          </cell>
          <cell r="D1967" t="str">
            <v>23248</v>
          </cell>
          <cell r="E1967" t="str">
            <v>PIPE</v>
          </cell>
          <cell r="F1967">
            <v>1</v>
          </cell>
          <cell r="G1967" t="str">
            <v>CB100508001H00</v>
          </cell>
          <cell r="H1967">
            <v>1.5</v>
          </cell>
          <cell r="I1967" t="str">
            <v>--</v>
          </cell>
          <cell r="J1967">
            <v>17</v>
          </cell>
          <cell r="K1967">
            <v>17</v>
          </cell>
        </row>
        <row r="1968">
          <cell r="A1968" t="str">
            <v>M2</v>
          </cell>
          <cell r="B1968" t="str">
            <v>A5C</v>
          </cell>
          <cell r="C1968" t="str">
            <v>P</v>
          </cell>
          <cell r="D1968" t="str">
            <v>23077</v>
          </cell>
          <cell r="E1968" t="str">
            <v>PIPE</v>
          </cell>
          <cell r="F1968">
            <v>1</v>
          </cell>
          <cell r="G1968" t="str">
            <v>CB100508001H00</v>
          </cell>
          <cell r="H1968">
            <v>1.5</v>
          </cell>
          <cell r="I1968" t="str">
            <v>--</v>
          </cell>
          <cell r="J1968">
            <v>17</v>
          </cell>
          <cell r="K1968">
            <v>17</v>
          </cell>
        </row>
        <row r="1969">
          <cell r="A1969" t="str">
            <v>M2</v>
          </cell>
          <cell r="B1969" t="str">
            <v>A5C</v>
          </cell>
          <cell r="C1969" t="str">
            <v>P</v>
          </cell>
          <cell r="D1969" t="str">
            <v>23143</v>
          </cell>
          <cell r="E1969" t="str">
            <v>PIPE</v>
          </cell>
          <cell r="F1969">
            <v>1</v>
          </cell>
          <cell r="G1969" t="str">
            <v>CB100508001H00</v>
          </cell>
          <cell r="H1969">
            <v>1.5</v>
          </cell>
          <cell r="I1969" t="str">
            <v>--</v>
          </cell>
          <cell r="J1969">
            <v>17.100000000000001</v>
          </cell>
          <cell r="K1969">
            <v>17.100000000000001</v>
          </cell>
        </row>
        <row r="1970">
          <cell r="A1970" t="str">
            <v>M2</v>
          </cell>
          <cell r="B1970" t="str">
            <v>A5C</v>
          </cell>
          <cell r="C1970" t="str">
            <v>P</v>
          </cell>
          <cell r="D1970" t="str">
            <v>23217</v>
          </cell>
          <cell r="E1970" t="str">
            <v>PIPE</v>
          </cell>
          <cell r="F1970">
            <v>1</v>
          </cell>
          <cell r="G1970" t="str">
            <v>CB100508001H00</v>
          </cell>
          <cell r="H1970">
            <v>1.5</v>
          </cell>
          <cell r="I1970" t="str">
            <v>--</v>
          </cell>
          <cell r="J1970">
            <v>17.2</v>
          </cell>
          <cell r="K1970">
            <v>17.2</v>
          </cell>
        </row>
        <row r="1971">
          <cell r="A1971" t="str">
            <v>M2</v>
          </cell>
          <cell r="B1971" t="str">
            <v>A5C</v>
          </cell>
          <cell r="C1971" t="str">
            <v>P</v>
          </cell>
          <cell r="D1971" t="str">
            <v>23218</v>
          </cell>
          <cell r="E1971" t="str">
            <v>PIPE</v>
          </cell>
          <cell r="F1971">
            <v>1</v>
          </cell>
          <cell r="G1971" t="str">
            <v>CB100508001H00</v>
          </cell>
          <cell r="H1971">
            <v>1.5</v>
          </cell>
          <cell r="I1971" t="str">
            <v>--</v>
          </cell>
          <cell r="J1971">
            <v>18.5</v>
          </cell>
          <cell r="K1971">
            <v>18.5</v>
          </cell>
        </row>
        <row r="1972">
          <cell r="A1972" t="str">
            <v>M2</v>
          </cell>
          <cell r="B1972" t="str">
            <v>A5C</v>
          </cell>
          <cell r="C1972" t="str">
            <v>P</v>
          </cell>
          <cell r="D1972" t="str">
            <v>23116</v>
          </cell>
          <cell r="E1972" t="str">
            <v>PIPE</v>
          </cell>
          <cell r="F1972">
            <v>1</v>
          </cell>
          <cell r="G1972" t="str">
            <v>CB100508001H00</v>
          </cell>
          <cell r="H1972">
            <v>1.5</v>
          </cell>
          <cell r="I1972" t="str">
            <v>--</v>
          </cell>
          <cell r="J1972">
            <v>19</v>
          </cell>
          <cell r="K1972">
            <v>19</v>
          </cell>
        </row>
        <row r="1973">
          <cell r="A1973" t="str">
            <v>M2</v>
          </cell>
          <cell r="B1973" t="str">
            <v>A5C</v>
          </cell>
          <cell r="C1973" t="str">
            <v>P</v>
          </cell>
          <cell r="D1973" t="str">
            <v>23035</v>
          </cell>
          <cell r="E1973" t="str">
            <v>PIPE</v>
          </cell>
          <cell r="F1973">
            <v>1</v>
          </cell>
          <cell r="G1973" t="str">
            <v>CB100508001H00</v>
          </cell>
          <cell r="H1973">
            <v>1.5</v>
          </cell>
          <cell r="I1973" t="str">
            <v>--</v>
          </cell>
          <cell r="J1973">
            <v>19.3</v>
          </cell>
          <cell r="K1973">
            <v>19.3</v>
          </cell>
        </row>
        <row r="1974">
          <cell r="A1974" t="str">
            <v>M2</v>
          </cell>
          <cell r="B1974" t="str">
            <v>A5C</v>
          </cell>
          <cell r="C1974" t="str">
            <v>P</v>
          </cell>
          <cell r="D1974" t="str">
            <v>23008</v>
          </cell>
          <cell r="E1974" t="str">
            <v>PIPE</v>
          </cell>
          <cell r="F1974">
            <v>1</v>
          </cell>
          <cell r="G1974" t="str">
            <v>CB100508001H00</v>
          </cell>
          <cell r="H1974">
            <v>1.5</v>
          </cell>
          <cell r="I1974" t="str">
            <v>--</v>
          </cell>
          <cell r="J1974">
            <v>24.2</v>
          </cell>
          <cell r="K1974">
            <v>24.2</v>
          </cell>
        </row>
        <row r="1975">
          <cell r="A1975" t="str">
            <v>M2</v>
          </cell>
          <cell r="B1975" t="str">
            <v>A5C</v>
          </cell>
          <cell r="C1975" t="str">
            <v>P</v>
          </cell>
          <cell r="D1975" t="str">
            <v>22102</v>
          </cell>
          <cell r="E1975" t="str">
            <v>PIPE</v>
          </cell>
          <cell r="F1975">
            <v>1</v>
          </cell>
          <cell r="G1975" t="str">
            <v>CB100508001H00</v>
          </cell>
          <cell r="H1975">
            <v>1.5</v>
          </cell>
          <cell r="I1975" t="str">
            <v>--</v>
          </cell>
          <cell r="J1975">
            <v>50.6</v>
          </cell>
          <cell r="K1975">
            <v>50.6</v>
          </cell>
        </row>
        <row r="1976">
          <cell r="A1976" t="str">
            <v>M2</v>
          </cell>
          <cell r="B1976" t="str">
            <v>A5C</v>
          </cell>
          <cell r="C1976" t="str">
            <v>P</v>
          </cell>
          <cell r="D1976" t="str">
            <v>23170</v>
          </cell>
          <cell r="E1976" t="str">
            <v>PIPE</v>
          </cell>
          <cell r="F1976">
            <v>1</v>
          </cell>
          <cell r="G1976" t="str">
            <v>CB100508001H00</v>
          </cell>
          <cell r="H1976">
            <v>1.5</v>
          </cell>
          <cell r="I1976" t="str">
            <v>--</v>
          </cell>
          <cell r="J1976">
            <v>70.599999999999994</v>
          </cell>
          <cell r="K1976">
            <v>70.599999999999994</v>
          </cell>
        </row>
        <row r="1977">
          <cell r="A1977" t="str">
            <v>M2</v>
          </cell>
          <cell r="B1977" t="str">
            <v>A5C</v>
          </cell>
          <cell r="C1977" t="str">
            <v>P</v>
          </cell>
          <cell r="D1977" t="str">
            <v>23022</v>
          </cell>
          <cell r="E1977" t="str">
            <v>PIPE</v>
          </cell>
          <cell r="F1977">
            <v>1</v>
          </cell>
          <cell r="G1977" t="str">
            <v>CB100408000200</v>
          </cell>
          <cell r="H1977">
            <v>2</v>
          </cell>
          <cell r="I1977" t="str">
            <v>--</v>
          </cell>
          <cell r="J1977">
            <v>0.2</v>
          </cell>
          <cell r="K1977">
            <v>0.3</v>
          </cell>
        </row>
        <row r="1978">
          <cell r="A1978" t="str">
            <v>M2</v>
          </cell>
          <cell r="B1978" t="str">
            <v>A5C</v>
          </cell>
          <cell r="C1978" t="str">
            <v>P</v>
          </cell>
          <cell r="D1978" t="str">
            <v>23057</v>
          </cell>
          <cell r="E1978" t="str">
            <v>PIPE</v>
          </cell>
          <cell r="F1978">
            <v>1</v>
          </cell>
          <cell r="G1978" t="str">
            <v>CB100408000200</v>
          </cell>
          <cell r="H1978">
            <v>2</v>
          </cell>
          <cell r="I1978" t="str">
            <v>--</v>
          </cell>
          <cell r="J1978">
            <v>0.2</v>
          </cell>
          <cell r="K1978">
            <v>0.3</v>
          </cell>
        </row>
        <row r="1979">
          <cell r="A1979" t="str">
            <v>M2</v>
          </cell>
          <cell r="B1979" t="str">
            <v>A5C</v>
          </cell>
          <cell r="C1979" t="str">
            <v>P</v>
          </cell>
          <cell r="D1979" t="str">
            <v>23046</v>
          </cell>
          <cell r="E1979" t="str">
            <v>PIPE</v>
          </cell>
          <cell r="F1979">
            <v>1</v>
          </cell>
          <cell r="G1979" t="str">
            <v>CB100408000200</v>
          </cell>
          <cell r="H1979">
            <v>2</v>
          </cell>
          <cell r="I1979" t="str">
            <v>--</v>
          </cell>
          <cell r="J1979">
            <v>0.2</v>
          </cell>
          <cell r="K1979">
            <v>0.3</v>
          </cell>
        </row>
        <row r="1980">
          <cell r="A1980" t="str">
            <v>M2</v>
          </cell>
          <cell r="B1980" t="str">
            <v>A5C</v>
          </cell>
          <cell r="C1980" t="str">
            <v>P</v>
          </cell>
          <cell r="D1980" t="str">
            <v>23032</v>
          </cell>
          <cell r="E1980" t="str">
            <v>PIPE</v>
          </cell>
          <cell r="F1980">
            <v>1</v>
          </cell>
          <cell r="G1980" t="str">
            <v>CB100408000200</v>
          </cell>
          <cell r="H1980">
            <v>2</v>
          </cell>
          <cell r="I1980" t="str">
            <v>--</v>
          </cell>
          <cell r="J1980">
            <v>0.2</v>
          </cell>
          <cell r="K1980">
            <v>0.3</v>
          </cell>
        </row>
        <row r="1981">
          <cell r="A1981" t="str">
            <v>M2</v>
          </cell>
          <cell r="B1981" t="str">
            <v>A5C</v>
          </cell>
          <cell r="C1981" t="str">
            <v>P</v>
          </cell>
          <cell r="D1981" t="str">
            <v>23011</v>
          </cell>
          <cell r="E1981" t="str">
            <v>PIPE</v>
          </cell>
          <cell r="F1981">
            <v>1</v>
          </cell>
          <cell r="G1981" t="str">
            <v>CB100408000200</v>
          </cell>
          <cell r="H1981">
            <v>2</v>
          </cell>
          <cell r="I1981" t="str">
            <v>--</v>
          </cell>
          <cell r="J1981">
            <v>0.3</v>
          </cell>
          <cell r="K1981">
            <v>0.4</v>
          </cell>
        </row>
        <row r="1982">
          <cell r="A1982" t="str">
            <v>M2</v>
          </cell>
          <cell r="B1982" t="str">
            <v>A5C</v>
          </cell>
          <cell r="C1982" t="str">
            <v>TRIM</v>
          </cell>
          <cell r="D1982" t="str">
            <v>V-2315</v>
          </cell>
          <cell r="E1982" t="str">
            <v>PIPE</v>
          </cell>
          <cell r="F1982">
            <v>1</v>
          </cell>
          <cell r="G1982" t="str">
            <v>CB100408000200</v>
          </cell>
          <cell r="H1982">
            <v>2</v>
          </cell>
          <cell r="I1982" t="str">
            <v>--</v>
          </cell>
          <cell r="J1982">
            <v>0.4</v>
          </cell>
          <cell r="K1982">
            <v>0.5</v>
          </cell>
        </row>
        <row r="1983">
          <cell r="A1983" t="str">
            <v>M2</v>
          </cell>
          <cell r="B1983" t="str">
            <v>A5C</v>
          </cell>
          <cell r="C1983" t="str">
            <v>TRIM</v>
          </cell>
          <cell r="D1983" t="str">
            <v>V-2320</v>
          </cell>
          <cell r="E1983" t="str">
            <v>PIPE</v>
          </cell>
          <cell r="F1983">
            <v>1</v>
          </cell>
          <cell r="G1983" t="str">
            <v>CB100408000200</v>
          </cell>
          <cell r="H1983">
            <v>2</v>
          </cell>
          <cell r="I1983" t="str">
            <v>--</v>
          </cell>
          <cell r="J1983">
            <v>0.4</v>
          </cell>
          <cell r="K1983">
            <v>0.5</v>
          </cell>
        </row>
        <row r="1984">
          <cell r="A1984" t="str">
            <v>M2</v>
          </cell>
          <cell r="B1984" t="str">
            <v>A5C</v>
          </cell>
          <cell r="C1984" t="str">
            <v>TRIM</v>
          </cell>
          <cell r="D1984" t="str">
            <v>V-2317</v>
          </cell>
          <cell r="E1984" t="str">
            <v>PIPE</v>
          </cell>
          <cell r="F1984">
            <v>1</v>
          </cell>
          <cell r="G1984" t="str">
            <v>CB100408000200</v>
          </cell>
          <cell r="H1984">
            <v>2</v>
          </cell>
          <cell r="I1984" t="str">
            <v>--</v>
          </cell>
          <cell r="J1984">
            <v>0.4</v>
          </cell>
          <cell r="K1984">
            <v>0.5</v>
          </cell>
        </row>
        <row r="1985">
          <cell r="A1985" t="str">
            <v>M2</v>
          </cell>
          <cell r="B1985" t="str">
            <v>A5C</v>
          </cell>
          <cell r="C1985" t="str">
            <v>TRIM</v>
          </cell>
          <cell r="D1985" t="str">
            <v>V-2318</v>
          </cell>
          <cell r="E1985" t="str">
            <v>PIPE</v>
          </cell>
          <cell r="F1985">
            <v>1</v>
          </cell>
          <cell r="G1985" t="str">
            <v>CB100408000200</v>
          </cell>
          <cell r="H1985">
            <v>2</v>
          </cell>
          <cell r="I1985" t="str">
            <v>--</v>
          </cell>
          <cell r="J1985">
            <v>0.4</v>
          </cell>
          <cell r="K1985">
            <v>0.5</v>
          </cell>
        </row>
        <row r="1986">
          <cell r="A1986" t="str">
            <v>M2</v>
          </cell>
          <cell r="B1986" t="str">
            <v>A5C</v>
          </cell>
          <cell r="C1986" t="str">
            <v>TRIM</v>
          </cell>
          <cell r="D1986" t="str">
            <v>V-2321</v>
          </cell>
          <cell r="E1986" t="str">
            <v>PIPE</v>
          </cell>
          <cell r="F1986">
            <v>1</v>
          </cell>
          <cell r="G1986" t="str">
            <v>CB100408000200</v>
          </cell>
          <cell r="H1986">
            <v>2</v>
          </cell>
          <cell r="I1986" t="str">
            <v>--</v>
          </cell>
          <cell r="J1986">
            <v>0.4</v>
          </cell>
          <cell r="K1986">
            <v>0.5</v>
          </cell>
        </row>
        <row r="1987">
          <cell r="A1987" t="str">
            <v>M2</v>
          </cell>
          <cell r="B1987" t="str">
            <v>A5C</v>
          </cell>
          <cell r="C1987" t="str">
            <v>TRIM</v>
          </cell>
          <cell r="D1987" t="str">
            <v>V-2319</v>
          </cell>
          <cell r="E1987" t="str">
            <v>PIPE</v>
          </cell>
          <cell r="F1987">
            <v>1</v>
          </cell>
          <cell r="G1987" t="str">
            <v>CB100408000200</v>
          </cell>
          <cell r="H1987">
            <v>2</v>
          </cell>
          <cell r="I1987" t="str">
            <v>--</v>
          </cell>
          <cell r="J1987">
            <v>0.4</v>
          </cell>
          <cell r="K1987">
            <v>0.5</v>
          </cell>
        </row>
        <row r="1988">
          <cell r="A1988" t="str">
            <v>M2</v>
          </cell>
          <cell r="B1988" t="str">
            <v>A5C</v>
          </cell>
          <cell r="C1988" t="str">
            <v>TRIM</v>
          </cell>
          <cell r="D1988" t="str">
            <v>V-2323</v>
          </cell>
          <cell r="E1988" t="str">
            <v>PIPE</v>
          </cell>
          <cell r="F1988">
            <v>1</v>
          </cell>
          <cell r="G1988" t="str">
            <v>CB100408000200</v>
          </cell>
          <cell r="H1988">
            <v>2</v>
          </cell>
          <cell r="I1988" t="str">
            <v>--</v>
          </cell>
          <cell r="J1988">
            <v>0.4</v>
          </cell>
          <cell r="K1988">
            <v>0.5</v>
          </cell>
        </row>
        <row r="1989">
          <cell r="A1989" t="str">
            <v>M2</v>
          </cell>
          <cell r="B1989" t="str">
            <v>A5C</v>
          </cell>
          <cell r="C1989" t="str">
            <v>TRIM</v>
          </cell>
          <cell r="D1989" t="str">
            <v>V-2324</v>
          </cell>
          <cell r="E1989" t="str">
            <v>PIPE</v>
          </cell>
          <cell r="F1989">
            <v>1</v>
          </cell>
          <cell r="G1989" t="str">
            <v>CB100408000200</v>
          </cell>
          <cell r="H1989">
            <v>2</v>
          </cell>
          <cell r="I1989" t="str">
            <v>--</v>
          </cell>
          <cell r="J1989">
            <v>0.4</v>
          </cell>
          <cell r="K1989">
            <v>0.5</v>
          </cell>
        </row>
        <row r="1990">
          <cell r="A1990" t="str">
            <v>M2</v>
          </cell>
          <cell r="B1990" t="str">
            <v>A5C</v>
          </cell>
          <cell r="C1990" t="str">
            <v>TRIM</v>
          </cell>
          <cell r="D1990" t="str">
            <v>V-2329</v>
          </cell>
          <cell r="E1990" t="str">
            <v>PIPE</v>
          </cell>
          <cell r="F1990">
            <v>1</v>
          </cell>
          <cell r="G1990" t="str">
            <v>CB100408000200</v>
          </cell>
          <cell r="H1990">
            <v>2</v>
          </cell>
          <cell r="I1990" t="str">
            <v>--</v>
          </cell>
          <cell r="J1990">
            <v>0.4</v>
          </cell>
          <cell r="K1990">
            <v>0.5</v>
          </cell>
        </row>
        <row r="1991">
          <cell r="A1991" t="str">
            <v>M2</v>
          </cell>
          <cell r="B1991" t="str">
            <v>A5C</v>
          </cell>
          <cell r="C1991" t="str">
            <v>TRIM</v>
          </cell>
          <cell r="D1991" t="str">
            <v>V-2330</v>
          </cell>
          <cell r="E1991" t="str">
            <v>PIPE</v>
          </cell>
          <cell r="F1991">
            <v>1</v>
          </cell>
          <cell r="G1991" t="str">
            <v>CB100408000200</v>
          </cell>
          <cell r="H1991">
            <v>2</v>
          </cell>
          <cell r="I1991" t="str">
            <v>--</v>
          </cell>
          <cell r="J1991">
            <v>0.4</v>
          </cell>
          <cell r="K1991">
            <v>0.5</v>
          </cell>
        </row>
        <row r="1992">
          <cell r="A1992" t="str">
            <v>M2</v>
          </cell>
          <cell r="B1992" t="str">
            <v>A5C</v>
          </cell>
          <cell r="C1992" t="str">
            <v>TRIM</v>
          </cell>
          <cell r="D1992" t="str">
            <v>V-2331</v>
          </cell>
          <cell r="E1992" t="str">
            <v>PIPE</v>
          </cell>
          <cell r="F1992">
            <v>1</v>
          </cell>
          <cell r="G1992" t="str">
            <v>CB100408000200</v>
          </cell>
          <cell r="H1992">
            <v>2</v>
          </cell>
          <cell r="I1992" t="str">
            <v>--</v>
          </cell>
          <cell r="J1992">
            <v>0.4</v>
          </cell>
          <cell r="K1992">
            <v>0.5</v>
          </cell>
        </row>
        <row r="1993">
          <cell r="A1993" t="str">
            <v>M2</v>
          </cell>
          <cell r="B1993" t="str">
            <v>A5C</v>
          </cell>
          <cell r="C1993" t="str">
            <v>TRIM</v>
          </cell>
          <cell r="D1993" t="str">
            <v>V-2332</v>
          </cell>
          <cell r="E1993" t="str">
            <v>PIPE</v>
          </cell>
          <cell r="F1993">
            <v>1</v>
          </cell>
          <cell r="G1993" t="str">
            <v>CB100408000200</v>
          </cell>
          <cell r="H1993">
            <v>2</v>
          </cell>
          <cell r="I1993" t="str">
            <v>--</v>
          </cell>
          <cell r="J1993">
            <v>0.4</v>
          </cell>
          <cell r="K1993">
            <v>0.5</v>
          </cell>
        </row>
        <row r="1994">
          <cell r="A1994" t="str">
            <v>M2</v>
          </cell>
          <cell r="B1994" t="str">
            <v>A5C</v>
          </cell>
          <cell r="C1994" t="str">
            <v>TRIM</v>
          </cell>
          <cell r="D1994" t="str">
            <v>V-2333</v>
          </cell>
          <cell r="E1994" t="str">
            <v>PIPE</v>
          </cell>
          <cell r="F1994">
            <v>1</v>
          </cell>
          <cell r="G1994" t="str">
            <v>CB100408000200</v>
          </cell>
          <cell r="H1994">
            <v>2</v>
          </cell>
          <cell r="I1994" t="str">
            <v>--</v>
          </cell>
          <cell r="J1994">
            <v>0.4</v>
          </cell>
          <cell r="K1994">
            <v>0.5</v>
          </cell>
        </row>
        <row r="1995">
          <cell r="A1995" t="str">
            <v>M2</v>
          </cell>
          <cell r="B1995" t="str">
            <v>A5C</v>
          </cell>
          <cell r="C1995" t="str">
            <v>TRIM</v>
          </cell>
          <cell r="D1995" t="str">
            <v>C-2303</v>
          </cell>
          <cell r="E1995" t="str">
            <v>PIPE</v>
          </cell>
          <cell r="F1995">
            <v>1</v>
          </cell>
          <cell r="G1995" t="str">
            <v>CB100408000200</v>
          </cell>
          <cell r="H1995">
            <v>2</v>
          </cell>
          <cell r="I1995" t="str">
            <v>--</v>
          </cell>
          <cell r="J1995">
            <v>0.4</v>
          </cell>
          <cell r="K1995">
            <v>0.5</v>
          </cell>
        </row>
        <row r="1996">
          <cell r="A1996" t="str">
            <v>M2</v>
          </cell>
          <cell r="B1996" t="str">
            <v>A5C</v>
          </cell>
          <cell r="C1996" t="str">
            <v>TRIM</v>
          </cell>
          <cell r="D1996" t="str">
            <v>C-2304</v>
          </cell>
          <cell r="E1996" t="str">
            <v>PIPE</v>
          </cell>
          <cell r="F1996">
            <v>1</v>
          </cell>
          <cell r="G1996" t="str">
            <v>CB100408000200</v>
          </cell>
          <cell r="H1996">
            <v>2</v>
          </cell>
          <cell r="I1996" t="str">
            <v>--</v>
          </cell>
          <cell r="J1996">
            <v>0.4</v>
          </cell>
          <cell r="K1996">
            <v>0.5</v>
          </cell>
        </row>
        <row r="1997">
          <cell r="A1997" t="str">
            <v>M2</v>
          </cell>
          <cell r="B1997" t="str">
            <v>A5C</v>
          </cell>
          <cell r="C1997" t="str">
            <v>TRIM</v>
          </cell>
          <cell r="D1997" t="str">
            <v>C-2305</v>
          </cell>
          <cell r="E1997" t="str">
            <v>PIPE</v>
          </cell>
          <cell r="F1997">
            <v>1</v>
          </cell>
          <cell r="G1997" t="str">
            <v>CB100408000200</v>
          </cell>
          <cell r="H1997">
            <v>2</v>
          </cell>
          <cell r="I1997" t="str">
            <v>--</v>
          </cell>
          <cell r="J1997">
            <v>0.4</v>
          </cell>
          <cell r="K1997">
            <v>0.5</v>
          </cell>
        </row>
        <row r="1998">
          <cell r="A1998" t="str">
            <v>M2</v>
          </cell>
          <cell r="B1998" t="str">
            <v>A5C</v>
          </cell>
          <cell r="C1998" t="str">
            <v>TRIM</v>
          </cell>
          <cell r="D1998" t="str">
            <v>C-2302</v>
          </cell>
          <cell r="E1998" t="str">
            <v>PIPE</v>
          </cell>
          <cell r="F1998">
            <v>1</v>
          </cell>
          <cell r="G1998" t="str">
            <v>CB100408000200</v>
          </cell>
          <cell r="H1998">
            <v>2</v>
          </cell>
          <cell r="I1998" t="str">
            <v>--</v>
          </cell>
          <cell r="J1998">
            <v>0.4</v>
          </cell>
          <cell r="K1998">
            <v>0.5</v>
          </cell>
        </row>
        <row r="1999">
          <cell r="A1999" t="str">
            <v>M2</v>
          </cell>
          <cell r="B1999" t="str">
            <v>A5C</v>
          </cell>
          <cell r="C1999" t="str">
            <v>TRIM</v>
          </cell>
          <cell r="D1999" t="str">
            <v>C-2306</v>
          </cell>
          <cell r="E1999" t="str">
            <v>PIPE</v>
          </cell>
          <cell r="F1999">
            <v>1</v>
          </cell>
          <cell r="G1999" t="str">
            <v>CB100408000200</v>
          </cell>
          <cell r="H1999">
            <v>2</v>
          </cell>
          <cell r="I1999" t="str">
            <v>--</v>
          </cell>
          <cell r="J1999">
            <v>0.4</v>
          </cell>
          <cell r="K1999">
            <v>0.5</v>
          </cell>
        </row>
        <row r="2000">
          <cell r="A2000" t="str">
            <v>M2</v>
          </cell>
          <cell r="B2000" t="str">
            <v>A5C</v>
          </cell>
          <cell r="C2000" t="str">
            <v>TRIM</v>
          </cell>
          <cell r="D2000" t="str">
            <v>C-2301</v>
          </cell>
          <cell r="E2000" t="str">
            <v>PIPE</v>
          </cell>
          <cell r="F2000">
            <v>1</v>
          </cell>
          <cell r="G2000" t="str">
            <v>CB100408000200</v>
          </cell>
          <cell r="H2000">
            <v>2</v>
          </cell>
          <cell r="I2000" t="str">
            <v>--</v>
          </cell>
          <cell r="J2000">
            <v>0.4</v>
          </cell>
          <cell r="K2000">
            <v>0.5</v>
          </cell>
        </row>
        <row r="2001">
          <cell r="A2001" t="str">
            <v>M2</v>
          </cell>
          <cell r="B2001" t="str">
            <v>A5C</v>
          </cell>
          <cell r="C2001" t="str">
            <v>TRIM</v>
          </cell>
          <cell r="D2001" t="str">
            <v>V-2402</v>
          </cell>
          <cell r="E2001" t="str">
            <v>PIPE</v>
          </cell>
          <cell r="F2001">
            <v>1</v>
          </cell>
          <cell r="G2001" t="str">
            <v>CB100408000200</v>
          </cell>
          <cell r="H2001">
            <v>2</v>
          </cell>
          <cell r="I2001" t="str">
            <v>--</v>
          </cell>
          <cell r="J2001">
            <v>0.5</v>
          </cell>
          <cell r="K2001">
            <v>0.6</v>
          </cell>
        </row>
        <row r="2002">
          <cell r="A2002" t="str">
            <v>M2</v>
          </cell>
          <cell r="B2002" t="str">
            <v>B2C</v>
          </cell>
          <cell r="C2002" t="str">
            <v>SH</v>
          </cell>
          <cell r="D2002" t="str">
            <v>23612</v>
          </cell>
          <cell r="E2002" t="str">
            <v>PIPE</v>
          </cell>
          <cell r="F2002">
            <v>1</v>
          </cell>
          <cell r="G2002" t="str">
            <v>CB100408000200</v>
          </cell>
          <cell r="H2002">
            <v>2</v>
          </cell>
          <cell r="I2002" t="str">
            <v>--</v>
          </cell>
          <cell r="J2002">
            <v>1</v>
          </cell>
          <cell r="K2002">
            <v>1.1000000000000001</v>
          </cell>
        </row>
        <row r="2003">
          <cell r="A2003" t="str">
            <v>M2</v>
          </cell>
          <cell r="B2003" t="str">
            <v>A5C</v>
          </cell>
          <cell r="C2003" t="str">
            <v>TRIM</v>
          </cell>
          <cell r="D2003" t="str">
            <v>V-2301</v>
          </cell>
          <cell r="E2003" t="str">
            <v>PIPE</v>
          </cell>
          <cell r="F2003">
            <v>1</v>
          </cell>
          <cell r="G2003" t="str">
            <v>CB100408000200</v>
          </cell>
          <cell r="H2003">
            <v>2</v>
          </cell>
          <cell r="I2003" t="str">
            <v>--</v>
          </cell>
          <cell r="J2003">
            <v>1</v>
          </cell>
          <cell r="K2003">
            <v>1.1000000000000001</v>
          </cell>
        </row>
        <row r="2004">
          <cell r="A2004" t="str">
            <v>M2</v>
          </cell>
          <cell r="B2004" t="str">
            <v>A5C</v>
          </cell>
          <cell r="C2004" t="str">
            <v>TRIM</v>
          </cell>
          <cell r="D2004" t="str">
            <v>V-2304</v>
          </cell>
          <cell r="E2004" t="str">
            <v>PIPE</v>
          </cell>
          <cell r="F2004">
            <v>1</v>
          </cell>
          <cell r="G2004" t="str">
            <v>CB100408000200</v>
          </cell>
          <cell r="H2004">
            <v>2</v>
          </cell>
          <cell r="I2004" t="str">
            <v>--</v>
          </cell>
          <cell r="J2004">
            <v>1.6</v>
          </cell>
          <cell r="K2004">
            <v>1.8</v>
          </cell>
        </row>
        <row r="2005">
          <cell r="A2005" t="str">
            <v>M2</v>
          </cell>
          <cell r="B2005" t="str">
            <v>A5C</v>
          </cell>
          <cell r="C2005" t="str">
            <v>TRIM</v>
          </cell>
          <cell r="D2005" t="str">
            <v>V-2308</v>
          </cell>
          <cell r="E2005" t="str">
            <v>PIPE</v>
          </cell>
          <cell r="F2005">
            <v>1</v>
          </cell>
          <cell r="G2005" t="str">
            <v>CB100408000200</v>
          </cell>
          <cell r="H2005">
            <v>2</v>
          </cell>
          <cell r="I2005" t="str">
            <v>--</v>
          </cell>
          <cell r="J2005">
            <v>1.6</v>
          </cell>
          <cell r="K2005">
            <v>1.8</v>
          </cell>
        </row>
        <row r="2006">
          <cell r="A2006" t="str">
            <v>M2</v>
          </cell>
          <cell r="B2006" t="str">
            <v>A5C</v>
          </cell>
          <cell r="C2006" t="str">
            <v>TRIM</v>
          </cell>
          <cell r="D2006" t="str">
            <v>V-2313</v>
          </cell>
          <cell r="E2006" t="str">
            <v>PIPE</v>
          </cell>
          <cell r="F2006">
            <v>1</v>
          </cell>
          <cell r="G2006" t="str">
            <v>CB100408000200</v>
          </cell>
          <cell r="H2006">
            <v>2</v>
          </cell>
          <cell r="I2006" t="str">
            <v>--</v>
          </cell>
          <cell r="J2006">
            <v>1.6</v>
          </cell>
          <cell r="K2006">
            <v>1.8</v>
          </cell>
        </row>
        <row r="2007">
          <cell r="A2007" t="str">
            <v>M2</v>
          </cell>
          <cell r="B2007" t="str">
            <v>A5C</v>
          </cell>
          <cell r="C2007" t="str">
            <v>TRIM</v>
          </cell>
          <cell r="D2007" t="str">
            <v>V-2325</v>
          </cell>
          <cell r="E2007" t="str">
            <v>PIPE</v>
          </cell>
          <cell r="F2007">
            <v>1</v>
          </cell>
          <cell r="G2007" t="str">
            <v>CB100408000200</v>
          </cell>
          <cell r="H2007">
            <v>2</v>
          </cell>
          <cell r="I2007" t="str">
            <v>--</v>
          </cell>
          <cell r="J2007">
            <v>1.6</v>
          </cell>
          <cell r="K2007">
            <v>1.8</v>
          </cell>
        </row>
        <row r="2008">
          <cell r="A2008" t="str">
            <v>M2</v>
          </cell>
          <cell r="B2008" t="str">
            <v>A5C</v>
          </cell>
          <cell r="C2008" t="str">
            <v>TRIM</v>
          </cell>
          <cell r="D2008" t="str">
            <v>V-2302</v>
          </cell>
          <cell r="E2008" t="str">
            <v>PIPE</v>
          </cell>
          <cell r="F2008">
            <v>1</v>
          </cell>
          <cell r="G2008" t="str">
            <v>CB100408000200</v>
          </cell>
          <cell r="H2008">
            <v>2</v>
          </cell>
          <cell r="I2008" t="str">
            <v>--</v>
          </cell>
          <cell r="J2008">
            <v>1.6</v>
          </cell>
          <cell r="K2008">
            <v>1.8</v>
          </cell>
        </row>
        <row r="2009">
          <cell r="A2009" t="str">
            <v>M2</v>
          </cell>
          <cell r="B2009" t="str">
            <v>A5C</v>
          </cell>
          <cell r="C2009" t="str">
            <v>TRIM</v>
          </cell>
          <cell r="D2009" t="str">
            <v>V-2306</v>
          </cell>
          <cell r="E2009" t="str">
            <v>PIPE</v>
          </cell>
          <cell r="F2009">
            <v>1</v>
          </cell>
          <cell r="G2009" t="str">
            <v>CB100408000200</v>
          </cell>
          <cell r="H2009">
            <v>2</v>
          </cell>
          <cell r="I2009" t="str">
            <v>--</v>
          </cell>
          <cell r="J2009">
            <v>1.6</v>
          </cell>
          <cell r="K2009">
            <v>1.8</v>
          </cell>
        </row>
        <row r="2010">
          <cell r="A2010" t="str">
            <v>M2</v>
          </cell>
          <cell r="B2010" t="str">
            <v>A5C</v>
          </cell>
          <cell r="C2010" t="str">
            <v>TRIM</v>
          </cell>
          <cell r="D2010" t="str">
            <v>V-2310</v>
          </cell>
          <cell r="E2010" t="str">
            <v>PIPE</v>
          </cell>
          <cell r="F2010">
            <v>1</v>
          </cell>
          <cell r="G2010" t="str">
            <v>CB100408000200</v>
          </cell>
          <cell r="H2010">
            <v>2</v>
          </cell>
          <cell r="I2010" t="str">
            <v>--</v>
          </cell>
          <cell r="J2010">
            <v>1.6</v>
          </cell>
          <cell r="K2010">
            <v>1.8</v>
          </cell>
        </row>
        <row r="2011">
          <cell r="A2011" t="str">
            <v>M2</v>
          </cell>
          <cell r="B2011" t="str">
            <v>A5C</v>
          </cell>
          <cell r="C2011" t="str">
            <v>P</v>
          </cell>
          <cell r="D2011" t="str">
            <v>24020</v>
          </cell>
          <cell r="E2011" t="str">
            <v>PIPE</v>
          </cell>
          <cell r="F2011">
            <v>1</v>
          </cell>
          <cell r="G2011" t="str">
            <v>CB100408000200</v>
          </cell>
          <cell r="H2011">
            <v>2</v>
          </cell>
          <cell r="I2011" t="str">
            <v>--</v>
          </cell>
          <cell r="J2011">
            <v>2</v>
          </cell>
          <cell r="K2011">
            <v>2.2000000000000002</v>
          </cell>
        </row>
        <row r="2012">
          <cell r="A2012" t="str">
            <v>M2</v>
          </cell>
          <cell r="B2012" t="str">
            <v>A5C</v>
          </cell>
          <cell r="C2012" t="str">
            <v>TRIM</v>
          </cell>
          <cell r="D2012" t="str">
            <v>V-2326</v>
          </cell>
          <cell r="E2012" t="str">
            <v>PIPE</v>
          </cell>
          <cell r="F2012">
            <v>1</v>
          </cell>
          <cell r="G2012" t="str">
            <v>CB100408000200</v>
          </cell>
          <cell r="H2012">
            <v>2</v>
          </cell>
          <cell r="I2012" t="str">
            <v>--</v>
          </cell>
          <cell r="J2012">
            <v>2</v>
          </cell>
          <cell r="K2012">
            <v>2.2000000000000002</v>
          </cell>
        </row>
        <row r="2013">
          <cell r="A2013" t="str">
            <v>M2</v>
          </cell>
          <cell r="B2013" t="str">
            <v>A5C</v>
          </cell>
          <cell r="C2013" t="str">
            <v>TRIM</v>
          </cell>
          <cell r="D2013" t="str">
            <v>V-2327</v>
          </cell>
          <cell r="E2013" t="str">
            <v>PIPE</v>
          </cell>
          <cell r="F2013">
            <v>1</v>
          </cell>
          <cell r="G2013" t="str">
            <v>CB100408000200</v>
          </cell>
          <cell r="H2013">
            <v>2</v>
          </cell>
          <cell r="I2013" t="str">
            <v>--</v>
          </cell>
          <cell r="J2013">
            <v>2</v>
          </cell>
          <cell r="K2013">
            <v>2.2000000000000002</v>
          </cell>
        </row>
        <row r="2014">
          <cell r="A2014" t="str">
            <v>M2</v>
          </cell>
          <cell r="B2014" t="str">
            <v>A5C</v>
          </cell>
          <cell r="C2014" t="str">
            <v>TRIM</v>
          </cell>
          <cell r="D2014" t="str">
            <v>V-2328</v>
          </cell>
          <cell r="E2014" t="str">
            <v>PIPE</v>
          </cell>
          <cell r="F2014">
            <v>1</v>
          </cell>
          <cell r="G2014" t="str">
            <v>CB100408000200</v>
          </cell>
          <cell r="H2014">
            <v>2</v>
          </cell>
          <cell r="I2014" t="str">
            <v>--</v>
          </cell>
          <cell r="J2014">
            <v>2</v>
          </cell>
          <cell r="K2014">
            <v>2.2000000000000002</v>
          </cell>
        </row>
        <row r="2015">
          <cell r="A2015" t="str">
            <v>M2</v>
          </cell>
          <cell r="B2015" t="str">
            <v>A5C</v>
          </cell>
          <cell r="C2015" t="str">
            <v>TRIM</v>
          </cell>
          <cell r="D2015" t="str">
            <v>V-2403</v>
          </cell>
          <cell r="E2015" t="str">
            <v>PIPE</v>
          </cell>
          <cell r="F2015">
            <v>1</v>
          </cell>
          <cell r="G2015" t="str">
            <v>CB100408000200</v>
          </cell>
          <cell r="H2015">
            <v>2</v>
          </cell>
          <cell r="I2015" t="str">
            <v>--</v>
          </cell>
          <cell r="J2015">
            <v>2</v>
          </cell>
          <cell r="K2015">
            <v>2.2000000000000002</v>
          </cell>
        </row>
        <row r="2016">
          <cell r="A2016" t="str">
            <v>M2</v>
          </cell>
          <cell r="B2016" t="str">
            <v>A5C</v>
          </cell>
          <cell r="C2016" t="str">
            <v>TRIM</v>
          </cell>
          <cell r="D2016" t="str">
            <v>V-2404</v>
          </cell>
          <cell r="E2016" t="str">
            <v>PIPE</v>
          </cell>
          <cell r="F2016">
            <v>1</v>
          </cell>
          <cell r="G2016" t="str">
            <v>CB100408000200</v>
          </cell>
          <cell r="H2016">
            <v>2</v>
          </cell>
          <cell r="I2016" t="str">
            <v>--</v>
          </cell>
          <cell r="J2016">
            <v>2</v>
          </cell>
          <cell r="K2016">
            <v>2.2000000000000002</v>
          </cell>
        </row>
        <row r="2017">
          <cell r="A2017" t="str">
            <v>M2</v>
          </cell>
          <cell r="B2017" t="str">
            <v>A5C</v>
          </cell>
          <cell r="C2017" t="str">
            <v>TRIM</v>
          </cell>
          <cell r="D2017" t="str">
            <v>R-2401</v>
          </cell>
          <cell r="E2017" t="str">
            <v>PIPE</v>
          </cell>
          <cell r="F2017">
            <v>1</v>
          </cell>
          <cell r="G2017" t="str">
            <v>CB100408000200</v>
          </cell>
          <cell r="H2017">
            <v>2</v>
          </cell>
          <cell r="I2017" t="str">
            <v>--</v>
          </cell>
          <cell r="J2017">
            <v>2</v>
          </cell>
          <cell r="K2017">
            <v>2.2000000000000002</v>
          </cell>
        </row>
        <row r="2018">
          <cell r="A2018" t="str">
            <v>M2</v>
          </cell>
          <cell r="B2018" t="str">
            <v>A5C</v>
          </cell>
          <cell r="C2018" t="str">
            <v>TRIM</v>
          </cell>
          <cell r="D2018" t="str">
            <v>V-2401</v>
          </cell>
          <cell r="E2018" t="str">
            <v>PIPE</v>
          </cell>
          <cell r="F2018">
            <v>1</v>
          </cell>
          <cell r="G2018" t="str">
            <v>CB100408000200</v>
          </cell>
          <cell r="H2018">
            <v>2</v>
          </cell>
          <cell r="I2018" t="str">
            <v>--</v>
          </cell>
          <cell r="J2018">
            <v>2</v>
          </cell>
          <cell r="K2018">
            <v>2.2000000000000002</v>
          </cell>
        </row>
        <row r="2019">
          <cell r="A2019" t="str">
            <v>M2</v>
          </cell>
          <cell r="B2019" t="str">
            <v>A5C</v>
          </cell>
          <cell r="C2019" t="str">
            <v>P</v>
          </cell>
          <cell r="D2019" t="str">
            <v>23231</v>
          </cell>
          <cell r="E2019" t="str">
            <v>PIPE</v>
          </cell>
          <cell r="F2019">
            <v>1</v>
          </cell>
          <cell r="G2019" t="str">
            <v>CB100408000200</v>
          </cell>
          <cell r="H2019">
            <v>2</v>
          </cell>
          <cell r="I2019" t="str">
            <v>--</v>
          </cell>
          <cell r="J2019">
            <v>2.5</v>
          </cell>
          <cell r="K2019">
            <v>2.8</v>
          </cell>
        </row>
        <row r="2020">
          <cell r="A2020" t="str">
            <v>M2</v>
          </cell>
          <cell r="B2020" t="str">
            <v>A5C</v>
          </cell>
          <cell r="C2020" t="str">
            <v>P</v>
          </cell>
          <cell r="D2020" t="str">
            <v>23253</v>
          </cell>
          <cell r="E2020" t="str">
            <v>PIPE</v>
          </cell>
          <cell r="F2020">
            <v>1</v>
          </cell>
          <cell r="G2020" t="str">
            <v>CB100408000200</v>
          </cell>
          <cell r="H2020">
            <v>2</v>
          </cell>
          <cell r="I2020" t="str">
            <v>--</v>
          </cell>
          <cell r="J2020">
            <v>2.5</v>
          </cell>
          <cell r="K2020">
            <v>2.8</v>
          </cell>
        </row>
        <row r="2021">
          <cell r="A2021" t="str">
            <v>M2</v>
          </cell>
          <cell r="B2021" t="str">
            <v>A5C</v>
          </cell>
          <cell r="C2021" t="str">
            <v>TRIM</v>
          </cell>
          <cell r="D2021" t="str">
            <v>V-2352</v>
          </cell>
          <cell r="E2021" t="str">
            <v>PIPE</v>
          </cell>
          <cell r="F2021">
            <v>1</v>
          </cell>
          <cell r="G2021" t="str">
            <v>CB100408000200</v>
          </cell>
          <cell r="H2021">
            <v>2</v>
          </cell>
          <cell r="I2021" t="str">
            <v>--</v>
          </cell>
          <cell r="J2021">
            <v>2.5</v>
          </cell>
          <cell r="K2021">
            <v>2.8</v>
          </cell>
        </row>
        <row r="2022">
          <cell r="A2022" t="str">
            <v>M2</v>
          </cell>
          <cell r="B2022" t="str">
            <v>A5C</v>
          </cell>
          <cell r="C2022" t="str">
            <v>P</v>
          </cell>
          <cell r="D2022" t="str">
            <v>23073</v>
          </cell>
          <cell r="E2022" t="str">
            <v>PIPE</v>
          </cell>
          <cell r="F2022">
            <v>1</v>
          </cell>
          <cell r="G2022" t="str">
            <v>CB100408000200</v>
          </cell>
          <cell r="H2022">
            <v>2</v>
          </cell>
          <cell r="I2022" t="str">
            <v>--</v>
          </cell>
          <cell r="J2022">
            <v>3</v>
          </cell>
          <cell r="K2022">
            <v>3.3</v>
          </cell>
        </row>
        <row r="2023">
          <cell r="A2023" t="str">
            <v>M2</v>
          </cell>
          <cell r="B2023" t="str">
            <v>A5C</v>
          </cell>
          <cell r="C2023" t="str">
            <v>P</v>
          </cell>
          <cell r="D2023" t="str">
            <v>23102</v>
          </cell>
          <cell r="E2023" t="str">
            <v>PIPE</v>
          </cell>
          <cell r="F2023">
            <v>1</v>
          </cell>
          <cell r="G2023" t="str">
            <v>CB100408000200</v>
          </cell>
          <cell r="H2023">
            <v>2</v>
          </cell>
          <cell r="I2023" t="str">
            <v>--</v>
          </cell>
          <cell r="J2023">
            <v>3</v>
          </cell>
          <cell r="K2023">
            <v>3.3</v>
          </cell>
        </row>
        <row r="2024">
          <cell r="A2024" t="str">
            <v>M2</v>
          </cell>
          <cell r="B2024" t="str">
            <v>A5C</v>
          </cell>
          <cell r="C2024" t="str">
            <v>TRIM</v>
          </cell>
          <cell r="D2024" t="str">
            <v>V-2316</v>
          </cell>
          <cell r="E2024" t="str">
            <v>PIPE</v>
          </cell>
          <cell r="F2024">
            <v>1</v>
          </cell>
          <cell r="G2024" t="str">
            <v>CB100408000200</v>
          </cell>
          <cell r="H2024">
            <v>2</v>
          </cell>
          <cell r="I2024" t="str">
            <v>--</v>
          </cell>
          <cell r="J2024">
            <v>3.6</v>
          </cell>
          <cell r="K2024">
            <v>4</v>
          </cell>
        </row>
        <row r="2025">
          <cell r="A2025" t="str">
            <v>M2</v>
          </cell>
          <cell r="B2025" t="str">
            <v>A5C</v>
          </cell>
          <cell r="C2025" t="str">
            <v>TRIM</v>
          </cell>
          <cell r="D2025" t="str">
            <v>V-2351</v>
          </cell>
          <cell r="E2025" t="str">
            <v>PIPE</v>
          </cell>
          <cell r="F2025">
            <v>1</v>
          </cell>
          <cell r="G2025" t="str">
            <v>CB100408000200</v>
          </cell>
          <cell r="H2025">
            <v>2</v>
          </cell>
          <cell r="I2025" t="str">
            <v>--</v>
          </cell>
          <cell r="J2025">
            <v>4.5</v>
          </cell>
          <cell r="K2025">
            <v>5</v>
          </cell>
        </row>
        <row r="2026">
          <cell r="A2026" t="str">
            <v>M2</v>
          </cell>
          <cell r="B2026" t="str">
            <v>A5C</v>
          </cell>
          <cell r="C2026" t="str">
            <v>P</v>
          </cell>
          <cell r="D2026" t="str">
            <v>24021</v>
          </cell>
          <cell r="E2026" t="str">
            <v>PIPE</v>
          </cell>
          <cell r="F2026">
            <v>1</v>
          </cell>
          <cell r="G2026" t="str">
            <v>CB100408000200</v>
          </cell>
          <cell r="H2026">
            <v>2</v>
          </cell>
          <cell r="I2026" t="str">
            <v>--</v>
          </cell>
          <cell r="J2026">
            <v>5</v>
          </cell>
          <cell r="K2026">
            <v>5.5</v>
          </cell>
        </row>
        <row r="2027">
          <cell r="A2027" t="str">
            <v>M2</v>
          </cell>
          <cell r="B2027" t="str">
            <v>A5C</v>
          </cell>
          <cell r="C2027" t="str">
            <v>P</v>
          </cell>
          <cell r="D2027" t="str">
            <v>23224</v>
          </cell>
          <cell r="E2027" t="str">
            <v>PIPE</v>
          </cell>
          <cell r="F2027">
            <v>1</v>
          </cell>
          <cell r="G2027" t="str">
            <v>CB100408000200</v>
          </cell>
          <cell r="H2027">
            <v>2</v>
          </cell>
          <cell r="I2027" t="str">
            <v>--</v>
          </cell>
          <cell r="J2027">
            <v>5</v>
          </cell>
          <cell r="K2027">
            <v>5.5</v>
          </cell>
        </row>
        <row r="2028">
          <cell r="A2028" t="str">
            <v>M2</v>
          </cell>
          <cell r="B2028" t="str">
            <v>A5C</v>
          </cell>
          <cell r="C2028" t="str">
            <v>P</v>
          </cell>
          <cell r="D2028" t="str">
            <v>24006</v>
          </cell>
          <cell r="E2028" t="str">
            <v>PIPE</v>
          </cell>
          <cell r="F2028">
            <v>1</v>
          </cell>
          <cell r="G2028" t="str">
            <v>CB100408000200</v>
          </cell>
          <cell r="H2028">
            <v>2</v>
          </cell>
          <cell r="I2028" t="str">
            <v>--</v>
          </cell>
          <cell r="J2028">
            <v>5.5</v>
          </cell>
          <cell r="K2028">
            <v>6.1</v>
          </cell>
        </row>
        <row r="2029">
          <cell r="A2029" t="str">
            <v>M2</v>
          </cell>
          <cell r="B2029" t="str">
            <v>A5C</v>
          </cell>
          <cell r="C2029" t="str">
            <v>P</v>
          </cell>
          <cell r="D2029" t="str">
            <v>23102</v>
          </cell>
          <cell r="E2029" t="str">
            <v>PIPE</v>
          </cell>
          <cell r="F2029">
            <v>1</v>
          </cell>
          <cell r="G2029" t="str">
            <v>CB100408000200</v>
          </cell>
          <cell r="H2029">
            <v>2</v>
          </cell>
          <cell r="I2029" t="str">
            <v>--</v>
          </cell>
          <cell r="J2029">
            <v>6</v>
          </cell>
          <cell r="K2029">
            <v>6.6</v>
          </cell>
        </row>
        <row r="2030">
          <cell r="A2030" t="str">
            <v>M2</v>
          </cell>
          <cell r="B2030" t="str">
            <v>A5C</v>
          </cell>
          <cell r="C2030" t="str">
            <v>P</v>
          </cell>
          <cell r="D2030" t="str">
            <v>23019</v>
          </cell>
          <cell r="E2030" t="str">
            <v>PIPE</v>
          </cell>
          <cell r="F2030">
            <v>1</v>
          </cell>
          <cell r="G2030" t="str">
            <v>CB100408000200</v>
          </cell>
          <cell r="H2030">
            <v>2</v>
          </cell>
          <cell r="I2030" t="str">
            <v>--</v>
          </cell>
          <cell r="J2030">
            <v>7.1</v>
          </cell>
          <cell r="K2030">
            <v>7.9</v>
          </cell>
        </row>
        <row r="2031">
          <cell r="A2031" t="str">
            <v>M2</v>
          </cell>
          <cell r="B2031" t="str">
            <v>A5C</v>
          </cell>
          <cell r="C2031" t="str">
            <v>P</v>
          </cell>
          <cell r="D2031" t="str">
            <v>23053</v>
          </cell>
          <cell r="E2031" t="str">
            <v>PIPE</v>
          </cell>
          <cell r="F2031">
            <v>1</v>
          </cell>
          <cell r="G2031" t="str">
            <v>CB100408000200</v>
          </cell>
          <cell r="H2031">
            <v>2</v>
          </cell>
          <cell r="I2031" t="str">
            <v>--</v>
          </cell>
          <cell r="J2031">
            <v>7.1</v>
          </cell>
          <cell r="K2031">
            <v>7.9</v>
          </cell>
        </row>
        <row r="2032">
          <cell r="A2032" t="str">
            <v>M2</v>
          </cell>
          <cell r="B2032" t="str">
            <v>A5C</v>
          </cell>
          <cell r="C2032" t="str">
            <v>P</v>
          </cell>
          <cell r="D2032" t="str">
            <v>23233</v>
          </cell>
          <cell r="E2032" t="str">
            <v>PIPE</v>
          </cell>
          <cell r="F2032">
            <v>1</v>
          </cell>
          <cell r="G2032" t="str">
            <v>CB100408000200</v>
          </cell>
          <cell r="H2032">
            <v>2</v>
          </cell>
          <cell r="I2032" t="str">
            <v>--</v>
          </cell>
          <cell r="J2032">
            <v>8.5</v>
          </cell>
          <cell r="K2032">
            <v>9.4</v>
          </cell>
        </row>
        <row r="2033">
          <cell r="A2033" t="str">
            <v>M2</v>
          </cell>
          <cell r="B2033" t="str">
            <v>A5C</v>
          </cell>
          <cell r="C2033" t="str">
            <v>P</v>
          </cell>
          <cell r="D2033" t="str">
            <v>23255</v>
          </cell>
          <cell r="E2033" t="str">
            <v>PIPE</v>
          </cell>
          <cell r="F2033">
            <v>1</v>
          </cell>
          <cell r="G2033" t="str">
            <v>CB100408000200</v>
          </cell>
          <cell r="H2033">
            <v>2</v>
          </cell>
          <cell r="I2033" t="str">
            <v>--</v>
          </cell>
          <cell r="J2033">
            <v>8.5</v>
          </cell>
          <cell r="K2033">
            <v>9.4</v>
          </cell>
        </row>
        <row r="2034">
          <cell r="A2034" t="str">
            <v>M2</v>
          </cell>
          <cell r="B2034" t="str">
            <v>A5C</v>
          </cell>
          <cell r="C2034" t="str">
            <v>P</v>
          </cell>
          <cell r="D2034" t="str">
            <v>23229</v>
          </cell>
          <cell r="E2034" t="str">
            <v>PIPE</v>
          </cell>
          <cell r="F2034">
            <v>1</v>
          </cell>
          <cell r="G2034" t="str">
            <v>CB100408000200</v>
          </cell>
          <cell r="H2034">
            <v>2</v>
          </cell>
          <cell r="I2034" t="str">
            <v>--</v>
          </cell>
          <cell r="J2034">
            <v>10</v>
          </cell>
          <cell r="K2034">
            <v>11</v>
          </cell>
        </row>
        <row r="2035">
          <cell r="A2035" t="str">
            <v>M2</v>
          </cell>
          <cell r="B2035" t="str">
            <v>A5C</v>
          </cell>
          <cell r="C2035" t="str">
            <v>P</v>
          </cell>
          <cell r="D2035" t="str">
            <v>23251</v>
          </cell>
          <cell r="E2035" t="str">
            <v>PIPE</v>
          </cell>
          <cell r="F2035">
            <v>1</v>
          </cell>
          <cell r="G2035" t="str">
            <v>CB100408000200</v>
          </cell>
          <cell r="H2035">
            <v>2</v>
          </cell>
          <cell r="I2035" t="str">
            <v>--</v>
          </cell>
          <cell r="J2035">
            <v>10</v>
          </cell>
          <cell r="K2035">
            <v>11</v>
          </cell>
        </row>
        <row r="2036">
          <cell r="A2036" t="str">
            <v>M2</v>
          </cell>
          <cell r="B2036" t="str">
            <v>A5C</v>
          </cell>
          <cell r="C2036" t="str">
            <v>P</v>
          </cell>
          <cell r="D2036" t="str">
            <v>24009</v>
          </cell>
          <cell r="E2036" t="str">
            <v>PIPE</v>
          </cell>
          <cell r="F2036">
            <v>1</v>
          </cell>
          <cell r="G2036" t="str">
            <v>CB100408000200</v>
          </cell>
          <cell r="H2036">
            <v>2</v>
          </cell>
          <cell r="I2036" t="str">
            <v>--</v>
          </cell>
          <cell r="J2036">
            <v>12</v>
          </cell>
          <cell r="K2036">
            <v>13.2</v>
          </cell>
        </row>
        <row r="2037">
          <cell r="A2037" t="str">
            <v>M2</v>
          </cell>
          <cell r="B2037" t="str">
            <v>A5C</v>
          </cell>
          <cell r="C2037" t="str">
            <v>P</v>
          </cell>
          <cell r="D2037" t="str">
            <v>23115</v>
          </cell>
          <cell r="E2037" t="str">
            <v>PIPE</v>
          </cell>
          <cell r="F2037">
            <v>1</v>
          </cell>
          <cell r="G2037" t="str">
            <v>CB100408000200</v>
          </cell>
          <cell r="H2037">
            <v>2</v>
          </cell>
          <cell r="I2037" t="str">
            <v>--</v>
          </cell>
          <cell r="J2037">
            <v>13</v>
          </cell>
          <cell r="K2037">
            <v>14.3</v>
          </cell>
        </row>
        <row r="2038">
          <cell r="A2038" t="str">
            <v>M2</v>
          </cell>
          <cell r="B2038" t="str">
            <v>A5C</v>
          </cell>
          <cell r="C2038" t="str">
            <v>P</v>
          </cell>
          <cell r="D2038" t="str">
            <v>23261</v>
          </cell>
          <cell r="E2038" t="str">
            <v>PIPE</v>
          </cell>
          <cell r="F2038">
            <v>1</v>
          </cell>
          <cell r="G2038" t="str">
            <v>CB100408000200</v>
          </cell>
          <cell r="H2038">
            <v>2</v>
          </cell>
          <cell r="I2038" t="str">
            <v>--</v>
          </cell>
          <cell r="J2038">
            <v>13</v>
          </cell>
          <cell r="K2038">
            <v>14.3</v>
          </cell>
        </row>
        <row r="2039">
          <cell r="A2039" t="str">
            <v>M2</v>
          </cell>
          <cell r="B2039" t="str">
            <v>A5C</v>
          </cell>
          <cell r="C2039" t="str">
            <v>P</v>
          </cell>
          <cell r="D2039" t="str">
            <v>23054</v>
          </cell>
          <cell r="E2039" t="str">
            <v>PIPE</v>
          </cell>
          <cell r="F2039">
            <v>1</v>
          </cell>
          <cell r="G2039" t="str">
            <v>CB100408000200</v>
          </cell>
          <cell r="H2039">
            <v>2</v>
          </cell>
          <cell r="I2039" t="str">
            <v>--</v>
          </cell>
          <cell r="J2039">
            <v>15</v>
          </cell>
          <cell r="K2039">
            <v>16.5</v>
          </cell>
        </row>
        <row r="2040">
          <cell r="A2040" t="str">
            <v>M2</v>
          </cell>
          <cell r="B2040" t="str">
            <v>A5C</v>
          </cell>
          <cell r="C2040" t="str">
            <v>P</v>
          </cell>
          <cell r="D2040" t="str">
            <v>23020</v>
          </cell>
          <cell r="E2040" t="str">
            <v>PIPE</v>
          </cell>
          <cell r="F2040">
            <v>1</v>
          </cell>
          <cell r="G2040" t="str">
            <v>CB100408000200</v>
          </cell>
          <cell r="H2040">
            <v>2</v>
          </cell>
          <cell r="I2040" t="str">
            <v>--</v>
          </cell>
          <cell r="J2040">
            <v>15</v>
          </cell>
          <cell r="K2040">
            <v>16.5</v>
          </cell>
        </row>
        <row r="2041">
          <cell r="A2041" t="str">
            <v>M2</v>
          </cell>
          <cell r="B2041" t="str">
            <v>A5C</v>
          </cell>
          <cell r="C2041" t="str">
            <v>P</v>
          </cell>
          <cell r="D2041" t="str">
            <v>23036</v>
          </cell>
          <cell r="E2041" t="str">
            <v>PIPE</v>
          </cell>
          <cell r="F2041">
            <v>1</v>
          </cell>
          <cell r="G2041" t="str">
            <v>CB100408000200</v>
          </cell>
          <cell r="H2041">
            <v>2</v>
          </cell>
          <cell r="I2041" t="str">
            <v>--</v>
          </cell>
          <cell r="J2041">
            <v>17.3</v>
          </cell>
          <cell r="K2041">
            <v>19.100000000000001</v>
          </cell>
        </row>
        <row r="2042">
          <cell r="A2042" t="str">
            <v>M2</v>
          </cell>
          <cell r="B2042" t="str">
            <v>A5C</v>
          </cell>
          <cell r="C2042" t="str">
            <v>P</v>
          </cell>
          <cell r="D2042" t="str">
            <v>23030</v>
          </cell>
          <cell r="E2042" t="str">
            <v>PIPE</v>
          </cell>
          <cell r="F2042">
            <v>1</v>
          </cell>
          <cell r="G2042" t="str">
            <v>CB100408000200</v>
          </cell>
          <cell r="H2042">
            <v>2</v>
          </cell>
          <cell r="I2042" t="str">
            <v>--</v>
          </cell>
          <cell r="J2042">
            <v>17.5</v>
          </cell>
          <cell r="K2042">
            <v>19.3</v>
          </cell>
        </row>
        <row r="2043">
          <cell r="A2043" t="str">
            <v>M2</v>
          </cell>
          <cell r="B2043" t="str">
            <v>A5C</v>
          </cell>
          <cell r="C2043" t="str">
            <v>P</v>
          </cell>
          <cell r="D2043" t="str">
            <v>23001</v>
          </cell>
          <cell r="E2043" t="str">
            <v>PIPE</v>
          </cell>
          <cell r="F2043">
            <v>1</v>
          </cell>
          <cell r="G2043" t="str">
            <v>CB100408000200</v>
          </cell>
          <cell r="H2043">
            <v>2</v>
          </cell>
          <cell r="I2043" t="str">
            <v>--</v>
          </cell>
          <cell r="J2043">
            <v>17.899999999999999</v>
          </cell>
          <cell r="K2043">
            <v>19.7</v>
          </cell>
        </row>
        <row r="2044">
          <cell r="A2044" t="str">
            <v>M2</v>
          </cell>
          <cell r="B2044" t="str">
            <v>A5C</v>
          </cell>
          <cell r="C2044" t="str">
            <v>P</v>
          </cell>
          <cell r="D2044" t="str">
            <v>23264</v>
          </cell>
          <cell r="E2044" t="str">
            <v>PIPE</v>
          </cell>
          <cell r="F2044">
            <v>1</v>
          </cell>
          <cell r="G2044" t="str">
            <v>CB100408000200</v>
          </cell>
          <cell r="H2044">
            <v>2</v>
          </cell>
          <cell r="I2044" t="str">
            <v>--</v>
          </cell>
          <cell r="J2044">
            <v>18</v>
          </cell>
          <cell r="K2044">
            <v>19.8</v>
          </cell>
        </row>
        <row r="2045">
          <cell r="A2045" t="str">
            <v>M2</v>
          </cell>
          <cell r="B2045" t="str">
            <v>A5C</v>
          </cell>
          <cell r="C2045" t="str">
            <v>P</v>
          </cell>
          <cell r="D2045" t="str">
            <v>23085</v>
          </cell>
          <cell r="E2045" t="str">
            <v>PIPE</v>
          </cell>
          <cell r="F2045">
            <v>1</v>
          </cell>
          <cell r="G2045" t="str">
            <v>CB100408000200</v>
          </cell>
          <cell r="H2045">
            <v>2</v>
          </cell>
          <cell r="I2045" t="str">
            <v>--</v>
          </cell>
          <cell r="J2045">
            <v>18.5</v>
          </cell>
          <cell r="K2045">
            <v>20.399999999999999</v>
          </cell>
        </row>
        <row r="2046">
          <cell r="A2046" t="str">
            <v>M2</v>
          </cell>
          <cell r="B2046" t="str">
            <v>A5C</v>
          </cell>
          <cell r="C2046" t="str">
            <v>P</v>
          </cell>
          <cell r="D2046" t="str">
            <v>23192</v>
          </cell>
          <cell r="E2046" t="str">
            <v>PIPE</v>
          </cell>
          <cell r="F2046">
            <v>1</v>
          </cell>
          <cell r="G2046" t="str">
            <v>CB100408000200</v>
          </cell>
          <cell r="H2046">
            <v>2</v>
          </cell>
          <cell r="I2046" t="str">
            <v>--</v>
          </cell>
          <cell r="J2046">
            <v>20</v>
          </cell>
          <cell r="K2046">
            <v>22</v>
          </cell>
        </row>
        <row r="2047">
          <cell r="A2047" t="str">
            <v>M2</v>
          </cell>
          <cell r="B2047" t="str">
            <v>A5C</v>
          </cell>
          <cell r="C2047" t="str">
            <v>P</v>
          </cell>
          <cell r="D2047" t="str">
            <v>23263</v>
          </cell>
          <cell r="E2047" t="str">
            <v>PIPE</v>
          </cell>
          <cell r="F2047">
            <v>1</v>
          </cell>
          <cell r="G2047" t="str">
            <v>CB100408000200</v>
          </cell>
          <cell r="H2047">
            <v>2</v>
          </cell>
          <cell r="I2047" t="str">
            <v>--</v>
          </cell>
          <cell r="J2047">
            <v>23</v>
          </cell>
          <cell r="K2047">
            <v>25.3</v>
          </cell>
        </row>
        <row r="2048">
          <cell r="A2048" t="str">
            <v>M2</v>
          </cell>
          <cell r="B2048" t="str">
            <v>A5C</v>
          </cell>
          <cell r="C2048" t="str">
            <v>P</v>
          </cell>
          <cell r="D2048" t="str">
            <v>23192</v>
          </cell>
          <cell r="E2048" t="str">
            <v>PIPE</v>
          </cell>
          <cell r="F2048">
            <v>1</v>
          </cell>
          <cell r="G2048" t="str">
            <v>CB100408000200</v>
          </cell>
          <cell r="H2048">
            <v>2</v>
          </cell>
          <cell r="I2048" t="str">
            <v>--</v>
          </cell>
          <cell r="J2048">
            <v>29</v>
          </cell>
          <cell r="K2048">
            <v>31.9</v>
          </cell>
        </row>
        <row r="2049">
          <cell r="A2049" t="str">
            <v>M2</v>
          </cell>
          <cell r="B2049" t="str">
            <v>A5C</v>
          </cell>
          <cell r="C2049" t="str">
            <v>P</v>
          </cell>
          <cell r="D2049" t="str">
            <v>23131</v>
          </cell>
          <cell r="E2049" t="str">
            <v>PIPE</v>
          </cell>
          <cell r="F2049">
            <v>1</v>
          </cell>
          <cell r="G2049" t="str">
            <v>CB100408000200</v>
          </cell>
          <cell r="H2049">
            <v>2</v>
          </cell>
          <cell r="I2049" t="str">
            <v>--</v>
          </cell>
          <cell r="J2049">
            <v>32.5</v>
          </cell>
          <cell r="K2049">
            <v>35.799999999999997</v>
          </cell>
        </row>
        <row r="2050">
          <cell r="A2050" t="str">
            <v>M2</v>
          </cell>
          <cell r="B2050" t="str">
            <v>A5C</v>
          </cell>
          <cell r="C2050" t="str">
            <v>P</v>
          </cell>
          <cell r="D2050" t="str">
            <v>23092</v>
          </cell>
          <cell r="E2050" t="str">
            <v>PIPE</v>
          </cell>
          <cell r="F2050">
            <v>1</v>
          </cell>
          <cell r="G2050" t="str">
            <v>CB100408000200</v>
          </cell>
          <cell r="H2050">
            <v>2</v>
          </cell>
          <cell r="I2050" t="str">
            <v>--</v>
          </cell>
          <cell r="J2050">
            <v>32.5</v>
          </cell>
          <cell r="K2050">
            <v>35.799999999999997</v>
          </cell>
        </row>
        <row r="2051">
          <cell r="A2051" t="str">
            <v>M2</v>
          </cell>
          <cell r="B2051" t="str">
            <v>A5C</v>
          </cell>
          <cell r="C2051" t="str">
            <v>P</v>
          </cell>
          <cell r="D2051" t="str">
            <v>23096</v>
          </cell>
          <cell r="E2051" t="str">
            <v>PIPE</v>
          </cell>
          <cell r="F2051">
            <v>1</v>
          </cell>
          <cell r="G2051" t="str">
            <v>CB100408000200</v>
          </cell>
          <cell r="H2051">
            <v>2</v>
          </cell>
          <cell r="I2051" t="str">
            <v>--</v>
          </cell>
          <cell r="J2051">
            <v>33.5</v>
          </cell>
          <cell r="K2051">
            <v>36.9</v>
          </cell>
        </row>
        <row r="2052">
          <cell r="A2052" t="str">
            <v>M2</v>
          </cell>
          <cell r="B2052" t="str">
            <v>A5C</v>
          </cell>
          <cell r="C2052" t="str">
            <v>P</v>
          </cell>
          <cell r="D2052" t="str">
            <v>23135</v>
          </cell>
          <cell r="E2052" t="str">
            <v>PIPE</v>
          </cell>
          <cell r="F2052">
            <v>1</v>
          </cell>
          <cell r="G2052" t="str">
            <v>CB100408000200</v>
          </cell>
          <cell r="H2052">
            <v>2</v>
          </cell>
          <cell r="I2052" t="str">
            <v>--</v>
          </cell>
          <cell r="J2052">
            <v>33.5</v>
          </cell>
          <cell r="K2052">
            <v>36.9</v>
          </cell>
        </row>
        <row r="2053">
          <cell r="A2053" t="str">
            <v>M2</v>
          </cell>
          <cell r="B2053" t="str">
            <v>A5C</v>
          </cell>
          <cell r="C2053" t="str">
            <v>P</v>
          </cell>
          <cell r="D2053" t="str">
            <v>23020</v>
          </cell>
          <cell r="E2053" t="str">
            <v>PIPE</v>
          </cell>
          <cell r="F2053">
            <v>1</v>
          </cell>
          <cell r="G2053" t="str">
            <v>CB100408000200</v>
          </cell>
          <cell r="H2053">
            <v>2</v>
          </cell>
          <cell r="I2053" t="str">
            <v>--</v>
          </cell>
          <cell r="J2053">
            <v>34.1</v>
          </cell>
          <cell r="K2053">
            <v>37.6</v>
          </cell>
        </row>
        <row r="2054">
          <cell r="A2054" t="str">
            <v>M2</v>
          </cell>
          <cell r="B2054" t="str">
            <v>A5C</v>
          </cell>
          <cell r="C2054" t="str">
            <v>P</v>
          </cell>
          <cell r="D2054" t="str">
            <v>HOLD1</v>
          </cell>
          <cell r="E2054" t="str">
            <v>PIPE</v>
          </cell>
          <cell r="F2054">
            <v>1</v>
          </cell>
          <cell r="G2054" t="str">
            <v>CB100408000200</v>
          </cell>
          <cell r="H2054">
            <v>2</v>
          </cell>
          <cell r="I2054" t="str">
            <v>--</v>
          </cell>
          <cell r="J2054">
            <v>51</v>
          </cell>
          <cell r="K2054">
            <v>56.1</v>
          </cell>
        </row>
        <row r="2055">
          <cell r="A2055" t="str">
            <v>M2</v>
          </cell>
          <cell r="B2055" t="str">
            <v>A5C</v>
          </cell>
          <cell r="C2055" t="str">
            <v>P</v>
          </cell>
          <cell r="D2055" t="str">
            <v>23054</v>
          </cell>
          <cell r="E2055" t="str">
            <v>PIPE</v>
          </cell>
          <cell r="F2055">
            <v>1</v>
          </cell>
          <cell r="G2055" t="str">
            <v>CB100408000200</v>
          </cell>
          <cell r="H2055">
            <v>2</v>
          </cell>
          <cell r="I2055" t="str">
            <v>--</v>
          </cell>
          <cell r="J2055">
            <v>54.1</v>
          </cell>
          <cell r="K2055">
            <v>59.6</v>
          </cell>
        </row>
        <row r="2056">
          <cell r="A2056" t="str">
            <v>M2</v>
          </cell>
          <cell r="B2056" t="str">
            <v>A5C</v>
          </cell>
          <cell r="C2056" t="str">
            <v>P</v>
          </cell>
          <cell r="D2056" t="str">
            <v>23174</v>
          </cell>
          <cell r="E2056" t="str">
            <v>PIPE</v>
          </cell>
          <cell r="F2056">
            <v>1</v>
          </cell>
          <cell r="G2056" t="str">
            <v>CB100404000300</v>
          </cell>
          <cell r="H2056">
            <v>3</v>
          </cell>
          <cell r="I2056" t="str">
            <v>--</v>
          </cell>
          <cell r="J2056">
            <v>1</v>
          </cell>
          <cell r="K2056">
            <v>1.1000000000000001</v>
          </cell>
        </row>
        <row r="2057">
          <cell r="A2057" t="str">
            <v>M2</v>
          </cell>
          <cell r="B2057" t="str">
            <v>A5C</v>
          </cell>
          <cell r="C2057" t="str">
            <v>P</v>
          </cell>
          <cell r="D2057" t="str">
            <v>23024</v>
          </cell>
          <cell r="E2057" t="str">
            <v>PIPE</v>
          </cell>
          <cell r="F2057">
            <v>1</v>
          </cell>
          <cell r="G2057" t="str">
            <v>CB100404000300</v>
          </cell>
          <cell r="H2057">
            <v>3</v>
          </cell>
          <cell r="I2057" t="str">
            <v>--</v>
          </cell>
          <cell r="J2057">
            <v>1</v>
          </cell>
          <cell r="K2057">
            <v>1.1000000000000001</v>
          </cell>
        </row>
        <row r="2058">
          <cell r="A2058" t="str">
            <v>M2</v>
          </cell>
          <cell r="B2058" t="str">
            <v>A5C</v>
          </cell>
          <cell r="C2058" t="str">
            <v>P</v>
          </cell>
          <cell r="D2058" t="str">
            <v>23094</v>
          </cell>
          <cell r="E2058" t="str">
            <v>PIPE</v>
          </cell>
          <cell r="F2058">
            <v>1</v>
          </cell>
          <cell r="G2058" t="str">
            <v>CB100404000300</v>
          </cell>
          <cell r="H2058">
            <v>3</v>
          </cell>
          <cell r="I2058" t="str">
            <v>--</v>
          </cell>
          <cell r="J2058">
            <v>2</v>
          </cell>
          <cell r="K2058">
            <v>2.2000000000000002</v>
          </cell>
        </row>
        <row r="2059">
          <cell r="A2059" t="str">
            <v>M2</v>
          </cell>
          <cell r="B2059" t="str">
            <v>A5C</v>
          </cell>
          <cell r="C2059" t="str">
            <v>P</v>
          </cell>
          <cell r="D2059" t="str">
            <v>23101</v>
          </cell>
          <cell r="E2059" t="str">
            <v>PIPE</v>
          </cell>
          <cell r="F2059">
            <v>1</v>
          </cell>
          <cell r="G2059" t="str">
            <v>CB100404000300</v>
          </cell>
          <cell r="H2059">
            <v>3</v>
          </cell>
          <cell r="I2059" t="str">
            <v>--</v>
          </cell>
          <cell r="J2059">
            <v>2</v>
          </cell>
          <cell r="K2059">
            <v>2.2000000000000002</v>
          </cell>
        </row>
        <row r="2060">
          <cell r="A2060" t="str">
            <v>M2</v>
          </cell>
          <cell r="B2060" t="str">
            <v>A5C</v>
          </cell>
          <cell r="C2060" t="str">
            <v>P</v>
          </cell>
          <cell r="D2060" t="str">
            <v>23105</v>
          </cell>
          <cell r="E2060" t="str">
            <v>PIPE</v>
          </cell>
          <cell r="F2060">
            <v>1</v>
          </cell>
          <cell r="G2060" t="str">
            <v>CB100404000300</v>
          </cell>
          <cell r="H2060">
            <v>3</v>
          </cell>
          <cell r="I2060" t="str">
            <v>--</v>
          </cell>
          <cell r="J2060">
            <v>2</v>
          </cell>
          <cell r="K2060">
            <v>2.2000000000000002</v>
          </cell>
        </row>
        <row r="2061">
          <cell r="A2061" t="str">
            <v>M2</v>
          </cell>
          <cell r="B2061" t="str">
            <v>A5C</v>
          </cell>
          <cell r="C2061" t="str">
            <v>P</v>
          </cell>
          <cell r="D2061" t="str">
            <v>23109</v>
          </cell>
          <cell r="E2061" t="str">
            <v>PIPE</v>
          </cell>
          <cell r="F2061">
            <v>1</v>
          </cell>
          <cell r="G2061" t="str">
            <v>CB100404000300</v>
          </cell>
          <cell r="H2061">
            <v>3</v>
          </cell>
          <cell r="I2061" t="str">
            <v>--</v>
          </cell>
          <cell r="J2061">
            <v>2</v>
          </cell>
          <cell r="K2061">
            <v>2.2000000000000002</v>
          </cell>
        </row>
        <row r="2062">
          <cell r="A2062" t="str">
            <v>M2</v>
          </cell>
          <cell r="B2062" t="str">
            <v>A5C</v>
          </cell>
          <cell r="C2062" t="str">
            <v>P</v>
          </cell>
          <cell r="D2062" t="str">
            <v>23141</v>
          </cell>
          <cell r="E2062" t="str">
            <v>PIPE</v>
          </cell>
          <cell r="F2062">
            <v>1</v>
          </cell>
          <cell r="G2062" t="str">
            <v>CB100404000300</v>
          </cell>
          <cell r="H2062">
            <v>3</v>
          </cell>
          <cell r="I2062" t="str">
            <v>--</v>
          </cell>
          <cell r="J2062">
            <v>2</v>
          </cell>
          <cell r="K2062">
            <v>2.2000000000000002</v>
          </cell>
        </row>
        <row r="2063">
          <cell r="A2063" t="str">
            <v>M2</v>
          </cell>
          <cell r="B2063" t="str">
            <v>A5C</v>
          </cell>
          <cell r="C2063" t="str">
            <v>P</v>
          </cell>
          <cell r="D2063" t="str">
            <v>23234</v>
          </cell>
          <cell r="E2063" t="str">
            <v>PIPE</v>
          </cell>
          <cell r="F2063">
            <v>1</v>
          </cell>
          <cell r="G2063" t="str">
            <v>CB100404000300</v>
          </cell>
          <cell r="H2063">
            <v>3</v>
          </cell>
          <cell r="I2063" t="str">
            <v>--</v>
          </cell>
          <cell r="J2063">
            <v>2</v>
          </cell>
          <cell r="K2063">
            <v>2.2000000000000002</v>
          </cell>
        </row>
        <row r="2064">
          <cell r="A2064" t="str">
            <v>M2</v>
          </cell>
          <cell r="B2064" t="str">
            <v>A5C</v>
          </cell>
          <cell r="C2064" t="str">
            <v>P</v>
          </cell>
          <cell r="D2064" t="str">
            <v>23113</v>
          </cell>
          <cell r="E2064" t="str">
            <v>PIPE</v>
          </cell>
          <cell r="F2064">
            <v>1</v>
          </cell>
          <cell r="G2064" t="str">
            <v>CB100404000300</v>
          </cell>
          <cell r="H2064">
            <v>3</v>
          </cell>
          <cell r="I2064" t="str">
            <v>--</v>
          </cell>
          <cell r="J2064">
            <v>2</v>
          </cell>
          <cell r="K2064">
            <v>2.2000000000000002</v>
          </cell>
        </row>
        <row r="2065">
          <cell r="A2065" t="str">
            <v>M2</v>
          </cell>
          <cell r="B2065" t="str">
            <v>A5C</v>
          </cell>
          <cell r="C2065" t="str">
            <v>P</v>
          </cell>
          <cell r="D2065" t="str">
            <v>23133</v>
          </cell>
          <cell r="E2065" t="str">
            <v>PIPE</v>
          </cell>
          <cell r="F2065">
            <v>1</v>
          </cell>
          <cell r="G2065" t="str">
            <v>CB100404000300</v>
          </cell>
          <cell r="H2065">
            <v>3</v>
          </cell>
          <cell r="I2065" t="str">
            <v>--</v>
          </cell>
          <cell r="J2065">
            <v>2</v>
          </cell>
          <cell r="K2065">
            <v>2.2000000000000002</v>
          </cell>
        </row>
        <row r="2066">
          <cell r="A2066" t="str">
            <v>M2</v>
          </cell>
          <cell r="B2066" t="str">
            <v>A5C</v>
          </cell>
          <cell r="C2066" t="str">
            <v>P</v>
          </cell>
          <cell r="D2066" t="str">
            <v>23145</v>
          </cell>
          <cell r="E2066" t="str">
            <v>PIPE</v>
          </cell>
          <cell r="F2066">
            <v>1</v>
          </cell>
          <cell r="G2066" t="str">
            <v>CB100404000300</v>
          </cell>
          <cell r="H2066">
            <v>3</v>
          </cell>
          <cell r="I2066" t="str">
            <v>--</v>
          </cell>
          <cell r="J2066">
            <v>2</v>
          </cell>
          <cell r="K2066">
            <v>2.2000000000000002</v>
          </cell>
        </row>
        <row r="2067">
          <cell r="A2067" t="str">
            <v>M2</v>
          </cell>
          <cell r="B2067" t="str">
            <v>A5C</v>
          </cell>
          <cell r="C2067" t="str">
            <v>P</v>
          </cell>
          <cell r="D2067" t="str">
            <v>23238</v>
          </cell>
          <cell r="E2067" t="str">
            <v>PIPE</v>
          </cell>
          <cell r="F2067">
            <v>1</v>
          </cell>
          <cell r="G2067" t="str">
            <v>CB100404000300</v>
          </cell>
          <cell r="H2067">
            <v>3</v>
          </cell>
          <cell r="I2067" t="str">
            <v>--</v>
          </cell>
          <cell r="J2067">
            <v>2</v>
          </cell>
          <cell r="K2067">
            <v>2.2000000000000002</v>
          </cell>
        </row>
        <row r="2068">
          <cell r="A2068" t="str">
            <v>M2</v>
          </cell>
          <cell r="B2068" t="str">
            <v>A5C</v>
          </cell>
          <cell r="C2068" t="str">
            <v>P</v>
          </cell>
          <cell r="D2068" t="str">
            <v>23071</v>
          </cell>
          <cell r="E2068" t="str">
            <v>PIPE</v>
          </cell>
          <cell r="F2068">
            <v>1</v>
          </cell>
          <cell r="G2068" t="str">
            <v>CB100404000300</v>
          </cell>
          <cell r="H2068">
            <v>3</v>
          </cell>
          <cell r="I2068" t="str">
            <v>--</v>
          </cell>
          <cell r="J2068">
            <v>2</v>
          </cell>
          <cell r="K2068">
            <v>2.2000000000000002</v>
          </cell>
        </row>
        <row r="2069">
          <cell r="A2069" t="str">
            <v>M2</v>
          </cell>
          <cell r="B2069" t="str">
            <v>A5C</v>
          </cell>
          <cell r="C2069" t="str">
            <v>TRIM</v>
          </cell>
          <cell r="D2069" t="str">
            <v>V-2304</v>
          </cell>
          <cell r="E2069" t="str">
            <v>PIPE</v>
          </cell>
          <cell r="F2069">
            <v>1</v>
          </cell>
          <cell r="G2069" t="str">
            <v>CB100404000300</v>
          </cell>
          <cell r="H2069">
            <v>3</v>
          </cell>
          <cell r="I2069" t="str">
            <v>--</v>
          </cell>
          <cell r="J2069">
            <v>2</v>
          </cell>
          <cell r="K2069">
            <v>2.2000000000000002</v>
          </cell>
        </row>
        <row r="2070">
          <cell r="A2070" t="str">
            <v>M2</v>
          </cell>
          <cell r="B2070" t="str">
            <v>A5C</v>
          </cell>
          <cell r="C2070" t="str">
            <v>TRIM</v>
          </cell>
          <cell r="D2070" t="str">
            <v>V-2306</v>
          </cell>
          <cell r="E2070" t="str">
            <v>PIPE</v>
          </cell>
          <cell r="F2070">
            <v>1</v>
          </cell>
          <cell r="G2070" t="str">
            <v>CB100404000300</v>
          </cell>
          <cell r="H2070">
            <v>3</v>
          </cell>
          <cell r="I2070" t="str">
            <v>--</v>
          </cell>
          <cell r="J2070">
            <v>2</v>
          </cell>
          <cell r="K2070">
            <v>2.2000000000000002</v>
          </cell>
        </row>
        <row r="2071">
          <cell r="A2071" t="str">
            <v>M2</v>
          </cell>
          <cell r="B2071" t="str">
            <v>A5C</v>
          </cell>
          <cell r="C2071" t="str">
            <v>TRIM</v>
          </cell>
          <cell r="D2071" t="str">
            <v>V-2308</v>
          </cell>
          <cell r="E2071" t="str">
            <v>PIPE</v>
          </cell>
          <cell r="F2071">
            <v>1</v>
          </cell>
          <cell r="G2071" t="str">
            <v>CB100404000300</v>
          </cell>
          <cell r="H2071">
            <v>3</v>
          </cell>
          <cell r="I2071" t="str">
            <v>--</v>
          </cell>
          <cell r="J2071">
            <v>2</v>
          </cell>
          <cell r="K2071">
            <v>2.2000000000000002</v>
          </cell>
        </row>
        <row r="2072">
          <cell r="A2072" t="str">
            <v>M2</v>
          </cell>
          <cell r="B2072" t="str">
            <v>A5C</v>
          </cell>
          <cell r="C2072" t="str">
            <v>TRIM</v>
          </cell>
          <cell r="D2072" t="str">
            <v>V-2310</v>
          </cell>
          <cell r="E2072" t="str">
            <v>PIPE</v>
          </cell>
          <cell r="F2072">
            <v>1</v>
          </cell>
          <cell r="G2072" t="str">
            <v>CB100404000300</v>
          </cell>
          <cell r="H2072">
            <v>3</v>
          </cell>
          <cell r="I2072" t="str">
            <v>--</v>
          </cell>
          <cell r="J2072">
            <v>2</v>
          </cell>
          <cell r="K2072">
            <v>2.2000000000000002</v>
          </cell>
        </row>
        <row r="2073">
          <cell r="A2073" t="str">
            <v>M2</v>
          </cell>
          <cell r="B2073" t="str">
            <v>A5C</v>
          </cell>
          <cell r="C2073" t="str">
            <v>TRIM</v>
          </cell>
          <cell r="D2073" t="str">
            <v>V-2313</v>
          </cell>
          <cell r="E2073" t="str">
            <v>PIPE</v>
          </cell>
          <cell r="F2073">
            <v>1</v>
          </cell>
          <cell r="G2073" t="str">
            <v>CB100404000300</v>
          </cell>
          <cell r="H2073">
            <v>3</v>
          </cell>
          <cell r="I2073" t="str">
            <v>--</v>
          </cell>
          <cell r="J2073">
            <v>2</v>
          </cell>
          <cell r="K2073">
            <v>2.2000000000000002</v>
          </cell>
        </row>
        <row r="2074">
          <cell r="A2074" t="str">
            <v>M2</v>
          </cell>
          <cell r="B2074" t="str">
            <v>A5C</v>
          </cell>
          <cell r="C2074" t="str">
            <v>TRIM</v>
          </cell>
          <cell r="D2074" t="str">
            <v>C-2306</v>
          </cell>
          <cell r="E2074" t="str">
            <v>PIPE</v>
          </cell>
          <cell r="F2074">
            <v>1</v>
          </cell>
          <cell r="G2074" t="str">
            <v>CB100404000300</v>
          </cell>
          <cell r="H2074">
            <v>3</v>
          </cell>
          <cell r="I2074" t="str">
            <v>--</v>
          </cell>
          <cell r="J2074">
            <v>2</v>
          </cell>
          <cell r="K2074">
            <v>2.2000000000000002</v>
          </cell>
        </row>
        <row r="2075">
          <cell r="A2075" t="str">
            <v>M2</v>
          </cell>
          <cell r="B2075" t="str">
            <v>A5C</v>
          </cell>
          <cell r="C2075" t="str">
            <v>TRIM</v>
          </cell>
          <cell r="D2075" t="str">
            <v>V-2302</v>
          </cell>
          <cell r="E2075" t="str">
            <v>PIPE</v>
          </cell>
          <cell r="F2075">
            <v>1</v>
          </cell>
          <cell r="G2075" t="str">
            <v>CB100404000300</v>
          </cell>
          <cell r="H2075">
            <v>3</v>
          </cell>
          <cell r="I2075" t="str">
            <v>--</v>
          </cell>
          <cell r="J2075">
            <v>2</v>
          </cell>
          <cell r="K2075">
            <v>2.2000000000000002</v>
          </cell>
        </row>
        <row r="2076">
          <cell r="A2076" t="str">
            <v>M2</v>
          </cell>
          <cell r="B2076" t="str">
            <v>A5C</v>
          </cell>
          <cell r="C2076" t="str">
            <v>P</v>
          </cell>
          <cell r="D2076" t="str">
            <v>24026</v>
          </cell>
          <cell r="E2076" t="str">
            <v>PIPE</v>
          </cell>
          <cell r="F2076">
            <v>1</v>
          </cell>
          <cell r="G2076" t="str">
            <v>CB100404000300</v>
          </cell>
          <cell r="H2076">
            <v>3</v>
          </cell>
          <cell r="I2076" t="str">
            <v>--</v>
          </cell>
          <cell r="J2076">
            <v>2</v>
          </cell>
          <cell r="K2076">
            <v>2.2000000000000002</v>
          </cell>
        </row>
        <row r="2077">
          <cell r="A2077" t="str">
            <v>M2</v>
          </cell>
          <cell r="B2077" t="str">
            <v>A5C</v>
          </cell>
          <cell r="C2077" t="str">
            <v>P</v>
          </cell>
          <cell r="D2077" t="str">
            <v>24002</v>
          </cell>
          <cell r="E2077" t="str">
            <v>PIPE</v>
          </cell>
          <cell r="F2077">
            <v>1</v>
          </cell>
          <cell r="G2077" t="str">
            <v>CB100404000300</v>
          </cell>
          <cell r="H2077">
            <v>3</v>
          </cell>
          <cell r="I2077" t="str">
            <v>--</v>
          </cell>
          <cell r="J2077">
            <v>2</v>
          </cell>
          <cell r="K2077">
            <v>2.2000000000000002</v>
          </cell>
        </row>
        <row r="2078">
          <cell r="A2078" t="str">
            <v>M2</v>
          </cell>
          <cell r="B2078" t="str">
            <v>A5C</v>
          </cell>
          <cell r="C2078" t="str">
            <v>P</v>
          </cell>
          <cell r="D2078" t="str">
            <v>23029</v>
          </cell>
          <cell r="E2078" t="str">
            <v>PIPE</v>
          </cell>
          <cell r="F2078">
            <v>1</v>
          </cell>
          <cell r="G2078" t="str">
            <v>CB100404000300</v>
          </cell>
          <cell r="H2078">
            <v>3</v>
          </cell>
          <cell r="I2078" t="str">
            <v>--</v>
          </cell>
          <cell r="J2078">
            <v>2.2999999999999998</v>
          </cell>
          <cell r="K2078">
            <v>2.6</v>
          </cell>
        </row>
        <row r="2079">
          <cell r="A2079" t="str">
            <v>M2</v>
          </cell>
          <cell r="B2079" t="str">
            <v>A5C</v>
          </cell>
          <cell r="C2079" t="str">
            <v>TRIM</v>
          </cell>
          <cell r="D2079" t="str">
            <v>V-2327</v>
          </cell>
          <cell r="E2079" t="str">
            <v>PIPE</v>
          </cell>
          <cell r="F2079">
            <v>1</v>
          </cell>
          <cell r="G2079" t="str">
            <v>CB100404000300</v>
          </cell>
          <cell r="H2079">
            <v>3</v>
          </cell>
          <cell r="I2079" t="str">
            <v>--</v>
          </cell>
          <cell r="J2079">
            <v>2.5</v>
          </cell>
          <cell r="K2079">
            <v>2.8</v>
          </cell>
        </row>
        <row r="2080">
          <cell r="A2080" t="str">
            <v>M2</v>
          </cell>
          <cell r="B2080" t="str">
            <v>A5C</v>
          </cell>
          <cell r="C2080" t="str">
            <v>TRIM</v>
          </cell>
          <cell r="D2080" t="str">
            <v>V-2351</v>
          </cell>
          <cell r="E2080" t="str">
            <v>PIPE</v>
          </cell>
          <cell r="F2080">
            <v>1</v>
          </cell>
          <cell r="G2080" t="str">
            <v>CB100404000300</v>
          </cell>
          <cell r="H2080">
            <v>3</v>
          </cell>
          <cell r="I2080" t="str">
            <v>--</v>
          </cell>
          <cell r="J2080">
            <v>2.5</v>
          </cell>
          <cell r="K2080">
            <v>2.8</v>
          </cell>
        </row>
        <row r="2081">
          <cell r="A2081" t="str">
            <v>M2</v>
          </cell>
          <cell r="B2081" t="str">
            <v>A5C</v>
          </cell>
          <cell r="C2081" t="str">
            <v>TRIM</v>
          </cell>
          <cell r="D2081" t="str">
            <v>V-2301</v>
          </cell>
          <cell r="E2081" t="str">
            <v>PIPE</v>
          </cell>
          <cell r="F2081">
            <v>1</v>
          </cell>
          <cell r="G2081" t="str">
            <v>CB100404000300</v>
          </cell>
          <cell r="H2081">
            <v>3</v>
          </cell>
          <cell r="I2081" t="str">
            <v>--</v>
          </cell>
          <cell r="J2081">
            <v>2.5</v>
          </cell>
          <cell r="K2081">
            <v>2.8</v>
          </cell>
        </row>
        <row r="2082">
          <cell r="A2082" t="str">
            <v>M2</v>
          </cell>
          <cell r="B2082" t="str">
            <v>A5C</v>
          </cell>
          <cell r="C2082" t="str">
            <v>TRIM</v>
          </cell>
          <cell r="D2082" t="str">
            <v>V-2318</v>
          </cell>
          <cell r="E2082" t="str">
            <v>PIPE</v>
          </cell>
          <cell r="F2082">
            <v>1</v>
          </cell>
          <cell r="G2082" t="str">
            <v>CB100404000300</v>
          </cell>
          <cell r="H2082">
            <v>3</v>
          </cell>
          <cell r="I2082" t="str">
            <v>--</v>
          </cell>
          <cell r="J2082">
            <v>2.5</v>
          </cell>
          <cell r="K2082">
            <v>2.8</v>
          </cell>
        </row>
        <row r="2083">
          <cell r="A2083" t="str">
            <v>M2</v>
          </cell>
          <cell r="B2083" t="str">
            <v>A5C</v>
          </cell>
          <cell r="C2083" t="str">
            <v>TRIM</v>
          </cell>
          <cell r="D2083" t="str">
            <v>V-2319</v>
          </cell>
          <cell r="E2083" t="str">
            <v>PIPE</v>
          </cell>
          <cell r="F2083">
            <v>1</v>
          </cell>
          <cell r="G2083" t="str">
            <v>CB100404000300</v>
          </cell>
          <cell r="H2083">
            <v>3</v>
          </cell>
          <cell r="I2083" t="str">
            <v>--</v>
          </cell>
          <cell r="J2083">
            <v>2.5</v>
          </cell>
          <cell r="K2083">
            <v>2.8</v>
          </cell>
        </row>
        <row r="2084">
          <cell r="A2084" t="str">
            <v>M2</v>
          </cell>
          <cell r="B2084" t="str">
            <v>A5C</v>
          </cell>
          <cell r="C2084" t="str">
            <v>TRIM</v>
          </cell>
          <cell r="D2084" t="str">
            <v>V-2326</v>
          </cell>
          <cell r="E2084" t="str">
            <v>PIPE</v>
          </cell>
          <cell r="F2084">
            <v>1</v>
          </cell>
          <cell r="G2084" t="str">
            <v>CB100404000300</v>
          </cell>
          <cell r="H2084">
            <v>3</v>
          </cell>
          <cell r="I2084" t="str">
            <v>--</v>
          </cell>
          <cell r="J2084">
            <v>2.5</v>
          </cell>
          <cell r="K2084">
            <v>2.8</v>
          </cell>
        </row>
        <row r="2085">
          <cell r="A2085" t="str">
            <v>M2</v>
          </cell>
          <cell r="B2085" t="str">
            <v>A5C</v>
          </cell>
          <cell r="C2085" t="str">
            <v>TRIM</v>
          </cell>
          <cell r="D2085" t="str">
            <v>V-2328</v>
          </cell>
          <cell r="E2085" t="str">
            <v>PIPE</v>
          </cell>
          <cell r="F2085">
            <v>1</v>
          </cell>
          <cell r="G2085" t="str">
            <v>CB100404000300</v>
          </cell>
          <cell r="H2085">
            <v>3</v>
          </cell>
          <cell r="I2085" t="str">
            <v>--</v>
          </cell>
          <cell r="J2085">
            <v>2.5</v>
          </cell>
          <cell r="K2085">
            <v>2.8</v>
          </cell>
        </row>
        <row r="2086">
          <cell r="A2086" t="str">
            <v>M2</v>
          </cell>
          <cell r="B2086" t="str">
            <v>A5C</v>
          </cell>
          <cell r="C2086" t="str">
            <v>TRIM</v>
          </cell>
          <cell r="D2086" t="str">
            <v>C-2303</v>
          </cell>
          <cell r="E2086" t="str">
            <v>PIPE</v>
          </cell>
          <cell r="F2086">
            <v>1</v>
          </cell>
          <cell r="G2086" t="str">
            <v>CB100404000300</v>
          </cell>
          <cell r="H2086">
            <v>3</v>
          </cell>
          <cell r="I2086" t="str">
            <v>--</v>
          </cell>
          <cell r="J2086">
            <v>2.5</v>
          </cell>
          <cell r="K2086">
            <v>2.8</v>
          </cell>
        </row>
        <row r="2087">
          <cell r="A2087" t="str">
            <v>M2</v>
          </cell>
          <cell r="B2087" t="str">
            <v>A5C</v>
          </cell>
          <cell r="C2087" t="str">
            <v>TRIM</v>
          </cell>
          <cell r="D2087" t="str">
            <v>C-2304</v>
          </cell>
          <cell r="E2087" t="str">
            <v>PIPE</v>
          </cell>
          <cell r="F2087">
            <v>1</v>
          </cell>
          <cell r="G2087" t="str">
            <v>CB100404000300</v>
          </cell>
          <cell r="H2087">
            <v>3</v>
          </cell>
          <cell r="I2087" t="str">
            <v>--</v>
          </cell>
          <cell r="J2087">
            <v>2.5</v>
          </cell>
          <cell r="K2087">
            <v>2.8</v>
          </cell>
        </row>
        <row r="2088">
          <cell r="A2088" t="str">
            <v>M2</v>
          </cell>
          <cell r="B2088" t="str">
            <v>A5C</v>
          </cell>
          <cell r="C2088" t="str">
            <v>TRIM</v>
          </cell>
          <cell r="D2088" t="str">
            <v>C-2305</v>
          </cell>
          <cell r="E2088" t="str">
            <v>PIPE</v>
          </cell>
          <cell r="F2088">
            <v>1</v>
          </cell>
          <cell r="G2088" t="str">
            <v>CB100404000300</v>
          </cell>
          <cell r="H2088">
            <v>3</v>
          </cell>
          <cell r="I2088" t="str">
            <v>--</v>
          </cell>
          <cell r="J2088">
            <v>2.5</v>
          </cell>
          <cell r="K2088">
            <v>2.8</v>
          </cell>
        </row>
        <row r="2089">
          <cell r="A2089" t="str">
            <v>M2</v>
          </cell>
          <cell r="B2089" t="str">
            <v>A5C</v>
          </cell>
          <cell r="C2089" t="str">
            <v>TRIM</v>
          </cell>
          <cell r="D2089" t="str">
            <v>C-2302</v>
          </cell>
          <cell r="E2089" t="str">
            <v>PIPE</v>
          </cell>
          <cell r="F2089">
            <v>1</v>
          </cell>
          <cell r="G2089" t="str">
            <v>CB100404000300</v>
          </cell>
          <cell r="H2089">
            <v>3</v>
          </cell>
          <cell r="I2089" t="str">
            <v>--</v>
          </cell>
          <cell r="J2089">
            <v>2.5</v>
          </cell>
          <cell r="K2089">
            <v>2.8</v>
          </cell>
        </row>
        <row r="2090">
          <cell r="A2090" t="str">
            <v>M2</v>
          </cell>
          <cell r="B2090" t="str">
            <v>A5C</v>
          </cell>
          <cell r="C2090" t="str">
            <v>TRIM</v>
          </cell>
          <cell r="D2090" t="str">
            <v>C-2301</v>
          </cell>
          <cell r="E2090" t="str">
            <v>PIPE</v>
          </cell>
          <cell r="F2090">
            <v>1</v>
          </cell>
          <cell r="G2090" t="str">
            <v>CB100404000300</v>
          </cell>
          <cell r="H2090">
            <v>3</v>
          </cell>
          <cell r="I2090" t="str">
            <v>--</v>
          </cell>
          <cell r="J2090">
            <v>2.5</v>
          </cell>
          <cell r="K2090">
            <v>2.8</v>
          </cell>
        </row>
        <row r="2091">
          <cell r="A2091" t="str">
            <v>M2</v>
          </cell>
          <cell r="B2091" t="str">
            <v>A5C</v>
          </cell>
          <cell r="C2091" t="str">
            <v>TRIM</v>
          </cell>
          <cell r="D2091" t="str">
            <v>V-2332</v>
          </cell>
          <cell r="E2091" t="str">
            <v>PIPE</v>
          </cell>
          <cell r="F2091">
            <v>1</v>
          </cell>
          <cell r="G2091" t="str">
            <v>CB100404000300</v>
          </cell>
          <cell r="H2091">
            <v>3</v>
          </cell>
          <cell r="I2091" t="str">
            <v>--</v>
          </cell>
          <cell r="J2091">
            <v>2.8</v>
          </cell>
          <cell r="K2091">
            <v>3.1</v>
          </cell>
        </row>
        <row r="2092">
          <cell r="A2092" t="str">
            <v>M2</v>
          </cell>
          <cell r="B2092" t="str">
            <v>A5C</v>
          </cell>
          <cell r="C2092" t="str">
            <v>P</v>
          </cell>
          <cell r="D2092" t="str">
            <v>23106</v>
          </cell>
          <cell r="E2092" t="str">
            <v>PIPE</v>
          </cell>
          <cell r="F2092">
            <v>1</v>
          </cell>
          <cell r="G2092" t="str">
            <v>CB100404000300</v>
          </cell>
          <cell r="H2092">
            <v>3</v>
          </cell>
          <cell r="I2092" t="str">
            <v>--</v>
          </cell>
          <cell r="J2092">
            <v>3</v>
          </cell>
          <cell r="K2092">
            <v>3.3</v>
          </cell>
        </row>
        <row r="2093">
          <cell r="A2093" t="str">
            <v>M2</v>
          </cell>
          <cell r="B2093" t="str">
            <v>A5C</v>
          </cell>
          <cell r="C2093" t="str">
            <v>P</v>
          </cell>
          <cell r="D2093" t="str">
            <v>23240</v>
          </cell>
          <cell r="E2093" t="str">
            <v>PIPE</v>
          </cell>
          <cell r="F2093">
            <v>1</v>
          </cell>
          <cell r="G2093" t="str">
            <v>CB100404000300</v>
          </cell>
          <cell r="H2093">
            <v>3</v>
          </cell>
          <cell r="I2093" t="str">
            <v>--</v>
          </cell>
          <cell r="J2093">
            <v>3</v>
          </cell>
          <cell r="K2093">
            <v>3.3</v>
          </cell>
        </row>
        <row r="2094">
          <cell r="A2094" t="str">
            <v>M2</v>
          </cell>
          <cell r="B2094" t="str">
            <v>A5C</v>
          </cell>
          <cell r="C2094" t="str">
            <v>P</v>
          </cell>
          <cell r="D2094" t="str">
            <v>23236</v>
          </cell>
          <cell r="E2094" t="str">
            <v>PIPE</v>
          </cell>
          <cell r="F2094">
            <v>1</v>
          </cell>
          <cell r="G2094" t="str">
            <v>CB100404000300</v>
          </cell>
          <cell r="H2094">
            <v>3</v>
          </cell>
          <cell r="I2094" t="str">
            <v>--</v>
          </cell>
          <cell r="J2094">
            <v>3</v>
          </cell>
          <cell r="K2094">
            <v>3.3</v>
          </cell>
        </row>
        <row r="2095">
          <cell r="A2095" t="str">
            <v>M2</v>
          </cell>
          <cell r="B2095" t="str">
            <v>A5C</v>
          </cell>
          <cell r="C2095" t="str">
            <v>TRIM</v>
          </cell>
          <cell r="D2095" t="str">
            <v>V-2316</v>
          </cell>
          <cell r="E2095" t="str">
            <v>PIPE</v>
          </cell>
          <cell r="F2095">
            <v>1</v>
          </cell>
          <cell r="G2095" t="str">
            <v>CB100404000300</v>
          </cell>
          <cell r="H2095">
            <v>3</v>
          </cell>
          <cell r="I2095" t="str">
            <v>--</v>
          </cell>
          <cell r="J2095">
            <v>3</v>
          </cell>
          <cell r="K2095">
            <v>3.3</v>
          </cell>
        </row>
        <row r="2096">
          <cell r="A2096" t="str">
            <v>M2</v>
          </cell>
          <cell r="B2096" t="str">
            <v>A5C</v>
          </cell>
          <cell r="C2096" t="str">
            <v>TRIM</v>
          </cell>
          <cell r="D2096" t="str">
            <v>V-2325</v>
          </cell>
          <cell r="E2096" t="str">
            <v>PIPE</v>
          </cell>
          <cell r="F2096">
            <v>1</v>
          </cell>
          <cell r="G2096" t="str">
            <v>CB100404000300</v>
          </cell>
          <cell r="H2096">
            <v>3</v>
          </cell>
          <cell r="I2096" t="str">
            <v>--</v>
          </cell>
          <cell r="J2096">
            <v>3</v>
          </cell>
          <cell r="K2096">
            <v>3.3</v>
          </cell>
        </row>
        <row r="2097">
          <cell r="A2097" t="str">
            <v>M2</v>
          </cell>
          <cell r="B2097" t="str">
            <v>A5C</v>
          </cell>
          <cell r="C2097" t="str">
            <v>TRIM</v>
          </cell>
          <cell r="D2097" t="str">
            <v>V-2403</v>
          </cell>
          <cell r="E2097" t="str">
            <v>PIPE</v>
          </cell>
          <cell r="F2097">
            <v>1</v>
          </cell>
          <cell r="G2097" t="str">
            <v>CB100404000300</v>
          </cell>
          <cell r="H2097">
            <v>3</v>
          </cell>
          <cell r="I2097" t="str">
            <v>--</v>
          </cell>
          <cell r="J2097">
            <v>3</v>
          </cell>
          <cell r="K2097">
            <v>3.3</v>
          </cell>
        </row>
        <row r="2098">
          <cell r="A2098" t="str">
            <v>M2</v>
          </cell>
          <cell r="B2098" t="str">
            <v>A5C</v>
          </cell>
          <cell r="C2098" t="str">
            <v>TRIM</v>
          </cell>
          <cell r="D2098" t="str">
            <v>R-2401</v>
          </cell>
          <cell r="E2098" t="str">
            <v>PIPE</v>
          </cell>
          <cell r="F2098">
            <v>1</v>
          </cell>
          <cell r="G2098" t="str">
            <v>CB100404000300</v>
          </cell>
          <cell r="H2098">
            <v>3</v>
          </cell>
          <cell r="I2098" t="str">
            <v>--</v>
          </cell>
          <cell r="J2098">
            <v>3</v>
          </cell>
          <cell r="K2098">
            <v>3.3</v>
          </cell>
        </row>
        <row r="2099">
          <cell r="A2099" t="str">
            <v>M2</v>
          </cell>
          <cell r="B2099" t="str">
            <v>A5C</v>
          </cell>
          <cell r="C2099" t="str">
            <v>TRIM</v>
          </cell>
          <cell r="D2099" t="str">
            <v>V-2401</v>
          </cell>
          <cell r="E2099" t="str">
            <v>PIPE</v>
          </cell>
          <cell r="F2099">
            <v>1</v>
          </cell>
          <cell r="G2099" t="str">
            <v>CB100404000300</v>
          </cell>
          <cell r="H2099">
            <v>3</v>
          </cell>
          <cell r="I2099" t="str">
            <v>--</v>
          </cell>
          <cell r="J2099">
            <v>3</v>
          </cell>
          <cell r="K2099">
            <v>3.3</v>
          </cell>
        </row>
        <row r="2100">
          <cell r="A2100" t="str">
            <v>M2</v>
          </cell>
          <cell r="B2100" t="str">
            <v>A5C</v>
          </cell>
          <cell r="C2100" t="str">
            <v>TRIM</v>
          </cell>
          <cell r="D2100" t="str">
            <v>V-2404</v>
          </cell>
          <cell r="E2100" t="str">
            <v>PIPE</v>
          </cell>
          <cell r="F2100">
            <v>1</v>
          </cell>
          <cell r="G2100" t="str">
            <v>CB100404000300</v>
          </cell>
          <cell r="H2100">
            <v>3</v>
          </cell>
          <cell r="I2100" t="str">
            <v>--</v>
          </cell>
          <cell r="J2100">
            <v>3</v>
          </cell>
          <cell r="K2100">
            <v>3.3</v>
          </cell>
        </row>
        <row r="2101">
          <cell r="A2101" t="str">
            <v>M2</v>
          </cell>
          <cell r="B2101" t="str">
            <v>A5C</v>
          </cell>
          <cell r="C2101" t="str">
            <v>P</v>
          </cell>
          <cell r="D2101" t="str">
            <v>23047</v>
          </cell>
          <cell r="E2101" t="str">
            <v>PIPE</v>
          </cell>
          <cell r="F2101">
            <v>1</v>
          </cell>
          <cell r="G2101" t="str">
            <v>CB100404000300</v>
          </cell>
          <cell r="H2101">
            <v>3</v>
          </cell>
          <cell r="I2101" t="str">
            <v>--</v>
          </cell>
          <cell r="J2101">
            <v>3.3</v>
          </cell>
          <cell r="K2101">
            <v>3.7</v>
          </cell>
        </row>
        <row r="2102">
          <cell r="A2102" t="str">
            <v>M2</v>
          </cell>
          <cell r="B2102" t="str">
            <v>A5C</v>
          </cell>
          <cell r="C2102" t="str">
            <v>TRIM</v>
          </cell>
          <cell r="D2102" t="str">
            <v>V-2323</v>
          </cell>
          <cell r="E2102" t="str">
            <v>PIPE</v>
          </cell>
          <cell r="F2102">
            <v>1</v>
          </cell>
          <cell r="G2102" t="str">
            <v>CB100404000300</v>
          </cell>
          <cell r="H2102">
            <v>3</v>
          </cell>
          <cell r="I2102" t="str">
            <v>--</v>
          </cell>
          <cell r="J2102">
            <v>3.5</v>
          </cell>
          <cell r="K2102">
            <v>3.9</v>
          </cell>
        </row>
        <row r="2103">
          <cell r="A2103" t="str">
            <v>M2</v>
          </cell>
          <cell r="B2103" t="str">
            <v>A5C</v>
          </cell>
          <cell r="C2103" t="str">
            <v>TRIM</v>
          </cell>
          <cell r="D2103" t="str">
            <v>V-2329</v>
          </cell>
          <cell r="E2103" t="str">
            <v>PIPE</v>
          </cell>
          <cell r="F2103">
            <v>1</v>
          </cell>
          <cell r="G2103" t="str">
            <v>CB100404000300</v>
          </cell>
          <cell r="H2103">
            <v>3</v>
          </cell>
          <cell r="I2103" t="str">
            <v>--</v>
          </cell>
          <cell r="J2103">
            <v>3.5</v>
          </cell>
          <cell r="K2103">
            <v>3.9</v>
          </cell>
        </row>
        <row r="2104">
          <cell r="A2104" t="str">
            <v>M2</v>
          </cell>
          <cell r="B2104" t="str">
            <v>A5C</v>
          </cell>
          <cell r="C2104" t="str">
            <v>TRIM</v>
          </cell>
          <cell r="D2104" t="str">
            <v>V-2331</v>
          </cell>
          <cell r="E2104" t="str">
            <v>PIPE</v>
          </cell>
          <cell r="F2104">
            <v>1</v>
          </cell>
          <cell r="G2104" t="str">
            <v>CB100404000300</v>
          </cell>
          <cell r="H2104">
            <v>3</v>
          </cell>
          <cell r="I2104" t="str">
            <v>--</v>
          </cell>
          <cell r="J2104">
            <v>3.5</v>
          </cell>
          <cell r="K2104">
            <v>3.9</v>
          </cell>
        </row>
        <row r="2105">
          <cell r="A2105" t="str">
            <v>M2</v>
          </cell>
          <cell r="B2105" t="str">
            <v>A5C</v>
          </cell>
          <cell r="C2105" t="str">
            <v>TRIM</v>
          </cell>
          <cell r="D2105" t="str">
            <v>V-2320</v>
          </cell>
          <cell r="E2105" t="str">
            <v>PIPE</v>
          </cell>
          <cell r="F2105">
            <v>1</v>
          </cell>
          <cell r="G2105" t="str">
            <v>CB100404000300</v>
          </cell>
          <cell r="H2105">
            <v>3</v>
          </cell>
          <cell r="I2105" t="str">
            <v>--</v>
          </cell>
          <cell r="J2105">
            <v>3.5</v>
          </cell>
          <cell r="K2105">
            <v>3.9</v>
          </cell>
        </row>
        <row r="2106">
          <cell r="A2106" t="str">
            <v>M2</v>
          </cell>
          <cell r="B2106" t="str">
            <v>A5C</v>
          </cell>
          <cell r="C2106" t="str">
            <v>TRIM</v>
          </cell>
          <cell r="D2106" t="str">
            <v>V-2330</v>
          </cell>
          <cell r="E2106" t="str">
            <v>PIPE</v>
          </cell>
          <cell r="F2106">
            <v>1</v>
          </cell>
          <cell r="G2106" t="str">
            <v>CB100404000300</v>
          </cell>
          <cell r="H2106">
            <v>3</v>
          </cell>
          <cell r="I2106" t="str">
            <v>--</v>
          </cell>
          <cell r="J2106">
            <v>3.5</v>
          </cell>
          <cell r="K2106">
            <v>3.9</v>
          </cell>
        </row>
        <row r="2107">
          <cell r="A2107" t="str">
            <v>M2</v>
          </cell>
          <cell r="B2107" t="str">
            <v>A5C</v>
          </cell>
          <cell r="C2107" t="str">
            <v>TRIM</v>
          </cell>
          <cell r="D2107" t="str">
            <v>V-2333</v>
          </cell>
          <cell r="E2107" t="str">
            <v>PIPE</v>
          </cell>
          <cell r="F2107">
            <v>1</v>
          </cell>
          <cell r="G2107" t="str">
            <v>CB100404000300</v>
          </cell>
          <cell r="H2107">
            <v>3</v>
          </cell>
          <cell r="I2107" t="str">
            <v>--</v>
          </cell>
          <cell r="J2107">
            <v>3.5</v>
          </cell>
          <cell r="K2107">
            <v>3.9</v>
          </cell>
        </row>
        <row r="2108">
          <cell r="A2108" t="str">
            <v>M2</v>
          </cell>
          <cell r="B2108" t="str">
            <v>A5C</v>
          </cell>
          <cell r="C2108" t="str">
            <v>TRIM</v>
          </cell>
          <cell r="D2108" t="str">
            <v>V-2317</v>
          </cell>
          <cell r="E2108" t="str">
            <v>PIPE</v>
          </cell>
          <cell r="F2108">
            <v>1</v>
          </cell>
          <cell r="G2108" t="str">
            <v>CB100404000300</v>
          </cell>
          <cell r="H2108">
            <v>3</v>
          </cell>
          <cell r="I2108" t="str">
            <v>--</v>
          </cell>
          <cell r="J2108">
            <v>4</v>
          </cell>
          <cell r="K2108">
            <v>4.4000000000000004</v>
          </cell>
        </row>
        <row r="2109">
          <cell r="A2109" t="str">
            <v>M2</v>
          </cell>
          <cell r="B2109" t="str">
            <v>A5C</v>
          </cell>
          <cell r="C2109" t="str">
            <v>P</v>
          </cell>
          <cell r="D2109" t="str">
            <v>23050</v>
          </cell>
          <cell r="E2109" t="str">
            <v>PIPE</v>
          </cell>
          <cell r="F2109">
            <v>1</v>
          </cell>
          <cell r="G2109" t="str">
            <v>CB100404000300</v>
          </cell>
          <cell r="H2109">
            <v>3</v>
          </cell>
          <cell r="I2109" t="str">
            <v>--</v>
          </cell>
          <cell r="J2109">
            <v>4</v>
          </cell>
          <cell r="K2109">
            <v>4.4000000000000004</v>
          </cell>
        </row>
        <row r="2110">
          <cell r="A2110" t="str">
            <v>M2</v>
          </cell>
          <cell r="B2110" t="str">
            <v>A5C</v>
          </cell>
          <cell r="C2110" t="str">
            <v>P</v>
          </cell>
          <cell r="D2110" t="str">
            <v>23061</v>
          </cell>
          <cell r="E2110" t="str">
            <v>PIPE</v>
          </cell>
          <cell r="F2110">
            <v>1</v>
          </cell>
          <cell r="G2110" t="str">
            <v>CB100404000300</v>
          </cell>
          <cell r="H2110">
            <v>3</v>
          </cell>
          <cell r="I2110" t="str">
            <v>--</v>
          </cell>
          <cell r="J2110">
            <v>4</v>
          </cell>
          <cell r="K2110">
            <v>4.4000000000000004</v>
          </cell>
        </row>
        <row r="2111">
          <cell r="A2111" t="str">
            <v>M2</v>
          </cell>
          <cell r="B2111" t="str">
            <v>A5C</v>
          </cell>
          <cell r="C2111" t="str">
            <v>TRIM</v>
          </cell>
          <cell r="D2111" t="str">
            <v>V-2321</v>
          </cell>
          <cell r="E2111" t="str">
            <v>PIPE</v>
          </cell>
          <cell r="F2111">
            <v>1</v>
          </cell>
          <cell r="G2111" t="str">
            <v>CB100404000300</v>
          </cell>
          <cell r="H2111">
            <v>3</v>
          </cell>
          <cell r="I2111" t="str">
            <v>--</v>
          </cell>
          <cell r="J2111">
            <v>4.5</v>
          </cell>
          <cell r="K2111">
            <v>5</v>
          </cell>
        </row>
        <row r="2112">
          <cell r="A2112" t="str">
            <v>M2</v>
          </cell>
          <cell r="B2112" t="str">
            <v>A5C</v>
          </cell>
          <cell r="C2112" t="str">
            <v>P</v>
          </cell>
          <cell r="D2112" t="str">
            <v>24027</v>
          </cell>
          <cell r="E2112" t="str">
            <v>PIPE</v>
          </cell>
          <cell r="F2112">
            <v>1</v>
          </cell>
          <cell r="G2112" t="str">
            <v>CB100404000300</v>
          </cell>
          <cell r="H2112">
            <v>3</v>
          </cell>
          <cell r="I2112" t="str">
            <v>--</v>
          </cell>
          <cell r="J2112">
            <v>4.5</v>
          </cell>
          <cell r="K2112">
            <v>5</v>
          </cell>
        </row>
        <row r="2113">
          <cell r="A2113" t="str">
            <v>M2</v>
          </cell>
          <cell r="B2113" t="str">
            <v>A5C</v>
          </cell>
          <cell r="C2113" t="str">
            <v>P</v>
          </cell>
          <cell r="D2113" t="str">
            <v>23142</v>
          </cell>
          <cell r="E2113" t="str">
            <v>PIPE</v>
          </cell>
          <cell r="F2113">
            <v>1</v>
          </cell>
          <cell r="G2113" t="str">
            <v>CB100404000300</v>
          </cell>
          <cell r="H2113">
            <v>3</v>
          </cell>
          <cell r="I2113" t="str">
            <v>--</v>
          </cell>
          <cell r="J2113">
            <v>5</v>
          </cell>
          <cell r="K2113">
            <v>5.5</v>
          </cell>
        </row>
        <row r="2114">
          <cell r="A2114" t="str">
            <v>M2</v>
          </cell>
          <cell r="B2114" t="str">
            <v>A5C</v>
          </cell>
          <cell r="C2114" t="str">
            <v>P</v>
          </cell>
          <cell r="D2114" t="str">
            <v>23246</v>
          </cell>
          <cell r="E2114" t="str">
            <v>PIPE</v>
          </cell>
          <cell r="F2114">
            <v>1</v>
          </cell>
          <cell r="G2114" t="str">
            <v>CB100404000300</v>
          </cell>
          <cell r="H2114">
            <v>3</v>
          </cell>
          <cell r="I2114" t="str">
            <v>--</v>
          </cell>
          <cell r="J2114">
            <v>5</v>
          </cell>
          <cell r="K2114">
            <v>5.5</v>
          </cell>
        </row>
        <row r="2115">
          <cell r="A2115" t="str">
            <v>M2</v>
          </cell>
          <cell r="B2115" t="str">
            <v>A5C</v>
          </cell>
          <cell r="C2115" t="str">
            <v>P</v>
          </cell>
          <cell r="D2115" t="str">
            <v>24003</v>
          </cell>
          <cell r="E2115" t="str">
            <v>PIPE</v>
          </cell>
          <cell r="F2115">
            <v>1</v>
          </cell>
          <cell r="G2115" t="str">
            <v>CB100404000300</v>
          </cell>
          <cell r="H2115">
            <v>3</v>
          </cell>
          <cell r="I2115" t="str">
            <v>--</v>
          </cell>
          <cell r="J2115">
            <v>5</v>
          </cell>
          <cell r="K2115">
            <v>5.5</v>
          </cell>
        </row>
        <row r="2116">
          <cell r="A2116" t="str">
            <v>M2</v>
          </cell>
          <cell r="B2116" t="str">
            <v>A5C</v>
          </cell>
          <cell r="C2116" t="str">
            <v>P</v>
          </cell>
          <cell r="D2116" t="str">
            <v>23106</v>
          </cell>
          <cell r="E2116" t="str">
            <v>PIPE</v>
          </cell>
          <cell r="F2116">
            <v>1</v>
          </cell>
          <cell r="G2116" t="str">
            <v>CB100404000300</v>
          </cell>
          <cell r="H2116">
            <v>3</v>
          </cell>
          <cell r="I2116" t="str">
            <v>--</v>
          </cell>
          <cell r="J2116">
            <v>6</v>
          </cell>
          <cell r="K2116">
            <v>6.6</v>
          </cell>
        </row>
        <row r="2117">
          <cell r="A2117" t="str">
            <v>M2</v>
          </cell>
          <cell r="B2117" t="str">
            <v>A5C</v>
          </cell>
          <cell r="C2117" t="str">
            <v>P</v>
          </cell>
          <cell r="D2117" t="str">
            <v>23236</v>
          </cell>
          <cell r="E2117" t="str">
            <v>PIPE</v>
          </cell>
          <cell r="F2117">
            <v>1</v>
          </cell>
          <cell r="G2117" t="str">
            <v>CB100404000300</v>
          </cell>
          <cell r="H2117">
            <v>3</v>
          </cell>
          <cell r="I2117" t="str">
            <v>--</v>
          </cell>
          <cell r="J2117">
            <v>6</v>
          </cell>
          <cell r="K2117">
            <v>6.6</v>
          </cell>
        </row>
        <row r="2118">
          <cell r="A2118" t="str">
            <v>M2</v>
          </cell>
          <cell r="B2118" t="str">
            <v>A5C</v>
          </cell>
          <cell r="C2118" t="str">
            <v>P</v>
          </cell>
          <cell r="D2118" t="str">
            <v>23240</v>
          </cell>
          <cell r="E2118" t="str">
            <v>PIPE</v>
          </cell>
          <cell r="F2118">
            <v>1</v>
          </cell>
          <cell r="G2118" t="str">
            <v>CB100404000300</v>
          </cell>
          <cell r="H2118">
            <v>3</v>
          </cell>
          <cell r="I2118" t="str">
            <v>--</v>
          </cell>
          <cell r="J2118">
            <v>6</v>
          </cell>
          <cell r="K2118">
            <v>6.6</v>
          </cell>
        </row>
        <row r="2119">
          <cell r="A2119" t="str">
            <v>M2</v>
          </cell>
          <cell r="B2119" t="str">
            <v>A5C</v>
          </cell>
          <cell r="C2119" t="str">
            <v>TRIM</v>
          </cell>
          <cell r="D2119" t="str">
            <v>V-2315</v>
          </cell>
          <cell r="E2119" t="str">
            <v>PIPE</v>
          </cell>
          <cell r="F2119">
            <v>1</v>
          </cell>
          <cell r="G2119" t="str">
            <v>CB100404000300</v>
          </cell>
          <cell r="H2119">
            <v>3</v>
          </cell>
          <cell r="I2119" t="str">
            <v>--</v>
          </cell>
          <cell r="J2119">
            <v>6.5</v>
          </cell>
          <cell r="K2119">
            <v>7.2</v>
          </cell>
        </row>
        <row r="2120">
          <cell r="A2120" t="str">
            <v>M2</v>
          </cell>
          <cell r="B2120" t="str">
            <v>A5C</v>
          </cell>
          <cell r="C2120" t="str">
            <v>TRIM</v>
          </cell>
          <cell r="D2120" t="str">
            <v>V-2324</v>
          </cell>
          <cell r="E2120" t="str">
            <v>PIPE</v>
          </cell>
          <cell r="F2120">
            <v>1</v>
          </cell>
          <cell r="G2120" t="str">
            <v>CB100404000300</v>
          </cell>
          <cell r="H2120">
            <v>3</v>
          </cell>
          <cell r="I2120" t="str">
            <v>--</v>
          </cell>
          <cell r="J2120">
            <v>6.5</v>
          </cell>
          <cell r="K2120">
            <v>7.2</v>
          </cell>
        </row>
        <row r="2121">
          <cell r="A2121" t="str">
            <v>M2</v>
          </cell>
          <cell r="B2121" t="str">
            <v>A5C</v>
          </cell>
          <cell r="C2121" t="str">
            <v>P</v>
          </cell>
          <cell r="D2121" t="str">
            <v>23086</v>
          </cell>
          <cell r="E2121" t="str">
            <v>PIPE</v>
          </cell>
          <cell r="F2121">
            <v>1</v>
          </cell>
          <cell r="G2121" t="str">
            <v>CB100404000300</v>
          </cell>
          <cell r="H2121">
            <v>3</v>
          </cell>
          <cell r="I2121" t="str">
            <v>--</v>
          </cell>
          <cell r="J2121">
            <v>7</v>
          </cell>
          <cell r="K2121">
            <v>7.7</v>
          </cell>
        </row>
        <row r="2122">
          <cell r="A2122" t="str">
            <v>M2</v>
          </cell>
          <cell r="B2122" t="str">
            <v>A5C</v>
          </cell>
          <cell r="C2122" t="str">
            <v>P</v>
          </cell>
          <cell r="D2122" t="str">
            <v>23125</v>
          </cell>
          <cell r="E2122" t="str">
            <v>PIPE</v>
          </cell>
          <cell r="F2122">
            <v>1</v>
          </cell>
          <cell r="G2122" t="str">
            <v>CB100404000300</v>
          </cell>
          <cell r="H2122">
            <v>3</v>
          </cell>
          <cell r="I2122" t="str">
            <v>--</v>
          </cell>
          <cell r="J2122">
            <v>7</v>
          </cell>
          <cell r="K2122">
            <v>7.7</v>
          </cell>
        </row>
        <row r="2123">
          <cell r="A2123" t="str">
            <v>M2</v>
          </cell>
          <cell r="B2123" t="str">
            <v>A5C</v>
          </cell>
          <cell r="C2123" t="str">
            <v>P</v>
          </cell>
          <cell r="D2123" t="str">
            <v>23064</v>
          </cell>
          <cell r="E2123" t="str">
            <v>PIPE</v>
          </cell>
          <cell r="F2123">
            <v>1</v>
          </cell>
          <cell r="G2123" t="str">
            <v>CB100404000300</v>
          </cell>
          <cell r="H2123">
            <v>3</v>
          </cell>
          <cell r="I2123" t="str">
            <v>--</v>
          </cell>
          <cell r="J2123">
            <v>8.1</v>
          </cell>
          <cell r="K2123">
            <v>9</v>
          </cell>
        </row>
        <row r="2124">
          <cell r="A2124" t="str">
            <v>M2</v>
          </cell>
          <cell r="B2124" t="str">
            <v>A5C</v>
          </cell>
          <cell r="C2124" t="str">
            <v>P</v>
          </cell>
          <cell r="D2124" t="str">
            <v>23082</v>
          </cell>
          <cell r="E2124" t="str">
            <v>PIPE</v>
          </cell>
          <cell r="F2124">
            <v>1</v>
          </cell>
          <cell r="G2124" t="str">
            <v>CB100404000300</v>
          </cell>
          <cell r="H2124">
            <v>3</v>
          </cell>
          <cell r="I2124" t="str">
            <v>--</v>
          </cell>
          <cell r="J2124">
            <v>8.5</v>
          </cell>
          <cell r="K2124">
            <v>9.4</v>
          </cell>
        </row>
        <row r="2125">
          <cell r="A2125" t="str">
            <v>M2</v>
          </cell>
          <cell r="B2125" t="str">
            <v>A5C</v>
          </cell>
          <cell r="C2125" t="str">
            <v>P</v>
          </cell>
          <cell r="D2125" t="str">
            <v>23258</v>
          </cell>
          <cell r="E2125" t="str">
            <v>PIPE</v>
          </cell>
          <cell r="F2125">
            <v>1</v>
          </cell>
          <cell r="G2125" t="str">
            <v>CB100404000300</v>
          </cell>
          <cell r="H2125">
            <v>3</v>
          </cell>
          <cell r="I2125" t="str">
            <v>--</v>
          </cell>
          <cell r="J2125">
            <v>8.5</v>
          </cell>
          <cell r="K2125">
            <v>9.4</v>
          </cell>
        </row>
        <row r="2126">
          <cell r="A2126" t="str">
            <v>M2</v>
          </cell>
          <cell r="B2126" t="str">
            <v>A5C</v>
          </cell>
          <cell r="C2126" t="str">
            <v>P</v>
          </cell>
          <cell r="D2126" t="str">
            <v>23257</v>
          </cell>
          <cell r="E2126" t="str">
            <v>PIPE</v>
          </cell>
          <cell r="F2126">
            <v>1</v>
          </cell>
          <cell r="G2126" t="str">
            <v>CB100404000300</v>
          </cell>
          <cell r="H2126">
            <v>3</v>
          </cell>
          <cell r="I2126" t="str">
            <v>--</v>
          </cell>
          <cell r="J2126">
            <v>11.5</v>
          </cell>
          <cell r="K2126">
            <v>12.7</v>
          </cell>
        </row>
        <row r="2127">
          <cell r="A2127" t="str">
            <v>M2</v>
          </cell>
          <cell r="B2127" t="str">
            <v>A5C</v>
          </cell>
          <cell r="C2127" t="str">
            <v>P</v>
          </cell>
          <cell r="D2127" t="str">
            <v>23016</v>
          </cell>
          <cell r="E2127" t="str">
            <v>PIPE</v>
          </cell>
          <cell r="F2127">
            <v>1</v>
          </cell>
          <cell r="G2127" t="str">
            <v>CB100404000300</v>
          </cell>
          <cell r="H2127">
            <v>3</v>
          </cell>
          <cell r="I2127" t="str">
            <v>--</v>
          </cell>
          <cell r="J2127">
            <v>11.5</v>
          </cell>
          <cell r="K2127">
            <v>12.7</v>
          </cell>
        </row>
        <row r="2128">
          <cell r="A2128" t="str">
            <v>M2</v>
          </cell>
          <cell r="B2128" t="str">
            <v>A5C</v>
          </cell>
          <cell r="C2128" t="str">
            <v>P</v>
          </cell>
          <cell r="D2128" t="str">
            <v>23005</v>
          </cell>
          <cell r="E2128" t="str">
            <v>PIPE</v>
          </cell>
          <cell r="F2128">
            <v>1</v>
          </cell>
          <cell r="G2128" t="str">
            <v>CB100404000300</v>
          </cell>
          <cell r="H2128">
            <v>3</v>
          </cell>
          <cell r="I2128" t="str">
            <v>--</v>
          </cell>
          <cell r="J2128">
            <v>12</v>
          </cell>
          <cell r="K2128">
            <v>13.2</v>
          </cell>
        </row>
        <row r="2129">
          <cell r="A2129" t="str">
            <v>M2</v>
          </cell>
          <cell r="B2129" t="str">
            <v>A5C</v>
          </cell>
          <cell r="C2129" t="str">
            <v>P</v>
          </cell>
          <cell r="D2129" t="str">
            <v>23232</v>
          </cell>
          <cell r="E2129" t="str">
            <v>PIPE</v>
          </cell>
          <cell r="F2129">
            <v>1</v>
          </cell>
          <cell r="G2129" t="str">
            <v>CB100404000300</v>
          </cell>
          <cell r="H2129">
            <v>3</v>
          </cell>
          <cell r="I2129" t="str">
            <v>--</v>
          </cell>
          <cell r="J2129">
            <v>12.5</v>
          </cell>
          <cell r="K2129">
            <v>13.8</v>
          </cell>
        </row>
        <row r="2130">
          <cell r="A2130" t="str">
            <v>M2</v>
          </cell>
          <cell r="B2130" t="str">
            <v>A5C</v>
          </cell>
          <cell r="C2130" t="str">
            <v>P</v>
          </cell>
          <cell r="D2130" t="str">
            <v>23254</v>
          </cell>
          <cell r="E2130" t="str">
            <v>PIPE</v>
          </cell>
          <cell r="F2130">
            <v>1</v>
          </cell>
          <cell r="G2130" t="str">
            <v>CB100404000300</v>
          </cell>
          <cell r="H2130">
            <v>3</v>
          </cell>
          <cell r="I2130" t="str">
            <v>--</v>
          </cell>
          <cell r="J2130">
            <v>12.5</v>
          </cell>
          <cell r="K2130">
            <v>13.8</v>
          </cell>
        </row>
        <row r="2131">
          <cell r="A2131" t="str">
            <v>M2</v>
          </cell>
          <cell r="B2131" t="str">
            <v>A5C</v>
          </cell>
          <cell r="C2131" t="str">
            <v>P</v>
          </cell>
          <cell r="D2131" t="str">
            <v>23017</v>
          </cell>
          <cell r="E2131" t="str">
            <v>PIPE</v>
          </cell>
          <cell r="F2131">
            <v>1</v>
          </cell>
          <cell r="G2131" t="str">
            <v>CB100404000300</v>
          </cell>
          <cell r="H2131">
            <v>3</v>
          </cell>
          <cell r="I2131" t="str">
            <v>--</v>
          </cell>
          <cell r="J2131">
            <v>15.6</v>
          </cell>
          <cell r="K2131">
            <v>17.2</v>
          </cell>
        </row>
        <row r="2132">
          <cell r="A2132" t="str">
            <v>M2</v>
          </cell>
          <cell r="B2132" t="str">
            <v>A5C</v>
          </cell>
          <cell r="C2132" t="str">
            <v>P</v>
          </cell>
          <cell r="D2132" t="str">
            <v>23051</v>
          </cell>
          <cell r="E2132" t="str">
            <v>PIPE</v>
          </cell>
          <cell r="F2132">
            <v>1</v>
          </cell>
          <cell r="G2132" t="str">
            <v>CB100404000300</v>
          </cell>
          <cell r="H2132">
            <v>3</v>
          </cell>
          <cell r="I2132" t="str">
            <v>--</v>
          </cell>
          <cell r="J2132">
            <v>16.600000000000001</v>
          </cell>
          <cell r="K2132">
            <v>18.3</v>
          </cell>
        </row>
        <row r="2133">
          <cell r="A2133" t="str">
            <v>M2</v>
          </cell>
          <cell r="B2133" t="str">
            <v>A5C</v>
          </cell>
          <cell r="C2133" t="str">
            <v>P</v>
          </cell>
          <cell r="D2133" t="str">
            <v>23124</v>
          </cell>
          <cell r="E2133" t="str">
            <v>PIPE</v>
          </cell>
          <cell r="F2133">
            <v>1</v>
          </cell>
          <cell r="G2133" t="str">
            <v>CB100404000300</v>
          </cell>
          <cell r="H2133">
            <v>3</v>
          </cell>
          <cell r="I2133" t="str">
            <v>--</v>
          </cell>
          <cell r="J2133">
            <v>18.5</v>
          </cell>
          <cell r="K2133">
            <v>20.399999999999999</v>
          </cell>
        </row>
        <row r="2134">
          <cell r="A2134" t="str">
            <v>M2</v>
          </cell>
          <cell r="B2134" t="str">
            <v>B2C</v>
          </cell>
          <cell r="C2134" t="str">
            <v>SH</v>
          </cell>
          <cell r="D2134" t="str">
            <v>23612</v>
          </cell>
          <cell r="E2134" t="str">
            <v>PIPE</v>
          </cell>
          <cell r="F2134">
            <v>1</v>
          </cell>
          <cell r="G2134" t="str">
            <v>CB100404000300</v>
          </cell>
          <cell r="H2134">
            <v>3</v>
          </cell>
          <cell r="I2134" t="str">
            <v>--</v>
          </cell>
          <cell r="J2134">
            <v>20.6</v>
          </cell>
          <cell r="K2134">
            <v>22.7</v>
          </cell>
        </row>
        <row r="2135">
          <cell r="A2135" t="str">
            <v>M2</v>
          </cell>
          <cell r="B2135" t="str">
            <v>A5C</v>
          </cell>
          <cell r="C2135" t="str">
            <v>P</v>
          </cell>
          <cell r="D2135" t="str">
            <v>23256</v>
          </cell>
          <cell r="E2135" t="str">
            <v>PIPE</v>
          </cell>
          <cell r="F2135">
            <v>1</v>
          </cell>
          <cell r="G2135" t="str">
            <v>CB100404000300</v>
          </cell>
          <cell r="H2135">
            <v>3</v>
          </cell>
          <cell r="I2135" t="str">
            <v>--</v>
          </cell>
          <cell r="J2135">
            <v>37.200000000000003</v>
          </cell>
          <cell r="K2135">
            <v>41</v>
          </cell>
        </row>
        <row r="2136">
          <cell r="A2136" t="str">
            <v>M2</v>
          </cell>
          <cell r="B2136" t="str">
            <v>B2C</v>
          </cell>
          <cell r="C2136" t="str">
            <v>SH</v>
          </cell>
          <cell r="D2136" t="str">
            <v>23601</v>
          </cell>
          <cell r="E2136" t="str">
            <v>PIPE</v>
          </cell>
          <cell r="F2136">
            <v>1</v>
          </cell>
          <cell r="G2136" t="str">
            <v>CB100404000300</v>
          </cell>
          <cell r="H2136">
            <v>3</v>
          </cell>
          <cell r="I2136" t="str">
            <v>--</v>
          </cell>
          <cell r="J2136">
            <v>65</v>
          </cell>
          <cell r="K2136">
            <v>71.5</v>
          </cell>
        </row>
        <row r="2137">
          <cell r="A2137" t="str">
            <v>M2</v>
          </cell>
          <cell r="B2137" t="str">
            <v>A5C</v>
          </cell>
          <cell r="C2137" t="str">
            <v>P</v>
          </cell>
          <cell r="D2137" t="str">
            <v>23064</v>
          </cell>
          <cell r="E2137" t="str">
            <v>PIPE</v>
          </cell>
          <cell r="F2137">
            <v>1</v>
          </cell>
          <cell r="G2137" t="str">
            <v>CB100404000300</v>
          </cell>
          <cell r="H2137">
            <v>3</v>
          </cell>
          <cell r="I2137" t="str">
            <v>--</v>
          </cell>
          <cell r="J2137">
            <v>65</v>
          </cell>
          <cell r="K2137">
            <v>71.5</v>
          </cell>
        </row>
        <row r="2138">
          <cell r="A2138" t="str">
            <v>M2</v>
          </cell>
          <cell r="B2138" t="str">
            <v>A5C</v>
          </cell>
          <cell r="C2138" t="str">
            <v>P</v>
          </cell>
          <cell r="D2138" t="str">
            <v>23035</v>
          </cell>
          <cell r="E2138" t="str">
            <v>PIPE</v>
          </cell>
          <cell r="F2138">
            <v>1</v>
          </cell>
          <cell r="G2138" t="str">
            <v>CB100404000400</v>
          </cell>
          <cell r="H2138">
            <v>4</v>
          </cell>
          <cell r="I2138" t="str">
            <v>--</v>
          </cell>
          <cell r="J2138">
            <v>0.3</v>
          </cell>
          <cell r="K2138">
            <v>0.4</v>
          </cell>
        </row>
        <row r="2139">
          <cell r="A2139" t="str">
            <v>M2</v>
          </cell>
          <cell r="B2139" t="str">
            <v>A5C</v>
          </cell>
          <cell r="C2139" t="str">
            <v>P</v>
          </cell>
          <cell r="D2139" t="str">
            <v>23188</v>
          </cell>
          <cell r="E2139" t="str">
            <v>PIPE</v>
          </cell>
          <cell r="F2139">
            <v>1</v>
          </cell>
          <cell r="G2139" t="str">
            <v>CB100404000400</v>
          </cell>
          <cell r="H2139">
            <v>4</v>
          </cell>
          <cell r="I2139" t="str">
            <v>--</v>
          </cell>
          <cell r="J2139">
            <v>0.3</v>
          </cell>
          <cell r="K2139">
            <v>0.4</v>
          </cell>
        </row>
        <row r="2140">
          <cell r="A2140" t="str">
            <v>M2</v>
          </cell>
          <cell r="B2140" t="str">
            <v>A5C</v>
          </cell>
          <cell r="C2140" t="str">
            <v>P</v>
          </cell>
          <cell r="D2140" t="str">
            <v>24013</v>
          </cell>
          <cell r="E2140" t="str">
            <v>PIPE</v>
          </cell>
          <cell r="F2140">
            <v>1</v>
          </cell>
          <cell r="G2140" t="str">
            <v>CB100404000400</v>
          </cell>
          <cell r="H2140">
            <v>4</v>
          </cell>
          <cell r="I2140" t="str">
            <v>--</v>
          </cell>
          <cell r="J2140">
            <v>0.3</v>
          </cell>
          <cell r="K2140">
            <v>0.4</v>
          </cell>
        </row>
        <row r="2141">
          <cell r="A2141" t="str">
            <v>M2</v>
          </cell>
          <cell r="B2141" t="str">
            <v>A5C</v>
          </cell>
          <cell r="C2141" t="str">
            <v>P</v>
          </cell>
          <cell r="D2141" t="str">
            <v>23008</v>
          </cell>
          <cell r="E2141" t="str">
            <v>PIPE</v>
          </cell>
          <cell r="F2141">
            <v>1</v>
          </cell>
          <cell r="G2141" t="str">
            <v>CB100404000400</v>
          </cell>
          <cell r="H2141">
            <v>4</v>
          </cell>
          <cell r="I2141" t="str">
            <v>--</v>
          </cell>
          <cell r="J2141">
            <v>0.3</v>
          </cell>
          <cell r="K2141">
            <v>0.4</v>
          </cell>
        </row>
        <row r="2142">
          <cell r="A2142" t="str">
            <v>M2</v>
          </cell>
          <cell r="B2142" t="str">
            <v>A5C</v>
          </cell>
          <cell r="C2142" t="str">
            <v>P</v>
          </cell>
          <cell r="D2142" t="str">
            <v>23050</v>
          </cell>
          <cell r="E2142" t="str">
            <v>PIPE</v>
          </cell>
          <cell r="F2142">
            <v>1</v>
          </cell>
          <cell r="G2142" t="str">
            <v>CB100404000400</v>
          </cell>
          <cell r="H2142">
            <v>4</v>
          </cell>
          <cell r="I2142" t="str">
            <v>--</v>
          </cell>
          <cell r="J2142">
            <v>0.3</v>
          </cell>
          <cell r="K2142">
            <v>0.4</v>
          </cell>
        </row>
        <row r="2143">
          <cell r="A2143" t="str">
            <v>M2</v>
          </cell>
          <cell r="B2143" t="str">
            <v>A5C</v>
          </cell>
          <cell r="C2143" t="str">
            <v>P</v>
          </cell>
          <cell r="D2143" t="str">
            <v>23061</v>
          </cell>
          <cell r="E2143" t="str">
            <v>PIPE</v>
          </cell>
          <cell r="F2143">
            <v>1</v>
          </cell>
          <cell r="G2143" t="str">
            <v>CB100404000400</v>
          </cell>
          <cell r="H2143">
            <v>4</v>
          </cell>
          <cell r="I2143" t="str">
            <v>--</v>
          </cell>
          <cell r="J2143">
            <v>0.3</v>
          </cell>
          <cell r="K2143">
            <v>0.4</v>
          </cell>
        </row>
        <row r="2144">
          <cell r="A2144" t="str">
            <v>M2</v>
          </cell>
          <cell r="B2144" t="str">
            <v>A5C</v>
          </cell>
          <cell r="C2144" t="str">
            <v>P</v>
          </cell>
          <cell r="D2144" t="str">
            <v>23076</v>
          </cell>
          <cell r="E2144" t="str">
            <v>PIPE</v>
          </cell>
          <cell r="F2144">
            <v>1</v>
          </cell>
          <cell r="G2144" t="str">
            <v>CB100404000400</v>
          </cell>
          <cell r="H2144">
            <v>4</v>
          </cell>
          <cell r="I2144" t="str">
            <v>--</v>
          </cell>
          <cell r="J2144">
            <v>0.3</v>
          </cell>
          <cell r="K2144">
            <v>0.4</v>
          </cell>
        </row>
        <row r="2145">
          <cell r="A2145" t="str">
            <v>M2</v>
          </cell>
          <cell r="B2145" t="str">
            <v>A5C</v>
          </cell>
          <cell r="C2145" t="str">
            <v>P</v>
          </cell>
          <cell r="D2145" t="str">
            <v>23170</v>
          </cell>
          <cell r="E2145" t="str">
            <v>PIPE</v>
          </cell>
          <cell r="F2145">
            <v>1</v>
          </cell>
          <cell r="G2145" t="str">
            <v>CB100404000400</v>
          </cell>
          <cell r="H2145">
            <v>4</v>
          </cell>
          <cell r="I2145" t="str">
            <v>--</v>
          </cell>
          <cell r="J2145">
            <v>0.3</v>
          </cell>
          <cell r="K2145">
            <v>0.4</v>
          </cell>
        </row>
        <row r="2146">
          <cell r="A2146" t="str">
            <v>M2</v>
          </cell>
          <cell r="B2146" t="str">
            <v>A5C</v>
          </cell>
          <cell r="C2146" t="str">
            <v>P</v>
          </cell>
          <cell r="D2146" t="str">
            <v>23173</v>
          </cell>
          <cell r="E2146" t="str">
            <v>PIPE</v>
          </cell>
          <cell r="F2146">
            <v>1</v>
          </cell>
          <cell r="G2146" t="str">
            <v>CB100404000400</v>
          </cell>
          <cell r="H2146">
            <v>4</v>
          </cell>
          <cell r="I2146" t="str">
            <v>--</v>
          </cell>
          <cell r="J2146">
            <v>0.3</v>
          </cell>
          <cell r="K2146">
            <v>0.4</v>
          </cell>
        </row>
        <row r="2147">
          <cell r="A2147" t="str">
            <v>M2</v>
          </cell>
          <cell r="B2147" t="str">
            <v>A5C</v>
          </cell>
          <cell r="C2147" t="str">
            <v>P</v>
          </cell>
          <cell r="D2147" t="str">
            <v>23230</v>
          </cell>
          <cell r="E2147" t="str">
            <v>PIPE</v>
          </cell>
          <cell r="F2147">
            <v>1</v>
          </cell>
          <cell r="G2147" t="str">
            <v>CB100404000400</v>
          </cell>
          <cell r="H2147">
            <v>4</v>
          </cell>
          <cell r="I2147" t="str">
            <v>--</v>
          </cell>
          <cell r="J2147">
            <v>0.5</v>
          </cell>
          <cell r="K2147">
            <v>0.6</v>
          </cell>
        </row>
        <row r="2148">
          <cell r="A2148" t="str">
            <v>M2</v>
          </cell>
          <cell r="B2148" t="str">
            <v>A5C</v>
          </cell>
          <cell r="C2148" t="str">
            <v>P</v>
          </cell>
          <cell r="D2148" t="str">
            <v>23252</v>
          </cell>
          <cell r="E2148" t="str">
            <v>PIPE</v>
          </cell>
          <cell r="F2148">
            <v>1</v>
          </cell>
          <cell r="G2148" t="str">
            <v>CB100404000400</v>
          </cell>
          <cell r="H2148">
            <v>4</v>
          </cell>
          <cell r="I2148" t="str">
            <v>--</v>
          </cell>
          <cell r="J2148">
            <v>0.5</v>
          </cell>
          <cell r="K2148">
            <v>0.6</v>
          </cell>
        </row>
        <row r="2149">
          <cell r="A2149" t="str">
            <v>M2</v>
          </cell>
          <cell r="B2149" t="str">
            <v>A5C</v>
          </cell>
          <cell r="C2149" t="str">
            <v>P</v>
          </cell>
          <cell r="D2149" t="str">
            <v>23180</v>
          </cell>
          <cell r="E2149" t="str">
            <v>PIPE</v>
          </cell>
          <cell r="F2149">
            <v>1</v>
          </cell>
          <cell r="G2149" t="str">
            <v>CB100404000400</v>
          </cell>
          <cell r="H2149">
            <v>4</v>
          </cell>
          <cell r="I2149" t="str">
            <v>--</v>
          </cell>
          <cell r="J2149">
            <v>0.5</v>
          </cell>
          <cell r="K2149">
            <v>0.6</v>
          </cell>
        </row>
        <row r="2150">
          <cell r="A2150" t="str">
            <v>M2</v>
          </cell>
          <cell r="B2150" t="str">
            <v>A5C</v>
          </cell>
          <cell r="C2150" t="str">
            <v>P</v>
          </cell>
          <cell r="D2150" t="str">
            <v>23191</v>
          </cell>
          <cell r="E2150" t="str">
            <v>PIPE</v>
          </cell>
          <cell r="F2150">
            <v>1</v>
          </cell>
          <cell r="G2150" t="str">
            <v>CB100404000400</v>
          </cell>
          <cell r="H2150">
            <v>4</v>
          </cell>
          <cell r="I2150" t="str">
            <v>--</v>
          </cell>
          <cell r="J2150">
            <v>0.5</v>
          </cell>
          <cell r="K2150">
            <v>0.6</v>
          </cell>
        </row>
        <row r="2151">
          <cell r="A2151" t="str">
            <v>M2</v>
          </cell>
          <cell r="B2151" t="str">
            <v>A5C</v>
          </cell>
          <cell r="C2151" t="str">
            <v>P</v>
          </cell>
          <cell r="D2151" t="str">
            <v>24016</v>
          </cell>
          <cell r="E2151" t="str">
            <v>PIPE</v>
          </cell>
          <cell r="F2151">
            <v>1</v>
          </cell>
          <cell r="G2151" t="str">
            <v>CB100404000400</v>
          </cell>
          <cell r="H2151">
            <v>4</v>
          </cell>
          <cell r="I2151" t="str">
            <v>--</v>
          </cell>
          <cell r="J2151">
            <v>0.5</v>
          </cell>
          <cell r="K2151">
            <v>0.6</v>
          </cell>
        </row>
        <row r="2152">
          <cell r="A2152" t="str">
            <v>M2</v>
          </cell>
          <cell r="B2152" t="str">
            <v>A5C</v>
          </cell>
          <cell r="C2152" t="str">
            <v>P</v>
          </cell>
          <cell r="D2152" t="str">
            <v>23152</v>
          </cell>
          <cell r="E2152" t="str">
            <v>PIPE</v>
          </cell>
          <cell r="F2152">
            <v>1</v>
          </cell>
          <cell r="G2152" t="str">
            <v>CB100404000400</v>
          </cell>
          <cell r="H2152">
            <v>4</v>
          </cell>
          <cell r="I2152" t="str">
            <v>--</v>
          </cell>
          <cell r="J2152">
            <v>1</v>
          </cell>
          <cell r="K2152">
            <v>1.2</v>
          </cell>
        </row>
        <row r="2153">
          <cell r="A2153" t="str">
            <v>M2</v>
          </cell>
          <cell r="B2153" t="str">
            <v>A5C</v>
          </cell>
          <cell r="C2153" t="str">
            <v>P</v>
          </cell>
          <cell r="D2153" t="str">
            <v>23045</v>
          </cell>
          <cell r="E2153" t="str">
            <v>PIPE</v>
          </cell>
          <cell r="F2153">
            <v>1</v>
          </cell>
          <cell r="G2153" t="str">
            <v>CB100404000400</v>
          </cell>
          <cell r="H2153">
            <v>4</v>
          </cell>
          <cell r="I2153" t="str">
            <v>--</v>
          </cell>
          <cell r="J2153">
            <v>1.3</v>
          </cell>
          <cell r="K2153">
            <v>1.6</v>
          </cell>
        </row>
        <row r="2154">
          <cell r="A2154" t="str">
            <v>M2</v>
          </cell>
          <cell r="B2154" t="str">
            <v>A5C</v>
          </cell>
          <cell r="C2154" t="str">
            <v>P</v>
          </cell>
          <cell r="D2154" t="str">
            <v>23012</v>
          </cell>
          <cell r="E2154" t="str">
            <v>PIPE</v>
          </cell>
          <cell r="F2154">
            <v>1</v>
          </cell>
          <cell r="G2154" t="str">
            <v>CB100404000400</v>
          </cell>
          <cell r="H2154">
            <v>4</v>
          </cell>
          <cell r="I2154" t="str">
            <v>--</v>
          </cell>
          <cell r="J2154">
            <v>1.9</v>
          </cell>
          <cell r="K2154">
            <v>2.2999999999999998</v>
          </cell>
        </row>
        <row r="2155">
          <cell r="A2155" t="str">
            <v>M2</v>
          </cell>
          <cell r="B2155" t="str">
            <v>A5C</v>
          </cell>
          <cell r="C2155" t="str">
            <v>P</v>
          </cell>
          <cell r="D2155" t="str">
            <v>23122</v>
          </cell>
          <cell r="E2155" t="str">
            <v>PIPE</v>
          </cell>
          <cell r="F2155">
            <v>1</v>
          </cell>
          <cell r="G2155" t="str">
            <v>CB100404000400</v>
          </cell>
          <cell r="H2155">
            <v>4</v>
          </cell>
          <cell r="I2155" t="str">
            <v>--</v>
          </cell>
          <cell r="J2155">
            <v>2</v>
          </cell>
          <cell r="K2155">
            <v>2.4</v>
          </cell>
        </row>
        <row r="2156">
          <cell r="A2156" t="str">
            <v>M2</v>
          </cell>
          <cell r="B2156" t="str">
            <v>A5C</v>
          </cell>
          <cell r="C2156" t="str">
            <v>P</v>
          </cell>
          <cell r="D2156" t="str">
            <v>23237</v>
          </cell>
          <cell r="E2156" t="str">
            <v>PIPE</v>
          </cell>
          <cell r="F2156">
            <v>1</v>
          </cell>
          <cell r="G2156" t="str">
            <v>CB100404000400</v>
          </cell>
          <cell r="H2156">
            <v>4</v>
          </cell>
          <cell r="I2156" t="str">
            <v>--</v>
          </cell>
          <cell r="J2156">
            <v>2</v>
          </cell>
          <cell r="K2156">
            <v>2.4</v>
          </cell>
        </row>
        <row r="2157">
          <cell r="A2157" t="str">
            <v>M2</v>
          </cell>
          <cell r="B2157" t="str">
            <v>A5C</v>
          </cell>
          <cell r="C2157" t="str">
            <v>P</v>
          </cell>
          <cell r="D2157" t="str">
            <v>23241</v>
          </cell>
          <cell r="E2157" t="str">
            <v>PIPE</v>
          </cell>
          <cell r="F2157">
            <v>1</v>
          </cell>
          <cell r="G2157" t="str">
            <v>CB100404000400</v>
          </cell>
          <cell r="H2157">
            <v>4</v>
          </cell>
          <cell r="I2157" t="str">
            <v>--</v>
          </cell>
          <cell r="J2157">
            <v>2</v>
          </cell>
          <cell r="K2157">
            <v>2.4</v>
          </cell>
        </row>
        <row r="2158">
          <cell r="A2158" t="str">
            <v>M2</v>
          </cell>
          <cell r="B2158" t="str">
            <v>A5C</v>
          </cell>
          <cell r="C2158" t="str">
            <v>P</v>
          </cell>
          <cell r="D2158" t="str">
            <v>23181</v>
          </cell>
          <cell r="E2158" t="str">
            <v>PIPE</v>
          </cell>
          <cell r="F2158">
            <v>1</v>
          </cell>
          <cell r="G2158" t="str">
            <v>CB100404000400</v>
          </cell>
          <cell r="H2158">
            <v>4</v>
          </cell>
          <cell r="I2158" t="str">
            <v>--</v>
          </cell>
          <cell r="J2158">
            <v>2.1</v>
          </cell>
          <cell r="K2158">
            <v>2.6</v>
          </cell>
        </row>
        <row r="2159">
          <cell r="A2159" t="str">
            <v>M2</v>
          </cell>
          <cell r="B2159" t="str">
            <v>A5C</v>
          </cell>
          <cell r="C2159" t="str">
            <v>P</v>
          </cell>
          <cell r="D2159" t="str">
            <v>23058</v>
          </cell>
          <cell r="E2159" t="str">
            <v>PIPE</v>
          </cell>
          <cell r="F2159">
            <v>1</v>
          </cell>
          <cell r="G2159" t="str">
            <v>CB100404000400</v>
          </cell>
          <cell r="H2159">
            <v>4</v>
          </cell>
          <cell r="I2159" t="str">
            <v>--</v>
          </cell>
          <cell r="J2159">
            <v>3</v>
          </cell>
          <cell r="K2159">
            <v>3.6</v>
          </cell>
        </row>
        <row r="2160">
          <cell r="A2160" t="str">
            <v>M2</v>
          </cell>
          <cell r="B2160" t="str">
            <v>A5C</v>
          </cell>
          <cell r="C2160" t="str">
            <v>P</v>
          </cell>
          <cell r="D2160" t="str">
            <v>23110</v>
          </cell>
          <cell r="E2160" t="str">
            <v>PIPE</v>
          </cell>
          <cell r="F2160">
            <v>1</v>
          </cell>
          <cell r="G2160" t="str">
            <v>CB100404000400</v>
          </cell>
          <cell r="H2160">
            <v>4</v>
          </cell>
          <cell r="I2160" t="str">
            <v>--</v>
          </cell>
          <cell r="J2160">
            <v>3</v>
          </cell>
          <cell r="K2160">
            <v>3.6</v>
          </cell>
        </row>
        <row r="2161">
          <cell r="A2161" t="str">
            <v>M2</v>
          </cell>
          <cell r="B2161" t="str">
            <v>A5C</v>
          </cell>
          <cell r="C2161" t="str">
            <v>P</v>
          </cell>
          <cell r="D2161" t="str">
            <v>23068</v>
          </cell>
          <cell r="E2161" t="str">
            <v>PIPE</v>
          </cell>
          <cell r="F2161">
            <v>1</v>
          </cell>
          <cell r="G2161" t="str">
            <v>CB100404000400</v>
          </cell>
          <cell r="H2161">
            <v>4</v>
          </cell>
          <cell r="I2161" t="str">
            <v>--</v>
          </cell>
          <cell r="J2161">
            <v>3</v>
          </cell>
          <cell r="K2161">
            <v>3.6</v>
          </cell>
        </row>
        <row r="2162">
          <cell r="A2162" t="str">
            <v>M2</v>
          </cell>
          <cell r="B2162" t="str">
            <v>A5C</v>
          </cell>
          <cell r="C2162" t="str">
            <v>P</v>
          </cell>
          <cell r="D2162" t="str">
            <v>23095</v>
          </cell>
          <cell r="E2162" t="str">
            <v>PIPE</v>
          </cell>
          <cell r="F2162">
            <v>1</v>
          </cell>
          <cell r="G2162" t="str">
            <v>CB100404000400</v>
          </cell>
          <cell r="H2162">
            <v>4</v>
          </cell>
          <cell r="I2162" t="str">
            <v>--</v>
          </cell>
          <cell r="J2162">
            <v>3</v>
          </cell>
          <cell r="K2162">
            <v>3.6</v>
          </cell>
        </row>
        <row r="2163">
          <cell r="A2163" t="str">
            <v>M2</v>
          </cell>
          <cell r="B2163" t="str">
            <v>A5C</v>
          </cell>
          <cell r="C2163" t="str">
            <v>P</v>
          </cell>
          <cell r="D2163" t="str">
            <v>23114</v>
          </cell>
          <cell r="E2163" t="str">
            <v>PIPE</v>
          </cell>
          <cell r="F2163">
            <v>1</v>
          </cell>
          <cell r="G2163" t="str">
            <v>CB100404000400</v>
          </cell>
          <cell r="H2163">
            <v>4</v>
          </cell>
          <cell r="I2163" t="str">
            <v>--</v>
          </cell>
          <cell r="J2163">
            <v>3</v>
          </cell>
          <cell r="K2163">
            <v>3.6</v>
          </cell>
        </row>
        <row r="2164">
          <cell r="A2164" t="str">
            <v>M2</v>
          </cell>
          <cell r="B2164" t="str">
            <v>A5C</v>
          </cell>
          <cell r="C2164" t="str">
            <v>P</v>
          </cell>
          <cell r="D2164" t="str">
            <v>23123</v>
          </cell>
          <cell r="E2164" t="str">
            <v>PIPE</v>
          </cell>
          <cell r="F2164">
            <v>1</v>
          </cell>
          <cell r="G2164" t="str">
            <v>CB100404000400</v>
          </cell>
          <cell r="H2164">
            <v>4</v>
          </cell>
          <cell r="I2164" t="str">
            <v>--</v>
          </cell>
          <cell r="J2164">
            <v>3</v>
          </cell>
          <cell r="K2164">
            <v>3.6</v>
          </cell>
        </row>
        <row r="2165">
          <cell r="A2165" t="str">
            <v>M2</v>
          </cell>
          <cell r="B2165" t="str">
            <v>A5C</v>
          </cell>
          <cell r="C2165" t="str">
            <v>P</v>
          </cell>
          <cell r="D2165" t="str">
            <v>23127</v>
          </cell>
          <cell r="E2165" t="str">
            <v>PIPE</v>
          </cell>
          <cell r="F2165">
            <v>1</v>
          </cell>
          <cell r="G2165" t="str">
            <v>CB100404000400</v>
          </cell>
          <cell r="H2165">
            <v>4</v>
          </cell>
          <cell r="I2165" t="str">
            <v>--</v>
          </cell>
          <cell r="J2165">
            <v>3</v>
          </cell>
          <cell r="K2165">
            <v>3.6</v>
          </cell>
        </row>
        <row r="2166">
          <cell r="A2166" t="str">
            <v>M2</v>
          </cell>
          <cell r="B2166" t="str">
            <v>A5C</v>
          </cell>
          <cell r="C2166" t="str">
            <v>P</v>
          </cell>
          <cell r="D2166" t="str">
            <v>23228</v>
          </cell>
          <cell r="E2166" t="str">
            <v>PIPE</v>
          </cell>
          <cell r="F2166">
            <v>1</v>
          </cell>
          <cell r="G2166" t="str">
            <v>CB100404000400</v>
          </cell>
          <cell r="H2166">
            <v>4</v>
          </cell>
          <cell r="I2166" t="str">
            <v>--</v>
          </cell>
          <cell r="J2166">
            <v>4.5</v>
          </cell>
          <cell r="K2166">
            <v>5.4</v>
          </cell>
        </row>
        <row r="2167">
          <cell r="A2167" t="str">
            <v>M2</v>
          </cell>
          <cell r="B2167" t="str">
            <v>A5C</v>
          </cell>
          <cell r="C2167" t="str">
            <v>P</v>
          </cell>
          <cell r="D2167" t="str">
            <v>23250</v>
          </cell>
          <cell r="E2167" t="str">
            <v>PIPE</v>
          </cell>
          <cell r="F2167">
            <v>1</v>
          </cell>
          <cell r="G2167" t="str">
            <v>CB100404000400</v>
          </cell>
          <cell r="H2167">
            <v>4</v>
          </cell>
          <cell r="I2167" t="str">
            <v>--</v>
          </cell>
          <cell r="J2167">
            <v>4.5</v>
          </cell>
          <cell r="K2167">
            <v>5.4</v>
          </cell>
        </row>
        <row r="2168">
          <cell r="A2168" t="str">
            <v>M2</v>
          </cell>
          <cell r="B2168" t="str">
            <v>A5C</v>
          </cell>
          <cell r="C2168" t="str">
            <v>P</v>
          </cell>
          <cell r="D2168" t="str">
            <v>23134</v>
          </cell>
          <cell r="E2168" t="str">
            <v>PIPE</v>
          </cell>
          <cell r="F2168">
            <v>1</v>
          </cell>
          <cell r="G2168" t="str">
            <v>CB100404000400</v>
          </cell>
          <cell r="H2168">
            <v>4</v>
          </cell>
          <cell r="I2168" t="str">
            <v>--</v>
          </cell>
          <cell r="J2168">
            <v>5</v>
          </cell>
          <cell r="K2168">
            <v>6</v>
          </cell>
        </row>
        <row r="2169">
          <cell r="A2169" t="str">
            <v>M2</v>
          </cell>
          <cell r="B2169" t="str">
            <v>A5C</v>
          </cell>
          <cell r="C2169" t="str">
            <v>P</v>
          </cell>
          <cell r="D2169" t="str">
            <v>23146</v>
          </cell>
          <cell r="E2169" t="str">
            <v>PIPE</v>
          </cell>
          <cell r="F2169">
            <v>1</v>
          </cell>
          <cell r="G2169" t="str">
            <v>CB100404000400</v>
          </cell>
          <cell r="H2169">
            <v>4</v>
          </cell>
          <cell r="I2169" t="str">
            <v>--</v>
          </cell>
          <cell r="J2169">
            <v>5</v>
          </cell>
          <cell r="K2169">
            <v>6</v>
          </cell>
        </row>
        <row r="2170">
          <cell r="A2170" t="str">
            <v>M2</v>
          </cell>
          <cell r="B2170" t="str">
            <v>A5C</v>
          </cell>
          <cell r="C2170" t="str">
            <v>P</v>
          </cell>
          <cell r="D2170" t="str">
            <v>23095</v>
          </cell>
          <cell r="E2170" t="str">
            <v>PIPE</v>
          </cell>
          <cell r="F2170">
            <v>1</v>
          </cell>
          <cell r="G2170" t="str">
            <v>CB100404000400</v>
          </cell>
          <cell r="H2170">
            <v>4</v>
          </cell>
          <cell r="I2170" t="str">
            <v>--</v>
          </cell>
          <cell r="J2170">
            <v>6</v>
          </cell>
          <cell r="K2170">
            <v>7.2</v>
          </cell>
        </row>
        <row r="2171">
          <cell r="A2171" t="str">
            <v>M2</v>
          </cell>
          <cell r="B2171" t="str">
            <v>A5C</v>
          </cell>
          <cell r="C2171" t="str">
            <v>P</v>
          </cell>
          <cell r="D2171" t="str">
            <v>23110</v>
          </cell>
          <cell r="E2171" t="str">
            <v>PIPE</v>
          </cell>
          <cell r="F2171">
            <v>1</v>
          </cell>
          <cell r="G2171" t="str">
            <v>CB100404000400</v>
          </cell>
          <cell r="H2171">
            <v>4</v>
          </cell>
          <cell r="I2171" t="str">
            <v>--</v>
          </cell>
          <cell r="J2171">
            <v>6</v>
          </cell>
          <cell r="K2171">
            <v>7.2</v>
          </cell>
        </row>
        <row r="2172">
          <cell r="A2172" t="str">
            <v>M2</v>
          </cell>
          <cell r="B2172" t="str">
            <v>A5C</v>
          </cell>
          <cell r="C2172" t="str">
            <v>P</v>
          </cell>
          <cell r="D2172" t="str">
            <v>23114</v>
          </cell>
          <cell r="E2172" t="str">
            <v>PIPE</v>
          </cell>
          <cell r="F2172">
            <v>1</v>
          </cell>
          <cell r="G2172" t="str">
            <v>CB100404000400</v>
          </cell>
          <cell r="H2172">
            <v>4</v>
          </cell>
          <cell r="I2172" t="str">
            <v>--</v>
          </cell>
          <cell r="J2172">
            <v>6</v>
          </cell>
          <cell r="K2172">
            <v>7.2</v>
          </cell>
        </row>
        <row r="2173">
          <cell r="A2173" t="str">
            <v>M2</v>
          </cell>
          <cell r="B2173" t="str">
            <v>A5C</v>
          </cell>
          <cell r="C2173" t="str">
            <v>P</v>
          </cell>
          <cell r="D2173" t="str">
            <v>23121</v>
          </cell>
          <cell r="E2173" t="str">
            <v>PIPE</v>
          </cell>
          <cell r="F2173">
            <v>1</v>
          </cell>
          <cell r="G2173" t="str">
            <v>CB100404000400</v>
          </cell>
          <cell r="H2173">
            <v>4</v>
          </cell>
          <cell r="I2173" t="str">
            <v>--</v>
          </cell>
          <cell r="J2173">
            <v>8.5</v>
          </cell>
          <cell r="K2173">
            <v>10.199999999999999</v>
          </cell>
        </row>
        <row r="2174">
          <cell r="A2174" t="str">
            <v>M2</v>
          </cell>
          <cell r="B2174" t="str">
            <v>A5C</v>
          </cell>
          <cell r="C2174" t="str">
            <v>P</v>
          </cell>
          <cell r="D2174" t="str">
            <v>23174</v>
          </cell>
          <cell r="E2174" t="str">
            <v>PIPE</v>
          </cell>
          <cell r="F2174">
            <v>1</v>
          </cell>
          <cell r="G2174" t="str">
            <v>CB100404000400</v>
          </cell>
          <cell r="H2174">
            <v>4</v>
          </cell>
          <cell r="I2174" t="str">
            <v>--</v>
          </cell>
          <cell r="J2174">
            <v>9</v>
          </cell>
          <cell r="K2174">
            <v>10.8</v>
          </cell>
        </row>
        <row r="2175">
          <cell r="A2175" t="str">
            <v>M2</v>
          </cell>
          <cell r="B2175" t="str">
            <v>A5C</v>
          </cell>
          <cell r="C2175" t="str">
            <v>P</v>
          </cell>
          <cell r="D2175" t="str">
            <v>23024</v>
          </cell>
          <cell r="E2175" t="str">
            <v>PIPE</v>
          </cell>
          <cell r="F2175">
            <v>1</v>
          </cell>
          <cell r="G2175" t="str">
            <v>CB100404000400</v>
          </cell>
          <cell r="H2175">
            <v>4</v>
          </cell>
          <cell r="I2175" t="str">
            <v>--</v>
          </cell>
          <cell r="J2175">
            <v>13.5</v>
          </cell>
          <cell r="K2175">
            <v>16.2</v>
          </cell>
        </row>
        <row r="2176">
          <cell r="A2176" t="str">
            <v>M2</v>
          </cell>
          <cell r="B2176" t="str">
            <v>A5C</v>
          </cell>
          <cell r="C2176" t="str">
            <v>P</v>
          </cell>
          <cell r="D2176" t="str">
            <v>23227</v>
          </cell>
          <cell r="E2176" t="str">
            <v>PIPE</v>
          </cell>
          <cell r="F2176">
            <v>1</v>
          </cell>
          <cell r="G2176" t="str">
            <v>CB100404000400</v>
          </cell>
          <cell r="H2176">
            <v>4</v>
          </cell>
          <cell r="I2176" t="str">
            <v>--</v>
          </cell>
          <cell r="J2176">
            <v>14.5</v>
          </cell>
          <cell r="K2176">
            <v>17.399999999999999</v>
          </cell>
        </row>
        <row r="2177">
          <cell r="A2177" t="str">
            <v>M2</v>
          </cell>
          <cell r="B2177" t="str">
            <v>A5C</v>
          </cell>
          <cell r="C2177" t="str">
            <v>P</v>
          </cell>
          <cell r="D2177" t="str">
            <v>23249</v>
          </cell>
          <cell r="E2177" t="str">
            <v>PIPE</v>
          </cell>
          <cell r="F2177">
            <v>1</v>
          </cell>
          <cell r="G2177" t="str">
            <v>CB100404000400</v>
          </cell>
          <cell r="H2177">
            <v>4</v>
          </cell>
          <cell r="I2177" t="str">
            <v>--</v>
          </cell>
          <cell r="J2177">
            <v>14.5</v>
          </cell>
          <cell r="K2177">
            <v>17.399999999999999</v>
          </cell>
        </row>
        <row r="2178">
          <cell r="A2178" t="str">
            <v>M2</v>
          </cell>
          <cell r="B2178" t="str">
            <v>A5C</v>
          </cell>
          <cell r="C2178" t="str">
            <v>P</v>
          </cell>
          <cell r="D2178" t="str">
            <v>23139</v>
          </cell>
          <cell r="E2178" t="str">
            <v>PIPE</v>
          </cell>
          <cell r="F2178">
            <v>1</v>
          </cell>
          <cell r="G2178" t="str">
            <v>CB100404000400</v>
          </cell>
          <cell r="H2178">
            <v>4</v>
          </cell>
          <cell r="I2178" t="str">
            <v>--</v>
          </cell>
          <cell r="J2178">
            <v>15</v>
          </cell>
          <cell r="K2178">
            <v>18</v>
          </cell>
        </row>
        <row r="2179">
          <cell r="A2179" t="str">
            <v>M2</v>
          </cell>
          <cell r="B2179" t="str">
            <v>A5C</v>
          </cell>
          <cell r="C2179" t="str">
            <v>P</v>
          </cell>
          <cell r="D2179" t="str">
            <v>23062</v>
          </cell>
          <cell r="E2179" t="str">
            <v>PIPE</v>
          </cell>
          <cell r="F2179">
            <v>1</v>
          </cell>
          <cell r="G2179" t="str">
            <v>CB100404000400</v>
          </cell>
          <cell r="H2179">
            <v>4</v>
          </cell>
          <cell r="I2179" t="str">
            <v>--</v>
          </cell>
          <cell r="J2179">
            <v>17</v>
          </cell>
          <cell r="K2179">
            <v>20.399999999999999</v>
          </cell>
        </row>
        <row r="2180">
          <cell r="A2180" t="str">
            <v>M2</v>
          </cell>
          <cell r="B2180" t="str">
            <v>A5C</v>
          </cell>
          <cell r="C2180" t="str">
            <v>P</v>
          </cell>
          <cell r="D2180" t="str">
            <v>23029</v>
          </cell>
          <cell r="E2180" t="str">
            <v>PIPE</v>
          </cell>
          <cell r="F2180">
            <v>1</v>
          </cell>
          <cell r="G2180" t="str">
            <v>CB100404000400</v>
          </cell>
          <cell r="H2180">
            <v>4</v>
          </cell>
          <cell r="I2180" t="str">
            <v>--</v>
          </cell>
          <cell r="J2180">
            <v>18.7</v>
          </cell>
          <cell r="K2180">
            <v>22.5</v>
          </cell>
        </row>
        <row r="2181">
          <cell r="A2181" t="str">
            <v>M2</v>
          </cell>
          <cell r="B2181" t="str">
            <v>A5C</v>
          </cell>
          <cell r="C2181" t="str">
            <v>P</v>
          </cell>
          <cell r="D2181" t="str">
            <v>23100</v>
          </cell>
          <cell r="E2181" t="str">
            <v>PIPE</v>
          </cell>
          <cell r="F2181">
            <v>1</v>
          </cell>
          <cell r="G2181" t="str">
            <v>CB100404000400</v>
          </cell>
          <cell r="H2181">
            <v>4</v>
          </cell>
          <cell r="I2181" t="str">
            <v>--</v>
          </cell>
          <cell r="J2181">
            <v>20</v>
          </cell>
          <cell r="K2181">
            <v>24</v>
          </cell>
        </row>
        <row r="2182">
          <cell r="A2182" t="str">
            <v>M2</v>
          </cell>
          <cell r="B2182" t="str">
            <v>A5C</v>
          </cell>
          <cell r="C2182" t="str">
            <v>P</v>
          </cell>
          <cell r="D2182" t="str">
            <v>23174</v>
          </cell>
          <cell r="E2182" t="str">
            <v>PIPE</v>
          </cell>
          <cell r="F2182">
            <v>1</v>
          </cell>
          <cell r="G2182" t="str">
            <v>CB100404000400</v>
          </cell>
          <cell r="H2182">
            <v>4</v>
          </cell>
          <cell r="I2182" t="str">
            <v>--</v>
          </cell>
          <cell r="J2182">
            <v>48.1</v>
          </cell>
          <cell r="K2182">
            <v>57.8</v>
          </cell>
        </row>
        <row r="2183">
          <cell r="A2183" t="str">
            <v>M2</v>
          </cell>
          <cell r="B2183" t="str">
            <v>A5C</v>
          </cell>
          <cell r="C2183" t="str">
            <v>P</v>
          </cell>
          <cell r="D2183" t="str">
            <v>23072</v>
          </cell>
          <cell r="E2183" t="str">
            <v>PIPE</v>
          </cell>
          <cell r="F2183">
            <v>1</v>
          </cell>
          <cell r="G2183" t="str">
            <v>CB100404000400</v>
          </cell>
          <cell r="H2183">
            <v>4</v>
          </cell>
          <cell r="I2183" t="str">
            <v>--</v>
          </cell>
          <cell r="J2183">
            <v>52.1</v>
          </cell>
          <cell r="K2183">
            <v>62.6</v>
          </cell>
        </row>
        <row r="2184">
          <cell r="A2184" t="str">
            <v>M2</v>
          </cell>
          <cell r="B2184" t="str">
            <v>A5C</v>
          </cell>
          <cell r="C2184" t="str">
            <v>P</v>
          </cell>
          <cell r="D2184" t="str">
            <v>23029</v>
          </cell>
          <cell r="E2184" t="str">
            <v>PIPE</v>
          </cell>
          <cell r="F2184">
            <v>1</v>
          </cell>
          <cell r="G2184" t="str">
            <v>CB100404000400</v>
          </cell>
          <cell r="H2184">
            <v>4</v>
          </cell>
          <cell r="I2184" t="str">
            <v>--</v>
          </cell>
          <cell r="J2184">
            <v>53.1</v>
          </cell>
          <cell r="K2184">
            <v>63.8</v>
          </cell>
        </row>
        <row r="2185">
          <cell r="A2185" t="str">
            <v>M2</v>
          </cell>
          <cell r="B2185" t="str">
            <v>A5C</v>
          </cell>
          <cell r="C2185" t="str">
            <v>P</v>
          </cell>
          <cell r="D2185" t="str">
            <v>23267</v>
          </cell>
          <cell r="E2185" t="str">
            <v>PIPE</v>
          </cell>
          <cell r="F2185">
            <v>1</v>
          </cell>
          <cell r="G2185" t="str">
            <v>CB100404000400</v>
          </cell>
          <cell r="H2185">
            <v>4</v>
          </cell>
          <cell r="I2185" t="str">
            <v>--</v>
          </cell>
          <cell r="J2185">
            <v>56.5</v>
          </cell>
          <cell r="K2185">
            <v>67.8</v>
          </cell>
        </row>
        <row r="2186">
          <cell r="A2186" t="str">
            <v>M2</v>
          </cell>
          <cell r="B2186" t="str">
            <v>A5C</v>
          </cell>
          <cell r="C2186" t="str">
            <v>P</v>
          </cell>
          <cell r="D2186" t="str">
            <v>23024</v>
          </cell>
          <cell r="E2186" t="str">
            <v>PIPE</v>
          </cell>
          <cell r="F2186">
            <v>1</v>
          </cell>
          <cell r="G2186" t="str">
            <v>CB100404000400</v>
          </cell>
          <cell r="H2186">
            <v>4</v>
          </cell>
          <cell r="I2186" t="str">
            <v>--</v>
          </cell>
          <cell r="J2186">
            <v>61.4</v>
          </cell>
          <cell r="K2186">
            <v>73.7</v>
          </cell>
        </row>
        <row r="2187">
          <cell r="A2187" t="str">
            <v>M2</v>
          </cell>
          <cell r="B2187" t="str">
            <v>A5C</v>
          </cell>
          <cell r="C2187" t="str">
            <v>P</v>
          </cell>
          <cell r="D2187" t="str">
            <v>HOLD2</v>
          </cell>
          <cell r="E2187" t="str">
            <v>PIPE</v>
          </cell>
          <cell r="F2187">
            <v>1</v>
          </cell>
          <cell r="G2187" t="str">
            <v>CB100404000400</v>
          </cell>
          <cell r="H2187">
            <v>4</v>
          </cell>
          <cell r="I2187" t="str">
            <v>--</v>
          </cell>
          <cell r="J2187">
            <v>255</v>
          </cell>
          <cell r="K2187">
            <v>306</v>
          </cell>
        </row>
        <row r="2188">
          <cell r="A2188" t="str">
            <v>M2</v>
          </cell>
          <cell r="B2188" t="str">
            <v>A5C</v>
          </cell>
          <cell r="C2188" t="str">
            <v>P</v>
          </cell>
          <cell r="D2188" t="str">
            <v>23160</v>
          </cell>
          <cell r="E2188" t="str">
            <v>PIPE</v>
          </cell>
          <cell r="F2188">
            <v>1</v>
          </cell>
          <cell r="G2188" t="str">
            <v>CB100404000600</v>
          </cell>
          <cell r="H2188">
            <v>6</v>
          </cell>
          <cell r="I2188" t="str">
            <v>--</v>
          </cell>
          <cell r="J2188">
            <v>1</v>
          </cell>
          <cell r="K2188">
            <v>1.2</v>
          </cell>
        </row>
        <row r="2189">
          <cell r="A2189" t="str">
            <v>M2</v>
          </cell>
          <cell r="B2189" t="str">
            <v>A5C</v>
          </cell>
          <cell r="C2189" t="str">
            <v>P</v>
          </cell>
          <cell r="D2189" t="str">
            <v>23083</v>
          </cell>
          <cell r="E2189" t="str">
            <v>PIPE</v>
          </cell>
          <cell r="F2189">
            <v>1</v>
          </cell>
          <cell r="G2189" t="str">
            <v>CB100404000600</v>
          </cell>
          <cell r="H2189">
            <v>6</v>
          </cell>
          <cell r="I2189" t="str">
            <v>--</v>
          </cell>
          <cell r="J2189">
            <v>2</v>
          </cell>
          <cell r="K2189">
            <v>2.4</v>
          </cell>
        </row>
        <row r="2190">
          <cell r="A2190" t="str">
            <v>M2</v>
          </cell>
          <cell r="B2190" t="str">
            <v>A5C</v>
          </cell>
          <cell r="C2190" t="str">
            <v>P</v>
          </cell>
          <cell r="D2190" t="str">
            <v>23056</v>
          </cell>
          <cell r="E2190" t="str">
            <v>PIPE</v>
          </cell>
          <cell r="F2190">
            <v>1</v>
          </cell>
          <cell r="G2190" t="str">
            <v>CB100404000600</v>
          </cell>
          <cell r="H2190">
            <v>6</v>
          </cell>
          <cell r="I2190" t="str">
            <v>--</v>
          </cell>
          <cell r="J2190">
            <v>2</v>
          </cell>
          <cell r="K2190">
            <v>2.4</v>
          </cell>
        </row>
        <row r="2191">
          <cell r="A2191" t="str">
            <v>M2</v>
          </cell>
          <cell r="B2191" t="str">
            <v>A5C</v>
          </cell>
          <cell r="C2191" t="str">
            <v>P</v>
          </cell>
          <cell r="D2191" t="str">
            <v>23075</v>
          </cell>
          <cell r="E2191" t="str">
            <v>PIPE</v>
          </cell>
          <cell r="F2191">
            <v>1</v>
          </cell>
          <cell r="G2191" t="str">
            <v>CB100404000600</v>
          </cell>
          <cell r="H2191">
            <v>6</v>
          </cell>
          <cell r="I2191" t="str">
            <v>--</v>
          </cell>
          <cell r="J2191">
            <v>2</v>
          </cell>
          <cell r="K2191">
            <v>2.4</v>
          </cell>
        </row>
        <row r="2192">
          <cell r="A2192" t="str">
            <v>M2</v>
          </cell>
          <cell r="B2192" t="str">
            <v>A5C</v>
          </cell>
          <cell r="C2192" t="str">
            <v>P</v>
          </cell>
          <cell r="D2192" t="str">
            <v>23084</v>
          </cell>
          <cell r="E2192" t="str">
            <v>PIPE</v>
          </cell>
          <cell r="F2192">
            <v>1</v>
          </cell>
          <cell r="G2192" t="str">
            <v>CB100404000600</v>
          </cell>
          <cell r="H2192">
            <v>6</v>
          </cell>
          <cell r="I2192" t="str">
            <v>--</v>
          </cell>
          <cell r="J2192">
            <v>3</v>
          </cell>
          <cell r="K2192">
            <v>3.6</v>
          </cell>
        </row>
        <row r="2193">
          <cell r="A2193" t="str">
            <v>M2</v>
          </cell>
          <cell r="B2193" t="str">
            <v>A5C</v>
          </cell>
          <cell r="C2193" t="str">
            <v>P</v>
          </cell>
          <cell r="D2193" t="str">
            <v>23090</v>
          </cell>
          <cell r="E2193" t="str">
            <v>PIPE</v>
          </cell>
          <cell r="F2193">
            <v>1</v>
          </cell>
          <cell r="G2193" t="str">
            <v>CB100404000600</v>
          </cell>
          <cell r="H2193">
            <v>6</v>
          </cell>
          <cell r="I2193" t="str">
            <v>--</v>
          </cell>
          <cell r="J2193">
            <v>4</v>
          </cell>
          <cell r="K2193">
            <v>4.8</v>
          </cell>
        </row>
        <row r="2194">
          <cell r="A2194" t="str">
            <v>M2</v>
          </cell>
          <cell r="B2194" t="str">
            <v>A5C</v>
          </cell>
          <cell r="C2194" t="str">
            <v>P</v>
          </cell>
          <cell r="D2194" t="str">
            <v>23129</v>
          </cell>
          <cell r="E2194" t="str">
            <v>PIPE</v>
          </cell>
          <cell r="F2194">
            <v>1</v>
          </cell>
          <cell r="G2194" t="str">
            <v>CB100404000600</v>
          </cell>
          <cell r="H2194">
            <v>6</v>
          </cell>
          <cell r="I2194" t="str">
            <v>--</v>
          </cell>
          <cell r="J2194">
            <v>4</v>
          </cell>
          <cell r="K2194">
            <v>4.8</v>
          </cell>
        </row>
        <row r="2195">
          <cell r="A2195" t="str">
            <v>M2</v>
          </cell>
          <cell r="B2195" t="str">
            <v>A5C</v>
          </cell>
          <cell r="C2195" t="str">
            <v>P</v>
          </cell>
          <cell r="D2195" t="str">
            <v>23097</v>
          </cell>
          <cell r="E2195" t="str">
            <v>PIPE</v>
          </cell>
          <cell r="F2195">
            <v>1</v>
          </cell>
          <cell r="G2195" t="str">
            <v>CB100404000600</v>
          </cell>
          <cell r="H2195">
            <v>6</v>
          </cell>
          <cell r="I2195" t="str">
            <v>--</v>
          </cell>
          <cell r="J2195">
            <v>5.5</v>
          </cell>
          <cell r="K2195">
            <v>6.6</v>
          </cell>
        </row>
        <row r="2196">
          <cell r="A2196" t="str">
            <v>M2</v>
          </cell>
          <cell r="B2196" t="str">
            <v>A5C</v>
          </cell>
          <cell r="C2196" t="str">
            <v>P</v>
          </cell>
          <cell r="D2196" t="str">
            <v>23136</v>
          </cell>
          <cell r="E2196" t="str">
            <v>PIPE</v>
          </cell>
          <cell r="F2196">
            <v>1</v>
          </cell>
          <cell r="G2196" t="str">
            <v>CB100404000600</v>
          </cell>
          <cell r="H2196">
            <v>6</v>
          </cell>
          <cell r="I2196" t="str">
            <v>--</v>
          </cell>
          <cell r="J2196">
            <v>5.5</v>
          </cell>
          <cell r="K2196">
            <v>6.6</v>
          </cell>
        </row>
        <row r="2197">
          <cell r="A2197" t="str">
            <v>M2</v>
          </cell>
          <cell r="B2197" t="str">
            <v>A5C</v>
          </cell>
          <cell r="C2197" t="str">
            <v>P</v>
          </cell>
          <cell r="D2197" t="str">
            <v>23025</v>
          </cell>
          <cell r="E2197" t="str">
            <v>PIPE</v>
          </cell>
          <cell r="F2197">
            <v>1</v>
          </cell>
          <cell r="G2197" t="str">
            <v>CB100404000600</v>
          </cell>
          <cell r="H2197">
            <v>6</v>
          </cell>
          <cell r="I2197" t="str">
            <v>--</v>
          </cell>
          <cell r="J2197">
            <v>5.8</v>
          </cell>
          <cell r="K2197">
            <v>7</v>
          </cell>
        </row>
        <row r="2198">
          <cell r="A2198" t="str">
            <v>M2</v>
          </cell>
          <cell r="B2198" t="str">
            <v>A5C</v>
          </cell>
          <cell r="C2198" t="str">
            <v>P</v>
          </cell>
          <cell r="D2198" t="str">
            <v>23221</v>
          </cell>
          <cell r="E2198" t="str">
            <v>PIPE</v>
          </cell>
          <cell r="F2198">
            <v>1</v>
          </cell>
          <cell r="G2198" t="str">
            <v>CB100404000600</v>
          </cell>
          <cell r="H2198">
            <v>6</v>
          </cell>
          <cell r="I2198" t="str">
            <v>--</v>
          </cell>
          <cell r="J2198">
            <v>7</v>
          </cell>
          <cell r="K2198">
            <v>8.4</v>
          </cell>
        </row>
        <row r="2199">
          <cell r="A2199" t="str">
            <v>M2</v>
          </cell>
          <cell r="B2199" t="str">
            <v>A5C</v>
          </cell>
          <cell r="C2199" t="str">
            <v>P</v>
          </cell>
          <cell r="D2199" t="str">
            <v>23244</v>
          </cell>
          <cell r="E2199" t="str">
            <v>PIPE</v>
          </cell>
          <cell r="F2199">
            <v>1</v>
          </cell>
          <cell r="G2199" t="str">
            <v>CB100404000600</v>
          </cell>
          <cell r="H2199">
            <v>6</v>
          </cell>
          <cell r="I2199" t="str">
            <v>--</v>
          </cell>
          <cell r="J2199">
            <v>7</v>
          </cell>
          <cell r="K2199">
            <v>8.4</v>
          </cell>
        </row>
        <row r="2200">
          <cell r="A2200" t="str">
            <v>M2</v>
          </cell>
          <cell r="B2200" t="str">
            <v>A5C</v>
          </cell>
          <cell r="C2200" t="str">
            <v>P</v>
          </cell>
          <cell r="D2200" t="str">
            <v>23152</v>
          </cell>
          <cell r="E2200" t="str">
            <v>PIPE</v>
          </cell>
          <cell r="F2200">
            <v>1</v>
          </cell>
          <cell r="G2200" t="str">
            <v>CB100404000600</v>
          </cell>
          <cell r="H2200">
            <v>6</v>
          </cell>
          <cell r="I2200" t="str">
            <v>--</v>
          </cell>
          <cell r="J2200">
            <v>10</v>
          </cell>
          <cell r="K2200">
            <v>12</v>
          </cell>
        </row>
        <row r="2201">
          <cell r="A2201" t="str">
            <v>M2</v>
          </cell>
          <cell r="B2201" t="str">
            <v>A5C</v>
          </cell>
          <cell r="C2201" t="str">
            <v>P</v>
          </cell>
          <cell r="D2201" t="str">
            <v>23021</v>
          </cell>
          <cell r="E2201" t="str">
            <v>PIPE</v>
          </cell>
          <cell r="F2201">
            <v>1</v>
          </cell>
          <cell r="G2201" t="str">
            <v>CB100404000600</v>
          </cell>
          <cell r="H2201">
            <v>6</v>
          </cell>
          <cell r="I2201" t="str">
            <v>--</v>
          </cell>
          <cell r="J2201">
            <v>10</v>
          </cell>
          <cell r="K2201">
            <v>12</v>
          </cell>
        </row>
        <row r="2202">
          <cell r="A2202" t="str">
            <v>M2</v>
          </cell>
          <cell r="B2202" t="str">
            <v>A5C</v>
          </cell>
          <cell r="C2202" t="str">
            <v>P</v>
          </cell>
          <cell r="D2202" t="str">
            <v>23091</v>
          </cell>
          <cell r="E2202" t="str">
            <v>PIPE</v>
          </cell>
          <cell r="F2202">
            <v>1</v>
          </cell>
          <cell r="G2202" t="str">
            <v>CB100404000600</v>
          </cell>
          <cell r="H2202">
            <v>6</v>
          </cell>
          <cell r="I2202" t="str">
            <v>--</v>
          </cell>
          <cell r="J2202">
            <v>10</v>
          </cell>
          <cell r="K2202">
            <v>12</v>
          </cell>
        </row>
        <row r="2203">
          <cell r="A2203" t="str">
            <v>M2</v>
          </cell>
          <cell r="B2203" t="str">
            <v>A5C</v>
          </cell>
          <cell r="C2203" t="str">
            <v>P</v>
          </cell>
          <cell r="D2203" t="str">
            <v>23130</v>
          </cell>
          <cell r="E2203" t="str">
            <v>PIPE</v>
          </cell>
          <cell r="F2203">
            <v>1</v>
          </cell>
          <cell r="G2203" t="str">
            <v>CB100404000600</v>
          </cell>
          <cell r="H2203">
            <v>6</v>
          </cell>
          <cell r="I2203" t="str">
            <v>--</v>
          </cell>
          <cell r="J2203">
            <v>10</v>
          </cell>
          <cell r="K2203">
            <v>12</v>
          </cell>
        </row>
        <row r="2204">
          <cell r="A2204" t="str">
            <v>M2</v>
          </cell>
          <cell r="B2204" t="str">
            <v>A5C</v>
          </cell>
          <cell r="C2204" t="str">
            <v>P</v>
          </cell>
          <cell r="D2204" t="str">
            <v>23026</v>
          </cell>
          <cell r="E2204" t="str">
            <v>PIPE</v>
          </cell>
          <cell r="F2204">
            <v>1</v>
          </cell>
          <cell r="G2204" t="str">
            <v>CB100404000600</v>
          </cell>
          <cell r="H2204">
            <v>6</v>
          </cell>
          <cell r="I2204" t="str">
            <v>--</v>
          </cell>
          <cell r="J2204">
            <v>13.5</v>
          </cell>
          <cell r="K2204">
            <v>16.2</v>
          </cell>
        </row>
        <row r="2205">
          <cell r="A2205" t="str">
            <v>M2</v>
          </cell>
          <cell r="B2205" t="str">
            <v>A5C</v>
          </cell>
          <cell r="C2205" t="str">
            <v>P</v>
          </cell>
          <cell r="D2205" t="str">
            <v>23181</v>
          </cell>
          <cell r="E2205" t="str">
            <v>PIPE</v>
          </cell>
          <cell r="F2205">
            <v>1</v>
          </cell>
          <cell r="G2205" t="str">
            <v>CB100404000600</v>
          </cell>
          <cell r="H2205">
            <v>6</v>
          </cell>
          <cell r="I2205" t="str">
            <v>--</v>
          </cell>
          <cell r="J2205">
            <v>22</v>
          </cell>
          <cell r="K2205">
            <v>26.4</v>
          </cell>
        </row>
        <row r="2206">
          <cell r="A2206" t="str">
            <v>M2</v>
          </cell>
          <cell r="B2206" t="str">
            <v>A5C</v>
          </cell>
          <cell r="C2206" t="str">
            <v>P</v>
          </cell>
          <cell r="D2206" t="str">
            <v>23181</v>
          </cell>
          <cell r="E2206" t="str">
            <v>PIPE</v>
          </cell>
          <cell r="F2206">
            <v>1</v>
          </cell>
          <cell r="G2206" t="str">
            <v>CB100404000600</v>
          </cell>
          <cell r="H2206">
            <v>6</v>
          </cell>
          <cell r="I2206" t="str">
            <v>--</v>
          </cell>
          <cell r="J2206">
            <v>29</v>
          </cell>
          <cell r="K2206">
            <v>34.799999999999997</v>
          </cell>
        </row>
        <row r="2207">
          <cell r="A2207" t="str">
            <v>M2</v>
          </cell>
          <cell r="B2207" t="str">
            <v>A5C</v>
          </cell>
          <cell r="C2207" t="str">
            <v>P</v>
          </cell>
          <cell r="D2207" t="str">
            <v>23152</v>
          </cell>
          <cell r="E2207" t="str">
            <v>PIPE</v>
          </cell>
          <cell r="F2207">
            <v>1</v>
          </cell>
          <cell r="G2207" t="str">
            <v>CB100404000600</v>
          </cell>
          <cell r="H2207">
            <v>6</v>
          </cell>
          <cell r="I2207" t="str">
            <v>--</v>
          </cell>
          <cell r="J2207">
            <v>31.5</v>
          </cell>
          <cell r="K2207">
            <v>37.799999999999997</v>
          </cell>
        </row>
        <row r="2208">
          <cell r="A2208" t="str">
            <v>M2</v>
          </cell>
          <cell r="B2208" t="str">
            <v>A5C</v>
          </cell>
          <cell r="C2208" t="str">
            <v>P</v>
          </cell>
          <cell r="D2208" t="str">
            <v>23010</v>
          </cell>
          <cell r="E2208" t="str">
            <v>PIPE</v>
          </cell>
          <cell r="F2208">
            <v>1</v>
          </cell>
          <cell r="G2208" t="str">
            <v>CB100404000800</v>
          </cell>
          <cell r="H2208">
            <v>8</v>
          </cell>
          <cell r="I2208" t="str">
            <v>--</v>
          </cell>
          <cell r="J2208">
            <v>1.3</v>
          </cell>
          <cell r="K2208">
            <v>1.6</v>
          </cell>
        </row>
        <row r="2209">
          <cell r="A2209" t="str">
            <v>M2</v>
          </cell>
          <cell r="B2209" t="str">
            <v>A5C</v>
          </cell>
          <cell r="C2209" t="str">
            <v>P</v>
          </cell>
          <cell r="D2209" t="str">
            <v>23093</v>
          </cell>
          <cell r="E2209" t="str">
            <v>PIPE</v>
          </cell>
          <cell r="F2209">
            <v>1</v>
          </cell>
          <cell r="G2209" t="str">
            <v>CB100404000800</v>
          </cell>
          <cell r="H2209">
            <v>8</v>
          </cell>
          <cell r="I2209" t="str">
            <v>--</v>
          </cell>
          <cell r="J2209">
            <v>5.5</v>
          </cell>
          <cell r="K2209">
            <v>6.6</v>
          </cell>
        </row>
        <row r="2210">
          <cell r="A2210" t="str">
            <v>M2</v>
          </cell>
          <cell r="B2210" t="str">
            <v>A5C</v>
          </cell>
          <cell r="C2210" t="str">
            <v>P</v>
          </cell>
          <cell r="D2210" t="str">
            <v>23132</v>
          </cell>
          <cell r="E2210" t="str">
            <v>PIPE</v>
          </cell>
          <cell r="F2210">
            <v>1</v>
          </cell>
          <cell r="G2210" t="str">
            <v>CB100404000800</v>
          </cell>
          <cell r="H2210">
            <v>8</v>
          </cell>
          <cell r="I2210" t="str">
            <v>--</v>
          </cell>
          <cell r="J2210">
            <v>5.5</v>
          </cell>
          <cell r="K2210">
            <v>6.6</v>
          </cell>
        </row>
        <row r="2211">
          <cell r="A2211" t="str">
            <v>M2</v>
          </cell>
          <cell r="B2211" t="str">
            <v>A5C</v>
          </cell>
          <cell r="C2211" t="str">
            <v>P</v>
          </cell>
          <cell r="D2211" t="str">
            <v>23067</v>
          </cell>
          <cell r="E2211" t="str">
            <v>PIPE</v>
          </cell>
          <cell r="F2211">
            <v>1</v>
          </cell>
          <cell r="G2211" t="str">
            <v>CB100404000800</v>
          </cell>
          <cell r="H2211">
            <v>8</v>
          </cell>
          <cell r="I2211" t="str">
            <v>--</v>
          </cell>
          <cell r="J2211">
            <v>9</v>
          </cell>
          <cell r="K2211">
            <v>10.8</v>
          </cell>
        </row>
        <row r="2212">
          <cell r="A2212" t="str">
            <v>M2</v>
          </cell>
          <cell r="B2212" t="str">
            <v>A5C</v>
          </cell>
          <cell r="C2212" t="str">
            <v>P</v>
          </cell>
          <cell r="D2212" t="str">
            <v>23126</v>
          </cell>
          <cell r="E2212" t="str">
            <v>PIPE</v>
          </cell>
          <cell r="F2212">
            <v>1</v>
          </cell>
          <cell r="G2212" t="str">
            <v>CB100404000800</v>
          </cell>
          <cell r="H2212">
            <v>8</v>
          </cell>
          <cell r="I2212" t="str">
            <v>--</v>
          </cell>
          <cell r="J2212">
            <v>9</v>
          </cell>
          <cell r="K2212">
            <v>10.8</v>
          </cell>
        </row>
        <row r="2213">
          <cell r="A2213" t="str">
            <v>M2</v>
          </cell>
          <cell r="B2213" t="str">
            <v>A5C</v>
          </cell>
          <cell r="C2213" t="str">
            <v>P</v>
          </cell>
          <cell r="D2213" t="str">
            <v>23089</v>
          </cell>
          <cell r="E2213" t="str">
            <v>PIPE</v>
          </cell>
          <cell r="F2213">
            <v>1</v>
          </cell>
          <cell r="G2213" t="str">
            <v>CB100404000800</v>
          </cell>
          <cell r="H2213">
            <v>8</v>
          </cell>
          <cell r="I2213" t="str">
            <v>--</v>
          </cell>
          <cell r="J2213">
            <v>9.5</v>
          </cell>
          <cell r="K2213">
            <v>11.4</v>
          </cell>
        </row>
        <row r="2214">
          <cell r="A2214" t="str">
            <v>M2</v>
          </cell>
          <cell r="B2214" t="str">
            <v>A5C</v>
          </cell>
          <cell r="C2214" t="str">
            <v>P</v>
          </cell>
          <cell r="D2214" t="str">
            <v>23128</v>
          </cell>
          <cell r="E2214" t="str">
            <v>PIPE</v>
          </cell>
          <cell r="F2214">
            <v>1</v>
          </cell>
          <cell r="G2214" t="str">
            <v>CB100404000800</v>
          </cell>
          <cell r="H2214">
            <v>8</v>
          </cell>
          <cell r="I2214" t="str">
            <v>--</v>
          </cell>
          <cell r="J2214">
            <v>9.5</v>
          </cell>
          <cell r="K2214">
            <v>11.4</v>
          </cell>
        </row>
        <row r="2215">
          <cell r="A2215" t="str">
            <v>M2</v>
          </cell>
          <cell r="B2215" t="str">
            <v>A5C</v>
          </cell>
          <cell r="C2215" t="str">
            <v>P</v>
          </cell>
          <cell r="D2215" t="str">
            <v>23046</v>
          </cell>
          <cell r="E2215" t="str">
            <v>PIPE</v>
          </cell>
          <cell r="F2215">
            <v>1</v>
          </cell>
          <cell r="G2215" t="str">
            <v>CB100404000800</v>
          </cell>
          <cell r="H2215">
            <v>8</v>
          </cell>
          <cell r="I2215" t="str">
            <v>--</v>
          </cell>
          <cell r="J2215">
            <v>48.3</v>
          </cell>
          <cell r="K2215">
            <v>58</v>
          </cell>
        </row>
        <row r="2216">
          <cell r="A2216" t="str">
            <v>M2</v>
          </cell>
          <cell r="B2216" t="str">
            <v>A5C</v>
          </cell>
          <cell r="C2216" t="str">
            <v>P</v>
          </cell>
          <cell r="D2216" t="str">
            <v>23160</v>
          </cell>
          <cell r="E2216" t="str">
            <v>PIPE</v>
          </cell>
          <cell r="F2216">
            <v>1</v>
          </cell>
          <cell r="G2216" t="str">
            <v>CB100404000800</v>
          </cell>
          <cell r="H2216">
            <v>8</v>
          </cell>
          <cell r="I2216" t="str">
            <v>--</v>
          </cell>
          <cell r="J2216">
            <v>61.6</v>
          </cell>
          <cell r="K2216">
            <v>74</v>
          </cell>
        </row>
        <row r="2217">
          <cell r="A2217" t="str">
            <v>M2</v>
          </cell>
          <cell r="B2217" t="str">
            <v>A5C</v>
          </cell>
          <cell r="C2217" t="str">
            <v>P</v>
          </cell>
          <cell r="D2217" t="str">
            <v>23049</v>
          </cell>
          <cell r="E2217" t="str">
            <v>PIPE</v>
          </cell>
          <cell r="F2217">
            <v>1</v>
          </cell>
          <cell r="G2217" t="str">
            <v>CB100404001000</v>
          </cell>
          <cell r="H2217">
            <v>10</v>
          </cell>
          <cell r="I2217" t="str">
            <v>--</v>
          </cell>
          <cell r="J2217">
            <v>1.3</v>
          </cell>
          <cell r="K2217">
            <v>1.5</v>
          </cell>
        </row>
        <row r="2218">
          <cell r="A2218" t="str">
            <v>M2</v>
          </cell>
          <cell r="B2218" t="str">
            <v>A5C</v>
          </cell>
          <cell r="C2218" t="str">
            <v>P</v>
          </cell>
          <cell r="D2218" t="str">
            <v>23060</v>
          </cell>
          <cell r="E2218" t="str">
            <v>PIPE</v>
          </cell>
          <cell r="F2218">
            <v>1</v>
          </cell>
          <cell r="G2218" t="str">
            <v>CB100404001000</v>
          </cell>
          <cell r="H2218">
            <v>10</v>
          </cell>
          <cell r="I2218" t="str">
            <v>--</v>
          </cell>
          <cell r="J2218">
            <v>2</v>
          </cell>
          <cell r="K2218">
            <v>2.2000000000000002</v>
          </cell>
        </row>
        <row r="2219">
          <cell r="A2219" t="str">
            <v>M2</v>
          </cell>
          <cell r="B2219" t="str">
            <v>A5C</v>
          </cell>
          <cell r="C2219" t="str">
            <v>P</v>
          </cell>
          <cell r="D2219" t="str">
            <v>23023</v>
          </cell>
          <cell r="E2219" t="str">
            <v>PIPE</v>
          </cell>
          <cell r="F2219">
            <v>1</v>
          </cell>
          <cell r="G2219" t="str">
            <v>CB100404001000</v>
          </cell>
          <cell r="H2219">
            <v>10</v>
          </cell>
          <cell r="I2219" t="str">
            <v>--</v>
          </cell>
          <cell r="J2219">
            <v>2.6</v>
          </cell>
          <cell r="K2219">
            <v>2.9</v>
          </cell>
        </row>
        <row r="2220">
          <cell r="A2220" t="str">
            <v>M2</v>
          </cell>
          <cell r="B2220" t="str">
            <v>A5C</v>
          </cell>
          <cell r="C2220" t="str">
            <v>P</v>
          </cell>
          <cell r="D2220" t="str">
            <v>23011</v>
          </cell>
          <cell r="E2220" t="str">
            <v>PIPE</v>
          </cell>
          <cell r="F2220">
            <v>1</v>
          </cell>
          <cell r="G2220" t="str">
            <v>CB100404001000</v>
          </cell>
          <cell r="H2220">
            <v>10</v>
          </cell>
          <cell r="I2220" t="str">
            <v>--</v>
          </cell>
          <cell r="J2220">
            <v>33.9</v>
          </cell>
          <cell r="K2220">
            <v>37.299999999999997</v>
          </cell>
        </row>
        <row r="2221">
          <cell r="A2221" t="str">
            <v>M2</v>
          </cell>
          <cell r="B2221" t="str">
            <v>A5C</v>
          </cell>
          <cell r="C2221" t="str">
            <v>P</v>
          </cell>
          <cell r="D2221" t="str">
            <v>23057</v>
          </cell>
          <cell r="E2221" t="str">
            <v>PIPE</v>
          </cell>
          <cell r="F2221">
            <v>1</v>
          </cell>
          <cell r="G2221" t="str">
            <v>CB100404001000</v>
          </cell>
          <cell r="H2221">
            <v>10</v>
          </cell>
          <cell r="I2221" t="str">
            <v>--</v>
          </cell>
          <cell r="J2221">
            <v>52.5</v>
          </cell>
          <cell r="K2221">
            <v>57.8</v>
          </cell>
        </row>
        <row r="2222">
          <cell r="A2222" t="str">
            <v>M2</v>
          </cell>
          <cell r="B2222" t="str">
            <v>A5C</v>
          </cell>
          <cell r="C2222" t="str">
            <v>P</v>
          </cell>
          <cell r="D2222" t="str">
            <v>23031</v>
          </cell>
          <cell r="E2222" t="str">
            <v>PIPE</v>
          </cell>
          <cell r="F2222">
            <v>1</v>
          </cell>
          <cell r="G2222" t="str">
            <v>CB100404001200</v>
          </cell>
          <cell r="H2222">
            <v>12</v>
          </cell>
          <cell r="I2222" t="str">
            <v>--</v>
          </cell>
          <cell r="J2222">
            <v>1.3</v>
          </cell>
          <cell r="K2222">
            <v>1.5</v>
          </cell>
        </row>
        <row r="2223">
          <cell r="A2223" t="str">
            <v>M2</v>
          </cell>
          <cell r="B2223" t="str">
            <v>A5C</v>
          </cell>
          <cell r="C2223" t="str">
            <v>P</v>
          </cell>
          <cell r="D2223" t="str">
            <v>23015</v>
          </cell>
          <cell r="E2223" t="str">
            <v>PIPE</v>
          </cell>
          <cell r="F2223">
            <v>1</v>
          </cell>
          <cell r="G2223" t="str">
            <v>CB100404001200</v>
          </cell>
          <cell r="H2223">
            <v>12</v>
          </cell>
          <cell r="I2223" t="str">
            <v>--</v>
          </cell>
          <cell r="J2223">
            <v>1.8</v>
          </cell>
          <cell r="K2223">
            <v>2</v>
          </cell>
        </row>
        <row r="2224">
          <cell r="A2224" t="str">
            <v>M2</v>
          </cell>
          <cell r="B2224" t="str">
            <v>A5C</v>
          </cell>
          <cell r="C2224" t="str">
            <v>P</v>
          </cell>
          <cell r="D2224" t="str">
            <v>23032</v>
          </cell>
          <cell r="E2224" t="str">
            <v>PIPE</v>
          </cell>
          <cell r="F2224">
            <v>1</v>
          </cell>
          <cell r="G2224" t="str">
            <v>CB100404001600</v>
          </cell>
          <cell r="H2224">
            <v>16</v>
          </cell>
          <cell r="I2224" t="str">
            <v>--</v>
          </cell>
          <cell r="J2224">
            <v>46.6</v>
          </cell>
          <cell r="K2224">
            <v>46.6</v>
          </cell>
        </row>
        <row r="2225">
          <cell r="A2225" t="str">
            <v>M2</v>
          </cell>
          <cell r="B2225" t="str">
            <v>A5C</v>
          </cell>
          <cell r="C2225" t="str">
            <v>P</v>
          </cell>
          <cell r="D2225" t="str">
            <v>23022</v>
          </cell>
          <cell r="E2225" t="str">
            <v>PIPE</v>
          </cell>
          <cell r="F2225">
            <v>1</v>
          </cell>
          <cell r="G2225" t="str">
            <v>CB100404001800</v>
          </cell>
          <cell r="H2225">
            <v>18</v>
          </cell>
          <cell r="I2225" t="str">
            <v>--</v>
          </cell>
          <cell r="J2225">
            <v>51</v>
          </cell>
          <cell r="K2225">
            <v>51</v>
          </cell>
        </row>
        <row r="2226">
          <cell r="A2226" t="str">
            <v>M2</v>
          </cell>
          <cell r="B2226" t="str">
            <v>A5C</v>
          </cell>
          <cell r="C2226" t="str">
            <v>P</v>
          </cell>
          <cell r="D2226" t="str">
            <v>23034</v>
          </cell>
          <cell r="E2226" t="str">
            <v>PIPE</v>
          </cell>
          <cell r="F2226">
            <v>1</v>
          </cell>
          <cell r="G2226" t="str">
            <v>CB100404002000</v>
          </cell>
          <cell r="H2226">
            <v>20</v>
          </cell>
          <cell r="I2226" t="str">
            <v>--</v>
          </cell>
          <cell r="J2226">
            <v>1.3</v>
          </cell>
          <cell r="K2226">
            <v>1.3</v>
          </cell>
        </row>
        <row r="2227">
          <cell r="A2227" t="str">
            <v>M2</v>
          </cell>
          <cell r="B2227" t="str">
            <v>B2C</v>
          </cell>
          <cell r="C2227" t="str">
            <v>SH</v>
          </cell>
          <cell r="D2227" t="str">
            <v>23601</v>
          </cell>
          <cell r="E2227" t="str">
            <v>NPL</v>
          </cell>
          <cell r="F2227">
            <v>2</v>
          </cell>
          <cell r="G2227" t="str">
            <v>CB132108000HVR</v>
          </cell>
          <cell r="H2227">
            <v>0.5</v>
          </cell>
          <cell r="I2227" t="str">
            <v>75mm</v>
          </cell>
          <cell r="J2227">
            <v>2</v>
          </cell>
          <cell r="K2227">
            <v>2</v>
          </cell>
        </row>
        <row r="2228">
          <cell r="A2228" t="str">
            <v>M2</v>
          </cell>
          <cell r="B2228" t="str">
            <v>B2C</v>
          </cell>
          <cell r="C2228" t="str">
            <v>SH</v>
          </cell>
          <cell r="D2228" t="str">
            <v>23612</v>
          </cell>
          <cell r="E2228" t="str">
            <v>NPL</v>
          </cell>
          <cell r="F2228">
            <v>2</v>
          </cell>
          <cell r="G2228" t="str">
            <v>CB132108000HVR</v>
          </cell>
          <cell r="H2228">
            <v>0.5</v>
          </cell>
          <cell r="I2228" t="str">
            <v>75mm</v>
          </cell>
          <cell r="J2228">
            <v>1</v>
          </cell>
          <cell r="K2228">
            <v>1</v>
          </cell>
        </row>
        <row r="2229">
          <cell r="A2229" t="str">
            <v>M2</v>
          </cell>
          <cell r="B2229" t="str">
            <v>B2C</v>
          </cell>
          <cell r="C2229" t="str">
            <v>SH</v>
          </cell>
          <cell r="D2229" t="str">
            <v>23612</v>
          </cell>
          <cell r="E2229" t="str">
            <v>NPL</v>
          </cell>
          <cell r="F2229">
            <v>2</v>
          </cell>
          <cell r="G2229" t="str">
            <v>CB132108000HWL</v>
          </cell>
          <cell r="H2229">
            <v>0.5</v>
          </cell>
          <cell r="I2229" t="str">
            <v>150mm</v>
          </cell>
          <cell r="J2229">
            <v>1</v>
          </cell>
          <cell r="K2229">
            <v>1</v>
          </cell>
        </row>
        <row r="2230">
          <cell r="A2230" t="str">
            <v>M2</v>
          </cell>
          <cell r="B2230" t="str">
            <v>A5C</v>
          </cell>
          <cell r="C2230" t="str">
            <v>P</v>
          </cell>
          <cell r="D2230" t="str">
            <v>23094</v>
          </cell>
          <cell r="E2230" t="str">
            <v>90 ELL</v>
          </cell>
          <cell r="F2230">
            <v>2</v>
          </cell>
          <cell r="G2230" t="str">
            <v>CB400100000H00</v>
          </cell>
          <cell r="H2230">
            <v>0.5</v>
          </cell>
          <cell r="I2230" t="str">
            <v>--</v>
          </cell>
          <cell r="J2230">
            <v>1</v>
          </cell>
          <cell r="K2230">
            <v>1</v>
          </cell>
        </row>
        <row r="2231">
          <cell r="A2231" t="str">
            <v>M2</v>
          </cell>
          <cell r="B2231" t="str">
            <v>A5C</v>
          </cell>
          <cell r="C2231" t="str">
            <v>P</v>
          </cell>
          <cell r="D2231" t="str">
            <v>23113</v>
          </cell>
          <cell r="E2231" t="str">
            <v>90 ELL</v>
          </cell>
          <cell r="F2231">
            <v>2</v>
          </cell>
          <cell r="G2231" t="str">
            <v>CB400100000H00</v>
          </cell>
          <cell r="H2231">
            <v>0.5</v>
          </cell>
          <cell r="I2231" t="str">
            <v>--</v>
          </cell>
          <cell r="J2231">
            <v>1</v>
          </cell>
          <cell r="K2231">
            <v>1</v>
          </cell>
        </row>
        <row r="2232">
          <cell r="A2232" t="str">
            <v>M2</v>
          </cell>
          <cell r="B2232" t="str">
            <v>A5C</v>
          </cell>
          <cell r="C2232" t="str">
            <v>P</v>
          </cell>
          <cell r="D2232" t="str">
            <v>23188</v>
          </cell>
          <cell r="E2232" t="str">
            <v>CPLG</v>
          </cell>
          <cell r="F2232">
            <v>2</v>
          </cell>
          <cell r="G2232" t="str">
            <v>CB400500000H00</v>
          </cell>
          <cell r="H2232">
            <v>0.5</v>
          </cell>
          <cell r="I2232" t="str">
            <v>--</v>
          </cell>
          <cell r="J2232">
            <v>1</v>
          </cell>
          <cell r="K2232">
            <v>1</v>
          </cell>
        </row>
        <row r="2233">
          <cell r="A2233" t="str">
            <v>M2</v>
          </cell>
          <cell r="B2233" t="str">
            <v>A5C</v>
          </cell>
          <cell r="C2233" t="str">
            <v>P</v>
          </cell>
          <cell r="D2233" t="str">
            <v>23081</v>
          </cell>
          <cell r="E2233" t="str">
            <v>NPL</v>
          </cell>
          <cell r="F2233">
            <v>2</v>
          </cell>
          <cell r="G2233" t="str">
            <v>CB132108000HVR</v>
          </cell>
          <cell r="H2233">
            <v>0.5</v>
          </cell>
          <cell r="I2233" t="str">
            <v>75mm</v>
          </cell>
          <cell r="J2233">
            <v>1</v>
          </cell>
          <cell r="K2233">
            <v>1</v>
          </cell>
        </row>
        <row r="2234">
          <cell r="A2234" t="str">
            <v>M2</v>
          </cell>
          <cell r="B2234" t="str">
            <v>A5C</v>
          </cell>
          <cell r="C2234" t="str">
            <v>P</v>
          </cell>
          <cell r="D2234" t="str">
            <v>23081</v>
          </cell>
          <cell r="E2234" t="str">
            <v>NPL</v>
          </cell>
          <cell r="F2234">
            <v>2</v>
          </cell>
          <cell r="G2234" t="str">
            <v>CB132108000HWL</v>
          </cell>
          <cell r="H2234">
            <v>0.5</v>
          </cell>
          <cell r="I2234" t="str">
            <v>150mm</v>
          </cell>
          <cell r="J2234">
            <v>1</v>
          </cell>
          <cell r="K2234">
            <v>1</v>
          </cell>
        </row>
        <row r="2235">
          <cell r="A2235" t="str">
            <v>M2</v>
          </cell>
          <cell r="B2235" t="str">
            <v>A5C</v>
          </cell>
          <cell r="C2235" t="str">
            <v>P</v>
          </cell>
          <cell r="D2235" t="str">
            <v>23094</v>
          </cell>
          <cell r="E2235" t="str">
            <v>NPL</v>
          </cell>
          <cell r="F2235">
            <v>2</v>
          </cell>
          <cell r="G2235" t="str">
            <v>CB132108000HWL</v>
          </cell>
          <cell r="H2235">
            <v>0.5</v>
          </cell>
          <cell r="I2235" t="str">
            <v>150mm</v>
          </cell>
          <cell r="J2235">
            <v>1</v>
          </cell>
          <cell r="K2235">
            <v>1</v>
          </cell>
        </row>
        <row r="2236">
          <cell r="A2236" t="str">
            <v>M2</v>
          </cell>
          <cell r="B2236" t="str">
            <v>A5C</v>
          </cell>
          <cell r="C2236" t="str">
            <v>P</v>
          </cell>
          <cell r="D2236" t="str">
            <v>23094</v>
          </cell>
          <cell r="E2236" t="str">
            <v>NPL</v>
          </cell>
          <cell r="F2236">
            <v>2</v>
          </cell>
          <cell r="G2236" t="str">
            <v>CB132108000HVR</v>
          </cell>
          <cell r="H2236">
            <v>0.5</v>
          </cell>
          <cell r="I2236" t="str">
            <v>75mm</v>
          </cell>
          <cell r="J2236">
            <v>1</v>
          </cell>
          <cell r="K2236">
            <v>1</v>
          </cell>
        </row>
        <row r="2237">
          <cell r="A2237" t="str">
            <v>M2</v>
          </cell>
          <cell r="B2237" t="str">
            <v>A5C</v>
          </cell>
          <cell r="C2237" t="str">
            <v>P</v>
          </cell>
          <cell r="D2237" t="str">
            <v>23113</v>
          </cell>
          <cell r="E2237" t="str">
            <v>NPL</v>
          </cell>
          <cell r="F2237">
            <v>2</v>
          </cell>
          <cell r="G2237" t="str">
            <v>CB132108000HVR</v>
          </cell>
          <cell r="H2237">
            <v>0.5</v>
          </cell>
          <cell r="I2237" t="str">
            <v>75mm</v>
          </cell>
          <cell r="J2237">
            <v>1</v>
          </cell>
          <cell r="K2237">
            <v>1</v>
          </cell>
        </row>
        <row r="2238">
          <cell r="A2238" t="str">
            <v>M2</v>
          </cell>
          <cell r="B2238" t="str">
            <v>A5C</v>
          </cell>
          <cell r="C2238" t="str">
            <v>P</v>
          </cell>
          <cell r="D2238" t="str">
            <v>23225</v>
          </cell>
          <cell r="E2238" t="str">
            <v>NPL</v>
          </cell>
          <cell r="F2238">
            <v>2</v>
          </cell>
          <cell r="G2238" t="str">
            <v>CB132108000HWL</v>
          </cell>
          <cell r="H2238">
            <v>0.5</v>
          </cell>
          <cell r="I2238" t="str">
            <v>150mm</v>
          </cell>
          <cell r="J2238">
            <v>1</v>
          </cell>
          <cell r="K2238">
            <v>1</v>
          </cell>
        </row>
        <row r="2239">
          <cell r="A2239" t="str">
            <v>M2</v>
          </cell>
          <cell r="B2239" t="str">
            <v>A5C</v>
          </cell>
          <cell r="C2239" t="str">
            <v>P</v>
          </cell>
          <cell r="D2239" t="str">
            <v>23225</v>
          </cell>
          <cell r="E2239" t="str">
            <v>NPL</v>
          </cell>
          <cell r="F2239">
            <v>2</v>
          </cell>
          <cell r="G2239" t="str">
            <v>CB132108000HVR</v>
          </cell>
          <cell r="H2239">
            <v>0.5</v>
          </cell>
          <cell r="I2239" t="str">
            <v>75mm</v>
          </cell>
          <cell r="J2239">
            <v>1</v>
          </cell>
          <cell r="K2239">
            <v>1</v>
          </cell>
        </row>
        <row r="2240">
          <cell r="A2240" t="str">
            <v>M2</v>
          </cell>
          <cell r="B2240" t="str">
            <v>A5C</v>
          </cell>
          <cell r="C2240" t="str">
            <v>P</v>
          </cell>
          <cell r="D2240" t="str">
            <v>23113</v>
          </cell>
          <cell r="E2240" t="str">
            <v>NPL</v>
          </cell>
          <cell r="F2240">
            <v>2</v>
          </cell>
          <cell r="G2240" t="str">
            <v>CB132108000HWL</v>
          </cell>
          <cell r="H2240">
            <v>0.5</v>
          </cell>
          <cell r="I2240" t="str">
            <v>150mm</v>
          </cell>
          <cell r="J2240">
            <v>1</v>
          </cell>
          <cell r="K2240">
            <v>1</v>
          </cell>
        </row>
        <row r="2241">
          <cell r="A2241" t="str">
            <v>M2</v>
          </cell>
          <cell r="B2241" t="str">
            <v>A5C</v>
          </cell>
          <cell r="C2241" t="str">
            <v>P</v>
          </cell>
          <cell r="D2241" t="str">
            <v>23059</v>
          </cell>
          <cell r="E2241" t="str">
            <v>NPL</v>
          </cell>
          <cell r="F2241">
            <v>2</v>
          </cell>
          <cell r="G2241" t="str">
            <v>CB132108000HWL</v>
          </cell>
          <cell r="H2241">
            <v>0.5</v>
          </cell>
          <cell r="I2241" t="str">
            <v>150mm</v>
          </cell>
          <cell r="J2241">
            <v>1</v>
          </cell>
          <cell r="K2241">
            <v>1</v>
          </cell>
        </row>
        <row r="2242">
          <cell r="A2242" t="str">
            <v>M2</v>
          </cell>
          <cell r="B2242" t="str">
            <v>A5C</v>
          </cell>
          <cell r="C2242" t="str">
            <v>P</v>
          </cell>
          <cell r="D2242" t="str">
            <v>23059</v>
          </cell>
          <cell r="E2242" t="str">
            <v>NPL</v>
          </cell>
          <cell r="F2242">
            <v>2</v>
          </cell>
          <cell r="G2242" t="str">
            <v>CB132108000HVR</v>
          </cell>
          <cell r="H2242">
            <v>0.5</v>
          </cell>
          <cell r="I2242" t="str">
            <v>75mm</v>
          </cell>
          <cell r="J2242">
            <v>1</v>
          </cell>
          <cell r="K2242">
            <v>1</v>
          </cell>
        </row>
        <row r="2243">
          <cell r="A2243" t="str">
            <v>M2</v>
          </cell>
          <cell r="B2243" t="str">
            <v>A5C</v>
          </cell>
          <cell r="C2243" t="str">
            <v>P</v>
          </cell>
          <cell r="D2243" t="str">
            <v>23053</v>
          </cell>
          <cell r="E2243" t="str">
            <v>NPL</v>
          </cell>
          <cell r="F2243">
            <v>2</v>
          </cell>
          <cell r="G2243" t="str">
            <v>CB132108000HWL</v>
          </cell>
          <cell r="H2243">
            <v>0.5</v>
          </cell>
          <cell r="I2243" t="str">
            <v>150mm</v>
          </cell>
          <cell r="J2243">
            <v>1</v>
          </cell>
          <cell r="K2243">
            <v>1</v>
          </cell>
        </row>
        <row r="2244">
          <cell r="A2244" t="str">
            <v>M2</v>
          </cell>
          <cell r="B2244" t="str">
            <v>A5C</v>
          </cell>
          <cell r="C2244" t="str">
            <v>P</v>
          </cell>
          <cell r="D2244" t="str">
            <v>23064</v>
          </cell>
          <cell r="E2244" t="str">
            <v>NPL</v>
          </cell>
          <cell r="F2244">
            <v>2</v>
          </cell>
          <cell r="G2244" t="str">
            <v>CB132108000HWL</v>
          </cell>
          <cell r="H2244">
            <v>0.5</v>
          </cell>
          <cell r="I2244" t="str">
            <v>150mm</v>
          </cell>
          <cell r="J2244">
            <v>1</v>
          </cell>
          <cell r="K2244">
            <v>1</v>
          </cell>
        </row>
        <row r="2245">
          <cell r="A2245" t="str">
            <v>M2</v>
          </cell>
          <cell r="B2245" t="str">
            <v>A5C</v>
          </cell>
          <cell r="C2245" t="str">
            <v>P</v>
          </cell>
          <cell r="D2245" t="str">
            <v>23064</v>
          </cell>
          <cell r="E2245" t="str">
            <v>NPL</v>
          </cell>
          <cell r="F2245">
            <v>2</v>
          </cell>
          <cell r="G2245" t="str">
            <v>CB132108000HVR</v>
          </cell>
          <cell r="H2245">
            <v>0.5</v>
          </cell>
          <cell r="I2245" t="str">
            <v>75mm</v>
          </cell>
          <cell r="J2245">
            <v>1</v>
          </cell>
          <cell r="K2245">
            <v>1</v>
          </cell>
        </row>
        <row r="2246">
          <cell r="A2246" t="str">
            <v>M2</v>
          </cell>
          <cell r="B2246" t="str">
            <v>A5C</v>
          </cell>
          <cell r="C2246" t="str">
            <v>P</v>
          </cell>
          <cell r="D2246" t="str">
            <v>23080</v>
          </cell>
          <cell r="E2246" t="str">
            <v>NPL</v>
          </cell>
          <cell r="F2246">
            <v>2</v>
          </cell>
          <cell r="G2246" t="str">
            <v>CB132108000HWL</v>
          </cell>
          <cell r="H2246">
            <v>0.5</v>
          </cell>
          <cell r="I2246" t="str">
            <v>150mm</v>
          </cell>
          <cell r="J2246">
            <v>1</v>
          </cell>
          <cell r="K2246">
            <v>1</v>
          </cell>
        </row>
        <row r="2247">
          <cell r="A2247" t="str">
            <v>M2</v>
          </cell>
          <cell r="B2247" t="str">
            <v>A5C</v>
          </cell>
          <cell r="C2247" t="str">
            <v>P</v>
          </cell>
          <cell r="D2247" t="str">
            <v>23080</v>
          </cell>
          <cell r="E2247" t="str">
            <v>NPL</v>
          </cell>
          <cell r="F2247">
            <v>2</v>
          </cell>
          <cell r="G2247" t="str">
            <v>CB132108000HVR</v>
          </cell>
          <cell r="H2247">
            <v>0.5</v>
          </cell>
          <cell r="I2247" t="str">
            <v>75mm</v>
          </cell>
          <cell r="J2247">
            <v>1</v>
          </cell>
          <cell r="K2247">
            <v>1</v>
          </cell>
        </row>
        <row r="2248">
          <cell r="A2248" t="str">
            <v>M2</v>
          </cell>
          <cell r="B2248" t="str">
            <v>A5C</v>
          </cell>
          <cell r="C2248" t="str">
            <v>P</v>
          </cell>
          <cell r="D2248" t="str">
            <v>23079</v>
          </cell>
          <cell r="E2248" t="str">
            <v>NPL</v>
          </cell>
          <cell r="F2248">
            <v>2</v>
          </cell>
          <cell r="G2248" t="str">
            <v>CB132108000HVR</v>
          </cell>
          <cell r="H2248">
            <v>0.5</v>
          </cell>
          <cell r="I2248" t="str">
            <v>75mm</v>
          </cell>
          <cell r="J2248">
            <v>1</v>
          </cell>
          <cell r="K2248">
            <v>1</v>
          </cell>
        </row>
        <row r="2249">
          <cell r="A2249" t="str">
            <v>M2</v>
          </cell>
          <cell r="B2249" t="str">
            <v>A5C</v>
          </cell>
          <cell r="C2249" t="str">
            <v>P</v>
          </cell>
          <cell r="D2249" t="str">
            <v>23079</v>
          </cell>
          <cell r="E2249" t="str">
            <v>NPL</v>
          </cell>
          <cell r="F2249">
            <v>2</v>
          </cell>
          <cell r="G2249" t="str">
            <v>CB132108000HWL</v>
          </cell>
          <cell r="H2249">
            <v>0.5</v>
          </cell>
          <cell r="I2249" t="str">
            <v>150mm</v>
          </cell>
          <cell r="J2249">
            <v>1</v>
          </cell>
          <cell r="K2249">
            <v>1</v>
          </cell>
        </row>
        <row r="2250">
          <cell r="A2250" t="str">
            <v>M2</v>
          </cell>
          <cell r="B2250" t="str">
            <v>A5C</v>
          </cell>
          <cell r="C2250" t="str">
            <v>P</v>
          </cell>
          <cell r="D2250" t="str">
            <v>23053</v>
          </cell>
          <cell r="E2250" t="str">
            <v>NPL</v>
          </cell>
          <cell r="F2250">
            <v>2</v>
          </cell>
          <cell r="G2250" t="str">
            <v>CB132108000HVR</v>
          </cell>
          <cell r="H2250">
            <v>0.5</v>
          </cell>
          <cell r="I2250" t="str">
            <v>75mm</v>
          </cell>
          <cell r="J2250">
            <v>1</v>
          </cell>
          <cell r="K2250">
            <v>1</v>
          </cell>
        </row>
        <row r="2251">
          <cell r="A2251" t="str">
            <v>M2</v>
          </cell>
          <cell r="B2251" t="str">
            <v>B2C</v>
          </cell>
          <cell r="C2251" t="str">
            <v>SCL</v>
          </cell>
          <cell r="D2251" t="str">
            <v>TRAP</v>
          </cell>
          <cell r="E2251" t="str">
            <v>90 ELL</v>
          </cell>
          <cell r="F2251">
            <v>2</v>
          </cell>
          <cell r="G2251" t="str">
            <v>CB400100000T00</v>
          </cell>
          <cell r="H2251">
            <v>0.75</v>
          </cell>
          <cell r="I2251" t="str">
            <v>--</v>
          </cell>
          <cell r="J2251">
            <v>12</v>
          </cell>
          <cell r="K2251">
            <v>12</v>
          </cell>
        </row>
        <row r="2252">
          <cell r="A2252" t="str">
            <v>M2</v>
          </cell>
          <cell r="B2252" t="str">
            <v>B2C</v>
          </cell>
          <cell r="C2252" t="str">
            <v>SH</v>
          </cell>
          <cell r="D2252" t="str">
            <v>23612</v>
          </cell>
          <cell r="E2252" t="str">
            <v>90 ELL</v>
          </cell>
          <cell r="F2252">
            <v>2</v>
          </cell>
          <cell r="G2252" t="str">
            <v>CB400100000T00</v>
          </cell>
          <cell r="H2252">
            <v>0.75</v>
          </cell>
          <cell r="I2252" t="str">
            <v>--</v>
          </cell>
          <cell r="J2252">
            <v>1</v>
          </cell>
          <cell r="K2252">
            <v>1</v>
          </cell>
        </row>
        <row r="2253">
          <cell r="A2253" t="str">
            <v>M2</v>
          </cell>
          <cell r="B2253" t="str">
            <v>B2C</v>
          </cell>
          <cell r="C2253" t="str">
            <v>SCH</v>
          </cell>
          <cell r="D2253" t="str">
            <v>23613</v>
          </cell>
          <cell r="E2253" t="str">
            <v>90 ELL</v>
          </cell>
          <cell r="F2253">
            <v>2</v>
          </cell>
          <cell r="G2253" t="str">
            <v>CB400100000T00</v>
          </cell>
          <cell r="H2253">
            <v>0.75</v>
          </cell>
          <cell r="I2253" t="str">
            <v>--</v>
          </cell>
          <cell r="J2253">
            <v>1</v>
          </cell>
          <cell r="K2253">
            <v>1</v>
          </cell>
        </row>
        <row r="2254">
          <cell r="A2254" t="str">
            <v>M2</v>
          </cell>
          <cell r="B2254" t="str">
            <v>B2C</v>
          </cell>
          <cell r="C2254" t="str">
            <v>SH</v>
          </cell>
          <cell r="D2254" t="str">
            <v>24612</v>
          </cell>
          <cell r="E2254" t="str">
            <v>90 ELL</v>
          </cell>
          <cell r="F2254">
            <v>2</v>
          </cell>
          <cell r="G2254" t="str">
            <v>CB400100000T00</v>
          </cell>
          <cell r="H2254">
            <v>0.75</v>
          </cell>
          <cell r="I2254" t="str">
            <v>--</v>
          </cell>
          <cell r="J2254">
            <v>5</v>
          </cell>
          <cell r="K2254">
            <v>5</v>
          </cell>
        </row>
        <row r="2255">
          <cell r="A2255" t="str">
            <v>M2</v>
          </cell>
          <cell r="B2255" t="str">
            <v>B2C</v>
          </cell>
          <cell r="C2255" t="str">
            <v>SCH</v>
          </cell>
          <cell r="D2255" t="str">
            <v>23613</v>
          </cell>
          <cell r="E2255" t="str">
            <v>CAP</v>
          </cell>
          <cell r="F2255">
            <v>2</v>
          </cell>
          <cell r="G2255" t="str">
            <v>CB520700000T00</v>
          </cell>
          <cell r="H2255">
            <v>0.75</v>
          </cell>
          <cell r="I2255" t="str">
            <v>--</v>
          </cell>
          <cell r="J2255">
            <v>1</v>
          </cell>
          <cell r="K2255">
            <v>1</v>
          </cell>
        </row>
        <row r="2256">
          <cell r="A2256" t="str">
            <v>M2</v>
          </cell>
          <cell r="B2256" t="str">
            <v>B2C</v>
          </cell>
          <cell r="C2256" t="str">
            <v>SH</v>
          </cell>
          <cell r="D2256" t="str">
            <v>23601</v>
          </cell>
          <cell r="E2256" t="str">
            <v>CAP</v>
          </cell>
          <cell r="F2256">
            <v>2</v>
          </cell>
          <cell r="G2256" t="str">
            <v>CB520700000T00</v>
          </cell>
          <cell r="H2256">
            <v>0.75</v>
          </cell>
          <cell r="I2256" t="str">
            <v>--</v>
          </cell>
          <cell r="J2256">
            <v>3</v>
          </cell>
          <cell r="K2256">
            <v>3</v>
          </cell>
        </row>
        <row r="2257">
          <cell r="A2257" t="str">
            <v>M2</v>
          </cell>
          <cell r="B2257" t="str">
            <v>B2C</v>
          </cell>
          <cell r="C2257" t="str">
            <v>SH</v>
          </cell>
          <cell r="D2257" t="str">
            <v>24612</v>
          </cell>
          <cell r="E2257" t="str">
            <v>CAP</v>
          </cell>
          <cell r="F2257">
            <v>2</v>
          </cell>
          <cell r="G2257" t="str">
            <v>CB520700000T00</v>
          </cell>
          <cell r="H2257">
            <v>0.75</v>
          </cell>
          <cell r="I2257" t="str">
            <v>--</v>
          </cell>
          <cell r="J2257">
            <v>1</v>
          </cell>
          <cell r="K2257">
            <v>1</v>
          </cell>
        </row>
        <row r="2258">
          <cell r="A2258" t="str">
            <v>M2</v>
          </cell>
          <cell r="B2258" t="str">
            <v>B2C</v>
          </cell>
          <cell r="C2258" t="str">
            <v>SH</v>
          </cell>
          <cell r="D2258" t="str">
            <v>24612</v>
          </cell>
          <cell r="E2258" t="str">
            <v>CPLG</v>
          </cell>
          <cell r="F2258">
            <v>2</v>
          </cell>
          <cell r="G2258" t="str">
            <v>CB400500000T00</v>
          </cell>
          <cell r="H2258">
            <v>0.75</v>
          </cell>
          <cell r="I2258" t="str">
            <v>--</v>
          </cell>
          <cell r="J2258">
            <v>1</v>
          </cell>
          <cell r="K2258">
            <v>1</v>
          </cell>
        </row>
        <row r="2259">
          <cell r="A2259" t="str">
            <v>M2</v>
          </cell>
          <cell r="B2259" t="str">
            <v>B2C</v>
          </cell>
          <cell r="C2259" t="str">
            <v>SCH</v>
          </cell>
          <cell r="D2259" t="str">
            <v>23613</v>
          </cell>
          <cell r="E2259" t="str">
            <v>NPL</v>
          </cell>
          <cell r="F2259">
            <v>2</v>
          </cell>
          <cell r="G2259" t="str">
            <v>CB132108000TVR</v>
          </cell>
          <cell r="H2259">
            <v>0.75</v>
          </cell>
          <cell r="I2259" t="str">
            <v>75mm</v>
          </cell>
          <cell r="J2259">
            <v>1</v>
          </cell>
          <cell r="K2259">
            <v>1</v>
          </cell>
        </row>
        <row r="2260">
          <cell r="A2260" t="str">
            <v>M2</v>
          </cell>
          <cell r="B2260" t="str">
            <v>B2C</v>
          </cell>
          <cell r="C2260" t="str">
            <v>SH</v>
          </cell>
          <cell r="D2260" t="str">
            <v>23601</v>
          </cell>
          <cell r="E2260" t="str">
            <v>NPL</v>
          </cell>
          <cell r="F2260">
            <v>2</v>
          </cell>
          <cell r="G2260" t="str">
            <v>CB132308000TVR</v>
          </cell>
          <cell r="H2260">
            <v>0.75</v>
          </cell>
          <cell r="I2260" t="str">
            <v>75mm</v>
          </cell>
          <cell r="J2260">
            <v>2</v>
          </cell>
          <cell r="K2260">
            <v>2</v>
          </cell>
        </row>
        <row r="2261">
          <cell r="A2261" t="str">
            <v>M2</v>
          </cell>
          <cell r="B2261" t="str">
            <v>B2C</v>
          </cell>
          <cell r="C2261" t="str">
            <v>SH</v>
          </cell>
          <cell r="D2261" t="str">
            <v>24612</v>
          </cell>
          <cell r="E2261" t="str">
            <v>NPL</v>
          </cell>
          <cell r="F2261">
            <v>2</v>
          </cell>
          <cell r="G2261" t="str">
            <v>CB132308000TVR</v>
          </cell>
          <cell r="H2261">
            <v>0.75</v>
          </cell>
          <cell r="I2261" t="str">
            <v>75mm</v>
          </cell>
          <cell r="J2261">
            <v>1</v>
          </cell>
          <cell r="K2261">
            <v>1</v>
          </cell>
        </row>
        <row r="2262">
          <cell r="A2262" t="str">
            <v>M2</v>
          </cell>
          <cell r="B2262" t="str">
            <v>B2C</v>
          </cell>
          <cell r="C2262" t="str">
            <v>SCL</v>
          </cell>
          <cell r="D2262" t="str">
            <v>TRAP</v>
          </cell>
          <cell r="E2262" t="str">
            <v>TEE</v>
          </cell>
          <cell r="F2262">
            <v>2</v>
          </cell>
          <cell r="G2262" t="str">
            <v>CB400300000T00</v>
          </cell>
          <cell r="H2262">
            <v>0.75</v>
          </cell>
          <cell r="I2262" t="str">
            <v>--</v>
          </cell>
          <cell r="J2262">
            <v>2</v>
          </cell>
          <cell r="K2262">
            <v>2</v>
          </cell>
        </row>
        <row r="2263">
          <cell r="A2263" t="str">
            <v>M2</v>
          </cell>
          <cell r="B2263" t="str">
            <v>B2C</v>
          </cell>
          <cell r="C2263" t="str">
            <v>SH</v>
          </cell>
          <cell r="D2263" t="str">
            <v>24612</v>
          </cell>
          <cell r="E2263" t="str">
            <v>TEE</v>
          </cell>
          <cell r="F2263">
            <v>2</v>
          </cell>
          <cell r="G2263" t="str">
            <v>CB400300000T00</v>
          </cell>
          <cell r="H2263">
            <v>0.75</v>
          </cell>
          <cell r="I2263" t="str">
            <v>--</v>
          </cell>
          <cell r="J2263">
            <v>4</v>
          </cell>
          <cell r="K2263">
            <v>4</v>
          </cell>
        </row>
        <row r="2264">
          <cell r="A2264" t="str">
            <v>M2</v>
          </cell>
          <cell r="B2264" t="str">
            <v>B2C</v>
          </cell>
          <cell r="C2264" t="str">
            <v>SCH</v>
          </cell>
          <cell r="D2264" t="str">
            <v>23613</v>
          </cell>
          <cell r="E2264" t="str">
            <v>TEE</v>
          </cell>
          <cell r="F2264">
            <v>2</v>
          </cell>
          <cell r="G2264" t="str">
            <v>CB400300000T00</v>
          </cell>
          <cell r="H2264">
            <v>0.75</v>
          </cell>
          <cell r="I2264" t="str">
            <v>--</v>
          </cell>
          <cell r="J2264">
            <v>1</v>
          </cell>
          <cell r="K2264">
            <v>1</v>
          </cell>
        </row>
        <row r="2265">
          <cell r="A2265" t="str">
            <v>M2</v>
          </cell>
          <cell r="B2265" t="str">
            <v>A5C</v>
          </cell>
          <cell r="C2265" t="str">
            <v>N</v>
          </cell>
          <cell r="D2265" t="str">
            <v>23613</v>
          </cell>
          <cell r="E2265" t="str">
            <v>90 ELL</v>
          </cell>
          <cell r="F2265">
            <v>2</v>
          </cell>
          <cell r="G2265" t="str">
            <v>CB400100000T00</v>
          </cell>
          <cell r="H2265">
            <v>0.75</v>
          </cell>
          <cell r="I2265" t="str">
            <v>--</v>
          </cell>
          <cell r="J2265">
            <v>1</v>
          </cell>
          <cell r="K2265">
            <v>1</v>
          </cell>
        </row>
        <row r="2266">
          <cell r="A2266" t="str">
            <v>M2</v>
          </cell>
          <cell r="B2266" t="str">
            <v>A5C</v>
          </cell>
          <cell r="C2266" t="str">
            <v>N</v>
          </cell>
          <cell r="D2266" t="str">
            <v>23620</v>
          </cell>
          <cell r="E2266" t="str">
            <v>90 ELL</v>
          </cell>
          <cell r="F2266">
            <v>2</v>
          </cell>
          <cell r="G2266" t="str">
            <v>CB400100000T00</v>
          </cell>
          <cell r="H2266">
            <v>0.75</v>
          </cell>
          <cell r="I2266" t="str">
            <v>--</v>
          </cell>
          <cell r="J2266">
            <v>3</v>
          </cell>
          <cell r="K2266">
            <v>3</v>
          </cell>
        </row>
        <row r="2267">
          <cell r="A2267" t="str">
            <v>M2</v>
          </cell>
          <cell r="B2267" t="str">
            <v>A5C</v>
          </cell>
          <cell r="C2267" t="str">
            <v>N</v>
          </cell>
          <cell r="D2267" t="str">
            <v>23619</v>
          </cell>
          <cell r="E2267" t="str">
            <v>90 ELL</v>
          </cell>
          <cell r="F2267">
            <v>2</v>
          </cell>
          <cell r="G2267" t="str">
            <v>CB400100000T00</v>
          </cell>
          <cell r="H2267">
            <v>0.75</v>
          </cell>
          <cell r="I2267" t="str">
            <v>--</v>
          </cell>
          <cell r="J2267">
            <v>3</v>
          </cell>
          <cell r="K2267">
            <v>3</v>
          </cell>
        </row>
        <row r="2268">
          <cell r="A2268" t="str">
            <v>M2</v>
          </cell>
          <cell r="B2268" t="str">
            <v>A5C</v>
          </cell>
          <cell r="C2268" t="str">
            <v>N</v>
          </cell>
          <cell r="D2268" t="str">
            <v>23621</v>
          </cell>
          <cell r="E2268" t="str">
            <v>90 ELL</v>
          </cell>
          <cell r="F2268">
            <v>2</v>
          </cell>
          <cell r="G2268" t="str">
            <v>CB400100000T00</v>
          </cell>
          <cell r="H2268">
            <v>0.75</v>
          </cell>
          <cell r="I2268" t="str">
            <v>--</v>
          </cell>
          <cell r="J2268">
            <v>1</v>
          </cell>
          <cell r="K2268">
            <v>1</v>
          </cell>
        </row>
        <row r="2269">
          <cell r="A2269" t="str">
            <v>M2</v>
          </cell>
          <cell r="B2269" t="str">
            <v>A5C</v>
          </cell>
          <cell r="C2269" t="str">
            <v>N</v>
          </cell>
          <cell r="D2269" t="str">
            <v>23642</v>
          </cell>
          <cell r="E2269" t="str">
            <v>90 ELL</v>
          </cell>
          <cell r="F2269">
            <v>2</v>
          </cell>
          <cell r="G2269" t="str">
            <v>CB400100000T00</v>
          </cell>
          <cell r="H2269">
            <v>0.75</v>
          </cell>
          <cell r="I2269" t="str">
            <v>--</v>
          </cell>
          <cell r="J2269">
            <v>3</v>
          </cell>
          <cell r="K2269">
            <v>3</v>
          </cell>
        </row>
        <row r="2270">
          <cell r="A2270" t="str">
            <v>M2</v>
          </cell>
          <cell r="B2270" t="str">
            <v>A5C</v>
          </cell>
          <cell r="C2270" t="str">
            <v>N</v>
          </cell>
          <cell r="D2270" t="str">
            <v>23647</v>
          </cell>
          <cell r="E2270" t="str">
            <v>90 ELL</v>
          </cell>
          <cell r="F2270">
            <v>2</v>
          </cell>
          <cell r="G2270" t="str">
            <v>CB400100000T00</v>
          </cell>
          <cell r="H2270">
            <v>0.75</v>
          </cell>
          <cell r="I2270" t="str">
            <v>--</v>
          </cell>
          <cell r="J2270">
            <v>1</v>
          </cell>
          <cell r="K2270">
            <v>1</v>
          </cell>
        </row>
        <row r="2271">
          <cell r="A2271" t="str">
            <v>M2</v>
          </cell>
          <cell r="B2271" t="str">
            <v>A5C</v>
          </cell>
          <cell r="C2271" t="str">
            <v>N</v>
          </cell>
          <cell r="D2271" t="str">
            <v>23648</v>
          </cell>
          <cell r="E2271" t="str">
            <v>90 ELL</v>
          </cell>
          <cell r="F2271">
            <v>2</v>
          </cell>
          <cell r="G2271" t="str">
            <v>CB400100000T00</v>
          </cell>
          <cell r="H2271">
            <v>0.75</v>
          </cell>
          <cell r="I2271" t="str">
            <v>--</v>
          </cell>
          <cell r="J2271">
            <v>1</v>
          </cell>
          <cell r="K2271">
            <v>1</v>
          </cell>
        </row>
        <row r="2272">
          <cell r="A2272" t="str">
            <v>M2</v>
          </cell>
          <cell r="B2272" t="str">
            <v>A5C</v>
          </cell>
          <cell r="C2272" t="str">
            <v>N</v>
          </cell>
          <cell r="D2272" t="str">
            <v>24611</v>
          </cell>
          <cell r="E2272" t="str">
            <v>90 ELL</v>
          </cell>
          <cell r="F2272">
            <v>2</v>
          </cell>
          <cell r="G2272" t="str">
            <v>CB400100000T00</v>
          </cell>
          <cell r="H2272">
            <v>0.75</v>
          </cell>
          <cell r="I2272" t="str">
            <v>--</v>
          </cell>
          <cell r="J2272">
            <v>3</v>
          </cell>
          <cell r="K2272">
            <v>3</v>
          </cell>
        </row>
        <row r="2273">
          <cell r="A2273" t="str">
            <v>M2</v>
          </cell>
          <cell r="B2273" t="str">
            <v>A5C</v>
          </cell>
          <cell r="C2273" t="str">
            <v>N</v>
          </cell>
          <cell r="D2273" t="str">
            <v>24612</v>
          </cell>
          <cell r="E2273" t="str">
            <v>90 ELL</v>
          </cell>
          <cell r="F2273">
            <v>2</v>
          </cell>
          <cell r="G2273" t="str">
            <v>CB400100000T00</v>
          </cell>
          <cell r="H2273">
            <v>0.75</v>
          </cell>
          <cell r="I2273" t="str">
            <v>--</v>
          </cell>
          <cell r="J2273">
            <v>3</v>
          </cell>
          <cell r="K2273">
            <v>3</v>
          </cell>
        </row>
        <row r="2274">
          <cell r="A2274" t="str">
            <v>M2</v>
          </cell>
          <cell r="B2274" t="str">
            <v>A5C</v>
          </cell>
          <cell r="C2274" t="str">
            <v>N</v>
          </cell>
          <cell r="D2274" t="str">
            <v>23646</v>
          </cell>
          <cell r="E2274" t="str">
            <v>90 ELL</v>
          </cell>
          <cell r="F2274">
            <v>2</v>
          </cell>
          <cell r="G2274" t="str">
            <v>CB400100000T00</v>
          </cell>
          <cell r="H2274">
            <v>0.75</v>
          </cell>
          <cell r="I2274" t="str">
            <v>--</v>
          </cell>
          <cell r="J2274">
            <v>3</v>
          </cell>
          <cell r="K2274">
            <v>3</v>
          </cell>
        </row>
        <row r="2275">
          <cell r="A2275" t="str">
            <v>M2</v>
          </cell>
          <cell r="B2275" t="str">
            <v>A5C</v>
          </cell>
          <cell r="C2275" t="str">
            <v>P</v>
          </cell>
          <cell r="D2275" t="str">
            <v>23005</v>
          </cell>
          <cell r="E2275" t="str">
            <v>90 ELL</v>
          </cell>
          <cell r="F2275">
            <v>2</v>
          </cell>
          <cell r="G2275" t="str">
            <v>CB400100000T00</v>
          </cell>
          <cell r="H2275">
            <v>0.75</v>
          </cell>
          <cell r="I2275" t="str">
            <v>--</v>
          </cell>
          <cell r="J2275">
            <v>2</v>
          </cell>
          <cell r="K2275">
            <v>2</v>
          </cell>
        </row>
        <row r="2276">
          <cell r="A2276" t="str">
            <v>M2</v>
          </cell>
          <cell r="B2276" t="str">
            <v>A5C</v>
          </cell>
          <cell r="C2276" t="str">
            <v>P</v>
          </cell>
          <cell r="D2276" t="str">
            <v>23011</v>
          </cell>
          <cell r="E2276" t="str">
            <v>90 ELL</v>
          </cell>
          <cell r="F2276">
            <v>2</v>
          </cell>
          <cell r="G2276" t="str">
            <v>CB400100000T00</v>
          </cell>
          <cell r="H2276">
            <v>0.75</v>
          </cell>
          <cell r="I2276" t="str">
            <v>--</v>
          </cell>
          <cell r="J2276">
            <v>2</v>
          </cell>
          <cell r="K2276">
            <v>2</v>
          </cell>
        </row>
        <row r="2277">
          <cell r="A2277" t="str">
            <v>M2</v>
          </cell>
          <cell r="B2277" t="str">
            <v>A5C</v>
          </cell>
          <cell r="C2277" t="str">
            <v>P</v>
          </cell>
          <cell r="D2277" t="str">
            <v>23012</v>
          </cell>
          <cell r="E2277" t="str">
            <v>90 ELL</v>
          </cell>
          <cell r="F2277">
            <v>2</v>
          </cell>
          <cell r="G2277" t="str">
            <v>CB400100000T00</v>
          </cell>
          <cell r="H2277">
            <v>0.75</v>
          </cell>
          <cell r="I2277" t="str">
            <v>--</v>
          </cell>
          <cell r="J2277">
            <v>2</v>
          </cell>
          <cell r="K2277">
            <v>2</v>
          </cell>
        </row>
        <row r="2278">
          <cell r="A2278" t="str">
            <v>M2</v>
          </cell>
          <cell r="B2278" t="str">
            <v>A5C</v>
          </cell>
          <cell r="C2278" t="str">
            <v>P</v>
          </cell>
          <cell r="D2278" t="str">
            <v>23022</v>
          </cell>
          <cell r="E2278" t="str">
            <v>90 ELL</v>
          </cell>
          <cell r="F2278">
            <v>2</v>
          </cell>
          <cell r="G2278" t="str">
            <v>CB400100000T00</v>
          </cell>
          <cell r="H2278">
            <v>0.75</v>
          </cell>
          <cell r="I2278" t="str">
            <v>--</v>
          </cell>
          <cell r="J2278">
            <v>1</v>
          </cell>
          <cell r="K2278">
            <v>1</v>
          </cell>
        </row>
        <row r="2279">
          <cell r="A2279" t="str">
            <v>M2</v>
          </cell>
          <cell r="B2279" t="str">
            <v>A5C</v>
          </cell>
          <cell r="C2279" t="str">
            <v>P</v>
          </cell>
          <cell r="D2279" t="str">
            <v>23023</v>
          </cell>
          <cell r="E2279" t="str">
            <v>90 ELL</v>
          </cell>
          <cell r="F2279">
            <v>2</v>
          </cell>
          <cell r="G2279" t="str">
            <v>CB400100000T00</v>
          </cell>
          <cell r="H2279">
            <v>0.75</v>
          </cell>
          <cell r="I2279" t="str">
            <v>--</v>
          </cell>
          <cell r="J2279">
            <v>2</v>
          </cell>
          <cell r="K2279">
            <v>2</v>
          </cell>
        </row>
        <row r="2280">
          <cell r="A2280" t="str">
            <v>M2</v>
          </cell>
          <cell r="B2280" t="str">
            <v>A5C</v>
          </cell>
          <cell r="C2280" t="str">
            <v>P</v>
          </cell>
          <cell r="D2280" t="str">
            <v>23037</v>
          </cell>
          <cell r="E2280" t="str">
            <v>90 ELL</v>
          </cell>
          <cell r="F2280">
            <v>2</v>
          </cell>
          <cell r="G2280" t="str">
            <v>CB400100000T00</v>
          </cell>
          <cell r="H2280">
            <v>0.75</v>
          </cell>
          <cell r="I2280" t="str">
            <v>--</v>
          </cell>
          <cell r="J2280">
            <v>2</v>
          </cell>
          <cell r="K2280">
            <v>2</v>
          </cell>
        </row>
        <row r="2281">
          <cell r="A2281" t="str">
            <v>M2</v>
          </cell>
          <cell r="B2281" t="str">
            <v>A5C</v>
          </cell>
          <cell r="C2281" t="str">
            <v>P</v>
          </cell>
          <cell r="D2281" t="str">
            <v>23038</v>
          </cell>
          <cell r="E2281" t="str">
            <v>90 ELL</v>
          </cell>
          <cell r="F2281">
            <v>2</v>
          </cell>
          <cell r="G2281" t="str">
            <v>CB400100000T00</v>
          </cell>
          <cell r="H2281">
            <v>0.75</v>
          </cell>
          <cell r="I2281" t="str">
            <v>--</v>
          </cell>
          <cell r="J2281">
            <v>2</v>
          </cell>
          <cell r="K2281">
            <v>2</v>
          </cell>
        </row>
        <row r="2282">
          <cell r="A2282" t="str">
            <v>M2</v>
          </cell>
          <cell r="B2282" t="str">
            <v>A5C</v>
          </cell>
          <cell r="C2282" t="str">
            <v>P</v>
          </cell>
          <cell r="D2282" t="str">
            <v>23047</v>
          </cell>
          <cell r="E2282" t="str">
            <v>90 ELL</v>
          </cell>
          <cell r="F2282">
            <v>2</v>
          </cell>
          <cell r="G2282" t="str">
            <v>CB400100000T00</v>
          </cell>
          <cell r="H2282">
            <v>0.75</v>
          </cell>
          <cell r="I2282" t="str">
            <v>--</v>
          </cell>
          <cell r="J2282">
            <v>2</v>
          </cell>
          <cell r="K2282">
            <v>2</v>
          </cell>
        </row>
        <row r="2283">
          <cell r="A2283" t="str">
            <v>M2</v>
          </cell>
          <cell r="B2283" t="str">
            <v>A5C</v>
          </cell>
          <cell r="C2283" t="str">
            <v>P</v>
          </cell>
          <cell r="D2283" t="str">
            <v>23052</v>
          </cell>
          <cell r="E2283" t="str">
            <v>90 ELL</v>
          </cell>
          <cell r="F2283">
            <v>2</v>
          </cell>
          <cell r="G2283" t="str">
            <v>CB400100000T00</v>
          </cell>
          <cell r="H2283">
            <v>0.75</v>
          </cell>
          <cell r="I2283" t="str">
            <v>--</v>
          </cell>
          <cell r="J2283">
            <v>2</v>
          </cell>
          <cell r="K2283">
            <v>2</v>
          </cell>
        </row>
        <row r="2284">
          <cell r="A2284" t="str">
            <v>M2</v>
          </cell>
          <cell r="B2284" t="str">
            <v>A5C</v>
          </cell>
          <cell r="C2284" t="str">
            <v>P</v>
          </cell>
          <cell r="D2284" t="str">
            <v>23057</v>
          </cell>
          <cell r="E2284" t="str">
            <v>90 ELL</v>
          </cell>
          <cell r="F2284">
            <v>2</v>
          </cell>
          <cell r="G2284" t="str">
            <v>CB400100000T00</v>
          </cell>
          <cell r="H2284">
            <v>0.75</v>
          </cell>
          <cell r="I2284" t="str">
            <v>--</v>
          </cell>
          <cell r="J2284">
            <v>1</v>
          </cell>
          <cell r="K2284">
            <v>1</v>
          </cell>
        </row>
        <row r="2285">
          <cell r="A2285" t="str">
            <v>M2</v>
          </cell>
          <cell r="B2285" t="str">
            <v>A5C</v>
          </cell>
          <cell r="C2285" t="str">
            <v>P</v>
          </cell>
          <cell r="D2285" t="str">
            <v>23058</v>
          </cell>
          <cell r="E2285" t="str">
            <v>90 ELL</v>
          </cell>
          <cell r="F2285">
            <v>2</v>
          </cell>
          <cell r="G2285" t="str">
            <v>CB400100000T00</v>
          </cell>
          <cell r="H2285">
            <v>0.75</v>
          </cell>
          <cell r="I2285" t="str">
            <v>--</v>
          </cell>
          <cell r="J2285">
            <v>2</v>
          </cell>
          <cell r="K2285">
            <v>2</v>
          </cell>
        </row>
        <row r="2286">
          <cell r="A2286" t="str">
            <v>M2</v>
          </cell>
          <cell r="B2286" t="str">
            <v>A5C</v>
          </cell>
          <cell r="C2286" t="str">
            <v>P</v>
          </cell>
          <cell r="D2286" t="str">
            <v>23063</v>
          </cell>
          <cell r="E2286" t="str">
            <v>90 ELL</v>
          </cell>
          <cell r="F2286">
            <v>2</v>
          </cell>
          <cell r="G2286" t="str">
            <v>CB400100000T00</v>
          </cell>
          <cell r="H2286">
            <v>0.75</v>
          </cell>
          <cell r="I2286" t="str">
            <v>--</v>
          </cell>
          <cell r="J2286">
            <v>1</v>
          </cell>
          <cell r="K2286">
            <v>1</v>
          </cell>
        </row>
        <row r="2287">
          <cell r="A2287" t="str">
            <v>M2</v>
          </cell>
          <cell r="B2287" t="str">
            <v>A5C</v>
          </cell>
          <cell r="C2287" t="str">
            <v>P</v>
          </cell>
          <cell r="D2287" t="str">
            <v>23068</v>
          </cell>
          <cell r="E2287" t="str">
            <v>90 ELL</v>
          </cell>
          <cell r="F2287">
            <v>2</v>
          </cell>
          <cell r="G2287" t="str">
            <v>CB400100000T00</v>
          </cell>
          <cell r="H2287">
            <v>0.75</v>
          </cell>
          <cell r="I2287" t="str">
            <v>--</v>
          </cell>
          <cell r="J2287">
            <v>2</v>
          </cell>
          <cell r="K2287">
            <v>2</v>
          </cell>
        </row>
        <row r="2288">
          <cell r="A2288" t="str">
            <v>M2</v>
          </cell>
          <cell r="B2288" t="str">
            <v>A5C</v>
          </cell>
          <cell r="C2288" t="str">
            <v>P</v>
          </cell>
          <cell r="D2288" t="str">
            <v>23072</v>
          </cell>
          <cell r="E2288" t="str">
            <v>90 ELL</v>
          </cell>
          <cell r="F2288">
            <v>2</v>
          </cell>
          <cell r="G2288" t="str">
            <v>CB400100000T00</v>
          </cell>
          <cell r="H2288">
            <v>0.75</v>
          </cell>
          <cell r="I2288" t="str">
            <v>--</v>
          </cell>
          <cell r="J2288">
            <v>1</v>
          </cell>
          <cell r="K2288">
            <v>1</v>
          </cell>
        </row>
        <row r="2289">
          <cell r="A2289" t="str">
            <v>M2</v>
          </cell>
          <cell r="B2289" t="str">
            <v>A5C</v>
          </cell>
          <cell r="C2289" t="str">
            <v>P</v>
          </cell>
          <cell r="D2289" t="str">
            <v>23073</v>
          </cell>
          <cell r="E2289" t="str">
            <v>90 ELL</v>
          </cell>
          <cell r="F2289">
            <v>2</v>
          </cell>
          <cell r="G2289" t="str">
            <v>CB400100000T00</v>
          </cell>
          <cell r="H2289">
            <v>0.75</v>
          </cell>
          <cell r="I2289" t="str">
            <v>--</v>
          </cell>
          <cell r="J2289">
            <v>2</v>
          </cell>
          <cell r="K2289">
            <v>2</v>
          </cell>
        </row>
        <row r="2290">
          <cell r="A2290" t="str">
            <v>M2</v>
          </cell>
          <cell r="B2290" t="str">
            <v>A5C</v>
          </cell>
          <cell r="C2290" t="str">
            <v>P</v>
          </cell>
          <cell r="D2290" t="str">
            <v>23078</v>
          </cell>
          <cell r="E2290" t="str">
            <v>90 ELL</v>
          </cell>
          <cell r="F2290">
            <v>2</v>
          </cell>
          <cell r="G2290" t="str">
            <v>CB400100000T00</v>
          </cell>
          <cell r="H2290">
            <v>0.75</v>
          </cell>
          <cell r="I2290" t="str">
            <v>--</v>
          </cell>
          <cell r="J2290">
            <v>1</v>
          </cell>
          <cell r="K2290">
            <v>1</v>
          </cell>
        </row>
        <row r="2291">
          <cell r="A2291" t="str">
            <v>M2</v>
          </cell>
          <cell r="B2291" t="str">
            <v>A5C</v>
          </cell>
          <cell r="C2291" t="str">
            <v>P</v>
          </cell>
          <cell r="D2291" t="str">
            <v>23081</v>
          </cell>
          <cell r="E2291" t="str">
            <v>90 ELL</v>
          </cell>
          <cell r="F2291">
            <v>2</v>
          </cell>
          <cell r="G2291" t="str">
            <v>CB400100000T00</v>
          </cell>
          <cell r="H2291">
            <v>0.75</v>
          </cell>
          <cell r="I2291" t="str">
            <v>--</v>
          </cell>
          <cell r="J2291">
            <v>17</v>
          </cell>
          <cell r="K2291">
            <v>17</v>
          </cell>
        </row>
        <row r="2292">
          <cell r="A2292" t="str">
            <v>M2</v>
          </cell>
          <cell r="B2292" t="str">
            <v>A5C</v>
          </cell>
          <cell r="C2292" t="str">
            <v>P</v>
          </cell>
          <cell r="D2292" t="str">
            <v>23084</v>
          </cell>
          <cell r="E2292" t="str">
            <v>90 ELL</v>
          </cell>
          <cell r="F2292">
            <v>2</v>
          </cell>
          <cell r="G2292" t="str">
            <v>CB400100000T00</v>
          </cell>
          <cell r="H2292">
            <v>0.75</v>
          </cell>
          <cell r="I2292" t="str">
            <v>--</v>
          </cell>
          <cell r="J2292">
            <v>2</v>
          </cell>
          <cell r="K2292">
            <v>2</v>
          </cell>
        </row>
        <row r="2293">
          <cell r="A2293" t="str">
            <v>M2</v>
          </cell>
          <cell r="B2293" t="str">
            <v>A5C</v>
          </cell>
          <cell r="C2293" t="str">
            <v>P</v>
          </cell>
          <cell r="D2293" t="str">
            <v>23094</v>
          </cell>
          <cell r="E2293" t="str">
            <v>90 ELL</v>
          </cell>
          <cell r="F2293">
            <v>2</v>
          </cell>
          <cell r="G2293" t="str">
            <v>CB400100000T00</v>
          </cell>
          <cell r="H2293">
            <v>0.75</v>
          </cell>
          <cell r="I2293" t="str">
            <v>--</v>
          </cell>
          <cell r="J2293">
            <v>5</v>
          </cell>
          <cell r="K2293">
            <v>5</v>
          </cell>
        </row>
        <row r="2294">
          <cell r="A2294" t="str">
            <v>M2</v>
          </cell>
          <cell r="B2294" t="str">
            <v>A5C</v>
          </cell>
          <cell r="C2294" t="str">
            <v>P</v>
          </cell>
          <cell r="D2294" t="str">
            <v>23094</v>
          </cell>
          <cell r="E2294" t="str">
            <v>90 ELL</v>
          </cell>
          <cell r="F2294">
            <v>2</v>
          </cell>
          <cell r="G2294" t="str">
            <v>CB400100000T00</v>
          </cell>
          <cell r="H2294">
            <v>0.75</v>
          </cell>
          <cell r="I2294" t="str">
            <v>--</v>
          </cell>
          <cell r="J2294">
            <v>4</v>
          </cell>
          <cell r="K2294">
            <v>4</v>
          </cell>
        </row>
        <row r="2295">
          <cell r="A2295" t="str">
            <v>M2</v>
          </cell>
          <cell r="B2295" t="str">
            <v>A5C</v>
          </cell>
          <cell r="C2295" t="str">
            <v>P</v>
          </cell>
          <cell r="D2295" t="str">
            <v>23095</v>
          </cell>
          <cell r="E2295" t="str">
            <v>90 ELL</v>
          </cell>
          <cell r="F2295">
            <v>2</v>
          </cell>
          <cell r="G2295" t="str">
            <v>CB400100000T00</v>
          </cell>
          <cell r="H2295">
            <v>0.75</v>
          </cell>
          <cell r="I2295" t="str">
            <v>--</v>
          </cell>
          <cell r="J2295">
            <v>2</v>
          </cell>
          <cell r="K2295">
            <v>2</v>
          </cell>
        </row>
        <row r="2296">
          <cell r="A2296" t="str">
            <v>M2</v>
          </cell>
          <cell r="B2296" t="str">
            <v>A5C</v>
          </cell>
          <cell r="C2296" t="str">
            <v>P</v>
          </cell>
          <cell r="D2296" t="str">
            <v>23101</v>
          </cell>
          <cell r="E2296" t="str">
            <v>90 ELL</v>
          </cell>
          <cell r="F2296">
            <v>2</v>
          </cell>
          <cell r="G2296" t="str">
            <v>CB400100000T00</v>
          </cell>
          <cell r="H2296">
            <v>0.75</v>
          </cell>
          <cell r="I2296" t="str">
            <v>--</v>
          </cell>
          <cell r="J2296">
            <v>5</v>
          </cell>
          <cell r="K2296">
            <v>5</v>
          </cell>
        </row>
        <row r="2297">
          <cell r="A2297" t="str">
            <v>M2</v>
          </cell>
          <cell r="B2297" t="str">
            <v>A5C</v>
          </cell>
          <cell r="C2297" t="str">
            <v>P</v>
          </cell>
          <cell r="D2297" t="str">
            <v>23105</v>
          </cell>
          <cell r="E2297" t="str">
            <v>90 ELL</v>
          </cell>
          <cell r="F2297">
            <v>2</v>
          </cell>
          <cell r="G2297" t="str">
            <v>CB400100000T00</v>
          </cell>
          <cell r="H2297">
            <v>0.75</v>
          </cell>
          <cell r="I2297" t="str">
            <v>--</v>
          </cell>
          <cell r="J2297">
            <v>5</v>
          </cell>
          <cell r="K2297">
            <v>5</v>
          </cell>
        </row>
        <row r="2298">
          <cell r="A2298" t="str">
            <v>M2</v>
          </cell>
          <cell r="B2298" t="str">
            <v>A5C</v>
          </cell>
          <cell r="C2298" t="str">
            <v>P</v>
          </cell>
          <cell r="D2298" t="str">
            <v>23102</v>
          </cell>
          <cell r="E2298" t="str">
            <v>90 ELL</v>
          </cell>
          <cell r="F2298">
            <v>2</v>
          </cell>
          <cell r="G2298" t="str">
            <v>CB400100000T00</v>
          </cell>
          <cell r="H2298">
            <v>0.75</v>
          </cell>
          <cell r="I2298" t="str">
            <v>--</v>
          </cell>
          <cell r="J2298">
            <v>2</v>
          </cell>
          <cell r="K2298">
            <v>2</v>
          </cell>
        </row>
        <row r="2299">
          <cell r="A2299" t="str">
            <v>M2</v>
          </cell>
          <cell r="B2299" t="str">
            <v>A5C</v>
          </cell>
          <cell r="C2299" t="str">
            <v>P</v>
          </cell>
          <cell r="D2299" t="str">
            <v>23109</v>
          </cell>
          <cell r="E2299" t="str">
            <v>90 ELL</v>
          </cell>
          <cell r="F2299">
            <v>2</v>
          </cell>
          <cell r="G2299" t="str">
            <v>CB400100000T00</v>
          </cell>
          <cell r="H2299">
            <v>0.75</v>
          </cell>
          <cell r="I2299" t="str">
            <v>--</v>
          </cell>
          <cell r="J2299">
            <v>5</v>
          </cell>
          <cell r="K2299">
            <v>5</v>
          </cell>
        </row>
        <row r="2300">
          <cell r="A2300" t="str">
            <v>M2</v>
          </cell>
          <cell r="B2300" t="str">
            <v>A5C</v>
          </cell>
          <cell r="C2300" t="str">
            <v>P</v>
          </cell>
          <cell r="D2300" t="str">
            <v>23113</v>
          </cell>
          <cell r="E2300" t="str">
            <v>90 ELL</v>
          </cell>
          <cell r="F2300">
            <v>2</v>
          </cell>
          <cell r="G2300" t="str">
            <v>CB400100000T00</v>
          </cell>
          <cell r="H2300">
            <v>0.75</v>
          </cell>
          <cell r="I2300" t="str">
            <v>--</v>
          </cell>
          <cell r="J2300">
            <v>4</v>
          </cell>
          <cell r="K2300">
            <v>4</v>
          </cell>
        </row>
        <row r="2301">
          <cell r="A2301" t="str">
            <v>M2</v>
          </cell>
          <cell r="B2301" t="str">
            <v>A5C</v>
          </cell>
          <cell r="C2301" t="str">
            <v>P</v>
          </cell>
          <cell r="D2301" t="str">
            <v>23113</v>
          </cell>
          <cell r="E2301" t="str">
            <v>90 ELL</v>
          </cell>
          <cell r="F2301">
            <v>2</v>
          </cell>
          <cell r="G2301" t="str">
            <v>CB400100000T00</v>
          </cell>
          <cell r="H2301">
            <v>0.75</v>
          </cell>
          <cell r="I2301" t="str">
            <v>--</v>
          </cell>
          <cell r="J2301">
            <v>4</v>
          </cell>
          <cell r="K2301">
            <v>4</v>
          </cell>
        </row>
        <row r="2302">
          <cell r="A2302" t="str">
            <v>M2</v>
          </cell>
          <cell r="B2302" t="str">
            <v>A5C</v>
          </cell>
          <cell r="C2302" t="str">
            <v>P</v>
          </cell>
          <cell r="D2302" t="str">
            <v>23114</v>
          </cell>
          <cell r="E2302" t="str">
            <v>90 ELL</v>
          </cell>
          <cell r="F2302">
            <v>2</v>
          </cell>
          <cell r="G2302" t="str">
            <v>CB400100000T00</v>
          </cell>
          <cell r="H2302">
            <v>0.75</v>
          </cell>
          <cell r="I2302" t="str">
            <v>--</v>
          </cell>
          <cell r="J2302">
            <v>2</v>
          </cell>
          <cell r="K2302">
            <v>2</v>
          </cell>
        </row>
        <row r="2303">
          <cell r="A2303" t="str">
            <v>M2</v>
          </cell>
          <cell r="B2303" t="str">
            <v>A5C</v>
          </cell>
          <cell r="C2303" t="str">
            <v>P</v>
          </cell>
          <cell r="D2303" t="str">
            <v>23117</v>
          </cell>
          <cell r="E2303" t="str">
            <v>90 ELL</v>
          </cell>
          <cell r="F2303">
            <v>2</v>
          </cell>
          <cell r="G2303" t="str">
            <v>CB400100000T00</v>
          </cell>
          <cell r="H2303">
            <v>0.75</v>
          </cell>
          <cell r="I2303" t="str">
            <v>--</v>
          </cell>
          <cell r="J2303">
            <v>2</v>
          </cell>
          <cell r="K2303">
            <v>2</v>
          </cell>
        </row>
        <row r="2304">
          <cell r="A2304" t="str">
            <v>M2</v>
          </cell>
          <cell r="B2304" t="str">
            <v>A5C</v>
          </cell>
          <cell r="C2304" t="str">
            <v>P</v>
          </cell>
          <cell r="D2304" t="str">
            <v>23123</v>
          </cell>
          <cell r="E2304" t="str">
            <v>90 ELL</v>
          </cell>
          <cell r="F2304">
            <v>2</v>
          </cell>
          <cell r="G2304" t="str">
            <v>CB400100000T00</v>
          </cell>
          <cell r="H2304">
            <v>0.75</v>
          </cell>
          <cell r="I2304" t="str">
            <v>--</v>
          </cell>
          <cell r="J2304">
            <v>2</v>
          </cell>
          <cell r="K2304">
            <v>2</v>
          </cell>
        </row>
        <row r="2305">
          <cell r="A2305" t="str">
            <v>M2</v>
          </cell>
          <cell r="B2305" t="str">
            <v>A5C</v>
          </cell>
          <cell r="C2305" t="str">
            <v>P</v>
          </cell>
          <cell r="D2305" t="str">
            <v>23127</v>
          </cell>
          <cell r="E2305" t="str">
            <v>90 ELL</v>
          </cell>
          <cell r="F2305">
            <v>2</v>
          </cell>
          <cell r="G2305" t="str">
            <v>CB400100000T00</v>
          </cell>
          <cell r="H2305">
            <v>0.75</v>
          </cell>
          <cell r="I2305" t="str">
            <v>--</v>
          </cell>
          <cell r="J2305">
            <v>2</v>
          </cell>
          <cell r="K2305">
            <v>2</v>
          </cell>
        </row>
        <row r="2306">
          <cell r="A2306" t="str">
            <v>M2</v>
          </cell>
          <cell r="B2306" t="str">
            <v>A5C</v>
          </cell>
          <cell r="C2306" t="str">
            <v>P</v>
          </cell>
          <cell r="D2306" t="str">
            <v>23133</v>
          </cell>
          <cell r="E2306" t="str">
            <v>90 ELL</v>
          </cell>
          <cell r="F2306">
            <v>2</v>
          </cell>
          <cell r="G2306" t="str">
            <v>CB400100000T00</v>
          </cell>
          <cell r="H2306">
            <v>0.75</v>
          </cell>
          <cell r="I2306" t="str">
            <v>--</v>
          </cell>
          <cell r="J2306">
            <v>4</v>
          </cell>
          <cell r="K2306">
            <v>4</v>
          </cell>
        </row>
        <row r="2307">
          <cell r="A2307" t="str">
            <v>M2</v>
          </cell>
          <cell r="B2307" t="str">
            <v>A5C</v>
          </cell>
          <cell r="C2307" t="str">
            <v>P</v>
          </cell>
          <cell r="D2307" t="str">
            <v>23134</v>
          </cell>
          <cell r="E2307" t="str">
            <v>90 ELL</v>
          </cell>
          <cell r="F2307">
            <v>2</v>
          </cell>
          <cell r="G2307" t="str">
            <v>CB400100000T00</v>
          </cell>
          <cell r="H2307">
            <v>0.75</v>
          </cell>
          <cell r="I2307" t="str">
            <v>--</v>
          </cell>
          <cell r="J2307">
            <v>2</v>
          </cell>
          <cell r="K2307">
            <v>2</v>
          </cell>
        </row>
        <row r="2308">
          <cell r="A2308" t="str">
            <v>M2</v>
          </cell>
          <cell r="B2308" t="str">
            <v>A5C</v>
          </cell>
          <cell r="C2308" t="str">
            <v>P</v>
          </cell>
          <cell r="D2308" t="str">
            <v>23141</v>
          </cell>
          <cell r="E2308" t="str">
            <v>90 ELL</v>
          </cell>
          <cell r="F2308">
            <v>2</v>
          </cell>
          <cell r="G2308" t="str">
            <v>CB400100000T00</v>
          </cell>
          <cell r="H2308">
            <v>0.75</v>
          </cell>
          <cell r="I2308" t="str">
            <v>--</v>
          </cell>
          <cell r="J2308">
            <v>4</v>
          </cell>
          <cell r="K2308">
            <v>4</v>
          </cell>
        </row>
        <row r="2309">
          <cell r="A2309" t="str">
            <v>M2</v>
          </cell>
          <cell r="B2309" t="str">
            <v>A5C</v>
          </cell>
          <cell r="C2309" t="str">
            <v>P</v>
          </cell>
          <cell r="D2309" t="str">
            <v>23141</v>
          </cell>
          <cell r="E2309" t="str">
            <v>90 ELL</v>
          </cell>
          <cell r="F2309">
            <v>2</v>
          </cell>
          <cell r="G2309" t="str">
            <v>CB400100000T00</v>
          </cell>
          <cell r="H2309">
            <v>0.75</v>
          </cell>
          <cell r="I2309" t="str">
            <v>--</v>
          </cell>
          <cell r="J2309">
            <v>12</v>
          </cell>
          <cell r="K2309">
            <v>12</v>
          </cell>
        </row>
        <row r="2310">
          <cell r="A2310" t="str">
            <v>M2</v>
          </cell>
          <cell r="B2310" t="str">
            <v>A5C</v>
          </cell>
          <cell r="C2310" t="str">
            <v>P</v>
          </cell>
          <cell r="D2310" t="str">
            <v>23142</v>
          </cell>
          <cell r="E2310" t="str">
            <v>90 ELL</v>
          </cell>
          <cell r="F2310">
            <v>2</v>
          </cell>
          <cell r="G2310" t="str">
            <v>CB400100000T00</v>
          </cell>
          <cell r="H2310">
            <v>0.75</v>
          </cell>
          <cell r="I2310" t="str">
            <v>--</v>
          </cell>
          <cell r="J2310">
            <v>2</v>
          </cell>
          <cell r="K2310">
            <v>2</v>
          </cell>
        </row>
        <row r="2311">
          <cell r="A2311" t="str">
            <v>M2</v>
          </cell>
          <cell r="B2311" t="str">
            <v>A5C</v>
          </cell>
          <cell r="C2311" t="str">
            <v>P</v>
          </cell>
          <cell r="D2311" t="str">
            <v>23145</v>
          </cell>
          <cell r="E2311" t="str">
            <v>90 ELL</v>
          </cell>
          <cell r="F2311">
            <v>2</v>
          </cell>
          <cell r="G2311" t="str">
            <v>CB400100000T00</v>
          </cell>
          <cell r="H2311">
            <v>0.75</v>
          </cell>
          <cell r="I2311" t="str">
            <v>--</v>
          </cell>
          <cell r="J2311">
            <v>4</v>
          </cell>
          <cell r="K2311">
            <v>4</v>
          </cell>
        </row>
        <row r="2312">
          <cell r="A2312" t="str">
            <v>M2</v>
          </cell>
          <cell r="B2312" t="str">
            <v>A5C</v>
          </cell>
          <cell r="C2312" t="str">
            <v>P</v>
          </cell>
          <cell r="D2312" t="str">
            <v>23146</v>
          </cell>
          <cell r="E2312" t="str">
            <v>90 ELL</v>
          </cell>
          <cell r="F2312">
            <v>2</v>
          </cell>
          <cell r="G2312" t="str">
            <v>CB400100000T00</v>
          </cell>
          <cell r="H2312">
            <v>0.75</v>
          </cell>
          <cell r="I2312" t="str">
            <v>--</v>
          </cell>
          <cell r="J2312">
            <v>2</v>
          </cell>
          <cell r="K2312">
            <v>2</v>
          </cell>
        </row>
        <row r="2313">
          <cell r="A2313" t="str">
            <v>M2</v>
          </cell>
          <cell r="B2313" t="str">
            <v>A5C</v>
          </cell>
          <cell r="C2313" t="str">
            <v>P</v>
          </cell>
          <cell r="D2313" t="str">
            <v>23149</v>
          </cell>
          <cell r="E2313" t="str">
            <v>90 ELL</v>
          </cell>
          <cell r="F2313">
            <v>2</v>
          </cell>
          <cell r="G2313" t="str">
            <v>CB400100000T00</v>
          </cell>
          <cell r="H2313">
            <v>0.75</v>
          </cell>
          <cell r="I2313" t="str">
            <v>--</v>
          </cell>
          <cell r="J2313">
            <v>1</v>
          </cell>
          <cell r="K2313">
            <v>1</v>
          </cell>
        </row>
        <row r="2314">
          <cell r="A2314" t="str">
            <v>M2</v>
          </cell>
          <cell r="B2314" t="str">
            <v>A5C</v>
          </cell>
          <cell r="C2314" t="str">
            <v>P</v>
          </cell>
          <cell r="D2314" t="str">
            <v>23152</v>
          </cell>
          <cell r="E2314" t="str">
            <v>90 ELL</v>
          </cell>
          <cell r="F2314">
            <v>2</v>
          </cell>
          <cell r="G2314" t="str">
            <v>CB400100000T00</v>
          </cell>
          <cell r="H2314">
            <v>0.75</v>
          </cell>
          <cell r="I2314" t="str">
            <v>--</v>
          </cell>
          <cell r="J2314">
            <v>2</v>
          </cell>
          <cell r="K2314">
            <v>2</v>
          </cell>
        </row>
        <row r="2315">
          <cell r="A2315" t="str">
            <v>M2</v>
          </cell>
          <cell r="B2315" t="str">
            <v>A5C</v>
          </cell>
          <cell r="C2315" t="str">
            <v>P</v>
          </cell>
          <cell r="D2315" t="str">
            <v>23157</v>
          </cell>
          <cell r="E2315" t="str">
            <v>90 ELL</v>
          </cell>
          <cell r="F2315">
            <v>2</v>
          </cell>
          <cell r="G2315" t="str">
            <v>CB400100000T00</v>
          </cell>
          <cell r="H2315">
            <v>0.75</v>
          </cell>
          <cell r="I2315" t="str">
            <v>--</v>
          </cell>
          <cell r="J2315">
            <v>2</v>
          </cell>
          <cell r="K2315">
            <v>2</v>
          </cell>
        </row>
        <row r="2316">
          <cell r="A2316" t="str">
            <v>M2</v>
          </cell>
          <cell r="B2316" t="str">
            <v>A5C</v>
          </cell>
          <cell r="C2316" t="str">
            <v>P</v>
          </cell>
          <cell r="D2316" t="str">
            <v>23160</v>
          </cell>
          <cell r="E2316" t="str">
            <v>90 ELL</v>
          </cell>
          <cell r="F2316">
            <v>2</v>
          </cell>
          <cell r="G2316" t="str">
            <v>CB400100000T00</v>
          </cell>
          <cell r="H2316">
            <v>0.75</v>
          </cell>
          <cell r="I2316" t="str">
            <v>--</v>
          </cell>
          <cell r="J2316">
            <v>2</v>
          </cell>
          <cell r="K2316">
            <v>2</v>
          </cell>
        </row>
        <row r="2317">
          <cell r="A2317" t="str">
            <v>M2</v>
          </cell>
          <cell r="B2317" t="str">
            <v>A5C</v>
          </cell>
          <cell r="C2317" t="str">
            <v>P</v>
          </cell>
          <cell r="D2317" t="str">
            <v>23174</v>
          </cell>
          <cell r="E2317" t="str">
            <v>90 ELL</v>
          </cell>
          <cell r="F2317">
            <v>2</v>
          </cell>
          <cell r="G2317" t="str">
            <v>CB400100000T00</v>
          </cell>
          <cell r="H2317">
            <v>0.75</v>
          </cell>
          <cell r="I2317" t="str">
            <v>--</v>
          </cell>
          <cell r="J2317">
            <v>2</v>
          </cell>
          <cell r="K2317">
            <v>2</v>
          </cell>
        </row>
        <row r="2318">
          <cell r="A2318" t="str">
            <v>M2</v>
          </cell>
          <cell r="B2318" t="str">
            <v>A5C</v>
          </cell>
          <cell r="C2318" t="str">
            <v>P</v>
          </cell>
          <cell r="D2318" t="str">
            <v>23188</v>
          </cell>
          <cell r="E2318" t="str">
            <v>90 ELL</v>
          </cell>
          <cell r="F2318">
            <v>2</v>
          </cell>
          <cell r="G2318" t="str">
            <v>CB400100000T00</v>
          </cell>
          <cell r="H2318">
            <v>0.75</v>
          </cell>
          <cell r="I2318" t="str">
            <v>--</v>
          </cell>
          <cell r="J2318">
            <v>7</v>
          </cell>
          <cell r="K2318">
            <v>7</v>
          </cell>
        </row>
        <row r="2319">
          <cell r="A2319" t="str">
            <v>M2</v>
          </cell>
          <cell r="B2319" t="str">
            <v>A5C</v>
          </cell>
          <cell r="C2319" t="str">
            <v>P</v>
          </cell>
          <cell r="D2319" t="str">
            <v>23185</v>
          </cell>
          <cell r="E2319" t="str">
            <v>90 ELL</v>
          </cell>
          <cell r="F2319">
            <v>2</v>
          </cell>
          <cell r="G2319" t="str">
            <v>CB400100000T00</v>
          </cell>
          <cell r="H2319">
            <v>0.75</v>
          </cell>
          <cell r="I2319" t="str">
            <v>--</v>
          </cell>
          <cell r="J2319">
            <v>2</v>
          </cell>
          <cell r="K2319">
            <v>2</v>
          </cell>
        </row>
        <row r="2320">
          <cell r="A2320" t="str">
            <v>M2</v>
          </cell>
          <cell r="B2320" t="str">
            <v>A5C</v>
          </cell>
          <cell r="C2320" t="str">
            <v>P</v>
          </cell>
          <cell r="D2320" t="str">
            <v>23196</v>
          </cell>
          <cell r="E2320" t="str">
            <v>90 ELL</v>
          </cell>
          <cell r="F2320">
            <v>2</v>
          </cell>
          <cell r="G2320" t="str">
            <v>CB400100000T00</v>
          </cell>
          <cell r="H2320">
            <v>0.75</v>
          </cell>
          <cell r="I2320" t="str">
            <v>--</v>
          </cell>
          <cell r="J2320">
            <v>2</v>
          </cell>
          <cell r="K2320">
            <v>2</v>
          </cell>
        </row>
        <row r="2321">
          <cell r="A2321" t="str">
            <v>M2</v>
          </cell>
          <cell r="B2321" t="str">
            <v>A5C</v>
          </cell>
          <cell r="C2321" t="str">
            <v>P</v>
          </cell>
          <cell r="D2321" t="str">
            <v>23225</v>
          </cell>
          <cell r="E2321" t="str">
            <v>90 ELL</v>
          </cell>
          <cell r="F2321">
            <v>2</v>
          </cell>
          <cell r="G2321" t="str">
            <v>CB400100000T00</v>
          </cell>
          <cell r="H2321">
            <v>0.75</v>
          </cell>
          <cell r="I2321" t="str">
            <v>--</v>
          </cell>
          <cell r="J2321">
            <v>10</v>
          </cell>
          <cell r="K2321">
            <v>10</v>
          </cell>
        </row>
        <row r="2322">
          <cell r="A2322" t="str">
            <v>M2</v>
          </cell>
          <cell r="B2322" t="str">
            <v>A5C</v>
          </cell>
          <cell r="C2322" t="str">
            <v>P</v>
          </cell>
          <cell r="D2322" t="str">
            <v>23236</v>
          </cell>
          <cell r="E2322" t="str">
            <v>90 ELL</v>
          </cell>
          <cell r="F2322">
            <v>2</v>
          </cell>
          <cell r="G2322" t="str">
            <v>CB400100000T00</v>
          </cell>
          <cell r="H2322">
            <v>0.75</v>
          </cell>
          <cell r="I2322" t="str">
            <v>--</v>
          </cell>
          <cell r="J2322">
            <v>2</v>
          </cell>
          <cell r="K2322">
            <v>2</v>
          </cell>
        </row>
        <row r="2323">
          <cell r="A2323" t="str">
            <v>M2</v>
          </cell>
          <cell r="B2323" t="str">
            <v>A5C</v>
          </cell>
          <cell r="C2323" t="str">
            <v>P</v>
          </cell>
          <cell r="D2323" t="str">
            <v>23234</v>
          </cell>
          <cell r="E2323" t="str">
            <v>90 ELL</v>
          </cell>
          <cell r="F2323">
            <v>2</v>
          </cell>
          <cell r="G2323" t="str">
            <v>CB400100000T00</v>
          </cell>
          <cell r="H2323">
            <v>0.75</v>
          </cell>
          <cell r="I2323" t="str">
            <v>--</v>
          </cell>
          <cell r="J2323">
            <v>5</v>
          </cell>
          <cell r="K2323">
            <v>5</v>
          </cell>
        </row>
        <row r="2324">
          <cell r="A2324" t="str">
            <v>M2</v>
          </cell>
          <cell r="B2324" t="str">
            <v>A5C</v>
          </cell>
          <cell r="C2324" t="str">
            <v>P</v>
          </cell>
          <cell r="D2324" t="str">
            <v>23238</v>
          </cell>
          <cell r="E2324" t="str">
            <v>90 ELL</v>
          </cell>
          <cell r="F2324">
            <v>2</v>
          </cell>
          <cell r="G2324" t="str">
            <v>CB400100000T00</v>
          </cell>
          <cell r="H2324">
            <v>0.75</v>
          </cell>
          <cell r="I2324" t="str">
            <v>--</v>
          </cell>
          <cell r="J2324">
            <v>5</v>
          </cell>
          <cell r="K2324">
            <v>5</v>
          </cell>
        </row>
        <row r="2325">
          <cell r="A2325" t="str">
            <v>M2</v>
          </cell>
          <cell r="B2325" t="str">
            <v>A5C</v>
          </cell>
          <cell r="C2325" t="str">
            <v>P</v>
          </cell>
          <cell r="D2325" t="str">
            <v>23246</v>
          </cell>
          <cell r="E2325" t="str">
            <v>90 ELL</v>
          </cell>
          <cell r="F2325">
            <v>2</v>
          </cell>
          <cell r="G2325" t="str">
            <v>CB400100000T00</v>
          </cell>
          <cell r="H2325">
            <v>0.75</v>
          </cell>
          <cell r="I2325" t="str">
            <v>--</v>
          </cell>
          <cell r="J2325">
            <v>2</v>
          </cell>
          <cell r="K2325">
            <v>2</v>
          </cell>
        </row>
        <row r="2326">
          <cell r="A2326" t="str">
            <v>M2</v>
          </cell>
          <cell r="B2326" t="str">
            <v>A5C</v>
          </cell>
          <cell r="C2326" t="str">
            <v>P</v>
          </cell>
          <cell r="D2326" t="str">
            <v>23247</v>
          </cell>
          <cell r="E2326" t="str">
            <v>90 ELL</v>
          </cell>
          <cell r="F2326">
            <v>2</v>
          </cell>
          <cell r="G2326" t="str">
            <v>CB400100000T00</v>
          </cell>
          <cell r="H2326">
            <v>0.75</v>
          </cell>
          <cell r="I2326" t="str">
            <v>--</v>
          </cell>
          <cell r="J2326">
            <v>10</v>
          </cell>
          <cell r="K2326">
            <v>10</v>
          </cell>
        </row>
        <row r="2327">
          <cell r="A2327" t="str">
            <v>M2</v>
          </cell>
          <cell r="B2327" t="str">
            <v>A5C</v>
          </cell>
          <cell r="C2327" t="str">
            <v>P</v>
          </cell>
          <cell r="D2327" t="str">
            <v>24014</v>
          </cell>
          <cell r="E2327" t="str">
            <v>90 ELL</v>
          </cell>
          <cell r="F2327">
            <v>2</v>
          </cell>
          <cell r="G2327" t="str">
            <v>CB400100000T00</v>
          </cell>
          <cell r="H2327">
            <v>0.75</v>
          </cell>
          <cell r="I2327" t="str">
            <v>--</v>
          </cell>
          <cell r="J2327">
            <v>2</v>
          </cell>
          <cell r="K2327">
            <v>2</v>
          </cell>
        </row>
        <row r="2328">
          <cell r="A2328" t="str">
            <v>M2</v>
          </cell>
          <cell r="B2328" t="str">
            <v>A5C</v>
          </cell>
          <cell r="C2328" t="str">
            <v>P</v>
          </cell>
          <cell r="D2328" t="str">
            <v>24024</v>
          </cell>
          <cell r="E2328" t="str">
            <v>90 ELL</v>
          </cell>
          <cell r="F2328">
            <v>2</v>
          </cell>
          <cell r="G2328" t="str">
            <v>CB400100000T00</v>
          </cell>
          <cell r="H2328">
            <v>0.75</v>
          </cell>
          <cell r="I2328" t="str">
            <v>--</v>
          </cell>
          <cell r="J2328">
            <v>7</v>
          </cell>
          <cell r="K2328">
            <v>7</v>
          </cell>
        </row>
        <row r="2329">
          <cell r="A2329" t="str">
            <v>M2</v>
          </cell>
          <cell r="B2329" t="str">
            <v>A5C</v>
          </cell>
          <cell r="C2329" t="str">
            <v>N</v>
          </cell>
          <cell r="D2329" t="str">
            <v>24613</v>
          </cell>
          <cell r="E2329" t="str">
            <v>90 ELL</v>
          </cell>
          <cell r="F2329">
            <v>2</v>
          </cell>
          <cell r="G2329" t="str">
            <v>CB400100000T00</v>
          </cell>
          <cell r="H2329">
            <v>0.75</v>
          </cell>
          <cell r="I2329" t="str">
            <v>--</v>
          </cell>
          <cell r="J2329">
            <v>5</v>
          </cell>
          <cell r="K2329">
            <v>5</v>
          </cell>
        </row>
        <row r="2330">
          <cell r="A2330" t="str">
            <v>M2</v>
          </cell>
          <cell r="B2330" t="str">
            <v>A5C</v>
          </cell>
          <cell r="C2330" t="str">
            <v>N</v>
          </cell>
          <cell r="D2330" t="str">
            <v>24614</v>
          </cell>
          <cell r="E2330" t="str">
            <v>90 ELL</v>
          </cell>
          <cell r="F2330">
            <v>2</v>
          </cell>
          <cell r="G2330" t="str">
            <v>CB400100000T00</v>
          </cell>
          <cell r="H2330">
            <v>0.75</v>
          </cell>
          <cell r="I2330" t="str">
            <v>--</v>
          </cell>
          <cell r="J2330">
            <v>3</v>
          </cell>
          <cell r="K2330">
            <v>3</v>
          </cell>
        </row>
        <row r="2331">
          <cell r="A2331" t="str">
            <v>M2</v>
          </cell>
          <cell r="B2331" t="str">
            <v>A5C</v>
          </cell>
          <cell r="C2331" t="str">
            <v>P</v>
          </cell>
          <cell r="D2331" t="str">
            <v>23110</v>
          </cell>
          <cell r="E2331" t="str">
            <v>90 ELL</v>
          </cell>
          <cell r="F2331">
            <v>2</v>
          </cell>
          <cell r="G2331" t="str">
            <v>CB400100000T00</v>
          </cell>
          <cell r="H2331">
            <v>0.75</v>
          </cell>
          <cell r="I2331" t="str">
            <v>--</v>
          </cell>
          <cell r="J2331">
            <v>2</v>
          </cell>
          <cell r="K2331">
            <v>2</v>
          </cell>
        </row>
        <row r="2332">
          <cell r="A2332" t="str">
            <v>M2</v>
          </cell>
          <cell r="B2332" t="str">
            <v>A5C</v>
          </cell>
          <cell r="C2332" t="str">
            <v>P</v>
          </cell>
          <cell r="D2332" t="str">
            <v>23164</v>
          </cell>
          <cell r="E2332" t="str">
            <v>90 ELL</v>
          </cell>
          <cell r="F2332">
            <v>2</v>
          </cell>
          <cell r="G2332" t="str">
            <v>CB400100000T00</v>
          </cell>
          <cell r="H2332">
            <v>0.75</v>
          </cell>
          <cell r="I2332" t="str">
            <v>--</v>
          </cell>
          <cell r="J2332">
            <v>2</v>
          </cell>
          <cell r="K2332">
            <v>2</v>
          </cell>
        </row>
        <row r="2333">
          <cell r="A2333" t="str">
            <v>M2</v>
          </cell>
          <cell r="B2333" t="str">
            <v>A5C</v>
          </cell>
          <cell r="C2333" t="str">
            <v>P</v>
          </cell>
          <cell r="D2333" t="str">
            <v>23240</v>
          </cell>
          <cell r="E2333" t="str">
            <v>90 ELL</v>
          </cell>
          <cell r="F2333">
            <v>2</v>
          </cell>
          <cell r="G2333" t="str">
            <v>CB400100000T00</v>
          </cell>
          <cell r="H2333">
            <v>0.75</v>
          </cell>
          <cell r="I2333" t="str">
            <v>--</v>
          </cell>
          <cell r="J2333">
            <v>2</v>
          </cell>
          <cell r="K2333">
            <v>2</v>
          </cell>
        </row>
        <row r="2334">
          <cell r="A2334" t="str">
            <v>M2</v>
          </cell>
          <cell r="B2334" t="str">
            <v>A5C</v>
          </cell>
          <cell r="C2334" t="str">
            <v>P</v>
          </cell>
          <cell r="D2334" t="str">
            <v>24021</v>
          </cell>
          <cell r="E2334" t="str">
            <v>90 ELL</v>
          </cell>
          <cell r="F2334">
            <v>2</v>
          </cell>
          <cell r="G2334" t="str">
            <v>CB400100000T00</v>
          </cell>
          <cell r="H2334">
            <v>0.75</v>
          </cell>
          <cell r="I2334" t="str">
            <v>--</v>
          </cell>
          <cell r="J2334">
            <v>2</v>
          </cell>
          <cell r="K2334">
            <v>2</v>
          </cell>
        </row>
        <row r="2335">
          <cell r="A2335" t="str">
            <v>M2</v>
          </cell>
          <cell r="B2335" t="str">
            <v>A5C</v>
          </cell>
          <cell r="C2335" t="str">
            <v>P</v>
          </cell>
          <cell r="D2335" t="str">
            <v>23148</v>
          </cell>
          <cell r="E2335" t="str">
            <v>CAP</v>
          </cell>
          <cell r="F2335">
            <v>2</v>
          </cell>
          <cell r="G2335" t="str">
            <v>CB520700000T00</v>
          </cell>
          <cell r="H2335">
            <v>0.75</v>
          </cell>
          <cell r="I2335" t="str">
            <v>--</v>
          </cell>
          <cell r="J2335">
            <v>2</v>
          </cell>
          <cell r="K2335">
            <v>2</v>
          </cell>
        </row>
        <row r="2336">
          <cell r="A2336" t="str">
            <v>M2</v>
          </cell>
          <cell r="B2336" t="str">
            <v>A5C</v>
          </cell>
          <cell r="C2336" t="str">
            <v>N</v>
          </cell>
          <cell r="D2336" t="str">
            <v>23620</v>
          </cell>
          <cell r="E2336" t="str">
            <v>CAP</v>
          </cell>
          <cell r="F2336">
            <v>2</v>
          </cell>
          <cell r="G2336" t="str">
            <v>CB520700000T00</v>
          </cell>
          <cell r="H2336">
            <v>0.75</v>
          </cell>
          <cell r="I2336" t="str">
            <v>--</v>
          </cell>
          <cell r="J2336">
            <v>1</v>
          </cell>
          <cell r="K2336">
            <v>1</v>
          </cell>
        </row>
        <row r="2337">
          <cell r="A2337" t="str">
            <v>M2</v>
          </cell>
          <cell r="B2337" t="str">
            <v>A5C</v>
          </cell>
          <cell r="C2337" t="str">
            <v>N</v>
          </cell>
          <cell r="D2337" t="str">
            <v>23621</v>
          </cell>
          <cell r="E2337" t="str">
            <v>CAP</v>
          </cell>
          <cell r="F2337">
            <v>2</v>
          </cell>
          <cell r="G2337" t="str">
            <v>CB520700000T00</v>
          </cell>
          <cell r="H2337">
            <v>0.75</v>
          </cell>
          <cell r="I2337" t="str">
            <v>--</v>
          </cell>
          <cell r="J2337">
            <v>1</v>
          </cell>
          <cell r="K2337">
            <v>1</v>
          </cell>
        </row>
        <row r="2338">
          <cell r="A2338" t="str">
            <v>M2</v>
          </cell>
          <cell r="B2338" t="str">
            <v>A5C</v>
          </cell>
          <cell r="C2338" t="str">
            <v>N</v>
          </cell>
          <cell r="D2338" t="str">
            <v>23632</v>
          </cell>
          <cell r="E2338" t="str">
            <v>CAP</v>
          </cell>
          <cell r="F2338">
            <v>2</v>
          </cell>
          <cell r="G2338" t="str">
            <v>CB520700000T00</v>
          </cell>
          <cell r="H2338">
            <v>0.75</v>
          </cell>
          <cell r="I2338" t="str">
            <v>--</v>
          </cell>
          <cell r="J2338">
            <v>1</v>
          </cell>
          <cell r="K2338">
            <v>1</v>
          </cell>
        </row>
        <row r="2339">
          <cell r="A2339" t="str">
            <v>M2</v>
          </cell>
          <cell r="B2339" t="str">
            <v>A5C</v>
          </cell>
          <cell r="C2339" t="str">
            <v>N</v>
          </cell>
          <cell r="D2339" t="str">
            <v>23634</v>
          </cell>
          <cell r="E2339" t="str">
            <v>CAP</v>
          </cell>
          <cell r="F2339">
            <v>2</v>
          </cell>
          <cell r="G2339" t="str">
            <v>CB520700000T00</v>
          </cell>
          <cell r="H2339">
            <v>0.75</v>
          </cell>
          <cell r="I2339" t="str">
            <v>--</v>
          </cell>
          <cell r="J2339">
            <v>1</v>
          </cell>
          <cell r="K2339">
            <v>1</v>
          </cell>
        </row>
        <row r="2340">
          <cell r="A2340" t="str">
            <v>M2</v>
          </cell>
          <cell r="B2340" t="str">
            <v>A5C</v>
          </cell>
          <cell r="C2340" t="str">
            <v>N</v>
          </cell>
          <cell r="D2340" t="str">
            <v>23642</v>
          </cell>
          <cell r="E2340" t="str">
            <v>CAP</v>
          </cell>
          <cell r="F2340">
            <v>2</v>
          </cell>
          <cell r="G2340" t="str">
            <v>CB520700000T00</v>
          </cell>
          <cell r="H2340">
            <v>0.75</v>
          </cell>
          <cell r="I2340" t="str">
            <v>--</v>
          </cell>
          <cell r="J2340">
            <v>1</v>
          </cell>
          <cell r="K2340">
            <v>1</v>
          </cell>
        </row>
        <row r="2341">
          <cell r="A2341" t="str">
            <v>M2</v>
          </cell>
          <cell r="B2341" t="str">
            <v>A5C</v>
          </cell>
          <cell r="C2341" t="str">
            <v>N</v>
          </cell>
          <cell r="D2341" t="str">
            <v>23636</v>
          </cell>
          <cell r="E2341" t="str">
            <v>CAP</v>
          </cell>
          <cell r="F2341">
            <v>2</v>
          </cell>
          <cell r="G2341" t="str">
            <v>CB520700000T00</v>
          </cell>
          <cell r="H2341">
            <v>0.75</v>
          </cell>
          <cell r="I2341" t="str">
            <v>--</v>
          </cell>
          <cell r="J2341">
            <v>1</v>
          </cell>
          <cell r="K2341">
            <v>1</v>
          </cell>
        </row>
        <row r="2342">
          <cell r="A2342" t="str">
            <v>M2</v>
          </cell>
          <cell r="B2342" t="str">
            <v>A5C</v>
          </cell>
          <cell r="C2342" t="str">
            <v>N</v>
          </cell>
          <cell r="D2342" t="str">
            <v>23639</v>
          </cell>
          <cell r="E2342" t="str">
            <v>CAP</v>
          </cell>
          <cell r="F2342">
            <v>2</v>
          </cell>
          <cell r="G2342" t="str">
            <v>CB520700000T00</v>
          </cell>
          <cell r="H2342">
            <v>0.75</v>
          </cell>
          <cell r="I2342" t="str">
            <v>--</v>
          </cell>
          <cell r="J2342">
            <v>1</v>
          </cell>
          <cell r="K2342">
            <v>1</v>
          </cell>
        </row>
        <row r="2343">
          <cell r="A2343" t="str">
            <v>M2</v>
          </cell>
          <cell r="B2343" t="str">
            <v>A5C</v>
          </cell>
          <cell r="C2343" t="str">
            <v>N</v>
          </cell>
          <cell r="D2343" t="str">
            <v>24611</v>
          </cell>
          <cell r="E2343" t="str">
            <v>CAP</v>
          </cell>
          <cell r="F2343">
            <v>2</v>
          </cell>
          <cell r="G2343" t="str">
            <v>CB520700000T00</v>
          </cell>
          <cell r="H2343">
            <v>0.75</v>
          </cell>
          <cell r="I2343" t="str">
            <v>--</v>
          </cell>
          <cell r="J2343">
            <v>1</v>
          </cell>
          <cell r="K2343">
            <v>1</v>
          </cell>
        </row>
        <row r="2344">
          <cell r="A2344" t="str">
            <v>M2</v>
          </cell>
          <cell r="B2344" t="str">
            <v>A5C</v>
          </cell>
          <cell r="C2344" t="str">
            <v>N</v>
          </cell>
          <cell r="D2344" t="str">
            <v>23646</v>
          </cell>
          <cell r="E2344" t="str">
            <v>CAP</v>
          </cell>
          <cell r="F2344">
            <v>2</v>
          </cell>
          <cell r="G2344" t="str">
            <v>CB520700000T00</v>
          </cell>
          <cell r="H2344">
            <v>0.75</v>
          </cell>
          <cell r="I2344" t="str">
            <v>--</v>
          </cell>
          <cell r="J2344">
            <v>1</v>
          </cell>
          <cell r="K2344">
            <v>1</v>
          </cell>
        </row>
        <row r="2345">
          <cell r="A2345" t="str">
            <v>M2</v>
          </cell>
          <cell r="B2345" t="str">
            <v>A5C</v>
          </cell>
          <cell r="C2345" t="str">
            <v>N</v>
          </cell>
          <cell r="D2345" t="str">
            <v>24613</v>
          </cell>
          <cell r="E2345" t="str">
            <v>CAP</v>
          </cell>
          <cell r="F2345">
            <v>2</v>
          </cell>
          <cell r="G2345" t="str">
            <v>CB520700000T00</v>
          </cell>
          <cell r="H2345">
            <v>0.75</v>
          </cell>
          <cell r="I2345" t="str">
            <v>--</v>
          </cell>
          <cell r="J2345">
            <v>1</v>
          </cell>
          <cell r="K2345">
            <v>1</v>
          </cell>
        </row>
        <row r="2346">
          <cell r="A2346" t="str">
            <v>M2</v>
          </cell>
          <cell r="B2346" t="str">
            <v>A5C</v>
          </cell>
          <cell r="C2346" t="str">
            <v>N</v>
          </cell>
          <cell r="D2346" t="str">
            <v>24614</v>
          </cell>
          <cell r="E2346" t="str">
            <v>CAP</v>
          </cell>
          <cell r="F2346">
            <v>2</v>
          </cell>
          <cell r="G2346" t="str">
            <v>CB520700000T00</v>
          </cell>
          <cell r="H2346">
            <v>0.75</v>
          </cell>
          <cell r="I2346" t="str">
            <v>--</v>
          </cell>
          <cell r="J2346">
            <v>1</v>
          </cell>
          <cell r="K2346">
            <v>1</v>
          </cell>
        </row>
        <row r="2347">
          <cell r="A2347" t="str">
            <v>M2</v>
          </cell>
          <cell r="B2347" t="str">
            <v>A5C</v>
          </cell>
          <cell r="C2347" t="str">
            <v>P</v>
          </cell>
          <cell r="D2347" t="str">
            <v>23006</v>
          </cell>
          <cell r="E2347" t="str">
            <v>CAP</v>
          </cell>
          <cell r="F2347">
            <v>2</v>
          </cell>
          <cell r="G2347" t="str">
            <v>CB520700000T00</v>
          </cell>
          <cell r="H2347">
            <v>0.75</v>
          </cell>
          <cell r="I2347" t="str">
            <v>--</v>
          </cell>
          <cell r="J2347">
            <v>2</v>
          </cell>
          <cell r="K2347">
            <v>2</v>
          </cell>
        </row>
        <row r="2348">
          <cell r="A2348" t="str">
            <v>M2</v>
          </cell>
          <cell r="B2348" t="str">
            <v>A5C</v>
          </cell>
          <cell r="C2348" t="str">
            <v>P</v>
          </cell>
          <cell r="D2348" t="str">
            <v>23037</v>
          </cell>
          <cell r="E2348" t="str">
            <v>CAP</v>
          </cell>
          <cell r="F2348">
            <v>2</v>
          </cell>
          <cell r="G2348" t="str">
            <v>CB520700000T00</v>
          </cell>
          <cell r="H2348">
            <v>0.75</v>
          </cell>
          <cell r="I2348" t="str">
            <v>--</v>
          </cell>
          <cell r="J2348">
            <v>1</v>
          </cell>
          <cell r="K2348">
            <v>1</v>
          </cell>
        </row>
        <row r="2349">
          <cell r="A2349" t="str">
            <v>M2</v>
          </cell>
          <cell r="B2349" t="str">
            <v>A5C</v>
          </cell>
          <cell r="C2349" t="str">
            <v>P</v>
          </cell>
          <cell r="D2349" t="str">
            <v>23035</v>
          </cell>
          <cell r="E2349" t="str">
            <v>CAP</v>
          </cell>
          <cell r="F2349">
            <v>2</v>
          </cell>
          <cell r="G2349" t="str">
            <v>CB520700000T00</v>
          </cell>
          <cell r="H2349">
            <v>0.75</v>
          </cell>
          <cell r="I2349" t="str">
            <v>--</v>
          </cell>
          <cell r="J2349">
            <v>1</v>
          </cell>
          <cell r="K2349">
            <v>1</v>
          </cell>
        </row>
        <row r="2350">
          <cell r="A2350" t="str">
            <v>M2</v>
          </cell>
          <cell r="B2350" t="str">
            <v>A5C</v>
          </cell>
          <cell r="C2350" t="str">
            <v>P</v>
          </cell>
          <cell r="D2350" t="str">
            <v>23052</v>
          </cell>
          <cell r="E2350" t="str">
            <v>CAP</v>
          </cell>
          <cell r="F2350">
            <v>2</v>
          </cell>
          <cell r="G2350" t="str">
            <v>CB520700000T00</v>
          </cell>
          <cell r="H2350">
            <v>0.75</v>
          </cell>
          <cell r="I2350" t="str">
            <v>--</v>
          </cell>
          <cell r="J2350">
            <v>1</v>
          </cell>
          <cell r="K2350">
            <v>1</v>
          </cell>
        </row>
        <row r="2351">
          <cell r="A2351" t="str">
            <v>M2</v>
          </cell>
          <cell r="B2351" t="str">
            <v>A5C</v>
          </cell>
          <cell r="C2351" t="str">
            <v>P</v>
          </cell>
          <cell r="D2351" t="str">
            <v>23063</v>
          </cell>
          <cell r="E2351" t="str">
            <v>CAP</v>
          </cell>
          <cell r="F2351">
            <v>2</v>
          </cell>
          <cell r="G2351" t="str">
            <v>CB520700000T00</v>
          </cell>
          <cell r="H2351">
            <v>0.75</v>
          </cell>
          <cell r="I2351" t="str">
            <v>--</v>
          </cell>
          <cell r="J2351">
            <v>1</v>
          </cell>
          <cell r="K2351">
            <v>1</v>
          </cell>
        </row>
        <row r="2352">
          <cell r="A2352" t="str">
            <v>M2</v>
          </cell>
          <cell r="B2352" t="str">
            <v>A5C</v>
          </cell>
          <cell r="C2352" t="str">
            <v>P</v>
          </cell>
          <cell r="D2352" t="str">
            <v>23078</v>
          </cell>
          <cell r="E2352" t="str">
            <v>CAP</v>
          </cell>
          <cell r="F2352">
            <v>2</v>
          </cell>
          <cell r="G2352" t="str">
            <v>CB520700000T00</v>
          </cell>
          <cell r="H2352">
            <v>0.75</v>
          </cell>
          <cell r="I2352" t="str">
            <v>--</v>
          </cell>
          <cell r="J2352">
            <v>1</v>
          </cell>
          <cell r="K2352">
            <v>1</v>
          </cell>
        </row>
        <row r="2353">
          <cell r="A2353" t="str">
            <v>M2</v>
          </cell>
          <cell r="B2353" t="str">
            <v>A5C</v>
          </cell>
          <cell r="C2353" t="str">
            <v>P</v>
          </cell>
          <cell r="D2353" t="str">
            <v>23081</v>
          </cell>
          <cell r="E2353" t="str">
            <v>CAP</v>
          </cell>
          <cell r="F2353">
            <v>2</v>
          </cell>
          <cell r="G2353" t="str">
            <v>CB520700000T00</v>
          </cell>
          <cell r="H2353">
            <v>0.75</v>
          </cell>
          <cell r="I2353" t="str">
            <v>--</v>
          </cell>
          <cell r="J2353">
            <v>1</v>
          </cell>
          <cell r="K2353">
            <v>1</v>
          </cell>
        </row>
        <row r="2354">
          <cell r="A2354" t="str">
            <v>M2</v>
          </cell>
          <cell r="B2354" t="str">
            <v>A5C</v>
          </cell>
          <cell r="C2354" t="str">
            <v>P</v>
          </cell>
          <cell r="D2354" t="str">
            <v>23082</v>
          </cell>
          <cell r="E2354" t="str">
            <v>CAP</v>
          </cell>
          <cell r="F2354">
            <v>2</v>
          </cell>
          <cell r="G2354" t="str">
            <v>CB520700000T00</v>
          </cell>
          <cell r="H2354">
            <v>0.75</v>
          </cell>
          <cell r="I2354" t="str">
            <v>--</v>
          </cell>
          <cell r="J2354">
            <v>2</v>
          </cell>
          <cell r="K2354">
            <v>2</v>
          </cell>
        </row>
        <row r="2355">
          <cell r="A2355" t="str">
            <v>M2</v>
          </cell>
          <cell r="B2355" t="str">
            <v>A5C</v>
          </cell>
          <cell r="C2355" t="str">
            <v>P</v>
          </cell>
          <cell r="D2355" t="str">
            <v>23083</v>
          </cell>
          <cell r="E2355" t="str">
            <v>CAP</v>
          </cell>
          <cell r="F2355">
            <v>2</v>
          </cell>
          <cell r="G2355" t="str">
            <v>CB520700000T00</v>
          </cell>
          <cell r="H2355">
            <v>0.75</v>
          </cell>
          <cell r="I2355" t="str">
            <v>--</v>
          </cell>
          <cell r="J2355">
            <v>1</v>
          </cell>
          <cell r="K2355">
            <v>1</v>
          </cell>
        </row>
        <row r="2356">
          <cell r="A2356" t="str">
            <v>M2</v>
          </cell>
          <cell r="B2356" t="str">
            <v>A5C</v>
          </cell>
          <cell r="C2356" t="str">
            <v>P</v>
          </cell>
          <cell r="D2356" t="str">
            <v>23085</v>
          </cell>
          <cell r="E2356" t="str">
            <v>CAP</v>
          </cell>
          <cell r="F2356">
            <v>2</v>
          </cell>
          <cell r="G2356" t="str">
            <v>CB520700000T00</v>
          </cell>
          <cell r="H2356">
            <v>0.75</v>
          </cell>
          <cell r="I2356" t="str">
            <v>--</v>
          </cell>
          <cell r="J2356">
            <v>2</v>
          </cell>
          <cell r="K2356">
            <v>2</v>
          </cell>
        </row>
        <row r="2357">
          <cell r="A2357" t="str">
            <v>M2</v>
          </cell>
          <cell r="B2357" t="str">
            <v>A5C</v>
          </cell>
          <cell r="C2357" t="str">
            <v>P</v>
          </cell>
          <cell r="D2357" t="str">
            <v>23094</v>
          </cell>
          <cell r="E2357" t="str">
            <v>CAP</v>
          </cell>
          <cell r="F2357">
            <v>2</v>
          </cell>
          <cell r="G2357" t="str">
            <v>CB520700000T00</v>
          </cell>
          <cell r="H2357">
            <v>0.75</v>
          </cell>
          <cell r="I2357" t="str">
            <v>--</v>
          </cell>
          <cell r="J2357">
            <v>3</v>
          </cell>
          <cell r="K2357">
            <v>3</v>
          </cell>
        </row>
        <row r="2358">
          <cell r="A2358" t="str">
            <v>M2</v>
          </cell>
          <cell r="B2358" t="str">
            <v>A5C</v>
          </cell>
          <cell r="C2358" t="str">
            <v>P</v>
          </cell>
          <cell r="D2358" t="str">
            <v>23096</v>
          </cell>
          <cell r="E2358" t="str">
            <v>CAP</v>
          </cell>
          <cell r="F2358">
            <v>2</v>
          </cell>
          <cell r="G2358" t="str">
            <v>CB520700000T00</v>
          </cell>
          <cell r="H2358">
            <v>0.75</v>
          </cell>
          <cell r="I2358" t="str">
            <v>--</v>
          </cell>
          <cell r="J2358">
            <v>3</v>
          </cell>
          <cell r="K2358">
            <v>3</v>
          </cell>
        </row>
        <row r="2359">
          <cell r="A2359" t="str">
            <v>M2</v>
          </cell>
          <cell r="B2359" t="str">
            <v>A5C</v>
          </cell>
          <cell r="C2359" t="str">
            <v>P</v>
          </cell>
          <cell r="D2359" t="str">
            <v>23104</v>
          </cell>
          <cell r="E2359" t="str">
            <v>CAP</v>
          </cell>
          <cell r="F2359">
            <v>2</v>
          </cell>
          <cell r="G2359" t="str">
            <v>CB520700000T00</v>
          </cell>
          <cell r="H2359">
            <v>0.75</v>
          </cell>
          <cell r="I2359" t="str">
            <v>--</v>
          </cell>
          <cell r="J2359">
            <v>1</v>
          </cell>
          <cell r="K2359">
            <v>1</v>
          </cell>
        </row>
        <row r="2360">
          <cell r="A2360" t="str">
            <v>M2</v>
          </cell>
          <cell r="B2360" t="str">
            <v>A5C</v>
          </cell>
          <cell r="C2360" t="str">
            <v>P</v>
          </cell>
          <cell r="D2360" t="str">
            <v>23103</v>
          </cell>
          <cell r="E2360" t="str">
            <v>CAP</v>
          </cell>
          <cell r="F2360">
            <v>2</v>
          </cell>
          <cell r="G2360" t="str">
            <v>CB520700000T00</v>
          </cell>
          <cell r="H2360">
            <v>0.75</v>
          </cell>
          <cell r="I2360" t="str">
            <v>--</v>
          </cell>
          <cell r="J2360">
            <v>2</v>
          </cell>
          <cell r="K2360">
            <v>2</v>
          </cell>
        </row>
        <row r="2361">
          <cell r="A2361" t="str">
            <v>M2</v>
          </cell>
          <cell r="B2361" t="str">
            <v>A5C</v>
          </cell>
          <cell r="C2361" t="str">
            <v>P</v>
          </cell>
          <cell r="D2361" t="str">
            <v>23104</v>
          </cell>
          <cell r="E2361" t="str">
            <v>CAP</v>
          </cell>
          <cell r="F2361">
            <v>2</v>
          </cell>
          <cell r="G2361" t="str">
            <v>CB520700000T00</v>
          </cell>
          <cell r="H2361">
            <v>0.75</v>
          </cell>
          <cell r="I2361" t="str">
            <v>--</v>
          </cell>
          <cell r="J2361">
            <v>1</v>
          </cell>
          <cell r="K2361">
            <v>1</v>
          </cell>
        </row>
        <row r="2362">
          <cell r="A2362" t="str">
            <v>M2</v>
          </cell>
          <cell r="B2362" t="str">
            <v>A5C</v>
          </cell>
          <cell r="C2362" t="str">
            <v>P</v>
          </cell>
          <cell r="D2362" t="str">
            <v>23108</v>
          </cell>
          <cell r="E2362" t="str">
            <v>CAP</v>
          </cell>
          <cell r="F2362">
            <v>2</v>
          </cell>
          <cell r="G2362" t="str">
            <v>CB520700000T00</v>
          </cell>
          <cell r="H2362">
            <v>0.75</v>
          </cell>
          <cell r="I2362" t="str">
            <v>--</v>
          </cell>
          <cell r="J2362">
            <v>1</v>
          </cell>
          <cell r="K2362">
            <v>1</v>
          </cell>
        </row>
        <row r="2363">
          <cell r="A2363" t="str">
            <v>M2</v>
          </cell>
          <cell r="B2363" t="str">
            <v>A5C</v>
          </cell>
          <cell r="C2363" t="str">
            <v>P</v>
          </cell>
          <cell r="D2363" t="str">
            <v>23108</v>
          </cell>
          <cell r="E2363" t="str">
            <v>CAP</v>
          </cell>
          <cell r="F2363">
            <v>2</v>
          </cell>
          <cell r="G2363" t="str">
            <v>CB520700000T00</v>
          </cell>
          <cell r="H2363">
            <v>0.75</v>
          </cell>
          <cell r="I2363" t="str">
            <v>--</v>
          </cell>
          <cell r="J2363">
            <v>1</v>
          </cell>
          <cell r="K2363">
            <v>1</v>
          </cell>
        </row>
        <row r="2364">
          <cell r="A2364" t="str">
            <v>M2</v>
          </cell>
          <cell r="B2364" t="str">
            <v>A5C</v>
          </cell>
          <cell r="C2364" t="str">
            <v>P</v>
          </cell>
          <cell r="D2364" t="str">
            <v>23111</v>
          </cell>
          <cell r="E2364" t="str">
            <v>CAP</v>
          </cell>
          <cell r="F2364">
            <v>2</v>
          </cell>
          <cell r="G2364" t="str">
            <v>CB520700000T00</v>
          </cell>
          <cell r="H2364">
            <v>0.75</v>
          </cell>
          <cell r="I2364" t="str">
            <v>--</v>
          </cell>
          <cell r="J2364">
            <v>2</v>
          </cell>
          <cell r="K2364">
            <v>2</v>
          </cell>
        </row>
        <row r="2365">
          <cell r="A2365" t="str">
            <v>M2</v>
          </cell>
          <cell r="B2365" t="str">
            <v>A5C</v>
          </cell>
          <cell r="C2365" t="str">
            <v>P</v>
          </cell>
          <cell r="D2365" t="str">
            <v>23112</v>
          </cell>
          <cell r="E2365" t="str">
            <v>CAP</v>
          </cell>
          <cell r="F2365">
            <v>2</v>
          </cell>
          <cell r="G2365" t="str">
            <v>CB520700000T00</v>
          </cell>
          <cell r="H2365">
            <v>0.75</v>
          </cell>
          <cell r="I2365" t="str">
            <v>--</v>
          </cell>
          <cell r="J2365">
            <v>1</v>
          </cell>
          <cell r="K2365">
            <v>1</v>
          </cell>
        </row>
        <row r="2366">
          <cell r="A2366" t="str">
            <v>M2</v>
          </cell>
          <cell r="B2366" t="str">
            <v>A5C</v>
          </cell>
          <cell r="C2366" t="str">
            <v>P</v>
          </cell>
          <cell r="D2366" t="str">
            <v>23112</v>
          </cell>
          <cell r="E2366" t="str">
            <v>CAP</v>
          </cell>
          <cell r="F2366">
            <v>2</v>
          </cell>
          <cell r="G2366" t="str">
            <v>CB520700000T00</v>
          </cell>
          <cell r="H2366">
            <v>0.75</v>
          </cell>
          <cell r="I2366" t="str">
            <v>--</v>
          </cell>
          <cell r="J2366">
            <v>1</v>
          </cell>
          <cell r="K2366">
            <v>1</v>
          </cell>
        </row>
        <row r="2367">
          <cell r="A2367" t="str">
            <v>M2</v>
          </cell>
          <cell r="B2367" t="str">
            <v>A5C</v>
          </cell>
          <cell r="C2367" t="str">
            <v>P</v>
          </cell>
          <cell r="D2367" t="str">
            <v>23113</v>
          </cell>
          <cell r="E2367" t="str">
            <v>CAP</v>
          </cell>
          <cell r="F2367">
            <v>2</v>
          </cell>
          <cell r="G2367" t="str">
            <v>CB520700000T00</v>
          </cell>
          <cell r="H2367">
            <v>0.75</v>
          </cell>
          <cell r="I2367" t="str">
            <v>--</v>
          </cell>
          <cell r="J2367">
            <v>1</v>
          </cell>
          <cell r="K2367">
            <v>1</v>
          </cell>
        </row>
        <row r="2368">
          <cell r="A2368" t="str">
            <v>M2</v>
          </cell>
          <cell r="B2368" t="str">
            <v>A5C</v>
          </cell>
          <cell r="C2368" t="str">
            <v>P</v>
          </cell>
          <cell r="D2368" t="str">
            <v>23116</v>
          </cell>
          <cell r="E2368" t="str">
            <v>CAP</v>
          </cell>
          <cell r="F2368">
            <v>2</v>
          </cell>
          <cell r="G2368" t="str">
            <v>CB520700000T00</v>
          </cell>
          <cell r="H2368">
            <v>0.75</v>
          </cell>
          <cell r="I2368" t="str">
            <v>--</v>
          </cell>
          <cell r="J2368">
            <v>2</v>
          </cell>
          <cell r="K2368">
            <v>2</v>
          </cell>
        </row>
        <row r="2369">
          <cell r="A2369" t="str">
            <v>M2</v>
          </cell>
          <cell r="B2369" t="str">
            <v>A5C</v>
          </cell>
          <cell r="C2369" t="str">
            <v>P</v>
          </cell>
          <cell r="D2369" t="str">
            <v>23121</v>
          </cell>
          <cell r="E2369" t="str">
            <v>CAP</v>
          </cell>
          <cell r="F2369">
            <v>2</v>
          </cell>
          <cell r="G2369" t="str">
            <v>CB520700000T00</v>
          </cell>
          <cell r="H2369">
            <v>0.75</v>
          </cell>
          <cell r="I2369" t="str">
            <v>--</v>
          </cell>
          <cell r="J2369">
            <v>2</v>
          </cell>
          <cell r="K2369">
            <v>2</v>
          </cell>
        </row>
        <row r="2370">
          <cell r="A2370" t="str">
            <v>M2</v>
          </cell>
          <cell r="B2370" t="str">
            <v>A5C</v>
          </cell>
          <cell r="C2370" t="str">
            <v>P</v>
          </cell>
          <cell r="D2370" t="str">
            <v>23122</v>
          </cell>
          <cell r="E2370" t="str">
            <v>CAP</v>
          </cell>
          <cell r="F2370">
            <v>2</v>
          </cell>
          <cell r="G2370" t="str">
            <v>CB520700000T00</v>
          </cell>
          <cell r="H2370">
            <v>0.75</v>
          </cell>
          <cell r="I2370" t="str">
            <v>--</v>
          </cell>
          <cell r="J2370">
            <v>1</v>
          </cell>
          <cell r="K2370">
            <v>1</v>
          </cell>
        </row>
        <row r="2371">
          <cell r="A2371" t="str">
            <v>M2</v>
          </cell>
          <cell r="B2371" t="str">
            <v>A5C</v>
          </cell>
          <cell r="C2371" t="str">
            <v>P</v>
          </cell>
          <cell r="D2371" t="str">
            <v>23135</v>
          </cell>
          <cell r="E2371" t="str">
            <v>CAP</v>
          </cell>
          <cell r="F2371">
            <v>2</v>
          </cell>
          <cell r="G2371" t="str">
            <v>CB520700000T00</v>
          </cell>
          <cell r="H2371">
            <v>0.75</v>
          </cell>
          <cell r="I2371" t="str">
            <v>--</v>
          </cell>
          <cell r="J2371">
            <v>3</v>
          </cell>
          <cell r="K2371">
            <v>3</v>
          </cell>
        </row>
        <row r="2372">
          <cell r="A2372" t="str">
            <v>M2</v>
          </cell>
          <cell r="B2372" t="str">
            <v>A5C</v>
          </cell>
          <cell r="C2372" t="str">
            <v>P</v>
          </cell>
          <cell r="D2372" t="str">
            <v>23141</v>
          </cell>
          <cell r="E2372" t="str">
            <v>CAP</v>
          </cell>
          <cell r="F2372">
            <v>2</v>
          </cell>
          <cell r="G2372" t="str">
            <v>CB520700000T00</v>
          </cell>
          <cell r="H2372">
            <v>0.75</v>
          </cell>
          <cell r="I2372" t="str">
            <v>--</v>
          </cell>
          <cell r="J2372">
            <v>1</v>
          </cell>
          <cell r="K2372">
            <v>1</v>
          </cell>
        </row>
        <row r="2373">
          <cell r="A2373" t="str">
            <v>M2</v>
          </cell>
          <cell r="B2373" t="str">
            <v>A5C</v>
          </cell>
          <cell r="C2373" t="str">
            <v>P</v>
          </cell>
          <cell r="D2373" t="str">
            <v>23144</v>
          </cell>
          <cell r="E2373" t="str">
            <v>CAP</v>
          </cell>
          <cell r="F2373">
            <v>2</v>
          </cell>
          <cell r="G2373" t="str">
            <v>CB520700000T00</v>
          </cell>
          <cell r="H2373">
            <v>0.75</v>
          </cell>
          <cell r="I2373" t="str">
            <v>--</v>
          </cell>
          <cell r="J2373">
            <v>2</v>
          </cell>
          <cell r="K2373">
            <v>2</v>
          </cell>
        </row>
        <row r="2374">
          <cell r="A2374" t="str">
            <v>M2</v>
          </cell>
          <cell r="B2374" t="str">
            <v>A5C</v>
          </cell>
          <cell r="C2374" t="str">
            <v>P</v>
          </cell>
          <cell r="D2374" t="str">
            <v>23152</v>
          </cell>
          <cell r="E2374" t="str">
            <v>CAP</v>
          </cell>
          <cell r="F2374">
            <v>2</v>
          </cell>
          <cell r="G2374" t="str">
            <v>CB520700000T00</v>
          </cell>
          <cell r="H2374">
            <v>0.75</v>
          </cell>
          <cell r="I2374" t="str">
            <v>--</v>
          </cell>
          <cell r="J2374">
            <v>1</v>
          </cell>
          <cell r="K2374">
            <v>1</v>
          </cell>
        </row>
        <row r="2375">
          <cell r="A2375" t="str">
            <v>M2</v>
          </cell>
          <cell r="B2375" t="str">
            <v>A5C</v>
          </cell>
          <cell r="C2375" t="str">
            <v>P</v>
          </cell>
          <cell r="D2375" t="str">
            <v>23160</v>
          </cell>
          <cell r="E2375" t="str">
            <v>CAP</v>
          </cell>
          <cell r="F2375">
            <v>2</v>
          </cell>
          <cell r="G2375" t="str">
            <v>CB520700000T00</v>
          </cell>
          <cell r="H2375">
            <v>0.75</v>
          </cell>
          <cell r="I2375" t="str">
            <v>--</v>
          </cell>
          <cell r="J2375">
            <v>1</v>
          </cell>
          <cell r="K2375">
            <v>1</v>
          </cell>
        </row>
        <row r="2376">
          <cell r="A2376" t="str">
            <v>M2</v>
          </cell>
          <cell r="B2376" t="str">
            <v>A5C</v>
          </cell>
          <cell r="C2376" t="str">
            <v>P</v>
          </cell>
          <cell r="D2376" t="str">
            <v>23174</v>
          </cell>
          <cell r="E2376" t="str">
            <v>CAP</v>
          </cell>
          <cell r="F2376">
            <v>2</v>
          </cell>
          <cell r="G2376" t="str">
            <v>CB520700000T00</v>
          </cell>
          <cell r="H2376">
            <v>0.75</v>
          </cell>
          <cell r="I2376" t="str">
            <v>--</v>
          </cell>
          <cell r="J2376">
            <v>1</v>
          </cell>
          <cell r="K2376">
            <v>1</v>
          </cell>
        </row>
        <row r="2377">
          <cell r="A2377" t="str">
            <v>M2</v>
          </cell>
          <cell r="B2377" t="str">
            <v>A5C</v>
          </cell>
          <cell r="C2377" t="str">
            <v>P</v>
          </cell>
          <cell r="D2377" t="str">
            <v>23181</v>
          </cell>
          <cell r="E2377" t="str">
            <v>CAP</v>
          </cell>
          <cell r="F2377">
            <v>2</v>
          </cell>
          <cell r="G2377" t="str">
            <v>CB520700000T00</v>
          </cell>
          <cell r="H2377">
            <v>0.75</v>
          </cell>
          <cell r="I2377" t="str">
            <v>--</v>
          </cell>
          <cell r="J2377">
            <v>1</v>
          </cell>
          <cell r="K2377">
            <v>1</v>
          </cell>
        </row>
        <row r="2378">
          <cell r="A2378" t="str">
            <v>M2</v>
          </cell>
          <cell r="B2378" t="str">
            <v>A5C</v>
          </cell>
          <cell r="C2378" t="str">
            <v>P</v>
          </cell>
          <cell r="D2378" t="str">
            <v>23188</v>
          </cell>
          <cell r="E2378" t="str">
            <v>CAP</v>
          </cell>
          <cell r="F2378">
            <v>2</v>
          </cell>
          <cell r="G2378" t="str">
            <v>CB520700000T00</v>
          </cell>
          <cell r="H2378">
            <v>0.75</v>
          </cell>
          <cell r="I2378" t="str">
            <v>--</v>
          </cell>
          <cell r="J2378">
            <v>3</v>
          </cell>
          <cell r="K2378">
            <v>3</v>
          </cell>
        </row>
        <row r="2379">
          <cell r="A2379" t="str">
            <v>M2</v>
          </cell>
          <cell r="B2379" t="str">
            <v>A5C</v>
          </cell>
          <cell r="C2379" t="str">
            <v>P</v>
          </cell>
          <cell r="D2379" t="str">
            <v>23192</v>
          </cell>
          <cell r="E2379" t="str">
            <v>CAP</v>
          </cell>
          <cell r="F2379">
            <v>2</v>
          </cell>
          <cell r="G2379" t="str">
            <v>CB520700000T00</v>
          </cell>
          <cell r="H2379">
            <v>0.75</v>
          </cell>
          <cell r="I2379" t="str">
            <v>--</v>
          </cell>
          <cell r="J2379">
            <v>1</v>
          </cell>
          <cell r="K2379">
            <v>1</v>
          </cell>
        </row>
        <row r="2380">
          <cell r="A2380" t="str">
            <v>M2</v>
          </cell>
          <cell r="B2380" t="str">
            <v>A5C</v>
          </cell>
          <cell r="C2380" t="str">
            <v>P</v>
          </cell>
          <cell r="D2380" t="str">
            <v>23213</v>
          </cell>
          <cell r="E2380" t="str">
            <v>CAP</v>
          </cell>
          <cell r="F2380">
            <v>2</v>
          </cell>
          <cell r="G2380" t="str">
            <v>CB520700000T00</v>
          </cell>
          <cell r="H2380">
            <v>0.75</v>
          </cell>
          <cell r="I2380" t="str">
            <v>--</v>
          </cell>
          <cell r="J2380">
            <v>1</v>
          </cell>
          <cell r="K2380">
            <v>1</v>
          </cell>
        </row>
        <row r="2381">
          <cell r="A2381" t="str">
            <v>M2</v>
          </cell>
          <cell r="B2381" t="str">
            <v>A5C</v>
          </cell>
          <cell r="C2381" t="str">
            <v>P</v>
          </cell>
          <cell r="D2381" t="str">
            <v>23214</v>
          </cell>
          <cell r="E2381" t="str">
            <v>CAP</v>
          </cell>
          <cell r="F2381">
            <v>2</v>
          </cell>
          <cell r="G2381" t="str">
            <v>CB520700000T00</v>
          </cell>
          <cell r="H2381">
            <v>0.75</v>
          </cell>
          <cell r="I2381" t="str">
            <v>--</v>
          </cell>
          <cell r="J2381">
            <v>1</v>
          </cell>
          <cell r="K2381">
            <v>1</v>
          </cell>
        </row>
        <row r="2382">
          <cell r="A2382" t="str">
            <v>M2</v>
          </cell>
          <cell r="B2382" t="str">
            <v>A5C</v>
          </cell>
          <cell r="C2382" t="str">
            <v>P</v>
          </cell>
          <cell r="D2382" t="str">
            <v>23226</v>
          </cell>
          <cell r="E2382" t="str">
            <v>CAP</v>
          </cell>
          <cell r="F2382">
            <v>2</v>
          </cell>
          <cell r="G2382" t="str">
            <v>CB520700000T00</v>
          </cell>
          <cell r="H2382">
            <v>0.75</v>
          </cell>
          <cell r="I2382" t="str">
            <v>--</v>
          </cell>
          <cell r="J2382">
            <v>1</v>
          </cell>
          <cell r="K2382">
            <v>1</v>
          </cell>
        </row>
        <row r="2383">
          <cell r="A2383" t="str">
            <v>M2</v>
          </cell>
          <cell r="B2383" t="str">
            <v>A5C</v>
          </cell>
          <cell r="C2383" t="str">
            <v>P</v>
          </cell>
          <cell r="D2383" t="str">
            <v>23231</v>
          </cell>
          <cell r="E2383" t="str">
            <v>CAP</v>
          </cell>
          <cell r="F2383">
            <v>2</v>
          </cell>
          <cell r="G2383" t="str">
            <v>CB520700000T00</v>
          </cell>
          <cell r="H2383">
            <v>0.75</v>
          </cell>
          <cell r="I2383" t="str">
            <v>--</v>
          </cell>
          <cell r="J2383">
            <v>1</v>
          </cell>
          <cell r="K2383">
            <v>1</v>
          </cell>
        </row>
        <row r="2384">
          <cell r="A2384" t="str">
            <v>M2</v>
          </cell>
          <cell r="B2384" t="str">
            <v>A5C</v>
          </cell>
          <cell r="C2384" t="str">
            <v>P</v>
          </cell>
          <cell r="D2384" t="str">
            <v>23232</v>
          </cell>
          <cell r="E2384" t="str">
            <v>CAP</v>
          </cell>
          <cell r="F2384">
            <v>2</v>
          </cell>
          <cell r="G2384" t="str">
            <v>CB520700000T00</v>
          </cell>
          <cell r="H2384">
            <v>0.75</v>
          </cell>
          <cell r="I2384" t="str">
            <v>--</v>
          </cell>
          <cell r="J2384">
            <v>2</v>
          </cell>
          <cell r="K2384">
            <v>2</v>
          </cell>
        </row>
        <row r="2385">
          <cell r="A2385" t="str">
            <v>M2</v>
          </cell>
          <cell r="B2385" t="str">
            <v>A5C</v>
          </cell>
          <cell r="C2385" t="str">
            <v>P</v>
          </cell>
          <cell r="D2385" t="str">
            <v>23229</v>
          </cell>
          <cell r="E2385" t="str">
            <v>CAP</v>
          </cell>
          <cell r="F2385">
            <v>2</v>
          </cell>
          <cell r="G2385" t="str">
            <v>CB520700000T00</v>
          </cell>
          <cell r="H2385">
            <v>0.75</v>
          </cell>
          <cell r="I2385" t="str">
            <v>--</v>
          </cell>
          <cell r="J2385">
            <v>1</v>
          </cell>
          <cell r="K2385">
            <v>1</v>
          </cell>
        </row>
        <row r="2386">
          <cell r="A2386" t="str">
            <v>M2</v>
          </cell>
          <cell r="B2386" t="str">
            <v>A5C</v>
          </cell>
          <cell r="C2386" t="str">
            <v>P</v>
          </cell>
          <cell r="D2386" t="str">
            <v>23245</v>
          </cell>
          <cell r="E2386" t="str">
            <v>CAP</v>
          </cell>
          <cell r="F2386">
            <v>2</v>
          </cell>
          <cell r="G2386" t="str">
            <v>CB520700000T00</v>
          </cell>
          <cell r="H2386">
            <v>0.75</v>
          </cell>
          <cell r="I2386" t="str">
            <v>--</v>
          </cell>
          <cell r="J2386">
            <v>1</v>
          </cell>
          <cell r="K2386">
            <v>1</v>
          </cell>
        </row>
        <row r="2387">
          <cell r="A2387" t="str">
            <v>M2</v>
          </cell>
          <cell r="B2387" t="str">
            <v>A5C</v>
          </cell>
          <cell r="C2387" t="str">
            <v>P</v>
          </cell>
          <cell r="D2387" t="str">
            <v>23247</v>
          </cell>
          <cell r="E2387" t="str">
            <v>CAP</v>
          </cell>
          <cell r="F2387">
            <v>2</v>
          </cell>
          <cell r="G2387" t="str">
            <v>CB520700000T00</v>
          </cell>
          <cell r="H2387">
            <v>0.75</v>
          </cell>
          <cell r="I2387" t="str">
            <v>--</v>
          </cell>
          <cell r="J2387">
            <v>1</v>
          </cell>
          <cell r="K2387">
            <v>1</v>
          </cell>
        </row>
        <row r="2388">
          <cell r="A2388" t="str">
            <v>M2</v>
          </cell>
          <cell r="B2388" t="str">
            <v>A5C</v>
          </cell>
          <cell r="C2388" t="str">
            <v>P</v>
          </cell>
          <cell r="D2388" t="str">
            <v>23248</v>
          </cell>
          <cell r="E2388" t="str">
            <v>CAP</v>
          </cell>
          <cell r="F2388">
            <v>2</v>
          </cell>
          <cell r="G2388" t="str">
            <v>CB520700000T00</v>
          </cell>
          <cell r="H2388">
            <v>0.75</v>
          </cell>
          <cell r="I2388" t="str">
            <v>--</v>
          </cell>
          <cell r="J2388">
            <v>1</v>
          </cell>
          <cell r="K2388">
            <v>1</v>
          </cell>
        </row>
        <row r="2389">
          <cell r="A2389" t="str">
            <v>M2</v>
          </cell>
          <cell r="B2389" t="str">
            <v>A5C</v>
          </cell>
          <cell r="C2389" t="str">
            <v>P</v>
          </cell>
          <cell r="D2389" t="str">
            <v>23251</v>
          </cell>
          <cell r="E2389" t="str">
            <v>CAP</v>
          </cell>
          <cell r="F2389">
            <v>2</v>
          </cell>
          <cell r="G2389" t="str">
            <v>CB520700000T00</v>
          </cell>
          <cell r="H2389">
            <v>0.75</v>
          </cell>
          <cell r="I2389" t="str">
            <v>--</v>
          </cell>
          <cell r="J2389">
            <v>1</v>
          </cell>
          <cell r="K2389">
            <v>1</v>
          </cell>
        </row>
        <row r="2390">
          <cell r="A2390" t="str">
            <v>M2</v>
          </cell>
          <cell r="B2390" t="str">
            <v>A5C</v>
          </cell>
          <cell r="C2390" t="str">
            <v>P</v>
          </cell>
          <cell r="D2390" t="str">
            <v>23252</v>
          </cell>
          <cell r="E2390" t="str">
            <v>CAP</v>
          </cell>
          <cell r="F2390">
            <v>2</v>
          </cell>
          <cell r="G2390" t="str">
            <v>CB520700000T00</v>
          </cell>
          <cell r="H2390">
            <v>0.75</v>
          </cell>
          <cell r="I2390" t="str">
            <v>--</v>
          </cell>
          <cell r="J2390">
            <v>1</v>
          </cell>
          <cell r="K2390">
            <v>1</v>
          </cell>
        </row>
        <row r="2391">
          <cell r="A2391" t="str">
            <v>M2</v>
          </cell>
          <cell r="B2391" t="str">
            <v>A5C</v>
          </cell>
          <cell r="C2391" t="str">
            <v>P</v>
          </cell>
          <cell r="D2391" t="str">
            <v>23254</v>
          </cell>
          <cell r="E2391" t="str">
            <v>CAP</v>
          </cell>
          <cell r="F2391">
            <v>2</v>
          </cell>
          <cell r="G2391" t="str">
            <v>CB520700000T00</v>
          </cell>
          <cell r="H2391">
            <v>0.75</v>
          </cell>
          <cell r="I2391" t="str">
            <v>--</v>
          </cell>
          <cell r="J2391">
            <v>2</v>
          </cell>
          <cell r="K2391">
            <v>2</v>
          </cell>
        </row>
        <row r="2392">
          <cell r="A2392" t="str">
            <v>M2</v>
          </cell>
          <cell r="B2392" t="str">
            <v>A5C</v>
          </cell>
          <cell r="C2392" t="str">
            <v>P</v>
          </cell>
          <cell r="D2392" t="str">
            <v>23258</v>
          </cell>
          <cell r="E2392" t="str">
            <v>CAP</v>
          </cell>
          <cell r="F2392">
            <v>2</v>
          </cell>
          <cell r="G2392" t="str">
            <v>CB520700000T00</v>
          </cell>
          <cell r="H2392">
            <v>0.75</v>
          </cell>
          <cell r="I2392" t="str">
            <v>--</v>
          </cell>
          <cell r="J2392">
            <v>1</v>
          </cell>
          <cell r="K2392">
            <v>1</v>
          </cell>
        </row>
        <row r="2393">
          <cell r="A2393" t="str">
            <v>M2</v>
          </cell>
          <cell r="B2393" t="str">
            <v>A5C</v>
          </cell>
          <cell r="C2393" t="str">
            <v>P</v>
          </cell>
          <cell r="D2393" t="str">
            <v>24020</v>
          </cell>
          <cell r="E2393" t="str">
            <v>CAP</v>
          </cell>
          <cell r="F2393">
            <v>2</v>
          </cell>
          <cell r="G2393" t="str">
            <v>CB520700000T00</v>
          </cell>
          <cell r="H2393">
            <v>0.75</v>
          </cell>
          <cell r="I2393" t="str">
            <v>--</v>
          </cell>
          <cell r="J2393">
            <v>1</v>
          </cell>
          <cell r="K2393">
            <v>1</v>
          </cell>
        </row>
        <row r="2394">
          <cell r="A2394" t="str">
            <v>M2</v>
          </cell>
          <cell r="B2394" t="str">
            <v>A5C</v>
          </cell>
          <cell r="C2394" t="str">
            <v>P</v>
          </cell>
          <cell r="D2394" t="str">
            <v>24024</v>
          </cell>
          <cell r="E2394" t="str">
            <v>CAP</v>
          </cell>
          <cell r="F2394">
            <v>2</v>
          </cell>
          <cell r="G2394" t="str">
            <v>CB520700000T00</v>
          </cell>
          <cell r="H2394">
            <v>0.75</v>
          </cell>
          <cell r="I2394" t="str">
            <v>--</v>
          </cell>
          <cell r="J2394">
            <v>2</v>
          </cell>
          <cell r="K2394">
            <v>2</v>
          </cell>
        </row>
        <row r="2395">
          <cell r="A2395" t="str">
            <v>M2</v>
          </cell>
          <cell r="B2395" t="str">
            <v>A5C</v>
          </cell>
          <cell r="C2395" t="str">
            <v>TRIM</v>
          </cell>
          <cell r="D2395" t="str">
            <v>V-2315</v>
          </cell>
          <cell r="E2395" t="str">
            <v>CAP</v>
          </cell>
          <cell r="F2395">
            <v>2</v>
          </cell>
          <cell r="G2395" t="str">
            <v>CB520700000T00</v>
          </cell>
          <cell r="H2395">
            <v>0.75</v>
          </cell>
          <cell r="I2395" t="str">
            <v>--</v>
          </cell>
          <cell r="J2395">
            <v>2</v>
          </cell>
          <cell r="K2395">
            <v>2</v>
          </cell>
        </row>
        <row r="2396">
          <cell r="A2396" t="str">
            <v>M2</v>
          </cell>
          <cell r="B2396" t="str">
            <v>A5C</v>
          </cell>
          <cell r="C2396" t="str">
            <v>TRIM</v>
          </cell>
          <cell r="D2396" t="str">
            <v>V-2316</v>
          </cell>
          <cell r="E2396" t="str">
            <v>CAP</v>
          </cell>
          <cell r="F2396">
            <v>2</v>
          </cell>
          <cell r="G2396" t="str">
            <v>CB520700000T00</v>
          </cell>
          <cell r="H2396">
            <v>0.75</v>
          </cell>
          <cell r="I2396" t="str">
            <v>--</v>
          </cell>
          <cell r="J2396">
            <v>2</v>
          </cell>
          <cell r="K2396">
            <v>2</v>
          </cell>
        </row>
        <row r="2397">
          <cell r="A2397" t="str">
            <v>M2</v>
          </cell>
          <cell r="B2397" t="str">
            <v>A5C</v>
          </cell>
          <cell r="C2397" t="str">
            <v>TRIM</v>
          </cell>
          <cell r="D2397" t="str">
            <v>V-2317</v>
          </cell>
          <cell r="E2397" t="str">
            <v>CAP</v>
          </cell>
          <cell r="F2397">
            <v>2</v>
          </cell>
          <cell r="G2397" t="str">
            <v>CB520700000T00</v>
          </cell>
          <cell r="H2397">
            <v>0.75</v>
          </cell>
          <cell r="I2397" t="str">
            <v>--</v>
          </cell>
          <cell r="J2397">
            <v>2</v>
          </cell>
          <cell r="K2397">
            <v>2</v>
          </cell>
        </row>
        <row r="2398">
          <cell r="A2398" t="str">
            <v>M2</v>
          </cell>
          <cell r="B2398" t="str">
            <v>A5C</v>
          </cell>
          <cell r="C2398" t="str">
            <v>TRIM</v>
          </cell>
          <cell r="D2398" t="str">
            <v>V-2319</v>
          </cell>
          <cell r="E2398" t="str">
            <v>CAP</v>
          </cell>
          <cell r="F2398">
            <v>2</v>
          </cell>
          <cell r="G2398" t="str">
            <v>CB520700000T00</v>
          </cell>
          <cell r="H2398">
            <v>0.75</v>
          </cell>
          <cell r="I2398" t="str">
            <v>--</v>
          </cell>
          <cell r="J2398">
            <v>2</v>
          </cell>
          <cell r="K2398">
            <v>2</v>
          </cell>
        </row>
        <row r="2399">
          <cell r="A2399" t="str">
            <v>M2</v>
          </cell>
          <cell r="B2399" t="str">
            <v>A5C</v>
          </cell>
          <cell r="C2399" t="str">
            <v>TRIM</v>
          </cell>
          <cell r="D2399" t="str">
            <v>V-2320</v>
          </cell>
          <cell r="E2399" t="str">
            <v>CAP</v>
          </cell>
          <cell r="F2399">
            <v>2</v>
          </cell>
          <cell r="G2399" t="str">
            <v>CB520700000T00</v>
          </cell>
          <cell r="H2399">
            <v>0.75</v>
          </cell>
          <cell r="I2399" t="str">
            <v>--</v>
          </cell>
          <cell r="J2399">
            <v>2</v>
          </cell>
          <cell r="K2399">
            <v>2</v>
          </cell>
        </row>
        <row r="2400">
          <cell r="A2400" t="str">
            <v>M2</v>
          </cell>
          <cell r="B2400" t="str">
            <v>A5C</v>
          </cell>
          <cell r="C2400" t="str">
            <v>TRIM</v>
          </cell>
          <cell r="D2400" t="str">
            <v>V-2321</v>
          </cell>
          <cell r="E2400" t="str">
            <v>CAP</v>
          </cell>
          <cell r="F2400">
            <v>2</v>
          </cell>
          <cell r="G2400" t="str">
            <v>CB520700000T00</v>
          </cell>
          <cell r="H2400">
            <v>0.75</v>
          </cell>
          <cell r="I2400" t="str">
            <v>--</v>
          </cell>
          <cell r="J2400">
            <v>2</v>
          </cell>
          <cell r="K2400">
            <v>2</v>
          </cell>
        </row>
        <row r="2401">
          <cell r="A2401" t="str">
            <v>M2</v>
          </cell>
          <cell r="B2401" t="str">
            <v>A5C</v>
          </cell>
          <cell r="C2401" t="str">
            <v>TRIM</v>
          </cell>
          <cell r="D2401" t="str">
            <v>V-2318</v>
          </cell>
          <cell r="E2401" t="str">
            <v>CAP</v>
          </cell>
          <cell r="F2401">
            <v>2</v>
          </cell>
          <cell r="G2401" t="str">
            <v>CB520700000T00</v>
          </cell>
          <cell r="H2401">
            <v>0.75</v>
          </cell>
          <cell r="I2401" t="str">
            <v>--</v>
          </cell>
          <cell r="J2401">
            <v>2</v>
          </cell>
          <cell r="K2401">
            <v>2</v>
          </cell>
        </row>
        <row r="2402">
          <cell r="A2402" t="str">
            <v>M2</v>
          </cell>
          <cell r="B2402" t="str">
            <v>A5C</v>
          </cell>
          <cell r="C2402" t="str">
            <v>TRIM</v>
          </cell>
          <cell r="D2402" t="str">
            <v>V-2323</v>
          </cell>
          <cell r="E2402" t="str">
            <v>CAP</v>
          </cell>
          <cell r="F2402">
            <v>2</v>
          </cell>
          <cell r="G2402" t="str">
            <v>CB520700000T00</v>
          </cell>
          <cell r="H2402">
            <v>0.75</v>
          </cell>
          <cell r="I2402" t="str">
            <v>--</v>
          </cell>
          <cell r="J2402">
            <v>2</v>
          </cell>
          <cell r="K2402">
            <v>2</v>
          </cell>
        </row>
        <row r="2403">
          <cell r="A2403" t="str">
            <v>M2</v>
          </cell>
          <cell r="B2403" t="str">
            <v>A5C</v>
          </cell>
          <cell r="C2403" t="str">
            <v>TRIM</v>
          </cell>
          <cell r="D2403" t="str">
            <v>V-2333</v>
          </cell>
          <cell r="E2403" t="str">
            <v>CAP</v>
          </cell>
          <cell r="F2403">
            <v>2</v>
          </cell>
          <cell r="G2403" t="str">
            <v>CB520700000T00</v>
          </cell>
          <cell r="H2403">
            <v>0.75</v>
          </cell>
          <cell r="I2403" t="str">
            <v>--</v>
          </cell>
          <cell r="J2403">
            <v>2</v>
          </cell>
          <cell r="K2403">
            <v>2</v>
          </cell>
        </row>
        <row r="2404">
          <cell r="A2404" t="str">
            <v>M2</v>
          </cell>
          <cell r="B2404" t="str">
            <v>A5C</v>
          </cell>
          <cell r="C2404" t="str">
            <v>TRIM</v>
          </cell>
          <cell r="D2404" t="str">
            <v>V-2327</v>
          </cell>
          <cell r="E2404" t="str">
            <v>CAP</v>
          </cell>
          <cell r="F2404">
            <v>2</v>
          </cell>
          <cell r="G2404" t="str">
            <v>CB520700000T00</v>
          </cell>
          <cell r="H2404">
            <v>0.75</v>
          </cell>
          <cell r="I2404" t="str">
            <v>--</v>
          </cell>
          <cell r="J2404">
            <v>2</v>
          </cell>
          <cell r="K2404">
            <v>2</v>
          </cell>
        </row>
        <row r="2405">
          <cell r="A2405" t="str">
            <v>M2</v>
          </cell>
          <cell r="B2405" t="str">
            <v>A5C</v>
          </cell>
          <cell r="C2405" t="str">
            <v>TRIM</v>
          </cell>
          <cell r="D2405" t="str">
            <v>V-2332</v>
          </cell>
          <cell r="E2405" t="str">
            <v>CAP</v>
          </cell>
          <cell r="F2405">
            <v>2</v>
          </cell>
          <cell r="G2405" t="str">
            <v>CB520700000T00</v>
          </cell>
          <cell r="H2405">
            <v>0.75</v>
          </cell>
          <cell r="I2405" t="str">
            <v>--</v>
          </cell>
          <cell r="J2405">
            <v>2</v>
          </cell>
          <cell r="K2405">
            <v>2</v>
          </cell>
        </row>
        <row r="2406">
          <cell r="A2406" t="str">
            <v>M2</v>
          </cell>
          <cell r="B2406" t="str">
            <v>A5C</v>
          </cell>
          <cell r="C2406" t="str">
            <v>N</v>
          </cell>
          <cell r="D2406" t="str">
            <v>23613</v>
          </cell>
          <cell r="E2406" t="str">
            <v>CAP</v>
          </cell>
          <cell r="F2406">
            <v>2</v>
          </cell>
          <cell r="G2406" t="str">
            <v>CB520700000T00</v>
          </cell>
          <cell r="H2406">
            <v>0.75</v>
          </cell>
          <cell r="I2406" t="str">
            <v>--</v>
          </cell>
          <cell r="J2406">
            <v>1</v>
          </cell>
          <cell r="K2406">
            <v>1</v>
          </cell>
        </row>
        <row r="2407">
          <cell r="A2407" t="str">
            <v>M2</v>
          </cell>
          <cell r="B2407" t="str">
            <v>A5C</v>
          </cell>
          <cell r="C2407" t="str">
            <v>N</v>
          </cell>
          <cell r="D2407" t="str">
            <v>23619</v>
          </cell>
          <cell r="E2407" t="str">
            <v>CAP</v>
          </cell>
          <cell r="F2407">
            <v>2</v>
          </cell>
          <cell r="G2407" t="str">
            <v>CB520700000T00</v>
          </cell>
          <cell r="H2407">
            <v>0.75</v>
          </cell>
          <cell r="I2407" t="str">
            <v>--</v>
          </cell>
          <cell r="J2407">
            <v>1</v>
          </cell>
          <cell r="K2407">
            <v>1</v>
          </cell>
        </row>
        <row r="2408">
          <cell r="A2408" t="str">
            <v>M2</v>
          </cell>
          <cell r="B2408" t="str">
            <v>A5C</v>
          </cell>
          <cell r="C2408" t="str">
            <v>N</v>
          </cell>
          <cell r="D2408" t="str">
            <v>23637</v>
          </cell>
          <cell r="E2408" t="str">
            <v>CAP</v>
          </cell>
          <cell r="F2408">
            <v>2</v>
          </cell>
          <cell r="G2408" t="str">
            <v>CB520700000T00</v>
          </cell>
          <cell r="H2408">
            <v>0.75</v>
          </cell>
          <cell r="I2408" t="str">
            <v>--</v>
          </cell>
          <cell r="J2408">
            <v>1</v>
          </cell>
          <cell r="K2408">
            <v>1</v>
          </cell>
        </row>
        <row r="2409">
          <cell r="A2409" t="str">
            <v>M2</v>
          </cell>
          <cell r="B2409" t="str">
            <v>A5C</v>
          </cell>
          <cell r="C2409" t="str">
            <v>N</v>
          </cell>
          <cell r="D2409" t="str">
            <v>23638</v>
          </cell>
          <cell r="E2409" t="str">
            <v>CAP</v>
          </cell>
          <cell r="F2409">
            <v>2</v>
          </cell>
          <cell r="G2409" t="str">
            <v>CB520700000T00</v>
          </cell>
          <cell r="H2409">
            <v>0.75</v>
          </cell>
          <cell r="I2409" t="str">
            <v>--</v>
          </cell>
          <cell r="J2409">
            <v>1</v>
          </cell>
          <cell r="K2409">
            <v>1</v>
          </cell>
        </row>
        <row r="2410">
          <cell r="A2410" t="str">
            <v>M2</v>
          </cell>
          <cell r="B2410" t="str">
            <v>A5C</v>
          </cell>
          <cell r="C2410" t="str">
            <v>N</v>
          </cell>
          <cell r="D2410" t="str">
            <v>23640</v>
          </cell>
          <cell r="E2410" t="str">
            <v>CAP</v>
          </cell>
          <cell r="F2410">
            <v>2</v>
          </cell>
          <cell r="G2410" t="str">
            <v>CB520700000T00</v>
          </cell>
          <cell r="H2410">
            <v>0.75</v>
          </cell>
          <cell r="I2410" t="str">
            <v>--</v>
          </cell>
          <cell r="J2410">
            <v>1</v>
          </cell>
          <cell r="K2410">
            <v>1</v>
          </cell>
        </row>
        <row r="2411">
          <cell r="A2411" t="str">
            <v>M2</v>
          </cell>
          <cell r="B2411" t="str">
            <v>A5C</v>
          </cell>
          <cell r="C2411" t="str">
            <v>N</v>
          </cell>
          <cell r="D2411" t="str">
            <v>24612</v>
          </cell>
          <cell r="E2411" t="str">
            <v>CAP</v>
          </cell>
          <cell r="F2411">
            <v>2</v>
          </cell>
          <cell r="G2411" t="str">
            <v>CB520700000T00</v>
          </cell>
          <cell r="H2411">
            <v>0.75</v>
          </cell>
          <cell r="I2411" t="str">
            <v>--</v>
          </cell>
          <cell r="J2411">
            <v>1</v>
          </cell>
          <cell r="K2411">
            <v>1</v>
          </cell>
        </row>
        <row r="2412">
          <cell r="A2412" t="str">
            <v>M2</v>
          </cell>
          <cell r="B2412" t="str">
            <v>A5C</v>
          </cell>
          <cell r="C2412" t="str">
            <v>P</v>
          </cell>
          <cell r="D2412" t="str">
            <v>23035</v>
          </cell>
          <cell r="E2412" t="str">
            <v>CAP</v>
          </cell>
          <cell r="F2412">
            <v>2</v>
          </cell>
          <cell r="G2412" t="str">
            <v>CB520700000T00</v>
          </cell>
          <cell r="H2412">
            <v>0.75</v>
          </cell>
          <cell r="I2412" t="str">
            <v>--</v>
          </cell>
          <cell r="J2412">
            <v>2</v>
          </cell>
          <cell r="K2412">
            <v>2</v>
          </cell>
        </row>
        <row r="2413">
          <cell r="A2413" t="str">
            <v>M2</v>
          </cell>
          <cell r="B2413" t="str">
            <v>A5C</v>
          </cell>
          <cell r="C2413" t="str">
            <v>P</v>
          </cell>
          <cell r="D2413" t="str">
            <v>23107</v>
          </cell>
          <cell r="E2413" t="str">
            <v>CAP</v>
          </cell>
          <cell r="F2413">
            <v>2</v>
          </cell>
          <cell r="G2413" t="str">
            <v>CB520700000T00</v>
          </cell>
          <cell r="H2413">
            <v>0.75</v>
          </cell>
          <cell r="I2413" t="str">
            <v>--</v>
          </cell>
          <cell r="J2413">
            <v>2</v>
          </cell>
          <cell r="K2413">
            <v>2</v>
          </cell>
        </row>
        <row r="2414">
          <cell r="A2414" t="str">
            <v>M2</v>
          </cell>
          <cell r="B2414" t="str">
            <v>A5C</v>
          </cell>
          <cell r="C2414" t="str">
            <v>P</v>
          </cell>
          <cell r="D2414" t="str">
            <v>23124</v>
          </cell>
          <cell r="E2414" t="str">
            <v>CAP</v>
          </cell>
          <cell r="F2414">
            <v>2</v>
          </cell>
          <cell r="G2414" t="str">
            <v>CB520700000T00</v>
          </cell>
          <cell r="H2414">
            <v>0.75</v>
          </cell>
          <cell r="I2414" t="str">
            <v>--</v>
          </cell>
          <cell r="J2414">
            <v>2</v>
          </cell>
          <cell r="K2414">
            <v>2</v>
          </cell>
        </row>
        <row r="2415">
          <cell r="A2415" t="str">
            <v>M2</v>
          </cell>
          <cell r="B2415" t="str">
            <v>A5C</v>
          </cell>
          <cell r="C2415" t="str">
            <v>P</v>
          </cell>
          <cell r="D2415" t="str">
            <v>23212</v>
          </cell>
          <cell r="E2415" t="str">
            <v>CAP</v>
          </cell>
          <cell r="F2415">
            <v>2</v>
          </cell>
          <cell r="G2415" t="str">
            <v>CB520700000T00</v>
          </cell>
          <cell r="H2415">
            <v>0.75</v>
          </cell>
          <cell r="I2415" t="str">
            <v>--</v>
          </cell>
          <cell r="J2415">
            <v>1</v>
          </cell>
          <cell r="K2415">
            <v>1</v>
          </cell>
        </row>
        <row r="2416">
          <cell r="A2416" t="str">
            <v>M2</v>
          </cell>
          <cell r="B2416" t="str">
            <v>A5C</v>
          </cell>
          <cell r="C2416" t="str">
            <v>P</v>
          </cell>
          <cell r="D2416" t="str">
            <v>23230</v>
          </cell>
          <cell r="E2416" t="str">
            <v>CAP</v>
          </cell>
          <cell r="F2416">
            <v>2</v>
          </cell>
          <cell r="G2416" t="str">
            <v>CB520700000T00</v>
          </cell>
          <cell r="H2416">
            <v>0.75</v>
          </cell>
          <cell r="I2416" t="str">
            <v>--</v>
          </cell>
          <cell r="J2416">
            <v>1</v>
          </cell>
          <cell r="K2416">
            <v>1</v>
          </cell>
        </row>
        <row r="2417">
          <cell r="A2417" t="str">
            <v>M2</v>
          </cell>
          <cell r="B2417" t="str">
            <v>A5C</v>
          </cell>
          <cell r="C2417" t="str">
            <v>P</v>
          </cell>
          <cell r="D2417" t="str">
            <v>23253</v>
          </cell>
          <cell r="E2417" t="str">
            <v>CAP</v>
          </cell>
          <cell r="F2417">
            <v>2</v>
          </cell>
          <cell r="G2417" t="str">
            <v>CB520700000T00</v>
          </cell>
          <cell r="H2417">
            <v>0.75</v>
          </cell>
          <cell r="I2417" t="str">
            <v>--</v>
          </cell>
          <cell r="J2417">
            <v>1</v>
          </cell>
          <cell r="K2417">
            <v>1</v>
          </cell>
        </row>
        <row r="2418">
          <cell r="A2418" t="str">
            <v>M2</v>
          </cell>
          <cell r="B2418" t="str">
            <v>A5C</v>
          </cell>
          <cell r="C2418" t="str">
            <v>P</v>
          </cell>
          <cell r="D2418" t="str">
            <v>24006</v>
          </cell>
          <cell r="E2418" t="str">
            <v>CAP</v>
          </cell>
          <cell r="F2418">
            <v>2</v>
          </cell>
          <cell r="G2418" t="str">
            <v>CB520700000T00</v>
          </cell>
          <cell r="H2418">
            <v>0.75</v>
          </cell>
          <cell r="I2418" t="str">
            <v>--</v>
          </cell>
          <cell r="J2418">
            <v>1</v>
          </cell>
          <cell r="K2418">
            <v>1</v>
          </cell>
        </row>
        <row r="2419">
          <cell r="A2419" t="str">
            <v>M2</v>
          </cell>
          <cell r="B2419" t="str">
            <v>A5C</v>
          </cell>
          <cell r="C2419" t="str">
            <v>P</v>
          </cell>
          <cell r="D2419" t="str">
            <v>24007</v>
          </cell>
          <cell r="E2419" t="str">
            <v>CAP</v>
          </cell>
          <cell r="F2419">
            <v>2</v>
          </cell>
          <cell r="G2419" t="str">
            <v>CB520700000T00</v>
          </cell>
          <cell r="H2419">
            <v>0.75</v>
          </cell>
          <cell r="I2419" t="str">
            <v>--</v>
          </cell>
          <cell r="J2419">
            <v>1</v>
          </cell>
          <cell r="K2419">
            <v>1</v>
          </cell>
        </row>
        <row r="2420">
          <cell r="A2420" t="str">
            <v>M2</v>
          </cell>
          <cell r="B2420" t="str">
            <v>A5C</v>
          </cell>
          <cell r="C2420" t="str">
            <v>P</v>
          </cell>
          <cell r="D2420" t="str">
            <v>24008</v>
          </cell>
          <cell r="E2420" t="str">
            <v>CAP</v>
          </cell>
          <cell r="F2420">
            <v>2</v>
          </cell>
          <cell r="G2420" t="str">
            <v>CB520700000T00</v>
          </cell>
          <cell r="H2420">
            <v>0.75</v>
          </cell>
          <cell r="I2420" t="str">
            <v>--</v>
          </cell>
          <cell r="J2420">
            <v>2</v>
          </cell>
          <cell r="K2420">
            <v>2</v>
          </cell>
        </row>
        <row r="2421">
          <cell r="A2421" t="str">
            <v>M2</v>
          </cell>
          <cell r="B2421" t="str">
            <v>A5C</v>
          </cell>
          <cell r="C2421" t="str">
            <v>P</v>
          </cell>
          <cell r="D2421" t="str">
            <v>99003</v>
          </cell>
          <cell r="E2421" t="str">
            <v>CAP</v>
          </cell>
          <cell r="F2421">
            <v>2</v>
          </cell>
          <cell r="G2421" t="str">
            <v>CB520700000T00</v>
          </cell>
          <cell r="H2421">
            <v>0.75</v>
          </cell>
          <cell r="I2421" t="str">
            <v>--</v>
          </cell>
          <cell r="J2421">
            <v>2</v>
          </cell>
          <cell r="K2421">
            <v>2</v>
          </cell>
        </row>
        <row r="2422">
          <cell r="A2422" t="str">
            <v>M2</v>
          </cell>
          <cell r="B2422" t="str">
            <v>A5C</v>
          </cell>
          <cell r="C2422" t="str">
            <v>P</v>
          </cell>
          <cell r="D2422" t="str">
            <v>99003</v>
          </cell>
          <cell r="E2422" t="str">
            <v>CAP</v>
          </cell>
          <cell r="F2422">
            <v>2</v>
          </cell>
          <cell r="G2422" t="str">
            <v>CB520700000T00</v>
          </cell>
          <cell r="H2422">
            <v>0.75</v>
          </cell>
          <cell r="I2422" t="str">
            <v>--</v>
          </cell>
          <cell r="J2422">
            <v>1</v>
          </cell>
          <cell r="K2422">
            <v>1</v>
          </cell>
        </row>
        <row r="2423">
          <cell r="A2423" t="str">
            <v>M2</v>
          </cell>
          <cell r="B2423" t="str">
            <v>A5C</v>
          </cell>
          <cell r="C2423" t="str">
            <v>TRIM</v>
          </cell>
          <cell r="D2423" t="str">
            <v>V-2301</v>
          </cell>
          <cell r="E2423" t="str">
            <v>CAP</v>
          </cell>
          <cell r="F2423">
            <v>2</v>
          </cell>
          <cell r="G2423" t="str">
            <v>CB520700000T00</v>
          </cell>
          <cell r="H2423">
            <v>0.75</v>
          </cell>
          <cell r="I2423" t="str">
            <v>--</v>
          </cell>
          <cell r="J2423">
            <v>2</v>
          </cell>
          <cell r="K2423">
            <v>2</v>
          </cell>
        </row>
        <row r="2424">
          <cell r="A2424" t="str">
            <v>M2</v>
          </cell>
          <cell r="B2424" t="str">
            <v>A5C</v>
          </cell>
          <cell r="C2424" t="str">
            <v>TRIM</v>
          </cell>
          <cell r="D2424" t="str">
            <v>V-2324</v>
          </cell>
          <cell r="E2424" t="str">
            <v>CAP</v>
          </cell>
          <cell r="F2424">
            <v>2</v>
          </cell>
          <cell r="G2424" t="str">
            <v>CB520700000T00</v>
          </cell>
          <cell r="H2424">
            <v>0.75</v>
          </cell>
          <cell r="I2424" t="str">
            <v>--</v>
          </cell>
          <cell r="J2424">
            <v>2</v>
          </cell>
          <cell r="K2424">
            <v>2</v>
          </cell>
        </row>
        <row r="2425">
          <cell r="A2425" t="str">
            <v>M2</v>
          </cell>
          <cell r="B2425" t="str">
            <v>A5C</v>
          </cell>
          <cell r="C2425" t="str">
            <v>TRIM</v>
          </cell>
          <cell r="D2425" t="str">
            <v>V-2326</v>
          </cell>
          <cell r="E2425" t="str">
            <v>CAP</v>
          </cell>
          <cell r="F2425">
            <v>2</v>
          </cell>
          <cell r="G2425" t="str">
            <v>CB520700000T00</v>
          </cell>
          <cell r="H2425">
            <v>0.75</v>
          </cell>
          <cell r="I2425" t="str">
            <v>--</v>
          </cell>
          <cell r="J2425">
            <v>2</v>
          </cell>
          <cell r="K2425">
            <v>2</v>
          </cell>
        </row>
        <row r="2426">
          <cell r="A2426" t="str">
            <v>M2</v>
          </cell>
          <cell r="B2426" t="str">
            <v>A5C</v>
          </cell>
          <cell r="C2426" t="str">
            <v>TRIM</v>
          </cell>
          <cell r="D2426" t="str">
            <v>V-2328</v>
          </cell>
          <cell r="E2426" t="str">
            <v>CAP</v>
          </cell>
          <cell r="F2426">
            <v>2</v>
          </cell>
          <cell r="G2426" t="str">
            <v>CB520700000T00</v>
          </cell>
          <cell r="H2426">
            <v>0.75</v>
          </cell>
          <cell r="I2426" t="str">
            <v>--</v>
          </cell>
          <cell r="J2426">
            <v>2</v>
          </cell>
          <cell r="K2426">
            <v>2</v>
          </cell>
        </row>
        <row r="2427">
          <cell r="A2427" t="str">
            <v>M2</v>
          </cell>
          <cell r="B2427" t="str">
            <v>A5C</v>
          </cell>
          <cell r="C2427" t="str">
            <v>TRIM</v>
          </cell>
          <cell r="D2427" t="str">
            <v>V-2329</v>
          </cell>
          <cell r="E2427" t="str">
            <v>CAP</v>
          </cell>
          <cell r="F2427">
            <v>2</v>
          </cell>
          <cell r="G2427" t="str">
            <v>CB520700000T00</v>
          </cell>
          <cell r="H2427">
            <v>0.75</v>
          </cell>
          <cell r="I2427" t="str">
            <v>--</v>
          </cell>
          <cell r="J2427">
            <v>2</v>
          </cell>
          <cell r="K2427">
            <v>2</v>
          </cell>
        </row>
        <row r="2428">
          <cell r="A2428" t="str">
            <v>M2</v>
          </cell>
          <cell r="B2428" t="str">
            <v>A5C</v>
          </cell>
          <cell r="C2428" t="str">
            <v>TRIM</v>
          </cell>
          <cell r="D2428" t="str">
            <v>V-2330</v>
          </cell>
          <cell r="E2428" t="str">
            <v>CAP</v>
          </cell>
          <cell r="F2428">
            <v>2</v>
          </cell>
          <cell r="G2428" t="str">
            <v>CB520700000T00</v>
          </cell>
          <cell r="H2428">
            <v>0.75</v>
          </cell>
          <cell r="I2428" t="str">
            <v>--</v>
          </cell>
          <cell r="J2428">
            <v>2</v>
          </cell>
          <cell r="K2428">
            <v>2</v>
          </cell>
        </row>
        <row r="2429">
          <cell r="A2429" t="str">
            <v>M2</v>
          </cell>
          <cell r="B2429" t="str">
            <v>A5C</v>
          </cell>
          <cell r="C2429" t="str">
            <v>TRIM</v>
          </cell>
          <cell r="D2429" t="str">
            <v>V-2331</v>
          </cell>
          <cell r="E2429" t="str">
            <v>CAP</v>
          </cell>
          <cell r="F2429">
            <v>2</v>
          </cell>
          <cell r="G2429" t="str">
            <v>CB520700000T00</v>
          </cell>
          <cell r="H2429">
            <v>0.75</v>
          </cell>
          <cell r="I2429" t="str">
            <v>--</v>
          </cell>
          <cell r="J2429">
            <v>2</v>
          </cell>
          <cell r="K2429">
            <v>2</v>
          </cell>
        </row>
        <row r="2430">
          <cell r="A2430" t="str">
            <v>M2</v>
          </cell>
          <cell r="B2430" t="str">
            <v>A5C</v>
          </cell>
          <cell r="C2430" t="str">
            <v>TRIM</v>
          </cell>
          <cell r="D2430" t="str">
            <v>V-2351</v>
          </cell>
          <cell r="E2430" t="str">
            <v>CAP</v>
          </cell>
          <cell r="F2430">
            <v>2</v>
          </cell>
          <cell r="G2430" t="str">
            <v>CB520700000T00</v>
          </cell>
          <cell r="H2430">
            <v>0.75</v>
          </cell>
          <cell r="I2430" t="str">
            <v>--</v>
          </cell>
          <cell r="J2430">
            <v>2</v>
          </cell>
          <cell r="K2430">
            <v>2</v>
          </cell>
        </row>
        <row r="2431">
          <cell r="A2431" t="str">
            <v>M2</v>
          </cell>
          <cell r="B2431" t="str">
            <v>A5C</v>
          </cell>
          <cell r="C2431" t="str">
            <v>P</v>
          </cell>
          <cell r="D2431" t="str">
            <v>23081</v>
          </cell>
          <cell r="E2431" t="str">
            <v>CPLG</v>
          </cell>
          <cell r="F2431">
            <v>2</v>
          </cell>
          <cell r="G2431" t="str">
            <v>CB400500000T00</v>
          </cell>
          <cell r="H2431">
            <v>0.75</v>
          </cell>
          <cell r="I2431" t="str">
            <v>--</v>
          </cell>
          <cell r="J2431">
            <v>1</v>
          </cell>
          <cell r="K2431">
            <v>1</v>
          </cell>
        </row>
        <row r="2432">
          <cell r="A2432" t="str">
            <v>M2</v>
          </cell>
          <cell r="B2432" t="str">
            <v>A5C</v>
          </cell>
          <cell r="C2432" t="str">
            <v>P</v>
          </cell>
          <cell r="D2432" t="str">
            <v>23144</v>
          </cell>
          <cell r="E2432" t="str">
            <v>CPLG</v>
          </cell>
          <cell r="F2432">
            <v>2</v>
          </cell>
          <cell r="G2432" t="str">
            <v>CB400500000T00</v>
          </cell>
          <cell r="H2432">
            <v>0.75</v>
          </cell>
          <cell r="I2432" t="str">
            <v>--</v>
          </cell>
          <cell r="J2432">
            <v>2</v>
          </cell>
          <cell r="K2432">
            <v>2</v>
          </cell>
        </row>
        <row r="2433">
          <cell r="A2433" t="str">
            <v>M2</v>
          </cell>
          <cell r="B2433" t="str">
            <v>A5C</v>
          </cell>
          <cell r="C2433" t="str">
            <v>P</v>
          </cell>
          <cell r="D2433" t="str">
            <v>23225</v>
          </cell>
          <cell r="E2433" t="str">
            <v>CPLG</v>
          </cell>
          <cell r="F2433">
            <v>2</v>
          </cell>
          <cell r="G2433" t="str">
            <v>CB400500000T00</v>
          </cell>
          <cell r="H2433">
            <v>0.75</v>
          </cell>
          <cell r="I2433" t="str">
            <v>--</v>
          </cell>
          <cell r="J2433">
            <v>1</v>
          </cell>
          <cell r="K2433">
            <v>1</v>
          </cell>
        </row>
        <row r="2434">
          <cell r="A2434" t="str">
            <v>M2</v>
          </cell>
          <cell r="B2434" t="str">
            <v>A5C</v>
          </cell>
          <cell r="C2434" t="str">
            <v>P</v>
          </cell>
          <cell r="D2434" t="str">
            <v>23148</v>
          </cell>
          <cell r="E2434" t="str">
            <v>CPLG</v>
          </cell>
          <cell r="F2434">
            <v>2</v>
          </cell>
          <cell r="G2434" t="str">
            <v>CB400500000T00</v>
          </cell>
          <cell r="H2434">
            <v>0.75</v>
          </cell>
          <cell r="I2434" t="str">
            <v>--</v>
          </cell>
          <cell r="J2434">
            <v>2</v>
          </cell>
          <cell r="K2434">
            <v>2</v>
          </cell>
        </row>
        <row r="2435">
          <cell r="A2435" t="str">
            <v>M2</v>
          </cell>
          <cell r="B2435" t="str">
            <v>A5C</v>
          </cell>
          <cell r="C2435" t="str">
            <v>P</v>
          </cell>
          <cell r="D2435" t="str">
            <v>23247</v>
          </cell>
          <cell r="E2435" t="str">
            <v>CPLG</v>
          </cell>
          <cell r="F2435">
            <v>2</v>
          </cell>
          <cell r="G2435" t="str">
            <v>CB400500000T00</v>
          </cell>
          <cell r="H2435">
            <v>0.75</v>
          </cell>
          <cell r="I2435" t="str">
            <v>--</v>
          </cell>
          <cell r="J2435">
            <v>1</v>
          </cell>
          <cell r="K2435">
            <v>1</v>
          </cell>
        </row>
        <row r="2436">
          <cell r="A2436" t="str">
            <v>M2</v>
          </cell>
          <cell r="B2436" t="str">
            <v>A5C</v>
          </cell>
          <cell r="C2436" t="str">
            <v>P</v>
          </cell>
          <cell r="D2436" t="str">
            <v>24024</v>
          </cell>
          <cell r="E2436" t="str">
            <v>CPLG</v>
          </cell>
          <cell r="F2436">
            <v>2</v>
          </cell>
          <cell r="G2436" t="str">
            <v>CB400500000T00</v>
          </cell>
          <cell r="H2436">
            <v>0.75</v>
          </cell>
          <cell r="I2436" t="str">
            <v>--</v>
          </cell>
          <cell r="J2436">
            <v>5</v>
          </cell>
          <cell r="K2436">
            <v>5</v>
          </cell>
        </row>
        <row r="2437">
          <cell r="A2437" t="str">
            <v>M2</v>
          </cell>
          <cell r="B2437" t="str">
            <v>A5C</v>
          </cell>
          <cell r="C2437" t="str">
            <v>P</v>
          </cell>
          <cell r="D2437" t="str">
            <v>23063</v>
          </cell>
          <cell r="E2437" t="str">
            <v>E SWG</v>
          </cell>
          <cell r="F2437">
            <v>2</v>
          </cell>
          <cell r="G2437" t="str">
            <v>CB162108080T0H</v>
          </cell>
          <cell r="H2437">
            <v>0.75</v>
          </cell>
          <cell r="I2437">
            <v>0.5</v>
          </cell>
          <cell r="J2437">
            <v>2</v>
          </cell>
          <cell r="K2437">
            <v>2</v>
          </cell>
        </row>
        <row r="2438">
          <cell r="A2438" t="str">
            <v>M2</v>
          </cell>
          <cell r="B2438" t="str">
            <v>A5C</v>
          </cell>
          <cell r="C2438" t="str">
            <v>P</v>
          </cell>
          <cell r="D2438" t="str">
            <v>23078</v>
          </cell>
          <cell r="E2438" t="str">
            <v>E SWG</v>
          </cell>
          <cell r="F2438">
            <v>2</v>
          </cell>
          <cell r="G2438" t="str">
            <v>CB162108080T0H</v>
          </cell>
          <cell r="H2438">
            <v>0.75</v>
          </cell>
          <cell r="I2438">
            <v>0.5</v>
          </cell>
          <cell r="J2438">
            <v>2</v>
          </cell>
          <cell r="K2438">
            <v>2</v>
          </cell>
        </row>
        <row r="2439">
          <cell r="A2439" t="str">
            <v>M2</v>
          </cell>
          <cell r="B2439" t="str">
            <v>A5C</v>
          </cell>
          <cell r="C2439" t="str">
            <v>P</v>
          </cell>
          <cell r="D2439" t="str">
            <v>23094</v>
          </cell>
          <cell r="E2439" t="str">
            <v>E SWG</v>
          </cell>
          <cell r="F2439">
            <v>2</v>
          </cell>
          <cell r="G2439" t="str">
            <v>CB162108080T0H</v>
          </cell>
          <cell r="H2439">
            <v>0.75</v>
          </cell>
          <cell r="I2439">
            <v>0.5</v>
          </cell>
          <cell r="J2439">
            <v>2</v>
          </cell>
          <cell r="K2439">
            <v>2</v>
          </cell>
        </row>
        <row r="2440">
          <cell r="A2440" t="str">
            <v>M2</v>
          </cell>
          <cell r="B2440" t="str">
            <v>A5C</v>
          </cell>
          <cell r="C2440" t="str">
            <v>P</v>
          </cell>
          <cell r="D2440" t="str">
            <v>23113</v>
          </cell>
          <cell r="E2440" t="str">
            <v>E SWG</v>
          </cell>
          <cell r="F2440">
            <v>2</v>
          </cell>
          <cell r="G2440" t="str">
            <v>CB162108080T0H</v>
          </cell>
          <cell r="H2440">
            <v>0.75</v>
          </cell>
          <cell r="I2440">
            <v>0.5</v>
          </cell>
          <cell r="J2440">
            <v>2</v>
          </cell>
          <cell r="K2440">
            <v>2</v>
          </cell>
        </row>
        <row r="2441">
          <cell r="A2441" t="str">
            <v>M2</v>
          </cell>
          <cell r="B2441" t="str">
            <v>A5C</v>
          </cell>
          <cell r="C2441" t="str">
            <v>P</v>
          </cell>
          <cell r="D2441" t="str">
            <v>23188</v>
          </cell>
          <cell r="E2441" t="str">
            <v>E SWG</v>
          </cell>
          <cell r="F2441">
            <v>2</v>
          </cell>
          <cell r="G2441" t="str">
            <v>CB162108080T0H</v>
          </cell>
          <cell r="H2441">
            <v>0.75</v>
          </cell>
          <cell r="I2441">
            <v>0.5</v>
          </cell>
          <cell r="J2441">
            <v>1</v>
          </cell>
          <cell r="K2441">
            <v>1</v>
          </cell>
        </row>
        <row r="2442">
          <cell r="A2442" t="str">
            <v>M2</v>
          </cell>
          <cell r="B2442" t="str">
            <v>A5C</v>
          </cell>
          <cell r="C2442" t="str">
            <v>N</v>
          </cell>
          <cell r="D2442" t="str">
            <v>23632</v>
          </cell>
          <cell r="E2442" t="str">
            <v>NPL</v>
          </cell>
          <cell r="F2442">
            <v>2</v>
          </cell>
          <cell r="G2442" t="str">
            <v>CB132108000TVR</v>
          </cell>
          <cell r="H2442">
            <v>0.75</v>
          </cell>
          <cell r="I2442" t="str">
            <v>75mm</v>
          </cell>
          <cell r="J2442">
            <v>1</v>
          </cell>
          <cell r="K2442">
            <v>1</v>
          </cell>
        </row>
        <row r="2443">
          <cell r="A2443" t="str">
            <v>M2</v>
          </cell>
          <cell r="B2443" t="str">
            <v>A5C</v>
          </cell>
          <cell r="C2443" t="str">
            <v>N</v>
          </cell>
          <cell r="D2443" t="str">
            <v>23637</v>
          </cell>
          <cell r="E2443" t="str">
            <v>NPL</v>
          </cell>
          <cell r="F2443">
            <v>2</v>
          </cell>
          <cell r="G2443" t="str">
            <v>CB132108000TVR</v>
          </cell>
          <cell r="H2443">
            <v>0.75</v>
          </cell>
          <cell r="I2443" t="str">
            <v>75mm</v>
          </cell>
          <cell r="J2443">
            <v>1</v>
          </cell>
          <cell r="K2443">
            <v>1</v>
          </cell>
        </row>
        <row r="2444">
          <cell r="A2444" t="str">
            <v>M2</v>
          </cell>
          <cell r="B2444" t="str">
            <v>A5C</v>
          </cell>
          <cell r="C2444" t="str">
            <v>N</v>
          </cell>
          <cell r="D2444" t="str">
            <v>23640</v>
          </cell>
          <cell r="E2444" t="str">
            <v>NPL</v>
          </cell>
          <cell r="F2444">
            <v>2</v>
          </cell>
          <cell r="G2444" t="str">
            <v>CB132108000TVR</v>
          </cell>
          <cell r="H2444">
            <v>0.75</v>
          </cell>
          <cell r="I2444" t="str">
            <v>75mm</v>
          </cell>
          <cell r="J2444">
            <v>1</v>
          </cell>
          <cell r="K2444">
            <v>1</v>
          </cell>
        </row>
        <row r="2445">
          <cell r="A2445" t="str">
            <v>M2</v>
          </cell>
          <cell r="B2445" t="str">
            <v>A5C</v>
          </cell>
          <cell r="C2445" t="str">
            <v>P</v>
          </cell>
          <cell r="D2445" t="str">
            <v>23121</v>
          </cell>
          <cell r="E2445" t="str">
            <v>NPL</v>
          </cell>
          <cell r="F2445">
            <v>2</v>
          </cell>
          <cell r="G2445" t="str">
            <v>CB132108000TVR</v>
          </cell>
          <cell r="H2445">
            <v>0.75</v>
          </cell>
          <cell r="I2445" t="str">
            <v>75mm</v>
          </cell>
          <cell r="J2445">
            <v>2</v>
          </cell>
          <cell r="K2445">
            <v>2</v>
          </cell>
        </row>
        <row r="2446">
          <cell r="A2446" t="str">
            <v>M2</v>
          </cell>
          <cell r="B2446" t="str">
            <v>A5C</v>
          </cell>
          <cell r="C2446" t="str">
            <v>P</v>
          </cell>
          <cell r="D2446" t="str">
            <v>23181</v>
          </cell>
          <cell r="E2446" t="str">
            <v>NPL</v>
          </cell>
          <cell r="F2446">
            <v>2</v>
          </cell>
          <cell r="G2446" t="str">
            <v>CB132108000TVR</v>
          </cell>
          <cell r="H2446">
            <v>0.75</v>
          </cell>
          <cell r="I2446" t="str">
            <v>75mm</v>
          </cell>
          <cell r="J2446">
            <v>1</v>
          </cell>
          <cell r="K2446">
            <v>1</v>
          </cell>
        </row>
        <row r="2447">
          <cell r="A2447" t="str">
            <v>M2</v>
          </cell>
          <cell r="B2447" t="str">
            <v>A5C</v>
          </cell>
          <cell r="C2447" t="str">
            <v>P</v>
          </cell>
          <cell r="D2447" t="str">
            <v>23214</v>
          </cell>
          <cell r="E2447" t="str">
            <v>NPL</v>
          </cell>
          <cell r="F2447">
            <v>2</v>
          </cell>
          <cell r="G2447" t="str">
            <v>CB132308000TVR</v>
          </cell>
          <cell r="H2447">
            <v>0.75</v>
          </cell>
          <cell r="I2447" t="str">
            <v>75mm</v>
          </cell>
          <cell r="J2447">
            <v>1</v>
          </cell>
          <cell r="K2447">
            <v>1</v>
          </cell>
        </row>
        <row r="2448">
          <cell r="A2448" t="str">
            <v>M2</v>
          </cell>
          <cell r="B2448" t="str">
            <v>A5C</v>
          </cell>
          <cell r="C2448" t="str">
            <v>TRIM</v>
          </cell>
          <cell r="D2448" t="str">
            <v>V-2315</v>
          </cell>
          <cell r="E2448" t="str">
            <v>NPL</v>
          </cell>
          <cell r="F2448">
            <v>2</v>
          </cell>
          <cell r="G2448" t="str">
            <v>CB132108000TVR</v>
          </cell>
          <cell r="H2448">
            <v>0.75</v>
          </cell>
          <cell r="I2448" t="str">
            <v>75mm</v>
          </cell>
          <cell r="J2448">
            <v>2</v>
          </cell>
          <cell r="K2448">
            <v>2</v>
          </cell>
        </row>
        <row r="2449">
          <cell r="A2449" t="str">
            <v>M2</v>
          </cell>
          <cell r="B2449" t="str">
            <v>A5C</v>
          </cell>
          <cell r="C2449" t="str">
            <v>TRIM</v>
          </cell>
          <cell r="D2449" t="str">
            <v>V-2318</v>
          </cell>
          <cell r="E2449" t="str">
            <v>NPL</v>
          </cell>
          <cell r="F2449">
            <v>2</v>
          </cell>
          <cell r="G2449" t="str">
            <v>CB132108000TVR</v>
          </cell>
          <cell r="H2449">
            <v>0.75</v>
          </cell>
          <cell r="I2449" t="str">
            <v>75mm</v>
          </cell>
          <cell r="J2449">
            <v>2</v>
          </cell>
          <cell r="K2449">
            <v>2</v>
          </cell>
        </row>
        <row r="2450">
          <cell r="A2450" t="str">
            <v>M2</v>
          </cell>
          <cell r="B2450" t="str">
            <v>A5C</v>
          </cell>
          <cell r="C2450" t="str">
            <v>TRIM</v>
          </cell>
          <cell r="D2450" t="str">
            <v>V-2319</v>
          </cell>
          <cell r="E2450" t="str">
            <v>NPL</v>
          </cell>
          <cell r="F2450">
            <v>2</v>
          </cell>
          <cell r="G2450" t="str">
            <v>CB132108000TVR</v>
          </cell>
          <cell r="H2450">
            <v>0.75</v>
          </cell>
          <cell r="I2450" t="str">
            <v>75mm</v>
          </cell>
          <cell r="J2450">
            <v>2</v>
          </cell>
          <cell r="K2450">
            <v>2</v>
          </cell>
        </row>
        <row r="2451">
          <cell r="A2451" t="str">
            <v>M2</v>
          </cell>
          <cell r="B2451" t="str">
            <v>A5C</v>
          </cell>
          <cell r="C2451" t="str">
            <v>TRIM</v>
          </cell>
          <cell r="D2451" t="str">
            <v>V-2320</v>
          </cell>
          <cell r="E2451" t="str">
            <v>NPL</v>
          </cell>
          <cell r="F2451">
            <v>2</v>
          </cell>
          <cell r="G2451" t="str">
            <v>CB132108000TVR</v>
          </cell>
          <cell r="H2451">
            <v>0.75</v>
          </cell>
          <cell r="I2451" t="str">
            <v>75mm</v>
          </cell>
          <cell r="J2451">
            <v>2</v>
          </cell>
          <cell r="K2451">
            <v>2</v>
          </cell>
        </row>
        <row r="2452">
          <cell r="A2452" t="str">
            <v>M2</v>
          </cell>
          <cell r="B2452" t="str">
            <v>A5C</v>
          </cell>
          <cell r="C2452" t="str">
            <v>TRIM</v>
          </cell>
          <cell r="D2452" t="str">
            <v>V-2316</v>
          </cell>
          <cell r="E2452" t="str">
            <v>NPL</v>
          </cell>
          <cell r="F2452">
            <v>2</v>
          </cell>
          <cell r="G2452" t="str">
            <v>CB132108000TVR</v>
          </cell>
          <cell r="H2452">
            <v>0.75</v>
          </cell>
          <cell r="I2452" t="str">
            <v>75mm</v>
          </cell>
          <cell r="J2452">
            <v>2</v>
          </cell>
          <cell r="K2452">
            <v>2</v>
          </cell>
        </row>
        <row r="2453">
          <cell r="A2453" t="str">
            <v>M2</v>
          </cell>
          <cell r="B2453" t="str">
            <v>A5C</v>
          </cell>
          <cell r="C2453" t="str">
            <v>TRIM</v>
          </cell>
          <cell r="D2453" t="str">
            <v>V-2317</v>
          </cell>
          <cell r="E2453" t="str">
            <v>NPL</v>
          </cell>
          <cell r="F2453">
            <v>2</v>
          </cell>
          <cell r="G2453" t="str">
            <v>CB132108000TVR</v>
          </cell>
          <cell r="H2453">
            <v>0.75</v>
          </cell>
          <cell r="I2453" t="str">
            <v>75mm</v>
          </cell>
          <cell r="J2453">
            <v>2</v>
          </cell>
          <cell r="K2453">
            <v>2</v>
          </cell>
        </row>
        <row r="2454">
          <cell r="A2454" t="str">
            <v>M2</v>
          </cell>
          <cell r="B2454" t="str">
            <v>A5C</v>
          </cell>
          <cell r="C2454" t="str">
            <v>TRIM</v>
          </cell>
          <cell r="D2454" t="str">
            <v>V-2323</v>
          </cell>
          <cell r="E2454" t="str">
            <v>NPL</v>
          </cell>
          <cell r="F2454">
            <v>2</v>
          </cell>
          <cell r="G2454" t="str">
            <v>CB132108000TVR</v>
          </cell>
          <cell r="H2454">
            <v>0.75</v>
          </cell>
          <cell r="I2454" t="str">
            <v>75mm</v>
          </cell>
          <cell r="J2454">
            <v>2</v>
          </cell>
          <cell r="K2454">
            <v>2</v>
          </cell>
        </row>
        <row r="2455">
          <cell r="A2455" t="str">
            <v>M2</v>
          </cell>
          <cell r="B2455" t="str">
            <v>A5C</v>
          </cell>
          <cell r="C2455" t="str">
            <v>TRIM</v>
          </cell>
          <cell r="D2455" t="str">
            <v>V-2321</v>
          </cell>
          <cell r="E2455" t="str">
            <v>NPL</v>
          </cell>
          <cell r="F2455">
            <v>2</v>
          </cell>
          <cell r="G2455" t="str">
            <v>CB132108000TVR</v>
          </cell>
          <cell r="H2455">
            <v>0.75</v>
          </cell>
          <cell r="I2455" t="str">
            <v>75mm</v>
          </cell>
          <cell r="J2455">
            <v>2</v>
          </cell>
          <cell r="K2455">
            <v>2</v>
          </cell>
        </row>
        <row r="2456">
          <cell r="A2456" t="str">
            <v>M2</v>
          </cell>
          <cell r="B2456" t="str">
            <v>A5C</v>
          </cell>
          <cell r="C2456" t="str">
            <v>TRIM</v>
          </cell>
          <cell r="D2456" t="str">
            <v>V-2330</v>
          </cell>
          <cell r="E2456" t="str">
            <v>NPL</v>
          </cell>
          <cell r="F2456">
            <v>2</v>
          </cell>
          <cell r="G2456" t="str">
            <v>CB132108000TVR</v>
          </cell>
          <cell r="H2456">
            <v>0.75</v>
          </cell>
          <cell r="I2456" t="str">
            <v>75mm</v>
          </cell>
          <cell r="J2456">
            <v>2</v>
          </cell>
          <cell r="K2456">
            <v>2</v>
          </cell>
        </row>
        <row r="2457">
          <cell r="A2457" t="str">
            <v>M2</v>
          </cell>
          <cell r="B2457" t="str">
            <v>A5C</v>
          </cell>
          <cell r="C2457" t="str">
            <v>TRIM</v>
          </cell>
          <cell r="D2457" t="str">
            <v>V-2324</v>
          </cell>
          <cell r="E2457" t="str">
            <v>NPL</v>
          </cell>
          <cell r="F2457">
            <v>2</v>
          </cell>
          <cell r="G2457" t="str">
            <v>CB132108000TVR</v>
          </cell>
          <cell r="H2457">
            <v>0.75</v>
          </cell>
          <cell r="I2457" t="str">
            <v>75mm</v>
          </cell>
          <cell r="J2457">
            <v>2</v>
          </cell>
          <cell r="K2457">
            <v>2</v>
          </cell>
        </row>
        <row r="2458">
          <cell r="A2458" t="str">
            <v>M2</v>
          </cell>
          <cell r="B2458" t="str">
            <v>A5C</v>
          </cell>
          <cell r="C2458" t="str">
            <v>TRIM</v>
          </cell>
          <cell r="D2458" t="str">
            <v>V-2331</v>
          </cell>
          <cell r="E2458" t="str">
            <v>NPL</v>
          </cell>
          <cell r="F2458">
            <v>2</v>
          </cell>
          <cell r="G2458" t="str">
            <v>CB132108000TVR</v>
          </cell>
          <cell r="H2458">
            <v>0.75</v>
          </cell>
          <cell r="I2458" t="str">
            <v>75mm</v>
          </cell>
          <cell r="J2458">
            <v>2</v>
          </cell>
          <cell r="K2458">
            <v>2</v>
          </cell>
        </row>
        <row r="2459">
          <cell r="A2459" t="str">
            <v>M2</v>
          </cell>
          <cell r="B2459" t="str">
            <v>A5C</v>
          </cell>
          <cell r="C2459" t="str">
            <v>TRIM</v>
          </cell>
          <cell r="D2459" t="str">
            <v>V-2332</v>
          </cell>
          <cell r="E2459" t="str">
            <v>NPL</v>
          </cell>
          <cell r="F2459">
            <v>2</v>
          </cell>
          <cell r="G2459" t="str">
            <v>CB132108000TVR</v>
          </cell>
          <cell r="H2459">
            <v>0.75</v>
          </cell>
          <cell r="I2459" t="str">
            <v>75mm</v>
          </cell>
          <cell r="J2459">
            <v>2</v>
          </cell>
          <cell r="K2459">
            <v>2</v>
          </cell>
        </row>
        <row r="2460">
          <cell r="A2460" t="str">
            <v>M2</v>
          </cell>
          <cell r="B2460" t="str">
            <v>A5C</v>
          </cell>
          <cell r="C2460" t="str">
            <v>TRIM</v>
          </cell>
          <cell r="D2460" t="str">
            <v>V-2333</v>
          </cell>
          <cell r="E2460" t="str">
            <v>NPL</v>
          </cell>
          <cell r="F2460">
            <v>2</v>
          </cell>
          <cell r="G2460" t="str">
            <v>CB132108000TVR</v>
          </cell>
          <cell r="H2460">
            <v>0.75</v>
          </cell>
          <cell r="I2460" t="str">
            <v>75mm</v>
          </cell>
          <cell r="J2460">
            <v>2</v>
          </cell>
          <cell r="K2460">
            <v>2</v>
          </cell>
        </row>
        <row r="2461">
          <cell r="A2461" t="str">
            <v>M2</v>
          </cell>
          <cell r="B2461" t="str">
            <v>A5C</v>
          </cell>
          <cell r="C2461" t="str">
            <v>N</v>
          </cell>
          <cell r="D2461" t="str">
            <v>23613</v>
          </cell>
          <cell r="E2461" t="str">
            <v>NPL</v>
          </cell>
          <cell r="F2461">
            <v>2</v>
          </cell>
          <cell r="G2461" t="str">
            <v>CB132108000TVR</v>
          </cell>
          <cell r="H2461">
            <v>0.75</v>
          </cell>
          <cell r="I2461" t="str">
            <v>75mm</v>
          </cell>
          <cell r="J2461">
            <v>1</v>
          </cell>
          <cell r="K2461">
            <v>1</v>
          </cell>
        </row>
        <row r="2462">
          <cell r="A2462" t="str">
            <v>M2</v>
          </cell>
          <cell r="B2462" t="str">
            <v>A5C</v>
          </cell>
          <cell r="C2462" t="str">
            <v>N</v>
          </cell>
          <cell r="D2462" t="str">
            <v>23621</v>
          </cell>
          <cell r="E2462" t="str">
            <v>NPL</v>
          </cell>
          <cell r="F2462">
            <v>2</v>
          </cell>
          <cell r="G2462" t="str">
            <v>CB132108000TVR</v>
          </cell>
          <cell r="H2462">
            <v>0.75</v>
          </cell>
          <cell r="I2462" t="str">
            <v>75mm</v>
          </cell>
          <cell r="J2462">
            <v>1</v>
          </cell>
          <cell r="K2462">
            <v>1</v>
          </cell>
        </row>
        <row r="2463">
          <cell r="A2463" t="str">
            <v>M2</v>
          </cell>
          <cell r="B2463" t="str">
            <v>A5C</v>
          </cell>
          <cell r="C2463" t="str">
            <v>N</v>
          </cell>
          <cell r="D2463" t="str">
            <v>23636</v>
          </cell>
          <cell r="E2463" t="str">
            <v>NPL</v>
          </cell>
          <cell r="F2463">
            <v>2</v>
          </cell>
          <cell r="G2463" t="str">
            <v>CB132108000TVR</v>
          </cell>
          <cell r="H2463">
            <v>0.75</v>
          </cell>
          <cell r="I2463" t="str">
            <v>75mm</v>
          </cell>
          <cell r="J2463">
            <v>1</v>
          </cell>
          <cell r="K2463">
            <v>1</v>
          </cell>
        </row>
        <row r="2464">
          <cell r="A2464" t="str">
            <v>M2</v>
          </cell>
          <cell r="B2464" t="str">
            <v>A5C</v>
          </cell>
          <cell r="C2464" t="str">
            <v>N</v>
          </cell>
          <cell r="D2464" t="str">
            <v>23638</v>
          </cell>
          <cell r="E2464" t="str">
            <v>NPL</v>
          </cell>
          <cell r="F2464">
            <v>2</v>
          </cell>
          <cell r="G2464" t="str">
            <v>CB132108000TVR</v>
          </cell>
          <cell r="H2464">
            <v>0.75</v>
          </cell>
          <cell r="I2464" t="str">
            <v>75mm</v>
          </cell>
          <cell r="J2464">
            <v>1</v>
          </cell>
          <cell r="K2464">
            <v>1</v>
          </cell>
        </row>
        <row r="2465">
          <cell r="A2465" t="str">
            <v>M2</v>
          </cell>
          <cell r="B2465" t="str">
            <v>A5C</v>
          </cell>
          <cell r="C2465" t="str">
            <v>N</v>
          </cell>
          <cell r="D2465" t="str">
            <v>23639</v>
          </cell>
          <cell r="E2465" t="str">
            <v>NPL</v>
          </cell>
          <cell r="F2465">
            <v>2</v>
          </cell>
          <cell r="G2465" t="str">
            <v>CB132108000TVR</v>
          </cell>
          <cell r="H2465">
            <v>0.75</v>
          </cell>
          <cell r="I2465" t="str">
            <v>75mm</v>
          </cell>
          <cell r="J2465">
            <v>1</v>
          </cell>
          <cell r="K2465">
            <v>1</v>
          </cell>
        </row>
        <row r="2466">
          <cell r="A2466" t="str">
            <v>M2</v>
          </cell>
          <cell r="B2466" t="str">
            <v>A5C</v>
          </cell>
          <cell r="C2466" t="str">
            <v>N</v>
          </cell>
          <cell r="D2466" t="str">
            <v>24613</v>
          </cell>
          <cell r="E2466" t="str">
            <v>NPL</v>
          </cell>
          <cell r="F2466">
            <v>2</v>
          </cell>
          <cell r="G2466" t="str">
            <v>CB132308000TVR</v>
          </cell>
          <cell r="H2466">
            <v>0.75</v>
          </cell>
          <cell r="I2466" t="str">
            <v>75mm</v>
          </cell>
          <cell r="J2466">
            <v>3</v>
          </cell>
          <cell r="K2466">
            <v>3</v>
          </cell>
        </row>
        <row r="2467">
          <cell r="A2467" t="str">
            <v>M2</v>
          </cell>
          <cell r="B2467" t="str">
            <v>A5C</v>
          </cell>
          <cell r="C2467" t="str">
            <v>P</v>
          </cell>
          <cell r="D2467" t="str">
            <v>23082</v>
          </cell>
          <cell r="E2467" t="str">
            <v>NPL</v>
          </cell>
          <cell r="F2467">
            <v>2</v>
          </cell>
          <cell r="G2467" t="str">
            <v>CB132108000TVR</v>
          </cell>
          <cell r="H2467">
            <v>0.75</v>
          </cell>
          <cell r="I2467" t="str">
            <v>75mm</v>
          </cell>
          <cell r="J2467">
            <v>2</v>
          </cell>
          <cell r="K2467">
            <v>2</v>
          </cell>
        </row>
        <row r="2468">
          <cell r="A2468" t="str">
            <v>M2</v>
          </cell>
          <cell r="B2468" t="str">
            <v>A5C</v>
          </cell>
          <cell r="C2468" t="str">
            <v>P</v>
          </cell>
          <cell r="D2468" t="str">
            <v>23212</v>
          </cell>
          <cell r="E2468" t="str">
            <v>NPL</v>
          </cell>
          <cell r="F2468">
            <v>2</v>
          </cell>
          <cell r="G2468" t="str">
            <v>CB132308000TVR</v>
          </cell>
          <cell r="H2468">
            <v>0.75</v>
          </cell>
          <cell r="I2468" t="str">
            <v>75mm</v>
          </cell>
          <cell r="J2468">
            <v>1</v>
          </cell>
          <cell r="K2468">
            <v>1</v>
          </cell>
        </row>
        <row r="2469">
          <cell r="A2469" t="str">
            <v>M2</v>
          </cell>
          <cell r="B2469" t="str">
            <v>A5C</v>
          </cell>
          <cell r="C2469" t="str">
            <v>P</v>
          </cell>
          <cell r="D2469" t="str">
            <v>24006</v>
          </cell>
          <cell r="E2469" t="str">
            <v>NPL</v>
          </cell>
          <cell r="F2469">
            <v>2</v>
          </cell>
          <cell r="G2469" t="str">
            <v>CB132308000TVR</v>
          </cell>
          <cell r="H2469">
            <v>0.75</v>
          </cell>
          <cell r="I2469" t="str">
            <v>75mm</v>
          </cell>
          <cell r="J2469">
            <v>1</v>
          </cell>
          <cell r="K2469">
            <v>1</v>
          </cell>
        </row>
        <row r="2470">
          <cell r="A2470" t="str">
            <v>M2</v>
          </cell>
          <cell r="B2470" t="str">
            <v>A5C</v>
          </cell>
          <cell r="C2470" t="str">
            <v>TRIM</v>
          </cell>
          <cell r="D2470" t="str">
            <v>V-2301</v>
          </cell>
          <cell r="E2470" t="str">
            <v>NPL</v>
          </cell>
          <cell r="F2470">
            <v>2</v>
          </cell>
          <cell r="G2470" t="str">
            <v>CB132108000TVR</v>
          </cell>
          <cell r="H2470">
            <v>0.75</v>
          </cell>
          <cell r="I2470" t="str">
            <v>75mm</v>
          </cell>
          <cell r="J2470">
            <v>2</v>
          </cell>
          <cell r="K2470">
            <v>2</v>
          </cell>
        </row>
        <row r="2471">
          <cell r="A2471" t="str">
            <v>M2</v>
          </cell>
          <cell r="B2471" t="str">
            <v>A5C</v>
          </cell>
          <cell r="C2471" t="str">
            <v>TRIM</v>
          </cell>
          <cell r="D2471" t="str">
            <v>V-2329</v>
          </cell>
          <cell r="E2471" t="str">
            <v>NPL</v>
          </cell>
          <cell r="F2471">
            <v>2</v>
          </cell>
          <cell r="G2471" t="str">
            <v>CB132108000TVR</v>
          </cell>
          <cell r="H2471">
            <v>0.75</v>
          </cell>
          <cell r="I2471" t="str">
            <v>75mm</v>
          </cell>
          <cell r="J2471">
            <v>2</v>
          </cell>
          <cell r="K2471">
            <v>2</v>
          </cell>
        </row>
        <row r="2472">
          <cell r="A2472" t="str">
            <v>M2</v>
          </cell>
          <cell r="B2472" t="str">
            <v>A5C</v>
          </cell>
          <cell r="C2472" t="str">
            <v>P</v>
          </cell>
          <cell r="D2472" t="str">
            <v>23094</v>
          </cell>
          <cell r="E2472" t="str">
            <v>R TEE</v>
          </cell>
          <cell r="F2472">
            <v>2</v>
          </cell>
          <cell r="G2472" t="str">
            <v>CB400400000T0H</v>
          </cell>
          <cell r="H2472">
            <v>0.75</v>
          </cell>
          <cell r="I2472">
            <v>0.5</v>
          </cell>
          <cell r="J2472">
            <v>2</v>
          </cell>
          <cell r="K2472">
            <v>2</v>
          </cell>
        </row>
        <row r="2473">
          <cell r="A2473" t="str">
            <v>M2</v>
          </cell>
          <cell r="B2473" t="str">
            <v>A5C</v>
          </cell>
          <cell r="C2473" t="str">
            <v>P</v>
          </cell>
          <cell r="D2473" t="str">
            <v>23113</v>
          </cell>
          <cell r="E2473" t="str">
            <v>R TEE</v>
          </cell>
          <cell r="F2473">
            <v>2</v>
          </cell>
          <cell r="G2473" t="str">
            <v>CB400400000T0H</v>
          </cell>
          <cell r="H2473">
            <v>0.75</v>
          </cell>
          <cell r="I2473">
            <v>0.5</v>
          </cell>
          <cell r="J2473">
            <v>2</v>
          </cell>
          <cell r="K2473">
            <v>2</v>
          </cell>
        </row>
        <row r="2474">
          <cell r="A2474" t="str">
            <v>M2</v>
          </cell>
          <cell r="B2474" t="str">
            <v>A5C</v>
          </cell>
          <cell r="C2474" t="str">
            <v>N</v>
          </cell>
          <cell r="D2474" t="str">
            <v>23613</v>
          </cell>
          <cell r="E2474" t="str">
            <v>TEE</v>
          </cell>
          <cell r="F2474">
            <v>2</v>
          </cell>
          <cell r="G2474" t="str">
            <v>CB400300000T00</v>
          </cell>
          <cell r="H2474">
            <v>0.75</v>
          </cell>
          <cell r="I2474" t="str">
            <v>--</v>
          </cell>
          <cell r="J2474">
            <v>3</v>
          </cell>
          <cell r="K2474">
            <v>3</v>
          </cell>
        </row>
        <row r="2475">
          <cell r="A2475" t="str">
            <v>M2</v>
          </cell>
          <cell r="B2475" t="str">
            <v>A5C</v>
          </cell>
          <cell r="C2475" t="str">
            <v>N</v>
          </cell>
          <cell r="D2475" t="str">
            <v>23619</v>
          </cell>
          <cell r="E2475" t="str">
            <v>TEE</v>
          </cell>
          <cell r="F2475">
            <v>2</v>
          </cell>
          <cell r="G2475" t="str">
            <v>CB400300000T00</v>
          </cell>
          <cell r="H2475">
            <v>0.75</v>
          </cell>
          <cell r="I2475" t="str">
            <v>--</v>
          </cell>
          <cell r="J2475">
            <v>4</v>
          </cell>
          <cell r="K2475">
            <v>4</v>
          </cell>
        </row>
        <row r="2476">
          <cell r="A2476" t="str">
            <v>M2</v>
          </cell>
          <cell r="B2476" t="str">
            <v>A5C</v>
          </cell>
          <cell r="C2476" t="str">
            <v>N</v>
          </cell>
          <cell r="D2476" t="str">
            <v>23620</v>
          </cell>
          <cell r="E2476" t="str">
            <v>TEE</v>
          </cell>
          <cell r="F2476">
            <v>2</v>
          </cell>
          <cell r="G2476" t="str">
            <v>CB400300000T00</v>
          </cell>
          <cell r="H2476">
            <v>0.75</v>
          </cell>
          <cell r="I2476" t="str">
            <v>--</v>
          </cell>
          <cell r="J2476">
            <v>4</v>
          </cell>
          <cell r="K2476">
            <v>4</v>
          </cell>
        </row>
        <row r="2477">
          <cell r="A2477" t="str">
            <v>M2</v>
          </cell>
          <cell r="B2477" t="str">
            <v>A5C</v>
          </cell>
          <cell r="C2477" t="str">
            <v>N</v>
          </cell>
          <cell r="D2477" t="str">
            <v>23642</v>
          </cell>
          <cell r="E2477" t="str">
            <v>TEE</v>
          </cell>
          <cell r="F2477">
            <v>2</v>
          </cell>
          <cell r="G2477" t="str">
            <v>CB400300000T00</v>
          </cell>
          <cell r="H2477">
            <v>0.75</v>
          </cell>
          <cell r="I2477" t="str">
            <v>--</v>
          </cell>
          <cell r="J2477">
            <v>4</v>
          </cell>
          <cell r="K2477">
            <v>4</v>
          </cell>
        </row>
        <row r="2478">
          <cell r="A2478" t="str">
            <v>M2</v>
          </cell>
          <cell r="B2478" t="str">
            <v>A5C</v>
          </cell>
          <cell r="C2478" t="str">
            <v>N</v>
          </cell>
          <cell r="D2478" t="str">
            <v>23646</v>
          </cell>
          <cell r="E2478" t="str">
            <v>TEE</v>
          </cell>
          <cell r="F2478">
            <v>2</v>
          </cell>
          <cell r="G2478" t="str">
            <v>CB400300000T00</v>
          </cell>
          <cell r="H2478">
            <v>0.75</v>
          </cell>
          <cell r="I2478" t="str">
            <v>--</v>
          </cell>
          <cell r="J2478">
            <v>4</v>
          </cell>
          <cell r="K2478">
            <v>4</v>
          </cell>
        </row>
        <row r="2479">
          <cell r="A2479" t="str">
            <v>M2</v>
          </cell>
          <cell r="B2479" t="str">
            <v>A5C</v>
          </cell>
          <cell r="C2479" t="str">
            <v>N</v>
          </cell>
          <cell r="D2479" t="str">
            <v>24611</v>
          </cell>
          <cell r="E2479" t="str">
            <v>TEE</v>
          </cell>
          <cell r="F2479">
            <v>2</v>
          </cell>
          <cell r="G2479" t="str">
            <v>CB400300000T00</v>
          </cell>
          <cell r="H2479">
            <v>0.75</v>
          </cell>
          <cell r="I2479" t="str">
            <v>--</v>
          </cell>
          <cell r="J2479">
            <v>3</v>
          </cell>
          <cell r="K2479">
            <v>3</v>
          </cell>
        </row>
        <row r="2480">
          <cell r="A2480" t="str">
            <v>M2</v>
          </cell>
          <cell r="B2480" t="str">
            <v>A5C</v>
          </cell>
          <cell r="C2480" t="str">
            <v>N</v>
          </cell>
          <cell r="D2480" t="str">
            <v>24612</v>
          </cell>
          <cell r="E2480" t="str">
            <v>TEE</v>
          </cell>
          <cell r="F2480">
            <v>2</v>
          </cell>
          <cell r="G2480" t="str">
            <v>CB400300000T00</v>
          </cell>
          <cell r="H2480">
            <v>0.75</v>
          </cell>
          <cell r="I2480" t="str">
            <v>--</v>
          </cell>
          <cell r="J2480">
            <v>4</v>
          </cell>
          <cell r="K2480">
            <v>4</v>
          </cell>
        </row>
        <row r="2481">
          <cell r="A2481" t="str">
            <v>M2</v>
          </cell>
          <cell r="B2481" t="str">
            <v>A5C</v>
          </cell>
          <cell r="C2481" t="str">
            <v>N</v>
          </cell>
          <cell r="D2481" t="str">
            <v>24613</v>
          </cell>
          <cell r="E2481" t="str">
            <v>TEE</v>
          </cell>
          <cell r="F2481">
            <v>2</v>
          </cell>
          <cell r="G2481" t="str">
            <v>CB400300000T00</v>
          </cell>
          <cell r="H2481">
            <v>0.75</v>
          </cell>
          <cell r="I2481" t="str">
            <v>--</v>
          </cell>
          <cell r="J2481">
            <v>2</v>
          </cell>
          <cell r="K2481">
            <v>2</v>
          </cell>
        </row>
        <row r="2482">
          <cell r="A2482" t="str">
            <v>M2</v>
          </cell>
          <cell r="B2482" t="str">
            <v>A5C</v>
          </cell>
          <cell r="C2482" t="str">
            <v>N</v>
          </cell>
          <cell r="D2482" t="str">
            <v>24614</v>
          </cell>
          <cell r="E2482" t="str">
            <v>TEE</v>
          </cell>
          <cell r="F2482">
            <v>2</v>
          </cell>
          <cell r="G2482" t="str">
            <v>CB400300000T00</v>
          </cell>
          <cell r="H2482">
            <v>0.75</v>
          </cell>
          <cell r="I2482" t="str">
            <v>--</v>
          </cell>
          <cell r="J2482">
            <v>4</v>
          </cell>
          <cell r="K2482">
            <v>4</v>
          </cell>
        </row>
        <row r="2483">
          <cell r="A2483" t="str">
            <v>M2</v>
          </cell>
          <cell r="B2483" t="str">
            <v>A5C</v>
          </cell>
          <cell r="C2483" t="str">
            <v>P</v>
          </cell>
          <cell r="D2483" t="str">
            <v>23081</v>
          </cell>
          <cell r="E2483" t="str">
            <v>TEE</v>
          </cell>
          <cell r="F2483">
            <v>2</v>
          </cell>
          <cell r="G2483" t="str">
            <v>CB400300000T00</v>
          </cell>
          <cell r="H2483">
            <v>0.75</v>
          </cell>
          <cell r="I2483" t="str">
            <v>--</v>
          </cell>
          <cell r="J2483">
            <v>3</v>
          </cell>
          <cell r="K2483">
            <v>3</v>
          </cell>
        </row>
        <row r="2484">
          <cell r="A2484" t="str">
            <v>M2</v>
          </cell>
          <cell r="B2484" t="str">
            <v>A5C</v>
          </cell>
          <cell r="C2484" t="str">
            <v>P</v>
          </cell>
          <cell r="D2484" t="str">
            <v>23094</v>
          </cell>
          <cell r="E2484" t="str">
            <v>TEE</v>
          </cell>
          <cell r="F2484">
            <v>2</v>
          </cell>
          <cell r="G2484" t="str">
            <v>CB400300000T00</v>
          </cell>
          <cell r="H2484">
            <v>0.75</v>
          </cell>
          <cell r="I2484" t="str">
            <v>--</v>
          </cell>
          <cell r="J2484">
            <v>2</v>
          </cell>
          <cell r="K2484">
            <v>2</v>
          </cell>
        </row>
        <row r="2485">
          <cell r="A2485" t="str">
            <v>M2</v>
          </cell>
          <cell r="B2485" t="str">
            <v>A5C</v>
          </cell>
          <cell r="C2485" t="str">
            <v>P</v>
          </cell>
          <cell r="D2485" t="str">
            <v>23094</v>
          </cell>
          <cell r="E2485" t="str">
            <v>TEE</v>
          </cell>
          <cell r="F2485">
            <v>2</v>
          </cell>
          <cell r="G2485" t="str">
            <v>CB400300000T00</v>
          </cell>
          <cell r="H2485">
            <v>0.75</v>
          </cell>
          <cell r="I2485" t="str">
            <v>--</v>
          </cell>
          <cell r="J2485">
            <v>8</v>
          </cell>
          <cell r="K2485">
            <v>8</v>
          </cell>
        </row>
        <row r="2486">
          <cell r="A2486" t="str">
            <v>M2</v>
          </cell>
          <cell r="B2486" t="str">
            <v>A5C</v>
          </cell>
          <cell r="C2486" t="str">
            <v>P</v>
          </cell>
          <cell r="D2486" t="str">
            <v>23101</v>
          </cell>
          <cell r="E2486" t="str">
            <v>TEE</v>
          </cell>
          <cell r="F2486">
            <v>2</v>
          </cell>
          <cell r="G2486" t="str">
            <v>CB400300000T00</v>
          </cell>
          <cell r="H2486">
            <v>0.75</v>
          </cell>
          <cell r="I2486" t="str">
            <v>--</v>
          </cell>
          <cell r="J2486">
            <v>2</v>
          </cell>
          <cell r="K2486">
            <v>2</v>
          </cell>
        </row>
        <row r="2487">
          <cell r="A2487" t="str">
            <v>M2</v>
          </cell>
          <cell r="B2487" t="str">
            <v>A5C</v>
          </cell>
          <cell r="C2487" t="str">
            <v>P</v>
          </cell>
          <cell r="D2487" t="str">
            <v>23096</v>
          </cell>
          <cell r="E2487" t="str">
            <v>TEE</v>
          </cell>
          <cell r="F2487">
            <v>2</v>
          </cell>
          <cell r="G2487" t="str">
            <v>CB400300000T00</v>
          </cell>
          <cell r="H2487">
            <v>0.75</v>
          </cell>
          <cell r="I2487" t="str">
            <v>--</v>
          </cell>
          <cell r="J2487">
            <v>2</v>
          </cell>
          <cell r="K2487">
            <v>2</v>
          </cell>
        </row>
        <row r="2488">
          <cell r="A2488" t="str">
            <v>M2</v>
          </cell>
          <cell r="B2488" t="str">
            <v>A5C</v>
          </cell>
          <cell r="C2488" t="str">
            <v>P</v>
          </cell>
          <cell r="D2488" t="str">
            <v>23105</v>
          </cell>
          <cell r="E2488" t="str">
            <v>TEE</v>
          </cell>
          <cell r="F2488">
            <v>2</v>
          </cell>
          <cell r="G2488" t="str">
            <v>CB400300000T00</v>
          </cell>
          <cell r="H2488">
            <v>0.75</v>
          </cell>
          <cell r="I2488" t="str">
            <v>--</v>
          </cell>
          <cell r="J2488">
            <v>2</v>
          </cell>
          <cell r="K2488">
            <v>2</v>
          </cell>
        </row>
        <row r="2489">
          <cell r="A2489" t="str">
            <v>M2</v>
          </cell>
          <cell r="B2489" t="str">
            <v>A5C</v>
          </cell>
          <cell r="C2489" t="str">
            <v>P</v>
          </cell>
          <cell r="D2489" t="str">
            <v>23109</v>
          </cell>
          <cell r="E2489" t="str">
            <v>TEE</v>
          </cell>
          <cell r="F2489">
            <v>2</v>
          </cell>
          <cell r="G2489" t="str">
            <v>CB400300000T00</v>
          </cell>
          <cell r="H2489">
            <v>0.75</v>
          </cell>
          <cell r="I2489" t="str">
            <v>--</v>
          </cell>
          <cell r="J2489">
            <v>2</v>
          </cell>
          <cell r="K2489">
            <v>2</v>
          </cell>
        </row>
        <row r="2490">
          <cell r="A2490" t="str">
            <v>M2</v>
          </cell>
          <cell r="B2490" t="str">
            <v>A5C</v>
          </cell>
          <cell r="C2490" t="str">
            <v>P</v>
          </cell>
          <cell r="D2490" t="str">
            <v>23124</v>
          </cell>
          <cell r="E2490" t="str">
            <v>TEE</v>
          </cell>
          <cell r="F2490">
            <v>2</v>
          </cell>
          <cell r="G2490" t="str">
            <v>CB400300000T00</v>
          </cell>
          <cell r="H2490">
            <v>0.75</v>
          </cell>
          <cell r="I2490" t="str">
            <v>--</v>
          </cell>
          <cell r="J2490">
            <v>2</v>
          </cell>
          <cell r="K2490">
            <v>2</v>
          </cell>
        </row>
        <row r="2491">
          <cell r="A2491" t="str">
            <v>M2</v>
          </cell>
          <cell r="B2491" t="str">
            <v>A5C</v>
          </cell>
          <cell r="C2491" t="str">
            <v>P</v>
          </cell>
          <cell r="D2491" t="str">
            <v>23133</v>
          </cell>
          <cell r="E2491" t="str">
            <v>TEE</v>
          </cell>
          <cell r="F2491">
            <v>2</v>
          </cell>
          <cell r="G2491" t="str">
            <v>CB400300000T00</v>
          </cell>
          <cell r="H2491">
            <v>0.75</v>
          </cell>
          <cell r="I2491" t="str">
            <v>--</v>
          </cell>
          <cell r="J2491">
            <v>2</v>
          </cell>
          <cell r="K2491">
            <v>2</v>
          </cell>
        </row>
        <row r="2492">
          <cell r="A2492" t="str">
            <v>M2</v>
          </cell>
          <cell r="B2492" t="str">
            <v>A5C</v>
          </cell>
          <cell r="C2492" t="str">
            <v>P</v>
          </cell>
          <cell r="D2492" t="str">
            <v>23135</v>
          </cell>
          <cell r="E2492" t="str">
            <v>TEE</v>
          </cell>
          <cell r="F2492">
            <v>2</v>
          </cell>
          <cell r="G2492" t="str">
            <v>CB400300000T00</v>
          </cell>
          <cell r="H2492">
            <v>0.75</v>
          </cell>
          <cell r="I2492" t="str">
            <v>--</v>
          </cell>
          <cell r="J2492">
            <v>2</v>
          </cell>
          <cell r="K2492">
            <v>2</v>
          </cell>
        </row>
        <row r="2493">
          <cell r="A2493" t="str">
            <v>M2</v>
          </cell>
          <cell r="B2493" t="str">
            <v>A5C</v>
          </cell>
          <cell r="C2493" t="str">
            <v>P</v>
          </cell>
          <cell r="D2493" t="str">
            <v>23141</v>
          </cell>
          <cell r="E2493" t="str">
            <v>TEE</v>
          </cell>
          <cell r="F2493">
            <v>2</v>
          </cell>
          <cell r="G2493" t="str">
            <v>CB400300000T00</v>
          </cell>
          <cell r="H2493">
            <v>0.75</v>
          </cell>
          <cell r="I2493" t="str">
            <v>--</v>
          </cell>
          <cell r="J2493">
            <v>2</v>
          </cell>
          <cell r="K2493">
            <v>2</v>
          </cell>
        </row>
        <row r="2494">
          <cell r="A2494" t="str">
            <v>M2</v>
          </cell>
          <cell r="B2494" t="str">
            <v>A5C</v>
          </cell>
          <cell r="C2494" t="str">
            <v>P</v>
          </cell>
          <cell r="D2494" t="str">
            <v>23145</v>
          </cell>
          <cell r="E2494" t="str">
            <v>TEE</v>
          </cell>
          <cell r="F2494">
            <v>2</v>
          </cell>
          <cell r="G2494" t="str">
            <v>CB400300000T00</v>
          </cell>
          <cell r="H2494">
            <v>0.75</v>
          </cell>
          <cell r="I2494" t="str">
            <v>--</v>
          </cell>
          <cell r="J2494">
            <v>2</v>
          </cell>
          <cell r="K2494">
            <v>2</v>
          </cell>
        </row>
        <row r="2495">
          <cell r="A2495" t="str">
            <v>M2</v>
          </cell>
          <cell r="B2495" t="str">
            <v>A5C</v>
          </cell>
          <cell r="C2495" t="str">
            <v>P</v>
          </cell>
          <cell r="D2495" t="str">
            <v>23225</v>
          </cell>
          <cell r="E2495" t="str">
            <v>TEE</v>
          </cell>
          <cell r="F2495">
            <v>2</v>
          </cell>
          <cell r="G2495" t="str">
            <v>CB400300000T00</v>
          </cell>
          <cell r="H2495">
            <v>0.75</v>
          </cell>
          <cell r="I2495" t="str">
            <v>--</v>
          </cell>
          <cell r="J2495">
            <v>3</v>
          </cell>
          <cell r="K2495">
            <v>3</v>
          </cell>
        </row>
        <row r="2496">
          <cell r="A2496" t="str">
            <v>M2</v>
          </cell>
          <cell r="B2496" t="str">
            <v>A5C</v>
          </cell>
          <cell r="C2496" t="str">
            <v>P</v>
          </cell>
          <cell r="D2496" t="str">
            <v>23234</v>
          </cell>
          <cell r="E2496" t="str">
            <v>TEE</v>
          </cell>
          <cell r="F2496">
            <v>2</v>
          </cell>
          <cell r="G2496" t="str">
            <v>CB400300000T00</v>
          </cell>
          <cell r="H2496">
            <v>0.75</v>
          </cell>
          <cell r="I2496" t="str">
            <v>--</v>
          </cell>
          <cell r="J2496">
            <v>2</v>
          </cell>
          <cell r="K2496">
            <v>2</v>
          </cell>
        </row>
        <row r="2497">
          <cell r="A2497" t="str">
            <v>M2</v>
          </cell>
          <cell r="B2497" t="str">
            <v>A5C</v>
          </cell>
          <cell r="C2497" t="str">
            <v>P</v>
          </cell>
          <cell r="D2497" t="str">
            <v>23247</v>
          </cell>
          <cell r="E2497" t="str">
            <v>TEE</v>
          </cell>
          <cell r="F2497">
            <v>2</v>
          </cell>
          <cell r="G2497" t="str">
            <v>CB400300000T00</v>
          </cell>
          <cell r="H2497">
            <v>0.75</v>
          </cell>
          <cell r="I2497" t="str">
            <v>--</v>
          </cell>
          <cell r="J2497">
            <v>2</v>
          </cell>
          <cell r="K2497">
            <v>2</v>
          </cell>
        </row>
        <row r="2498">
          <cell r="A2498" t="str">
            <v>M2</v>
          </cell>
          <cell r="B2498" t="str">
            <v>A5C</v>
          </cell>
          <cell r="C2498" t="str">
            <v>N</v>
          </cell>
          <cell r="D2498" t="str">
            <v>23621</v>
          </cell>
          <cell r="E2498" t="str">
            <v>TEE</v>
          </cell>
          <cell r="F2498">
            <v>2</v>
          </cell>
          <cell r="G2498" t="str">
            <v>CB400300000T00</v>
          </cell>
          <cell r="H2498">
            <v>0.75</v>
          </cell>
          <cell r="I2498" t="str">
            <v>--</v>
          </cell>
          <cell r="J2498">
            <v>1</v>
          </cell>
          <cell r="K2498">
            <v>1</v>
          </cell>
        </row>
        <row r="2499">
          <cell r="A2499" t="str">
            <v>M2</v>
          </cell>
          <cell r="B2499" t="str">
            <v>A5C</v>
          </cell>
          <cell r="C2499" t="str">
            <v>N</v>
          </cell>
          <cell r="D2499" t="str">
            <v>23647</v>
          </cell>
          <cell r="E2499" t="str">
            <v>TEE</v>
          </cell>
          <cell r="F2499">
            <v>2</v>
          </cell>
          <cell r="G2499" t="str">
            <v>CB400300000T00</v>
          </cell>
          <cell r="H2499">
            <v>0.75</v>
          </cell>
          <cell r="I2499" t="str">
            <v>--</v>
          </cell>
          <cell r="J2499">
            <v>1</v>
          </cell>
          <cell r="K2499">
            <v>1</v>
          </cell>
        </row>
        <row r="2500">
          <cell r="A2500" t="str">
            <v>M2</v>
          </cell>
          <cell r="B2500" t="str">
            <v>A5C</v>
          </cell>
          <cell r="C2500" t="str">
            <v>P</v>
          </cell>
          <cell r="D2500" t="str">
            <v>23085</v>
          </cell>
          <cell r="E2500" t="str">
            <v>TEE</v>
          </cell>
          <cell r="F2500">
            <v>2</v>
          </cell>
          <cell r="G2500" t="str">
            <v>CB400300000T00</v>
          </cell>
          <cell r="H2500">
            <v>0.75</v>
          </cell>
          <cell r="I2500" t="str">
            <v>--</v>
          </cell>
          <cell r="J2500">
            <v>2</v>
          </cell>
          <cell r="K2500">
            <v>2</v>
          </cell>
        </row>
        <row r="2501">
          <cell r="A2501" t="str">
            <v>M2</v>
          </cell>
          <cell r="B2501" t="str">
            <v>A5C</v>
          </cell>
          <cell r="C2501" t="str">
            <v>P</v>
          </cell>
          <cell r="D2501" t="str">
            <v>23113</v>
          </cell>
          <cell r="E2501" t="str">
            <v>TEE</v>
          </cell>
          <cell r="F2501">
            <v>2</v>
          </cell>
          <cell r="G2501" t="str">
            <v>CB400300000T00</v>
          </cell>
          <cell r="H2501">
            <v>0.75</v>
          </cell>
          <cell r="I2501" t="str">
            <v>--</v>
          </cell>
          <cell r="J2501">
            <v>1</v>
          </cell>
          <cell r="K2501">
            <v>1</v>
          </cell>
        </row>
        <row r="2502">
          <cell r="A2502" t="str">
            <v>M2</v>
          </cell>
          <cell r="B2502" t="str">
            <v>A5C</v>
          </cell>
          <cell r="C2502" t="str">
            <v>P</v>
          </cell>
          <cell r="D2502" t="str">
            <v>23113</v>
          </cell>
          <cell r="E2502" t="str">
            <v>TEE</v>
          </cell>
          <cell r="F2502">
            <v>2</v>
          </cell>
          <cell r="G2502" t="str">
            <v>CB400300000T00</v>
          </cell>
          <cell r="H2502">
            <v>0.75</v>
          </cell>
          <cell r="I2502" t="str">
            <v>--</v>
          </cell>
          <cell r="J2502">
            <v>2</v>
          </cell>
          <cell r="K2502">
            <v>2</v>
          </cell>
        </row>
        <row r="2503">
          <cell r="A2503" t="str">
            <v>M2</v>
          </cell>
          <cell r="B2503" t="str">
            <v>A5C</v>
          </cell>
          <cell r="C2503" t="str">
            <v>P</v>
          </cell>
          <cell r="D2503" t="str">
            <v>23141</v>
          </cell>
          <cell r="E2503" t="str">
            <v>TEE</v>
          </cell>
          <cell r="F2503">
            <v>2</v>
          </cell>
          <cell r="G2503" t="str">
            <v>CB400300000T00</v>
          </cell>
          <cell r="H2503">
            <v>0.75</v>
          </cell>
          <cell r="I2503" t="str">
            <v>--</v>
          </cell>
          <cell r="J2503">
            <v>5</v>
          </cell>
          <cell r="K2503">
            <v>5</v>
          </cell>
        </row>
        <row r="2504">
          <cell r="A2504" t="str">
            <v>M2</v>
          </cell>
          <cell r="B2504" t="str">
            <v>A5C</v>
          </cell>
          <cell r="C2504" t="str">
            <v>P</v>
          </cell>
          <cell r="D2504" t="str">
            <v>23188</v>
          </cell>
          <cell r="E2504" t="str">
            <v>TEE</v>
          </cell>
          <cell r="F2504">
            <v>2</v>
          </cell>
          <cell r="G2504" t="str">
            <v>CB400300000T00</v>
          </cell>
          <cell r="H2504">
            <v>0.75</v>
          </cell>
          <cell r="I2504" t="str">
            <v>--</v>
          </cell>
          <cell r="J2504">
            <v>5</v>
          </cell>
          <cell r="K2504">
            <v>5</v>
          </cell>
        </row>
        <row r="2505">
          <cell r="A2505" t="str">
            <v>M2</v>
          </cell>
          <cell r="B2505" t="str">
            <v>A5C</v>
          </cell>
          <cell r="C2505" t="str">
            <v>P</v>
          </cell>
          <cell r="D2505" t="str">
            <v>23238</v>
          </cell>
          <cell r="E2505" t="str">
            <v>TEE</v>
          </cell>
          <cell r="F2505">
            <v>2</v>
          </cell>
          <cell r="G2505" t="str">
            <v>CB400300000T00</v>
          </cell>
          <cell r="H2505">
            <v>0.75</v>
          </cell>
          <cell r="I2505" t="str">
            <v>--</v>
          </cell>
          <cell r="J2505">
            <v>2</v>
          </cell>
          <cell r="K2505">
            <v>2</v>
          </cell>
        </row>
        <row r="2506">
          <cell r="A2506" t="str">
            <v>M2</v>
          </cell>
          <cell r="B2506" t="str">
            <v>A5C</v>
          </cell>
          <cell r="C2506" t="str">
            <v>P</v>
          </cell>
          <cell r="D2506" t="str">
            <v>24024</v>
          </cell>
          <cell r="E2506" t="str">
            <v>TEE</v>
          </cell>
          <cell r="F2506">
            <v>2</v>
          </cell>
          <cell r="G2506" t="str">
            <v>CB400300000T00</v>
          </cell>
          <cell r="H2506">
            <v>0.75</v>
          </cell>
          <cell r="I2506" t="str">
            <v>--</v>
          </cell>
          <cell r="J2506">
            <v>5</v>
          </cell>
          <cell r="K2506">
            <v>5</v>
          </cell>
        </row>
        <row r="2507">
          <cell r="A2507" t="str">
            <v>M2</v>
          </cell>
          <cell r="B2507" t="str">
            <v>A5C</v>
          </cell>
          <cell r="C2507" t="str">
            <v>P</v>
          </cell>
          <cell r="D2507" t="str">
            <v>23059</v>
          </cell>
          <cell r="E2507" t="str">
            <v>90 ELL</v>
          </cell>
          <cell r="F2507">
            <v>2</v>
          </cell>
          <cell r="G2507" t="str">
            <v>CB400100000T00</v>
          </cell>
          <cell r="H2507">
            <v>0.75</v>
          </cell>
          <cell r="I2507" t="str">
            <v>--</v>
          </cell>
          <cell r="J2507">
            <v>13</v>
          </cell>
          <cell r="K2507">
            <v>13</v>
          </cell>
        </row>
        <row r="2508">
          <cell r="A2508" t="str">
            <v>M2</v>
          </cell>
          <cell r="B2508" t="str">
            <v>A5C</v>
          </cell>
          <cell r="C2508" t="str">
            <v>P</v>
          </cell>
          <cell r="D2508" t="str">
            <v>23183</v>
          </cell>
          <cell r="E2508" t="str">
            <v>90 ELL</v>
          </cell>
          <cell r="F2508">
            <v>2</v>
          </cell>
          <cell r="G2508" t="str">
            <v>CB400100000T00</v>
          </cell>
          <cell r="H2508">
            <v>0.75</v>
          </cell>
          <cell r="I2508" t="str">
            <v>--</v>
          </cell>
          <cell r="J2508">
            <v>5</v>
          </cell>
          <cell r="K2508">
            <v>5</v>
          </cell>
        </row>
        <row r="2509">
          <cell r="A2509" t="str">
            <v>M2</v>
          </cell>
          <cell r="B2509" t="str">
            <v>A5C</v>
          </cell>
          <cell r="C2509" t="str">
            <v>P</v>
          </cell>
          <cell r="D2509" t="str">
            <v>23059</v>
          </cell>
          <cell r="E2509" t="str">
            <v>CAP</v>
          </cell>
          <cell r="F2509">
            <v>2</v>
          </cell>
          <cell r="G2509" t="str">
            <v>CB520700000T00</v>
          </cell>
          <cell r="H2509">
            <v>0.75</v>
          </cell>
          <cell r="I2509" t="str">
            <v>--</v>
          </cell>
          <cell r="J2509">
            <v>2</v>
          </cell>
          <cell r="K2509">
            <v>2</v>
          </cell>
        </row>
        <row r="2510">
          <cell r="A2510" t="str">
            <v>M2</v>
          </cell>
          <cell r="B2510" t="str">
            <v>A5C</v>
          </cell>
          <cell r="C2510" t="str">
            <v>P</v>
          </cell>
          <cell r="D2510" t="str">
            <v>23059</v>
          </cell>
          <cell r="E2510" t="str">
            <v>CAP</v>
          </cell>
          <cell r="F2510">
            <v>2</v>
          </cell>
          <cell r="G2510" t="str">
            <v>CB520700000T00</v>
          </cell>
          <cell r="H2510">
            <v>0.75</v>
          </cell>
          <cell r="I2510" t="str">
            <v>--</v>
          </cell>
          <cell r="J2510">
            <v>1</v>
          </cell>
          <cell r="K2510">
            <v>1</v>
          </cell>
        </row>
        <row r="2511">
          <cell r="A2511" t="str">
            <v>M2</v>
          </cell>
          <cell r="B2511" t="str">
            <v>A5C</v>
          </cell>
          <cell r="C2511" t="str">
            <v>P</v>
          </cell>
          <cell r="D2511" t="str">
            <v>23264</v>
          </cell>
          <cell r="E2511" t="str">
            <v>CAP</v>
          </cell>
          <cell r="F2511">
            <v>2</v>
          </cell>
          <cell r="G2511" t="str">
            <v>CB520700000T00</v>
          </cell>
          <cell r="H2511">
            <v>0.75</v>
          </cell>
          <cell r="I2511" t="str">
            <v>--</v>
          </cell>
          <cell r="J2511">
            <v>1</v>
          </cell>
          <cell r="K2511">
            <v>1</v>
          </cell>
        </row>
        <row r="2512">
          <cell r="A2512" t="str">
            <v>M2</v>
          </cell>
          <cell r="B2512" t="str">
            <v>A5C</v>
          </cell>
          <cell r="C2512" t="str">
            <v>TRIM</v>
          </cell>
          <cell r="D2512" t="str">
            <v>V-2352</v>
          </cell>
          <cell r="E2512" t="str">
            <v>CAP</v>
          </cell>
          <cell r="F2512">
            <v>2</v>
          </cell>
          <cell r="G2512" t="str">
            <v>CB520700000T00</v>
          </cell>
          <cell r="H2512">
            <v>0.75</v>
          </cell>
          <cell r="I2512" t="str">
            <v>--</v>
          </cell>
          <cell r="J2512">
            <v>2</v>
          </cell>
          <cell r="K2512">
            <v>2</v>
          </cell>
        </row>
        <row r="2513">
          <cell r="A2513" t="str">
            <v>M2</v>
          </cell>
          <cell r="B2513" t="str">
            <v>A5C</v>
          </cell>
          <cell r="C2513" t="str">
            <v>P</v>
          </cell>
          <cell r="D2513" t="str">
            <v>23059</v>
          </cell>
          <cell r="E2513" t="str">
            <v>CPLG</v>
          </cell>
          <cell r="F2513">
            <v>2</v>
          </cell>
          <cell r="G2513" t="str">
            <v>CB400500000T00</v>
          </cell>
          <cell r="H2513">
            <v>0.75</v>
          </cell>
          <cell r="I2513" t="str">
            <v>--</v>
          </cell>
          <cell r="J2513">
            <v>1</v>
          </cell>
          <cell r="K2513">
            <v>1</v>
          </cell>
        </row>
        <row r="2514">
          <cell r="A2514" t="str">
            <v>M2</v>
          </cell>
          <cell r="B2514" t="str">
            <v>A5C</v>
          </cell>
          <cell r="C2514" t="str">
            <v>P</v>
          </cell>
          <cell r="D2514" t="str">
            <v>23183</v>
          </cell>
          <cell r="E2514" t="str">
            <v>CPLG</v>
          </cell>
          <cell r="F2514">
            <v>2</v>
          </cell>
          <cell r="G2514" t="str">
            <v>CB400500000T00</v>
          </cell>
          <cell r="H2514">
            <v>0.75</v>
          </cell>
          <cell r="I2514" t="str">
            <v>--</v>
          </cell>
          <cell r="J2514">
            <v>1</v>
          </cell>
          <cell r="K2514">
            <v>1</v>
          </cell>
        </row>
        <row r="2515">
          <cell r="A2515" t="str">
            <v>M2</v>
          </cell>
          <cell r="B2515" t="str">
            <v>A5C</v>
          </cell>
          <cell r="C2515" t="str">
            <v>P</v>
          </cell>
          <cell r="D2515" t="str">
            <v>23059</v>
          </cell>
          <cell r="E2515" t="str">
            <v>TEE</v>
          </cell>
          <cell r="F2515">
            <v>2</v>
          </cell>
          <cell r="G2515" t="str">
            <v>CB400300000T00</v>
          </cell>
          <cell r="H2515">
            <v>0.75</v>
          </cell>
          <cell r="I2515" t="str">
            <v>--</v>
          </cell>
          <cell r="J2515">
            <v>2</v>
          </cell>
          <cell r="K2515">
            <v>2</v>
          </cell>
        </row>
        <row r="2516">
          <cell r="A2516" t="str">
            <v>M2</v>
          </cell>
          <cell r="B2516" t="str">
            <v>A5C</v>
          </cell>
          <cell r="C2516" t="str">
            <v>P</v>
          </cell>
          <cell r="D2516" t="str">
            <v>23018</v>
          </cell>
          <cell r="E2516" t="str">
            <v>90 ELL</v>
          </cell>
          <cell r="F2516">
            <v>2</v>
          </cell>
          <cell r="G2516" t="str">
            <v>CB400100000T00</v>
          </cell>
          <cell r="H2516">
            <v>0.75</v>
          </cell>
          <cell r="I2516" t="str">
            <v>--</v>
          </cell>
          <cell r="J2516">
            <v>2</v>
          </cell>
          <cell r="K2516">
            <v>2</v>
          </cell>
        </row>
        <row r="2517">
          <cell r="A2517" t="str">
            <v>M2</v>
          </cell>
          <cell r="B2517" t="str">
            <v>A5C</v>
          </cell>
          <cell r="C2517" t="str">
            <v>P</v>
          </cell>
          <cell r="D2517" t="str">
            <v>23018</v>
          </cell>
          <cell r="E2517" t="str">
            <v>90 ELL</v>
          </cell>
          <cell r="F2517">
            <v>2</v>
          </cell>
          <cell r="G2517" t="str">
            <v>CB400100000T00</v>
          </cell>
          <cell r="H2517">
            <v>0.75</v>
          </cell>
          <cell r="I2517" t="str">
            <v>--</v>
          </cell>
          <cell r="J2517">
            <v>1</v>
          </cell>
          <cell r="K2517">
            <v>1</v>
          </cell>
        </row>
        <row r="2518">
          <cell r="A2518" t="str">
            <v>M2</v>
          </cell>
          <cell r="B2518" t="str">
            <v>A5C</v>
          </cell>
          <cell r="C2518" t="str">
            <v>P</v>
          </cell>
          <cell r="D2518" t="str">
            <v>23027</v>
          </cell>
          <cell r="E2518" t="str">
            <v>90 ELL</v>
          </cell>
          <cell r="F2518">
            <v>2</v>
          </cell>
          <cell r="G2518" t="str">
            <v>CB400100000T00</v>
          </cell>
          <cell r="H2518">
            <v>0.75</v>
          </cell>
          <cell r="I2518" t="str">
            <v>--</v>
          </cell>
          <cell r="J2518">
            <v>1</v>
          </cell>
          <cell r="K2518">
            <v>1</v>
          </cell>
        </row>
        <row r="2519">
          <cell r="A2519" t="str">
            <v>M2</v>
          </cell>
          <cell r="B2519" t="str">
            <v>A5C</v>
          </cell>
          <cell r="C2519" t="str">
            <v>P</v>
          </cell>
          <cell r="D2519" t="str">
            <v>23032</v>
          </cell>
          <cell r="E2519" t="str">
            <v>90 ELL</v>
          </cell>
          <cell r="F2519">
            <v>2</v>
          </cell>
          <cell r="G2519" t="str">
            <v>CB400100000T00</v>
          </cell>
          <cell r="H2519">
            <v>0.75</v>
          </cell>
          <cell r="I2519" t="str">
            <v>--</v>
          </cell>
          <cell r="J2519">
            <v>2</v>
          </cell>
          <cell r="K2519">
            <v>2</v>
          </cell>
        </row>
        <row r="2520">
          <cell r="A2520" t="str">
            <v>M2</v>
          </cell>
          <cell r="B2520" t="str">
            <v>A5C</v>
          </cell>
          <cell r="C2520" t="str">
            <v>P</v>
          </cell>
          <cell r="D2520" t="str">
            <v>23048</v>
          </cell>
          <cell r="E2520" t="str">
            <v>90 ELL</v>
          </cell>
          <cell r="F2520">
            <v>2</v>
          </cell>
          <cell r="G2520" t="str">
            <v>CB400100000T00</v>
          </cell>
          <cell r="H2520">
            <v>0.75</v>
          </cell>
          <cell r="I2520" t="str">
            <v>--</v>
          </cell>
          <cell r="J2520">
            <v>4</v>
          </cell>
          <cell r="K2520">
            <v>4</v>
          </cell>
        </row>
        <row r="2521">
          <cell r="A2521" t="str">
            <v>M2</v>
          </cell>
          <cell r="B2521" t="str">
            <v>A5C</v>
          </cell>
          <cell r="C2521" t="str">
            <v>P</v>
          </cell>
          <cell r="D2521" t="str">
            <v>23048</v>
          </cell>
          <cell r="E2521" t="str">
            <v>90 ELL</v>
          </cell>
          <cell r="F2521">
            <v>2</v>
          </cell>
          <cell r="G2521" t="str">
            <v>CB400100000T00</v>
          </cell>
          <cell r="H2521">
            <v>0.75</v>
          </cell>
          <cell r="I2521" t="str">
            <v>--</v>
          </cell>
          <cell r="J2521">
            <v>7</v>
          </cell>
          <cell r="K2521">
            <v>7</v>
          </cell>
        </row>
        <row r="2522">
          <cell r="A2522" t="str">
            <v>M2</v>
          </cell>
          <cell r="B2522" t="str">
            <v>A5C</v>
          </cell>
          <cell r="C2522" t="str">
            <v>P</v>
          </cell>
          <cell r="D2522" t="str">
            <v>23053</v>
          </cell>
          <cell r="E2522" t="str">
            <v>90 ELL</v>
          </cell>
          <cell r="F2522">
            <v>2</v>
          </cell>
          <cell r="G2522" t="str">
            <v>CB400100000T00</v>
          </cell>
          <cell r="H2522">
            <v>0.75</v>
          </cell>
          <cell r="I2522" t="str">
            <v>--</v>
          </cell>
          <cell r="J2522">
            <v>14</v>
          </cell>
          <cell r="K2522">
            <v>14</v>
          </cell>
        </row>
        <row r="2523">
          <cell r="A2523" t="str">
            <v>M2</v>
          </cell>
          <cell r="B2523" t="str">
            <v>A5C</v>
          </cell>
          <cell r="C2523" t="str">
            <v>P</v>
          </cell>
          <cell r="D2523" t="str">
            <v>23065</v>
          </cell>
          <cell r="E2523" t="str">
            <v>90 ELL</v>
          </cell>
          <cell r="F2523">
            <v>2</v>
          </cell>
          <cell r="G2523" t="str">
            <v>CB400100000T00</v>
          </cell>
          <cell r="H2523">
            <v>0.75</v>
          </cell>
          <cell r="I2523" t="str">
            <v>--</v>
          </cell>
          <cell r="J2523">
            <v>6</v>
          </cell>
          <cell r="K2523">
            <v>6</v>
          </cell>
        </row>
        <row r="2524">
          <cell r="A2524" t="str">
            <v>M2</v>
          </cell>
          <cell r="B2524" t="str">
            <v>A5C</v>
          </cell>
          <cell r="C2524" t="str">
            <v>P</v>
          </cell>
          <cell r="D2524" t="str">
            <v>23079</v>
          </cell>
          <cell r="E2524" t="str">
            <v>90 ELL</v>
          </cell>
          <cell r="F2524">
            <v>2</v>
          </cell>
          <cell r="G2524" t="str">
            <v>CB400100000T00</v>
          </cell>
          <cell r="H2524">
            <v>0.75</v>
          </cell>
          <cell r="I2524" t="str">
            <v>--</v>
          </cell>
          <cell r="J2524">
            <v>13</v>
          </cell>
          <cell r="K2524">
            <v>13</v>
          </cell>
        </row>
        <row r="2525">
          <cell r="A2525" t="str">
            <v>M2</v>
          </cell>
          <cell r="B2525" t="str">
            <v>A5C</v>
          </cell>
          <cell r="C2525" t="str">
            <v>P</v>
          </cell>
          <cell r="D2525" t="str">
            <v>23155</v>
          </cell>
          <cell r="E2525" t="str">
            <v>90 ELL</v>
          </cell>
          <cell r="F2525">
            <v>2</v>
          </cell>
          <cell r="G2525" t="str">
            <v>CB400100000T00</v>
          </cell>
          <cell r="H2525">
            <v>0.75</v>
          </cell>
          <cell r="I2525" t="str">
            <v>--</v>
          </cell>
          <cell r="J2525">
            <v>7</v>
          </cell>
          <cell r="K2525">
            <v>7</v>
          </cell>
        </row>
        <row r="2526">
          <cell r="A2526" t="str">
            <v>M2</v>
          </cell>
          <cell r="B2526" t="str">
            <v>A5C</v>
          </cell>
          <cell r="C2526" t="str">
            <v>P</v>
          </cell>
          <cell r="D2526" t="str">
            <v>23163</v>
          </cell>
          <cell r="E2526" t="str">
            <v>90 ELL</v>
          </cell>
          <cell r="F2526">
            <v>2</v>
          </cell>
          <cell r="G2526" t="str">
            <v>CB400100000T00</v>
          </cell>
          <cell r="H2526">
            <v>0.75</v>
          </cell>
          <cell r="I2526" t="str">
            <v>--</v>
          </cell>
          <cell r="J2526">
            <v>6</v>
          </cell>
          <cell r="K2526">
            <v>6</v>
          </cell>
        </row>
        <row r="2527">
          <cell r="A2527" t="str">
            <v>M2</v>
          </cell>
          <cell r="B2527" t="str">
            <v>A5C</v>
          </cell>
          <cell r="C2527" t="str">
            <v>P</v>
          </cell>
          <cell r="D2527" t="str">
            <v>23173</v>
          </cell>
          <cell r="E2527" t="str">
            <v>90 ELL</v>
          </cell>
          <cell r="F2527">
            <v>2</v>
          </cell>
          <cell r="G2527" t="str">
            <v>CB400100000T00</v>
          </cell>
          <cell r="H2527">
            <v>0.75</v>
          </cell>
          <cell r="I2527" t="str">
            <v>--</v>
          </cell>
          <cell r="J2527">
            <v>10</v>
          </cell>
          <cell r="K2527">
            <v>10</v>
          </cell>
        </row>
        <row r="2528">
          <cell r="A2528" t="str">
            <v>M2</v>
          </cell>
          <cell r="B2528" t="str">
            <v>A5C</v>
          </cell>
          <cell r="C2528" t="str">
            <v>P</v>
          </cell>
          <cell r="D2528" t="str">
            <v>23180</v>
          </cell>
          <cell r="E2528" t="str">
            <v>90 ELL</v>
          </cell>
          <cell r="F2528">
            <v>2</v>
          </cell>
          <cell r="G2528" t="str">
            <v>CB400100000T00</v>
          </cell>
          <cell r="H2528">
            <v>0.75</v>
          </cell>
          <cell r="I2528" t="str">
            <v>--</v>
          </cell>
          <cell r="J2528">
            <v>10</v>
          </cell>
          <cell r="K2528">
            <v>10</v>
          </cell>
        </row>
        <row r="2529">
          <cell r="A2529" t="str">
            <v>M2</v>
          </cell>
          <cell r="B2529" t="str">
            <v>A5C</v>
          </cell>
          <cell r="C2529" t="str">
            <v>P</v>
          </cell>
          <cell r="D2529" t="str">
            <v>23184</v>
          </cell>
          <cell r="E2529" t="str">
            <v>90 ELL</v>
          </cell>
          <cell r="F2529">
            <v>2</v>
          </cell>
          <cell r="G2529" t="str">
            <v>CB400100000T00</v>
          </cell>
          <cell r="H2529">
            <v>0.75</v>
          </cell>
          <cell r="I2529" t="str">
            <v>--</v>
          </cell>
          <cell r="J2529">
            <v>5</v>
          </cell>
          <cell r="K2529">
            <v>5</v>
          </cell>
        </row>
        <row r="2530">
          <cell r="A2530" t="str">
            <v>M2</v>
          </cell>
          <cell r="B2530" t="str">
            <v>A5C</v>
          </cell>
          <cell r="C2530" t="str">
            <v>P</v>
          </cell>
          <cell r="D2530" t="str">
            <v>23191</v>
          </cell>
          <cell r="E2530" t="str">
            <v>90 ELL</v>
          </cell>
          <cell r="F2530">
            <v>2</v>
          </cell>
          <cell r="G2530" t="str">
            <v>CB400100000T00</v>
          </cell>
          <cell r="H2530">
            <v>0.75</v>
          </cell>
          <cell r="I2530" t="str">
            <v>--</v>
          </cell>
          <cell r="J2530">
            <v>10</v>
          </cell>
          <cell r="K2530">
            <v>10</v>
          </cell>
        </row>
        <row r="2531">
          <cell r="A2531" t="str">
            <v>M2</v>
          </cell>
          <cell r="B2531" t="str">
            <v>A5C</v>
          </cell>
          <cell r="C2531" t="str">
            <v>P</v>
          </cell>
          <cell r="D2531" t="str">
            <v>23193</v>
          </cell>
          <cell r="E2531" t="str">
            <v>90 ELL</v>
          </cell>
          <cell r="F2531">
            <v>2</v>
          </cell>
          <cell r="G2531" t="str">
            <v>CB400100000T00</v>
          </cell>
          <cell r="H2531">
            <v>0.75</v>
          </cell>
          <cell r="I2531" t="str">
            <v>--</v>
          </cell>
          <cell r="J2531">
            <v>4</v>
          </cell>
          <cell r="K2531">
            <v>4</v>
          </cell>
        </row>
        <row r="2532">
          <cell r="A2532" t="str">
            <v>M2</v>
          </cell>
          <cell r="B2532" t="str">
            <v>A5C</v>
          </cell>
          <cell r="C2532" t="str">
            <v>P</v>
          </cell>
          <cell r="D2532" t="str">
            <v>23224</v>
          </cell>
          <cell r="E2532" t="str">
            <v>90 ELL</v>
          </cell>
          <cell r="F2532">
            <v>2</v>
          </cell>
          <cell r="G2532" t="str">
            <v>CB400100000T00</v>
          </cell>
          <cell r="H2532">
            <v>0.75</v>
          </cell>
          <cell r="I2532" t="str">
            <v>--</v>
          </cell>
          <cell r="J2532">
            <v>2</v>
          </cell>
          <cell r="K2532">
            <v>2</v>
          </cell>
        </row>
        <row r="2533">
          <cell r="A2533" t="str">
            <v>M2</v>
          </cell>
          <cell r="B2533" t="str">
            <v>A5C</v>
          </cell>
          <cell r="C2533" t="str">
            <v>P</v>
          </cell>
          <cell r="D2533" t="str">
            <v>24016</v>
          </cell>
          <cell r="E2533" t="str">
            <v>90 ELL</v>
          </cell>
          <cell r="F2533">
            <v>2</v>
          </cell>
          <cell r="G2533" t="str">
            <v>CB400100000T00</v>
          </cell>
          <cell r="H2533">
            <v>0.75</v>
          </cell>
          <cell r="I2533" t="str">
            <v>--</v>
          </cell>
          <cell r="J2533">
            <v>6</v>
          </cell>
          <cell r="K2533">
            <v>6</v>
          </cell>
        </row>
        <row r="2534">
          <cell r="A2534" t="str">
            <v>M2</v>
          </cell>
          <cell r="B2534" t="str">
            <v>A5C</v>
          </cell>
          <cell r="C2534" t="str">
            <v>P</v>
          </cell>
          <cell r="D2534" t="str">
            <v>24017</v>
          </cell>
          <cell r="E2534" t="str">
            <v>90 ELL</v>
          </cell>
          <cell r="F2534">
            <v>2</v>
          </cell>
          <cell r="G2534" t="str">
            <v>CB400100000T00</v>
          </cell>
          <cell r="H2534">
            <v>0.75</v>
          </cell>
          <cell r="I2534" t="str">
            <v>--</v>
          </cell>
          <cell r="J2534">
            <v>4</v>
          </cell>
          <cell r="K2534">
            <v>4</v>
          </cell>
        </row>
        <row r="2535">
          <cell r="A2535" t="str">
            <v>M2</v>
          </cell>
          <cell r="B2535" t="str">
            <v>A5C</v>
          </cell>
          <cell r="C2535" t="str">
            <v>TRIM</v>
          </cell>
          <cell r="D2535" t="str">
            <v>C-2302</v>
          </cell>
          <cell r="E2535" t="str">
            <v>90 ELL</v>
          </cell>
          <cell r="F2535">
            <v>2</v>
          </cell>
          <cell r="G2535" t="str">
            <v>CB400100000T00</v>
          </cell>
          <cell r="H2535">
            <v>0.75</v>
          </cell>
          <cell r="I2535" t="str">
            <v>--</v>
          </cell>
          <cell r="J2535">
            <v>1</v>
          </cell>
          <cell r="K2535">
            <v>1</v>
          </cell>
        </row>
        <row r="2536">
          <cell r="A2536" t="str">
            <v>M2</v>
          </cell>
          <cell r="B2536" t="str">
            <v>A5C</v>
          </cell>
          <cell r="C2536" t="str">
            <v>TRIM</v>
          </cell>
          <cell r="D2536" t="str">
            <v>C-2304</v>
          </cell>
          <cell r="E2536" t="str">
            <v>90 ELL</v>
          </cell>
          <cell r="F2536">
            <v>2</v>
          </cell>
          <cell r="G2536" t="str">
            <v>CB400100000T00</v>
          </cell>
          <cell r="H2536">
            <v>0.75</v>
          </cell>
          <cell r="I2536" t="str">
            <v>--</v>
          </cell>
          <cell r="J2536">
            <v>1</v>
          </cell>
          <cell r="K2536">
            <v>1</v>
          </cell>
        </row>
        <row r="2537">
          <cell r="A2537" t="str">
            <v>M2</v>
          </cell>
          <cell r="B2537" t="str">
            <v>A5C</v>
          </cell>
          <cell r="C2537" t="str">
            <v>TRIM</v>
          </cell>
          <cell r="D2537" t="str">
            <v>C-2303</v>
          </cell>
          <cell r="E2537" t="str">
            <v>90 ELL</v>
          </cell>
          <cell r="F2537">
            <v>2</v>
          </cell>
          <cell r="G2537" t="str">
            <v>CB400100000T00</v>
          </cell>
          <cell r="H2537">
            <v>0.75</v>
          </cell>
          <cell r="I2537" t="str">
            <v>--</v>
          </cell>
          <cell r="J2537">
            <v>1</v>
          </cell>
          <cell r="K2537">
            <v>1</v>
          </cell>
        </row>
        <row r="2538">
          <cell r="A2538" t="str">
            <v>M2</v>
          </cell>
          <cell r="B2538" t="str">
            <v>A5C</v>
          </cell>
          <cell r="C2538" t="str">
            <v>TRIM</v>
          </cell>
          <cell r="D2538" t="str">
            <v>C-2305</v>
          </cell>
          <cell r="E2538" t="str">
            <v>90 ELL</v>
          </cell>
          <cell r="F2538">
            <v>2</v>
          </cell>
          <cell r="G2538" t="str">
            <v>CB400100000T00</v>
          </cell>
          <cell r="H2538">
            <v>0.75</v>
          </cell>
          <cell r="I2538" t="str">
            <v>--</v>
          </cell>
          <cell r="J2538">
            <v>1</v>
          </cell>
          <cell r="K2538">
            <v>1</v>
          </cell>
        </row>
        <row r="2539">
          <cell r="A2539" t="str">
            <v>M2</v>
          </cell>
          <cell r="B2539" t="str">
            <v>A5C</v>
          </cell>
          <cell r="C2539" t="str">
            <v>TRIM</v>
          </cell>
          <cell r="D2539" t="str">
            <v>C-2306</v>
          </cell>
          <cell r="E2539" t="str">
            <v>90 ELL</v>
          </cell>
          <cell r="F2539">
            <v>2</v>
          </cell>
          <cell r="G2539" t="str">
            <v>CB400100000T00</v>
          </cell>
          <cell r="H2539">
            <v>0.75</v>
          </cell>
          <cell r="I2539" t="str">
            <v>--</v>
          </cell>
          <cell r="J2539">
            <v>1</v>
          </cell>
          <cell r="K2539">
            <v>1</v>
          </cell>
        </row>
        <row r="2540">
          <cell r="A2540" t="str">
            <v>M2</v>
          </cell>
          <cell r="B2540" t="str">
            <v>A5C</v>
          </cell>
          <cell r="C2540" t="str">
            <v>P</v>
          </cell>
          <cell r="D2540" t="str">
            <v>23028</v>
          </cell>
          <cell r="E2540" t="str">
            <v>90 ELL</v>
          </cell>
          <cell r="F2540">
            <v>2</v>
          </cell>
          <cell r="G2540" t="str">
            <v>CB400100000T00</v>
          </cell>
          <cell r="H2540">
            <v>0.75</v>
          </cell>
          <cell r="I2540" t="str">
            <v>--</v>
          </cell>
          <cell r="J2540">
            <v>13</v>
          </cell>
          <cell r="K2540">
            <v>13</v>
          </cell>
        </row>
        <row r="2541">
          <cell r="A2541" t="str">
            <v>M2</v>
          </cell>
          <cell r="B2541" t="str">
            <v>A5C</v>
          </cell>
          <cell r="C2541" t="str">
            <v>P</v>
          </cell>
          <cell r="D2541" t="str">
            <v>23053</v>
          </cell>
          <cell r="E2541" t="str">
            <v>90 ELL</v>
          </cell>
          <cell r="F2541">
            <v>2</v>
          </cell>
          <cell r="G2541" t="str">
            <v>CB400100000T00</v>
          </cell>
          <cell r="H2541">
            <v>0.75</v>
          </cell>
          <cell r="I2541" t="str">
            <v>--</v>
          </cell>
          <cell r="J2541">
            <v>1</v>
          </cell>
          <cell r="K2541">
            <v>1</v>
          </cell>
        </row>
        <row r="2542">
          <cell r="A2542" t="str">
            <v>M2</v>
          </cell>
          <cell r="B2542" t="str">
            <v>A5C</v>
          </cell>
          <cell r="C2542" t="str">
            <v>P</v>
          </cell>
          <cell r="D2542" t="str">
            <v>23080</v>
          </cell>
          <cell r="E2542" t="str">
            <v>90 ELL</v>
          </cell>
          <cell r="F2542">
            <v>2</v>
          </cell>
          <cell r="G2542" t="str">
            <v>CB400100000T00</v>
          </cell>
          <cell r="H2542">
            <v>0.75</v>
          </cell>
          <cell r="I2542" t="str">
            <v>--</v>
          </cell>
          <cell r="J2542">
            <v>13</v>
          </cell>
          <cell r="K2542">
            <v>13</v>
          </cell>
        </row>
        <row r="2543">
          <cell r="A2543" t="str">
            <v>M2</v>
          </cell>
          <cell r="B2543" t="str">
            <v>A5C</v>
          </cell>
          <cell r="C2543" t="str">
            <v>P</v>
          </cell>
          <cell r="D2543" t="str">
            <v>23176</v>
          </cell>
          <cell r="E2543" t="str">
            <v>90 ELL</v>
          </cell>
          <cell r="F2543">
            <v>2</v>
          </cell>
          <cell r="G2543" t="str">
            <v>CB400100000T00</v>
          </cell>
          <cell r="H2543">
            <v>0.75</v>
          </cell>
          <cell r="I2543" t="str">
            <v>--</v>
          </cell>
          <cell r="J2543">
            <v>4</v>
          </cell>
          <cell r="K2543">
            <v>4</v>
          </cell>
        </row>
        <row r="2544">
          <cell r="A2544" t="str">
            <v>M2</v>
          </cell>
          <cell r="B2544" t="str">
            <v>A5C</v>
          </cell>
          <cell r="C2544" t="str">
            <v>P</v>
          </cell>
          <cell r="D2544" t="str">
            <v>23219</v>
          </cell>
          <cell r="E2544" t="str">
            <v>90 ELL</v>
          </cell>
          <cell r="F2544">
            <v>2</v>
          </cell>
          <cell r="G2544" t="str">
            <v>CB400100000T00</v>
          </cell>
          <cell r="H2544">
            <v>0.75</v>
          </cell>
          <cell r="I2544" t="str">
            <v>--</v>
          </cell>
          <cell r="J2544">
            <v>5</v>
          </cell>
          <cell r="K2544">
            <v>5</v>
          </cell>
        </row>
        <row r="2545">
          <cell r="A2545" t="str">
            <v>M2</v>
          </cell>
          <cell r="B2545" t="str">
            <v>A5C</v>
          </cell>
          <cell r="C2545" t="str">
            <v>P</v>
          </cell>
          <cell r="D2545" t="str">
            <v>24018</v>
          </cell>
          <cell r="E2545" t="str">
            <v>90 ELL</v>
          </cell>
          <cell r="F2545">
            <v>2</v>
          </cell>
          <cell r="G2545" t="str">
            <v>CB400100000T00</v>
          </cell>
          <cell r="H2545">
            <v>0.75</v>
          </cell>
          <cell r="I2545" t="str">
            <v>--</v>
          </cell>
          <cell r="J2545">
            <v>8</v>
          </cell>
          <cell r="K2545">
            <v>8</v>
          </cell>
        </row>
        <row r="2546">
          <cell r="A2546" t="str">
            <v>M2</v>
          </cell>
          <cell r="B2546" t="str">
            <v>A5C</v>
          </cell>
          <cell r="C2546" t="str">
            <v>TRIM</v>
          </cell>
          <cell r="D2546" t="str">
            <v>V-2310</v>
          </cell>
          <cell r="E2546" t="str">
            <v>CAP</v>
          </cell>
          <cell r="F2546">
            <v>2</v>
          </cell>
          <cell r="G2546" t="str">
            <v>CB520700000T00</v>
          </cell>
          <cell r="H2546">
            <v>0.75</v>
          </cell>
          <cell r="I2546" t="str">
            <v>--</v>
          </cell>
          <cell r="J2546">
            <v>2</v>
          </cell>
          <cell r="K2546">
            <v>2</v>
          </cell>
        </row>
        <row r="2547">
          <cell r="A2547" t="str">
            <v>M2</v>
          </cell>
          <cell r="B2547" t="str">
            <v>A5C</v>
          </cell>
          <cell r="C2547" t="str">
            <v>P</v>
          </cell>
          <cell r="D2547" t="str">
            <v>23018</v>
          </cell>
          <cell r="E2547" t="str">
            <v>CAP</v>
          </cell>
          <cell r="F2547">
            <v>2</v>
          </cell>
          <cell r="G2547" t="str">
            <v>CB520700000T00</v>
          </cell>
          <cell r="H2547">
            <v>0.75</v>
          </cell>
          <cell r="I2547" t="str">
            <v>--</v>
          </cell>
          <cell r="J2547">
            <v>1</v>
          </cell>
          <cell r="K2547">
            <v>1</v>
          </cell>
        </row>
        <row r="2548">
          <cell r="A2548" t="str">
            <v>M2</v>
          </cell>
          <cell r="B2548" t="str">
            <v>A5C</v>
          </cell>
          <cell r="C2548" t="str">
            <v>P</v>
          </cell>
          <cell r="D2548" t="str">
            <v>23019</v>
          </cell>
          <cell r="E2548" t="str">
            <v>CAP</v>
          </cell>
          <cell r="F2548">
            <v>2</v>
          </cell>
          <cell r="G2548" t="str">
            <v>CB520700000T00</v>
          </cell>
          <cell r="H2548">
            <v>0.75</v>
          </cell>
          <cell r="I2548" t="str">
            <v>--</v>
          </cell>
          <cell r="J2548">
            <v>2</v>
          </cell>
          <cell r="K2548">
            <v>2</v>
          </cell>
        </row>
        <row r="2549">
          <cell r="A2549" t="str">
            <v>M2</v>
          </cell>
          <cell r="B2549" t="str">
            <v>A5C</v>
          </cell>
          <cell r="C2549" t="str">
            <v>P</v>
          </cell>
          <cell r="D2549" t="str">
            <v>23019</v>
          </cell>
          <cell r="E2549" t="str">
            <v>CAP</v>
          </cell>
          <cell r="F2549">
            <v>2</v>
          </cell>
          <cell r="G2549" t="str">
            <v>CB520700000T00</v>
          </cell>
          <cell r="H2549">
            <v>0.75</v>
          </cell>
          <cell r="I2549" t="str">
            <v>--</v>
          </cell>
          <cell r="J2549">
            <v>1</v>
          </cell>
          <cell r="K2549">
            <v>1</v>
          </cell>
        </row>
        <row r="2550">
          <cell r="A2550" t="str">
            <v>M2</v>
          </cell>
          <cell r="B2550" t="str">
            <v>A5C</v>
          </cell>
          <cell r="C2550" t="str">
            <v>P</v>
          </cell>
          <cell r="D2550" t="str">
            <v>23020</v>
          </cell>
          <cell r="E2550" t="str">
            <v>CAP</v>
          </cell>
          <cell r="F2550">
            <v>2</v>
          </cell>
          <cell r="G2550" t="str">
            <v>CB520700000T00</v>
          </cell>
          <cell r="H2550">
            <v>0.75</v>
          </cell>
          <cell r="I2550" t="str">
            <v>--</v>
          </cell>
          <cell r="J2550">
            <v>1</v>
          </cell>
          <cell r="K2550">
            <v>1</v>
          </cell>
        </row>
        <row r="2551">
          <cell r="A2551" t="str">
            <v>M2</v>
          </cell>
          <cell r="B2551" t="str">
            <v>A5C</v>
          </cell>
          <cell r="C2551" t="str">
            <v>P</v>
          </cell>
          <cell r="D2551" t="str">
            <v>23024</v>
          </cell>
          <cell r="E2551" t="str">
            <v>CAP</v>
          </cell>
          <cell r="F2551">
            <v>2</v>
          </cell>
          <cell r="G2551" t="str">
            <v>CB520700000T00</v>
          </cell>
          <cell r="H2551">
            <v>0.75</v>
          </cell>
          <cell r="I2551" t="str">
            <v>--</v>
          </cell>
          <cell r="J2551">
            <v>2</v>
          </cell>
          <cell r="K2551">
            <v>2</v>
          </cell>
        </row>
        <row r="2552">
          <cell r="A2552" t="str">
            <v>M2</v>
          </cell>
          <cell r="B2552" t="str">
            <v>A5C</v>
          </cell>
          <cell r="C2552" t="str">
            <v>P</v>
          </cell>
          <cell r="D2552" t="str">
            <v>23027</v>
          </cell>
          <cell r="E2552" t="str">
            <v>CAP</v>
          </cell>
          <cell r="F2552">
            <v>2</v>
          </cell>
          <cell r="G2552" t="str">
            <v>CB520700000T00</v>
          </cell>
          <cell r="H2552">
            <v>0.75</v>
          </cell>
          <cell r="I2552" t="str">
            <v>--</v>
          </cell>
          <cell r="J2552">
            <v>1</v>
          </cell>
          <cell r="K2552">
            <v>1</v>
          </cell>
        </row>
        <row r="2553">
          <cell r="A2553" t="str">
            <v>M2</v>
          </cell>
          <cell r="B2553" t="str">
            <v>A5C</v>
          </cell>
          <cell r="C2553" t="str">
            <v>P</v>
          </cell>
          <cell r="D2553" t="str">
            <v>23028</v>
          </cell>
          <cell r="E2553" t="str">
            <v>CAP</v>
          </cell>
          <cell r="F2553">
            <v>2</v>
          </cell>
          <cell r="G2553" t="str">
            <v>CB520700000T00</v>
          </cell>
          <cell r="H2553">
            <v>0.75</v>
          </cell>
          <cell r="I2553" t="str">
            <v>--</v>
          </cell>
          <cell r="J2553">
            <v>1</v>
          </cell>
          <cell r="K2553">
            <v>1</v>
          </cell>
        </row>
        <row r="2554">
          <cell r="A2554" t="str">
            <v>M2</v>
          </cell>
          <cell r="B2554" t="str">
            <v>A5C</v>
          </cell>
          <cell r="C2554" t="str">
            <v>P</v>
          </cell>
          <cell r="D2554" t="str">
            <v>23029</v>
          </cell>
          <cell r="E2554" t="str">
            <v>CAP</v>
          </cell>
          <cell r="F2554">
            <v>2</v>
          </cell>
          <cell r="G2554" t="str">
            <v>CB520700000T00</v>
          </cell>
          <cell r="H2554">
            <v>0.75</v>
          </cell>
          <cell r="I2554" t="str">
            <v>--</v>
          </cell>
          <cell r="J2554">
            <v>2</v>
          </cell>
          <cell r="K2554">
            <v>2</v>
          </cell>
        </row>
        <row r="2555">
          <cell r="A2555" t="str">
            <v>M2</v>
          </cell>
          <cell r="B2555" t="str">
            <v>A5C</v>
          </cell>
          <cell r="C2555" t="str">
            <v>P</v>
          </cell>
          <cell r="D2555" t="str">
            <v>23029</v>
          </cell>
          <cell r="E2555" t="str">
            <v>CAP</v>
          </cell>
          <cell r="F2555">
            <v>2</v>
          </cell>
          <cell r="G2555" t="str">
            <v>CB520700000T00</v>
          </cell>
          <cell r="H2555">
            <v>0.75</v>
          </cell>
          <cell r="I2555" t="str">
            <v>--</v>
          </cell>
          <cell r="J2555">
            <v>1</v>
          </cell>
          <cell r="K2555">
            <v>1</v>
          </cell>
        </row>
        <row r="2556">
          <cell r="A2556" t="str">
            <v>M2</v>
          </cell>
          <cell r="B2556" t="str">
            <v>A5C</v>
          </cell>
          <cell r="C2556" t="str">
            <v>P</v>
          </cell>
          <cell r="D2556" t="str">
            <v>23039</v>
          </cell>
          <cell r="E2556" t="str">
            <v>CAP</v>
          </cell>
          <cell r="F2556">
            <v>2</v>
          </cell>
          <cell r="G2556" t="str">
            <v>CB520700000T00</v>
          </cell>
          <cell r="H2556">
            <v>0.75</v>
          </cell>
          <cell r="I2556" t="str">
            <v>--</v>
          </cell>
          <cell r="J2556">
            <v>1</v>
          </cell>
          <cell r="K2556">
            <v>1</v>
          </cell>
        </row>
        <row r="2557">
          <cell r="A2557" t="str">
            <v>M2</v>
          </cell>
          <cell r="B2557" t="str">
            <v>A5C</v>
          </cell>
          <cell r="C2557" t="str">
            <v>P</v>
          </cell>
          <cell r="D2557" t="str">
            <v>23039</v>
          </cell>
          <cell r="E2557" t="str">
            <v>CAP</v>
          </cell>
          <cell r="F2557">
            <v>2</v>
          </cell>
          <cell r="G2557" t="str">
            <v>CB520700000T00</v>
          </cell>
          <cell r="H2557">
            <v>0.75</v>
          </cell>
          <cell r="I2557" t="str">
            <v>--</v>
          </cell>
          <cell r="J2557">
            <v>2</v>
          </cell>
          <cell r="K2557">
            <v>2</v>
          </cell>
        </row>
        <row r="2558">
          <cell r="A2558" t="str">
            <v>M2</v>
          </cell>
          <cell r="B2558" t="str">
            <v>A5C</v>
          </cell>
          <cell r="C2558" t="str">
            <v>P</v>
          </cell>
          <cell r="D2558" t="str">
            <v>23048</v>
          </cell>
          <cell r="E2558" t="str">
            <v>CAP</v>
          </cell>
          <cell r="F2558">
            <v>2</v>
          </cell>
          <cell r="G2558" t="str">
            <v>CB520700000T00</v>
          </cell>
          <cell r="H2558">
            <v>0.75</v>
          </cell>
          <cell r="I2558" t="str">
            <v>--</v>
          </cell>
          <cell r="J2558">
            <v>2</v>
          </cell>
          <cell r="K2558">
            <v>2</v>
          </cell>
        </row>
        <row r="2559">
          <cell r="A2559" t="str">
            <v>M2</v>
          </cell>
          <cell r="B2559" t="str">
            <v>A5C</v>
          </cell>
          <cell r="C2559" t="str">
            <v>P</v>
          </cell>
          <cell r="D2559" t="str">
            <v>23048</v>
          </cell>
          <cell r="E2559" t="str">
            <v>CAP</v>
          </cell>
          <cell r="F2559">
            <v>2</v>
          </cell>
          <cell r="G2559" t="str">
            <v>CB520700000T00</v>
          </cell>
          <cell r="H2559">
            <v>0.75</v>
          </cell>
          <cell r="I2559" t="str">
            <v>--</v>
          </cell>
          <cell r="J2559">
            <v>1</v>
          </cell>
          <cell r="K2559">
            <v>1</v>
          </cell>
        </row>
        <row r="2560">
          <cell r="A2560" t="str">
            <v>M2</v>
          </cell>
          <cell r="B2560" t="str">
            <v>A5C</v>
          </cell>
          <cell r="C2560" t="str">
            <v>P</v>
          </cell>
          <cell r="D2560" t="str">
            <v>23051</v>
          </cell>
          <cell r="E2560" t="str">
            <v>CAP</v>
          </cell>
          <cell r="F2560">
            <v>2</v>
          </cell>
          <cell r="G2560" t="str">
            <v>CB520700000T00</v>
          </cell>
          <cell r="H2560">
            <v>0.75</v>
          </cell>
          <cell r="I2560" t="str">
            <v>--</v>
          </cell>
          <cell r="J2560">
            <v>2</v>
          </cell>
          <cell r="K2560">
            <v>2</v>
          </cell>
        </row>
        <row r="2561">
          <cell r="A2561" t="str">
            <v>M2</v>
          </cell>
          <cell r="B2561" t="str">
            <v>A5C</v>
          </cell>
          <cell r="C2561" t="str">
            <v>P</v>
          </cell>
          <cell r="D2561" t="str">
            <v>23053</v>
          </cell>
          <cell r="E2561" t="str">
            <v>CAP</v>
          </cell>
          <cell r="F2561">
            <v>2</v>
          </cell>
          <cell r="G2561" t="str">
            <v>CB520700000T00</v>
          </cell>
          <cell r="H2561">
            <v>0.75</v>
          </cell>
          <cell r="I2561" t="str">
            <v>--</v>
          </cell>
          <cell r="J2561">
            <v>2</v>
          </cell>
          <cell r="K2561">
            <v>2</v>
          </cell>
        </row>
        <row r="2562">
          <cell r="A2562" t="str">
            <v>M2</v>
          </cell>
          <cell r="B2562" t="str">
            <v>A5C</v>
          </cell>
          <cell r="C2562" t="str">
            <v>P</v>
          </cell>
          <cell r="D2562" t="str">
            <v>23053</v>
          </cell>
          <cell r="E2562" t="str">
            <v>CAP</v>
          </cell>
          <cell r="F2562">
            <v>2</v>
          </cell>
          <cell r="G2562" t="str">
            <v>CB520700000T00</v>
          </cell>
          <cell r="H2562">
            <v>0.75</v>
          </cell>
          <cell r="I2562" t="str">
            <v>--</v>
          </cell>
          <cell r="J2562">
            <v>1</v>
          </cell>
          <cell r="K2562">
            <v>1</v>
          </cell>
        </row>
        <row r="2563">
          <cell r="A2563" t="str">
            <v>M2</v>
          </cell>
          <cell r="B2563" t="str">
            <v>A5C</v>
          </cell>
          <cell r="C2563" t="str">
            <v>P</v>
          </cell>
          <cell r="D2563" t="str">
            <v>23064</v>
          </cell>
          <cell r="E2563" t="str">
            <v>CAP</v>
          </cell>
          <cell r="F2563">
            <v>2</v>
          </cell>
          <cell r="G2563" t="str">
            <v>CB520700000T00</v>
          </cell>
          <cell r="H2563">
            <v>0.75</v>
          </cell>
          <cell r="I2563" t="str">
            <v>--</v>
          </cell>
          <cell r="J2563">
            <v>2</v>
          </cell>
          <cell r="K2563">
            <v>2</v>
          </cell>
        </row>
        <row r="2564">
          <cell r="A2564" t="str">
            <v>M2</v>
          </cell>
          <cell r="B2564" t="str">
            <v>A5C</v>
          </cell>
          <cell r="C2564" t="str">
            <v>P</v>
          </cell>
          <cell r="D2564" t="str">
            <v>23064</v>
          </cell>
          <cell r="E2564" t="str">
            <v>CAP</v>
          </cell>
          <cell r="F2564">
            <v>2</v>
          </cell>
          <cell r="G2564" t="str">
            <v>CB520700000T00</v>
          </cell>
          <cell r="H2564">
            <v>0.75</v>
          </cell>
          <cell r="I2564" t="str">
            <v>--</v>
          </cell>
          <cell r="J2564">
            <v>1</v>
          </cell>
          <cell r="K2564">
            <v>1</v>
          </cell>
        </row>
        <row r="2565">
          <cell r="A2565" t="str">
            <v>M2</v>
          </cell>
          <cell r="B2565" t="str">
            <v>A5C</v>
          </cell>
          <cell r="C2565" t="str">
            <v>P</v>
          </cell>
          <cell r="D2565" t="str">
            <v>23079</v>
          </cell>
          <cell r="E2565" t="str">
            <v>CAP</v>
          </cell>
          <cell r="F2565">
            <v>2</v>
          </cell>
          <cell r="G2565" t="str">
            <v>CB520700000T00</v>
          </cell>
          <cell r="H2565">
            <v>0.75</v>
          </cell>
          <cell r="I2565" t="str">
            <v>--</v>
          </cell>
          <cell r="J2565">
            <v>2</v>
          </cell>
          <cell r="K2565">
            <v>2</v>
          </cell>
        </row>
        <row r="2566">
          <cell r="A2566" t="str">
            <v>M2</v>
          </cell>
          <cell r="B2566" t="str">
            <v>A5C</v>
          </cell>
          <cell r="C2566" t="str">
            <v>P</v>
          </cell>
          <cell r="D2566" t="str">
            <v>23080</v>
          </cell>
          <cell r="E2566" t="str">
            <v>CAP</v>
          </cell>
          <cell r="F2566">
            <v>2</v>
          </cell>
          <cell r="G2566" t="str">
            <v>CB520700000T00</v>
          </cell>
          <cell r="H2566">
            <v>0.75</v>
          </cell>
          <cell r="I2566" t="str">
            <v>--</v>
          </cell>
          <cell r="J2566">
            <v>1</v>
          </cell>
          <cell r="K2566">
            <v>1</v>
          </cell>
        </row>
        <row r="2567">
          <cell r="A2567" t="str">
            <v>M2</v>
          </cell>
          <cell r="B2567" t="str">
            <v>A5C</v>
          </cell>
          <cell r="C2567" t="str">
            <v>P</v>
          </cell>
          <cell r="D2567" t="str">
            <v>23089</v>
          </cell>
          <cell r="E2567" t="str">
            <v>CAP</v>
          </cell>
          <cell r="F2567">
            <v>2</v>
          </cell>
          <cell r="G2567" t="str">
            <v>CB520700000T00</v>
          </cell>
          <cell r="H2567">
            <v>0.75</v>
          </cell>
          <cell r="I2567" t="str">
            <v>--</v>
          </cell>
          <cell r="J2567">
            <v>2</v>
          </cell>
          <cell r="K2567">
            <v>2</v>
          </cell>
        </row>
        <row r="2568">
          <cell r="A2568" t="str">
            <v>M2</v>
          </cell>
          <cell r="B2568" t="str">
            <v>A5C</v>
          </cell>
          <cell r="C2568" t="str">
            <v>P</v>
          </cell>
          <cell r="D2568" t="str">
            <v>23091</v>
          </cell>
          <cell r="E2568" t="str">
            <v>CAP</v>
          </cell>
          <cell r="F2568">
            <v>2</v>
          </cell>
          <cell r="G2568" t="str">
            <v>CB520700000T00</v>
          </cell>
          <cell r="H2568">
            <v>0.75</v>
          </cell>
          <cell r="I2568" t="str">
            <v>--</v>
          </cell>
          <cell r="J2568">
            <v>2</v>
          </cell>
          <cell r="K2568">
            <v>2</v>
          </cell>
        </row>
        <row r="2569">
          <cell r="A2569" t="str">
            <v>M2</v>
          </cell>
          <cell r="B2569" t="str">
            <v>A5C</v>
          </cell>
          <cell r="C2569" t="str">
            <v>P</v>
          </cell>
          <cell r="D2569" t="str">
            <v>23128</v>
          </cell>
          <cell r="E2569" t="str">
            <v>CAP</v>
          </cell>
          <cell r="F2569">
            <v>2</v>
          </cell>
          <cell r="G2569" t="str">
            <v>CB520700000T00</v>
          </cell>
          <cell r="H2569">
            <v>0.75</v>
          </cell>
          <cell r="I2569" t="str">
            <v>--</v>
          </cell>
          <cell r="J2569">
            <v>2</v>
          </cell>
          <cell r="K2569">
            <v>2</v>
          </cell>
        </row>
        <row r="2570">
          <cell r="A2570" t="str">
            <v>M2</v>
          </cell>
          <cell r="B2570" t="str">
            <v>A5C</v>
          </cell>
          <cell r="C2570" t="str">
            <v>P</v>
          </cell>
          <cell r="D2570" t="str">
            <v>23130</v>
          </cell>
          <cell r="E2570" t="str">
            <v>CAP</v>
          </cell>
          <cell r="F2570">
            <v>2</v>
          </cell>
          <cell r="G2570" t="str">
            <v>CB520700000T00</v>
          </cell>
          <cell r="H2570">
            <v>0.75</v>
          </cell>
          <cell r="I2570" t="str">
            <v>--</v>
          </cell>
          <cell r="J2570">
            <v>2</v>
          </cell>
          <cell r="K2570">
            <v>2</v>
          </cell>
        </row>
        <row r="2571">
          <cell r="A2571" t="str">
            <v>M2</v>
          </cell>
          <cell r="B2571" t="str">
            <v>A5C</v>
          </cell>
          <cell r="C2571" t="str">
            <v>P</v>
          </cell>
          <cell r="D2571" t="str">
            <v>24016</v>
          </cell>
          <cell r="E2571" t="str">
            <v>CAP</v>
          </cell>
          <cell r="F2571">
            <v>2</v>
          </cell>
          <cell r="G2571" t="str">
            <v>CB520700000T00</v>
          </cell>
          <cell r="H2571">
            <v>0.75</v>
          </cell>
          <cell r="I2571" t="str">
            <v>--</v>
          </cell>
          <cell r="J2571">
            <v>1</v>
          </cell>
          <cell r="K2571">
            <v>1</v>
          </cell>
        </row>
        <row r="2572">
          <cell r="A2572" t="str">
            <v>M2</v>
          </cell>
          <cell r="B2572" t="str">
            <v>A5C</v>
          </cell>
          <cell r="C2572" t="str">
            <v>P</v>
          </cell>
          <cell r="D2572" t="str">
            <v>24017</v>
          </cell>
          <cell r="E2572" t="str">
            <v>CAP</v>
          </cell>
          <cell r="F2572">
            <v>2</v>
          </cell>
          <cell r="G2572" t="str">
            <v>CB520700000T00</v>
          </cell>
          <cell r="H2572">
            <v>0.75</v>
          </cell>
          <cell r="I2572" t="str">
            <v>--</v>
          </cell>
          <cell r="J2572">
            <v>2</v>
          </cell>
          <cell r="K2572">
            <v>2</v>
          </cell>
        </row>
        <row r="2573">
          <cell r="A2573" t="str">
            <v>M2</v>
          </cell>
          <cell r="B2573" t="str">
            <v>A5C</v>
          </cell>
          <cell r="C2573" t="str">
            <v>P</v>
          </cell>
          <cell r="D2573" t="str">
            <v>24018</v>
          </cell>
          <cell r="E2573" t="str">
            <v>CAP</v>
          </cell>
          <cell r="F2573">
            <v>2</v>
          </cell>
          <cell r="G2573" t="str">
            <v>CB520700000T00</v>
          </cell>
          <cell r="H2573">
            <v>0.75</v>
          </cell>
          <cell r="I2573" t="str">
            <v>--</v>
          </cell>
          <cell r="J2573">
            <v>1</v>
          </cell>
          <cell r="K2573">
            <v>1</v>
          </cell>
        </row>
        <row r="2574">
          <cell r="A2574" t="str">
            <v>M2</v>
          </cell>
          <cell r="B2574" t="str">
            <v>A5C</v>
          </cell>
          <cell r="C2574" t="str">
            <v>TRIM</v>
          </cell>
          <cell r="D2574" t="str">
            <v>C-2302</v>
          </cell>
          <cell r="E2574" t="str">
            <v>CAP</v>
          </cell>
          <cell r="F2574">
            <v>2</v>
          </cell>
          <cell r="G2574" t="str">
            <v>CB520700000T00</v>
          </cell>
          <cell r="H2574">
            <v>0.75</v>
          </cell>
          <cell r="I2574" t="str">
            <v>--</v>
          </cell>
          <cell r="J2574">
            <v>2</v>
          </cell>
          <cell r="K2574">
            <v>2</v>
          </cell>
        </row>
        <row r="2575">
          <cell r="A2575" t="str">
            <v>M2</v>
          </cell>
          <cell r="B2575" t="str">
            <v>A5C</v>
          </cell>
          <cell r="C2575" t="str">
            <v>TRIM</v>
          </cell>
          <cell r="D2575" t="str">
            <v>C-2303</v>
          </cell>
          <cell r="E2575" t="str">
            <v>CAP</v>
          </cell>
          <cell r="F2575">
            <v>2</v>
          </cell>
          <cell r="G2575" t="str">
            <v>CB520700000T00</v>
          </cell>
          <cell r="H2575">
            <v>0.75</v>
          </cell>
          <cell r="I2575" t="str">
            <v>--</v>
          </cell>
          <cell r="J2575">
            <v>2</v>
          </cell>
          <cell r="K2575">
            <v>2</v>
          </cell>
        </row>
        <row r="2576">
          <cell r="A2576" t="str">
            <v>M2</v>
          </cell>
          <cell r="B2576" t="str">
            <v>A5C</v>
          </cell>
          <cell r="C2576" t="str">
            <v>TRIM</v>
          </cell>
          <cell r="D2576" t="str">
            <v>C-2304</v>
          </cell>
          <cell r="E2576" t="str">
            <v>CAP</v>
          </cell>
          <cell r="F2576">
            <v>2</v>
          </cell>
          <cell r="G2576" t="str">
            <v>CB520700000T00</v>
          </cell>
          <cell r="H2576">
            <v>0.75</v>
          </cell>
          <cell r="I2576" t="str">
            <v>--</v>
          </cell>
          <cell r="J2576">
            <v>2</v>
          </cell>
          <cell r="K2576">
            <v>2</v>
          </cell>
        </row>
        <row r="2577">
          <cell r="A2577" t="str">
            <v>M2</v>
          </cell>
          <cell r="B2577" t="str">
            <v>A5C</v>
          </cell>
          <cell r="C2577" t="str">
            <v>TRIM</v>
          </cell>
          <cell r="D2577" t="str">
            <v>C-2305</v>
          </cell>
          <cell r="E2577" t="str">
            <v>CAP</v>
          </cell>
          <cell r="F2577">
            <v>2</v>
          </cell>
          <cell r="G2577" t="str">
            <v>CB520700000T00</v>
          </cell>
          <cell r="H2577">
            <v>0.75</v>
          </cell>
          <cell r="I2577" t="str">
            <v>--</v>
          </cell>
          <cell r="J2577">
            <v>2</v>
          </cell>
          <cell r="K2577">
            <v>2</v>
          </cell>
        </row>
        <row r="2578">
          <cell r="A2578" t="str">
            <v>M2</v>
          </cell>
          <cell r="B2578" t="str">
            <v>A5C</v>
          </cell>
          <cell r="C2578" t="str">
            <v>TRIM</v>
          </cell>
          <cell r="D2578" t="str">
            <v>C-2306</v>
          </cell>
          <cell r="E2578" t="str">
            <v>CAP</v>
          </cell>
          <cell r="F2578">
            <v>2</v>
          </cell>
          <cell r="G2578" t="str">
            <v>CB520700000T00</v>
          </cell>
          <cell r="H2578">
            <v>0.75</v>
          </cell>
          <cell r="I2578" t="str">
            <v>--</v>
          </cell>
          <cell r="J2578">
            <v>2</v>
          </cell>
          <cell r="K2578">
            <v>2</v>
          </cell>
        </row>
        <row r="2579">
          <cell r="A2579" t="str">
            <v>M2</v>
          </cell>
          <cell r="B2579" t="str">
            <v>A5C</v>
          </cell>
          <cell r="C2579" t="str">
            <v>TRIM</v>
          </cell>
          <cell r="D2579" t="str">
            <v>V-2302</v>
          </cell>
          <cell r="E2579" t="str">
            <v>CAP</v>
          </cell>
          <cell r="F2579">
            <v>2</v>
          </cell>
          <cell r="G2579" t="str">
            <v>CB520700000T00</v>
          </cell>
          <cell r="H2579">
            <v>0.75</v>
          </cell>
          <cell r="I2579" t="str">
            <v>--</v>
          </cell>
          <cell r="J2579">
            <v>2</v>
          </cell>
          <cell r="K2579">
            <v>2</v>
          </cell>
        </row>
        <row r="2580">
          <cell r="A2580" t="str">
            <v>M2</v>
          </cell>
          <cell r="B2580" t="str">
            <v>A5C</v>
          </cell>
          <cell r="C2580" t="str">
            <v>TRIM</v>
          </cell>
          <cell r="D2580" t="str">
            <v>V-2304</v>
          </cell>
          <cell r="E2580" t="str">
            <v>CAP</v>
          </cell>
          <cell r="F2580">
            <v>2</v>
          </cell>
          <cell r="G2580" t="str">
            <v>CB520700000T00</v>
          </cell>
          <cell r="H2580">
            <v>0.75</v>
          </cell>
          <cell r="I2580" t="str">
            <v>--</v>
          </cell>
          <cell r="J2580">
            <v>2</v>
          </cell>
          <cell r="K2580">
            <v>2</v>
          </cell>
        </row>
        <row r="2581">
          <cell r="A2581" t="str">
            <v>M2</v>
          </cell>
          <cell r="B2581" t="str">
            <v>A5C</v>
          </cell>
          <cell r="C2581" t="str">
            <v>TRIM</v>
          </cell>
          <cell r="D2581" t="str">
            <v>V-2306</v>
          </cell>
          <cell r="E2581" t="str">
            <v>CAP</v>
          </cell>
          <cell r="F2581">
            <v>2</v>
          </cell>
          <cell r="G2581" t="str">
            <v>CB520700000T00</v>
          </cell>
          <cell r="H2581">
            <v>0.75</v>
          </cell>
          <cell r="I2581" t="str">
            <v>--</v>
          </cell>
          <cell r="J2581">
            <v>2</v>
          </cell>
          <cell r="K2581">
            <v>2</v>
          </cell>
        </row>
        <row r="2582">
          <cell r="A2582" t="str">
            <v>M2</v>
          </cell>
          <cell r="B2582" t="str">
            <v>A5C</v>
          </cell>
          <cell r="C2582" t="str">
            <v>TRIM</v>
          </cell>
          <cell r="D2582" t="str">
            <v>V-2308</v>
          </cell>
          <cell r="E2582" t="str">
            <v>CAP</v>
          </cell>
          <cell r="F2582">
            <v>2</v>
          </cell>
          <cell r="G2582" t="str">
            <v>CB520700000T00</v>
          </cell>
          <cell r="H2582">
            <v>0.75</v>
          </cell>
          <cell r="I2582" t="str">
            <v>--</v>
          </cell>
          <cell r="J2582">
            <v>2</v>
          </cell>
          <cell r="K2582">
            <v>2</v>
          </cell>
        </row>
        <row r="2583">
          <cell r="A2583" t="str">
            <v>M2</v>
          </cell>
          <cell r="B2583" t="str">
            <v>A5C</v>
          </cell>
          <cell r="C2583" t="str">
            <v>TRIM</v>
          </cell>
          <cell r="D2583" t="str">
            <v>V-2325</v>
          </cell>
          <cell r="E2583" t="str">
            <v>CAP</v>
          </cell>
          <cell r="F2583">
            <v>2</v>
          </cell>
          <cell r="G2583" t="str">
            <v>CB520700000T00</v>
          </cell>
          <cell r="H2583">
            <v>0.75</v>
          </cell>
          <cell r="I2583" t="str">
            <v>--</v>
          </cell>
          <cell r="J2583">
            <v>2</v>
          </cell>
          <cell r="K2583">
            <v>2</v>
          </cell>
        </row>
        <row r="2584">
          <cell r="A2584" t="str">
            <v>M2</v>
          </cell>
          <cell r="B2584" t="str">
            <v>A5C</v>
          </cell>
          <cell r="C2584" t="str">
            <v>TRIM</v>
          </cell>
          <cell r="D2584" t="str">
            <v>V-2403</v>
          </cell>
          <cell r="E2584" t="str">
            <v>CAP</v>
          </cell>
          <cell r="F2584">
            <v>2</v>
          </cell>
          <cell r="G2584" t="str">
            <v>CB520700000T00</v>
          </cell>
          <cell r="H2584">
            <v>0.75</v>
          </cell>
          <cell r="I2584" t="str">
            <v>--</v>
          </cell>
          <cell r="J2584">
            <v>2</v>
          </cell>
          <cell r="K2584">
            <v>2</v>
          </cell>
        </row>
        <row r="2585">
          <cell r="A2585" t="str">
            <v>M2</v>
          </cell>
          <cell r="B2585" t="str">
            <v>A5C</v>
          </cell>
          <cell r="C2585" t="str">
            <v>P</v>
          </cell>
          <cell r="D2585" t="str">
            <v>23024</v>
          </cell>
          <cell r="E2585" t="str">
            <v>CAP</v>
          </cell>
          <cell r="F2585">
            <v>2</v>
          </cell>
          <cell r="G2585" t="str">
            <v>CB520700000T00</v>
          </cell>
          <cell r="H2585">
            <v>0.75</v>
          </cell>
          <cell r="I2585" t="str">
            <v>--</v>
          </cell>
          <cell r="J2585">
            <v>1</v>
          </cell>
          <cell r="K2585">
            <v>1</v>
          </cell>
        </row>
        <row r="2586">
          <cell r="A2586" t="str">
            <v>M2</v>
          </cell>
          <cell r="B2586" t="str">
            <v>A5C</v>
          </cell>
          <cell r="C2586" t="str">
            <v>P</v>
          </cell>
          <cell r="D2586" t="str">
            <v>23033</v>
          </cell>
          <cell r="E2586" t="str">
            <v>CAP</v>
          </cell>
          <cell r="F2586">
            <v>2</v>
          </cell>
          <cell r="G2586" t="str">
            <v>CB520700000T00</v>
          </cell>
          <cell r="H2586">
            <v>0.75</v>
          </cell>
          <cell r="I2586" t="str">
            <v>--</v>
          </cell>
          <cell r="J2586">
            <v>2</v>
          </cell>
          <cell r="K2586">
            <v>2</v>
          </cell>
        </row>
        <row r="2587">
          <cell r="A2587" t="str">
            <v>M2</v>
          </cell>
          <cell r="B2587" t="str">
            <v>A5C</v>
          </cell>
          <cell r="C2587" t="str">
            <v>P</v>
          </cell>
          <cell r="D2587" t="str">
            <v>23054</v>
          </cell>
          <cell r="E2587" t="str">
            <v>CAP</v>
          </cell>
          <cell r="F2587">
            <v>2</v>
          </cell>
          <cell r="G2587" t="str">
            <v>CB520700000T00</v>
          </cell>
          <cell r="H2587">
            <v>0.75</v>
          </cell>
          <cell r="I2587" t="str">
            <v>--</v>
          </cell>
          <cell r="J2587">
            <v>1</v>
          </cell>
          <cell r="K2587">
            <v>1</v>
          </cell>
        </row>
        <row r="2588">
          <cell r="A2588" t="str">
            <v>M2</v>
          </cell>
          <cell r="B2588" t="str">
            <v>A5C</v>
          </cell>
          <cell r="C2588" t="str">
            <v>P</v>
          </cell>
          <cell r="D2588" t="str">
            <v>23074</v>
          </cell>
          <cell r="E2588" t="str">
            <v>CAP</v>
          </cell>
          <cell r="F2588">
            <v>2</v>
          </cell>
          <cell r="G2588" t="str">
            <v>CB520700000T00</v>
          </cell>
          <cell r="H2588">
            <v>0.75</v>
          </cell>
          <cell r="I2588" t="str">
            <v>--</v>
          </cell>
          <cell r="J2588">
            <v>2</v>
          </cell>
          <cell r="K2588">
            <v>2</v>
          </cell>
        </row>
        <row r="2589">
          <cell r="A2589" t="str">
            <v>M2</v>
          </cell>
          <cell r="B2589" t="str">
            <v>A5C</v>
          </cell>
          <cell r="C2589" t="str">
            <v>P</v>
          </cell>
          <cell r="D2589" t="str">
            <v>23079</v>
          </cell>
          <cell r="E2589" t="str">
            <v>CAP</v>
          </cell>
          <cell r="F2589">
            <v>2</v>
          </cell>
          <cell r="G2589" t="str">
            <v>CB520700000T00</v>
          </cell>
          <cell r="H2589">
            <v>0.75</v>
          </cell>
          <cell r="I2589" t="str">
            <v>--</v>
          </cell>
          <cell r="J2589">
            <v>1</v>
          </cell>
          <cell r="K2589">
            <v>1</v>
          </cell>
        </row>
        <row r="2590">
          <cell r="A2590" t="str">
            <v>M2</v>
          </cell>
          <cell r="B2590" t="str">
            <v>A5C</v>
          </cell>
          <cell r="C2590" t="str">
            <v>P</v>
          </cell>
          <cell r="D2590" t="str">
            <v>23223</v>
          </cell>
          <cell r="E2590" t="str">
            <v>CAP</v>
          </cell>
          <cell r="F2590">
            <v>2</v>
          </cell>
          <cell r="G2590" t="str">
            <v>CB520700000T00</v>
          </cell>
          <cell r="H2590">
            <v>0.75</v>
          </cell>
          <cell r="I2590" t="str">
            <v>--</v>
          </cell>
          <cell r="J2590">
            <v>1</v>
          </cell>
          <cell r="K2590">
            <v>1</v>
          </cell>
        </row>
        <row r="2591">
          <cell r="A2591" t="str">
            <v>M2</v>
          </cell>
          <cell r="B2591" t="str">
            <v>A5C</v>
          </cell>
          <cell r="C2591" t="str">
            <v>TRIM</v>
          </cell>
          <cell r="D2591" t="str">
            <v>V-2313</v>
          </cell>
          <cell r="E2591" t="str">
            <v>CAP</v>
          </cell>
          <cell r="F2591">
            <v>2</v>
          </cell>
          <cell r="G2591" t="str">
            <v>CB520700000T00</v>
          </cell>
          <cell r="H2591">
            <v>0.75</v>
          </cell>
          <cell r="I2591" t="str">
            <v>--</v>
          </cell>
          <cell r="J2591">
            <v>2</v>
          </cell>
          <cell r="K2591">
            <v>2</v>
          </cell>
        </row>
        <row r="2592">
          <cell r="A2592" t="str">
            <v>M2</v>
          </cell>
          <cell r="B2592" t="str">
            <v>A5C</v>
          </cell>
          <cell r="C2592" t="str">
            <v>P</v>
          </cell>
          <cell r="D2592" t="str">
            <v>23048</v>
          </cell>
          <cell r="E2592" t="str">
            <v>CPLG</v>
          </cell>
          <cell r="F2592">
            <v>2</v>
          </cell>
          <cell r="G2592" t="str">
            <v>CB400500000T00</v>
          </cell>
          <cell r="H2592">
            <v>0.75</v>
          </cell>
          <cell r="I2592" t="str">
            <v>--</v>
          </cell>
          <cell r="J2592">
            <v>2</v>
          </cell>
          <cell r="K2592">
            <v>2</v>
          </cell>
        </row>
        <row r="2593">
          <cell r="A2593" t="str">
            <v>M2</v>
          </cell>
          <cell r="B2593" t="str">
            <v>A5C</v>
          </cell>
          <cell r="C2593" t="str">
            <v>P</v>
          </cell>
          <cell r="D2593" t="str">
            <v>23080</v>
          </cell>
          <cell r="E2593" t="str">
            <v>CPLG</v>
          </cell>
          <cell r="F2593">
            <v>2</v>
          </cell>
          <cell r="G2593" t="str">
            <v>CB400500000T00</v>
          </cell>
          <cell r="H2593">
            <v>0.75</v>
          </cell>
          <cell r="I2593" t="str">
            <v>--</v>
          </cell>
          <cell r="J2593">
            <v>7</v>
          </cell>
          <cell r="K2593">
            <v>7</v>
          </cell>
        </row>
        <row r="2594">
          <cell r="A2594" t="str">
            <v>M2</v>
          </cell>
          <cell r="B2594" t="str">
            <v>A5C</v>
          </cell>
          <cell r="C2594" t="str">
            <v>P</v>
          </cell>
          <cell r="D2594" t="str">
            <v>23155</v>
          </cell>
          <cell r="E2594" t="str">
            <v>CPLG</v>
          </cell>
          <cell r="F2594">
            <v>2</v>
          </cell>
          <cell r="G2594" t="str">
            <v>CB400500000T00</v>
          </cell>
          <cell r="H2594">
            <v>0.75</v>
          </cell>
          <cell r="I2594" t="str">
            <v>--</v>
          </cell>
          <cell r="J2594">
            <v>2</v>
          </cell>
          <cell r="K2594">
            <v>2</v>
          </cell>
        </row>
        <row r="2595">
          <cell r="A2595" t="str">
            <v>M2</v>
          </cell>
          <cell r="B2595" t="str">
            <v>A5C</v>
          </cell>
          <cell r="C2595" t="str">
            <v>P</v>
          </cell>
          <cell r="D2595" t="str">
            <v>23163</v>
          </cell>
          <cell r="E2595" t="str">
            <v>CPLG</v>
          </cell>
          <cell r="F2595">
            <v>2</v>
          </cell>
          <cell r="G2595" t="str">
            <v>CB400500000T00</v>
          </cell>
          <cell r="H2595">
            <v>0.75</v>
          </cell>
          <cell r="I2595" t="str">
            <v>--</v>
          </cell>
          <cell r="J2595">
            <v>1</v>
          </cell>
          <cell r="K2595">
            <v>1</v>
          </cell>
        </row>
        <row r="2596">
          <cell r="A2596" t="str">
            <v>M2</v>
          </cell>
          <cell r="B2596" t="str">
            <v>A5C</v>
          </cell>
          <cell r="C2596" t="str">
            <v>P</v>
          </cell>
          <cell r="D2596" t="str">
            <v>23193</v>
          </cell>
          <cell r="E2596" t="str">
            <v>CPLG</v>
          </cell>
          <cell r="F2596">
            <v>2</v>
          </cell>
          <cell r="G2596" t="str">
            <v>CB400500000T00</v>
          </cell>
          <cell r="H2596">
            <v>0.75</v>
          </cell>
          <cell r="I2596" t="str">
            <v>--</v>
          </cell>
          <cell r="J2596">
            <v>1</v>
          </cell>
          <cell r="K2596">
            <v>1</v>
          </cell>
        </row>
        <row r="2597">
          <cell r="A2597" t="str">
            <v>M2</v>
          </cell>
          <cell r="B2597" t="str">
            <v>A5C</v>
          </cell>
          <cell r="C2597" t="str">
            <v>P</v>
          </cell>
          <cell r="D2597" t="str">
            <v>23219</v>
          </cell>
          <cell r="E2597" t="str">
            <v>CPLG</v>
          </cell>
          <cell r="F2597">
            <v>2</v>
          </cell>
          <cell r="G2597" t="str">
            <v>CB400500000T00</v>
          </cell>
          <cell r="H2597">
            <v>0.75</v>
          </cell>
          <cell r="I2597" t="str">
            <v>--</v>
          </cell>
          <cell r="J2597">
            <v>2</v>
          </cell>
          <cell r="K2597">
            <v>2</v>
          </cell>
        </row>
        <row r="2598">
          <cell r="A2598" t="str">
            <v>M2</v>
          </cell>
          <cell r="B2598" t="str">
            <v>A5C</v>
          </cell>
          <cell r="C2598" t="str">
            <v>P</v>
          </cell>
          <cell r="D2598" t="str">
            <v>24016</v>
          </cell>
          <cell r="E2598" t="str">
            <v>CPLG</v>
          </cell>
          <cell r="F2598">
            <v>2</v>
          </cell>
          <cell r="G2598" t="str">
            <v>CB400500000T00</v>
          </cell>
          <cell r="H2598">
            <v>0.75</v>
          </cell>
          <cell r="I2598" t="str">
            <v>--</v>
          </cell>
          <cell r="J2598">
            <v>7</v>
          </cell>
          <cell r="K2598">
            <v>7</v>
          </cell>
        </row>
        <row r="2599">
          <cell r="A2599" t="str">
            <v>M2</v>
          </cell>
          <cell r="B2599" t="str">
            <v>A5C</v>
          </cell>
          <cell r="C2599" t="str">
            <v>P</v>
          </cell>
          <cell r="D2599" t="str">
            <v>24017</v>
          </cell>
          <cell r="E2599" t="str">
            <v>CPLG</v>
          </cell>
          <cell r="F2599">
            <v>2</v>
          </cell>
          <cell r="G2599" t="str">
            <v>CB400500000T00</v>
          </cell>
          <cell r="H2599">
            <v>0.75</v>
          </cell>
          <cell r="I2599" t="str">
            <v>--</v>
          </cell>
          <cell r="J2599">
            <v>1</v>
          </cell>
          <cell r="K2599">
            <v>1</v>
          </cell>
        </row>
        <row r="2600">
          <cell r="A2600" t="str">
            <v>M2</v>
          </cell>
          <cell r="B2600" t="str">
            <v>A5C</v>
          </cell>
          <cell r="C2600" t="str">
            <v>P</v>
          </cell>
          <cell r="D2600" t="str">
            <v>24018</v>
          </cell>
          <cell r="E2600" t="str">
            <v>CPLG</v>
          </cell>
          <cell r="F2600">
            <v>2</v>
          </cell>
          <cell r="G2600" t="str">
            <v>CB400500000T00</v>
          </cell>
          <cell r="H2600">
            <v>0.75</v>
          </cell>
          <cell r="I2600" t="str">
            <v>--</v>
          </cell>
          <cell r="J2600">
            <v>8</v>
          </cell>
          <cell r="K2600">
            <v>8</v>
          </cell>
        </row>
        <row r="2601">
          <cell r="A2601" t="str">
            <v>M2</v>
          </cell>
          <cell r="B2601" t="str">
            <v>A5C</v>
          </cell>
          <cell r="C2601" t="str">
            <v>P</v>
          </cell>
          <cell r="D2601" t="str">
            <v>23028</v>
          </cell>
          <cell r="E2601" t="str">
            <v>CPLG</v>
          </cell>
          <cell r="F2601">
            <v>2</v>
          </cell>
          <cell r="G2601" t="str">
            <v>CB400500000T00</v>
          </cell>
          <cell r="H2601">
            <v>0.75</v>
          </cell>
          <cell r="I2601" t="str">
            <v>--</v>
          </cell>
          <cell r="J2601">
            <v>5</v>
          </cell>
          <cell r="K2601">
            <v>5</v>
          </cell>
        </row>
        <row r="2602">
          <cell r="A2602" t="str">
            <v>M2</v>
          </cell>
          <cell r="B2602" t="str">
            <v>A5C</v>
          </cell>
          <cell r="C2602" t="str">
            <v>P</v>
          </cell>
          <cell r="D2602" t="str">
            <v>23079</v>
          </cell>
          <cell r="E2602" t="str">
            <v>CPLG</v>
          </cell>
          <cell r="F2602">
            <v>2</v>
          </cell>
          <cell r="G2602" t="str">
            <v>CB400500000T00</v>
          </cell>
          <cell r="H2602">
            <v>0.75</v>
          </cell>
          <cell r="I2602" t="str">
            <v>--</v>
          </cell>
          <cell r="J2602">
            <v>1</v>
          </cell>
          <cell r="K2602">
            <v>1</v>
          </cell>
        </row>
        <row r="2603">
          <cell r="A2603" t="str">
            <v>M2</v>
          </cell>
          <cell r="B2603" t="str">
            <v>A5C</v>
          </cell>
          <cell r="C2603" t="str">
            <v>P</v>
          </cell>
          <cell r="D2603" t="str">
            <v>23053</v>
          </cell>
          <cell r="E2603" t="str">
            <v>NPL</v>
          </cell>
          <cell r="F2603">
            <v>2</v>
          </cell>
          <cell r="G2603" t="str">
            <v>CB132108000TVR</v>
          </cell>
          <cell r="H2603">
            <v>0.75</v>
          </cell>
          <cell r="I2603" t="str">
            <v>75mm</v>
          </cell>
          <cell r="J2603">
            <v>1</v>
          </cell>
          <cell r="K2603">
            <v>1</v>
          </cell>
        </row>
        <row r="2604">
          <cell r="A2604" t="str">
            <v>M2</v>
          </cell>
          <cell r="B2604" t="str">
            <v>A5C</v>
          </cell>
          <cell r="C2604" t="str">
            <v>P</v>
          </cell>
          <cell r="D2604" t="str">
            <v>23051</v>
          </cell>
          <cell r="E2604" t="str">
            <v>NPL</v>
          </cell>
          <cell r="F2604">
            <v>2</v>
          </cell>
          <cell r="G2604" t="str">
            <v>CB132108000TVR</v>
          </cell>
          <cell r="H2604">
            <v>0.75</v>
          </cell>
          <cell r="I2604" t="str">
            <v>75mm</v>
          </cell>
          <cell r="J2604">
            <v>2</v>
          </cell>
          <cell r="K2604">
            <v>2</v>
          </cell>
        </row>
        <row r="2605">
          <cell r="A2605" t="str">
            <v>M2</v>
          </cell>
          <cell r="B2605" t="str">
            <v>A5C</v>
          </cell>
          <cell r="C2605" t="str">
            <v>P</v>
          </cell>
          <cell r="D2605" t="str">
            <v>23053</v>
          </cell>
          <cell r="E2605" t="str">
            <v>NPL</v>
          </cell>
          <cell r="F2605">
            <v>2</v>
          </cell>
          <cell r="G2605" t="str">
            <v>CB132108000TVR</v>
          </cell>
          <cell r="H2605">
            <v>0.75</v>
          </cell>
          <cell r="I2605" t="str">
            <v>75mm</v>
          </cell>
          <cell r="J2605">
            <v>2</v>
          </cell>
          <cell r="K2605">
            <v>2</v>
          </cell>
        </row>
        <row r="2606">
          <cell r="A2606" t="str">
            <v>M2</v>
          </cell>
          <cell r="B2606" t="str">
            <v>A5C</v>
          </cell>
          <cell r="C2606" t="str">
            <v>TRIM</v>
          </cell>
          <cell r="D2606" t="str">
            <v>C-2302</v>
          </cell>
          <cell r="E2606" t="str">
            <v>NPL</v>
          </cell>
          <cell r="F2606">
            <v>2</v>
          </cell>
          <cell r="G2606" t="str">
            <v>CB132108000TVR</v>
          </cell>
          <cell r="H2606">
            <v>0.75</v>
          </cell>
          <cell r="I2606" t="str">
            <v>75mm</v>
          </cell>
          <cell r="J2606">
            <v>2</v>
          </cell>
          <cell r="K2606">
            <v>2</v>
          </cell>
        </row>
        <row r="2607">
          <cell r="A2607" t="str">
            <v>M2</v>
          </cell>
          <cell r="B2607" t="str">
            <v>A5C</v>
          </cell>
          <cell r="C2607" t="str">
            <v>TRIM</v>
          </cell>
          <cell r="D2607" t="str">
            <v>C-2303</v>
          </cell>
          <cell r="E2607" t="str">
            <v>NPL</v>
          </cell>
          <cell r="F2607">
            <v>2</v>
          </cell>
          <cell r="G2607" t="str">
            <v>CB132108000TVR</v>
          </cell>
          <cell r="H2607">
            <v>0.75</v>
          </cell>
          <cell r="I2607" t="str">
            <v>75mm</v>
          </cell>
          <cell r="J2607">
            <v>2</v>
          </cell>
          <cell r="K2607">
            <v>2</v>
          </cell>
        </row>
        <row r="2608">
          <cell r="A2608" t="str">
            <v>M2</v>
          </cell>
          <cell r="B2608" t="str">
            <v>A5C</v>
          </cell>
          <cell r="C2608" t="str">
            <v>TRIM</v>
          </cell>
          <cell r="D2608" t="str">
            <v>C-2304</v>
          </cell>
          <cell r="E2608" t="str">
            <v>NPL</v>
          </cell>
          <cell r="F2608">
            <v>2</v>
          </cell>
          <cell r="G2608" t="str">
            <v>CB132108000TVR</v>
          </cell>
          <cell r="H2608">
            <v>0.75</v>
          </cell>
          <cell r="I2608" t="str">
            <v>75mm</v>
          </cell>
          <cell r="J2608">
            <v>2</v>
          </cell>
          <cell r="K2608">
            <v>2</v>
          </cell>
        </row>
        <row r="2609">
          <cell r="A2609" t="str">
            <v>M2</v>
          </cell>
          <cell r="B2609" t="str">
            <v>A5C</v>
          </cell>
          <cell r="C2609" t="str">
            <v>TRIM</v>
          </cell>
          <cell r="D2609" t="str">
            <v>C-2305</v>
          </cell>
          <cell r="E2609" t="str">
            <v>NPL</v>
          </cell>
          <cell r="F2609">
            <v>2</v>
          </cell>
          <cell r="G2609" t="str">
            <v>CB132108000TVR</v>
          </cell>
          <cell r="H2609">
            <v>0.75</v>
          </cell>
          <cell r="I2609" t="str">
            <v>75mm</v>
          </cell>
          <cell r="J2609">
            <v>2</v>
          </cell>
          <cell r="K2609">
            <v>2</v>
          </cell>
        </row>
        <row r="2610">
          <cell r="A2610" t="str">
            <v>M2</v>
          </cell>
          <cell r="B2610" t="str">
            <v>A5C</v>
          </cell>
          <cell r="C2610" t="str">
            <v>TRIM</v>
          </cell>
          <cell r="D2610" t="str">
            <v>C-2306</v>
          </cell>
          <cell r="E2610" t="str">
            <v>NPL</v>
          </cell>
          <cell r="F2610">
            <v>2</v>
          </cell>
          <cell r="G2610" t="str">
            <v>CB132108000TVR</v>
          </cell>
          <cell r="H2610">
            <v>0.75</v>
          </cell>
          <cell r="I2610" t="str">
            <v>75mm</v>
          </cell>
          <cell r="J2610">
            <v>2</v>
          </cell>
          <cell r="K2610">
            <v>2</v>
          </cell>
        </row>
        <row r="2611">
          <cell r="A2611" t="str">
            <v>M2</v>
          </cell>
          <cell r="B2611" t="str">
            <v>A5C</v>
          </cell>
          <cell r="C2611" t="str">
            <v>TRIM</v>
          </cell>
          <cell r="D2611" t="str">
            <v>V-2306</v>
          </cell>
          <cell r="E2611" t="str">
            <v>NPL</v>
          </cell>
          <cell r="F2611">
            <v>2</v>
          </cell>
          <cell r="G2611" t="str">
            <v>CB132108000TVR</v>
          </cell>
          <cell r="H2611">
            <v>0.75</v>
          </cell>
          <cell r="I2611" t="str">
            <v>75mm</v>
          </cell>
          <cell r="J2611">
            <v>2</v>
          </cell>
          <cell r="K2611">
            <v>2</v>
          </cell>
        </row>
        <row r="2612">
          <cell r="A2612" t="str">
            <v>M2</v>
          </cell>
          <cell r="B2612" t="str">
            <v>A5C</v>
          </cell>
          <cell r="C2612" t="str">
            <v>TRIM</v>
          </cell>
          <cell r="D2612" t="str">
            <v>V-2308</v>
          </cell>
          <cell r="E2612" t="str">
            <v>NPL</v>
          </cell>
          <cell r="F2612">
            <v>2</v>
          </cell>
          <cell r="G2612" t="str">
            <v>CB132108000TVR</v>
          </cell>
          <cell r="H2612">
            <v>0.75</v>
          </cell>
          <cell r="I2612" t="str">
            <v>75mm</v>
          </cell>
          <cell r="J2612">
            <v>2</v>
          </cell>
          <cell r="K2612">
            <v>2</v>
          </cell>
        </row>
        <row r="2613">
          <cell r="A2613" t="str">
            <v>M2</v>
          </cell>
          <cell r="B2613" t="str">
            <v>A5C</v>
          </cell>
          <cell r="C2613" t="str">
            <v>TRIM</v>
          </cell>
          <cell r="D2613" t="str">
            <v>V-2310</v>
          </cell>
          <cell r="E2613" t="str">
            <v>NPL</v>
          </cell>
          <cell r="F2613">
            <v>2</v>
          </cell>
          <cell r="G2613" t="str">
            <v>CB132108000TVR</v>
          </cell>
          <cell r="H2613">
            <v>0.75</v>
          </cell>
          <cell r="I2613" t="str">
            <v>75mm</v>
          </cell>
          <cell r="J2613">
            <v>2</v>
          </cell>
          <cell r="K2613">
            <v>2</v>
          </cell>
        </row>
        <row r="2614">
          <cell r="A2614" t="str">
            <v>M2</v>
          </cell>
          <cell r="B2614" t="str">
            <v>A5C</v>
          </cell>
          <cell r="C2614" t="str">
            <v>TRIM</v>
          </cell>
          <cell r="D2614" t="str">
            <v>V-2313</v>
          </cell>
          <cell r="E2614" t="str">
            <v>NPL</v>
          </cell>
          <cell r="F2614">
            <v>2</v>
          </cell>
          <cell r="G2614" t="str">
            <v>CB132108000TVR</v>
          </cell>
          <cell r="H2614">
            <v>0.75</v>
          </cell>
          <cell r="I2614" t="str">
            <v>75mm</v>
          </cell>
          <cell r="J2614">
            <v>2</v>
          </cell>
          <cell r="K2614">
            <v>2</v>
          </cell>
        </row>
        <row r="2615">
          <cell r="A2615" t="str">
            <v>M2</v>
          </cell>
          <cell r="B2615" t="str">
            <v>A5C</v>
          </cell>
          <cell r="C2615" t="str">
            <v>TRIM</v>
          </cell>
          <cell r="D2615" t="str">
            <v>V-2302</v>
          </cell>
          <cell r="E2615" t="str">
            <v>NPL</v>
          </cell>
          <cell r="F2615">
            <v>2</v>
          </cell>
          <cell r="G2615" t="str">
            <v>CB132108000TVR</v>
          </cell>
          <cell r="H2615">
            <v>0.75</v>
          </cell>
          <cell r="I2615" t="str">
            <v>75mm</v>
          </cell>
          <cell r="J2615">
            <v>2</v>
          </cell>
          <cell r="K2615">
            <v>2</v>
          </cell>
        </row>
        <row r="2616">
          <cell r="A2616" t="str">
            <v>M2</v>
          </cell>
          <cell r="B2616" t="str">
            <v>A5C</v>
          </cell>
          <cell r="C2616" t="str">
            <v>TRIM</v>
          </cell>
          <cell r="D2616" t="str">
            <v>V-2304</v>
          </cell>
          <cell r="E2616" t="str">
            <v>NPL</v>
          </cell>
          <cell r="F2616">
            <v>2</v>
          </cell>
          <cell r="G2616" t="str">
            <v>CB132108000TVR</v>
          </cell>
          <cell r="H2616">
            <v>0.75</v>
          </cell>
          <cell r="I2616" t="str">
            <v>75mm</v>
          </cell>
          <cell r="J2616">
            <v>2</v>
          </cell>
          <cell r="K2616">
            <v>2</v>
          </cell>
        </row>
        <row r="2617">
          <cell r="A2617" t="str">
            <v>M2</v>
          </cell>
          <cell r="B2617" t="str">
            <v>A5C</v>
          </cell>
          <cell r="C2617" t="str">
            <v>TRIM</v>
          </cell>
          <cell r="D2617" t="str">
            <v>V-2325</v>
          </cell>
          <cell r="E2617" t="str">
            <v>NPL</v>
          </cell>
          <cell r="F2617">
            <v>2</v>
          </cell>
          <cell r="G2617" t="str">
            <v>CB132108000TVR</v>
          </cell>
          <cell r="H2617">
            <v>0.75</v>
          </cell>
          <cell r="I2617" t="str">
            <v>75mm</v>
          </cell>
          <cell r="J2617">
            <v>2</v>
          </cell>
          <cell r="K2617">
            <v>2</v>
          </cell>
        </row>
        <row r="2618">
          <cell r="A2618" t="str">
            <v>M2</v>
          </cell>
          <cell r="B2618" t="str">
            <v>A5C</v>
          </cell>
          <cell r="C2618" t="str">
            <v>P</v>
          </cell>
          <cell r="D2618" t="str">
            <v>23028</v>
          </cell>
          <cell r="E2618" t="str">
            <v>TEE</v>
          </cell>
          <cell r="F2618">
            <v>2</v>
          </cell>
          <cell r="G2618" t="str">
            <v>CB400300000T00</v>
          </cell>
          <cell r="H2618">
            <v>0.75</v>
          </cell>
          <cell r="I2618" t="str">
            <v>--</v>
          </cell>
          <cell r="J2618">
            <v>4</v>
          </cell>
          <cell r="K2618">
            <v>4</v>
          </cell>
        </row>
        <row r="2619">
          <cell r="A2619" t="str">
            <v>M2</v>
          </cell>
          <cell r="B2619" t="str">
            <v>A5C</v>
          </cell>
          <cell r="C2619" t="str">
            <v>P</v>
          </cell>
          <cell r="D2619" t="str">
            <v>23048</v>
          </cell>
          <cell r="E2619" t="str">
            <v>TEE</v>
          </cell>
          <cell r="F2619">
            <v>2</v>
          </cell>
          <cell r="G2619" t="str">
            <v>CB400300000T00</v>
          </cell>
          <cell r="H2619">
            <v>0.75</v>
          </cell>
          <cell r="I2619" t="str">
            <v>--</v>
          </cell>
          <cell r="J2619">
            <v>3</v>
          </cell>
          <cell r="K2619">
            <v>3</v>
          </cell>
        </row>
        <row r="2620">
          <cell r="A2620" t="str">
            <v>M2</v>
          </cell>
          <cell r="B2620" t="str">
            <v>A5C</v>
          </cell>
          <cell r="C2620" t="str">
            <v>P</v>
          </cell>
          <cell r="D2620" t="str">
            <v>23080</v>
          </cell>
          <cell r="E2620" t="str">
            <v>TEE</v>
          </cell>
          <cell r="F2620">
            <v>2</v>
          </cell>
          <cell r="G2620" t="str">
            <v>CB400300000T00</v>
          </cell>
          <cell r="H2620">
            <v>0.75</v>
          </cell>
          <cell r="I2620" t="str">
            <v>--</v>
          </cell>
          <cell r="J2620">
            <v>3</v>
          </cell>
          <cell r="K2620">
            <v>3</v>
          </cell>
        </row>
        <row r="2621">
          <cell r="A2621" t="str">
            <v>M2</v>
          </cell>
          <cell r="B2621" t="str">
            <v>A5C</v>
          </cell>
          <cell r="C2621" t="str">
            <v>P</v>
          </cell>
          <cell r="D2621" t="str">
            <v>23079</v>
          </cell>
          <cell r="E2621" t="str">
            <v>TEE</v>
          </cell>
          <cell r="F2621">
            <v>2</v>
          </cell>
          <cell r="G2621" t="str">
            <v>CB400300000T00</v>
          </cell>
          <cell r="H2621">
            <v>0.75</v>
          </cell>
          <cell r="I2621" t="str">
            <v>--</v>
          </cell>
          <cell r="J2621">
            <v>2</v>
          </cell>
          <cell r="K2621">
            <v>2</v>
          </cell>
        </row>
        <row r="2622">
          <cell r="A2622" t="str">
            <v>M2</v>
          </cell>
          <cell r="B2622" t="str">
            <v>A5C</v>
          </cell>
          <cell r="C2622" t="str">
            <v>P</v>
          </cell>
          <cell r="D2622" t="str">
            <v>23091</v>
          </cell>
          <cell r="E2622" t="str">
            <v>TEE</v>
          </cell>
          <cell r="F2622">
            <v>2</v>
          </cell>
          <cell r="G2622" t="str">
            <v>CB400300000T00</v>
          </cell>
          <cell r="H2622">
            <v>0.75</v>
          </cell>
          <cell r="I2622" t="str">
            <v>--</v>
          </cell>
          <cell r="J2622">
            <v>2</v>
          </cell>
          <cell r="K2622">
            <v>2</v>
          </cell>
        </row>
        <row r="2623">
          <cell r="A2623" t="str">
            <v>M2</v>
          </cell>
          <cell r="B2623" t="str">
            <v>A5C</v>
          </cell>
          <cell r="C2623" t="str">
            <v>P</v>
          </cell>
          <cell r="D2623" t="str">
            <v>23173</v>
          </cell>
          <cell r="E2623" t="str">
            <v>TEE</v>
          </cell>
          <cell r="F2623">
            <v>2</v>
          </cell>
          <cell r="G2623" t="str">
            <v>CB400300000T00</v>
          </cell>
          <cell r="H2623">
            <v>0.75</v>
          </cell>
          <cell r="I2623" t="str">
            <v>--</v>
          </cell>
          <cell r="J2623">
            <v>2</v>
          </cell>
          <cell r="K2623">
            <v>2</v>
          </cell>
        </row>
        <row r="2624">
          <cell r="A2624" t="str">
            <v>M2</v>
          </cell>
          <cell r="B2624" t="str">
            <v>A5C</v>
          </cell>
          <cell r="C2624" t="str">
            <v>P</v>
          </cell>
          <cell r="D2624" t="str">
            <v>23191</v>
          </cell>
          <cell r="E2624" t="str">
            <v>TEE</v>
          </cell>
          <cell r="F2624">
            <v>2</v>
          </cell>
          <cell r="G2624" t="str">
            <v>CB400300000T00</v>
          </cell>
          <cell r="H2624">
            <v>0.75</v>
          </cell>
          <cell r="I2624" t="str">
            <v>--</v>
          </cell>
          <cell r="J2624">
            <v>2</v>
          </cell>
          <cell r="K2624">
            <v>2</v>
          </cell>
        </row>
        <row r="2625">
          <cell r="A2625" t="str">
            <v>M2</v>
          </cell>
          <cell r="B2625" t="str">
            <v>A5C</v>
          </cell>
          <cell r="C2625" t="str">
            <v>P</v>
          </cell>
          <cell r="D2625" t="str">
            <v>24016</v>
          </cell>
          <cell r="E2625" t="str">
            <v>TEE</v>
          </cell>
          <cell r="F2625">
            <v>2</v>
          </cell>
          <cell r="G2625" t="str">
            <v>CB400300000T00</v>
          </cell>
          <cell r="H2625">
            <v>0.75</v>
          </cell>
          <cell r="I2625" t="str">
            <v>--</v>
          </cell>
          <cell r="J2625">
            <v>4</v>
          </cell>
          <cell r="K2625">
            <v>4</v>
          </cell>
        </row>
        <row r="2626">
          <cell r="A2626" t="str">
            <v>M2</v>
          </cell>
          <cell r="B2626" t="str">
            <v>A5C</v>
          </cell>
          <cell r="C2626" t="str">
            <v>P</v>
          </cell>
          <cell r="D2626" t="str">
            <v>24018</v>
          </cell>
          <cell r="E2626" t="str">
            <v>TEE</v>
          </cell>
          <cell r="F2626">
            <v>2</v>
          </cell>
          <cell r="G2626" t="str">
            <v>CB400300000T00</v>
          </cell>
          <cell r="H2626">
            <v>0.75</v>
          </cell>
          <cell r="I2626" t="str">
            <v>--</v>
          </cell>
          <cell r="J2626">
            <v>4</v>
          </cell>
          <cell r="K2626">
            <v>4</v>
          </cell>
        </row>
        <row r="2627">
          <cell r="A2627" t="str">
            <v>M2</v>
          </cell>
          <cell r="B2627" t="str">
            <v>A5C</v>
          </cell>
          <cell r="C2627" t="str">
            <v>TRIM</v>
          </cell>
          <cell r="D2627" t="str">
            <v>C-2303</v>
          </cell>
          <cell r="E2627" t="str">
            <v>TEE</v>
          </cell>
          <cell r="F2627">
            <v>2</v>
          </cell>
          <cell r="G2627" t="str">
            <v>CB400300000T00</v>
          </cell>
          <cell r="H2627">
            <v>0.75</v>
          </cell>
          <cell r="I2627" t="str">
            <v>--</v>
          </cell>
          <cell r="J2627">
            <v>1</v>
          </cell>
          <cell r="K2627">
            <v>1</v>
          </cell>
        </row>
        <row r="2628">
          <cell r="A2628" t="str">
            <v>M2</v>
          </cell>
          <cell r="B2628" t="str">
            <v>A5C</v>
          </cell>
          <cell r="C2628" t="str">
            <v>TRIM</v>
          </cell>
          <cell r="D2628" t="str">
            <v>C-2304</v>
          </cell>
          <cell r="E2628" t="str">
            <v>TEE</v>
          </cell>
          <cell r="F2628">
            <v>2</v>
          </cell>
          <cell r="G2628" t="str">
            <v>CB400300000T00</v>
          </cell>
          <cell r="H2628">
            <v>0.75</v>
          </cell>
          <cell r="I2628" t="str">
            <v>--</v>
          </cell>
          <cell r="J2628">
            <v>1</v>
          </cell>
          <cell r="K2628">
            <v>1</v>
          </cell>
        </row>
        <row r="2629">
          <cell r="A2629" t="str">
            <v>M2</v>
          </cell>
          <cell r="B2629" t="str">
            <v>A5C</v>
          </cell>
          <cell r="C2629" t="str">
            <v>TRIM</v>
          </cell>
          <cell r="D2629" t="str">
            <v>C-2305</v>
          </cell>
          <cell r="E2629" t="str">
            <v>TEE</v>
          </cell>
          <cell r="F2629">
            <v>2</v>
          </cell>
          <cell r="G2629" t="str">
            <v>CB400300000T00</v>
          </cell>
          <cell r="H2629">
            <v>0.75</v>
          </cell>
          <cell r="I2629" t="str">
            <v>--</v>
          </cell>
          <cell r="J2629">
            <v>1</v>
          </cell>
          <cell r="K2629">
            <v>1</v>
          </cell>
        </row>
        <row r="2630">
          <cell r="A2630" t="str">
            <v>M2</v>
          </cell>
          <cell r="B2630" t="str">
            <v>A5C</v>
          </cell>
          <cell r="C2630" t="str">
            <v>TRIM</v>
          </cell>
          <cell r="D2630" t="str">
            <v>C-2306</v>
          </cell>
          <cell r="E2630" t="str">
            <v>TEE</v>
          </cell>
          <cell r="F2630">
            <v>2</v>
          </cell>
          <cell r="G2630" t="str">
            <v>CB400300000T00</v>
          </cell>
          <cell r="H2630">
            <v>0.75</v>
          </cell>
          <cell r="I2630" t="str">
            <v>--</v>
          </cell>
          <cell r="J2630">
            <v>1</v>
          </cell>
          <cell r="K2630">
            <v>1</v>
          </cell>
        </row>
        <row r="2631">
          <cell r="A2631" t="str">
            <v>M2</v>
          </cell>
          <cell r="B2631" t="str">
            <v>A5C</v>
          </cell>
          <cell r="C2631" t="str">
            <v>P</v>
          </cell>
          <cell r="D2631" t="str">
            <v>23053</v>
          </cell>
          <cell r="E2631" t="str">
            <v>TEE</v>
          </cell>
          <cell r="F2631">
            <v>2</v>
          </cell>
          <cell r="G2631" t="str">
            <v>CB400300000T00</v>
          </cell>
          <cell r="H2631">
            <v>0.75</v>
          </cell>
          <cell r="I2631" t="str">
            <v>--</v>
          </cell>
          <cell r="J2631">
            <v>4</v>
          </cell>
          <cell r="K2631">
            <v>4</v>
          </cell>
        </row>
        <row r="2632">
          <cell r="A2632" t="str">
            <v>M2</v>
          </cell>
          <cell r="B2632" t="str">
            <v>A5C</v>
          </cell>
          <cell r="C2632" t="str">
            <v>P</v>
          </cell>
          <cell r="D2632" t="str">
            <v>23130</v>
          </cell>
          <cell r="E2632" t="str">
            <v>TEE</v>
          </cell>
          <cell r="F2632">
            <v>2</v>
          </cell>
          <cell r="G2632" t="str">
            <v>CB400300000T00</v>
          </cell>
          <cell r="H2632">
            <v>0.75</v>
          </cell>
          <cell r="I2632" t="str">
            <v>--</v>
          </cell>
          <cell r="J2632">
            <v>2</v>
          </cell>
          <cell r="K2632">
            <v>2</v>
          </cell>
        </row>
        <row r="2633">
          <cell r="A2633" t="str">
            <v>M2</v>
          </cell>
          <cell r="B2633" t="str">
            <v>A5C</v>
          </cell>
          <cell r="C2633" t="str">
            <v>P</v>
          </cell>
          <cell r="D2633" t="str">
            <v>23180</v>
          </cell>
          <cell r="E2633" t="str">
            <v>TEE</v>
          </cell>
          <cell r="F2633">
            <v>2</v>
          </cell>
          <cell r="G2633" t="str">
            <v>CB400300000T00</v>
          </cell>
          <cell r="H2633">
            <v>0.75</v>
          </cell>
          <cell r="I2633" t="str">
            <v>--</v>
          </cell>
          <cell r="J2633">
            <v>2</v>
          </cell>
          <cell r="K2633">
            <v>2</v>
          </cell>
        </row>
        <row r="2634">
          <cell r="A2634" t="str">
            <v>M2</v>
          </cell>
          <cell r="B2634" t="str">
            <v>A5C</v>
          </cell>
          <cell r="C2634" t="str">
            <v>P</v>
          </cell>
          <cell r="D2634" t="str">
            <v>24017</v>
          </cell>
          <cell r="E2634" t="str">
            <v>TEE</v>
          </cell>
          <cell r="F2634">
            <v>2</v>
          </cell>
          <cell r="G2634" t="str">
            <v>CB400300000T00</v>
          </cell>
          <cell r="H2634">
            <v>0.75</v>
          </cell>
          <cell r="I2634" t="str">
            <v>--</v>
          </cell>
          <cell r="J2634">
            <v>5</v>
          </cell>
          <cell r="K2634">
            <v>5</v>
          </cell>
        </row>
        <row r="2635">
          <cell r="A2635" t="str">
            <v>M2</v>
          </cell>
          <cell r="B2635" t="str">
            <v>A5C</v>
          </cell>
          <cell r="C2635" t="str">
            <v>TRIM</v>
          </cell>
          <cell r="D2635" t="str">
            <v>C-2302</v>
          </cell>
          <cell r="E2635" t="str">
            <v>TEE</v>
          </cell>
          <cell r="F2635">
            <v>2</v>
          </cell>
          <cell r="G2635" t="str">
            <v>CB400300000T00</v>
          </cell>
          <cell r="H2635">
            <v>0.75</v>
          </cell>
          <cell r="I2635" t="str">
            <v>--</v>
          </cell>
          <cell r="J2635">
            <v>1</v>
          </cell>
          <cell r="K2635">
            <v>1</v>
          </cell>
        </row>
        <row r="2636">
          <cell r="A2636" t="str">
            <v>M2</v>
          </cell>
          <cell r="B2636" t="str">
            <v>A5C</v>
          </cell>
          <cell r="C2636" t="str">
            <v>P</v>
          </cell>
          <cell r="D2636" t="str">
            <v>23014</v>
          </cell>
          <cell r="E2636" t="str">
            <v>90 ELL</v>
          </cell>
          <cell r="F2636">
            <v>2</v>
          </cell>
          <cell r="G2636" t="str">
            <v>CB400100000T00</v>
          </cell>
          <cell r="H2636">
            <v>0.75</v>
          </cell>
          <cell r="I2636" t="str">
            <v>--</v>
          </cell>
          <cell r="J2636">
            <v>4</v>
          </cell>
          <cell r="K2636">
            <v>4</v>
          </cell>
        </row>
        <row r="2637">
          <cell r="A2637" t="str">
            <v>M2</v>
          </cell>
          <cell r="B2637" t="str">
            <v>A5C</v>
          </cell>
          <cell r="C2637" t="str">
            <v>P</v>
          </cell>
          <cell r="D2637" t="str">
            <v>23156</v>
          </cell>
          <cell r="E2637" t="str">
            <v>90 ELL</v>
          </cell>
          <cell r="F2637">
            <v>2</v>
          </cell>
          <cell r="G2637" t="str">
            <v>CB400100000T00</v>
          </cell>
          <cell r="H2637">
            <v>0.75</v>
          </cell>
          <cell r="I2637" t="str">
            <v>--</v>
          </cell>
          <cell r="J2637">
            <v>12</v>
          </cell>
          <cell r="K2637">
            <v>12</v>
          </cell>
        </row>
        <row r="2638">
          <cell r="A2638" t="str">
            <v>M2</v>
          </cell>
          <cell r="B2638" t="str">
            <v>A5C</v>
          </cell>
          <cell r="C2638" t="str">
            <v>P</v>
          </cell>
          <cell r="D2638" t="str">
            <v>24027</v>
          </cell>
          <cell r="E2638" t="str">
            <v>90 ELL</v>
          </cell>
          <cell r="F2638">
            <v>2</v>
          </cell>
          <cell r="G2638" t="str">
            <v>CB400100000T00</v>
          </cell>
          <cell r="H2638">
            <v>0.75</v>
          </cell>
          <cell r="I2638" t="str">
            <v>--</v>
          </cell>
          <cell r="J2638">
            <v>2</v>
          </cell>
          <cell r="K2638">
            <v>2</v>
          </cell>
        </row>
        <row r="2639">
          <cell r="A2639" t="str">
            <v>M2</v>
          </cell>
          <cell r="B2639" t="str">
            <v>A5C</v>
          </cell>
          <cell r="C2639" t="str">
            <v>P</v>
          </cell>
          <cell r="D2639" t="str">
            <v>24029</v>
          </cell>
          <cell r="E2639" t="str">
            <v>90 ELL</v>
          </cell>
          <cell r="F2639">
            <v>2</v>
          </cell>
          <cell r="G2639" t="str">
            <v>CB400100000T00</v>
          </cell>
          <cell r="H2639">
            <v>0.75</v>
          </cell>
          <cell r="I2639" t="str">
            <v>--</v>
          </cell>
          <cell r="J2639">
            <v>8</v>
          </cell>
          <cell r="K2639">
            <v>8</v>
          </cell>
        </row>
        <row r="2640">
          <cell r="A2640" t="str">
            <v>M2</v>
          </cell>
          <cell r="B2640" t="str">
            <v>A5C</v>
          </cell>
          <cell r="C2640" t="str">
            <v>P</v>
          </cell>
          <cell r="D2640" t="str">
            <v>24031</v>
          </cell>
          <cell r="E2640" t="str">
            <v>90 ELL</v>
          </cell>
          <cell r="F2640">
            <v>2</v>
          </cell>
          <cell r="G2640" t="str">
            <v>CB400100000T00</v>
          </cell>
          <cell r="H2640">
            <v>0.75</v>
          </cell>
          <cell r="I2640" t="str">
            <v>--</v>
          </cell>
          <cell r="J2640">
            <v>3</v>
          </cell>
          <cell r="K2640">
            <v>3</v>
          </cell>
        </row>
        <row r="2641">
          <cell r="A2641" t="str">
            <v>M2</v>
          </cell>
          <cell r="B2641" t="str">
            <v>A5C</v>
          </cell>
          <cell r="C2641" t="str">
            <v>P</v>
          </cell>
          <cell r="D2641" t="str">
            <v>24033</v>
          </cell>
          <cell r="E2641" t="str">
            <v>90 ELL</v>
          </cell>
          <cell r="F2641">
            <v>2</v>
          </cell>
          <cell r="G2641" t="str">
            <v>CB400100000T00</v>
          </cell>
          <cell r="H2641">
            <v>0.75</v>
          </cell>
          <cell r="I2641" t="str">
            <v>--</v>
          </cell>
          <cell r="J2641">
            <v>2</v>
          </cell>
          <cell r="K2641">
            <v>2</v>
          </cell>
        </row>
        <row r="2642">
          <cell r="A2642" t="str">
            <v>M2</v>
          </cell>
          <cell r="B2642" t="str">
            <v>A5C</v>
          </cell>
          <cell r="C2642" t="str">
            <v>P</v>
          </cell>
          <cell r="D2642" t="str">
            <v>99004</v>
          </cell>
          <cell r="E2642" t="str">
            <v>90 ELL</v>
          </cell>
          <cell r="F2642">
            <v>2</v>
          </cell>
          <cell r="G2642" t="str">
            <v>CB400100000T00</v>
          </cell>
          <cell r="H2642">
            <v>0.75</v>
          </cell>
          <cell r="I2642" t="str">
            <v>--</v>
          </cell>
          <cell r="J2642">
            <v>6</v>
          </cell>
          <cell r="K2642">
            <v>6</v>
          </cell>
        </row>
        <row r="2643">
          <cell r="A2643" t="str">
            <v>M2</v>
          </cell>
          <cell r="B2643" t="str">
            <v>A5C</v>
          </cell>
          <cell r="C2643" t="str">
            <v>TRIM</v>
          </cell>
          <cell r="D2643" t="str">
            <v>C-2301</v>
          </cell>
          <cell r="E2643" t="str">
            <v>90 ELL</v>
          </cell>
          <cell r="F2643">
            <v>2</v>
          </cell>
          <cell r="G2643" t="str">
            <v>CB400100000T00</v>
          </cell>
          <cell r="H2643">
            <v>0.75</v>
          </cell>
          <cell r="I2643" t="str">
            <v>--</v>
          </cell>
          <cell r="J2643">
            <v>1</v>
          </cell>
          <cell r="K2643">
            <v>1</v>
          </cell>
        </row>
        <row r="2644">
          <cell r="A2644" t="str">
            <v>M2</v>
          </cell>
          <cell r="B2644" t="str">
            <v>A5C</v>
          </cell>
          <cell r="C2644" t="str">
            <v>P</v>
          </cell>
          <cell r="D2644" t="str">
            <v>24003</v>
          </cell>
          <cell r="E2644" t="str">
            <v>90 ELL</v>
          </cell>
          <cell r="F2644">
            <v>2</v>
          </cell>
          <cell r="G2644" t="str">
            <v>CB400100000T00</v>
          </cell>
          <cell r="H2644">
            <v>0.75</v>
          </cell>
          <cell r="I2644" t="str">
            <v>--</v>
          </cell>
          <cell r="J2644">
            <v>2</v>
          </cell>
          <cell r="K2644">
            <v>2</v>
          </cell>
        </row>
        <row r="2645">
          <cell r="A2645" t="str">
            <v>M2</v>
          </cell>
          <cell r="B2645" t="str">
            <v>A5C</v>
          </cell>
          <cell r="C2645" t="str">
            <v>P</v>
          </cell>
          <cell r="D2645" t="str">
            <v>23156</v>
          </cell>
          <cell r="E2645" t="str">
            <v>CAP</v>
          </cell>
          <cell r="F2645">
            <v>2</v>
          </cell>
          <cell r="G2645" t="str">
            <v>CB520700000T00</v>
          </cell>
          <cell r="H2645">
            <v>0.75</v>
          </cell>
          <cell r="I2645" t="str">
            <v>--</v>
          </cell>
          <cell r="J2645">
            <v>1</v>
          </cell>
          <cell r="K2645">
            <v>1</v>
          </cell>
        </row>
        <row r="2646">
          <cell r="A2646" t="str">
            <v>M2</v>
          </cell>
          <cell r="B2646" t="str">
            <v>A5C</v>
          </cell>
          <cell r="C2646" t="str">
            <v>P</v>
          </cell>
          <cell r="D2646" t="str">
            <v>24001</v>
          </cell>
          <cell r="E2646" t="str">
            <v>CAP</v>
          </cell>
          <cell r="F2646">
            <v>2</v>
          </cell>
          <cell r="G2646" t="str">
            <v>CB520700000T00</v>
          </cell>
          <cell r="H2646">
            <v>0.75</v>
          </cell>
          <cell r="I2646" t="str">
            <v>--</v>
          </cell>
          <cell r="J2646">
            <v>2</v>
          </cell>
          <cell r="K2646">
            <v>2</v>
          </cell>
        </row>
        <row r="2647">
          <cell r="A2647" t="str">
            <v>M2</v>
          </cell>
          <cell r="B2647" t="str">
            <v>A5C</v>
          </cell>
          <cell r="C2647" t="str">
            <v>P</v>
          </cell>
          <cell r="D2647" t="str">
            <v>24002</v>
          </cell>
          <cell r="E2647" t="str">
            <v>CAP</v>
          </cell>
          <cell r="F2647">
            <v>2</v>
          </cell>
          <cell r="G2647" t="str">
            <v>CB520700000T00</v>
          </cell>
          <cell r="H2647">
            <v>0.75</v>
          </cell>
          <cell r="I2647" t="str">
            <v>--</v>
          </cell>
          <cell r="J2647">
            <v>1</v>
          </cell>
          <cell r="K2647">
            <v>1</v>
          </cell>
        </row>
        <row r="2648">
          <cell r="A2648" t="str">
            <v>M2</v>
          </cell>
          <cell r="B2648" t="str">
            <v>A5C</v>
          </cell>
          <cell r="C2648" t="str">
            <v>P</v>
          </cell>
          <cell r="D2648" t="str">
            <v>24004</v>
          </cell>
          <cell r="E2648" t="str">
            <v>CAP</v>
          </cell>
          <cell r="F2648">
            <v>2</v>
          </cell>
          <cell r="G2648" t="str">
            <v>CB520700000T00</v>
          </cell>
          <cell r="H2648">
            <v>0.75</v>
          </cell>
          <cell r="I2648" t="str">
            <v>--</v>
          </cell>
          <cell r="J2648">
            <v>3</v>
          </cell>
          <cell r="K2648">
            <v>3</v>
          </cell>
        </row>
        <row r="2649">
          <cell r="A2649" t="str">
            <v>M2</v>
          </cell>
          <cell r="B2649" t="str">
            <v>A5C</v>
          </cell>
          <cell r="C2649" t="str">
            <v>P</v>
          </cell>
          <cell r="D2649" t="str">
            <v>24026</v>
          </cell>
          <cell r="E2649" t="str">
            <v>CAP</v>
          </cell>
          <cell r="F2649">
            <v>2</v>
          </cell>
          <cell r="G2649" t="str">
            <v>CB520700000T00</v>
          </cell>
          <cell r="H2649">
            <v>0.75</v>
          </cell>
          <cell r="I2649" t="str">
            <v>--</v>
          </cell>
          <cell r="J2649">
            <v>1</v>
          </cell>
          <cell r="K2649">
            <v>1</v>
          </cell>
        </row>
        <row r="2650">
          <cell r="A2650" t="str">
            <v>M2</v>
          </cell>
          <cell r="B2650" t="str">
            <v>A5C</v>
          </cell>
          <cell r="C2650" t="str">
            <v>P</v>
          </cell>
          <cell r="D2650" t="str">
            <v>24029</v>
          </cell>
          <cell r="E2650" t="str">
            <v>CAP</v>
          </cell>
          <cell r="F2650">
            <v>2</v>
          </cell>
          <cell r="G2650" t="str">
            <v>CB520700000T00</v>
          </cell>
          <cell r="H2650">
            <v>0.75</v>
          </cell>
          <cell r="I2650" t="str">
            <v>--</v>
          </cell>
          <cell r="J2650">
            <v>2</v>
          </cell>
          <cell r="K2650">
            <v>2</v>
          </cell>
        </row>
        <row r="2651">
          <cell r="A2651" t="str">
            <v>M2</v>
          </cell>
          <cell r="B2651" t="str">
            <v>A5C</v>
          </cell>
          <cell r="C2651" t="str">
            <v>P</v>
          </cell>
          <cell r="D2651" t="str">
            <v>99004</v>
          </cell>
          <cell r="E2651" t="str">
            <v>CAP</v>
          </cell>
          <cell r="F2651">
            <v>2</v>
          </cell>
          <cell r="G2651" t="str">
            <v>CB520700000T00</v>
          </cell>
          <cell r="H2651">
            <v>0.75</v>
          </cell>
          <cell r="I2651" t="str">
            <v>--</v>
          </cell>
          <cell r="J2651">
            <v>1</v>
          </cell>
          <cell r="K2651">
            <v>1</v>
          </cell>
        </row>
        <row r="2652">
          <cell r="A2652" t="str">
            <v>M2</v>
          </cell>
          <cell r="B2652" t="str">
            <v>A5C</v>
          </cell>
          <cell r="C2652" t="str">
            <v>TRIM</v>
          </cell>
          <cell r="D2652" t="str">
            <v>C-2301</v>
          </cell>
          <cell r="E2652" t="str">
            <v>CAP</v>
          </cell>
          <cell r="F2652">
            <v>2</v>
          </cell>
          <cell r="G2652" t="str">
            <v>CB520700000T00</v>
          </cell>
          <cell r="H2652">
            <v>0.75</v>
          </cell>
          <cell r="I2652" t="str">
            <v>--</v>
          </cell>
          <cell r="J2652">
            <v>2</v>
          </cell>
          <cell r="K2652">
            <v>2</v>
          </cell>
        </row>
        <row r="2653">
          <cell r="A2653" t="str">
            <v>M2</v>
          </cell>
          <cell r="B2653" t="str">
            <v>A5C</v>
          </cell>
          <cell r="C2653" t="str">
            <v>TRIM</v>
          </cell>
          <cell r="D2653" t="str">
            <v>R-2401</v>
          </cell>
          <cell r="E2653" t="str">
            <v>CAP</v>
          </cell>
          <cell r="F2653">
            <v>2</v>
          </cell>
          <cell r="G2653" t="str">
            <v>CB520700000T00</v>
          </cell>
          <cell r="H2653">
            <v>0.75</v>
          </cell>
          <cell r="I2653" t="str">
            <v>--</v>
          </cell>
          <cell r="J2653">
            <v>2</v>
          </cell>
          <cell r="K2653">
            <v>2</v>
          </cell>
        </row>
        <row r="2654">
          <cell r="A2654" t="str">
            <v>M2</v>
          </cell>
          <cell r="B2654" t="str">
            <v>A5C</v>
          </cell>
          <cell r="C2654" t="str">
            <v>TRIM</v>
          </cell>
          <cell r="D2654" t="str">
            <v>V-2404</v>
          </cell>
          <cell r="E2654" t="str">
            <v>CAP</v>
          </cell>
          <cell r="F2654">
            <v>2</v>
          </cell>
          <cell r="G2654" t="str">
            <v>CB520700000T00</v>
          </cell>
          <cell r="H2654">
            <v>0.75</v>
          </cell>
          <cell r="I2654" t="str">
            <v>--</v>
          </cell>
          <cell r="J2654">
            <v>2</v>
          </cell>
          <cell r="K2654">
            <v>2</v>
          </cell>
        </row>
        <row r="2655">
          <cell r="A2655" t="str">
            <v>M2</v>
          </cell>
          <cell r="B2655" t="str">
            <v>A5C</v>
          </cell>
          <cell r="C2655" t="str">
            <v>TRIM</v>
          </cell>
          <cell r="D2655" t="str">
            <v>V-2401</v>
          </cell>
          <cell r="E2655" t="str">
            <v>CAP</v>
          </cell>
          <cell r="F2655">
            <v>2</v>
          </cell>
          <cell r="G2655" t="str">
            <v>CB520700000T00</v>
          </cell>
          <cell r="H2655">
            <v>0.75</v>
          </cell>
          <cell r="I2655" t="str">
            <v>--</v>
          </cell>
          <cell r="J2655">
            <v>2</v>
          </cell>
          <cell r="K2655">
            <v>2</v>
          </cell>
        </row>
        <row r="2656">
          <cell r="A2656" t="str">
            <v>M2</v>
          </cell>
          <cell r="B2656" t="str">
            <v>A5C</v>
          </cell>
          <cell r="C2656" t="str">
            <v>P</v>
          </cell>
          <cell r="D2656" t="str">
            <v>23013</v>
          </cell>
          <cell r="E2656" t="str">
            <v>CAP</v>
          </cell>
          <cell r="F2656">
            <v>2</v>
          </cell>
          <cell r="G2656" t="str">
            <v>CB520700000T00</v>
          </cell>
          <cell r="H2656">
            <v>0.75</v>
          </cell>
          <cell r="I2656" t="str">
            <v>--</v>
          </cell>
          <cell r="J2656">
            <v>2</v>
          </cell>
          <cell r="K2656">
            <v>2</v>
          </cell>
        </row>
        <row r="2657">
          <cell r="A2657" t="str">
            <v>M2</v>
          </cell>
          <cell r="B2657" t="str">
            <v>A5C</v>
          </cell>
          <cell r="C2657" t="str">
            <v>P</v>
          </cell>
          <cell r="D2657" t="str">
            <v>24025</v>
          </cell>
          <cell r="E2657" t="str">
            <v>CAP</v>
          </cell>
          <cell r="F2657">
            <v>2</v>
          </cell>
          <cell r="G2657" t="str">
            <v>CB520700000T00</v>
          </cell>
          <cell r="H2657">
            <v>0.75</v>
          </cell>
          <cell r="I2657" t="str">
            <v>--</v>
          </cell>
          <cell r="J2657">
            <v>2</v>
          </cell>
          <cell r="K2657">
            <v>2</v>
          </cell>
        </row>
        <row r="2658">
          <cell r="A2658" t="str">
            <v>M2</v>
          </cell>
          <cell r="B2658" t="str">
            <v>A5C</v>
          </cell>
          <cell r="C2658" t="str">
            <v>P</v>
          </cell>
          <cell r="D2658" t="str">
            <v>24004</v>
          </cell>
          <cell r="E2658" t="str">
            <v>CPLG</v>
          </cell>
          <cell r="F2658">
            <v>2</v>
          </cell>
          <cell r="G2658" t="str">
            <v>CB400500000T00</v>
          </cell>
          <cell r="H2658">
            <v>0.75</v>
          </cell>
          <cell r="I2658" t="str">
            <v>--</v>
          </cell>
          <cell r="J2658">
            <v>2</v>
          </cell>
          <cell r="K2658">
            <v>2</v>
          </cell>
        </row>
        <row r="2659">
          <cell r="A2659" t="str">
            <v>M2</v>
          </cell>
          <cell r="B2659" t="str">
            <v>A5C</v>
          </cell>
          <cell r="C2659" t="str">
            <v>P</v>
          </cell>
          <cell r="D2659" t="str">
            <v>24031</v>
          </cell>
          <cell r="E2659" t="str">
            <v>CPLG</v>
          </cell>
          <cell r="F2659">
            <v>2</v>
          </cell>
          <cell r="G2659" t="str">
            <v>CB400500000T00</v>
          </cell>
          <cell r="H2659">
            <v>0.75</v>
          </cell>
          <cell r="I2659" t="str">
            <v>--</v>
          </cell>
          <cell r="J2659">
            <v>1</v>
          </cell>
          <cell r="K2659">
            <v>1</v>
          </cell>
        </row>
        <row r="2660">
          <cell r="A2660" t="str">
            <v>M2</v>
          </cell>
          <cell r="B2660" t="str">
            <v>A5C</v>
          </cell>
          <cell r="C2660" t="str">
            <v>P</v>
          </cell>
          <cell r="D2660" t="str">
            <v>99004</v>
          </cell>
          <cell r="E2660" t="str">
            <v>CPLG</v>
          </cell>
          <cell r="F2660">
            <v>2</v>
          </cell>
          <cell r="G2660" t="str">
            <v>CB400500000T00</v>
          </cell>
          <cell r="H2660">
            <v>0.75</v>
          </cell>
          <cell r="I2660" t="str">
            <v>--</v>
          </cell>
          <cell r="J2660">
            <v>1</v>
          </cell>
          <cell r="K2660">
            <v>1</v>
          </cell>
        </row>
        <row r="2661">
          <cell r="A2661" t="str">
            <v>M2</v>
          </cell>
          <cell r="B2661" t="str">
            <v>A5C</v>
          </cell>
          <cell r="C2661" t="str">
            <v>P</v>
          </cell>
          <cell r="D2661" t="str">
            <v>23156</v>
          </cell>
          <cell r="E2661" t="str">
            <v>CPLG</v>
          </cell>
          <cell r="F2661">
            <v>2</v>
          </cell>
          <cell r="G2661" t="str">
            <v>CB400500000T00</v>
          </cell>
          <cell r="H2661">
            <v>0.75</v>
          </cell>
          <cell r="I2661" t="str">
            <v>--</v>
          </cell>
          <cell r="J2661">
            <v>6</v>
          </cell>
          <cell r="K2661">
            <v>6</v>
          </cell>
        </row>
        <row r="2662">
          <cell r="A2662" t="str">
            <v>M2</v>
          </cell>
          <cell r="B2662" t="str">
            <v>A5C</v>
          </cell>
          <cell r="C2662" t="str">
            <v>P</v>
          </cell>
          <cell r="D2662" t="str">
            <v>24029</v>
          </cell>
          <cell r="E2662" t="str">
            <v>CPLG</v>
          </cell>
          <cell r="F2662">
            <v>2</v>
          </cell>
          <cell r="G2662" t="str">
            <v>CB400500000T00</v>
          </cell>
          <cell r="H2662">
            <v>0.75</v>
          </cell>
          <cell r="I2662" t="str">
            <v>--</v>
          </cell>
          <cell r="J2662">
            <v>1</v>
          </cell>
          <cell r="K2662">
            <v>1</v>
          </cell>
        </row>
        <row r="2663">
          <cell r="A2663" t="str">
            <v>M2</v>
          </cell>
          <cell r="B2663" t="str">
            <v>A5C</v>
          </cell>
          <cell r="C2663" t="str">
            <v>P</v>
          </cell>
          <cell r="D2663" t="str">
            <v>24033</v>
          </cell>
          <cell r="E2663" t="str">
            <v>CPLG</v>
          </cell>
          <cell r="F2663">
            <v>2</v>
          </cell>
          <cell r="G2663" t="str">
            <v>CB400500000T00</v>
          </cell>
          <cell r="H2663">
            <v>0.75</v>
          </cell>
          <cell r="I2663" t="str">
            <v>--</v>
          </cell>
          <cell r="J2663">
            <v>1</v>
          </cell>
          <cell r="K2663">
            <v>1</v>
          </cell>
        </row>
        <row r="2664">
          <cell r="A2664" t="str">
            <v>M2</v>
          </cell>
          <cell r="B2664" t="str">
            <v>A5C</v>
          </cell>
          <cell r="C2664" t="str">
            <v>TRIM</v>
          </cell>
          <cell r="D2664" t="str">
            <v>C-2301</v>
          </cell>
          <cell r="E2664" t="str">
            <v>NPL</v>
          </cell>
          <cell r="F2664">
            <v>2</v>
          </cell>
          <cell r="G2664" t="str">
            <v>CB132108000TVR</v>
          </cell>
          <cell r="H2664">
            <v>0.75</v>
          </cell>
          <cell r="I2664" t="str">
            <v>75mm</v>
          </cell>
          <cell r="J2664">
            <v>2</v>
          </cell>
          <cell r="K2664">
            <v>2</v>
          </cell>
        </row>
        <row r="2665">
          <cell r="A2665" t="str">
            <v>M2</v>
          </cell>
          <cell r="B2665" t="str">
            <v>A5C</v>
          </cell>
          <cell r="C2665" t="str">
            <v>P</v>
          </cell>
          <cell r="D2665" t="str">
            <v>23156</v>
          </cell>
          <cell r="E2665" t="str">
            <v>TEE</v>
          </cell>
          <cell r="F2665">
            <v>2</v>
          </cell>
          <cell r="G2665" t="str">
            <v>CB400300000T00</v>
          </cell>
          <cell r="H2665">
            <v>0.75</v>
          </cell>
          <cell r="I2665" t="str">
            <v>--</v>
          </cell>
          <cell r="J2665">
            <v>4</v>
          </cell>
          <cell r="K2665">
            <v>4</v>
          </cell>
        </row>
        <row r="2666">
          <cell r="A2666" t="str">
            <v>M2</v>
          </cell>
          <cell r="B2666" t="str">
            <v>A5C</v>
          </cell>
          <cell r="C2666" t="str">
            <v>P</v>
          </cell>
          <cell r="D2666" t="str">
            <v>24029</v>
          </cell>
          <cell r="E2666" t="str">
            <v>TEE</v>
          </cell>
          <cell r="F2666">
            <v>2</v>
          </cell>
          <cell r="G2666" t="str">
            <v>CB400300000T00</v>
          </cell>
          <cell r="H2666">
            <v>0.75</v>
          </cell>
          <cell r="I2666" t="str">
            <v>--</v>
          </cell>
          <cell r="J2666">
            <v>5</v>
          </cell>
          <cell r="K2666">
            <v>5</v>
          </cell>
        </row>
        <row r="2667">
          <cell r="A2667" t="str">
            <v>M2</v>
          </cell>
          <cell r="B2667" t="str">
            <v>A5C</v>
          </cell>
          <cell r="C2667" t="str">
            <v>P</v>
          </cell>
          <cell r="D2667" t="str">
            <v>99004</v>
          </cell>
          <cell r="E2667" t="str">
            <v>TEE</v>
          </cell>
          <cell r="F2667">
            <v>2</v>
          </cell>
          <cell r="G2667" t="str">
            <v>CB400300000T00</v>
          </cell>
          <cell r="H2667">
            <v>0.75</v>
          </cell>
          <cell r="I2667" t="str">
            <v>--</v>
          </cell>
          <cell r="J2667">
            <v>4</v>
          </cell>
          <cell r="K2667">
            <v>4</v>
          </cell>
        </row>
        <row r="2668">
          <cell r="A2668" t="str">
            <v>M2</v>
          </cell>
          <cell r="B2668" t="str">
            <v>A5C</v>
          </cell>
          <cell r="C2668" t="str">
            <v>TRIM</v>
          </cell>
          <cell r="D2668" t="str">
            <v>C-2301</v>
          </cell>
          <cell r="E2668" t="str">
            <v>TEE</v>
          </cell>
          <cell r="F2668">
            <v>2</v>
          </cell>
          <cell r="G2668" t="str">
            <v>CB400300000T00</v>
          </cell>
          <cell r="H2668">
            <v>0.75</v>
          </cell>
          <cell r="I2668" t="str">
            <v>--</v>
          </cell>
          <cell r="J2668">
            <v>1</v>
          </cell>
          <cell r="K2668">
            <v>1</v>
          </cell>
        </row>
        <row r="2669">
          <cell r="A2669" t="str">
            <v>M2</v>
          </cell>
          <cell r="B2669" t="str">
            <v>B2C</v>
          </cell>
          <cell r="C2669" t="str">
            <v>SH</v>
          </cell>
          <cell r="D2669" t="str">
            <v>23613</v>
          </cell>
          <cell r="E2669" t="str">
            <v>90 ELL</v>
          </cell>
          <cell r="F2669">
            <v>2</v>
          </cell>
          <cell r="G2669" t="str">
            <v>CB400100000100</v>
          </cell>
          <cell r="H2669">
            <v>1</v>
          </cell>
          <cell r="I2669" t="str">
            <v>--</v>
          </cell>
          <cell r="J2669">
            <v>2</v>
          </cell>
          <cell r="K2669">
            <v>2</v>
          </cell>
        </row>
        <row r="2670">
          <cell r="A2670" t="str">
            <v>M2</v>
          </cell>
          <cell r="B2670" t="str">
            <v>B2C</v>
          </cell>
          <cell r="C2670" t="str">
            <v>SH</v>
          </cell>
          <cell r="D2670" t="str">
            <v>24612</v>
          </cell>
          <cell r="E2670" t="str">
            <v>C SWG</v>
          </cell>
          <cell r="F2670">
            <v>2</v>
          </cell>
          <cell r="G2670" t="str">
            <v>CB16110808010T</v>
          </cell>
          <cell r="H2670">
            <v>1</v>
          </cell>
          <cell r="I2670">
            <v>0.75</v>
          </cell>
          <cell r="J2670">
            <v>1</v>
          </cell>
          <cell r="K2670">
            <v>1</v>
          </cell>
        </row>
        <row r="2671">
          <cell r="A2671" t="str">
            <v>M2</v>
          </cell>
          <cell r="B2671" t="str">
            <v>A5C</v>
          </cell>
          <cell r="C2671" t="str">
            <v>N</v>
          </cell>
          <cell r="D2671" t="str">
            <v>23631</v>
          </cell>
          <cell r="E2671" t="str">
            <v>90 ELL</v>
          </cell>
          <cell r="F2671">
            <v>2</v>
          </cell>
          <cell r="G2671" t="str">
            <v>CB400100000100</v>
          </cell>
          <cell r="H2671">
            <v>1</v>
          </cell>
          <cell r="I2671" t="str">
            <v>--</v>
          </cell>
          <cell r="J2671">
            <v>2</v>
          </cell>
          <cell r="K2671">
            <v>2</v>
          </cell>
        </row>
        <row r="2672">
          <cell r="A2672" t="str">
            <v>M2</v>
          </cell>
          <cell r="B2672" t="str">
            <v>A5C</v>
          </cell>
          <cell r="C2672" t="str">
            <v>N</v>
          </cell>
          <cell r="D2672" t="str">
            <v>23632</v>
          </cell>
          <cell r="E2672" t="str">
            <v>90 ELL</v>
          </cell>
          <cell r="F2672">
            <v>2</v>
          </cell>
          <cell r="G2672" t="str">
            <v>CB400100000100</v>
          </cell>
          <cell r="H2672">
            <v>1</v>
          </cell>
          <cell r="I2672" t="str">
            <v>--</v>
          </cell>
          <cell r="J2672">
            <v>3</v>
          </cell>
          <cell r="K2672">
            <v>3</v>
          </cell>
        </row>
        <row r="2673">
          <cell r="A2673" t="str">
            <v>M2</v>
          </cell>
          <cell r="B2673" t="str">
            <v>A5C</v>
          </cell>
          <cell r="C2673" t="str">
            <v>N</v>
          </cell>
          <cell r="D2673" t="str">
            <v>23634</v>
          </cell>
          <cell r="E2673" t="str">
            <v>90 ELL</v>
          </cell>
          <cell r="F2673">
            <v>2</v>
          </cell>
          <cell r="G2673" t="str">
            <v>CB400100000100</v>
          </cell>
          <cell r="H2673">
            <v>1</v>
          </cell>
          <cell r="I2673" t="str">
            <v>--</v>
          </cell>
          <cell r="J2673">
            <v>3</v>
          </cell>
          <cell r="K2673">
            <v>3</v>
          </cell>
        </row>
        <row r="2674">
          <cell r="A2674" t="str">
            <v>M2</v>
          </cell>
          <cell r="B2674" t="str">
            <v>A5C</v>
          </cell>
          <cell r="C2674" t="str">
            <v>N</v>
          </cell>
          <cell r="D2674" t="str">
            <v>23640</v>
          </cell>
          <cell r="E2674" t="str">
            <v>90 ELL</v>
          </cell>
          <cell r="F2674">
            <v>2</v>
          </cell>
          <cell r="G2674" t="str">
            <v>CB400100000100</v>
          </cell>
          <cell r="H2674">
            <v>1</v>
          </cell>
          <cell r="I2674" t="str">
            <v>--</v>
          </cell>
          <cell r="J2674">
            <v>3</v>
          </cell>
          <cell r="K2674">
            <v>3</v>
          </cell>
        </row>
        <row r="2675">
          <cell r="A2675" t="str">
            <v>M2</v>
          </cell>
          <cell r="B2675" t="str">
            <v>A5C</v>
          </cell>
          <cell r="C2675" t="str">
            <v>N</v>
          </cell>
          <cell r="D2675" t="str">
            <v>23633</v>
          </cell>
          <cell r="E2675" t="str">
            <v>90 ELL</v>
          </cell>
          <cell r="F2675">
            <v>2</v>
          </cell>
          <cell r="G2675" t="str">
            <v>CB400100000100</v>
          </cell>
          <cell r="H2675">
            <v>1</v>
          </cell>
          <cell r="I2675" t="str">
            <v>--</v>
          </cell>
          <cell r="J2675">
            <v>3</v>
          </cell>
          <cell r="K2675">
            <v>3</v>
          </cell>
        </row>
        <row r="2676">
          <cell r="A2676" t="str">
            <v>M2</v>
          </cell>
          <cell r="B2676" t="str">
            <v>A5C</v>
          </cell>
          <cell r="C2676" t="str">
            <v>N</v>
          </cell>
          <cell r="D2676" t="str">
            <v>23636</v>
          </cell>
          <cell r="E2676" t="str">
            <v>90 ELL</v>
          </cell>
          <cell r="F2676">
            <v>2</v>
          </cell>
          <cell r="G2676" t="str">
            <v>CB400100000100</v>
          </cell>
          <cell r="H2676">
            <v>1</v>
          </cell>
          <cell r="I2676" t="str">
            <v>--</v>
          </cell>
          <cell r="J2676">
            <v>3</v>
          </cell>
          <cell r="K2676">
            <v>3</v>
          </cell>
        </row>
        <row r="2677">
          <cell r="A2677" t="str">
            <v>M2</v>
          </cell>
          <cell r="B2677" t="str">
            <v>A5C</v>
          </cell>
          <cell r="C2677" t="str">
            <v>N</v>
          </cell>
          <cell r="D2677" t="str">
            <v>23639</v>
          </cell>
          <cell r="E2677" t="str">
            <v>90 ELL</v>
          </cell>
          <cell r="F2677">
            <v>2</v>
          </cell>
          <cell r="G2677" t="str">
            <v>CB400100000100</v>
          </cell>
          <cell r="H2677">
            <v>1</v>
          </cell>
          <cell r="I2677" t="str">
            <v>--</v>
          </cell>
          <cell r="J2677">
            <v>2</v>
          </cell>
          <cell r="K2677">
            <v>2</v>
          </cell>
        </row>
        <row r="2678">
          <cell r="A2678" t="str">
            <v>M2</v>
          </cell>
          <cell r="B2678" t="str">
            <v>A5C</v>
          </cell>
          <cell r="C2678" t="str">
            <v>P</v>
          </cell>
          <cell r="D2678" t="str">
            <v>23006</v>
          </cell>
          <cell r="E2678" t="str">
            <v>90 ELL</v>
          </cell>
          <cell r="F2678">
            <v>2</v>
          </cell>
          <cell r="G2678" t="str">
            <v>CB400100000100</v>
          </cell>
          <cell r="H2678">
            <v>1</v>
          </cell>
          <cell r="I2678" t="str">
            <v>--</v>
          </cell>
          <cell r="J2678">
            <v>2</v>
          </cell>
          <cell r="K2678">
            <v>2</v>
          </cell>
        </row>
        <row r="2679">
          <cell r="A2679" t="str">
            <v>M2</v>
          </cell>
          <cell r="B2679" t="str">
            <v>A5C</v>
          </cell>
          <cell r="C2679" t="str">
            <v>P</v>
          </cell>
          <cell r="D2679" t="str">
            <v>23037</v>
          </cell>
          <cell r="E2679" t="str">
            <v>90 ELL</v>
          </cell>
          <cell r="F2679">
            <v>2</v>
          </cell>
          <cell r="G2679" t="str">
            <v>CB400100000100</v>
          </cell>
          <cell r="H2679">
            <v>1</v>
          </cell>
          <cell r="I2679" t="str">
            <v>--</v>
          </cell>
          <cell r="J2679">
            <v>2</v>
          </cell>
          <cell r="K2679">
            <v>2</v>
          </cell>
        </row>
        <row r="2680">
          <cell r="A2680" t="str">
            <v>M2</v>
          </cell>
          <cell r="B2680" t="str">
            <v>A5C</v>
          </cell>
          <cell r="C2680" t="str">
            <v>P</v>
          </cell>
          <cell r="D2680" t="str">
            <v>23052</v>
          </cell>
          <cell r="E2680" t="str">
            <v>90 ELL</v>
          </cell>
          <cell r="F2680">
            <v>2</v>
          </cell>
          <cell r="G2680" t="str">
            <v>CB400100000100</v>
          </cell>
          <cell r="H2680">
            <v>1</v>
          </cell>
          <cell r="I2680" t="str">
            <v>--</v>
          </cell>
          <cell r="J2680">
            <v>2</v>
          </cell>
          <cell r="K2680">
            <v>2</v>
          </cell>
        </row>
        <row r="2681">
          <cell r="A2681" t="str">
            <v>M2</v>
          </cell>
          <cell r="B2681" t="str">
            <v>A5C</v>
          </cell>
          <cell r="C2681" t="str">
            <v>P</v>
          </cell>
          <cell r="D2681" t="str">
            <v>23063</v>
          </cell>
          <cell r="E2681" t="str">
            <v>90 ELL</v>
          </cell>
          <cell r="F2681">
            <v>2</v>
          </cell>
          <cell r="G2681" t="str">
            <v>CB400100000100</v>
          </cell>
          <cell r="H2681">
            <v>1</v>
          </cell>
          <cell r="I2681" t="str">
            <v>--</v>
          </cell>
          <cell r="J2681">
            <v>2</v>
          </cell>
          <cell r="K2681">
            <v>2</v>
          </cell>
        </row>
        <row r="2682">
          <cell r="A2682" t="str">
            <v>M2</v>
          </cell>
          <cell r="B2682" t="str">
            <v>A5C</v>
          </cell>
          <cell r="C2682" t="str">
            <v>P</v>
          </cell>
          <cell r="D2682" t="str">
            <v>23078</v>
          </cell>
          <cell r="E2682" t="str">
            <v>90 ELL</v>
          </cell>
          <cell r="F2682">
            <v>2</v>
          </cell>
          <cell r="G2682" t="str">
            <v>CB400100000100</v>
          </cell>
          <cell r="H2682">
            <v>1</v>
          </cell>
          <cell r="I2682" t="str">
            <v>--</v>
          </cell>
          <cell r="J2682">
            <v>2</v>
          </cell>
          <cell r="K2682">
            <v>2</v>
          </cell>
        </row>
        <row r="2683">
          <cell r="A2683" t="str">
            <v>M2</v>
          </cell>
          <cell r="B2683" t="str">
            <v>A5C</v>
          </cell>
          <cell r="C2683" t="str">
            <v>P</v>
          </cell>
          <cell r="D2683" t="str">
            <v>23083</v>
          </cell>
          <cell r="E2683" t="str">
            <v>90 ELL</v>
          </cell>
          <cell r="F2683">
            <v>2</v>
          </cell>
          <cell r="G2683" t="str">
            <v>CB400100000100</v>
          </cell>
          <cell r="H2683">
            <v>1</v>
          </cell>
          <cell r="I2683" t="str">
            <v>--</v>
          </cell>
          <cell r="J2683">
            <v>6</v>
          </cell>
          <cell r="K2683">
            <v>6</v>
          </cell>
        </row>
        <row r="2684">
          <cell r="A2684" t="str">
            <v>M2</v>
          </cell>
          <cell r="B2684" t="str">
            <v>A5C</v>
          </cell>
          <cell r="C2684" t="str">
            <v>P</v>
          </cell>
          <cell r="D2684" t="str">
            <v>23104</v>
          </cell>
          <cell r="E2684" t="str">
            <v>90 ELL</v>
          </cell>
          <cell r="F2684">
            <v>2</v>
          </cell>
          <cell r="G2684" t="str">
            <v>CB400100000100</v>
          </cell>
          <cell r="H2684">
            <v>1</v>
          </cell>
          <cell r="I2684" t="str">
            <v>--</v>
          </cell>
          <cell r="J2684">
            <v>3</v>
          </cell>
          <cell r="K2684">
            <v>3</v>
          </cell>
        </row>
        <row r="2685">
          <cell r="A2685" t="str">
            <v>M2</v>
          </cell>
          <cell r="B2685" t="str">
            <v>A5C</v>
          </cell>
          <cell r="C2685" t="str">
            <v>P</v>
          </cell>
          <cell r="D2685" t="str">
            <v>23104</v>
          </cell>
          <cell r="E2685" t="str">
            <v>90 ELL</v>
          </cell>
          <cell r="F2685">
            <v>2</v>
          </cell>
          <cell r="G2685" t="str">
            <v>CB400100000100</v>
          </cell>
          <cell r="H2685">
            <v>1</v>
          </cell>
          <cell r="I2685" t="str">
            <v>--</v>
          </cell>
          <cell r="J2685">
            <v>2</v>
          </cell>
          <cell r="K2685">
            <v>2</v>
          </cell>
        </row>
        <row r="2686">
          <cell r="A2686" t="str">
            <v>M2</v>
          </cell>
          <cell r="B2686" t="str">
            <v>A5C</v>
          </cell>
          <cell r="C2686" t="str">
            <v>P</v>
          </cell>
          <cell r="D2686" t="str">
            <v>23108</v>
          </cell>
          <cell r="E2686" t="str">
            <v>90 ELL</v>
          </cell>
          <cell r="F2686">
            <v>2</v>
          </cell>
          <cell r="G2686" t="str">
            <v>CB400100000100</v>
          </cell>
          <cell r="H2686">
            <v>1</v>
          </cell>
          <cell r="I2686" t="str">
            <v>--</v>
          </cell>
          <cell r="J2686">
            <v>3</v>
          </cell>
          <cell r="K2686">
            <v>3</v>
          </cell>
        </row>
        <row r="2687">
          <cell r="A2687" t="str">
            <v>M2</v>
          </cell>
          <cell r="B2687" t="str">
            <v>A5C</v>
          </cell>
          <cell r="C2687" t="str">
            <v>P</v>
          </cell>
          <cell r="D2687" t="str">
            <v>23112</v>
          </cell>
          <cell r="E2687" t="str">
            <v>90 ELL</v>
          </cell>
          <cell r="F2687">
            <v>2</v>
          </cell>
          <cell r="G2687" t="str">
            <v>CB400100000100</v>
          </cell>
          <cell r="H2687">
            <v>1</v>
          </cell>
          <cell r="I2687" t="str">
            <v>--</v>
          </cell>
          <cell r="J2687">
            <v>2</v>
          </cell>
          <cell r="K2687">
            <v>2</v>
          </cell>
        </row>
        <row r="2688">
          <cell r="A2688" t="str">
            <v>M2</v>
          </cell>
          <cell r="B2688" t="str">
            <v>A5C</v>
          </cell>
          <cell r="C2688" t="str">
            <v>P</v>
          </cell>
          <cell r="D2688" t="str">
            <v>23122</v>
          </cell>
          <cell r="E2688" t="str">
            <v>90 ELL</v>
          </cell>
          <cell r="F2688">
            <v>2</v>
          </cell>
          <cell r="G2688" t="str">
            <v>CB400100000100</v>
          </cell>
          <cell r="H2688">
            <v>1</v>
          </cell>
          <cell r="I2688" t="str">
            <v>--</v>
          </cell>
          <cell r="J2688">
            <v>6</v>
          </cell>
          <cell r="K2688">
            <v>6</v>
          </cell>
        </row>
        <row r="2689">
          <cell r="A2689" t="str">
            <v>M2</v>
          </cell>
          <cell r="B2689" t="str">
            <v>A5C</v>
          </cell>
          <cell r="C2689" t="str">
            <v>P</v>
          </cell>
          <cell r="D2689" t="str">
            <v>23144</v>
          </cell>
          <cell r="E2689" t="str">
            <v>90 ELL</v>
          </cell>
          <cell r="F2689">
            <v>2</v>
          </cell>
          <cell r="G2689" t="str">
            <v>CB400100000100</v>
          </cell>
          <cell r="H2689">
            <v>1</v>
          </cell>
          <cell r="I2689" t="str">
            <v>--</v>
          </cell>
          <cell r="J2689">
            <v>7</v>
          </cell>
          <cell r="K2689">
            <v>7</v>
          </cell>
        </row>
        <row r="2690">
          <cell r="A2690" t="str">
            <v>M2</v>
          </cell>
          <cell r="B2690" t="str">
            <v>A5C</v>
          </cell>
          <cell r="C2690" t="str">
            <v>P</v>
          </cell>
          <cell r="D2690" t="str">
            <v>23148</v>
          </cell>
          <cell r="E2690" t="str">
            <v>90 ELL</v>
          </cell>
          <cell r="F2690">
            <v>2</v>
          </cell>
          <cell r="G2690" t="str">
            <v>CB400100000100</v>
          </cell>
          <cell r="H2690">
            <v>1</v>
          </cell>
          <cell r="I2690" t="str">
            <v>--</v>
          </cell>
          <cell r="J2690">
            <v>10</v>
          </cell>
          <cell r="K2690">
            <v>10</v>
          </cell>
        </row>
        <row r="2691">
          <cell r="A2691" t="str">
            <v>M2</v>
          </cell>
          <cell r="B2691" t="str">
            <v>A5C</v>
          </cell>
          <cell r="C2691" t="str">
            <v>P</v>
          </cell>
          <cell r="D2691" t="str">
            <v>23149</v>
          </cell>
          <cell r="E2691" t="str">
            <v>90 ELL</v>
          </cell>
          <cell r="F2691">
            <v>2</v>
          </cell>
          <cell r="G2691" t="str">
            <v>CB400100000100</v>
          </cell>
          <cell r="H2691">
            <v>1</v>
          </cell>
          <cell r="I2691" t="str">
            <v>--</v>
          </cell>
          <cell r="J2691">
            <v>1</v>
          </cell>
          <cell r="K2691">
            <v>1</v>
          </cell>
        </row>
        <row r="2692">
          <cell r="A2692" t="str">
            <v>M2</v>
          </cell>
          <cell r="B2692" t="str">
            <v>A5C</v>
          </cell>
          <cell r="C2692" t="str">
            <v>P</v>
          </cell>
          <cell r="D2692" t="str">
            <v>23212</v>
          </cell>
          <cell r="E2692" t="str">
            <v>90 ELL</v>
          </cell>
          <cell r="F2692">
            <v>2</v>
          </cell>
          <cell r="G2692" t="str">
            <v>CB400100000100</v>
          </cell>
          <cell r="H2692">
            <v>1</v>
          </cell>
          <cell r="I2692" t="str">
            <v>--</v>
          </cell>
          <cell r="J2692">
            <v>3</v>
          </cell>
          <cell r="K2692">
            <v>3</v>
          </cell>
        </row>
        <row r="2693">
          <cell r="A2693" t="str">
            <v>M2</v>
          </cell>
          <cell r="B2693" t="str">
            <v>A5C</v>
          </cell>
          <cell r="C2693" t="str">
            <v>P</v>
          </cell>
          <cell r="D2693" t="str">
            <v>23214</v>
          </cell>
          <cell r="E2693" t="str">
            <v>90 ELL</v>
          </cell>
          <cell r="F2693">
            <v>2</v>
          </cell>
          <cell r="G2693" t="str">
            <v>CB400100000100</v>
          </cell>
          <cell r="H2693">
            <v>1</v>
          </cell>
          <cell r="I2693" t="str">
            <v>--</v>
          </cell>
          <cell r="J2693">
            <v>3</v>
          </cell>
          <cell r="K2693">
            <v>3</v>
          </cell>
        </row>
        <row r="2694">
          <cell r="A2694" t="str">
            <v>M2</v>
          </cell>
          <cell r="B2694" t="str">
            <v>A5C</v>
          </cell>
          <cell r="C2694" t="str">
            <v>P</v>
          </cell>
          <cell r="D2694" t="str">
            <v>23230</v>
          </cell>
          <cell r="E2694" t="str">
            <v>90 ELL</v>
          </cell>
          <cell r="F2694">
            <v>2</v>
          </cell>
          <cell r="G2694" t="str">
            <v>CB400100000100</v>
          </cell>
          <cell r="H2694">
            <v>1</v>
          </cell>
          <cell r="I2694" t="str">
            <v>--</v>
          </cell>
          <cell r="J2694">
            <v>3</v>
          </cell>
          <cell r="K2694">
            <v>3</v>
          </cell>
        </row>
        <row r="2695">
          <cell r="A2695" t="str">
            <v>M2</v>
          </cell>
          <cell r="B2695" t="str">
            <v>A5C</v>
          </cell>
          <cell r="C2695" t="str">
            <v>P</v>
          </cell>
          <cell r="D2695" t="str">
            <v>23252</v>
          </cell>
          <cell r="E2695" t="str">
            <v>90 ELL</v>
          </cell>
          <cell r="F2695">
            <v>2</v>
          </cell>
          <cell r="G2695" t="str">
            <v>CB400100000100</v>
          </cell>
          <cell r="H2695">
            <v>1</v>
          </cell>
          <cell r="I2695" t="str">
            <v>--</v>
          </cell>
          <cell r="J2695">
            <v>6</v>
          </cell>
          <cell r="K2695">
            <v>6</v>
          </cell>
        </row>
        <row r="2696">
          <cell r="A2696" t="str">
            <v>M2</v>
          </cell>
          <cell r="B2696" t="str">
            <v>A5C</v>
          </cell>
          <cell r="C2696" t="str">
            <v>P</v>
          </cell>
          <cell r="D2696" t="str">
            <v>24007</v>
          </cell>
          <cell r="E2696" t="str">
            <v>90 ELL</v>
          </cell>
          <cell r="F2696">
            <v>2</v>
          </cell>
          <cell r="G2696" t="str">
            <v>CB400100000100</v>
          </cell>
          <cell r="H2696">
            <v>1</v>
          </cell>
          <cell r="I2696" t="str">
            <v>--</v>
          </cell>
          <cell r="J2696">
            <v>1</v>
          </cell>
          <cell r="K2696">
            <v>1</v>
          </cell>
        </row>
        <row r="2697">
          <cell r="A2697" t="str">
            <v>M2</v>
          </cell>
          <cell r="B2697" t="str">
            <v>A5C</v>
          </cell>
          <cell r="C2697" t="str">
            <v>P</v>
          </cell>
          <cell r="D2697" t="str">
            <v>24013</v>
          </cell>
          <cell r="E2697" t="str">
            <v>90 ELL</v>
          </cell>
          <cell r="F2697">
            <v>2</v>
          </cell>
          <cell r="G2697" t="str">
            <v>CB400100000100</v>
          </cell>
          <cell r="H2697">
            <v>1</v>
          </cell>
          <cell r="I2697" t="str">
            <v>--</v>
          </cell>
          <cell r="J2697">
            <v>5</v>
          </cell>
          <cell r="K2697">
            <v>5</v>
          </cell>
        </row>
        <row r="2698">
          <cell r="A2698" t="str">
            <v>M2</v>
          </cell>
          <cell r="B2698" t="str">
            <v>A5C</v>
          </cell>
          <cell r="C2698" t="str">
            <v>P</v>
          </cell>
          <cell r="D2698" t="str">
            <v>24020</v>
          </cell>
          <cell r="E2698" t="str">
            <v>90 ELL</v>
          </cell>
          <cell r="F2698">
            <v>2</v>
          </cell>
          <cell r="G2698" t="str">
            <v>CB400100000100</v>
          </cell>
          <cell r="H2698">
            <v>1</v>
          </cell>
          <cell r="I2698" t="str">
            <v>--</v>
          </cell>
          <cell r="J2698">
            <v>3</v>
          </cell>
          <cell r="K2698">
            <v>3</v>
          </cell>
        </row>
        <row r="2699">
          <cell r="A2699" t="str">
            <v>M2</v>
          </cell>
          <cell r="B2699" t="str">
            <v>A5C</v>
          </cell>
          <cell r="C2699" t="str">
            <v>N</v>
          </cell>
          <cell r="D2699" t="str">
            <v>23635</v>
          </cell>
          <cell r="E2699" t="str">
            <v>90 ELL</v>
          </cell>
          <cell r="F2699">
            <v>2</v>
          </cell>
          <cell r="G2699" t="str">
            <v>CB400100000100</v>
          </cell>
          <cell r="H2699">
            <v>1</v>
          </cell>
          <cell r="I2699" t="str">
            <v>--</v>
          </cell>
          <cell r="J2699">
            <v>3</v>
          </cell>
          <cell r="K2699">
            <v>3</v>
          </cell>
        </row>
        <row r="2700">
          <cell r="A2700" t="str">
            <v>M2</v>
          </cell>
          <cell r="B2700" t="str">
            <v>A5C</v>
          </cell>
          <cell r="C2700" t="str">
            <v>N</v>
          </cell>
          <cell r="D2700" t="str">
            <v>23637</v>
          </cell>
          <cell r="E2700" t="str">
            <v>90 ELL</v>
          </cell>
          <cell r="F2700">
            <v>2</v>
          </cell>
          <cell r="G2700" t="str">
            <v>CB400100000100</v>
          </cell>
          <cell r="H2700">
            <v>1</v>
          </cell>
          <cell r="I2700" t="str">
            <v>--</v>
          </cell>
          <cell r="J2700">
            <v>2</v>
          </cell>
          <cell r="K2700">
            <v>2</v>
          </cell>
        </row>
        <row r="2701">
          <cell r="A2701" t="str">
            <v>M2</v>
          </cell>
          <cell r="B2701" t="str">
            <v>A5C</v>
          </cell>
          <cell r="C2701" t="str">
            <v>N</v>
          </cell>
          <cell r="D2701" t="str">
            <v>23638</v>
          </cell>
          <cell r="E2701" t="str">
            <v>90 ELL</v>
          </cell>
          <cell r="F2701">
            <v>2</v>
          </cell>
          <cell r="G2701" t="str">
            <v>CB400100000100</v>
          </cell>
          <cell r="H2701">
            <v>1</v>
          </cell>
          <cell r="I2701" t="str">
            <v>--</v>
          </cell>
          <cell r="J2701">
            <v>3</v>
          </cell>
          <cell r="K2701">
            <v>3</v>
          </cell>
        </row>
        <row r="2702">
          <cell r="A2702" t="str">
            <v>M2</v>
          </cell>
          <cell r="B2702" t="str">
            <v>A5C</v>
          </cell>
          <cell r="C2702" t="str">
            <v>P</v>
          </cell>
          <cell r="D2702" t="str">
            <v>23035</v>
          </cell>
          <cell r="E2702" t="str">
            <v>90 ELL</v>
          </cell>
          <cell r="F2702">
            <v>2</v>
          </cell>
          <cell r="G2702" t="str">
            <v>CB400100000100</v>
          </cell>
          <cell r="H2702">
            <v>1</v>
          </cell>
          <cell r="I2702" t="str">
            <v>--</v>
          </cell>
          <cell r="J2702">
            <v>2</v>
          </cell>
          <cell r="K2702">
            <v>2</v>
          </cell>
        </row>
        <row r="2703">
          <cell r="A2703" t="str">
            <v>M2</v>
          </cell>
          <cell r="B2703" t="str">
            <v>A5C</v>
          </cell>
          <cell r="C2703" t="str">
            <v>P</v>
          </cell>
          <cell r="D2703" t="str">
            <v>23108</v>
          </cell>
          <cell r="E2703" t="str">
            <v>90 ELL</v>
          </cell>
          <cell r="F2703">
            <v>2</v>
          </cell>
          <cell r="G2703" t="str">
            <v>CB400100000100</v>
          </cell>
          <cell r="H2703">
            <v>1</v>
          </cell>
          <cell r="I2703" t="str">
            <v>--</v>
          </cell>
          <cell r="J2703">
            <v>2</v>
          </cell>
          <cell r="K2703">
            <v>2</v>
          </cell>
        </row>
        <row r="2704">
          <cell r="A2704" t="str">
            <v>M2</v>
          </cell>
          <cell r="B2704" t="str">
            <v>A5C</v>
          </cell>
          <cell r="C2704" t="str">
            <v>P</v>
          </cell>
          <cell r="D2704" t="str">
            <v>23112</v>
          </cell>
          <cell r="E2704" t="str">
            <v>90 ELL</v>
          </cell>
          <cell r="F2704">
            <v>2</v>
          </cell>
          <cell r="G2704" t="str">
            <v>CB400100000100</v>
          </cell>
          <cell r="H2704">
            <v>1</v>
          </cell>
          <cell r="I2704" t="str">
            <v>--</v>
          </cell>
          <cell r="J2704">
            <v>3</v>
          </cell>
          <cell r="K2704">
            <v>3</v>
          </cell>
        </row>
        <row r="2705">
          <cell r="A2705" t="str">
            <v>M2</v>
          </cell>
          <cell r="B2705" t="str">
            <v>A5C</v>
          </cell>
          <cell r="C2705" t="str">
            <v>P</v>
          </cell>
          <cell r="D2705" t="str">
            <v>23164</v>
          </cell>
          <cell r="E2705" t="str">
            <v>90 ELL</v>
          </cell>
          <cell r="F2705">
            <v>2</v>
          </cell>
          <cell r="G2705" t="str">
            <v>CB400100000100</v>
          </cell>
          <cell r="H2705">
            <v>1</v>
          </cell>
          <cell r="I2705" t="str">
            <v>--</v>
          </cell>
          <cell r="J2705">
            <v>2</v>
          </cell>
          <cell r="K2705">
            <v>2</v>
          </cell>
        </row>
        <row r="2706">
          <cell r="A2706" t="str">
            <v>M2</v>
          </cell>
          <cell r="B2706" t="str">
            <v>A5C</v>
          </cell>
          <cell r="C2706" t="str">
            <v>P</v>
          </cell>
          <cell r="D2706" t="str">
            <v>23213</v>
          </cell>
          <cell r="E2706" t="str">
            <v>90 ELL</v>
          </cell>
          <cell r="F2706">
            <v>2</v>
          </cell>
          <cell r="G2706" t="str">
            <v>CB400100000100</v>
          </cell>
          <cell r="H2706">
            <v>1</v>
          </cell>
          <cell r="I2706" t="str">
            <v>--</v>
          </cell>
          <cell r="J2706">
            <v>3</v>
          </cell>
          <cell r="K2706">
            <v>3</v>
          </cell>
        </row>
        <row r="2707">
          <cell r="A2707" t="str">
            <v>M2</v>
          </cell>
          <cell r="B2707" t="str">
            <v>A5C</v>
          </cell>
          <cell r="C2707" t="str">
            <v>P</v>
          </cell>
          <cell r="D2707" t="str">
            <v>23245</v>
          </cell>
          <cell r="E2707" t="str">
            <v>90 ELL</v>
          </cell>
          <cell r="F2707">
            <v>2</v>
          </cell>
          <cell r="G2707" t="str">
            <v>CB400100000100</v>
          </cell>
          <cell r="H2707">
            <v>1</v>
          </cell>
          <cell r="I2707" t="str">
            <v>--</v>
          </cell>
          <cell r="J2707">
            <v>6</v>
          </cell>
          <cell r="K2707">
            <v>6</v>
          </cell>
        </row>
        <row r="2708">
          <cell r="A2708" t="str">
            <v>M2</v>
          </cell>
          <cell r="B2708" t="str">
            <v>A5C</v>
          </cell>
          <cell r="C2708" t="str">
            <v>P</v>
          </cell>
          <cell r="D2708" t="str">
            <v>24008</v>
          </cell>
          <cell r="E2708" t="str">
            <v>90 ELL</v>
          </cell>
          <cell r="F2708">
            <v>2</v>
          </cell>
          <cell r="G2708" t="str">
            <v>CB400100000100</v>
          </cell>
          <cell r="H2708">
            <v>1</v>
          </cell>
          <cell r="I2708" t="str">
            <v>--</v>
          </cell>
          <cell r="J2708">
            <v>10</v>
          </cell>
          <cell r="K2708">
            <v>10</v>
          </cell>
        </row>
        <row r="2709">
          <cell r="A2709" t="str">
            <v>M2</v>
          </cell>
          <cell r="B2709" t="str">
            <v>A5C</v>
          </cell>
          <cell r="C2709" t="str">
            <v>P</v>
          </cell>
          <cell r="D2709" t="str">
            <v>99003</v>
          </cell>
          <cell r="E2709" t="str">
            <v>90 ELL</v>
          </cell>
          <cell r="F2709">
            <v>2</v>
          </cell>
          <cell r="G2709" t="str">
            <v>CB400100000100</v>
          </cell>
          <cell r="H2709">
            <v>1</v>
          </cell>
          <cell r="I2709" t="str">
            <v>--</v>
          </cell>
          <cell r="J2709">
            <v>2</v>
          </cell>
          <cell r="K2709">
            <v>2</v>
          </cell>
        </row>
        <row r="2710">
          <cell r="A2710" t="str">
            <v>M2</v>
          </cell>
          <cell r="B2710" t="str">
            <v>A5C</v>
          </cell>
          <cell r="C2710" t="str">
            <v>P</v>
          </cell>
          <cell r="D2710" t="str">
            <v>23081</v>
          </cell>
          <cell r="E2710" t="str">
            <v>C SWG</v>
          </cell>
          <cell r="F2710">
            <v>2</v>
          </cell>
          <cell r="G2710" t="str">
            <v>CB16110808010T</v>
          </cell>
          <cell r="H2710">
            <v>1</v>
          </cell>
          <cell r="I2710">
            <v>0.75</v>
          </cell>
          <cell r="J2710">
            <v>1</v>
          </cell>
          <cell r="K2710">
            <v>1</v>
          </cell>
        </row>
        <row r="2711">
          <cell r="A2711" t="str">
            <v>M2</v>
          </cell>
          <cell r="B2711" t="str">
            <v>A5C</v>
          </cell>
          <cell r="C2711" t="str">
            <v>P</v>
          </cell>
          <cell r="D2711" t="str">
            <v>23101</v>
          </cell>
          <cell r="E2711" t="str">
            <v>C SWG</v>
          </cell>
          <cell r="F2711">
            <v>2</v>
          </cell>
          <cell r="G2711" t="str">
            <v>CB16110808010T</v>
          </cell>
          <cell r="H2711">
            <v>1</v>
          </cell>
          <cell r="I2711">
            <v>0.75</v>
          </cell>
          <cell r="J2711">
            <v>1</v>
          </cell>
          <cell r="K2711">
            <v>1</v>
          </cell>
        </row>
        <row r="2712">
          <cell r="A2712" t="str">
            <v>M2</v>
          </cell>
          <cell r="B2712" t="str">
            <v>A5C</v>
          </cell>
          <cell r="C2712" t="str">
            <v>P</v>
          </cell>
          <cell r="D2712" t="str">
            <v>23104</v>
          </cell>
          <cell r="E2712" t="str">
            <v>C SWG</v>
          </cell>
          <cell r="F2712">
            <v>2</v>
          </cell>
          <cell r="G2712" t="str">
            <v>CB16110808010T</v>
          </cell>
          <cell r="H2712">
            <v>1</v>
          </cell>
          <cell r="I2712">
            <v>0.75</v>
          </cell>
          <cell r="J2712">
            <v>3</v>
          </cell>
          <cell r="K2712">
            <v>3</v>
          </cell>
        </row>
        <row r="2713">
          <cell r="A2713" t="str">
            <v>M2</v>
          </cell>
          <cell r="B2713" t="str">
            <v>A5C</v>
          </cell>
          <cell r="C2713" t="str">
            <v>P</v>
          </cell>
          <cell r="D2713" t="str">
            <v>23104</v>
          </cell>
          <cell r="E2713" t="str">
            <v>C SWG</v>
          </cell>
          <cell r="F2713">
            <v>2</v>
          </cell>
          <cell r="G2713" t="str">
            <v>CB16110808010T</v>
          </cell>
          <cell r="H2713">
            <v>1</v>
          </cell>
          <cell r="I2713">
            <v>0.75</v>
          </cell>
          <cell r="J2713">
            <v>3</v>
          </cell>
          <cell r="K2713">
            <v>3</v>
          </cell>
        </row>
        <row r="2714">
          <cell r="A2714" t="str">
            <v>M2</v>
          </cell>
          <cell r="B2714" t="str">
            <v>A5C</v>
          </cell>
          <cell r="C2714" t="str">
            <v>P</v>
          </cell>
          <cell r="D2714" t="str">
            <v>23105</v>
          </cell>
          <cell r="E2714" t="str">
            <v>C SWG</v>
          </cell>
          <cell r="F2714">
            <v>2</v>
          </cell>
          <cell r="G2714" t="str">
            <v>CB16110808010T</v>
          </cell>
          <cell r="H2714">
            <v>1</v>
          </cell>
          <cell r="I2714">
            <v>0.75</v>
          </cell>
          <cell r="J2714">
            <v>1</v>
          </cell>
          <cell r="K2714">
            <v>1</v>
          </cell>
        </row>
        <row r="2715">
          <cell r="A2715" t="str">
            <v>M2</v>
          </cell>
          <cell r="B2715" t="str">
            <v>A5C</v>
          </cell>
          <cell r="C2715" t="str">
            <v>P</v>
          </cell>
          <cell r="D2715" t="str">
            <v>23112</v>
          </cell>
          <cell r="E2715" t="str">
            <v>C SWG</v>
          </cell>
          <cell r="F2715">
            <v>2</v>
          </cell>
          <cell r="G2715" t="str">
            <v>CB16110808010T</v>
          </cell>
          <cell r="H2715">
            <v>1</v>
          </cell>
          <cell r="I2715">
            <v>0.75</v>
          </cell>
          <cell r="J2715">
            <v>3</v>
          </cell>
          <cell r="K2715">
            <v>3</v>
          </cell>
        </row>
        <row r="2716">
          <cell r="A2716" t="str">
            <v>M2</v>
          </cell>
          <cell r="B2716" t="str">
            <v>A5C</v>
          </cell>
          <cell r="C2716" t="str">
            <v>P</v>
          </cell>
          <cell r="D2716" t="str">
            <v>23113</v>
          </cell>
          <cell r="E2716" t="str">
            <v>C SWG</v>
          </cell>
          <cell r="F2716">
            <v>2</v>
          </cell>
          <cell r="G2716" t="str">
            <v>CB16110808010T</v>
          </cell>
          <cell r="H2716">
            <v>1</v>
          </cell>
          <cell r="I2716">
            <v>0.75</v>
          </cell>
          <cell r="J2716">
            <v>1</v>
          </cell>
          <cell r="K2716">
            <v>1</v>
          </cell>
        </row>
        <row r="2717">
          <cell r="A2717" t="str">
            <v>M2</v>
          </cell>
          <cell r="B2717" t="str">
            <v>A5C</v>
          </cell>
          <cell r="C2717" t="str">
            <v>P</v>
          </cell>
          <cell r="D2717" t="str">
            <v>23144</v>
          </cell>
          <cell r="E2717" t="str">
            <v>C SWG</v>
          </cell>
          <cell r="F2717">
            <v>2</v>
          </cell>
          <cell r="G2717" t="str">
            <v>CB16110808010T</v>
          </cell>
          <cell r="H2717">
            <v>1</v>
          </cell>
          <cell r="I2717">
            <v>0.75</v>
          </cell>
          <cell r="J2717">
            <v>2</v>
          </cell>
          <cell r="K2717">
            <v>2</v>
          </cell>
        </row>
        <row r="2718">
          <cell r="A2718" t="str">
            <v>M2</v>
          </cell>
          <cell r="B2718" t="str">
            <v>A5C</v>
          </cell>
          <cell r="C2718" t="str">
            <v>P</v>
          </cell>
          <cell r="D2718" t="str">
            <v>23145</v>
          </cell>
          <cell r="E2718" t="str">
            <v>C SWG</v>
          </cell>
          <cell r="F2718">
            <v>2</v>
          </cell>
          <cell r="G2718" t="str">
            <v>CB16110808010T</v>
          </cell>
          <cell r="H2718">
            <v>1</v>
          </cell>
          <cell r="I2718">
            <v>0.75</v>
          </cell>
          <cell r="J2718">
            <v>1</v>
          </cell>
          <cell r="K2718">
            <v>1</v>
          </cell>
        </row>
        <row r="2719">
          <cell r="A2719" t="str">
            <v>M2</v>
          </cell>
          <cell r="B2719" t="str">
            <v>A5C</v>
          </cell>
          <cell r="C2719" t="str">
            <v>P</v>
          </cell>
          <cell r="D2719" t="str">
            <v>23164</v>
          </cell>
          <cell r="E2719" t="str">
            <v>C SWG</v>
          </cell>
          <cell r="F2719">
            <v>2</v>
          </cell>
          <cell r="G2719" t="str">
            <v>CB16110808010T</v>
          </cell>
          <cell r="H2719">
            <v>1</v>
          </cell>
          <cell r="I2719">
            <v>0.75</v>
          </cell>
          <cell r="J2719">
            <v>2</v>
          </cell>
          <cell r="K2719">
            <v>2</v>
          </cell>
        </row>
        <row r="2720">
          <cell r="A2720" t="str">
            <v>M2</v>
          </cell>
          <cell r="B2720" t="str">
            <v>A5C</v>
          </cell>
          <cell r="C2720" t="str">
            <v>P</v>
          </cell>
          <cell r="D2720" t="str">
            <v>23225</v>
          </cell>
          <cell r="E2720" t="str">
            <v>C SWG</v>
          </cell>
          <cell r="F2720">
            <v>2</v>
          </cell>
          <cell r="G2720" t="str">
            <v>CB16110808010T</v>
          </cell>
          <cell r="H2720">
            <v>1</v>
          </cell>
          <cell r="I2720">
            <v>0.75</v>
          </cell>
          <cell r="J2720">
            <v>1</v>
          </cell>
          <cell r="K2720">
            <v>1</v>
          </cell>
        </row>
        <row r="2721">
          <cell r="A2721" t="str">
            <v>M2</v>
          </cell>
          <cell r="B2721" t="str">
            <v>A5C</v>
          </cell>
          <cell r="C2721" t="str">
            <v>P</v>
          </cell>
          <cell r="D2721" t="str">
            <v>23234</v>
          </cell>
          <cell r="E2721" t="str">
            <v>C SWG</v>
          </cell>
          <cell r="F2721">
            <v>2</v>
          </cell>
          <cell r="G2721" t="str">
            <v>CB16110808010T</v>
          </cell>
          <cell r="H2721">
            <v>1</v>
          </cell>
          <cell r="I2721">
            <v>0.75</v>
          </cell>
          <cell r="J2721">
            <v>1</v>
          </cell>
          <cell r="K2721">
            <v>1</v>
          </cell>
        </row>
        <row r="2722">
          <cell r="A2722" t="str">
            <v>M2</v>
          </cell>
          <cell r="B2722" t="str">
            <v>A5C</v>
          </cell>
          <cell r="C2722" t="str">
            <v>P</v>
          </cell>
          <cell r="D2722" t="str">
            <v>23238</v>
          </cell>
          <cell r="E2722" t="str">
            <v>C SWG</v>
          </cell>
          <cell r="F2722">
            <v>2</v>
          </cell>
          <cell r="G2722" t="str">
            <v>CB16110808010T</v>
          </cell>
          <cell r="H2722">
            <v>1</v>
          </cell>
          <cell r="I2722">
            <v>0.75</v>
          </cell>
          <cell r="J2722">
            <v>1</v>
          </cell>
          <cell r="K2722">
            <v>1</v>
          </cell>
        </row>
        <row r="2723">
          <cell r="A2723" t="str">
            <v>M2</v>
          </cell>
          <cell r="B2723" t="str">
            <v>A5C</v>
          </cell>
          <cell r="C2723" t="str">
            <v>P</v>
          </cell>
          <cell r="D2723" t="str">
            <v>23247</v>
          </cell>
          <cell r="E2723" t="str">
            <v>C SWG</v>
          </cell>
          <cell r="F2723">
            <v>2</v>
          </cell>
          <cell r="G2723" t="str">
            <v>CB16110808010T</v>
          </cell>
          <cell r="H2723">
            <v>1</v>
          </cell>
          <cell r="I2723">
            <v>0.75</v>
          </cell>
          <cell r="J2723">
            <v>1</v>
          </cell>
          <cell r="K2723">
            <v>1</v>
          </cell>
        </row>
        <row r="2724">
          <cell r="A2724" t="str">
            <v>M2</v>
          </cell>
          <cell r="B2724" t="str">
            <v>A5C</v>
          </cell>
          <cell r="C2724" t="str">
            <v>P</v>
          </cell>
          <cell r="D2724" t="str">
            <v>24024</v>
          </cell>
          <cell r="E2724" t="str">
            <v>C SWG</v>
          </cell>
          <cell r="F2724">
            <v>2</v>
          </cell>
          <cell r="G2724" t="str">
            <v>CB16110808010T</v>
          </cell>
          <cell r="H2724">
            <v>1</v>
          </cell>
          <cell r="I2724">
            <v>0.75</v>
          </cell>
          <cell r="J2724">
            <v>1</v>
          </cell>
          <cell r="K2724">
            <v>1</v>
          </cell>
        </row>
        <row r="2725">
          <cell r="A2725" t="str">
            <v>M2</v>
          </cell>
          <cell r="B2725" t="str">
            <v>A5C</v>
          </cell>
          <cell r="C2725" t="str">
            <v>TRIM</v>
          </cell>
          <cell r="D2725" t="str">
            <v>V-2316</v>
          </cell>
          <cell r="E2725" t="str">
            <v>C SWG</v>
          </cell>
          <cell r="F2725">
            <v>2</v>
          </cell>
          <cell r="G2725" t="str">
            <v>CB16110808010T</v>
          </cell>
          <cell r="H2725">
            <v>1</v>
          </cell>
          <cell r="I2725">
            <v>0.75</v>
          </cell>
          <cell r="J2725">
            <v>1</v>
          </cell>
          <cell r="K2725">
            <v>1</v>
          </cell>
        </row>
        <row r="2726">
          <cell r="A2726" t="str">
            <v>M2</v>
          </cell>
          <cell r="B2726" t="str">
            <v>A5C</v>
          </cell>
          <cell r="C2726" t="str">
            <v>P</v>
          </cell>
          <cell r="D2726" t="str">
            <v>23094</v>
          </cell>
          <cell r="E2726" t="str">
            <v>C SWG</v>
          </cell>
          <cell r="F2726">
            <v>2</v>
          </cell>
          <cell r="G2726" t="str">
            <v>CB16110808010T</v>
          </cell>
          <cell r="H2726">
            <v>1</v>
          </cell>
          <cell r="I2726">
            <v>0.75</v>
          </cell>
          <cell r="J2726">
            <v>1</v>
          </cell>
          <cell r="K2726">
            <v>1</v>
          </cell>
        </row>
        <row r="2727">
          <cell r="A2727" t="str">
            <v>M2</v>
          </cell>
          <cell r="B2727" t="str">
            <v>A5C</v>
          </cell>
          <cell r="C2727" t="str">
            <v>P</v>
          </cell>
          <cell r="D2727" t="str">
            <v>23108</v>
          </cell>
          <cell r="E2727" t="str">
            <v>C SWG</v>
          </cell>
          <cell r="F2727">
            <v>2</v>
          </cell>
          <cell r="G2727" t="str">
            <v>CB16110808010T</v>
          </cell>
          <cell r="H2727">
            <v>1</v>
          </cell>
          <cell r="I2727">
            <v>0.75</v>
          </cell>
          <cell r="J2727">
            <v>3</v>
          </cell>
          <cell r="K2727">
            <v>3</v>
          </cell>
        </row>
        <row r="2728">
          <cell r="A2728" t="str">
            <v>M2</v>
          </cell>
          <cell r="B2728" t="str">
            <v>A5C</v>
          </cell>
          <cell r="C2728" t="str">
            <v>P</v>
          </cell>
          <cell r="D2728" t="str">
            <v>23108</v>
          </cell>
          <cell r="E2728" t="str">
            <v>C SWG</v>
          </cell>
          <cell r="F2728">
            <v>2</v>
          </cell>
          <cell r="G2728" t="str">
            <v>CB16110808010T</v>
          </cell>
          <cell r="H2728">
            <v>1</v>
          </cell>
          <cell r="I2728">
            <v>0.75</v>
          </cell>
          <cell r="J2728">
            <v>3</v>
          </cell>
          <cell r="K2728">
            <v>3</v>
          </cell>
        </row>
        <row r="2729">
          <cell r="A2729" t="str">
            <v>M2</v>
          </cell>
          <cell r="B2729" t="str">
            <v>A5C</v>
          </cell>
          <cell r="C2729" t="str">
            <v>P</v>
          </cell>
          <cell r="D2729" t="str">
            <v>23109</v>
          </cell>
          <cell r="E2729" t="str">
            <v>C SWG</v>
          </cell>
          <cell r="F2729">
            <v>2</v>
          </cell>
          <cell r="G2729" t="str">
            <v>CB16110808010T</v>
          </cell>
          <cell r="H2729">
            <v>1</v>
          </cell>
          <cell r="I2729">
            <v>0.75</v>
          </cell>
          <cell r="J2729">
            <v>1</v>
          </cell>
          <cell r="K2729">
            <v>1</v>
          </cell>
        </row>
        <row r="2730">
          <cell r="A2730" t="str">
            <v>M2</v>
          </cell>
          <cell r="B2730" t="str">
            <v>A5C</v>
          </cell>
          <cell r="C2730" t="str">
            <v>P</v>
          </cell>
          <cell r="D2730" t="str">
            <v>23112</v>
          </cell>
          <cell r="E2730" t="str">
            <v>C SWG</v>
          </cell>
          <cell r="F2730">
            <v>2</v>
          </cell>
          <cell r="G2730" t="str">
            <v>CB16110808010T</v>
          </cell>
          <cell r="H2730">
            <v>1</v>
          </cell>
          <cell r="I2730">
            <v>0.75</v>
          </cell>
          <cell r="J2730">
            <v>3</v>
          </cell>
          <cell r="K2730">
            <v>3</v>
          </cell>
        </row>
        <row r="2731">
          <cell r="A2731" t="str">
            <v>M2</v>
          </cell>
          <cell r="B2731" t="str">
            <v>A5C</v>
          </cell>
          <cell r="C2731" t="str">
            <v>P</v>
          </cell>
          <cell r="D2731" t="str">
            <v>23133</v>
          </cell>
          <cell r="E2731" t="str">
            <v>C SWG</v>
          </cell>
          <cell r="F2731">
            <v>2</v>
          </cell>
          <cell r="G2731" t="str">
            <v>CB16110808010T</v>
          </cell>
          <cell r="H2731">
            <v>1</v>
          </cell>
          <cell r="I2731">
            <v>0.75</v>
          </cell>
          <cell r="J2731">
            <v>1</v>
          </cell>
          <cell r="K2731">
            <v>1</v>
          </cell>
        </row>
        <row r="2732">
          <cell r="A2732" t="str">
            <v>M2</v>
          </cell>
          <cell r="B2732" t="str">
            <v>A5C</v>
          </cell>
          <cell r="C2732" t="str">
            <v>P</v>
          </cell>
          <cell r="D2732" t="str">
            <v>23141</v>
          </cell>
          <cell r="E2732" t="str">
            <v>C SWG</v>
          </cell>
          <cell r="F2732">
            <v>2</v>
          </cell>
          <cell r="G2732" t="str">
            <v>CB16110808010T</v>
          </cell>
          <cell r="H2732">
            <v>1</v>
          </cell>
          <cell r="I2732">
            <v>0.75</v>
          </cell>
          <cell r="J2732">
            <v>1</v>
          </cell>
          <cell r="K2732">
            <v>1</v>
          </cell>
        </row>
        <row r="2733">
          <cell r="A2733" t="str">
            <v>M2</v>
          </cell>
          <cell r="B2733" t="str">
            <v>A5C</v>
          </cell>
          <cell r="C2733" t="str">
            <v>P</v>
          </cell>
          <cell r="D2733" t="str">
            <v>23148</v>
          </cell>
          <cell r="E2733" t="str">
            <v>C SWG</v>
          </cell>
          <cell r="F2733">
            <v>2</v>
          </cell>
          <cell r="G2733" t="str">
            <v>CB16110808010T</v>
          </cell>
          <cell r="H2733">
            <v>1</v>
          </cell>
          <cell r="I2733">
            <v>0.75</v>
          </cell>
          <cell r="J2733">
            <v>2</v>
          </cell>
          <cell r="K2733">
            <v>2</v>
          </cell>
        </row>
        <row r="2734">
          <cell r="A2734" t="str">
            <v>M2</v>
          </cell>
          <cell r="B2734" t="str">
            <v>A5C</v>
          </cell>
          <cell r="C2734" t="str">
            <v>N</v>
          </cell>
          <cell r="D2734" t="str">
            <v>23631</v>
          </cell>
          <cell r="E2734" t="str">
            <v>CAP</v>
          </cell>
          <cell r="F2734">
            <v>2</v>
          </cell>
          <cell r="G2734" t="str">
            <v>CB520700000100</v>
          </cell>
          <cell r="H2734">
            <v>1</v>
          </cell>
          <cell r="I2734" t="str">
            <v>--</v>
          </cell>
          <cell r="J2734">
            <v>1</v>
          </cell>
          <cell r="K2734">
            <v>1</v>
          </cell>
        </row>
        <row r="2735">
          <cell r="A2735" t="str">
            <v>M2</v>
          </cell>
          <cell r="B2735" t="str">
            <v>A5C</v>
          </cell>
          <cell r="C2735" t="str">
            <v>N</v>
          </cell>
          <cell r="D2735" t="str">
            <v>23633</v>
          </cell>
          <cell r="E2735" t="str">
            <v>CAP</v>
          </cell>
          <cell r="F2735">
            <v>2</v>
          </cell>
          <cell r="G2735" t="str">
            <v>CB520700000100</v>
          </cell>
          <cell r="H2735">
            <v>1</v>
          </cell>
          <cell r="I2735" t="str">
            <v>--</v>
          </cell>
          <cell r="J2735">
            <v>1</v>
          </cell>
          <cell r="K2735">
            <v>1</v>
          </cell>
        </row>
        <row r="2736">
          <cell r="A2736" t="str">
            <v>M2</v>
          </cell>
          <cell r="B2736" t="str">
            <v>A5C</v>
          </cell>
          <cell r="C2736" t="str">
            <v>N</v>
          </cell>
          <cell r="D2736" t="str">
            <v>23635</v>
          </cell>
          <cell r="E2736" t="str">
            <v>CAP</v>
          </cell>
          <cell r="F2736">
            <v>2</v>
          </cell>
          <cell r="G2736" t="str">
            <v>CB520700000100</v>
          </cell>
          <cell r="H2736">
            <v>1</v>
          </cell>
          <cell r="I2736" t="str">
            <v>--</v>
          </cell>
          <cell r="J2736">
            <v>1</v>
          </cell>
          <cell r="K2736">
            <v>1</v>
          </cell>
        </row>
        <row r="2737">
          <cell r="A2737" t="str">
            <v>M2</v>
          </cell>
          <cell r="B2737" t="str">
            <v>A5C</v>
          </cell>
          <cell r="C2737" t="str">
            <v>P</v>
          </cell>
          <cell r="D2737" t="str">
            <v>23143</v>
          </cell>
          <cell r="E2737" t="str">
            <v>CPLG</v>
          </cell>
          <cell r="F2737">
            <v>2</v>
          </cell>
          <cell r="G2737" t="str">
            <v>CB400500000100</v>
          </cell>
          <cell r="H2737">
            <v>1</v>
          </cell>
          <cell r="I2737" t="str">
            <v>--</v>
          </cell>
          <cell r="J2737">
            <v>2</v>
          </cell>
          <cell r="K2737">
            <v>2</v>
          </cell>
        </row>
        <row r="2738">
          <cell r="A2738" t="str">
            <v>M2</v>
          </cell>
          <cell r="B2738" t="str">
            <v>A5C</v>
          </cell>
          <cell r="C2738" t="str">
            <v>P</v>
          </cell>
          <cell r="D2738" t="str">
            <v>23147</v>
          </cell>
          <cell r="E2738" t="str">
            <v>CPLG</v>
          </cell>
          <cell r="F2738">
            <v>2</v>
          </cell>
          <cell r="G2738" t="str">
            <v>CB400500000100</v>
          </cell>
          <cell r="H2738">
            <v>1</v>
          </cell>
          <cell r="I2738" t="str">
            <v>--</v>
          </cell>
          <cell r="J2738">
            <v>2</v>
          </cell>
          <cell r="K2738">
            <v>2</v>
          </cell>
        </row>
        <row r="2739">
          <cell r="A2739" t="str">
            <v>M2</v>
          </cell>
          <cell r="B2739" t="str">
            <v>A5C</v>
          </cell>
          <cell r="C2739" t="str">
            <v>P</v>
          </cell>
          <cell r="D2739" t="str">
            <v>23261</v>
          </cell>
          <cell r="E2739" t="str">
            <v>CPLG</v>
          </cell>
          <cell r="F2739">
            <v>2</v>
          </cell>
          <cell r="G2739" t="str">
            <v>CB400500000100</v>
          </cell>
          <cell r="H2739">
            <v>1</v>
          </cell>
          <cell r="I2739" t="str">
            <v>--</v>
          </cell>
          <cell r="J2739">
            <v>1</v>
          </cell>
          <cell r="K2739">
            <v>1</v>
          </cell>
        </row>
        <row r="2740">
          <cell r="A2740" t="str">
            <v>M2</v>
          </cell>
          <cell r="B2740" t="str">
            <v>A5C</v>
          </cell>
          <cell r="C2740" t="str">
            <v>P</v>
          </cell>
          <cell r="D2740" t="str">
            <v>24007</v>
          </cell>
          <cell r="E2740" t="str">
            <v>CPLG</v>
          </cell>
          <cell r="F2740">
            <v>2</v>
          </cell>
          <cell r="G2740" t="str">
            <v>CB400500000100</v>
          </cell>
          <cell r="H2740">
            <v>1</v>
          </cell>
          <cell r="I2740" t="str">
            <v>--</v>
          </cell>
          <cell r="J2740">
            <v>1</v>
          </cell>
          <cell r="K2740">
            <v>1</v>
          </cell>
        </row>
        <row r="2741">
          <cell r="A2741" t="str">
            <v>M2</v>
          </cell>
          <cell r="B2741" t="str">
            <v>A5C</v>
          </cell>
          <cell r="C2741" t="str">
            <v>P</v>
          </cell>
          <cell r="D2741" t="str">
            <v>24013</v>
          </cell>
          <cell r="E2741" t="str">
            <v>CPLG</v>
          </cell>
          <cell r="F2741">
            <v>2</v>
          </cell>
          <cell r="G2741" t="str">
            <v>CB400500000100</v>
          </cell>
          <cell r="H2741">
            <v>1</v>
          </cell>
          <cell r="I2741" t="str">
            <v>--</v>
          </cell>
          <cell r="J2741">
            <v>2</v>
          </cell>
          <cell r="K2741">
            <v>2</v>
          </cell>
        </row>
        <row r="2742">
          <cell r="A2742" t="str">
            <v>M2</v>
          </cell>
          <cell r="B2742" t="str">
            <v>A5C</v>
          </cell>
          <cell r="C2742" t="str">
            <v>P</v>
          </cell>
          <cell r="D2742" t="str">
            <v>24020</v>
          </cell>
          <cell r="E2742" t="str">
            <v>CPLG</v>
          </cell>
          <cell r="F2742">
            <v>2</v>
          </cell>
          <cell r="G2742" t="str">
            <v>CB400500000100</v>
          </cell>
          <cell r="H2742">
            <v>1</v>
          </cell>
          <cell r="I2742" t="str">
            <v>--</v>
          </cell>
          <cell r="J2742">
            <v>2</v>
          </cell>
          <cell r="K2742">
            <v>2</v>
          </cell>
        </row>
        <row r="2743">
          <cell r="A2743" t="str">
            <v>M2</v>
          </cell>
          <cell r="B2743" t="str">
            <v>A5C</v>
          </cell>
          <cell r="C2743" t="str">
            <v>N</v>
          </cell>
          <cell r="D2743" t="str">
            <v>23613</v>
          </cell>
          <cell r="E2743" t="str">
            <v>E SWG</v>
          </cell>
          <cell r="F2743">
            <v>2</v>
          </cell>
          <cell r="G2743" t="str">
            <v>CB16210808010T</v>
          </cell>
          <cell r="H2743">
            <v>1</v>
          </cell>
          <cell r="I2743">
            <v>0.75</v>
          </cell>
          <cell r="J2743">
            <v>1</v>
          </cell>
          <cell r="K2743">
            <v>1</v>
          </cell>
        </row>
        <row r="2744">
          <cell r="A2744" t="str">
            <v>M2</v>
          </cell>
          <cell r="B2744" t="str">
            <v>A5C</v>
          </cell>
          <cell r="C2744" t="str">
            <v>P</v>
          </cell>
          <cell r="D2744" t="str">
            <v>23052</v>
          </cell>
          <cell r="E2744" t="str">
            <v>E SWG</v>
          </cell>
          <cell r="F2744">
            <v>2</v>
          </cell>
          <cell r="G2744" t="str">
            <v>CB16210808010T</v>
          </cell>
          <cell r="H2744">
            <v>1</v>
          </cell>
          <cell r="I2744">
            <v>0.75</v>
          </cell>
          <cell r="J2744">
            <v>2</v>
          </cell>
          <cell r="K2744">
            <v>2</v>
          </cell>
        </row>
        <row r="2745">
          <cell r="A2745" t="str">
            <v>M2</v>
          </cell>
          <cell r="B2745" t="str">
            <v>A5C</v>
          </cell>
          <cell r="C2745" t="str">
            <v>P</v>
          </cell>
          <cell r="D2745" t="str">
            <v>23037</v>
          </cell>
          <cell r="E2745" t="str">
            <v>E SWG</v>
          </cell>
          <cell r="F2745">
            <v>2</v>
          </cell>
          <cell r="G2745" t="str">
            <v>CB16210808010T</v>
          </cell>
          <cell r="H2745">
            <v>1</v>
          </cell>
          <cell r="I2745">
            <v>0.75</v>
          </cell>
          <cell r="J2745">
            <v>2</v>
          </cell>
          <cell r="K2745">
            <v>2</v>
          </cell>
        </row>
        <row r="2746">
          <cell r="A2746" t="str">
            <v>M2</v>
          </cell>
          <cell r="B2746" t="str">
            <v>A5C</v>
          </cell>
          <cell r="C2746" t="str">
            <v>P</v>
          </cell>
          <cell r="D2746" t="str">
            <v>23149</v>
          </cell>
          <cell r="E2746" t="str">
            <v>E SWG</v>
          </cell>
          <cell r="F2746">
            <v>2</v>
          </cell>
          <cell r="G2746" t="str">
            <v>CB16210808010T</v>
          </cell>
          <cell r="H2746">
            <v>1</v>
          </cell>
          <cell r="I2746">
            <v>0.75</v>
          </cell>
          <cell r="J2746">
            <v>2</v>
          </cell>
          <cell r="K2746">
            <v>2</v>
          </cell>
        </row>
        <row r="2747">
          <cell r="A2747" t="str">
            <v>M2</v>
          </cell>
          <cell r="B2747" t="str">
            <v>A5C</v>
          </cell>
          <cell r="C2747" t="str">
            <v>N</v>
          </cell>
          <cell r="D2747" t="str">
            <v>23631</v>
          </cell>
          <cell r="E2747" t="str">
            <v>NPL</v>
          </cell>
          <cell r="F2747">
            <v>2</v>
          </cell>
          <cell r="G2747" t="str">
            <v>CB1321080001VR</v>
          </cell>
          <cell r="H2747">
            <v>1</v>
          </cell>
          <cell r="I2747" t="str">
            <v>75mm</v>
          </cell>
          <cell r="J2747">
            <v>1</v>
          </cell>
          <cell r="K2747">
            <v>1</v>
          </cell>
        </row>
        <row r="2748">
          <cell r="A2748" t="str">
            <v>M2</v>
          </cell>
          <cell r="B2748" t="str">
            <v>A5C</v>
          </cell>
          <cell r="C2748" t="str">
            <v>N</v>
          </cell>
          <cell r="D2748" t="str">
            <v>23633</v>
          </cell>
          <cell r="E2748" t="str">
            <v>NPL</v>
          </cell>
          <cell r="F2748">
            <v>2</v>
          </cell>
          <cell r="G2748" t="str">
            <v>CB1321080001VR</v>
          </cell>
          <cell r="H2748">
            <v>1</v>
          </cell>
          <cell r="I2748" t="str">
            <v>75mm</v>
          </cell>
          <cell r="J2748">
            <v>1</v>
          </cell>
          <cell r="K2748">
            <v>1</v>
          </cell>
        </row>
        <row r="2749">
          <cell r="A2749" t="str">
            <v>M2</v>
          </cell>
          <cell r="B2749" t="str">
            <v>A5C</v>
          </cell>
          <cell r="C2749" t="str">
            <v>N</v>
          </cell>
          <cell r="D2749" t="str">
            <v>23635</v>
          </cell>
          <cell r="E2749" t="str">
            <v>NPL</v>
          </cell>
          <cell r="F2749">
            <v>2</v>
          </cell>
          <cell r="G2749" t="str">
            <v>CB1321080001VR</v>
          </cell>
          <cell r="H2749">
            <v>1</v>
          </cell>
          <cell r="I2749" t="str">
            <v>75mm</v>
          </cell>
          <cell r="J2749">
            <v>1</v>
          </cell>
          <cell r="K2749">
            <v>1</v>
          </cell>
        </row>
        <row r="2750">
          <cell r="A2750" t="str">
            <v>M2</v>
          </cell>
          <cell r="B2750" t="str">
            <v>A5C</v>
          </cell>
          <cell r="C2750" t="str">
            <v>N</v>
          </cell>
          <cell r="D2750" t="str">
            <v>23632</v>
          </cell>
          <cell r="E2750" t="str">
            <v>R TEE</v>
          </cell>
          <cell r="F2750">
            <v>2</v>
          </cell>
          <cell r="G2750" t="str">
            <v>CB40040000010T</v>
          </cell>
          <cell r="H2750">
            <v>1</v>
          </cell>
          <cell r="I2750">
            <v>0.75</v>
          </cell>
          <cell r="J2750">
            <v>1</v>
          </cell>
          <cell r="K2750">
            <v>1</v>
          </cell>
        </row>
        <row r="2751">
          <cell r="A2751" t="str">
            <v>M2</v>
          </cell>
          <cell r="B2751" t="str">
            <v>A5C</v>
          </cell>
          <cell r="C2751" t="str">
            <v>N</v>
          </cell>
          <cell r="D2751" t="str">
            <v>23634</v>
          </cell>
          <cell r="E2751" t="str">
            <v>R TEE</v>
          </cell>
          <cell r="F2751">
            <v>2</v>
          </cell>
          <cell r="G2751" t="str">
            <v>CB40040000010T</v>
          </cell>
          <cell r="H2751">
            <v>1</v>
          </cell>
          <cell r="I2751">
            <v>0.75</v>
          </cell>
          <cell r="J2751">
            <v>1</v>
          </cell>
          <cell r="K2751">
            <v>1</v>
          </cell>
        </row>
        <row r="2752">
          <cell r="A2752" t="str">
            <v>M2</v>
          </cell>
          <cell r="B2752" t="str">
            <v>A5C</v>
          </cell>
          <cell r="C2752" t="str">
            <v>N</v>
          </cell>
          <cell r="D2752" t="str">
            <v>23638</v>
          </cell>
          <cell r="E2752" t="str">
            <v>R TEE</v>
          </cell>
          <cell r="F2752">
            <v>2</v>
          </cell>
          <cell r="G2752" t="str">
            <v>CB40040000010T</v>
          </cell>
          <cell r="H2752">
            <v>1</v>
          </cell>
          <cell r="I2752">
            <v>0.75</v>
          </cell>
          <cell r="J2752">
            <v>1</v>
          </cell>
          <cell r="K2752">
            <v>1</v>
          </cell>
        </row>
        <row r="2753">
          <cell r="A2753" t="str">
            <v>M2</v>
          </cell>
          <cell r="B2753" t="str">
            <v>A5C</v>
          </cell>
          <cell r="C2753" t="str">
            <v>N</v>
          </cell>
          <cell r="D2753" t="str">
            <v>23640</v>
          </cell>
          <cell r="E2753" t="str">
            <v>R TEE</v>
          </cell>
          <cell r="F2753">
            <v>2</v>
          </cell>
          <cell r="G2753" t="str">
            <v>CB40040000010T</v>
          </cell>
          <cell r="H2753">
            <v>1</v>
          </cell>
          <cell r="I2753">
            <v>0.75</v>
          </cell>
          <cell r="J2753">
            <v>1</v>
          </cell>
          <cell r="K2753">
            <v>1</v>
          </cell>
        </row>
        <row r="2754">
          <cell r="A2754" t="str">
            <v>M2</v>
          </cell>
          <cell r="B2754" t="str">
            <v>A5C</v>
          </cell>
          <cell r="C2754" t="str">
            <v>P</v>
          </cell>
          <cell r="D2754" t="str">
            <v>23052</v>
          </cell>
          <cell r="E2754" t="str">
            <v>R TEE</v>
          </cell>
          <cell r="F2754">
            <v>2</v>
          </cell>
          <cell r="G2754" t="str">
            <v>CB40040000010T</v>
          </cell>
          <cell r="H2754">
            <v>1</v>
          </cell>
          <cell r="I2754">
            <v>0.75</v>
          </cell>
          <cell r="J2754">
            <v>4</v>
          </cell>
          <cell r="K2754">
            <v>4</v>
          </cell>
        </row>
        <row r="2755">
          <cell r="A2755" t="str">
            <v>M2</v>
          </cell>
          <cell r="B2755" t="str">
            <v>A5C</v>
          </cell>
          <cell r="C2755" t="str">
            <v>P</v>
          </cell>
          <cell r="D2755" t="str">
            <v>23063</v>
          </cell>
          <cell r="E2755" t="str">
            <v>R TEE</v>
          </cell>
          <cell r="F2755">
            <v>2</v>
          </cell>
          <cell r="G2755" t="str">
            <v>CB40040000010T</v>
          </cell>
          <cell r="H2755">
            <v>1</v>
          </cell>
          <cell r="I2755">
            <v>0.75</v>
          </cell>
          <cell r="J2755">
            <v>2</v>
          </cell>
          <cell r="K2755">
            <v>2</v>
          </cell>
        </row>
        <row r="2756">
          <cell r="A2756" t="str">
            <v>M2</v>
          </cell>
          <cell r="B2756" t="str">
            <v>A5C</v>
          </cell>
          <cell r="C2756" t="str">
            <v>P</v>
          </cell>
          <cell r="D2756" t="str">
            <v>23078</v>
          </cell>
          <cell r="E2756" t="str">
            <v>R TEE</v>
          </cell>
          <cell r="F2756">
            <v>2</v>
          </cell>
          <cell r="G2756" t="str">
            <v>CB40040000010T</v>
          </cell>
          <cell r="H2756">
            <v>1</v>
          </cell>
          <cell r="I2756">
            <v>0.75</v>
          </cell>
          <cell r="J2756">
            <v>2</v>
          </cell>
          <cell r="K2756">
            <v>2</v>
          </cell>
        </row>
        <row r="2757">
          <cell r="A2757" t="str">
            <v>M2</v>
          </cell>
          <cell r="B2757" t="str">
            <v>A5C</v>
          </cell>
          <cell r="C2757" t="str">
            <v>P</v>
          </cell>
          <cell r="D2757" t="str">
            <v>23083</v>
          </cell>
          <cell r="E2757" t="str">
            <v>R TEE</v>
          </cell>
          <cell r="F2757">
            <v>2</v>
          </cell>
          <cell r="G2757" t="str">
            <v>CB40040000010T</v>
          </cell>
          <cell r="H2757">
            <v>1</v>
          </cell>
          <cell r="I2757">
            <v>0.75</v>
          </cell>
          <cell r="J2757">
            <v>2</v>
          </cell>
          <cell r="K2757">
            <v>2</v>
          </cell>
        </row>
        <row r="2758">
          <cell r="A2758" t="str">
            <v>M2</v>
          </cell>
          <cell r="B2758" t="str">
            <v>A5C</v>
          </cell>
          <cell r="C2758" t="str">
            <v>P</v>
          </cell>
          <cell r="D2758" t="str">
            <v>23122</v>
          </cell>
          <cell r="E2758" t="str">
            <v>R TEE</v>
          </cell>
          <cell r="F2758">
            <v>2</v>
          </cell>
          <cell r="G2758" t="str">
            <v>CB40040000010T</v>
          </cell>
          <cell r="H2758">
            <v>1</v>
          </cell>
          <cell r="I2758">
            <v>0.75</v>
          </cell>
          <cell r="J2758">
            <v>2</v>
          </cell>
          <cell r="K2758">
            <v>2</v>
          </cell>
        </row>
        <row r="2759">
          <cell r="A2759" t="str">
            <v>M2</v>
          </cell>
          <cell r="B2759" t="str">
            <v>A5C</v>
          </cell>
          <cell r="C2759" t="str">
            <v>P</v>
          </cell>
          <cell r="D2759" t="str">
            <v>23144</v>
          </cell>
          <cell r="E2759" t="str">
            <v>R TEE</v>
          </cell>
          <cell r="F2759">
            <v>2</v>
          </cell>
          <cell r="G2759" t="str">
            <v>CB40040000010T</v>
          </cell>
          <cell r="H2759">
            <v>1</v>
          </cell>
          <cell r="I2759">
            <v>0.75</v>
          </cell>
          <cell r="J2759">
            <v>4</v>
          </cell>
          <cell r="K2759">
            <v>4</v>
          </cell>
        </row>
        <row r="2760">
          <cell r="A2760" t="str">
            <v>M2</v>
          </cell>
          <cell r="B2760" t="str">
            <v>A5C</v>
          </cell>
          <cell r="C2760" t="str">
            <v>P</v>
          </cell>
          <cell r="D2760" t="str">
            <v>23148</v>
          </cell>
          <cell r="E2760" t="str">
            <v>R TEE</v>
          </cell>
          <cell r="F2760">
            <v>2</v>
          </cell>
          <cell r="G2760" t="str">
            <v>CB40040000010T</v>
          </cell>
          <cell r="H2760">
            <v>1</v>
          </cell>
          <cell r="I2760">
            <v>0.75</v>
          </cell>
          <cell r="J2760">
            <v>4</v>
          </cell>
          <cell r="K2760">
            <v>4</v>
          </cell>
        </row>
        <row r="2761">
          <cell r="A2761" t="str">
            <v>M2</v>
          </cell>
          <cell r="B2761" t="str">
            <v>A5C</v>
          </cell>
          <cell r="C2761" t="str">
            <v>P</v>
          </cell>
          <cell r="D2761" t="str">
            <v>23149</v>
          </cell>
          <cell r="E2761" t="str">
            <v>R TEE</v>
          </cell>
          <cell r="F2761">
            <v>2</v>
          </cell>
          <cell r="G2761" t="str">
            <v>CB40040000010T</v>
          </cell>
          <cell r="H2761">
            <v>1</v>
          </cell>
          <cell r="I2761">
            <v>0.75</v>
          </cell>
          <cell r="J2761">
            <v>5</v>
          </cell>
          <cell r="K2761">
            <v>5</v>
          </cell>
        </row>
        <row r="2762">
          <cell r="A2762" t="str">
            <v>M2</v>
          </cell>
          <cell r="B2762" t="str">
            <v>A5C</v>
          </cell>
          <cell r="C2762" t="str">
            <v>P</v>
          </cell>
          <cell r="D2762" t="str">
            <v>23164</v>
          </cell>
          <cell r="E2762" t="str">
            <v>R TEE</v>
          </cell>
          <cell r="F2762">
            <v>2</v>
          </cell>
          <cell r="G2762" t="str">
            <v>CB40040000010T</v>
          </cell>
          <cell r="H2762">
            <v>1</v>
          </cell>
          <cell r="I2762">
            <v>0.75</v>
          </cell>
          <cell r="J2762">
            <v>2</v>
          </cell>
          <cell r="K2762">
            <v>2</v>
          </cell>
        </row>
        <row r="2763">
          <cell r="A2763" t="str">
            <v>M2</v>
          </cell>
          <cell r="B2763" t="str">
            <v>A5C</v>
          </cell>
          <cell r="C2763" t="str">
            <v>P</v>
          </cell>
          <cell r="D2763" t="str">
            <v>23205</v>
          </cell>
          <cell r="E2763" t="str">
            <v>R TEE</v>
          </cell>
          <cell r="F2763">
            <v>2</v>
          </cell>
          <cell r="G2763" t="str">
            <v>CB40040000010T</v>
          </cell>
          <cell r="H2763">
            <v>1</v>
          </cell>
          <cell r="I2763">
            <v>0.75</v>
          </cell>
          <cell r="J2763">
            <v>2</v>
          </cell>
          <cell r="K2763">
            <v>2</v>
          </cell>
        </row>
        <row r="2764">
          <cell r="A2764" t="str">
            <v>M2</v>
          </cell>
          <cell r="B2764" t="str">
            <v>A5C</v>
          </cell>
          <cell r="C2764" t="str">
            <v>P</v>
          </cell>
          <cell r="D2764" t="str">
            <v>23214</v>
          </cell>
          <cell r="E2764" t="str">
            <v>R TEE</v>
          </cell>
          <cell r="F2764">
            <v>2</v>
          </cell>
          <cell r="G2764" t="str">
            <v>CB40040000010T</v>
          </cell>
          <cell r="H2764">
            <v>1</v>
          </cell>
          <cell r="I2764">
            <v>0.75</v>
          </cell>
          <cell r="J2764">
            <v>3</v>
          </cell>
          <cell r="K2764">
            <v>3</v>
          </cell>
        </row>
        <row r="2765">
          <cell r="A2765" t="str">
            <v>M2</v>
          </cell>
          <cell r="B2765" t="str">
            <v>A5C</v>
          </cell>
          <cell r="C2765" t="str">
            <v>P</v>
          </cell>
          <cell r="D2765" t="str">
            <v>23207</v>
          </cell>
          <cell r="E2765" t="str">
            <v>R TEE</v>
          </cell>
          <cell r="F2765">
            <v>2</v>
          </cell>
          <cell r="G2765" t="str">
            <v>CB40040000010T</v>
          </cell>
          <cell r="H2765">
            <v>1</v>
          </cell>
          <cell r="I2765">
            <v>0.75</v>
          </cell>
          <cell r="J2765">
            <v>2</v>
          </cell>
          <cell r="K2765">
            <v>2</v>
          </cell>
        </row>
        <row r="2766">
          <cell r="A2766" t="str">
            <v>M2</v>
          </cell>
          <cell r="B2766" t="str">
            <v>A5C</v>
          </cell>
          <cell r="C2766" t="str">
            <v>P</v>
          </cell>
          <cell r="D2766" t="str">
            <v>23208</v>
          </cell>
          <cell r="E2766" t="str">
            <v>R TEE</v>
          </cell>
          <cell r="F2766">
            <v>2</v>
          </cell>
          <cell r="G2766" t="str">
            <v>CB40040000010T</v>
          </cell>
          <cell r="H2766">
            <v>1</v>
          </cell>
          <cell r="I2766">
            <v>0.75</v>
          </cell>
          <cell r="J2766">
            <v>2</v>
          </cell>
          <cell r="K2766">
            <v>2</v>
          </cell>
        </row>
        <row r="2767">
          <cell r="A2767" t="str">
            <v>M2</v>
          </cell>
          <cell r="B2767" t="str">
            <v>A5C</v>
          </cell>
          <cell r="C2767" t="str">
            <v>P</v>
          </cell>
          <cell r="D2767" t="str">
            <v>23212</v>
          </cell>
          <cell r="E2767" t="str">
            <v>R TEE</v>
          </cell>
          <cell r="F2767">
            <v>2</v>
          </cell>
          <cell r="G2767" t="str">
            <v>CB40040000010T</v>
          </cell>
          <cell r="H2767">
            <v>1</v>
          </cell>
          <cell r="I2767">
            <v>0.75</v>
          </cell>
          <cell r="J2767">
            <v>3</v>
          </cell>
          <cell r="K2767">
            <v>3</v>
          </cell>
        </row>
        <row r="2768">
          <cell r="A2768" t="str">
            <v>M2</v>
          </cell>
          <cell r="B2768" t="str">
            <v>A5C</v>
          </cell>
          <cell r="C2768" t="str">
            <v>P</v>
          </cell>
          <cell r="D2768" t="str">
            <v>23213</v>
          </cell>
          <cell r="E2768" t="str">
            <v>R TEE</v>
          </cell>
          <cell r="F2768">
            <v>2</v>
          </cell>
          <cell r="G2768" t="str">
            <v>CB40040000010T</v>
          </cell>
          <cell r="H2768">
            <v>1</v>
          </cell>
          <cell r="I2768">
            <v>0.75</v>
          </cell>
          <cell r="J2768">
            <v>3</v>
          </cell>
          <cell r="K2768">
            <v>3</v>
          </cell>
        </row>
        <row r="2769">
          <cell r="A2769" t="str">
            <v>M2</v>
          </cell>
          <cell r="B2769" t="str">
            <v>A5C</v>
          </cell>
          <cell r="C2769" t="str">
            <v>P</v>
          </cell>
          <cell r="D2769" t="str">
            <v>23230</v>
          </cell>
          <cell r="E2769" t="str">
            <v>R TEE</v>
          </cell>
          <cell r="F2769">
            <v>2</v>
          </cell>
          <cell r="G2769" t="str">
            <v>CB40040000010T</v>
          </cell>
          <cell r="H2769">
            <v>1</v>
          </cell>
          <cell r="I2769">
            <v>0.75</v>
          </cell>
          <cell r="J2769">
            <v>3</v>
          </cell>
          <cell r="K2769">
            <v>3</v>
          </cell>
        </row>
        <row r="2770">
          <cell r="A2770" t="str">
            <v>M2</v>
          </cell>
          <cell r="B2770" t="str">
            <v>A5C</v>
          </cell>
          <cell r="C2770" t="str">
            <v>P</v>
          </cell>
          <cell r="D2770" t="str">
            <v>23239</v>
          </cell>
          <cell r="E2770" t="str">
            <v>R TEE</v>
          </cell>
          <cell r="F2770">
            <v>2</v>
          </cell>
          <cell r="G2770" t="str">
            <v>CB40040000010T</v>
          </cell>
          <cell r="H2770">
            <v>1</v>
          </cell>
          <cell r="I2770">
            <v>0.75</v>
          </cell>
          <cell r="J2770">
            <v>2</v>
          </cell>
          <cell r="K2770">
            <v>2</v>
          </cell>
        </row>
        <row r="2771">
          <cell r="A2771" t="str">
            <v>M2</v>
          </cell>
          <cell r="B2771" t="str">
            <v>A5C</v>
          </cell>
          <cell r="C2771" t="str">
            <v>P</v>
          </cell>
          <cell r="D2771" t="str">
            <v>23252</v>
          </cell>
          <cell r="E2771" t="str">
            <v>R TEE</v>
          </cell>
          <cell r="F2771">
            <v>2</v>
          </cell>
          <cell r="G2771" t="str">
            <v>CB40040000010T</v>
          </cell>
          <cell r="H2771">
            <v>1</v>
          </cell>
          <cell r="I2771">
            <v>0.75</v>
          </cell>
          <cell r="J2771">
            <v>3</v>
          </cell>
          <cell r="K2771">
            <v>3</v>
          </cell>
        </row>
        <row r="2772">
          <cell r="A2772" t="str">
            <v>M2</v>
          </cell>
          <cell r="B2772" t="str">
            <v>A5C</v>
          </cell>
          <cell r="C2772" t="str">
            <v>P</v>
          </cell>
          <cell r="D2772" t="str">
            <v>24007</v>
          </cell>
          <cell r="E2772" t="str">
            <v>R TEE</v>
          </cell>
          <cell r="F2772">
            <v>2</v>
          </cell>
          <cell r="G2772" t="str">
            <v>CB40040000010T</v>
          </cell>
          <cell r="H2772">
            <v>1</v>
          </cell>
          <cell r="I2772">
            <v>0.75</v>
          </cell>
          <cell r="J2772">
            <v>1</v>
          </cell>
          <cell r="K2772">
            <v>1</v>
          </cell>
        </row>
        <row r="2773">
          <cell r="A2773" t="str">
            <v>M2</v>
          </cell>
          <cell r="B2773" t="str">
            <v>A5C</v>
          </cell>
          <cell r="C2773" t="str">
            <v>P</v>
          </cell>
          <cell r="D2773" t="str">
            <v>24008</v>
          </cell>
          <cell r="E2773" t="str">
            <v>R TEE</v>
          </cell>
          <cell r="F2773">
            <v>2</v>
          </cell>
          <cell r="G2773" t="str">
            <v>CB40040000010T</v>
          </cell>
          <cell r="H2773">
            <v>1</v>
          </cell>
          <cell r="I2773">
            <v>0.75</v>
          </cell>
          <cell r="J2773">
            <v>3</v>
          </cell>
          <cell r="K2773">
            <v>3</v>
          </cell>
        </row>
        <row r="2774">
          <cell r="A2774" t="str">
            <v>M2</v>
          </cell>
          <cell r="B2774" t="str">
            <v>A5C</v>
          </cell>
          <cell r="C2774" t="str">
            <v>P</v>
          </cell>
          <cell r="D2774" t="str">
            <v>24020</v>
          </cell>
          <cell r="E2774" t="str">
            <v>R TEE</v>
          </cell>
          <cell r="F2774">
            <v>2</v>
          </cell>
          <cell r="G2774" t="str">
            <v>CB40040000010T</v>
          </cell>
          <cell r="H2774">
            <v>1</v>
          </cell>
          <cell r="I2774">
            <v>0.75</v>
          </cell>
          <cell r="J2774">
            <v>2</v>
          </cell>
          <cell r="K2774">
            <v>2</v>
          </cell>
        </row>
        <row r="2775">
          <cell r="A2775" t="str">
            <v>M2</v>
          </cell>
          <cell r="B2775" t="str">
            <v>A5C</v>
          </cell>
          <cell r="C2775" t="str">
            <v>N</v>
          </cell>
          <cell r="D2775" t="str">
            <v>23636</v>
          </cell>
          <cell r="E2775" t="str">
            <v>R TEE</v>
          </cell>
          <cell r="F2775">
            <v>2</v>
          </cell>
          <cell r="G2775" t="str">
            <v>CB40040000010T</v>
          </cell>
          <cell r="H2775">
            <v>1</v>
          </cell>
          <cell r="I2775">
            <v>0.75</v>
          </cell>
          <cell r="J2775">
            <v>1</v>
          </cell>
          <cell r="K2775">
            <v>1</v>
          </cell>
        </row>
        <row r="2776">
          <cell r="A2776" t="str">
            <v>M2</v>
          </cell>
          <cell r="B2776" t="str">
            <v>A5C</v>
          </cell>
          <cell r="C2776" t="str">
            <v>N</v>
          </cell>
          <cell r="D2776" t="str">
            <v>23637</v>
          </cell>
          <cell r="E2776" t="str">
            <v>R TEE</v>
          </cell>
          <cell r="F2776">
            <v>2</v>
          </cell>
          <cell r="G2776" t="str">
            <v>CB40040000010T</v>
          </cell>
          <cell r="H2776">
            <v>1</v>
          </cell>
          <cell r="I2776">
            <v>0.75</v>
          </cell>
          <cell r="J2776">
            <v>1</v>
          </cell>
          <cell r="K2776">
            <v>1</v>
          </cell>
        </row>
        <row r="2777">
          <cell r="A2777" t="str">
            <v>M2</v>
          </cell>
          <cell r="B2777" t="str">
            <v>A5C</v>
          </cell>
          <cell r="C2777" t="str">
            <v>N</v>
          </cell>
          <cell r="D2777" t="str">
            <v>23639</v>
          </cell>
          <cell r="E2777" t="str">
            <v>R TEE</v>
          </cell>
          <cell r="F2777">
            <v>2</v>
          </cell>
          <cell r="G2777" t="str">
            <v>CB40040000010T</v>
          </cell>
          <cell r="H2777">
            <v>1</v>
          </cell>
          <cell r="I2777">
            <v>0.75</v>
          </cell>
          <cell r="J2777">
            <v>1</v>
          </cell>
          <cell r="K2777">
            <v>1</v>
          </cell>
        </row>
        <row r="2778">
          <cell r="A2778" t="str">
            <v>M2</v>
          </cell>
          <cell r="B2778" t="str">
            <v>A5C</v>
          </cell>
          <cell r="C2778" t="str">
            <v>P</v>
          </cell>
          <cell r="D2778" t="str">
            <v>23037</v>
          </cell>
          <cell r="E2778" t="str">
            <v>R TEE</v>
          </cell>
          <cell r="F2778">
            <v>2</v>
          </cell>
          <cell r="G2778" t="str">
            <v>CB40040000010T</v>
          </cell>
          <cell r="H2778">
            <v>1</v>
          </cell>
          <cell r="I2778">
            <v>0.75</v>
          </cell>
          <cell r="J2778">
            <v>5</v>
          </cell>
          <cell r="K2778">
            <v>5</v>
          </cell>
        </row>
        <row r="2779">
          <cell r="A2779" t="str">
            <v>M2</v>
          </cell>
          <cell r="B2779" t="str">
            <v>A5C</v>
          </cell>
          <cell r="C2779" t="str">
            <v>P</v>
          </cell>
          <cell r="D2779" t="str">
            <v>23204</v>
          </cell>
          <cell r="E2779" t="str">
            <v>R TEE</v>
          </cell>
          <cell r="F2779">
            <v>2</v>
          </cell>
          <cell r="G2779" t="str">
            <v>CB40040000010T</v>
          </cell>
          <cell r="H2779">
            <v>1</v>
          </cell>
          <cell r="I2779">
            <v>0.75</v>
          </cell>
          <cell r="J2779">
            <v>2</v>
          </cell>
          <cell r="K2779">
            <v>2</v>
          </cell>
        </row>
        <row r="2780">
          <cell r="A2780" t="str">
            <v>M2</v>
          </cell>
          <cell r="B2780" t="str">
            <v>A5C</v>
          </cell>
          <cell r="C2780" t="str">
            <v>P</v>
          </cell>
          <cell r="D2780" t="str">
            <v>23206</v>
          </cell>
          <cell r="E2780" t="str">
            <v>R TEE</v>
          </cell>
          <cell r="F2780">
            <v>2</v>
          </cell>
          <cell r="G2780" t="str">
            <v>CB40040000010T</v>
          </cell>
          <cell r="H2780">
            <v>1</v>
          </cell>
          <cell r="I2780">
            <v>0.75</v>
          </cell>
          <cell r="J2780">
            <v>2</v>
          </cell>
          <cell r="K2780">
            <v>2</v>
          </cell>
        </row>
        <row r="2781">
          <cell r="A2781" t="str">
            <v>M2</v>
          </cell>
          <cell r="B2781" t="str">
            <v>A5C</v>
          </cell>
          <cell r="C2781" t="str">
            <v>P</v>
          </cell>
          <cell r="D2781" t="str">
            <v>23235</v>
          </cell>
          <cell r="E2781" t="str">
            <v>R TEE</v>
          </cell>
          <cell r="F2781">
            <v>2</v>
          </cell>
          <cell r="G2781" t="str">
            <v>CB40040000010T</v>
          </cell>
          <cell r="H2781">
            <v>1</v>
          </cell>
          <cell r="I2781">
            <v>0.75</v>
          </cell>
          <cell r="J2781">
            <v>2</v>
          </cell>
          <cell r="K2781">
            <v>2</v>
          </cell>
        </row>
        <row r="2782">
          <cell r="A2782" t="str">
            <v>M2</v>
          </cell>
          <cell r="B2782" t="str">
            <v>A5C</v>
          </cell>
          <cell r="C2782" t="str">
            <v>P</v>
          </cell>
          <cell r="D2782" t="str">
            <v>23245</v>
          </cell>
          <cell r="E2782" t="str">
            <v>R TEE</v>
          </cell>
          <cell r="F2782">
            <v>2</v>
          </cell>
          <cell r="G2782" t="str">
            <v>CB40040000010T</v>
          </cell>
          <cell r="H2782">
            <v>1</v>
          </cell>
          <cell r="I2782">
            <v>0.75</v>
          </cell>
          <cell r="J2782">
            <v>3</v>
          </cell>
          <cell r="K2782">
            <v>3</v>
          </cell>
        </row>
        <row r="2783">
          <cell r="A2783" t="str">
            <v>M2</v>
          </cell>
          <cell r="B2783" t="str">
            <v>A5C</v>
          </cell>
          <cell r="C2783" t="str">
            <v>P</v>
          </cell>
          <cell r="D2783" t="str">
            <v>24013</v>
          </cell>
          <cell r="E2783" t="str">
            <v>R TEE</v>
          </cell>
          <cell r="F2783">
            <v>2</v>
          </cell>
          <cell r="G2783" t="str">
            <v>CB40040000010T</v>
          </cell>
          <cell r="H2783">
            <v>1</v>
          </cell>
          <cell r="I2783">
            <v>0.75</v>
          </cell>
          <cell r="J2783">
            <v>3</v>
          </cell>
          <cell r="K2783">
            <v>3</v>
          </cell>
        </row>
        <row r="2784">
          <cell r="A2784" t="str">
            <v>M2</v>
          </cell>
          <cell r="B2784" t="str">
            <v>A5C</v>
          </cell>
          <cell r="C2784" t="str">
            <v>N</v>
          </cell>
          <cell r="D2784" t="str">
            <v>23631</v>
          </cell>
          <cell r="E2784" t="str">
            <v>TEE</v>
          </cell>
          <cell r="F2784">
            <v>2</v>
          </cell>
          <cell r="G2784" t="str">
            <v>CB400300000100</v>
          </cell>
          <cell r="H2784">
            <v>1</v>
          </cell>
          <cell r="I2784" t="str">
            <v>--</v>
          </cell>
          <cell r="J2784">
            <v>1</v>
          </cell>
          <cell r="K2784">
            <v>1</v>
          </cell>
        </row>
        <row r="2785">
          <cell r="A2785" t="str">
            <v>M2</v>
          </cell>
          <cell r="B2785" t="str">
            <v>A5C</v>
          </cell>
          <cell r="C2785" t="str">
            <v>N</v>
          </cell>
          <cell r="D2785" t="str">
            <v>23633</v>
          </cell>
          <cell r="E2785" t="str">
            <v>TEE</v>
          </cell>
          <cell r="F2785">
            <v>2</v>
          </cell>
          <cell r="G2785" t="str">
            <v>CB400300000100</v>
          </cell>
          <cell r="H2785">
            <v>1</v>
          </cell>
          <cell r="I2785" t="str">
            <v>--</v>
          </cell>
          <cell r="J2785">
            <v>1</v>
          </cell>
          <cell r="K2785">
            <v>1</v>
          </cell>
        </row>
        <row r="2786">
          <cell r="A2786" t="str">
            <v>M2</v>
          </cell>
          <cell r="B2786" t="str">
            <v>A5C</v>
          </cell>
          <cell r="C2786" t="str">
            <v>N</v>
          </cell>
          <cell r="D2786" t="str">
            <v>23635</v>
          </cell>
          <cell r="E2786" t="str">
            <v>TEE</v>
          </cell>
          <cell r="F2786">
            <v>2</v>
          </cell>
          <cell r="G2786" t="str">
            <v>CB400300000100</v>
          </cell>
          <cell r="H2786">
            <v>1</v>
          </cell>
          <cell r="I2786" t="str">
            <v>--</v>
          </cell>
          <cell r="J2786">
            <v>1</v>
          </cell>
          <cell r="K2786">
            <v>1</v>
          </cell>
        </row>
        <row r="2787">
          <cell r="A2787" t="str">
            <v>M2</v>
          </cell>
          <cell r="B2787" t="str">
            <v>A5C</v>
          </cell>
          <cell r="C2787" t="str">
            <v>P</v>
          </cell>
          <cell r="D2787" t="str">
            <v>23063</v>
          </cell>
          <cell r="E2787" t="str">
            <v>TEE</v>
          </cell>
          <cell r="F2787">
            <v>2</v>
          </cell>
          <cell r="G2787" t="str">
            <v>CB400300000100</v>
          </cell>
          <cell r="H2787">
            <v>1</v>
          </cell>
          <cell r="I2787" t="str">
            <v>--</v>
          </cell>
          <cell r="J2787">
            <v>2</v>
          </cell>
          <cell r="K2787">
            <v>2</v>
          </cell>
        </row>
        <row r="2788">
          <cell r="A2788" t="str">
            <v>M2</v>
          </cell>
          <cell r="B2788" t="str">
            <v>A5C</v>
          </cell>
          <cell r="C2788" t="str">
            <v>P</v>
          </cell>
          <cell r="D2788" t="str">
            <v>23078</v>
          </cell>
          <cell r="E2788" t="str">
            <v>TEE</v>
          </cell>
          <cell r="F2788">
            <v>2</v>
          </cell>
          <cell r="G2788" t="str">
            <v>CB400300000100</v>
          </cell>
          <cell r="H2788">
            <v>1</v>
          </cell>
          <cell r="I2788" t="str">
            <v>--</v>
          </cell>
          <cell r="J2788">
            <v>2</v>
          </cell>
          <cell r="K2788">
            <v>2</v>
          </cell>
        </row>
        <row r="2789">
          <cell r="A2789" t="str">
            <v>M2</v>
          </cell>
          <cell r="B2789" t="str">
            <v>A5C</v>
          </cell>
          <cell r="C2789" t="str">
            <v>P</v>
          </cell>
          <cell r="D2789" t="str">
            <v>23083</v>
          </cell>
          <cell r="E2789" t="str">
            <v>TEE</v>
          </cell>
          <cell r="F2789">
            <v>2</v>
          </cell>
          <cell r="G2789" t="str">
            <v>CB400300000100</v>
          </cell>
          <cell r="H2789">
            <v>1</v>
          </cell>
          <cell r="I2789" t="str">
            <v>--</v>
          </cell>
          <cell r="J2789">
            <v>3</v>
          </cell>
          <cell r="K2789">
            <v>3</v>
          </cell>
        </row>
        <row r="2790">
          <cell r="A2790" t="str">
            <v>M2</v>
          </cell>
          <cell r="B2790" t="str">
            <v>A5C</v>
          </cell>
          <cell r="C2790" t="str">
            <v>P</v>
          </cell>
          <cell r="D2790" t="str">
            <v>23104</v>
          </cell>
          <cell r="E2790" t="str">
            <v>TEE</v>
          </cell>
          <cell r="F2790">
            <v>2</v>
          </cell>
          <cell r="G2790" t="str">
            <v>CB400300000100</v>
          </cell>
          <cell r="H2790">
            <v>1</v>
          </cell>
          <cell r="I2790" t="str">
            <v>--</v>
          </cell>
          <cell r="J2790">
            <v>3</v>
          </cell>
          <cell r="K2790">
            <v>3</v>
          </cell>
        </row>
        <row r="2791">
          <cell r="A2791" t="str">
            <v>M2</v>
          </cell>
          <cell r="B2791" t="str">
            <v>A5C</v>
          </cell>
          <cell r="C2791" t="str">
            <v>P</v>
          </cell>
          <cell r="D2791" t="str">
            <v>23104</v>
          </cell>
          <cell r="E2791" t="str">
            <v>TEE</v>
          </cell>
          <cell r="F2791">
            <v>2</v>
          </cell>
          <cell r="G2791" t="str">
            <v>CB400300000100</v>
          </cell>
          <cell r="H2791">
            <v>1</v>
          </cell>
          <cell r="I2791" t="str">
            <v>--</v>
          </cell>
          <cell r="J2791">
            <v>2</v>
          </cell>
          <cell r="K2791">
            <v>2</v>
          </cell>
        </row>
        <row r="2792">
          <cell r="A2792" t="str">
            <v>M2</v>
          </cell>
          <cell r="B2792" t="str">
            <v>A5C</v>
          </cell>
          <cell r="C2792" t="str">
            <v>P</v>
          </cell>
          <cell r="D2792" t="str">
            <v>23108</v>
          </cell>
          <cell r="E2792" t="str">
            <v>TEE</v>
          </cell>
          <cell r="F2792">
            <v>2</v>
          </cell>
          <cell r="G2792" t="str">
            <v>CB400300000100</v>
          </cell>
          <cell r="H2792">
            <v>1</v>
          </cell>
          <cell r="I2792" t="str">
            <v>--</v>
          </cell>
          <cell r="J2792">
            <v>2</v>
          </cell>
          <cell r="K2792">
            <v>2</v>
          </cell>
        </row>
        <row r="2793">
          <cell r="A2793" t="str">
            <v>M2</v>
          </cell>
          <cell r="B2793" t="str">
            <v>A5C</v>
          </cell>
          <cell r="C2793" t="str">
            <v>P</v>
          </cell>
          <cell r="D2793" t="str">
            <v>23112</v>
          </cell>
          <cell r="E2793" t="str">
            <v>TEE</v>
          </cell>
          <cell r="F2793">
            <v>2</v>
          </cell>
          <cell r="G2793" t="str">
            <v>CB400300000100</v>
          </cell>
          <cell r="H2793">
            <v>1</v>
          </cell>
          <cell r="I2793" t="str">
            <v>--</v>
          </cell>
          <cell r="J2793">
            <v>3</v>
          </cell>
          <cell r="K2793">
            <v>3</v>
          </cell>
        </row>
        <row r="2794">
          <cell r="A2794" t="str">
            <v>M2</v>
          </cell>
          <cell r="B2794" t="str">
            <v>A5C</v>
          </cell>
          <cell r="C2794" t="str">
            <v>P</v>
          </cell>
          <cell r="D2794" t="str">
            <v>23144</v>
          </cell>
          <cell r="E2794" t="str">
            <v>TEE</v>
          </cell>
          <cell r="F2794">
            <v>2</v>
          </cell>
          <cell r="G2794" t="str">
            <v>CB400300000100</v>
          </cell>
          <cell r="H2794">
            <v>1</v>
          </cell>
          <cell r="I2794" t="str">
            <v>--</v>
          </cell>
          <cell r="J2794">
            <v>1</v>
          </cell>
          <cell r="K2794">
            <v>1</v>
          </cell>
        </row>
        <row r="2795">
          <cell r="A2795" t="str">
            <v>M2</v>
          </cell>
          <cell r="B2795" t="str">
            <v>A5C</v>
          </cell>
          <cell r="C2795" t="str">
            <v>P</v>
          </cell>
          <cell r="D2795" t="str">
            <v>23148</v>
          </cell>
          <cell r="E2795" t="str">
            <v>TEE</v>
          </cell>
          <cell r="F2795">
            <v>2</v>
          </cell>
          <cell r="G2795" t="str">
            <v>CB400300000100</v>
          </cell>
          <cell r="H2795">
            <v>1</v>
          </cell>
          <cell r="I2795" t="str">
            <v>--</v>
          </cell>
          <cell r="J2795">
            <v>1</v>
          </cell>
          <cell r="K2795">
            <v>1</v>
          </cell>
        </row>
        <row r="2796">
          <cell r="A2796" t="str">
            <v>M2</v>
          </cell>
          <cell r="B2796" t="str">
            <v>A5C</v>
          </cell>
          <cell r="C2796" t="str">
            <v>P</v>
          </cell>
          <cell r="D2796" t="str">
            <v>23164</v>
          </cell>
          <cell r="E2796" t="str">
            <v>TEE</v>
          </cell>
          <cell r="F2796">
            <v>2</v>
          </cell>
          <cell r="G2796" t="str">
            <v>CB400300000100</v>
          </cell>
          <cell r="H2796">
            <v>1</v>
          </cell>
          <cell r="I2796" t="str">
            <v>--</v>
          </cell>
          <cell r="J2796">
            <v>1</v>
          </cell>
          <cell r="K2796">
            <v>1</v>
          </cell>
        </row>
        <row r="2797">
          <cell r="A2797" t="str">
            <v>M2</v>
          </cell>
          <cell r="B2797" t="str">
            <v>A5C</v>
          </cell>
          <cell r="C2797" t="str">
            <v>P</v>
          </cell>
          <cell r="D2797" t="str">
            <v>23230</v>
          </cell>
          <cell r="E2797" t="str">
            <v>TEE</v>
          </cell>
          <cell r="F2797">
            <v>2</v>
          </cell>
          <cell r="G2797" t="str">
            <v>CB400300000100</v>
          </cell>
          <cell r="H2797">
            <v>1</v>
          </cell>
          <cell r="I2797" t="str">
            <v>--</v>
          </cell>
          <cell r="J2797">
            <v>1</v>
          </cell>
          <cell r="K2797">
            <v>1</v>
          </cell>
        </row>
        <row r="2798">
          <cell r="A2798" t="str">
            <v>M2</v>
          </cell>
          <cell r="B2798" t="str">
            <v>A5C</v>
          </cell>
          <cell r="C2798" t="str">
            <v>P</v>
          </cell>
          <cell r="D2798" t="str">
            <v>23252</v>
          </cell>
          <cell r="E2798" t="str">
            <v>TEE</v>
          </cell>
          <cell r="F2798">
            <v>2</v>
          </cell>
          <cell r="G2798" t="str">
            <v>CB400300000100</v>
          </cell>
          <cell r="H2798">
            <v>1</v>
          </cell>
          <cell r="I2798" t="str">
            <v>--</v>
          </cell>
          <cell r="J2798">
            <v>2</v>
          </cell>
          <cell r="K2798">
            <v>2</v>
          </cell>
        </row>
        <row r="2799">
          <cell r="A2799" t="str">
            <v>M2</v>
          </cell>
          <cell r="B2799" t="str">
            <v>A5C</v>
          </cell>
          <cell r="C2799" t="str">
            <v>P</v>
          </cell>
          <cell r="D2799" t="str">
            <v>24013</v>
          </cell>
          <cell r="E2799" t="str">
            <v>TEE</v>
          </cell>
          <cell r="F2799">
            <v>2</v>
          </cell>
          <cell r="G2799" t="str">
            <v>CB400300000100</v>
          </cell>
          <cell r="H2799">
            <v>1</v>
          </cell>
          <cell r="I2799" t="str">
            <v>--</v>
          </cell>
          <cell r="J2799">
            <v>1</v>
          </cell>
          <cell r="K2799">
            <v>1</v>
          </cell>
        </row>
        <row r="2800">
          <cell r="A2800" t="str">
            <v>M2</v>
          </cell>
          <cell r="B2800" t="str">
            <v>A5C</v>
          </cell>
          <cell r="C2800" t="str">
            <v>P</v>
          </cell>
          <cell r="D2800" t="str">
            <v>24008</v>
          </cell>
          <cell r="E2800" t="str">
            <v>TEE</v>
          </cell>
          <cell r="F2800">
            <v>2</v>
          </cell>
          <cell r="G2800" t="str">
            <v>CB400300000100</v>
          </cell>
          <cell r="H2800">
            <v>1</v>
          </cell>
          <cell r="I2800" t="str">
            <v>--</v>
          </cell>
          <cell r="J2800">
            <v>2</v>
          </cell>
          <cell r="K2800">
            <v>2</v>
          </cell>
        </row>
        <row r="2801">
          <cell r="A2801" t="str">
            <v>M2</v>
          </cell>
          <cell r="B2801" t="str">
            <v>A5C</v>
          </cell>
          <cell r="C2801" t="str">
            <v>P</v>
          </cell>
          <cell r="D2801" t="str">
            <v>23038</v>
          </cell>
          <cell r="E2801" t="str">
            <v>TEE</v>
          </cell>
          <cell r="F2801">
            <v>2</v>
          </cell>
          <cell r="G2801" t="str">
            <v>CB400300000100</v>
          </cell>
          <cell r="H2801">
            <v>1</v>
          </cell>
          <cell r="I2801" t="str">
            <v>--</v>
          </cell>
          <cell r="J2801">
            <v>1</v>
          </cell>
          <cell r="K2801">
            <v>1</v>
          </cell>
        </row>
        <row r="2802">
          <cell r="A2802" t="str">
            <v>M2</v>
          </cell>
          <cell r="B2802" t="str">
            <v>A5C</v>
          </cell>
          <cell r="C2802" t="str">
            <v>P</v>
          </cell>
          <cell r="D2802" t="str">
            <v>23108</v>
          </cell>
          <cell r="E2802" t="str">
            <v>TEE</v>
          </cell>
          <cell r="F2802">
            <v>2</v>
          </cell>
          <cell r="G2802" t="str">
            <v>CB400300000100</v>
          </cell>
          <cell r="H2802">
            <v>1</v>
          </cell>
          <cell r="I2802" t="str">
            <v>--</v>
          </cell>
          <cell r="J2802">
            <v>3</v>
          </cell>
          <cell r="K2802">
            <v>3</v>
          </cell>
        </row>
        <row r="2803">
          <cell r="A2803" t="str">
            <v>M2</v>
          </cell>
          <cell r="B2803" t="str">
            <v>A5C</v>
          </cell>
          <cell r="C2803" t="str">
            <v>P</v>
          </cell>
          <cell r="D2803" t="str">
            <v>23112</v>
          </cell>
          <cell r="E2803" t="str">
            <v>TEE</v>
          </cell>
          <cell r="F2803">
            <v>2</v>
          </cell>
          <cell r="G2803" t="str">
            <v>CB400300000100</v>
          </cell>
          <cell r="H2803">
            <v>1</v>
          </cell>
          <cell r="I2803" t="str">
            <v>--</v>
          </cell>
          <cell r="J2803">
            <v>2</v>
          </cell>
          <cell r="K2803">
            <v>2</v>
          </cell>
        </row>
        <row r="2804">
          <cell r="A2804" t="str">
            <v>M2</v>
          </cell>
          <cell r="B2804" t="str">
            <v>A5C</v>
          </cell>
          <cell r="C2804" t="str">
            <v>P</v>
          </cell>
          <cell r="D2804" t="str">
            <v>23122</v>
          </cell>
          <cell r="E2804" t="str">
            <v>TEE</v>
          </cell>
          <cell r="F2804">
            <v>2</v>
          </cell>
          <cell r="G2804" t="str">
            <v>CB400300000100</v>
          </cell>
          <cell r="H2804">
            <v>1</v>
          </cell>
          <cell r="I2804" t="str">
            <v>--</v>
          </cell>
          <cell r="J2804">
            <v>2</v>
          </cell>
          <cell r="K2804">
            <v>2</v>
          </cell>
        </row>
        <row r="2805">
          <cell r="A2805" t="str">
            <v>M2</v>
          </cell>
          <cell r="B2805" t="str">
            <v>A5C</v>
          </cell>
          <cell r="C2805" t="str">
            <v>P</v>
          </cell>
          <cell r="D2805" t="str">
            <v>24020</v>
          </cell>
          <cell r="E2805" t="str">
            <v>TEE</v>
          </cell>
          <cell r="F2805">
            <v>2</v>
          </cell>
          <cell r="G2805" t="str">
            <v>CB400300000100</v>
          </cell>
          <cell r="H2805">
            <v>1</v>
          </cell>
          <cell r="I2805" t="str">
            <v>--</v>
          </cell>
          <cell r="J2805">
            <v>2</v>
          </cell>
          <cell r="K2805">
            <v>2</v>
          </cell>
        </row>
        <row r="2806">
          <cell r="A2806" t="str">
            <v>M2</v>
          </cell>
          <cell r="B2806" t="str">
            <v>A5C</v>
          </cell>
          <cell r="C2806" t="str">
            <v>P</v>
          </cell>
          <cell r="D2806" t="str">
            <v>23059</v>
          </cell>
          <cell r="E2806" t="str">
            <v>90 ELL</v>
          </cell>
          <cell r="F2806">
            <v>2</v>
          </cell>
          <cell r="G2806" t="str">
            <v>CB400100000100</v>
          </cell>
          <cell r="H2806">
            <v>1</v>
          </cell>
          <cell r="I2806" t="str">
            <v>--</v>
          </cell>
          <cell r="J2806">
            <v>10</v>
          </cell>
          <cell r="K2806">
            <v>10</v>
          </cell>
        </row>
        <row r="2807">
          <cell r="A2807" t="str">
            <v>M2</v>
          </cell>
          <cell r="B2807" t="str">
            <v>A5C</v>
          </cell>
          <cell r="C2807" t="str">
            <v>TRIM</v>
          </cell>
          <cell r="D2807" t="str">
            <v>V-2352</v>
          </cell>
          <cell r="E2807" t="str">
            <v>90 ELL</v>
          </cell>
          <cell r="F2807">
            <v>2</v>
          </cell>
          <cell r="G2807" t="str">
            <v>CB400100000100</v>
          </cell>
          <cell r="H2807">
            <v>1</v>
          </cell>
          <cell r="I2807" t="str">
            <v>--</v>
          </cell>
          <cell r="J2807">
            <v>2</v>
          </cell>
          <cell r="K2807">
            <v>2</v>
          </cell>
        </row>
        <row r="2808">
          <cell r="A2808" t="str">
            <v>M2</v>
          </cell>
          <cell r="B2808" t="str">
            <v>A5C</v>
          </cell>
          <cell r="C2808" t="str">
            <v>P</v>
          </cell>
          <cell r="D2808" t="str">
            <v>23059</v>
          </cell>
          <cell r="E2808" t="str">
            <v>C SWG</v>
          </cell>
          <cell r="F2808">
            <v>2</v>
          </cell>
          <cell r="G2808" t="str">
            <v>CB16110808010T</v>
          </cell>
          <cell r="H2808">
            <v>1</v>
          </cell>
          <cell r="I2808">
            <v>0.75</v>
          </cell>
          <cell r="J2808">
            <v>2</v>
          </cell>
          <cell r="K2808">
            <v>2</v>
          </cell>
        </row>
        <row r="2809">
          <cell r="A2809" t="str">
            <v>M2</v>
          </cell>
          <cell r="B2809" t="str">
            <v>A5C</v>
          </cell>
          <cell r="C2809" t="str">
            <v>P</v>
          </cell>
          <cell r="D2809" t="str">
            <v>23059</v>
          </cell>
          <cell r="E2809" t="str">
            <v>C SWG</v>
          </cell>
          <cell r="F2809">
            <v>2</v>
          </cell>
          <cell r="G2809" t="str">
            <v>CB16110808010T</v>
          </cell>
          <cell r="H2809">
            <v>1</v>
          </cell>
          <cell r="I2809">
            <v>0.75</v>
          </cell>
          <cell r="J2809">
            <v>1</v>
          </cell>
          <cell r="K2809">
            <v>1</v>
          </cell>
        </row>
        <row r="2810">
          <cell r="A2810" t="str">
            <v>M2</v>
          </cell>
          <cell r="B2810" t="str">
            <v>A5C</v>
          </cell>
          <cell r="C2810" t="str">
            <v>P</v>
          </cell>
          <cell r="D2810" t="str">
            <v>23183</v>
          </cell>
          <cell r="E2810" t="str">
            <v>C SWG</v>
          </cell>
          <cell r="F2810">
            <v>2</v>
          </cell>
          <cell r="G2810" t="str">
            <v>CB16110808010T</v>
          </cell>
          <cell r="H2810">
            <v>1</v>
          </cell>
          <cell r="I2810">
            <v>0.75</v>
          </cell>
          <cell r="J2810">
            <v>1</v>
          </cell>
          <cell r="K2810">
            <v>1</v>
          </cell>
        </row>
        <row r="2811">
          <cell r="A2811" t="str">
            <v>M2</v>
          </cell>
          <cell r="B2811" t="str">
            <v>A5C</v>
          </cell>
          <cell r="C2811" t="str">
            <v>TRIM</v>
          </cell>
          <cell r="D2811" t="str">
            <v>V-2352</v>
          </cell>
          <cell r="E2811" t="str">
            <v>C SWG</v>
          </cell>
          <cell r="F2811">
            <v>2</v>
          </cell>
          <cell r="G2811" t="str">
            <v>CB16110808010T</v>
          </cell>
          <cell r="H2811">
            <v>1</v>
          </cell>
          <cell r="I2811">
            <v>0.75</v>
          </cell>
          <cell r="J2811">
            <v>1</v>
          </cell>
          <cell r="K2811">
            <v>1</v>
          </cell>
        </row>
        <row r="2812">
          <cell r="A2812" t="str">
            <v>M2</v>
          </cell>
          <cell r="B2812" t="str">
            <v>A5C</v>
          </cell>
          <cell r="C2812" t="str">
            <v>P</v>
          </cell>
          <cell r="D2812" t="str">
            <v>23059</v>
          </cell>
          <cell r="E2812" t="str">
            <v>CPLG</v>
          </cell>
          <cell r="F2812">
            <v>2</v>
          </cell>
          <cell r="G2812" t="str">
            <v>CB400500000100</v>
          </cell>
          <cell r="H2812">
            <v>1</v>
          </cell>
          <cell r="I2812" t="str">
            <v>--</v>
          </cell>
          <cell r="J2812">
            <v>2</v>
          </cell>
          <cell r="K2812">
            <v>2</v>
          </cell>
        </row>
        <row r="2813">
          <cell r="A2813" t="str">
            <v>M2</v>
          </cell>
          <cell r="B2813" t="str">
            <v>A5C</v>
          </cell>
          <cell r="C2813" t="str">
            <v>P</v>
          </cell>
          <cell r="D2813" t="str">
            <v>23059</v>
          </cell>
          <cell r="E2813" t="str">
            <v>R TEE</v>
          </cell>
          <cell r="F2813">
            <v>2</v>
          </cell>
          <cell r="G2813" t="str">
            <v>CB40040000010T</v>
          </cell>
          <cell r="H2813">
            <v>1</v>
          </cell>
          <cell r="I2813">
            <v>0.75</v>
          </cell>
          <cell r="J2813">
            <v>3</v>
          </cell>
          <cell r="K2813">
            <v>3</v>
          </cell>
        </row>
        <row r="2814">
          <cell r="A2814" t="str">
            <v>M2</v>
          </cell>
          <cell r="B2814" t="str">
            <v>A5C</v>
          </cell>
          <cell r="C2814" t="str">
            <v>P</v>
          </cell>
          <cell r="D2814" t="str">
            <v>23059</v>
          </cell>
          <cell r="E2814" t="str">
            <v>TEE</v>
          </cell>
          <cell r="F2814">
            <v>2</v>
          </cell>
          <cell r="G2814" t="str">
            <v>CB400300000100</v>
          </cell>
          <cell r="H2814">
            <v>1</v>
          </cell>
          <cell r="I2814" t="str">
            <v>--</v>
          </cell>
          <cell r="J2814">
            <v>1</v>
          </cell>
          <cell r="K2814">
            <v>1</v>
          </cell>
        </row>
        <row r="2815">
          <cell r="A2815" t="str">
            <v>M2</v>
          </cell>
          <cell r="B2815" t="str">
            <v>A5C</v>
          </cell>
          <cell r="C2815" t="str">
            <v>P</v>
          </cell>
          <cell r="D2815" t="str">
            <v>23018</v>
          </cell>
          <cell r="E2815" t="str">
            <v>45 ELL</v>
          </cell>
          <cell r="F2815">
            <v>2</v>
          </cell>
          <cell r="G2815" t="str">
            <v>CB400200000100</v>
          </cell>
          <cell r="H2815">
            <v>1</v>
          </cell>
          <cell r="I2815" t="str">
            <v>--</v>
          </cell>
          <cell r="J2815">
            <v>1</v>
          </cell>
          <cell r="K2815">
            <v>1</v>
          </cell>
        </row>
        <row r="2816">
          <cell r="A2816" t="str">
            <v>M2</v>
          </cell>
          <cell r="B2816" t="str">
            <v>A5C</v>
          </cell>
          <cell r="C2816" t="str">
            <v>P</v>
          </cell>
          <cell r="D2816" t="str">
            <v>23018</v>
          </cell>
          <cell r="E2816" t="str">
            <v>90 ELL</v>
          </cell>
          <cell r="F2816">
            <v>2</v>
          </cell>
          <cell r="G2816" t="str">
            <v>CB400100000100</v>
          </cell>
          <cell r="H2816">
            <v>1</v>
          </cell>
          <cell r="I2816" t="str">
            <v>--</v>
          </cell>
          <cell r="J2816">
            <v>6</v>
          </cell>
          <cell r="K2816">
            <v>6</v>
          </cell>
        </row>
        <row r="2817">
          <cell r="A2817" t="str">
            <v>M2</v>
          </cell>
          <cell r="B2817" t="str">
            <v>A5C</v>
          </cell>
          <cell r="C2817" t="str">
            <v>P</v>
          </cell>
          <cell r="D2817" t="str">
            <v>23019</v>
          </cell>
          <cell r="E2817" t="str">
            <v>90 ELL</v>
          </cell>
          <cell r="F2817">
            <v>2</v>
          </cell>
          <cell r="G2817" t="str">
            <v>CB400100000100</v>
          </cell>
          <cell r="H2817">
            <v>1</v>
          </cell>
          <cell r="I2817" t="str">
            <v>--</v>
          </cell>
          <cell r="J2817">
            <v>1</v>
          </cell>
          <cell r="K2817">
            <v>1</v>
          </cell>
        </row>
        <row r="2818">
          <cell r="A2818" t="str">
            <v>M2</v>
          </cell>
          <cell r="B2818" t="str">
            <v>A5C</v>
          </cell>
          <cell r="C2818" t="str">
            <v>P</v>
          </cell>
          <cell r="D2818" t="str">
            <v>23027</v>
          </cell>
          <cell r="E2818" t="str">
            <v>90 ELL</v>
          </cell>
          <cell r="F2818">
            <v>2</v>
          </cell>
          <cell r="G2818" t="str">
            <v>CB400100000100</v>
          </cell>
          <cell r="H2818">
            <v>1</v>
          </cell>
          <cell r="I2818" t="str">
            <v>--</v>
          </cell>
          <cell r="J2818">
            <v>2</v>
          </cell>
          <cell r="K2818">
            <v>2</v>
          </cell>
        </row>
        <row r="2819">
          <cell r="A2819" t="str">
            <v>M2</v>
          </cell>
          <cell r="B2819" t="str">
            <v>A5C</v>
          </cell>
          <cell r="C2819" t="str">
            <v>P</v>
          </cell>
          <cell r="D2819" t="str">
            <v>23039</v>
          </cell>
          <cell r="E2819" t="str">
            <v>90 ELL</v>
          </cell>
          <cell r="F2819">
            <v>2</v>
          </cell>
          <cell r="G2819" t="str">
            <v>CB400100000100</v>
          </cell>
          <cell r="H2819">
            <v>1</v>
          </cell>
          <cell r="I2819" t="str">
            <v>--</v>
          </cell>
          <cell r="J2819">
            <v>1</v>
          </cell>
          <cell r="K2819">
            <v>1</v>
          </cell>
        </row>
        <row r="2820">
          <cell r="A2820" t="str">
            <v>M2</v>
          </cell>
          <cell r="B2820" t="str">
            <v>A5C</v>
          </cell>
          <cell r="C2820" t="str">
            <v>P</v>
          </cell>
          <cell r="D2820" t="str">
            <v>23048</v>
          </cell>
          <cell r="E2820" t="str">
            <v>90 ELL</v>
          </cell>
          <cell r="F2820">
            <v>2</v>
          </cell>
          <cell r="G2820" t="str">
            <v>CB400100000100</v>
          </cell>
          <cell r="H2820">
            <v>1</v>
          </cell>
          <cell r="I2820" t="str">
            <v>--</v>
          </cell>
          <cell r="J2820">
            <v>6</v>
          </cell>
          <cell r="K2820">
            <v>6</v>
          </cell>
        </row>
        <row r="2821">
          <cell r="A2821" t="str">
            <v>M2</v>
          </cell>
          <cell r="B2821" t="str">
            <v>A5C</v>
          </cell>
          <cell r="C2821" t="str">
            <v>P</v>
          </cell>
          <cell r="D2821" t="str">
            <v>23223</v>
          </cell>
          <cell r="E2821" t="str">
            <v>90 ELL</v>
          </cell>
          <cell r="F2821">
            <v>2</v>
          </cell>
          <cell r="G2821" t="str">
            <v>CB400100000100</v>
          </cell>
          <cell r="H2821">
            <v>1</v>
          </cell>
          <cell r="I2821" t="str">
            <v>--</v>
          </cell>
          <cell r="J2821">
            <v>3</v>
          </cell>
          <cell r="K2821">
            <v>3</v>
          </cell>
        </row>
        <row r="2822">
          <cell r="A2822" t="str">
            <v>M2</v>
          </cell>
          <cell r="B2822" t="str">
            <v>A5C</v>
          </cell>
          <cell r="C2822" t="str">
            <v>P</v>
          </cell>
          <cell r="D2822" t="str">
            <v>24015</v>
          </cell>
          <cell r="E2822" t="str">
            <v>90 ELL</v>
          </cell>
          <cell r="F2822">
            <v>2</v>
          </cell>
          <cell r="G2822" t="str">
            <v>CB400100000100</v>
          </cell>
          <cell r="H2822">
            <v>1</v>
          </cell>
          <cell r="I2822" t="str">
            <v>--</v>
          </cell>
          <cell r="J2822">
            <v>2</v>
          </cell>
          <cell r="K2822">
            <v>2</v>
          </cell>
        </row>
        <row r="2823">
          <cell r="A2823" t="str">
            <v>M2</v>
          </cell>
          <cell r="B2823" t="str">
            <v>A5C</v>
          </cell>
          <cell r="C2823" t="str">
            <v>P</v>
          </cell>
          <cell r="D2823" t="str">
            <v>23074</v>
          </cell>
          <cell r="E2823" t="str">
            <v>90 ELL</v>
          </cell>
          <cell r="F2823">
            <v>2</v>
          </cell>
          <cell r="G2823" t="str">
            <v>CB400100000100</v>
          </cell>
          <cell r="H2823">
            <v>1</v>
          </cell>
          <cell r="I2823" t="str">
            <v>--</v>
          </cell>
          <cell r="J2823">
            <v>14</v>
          </cell>
          <cell r="K2823">
            <v>14</v>
          </cell>
        </row>
        <row r="2824">
          <cell r="A2824" t="str">
            <v>M2</v>
          </cell>
          <cell r="B2824" t="str">
            <v>A5C</v>
          </cell>
          <cell r="C2824" t="str">
            <v>P</v>
          </cell>
          <cell r="D2824" t="str">
            <v>23079</v>
          </cell>
          <cell r="E2824" t="str">
            <v>90 ELL</v>
          </cell>
          <cell r="F2824">
            <v>2</v>
          </cell>
          <cell r="G2824" t="str">
            <v>CB400100000100</v>
          </cell>
          <cell r="H2824">
            <v>1</v>
          </cell>
          <cell r="I2824" t="str">
            <v>--</v>
          </cell>
          <cell r="J2824">
            <v>9</v>
          </cell>
          <cell r="K2824">
            <v>9</v>
          </cell>
        </row>
        <row r="2825">
          <cell r="A2825" t="str">
            <v>M2</v>
          </cell>
          <cell r="B2825" t="str">
            <v>A5C</v>
          </cell>
          <cell r="C2825" t="str">
            <v>P</v>
          </cell>
          <cell r="D2825" t="str">
            <v>23194</v>
          </cell>
          <cell r="E2825" t="str">
            <v>90 ELL</v>
          </cell>
          <cell r="F2825">
            <v>2</v>
          </cell>
          <cell r="G2825" t="str">
            <v>CB400100000100</v>
          </cell>
          <cell r="H2825">
            <v>1</v>
          </cell>
          <cell r="I2825" t="str">
            <v>--</v>
          </cell>
          <cell r="J2825">
            <v>5</v>
          </cell>
          <cell r="K2825">
            <v>5</v>
          </cell>
        </row>
        <row r="2826">
          <cell r="A2826" t="str">
            <v>M2</v>
          </cell>
          <cell r="B2826" t="str">
            <v>A5C</v>
          </cell>
          <cell r="C2826" t="str">
            <v>P</v>
          </cell>
          <cell r="D2826" t="str">
            <v>23048</v>
          </cell>
          <cell r="E2826" t="str">
            <v>C SWG</v>
          </cell>
          <cell r="F2826">
            <v>2</v>
          </cell>
          <cell r="G2826" t="str">
            <v>CB16110808010T</v>
          </cell>
          <cell r="H2826">
            <v>1</v>
          </cell>
          <cell r="I2826">
            <v>0.75</v>
          </cell>
          <cell r="J2826">
            <v>2</v>
          </cell>
          <cell r="K2826">
            <v>2</v>
          </cell>
        </row>
        <row r="2827">
          <cell r="A2827" t="str">
            <v>M2</v>
          </cell>
          <cell r="B2827" t="str">
            <v>A5C</v>
          </cell>
          <cell r="C2827" t="str">
            <v>P</v>
          </cell>
          <cell r="D2827" t="str">
            <v>23074</v>
          </cell>
          <cell r="E2827" t="str">
            <v>C SWG</v>
          </cell>
          <cell r="F2827">
            <v>2</v>
          </cell>
          <cell r="G2827" t="str">
            <v>CB16110808010T</v>
          </cell>
          <cell r="H2827">
            <v>1</v>
          </cell>
          <cell r="I2827">
            <v>0.75</v>
          </cell>
          <cell r="J2827">
            <v>2</v>
          </cell>
          <cell r="K2827">
            <v>2</v>
          </cell>
        </row>
        <row r="2828">
          <cell r="A2828" t="str">
            <v>M2</v>
          </cell>
          <cell r="B2828" t="str">
            <v>A5C</v>
          </cell>
          <cell r="C2828" t="str">
            <v>P</v>
          </cell>
          <cell r="D2828" t="str">
            <v>23079</v>
          </cell>
          <cell r="E2828" t="str">
            <v>C SWG</v>
          </cell>
          <cell r="F2828">
            <v>2</v>
          </cell>
          <cell r="G2828" t="str">
            <v>CB16110808010T</v>
          </cell>
          <cell r="H2828">
            <v>1</v>
          </cell>
          <cell r="I2828">
            <v>0.75</v>
          </cell>
          <cell r="J2828">
            <v>2</v>
          </cell>
          <cell r="K2828">
            <v>2</v>
          </cell>
        </row>
        <row r="2829">
          <cell r="A2829" t="str">
            <v>M2</v>
          </cell>
          <cell r="B2829" t="str">
            <v>A5C</v>
          </cell>
          <cell r="C2829" t="str">
            <v>P</v>
          </cell>
          <cell r="D2829" t="str">
            <v>23219</v>
          </cell>
          <cell r="E2829" t="str">
            <v>C SWG</v>
          </cell>
          <cell r="F2829">
            <v>2</v>
          </cell>
          <cell r="G2829" t="str">
            <v>CB16110808010T</v>
          </cell>
          <cell r="H2829">
            <v>1</v>
          </cell>
          <cell r="I2829">
            <v>0.75</v>
          </cell>
          <cell r="J2829">
            <v>1</v>
          </cell>
          <cell r="K2829">
            <v>1</v>
          </cell>
        </row>
        <row r="2830">
          <cell r="A2830" t="str">
            <v>M2</v>
          </cell>
          <cell r="B2830" t="str">
            <v>A5C</v>
          </cell>
          <cell r="C2830" t="str">
            <v>P</v>
          </cell>
          <cell r="D2830" t="str">
            <v>24016</v>
          </cell>
          <cell r="E2830" t="str">
            <v>C SWG</v>
          </cell>
          <cell r="F2830">
            <v>2</v>
          </cell>
          <cell r="G2830" t="str">
            <v>CB16110808010T</v>
          </cell>
          <cell r="H2830">
            <v>1</v>
          </cell>
          <cell r="I2830">
            <v>0.75</v>
          </cell>
          <cell r="J2830">
            <v>2</v>
          </cell>
          <cell r="K2830">
            <v>2</v>
          </cell>
        </row>
        <row r="2831">
          <cell r="A2831" t="str">
            <v>M2</v>
          </cell>
          <cell r="B2831" t="str">
            <v>A5C</v>
          </cell>
          <cell r="C2831" t="str">
            <v>P</v>
          </cell>
          <cell r="D2831" t="str">
            <v>24017</v>
          </cell>
          <cell r="E2831" t="str">
            <v>C SWG</v>
          </cell>
          <cell r="F2831">
            <v>2</v>
          </cell>
          <cell r="G2831" t="str">
            <v>CB16110808010T</v>
          </cell>
          <cell r="H2831">
            <v>1</v>
          </cell>
          <cell r="I2831">
            <v>0.75</v>
          </cell>
          <cell r="J2831">
            <v>1</v>
          </cell>
          <cell r="K2831">
            <v>1</v>
          </cell>
        </row>
        <row r="2832">
          <cell r="A2832" t="str">
            <v>M2</v>
          </cell>
          <cell r="B2832" t="str">
            <v>A5C</v>
          </cell>
          <cell r="C2832" t="str">
            <v>P</v>
          </cell>
          <cell r="D2832" t="str">
            <v>24018</v>
          </cell>
          <cell r="E2832" t="str">
            <v>C SWG</v>
          </cell>
          <cell r="F2832">
            <v>2</v>
          </cell>
          <cell r="G2832" t="str">
            <v>CB16110808010T</v>
          </cell>
          <cell r="H2832">
            <v>1</v>
          </cell>
          <cell r="I2832">
            <v>0.75</v>
          </cell>
          <cell r="J2832">
            <v>1</v>
          </cell>
          <cell r="K2832">
            <v>1</v>
          </cell>
        </row>
        <row r="2833">
          <cell r="A2833" t="str">
            <v>M2</v>
          </cell>
          <cell r="B2833" t="str">
            <v>A5C</v>
          </cell>
          <cell r="C2833" t="str">
            <v>TRIM</v>
          </cell>
          <cell r="D2833" t="str">
            <v>C-2302</v>
          </cell>
          <cell r="E2833" t="str">
            <v>C SWG</v>
          </cell>
          <cell r="F2833">
            <v>2</v>
          </cell>
          <cell r="G2833" t="str">
            <v>CB16110808010T</v>
          </cell>
          <cell r="H2833">
            <v>1</v>
          </cell>
          <cell r="I2833">
            <v>0.75</v>
          </cell>
          <cell r="J2833">
            <v>1</v>
          </cell>
          <cell r="K2833">
            <v>1</v>
          </cell>
        </row>
        <row r="2834">
          <cell r="A2834" t="str">
            <v>M2</v>
          </cell>
          <cell r="B2834" t="str">
            <v>A5C</v>
          </cell>
          <cell r="C2834" t="str">
            <v>TRIM</v>
          </cell>
          <cell r="D2834" t="str">
            <v>C-2303</v>
          </cell>
          <cell r="E2834" t="str">
            <v>C SWG</v>
          </cell>
          <cell r="F2834">
            <v>2</v>
          </cell>
          <cell r="G2834" t="str">
            <v>CB16110808010T</v>
          </cell>
          <cell r="H2834">
            <v>1</v>
          </cell>
          <cell r="I2834">
            <v>0.75</v>
          </cell>
          <cell r="J2834">
            <v>1</v>
          </cell>
          <cell r="K2834">
            <v>1</v>
          </cell>
        </row>
        <row r="2835">
          <cell r="A2835" t="str">
            <v>M2</v>
          </cell>
          <cell r="B2835" t="str">
            <v>A5C</v>
          </cell>
          <cell r="C2835" t="str">
            <v>TRIM</v>
          </cell>
          <cell r="D2835" t="str">
            <v>C-2304</v>
          </cell>
          <cell r="E2835" t="str">
            <v>C SWG</v>
          </cell>
          <cell r="F2835">
            <v>2</v>
          </cell>
          <cell r="G2835" t="str">
            <v>CB16110808010T</v>
          </cell>
          <cell r="H2835">
            <v>1</v>
          </cell>
          <cell r="I2835">
            <v>0.75</v>
          </cell>
          <cell r="J2835">
            <v>1</v>
          </cell>
          <cell r="K2835">
            <v>1</v>
          </cell>
        </row>
        <row r="2836">
          <cell r="A2836" t="str">
            <v>M2</v>
          </cell>
          <cell r="B2836" t="str">
            <v>A5C</v>
          </cell>
          <cell r="C2836" t="str">
            <v>TRIM</v>
          </cell>
          <cell r="D2836" t="str">
            <v>C-2305</v>
          </cell>
          <cell r="E2836" t="str">
            <v>C SWG</v>
          </cell>
          <cell r="F2836">
            <v>2</v>
          </cell>
          <cell r="G2836" t="str">
            <v>CB16110808010T</v>
          </cell>
          <cell r="H2836">
            <v>1</v>
          </cell>
          <cell r="I2836">
            <v>0.75</v>
          </cell>
          <cell r="J2836">
            <v>1</v>
          </cell>
          <cell r="K2836">
            <v>1</v>
          </cell>
        </row>
        <row r="2837">
          <cell r="A2837" t="str">
            <v>M2</v>
          </cell>
          <cell r="B2837" t="str">
            <v>A5C</v>
          </cell>
          <cell r="C2837" t="str">
            <v>TRIM</v>
          </cell>
          <cell r="D2837" t="str">
            <v>C-2306</v>
          </cell>
          <cell r="E2837" t="str">
            <v>C SWG</v>
          </cell>
          <cell r="F2837">
            <v>2</v>
          </cell>
          <cell r="G2837" t="str">
            <v>CB16110808010T</v>
          </cell>
          <cell r="H2837">
            <v>1</v>
          </cell>
          <cell r="I2837">
            <v>0.75</v>
          </cell>
          <cell r="J2837">
            <v>1</v>
          </cell>
          <cell r="K2837">
            <v>1</v>
          </cell>
        </row>
        <row r="2838">
          <cell r="A2838" t="str">
            <v>M2</v>
          </cell>
          <cell r="B2838" t="str">
            <v>A5C</v>
          </cell>
          <cell r="C2838" t="str">
            <v>TRIM</v>
          </cell>
          <cell r="D2838" t="str">
            <v>V-2325</v>
          </cell>
          <cell r="E2838" t="str">
            <v>C SWG</v>
          </cell>
          <cell r="F2838">
            <v>2</v>
          </cell>
          <cell r="G2838" t="str">
            <v>CB16110808010T</v>
          </cell>
          <cell r="H2838">
            <v>1</v>
          </cell>
          <cell r="I2838">
            <v>0.75</v>
          </cell>
          <cell r="J2838">
            <v>1</v>
          </cell>
          <cell r="K2838">
            <v>1</v>
          </cell>
        </row>
        <row r="2839">
          <cell r="A2839" t="str">
            <v>M2</v>
          </cell>
          <cell r="B2839" t="str">
            <v>A5C</v>
          </cell>
          <cell r="C2839" t="str">
            <v>P</v>
          </cell>
          <cell r="D2839" t="str">
            <v>23079</v>
          </cell>
          <cell r="E2839" t="str">
            <v>C SWG</v>
          </cell>
          <cell r="F2839">
            <v>2</v>
          </cell>
          <cell r="G2839" t="str">
            <v>CB16110808010T</v>
          </cell>
          <cell r="H2839">
            <v>1</v>
          </cell>
          <cell r="I2839">
            <v>0.75</v>
          </cell>
          <cell r="J2839">
            <v>1</v>
          </cell>
          <cell r="K2839">
            <v>1</v>
          </cell>
        </row>
        <row r="2840">
          <cell r="A2840" t="str">
            <v>M2</v>
          </cell>
          <cell r="B2840" t="str">
            <v>A5C</v>
          </cell>
          <cell r="C2840" t="str">
            <v>P</v>
          </cell>
          <cell r="D2840" t="str">
            <v>23018</v>
          </cell>
          <cell r="E2840" t="str">
            <v>CPLG</v>
          </cell>
          <cell r="F2840">
            <v>2</v>
          </cell>
          <cell r="G2840" t="str">
            <v>CB400500000100</v>
          </cell>
          <cell r="H2840">
            <v>1</v>
          </cell>
          <cell r="I2840" t="str">
            <v>--</v>
          </cell>
          <cell r="J2840">
            <v>2</v>
          </cell>
          <cell r="K2840">
            <v>2</v>
          </cell>
        </row>
        <row r="2841">
          <cell r="A2841" t="str">
            <v>M2</v>
          </cell>
          <cell r="B2841" t="str">
            <v>A5C</v>
          </cell>
          <cell r="C2841" t="str">
            <v>P</v>
          </cell>
          <cell r="D2841" t="str">
            <v>23074</v>
          </cell>
          <cell r="E2841" t="str">
            <v>CPLG</v>
          </cell>
          <cell r="F2841">
            <v>2</v>
          </cell>
          <cell r="G2841" t="str">
            <v>CB400500000100</v>
          </cell>
          <cell r="H2841">
            <v>1</v>
          </cell>
          <cell r="I2841" t="str">
            <v>--</v>
          </cell>
          <cell r="J2841">
            <v>2</v>
          </cell>
          <cell r="K2841">
            <v>2</v>
          </cell>
        </row>
        <row r="2842">
          <cell r="A2842" t="str">
            <v>M2</v>
          </cell>
          <cell r="B2842" t="str">
            <v>A5C</v>
          </cell>
          <cell r="C2842" t="str">
            <v>P</v>
          </cell>
          <cell r="D2842" t="str">
            <v>23079</v>
          </cell>
          <cell r="E2842" t="str">
            <v>CPLG</v>
          </cell>
          <cell r="F2842">
            <v>2</v>
          </cell>
          <cell r="G2842" t="str">
            <v>CB400500000100</v>
          </cell>
          <cell r="H2842">
            <v>1</v>
          </cell>
          <cell r="I2842" t="str">
            <v>--</v>
          </cell>
          <cell r="J2842">
            <v>2</v>
          </cell>
          <cell r="K2842">
            <v>2</v>
          </cell>
        </row>
        <row r="2843">
          <cell r="A2843" t="str">
            <v>M2</v>
          </cell>
          <cell r="B2843" t="str">
            <v>A5C</v>
          </cell>
          <cell r="C2843" t="str">
            <v>P</v>
          </cell>
          <cell r="D2843" t="str">
            <v>23048</v>
          </cell>
          <cell r="E2843" t="str">
            <v>CPLG</v>
          </cell>
          <cell r="F2843">
            <v>2</v>
          </cell>
          <cell r="G2843" t="str">
            <v>CB400500000100</v>
          </cell>
          <cell r="H2843">
            <v>1</v>
          </cell>
          <cell r="I2843" t="str">
            <v>--</v>
          </cell>
          <cell r="J2843">
            <v>3</v>
          </cell>
          <cell r="K2843">
            <v>3</v>
          </cell>
        </row>
        <row r="2844">
          <cell r="A2844" t="str">
            <v>M2</v>
          </cell>
          <cell r="B2844" t="str">
            <v>A5C</v>
          </cell>
          <cell r="C2844" t="str">
            <v>P</v>
          </cell>
          <cell r="D2844" t="str">
            <v>23018</v>
          </cell>
          <cell r="E2844" t="str">
            <v>E SWG</v>
          </cell>
          <cell r="F2844">
            <v>2</v>
          </cell>
          <cell r="G2844" t="str">
            <v>CB16210808010T</v>
          </cell>
          <cell r="H2844">
            <v>1</v>
          </cell>
          <cell r="I2844">
            <v>0.75</v>
          </cell>
          <cell r="J2844">
            <v>2</v>
          </cell>
          <cell r="K2844">
            <v>2</v>
          </cell>
        </row>
        <row r="2845">
          <cell r="A2845" t="str">
            <v>M2</v>
          </cell>
          <cell r="B2845" t="str">
            <v>A5C</v>
          </cell>
          <cell r="C2845" t="str">
            <v>P</v>
          </cell>
          <cell r="D2845" t="str">
            <v>23027</v>
          </cell>
          <cell r="E2845" t="str">
            <v>E SWG</v>
          </cell>
          <cell r="F2845">
            <v>2</v>
          </cell>
          <cell r="G2845" t="str">
            <v>CB16210808010T</v>
          </cell>
          <cell r="H2845">
            <v>1</v>
          </cell>
          <cell r="I2845">
            <v>0.75</v>
          </cell>
          <cell r="J2845">
            <v>2</v>
          </cell>
          <cell r="K2845">
            <v>2</v>
          </cell>
        </row>
        <row r="2846">
          <cell r="A2846" t="str">
            <v>M2</v>
          </cell>
          <cell r="B2846" t="str">
            <v>A5C</v>
          </cell>
          <cell r="C2846" t="str">
            <v>P</v>
          </cell>
          <cell r="D2846" t="str">
            <v>23018</v>
          </cell>
          <cell r="E2846" t="str">
            <v>R TEE</v>
          </cell>
          <cell r="F2846">
            <v>2</v>
          </cell>
          <cell r="G2846" t="str">
            <v>CB40040000010T</v>
          </cell>
          <cell r="H2846">
            <v>1</v>
          </cell>
          <cell r="I2846">
            <v>0.75</v>
          </cell>
          <cell r="J2846">
            <v>2</v>
          </cell>
          <cell r="K2846">
            <v>2</v>
          </cell>
        </row>
        <row r="2847">
          <cell r="A2847" t="str">
            <v>M2</v>
          </cell>
          <cell r="B2847" t="str">
            <v>A5C</v>
          </cell>
          <cell r="C2847" t="str">
            <v>P</v>
          </cell>
          <cell r="D2847" t="str">
            <v>23018</v>
          </cell>
          <cell r="E2847" t="str">
            <v>R TEE</v>
          </cell>
          <cell r="F2847">
            <v>2</v>
          </cell>
          <cell r="G2847" t="str">
            <v>CB40040000010T</v>
          </cell>
          <cell r="H2847">
            <v>1</v>
          </cell>
          <cell r="I2847">
            <v>0.75</v>
          </cell>
          <cell r="J2847">
            <v>3</v>
          </cell>
          <cell r="K2847">
            <v>3</v>
          </cell>
        </row>
        <row r="2848">
          <cell r="A2848" t="str">
            <v>M2</v>
          </cell>
          <cell r="B2848" t="str">
            <v>A5C</v>
          </cell>
          <cell r="C2848" t="str">
            <v>P</v>
          </cell>
          <cell r="D2848" t="str">
            <v>23027</v>
          </cell>
          <cell r="E2848" t="str">
            <v>R TEE</v>
          </cell>
          <cell r="F2848">
            <v>2</v>
          </cell>
          <cell r="G2848" t="str">
            <v>CB40040000010T</v>
          </cell>
          <cell r="H2848">
            <v>1</v>
          </cell>
          <cell r="I2848">
            <v>0.75</v>
          </cell>
          <cell r="J2848">
            <v>2</v>
          </cell>
          <cell r="K2848">
            <v>2</v>
          </cell>
        </row>
        <row r="2849">
          <cell r="A2849" t="str">
            <v>M2</v>
          </cell>
          <cell r="B2849" t="str">
            <v>A5C</v>
          </cell>
          <cell r="C2849" t="str">
            <v>P</v>
          </cell>
          <cell r="D2849" t="str">
            <v>23048</v>
          </cell>
          <cell r="E2849" t="str">
            <v>R TEE</v>
          </cell>
          <cell r="F2849">
            <v>2</v>
          </cell>
          <cell r="G2849" t="str">
            <v>CB40040000010T</v>
          </cell>
          <cell r="H2849">
            <v>1</v>
          </cell>
          <cell r="I2849">
            <v>0.75</v>
          </cell>
          <cell r="J2849">
            <v>6</v>
          </cell>
          <cell r="K2849">
            <v>6</v>
          </cell>
        </row>
        <row r="2850">
          <cell r="A2850" t="str">
            <v>M2</v>
          </cell>
          <cell r="B2850" t="str">
            <v>A5C</v>
          </cell>
          <cell r="C2850" t="str">
            <v>P</v>
          </cell>
          <cell r="D2850" t="str">
            <v>23074</v>
          </cell>
          <cell r="E2850" t="str">
            <v>R TEE</v>
          </cell>
          <cell r="F2850">
            <v>2</v>
          </cell>
          <cell r="G2850" t="str">
            <v>CB40040000010T</v>
          </cell>
          <cell r="H2850">
            <v>1</v>
          </cell>
          <cell r="I2850">
            <v>0.75</v>
          </cell>
          <cell r="J2850">
            <v>2</v>
          </cell>
          <cell r="K2850">
            <v>2</v>
          </cell>
        </row>
        <row r="2851">
          <cell r="A2851" t="str">
            <v>M2</v>
          </cell>
          <cell r="B2851" t="str">
            <v>A5C</v>
          </cell>
          <cell r="C2851" t="str">
            <v>P</v>
          </cell>
          <cell r="D2851" t="str">
            <v>23223</v>
          </cell>
          <cell r="E2851" t="str">
            <v>R TEE</v>
          </cell>
          <cell r="F2851">
            <v>2</v>
          </cell>
          <cell r="G2851" t="str">
            <v>CB40040000010T</v>
          </cell>
          <cell r="H2851">
            <v>1</v>
          </cell>
          <cell r="I2851">
            <v>0.75</v>
          </cell>
          <cell r="J2851">
            <v>3</v>
          </cell>
          <cell r="K2851">
            <v>3</v>
          </cell>
        </row>
        <row r="2852">
          <cell r="A2852" t="str">
            <v>M2</v>
          </cell>
          <cell r="B2852" t="str">
            <v>A5C</v>
          </cell>
          <cell r="C2852" t="str">
            <v>P</v>
          </cell>
          <cell r="D2852" t="str">
            <v>23079</v>
          </cell>
          <cell r="E2852" t="str">
            <v>R TEE</v>
          </cell>
          <cell r="F2852">
            <v>2</v>
          </cell>
          <cell r="G2852" t="str">
            <v>CB40040000010T</v>
          </cell>
          <cell r="H2852">
            <v>1</v>
          </cell>
          <cell r="I2852">
            <v>0.75</v>
          </cell>
          <cell r="J2852">
            <v>2</v>
          </cell>
          <cell r="K2852">
            <v>2</v>
          </cell>
        </row>
        <row r="2853">
          <cell r="A2853" t="str">
            <v>M2</v>
          </cell>
          <cell r="B2853" t="str">
            <v>A5C</v>
          </cell>
          <cell r="C2853" t="str">
            <v>P</v>
          </cell>
          <cell r="D2853" t="str">
            <v>23018</v>
          </cell>
          <cell r="E2853" t="str">
            <v>TEE</v>
          </cell>
          <cell r="F2853">
            <v>2</v>
          </cell>
          <cell r="G2853" t="str">
            <v>CB400300000100</v>
          </cell>
          <cell r="H2853">
            <v>1</v>
          </cell>
          <cell r="I2853" t="str">
            <v>--</v>
          </cell>
          <cell r="J2853">
            <v>1</v>
          </cell>
          <cell r="K2853">
            <v>1</v>
          </cell>
        </row>
        <row r="2854">
          <cell r="A2854" t="str">
            <v>M2</v>
          </cell>
          <cell r="B2854" t="str">
            <v>A5C</v>
          </cell>
          <cell r="C2854" t="str">
            <v>P</v>
          </cell>
          <cell r="D2854" t="str">
            <v>23018</v>
          </cell>
          <cell r="E2854" t="str">
            <v>TEE</v>
          </cell>
          <cell r="F2854">
            <v>2</v>
          </cell>
          <cell r="G2854" t="str">
            <v>CB400300000100</v>
          </cell>
          <cell r="H2854">
            <v>1</v>
          </cell>
          <cell r="I2854" t="str">
            <v>--</v>
          </cell>
          <cell r="J2854">
            <v>2</v>
          </cell>
          <cell r="K2854">
            <v>2</v>
          </cell>
        </row>
        <row r="2855">
          <cell r="A2855" t="str">
            <v>M2</v>
          </cell>
          <cell r="B2855" t="str">
            <v>A5C</v>
          </cell>
          <cell r="C2855" t="str">
            <v>P</v>
          </cell>
          <cell r="D2855" t="str">
            <v>23027</v>
          </cell>
          <cell r="E2855" t="str">
            <v>TEE</v>
          </cell>
          <cell r="F2855">
            <v>2</v>
          </cell>
          <cell r="G2855" t="str">
            <v>CB400300000100</v>
          </cell>
          <cell r="H2855">
            <v>1</v>
          </cell>
          <cell r="I2855" t="str">
            <v>--</v>
          </cell>
          <cell r="J2855">
            <v>2</v>
          </cell>
          <cell r="K2855">
            <v>2</v>
          </cell>
        </row>
        <row r="2856">
          <cell r="A2856" t="str">
            <v>M2</v>
          </cell>
          <cell r="B2856" t="str">
            <v>A5C</v>
          </cell>
          <cell r="C2856" t="str">
            <v>P</v>
          </cell>
          <cell r="D2856" t="str">
            <v>23074</v>
          </cell>
          <cell r="E2856" t="str">
            <v>TEE</v>
          </cell>
          <cell r="F2856">
            <v>2</v>
          </cell>
          <cell r="G2856" t="str">
            <v>CB400300000100</v>
          </cell>
          <cell r="H2856">
            <v>1</v>
          </cell>
          <cell r="I2856" t="str">
            <v>--</v>
          </cell>
          <cell r="J2856">
            <v>2</v>
          </cell>
          <cell r="K2856">
            <v>2</v>
          </cell>
        </row>
        <row r="2857">
          <cell r="A2857" t="str">
            <v>M2</v>
          </cell>
          <cell r="B2857" t="str">
            <v>A5C</v>
          </cell>
          <cell r="C2857" t="str">
            <v>P</v>
          </cell>
          <cell r="D2857" t="str">
            <v>23079</v>
          </cell>
          <cell r="E2857" t="str">
            <v>TEE</v>
          </cell>
          <cell r="F2857">
            <v>2</v>
          </cell>
          <cell r="G2857" t="str">
            <v>CB400300000100</v>
          </cell>
          <cell r="H2857">
            <v>1</v>
          </cell>
          <cell r="I2857" t="str">
            <v>--</v>
          </cell>
          <cell r="J2857">
            <v>1</v>
          </cell>
          <cell r="K2857">
            <v>1</v>
          </cell>
        </row>
        <row r="2858">
          <cell r="A2858" t="str">
            <v>M2</v>
          </cell>
          <cell r="B2858" t="str">
            <v>A5C</v>
          </cell>
          <cell r="C2858" t="str">
            <v>P</v>
          </cell>
          <cell r="D2858" t="str">
            <v>23013</v>
          </cell>
          <cell r="E2858" t="str">
            <v>90 ELL</v>
          </cell>
          <cell r="F2858">
            <v>2</v>
          </cell>
          <cell r="G2858" t="str">
            <v>CB400100000100</v>
          </cell>
          <cell r="H2858">
            <v>1</v>
          </cell>
          <cell r="I2858" t="str">
            <v>--</v>
          </cell>
          <cell r="J2858">
            <v>13</v>
          </cell>
          <cell r="K2858">
            <v>13</v>
          </cell>
        </row>
        <row r="2859">
          <cell r="A2859" t="str">
            <v>M2</v>
          </cell>
          <cell r="B2859" t="str">
            <v>A5C</v>
          </cell>
          <cell r="C2859" t="str">
            <v>P</v>
          </cell>
          <cell r="D2859" t="str">
            <v>23154</v>
          </cell>
          <cell r="E2859" t="str">
            <v>90 ELL</v>
          </cell>
          <cell r="F2859">
            <v>2</v>
          </cell>
          <cell r="G2859" t="str">
            <v>CB400100000100</v>
          </cell>
          <cell r="H2859">
            <v>1</v>
          </cell>
          <cell r="I2859" t="str">
            <v>--</v>
          </cell>
          <cell r="J2859">
            <v>7</v>
          </cell>
          <cell r="K2859">
            <v>7</v>
          </cell>
        </row>
        <row r="2860">
          <cell r="A2860" t="str">
            <v>M2</v>
          </cell>
          <cell r="B2860" t="str">
            <v>A5C</v>
          </cell>
          <cell r="C2860" t="str">
            <v>P</v>
          </cell>
          <cell r="D2860" t="str">
            <v>24002</v>
          </cell>
          <cell r="E2860" t="str">
            <v>90 ELL</v>
          </cell>
          <cell r="F2860">
            <v>2</v>
          </cell>
          <cell r="G2860" t="str">
            <v>CB400100000100</v>
          </cell>
          <cell r="H2860">
            <v>1</v>
          </cell>
          <cell r="I2860" t="str">
            <v>--</v>
          </cell>
          <cell r="J2860">
            <v>4</v>
          </cell>
          <cell r="K2860">
            <v>4</v>
          </cell>
        </row>
        <row r="2861">
          <cell r="A2861" t="str">
            <v>M2</v>
          </cell>
          <cell r="B2861" t="str">
            <v>A5C</v>
          </cell>
          <cell r="C2861" t="str">
            <v>P</v>
          </cell>
          <cell r="D2861" t="str">
            <v>24010</v>
          </cell>
          <cell r="E2861" t="str">
            <v>90 ELL</v>
          </cell>
          <cell r="F2861">
            <v>2</v>
          </cell>
          <cell r="G2861" t="str">
            <v>CB400100000100</v>
          </cell>
          <cell r="H2861">
            <v>1</v>
          </cell>
          <cell r="I2861" t="str">
            <v>--</v>
          </cell>
          <cell r="J2861">
            <v>3</v>
          </cell>
          <cell r="K2861">
            <v>3</v>
          </cell>
        </row>
        <row r="2862">
          <cell r="A2862" t="str">
            <v>M2</v>
          </cell>
          <cell r="B2862" t="str">
            <v>A5C</v>
          </cell>
          <cell r="C2862" t="str">
            <v>P</v>
          </cell>
          <cell r="D2862" t="str">
            <v>24004</v>
          </cell>
          <cell r="E2862" t="str">
            <v>90 ELL</v>
          </cell>
          <cell r="F2862">
            <v>2</v>
          </cell>
          <cell r="G2862" t="str">
            <v>CB400100000100</v>
          </cell>
          <cell r="H2862">
            <v>1</v>
          </cell>
          <cell r="I2862" t="str">
            <v>--</v>
          </cell>
          <cell r="J2862">
            <v>13</v>
          </cell>
          <cell r="K2862">
            <v>13</v>
          </cell>
        </row>
        <row r="2863">
          <cell r="A2863" t="str">
            <v>M2</v>
          </cell>
          <cell r="B2863" t="str">
            <v>A5C</v>
          </cell>
          <cell r="C2863" t="str">
            <v>P</v>
          </cell>
          <cell r="D2863" t="str">
            <v>24032</v>
          </cell>
          <cell r="E2863" t="str">
            <v>90 ELL</v>
          </cell>
          <cell r="F2863">
            <v>2</v>
          </cell>
          <cell r="G2863" t="str">
            <v>CB400100000100</v>
          </cell>
          <cell r="H2863">
            <v>1</v>
          </cell>
          <cell r="I2863" t="str">
            <v>--</v>
          </cell>
          <cell r="J2863">
            <v>6</v>
          </cell>
          <cell r="K2863">
            <v>6</v>
          </cell>
        </row>
        <row r="2864">
          <cell r="A2864" t="str">
            <v>M2</v>
          </cell>
          <cell r="B2864" t="str">
            <v>A5C</v>
          </cell>
          <cell r="C2864" t="str">
            <v>P</v>
          </cell>
          <cell r="D2864" t="str">
            <v>24025</v>
          </cell>
          <cell r="E2864" t="str">
            <v>90 ELL</v>
          </cell>
          <cell r="F2864">
            <v>2</v>
          </cell>
          <cell r="G2864" t="str">
            <v>CB400100000100</v>
          </cell>
          <cell r="H2864">
            <v>1</v>
          </cell>
          <cell r="I2864" t="str">
            <v>--</v>
          </cell>
          <cell r="J2864">
            <v>4</v>
          </cell>
          <cell r="K2864">
            <v>4</v>
          </cell>
        </row>
        <row r="2865">
          <cell r="A2865" t="str">
            <v>M2</v>
          </cell>
          <cell r="B2865" t="str">
            <v>A5C</v>
          </cell>
          <cell r="C2865" t="str">
            <v>P</v>
          </cell>
          <cell r="D2865" t="str">
            <v>24026</v>
          </cell>
          <cell r="E2865" t="str">
            <v>90 ELL</v>
          </cell>
          <cell r="F2865">
            <v>2</v>
          </cell>
          <cell r="G2865" t="str">
            <v>CB400100000100</v>
          </cell>
          <cell r="H2865">
            <v>1</v>
          </cell>
          <cell r="I2865" t="str">
            <v>--</v>
          </cell>
          <cell r="J2865">
            <v>3</v>
          </cell>
          <cell r="K2865">
            <v>3</v>
          </cell>
        </row>
        <row r="2866">
          <cell r="A2866" t="str">
            <v>M2</v>
          </cell>
          <cell r="B2866" t="str">
            <v>A5C</v>
          </cell>
          <cell r="C2866" t="str">
            <v>P</v>
          </cell>
          <cell r="D2866" t="str">
            <v>23013</v>
          </cell>
          <cell r="E2866" t="str">
            <v>C SWG</v>
          </cell>
          <cell r="F2866">
            <v>2</v>
          </cell>
          <cell r="G2866" t="str">
            <v>CB16110808010T</v>
          </cell>
          <cell r="H2866">
            <v>1</v>
          </cell>
          <cell r="I2866">
            <v>0.75</v>
          </cell>
          <cell r="J2866">
            <v>3</v>
          </cell>
          <cell r="K2866">
            <v>3</v>
          </cell>
        </row>
        <row r="2867">
          <cell r="A2867" t="str">
            <v>M2</v>
          </cell>
          <cell r="B2867" t="str">
            <v>A5C</v>
          </cell>
          <cell r="C2867" t="str">
            <v>P</v>
          </cell>
          <cell r="D2867" t="str">
            <v>23156</v>
          </cell>
          <cell r="E2867" t="str">
            <v>C SWG</v>
          </cell>
          <cell r="F2867">
            <v>2</v>
          </cell>
          <cell r="G2867" t="str">
            <v>CB16110808010T</v>
          </cell>
          <cell r="H2867">
            <v>1</v>
          </cell>
          <cell r="I2867">
            <v>0.75</v>
          </cell>
          <cell r="J2867">
            <v>1</v>
          </cell>
          <cell r="K2867">
            <v>1</v>
          </cell>
        </row>
        <row r="2868">
          <cell r="A2868" t="str">
            <v>M2</v>
          </cell>
          <cell r="B2868" t="str">
            <v>A5C</v>
          </cell>
          <cell r="C2868" t="str">
            <v>P</v>
          </cell>
          <cell r="D2868" t="str">
            <v>24004</v>
          </cell>
          <cell r="E2868" t="str">
            <v>C SWG</v>
          </cell>
          <cell r="F2868">
            <v>2</v>
          </cell>
          <cell r="G2868" t="str">
            <v>CB16110808010T</v>
          </cell>
          <cell r="H2868">
            <v>1</v>
          </cell>
          <cell r="I2868">
            <v>0.75</v>
          </cell>
          <cell r="J2868">
            <v>2</v>
          </cell>
          <cell r="K2868">
            <v>2</v>
          </cell>
        </row>
        <row r="2869">
          <cell r="A2869" t="str">
            <v>M2</v>
          </cell>
          <cell r="B2869" t="str">
            <v>A5C</v>
          </cell>
          <cell r="C2869" t="str">
            <v>P</v>
          </cell>
          <cell r="D2869" t="str">
            <v>24029</v>
          </cell>
          <cell r="E2869" t="str">
            <v>C SWG</v>
          </cell>
          <cell r="F2869">
            <v>2</v>
          </cell>
          <cell r="G2869" t="str">
            <v>CB16110808010T</v>
          </cell>
          <cell r="H2869">
            <v>1</v>
          </cell>
          <cell r="I2869">
            <v>0.75</v>
          </cell>
          <cell r="J2869">
            <v>1</v>
          </cell>
          <cell r="K2869">
            <v>1</v>
          </cell>
        </row>
        <row r="2870">
          <cell r="A2870" t="str">
            <v>M2</v>
          </cell>
          <cell r="B2870" t="str">
            <v>A5C</v>
          </cell>
          <cell r="C2870" t="str">
            <v>P</v>
          </cell>
          <cell r="D2870" t="str">
            <v>24031</v>
          </cell>
          <cell r="E2870" t="str">
            <v>C SWG</v>
          </cell>
          <cell r="F2870">
            <v>2</v>
          </cell>
          <cell r="G2870" t="str">
            <v>CB16110808010T</v>
          </cell>
          <cell r="H2870">
            <v>1</v>
          </cell>
          <cell r="I2870">
            <v>0.75</v>
          </cell>
          <cell r="J2870">
            <v>1</v>
          </cell>
          <cell r="K2870">
            <v>1</v>
          </cell>
        </row>
        <row r="2871">
          <cell r="A2871" t="str">
            <v>M2</v>
          </cell>
          <cell r="B2871" t="str">
            <v>A5C</v>
          </cell>
          <cell r="C2871" t="str">
            <v>P</v>
          </cell>
          <cell r="D2871" t="str">
            <v>24033</v>
          </cell>
          <cell r="E2871" t="str">
            <v>C SWG</v>
          </cell>
          <cell r="F2871">
            <v>2</v>
          </cell>
          <cell r="G2871" t="str">
            <v>CB16110808010T</v>
          </cell>
          <cell r="H2871">
            <v>1</v>
          </cell>
          <cell r="I2871">
            <v>0.75</v>
          </cell>
          <cell r="J2871">
            <v>1</v>
          </cell>
          <cell r="K2871">
            <v>1</v>
          </cell>
        </row>
        <row r="2872">
          <cell r="A2872" t="str">
            <v>M2</v>
          </cell>
          <cell r="B2872" t="str">
            <v>A5C</v>
          </cell>
          <cell r="C2872" t="str">
            <v>TRIM</v>
          </cell>
          <cell r="D2872" t="str">
            <v>C-2301</v>
          </cell>
          <cell r="E2872" t="str">
            <v>C SWG</v>
          </cell>
          <cell r="F2872">
            <v>2</v>
          </cell>
          <cell r="G2872" t="str">
            <v>CB16110808010T</v>
          </cell>
          <cell r="H2872">
            <v>1</v>
          </cell>
          <cell r="I2872">
            <v>0.75</v>
          </cell>
          <cell r="J2872">
            <v>1</v>
          </cell>
          <cell r="K2872">
            <v>1</v>
          </cell>
        </row>
        <row r="2873">
          <cell r="A2873" t="str">
            <v>M2</v>
          </cell>
          <cell r="B2873" t="str">
            <v>A5C</v>
          </cell>
          <cell r="C2873" t="str">
            <v>TRIM</v>
          </cell>
          <cell r="D2873" t="str">
            <v>R-2401</v>
          </cell>
          <cell r="E2873" t="str">
            <v>C SWG</v>
          </cell>
          <cell r="F2873">
            <v>2</v>
          </cell>
          <cell r="G2873" t="str">
            <v>CB16110808010T</v>
          </cell>
          <cell r="H2873">
            <v>1</v>
          </cell>
          <cell r="I2873">
            <v>0.75</v>
          </cell>
          <cell r="J2873">
            <v>1</v>
          </cell>
          <cell r="K2873">
            <v>1</v>
          </cell>
        </row>
        <row r="2874">
          <cell r="A2874" t="str">
            <v>M2</v>
          </cell>
          <cell r="B2874" t="str">
            <v>A5C</v>
          </cell>
          <cell r="C2874" t="str">
            <v>P</v>
          </cell>
          <cell r="D2874" t="str">
            <v>23154</v>
          </cell>
          <cell r="E2874" t="str">
            <v>CPLG</v>
          </cell>
          <cell r="F2874">
            <v>2</v>
          </cell>
          <cell r="G2874" t="str">
            <v>CB400500000100</v>
          </cell>
          <cell r="H2874">
            <v>1</v>
          </cell>
          <cell r="I2874" t="str">
            <v>--</v>
          </cell>
          <cell r="J2874">
            <v>1</v>
          </cell>
          <cell r="K2874">
            <v>1</v>
          </cell>
        </row>
        <row r="2875">
          <cell r="A2875" t="str">
            <v>M2</v>
          </cell>
          <cell r="B2875" t="str">
            <v>A5C</v>
          </cell>
          <cell r="C2875" t="str">
            <v>P</v>
          </cell>
          <cell r="D2875" t="str">
            <v>24001</v>
          </cell>
          <cell r="E2875" t="str">
            <v>CPLG</v>
          </cell>
          <cell r="F2875">
            <v>2</v>
          </cell>
          <cell r="G2875" t="str">
            <v>CB400500000100</v>
          </cell>
          <cell r="H2875">
            <v>1</v>
          </cell>
          <cell r="I2875" t="str">
            <v>--</v>
          </cell>
          <cell r="J2875">
            <v>2</v>
          </cell>
          <cell r="K2875">
            <v>2</v>
          </cell>
        </row>
        <row r="2876">
          <cell r="A2876" t="str">
            <v>M2</v>
          </cell>
          <cell r="B2876" t="str">
            <v>A5C</v>
          </cell>
          <cell r="C2876" t="str">
            <v>P</v>
          </cell>
          <cell r="D2876" t="str">
            <v>23013</v>
          </cell>
          <cell r="E2876" t="str">
            <v>CPLG</v>
          </cell>
          <cell r="F2876">
            <v>2</v>
          </cell>
          <cell r="G2876" t="str">
            <v>CB400500000100</v>
          </cell>
          <cell r="H2876">
            <v>1</v>
          </cell>
          <cell r="I2876" t="str">
            <v>--</v>
          </cell>
          <cell r="J2876">
            <v>3</v>
          </cell>
          <cell r="K2876">
            <v>3</v>
          </cell>
        </row>
        <row r="2877">
          <cell r="A2877" t="str">
            <v>M2</v>
          </cell>
          <cell r="B2877" t="str">
            <v>A5C</v>
          </cell>
          <cell r="C2877" t="str">
            <v>P</v>
          </cell>
          <cell r="D2877" t="str">
            <v>99004</v>
          </cell>
          <cell r="E2877" t="str">
            <v>E SWG</v>
          </cell>
          <cell r="F2877">
            <v>2</v>
          </cell>
          <cell r="G2877" t="str">
            <v>CB16210808010T</v>
          </cell>
          <cell r="H2877">
            <v>1</v>
          </cell>
          <cell r="I2877">
            <v>0.75</v>
          </cell>
          <cell r="J2877">
            <v>1</v>
          </cell>
          <cell r="K2877">
            <v>1</v>
          </cell>
        </row>
        <row r="2878">
          <cell r="A2878" t="str">
            <v>M2</v>
          </cell>
          <cell r="B2878" t="str">
            <v>A5C</v>
          </cell>
          <cell r="C2878" t="str">
            <v>P</v>
          </cell>
          <cell r="D2878" t="str">
            <v>23013</v>
          </cell>
          <cell r="E2878" t="str">
            <v>R TEE</v>
          </cell>
          <cell r="F2878">
            <v>2</v>
          </cell>
          <cell r="G2878" t="str">
            <v>CB40040000010T</v>
          </cell>
          <cell r="H2878">
            <v>1</v>
          </cell>
          <cell r="I2878">
            <v>0.75</v>
          </cell>
          <cell r="J2878">
            <v>4</v>
          </cell>
          <cell r="K2878">
            <v>4</v>
          </cell>
        </row>
        <row r="2879">
          <cell r="A2879" t="str">
            <v>M2</v>
          </cell>
          <cell r="B2879" t="str">
            <v>A5C</v>
          </cell>
          <cell r="C2879" t="str">
            <v>P</v>
          </cell>
          <cell r="D2879" t="str">
            <v>24004</v>
          </cell>
          <cell r="E2879" t="str">
            <v>R TEE</v>
          </cell>
          <cell r="F2879">
            <v>2</v>
          </cell>
          <cell r="G2879" t="str">
            <v>CB40040000010T</v>
          </cell>
          <cell r="H2879">
            <v>1</v>
          </cell>
          <cell r="I2879">
            <v>0.75</v>
          </cell>
          <cell r="J2879">
            <v>5</v>
          </cell>
          <cell r="K2879">
            <v>5</v>
          </cell>
        </row>
        <row r="2880">
          <cell r="A2880" t="str">
            <v>M2</v>
          </cell>
          <cell r="B2880" t="str">
            <v>A5C</v>
          </cell>
          <cell r="C2880" t="str">
            <v>P</v>
          </cell>
          <cell r="D2880" t="str">
            <v>24025</v>
          </cell>
          <cell r="E2880" t="str">
            <v>R TEE</v>
          </cell>
          <cell r="F2880">
            <v>2</v>
          </cell>
          <cell r="G2880" t="str">
            <v>CB40040000010T</v>
          </cell>
          <cell r="H2880">
            <v>1</v>
          </cell>
          <cell r="I2880">
            <v>0.75</v>
          </cell>
          <cell r="J2880">
            <v>2</v>
          </cell>
          <cell r="K2880">
            <v>2</v>
          </cell>
        </row>
        <row r="2881">
          <cell r="A2881" t="str">
            <v>M2</v>
          </cell>
          <cell r="B2881" t="str">
            <v>A5C</v>
          </cell>
          <cell r="C2881" t="str">
            <v>P</v>
          </cell>
          <cell r="D2881" t="str">
            <v>24026</v>
          </cell>
          <cell r="E2881" t="str">
            <v>R TEE</v>
          </cell>
          <cell r="F2881">
            <v>2</v>
          </cell>
          <cell r="G2881" t="str">
            <v>CB40040000010T</v>
          </cell>
          <cell r="H2881">
            <v>1</v>
          </cell>
          <cell r="I2881">
            <v>0.75</v>
          </cell>
          <cell r="J2881">
            <v>2</v>
          </cell>
          <cell r="K2881">
            <v>2</v>
          </cell>
        </row>
        <row r="2882">
          <cell r="A2882" t="str">
            <v>M2</v>
          </cell>
          <cell r="B2882" t="str">
            <v>A5C</v>
          </cell>
          <cell r="C2882" t="str">
            <v>P</v>
          </cell>
          <cell r="D2882" t="str">
            <v>24002</v>
          </cell>
          <cell r="E2882" t="str">
            <v>R TEE</v>
          </cell>
          <cell r="F2882">
            <v>2</v>
          </cell>
          <cell r="G2882" t="str">
            <v>CB40040000010T</v>
          </cell>
          <cell r="H2882">
            <v>1</v>
          </cell>
          <cell r="I2882">
            <v>0.75</v>
          </cell>
          <cell r="J2882">
            <v>2</v>
          </cell>
          <cell r="K2882">
            <v>2</v>
          </cell>
        </row>
        <row r="2883">
          <cell r="A2883" t="str">
            <v>M2</v>
          </cell>
          <cell r="B2883" t="str">
            <v>A5C</v>
          </cell>
          <cell r="C2883" t="str">
            <v>P</v>
          </cell>
          <cell r="D2883" t="str">
            <v>23013</v>
          </cell>
          <cell r="E2883" t="str">
            <v>TEE</v>
          </cell>
          <cell r="F2883">
            <v>2</v>
          </cell>
          <cell r="G2883" t="str">
            <v>CB400300000100</v>
          </cell>
          <cell r="H2883">
            <v>1</v>
          </cell>
          <cell r="I2883" t="str">
            <v>--</v>
          </cell>
          <cell r="J2883">
            <v>2</v>
          </cell>
          <cell r="K2883">
            <v>2</v>
          </cell>
        </row>
        <row r="2884">
          <cell r="A2884" t="str">
            <v>M2</v>
          </cell>
          <cell r="B2884" t="str">
            <v>A5C</v>
          </cell>
          <cell r="C2884" t="str">
            <v>P</v>
          </cell>
          <cell r="D2884" t="str">
            <v>24002</v>
          </cell>
          <cell r="E2884" t="str">
            <v>TEE</v>
          </cell>
          <cell r="F2884">
            <v>2</v>
          </cell>
          <cell r="G2884" t="str">
            <v>CB400300000100</v>
          </cell>
          <cell r="H2884">
            <v>1</v>
          </cell>
          <cell r="I2884" t="str">
            <v>--</v>
          </cell>
          <cell r="J2884">
            <v>3</v>
          </cell>
          <cell r="K2884">
            <v>3</v>
          </cell>
        </row>
        <row r="2885">
          <cell r="A2885" t="str">
            <v>M2</v>
          </cell>
          <cell r="B2885" t="str">
            <v>A5C</v>
          </cell>
          <cell r="C2885" t="str">
            <v>P</v>
          </cell>
          <cell r="D2885" t="str">
            <v>24004</v>
          </cell>
          <cell r="E2885" t="str">
            <v>TEE</v>
          </cell>
          <cell r="F2885">
            <v>2</v>
          </cell>
          <cell r="G2885" t="str">
            <v>CB400300000100</v>
          </cell>
          <cell r="H2885">
            <v>1</v>
          </cell>
          <cell r="I2885" t="str">
            <v>--</v>
          </cell>
          <cell r="J2885">
            <v>4</v>
          </cell>
          <cell r="K2885">
            <v>4</v>
          </cell>
        </row>
        <row r="2886">
          <cell r="A2886" t="str">
            <v>M2</v>
          </cell>
          <cell r="B2886" t="str">
            <v>A5C</v>
          </cell>
          <cell r="C2886" t="str">
            <v>P</v>
          </cell>
          <cell r="D2886" t="str">
            <v>24025</v>
          </cell>
          <cell r="E2886" t="str">
            <v>TEE</v>
          </cell>
          <cell r="F2886">
            <v>2</v>
          </cell>
          <cell r="G2886" t="str">
            <v>CB400300000100</v>
          </cell>
          <cell r="H2886">
            <v>1</v>
          </cell>
          <cell r="I2886" t="str">
            <v>--</v>
          </cell>
          <cell r="J2886">
            <v>1</v>
          </cell>
          <cell r="K2886">
            <v>1</v>
          </cell>
        </row>
        <row r="2887">
          <cell r="A2887" t="str">
            <v>M2</v>
          </cell>
          <cell r="B2887" t="str">
            <v>A5C</v>
          </cell>
          <cell r="C2887" t="str">
            <v>P</v>
          </cell>
          <cell r="D2887" t="str">
            <v>24026</v>
          </cell>
          <cell r="E2887" t="str">
            <v>TEE</v>
          </cell>
          <cell r="F2887">
            <v>2</v>
          </cell>
          <cell r="G2887" t="str">
            <v>CB400300000100</v>
          </cell>
          <cell r="H2887">
            <v>1</v>
          </cell>
          <cell r="I2887" t="str">
            <v>--</v>
          </cell>
          <cell r="J2887">
            <v>2</v>
          </cell>
          <cell r="K2887">
            <v>2</v>
          </cell>
        </row>
        <row r="2888">
          <cell r="A2888" t="str">
            <v>M2</v>
          </cell>
          <cell r="B2888" t="str">
            <v>A5C</v>
          </cell>
          <cell r="C2888" t="str">
            <v>P</v>
          </cell>
          <cell r="D2888" t="str">
            <v>23147</v>
          </cell>
          <cell r="E2888" t="str">
            <v>45 ELL</v>
          </cell>
          <cell r="F2888">
            <v>2</v>
          </cell>
          <cell r="G2888" t="str">
            <v>CB400200001H00</v>
          </cell>
          <cell r="H2888">
            <v>1.5</v>
          </cell>
          <cell r="I2888" t="str">
            <v>--</v>
          </cell>
          <cell r="J2888">
            <v>1</v>
          </cell>
          <cell r="K2888">
            <v>1</v>
          </cell>
        </row>
        <row r="2889">
          <cell r="A2889" t="str">
            <v>M2</v>
          </cell>
          <cell r="B2889" t="str">
            <v>A5C</v>
          </cell>
          <cell r="C2889" t="str">
            <v>P</v>
          </cell>
          <cell r="D2889" t="str">
            <v>23215</v>
          </cell>
          <cell r="E2889" t="str">
            <v>90 ELL</v>
          </cell>
          <cell r="F2889">
            <v>2</v>
          </cell>
          <cell r="G2889" t="str">
            <v>CB400100001H00</v>
          </cell>
          <cell r="H2889">
            <v>1.5</v>
          </cell>
          <cell r="I2889" t="str">
            <v>--</v>
          </cell>
          <cell r="J2889">
            <v>3</v>
          </cell>
          <cell r="K2889">
            <v>3</v>
          </cell>
        </row>
        <row r="2890">
          <cell r="A2890" t="str">
            <v>M2</v>
          </cell>
          <cell r="B2890" t="str">
            <v>A5C</v>
          </cell>
          <cell r="C2890" t="str">
            <v>P</v>
          </cell>
          <cell r="D2890" t="str">
            <v>23253</v>
          </cell>
          <cell r="E2890" t="str">
            <v>90 ELL</v>
          </cell>
          <cell r="F2890">
            <v>2</v>
          </cell>
          <cell r="G2890" t="str">
            <v>CB400100001H00</v>
          </cell>
          <cell r="H2890">
            <v>1.5</v>
          </cell>
          <cell r="I2890" t="str">
            <v>--</v>
          </cell>
          <cell r="J2890">
            <v>2</v>
          </cell>
          <cell r="K2890">
            <v>2</v>
          </cell>
        </row>
        <row r="2891">
          <cell r="A2891" t="str">
            <v>M2</v>
          </cell>
          <cell r="B2891" t="str">
            <v>A5C</v>
          </cell>
          <cell r="C2891" t="str">
            <v>P</v>
          </cell>
          <cell r="D2891" t="str">
            <v>23006</v>
          </cell>
          <cell r="E2891" t="str">
            <v>90 ELL</v>
          </cell>
          <cell r="F2891">
            <v>2</v>
          </cell>
          <cell r="G2891" t="str">
            <v>CB400100001H00</v>
          </cell>
          <cell r="H2891">
            <v>1.5</v>
          </cell>
          <cell r="I2891" t="str">
            <v>--</v>
          </cell>
          <cell r="J2891">
            <v>6</v>
          </cell>
          <cell r="K2891">
            <v>6</v>
          </cell>
        </row>
        <row r="2892">
          <cell r="A2892" t="str">
            <v>M2</v>
          </cell>
          <cell r="B2892" t="str">
            <v>A5C</v>
          </cell>
          <cell r="C2892" t="str">
            <v>P</v>
          </cell>
          <cell r="D2892" t="str">
            <v>23007</v>
          </cell>
          <cell r="E2892" t="str">
            <v>90 ELL</v>
          </cell>
          <cell r="F2892">
            <v>2</v>
          </cell>
          <cell r="G2892" t="str">
            <v>CB400100001H00</v>
          </cell>
          <cell r="H2892">
            <v>1.5</v>
          </cell>
          <cell r="I2892" t="str">
            <v>--</v>
          </cell>
          <cell r="J2892">
            <v>5</v>
          </cell>
          <cell r="K2892">
            <v>5</v>
          </cell>
        </row>
        <row r="2893">
          <cell r="A2893" t="str">
            <v>M2</v>
          </cell>
          <cell r="B2893" t="str">
            <v>A5C</v>
          </cell>
          <cell r="C2893" t="str">
            <v>P</v>
          </cell>
          <cell r="D2893" t="str">
            <v>23035</v>
          </cell>
          <cell r="E2893" t="str">
            <v>90 ELL</v>
          </cell>
          <cell r="F2893">
            <v>2</v>
          </cell>
          <cell r="G2893" t="str">
            <v>CB400100001H00</v>
          </cell>
          <cell r="H2893">
            <v>1.5</v>
          </cell>
          <cell r="I2893" t="str">
            <v>--</v>
          </cell>
          <cell r="J2893">
            <v>4</v>
          </cell>
          <cell r="K2893">
            <v>4</v>
          </cell>
        </row>
        <row r="2894">
          <cell r="A2894" t="str">
            <v>M2</v>
          </cell>
          <cell r="B2894" t="str">
            <v>A5C</v>
          </cell>
          <cell r="C2894" t="str">
            <v>P</v>
          </cell>
          <cell r="D2894" t="str">
            <v>23037</v>
          </cell>
          <cell r="E2894" t="str">
            <v>90 ELL</v>
          </cell>
          <cell r="F2894">
            <v>2</v>
          </cell>
          <cell r="G2894" t="str">
            <v>CB400100001H00</v>
          </cell>
          <cell r="H2894">
            <v>1.5</v>
          </cell>
          <cell r="I2894" t="str">
            <v>--</v>
          </cell>
          <cell r="J2894">
            <v>4</v>
          </cell>
          <cell r="K2894">
            <v>4</v>
          </cell>
        </row>
        <row r="2895">
          <cell r="A2895" t="str">
            <v>M2</v>
          </cell>
          <cell r="B2895" t="str">
            <v>A5C</v>
          </cell>
          <cell r="C2895" t="str">
            <v>P</v>
          </cell>
          <cell r="D2895" t="str">
            <v>23038</v>
          </cell>
          <cell r="E2895" t="str">
            <v>90 ELL</v>
          </cell>
          <cell r="F2895">
            <v>2</v>
          </cell>
          <cell r="G2895" t="str">
            <v>CB400100001H00</v>
          </cell>
          <cell r="H2895">
            <v>1.5</v>
          </cell>
          <cell r="I2895" t="str">
            <v>--</v>
          </cell>
          <cell r="J2895">
            <v>2</v>
          </cell>
          <cell r="K2895">
            <v>2</v>
          </cell>
        </row>
        <row r="2896">
          <cell r="A2896" t="str">
            <v>M2</v>
          </cell>
          <cell r="B2896" t="str">
            <v>A5C</v>
          </cell>
          <cell r="C2896" t="str">
            <v>P</v>
          </cell>
          <cell r="D2896" t="str">
            <v>23052</v>
          </cell>
          <cell r="E2896" t="str">
            <v>90 ELL</v>
          </cell>
          <cell r="F2896">
            <v>2</v>
          </cell>
          <cell r="G2896" t="str">
            <v>CB400100001H00</v>
          </cell>
          <cell r="H2896">
            <v>1.5</v>
          </cell>
          <cell r="I2896" t="str">
            <v>--</v>
          </cell>
          <cell r="J2896">
            <v>4</v>
          </cell>
          <cell r="K2896">
            <v>4</v>
          </cell>
        </row>
        <row r="2897">
          <cell r="A2897" t="str">
            <v>M2</v>
          </cell>
          <cell r="B2897" t="str">
            <v>A5C</v>
          </cell>
          <cell r="C2897" t="str">
            <v>P</v>
          </cell>
          <cell r="D2897" t="str">
            <v>23063</v>
          </cell>
          <cell r="E2897" t="str">
            <v>90 ELL</v>
          </cell>
          <cell r="F2897">
            <v>2</v>
          </cell>
          <cell r="G2897" t="str">
            <v>CB400100001H00</v>
          </cell>
          <cell r="H2897">
            <v>1.5</v>
          </cell>
          <cell r="I2897" t="str">
            <v>--</v>
          </cell>
          <cell r="J2897">
            <v>4</v>
          </cell>
          <cell r="K2897">
            <v>4</v>
          </cell>
        </row>
        <row r="2898">
          <cell r="A2898" t="str">
            <v>M2</v>
          </cell>
          <cell r="B2898" t="str">
            <v>A5C</v>
          </cell>
          <cell r="C2898" t="str">
            <v>P</v>
          </cell>
          <cell r="D2898" t="str">
            <v>23070</v>
          </cell>
          <cell r="E2898" t="str">
            <v>90 ELL</v>
          </cell>
          <cell r="F2898">
            <v>2</v>
          </cell>
          <cell r="G2898" t="str">
            <v>CB400100001H00</v>
          </cell>
          <cell r="H2898">
            <v>1.5</v>
          </cell>
          <cell r="I2898" t="str">
            <v>--</v>
          </cell>
          <cell r="J2898">
            <v>6</v>
          </cell>
          <cell r="K2898">
            <v>6</v>
          </cell>
        </row>
        <row r="2899">
          <cell r="A2899" t="str">
            <v>M2</v>
          </cell>
          <cell r="B2899" t="str">
            <v>A5C</v>
          </cell>
          <cell r="C2899" t="str">
            <v>P</v>
          </cell>
          <cell r="D2899" t="str">
            <v>23072</v>
          </cell>
          <cell r="E2899" t="str">
            <v>90 ELL</v>
          </cell>
          <cell r="F2899">
            <v>2</v>
          </cell>
          <cell r="G2899" t="str">
            <v>CB400100001H00</v>
          </cell>
          <cell r="H2899">
            <v>1.5</v>
          </cell>
          <cell r="I2899" t="str">
            <v>--</v>
          </cell>
          <cell r="J2899">
            <v>1</v>
          </cell>
          <cell r="K2899">
            <v>1</v>
          </cell>
        </row>
        <row r="2900">
          <cell r="A2900" t="str">
            <v>M2</v>
          </cell>
          <cell r="B2900" t="str">
            <v>A5C</v>
          </cell>
          <cell r="C2900" t="str">
            <v>P</v>
          </cell>
          <cell r="D2900" t="str">
            <v>23078</v>
          </cell>
          <cell r="E2900" t="str">
            <v>90 ELL</v>
          </cell>
          <cell r="F2900">
            <v>2</v>
          </cell>
          <cell r="G2900" t="str">
            <v>CB400100001H00</v>
          </cell>
          <cell r="H2900">
            <v>1.5</v>
          </cell>
          <cell r="I2900" t="str">
            <v>--</v>
          </cell>
          <cell r="J2900">
            <v>4</v>
          </cell>
          <cell r="K2900">
            <v>4</v>
          </cell>
        </row>
        <row r="2901">
          <cell r="A2901" t="str">
            <v>M2</v>
          </cell>
          <cell r="B2901" t="str">
            <v>A5C</v>
          </cell>
          <cell r="C2901" t="str">
            <v>P</v>
          </cell>
          <cell r="D2901" t="str">
            <v>23103</v>
          </cell>
          <cell r="E2901" t="str">
            <v>90 ELL</v>
          </cell>
          <cell r="F2901">
            <v>2</v>
          </cell>
          <cell r="G2901" t="str">
            <v>CB400100001H00</v>
          </cell>
          <cell r="H2901">
            <v>1.5</v>
          </cell>
          <cell r="I2901" t="str">
            <v>--</v>
          </cell>
          <cell r="J2901">
            <v>6</v>
          </cell>
          <cell r="K2901">
            <v>6</v>
          </cell>
        </row>
        <row r="2902">
          <cell r="A2902" t="str">
            <v>M2</v>
          </cell>
          <cell r="B2902" t="str">
            <v>A5C</v>
          </cell>
          <cell r="C2902" t="str">
            <v>P</v>
          </cell>
          <cell r="D2902" t="str">
            <v>23107</v>
          </cell>
          <cell r="E2902" t="str">
            <v>90 ELL</v>
          </cell>
          <cell r="F2902">
            <v>2</v>
          </cell>
          <cell r="G2902" t="str">
            <v>CB400100001H00</v>
          </cell>
          <cell r="H2902">
            <v>1.5</v>
          </cell>
          <cell r="I2902" t="str">
            <v>--</v>
          </cell>
          <cell r="J2902">
            <v>6</v>
          </cell>
          <cell r="K2902">
            <v>6</v>
          </cell>
        </row>
        <row r="2903">
          <cell r="A2903" t="str">
            <v>M2</v>
          </cell>
          <cell r="B2903" t="str">
            <v>A5C</v>
          </cell>
          <cell r="C2903" t="str">
            <v>P</v>
          </cell>
          <cell r="D2903" t="str">
            <v>23111</v>
          </cell>
          <cell r="E2903" t="str">
            <v>90 ELL</v>
          </cell>
          <cell r="F2903">
            <v>2</v>
          </cell>
          <cell r="G2903" t="str">
            <v>CB400100001H00</v>
          </cell>
          <cell r="H2903">
            <v>1.5</v>
          </cell>
          <cell r="I2903" t="str">
            <v>--</v>
          </cell>
          <cell r="J2903">
            <v>6</v>
          </cell>
          <cell r="K2903">
            <v>6</v>
          </cell>
        </row>
        <row r="2904">
          <cell r="A2904" t="str">
            <v>M2</v>
          </cell>
          <cell r="B2904" t="str">
            <v>A5C</v>
          </cell>
          <cell r="C2904" t="str">
            <v>P</v>
          </cell>
          <cell r="D2904" t="str">
            <v>23116</v>
          </cell>
          <cell r="E2904" t="str">
            <v>90 ELL</v>
          </cell>
          <cell r="F2904">
            <v>2</v>
          </cell>
          <cell r="G2904" t="str">
            <v>CB400100001H00</v>
          </cell>
          <cell r="H2904">
            <v>1.5</v>
          </cell>
          <cell r="I2904" t="str">
            <v>--</v>
          </cell>
          <cell r="J2904">
            <v>4</v>
          </cell>
          <cell r="K2904">
            <v>4</v>
          </cell>
        </row>
        <row r="2905">
          <cell r="A2905" t="str">
            <v>M2</v>
          </cell>
          <cell r="B2905" t="str">
            <v>A5C</v>
          </cell>
          <cell r="C2905" t="str">
            <v>P</v>
          </cell>
          <cell r="D2905" t="str">
            <v>23117</v>
          </cell>
          <cell r="E2905" t="str">
            <v>90 ELL</v>
          </cell>
          <cell r="F2905">
            <v>2</v>
          </cell>
          <cell r="G2905" t="str">
            <v>CB400100001H00</v>
          </cell>
          <cell r="H2905">
            <v>1.5</v>
          </cell>
          <cell r="I2905" t="str">
            <v>--</v>
          </cell>
          <cell r="J2905">
            <v>2</v>
          </cell>
          <cell r="K2905">
            <v>2</v>
          </cell>
        </row>
        <row r="2906">
          <cell r="A2906" t="str">
            <v>M2</v>
          </cell>
          <cell r="B2906" t="str">
            <v>A5C</v>
          </cell>
          <cell r="C2906" t="str">
            <v>P</v>
          </cell>
          <cell r="D2906" t="str">
            <v>23116</v>
          </cell>
          <cell r="E2906" t="str">
            <v>90 ELL</v>
          </cell>
          <cell r="F2906">
            <v>2</v>
          </cell>
          <cell r="G2906" t="str">
            <v>CB400100001H00</v>
          </cell>
          <cell r="H2906">
            <v>1.5</v>
          </cell>
          <cell r="I2906" t="str">
            <v>--</v>
          </cell>
          <cell r="J2906">
            <v>4</v>
          </cell>
          <cell r="K2906">
            <v>4</v>
          </cell>
        </row>
        <row r="2907">
          <cell r="A2907" t="str">
            <v>M2</v>
          </cell>
          <cell r="B2907" t="str">
            <v>A5C</v>
          </cell>
          <cell r="C2907" t="str">
            <v>P</v>
          </cell>
          <cell r="D2907" t="str">
            <v>23143</v>
          </cell>
          <cell r="E2907" t="str">
            <v>90 ELL</v>
          </cell>
          <cell r="F2907">
            <v>2</v>
          </cell>
          <cell r="G2907" t="str">
            <v>CB400100001H00</v>
          </cell>
          <cell r="H2907">
            <v>1.5</v>
          </cell>
          <cell r="I2907" t="str">
            <v>--</v>
          </cell>
          <cell r="J2907">
            <v>4</v>
          </cell>
          <cell r="K2907">
            <v>4</v>
          </cell>
        </row>
        <row r="2908">
          <cell r="A2908" t="str">
            <v>M2</v>
          </cell>
          <cell r="B2908" t="str">
            <v>A5C</v>
          </cell>
          <cell r="C2908" t="str">
            <v>P</v>
          </cell>
          <cell r="D2908" t="str">
            <v>23147</v>
          </cell>
          <cell r="E2908" t="str">
            <v>90 ELL</v>
          </cell>
          <cell r="F2908">
            <v>2</v>
          </cell>
          <cell r="G2908" t="str">
            <v>CB400100001H00</v>
          </cell>
          <cell r="H2908">
            <v>1.5</v>
          </cell>
          <cell r="I2908" t="str">
            <v>--</v>
          </cell>
          <cell r="J2908">
            <v>1</v>
          </cell>
          <cell r="K2908">
            <v>1</v>
          </cell>
        </row>
        <row r="2909">
          <cell r="A2909" t="str">
            <v>M2</v>
          </cell>
          <cell r="B2909" t="str">
            <v>A5C</v>
          </cell>
          <cell r="C2909" t="str">
            <v>P</v>
          </cell>
          <cell r="D2909" t="str">
            <v>23157</v>
          </cell>
          <cell r="E2909" t="str">
            <v>90 ELL</v>
          </cell>
          <cell r="F2909">
            <v>2</v>
          </cell>
          <cell r="G2909" t="str">
            <v>CB400100001H00</v>
          </cell>
          <cell r="H2909">
            <v>1.5</v>
          </cell>
          <cell r="I2909" t="str">
            <v>--</v>
          </cell>
          <cell r="J2909">
            <v>2</v>
          </cell>
          <cell r="K2909">
            <v>2</v>
          </cell>
        </row>
        <row r="2910">
          <cell r="A2910" t="str">
            <v>M2</v>
          </cell>
          <cell r="B2910" t="str">
            <v>A5C</v>
          </cell>
          <cell r="C2910" t="str">
            <v>P</v>
          </cell>
          <cell r="D2910" t="str">
            <v>23185</v>
          </cell>
          <cell r="E2910" t="str">
            <v>90 ELL</v>
          </cell>
          <cell r="F2910">
            <v>2</v>
          </cell>
          <cell r="G2910" t="str">
            <v>CB400100001H00</v>
          </cell>
          <cell r="H2910">
            <v>1.5</v>
          </cell>
          <cell r="I2910" t="str">
            <v>--</v>
          </cell>
          <cell r="J2910">
            <v>2</v>
          </cell>
          <cell r="K2910">
            <v>2</v>
          </cell>
        </row>
        <row r="2911">
          <cell r="A2911" t="str">
            <v>M2</v>
          </cell>
          <cell r="B2911" t="str">
            <v>A5C</v>
          </cell>
          <cell r="C2911" t="str">
            <v>P</v>
          </cell>
          <cell r="D2911" t="str">
            <v>23192</v>
          </cell>
          <cell r="E2911" t="str">
            <v>90 ELL</v>
          </cell>
          <cell r="F2911">
            <v>2</v>
          </cell>
          <cell r="G2911" t="str">
            <v>CB400100001H00</v>
          </cell>
          <cell r="H2911">
            <v>1.5</v>
          </cell>
          <cell r="I2911" t="str">
            <v>--</v>
          </cell>
          <cell r="J2911">
            <v>2</v>
          </cell>
          <cell r="K2911">
            <v>2</v>
          </cell>
        </row>
        <row r="2912">
          <cell r="A2912" t="str">
            <v>M2</v>
          </cell>
          <cell r="B2912" t="str">
            <v>A5C</v>
          </cell>
          <cell r="C2912" t="str">
            <v>P</v>
          </cell>
          <cell r="D2912" t="str">
            <v>23196</v>
          </cell>
          <cell r="E2912" t="str">
            <v>90 ELL</v>
          </cell>
          <cell r="F2912">
            <v>2</v>
          </cell>
          <cell r="G2912" t="str">
            <v>CB400100001H00</v>
          </cell>
          <cell r="H2912">
            <v>1.5</v>
          </cell>
          <cell r="I2912" t="str">
            <v>--</v>
          </cell>
          <cell r="J2912">
            <v>2</v>
          </cell>
          <cell r="K2912">
            <v>2</v>
          </cell>
        </row>
        <row r="2913">
          <cell r="A2913" t="str">
            <v>M2</v>
          </cell>
          <cell r="B2913" t="str">
            <v>A5C</v>
          </cell>
          <cell r="C2913" t="str">
            <v>P</v>
          </cell>
          <cell r="D2913" t="str">
            <v>23226</v>
          </cell>
          <cell r="E2913" t="str">
            <v>90 ELL</v>
          </cell>
          <cell r="F2913">
            <v>2</v>
          </cell>
          <cell r="G2913" t="str">
            <v>CB400100001H00</v>
          </cell>
          <cell r="H2913">
            <v>1.5</v>
          </cell>
          <cell r="I2913" t="str">
            <v>--</v>
          </cell>
          <cell r="J2913">
            <v>10</v>
          </cell>
          <cell r="K2913">
            <v>10</v>
          </cell>
        </row>
        <row r="2914">
          <cell r="A2914" t="str">
            <v>M2</v>
          </cell>
          <cell r="B2914" t="str">
            <v>A5C</v>
          </cell>
          <cell r="C2914" t="str">
            <v>P</v>
          </cell>
          <cell r="D2914" t="str">
            <v>23248</v>
          </cell>
          <cell r="E2914" t="str">
            <v>90 ELL</v>
          </cell>
          <cell r="F2914">
            <v>2</v>
          </cell>
          <cell r="G2914" t="str">
            <v>CB400100001H00</v>
          </cell>
          <cell r="H2914">
            <v>1.5</v>
          </cell>
          <cell r="I2914" t="str">
            <v>--</v>
          </cell>
          <cell r="J2914">
            <v>10</v>
          </cell>
          <cell r="K2914">
            <v>10</v>
          </cell>
        </row>
        <row r="2915">
          <cell r="A2915" t="str">
            <v>M2</v>
          </cell>
          <cell r="B2915" t="str">
            <v>A5C</v>
          </cell>
          <cell r="C2915" t="str">
            <v>P</v>
          </cell>
          <cell r="D2915" t="str">
            <v>23259</v>
          </cell>
          <cell r="E2915" t="str">
            <v>90 ELL</v>
          </cell>
          <cell r="F2915">
            <v>2</v>
          </cell>
          <cell r="G2915" t="str">
            <v>CB400100001H00</v>
          </cell>
          <cell r="H2915">
            <v>1.5</v>
          </cell>
          <cell r="I2915" t="str">
            <v>--</v>
          </cell>
          <cell r="J2915">
            <v>2</v>
          </cell>
          <cell r="K2915">
            <v>2</v>
          </cell>
        </row>
        <row r="2916">
          <cell r="A2916" t="str">
            <v>M2</v>
          </cell>
          <cell r="B2916" t="str">
            <v>A5C</v>
          </cell>
          <cell r="C2916" t="str">
            <v>P</v>
          </cell>
          <cell r="D2916" t="str">
            <v>24014</v>
          </cell>
          <cell r="E2916" t="str">
            <v>90 ELL</v>
          </cell>
          <cell r="F2916">
            <v>2</v>
          </cell>
          <cell r="G2916" t="str">
            <v>CB400100001H00</v>
          </cell>
          <cell r="H2916">
            <v>1.5</v>
          </cell>
          <cell r="I2916" t="str">
            <v>--</v>
          </cell>
          <cell r="J2916">
            <v>4</v>
          </cell>
          <cell r="K2916">
            <v>4</v>
          </cell>
        </row>
        <row r="2917">
          <cell r="A2917" t="str">
            <v>M2</v>
          </cell>
          <cell r="B2917" t="str">
            <v>A5C</v>
          </cell>
          <cell r="C2917" t="str">
            <v>P</v>
          </cell>
          <cell r="D2917" t="str">
            <v>99003</v>
          </cell>
          <cell r="E2917" t="str">
            <v>90 ELL</v>
          </cell>
          <cell r="F2917">
            <v>2</v>
          </cell>
          <cell r="G2917" t="str">
            <v>CB400100001H00</v>
          </cell>
          <cell r="H2917">
            <v>1.5</v>
          </cell>
          <cell r="I2917" t="str">
            <v>--</v>
          </cell>
          <cell r="J2917">
            <v>6</v>
          </cell>
          <cell r="K2917">
            <v>6</v>
          </cell>
        </row>
        <row r="2918">
          <cell r="A2918" t="str">
            <v>M2</v>
          </cell>
          <cell r="B2918" t="str">
            <v>A5C</v>
          </cell>
          <cell r="C2918" t="str">
            <v>P</v>
          </cell>
          <cell r="D2918" t="str">
            <v>99003</v>
          </cell>
          <cell r="E2918" t="str">
            <v>90 ELL</v>
          </cell>
          <cell r="F2918">
            <v>2</v>
          </cell>
          <cell r="G2918" t="str">
            <v>CB400100001H00</v>
          </cell>
          <cell r="H2918">
            <v>1.5</v>
          </cell>
          <cell r="I2918" t="str">
            <v>--</v>
          </cell>
          <cell r="J2918">
            <v>4</v>
          </cell>
          <cell r="K2918">
            <v>4</v>
          </cell>
        </row>
        <row r="2919">
          <cell r="A2919" t="str">
            <v>M2</v>
          </cell>
          <cell r="B2919" t="str">
            <v>A5C</v>
          </cell>
          <cell r="C2919" t="str">
            <v>P</v>
          </cell>
          <cell r="D2919" t="str">
            <v>22102</v>
          </cell>
          <cell r="E2919" t="str">
            <v>90 ELL</v>
          </cell>
          <cell r="F2919">
            <v>2</v>
          </cell>
          <cell r="G2919" t="str">
            <v>CB400100001H00</v>
          </cell>
          <cell r="H2919">
            <v>1.5</v>
          </cell>
          <cell r="I2919" t="str">
            <v>--</v>
          </cell>
          <cell r="J2919">
            <v>5</v>
          </cell>
          <cell r="K2919">
            <v>5</v>
          </cell>
        </row>
        <row r="2920">
          <cell r="A2920" t="str">
            <v>M2</v>
          </cell>
          <cell r="B2920" t="str">
            <v>A5C</v>
          </cell>
          <cell r="C2920" t="str">
            <v>P</v>
          </cell>
          <cell r="D2920" t="str">
            <v>23006</v>
          </cell>
          <cell r="E2920" t="str">
            <v>90 ELL</v>
          </cell>
          <cell r="F2920">
            <v>2</v>
          </cell>
          <cell r="G2920" t="str">
            <v>CB400100001H00</v>
          </cell>
          <cell r="H2920">
            <v>1.5</v>
          </cell>
          <cell r="I2920" t="str">
            <v>--</v>
          </cell>
          <cell r="J2920">
            <v>10</v>
          </cell>
          <cell r="K2920">
            <v>10</v>
          </cell>
        </row>
        <row r="2921">
          <cell r="A2921" t="str">
            <v>M2</v>
          </cell>
          <cell r="B2921" t="str">
            <v>A5C</v>
          </cell>
          <cell r="C2921" t="str">
            <v>P</v>
          </cell>
          <cell r="D2921" t="str">
            <v>23035</v>
          </cell>
          <cell r="E2921" t="str">
            <v>90 ELL</v>
          </cell>
          <cell r="F2921">
            <v>2</v>
          </cell>
          <cell r="G2921" t="str">
            <v>CB400100001H00</v>
          </cell>
          <cell r="H2921">
            <v>1.5</v>
          </cell>
          <cell r="I2921" t="str">
            <v>--</v>
          </cell>
          <cell r="J2921">
            <v>4</v>
          </cell>
          <cell r="K2921">
            <v>4</v>
          </cell>
        </row>
        <row r="2922">
          <cell r="A2922" t="str">
            <v>M2</v>
          </cell>
          <cell r="B2922" t="str">
            <v>A5C</v>
          </cell>
          <cell r="C2922" t="str">
            <v>P</v>
          </cell>
          <cell r="D2922" t="str">
            <v>23164</v>
          </cell>
          <cell r="E2922" t="str">
            <v>90 ELL</v>
          </cell>
          <cell r="F2922">
            <v>2</v>
          </cell>
          <cell r="G2922" t="str">
            <v>CB400100001H00</v>
          </cell>
          <cell r="H2922">
            <v>1.5</v>
          </cell>
          <cell r="I2922" t="str">
            <v>--</v>
          </cell>
          <cell r="J2922">
            <v>2</v>
          </cell>
          <cell r="K2922">
            <v>2</v>
          </cell>
        </row>
        <row r="2923">
          <cell r="A2923" t="str">
            <v>M2</v>
          </cell>
          <cell r="B2923" t="str">
            <v>A5C</v>
          </cell>
          <cell r="C2923" t="str">
            <v>P</v>
          </cell>
          <cell r="D2923" t="str">
            <v>23217</v>
          </cell>
          <cell r="E2923" t="str">
            <v>90 ELL</v>
          </cell>
          <cell r="F2923">
            <v>2</v>
          </cell>
          <cell r="G2923" t="str">
            <v>CB400100001H00</v>
          </cell>
          <cell r="H2923">
            <v>1.5</v>
          </cell>
          <cell r="I2923" t="str">
            <v>--</v>
          </cell>
          <cell r="J2923">
            <v>7</v>
          </cell>
          <cell r="K2923">
            <v>7</v>
          </cell>
        </row>
        <row r="2924">
          <cell r="A2924" t="str">
            <v>M2</v>
          </cell>
          <cell r="B2924" t="str">
            <v>A5C</v>
          </cell>
          <cell r="C2924" t="str">
            <v>P</v>
          </cell>
          <cell r="D2924" t="str">
            <v>23231</v>
          </cell>
          <cell r="E2924" t="str">
            <v>90 ELL</v>
          </cell>
          <cell r="F2924">
            <v>2</v>
          </cell>
          <cell r="G2924" t="str">
            <v>CB400100001H00</v>
          </cell>
          <cell r="H2924">
            <v>1.5</v>
          </cell>
          <cell r="I2924" t="str">
            <v>--</v>
          </cell>
          <cell r="J2924">
            <v>2</v>
          </cell>
          <cell r="K2924">
            <v>2</v>
          </cell>
        </row>
        <row r="2925">
          <cell r="A2925" t="str">
            <v>M2</v>
          </cell>
          <cell r="B2925" t="str">
            <v>A5C</v>
          </cell>
          <cell r="C2925" t="str">
            <v>P</v>
          </cell>
          <cell r="D2925" t="str">
            <v>23006</v>
          </cell>
          <cell r="E2925" t="str">
            <v>C SWG</v>
          </cell>
          <cell r="F2925">
            <v>2</v>
          </cell>
          <cell r="G2925" t="str">
            <v>CB161108081H01</v>
          </cell>
          <cell r="H2925">
            <v>1.5</v>
          </cell>
          <cell r="I2925">
            <v>1</v>
          </cell>
          <cell r="J2925">
            <v>2</v>
          </cell>
          <cell r="K2925">
            <v>2</v>
          </cell>
        </row>
        <row r="2926">
          <cell r="A2926" t="str">
            <v>M2</v>
          </cell>
          <cell r="B2926" t="str">
            <v>A5C</v>
          </cell>
          <cell r="C2926" t="str">
            <v>P</v>
          </cell>
          <cell r="D2926" t="str">
            <v>23038</v>
          </cell>
          <cell r="E2926" t="str">
            <v>C SWG</v>
          </cell>
          <cell r="F2926">
            <v>2</v>
          </cell>
          <cell r="G2926" t="str">
            <v>CB161108081H01</v>
          </cell>
          <cell r="H2926">
            <v>1.5</v>
          </cell>
          <cell r="I2926">
            <v>1</v>
          </cell>
          <cell r="J2926">
            <v>2</v>
          </cell>
          <cell r="K2926">
            <v>2</v>
          </cell>
        </row>
        <row r="2927">
          <cell r="A2927" t="str">
            <v>M2</v>
          </cell>
          <cell r="B2927" t="str">
            <v>A5C</v>
          </cell>
          <cell r="C2927" t="str">
            <v>P</v>
          </cell>
          <cell r="D2927" t="str">
            <v>23116</v>
          </cell>
          <cell r="E2927" t="str">
            <v>C SWG</v>
          </cell>
          <cell r="F2927">
            <v>2</v>
          </cell>
          <cell r="G2927" t="str">
            <v>CB161108081H01</v>
          </cell>
          <cell r="H2927">
            <v>1.5</v>
          </cell>
          <cell r="I2927">
            <v>1</v>
          </cell>
          <cell r="J2927">
            <v>2</v>
          </cell>
          <cell r="K2927">
            <v>2</v>
          </cell>
        </row>
        <row r="2928">
          <cell r="A2928" t="str">
            <v>M2</v>
          </cell>
          <cell r="B2928" t="str">
            <v>A5C</v>
          </cell>
          <cell r="C2928" t="str">
            <v>P</v>
          </cell>
          <cell r="D2928" t="str">
            <v>23116</v>
          </cell>
          <cell r="E2928" t="str">
            <v>C SWG</v>
          </cell>
          <cell r="F2928">
            <v>2</v>
          </cell>
          <cell r="G2928" t="str">
            <v>CB161108081H0T</v>
          </cell>
          <cell r="H2928">
            <v>1.5</v>
          </cell>
          <cell r="I2928">
            <v>0.75</v>
          </cell>
          <cell r="J2928">
            <v>4</v>
          </cell>
          <cell r="K2928">
            <v>4</v>
          </cell>
        </row>
        <row r="2929">
          <cell r="A2929" t="str">
            <v>M2</v>
          </cell>
          <cell r="B2929" t="str">
            <v>A5C</v>
          </cell>
          <cell r="C2929" t="str">
            <v>P</v>
          </cell>
          <cell r="D2929" t="str">
            <v>23117</v>
          </cell>
          <cell r="E2929" t="str">
            <v>C SWG</v>
          </cell>
          <cell r="F2929">
            <v>2</v>
          </cell>
          <cell r="G2929" t="str">
            <v>CB161108081H01</v>
          </cell>
          <cell r="H2929">
            <v>1.5</v>
          </cell>
          <cell r="I2929">
            <v>1</v>
          </cell>
          <cell r="J2929">
            <v>2</v>
          </cell>
          <cell r="K2929">
            <v>2</v>
          </cell>
        </row>
        <row r="2930">
          <cell r="A2930" t="str">
            <v>M2</v>
          </cell>
          <cell r="B2930" t="str">
            <v>A5C</v>
          </cell>
          <cell r="C2930" t="str">
            <v>P</v>
          </cell>
          <cell r="D2930" t="str">
            <v>23185</v>
          </cell>
          <cell r="E2930" t="str">
            <v>C SWG</v>
          </cell>
          <cell r="F2930">
            <v>2</v>
          </cell>
          <cell r="G2930" t="str">
            <v>CB161108081H01</v>
          </cell>
          <cell r="H2930">
            <v>1.5</v>
          </cell>
          <cell r="I2930">
            <v>1</v>
          </cell>
          <cell r="J2930">
            <v>2</v>
          </cell>
          <cell r="K2930">
            <v>2</v>
          </cell>
        </row>
        <row r="2931">
          <cell r="A2931" t="str">
            <v>M2</v>
          </cell>
          <cell r="B2931" t="str">
            <v>A5C</v>
          </cell>
          <cell r="C2931" t="str">
            <v>P</v>
          </cell>
          <cell r="D2931" t="str">
            <v>23196</v>
          </cell>
          <cell r="E2931" t="str">
            <v>C SWG</v>
          </cell>
          <cell r="F2931">
            <v>2</v>
          </cell>
          <cell r="G2931" t="str">
            <v>CB161108081H01</v>
          </cell>
          <cell r="H2931">
            <v>1.5</v>
          </cell>
          <cell r="I2931">
            <v>1</v>
          </cell>
          <cell r="J2931">
            <v>2</v>
          </cell>
          <cell r="K2931">
            <v>2</v>
          </cell>
        </row>
        <row r="2932">
          <cell r="A2932" t="str">
            <v>M2</v>
          </cell>
          <cell r="B2932" t="str">
            <v>A5C</v>
          </cell>
          <cell r="C2932" t="str">
            <v>P</v>
          </cell>
          <cell r="D2932" t="str">
            <v>23157</v>
          </cell>
          <cell r="E2932" t="str">
            <v>C SWG</v>
          </cell>
          <cell r="F2932">
            <v>2</v>
          </cell>
          <cell r="G2932" t="str">
            <v>CB161108081H01</v>
          </cell>
          <cell r="H2932">
            <v>1.5</v>
          </cell>
          <cell r="I2932">
            <v>1</v>
          </cell>
          <cell r="J2932">
            <v>2</v>
          </cell>
          <cell r="K2932">
            <v>2</v>
          </cell>
        </row>
        <row r="2933">
          <cell r="A2933" t="str">
            <v>M2</v>
          </cell>
          <cell r="B2933" t="str">
            <v>A5C</v>
          </cell>
          <cell r="C2933" t="str">
            <v>P</v>
          </cell>
          <cell r="D2933" t="str">
            <v>23006</v>
          </cell>
          <cell r="E2933" t="str">
            <v>CPLG</v>
          </cell>
          <cell r="F2933">
            <v>2</v>
          </cell>
          <cell r="G2933" t="str">
            <v>CB400500001H00</v>
          </cell>
          <cell r="H2933">
            <v>1.5</v>
          </cell>
          <cell r="I2933" t="str">
            <v>--</v>
          </cell>
          <cell r="J2933">
            <v>2</v>
          </cell>
          <cell r="K2933">
            <v>2</v>
          </cell>
        </row>
        <row r="2934">
          <cell r="A2934" t="str">
            <v>M2</v>
          </cell>
          <cell r="B2934" t="str">
            <v>A5C</v>
          </cell>
          <cell r="C2934" t="str">
            <v>P</v>
          </cell>
          <cell r="D2934" t="str">
            <v>23035</v>
          </cell>
          <cell r="E2934" t="str">
            <v>CPLG</v>
          </cell>
          <cell r="F2934">
            <v>2</v>
          </cell>
          <cell r="G2934" t="str">
            <v>CB400500001H00</v>
          </cell>
          <cell r="H2934">
            <v>1.5</v>
          </cell>
          <cell r="I2934" t="str">
            <v>--</v>
          </cell>
          <cell r="J2934">
            <v>3</v>
          </cell>
          <cell r="K2934">
            <v>3</v>
          </cell>
        </row>
        <row r="2935">
          <cell r="A2935" t="str">
            <v>M2</v>
          </cell>
          <cell r="B2935" t="str">
            <v>A5C</v>
          </cell>
          <cell r="C2935" t="str">
            <v>P</v>
          </cell>
          <cell r="D2935" t="str">
            <v>23116</v>
          </cell>
          <cell r="E2935" t="str">
            <v>CPLG</v>
          </cell>
          <cell r="F2935">
            <v>2</v>
          </cell>
          <cell r="G2935" t="str">
            <v>CB400500001H00</v>
          </cell>
          <cell r="H2935">
            <v>1.5</v>
          </cell>
          <cell r="I2935" t="str">
            <v>--</v>
          </cell>
          <cell r="J2935">
            <v>1</v>
          </cell>
          <cell r="K2935">
            <v>1</v>
          </cell>
        </row>
        <row r="2936">
          <cell r="A2936" t="str">
            <v>M2</v>
          </cell>
          <cell r="B2936" t="str">
            <v>A5C</v>
          </cell>
          <cell r="C2936" t="str">
            <v>P</v>
          </cell>
          <cell r="D2936" t="str">
            <v>23116</v>
          </cell>
          <cell r="E2936" t="str">
            <v>CPLG</v>
          </cell>
          <cell r="F2936">
            <v>2</v>
          </cell>
          <cell r="G2936" t="str">
            <v>CB400500001H00</v>
          </cell>
          <cell r="H2936">
            <v>1.5</v>
          </cell>
          <cell r="I2936" t="str">
            <v>--</v>
          </cell>
          <cell r="J2936">
            <v>3</v>
          </cell>
          <cell r="K2936">
            <v>3</v>
          </cell>
        </row>
        <row r="2937">
          <cell r="A2937" t="str">
            <v>M2</v>
          </cell>
          <cell r="B2937" t="str">
            <v>A5C</v>
          </cell>
          <cell r="C2937" t="str">
            <v>P</v>
          </cell>
          <cell r="D2937" t="str">
            <v>23215</v>
          </cell>
          <cell r="E2937" t="str">
            <v>CPLG</v>
          </cell>
          <cell r="F2937">
            <v>2</v>
          </cell>
          <cell r="G2937" t="str">
            <v>CB400500001H00</v>
          </cell>
          <cell r="H2937">
            <v>1.5</v>
          </cell>
          <cell r="I2937" t="str">
            <v>--</v>
          </cell>
          <cell r="J2937">
            <v>1</v>
          </cell>
          <cell r="K2937">
            <v>1</v>
          </cell>
        </row>
        <row r="2938">
          <cell r="A2938" t="str">
            <v>M2</v>
          </cell>
          <cell r="B2938" t="str">
            <v>A5C</v>
          </cell>
          <cell r="C2938" t="str">
            <v>P</v>
          </cell>
          <cell r="D2938" t="str">
            <v>99003</v>
          </cell>
          <cell r="E2938" t="str">
            <v>CPLG</v>
          </cell>
          <cell r="F2938">
            <v>2</v>
          </cell>
          <cell r="G2938" t="str">
            <v>CB400500001H00</v>
          </cell>
          <cell r="H2938">
            <v>1.5</v>
          </cell>
          <cell r="I2938" t="str">
            <v>--</v>
          </cell>
          <cell r="J2938">
            <v>2</v>
          </cell>
          <cell r="K2938">
            <v>2</v>
          </cell>
        </row>
        <row r="2939">
          <cell r="A2939" t="str">
            <v>M2</v>
          </cell>
          <cell r="B2939" t="str">
            <v>A5C</v>
          </cell>
          <cell r="C2939" t="str">
            <v>P</v>
          </cell>
          <cell r="D2939" t="str">
            <v>22102</v>
          </cell>
          <cell r="E2939" t="str">
            <v>CPLG</v>
          </cell>
          <cell r="F2939">
            <v>2</v>
          </cell>
          <cell r="G2939" t="str">
            <v>CB400500001H00</v>
          </cell>
          <cell r="H2939">
            <v>1.5</v>
          </cell>
          <cell r="I2939" t="str">
            <v>--</v>
          </cell>
          <cell r="J2939">
            <v>8</v>
          </cell>
          <cell r="K2939">
            <v>8</v>
          </cell>
        </row>
        <row r="2940">
          <cell r="A2940" t="str">
            <v>M2</v>
          </cell>
          <cell r="B2940" t="str">
            <v>A5C</v>
          </cell>
          <cell r="C2940" t="str">
            <v>P</v>
          </cell>
          <cell r="D2940" t="str">
            <v>23157</v>
          </cell>
          <cell r="E2940" t="str">
            <v>CPLG</v>
          </cell>
          <cell r="F2940">
            <v>2</v>
          </cell>
          <cell r="G2940" t="str">
            <v>CB400500001H00</v>
          </cell>
          <cell r="H2940">
            <v>1.5</v>
          </cell>
          <cell r="I2940" t="str">
            <v>--</v>
          </cell>
          <cell r="J2940">
            <v>2</v>
          </cell>
          <cell r="K2940">
            <v>2</v>
          </cell>
        </row>
        <row r="2941">
          <cell r="A2941" t="str">
            <v>M2</v>
          </cell>
          <cell r="B2941" t="str">
            <v>A5C</v>
          </cell>
          <cell r="C2941" t="str">
            <v>P</v>
          </cell>
          <cell r="D2941" t="str">
            <v>23217</v>
          </cell>
          <cell r="E2941" t="str">
            <v>CPLG</v>
          </cell>
          <cell r="F2941">
            <v>2</v>
          </cell>
          <cell r="G2941" t="str">
            <v>CB400500001H00</v>
          </cell>
          <cell r="H2941">
            <v>1.5</v>
          </cell>
          <cell r="I2941" t="str">
            <v>--</v>
          </cell>
          <cell r="J2941">
            <v>3</v>
          </cell>
          <cell r="K2941">
            <v>3</v>
          </cell>
        </row>
        <row r="2942">
          <cell r="A2942" t="str">
            <v>M2</v>
          </cell>
          <cell r="B2942" t="str">
            <v>A5C</v>
          </cell>
          <cell r="C2942" t="str">
            <v>P</v>
          </cell>
          <cell r="D2942" t="str">
            <v>23006</v>
          </cell>
          <cell r="E2942" t="str">
            <v>E SWG</v>
          </cell>
          <cell r="F2942">
            <v>2</v>
          </cell>
          <cell r="G2942" t="str">
            <v>CB162108081H01</v>
          </cell>
          <cell r="H2942">
            <v>1.5</v>
          </cell>
          <cell r="I2942">
            <v>1</v>
          </cell>
          <cell r="J2942">
            <v>2</v>
          </cell>
          <cell r="K2942">
            <v>2</v>
          </cell>
        </row>
        <row r="2943">
          <cell r="A2943" t="str">
            <v>M2</v>
          </cell>
          <cell r="B2943" t="str">
            <v>A5C</v>
          </cell>
          <cell r="C2943" t="str">
            <v>P</v>
          </cell>
          <cell r="D2943" t="str">
            <v>23052</v>
          </cell>
          <cell r="E2943" t="str">
            <v>E SWG</v>
          </cell>
          <cell r="F2943">
            <v>2</v>
          </cell>
          <cell r="G2943" t="str">
            <v>CB162108081H01</v>
          </cell>
          <cell r="H2943">
            <v>1.5</v>
          </cell>
          <cell r="I2943">
            <v>1</v>
          </cell>
          <cell r="J2943">
            <v>1</v>
          </cell>
          <cell r="K2943">
            <v>1</v>
          </cell>
        </row>
        <row r="2944">
          <cell r="A2944" t="str">
            <v>M2</v>
          </cell>
          <cell r="B2944" t="str">
            <v>A5C</v>
          </cell>
          <cell r="C2944" t="str">
            <v>P</v>
          </cell>
          <cell r="D2944" t="str">
            <v>23063</v>
          </cell>
          <cell r="E2944" t="str">
            <v>E SWG</v>
          </cell>
          <cell r="F2944">
            <v>2</v>
          </cell>
          <cell r="G2944" t="str">
            <v>CB162108081H01</v>
          </cell>
          <cell r="H2944">
            <v>1.5</v>
          </cell>
          <cell r="I2944">
            <v>1</v>
          </cell>
          <cell r="J2944">
            <v>1</v>
          </cell>
          <cell r="K2944">
            <v>1</v>
          </cell>
        </row>
        <row r="2945">
          <cell r="A2945" t="str">
            <v>M2</v>
          </cell>
          <cell r="B2945" t="str">
            <v>A5C</v>
          </cell>
          <cell r="C2945" t="str">
            <v>P</v>
          </cell>
          <cell r="D2945" t="str">
            <v>23070</v>
          </cell>
          <cell r="E2945" t="str">
            <v>E SWG</v>
          </cell>
          <cell r="F2945">
            <v>2</v>
          </cell>
          <cell r="G2945" t="str">
            <v>CB162108081H01</v>
          </cell>
          <cell r="H2945">
            <v>1.5</v>
          </cell>
          <cell r="I2945">
            <v>1</v>
          </cell>
          <cell r="J2945">
            <v>2</v>
          </cell>
          <cell r="K2945">
            <v>2</v>
          </cell>
        </row>
        <row r="2946">
          <cell r="A2946" t="str">
            <v>M2</v>
          </cell>
          <cell r="B2946" t="str">
            <v>A5C</v>
          </cell>
          <cell r="C2946" t="str">
            <v>P</v>
          </cell>
          <cell r="D2946" t="str">
            <v>23078</v>
          </cell>
          <cell r="E2946" t="str">
            <v>E SWG</v>
          </cell>
          <cell r="F2946">
            <v>2</v>
          </cell>
          <cell r="G2946" t="str">
            <v>CB162108081H01</v>
          </cell>
          <cell r="H2946">
            <v>1.5</v>
          </cell>
          <cell r="I2946">
            <v>1</v>
          </cell>
          <cell r="J2946">
            <v>1</v>
          </cell>
          <cell r="K2946">
            <v>1</v>
          </cell>
        </row>
        <row r="2947">
          <cell r="A2947" t="str">
            <v>M2</v>
          </cell>
          <cell r="B2947" t="str">
            <v>A5C</v>
          </cell>
          <cell r="C2947" t="str">
            <v>P</v>
          </cell>
          <cell r="D2947" t="str">
            <v>23103</v>
          </cell>
          <cell r="E2947" t="str">
            <v>E SWG</v>
          </cell>
          <cell r="F2947">
            <v>2</v>
          </cell>
          <cell r="G2947" t="str">
            <v>CB162108081H01</v>
          </cell>
          <cell r="H2947">
            <v>1.5</v>
          </cell>
          <cell r="I2947">
            <v>1</v>
          </cell>
          <cell r="J2947">
            <v>2</v>
          </cell>
          <cell r="K2947">
            <v>2</v>
          </cell>
        </row>
        <row r="2948">
          <cell r="A2948" t="str">
            <v>M2</v>
          </cell>
          <cell r="B2948" t="str">
            <v>A5C</v>
          </cell>
          <cell r="C2948" t="str">
            <v>P</v>
          </cell>
          <cell r="D2948" t="str">
            <v>23111</v>
          </cell>
          <cell r="E2948" t="str">
            <v>E SWG</v>
          </cell>
          <cell r="F2948">
            <v>2</v>
          </cell>
          <cell r="G2948" t="str">
            <v>CB162108081H01</v>
          </cell>
          <cell r="H2948">
            <v>1.5</v>
          </cell>
          <cell r="I2948">
            <v>1</v>
          </cell>
          <cell r="J2948">
            <v>2</v>
          </cell>
          <cell r="K2948">
            <v>2</v>
          </cell>
        </row>
        <row r="2949">
          <cell r="A2949" t="str">
            <v>M2</v>
          </cell>
          <cell r="B2949" t="str">
            <v>A5C</v>
          </cell>
          <cell r="C2949" t="str">
            <v>P</v>
          </cell>
          <cell r="D2949" t="str">
            <v>23143</v>
          </cell>
          <cell r="E2949" t="str">
            <v>E SWG</v>
          </cell>
          <cell r="F2949">
            <v>2</v>
          </cell>
          <cell r="G2949" t="str">
            <v>CB162108081H01</v>
          </cell>
          <cell r="H2949">
            <v>1.5</v>
          </cell>
          <cell r="I2949">
            <v>1</v>
          </cell>
          <cell r="J2949">
            <v>2</v>
          </cell>
          <cell r="K2949">
            <v>2</v>
          </cell>
        </row>
        <row r="2950">
          <cell r="A2950" t="str">
            <v>M2</v>
          </cell>
          <cell r="B2950" t="str">
            <v>A5C</v>
          </cell>
          <cell r="C2950" t="str">
            <v>P</v>
          </cell>
          <cell r="D2950" t="str">
            <v>23147</v>
          </cell>
          <cell r="E2950" t="str">
            <v>E SWG</v>
          </cell>
          <cell r="F2950">
            <v>2</v>
          </cell>
          <cell r="G2950" t="str">
            <v>CB162108081H01</v>
          </cell>
          <cell r="H2950">
            <v>1.5</v>
          </cell>
          <cell r="I2950">
            <v>1</v>
          </cell>
          <cell r="J2950">
            <v>2</v>
          </cell>
          <cell r="K2950">
            <v>2</v>
          </cell>
        </row>
        <row r="2951">
          <cell r="A2951" t="str">
            <v>M2</v>
          </cell>
          <cell r="B2951" t="str">
            <v>A5C</v>
          </cell>
          <cell r="C2951" t="str">
            <v>P</v>
          </cell>
          <cell r="D2951" t="str">
            <v>23164</v>
          </cell>
          <cell r="E2951" t="str">
            <v>E SWG</v>
          </cell>
          <cell r="F2951">
            <v>2</v>
          </cell>
          <cell r="G2951" t="str">
            <v>CB162108081H01</v>
          </cell>
          <cell r="H2951">
            <v>1.5</v>
          </cell>
          <cell r="I2951">
            <v>1</v>
          </cell>
          <cell r="J2951">
            <v>2</v>
          </cell>
          <cell r="K2951">
            <v>2</v>
          </cell>
        </row>
        <row r="2952">
          <cell r="A2952" t="str">
            <v>M2</v>
          </cell>
          <cell r="B2952" t="str">
            <v>A5C</v>
          </cell>
          <cell r="C2952" t="str">
            <v>P</v>
          </cell>
          <cell r="D2952" t="str">
            <v>99003</v>
          </cell>
          <cell r="E2952" t="str">
            <v>E SWG</v>
          </cell>
          <cell r="F2952">
            <v>2</v>
          </cell>
          <cell r="G2952" t="str">
            <v>CB162108081H01</v>
          </cell>
          <cell r="H2952">
            <v>1.5</v>
          </cell>
          <cell r="I2952">
            <v>1</v>
          </cell>
          <cell r="J2952">
            <v>2</v>
          </cell>
          <cell r="K2952">
            <v>2</v>
          </cell>
        </row>
        <row r="2953">
          <cell r="A2953" t="str">
            <v>M2</v>
          </cell>
          <cell r="B2953" t="str">
            <v>A5C</v>
          </cell>
          <cell r="C2953" t="str">
            <v>P</v>
          </cell>
          <cell r="D2953" t="str">
            <v>23035</v>
          </cell>
          <cell r="E2953" t="str">
            <v>E SWG</v>
          </cell>
          <cell r="F2953">
            <v>2</v>
          </cell>
          <cell r="G2953" t="str">
            <v>CB162108081H01</v>
          </cell>
          <cell r="H2953">
            <v>1.5</v>
          </cell>
          <cell r="I2953">
            <v>1</v>
          </cell>
          <cell r="J2953">
            <v>2</v>
          </cell>
          <cell r="K2953">
            <v>2</v>
          </cell>
        </row>
        <row r="2954">
          <cell r="A2954" t="str">
            <v>M2</v>
          </cell>
          <cell r="B2954" t="str">
            <v>A5C</v>
          </cell>
          <cell r="C2954" t="str">
            <v>P</v>
          </cell>
          <cell r="D2954" t="str">
            <v>23037</v>
          </cell>
          <cell r="E2954" t="str">
            <v>E SWG</v>
          </cell>
          <cell r="F2954">
            <v>2</v>
          </cell>
          <cell r="G2954" t="str">
            <v>CB162108081H01</v>
          </cell>
          <cell r="H2954">
            <v>1.5</v>
          </cell>
          <cell r="I2954">
            <v>1</v>
          </cell>
          <cell r="J2954">
            <v>1</v>
          </cell>
          <cell r="K2954">
            <v>1</v>
          </cell>
        </row>
        <row r="2955">
          <cell r="A2955" t="str">
            <v>M2</v>
          </cell>
          <cell r="B2955" t="str">
            <v>A5C</v>
          </cell>
          <cell r="C2955" t="str">
            <v>P</v>
          </cell>
          <cell r="D2955" t="str">
            <v>23107</v>
          </cell>
          <cell r="E2955" t="str">
            <v>E SWG</v>
          </cell>
          <cell r="F2955">
            <v>2</v>
          </cell>
          <cell r="G2955" t="str">
            <v>CB162108081H01</v>
          </cell>
          <cell r="H2955">
            <v>1.5</v>
          </cell>
          <cell r="I2955">
            <v>1</v>
          </cell>
          <cell r="J2955">
            <v>2</v>
          </cell>
          <cell r="K2955">
            <v>2</v>
          </cell>
        </row>
        <row r="2956">
          <cell r="A2956" t="str">
            <v>M2</v>
          </cell>
          <cell r="B2956" t="str">
            <v>A5C</v>
          </cell>
          <cell r="C2956" t="str">
            <v>P</v>
          </cell>
          <cell r="D2956" t="str">
            <v>23006</v>
          </cell>
          <cell r="E2956" t="str">
            <v>R TEE</v>
          </cell>
          <cell r="F2956">
            <v>2</v>
          </cell>
          <cell r="G2956" t="str">
            <v>CB400400001H0T</v>
          </cell>
          <cell r="H2956">
            <v>1.5</v>
          </cell>
          <cell r="I2956">
            <v>0.75</v>
          </cell>
          <cell r="J2956">
            <v>4</v>
          </cell>
          <cell r="K2956">
            <v>4</v>
          </cell>
        </row>
        <row r="2957">
          <cell r="A2957" t="str">
            <v>M2</v>
          </cell>
          <cell r="B2957" t="str">
            <v>A5C</v>
          </cell>
          <cell r="C2957" t="str">
            <v>P</v>
          </cell>
          <cell r="D2957" t="str">
            <v>23006</v>
          </cell>
          <cell r="E2957" t="str">
            <v>R TEE</v>
          </cell>
          <cell r="F2957">
            <v>2</v>
          </cell>
          <cell r="G2957" t="str">
            <v>CB400400001H01</v>
          </cell>
          <cell r="H2957">
            <v>1.5</v>
          </cell>
          <cell r="I2957">
            <v>1</v>
          </cell>
          <cell r="J2957">
            <v>2</v>
          </cell>
          <cell r="K2957">
            <v>2</v>
          </cell>
        </row>
        <row r="2958">
          <cell r="A2958" t="str">
            <v>M2</v>
          </cell>
          <cell r="B2958" t="str">
            <v>A5C</v>
          </cell>
          <cell r="C2958" t="str">
            <v>P</v>
          </cell>
          <cell r="D2958" t="str">
            <v>23006</v>
          </cell>
          <cell r="E2958" t="str">
            <v>R TEE</v>
          </cell>
          <cell r="F2958">
            <v>2</v>
          </cell>
          <cell r="G2958" t="str">
            <v>CB400400001H0T</v>
          </cell>
          <cell r="H2958">
            <v>1.5</v>
          </cell>
          <cell r="I2958">
            <v>0.75</v>
          </cell>
          <cell r="J2958">
            <v>2</v>
          </cell>
          <cell r="K2958">
            <v>2</v>
          </cell>
        </row>
        <row r="2959">
          <cell r="A2959" t="str">
            <v>M2</v>
          </cell>
          <cell r="B2959" t="str">
            <v>A5C</v>
          </cell>
          <cell r="C2959" t="str">
            <v>P</v>
          </cell>
          <cell r="D2959" t="str">
            <v>23035</v>
          </cell>
          <cell r="E2959" t="str">
            <v>R TEE</v>
          </cell>
          <cell r="F2959">
            <v>2</v>
          </cell>
          <cell r="G2959" t="str">
            <v>CB400400001H0T</v>
          </cell>
          <cell r="H2959">
            <v>1.5</v>
          </cell>
          <cell r="I2959">
            <v>0.75</v>
          </cell>
          <cell r="J2959">
            <v>3</v>
          </cell>
          <cell r="K2959">
            <v>3</v>
          </cell>
        </row>
        <row r="2960">
          <cell r="A2960" t="str">
            <v>M2</v>
          </cell>
          <cell r="B2960" t="str">
            <v>A5C</v>
          </cell>
          <cell r="C2960" t="str">
            <v>P</v>
          </cell>
          <cell r="D2960" t="str">
            <v>23035</v>
          </cell>
          <cell r="E2960" t="str">
            <v>R TEE</v>
          </cell>
          <cell r="F2960">
            <v>2</v>
          </cell>
          <cell r="G2960" t="str">
            <v>CB400400001H01</v>
          </cell>
          <cell r="H2960">
            <v>1.5</v>
          </cell>
          <cell r="I2960">
            <v>1</v>
          </cell>
          <cell r="J2960">
            <v>2</v>
          </cell>
          <cell r="K2960">
            <v>2</v>
          </cell>
        </row>
        <row r="2961">
          <cell r="A2961" t="str">
            <v>M2</v>
          </cell>
          <cell r="B2961" t="str">
            <v>A5C</v>
          </cell>
          <cell r="C2961" t="str">
            <v>P</v>
          </cell>
          <cell r="D2961" t="str">
            <v>23035</v>
          </cell>
          <cell r="E2961" t="str">
            <v>R TEE</v>
          </cell>
          <cell r="F2961">
            <v>2</v>
          </cell>
          <cell r="G2961" t="str">
            <v>CB400400001H0T</v>
          </cell>
          <cell r="H2961">
            <v>1.5</v>
          </cell>
          <cell r="I2961">
            <v>0.75</v>
          </cell>
          <cell r="J2961">
            <v>1</v>
          </cell>
          <cell r="K2961">
            <v>1</v>
          </cell>
        </row>
        <row r="2962">
          <cell r="A2962" t="str">
            <v>M2</v>
          </cell>
          <cell r="B2962" t="str">
            <v>A5C</v>
          </cell>
          <cell r="C2962" t="str">
            <v>P</v>
          </cell>
          <cell r="D2962" t="str">
            <v>23038</v>
          </cell>
          <cell r="E2962" t="str">
            <v>R TEE</v>
          </cell>
          <cell r="F2962">
            <v>2</v>
          </cell>
          <cell r="G2962" t="str">
            <v>CB400400001H0T</v>
          </cell>
          <cell r="H2962">
            <v>1.5</v>
          </cell>
          <cell r="I2962">
            <v>0.75</v>
          </cell>
          <cell r="J2962">
            <v>2</v>
          </cell>
          <cell r="K2962">
            <v>2</v>
          </cell>
        </row>
        <row r="2963">
          <cell r="A2963" t="str">
            <v>M2</v>
          </cell>
          <cell r="B2963" t="str">
            <v>A5C</v>
          </cell>
          <cell r="C2963" t="str">
            <v>P</v>
          </cell>
          <cell r="D2963" t="str">
            <v>23052</v>
          </cell>
          <cell r="E2963" t="str">
            <v>R TEE</v>
          </cell>
          <cell r="F2963">
            <v>2</v>
          </cell>
          <cell r="G2963" t="str">
            <v>CB400400001H01</v>
          </cell>
          <cell r="H2963">
            <v>1.5</v>
          </cell>
          <cell r="I2963">
            <v>1</v>
          </cell>
          <cell r="J2963">
            <v>1</v>
          </cell>
          <cell r="K2963">
            <v>1</v>
          </cell>
        </row>
        <row r="2964">
          <cell r="A2964" t="str">
            <v>M2</v>
          </cell>
          <cell r="B2964" t="str">
            <v>A5C</v>
          </cell>
          <cell r="C2964" t="str">
            <v>P</v>
          </cell>
          <cell r="D2964" t="str">
            <v>23052</v>
          </cell>
          <cell r="E2964" t="str">
            <v>R TEE</v>
          </cell>
          <cell r="F2964">
            <v>2</v>
          </cell>
          <cell r="G2964" t="str">
            <v>CB400400001H0T</v>
          </cell>
          <cell r="H2964">
            <v>1.5</v>
          </cell>
          <cell r="I2964">
            <v>0.75</v>
          </cell>
          <cell r="J2964">
            <v>1</v>
          </cell>
          <cell r="K2964">
            <v>1</v>
          </cell>
        </row>
        <row r="2965">
          <cell r="A2965" t="str">
            <v>M2</v>
          </cell>
          <cell r="B2965" t="str">
            <v>A5C</v>
          </cell>
          <cell r="C2965" t="str">
            <v>P</v>
          </cell>
          <cell r="D2965" t="str">
            <v>23063</v>
          </cell>
          <cell r="E2965" t="str">
            <v>R TEE</v>
          </cell>
          <cell r="F2965">
            <v>2</v>
          </cell>
          <cell r="G2965" t="str">
            <v>CB400400001H0T</v>
          </cell>
          <cell r="H2965">
            <v>1.5</v>
          </cell>
          <cell r="I2965">
            <v>0.75</v>
          </cell>
          <cell r="J2965">
            <v>1</v>
          </cell>
          <cell r="K2965">
            <v>1</v>
          </cell>
        </row>
        <row r="2966">
          <cell r="A2966" t="str">
            <v>M2</v>
          </cell>
          <cell r="B2966" t="str">
            <v>A5C</v>
          </cell>
          <cell r="C2966" t="str">
            <v>P</v>
          </cell>
          <cell r="D2966" t="str">
            <v>23063</v>
          </cell>
          <cell r="E2966" t="str">
            <v>R TEE</v>
          </cell>
          <cell r="F2966">
            <v>2</v>
          </cell>
          <cell r="G2966" t="str">
            <v>CB400400001H01</v>
          </cell>
          <cell r="H2966">
            <v>1.5</v>
          </cell>
          <cell r="I2966">
            <v>1</v>
          </cell>
          <cell r="J2966">
            <v>1</v>
          </cell>
          <cell r="K2966">
            <v>1</v>
          </cell>
        </row>
        <row r="2967">
          <cell r="A2967" t="str">
            <v>M2</v>
          </cell>
          <cell r="B2967" t="str">
            <v>A5C</v>
          </cell>
          <cell r="C2967" t="str">
            <v>P</v>
          </cell>
          <cell r="D2967" t="str">
            <v>23078</v>
          </cell>
          <cell r="E2967" t="str">
            <v>R TEE</v>
          </cell>
          <cell r="F2967">
            <v>2</v>
          </cell>
          <cell r="G2967" t="str">
            <v>CB400400001H0T</v>
          </cell>
          <cell r="H2967">
            <v>1.5</v>
          </cell>
          <cell r="I2967">
            <v>0.75</v>
          </cell>
          <cell r="J2967">
            <v>1</v>
          </cell>
          <cell r="K2967">
            <v>1</v>
          </cell>
        </row>
        <row r="2968">
          <cell r="A2968" t="str">
            <v>M2</v>
          </cell>
          <cell r="B2968" t="str">
            <v>A5C</v>
          </cell>
          <cell r="C2968" t="str">
            <v>P</v>
          </cell>
          <cell r="D2968" t="str">
            <v>23078</v>
          </cell>
          <cell r="E2968" t="str">
            <v>R TEE</v>
          </cell>
          <cell r="F2968">
            <v>2</v>
          </cell>
          <cell r="G2968" t="str">
            <v>CB400400001H01</v>
          </cell>
          <cell r="H2968">
            <v>1.5</v>
          </cell>
          <cell r="I2968">
            <v>1</v>
          </cell>
          <cell r="J2968">
            <v>1</v>
          </cell>
          <cell r="K2968">
            <v>1</v>
          </cell>
        </row>
        <row r="2969">
          <cell r="A2969" t="str">
            <v>M2</v>
          </cell>
          <cell r="B2969" t="str">
            <v>A5C</v>
          </cell>
          <cell r="C2969" t="str">
            <v>P</v>
          </cell>
          <cell r="D2969" t="str">
            <v>23107</v>
          </cell>
          <cell r="E2969" t="str">
            <v>R TEE</v>
          </cell>
          <cell r="F2969">
            <v>2</v>
          </cell>
          <cell r="G2969" t="str">
            <v>CB400400001H0T</v>
          </cell>
          <cell r="H2969">
            <v>1.5</v>
          </cell>
          <cell r="I2969">
            <v>0.75</v>
          </cell>
          <cell r="J2969">
            <v>2</v>
          </cell>
          <cell r="K2969">
            <v>2</v>
          </cell>
        </row>
        <row r="2970">
          <cell r="A2970" t="str">
            <v>M2</v>
          </cell>
          <cell r="B2970" t="str">
            <v>A5C</v>
          </cell>
          <cell r="C2970" t="str">
            <v>P</v>
          </cell>
          <cell r="D2970" t="str">
            <v>23111</v>
          </cell>
          <cell r="E2970" t="str">
            <v>R TEE</v>
          </cell>
          <cell r="F2970">
            <v>2</v>
          </cell>
          <cell r="G2970" t="str">
            <v>CB400400001H0T</v>
          </cell>
          <cell r="H2970">
            <v>1.5</v>
          </cell>
          <cell r="I2970">
            <v>0.75</v>
          </cell>
          <cell r="J2970">
            <v>2</v>
          </cell>
          <cell r="K2970">
            <v>2</v>
          </cell>
        </row>
        <row r="2971">
          <cell r="A2971" t="str">
            <v>M2</v>
          </cell>
          <cell r="B2971" t="str">
            <v>A5C</v>
          </cell>
          <cell r="C2971" t="str">
            <v>P</v>
          </cell>
          <cell r="D2971" t="str">
            <v>23117</v>
          </cell>
          <cell r="E2971" t="str">
            <v>R TEE</v>
          </cell>
          <cell r="F2971">
            <v>2</v>
          </cell>
          <cell r="G2971" t="str">
            <v>CB400400001H0T</v>
          </cell>
          <cell r="H2971">
            <v>1.5</v>
          </cell>
          <cell r="I2971">
            <v>0.75</v>
          </cell>
          <cell r="J2971">
            <v>2</v>
          </cell>
          <cell r="K2971">
            <v>2</v>
          </cell>
        </row>
        <row r="2972">
          <cell r="A2972" t="str">
            <v>M2</v>
          </cell>
          <cell r="B2972" t="str">
            <v>A5C</v>
          </cell>
          <cell r="C2972" t="str">
            <v>P</v>
          </cell>
          <cell r="D2972" t="str">
            <v>23143</v>
          </cell>
          <cell r="E2972" t="str">
            <v>R TEE</v>
          </cell>
          <cell r="F2972">
            <v>2</v>
          </cell>
          <cell r="G2972" t="str">
            <v>CB400400001H0T</v>
          </cell>
          <cell r="H2972">
            <v>1.5</v>
          </cell>
          <cell r="I2972">
            <v>0.75</v>
          </cell>
          <cell r="J2972">
            <v>2</v>
          </cell>
          <cell r="K2972">
            <v>2</v>
          </cell>
        </row>
        <row r="2973">
          <cell r="A2973" t="str">
            <v>M2</v>
          </cell>
          <cell r="B2973" t="str">
            <v>A5C</v>
          </cell>
          <cell r="C2973" t="str">
            <v>P</v>
          </cell>
          <cell r="D2973" t="str">
            <v>23147</v>
          </cell>
          <cell r="E2973" t="str">
            <v>R TEE</v>
          </cell>
          <cell r="F2973">
            <v>2</v>
          </cell>
          <cell r="G2973" t="str">
            <v>CB400400001H0T</v>
          </cell>
          <cell r="H2973">
            <v>1.5</v>
          </cell>
          <cell r="I2973">
            <v>0.75</v>
          </cell>
          <cell r="J2973">
            <v>2</v>
          </cell>
          <cell r="K2973">
            <v>2</v>
          </cell>
        </row>
        <row r="2974">
          <cell r="A2974" t="str">
            <v>M2</v>
          </cell>
          <cell r="B2974" t="str">
            <v>A5C</v>
          </cell>
          <cell r="C2974" t="str">
            <v>P</v>
          </cell>
          <cell r="D2974" t="str">
            <v>23157</v>
          </cell>
          <cell r="E2974" t="str">
            <v>R TEE</v>
          </cell>
          <cell r="F2974">
            <v>2</v>
          </cell>
          <cell r="G2974" t="str">
            <v>CB400400001H0T</v>
          </cell>
          <cell r="H2974">
            <v>1.5</v>
          </cell>
          <cell r="I2974">
            <v>0.75</v>
          </cell>
          <cell r="J2974">
            <v>2</v>
          </cell>
          <cell r="K2974">
            <v>2</v>
          </cell>
        </row>
        <row r="2975">
          <cell r="A2975" t="str">
            <v>M2</v>
          </cell>
          <cell r="B2975" t="str">
            <v>A5C</v>
          </cell>
          <cell r="C2975" t="str">
            <v>P</v>
          </cell>
          <cell r="D2975" t="str">
            <v>23196</v>
          </cell>
          <cell r="E2975" t="str">
            <v>R TEE</v>
          </cell>
          <cell r="F2975">
            <v>2</v>
          </cell>
          <cell r="G2975" t="str">
            <v>CB400400001H0T</v>
          </cell>
          <cell r="H2975">
            <v>1.5</v>
          </cell>
          <cell r="I2975">
            <v>0.75</v>
          </cell>
          <cell r="J2975">
            <v>2</v>
          </cell>
          <cell r="K2975">
            <v>2</v>
          </cell>
        </row>
        <row r="2976">
          <cell r="A2976" t="str">
            <v>M2</v>
          </cell>
          <cell r="B2976" t="str">
            <v>A5C</v>
          </cell>
          <cell r="C2976" t="str">
            <v>P</v>
          </cell>
          <cell r="D2976" t="str">
            <v>23231</v>
          </cell>
          <cell r="E2976" t="str">
            <v>R TEE</v>
          </cell>
          <cell r="F2976">
            <v>2</v>
          </cell>
          <cell r="G2976" t="str">
            <v>CB400400001H0T</v>
          </cell>
          <cell r="H2976">
            <v>1.5</v>
          </cell>
          <cell r="I2976">
            <v>0.75</v>
          </cell>
          <cell r="J2976">
            <v>1</v>
          </cell>
          <cell r="K2976">
            <v>1</v>
          </cell>
        </row>
        <row r="2977">
          <cell r="A2977" t="str">
            <v>M2</v>
          </cell>
          <cell r="B2977" t="str">
            <v>A5C</v>
          </cell>
          <cell r="C2977" t="str">
            <v>P</v>
          </cell>
          <cell r="D2977" t="str">
            <v>23226</v>
          </cell>
          <cell r="E2977" t="str">
            <v>R TEE</v>
          </cell>
          <cell r="F2977">
            <v>2</v>
          </cell>
          <cell r="G2977" t="str">
            <v>CB400400001H0T</v>
          </cell>
          <cell r="H2977">
            <v>1.5</v>
          </cell>
          <cell r="I2977">
            <v>0.75</v>
          </cell>
          <cell r="J2977">
            <v>1</v>
          </cell>
          <cell r="K2977">
            <v>1</v>
          </cell>
        </row>
        <row r="2978">
          <cell r="A2978" t="str">
            <v>M2</v>
          </cell>
          <cell r="B2978" t="str">
            <v>A5C</v>
          </cell>
          <cell r="C2978" t="str">
            <v>P</v>
          </cell>
          <cell r="D2978" t="str">
            <v>23248</v>
          </cell>
          <cell r="E2978" t="str">
            <v>R TEE</v>
          </cell>
          <cell r="F2978">
            <v>2</v>
          </cell>
          <cell r="G2978" t="str">
            <v>CB400400001H0T</v>
          </cell>
          <cell r="H2978">
            <v>1.5</v>
          </cell>
          <cell r="I2978">
            <v>0.75</v>
          </cell>
          <cell r="J2978">
            <v>1</v>
          </cell>
          <cell r="K2978">
            <v>1</v>
          </cell>
        </row>
        <row r="2979">
          <cell r="A2979" t="str">
            <v>M2</v>
          </cell>
          <cell r="B2979" t="str">
            <v>A5C</v>
          </cell>
          <cell r="C2979" t="str">
            <v>P</v>
          </cell>
          <cell r="D2979" t="str">
            <v>23259</v>
          </cell>
          <cell r="E2979" t="str">
            <v>R TEE</v>
          </cell>
          <cell r="F2979">
            <v>2</v>
          </cell>
          <cell r="G2979" t="str">
            <v>CB400400001H0T</v>
          </cell>
          <cell r="H2979">
            <v>1.5</v>
          </cell>
          <cell r="I2979">
            <v>0.75</v>
          </cell>
          <cell r="J2979">
            <v>2</v>
          </cell>
          <cell r="K2979">
            <v>2</v>
          </cell>
        </row>
        <row r="2980">
          <cell r="A2980" t="str">
            <v>M2</v>
          </cell>
          <cell r="B2980" t="str">
            <v>A5C</v>
          </cell>
          <cell r="C2980" t="str">
            <v>P</v>
          </cell>
          <cell r="D2980" t="str">
            <v>99003</v>
          </cell>
          <cell r="E2980" t="str">
            <v>R TEE</v>
          </cell>
          <cell r="F2980">
            <v>2</v>
          </cell>
          <cell r="G2980" t="str">
            <v>CB400400001H0T</v>
          </cell>
          <cell r="H2980">
            <v>1.5</v>
          </cell>
          <cell r="I2980">
            <v>0.75</v>
          </cell>
          <cell r="J2980">
            <v>2</v>
          </cell>
          <cell r="K2980">
            <v>2</v>
          </cell>
        </row>
        <row r="2981">
          <cell r="A2981" t="str">
            <v>M2</v>
          </cell>
          <cell r="B2981" t="str">
            <v>A5C</v>
          </cell>
          <cell r="C2981" t="str">
            <v>P</v>
          </cell>
          <cell r="D2981" t="str">
            <v>99003</v>
          </cell>
          <cell r="E2981" t="str">
            <v>R TEE</v>
          </cell>
          <cell r="F2981">
            <v>2</v>
          </cell>
          <cell r="G2981" t="str">
            <v>CB400400001H0T</v>
          </cell>
          <cell r="H2981">
            <v>1.5</v>
          </cell>
          <cell r="I2981">
            <v>0.75</v>
          </cell>
          <cell r="J2981">
            <v>1</v>
          </cell>
          <cell r="K2981">
            <v>1</v>
          </cell>
        </row>
        <row r="2982">
          <cell r="A2982" t="str">
            <v>M2</v>
          </cell>
          <cell r="B2982" t="str">
            <v>A5C</v>
          </cell>
          <cell r="C2982" t="str">
            <v>P</v>
          </cell>
          <cell r="D2982" t="str">
            <v>99003</v>
          </cell>
          <cell r="E2982" t="str">
            <v>R TEE</v>
          </cell>
          <cell r="F2982">
            <v>2</v>
          </cell>
          <cell r="G2982" t="str">
            <v>CB400400001H01</v>
          </cell>
          <cell r="H2982">
            <v>1.5</v>
          </cell>
          <cell r="I2982">
            <v>1</v>
          </cell>
          <cell r="J2982">
            <v>2</v>
          </cell>
          <cell r="K2982">
            <v>2</v>
          </cell>
        </row>
        <row r="2983">
          <cell r="A2983" t="str">
            <v>M2</v>
          </cell>
          <cell r="B2983" t="str">
            <v>A5C</v>
          </cell>
          <cell r="C2983" t="str">
            <v>P</v>
          </cell>
          <cell r="D2983" t="str">
            <v>23103</v>
          </cell>
          <cell r="E2983" t="str">
            <v>R TEE</v>
          </cell>
          <cell r="F2983">
            <v>2</v>
          </cell>
          <cell r="G2983" t="str">
            <v>CB400400001H0T</v>
          </cell>
          <cell r="H2983">
            <v>1.5</v>
          </cell>
          <cell r="I2983">
            <v>0.75</v>
          </cell>
          <cell r="J2983">
            <v>2</v>
          </cell>
          <cell r="K2983">
            <v>2</v>
          </cell>
        </row>
        <row r="2984">
          <cell r="A2984" t="str">
            <v>M2</v>
          </cell>
          <cell r="B2984" t="str">
            <v>A5C</v>
          </cell>
          <cell r="C2984" t="str">
            <v>P</v>
          </cell>
          <cell r="D2984" t="str">
            <v>23185</v>
          </cell>
          <cell r="E2984" t="str">
            <v>R TEE</v>
          </cell>
          <cell r="F2984">
            <v>2</v>
          </cell>
          <cell r="G2984" t="str">
            <v>CB400400001H0T</v>
          </cell>
          <cell r="H2984">
            <v>1.5</v>
          </cell>
          <cell r="I2984">
            <v>0.75</v>
          </cell>
          <cell r="J2984">
            <v>2</v>
          </cell>
          <cell r="K2984">
            <v>2</v>
          </cell>
        </row>
        <row r="2985">
          <cell r="A2985" t="str">
            <v>M2</v>
          </cell>
          <cell r="B2985" t="str">
            <v>A5C</v>
          </cell>
          <cell r="C2985" t="str">
            <v>P</v>
          </cell>
          <cell r="D2985" t="str">
            <v>23253</v>
          </cell>
          <cell r="E2985" t="str">
            <v>R TEE</v>
          </cell>
          <cell r="F2985">
            <v>2</v>
          </cell>
          <cell r="G2985" t="str">
            <v>CB400400001H0T</v>
          </cell>
          <cell r="H2985">
            <v>1.5</v>
          </cell>
          <cell r="I2985">
            <v>0.75</v>
          </cell>
          <cell r="J2985">
            <v>1</v>
          </cell>
          <cell r="K2985">
            <v>1</v>
          </cell>
        </row>
        <row r="2986">
          <cell r="A2986" t="str">
            <v>M2</v>
          </cell>
          <cell r="B2986" t="str">
            <v>A5C</v>
          </cell>
          <cell r="C2986" t="str">
            <v>P</v>
          </cell>
          <cell r="D2986" t="str">
            <v>22102</v>
          </cell>
          <cell r="E2986" t="str">
            <v>TEE</v>
          </cell>
          <cell r="F2986">
            <v>2</v>
          </cell>
          <cell r="G2986" t="str">
            <v>CB400300001H00</v>
          </cell>
          <cell r="H2986">
            <v>1.5</v>
          </cell>
          <cell r="I2986" t="str">
            <v>--</v>
          </cell>
          <cell r="J2986">
            <v>1</v>
          </cell>
          <cell r="K2986">
            <v>1</v>
          </cell>
        </row>
        <row r="2987">
          <cell r="A2987" t="str">
            <v>M2</v>
          </cell>
          <cell r="B2987" t="str">
            <v>A5C</v>
          </cell>
          <cell r="C2987" t="str">
            <v>P</v>
          </cell>
          <cell r="D2987" t="str">
            <v>23006</v>
          </cell>
          <cell r="E2987" t="str">
            <v>TEE</v>
          </cell>
          <cell r="F2987">
            <v>2</v>
          </cell>
          <cell r="G2987" t="str">
            <v>CB400300001H00</v>
          </cell>
          <cell r="H2987">
            <v>1.5</v>
          </cell>
          <cell r="I2987" t="str">
            <v>--</v>
          </cell>
          <cell r="J2987">
            <v>1</v>
          </cell>
          <cell r="K2987">
            <v>1</v>
          </cell>
        </row>
        <row r="2988">
          <cell r="A2988" t="str">
            <v>M2</v>
          </cell>
          <cell r="B2988" t="str">
            <v>A5C</v>
          </cell>
          <cell r="C2988" t="str">
            <v>P</v>
          </cell>
          <cell r="D2988" t="str">
            <v>23006</v>
          </cell>
          <cell r="E2988" t="str">
            <v>TEE</v>
          </cell>
          <cell r="F2988">
            <v>2</v>
          </cell>
          <cell r="G2988" t="str">
            <v>CB400300001H00</v>
          </cell>
          <cell r="H2988">
            <v>1.5</v>
          </cell>
          <cell r="I2988" t="str">
            <v>--</v>
          </cell>
          <cell r="J2988">
            <v>2</v>
          </cell>
          <cell r="K2988">
            <v>2</v>
          </cell>
        </row>
        <row r="2989">
          <cell r="A2989" t="str">
            <v>M2</v>
          </cell>
          <cell r="B2989" t="str">
            <v>A5C</v>
          </cell>
          <cell r="C2989" t="str">
            <v>P</v>
          </cell>
          <cell r="D2989" t="str">
            <v>23035</v>
          </cell>
          <cell r="E2989" t="str">
            <v>TEE</v>
          </cell>
          <cell r="F2989">
            <v>2</v>
          </cell>
          <cell r="G2989" t="str">
            <v>CB400300001H00</v>
          </cell>
          <cell r="H2989">
            <v>1.5</v>
          </cell>
          <cell r="I2989" t="str">
            <v>--</v>
          </cell>
          <cell r="J2989">
            <v>2</v>
          </cell>
          <cell r="K2989">
            <v>2</v>
          </cell>
        </row>
        <row r="2990">
          <cell r="A2990" t="str">
            <v>M2</v>
          </cell>
          <cell r="B2990" t="str">
            <v>A5C</v>
          </cell>
          <cell r="C2990" t="str">
            <v>P</v>
          </cell>
          <cell r="D2990" t="str">
            <v>23037</v>
          </cell>
          <cell r="E2990" t="str">
            <v>TEE</v>
          </cell>
          <cell r="F2990">
            <v>2</v>
          </cell>
          <cell r="G2990" t="str">
            <v>CB400300001H00</v>
          </cell>
          <cell r="H2990">
            <v>1.5</v>
          </cell>
          <cell r="I2990" t="str">
            <v>--</v>
          </cell>
          <cell r="J2990">
            <v>2</v>
          </cell>
          <cell r="K2990">
            <v>2</v>
          </cell>
        </row>
        <row r="2991">
          <cell r="A2991" t="str">
            <v>M2</v>
          </cell>
          <cell r="B2991" t="str">
            <v>A5C</v>
          </cell>
          <cell r="C2991" t="str">
            <v>P</v>
          </cell>
          <cell r="D2991" t="str">
            <v>23052</v>
          </cell>
          <cell r="E2991" t="str">
            <v>TEE</v>
          </cell>
          <cell r="F2991">
            <v>2</v>
          </cell>
          <cell r="G2991" t="str">
            <v>CB400300001H00</v>
          </cell>
          <cell r="H2991">
            <v>1.5</v>
          </cell>
          <cell r="I2991" t="str">
            <v>--</v>
          </cell>
          <cell r="J2991">
            <v>2</v>
          </cell>
          <cell r="K2991">
            <v>2</v>
          </cell>
        </row>
        <row r="2992">
          <cell r="A2992" t="str">
            <v>M2</v>
          </cell>
          <cell r="B2992" t="str">
            <v>A5C</v>
          </cell>
          <cell r="C2992" t="str">
            <v>P</v>
          </cell>
          <cell r="D2992" t="str">
            <v>23063</v>
          </cell>
          <cell r="E2992" t="str">
            <v>TEE</v>
          </cell>
          <cell r="F2992">
            <v>2</v>
          </cell>
          <cell r="G2992" t="str">
            <v>CB400300001H00</v>
          </cell>
          <cell r="H2992">
            <v>1.5</v>
          </cell>
          <cell r="I2992" t="str">
            <v>--</v>
          </cell>
          <cell r="J2992">
            <v>1</v>
          </cell>
          <cell r="K2992">
            <v>1</v>
          </cell>
        </row>
        <row r="2993">
          <cell r="A2993" t="str">
            <v>M2</v>
          </cell>
          <cell r="B2993" t="str">
            <v>A5C</v>
          </cell>
          <cell r="C2993" t="str">
            <v>P</v>
          </cell>
          <cell r="D2993" t="str">
            <v>23070</v>
          </cell>
          <cell r="E2993" t="str">
            <v>TEE</v>
          </cell>
          <cell r="F2993">
            <v>2</v>
          </cell>
          <cell r="G2993" t="str">
            <v>CB400300001H00</v>
          </cell>
          <cell r="H2993">
            <v>1.5</v>
          </cell>
          <cell r="I2993" t="str">
            <v>--</v>
          </cell>
          <cell r="J2993">
            <v>1</v>
          </cell>
          <cell r="K2993">
            <v>1</v>
          </cell>
        </row>
        <row r="2994">
          <cell r="A2994" t="str">
            <v>M2</v>
          </cell>
          <cell r="B2994" t="str">
            <v>A5C</v>
          </cell>
          <cell r="C2994" t="str">
            <v>P</v>
          </cell>
          <cell r="D2994" t="str">
            <v>23078</v>
          </cell>
          <cell r="E2994" t="str">
            <v>TEE</v>
          </cell>
          <cell r="F2994">
            <v>2</v>
          </cell>
          <cell r="G2994" t="str">
            <v>CB400300001H00</v>
          </cell>
          <cell r="H2994">
            <v>1.5</v>
          </cell>
          <cell r="I2994" t="str">
            <v>--</v>
          </cell>
          <cell r="J2994">
            <v>1</v>
          </cell>
          <cell r="K2994">
            <v>1</v>
          </cell>
        </row>
        <row r="2995">
          <cell r="A2995" t="str">
            <v>M2</v>
          </cell>
          <cell r="B2995" t="str">
            <v>A5C</v>
          </cell>
          <cell r="C2995" t="str">
            <v>P</v>
          </cell>
          <cell r="D2995" t="str">
            <v>23111</v>
          </cell>
          <cell r="E2995" t="str">
            <v>TEE</v>
          </cell>
          <cell r="F2995">
            <v>2</v>
          </cell>
          <cell r="G2995" t="str">
            <v>CB400300001H00</v>
          </cell>
          <cell r="H2995">
            <v>1.5</v>
          </cell>
          <cell r="I2995" t="str">
            <v>--</v>
          </cell>
          <cell r="J2995">
            <v>1</v>
          </cell>
          <cell r="K2995">
            <v>1</v>
          </cell>
        </row>
        <row r="2996">
          <cell r="A2996" t="str">
            <v>M2</v>
          </cell>
          <cell r="B2996" t="str">
            <v>A5C</v>
          </cell>
          <cell r="C2996" t="str">
            <v>P</v>
          </cell>
          <cell r="D2996" t="str">
            <v>23116</v>
          </cell>
          <cell r="E2996" t="str">
            <v>TEE</v>
          </cell>
          <cell r="F2996">
            <v>2</v>
          </cell>
          <cell r="G2996" t="str">
            <v>CB400300001H00</v>
          </cell>
          <cell r="H2996">
            <v>1.5</v>
          </cell>
          <cell r="I2996" t="str">
            <v>--</v>
          </cell>
          <cell r="J2996">
            <v>5</v>
          </cell>
          <cell r="K2996">
            <v>5</v>
          </cell>
        </row>
        <row r="2997">
          <cell r="A2997" t="str">
            <v>M2</v>
          </cell>
          <cell r="B2997" t="str">
            <v>A5C</v>
          </cell>
          <cell r="C2997" t="str">
            <v>P</v>
          </cell>
          <cell r="D2997" t="str">
            <v>23117</v>
          </cell>
          <cell r="E2997" t="str">
            <v>TEE</v>
          </cell>
          <cell r="F2997">
            <v>2</v>
          </cell>
          <cell r="G2997" t="str">
            <v>CB400300001H00</v>
          </cell>
          <cell r="H2997">
            <v>1.5</v>
          </cell>
          <cell r="I2997" t="str">
            <v>--</v>
          </cell>
          <cell r="J2997">
            <v>1</v>
          </cell>
          <cell r="K2997">
            <v>1</v>
          </cell>
        </row>
        <row r="2998">
          <cell r="A2998" t="str">
            <v>M2</v>
          </cell>
          <cell r="B2998" t="str">
            <v>A5C</v>
          </cell>
          <cell r="C2998" t="str">
            <v>P</v>
          </cell>
          <cell r="D2998" t="str">
            <v>23143</v>
          </cell>
          <cell r="E2998" t="str">
            <v>TEE</v>
          </cell>
          <cell r="F2998">
            <v>2</v>
          </cell>
          <cell r="G2998" t="str">
            <v>CB400300001H00</v>
          </cell>
          <cell r="H2998">
            <v>1.5</v>
          </cell>
          <cell r="I2998" t="str">
            <v>--</v>
          </cell>
          <cell r="J2998">
            <v>1</v>
          </cell>
          <cell r="K2998">
            <v>1</v>
          </cell>
        </row>
        <row r="2999">
          <cell r="A2999" t="str">
            <v>M2</v>
          </cell>
          <cell r="B2999" t="str">
            <v>A5C</v>
          </cell>
          <cell r="C2999" t="str">
            <v>P</v>
          </cell>
          <cell r="D2999" t="str">
            <v>23157</v>
          </cell>
          <cell r="E2999" t="str">
            <v>TEE</v>
          </cell>
          <cell r="F2999">
            <v>2</v>
          </cell>
          <cell r="G2999" t="str">
            <v>CB400300001H00</v>
          </cell>
          <cell r="H2999">
            <v>1.5</v>
          </cell>
          <cell r="I2999" t="str">
            <v>--</v>
          </cell>
          <cell r="J2999">
            <v>1</v>
          </cell>
          <cell r="K2999">
            <v>1</v>
          </cell>
        </row>
        <row r="3000">
          <cell r="A3000" t="str">
            <v>M2</v>
          </cell>
          <cell r="B3000" t="str">
            <v>A5C</v>
          </cell>
          <cell r="C3000" t="str">
            <v>P</v>
          </cell>
          <cell r="D3000" t="str">
            <v>23185</v>
          </cell>
          <cell r="E3000" t="str">
            <v>TEE</v>
          </cell>
          <cell r="F3000">
            <v>2</v>
          </cell>
          <cell r="G3000" t="str">
            <v>CB400300001H00</v>
          </cell>
          <cell r="H3000">
            <v>1.5</v>
          </cell>
          <cell r="I3000" t="str">
            <v>--</v>
          </cell>
          <cell r="J3000">
            <v>1</v>
          </cell>
          <cell r="K3000">
            <v>1</v>
          </cell>
        </row>
        <row r="3001">
          <cell r="A3001" t="str">
            <v>M2</v>
          </cell>
          <cell r="B3001" t="str">
            <v>A5C</v>
          </cell>
          <cell r="C3001" t="str">
            <v>P</v>
          </cell>
          <cell r="D3001" t="str">
            <v>23196</v>
          </cell>
          <cell r="E3001" t="str">
            <v>TEE</v>
          </cell>
          <cell r="F3001">
            <v>2</v>
          </cell>
          <cell r="G3001" t="str">
            <v>CB400300001H00</v>
          </cell>
          <cell r="H3001">
            <v>1.5</v>
          </cell>
          <cell r="I3001" t="str">
            <v>--</v>
          </cell>
          <cell r="J3001">
            <v>1</v>
          </cell>
          <cell r="K3001">
            <v>1</v>
          </cell>
        </row>
        <row r="3002">
          <cell r="A3002" t="str">
            <v>M2</v>
          </cell>
          <cell r="B3002" t="str">
            <v>A5C</v>
          </cell>
          <cell r="C3002" t="str">
            <v>P</v>
          </cell>
          <cell r="D3002" t="str">
            <v>23217</v>
          </cell>
          <cell r="E3002" t="str">
            <v>TEE</v>
          </cell>
          <cell r="F3002">
            <v>2</v>
          </cell>
          <cell r="G3002" t="str">
            <v>CB400300001H00</v>
          </cell>
          <cell r="H3002">
            <v>1.5</v>
          </cell>
          <cell r="I3002" t="str">
            <v>--</v>
          </cell>
          <cell r="J3002">
            <v>1</v>
          </cell>
          <cell r="K3002">
            <v>1</v>
          </cell>
        </row>
        <row r="3003">
          <cell r="A3003" t="str">
            <v>M2</v>
          </cell>
          <cell r="B3003" t="str">
            <v>A5C</v>
          </cell>
          <cell r="C3003" t="str">
            <v>P</v>
          </cell>
          <cell r="D3003" t="str">
            <v>23259</v>
          </cell>
          <cell r="E3003" t="str">
            <v>TEE</v>
          </cell>
          <cell r="F3003">
            <v>2</v>
          </cell>
          <cell r="G3003" t="str">
            <v>CB400300001H00</v>
          </cell>
          <cell r="H3003">
            <v>1.5</v>
          </cell>
          <cell r="I3003" t="str">
            <v>--</v>
          </cell>
          <cell r="J3003">
            <v>1</v>
          </cell>
          <cell r="K3003">
            <v>1</v>
          </cell>
        </row>
        <row r="3004">
          <cell r="A3004" t="str">
            <v>M2</v>
          </cell>
          <cell r="B3004" t="str">
            <v>A5C</v>
          </cell>
          <cell r="C3004" t="str">
            <v>P</v>
          </cell>
          <cell r="D3004" t="str">
            <v>24014</v>
          </cell>
          <cell r="E3004" t="str">
            <v>TEE</v>
          </cell>
          <cell r="F3004">
            <v>2</v>
          </cell>
          <cell r="G3004" t="str">
            <v>CB400300001H00</v>
          </cell>
          <cell r="H3004">
            <v>1.5</v>
          </cell>
          <cell r="I3004" t="str">
            <v>--</v>
          </cell>
          <cell r="J3004">
            <v>1</v>
          </cell>
          <cell r="K3004">
            <v>1</v>
          </cell>
        </row>
        <row r="3005">
          <cell r="A3005" t="str">
            <v>M2</v>
          </cell>
          <cell r="B3005" t="str">
            <v>A5C</v>
          </cell>
          <cell r="C3005" t="str">
            <v>P</v>
          </cell>
          <cell r="D3005" t="str">
            <v>99003</v>
          </cell>
          <cell r="E3005" t="str">
            <v>TEE</v>
          </cell>
          <cell r="F3005">
            <v>2</v>
          </cell>
          <cell r="G3005" t="str">
            <v>CB400300001H00</v>
          </cell>
          <cell r="H3005">
            <v>1.5</v>
          </cell>
          <cell r="I3005" t="str">
            <v>--</v>
          </cell>
          <cell r="J3005">
            <v>2</v>
          </cell>
          <cell r="K3005">
            <v>2</v>
          </cell>
        </row>
        <row r="3006">
          <cell r="A3006" t="str">
            <v>M2</v>
          </cell>
          <cell r="B3006" t="str">
            <v>A5C</v>
          </cell>
          <cell r="C3006" t="str">
            <v>P</v>
          </cell>
          <cell r="D3006" t="str">
            <v>23103</v>
          </cell>
          <cell r="E3006" t="str">
            <v>TEE</v>
          </cell>
          <cell r="F3006">
            <v>2</v>
          </cell>
          <cell r="G3006" t="str">
            <v>CB400300001H00</v>
          </cell>
          <cell r="H3006">
            <v>1.5</v>
          </cell>
          <cell r="I3006" t="str">
            <v>--</v>
          </cell>
          <cell r="J3006">
            <v>1</v>
          </cell>
          <cell r="K3006">
            <v>1</v>
          </cell>
        </row>
        <row r="3007">
          <cell r="A3007" t="str">
            <v>M2</v>
          </cell>
          <cell r="B3007" t="str">
            <v>A5C</v>
          </cell>
          <cell r="C3007" t="str">
            <v>P</v>
          </cell>
          <cell r="D3007" t="str">
            <v>23107</v>
          </cell>
          <cell r="E3007" t="str">
            <v>TEE</v>
          </cell>
          <cell r="F3007">
            <v>2</v>
          </cell>
          <cell r="G3007" t="str">
            <v>CB400300001H00</v>
          </cell>
          <cell r="H3007">
            <v>1.5</v>
          </cell>
          <cell r="I3007" t="str">
            <v>--</v>
          </cell>
          <cell r="J3007">
            <v>1</v>
          </cell>
          <cell r="K3007">
            <v>1</v>
          </cell>
        </row>
        <row r="3008">
          <cell r="A3008" t="str">
            <v>M2</v>
          </cell>
          <cell r="B3008" t="str">
            <v>A5C</v>
          </cell>
          <cell r="C3008" t="str">
            <v>P</v>
          </cell>
          <cell r="D3008" t="str">
            <v>23147</v>
          </cell>
          <cell r="E3008" t="str">
            <v>TEE</v>
          </cell>
          <cell r="F3008">
            <v>2</v>
          </cell>
          <cell r="G3008" t="str">
            <v>CB400300001H00</v>
          </cell>
          <cell r="H3008">
            <v>1.5</v>
          </cell>
          <cell r="I3008" t="str">
            <v>--</v>
          </cell>
          <cell r="J3008">
            <v>1</v>
          </cell>
          <cell r="K3008">
            <v>1</v>
          </cell>
        </row>
        <row r="3009">
          <cell r="A3009" t="str">
            <v>M2</v>
          </cell>
          <cell r="B3009" t="str">
            <v>A5C</v>
          </cell>
          <cell r="C3009" t="str">
            <v>P</v>
          </cell>
          <cell r="D3009" t="str">
            <v>23055</v>
          </cell>
          <cell r="E3009" t="str">
            <v>90 ELL</v>
          </cell>
          <cell r="F3009">
            <v>2</v>
          </cell>
          <cell r="G3009" t="str">
            <v>CB400100001H00</v>
          </cell>
          <cell r="H3009">
            <v>1.5</v>
          </cell>
          <cell r="I3009" t="str">
            <v>--</v>
          </cell>
          <cell r="J3009">
            <v>6</v>
          </cell>
          <cell r="K3009">
            <v>6</v>
          </cell>
        </row>
        <row r="3010">
          <cell r="A3010" t="str">
            <v>M2</v>
          </cell>
          <cell r="B3010" t="str">
            <v>A5C</v>
          </cell>
          <cell r="C3010" t="str">
            <v>P</v>
          </cell>
          <cell r="D3010" t="str">
            <v>23055</v>
          </cell>
          <cell r="E3010" t="str">
            <v>E SWG</v>
          </cell>
          <cell r="F3010">
            <v>2</v>
          </cell>
          <cell r="G3010" t="str">
            <v>CB162108081H01</v>
          </cell>
          <cell r="H3010">
            <v>1.5</v>
          </cell>
          <cell r="I3010">
            <v>1</v>
          </cell>
          <cell r="J3010">
            <v>2</v>
          </cell>
          <cell r="K3010">
            <v>2</v>
          </cell>
        </row>
        <row r="3011">
          <cell r="A3011" t="str">
            <v>M2</v>
          </cell>
          <cell r="B3011" t="str">
            <v>A5C</v>
          </cell>
          <cell r="C3011" t="str">
            <v>P</v>
          </cell>
          <cell r="D3011" t="str">
            <v>23055</v>
          </cell>
          <cell r="E3011" t="str">
            <v>TEE</v>
          </cell>
          <cell r="F3011">
            <v>2</v>
          </cell>
          <cell r="G3011" t="str">
            <v>CB400300001H00</v>
          </cell>
          <cell r="H3011">
            <v>1.5</v>
          </cell>
          <cell r="I3011" t="str">
            <v>--</v>
          </cell>
          <cell r="J3011">
            <v>1</v>
          </cell>
          <cell r="K3011">
            <v>1</v>
          </cell>
        </row>
        <row r="3012">
          <cell r="A3012" t="str">
            <v>M2</v>
          </cell>
          <cell r="B3012" t="str">
            <v>A5C</v>
          </cell>
          <cell r="C3012" t="str">
            <v>P</v>
          </cell>
          <cell r="D3012" t="str">
            <v>23039</v>
          </cell>
          <cell r="E3012" t="str">
            <v>45 ELL</v>
          </cell>
          <cell r="F3012">
            <v>2</v>
          </cell>
          <cell r="G3012" t="str">
            <v>CB400200001H00</v>
          </cell>
          <cell r="H3012">
            <v>1.5</v>
          </cell>
          <cell r="I3012" t="str">
            <v>--</v>
          </cell>
          <cell r="J3012">
            <v>1</v>
          </cell>
          <cell r="K3012">
            <v>1</v>
          </cell>
        </row>
        <row r="3013">
          <cell r="A3013" t="str">
            <v>M2</v>
          </cell>
          <cell r="B3013" t="str">
            <v>A5C</v>
          </cell>
          <cell r="C3013" t="str">
            <v>P</v>
          </cell>
          <cell r="D3013" t="str">
            <v>23039</v>
          </cell>
          <cell r="E3013" t="str">
            <v>45 ELL</v>
          </cell>
          <cell r="F3013">
            <v>2</v>
          </cell>
          <cell r="G3013" t="str">
            <v>CB400200001H00</v>
          </cell>
          <cell r="H3013">
            <v>1.5</v>
          </cell>
          <cell r="I3013" t="str">
            <v>--</v>
          </cell>
          <cell r="J3013">
            <v>1</v>
          </cell>
          <cell r="K3013">
            <v>1</v>
          </cell>
        </row>
        <row r="3014">
          <cell r="A3014" t="str">
            <v>M2</v>
          </cell>
          <cell r="B3014" t="str">
            <v>A5C</v>
          </cell>
          <cell r="C3014" t="str">
            <v>P</v>
          </cell>
          <cell r="D3014" t="str">
            <v>23008</v>
          </cell>
          <cell r="E3014" t="str">
            <v>90 ELL</v>
          </cell>
          <cell r="F3014">
            <v>2</v>
          </cell>
          <cell r="G3014" t="str">
            <v>CB400100001H00</v>
          </cell>
          <cell r="H3014">
            <v>1.5</v>
          </cell>
          <cell r="I3014" t="str">
            <v>--</v>
          </cell>
          <cell r="J3014">
            <v>10</v>
          </cell>
          <cell r="K3014">
            <v>10</v>
          </cell>
        </row>
        <row r="3015">
          <cell r="A3015" t="str">
            <v>M2</v>
          </cell>
          <cell r="B3015" t="str">
            <v>A5C</v>
          </cell>
          <cell r="C3015" t="str">
            <v>P</v>
          </cell>
          <cell r="D3015" t="str">
            <v>23019</v>
          </cell>
          <cell r="E3015" t="str">
            <v>90 ELL</v>
          </cell>
          <cell r="F3015">
            <v>2</v>
          </cell>
          <cell r="G3015" t="str">
            <v>CB400100001H00</v>
          </cell>
          <cell r="H3015">
            <v>1.5</v>
          </cell>
          <cell r="I3015" t="str">
            <v>--</v>
          </cell>
          <cell r="J3015">
            <v>1</v>
          </cell>
          <cell r="K3015">
            <v>1</v>
          </cell>
        </row>
        <row r="3016">
          <cell r="A3016" t="str">
            <v>M2</v>
          </cell>
          <cell r="B3016" t="str">
            <v>A5C</v>
          </cell>
          <cell r="C3016" t="str">
            <v>P</v>
          </cell>
          <cell r="D3016" t="str">
            <v>23027</v>
          </cell>
          <cell r="E3016" t="str">
            <v>90 ELL</v>
          </cell>
          <cell r="F3016">
            <v>2</v>
          </cell>
          <cell r="G3016" t="str">
            <v>CB400100001H00</v>
          </cell>
          <cell r="H3016">
            <v>1.5</v>
          </cell>
          <cell r="I3016" t="str">
            <v>--</v>
          </cell>
          <cell r="J3016">
            <v>4</v>
          </cell>
          <cell r="K3016">
            <v>4</v>
          </cell>
        </row>
        <row r="3017">
          <cell r="A3017" t="str">
            <v>M2</v>
          </cell>
          <cell r="B3017" t="str">
            <v>A5C</v>
          </cell>
          <cell r="C3017" t="str">
            <v>P</v>
          </cell>
          <cell r="D3017" t="str">
            <v>23039</v>
          </cell>
          <cell r="E3017" t="str">
            <v>90 ELL</v>
          </cell>
          <cell r="F3017">
            <v>2</v>
          </cell>
          <cell r="G3017" t="str">
            <v>CB400100001H00</v>
          </cell>
          <cell r="H3017">
            <v>1.5</v>
          </cell>
          <cell r="I3017" t="str">
            <v>--</v>
          </cell>
          <cell r="J3017">
            <v>8</v>
          </cell>
          <cell r="K3017">
            <v>8</v>
          </cell>
        </row>
        <row r="3018">
          <cell r="A3018" t="str">
            <v>M2</v>
          </cell>
          <cell r="B3018" t="str">
            <v>A5C</v>
          </cell>
          <cell r="C3018" t="str">
            <v>P</v>
          </cell>
          <cell r="D3018" t="str">
            <v>23039</v>
          </cell>
          <cell r="E3018" t="str">
            <v>90 ELL</v>
          </cell>
          <cell r="F3018">
            <v>2</v>
          </cell>
          <cell r="G3018" t="str">
            <v>CB400100001H00</v>
          </cell>
          <cell r="H3018">
            <v>1.5</v>
          </cell>
          <cell r="I3018" t="str">
            <v>--</v>
          </cell>
          <cell r="J3018">
            <v>2</v>
          </cell>
          <cell r="K3018">
            <v>2</v>
          </cell>
        </row>
        <row r="3019">
          <cell r="A3019" t="str">
            <v>M2</v>
          </cell>
          <cell r="B3019" t="str">
            <v>A5C</v>
          </cell>
          <cell r="C3019" t="str">
            <v>P</v>
          </cell>
          <cell r="D3019" t="str">
            <v>23077</v>
          </cell>
          <cell r="E3019" t="str">
            <v>90 ELL</v>
          </cell>
          <cell r="F3019">
            <v>2</v>
          </cell>
          <cell r="G3019" t="str">
            <v>CB400100001H00</v>
          </cell>
          <cell r="H3019">
            <v>1.5</v>
          </cell>
          <cell r="I3019" t="str">
            <v>--</v>
          </cell>
          <cell r="J3019">
            <v>8</v>
          </cell>
          <cell r="K3019">
            <v>8</v>
          </cell>
        </row>
        <row r="3020">
          <cell r="A3020" t="str">
            <v>M2</v>
          </cell>
          <cell r="B3020" t="str">
            <v>A5C</v>
          </cell>
          <cell r="C3020" t="str">
            <v>P</v>
          </cell>
          <cell r="D3020" t="str">
            <v>23170</v>
          </cell>
          <cell r="E3020" t="str">
            <v>90 ELL</v>
          </cell>
          <cell r="F3020">
            <v>2</v>
          </cell>
          <cell r="G3020" t="str">
            <v>CB400100001H00</v>
          </cell>
          <cell r="H3020">
            <v>1.5</v>
          </cell>
          <cell r="I3020" t="str">
            <v>--</v>
          </cell>
          <cell r="J3020">
            <v>9</v>
          </cell>
          <cell r="K3020">
            <v>9</v>
          </cell>
        </row>
        <row r="3021">
          <cell r="A3021" t="str">
            <v>M2</v>
          </cell>
          <cell r="B3021" t="str">
            <v>A5C</v>
          </cell>
          <cell r="C3021" t="str">
            <v>P</v>
          </cell>
          <cell r="D3021" t="str">
            <v>23216</v>
          </cell>
          <cell r="E3021" t="str">
            <v>90 ELL</v>
          </cell>
          <cell r="F3021">
            <v>2</v>
          </cell>
          <cell r="G3021" t="str">
            <v>CB400100001H00</v>
          </cell>
          <cell r="H3021">
            <v>1.5</v>
          </cell>
          <cell r="I3021" t="str">
            <v>--</v>
          </cell>
          <cell r="J3021">
            <v>4</v>
          </cell>
          <cell r="K3021">
            <v>4</v>
          </cell>
        </row>
        <row r="3022">
          <cell r="A3022" t="str">
            <v>M2</v>
          </cell>
          <cell r="B3022" t="str">
            <v>A5C</v>
          </cell>
          <cell r="C3022" t="str">
            <v>P</v>
          </cell>
          <cell r="D3022" t="str">
            <v>23218</v>
          </cell>
          <cell r="E3022" t="str">
            <v>90 ELL</v>
          </cell>
          <cell r="F3022">
            <v>2</v>
          </cell>
          <cell r="G3022" t="str">
            <v>CB400100001H00</v>
          </cell>
          <cell r="H3022">
            <v>1.5</v>
          </cell>
          <cell r="I3022" t="str">
            <v>--</v>
          </cell>
          <cell r="J3022">
            <v>5</v>
          </cell>
          <cell r="K3022">
            <v>5</v>
          </cell>
        </row>
        <row r="3023">
          <cell r="A3023" t="str">
            <v>M2</v>
          </cell>
          <cell r="B3023" t="str">
            <v>A5C</v>
          </cell>
          <cell r="C3023" t="str">
            <v>P</v>
          </cell>
          <cell r="D3023" t="str">
            <v>23220</v>
          </cell>
          <cell r="E3023" t="str">
            <v>90 ELL</v>
          </cell>
          <cell r="F3023">
            <v>2</v>
          </cell>
          <cell r="G3023" t="str">
            <v>CB400100001H00</v>
          </cell>
          <cell r="H3023">
            <v>1.5</v>
          </cell>
          <cell r="I3023" t="str">
            <v>--</v>
          </cell>
          <cell r="J3023">
            <v>4</v>
          </cell>
          <cell r="K3023">
            <v>4</v>
          </cell>
        </row>
        <row r="3024">
          <cell r="A3024" t="str">
            <v>M2</v>
          </cell>
          <cell r="B3024" t="str">
            <v>A5C</v>
          </cell>
          <cell r="C3024" t="str">
            <v>P</v>
          </cell>
          <cell r="D3024" t="str">
            <v>23222</v>
          </cell>
          <cell r="E3024" t="str">
            <v>90 ELL</v>
          </cell>
          <cell r="F3024">
            <v>2</v>
          </cell>
          <cell r="G3024" t="str">
            <v>CB400100001H00</v>
          </cell>
          <cell r="H3024">
            <v>1.5</v>
          </cell>
          <cell r="I3024" t="str">
            <v>--</v>
          </cell>
          <cell r="J3024">
            <v>5</v>
          </cell>
          <cell r="K3024">
            <v>5</v>
          </cell>
        </row>
        <row r="3025">
          <cell r="A3025" t="str">
            <v>M2</v>
          </cell>
          <cell r="B3025" t="str">
            <v>A5C</v>
          </cell>
          <cell r="C3025" t="str">
            <v>P</v>
          </cell>
          <cell r="D3025" t="str">
            <v>23242</v>
          </cell>
          <cell r="E3025" t="str">
            <v>90 ELL</v>
          </cell>
          <cell r="F3025">
            <v>2</v>
          </cell>
          <cell r="G3025" t="str">
            <v>CB400100001H00</v>
          </cell>
          <cell r="H3025">
            <v>1.5</v>
          </cell>
          <cell r="I3025" t="str">
            <v>--</v>
          </cell>
          <cell r="J3025">
            <v>5</v>
          </cell>
          <cell r="K3025">
            <v>5</v>
          </cell>
        </row>
        <row r="3026">
          <cell r="A3026" t="str">
            <v>M2</v>
          </cell>
          <cell r="B3026" t="str">
            <v>A5C</v>
          </cell>
          <cell r="C3026" t="str">
            <v>P</v>
          </cell>
          <cell r="D3026" t="str">
            <v>23243</v>
          </cell>
          <cell r="E3026" t="str">
            <v>90 ELL</v>
          </cell>
          <cell r="F3026">
            <v>2</v>
          </cell>
          <cell r="G3026" t="str">
            <v>CB400100001H00</v>
          </cell>
          <cell r="H3026">
            <v>1.5</v>
          </cell>
          <cell r="I3026" t="str">
            <v>--</v>
          </cell>
          <cell r="J3026">
            <v>4</v>
          </cell>
          <cell r="K3026">
            <v>4</v>
          </cell>
        </row>
        <row r="3027">
          <cell r="A3027" t="str">
            <v>M2</v>
          </cell>
          <cell r="B3027" t="str">
            <v>A5C</v>
          </cell>
          <cell r="C3027" t="str">
            <v>P</v>
          </cell>
          <cell r="D3027" t="str">
            <v>23019</v>
          </cell>
          <cell r="E3027" t="str">
            <v>90 ELL</v>
          </cell>
          <cell r="F3027">
            <v>2</v>
          </cell>
          <cell r="G3027" t="str">
            <v>CB400100001H00</v>
          </cell>
          <cell r="H3027">
            <v>1.5</v>
          </cell>
          <cell r="I3027" t="str">
            <v>--</v>
          </cell>
          <cell r="J3027">
            <v>6</v>
          </cell>
          <cell r="K3027">
            <v>6</v>
          </cell>
        </row>
        <row r="3028">
          <cell r="A3028" t="str">
            <v>M2</v>
          </cell>
          <cell r="B3028" t="str">
            <v>A5C</v>
          </cell>
          <cell r="C3028" t="str">
            <v>P</v>
          </cell>
          <cell r="D3028" t="str">
            <v>23033</v>
          </cell>
          <cell r="E3028" t="str">
            <v>90 ELL</v>
          </cell>
          <cell r="F3028">
            <v>2</v>
          </cell>
          <cell r="G3028" t="str">
            <v>CB400100001H00</v>
          </cell>
          <cell r="H3028">
            <v>1.5</v>
          </cell>
          <cell r="I3028" t="str">
            <v>--</v>
          </cell>
          <cell r="J3028">
            <v>6</v>
          </cell>
          <cell r="K3028">
            <v>6</v>
          </cell>
        </row>
        <row r="3029">
          <cell r="A3029" t="str">
            <v>M2</v>
          </cell>
          <cell r="B3029" t="str">
            <v>A5C</v>
          </cell>
          <cell r="C3029" t="str">
            <v>P</v>
          </cell>
          <cell r="D3029" t="str">
            <v>23033</v>
          </cell>
          <cell r="E3029" t="str">
            <v>90 ELL</v>
          </cell>
          <cell r="F3029">
            <v>2</v>
          </cell>
          <cell r="G3029" t="str">
            <v>CB400100001H00</v>
          </cell>
          <cell r="H3029">
            <v>1.5</v>
          </cell>
          <cell r="I3029" t="str">
            <v>--</v>
          </cell>
          <cell r="J3029">
            <v>5</v>
          </cell>
          <cell r="K3029">
            <v>5</v>
          </cell>
        </row>
        <row r="3030">
          <cell r="A3030" t="str">
            <v>M2</v>
          </cell>
          <cell r="B3030" t="str">
            <v>A5C</v>
          </cell>
          <cell r="C3030" t="str">
            <v>P</v>
          </cell>
          <cell r="D3030" t="str">
            <v>23044</v>
          </cell>
          <cell r="E3030" t="str">
            <v>90 ELL</v>
          </cell>
          <cell r="F3030">
            <v>2</v>
          </cell>
          <cell r="G3030" t="str">
            <v>CB400100001H00</v>
          </cell>
          <cell r="H3030">
            <v>1.5</v>
          </cell>
          <cell r="I3030" t="str">
            <v>--</v>
          </cell>
          <cell r="J3030">
            <v>6</v>
          </cell>
          <cell r="K3030">
            <v>6</v>
          </cell>
        </row>
        <row r="3031">
          <cell r="A3031" t="str">
            <v>M2</v>
          </cell>
          <cell r="B3031" t="str">
            <v>A5C</v>
          </cell>
          <cell r="C3031" t="str">
            <v>P</v>
          </cell>
          <cell r="D3031" t="str">
            <v>23076</v>
          </cell>
          <cell r="E3031" t="str">
            <v>90 ELL</v>
          </cell>
          <cell r="F3031">
            <v>2</v>
          </cell>
          <cell r="G3031" t="str">
            <v>CB400100001H00</v>
          </cell>
          <cell r="H3031">
            <v>1.5</v>
          </cell>
          <cell r="I3031" t="str">
            <v>--</v>
          </cell>
          <cell r="J3031">
            <v>2</v>
          </cell>
          <cell r="K3031">
            <v>2</v>
          </cell>
        </row>
        <row r="3032">
          <cell r="A3032" t="str">
            <v>M2</v>
          </cell>
          <cell r="B3032" t="str">
            <v>A5C</v>
          </cell>
          <cell r="C3032" t="str">
            <v>P</v>
          </cell>
          <cell r="D3032" t="str">
            <v>23019</v>
          </cell>
          <cell r="E3032" t="str">
            <v>C SWG</v>
          </cell>
          <cell r="F3032">
            <v>2</v>
          </cell>
          <cell r="G3032" t="str">
            <v>CB161108081H01</v>
          </cell>
          <cell r="H3032">
            <v>1.5</v>
          </cell>
          <cell r="I3032">
            <v>1</v>
          </cell>
          <cell r="J3032">
            <v>1</v>
          </cell>
          <cell r="K3032">
            <v>1</v>
          </cell>
        </row>
        <row r="3033">
          <cell r="A3033" t="str">
            <v>M2</v>
          </cell>
          <cell r="B3033" t="str">
            <v>A5C</v>
          </cell>
          <cell r="C3033" t="str">
            <v>P</v>
          </cell>
          <cell r="D3033" t="str">
            <v>23039</v>
          </cell>
          <cell r="E3033" t="str">
            <v>C SWG</v>
          </cell>
          <cell r="F3033">
            <v>2</v>
          </cell>
          <cell r="G3033" t="str">
            <v>CB161108081H01</v>
          </cell>
          <cell r="H3033">
            <v>1.5</v>
          </cell>
          <cell r="I3033">
            <v>1</v>
          </cell>
          <cell r="J3033">
            <v>2</v>
          </cell>
          <cell r="K3033">
            <v>2</v>
          </cell>
        </row>
        <row r="3034">
          <cell r="A3034" t="str">
            <v>M2</v>
          </cell>
          <cell r="B3034" t="str">
            <v>A5C</v>
          </cell>
          <cell r="C3034" t="str">
            <v>P</v>
          </cell>
          <cell r="D3034" t="str">
            <v>23044</v>
          </cell>
          <cell r="E3034" t="str">
            <v>C SWG</v>
          </cell>
          <cell r="F3034">
            <v>2</v>
          </cell>
          <cell r="G3034" t="str">
            <v>CB161108081H01</v>
          </cell>
          <cell r="H3034">
            <v>1.5</v>
          </cell>
          <cell r="I3034">
            <v>1</v>
          </cell>
          <cell r="J3034">
            <v>2</v>
          </cell>
          <cell r="K3034">
            <v>2</v>
          </cell>
        </row>
        <row r="3035">
          <cell r="A3035" t="str">
            <v>M2</v>
          </cell>
          <cell r="B3035" t="str">
            <v>A5C</v>
          </cell>
          <cell r="C3035" t="str">
            <v>P</v>
          </cell>
          <cell r="D3035" t="str">
            <v>23033</v>
          </cell>
          <cell r="E3035" t="str">
            <v>C SWG</v>
          </cell>
          <cell r="F3035">
            <v>2</v>
          </cell>
          <cell r="G3035" t="str">
            <v>CB161108081H01</v>
          </cell>
          <cell r="H3035">
            <v>1.5</v>
          </cell>
          <cell r="I3035">
            <v>1</v>
          </cell>
          <cell r="J3035">
            <v>2</v>
          </cell>
          <cell r="K3035">
            <v>2</v>
          </cell>
        </row>
        <row r="3036">
          <cell r="A3036" t="str">
            <v>M2</v>
          </cell>
          <cell r="B3036" t="str">
            <v>A5C</v>
          </cell>
          <cell r="C3036" t="str">
            <v>P</v>
          </cell>
          <cell r="D3036" t="str">
            <v>23008</v>
          </cell>
          <cell r="E3036" t="str">
            <v>CPLG</v>
          </cell>
          <cell r="F3036">
            <v>2</v>
          </cell>
          <cell r="G3036" t="str">
            <v>CB400500001H00</v>
          </cell>
          <cell r="H3036">
            <v>1.5</v>
          </cell>
          <cell r="I3036" t="str">
            <v>--</v>
          </cell>
          <cell r="J3036">
            <v>4</v>
          </cell>
          <cell r="K3036">
            <v>4</v>
          </cell>
        </row>
        <row r="3037">
          <cell r="A3037" t="str">
            <v>M2</v>
          </cell>
          <cell r="B3037" t="str">
            <v>A5C</v>
          </cell>
          <cell r="C3037" t="str">
            <v>P</v>
          </cell>
          <cell r="D3037" t="str">
            <v>23019</v>
          </cell>
          <cell r="E3037" t="str">
            <v>CPLG</v>
          </cell>
          <cell r="F3037">
            <v>2</v>
          </cell>
          <cell r="G3037" t="str">
            <v>CB400500001H00</v>
          </cell>
          <cell r="H3037">
            <v>1.5</v>
          </cell>
          <cell r="I3037" t="str">
            <v>--</v>
          </cell>
          <cell r="J3037">
            <v>1</v>
          </cell>
          <cell r="K3037">
            <v>1</v>
          </cell>
        </row>
        <row r="3038">
          <cell r="A3038" t="str">
            <v>M2</v>
          </cell>
          <cell r="B3038" t="str">
            <v>A5C</v>
          </cell>
          <cell r="C3038" t="str">
            <v>P</v>
          </cell>
          <cell r="D3038" t="str">
            <v>23039</v>
          </cell>
          <cell r="E3038" t="str">
            <v>CPLG</v>
          </cell>
          <cell r="F3038">
            <v>2</v>
          </cell>
          <cell r="G3038" t="str">
            <v>CB400500001H00</v>
          </cell>
          <cell r="H3038">
            <v>1.5</v>
          </cell>
          <cell r="I3038" t="str">
            <v>--</v>
          </cell>
          <cell r="J3038">
            <v>2</v>
          </cell>
          <cell r="K3038">
            <v>2</v>
          </cell>
        </row>
        <row r="3039">
          <cell r="A3039" t="str">
            <v>M2</v>
          </cell>
          <cell r="B3039" t="str">
            <v>A5C</v>
          </cell>
          <cell r="C3039" t="str">
            <v>P</v>
          </cell>
          <cell r="D3039" t="str">
            <v>23044</v>
          </cell>
          <cell r="E3039" t="str">
            <v>CPLG</v>
          </cell>
          <cell r="F3039">
            <v>2</v>
          </cell>
          <cell r="G3039" t="str">
            <v>CB400500001H00</v>
          </cell>
          <cell r="H3039">
            <v>1.5</v>
          </cell>
          <cell r="I3039" t="str">
            <v>--</v>
          </cell>
          <cell r="J3039">
            <v>2</v>
          </cell>
          <cell r="K3039">
            <v>2</v>
          </cell>
        </row>
        <row r="3040">
          <cell r="A3040" t="str">
            <v>M2</v>
          </cell>
          <cell r="B3040" t="str">
            <v>A5C</v>
          </cell>
          <cell r="C3040" t="str">
            <v>P</v>
          </cell>
          <cell r="D3040" t="str">
            <v>23216</v>
          </cell>
          <cell r="E3040" t="str">
            <v>CPLG</v>
          </cell>
          <cell r="F3040">
            <v>2</v>
          </cell>
          <cell r="G3040" t="str">
            <v>CB400500001H00</v>
          </cell>
          <cell r="H3040">
            <v>1.5</v>
          </cell>
          <cell r="I3040" t="str">
            <v>--</v>
          </cell>
          <cell r="J3040">
            <v>1</v>
          </cell>
          <cell r="K3040">
            <v>1</v>
          </cell>
        </row>
        <row r="3041">
          <cell r="A3041" t="str">
            <v>M2</v>
          </cell>
          <cell r="B3041" t="str">
            <v>A5C</v>
          </cell>
          <cell r="C3041" t="str">
            <v>P</v>
          </cell>
          <cell r="D3041" t="str">
            <v>23218</v>
          </cell>
          <cell r="E3041" t="str">
            <v>CPLG</v>
          </cell>
          <cell r="F3041">
            <v>2</v>
          </cell>
          <cell r="G3041" t="str">
            <v>CB400500001H00</v>
          </cell>
          <cell r="H3041">
            <v>1.5</v>
          </cell>
          <cell r="I3041" t="str">
            <v>--</v>
          </cell>
          <cell r="J3041">
            <v>3</v>
          </cell>
          <cell r="K3041">
            <v>3</v>
          </cell>
        </row>
        <row r="3042">
          <cell r="A3042" t="str">
            <v>M2</v>
          </cell>
          <cell r="B3042" t="str">
            <v>A5C</v>
          </cell>
          <cell r="C3042" t="str">
            <v>P</v>
          </cell>
          <cell r="D3042" t="str">
            <v>23033</v>
          </cell>
          <cell r="E3042" t="str">
            <v>CPLG</v>
          </cell>
          <cell r="F3042">
            <v>2</v>
          </cell>
          <cell r="G3042" t="str">
            <v>CB400500001H00</v>
          </cell>
          <cell r="H3042">
            <v>1.5</v>
          </cell>
          <cell r="I3042" t="str">
            <v>--</v>
          </cell>
          <cell r="J3042">
            <v>2</v>
          </cell>
          <cell r="K3042">
            <v>2</v>
          </cell>
        </row>
        <row r="3043">
          <cell r="A3043" t="str">
            <v>M2</v>
          </cell>
          <cell r="B3043" t="str">
            <v>A5C</v>
          </cell>
          <cell r="C3043" t="str">
            <v>P</v>
          </cell>
          <cell r="D3043" t="str">
            <v>23170</v>
          </cell>
          <cell r="E3043" t="str">
            <v>CPLG</v>
          </cell>
          <cell r="F3043">
            <v>2</v>
          </cell>
          <cell r="G3043" t="str">
            <v>CB400500001H00</v>
          </cell>
          <cell r="H3043">
            <v>1.5</v>
          </cell>
          <cell r="I3043" t="str">
            <v>--</v>
          </cell>
          <cell r="J3043">
            <v>12</v>
          </cell>
          <cell r="K3043">
            <v>12</v>
          </cell>
        </row>
        <row r="3044">
          <cell r="A3044" t="str">
            <v>M2</v>
          </cell>
          <cell r="B3044" t="str">
            <v>A5C</v>
          </cell>
          <cell r="C3044" t="str">
            <v>P</v>
          </cell>
          <cell r="D3044" t="str">
            <v>23019</v>
          </cell>
          <cell r="E3044" t="str">
            <v>E SWG</v>
          </cell>
          <cell r="F3044">
            <v>2</v>
          </cell>
          <cell r="G3044" t="str">
            <v>CB162108081H01</v>
          </cell>
          <cell r="H3044">
            <v>1.5</v>
          </cell>
          <cell r="I3044">
            <v>1</v>
          </cell>
          <cell r="J3044">
            <v>2</v>
          </cell>
          <cell r="K3044">
            <v>2</v>
          </cell>
        </row>
        <row r="3045">
          <cell r="A3045" t="str">
            <v>M2</v>
          </cell>
          <cell r="B3045" t="str">
            <v>A5C</v>
          </cell>
          <cell r="C3045" t="str">
            <v>P</v>
          </cell>
          <cell r="D3045" t="str">
            <v>23039</v>
          </cell>
          <cell r="E3045" t="str">
            <v>E SWG</v>
          </cell>
          <cell r="F3045">
            <v>2</v>
          </cell>
          <cell r="G3045" t="str">
            <v>CB162108081H01</v>
          </cell>
          <cell r="H3045">
            <v>1.5</v>
          </cell>
          <cell r="I3045">
            <v>1</v>
          </cell>
          <cell r="J3045">
            <v>2</v>
          </cell>
          <cell r="K3045">
            <v>2</v>
          </cell>
        </row>
        <row r="3046">
          <cell r="A3046" t="str">
            <v>M2</v>
          </cell>
          <cell r="B3046" t="str">
            <v>A5C</v>
          </cell>
          <cell r="C3046" t="str">
            <v>P</v>
          </cell>
          <cell r="D3046" t="str">
            <v>23027</v>
          </cell>
          <cell r="E3046" t="str">
            <v>E SWG</v>
          </cell>
          <cell r="F3046">
            <v>2</v>
          </cell>
          <cell r="G3046" t="str">
            <v>CB162108081H01</v>
          </cell>
          <cell r="H3046">
            <v>1.5</v>
          </cell>
          <cell r="I3046">
            <v>1</v>
          </cell>
          <cell r="J3046">
            <v>1</v>
          </cell>
          <cell r="K3046">
            <v>1</v>
          </cell>
        </row>
        <row r="3047">
          <cell r="A3047" t="str">
            <v>M2</v>
          </cell>
          <cell r="B3047" t="str">
            <v>A5C</v>
          </cell>
          <cell r="C3047" t="str">
            <v>P</v>
          </cell>
          <cell r="D3047" t="str">
            <v>23077</v>
          </cell>
          <cell r="E3047" t="str">
            <v>E SWG</v>
          </cell>
          <cell r="F3047">
            <v>2</v>
          </cell>
          <cell r="G3047" t="str">
            <v>CB162108081H01</v>
          </cell>
          <cell r="H3047">
            <v>1.5</v>
          </cell>
          <cell r="I3047">
            <v>1</v>
          </cell>
          <cell r="J3047">
            <v>2</v>
          </cell>
          <cell r="K3047">
            <v>2</v>
          </cell>
        </row>
        <row r="3048">
          <cell r="A3048" t="str">
            <v>M2</v>
          </cell>
          <cell r="B3048" t="str">
            <v>A5C</v>
          </cell>
          <cell r="C3048" t="str">
            <v>P</v>
          </cell>
          <cell r="D3048" t="str">
            <v>23019</v>
          </cell>
          <cell r="E3048" t="str">
            <v>R TEE</v>
          </cell>
          <cell r="F3048">
            <v>2</v>
          </cell>
          <cell r="G3048" t="str">
            <v>CB400400001H01</v>
          </cell>
          <cell r="H3048">
            <v>1.5</v>
          </cell>
          <cell r="I3048">
            <v>1</v>
          </cell>
          <cell r="J3048">
            <v>1</v>
          </cell>
          <cell r="K3048">
            <v>1</v>
          </cell>
        </row>
        <row r="3049">
          <cell r="A3049" t="str">
            <v>M2</v>
          </cell>
          <cell r="B3049" t="str">
            <v>A5C</v>
          </cell>
          <cell r="C3049" t="str">
            <v>P</v>
          </cell>
          <cell r="D3049" t="str">
            <v>23019</v>
          </cell>
          <cell r="E3049" t="str">
            <v>R TEE</v>
          </cell>
          <cell r="F3049">
            <v>2</v>
          </cell>
          <cell r="G3049" t="str">
            <v>CB400400001H0T</v>
          </cell>
          <cell r="H3049">
            <v>1.5</v>
          </cell>
          <cell r="I3049">
            <v>0.75</v>
          </cell>
          <cell r="J3049">
            <v>1</v>
          </cell>
          <cell r="K3049">
            <v>1</v>
          </cell>
        </row>
        <row r="3050">
          <cell r="A3050" t="str">
            <v>M2</v>
          </cell>
          <cell r="B3050" t="str">
            <v>A5C</v>
          </cell>
          <cell r="C3050" t="str">
            <v>P</v>
          </cell>
          <cell r="D3050" t="str">
            <v>23027</v>
          </cell>
          <cell r="E3050" t="str">
            <v>R TEE</v>
          </cell>
          <cell r="F3050">
            <v>2</v>
          </cell>
          <cell r="G3050" t="str">
            <v>CB400400001H01</v>
          </cell>
          <cell r="H3050">
            <v>1.5</v>
          </cell>
          <cell r="I3050">
            <v>1</v>
          </cell>
          <cell r="J3050">
            <v>1</v>
          </cell>
          <cell r="K3050">
            <v>1</v>
          </cell>
        </row>
        <row r="3051">
          <cell r="A3051" t="str">
            <v>M2</v>
          </cell>
          <cell r="B3051" t="str">
            <v>A5C</v>
          </cell>
          <cell r="C3051" t="str">
            <v>P</v>
          </cell>
          <cell r="D3051" t="str">
            <v>23027</v>
          </cell>
          <cell r="E3051" t="str">
            <v>R TEE</v>
          </cell>
          <cell r="F3051">
            <v>2</v>
          </cell>
          <cell r="G3051" t="str">
            <v>CB400400001H0T</v>
          </cell>
          <cell r="H3051">
            <v>1.5</v>
          </cell>
          <cell r="I3051">
            <v>0.75</v>
          </cell>
          <cell r="J3051">
            <v>1</v>
          </cell>
          <cell r="K3051">
            <v>1</v>
          </cell>
        </row>
        <row r="3052">
          <cell r="A3052" t="str">
            <v>M2</v>
          </cell>
          <cell r="B3052" t="str">
            <v>A5C</v>
          </cell>
          <cell r="C3052" t="str">
            <v>P</v>
          </cell>
          <cell r="D3052" t="str">
            <v>23033</v>
          </cell>
          <cell r="E3052" t="str">
            <v>R TEE</v>
          </cell>
          <cell r="F3052">
            <v>2</v>
          </cell>
          <cell r="G3052" t="str">
            <v>CB400400001H0T</v>
          </cell>
          <cell r="H3052">
            <v>1.5</v>
          </cell>
          <cell r="I3052">
            <v>0.75</v>
          </cell>
          <cell r="J3052">
            <v>4</v>
          </cell>
          <cell r="K3052">
            <v>4</v>
          </cell>
        </row>
        <row r="3053">
          <cell r="A3053" t="str">
            <v>M2</v>
          </cell>
          <cell r="B3053" t="str">
            <v>A5C</v>
          </cell>
          <cell r="C3053" t="str">
            <v>P</v>
          </cell>
          <cell r="D3053" t="str">
            <v>23039</v>
          </cell>
          <cell r="E3053" t="str">
            <v>R TEE</v>
          </cell>
          <cell r="F3053">
            <v>2</v>
          </cell>
          <cell r="G3053" t="str">
            <v>CB400400001H0T</v>
          </cell>
          <cell r="H3053">
            <v>1.5</v>
          </cell>
          <cell r="I3053">
            <v>0.75</v>
          </cell>
          <cell r="J3053">
            <v>4</v>
          </cell>
          <cell r="K3053">
            <v>4</v>
          </cell>
        </row>
        <row r="3054">
          <cell r="A3054" t="str">
            <v>M2</v>
          </cell>
          <cell r="B3054" t="str">
            <v>A5C</v>
          </cell>
          <cell r="C3054" t="str">
            <v>P</v>
          </cell>
          <cell r="D3054" t="str">
            <v>23039</v>
          </cell>
          <cell r="E3054" t="str">
            <v>R TEE</v>
          </cell>
          <cell r="F3054">
            <v>2</v>
          </cell>
          <cell r="G3054" t="str">
            <v>CB400400001H0T</v>
          </cell>
          <cell r="H3054">
            <v>1.5</v>
          </cell>
          <cell r="I3054">
            <v>0.75</v>
          </cell>
          <cell r="J3054">
            <v>1</v>
          </cell>
          <cell r="K3054">
            <v>1</v>
          </cell>
        </row>
        <row r="3055">
          <cell r="A3055" t="str">
            <v>M2</v>
          </cell>
          <cell r="B3055" t="str">
            <v>A5C</v>
          </cell>
          <cell r="C3055" t="str">
            <v>P</v>
          </cell>
          <cell r="D3055" t="str">
            <v>23039</v>
          </cell>
          <cell r="E3055" t="str">
            <v>R TEE</v>
          </cell>
          <cell r="F3055">
            <v>2</v>
          </cell>
          <cell r="G3055" t="str">
            <v>CB400400001H01</v>
          </cell>
          <cell r="H3055">
            <v>1.5</v>
          </cell>
          <cell r="I3055">
            <v>1</v>
          </cell>
          <cell r="J3055">
            <v>2</v>
          </cell>
          <cell r="K3055">
            <v>2</v>
          </cell>
        </row>
        <row r="3056">
          <cell r="A3056" t="str">
            <v>M2</v>
          </cell>
          <cell r="B3056" t="str">
            <v>A5C</v>
          </cell>
          <cell r="C3056" t="str">
            <v>P</v>
          </cell>
          <cell r="D3056" t="str">
            <v>23008</v>
          </cell>
          <cell r="E3056" t="str">
            <v>TEE</v>
          </cell>
          <cell r="F3056">
            <v>2</v>
          </cell>
          <cell r="G3056" t="str">
            <v>CB400300001H00</v>
          </cell>
          <cell r="H3056">
            <v>1.5</v>
          </cell>
          <cell r="I3056" t="str">
            <v>--</v>
          </cell>
          <cell r="J3056">
            <v>2</v>
          </cell>
          <cell r="K3056">
            <v>2</v>
          </cell>
        </row>
        <row r="3057">
          <cell r="A3057" t="str">
            <v>M2</v>
          </cell>
          <cell r="B3057" t="str">
            <v>A5C</v>
          </cell>
          <cell r="C3057" t="str">
            <v>P</v>
          </cell>
          <cell r="D3057" t="str">
            <v>23019</v>
          </cell>
          <cell r="E3057" t="str">
            <v>TEE</v>
          </cell>
          <cell r="F3057">
            <v>2</v>
          </cell>
          <cell r="G3057" t="str">
            <v>CB400300001H00</v>
          </cell>
          <cell r="H3057">
            <v>1.5</v>
          </cell>
          <cell r="I3057" t="str">
            <v>--</v>
          </cell>
          <cell r="J3057">
            <v>1</v>
          </cell>
          <cell r="K3057">
            <v>1</v>
          </cell>
        </row>
        <row r="3058">
          <cell r="A3058" t="str">
            <v>M2</v>
          </cell>
          <cell r="B3058" t="str">
            <v>A5C</v>
          </cell>
          <cell r="C3058" t="str">
            <v>P</v>
          </cell>
          <cell r="D3058" t="str">
            <v>23027</v>
          </cell>
          <cell r="E3058" t="str">
            <v>TEE</v>
          </cell>
          <cell r="F3058">
            <v>2</v>
          </cell>
          <cell r="G3058" t="str">
            <v>CB400300001H00</v>
          </cell>
          <cell r="H3058">
            <v>1.5</v>
          </cell>
          <cell r="I3058" t="str">
            <v>--</v>
          </cell>
          <cell r="J3058">
            <v>1</v>
          </cell>
          <cell r="K3058">
            <v>1</v>
          </cell>
        </row>
        <row r="3059">
          <cell r="A3059" t="str">
            <v>M2</v>
          </cell>
          <cell r="B3059" t="str">
            <v>A5C</v>
          </cell>
          <cell r="C3059" t="str">
            <v>P</v>
          </cell>
          <cell r="D3059" t="str">
            <v>23033</v>
          </cell>
          <cell r="E3059" t="str">
            <v>TEE</v>
          </cell>
          <cell r="F3059">
            <v>2</v>
          </cell>
          <cell r="G3059" t="str">
            <v>CB400300001H00</v>
          </cell>
          <cell r="H3059">
            <v>1.5</v>
          </cell>
          <cell r="I3059" t="str">
            <v>--</v>
          </cell>
          <cell r="J3059">
            <v>2</v>
          </cell>
          <cell r="K3059">
            <v>2</v>
          </cell>
        </row>
        <row r="3060">
          <cell r="A3060" t="str">
            <v>M2</v>
          </cell>
          <cell r="B3060" t="str">
            <v>A5C</v>
          </cell>
          <cell r="C3060" t="str">
            <v>P</v>
          </cell>
          <cell r="D3060" t="str">
            <v>23044</v>
          </cell>
          <cell r="E3060" t="str">
            <v>TEE</v>
          </cell>
          <cell r="F3060">
            <v>2</v>
          </cell>
          <cell r="G3060" t="str">
            <v>CB400300001H00</v>
          </cell>
          <cell r="H3060">
            <v>1.5</v>
          </cell>
          <cell r="I3060" t="str">
            <v>--</v>
          </cell>
          <cell r="J3060">
            <v>1</v>
          </cell>
          <cell r="K3060">
            <v>1</v>
          </cell>
        </row>
        <row r="3061">
          <cell r="A3061" t="str">
            <v>M2</v>
          </cell>
          <cell r="B3061" t="str">
            <v>A5C</v>
          </cell>
          <cell r="C3061" t="str">
            <v>P</v>
          </cell>
          <cell r="D3061" t="str">
            <v>23077</v>
          </cell>
          <cell r="E3061" t="str">
            <v>TEE</v>
          </cell>
          <cell r="F3061">
            <v>2</v>
          </cell>
          <cell r="G3061" t="str">
            <v>CB400300001H00</v>
          </cell>
          <cell r="H3061">
            <v>1.5</v>
          </cell>
          <cell r="I3061" t="str">
            <v>--</v>
          </cell>
          <cell r="J3061">
            <v>1</v>
          </cell>
          <cell r="K3061">
            <v>1</v>
          </cell>
        </row>
        <row r="3062">
          <cell r="A3062" t="str">
            <v>M2</v>
          </cell>
          <cell r="B3062" t="str">
            <v>A5C</v>
          </cell>
          <cell r="C3062" t="str">
            <v>P</v>
          </cell>
          <cell r="D3062" t="str">
            <v>23170</v>
          </cell>
          <cell r="E3062" t="str">
            <v>TEE</v>
          </cell>
          <cell r="F3062">
            <v>2</v>
          </cell>
          <cell r="G3062" t="str">
            <v>CB400300001H00</v>
          </cell>
          <cell r="H3062">
            <v>1.5</v>
          </cell>
          <cell r="I3062" t="str">
            <v>--</v>
          </cell>
          <cell r="J3062">
            <v>2</v>
          </cell>
          <cell r="K3062">
            <v>2</v>
          </cell>
        </row>
        <row r="3063">
          <cell r="A3063" t="str">
            <v>M2</v>
          </cell>
          <cell r="B3063" t="str">
            <v>A5C</v>
          </cell>
          <cell r="C3063" t="str">
            <v>P</v>
          </cell>
          <cell r="D3063" t="str">
            <v>23216</v>
          </cell>
          <cell r="E3063" t="str">
            <v>TEE</v>
          </cell>
          <cell r="F3063">
            <v>2</v>
          </cell>
          <cell r="G3063" t="str">
            <v>CB400300001H00</v>
          </cell>
          <cell r="H3063">
            <v>1.5</v>
          </cell>
          <cell r="I3063" t="str">
            <v>--</v>
          </cell>
          <cell r="J3063">
            <v>1</v>
          </cell>
          <cell r="K3063">
            <v>1</v>
          </cell>
        </row>
        <row r="3064">
          <cell r="A3064" t="str">
            <v>M2</v>
          </cell>
          <cell r="B3064" t="str">
            <v>A5C</v>
          </cell>
          <cell r="C3064" t="str">
            <v>P</v>
          </cell>
          <cell r="D3064" t="str">
            <v>23039</v>
          </cell>
          <cell r="E3064" t="str">
            <v>TEE</v>
          </cell>
          <cell r="F3064">
            <v>2</v>
          </cell>
          <cell r="G3064" t="str">
            <v>CB400300001H00</v>
          </cell>
          <cell r="H3064">
            <v>1.5</v>
          </cell>
          <cell r="I3064" t="str">
            <v>--</v>
          </cell>
          <cell r="J3064">
            <v>1</v>
          </cell>
          <cell r="K3064">
            <v>1</v>
          </cell>
        </row>
        <row r="3065">
          <cell r="A3065" t="str">
            <v>M2</v>
          </cell>
          <cell r="B3065" t="str">
            <v>A5C</v>
          </cell>
          <cell r="C3065" t="str">
            <v>P</v>
          </cell>
          <cell r="D3065" t="str">
            <v>23009</v>
          </cell>
          <cell r="E3065" t="str">
            <v>45 ELL</v>
          </cell>
          <cell r="F3065">
            <v>2</v>
          </cell>
          <cell r="G3065" t="str">
            <v>CB400200001H00</v>
          </cell>
          <cell r="H3065">
            <v>1.5</v>
          </cell>
          <cell r="I3065" t="str">
            <v>--</v>
          </cell>
          <cell r="J3065">
            <v>1</v>
          </cell>
          <cell r="K3065">
            <v>1</v>
          </cell>
        </row>
        <row r="3066">
          <cell r="A3066" t="str">
            <v>M2</v>
          </cell>
          <cell r="B3066" t="str">
            <v>A5C</v>
          </cell>
          <cell r="C3066" t="str">
            <v>P</v>
          </cell>
          <cell r="D3066" t="str">
            <v>23009</v>
          </cell>
          <cell r="E3066" t="str">
            <v>90 ELL</v>
          </cell>
          <cell r="F3066">
            <v>2</v>
          </cell>
          <cell r="G3066" t="str">
            <v>CB400100001H00</v>
          </cell>
          <cell r="H3066">
            <v>1.5</v>
          </cell>
          <cell r="I3066" t="str">
            <v>--</v>
          </cell>
          <cell r="J3066">
            <v>6</v>
          </cell>
          <cell r="K3066">
            <v>6</v>
          </cell>
        </row>
        <row r="3067">
          <cell r="A3067" t="str">
            <v>M2</v>
          </cell>
          <cell r="B3067" t="str">
            <v>A5C</v>
          </cell>
          <cell r="C3067" t="str">
            <v>P</v>
          </cell>
          <cell r="D3067" t="str">
            <v>24001</v>
          </cell>
          <cell r="E3067" t="str">
            <v>90 ELL</v>
          </cell>
          <cell r="F3067">
            <v>2</v>
          </cell>
          <cell r="G3067" t="str">
            <v>CB400100001H00</v>
          </cell>
          <cell r="H3067">
            <v>1.5</v>
          </cell>
          <cell r="I3067" t="str">
            <v>--</v>
          </cell>
          <cell r="J3067">
            <v>4</v>
          </cell>
          <cell r="K3067">
            <v>4</v>
          </cell>
        </row>
        <row r="3068">
          <cell r="A3068" t="str">
            <v>M2</v>
          </cell>
          <cell r="B3068" t="str">
            <v>A5C</v>
          </cell>
          <cell r="C3068" t="str">
            <v>P</v>
          </cell>
          <cell r="D3068" t="str">
            <v>24012</v>
          </cell>
          <cell r="E3068" t="str">
            <v>90 ELL</v>
          </cell>
          <cell r="F3068">
            <v>2</v>
          </cell>
          <cell r="G3068" t="str">
            <v>CB400100001H00</v>
          </cell>
          <cell r="H3068">
            <v>1.5</v>
          </cell>
          <cell r="I3068" t="str">
            <v>--</v>
          </cell>
          <cell r="J3068">
            <v>3</v>
          </cell>
          <cell r="K3068">
            <v>3</v>
          </cell>
        </row>
        <row r="3069">
          <cell r="A3069" t="str">
            <v>M2</v>
          </cell>
          <cell r="B3069" t="str">
            <v>A5C</v>
          </cell>
          <cell r="C3069" t="str">
            <v>P</v>
          </cell>
          <cell r="D3069" t="str">
            <v>24001</v>
          </cell>
          <cell r="E3069" t="str">
            <v>C SWG</v>
          </cell>
          <cell r="F3069">
            <v>2</v>
          </cell>
          <cell r="G3069" t="str">
            <v>CB161108081H01</v>
          </cell>
          <cell r="H3069">
            <v>1.5</v>
          </cell>
          <cell r="I3069">
            <v>1</v>
          </cell>
          <cell r="J3069">
            <v>2</v>
          </cell>
          <cell r="K3069">
            <v>2</v>
          </cell>
        </row>
        <row r="3070">
          <cell r="A3070" t="str">
            <v>M2</v>
          </cell>
          <cell r="B3070" t="str">
            <v>A5C</v>
          </cell>
          <cell r="C3070" t="str">
            <v>P</v>
          </cell>
          <cell r="D3070" t="str">
            <v>23009</v>
          </cell>
          <cell r="E3070" t="str">
            <v>CPLG</v>
          </cell>
          <cell r="F3070">
            <v>2</v>
          </cell>
          <cell r="G3070" t="str">
            <v>CB400500001H00</v>
          </cell>
          <cell r="H3070">
            <v>1.5</v>
          </cell>
          <cell r="I3070" t="str">
            <v>--</v>
          </cell>
          <cell r="J3070">
            <v>2</v>
          </cell>
          <cell r="K3070">
            <v>2</v>
          </cell>
        </row>
        <row r="3071">
          <cell r="A3071" t="str">
            <v>M2</v>
          </cell>
          <cell r="B3071" t="str">
            <v>A5C</v>
          </cell>
          <cell r="C3071" t="str">
            <v>P</v>
          </cell>
          <cell r="D3071" t="str">
            <v>23009</v>
          </cell>
          <cell r="E3071" t="str">
            <v>E SWG</v>
          </cell>
          <cell r="F3071">
            <v>2</v>
          </cell>
          <cell r="G3071" t="str">
            <v>CB162108081H01</v>
          </cell>
          <cell r="H3071">
            <v>1.5</v>
          </cell>
          <cell r="I3071">
            <v>1</v>
          </cell>
          <cell r="J3071">
            <v>2</v>
          </cell>
          <cell r="K3071">
            <v>2</v>
          </cell>
        </row>
        <row r="3072">
          <cell r="A3072" t="str">
            <v>M2</v>
          </cell>
          <cell r="B3072" t="str">
            <v>A5C</v>
          </cell>
          <cell r="C3072" t="str">
            <v>P</v>
          </cell>
          <cell r="D3072" t="str">
            <v>24001</v>
          </cell>
          <cell r="E3072" t="str">
            <v>R TEE</v>
          </cell>
          <cell r="F3072">
            <v>2</v>
          </cell>
          <cell r="G3072" t="str">
            <v>CB400400001H0T</v>
          </cell>
          <cell r="H3072">
            <v>1.5</v>
          </cell>
          <cell r="I3072">
            <v>0.75</v>
          </cell>
          <cell r="J3072">
            <v>2</v>
          </cell>
          <cell r="K3072">
            <v>2</v>
          </cell>
        </row>
        <row r="3073">
          <cell r="A3073" t="str">
            <v>M2</v>
          </cell>
          <cell r="B3073" t="str">
            <v>A5C</v>
          </cell>
          <cell r="C3073" t="str">
            <v>P</v>
          </cell>
          <cell r="D3073" t="str">
            <v>23009</v>
          </cell>
          <cell r="E3073" t="str">
            <v>TEE</v>
          </cell>
          <cell r="F3073">
            <v>2</v>
          </cell>
          <cell r="G3073" t="str">
            <v>CB400300001H00</v>
          </cell>
          <cell r="H3073">
            <v>1.5</v>
          </cell>
          <cell r="I3073" t="str">
            <v>--</v>
          </cell>
          <cell r="J3073">
            <v>1</v>
          </cell>
          <cell r="K3073">
            <v>1</v>
          </cell>
        </row>
        <row r="3074">
          <cell r="A3074" t="str">
            <v>M2</v>
          </cell>
          <cell r="B3074" t="str">
            <v>A5C</v>
          </cell>
          <cell r="C3074" t="str">
            <v>P</v>
          </cell>
          <cell r="D3074" t="str">
            <v>24001</v>
          </cell>
          <cell r="E3074" t="str">
            <v>TEE</v>
          </cell>
          <cell r="F3074">
            <v>2</v>
          </cell>
          <cell r="G3074" t="str">
            <v>CB400300001H00</v>
          </cell>
          <cell r="H3074">
            <v>1.5</v>
          </cell>
          <cell r="I3074" t="str">
            <v>--</v>
          </cell>
          <cell r="J3074">
            <v>1</v>
          </cell>
          <cell r="K3074">
            <v>1</v>
          </cell>
        </row>
        <row r="3075">
          <cell r="A3075" t="str">
            <v>M2</v>
          </cell>
          <cell r="B3075" t="str">
            <v>A5C</v>
          </cell>
          <cell r="C3075" t="str">
            <v>P</v>
          </cell>
          <cell r="D3075" t="str">
            <v>24012</v>
          </cell>
          <cell r="E3075" t="str">
            <v>TEE</v>
          </cell>
          <cell r="F3075">
            <v>2</v>
          </cell>
          <cell r="G3075" t="str">
            <v>CB400300001H00</v>
          </cell>
          <cell r="H3075">
            <v>1.5</v>
          </cell>
          <cell r="I3075" t="str">
            <v>--</v>
          </cell>
          <cell r="J3075">
            <v>2</v>
          </cell>
          <cell r="K3075">
            <v>2</v>
          </cell>
        </row>
        <row r="3076">
          <cell r="A3076" t="str">
            <v>M2</v>
          </cell>
          <cell r="B3076" t="str">
            <v>A5C</v>
          </cell>
          <cell r="C3076" t="str">
            <v>P</v>
          </cell>
          <cell r="D3076" t="str">
            <v>HOLD1</v>
          </cell>
          <cell r="E3076" t="str">
            <v>90 ELL</v>
          </cell>
          <cell r="F3076">
            <v>2</v>
          </cell>
          <cell r="G3076" t="str">
            <v>CB300108000200</v>
          </cell>
          <cell r="H3076">
            <v>2</v>
          </cell>
          <cell r="I3076" t="str">
            <v>--</v>
          </cell>
          <cell r="J3076">
            <v>2</v>
          </cell>
          <cell r="K3076">
            <v>3</v>
          </cell>
        </row>
        <row r="3077">
          <cell r="A3077" t="str">
            <v>M2</v>
          </cell>
          <cell r="B3077" t="str">
            <v>A5C</v>
          </cell>
          <cell r="C3077" t="str">
            <v>P</v>
          </cell>
          <cell r="D3077" t="str">
            <v>23001</v>
          </cell>
          <cell r="E3077" t="str">
            <v>90 ELL</v>
          </cell>
          <cell r="F3077">
            <v>2</v>
          </cell>
          <cell r="G3077" t="str">
            <v>CB300108000200</v>
          </cell>
          <cell r="H3077">
            <v>2</v>
          </cell>
          <cell r="I3077" t="str">
            <v>--</v>
          </cell>
          <cell r="J3077">
            <v>8</v>
          </cell>
          <cell r="K3077">
            <v>9</v>
          </cell>
        </row>
        <row r="3078">
          <cell r="A3078" t="str">
            <v>M2</v>
          </cell>
          <cell r="B3078" t="str">
            <v>A5C</v>
          </cell>
          <cell r="C3078" t="str">
            <v>P</v>
          </cell>
          <cell r="D3078" t="str">
            <v>23011</v>
          </cell>
          <cell r="E3078" t="str">
            <v>90 ELL</v>
          </cell>
          <cell r="F3078">
            <v>2</v>
          </cell>
          <cell r="G3078" t="str">
            <v>CB300108000200</v>
          </cell>
          <cell r="H3078">
            <v>2</v>
          </cell>
          <cell r="I3078" t="str">
            <v>--</v>
          </cell>
          <cell r="J3078">
            <v>1</v>
          </cell>
          <cell r="K3078">
            <v>2</v>
          </cell>
        </row>
        <row r="3079">
          <cell r="A3079" t="str">
            <v>M2</v>
          </cell>
          <cell r="B3079" t="str">
            <v>A5C</v>
          </cell>
          <cell r="C3079" t="str">
            <v>P</v>
          </cell>
          <cell r="D3079" t="str">
            <v>23022</v>
          </cell>
          <cell r="E3079" t="str">
            <v>90 ELL</v>
          </cell>
          <cell r="F3079">
            <v>2</v>
          </cell>
          <cell r="G3079" t="str">
            <v>CB300108000200</v>
          </cell>
          <cell r="H3079">
            <v>2</v>
          </cell>
          <cell r="I3079" t="str">
            <v>--</v>
          </cell>
          <cell r="J3079">
            <v>1</v>
          </cell>
          <cell r="K3079">
            <v>2</v>
          </cell>
        </row>
        <row r="3080">
          <cell r="A3080" t="str">
            <v>M2</v>
          </cell>
          <cell r="B3080" t="str">
            <v>A5C</v>
          </cell>
          <cell r="C3080" t="str">
            <v>P</v>
          </cell>
          <cell r="D3080" t="str">
            <v>23046</v>
          </cell>
          <cell r="E3080" t="str">
            <v>90 ELL</v>
          </cell>
          <cell r="F3080">
            <v>2</v>
          </cell>
          <cell r="G3080" t="str">
            <v>CB300108000200</v>
          </cell>
          <cell r="H3080">
            <v>2</v>
          </cell>
          <cell r="I3080" t="str">
            <v>--</v>
          </cell>
          <cell r="J3080">
            <v>1</v>
          </cell>
          <cell r="K3080">
            <v>2</v>
          </cell>
        </row>
        <row r="3081">
          <cell r="A3081" t="str">
            <v>M2</v>
          </cell>
          <cell r="B3081" t="str">
            <v>A5C</v>
          </cell>
          <cell r="C3081" t="str">
            <v>P</v>
          </cell>
          <cell r="D3081" t="str">
            <v>23057</v>
          </cell>
          <cell r="E3081" t="str">
            <v>90 ELL</v>
          </cell>
          <cell r="F3081">
            <v>2</v>
          </cell>
          <cell r="G3081" t="str">
            <v>CB300108000200</v>
          </cell>
          <cell r="H3081">
            <v>2</v>
          </cell>
          <cell r="I3081" t="str">
            <v>--</v>
          </cell>
          <cell r="J3081">
            <v>1</v>
          </cell>
          <cell r="K3081">
            <v>2</v>
          </cell>
        </row>
        <row r="3082">
          <cell r="A3082" t="str">
            <v>M2</v>
          </cell>
          <cell r="B3082" t="str">
            <v>A5C</v>
          </cell>
          <cell r="C3082" t="str">
            <v>P</v>
          </cell>
          <cell r="D3082" t="str">
            <v>23073</v>
          </cell>
          <cell r="E3082" t="str">
            <v>90 ELL</v>
          </cell>
          <cell r="F3082">
            <v>2</v>
          </cell>
          <cell r="G3082" t="str">
            <v>CB300108000200</v>
          </cell>
          <cell r="H3082">
            <v>2</v>
          </cell>
          <cell r="I3082" t="str">
            <v>--</v>
          </cell>
          <cell r="J3082">
            <v>3</v>
          </cell>
          <cell r="K3082">
            <v>4</v>
          </cell>
        </row>
        <row r="3083">
          <cell r="A3083" t="str">
            <v>M2</v>
          </cell>
          <cell r="B3083" t="str">
            <v>A5C</v>
          </cell>
          <cell r="C3083" t="str">
            <v>P</v>
          </cell>
          <cell r="D3083" t="str">
            <v>23085</v>
          </cell>
          <cell r="E3083" t="str">
            <v>90 ELL</v>
          </cell>
          <cell r="F3083">
            <v>2</v>
          </cell>
          <cell r="G3083" t="str">
            <v>CB300108000200</v>
          </cell>
          <cell r="H3083">
            <v>2</v>
          </cell>
          <cell r="I3083" t="str">
            <v>--</v>
          </cell>
          <cell r="J3083">
            <v>8</v>
          </cell>
          <cell r="K3083">
            <v>9</v>
          </cell>
        </row>
        <row r="3084">
          <cell r="A3084" t="str">
            <v>M2</v>
          </cell>
          <cell r="B3084" t="str">
            <v>A5C</v>
          </cell>
          <cell r="C3084" t="str">
            <v>P</v>
          </cell>
          <cell r="D3084" t="str">
            <v>23102</v>
          </cell>
          <cell r="E3084" t="str">
            <v>90 ELL</v>
          </cell>
          <cell r="F3084">
            <v>2</v>
          </cell>
          <cell r="G3084" t="str">
            <v>CB300108000200</v>
          </cell>
          <cell r="H3084">
            <v>2</v>
          </cell>
          <cell r="I3084" t="str">
            <v>--</v>
          </cell>
          <cell r="J3084">
            <v>3</v>
          </cell>
          <cell r="K3084">
            <v>4</v>
          </cell>
        </row>
        <row r="3085">
          <cell r="A3085" t="str">
            <v>M2</v>
          </cell>
          <cell r="B3085" t="str">
            <v>A5C</v>
          </cell>
          <cell r="C3085" t="str">
            <v>P</v>
          </cell>
          <cell r="D3085" t="str">
            <v>23096</v>
          </cell>
          <cell r="E3085" t="str">
            <v>90 ELL</v>
          </cell>
          <cell r="F3085">
            <v>2</v>
          </cell>
          <cell r="G3085" t="str">
            <v>CB300108000200</v>
          </cell>
          <cell r="H3085">
            <v>2</v>
          </cell>
          <cell r="I3085" t="str">
            <v>--</v>
          </cell>
          <cell r="J3085">
            <v>11</v>
          </cell>
          <cell r="K3085">
            <v>13</v>
          </cell>
        </row>
        <row r="3086">
          <cell r="A3086" t="str">
            <v>M2</v>
          </cell>
          <cell r="B3086" t="str">
            <v>A5C</v>
          </cell>
          <cell r="C3086" t="str">
            <v>P</v>
          </cell>
          <cell r="D3086" t="str">
            <v>23115</v>
          </cell>
          <cell r="E3086" t="str">
            <v>90 ELL</v>
          </cell>
          <cell r="F3086">
            <v>2</v>
          </cell>
          <cell r="G3086" t="str">
            <v>CB300108000200</v>
          </cell>
          <cell r="H3086">
            <v>2</v>
          </cell>
          <cell r="I3086" t="str">
            <v>--</v>
          </cell>
          <cell r="J3086">
            <v>9</v>
          </cell>
          <cell r="K3086">
            <v>10</v>
          </cell>
        </row>
        <row r="3087">
          <cell r="A3087" t="str">
            <v>M2</v>
          </cell>
          <cell r="B3087" t="str">
            <v>A5C</v>
          </cell>
          <cell r="C3087" t="str">
            <v>P</v>
          </cell>
          <cell r="D3087" t="str">
            <v>23135</v>
          </cell>
          <cell r="E3087" t="str">
            <v>90 ELL</v>
          </cell>
          <cell r="F3087">
            <v>2</v>
          </cell>
          <cell r="G3087" t="str">
            <v>CB300108000200</v>
          </cell>
          <cell r="H3087">
            <v>2</v>
          </cell>
          <cell r="I3087" t="str">
            <v>--</v>
          </cell>
          <cell r="J3087">
            <v>11</v>
          </cell>
          <cell r="K3087">
            <v>13</v>
          </cell>
        </row>
        <row r="3088">
          <cell r="A3088" t="str">
            <v>M2</v>
          </cell>
          <cell r="B3088" t="str">
            <v>A5C</v>
          </cell>
          <cell r="C3088" t="str">
            <v>P</v>
          </cell>
          <cell r="D3088" t="str">
            <v>23192</v>
          </cell>
          <cell r="E3088" t="str">
            <v>90 ELL</v>
          </cell>
          <cell r="F3088">
            <v>2</v>
          </cell>
          <cell r="G3088" t="str">
            <v>CB300108000200</v>
          </cell>
          <cell r="H3088">
            <v>2</v>
          </cell>
          <cell r="I3088" t="str">
            <v>--</v>
          </cell>
          <cell r="J3088">
            <v>5</v>
          </cell>
          <cell r="K3088">
            <v>6</v>
          </cell>
        </row>
        <row r="3089">
          <cell r="A3089" t="str">
            <v>M2</v>
          </cell>
          <cell r="B3089" t="str">
            <v>A5C</v>
          </cell>
          <cell r="C3089" t="str">
            <v>P</v>
          </cell>
          <cell r="D3089" t="str">
            <v>23233</v>
          </cell>
          <cell r="E3089" t="str">
            <v>90 ELL</v>
          </cell>
          <cell r="F3089">
            <v>2</v>
          </cell>
          <cell r="G3089" t="str">
            <v>CB300108000200</v>
          </cell>
          <cell r="H3089">
            <v>2</v>
          </cell>
          <cell r="I3089" t="str">
            <v>--</v>
          </cell>
          <cell r="J3089">
            <v>5</v>
          </cell>
          <cell r="K3089">
            <v>6</v>
          </cell>
        </row>
        <row r="3090">
          <cell r="A3090" t="str">
            <v>M2</v>
          </cell>
          <cell r="B3090" t="str">
            <v>A5C</v>
          </cell>
          <cell r="C3090" t="str">
            <v>P</v>
          </cell>
          <cell r="D3090" t="str">
            <v>23251</v>
          </cell>
          <cell r="E3090" t="str">
            <v>90 ELL</v>
          </cell>
          <cell r="F3090">
            <v>2</v>
          </cell>
          <cell r="G3090" t="str">
            <v>CB300108000200</v>
          </cell>
          <cell r="H3090">
            <v>2</v>
          </cell>
          <cell r="I3090" t="str">
            <v>--</v>
          </cell>
          <cell r="J3090">
            <v>4</v>
          </cell>
          <cell r="K3090">
            <v>5</v>
          </cell>
        </row>
        <row r="3091">
          <cell r="A3091" t="str">
            <v>M2</v>
          </cell>
          <cell r="B3091" t="str">
            <v>A5C</v>
          </cell>
          <cell r="C3091" t="str">
            <v>P</v>
          </cell>
          <cell r="D3091" t="str">
            <v>23253</v>
          </cell>
          <cell r="E3091" t="str">
            <v>90 ELL</v>
          </cell>
          <cell r="F3091">
            <v>2</v>
          </cell>
          <cell r="G3091" t="str">
            <v>CB300108000200</v>
          </cell>
          <cell r="H3091">
            <v>2</v>
          </cell>
          <cell r="I3091" t="str">
            <v>--</v>
          </cell>
          <cell r="J3091">
            <v>1</v>
          </cell>
          <cell r="K3091">
            <v>2</v>
          </cell>
        </row>
        <row r="3092">
          <cell r="A3092" t="str">
            <v>M2</v>
          </cell>
          <cell r="B3092" t="str">
            <v>A5C</v>
          </cell>
          <cell r="C3092" t="str">
            <v>P</v>
          </cell>
          <cell r="D3092" t="str">
            <v>23255</v>
          </cell>
          <cell r="E3092" t="str">
            <v>90 ELL</v>
          </cell>
          <cell r="F3092">
            <v>2</v>
          </cell>
          <cell r="G3092" t="str">
            <v>CB300108000200</v>
          </cell>
          <cell r="H3092">
            <v>2</v>
          </cell>
          <cell r="I3092" t="str">
            <v>--</v>
          </cell>
          <cell r="J3092">
            <v>5</v>
          </cell>
          <cell r="K3092">
            <v>6</v>
          </cell>
        </row>
        <row r="3093">
          <cell r="A3093" t="str">
            <v>M2</v>
          </cell>
          <cell r="B3093" t="str">
            <v>A5C</v>
          </cell>
          <cell r="C3093" t="str">
            <v>P</v>
          </cell>
          <cell r="D3093" t="str">
            <v>23261</v>
          </cell>
          <cell r="E3093" t="str">
            <v>90 ELL</v>
          </cell>
          <cell r="F3093">
            <v>2</v>
          </cell>
          <cell r="G3093" t="str">
            <v>CB300108000200</v>
          </cell>
          <cell r="H3093">
            <v>2</v>
          </cell>
          <cell r="I3093" t="str">
            <v>--</v>
          </cell>
          <cell r="J3093">
            <v>4</v>
          </cell>
          <cell r="K3093">
            <v>5</v>
          </cell>
        </row>
        <row r="3094">
          <cell r="A3094" t="str">
            <v>M2</v>
          </cell>
          <cell r="B3094" t="str">
            <v>A5C</v>
          </cell>
          <cell r="C3094" t="str">
            <v>P</v>
          </cell>
          <cell r="D3094" t="str">
            <v>24006</v>
          </cell>
          <cell r="E3094" t="str">
            <v>90 ELL</v>
          </cell>
          <cell r="F3094">
            <v>2</v>
          </cell>
          <cell r="G3094" t="str">
            <v>CB300108000200</v>
          </cell>
          <cell r="H3094">
            <v>2</v>
          </cell>
          <cell r="I3094" t="str">
            <v>--</v>
          </cell>
          <cell r="J3094">
            <v>2</v>
          </cell>
          <cell r="K3094">
            <v>3</v>
          </cell>
        </row>
        <row r="3095">
          <cell r="A3095" t="str">
            <v>M2</v>
          </cell>
          <cell r="B3095" t="str">
            <v>A5C</v>
          </cell>
          <cell r="C3095" t="str">
            <v>TRIM</v>
          </cell>
          <cell r="D3095" t="str">
            <v>V-2316</v>
          </cell>
          <cell r="E3095" t="str">
            <v>90 ELL</v>
          </cell>
          <cell r="F3095">
            <v>2</v>
          </cell>
          <cell r="G3095" t="str">
            <v>CB300108000200</v>
          </cell>
          <cell r="H3095">
            <v>2</v>
          </cell>
          <cell r="I3095" t="str">
            <v>--</v>
          </cell>
          <cell r="J3095">
            <v>2</v>
          </cell>
          <cell r="K3095">
            <v>3</v>
          </cell>
        </row>
        <row r="3096">
          <cell r="A3096" t="str">
            <v>M2</v>
          </cell>
          <cell r="B3096" t="str">
            <v>A5C</v>
          </cell>
          <cell r="C3096" t="str">
            <v>P</v>
          </cell>
          <cell r="D3096" t="str">
            <v>23102</v>
          </cell>
          <cell r="E3096" t="str">
            <v>90 ELL</v>
          </cell>
          <cell r="F3096">
            <v>2</v>
          </cell>
          <cell r="G3096" t="str">
            <v>CB300108000200</v>
          </cell>
          <cell r="H3096">
            <v>2</v>
          </cell>
          <cell r="I3096" t="str">
            <v>--</v>
          </cell>
          <cell r="J3096">
            <v>2</v>
          </cell>
          <cell r="K3096">
            <v>3</v>
          </cell>
        </row>
        <row r="3097">
          <cell r="A3097" t="str">
            <v>M2</v>
          </cell>
          <cell r="B3097" t="str">
            <v>A5C</v>
          </cell>
          <cell r="C3097" t="str">
            <v>P</v>
          </cell>
          <cell r="D3097" t="str">
            <v>23131</v>
          </cell>
          <cell r="E3097" t="str">
            <v>90 ELL</v>
          </cell>
          <cell r="F3097">
            <v>2</v>
          </cell>
          <cell r="G3097" t="str">
            <v>CB300108000200</v>
          </cell>
          <cell r="H3097">
            <v>2</v>
          </cell>
          <cell r="I3097" t="str">
            <v>--</v>
          </cell>
          <cell r="J3097">
            <v>9</v>
          </cell>
          <cell r="K3097">
            <v>10</v>
          </cell>
        </row>
        <row r="3098">
          <cell r="A3098" t="str">
            <v>M2</v>
          </cell>
          <cell r="B3098" t="str">
            <v>A5C</v>
          </cell>
          <cell r="C3098" t="str">
            <v>P</v>
          </cell>
          <cell r="D3098" t="str">
            <v>23192</v>
          </cell>
          <cell r="E3098" t="str">
            <v>90 ELL</v>
          </cell>
          <cell r="F3098">
            <v>2</v>
          </cell>
          <cell r="G3098" t="str">
            <v>CB300108000200</v>
          </cell>
          <cell r="H3098">
            <v>2</v>
          </cell>
          <cell r="I3098" t="str">
            <v>--</v>
          </cell>
          <cell r="J3098">
            <v>5</v>
          </cell>
          <cell r="K3098">
            <v>6</v>
          </cell>
        </row>
        <row r="3099">
          <cell r="A3099" t="str">
            <v>M2</v>
          </cell>
          <cell r="B3099" t="str">
            <v>A5C</v>
          </cell>
          <cell r="C3099" t="str">
            <v>P</v>
          </cell>
          <cell r="D3099" t="str">
            <v>23229</v>
          </cell>
          <cell r="E3099" t="str">
            <v>90 ELL</v>
          </cell>
          <cell r="F3099">
            <v>2</v>
          </cell>
          <cell r="G3099" t="str">
            <v>CB300108000200</v>
          </cell>
          <cell r="H3099">
            <v>2</v>
          </cell>
          <cell r="I3099" t="str">
            <v>--</v>
          </cell>
          <cell r="J3099">
            <v>4</v>
          </cell>
          <cell r="K3099">
            <v>5</v>
          </cell>
        </row>
        <row r="3100">
          <cell r="A3100" t="str">
            <v>M2</v>
          </cell>
          <cell r="B3100" t="str">
            <v>A5C</v>
          </cell>
          <cell r="C3100" t="str">
            <v>P</v>
          </cell>
          <cell r="D3100" t="str">
            <v>23231</v>
          </cell>
          <cell r="E3100" t="str">
            <v>90 ELL</v>
          </cell>
          <cell r="F3100">
            <v>2</v>
          </cell>
          <cell r="G3100" t="str">
            <v>CB300108000200</v>
          </cell>
          <cell r="H3100">
            <v>2</v>
          </cell>
          <cell r="I3100" t="str">
            <v>--</v>
          </cell>
          <cell r="J3100">
            <v>1</v>
          </cell>
          <cell r="K3100">
            <v>2</v>
          </cell>
        </row>
        <row r="3101">
          <cell r="A3101" t="str">
            <v>M2</v>
          </cell>
          <cell r="B3101" t="str">
            <v>A5C</v>
          </cell>
          <cell r="C3101" t="str">
            <v>P</v>
          </cell>
          <cell r="D3101" t="str">
            <v>24021</v>
          </cell>
          <cell r="E3101" t="str">
            <v>90 ELL</v>
          </cell>
          <cell r="F3101">
            <v>2</v>
          </cell>
          <cell r="G3101" t="str">
            <v>CB300108000200</v>
          </cell>
          <cell r="H3101">
            <v>2</v>
          </cell>
          <cell r="I3101" t="str">
            <v>--</v>
          </cell>
          <cell r="J3101">
            <v>4</v>
          </cell>
          <cell r="K3101">
            <v>5</v>
          </cell>
        </row>
        <row r="3102">
          <cell r="A3102" t="str">
            <v>M2</v>
          </cell>
          <cell r="B3102" t="str">
            <v>A5C</v>
          </cell>
          <cell r="C3102" t="str">
            <v>P</v>
          </cell>
          <cell r="D3102" t="str">
            <v>23073</v>
          </cell>
          <cell r="E3102" t="str">
            <v>C SWG</v>
          </cell>
          <cell r="F3102">
            <v>2</v>
          </cell>
          <cell r="G3102" t="str">
            <v>CB1614080802IH</v>
          </cell>
          <cell r="H3102">
            <v>2</v>
          </cell>
          <cell r="I3102">
            <v>1.5</v>
          </cell>
          <cell r="J3102">
            <v>2</v>
          </cell>
          <cell r="K3102">
            <v>3</v>
          </cell>
        </row>
        <row r="3103">
          <cell r="A3103" t="str">
            <v>M2</v>
          </cell>
          <cell r="B3103" t="str">
            <v>A5C</v>
          </cell>
          <cell r="C3103" t="str">
            <v>P</v>
          </cell>
          <cell r="D3103" t="str">
            <v>23085</v>
          </cell>
          <cell r="E3103" t="str">
            <v>C SWG</v>
          </cell>
          <cell r="F3103">
            <v>2</v>
          </cell>
          <cell r="G3103" t="str">
            <v>CB1614080802IH</v>
          </cell>
          <cell r="H3103">
            <v>2</v>
          </cell>
          <cell r="I3103">
            <v>1.5</v>
          </cell>
          <cell r="J3103">
            <v>2</v>
          </cell>
          <cell r="K3103">
            <v>3</v>
          </cell>
        </row>
        <row r="3104">
          <cell r="A3104" t="str">
            <v>M2</v>
          </cell>
          <cell r="B3104" t="str">
            <v>A5C</v>
          </cell>
          <cell r="C3104" t="str">
            <v>P</v>
          </cell>
          <cell r="D3104" t="str">
            <v>23096</v>
          </cell>
          <cell r="E3104" t="str">
            <v>C SWG</v>
          </cell>
          <cell r="F3104">
            <v>2</v>
          </cell>
          <cell r="G3104" t="str">
            <v>CB1614080802IH</v>
          </cell>
          <cell r="H3104">
            <v>2</v>
          </cell>
          <cell r="I3104">
            <v>1.5</v>
          </cell>
          <cell r="J3104">
            <v>2</v>
          </cell>
          <cell r="K3104">
            <v>3</v>
          </cell>
        </row>
        <row r="3105">
          <cell r="A3105" t="str">
            <v>M2</v>
          </cell>
          <cell r="B3105" t="str">
            <v>A5C</v>
          </cell>
          <cell r="C3105" t="str">
            <v>P</v>
          </cell>
          <cell r="D3105" t="str">
            <v>23135</v>
          </cell>
          <cell r="E3105" t="str">
            <v>C SWG</v>
          </cell>
          <cell r="F3105">
            <v>2</v>
          </cell>
          <cell r="G3105" t="str">
            <v>CB1614080802IH</v>
          </cell>
          <cell r="H3105">
            <v>2</v>
          </cell>
          <cell r="I3105">
            <v>1.5</v>
          </cell>
          <cell r="J3105">
            <v>2</v>
          </cell>
          <cell r="K3105">
            <v>3</v>
          </cell>
        </row>
        <row r="3106">
          <cell r="A3106" t="str">
            <v>M2</v>
          </cell>
          <cell r="B3106" t="str">
            <v>A5C</v>
          </cell>
          <cell r="C3106" t="str">
            <v>P</v>
          </cell>
          <cell r="D3106" t="str">
            <v>23230</v>
          </cell>
          <cell r="E3106" t="str">
            <v>C SWG</v>
          </cell>
          <cell r="F3106">
            <v>2</v>
          </cell>
          <cell r="G3106" t="str">
            <v>CB161408080201</v>
          </cell>
          <cell r="H3106">
            <v>2</v>
          </cell>
          <cell r="I3106">
            <v>1</v>
          </cell>
          <cell r="J3106">
            <v>2</v>
          </cell>
          <cell r="K3106">
            <v>3</v>
          </cell>
        </row>
        <row r="3107">
          <cell r="A3107" t="str">
            <v>M2</v>
          </cell>
          <cell r="B3107" t="str">
            <v>A5C</v>
          </cell>
          <cell r="C3107" t="str">
            <v>P</v>
          </cell>
          <cell r="D3107" t="str">
            <v>23252</v>
          </cell>
          <cell r="E3107" t="str">
            <v>C SWG</v>
          </cell>
          <cell r="F3107">
            <v>2</v>
          </cell>
          <cell r="G3107" t="str">
            <v>CB161408080201</v>
          </cell>
          <cell r="H3107">
            <v>2</v>
          </cell>
          <cell r="I3107">
            <v>1</v>
          </cell>
          <cell r="J3107">
            <v>2</v>
          </cell>
          <cell r="K3107">
            <v>3</v>
          </cell>
        </row>
        <row r="3108">
          <cell r="A3108" t="str">
            <v>M2</v>
          </cell>
          <cell r="B3108" t="str">
            <v>A5C</v>
          </cell>
          <cell r="C3108" t="str">
            <v>P</v>
          </cell>
          <cell r="D3108" t="str">
            <v>23261</v>
          </cell>
          <cell r="E3108" t="str">
            <v>C SWG</v>
          </cell>
          <cell r="F3108">
            <v>2</v>
          </cell>
          <cell r="G3108" t="str">
            <v>CB161408080201</v>
          </cell>
          <cell r="H3108">
            <v>2</v>
          </cell>
          <cell r="I3108">
            <v>1</v>
          </cell>
          <cell r="J3108">
            <v>1</v>
          </cell>
          <cell r="K3108">
            <v>2</v>
          </cell>
        </row>
        <row r="3109">
          <cell r="A3109" t="str">
            <v>M2</v>
          </cell>
          <cell r="B3109" t="str">
            <v>A5C</v>
          </cell>
          <cell r="C3109" t="str">
            <v>P</v>
          </cell>
          <cell r="D3109" t="str">
            <v>24021</v>
          </cell>
          <cell r="E3109" t="str">
            <v>C SWG</v>
          </cell>
          <cell r="F3109">
            <v>2</v>
          </cell>
          <cell r="G3109" t="str">
            <v>CB1614080802IH</v>
          </cell>
          <cell r="H3109">
            <v>2</v>
          </cell>
          <cell r="I3109">
            <v>1.5</v>
          </cell>
          <cell r="J3109">
            <v>2</v>
          </cell>
          <cell r="K3109">
            <v>3</v>
          </cell>
        </row>
        <row r="3110">
          <cell r="A3110" t="str">
            <v>M2</v>
          </cell>
          <cell r="B3110" t="str">
            <v>A5C</v>
          </cell>
          <cell r="C3110" t="str">
            <v>P</v>
          </cell>
          <cell r="D3110" t="str">
            <v>23102</v>
          </cell>
          <cell r="E3110" t="str">
            <v>C SWG</v>
          </cell>
          <cell r="F3110">
            <v>2</v>
          </cell>
          <cell r="G3110" t="str">
            <v>CB1614080802IH</v>
          </cell>
          <cell r="H3110">
            <v>2</v>
          </cell>
          <cell r="I3110">
            <v>1.5</v>
          </cell>
          <cell r="J3110">
            <v>2</v>
          </cell>
          <cell r="K3110">
            <v>3</v>
          </cell>
        </row>
        <row r="3111">
          <cell r="A3111" t="str">
            <v>M2</v>
          </cell>
          <cell r="B3111" t="str">
            <v>A5C</v>
          </cell>
          <cell r="C3111" t="str">
            <v>P</v>
          </cell>
          <cell r="D3111" t="str">
            <v>24007</v>
          </cell>
          <cell r="E3111" t="str">
            <v>C SWG</v>
          </cell>
          <cell r="F3111">
            <v>2</v>
          </cell>
          <cell r="G3111" t="str">
            <v>CB161408080201</v>
          </cell>
          <cell r="H3111">
            <v>2</v>
          </cell>
          <cell r="I3111">
            <v>1</v>
          </cell>
          <cell r="J3111">
            <v>1</v>
          </cell>
          <cell r="K3111">
            <v>2</v>
          </cell>
        </row>
        <row r="3112">
          <cell r="A3112" t="str">
            <v>M2</v>
          </cell>
          <cell r="B3112" t="str">
            <v>A5C</v>
          </cell>
          <cell r="C3112" t="str">
            <v>P</v>
          </cell>
          <cell r="D3112" t="str">
            <v>24013</v>
          </cell>
          <cell r="E3112" t="str">
            <v>C SWG</v>
          </cell>
          <cell r="F3112">
            <v>2</v>
          </cell>
          <cell r="G3112" t="str">
            <v>CB161408080201</v>
          </cell>
          <cell r="H3112">
            <v>2</v>
          </cell>
          <cell r="I3112">
            <v>1</v>
          </cell>
          <cell r="J3112">
            <v>2</v>
          </cell>
          <cell r="K3112">
            <v>3</v>
          </cell>
        </row>
        <row r="3113">
          <cell r="A3113" t="str">
            <v>M2</v>
          </cell>
          <cell r="B3113" t="str">
            <v>A5C</v>
          </cell>
          <cell r="C3113" t="str">
            <v>P</v>
          </cell>
          <cell r="D3113" t="str">
            <v>23115</v>
          </cell>
          <cell r="E3113" t="str">
            <v>E SWG</v>
          </cell>
          <cell r="F3113">
            <v>2</v>
          </cell>
          <cell r="G3113" t="str">
            <v>CB1624080802IH</v>
          </cell>
          <cell r="H3113">
            <v>2</v>
          </cell>
          <cell r="I3113">
            <v>1.5</v>
          </cell>
          <cell r="J3113">
            <v>2</v>
          </cell>
          <cell r="K3113">
            <v>3</v>
          </cell>
        </row>
        <row r="3114">
          <cell r="A3114" t="str">
            <v>M2</v>
          </cell>
          <cell r="B3114" t="str">
            <v>A5C</v>
          </cell>
          <cell r="C3114" t="str">
            <v>P</v>
          </cell>
          <cell r="D3114" t="str">
            <v>23188</v>
          </cell>
          <cell r="E3114" t="str">
            <v>E SWG</v>
          </cell>
          <cell r="F3114">
            <v>2</v>
          </cell>
          <cell r="G3114" t="str">
            <v>CB16240808020T</v>
          </cell>
          <cell r="H3114">
            <v>2</v>
          </cell>
          <cell r="I3114">
            <v>0.75</v>
          </cell>
          <cell r="J3114">
            <v>2</v>
          </cell>
          <cell r="K3114">
            <v>3</v>
          </cell>
        </row>
        <row r="3115">
          <cell r="A3115" t="str">
            <v>M2</v>
          </cell>
          <cell r="B3115" t="str">
            <v>A5C</v>
          </cell>
          <cell r="C3115" t="str">
            <v>P</v>
          </cell>
          <cell r="D3115" t="str">
            <v>23192</v>
          </cell>
          <cell r="E3115" t="str">
            <v>E SWG</v>
          </cell>
          <cell r="F3115">
            <v>2</v>
          </cell>
          <cell r="G3115" t="str">
            <v>CB1624080802IH</v>
          </cell>
          <cell r="H3115">
            <v>2</v>
          </cell>
          <cell r="I3115">
            <v>1.5</v>
          </cell>
          <cell r="J3115">
            <v>2</v>
          </cell>
          <cell r="K3115">
            <v>3</v>
          </cell>
        </row>
        <row r="3116">
          <cell r="A3116" t="str">
            <v>M2</v>
          </cell>
          <cell r="B3116" t="str">
            <v>A5C</v>
          </cell>
          <cell r="C3116" t="str">
            <v>P</v>
          </cell>
          <cell r="D3116" t="str">
            <v>23001</v>
          </cell>
          <cell r="E3116" t="str">
            <v>E SWG</v>
          </cell>
          <cell r="F3116">
            <v>2</v>
          </cell>
          <cell r="G3116" t="str">
            <v>CB1624080802IH</v>
          </cell>
          <cell r="H3116">
            <v>2</v>
          </cell>
          <cell r="I3116">
            <v>1.5</v>
          </cell>
          <cell r="J3116">
            <v>2</v>
          </cell>
          <cell r="K3116">
            <v>3</v>
          </cell>
        </row>
        <row r="3117">
          <cell r="A3117" t="str">
            <v>M2</v>
          </cell>
          <cell r="B3117" t="str">
            <v>A5C</v>
          </cell>
          <cell r="C3117" t="str">
            <v>P</v>
          </cell>
          <cell r="D3117" t="str">
            <v>23035</v>
          </cell>
          <cell r="E3117" t="str">
            <v>E SWG</v>
          </cell>
          <cell r="F3117">
            <v>2</v>
          </cell>
          <cell r="G3117" t="str">
            <v>CB1624080802IH</v>
          </cell>
          <cell r="H3117">
            <v>2</v>
          </cell>
          <cell r="I3117">
            <v>1.5</v>
          </cell>
          <cell r="J3117">
            <v>2</v>
          </cell>
          <cell r="K3117">
            <v>3</v>
          </cell>
        </row>
        <row r="3118">
          <cell r="A3118" t="str">
            <v>M2</v>
          </cell>
          <cell r="B3118" t="str">
            <v>A5C</v>
          </cell>
          <cell r="C3118" t="str">
            <v>P</v>
          </cell>
          <cell r="D3118" t="str">
            <v>23073</v>
          </cell>
          <cell r="E3118" t="str">
            <v>SOL</v>
          </cell>
          <cell r="F3118">
            <v>2</v>
          </cell>
          <cell r="G3118" t="str">
            <v>CB39020000020T</v>
          </cell>
          <cell r="H3118">
            <v>2</v>
          </cell>
          <cell r="I3118">
            <v>0.75</v>
          </cell>
          <cell r="J3118">
            <v>2</v>
          </cell>
          <cell r="K3118">
            <v>3</v>
          </cell>
        </row>
        <row r="3119">
          <cell r="A3119" t="str">
            <v>M2</v>
          </cell>
          <cell r="B3119" t="str">
            <v>A5C</v>
          </cell>
          <cell r="C3119" t="str">
            <v>P</v>
          </cell>
          <cell r="D3119" t="str">
            <v>23085</v>
          </cell>
          <cell r="E3119" t="str">
            <v>SOL</v>
          </cell>
          <cell r="F3119">
            <v>2</v>
          </cell>
          <cell r="G3119" t="str">
            <v>CB39020000020T</v>
          </cell>
          <cell r="H3119">
            <v>2</v>
          </cell>
          <cell r="I3119">
            <v>0.75</v>
          </cell>
          <cell r="J3119">
            <v>3</v>
          </cell>
          <cell r="K3119">
            <v>4</v>
          </cell>
        </row>
        <row r="3120">
          <cell r="A3120" t="str">
            <v>M2</v>
          </cell>
          <cell r="B3120" t="str">
            <v>A5C</v>
          </cell>
          <cell r="C3120" t="str">
            <v>P</v>
          </cell>
          <cell r="D3120" t="str">
            <v>23102</v>
          </cell>
          <cell r="E3120" t="str">
            <v>SOL</v>
          </cell>
          <cell r="F3120">
            <v>2</v>
          </cell>
          <cell r="G3120" t="str">
            <v>CB390200000201</v>
          </cell>
          <cell r="H3120">
            <v>2</v>
          </cell>
          <cell r="I3120">
            <v>1</v>
          </cell>
          <cell r="J3120">
            <v>1</v>
          </cell>
          <cell r="K3120">
            <v>2</v>
          </cell>
        </row>
        <row r="3121">
          <cell r="A3121" t="str">
            <v>M2</v>
          </cell>
          <cell r="B3121" t="str">
            <v>A5C</v>
          </cell>
          <cell r="C3121" t="str">
            <v>P</v>
          </cell>
          <cell r="D3121" t="str">
            <v>23192</v>
          </cell>
          <cell r="E3121" t="str">
            <v>SOL</v>
          </cell>
          <cell r="F3121">
            <v>2</v>
          </cell>
          <cell r="G3121" t="str">
            <v>CB39020000020T</v>
          </cell>
          <cell r="H3121">
            <v>2</v>
          </cell>
          <cell r="I3121">
            <v>0.75</v>
          </cell>
          <cell r="J3121">
            <v>3</v>
          </cell>
          <cell r="K3121">
            <v>4</v>
          </cell>
        </row>
        <row r="3122">
          <cell r="A3122" t="str">
            <v>M2</v>
          </cell>
          <cell r="B3122" t="str">
            <v>A5C</v>
          </cell>
          <cell r="C3122" t="str">
            <v>P</v>
          </cell>
          <cell r="D3122" t="str">
            <v>23192</v>
          </cell>
          <cell r="E3122" t="str">
            <v>SOL</v>
          </cell>
          <cell r="F3122">
            <v>2</v>
          </cell>
          <cell r="G3122" t="str">
            <v>CB3902000002IH</v>
          </cell>
          <cell r="H3122">
            <v>2</v>
          </cell>
          <cell r="I3122">
            <v>1.5</v>
          </cell>
          <cell r="J3122">
            <v>2</v>
          </cell>
          <cell r="K3122">
            <v>3</v>
          </cell>
        </row>
        <row r="3123">
          <cell r="A3123" t="str">
            <v>M2</v>
          </cell>
          <cell r="B3123" t="str">
            <v>A5C</v>
          </cell>
          <cell r="C3123" t="str">
            <v>P</v>
          </cell>
          <cell r="D3123" t="str">
            <v>23229</v>
          </cell>
          <cell r="E3123" t="str">
            <v>SOL</v>
          </cell>
          <cell r="F3123">
            <v>2</v>
          </cell>
          <cell r="G3123" t="str">
            <v>CB39020000020T</v>
          </cell>
          <cell r="H3123">
            <v>2</v>
          </cell>
          <cell r="I3123">
            <v>0.75</v>
          </cell>
          <cell r="J3123">
            <v>1</v>
          </cell>
          <cell r="K3123">
            <v>2</v>
          </cell>
        </row>
        <row r="3124">
          <cell r="A3124" t="str">
            <v>M2</v>
          </cell>
          <cell r="B3124" t="str">
            <v>A5C</v>
          </cell>
          <cell r="C3124" t="str">
            <v>P</v>
          </cell>
          <cell r="D3124" t="str">
            <v>23251</v>
          </cell>
          <cell r="E3124" t="str">
            <v>SOL</v>
          </cell>
          <cell r="F3124">
            <v>2</v>
          </cell>
          <cell r="G3124" t="str">
            <v>CB39020000020T</v>
          </cell>
          <cell r="H3124">
            <v>2</v>
          </cell>
          <cell r="I3124">
            <v>0.75</v>
          </cell>
          <cell r="J3124">
            <v>1</v>
          </cell>
          <cell r="K3124">
            <v>2</v>
          </cell>
        </row>
        <row r="3125">
          <cell r="A3125" t="str">
            <v>M2</v>
          </cell>
          <cell r="B3125" t="str">
            <v>A5C</v>
          </cell>
          <cell r="C3125" t="str">
            <v>P</v>
          </cell>
          <cell r="D3125" t="str">
            <v>23253</v>
          </cell>
          <cell r="E3125" t="str">
            <v>SOL</v>
          </cell>
          <cell r="F3125">
            <v>2</v>
          </cell>
          <cell r="G3125" t="str">
            <v>CB3902000002IH</v>
          </cell>
          <cell r="H3125">
            <v>2</v>
          </cell>
          <cell r="I3125">
            <v>1.5</v>
          </cell>
          <cell r="J3125">
            <v>1</v>
          </cell>
          <cell r="K3125">
            <v>2</v>
          </cell>
        </row>
        <row r="3126">
          <cell r="A3126" t="str">
            <v>M2</v>
          </cell>
          <cell r="B3126" t="str">
            <v>A5C</v>
          </cell>
          <cell r="C3126" t="str">
            <v>P</v>
          </cell>
          <cell r="D3126" t="str">
            <v>23261</v>
          </cell>
          <cell r="E3126" t="str">
            <v>SOL</v>
          </cell>
          <cell r="F3126">
            <v>2</v>
          </cell>
          <cell r="G3126" t="str">
            <v>CB390200000201</v>
          </cell>
          <cell r="H3126">
            <v>2</v>
          </cell>
          <cell r="I3126">
            <v>1</v>
          </cell>
          <cell r="J3126">
            <v>1</v>
          </cell>
          <cell r="K3126">
            <v>2</v>
          </cell>
        </row>
        <row r="3127">
          <cell r="A3127" t="str">
            <v>M2</v>
          </cell>
          <cell r="B3127" t="str">
            <v>A5C</v>
          </cell>
          <cell r="C3127" t="str">
            <v>P</v>
          </cell>
          <cell r="D3127" t="str">
            <v>24006</v>
          </cell>
          <cell r="E3127" t="str">
            <v>SOL</v>
          </cell>
          <cell r="F3127">
            <v>2</v>
          </cell>
          <cell r="G3127" t="str">
            <v>CB39020000020T</v>
          </cell>
          <cell r="H3127">
            <v>2</v>
          </cell>
          <cell r="I3127">
            <v>0.75</v>
          </cell>
          <cell r="J3127">
            <v>1</v>
          </cell>
          <cell r="K3127">
            <v>2</v>
          </cell>
        </row>
        <row r="3128">
          <cell r="A3128" t="str">
            <v>M2</v>
          </cell>
          <cell r="B3128" t="str">
            <v>A5C</v>
          </cell>
          <cell r="C3128" t="str">
            <v>P</v>
          </cell>
          <cell r="D3128" t="str">
            <v>24021</v>
          </cell>
          <cell r="E3128" t="str">
            <v>SOL</v>
          </cell>
          <cell r="F3128">
            <v>2</v>
          </cell>
          <cell r="G3128" t="str">
            <v>CB39020000020T</v>
          </cell>
          <cell r="H3128">
            <v>2</v>
          </cell>
          <cell r="I3128">
            <v>0.75</v>
          </cell>
          <cell r="J3128">
            <v>2</v>
          </cell>
          <cell r="K3128">
            <v>3</v>
          </cell>
        </row>
        <row r="3129">
          <cell r="A3129" t="str">
            <v>M2</v>
          </cell>
          <cell r="B3129" t="str">
            <v>A5C</v>
          </cell>
          <cell r="C3129" t="str">
            <v>P</v>
          </cell>
          <cell r="D3129" t="str">
            <v>24020</v>
          </cell>
          <cell r="E3129" t="str">
            <v>SOL</v>
          </cell>
          <cell r="F3129">
            <v>2</v>
          </cell>
          <cell r="G3129" t="str">
            <v>CB390200000201</v>
          </cell>
          <cell r="H3129">
            <v>2</v>
          </cell>
          <cell r="I3129">
            <v>1</v>
          </cell>
          <cell r="J3129">
            <v>1</v>
          </cell>
          <cell r="K3129">
            <v>2</v>
          </cell>
        </row>
        <row r="3130">
          <cell r="A3130" t="str">
            <v>M2</v>
          </cell>
          <cell r="B3130" t="str">
            <v>A5C</v>
          </cell>
          <cell r="C3130" t="str">
            <v>P</v>
          </cell>
          <cell r="D3130" t="str">
            <v>23096</v>
          </cell>
          <cell r="E3130" t="str">
            <v>SOL</v>
          </cell>
          <cell r="F3130">
            <v>2</v>
          </cell>
          <cell r="G3130" t="str">
            <v>CB39020000020T</v>
          </cell>
          <cell r="H3130">
            <v>2</v>
          </cell>
          <cell r="I3130">
            <v>0.75</v>
          </cell>
          <cell r="J3130">
            <v>4</v>
          </cell>
          <cell r="K3130">
            <v>5</v>
          </cell>
        </row>
        <row r="3131">
          <cell r="A3131" t="str">
            <v>M2</v>
          </cell>
          <cell r="B3131" t="str">
            <v>A5C</v>
          </cell>
          <cell r="C3131" t="str">
            <v>P</v>
          </cell>
          <cell r="D3131" t="str">
            <v>23102</v>
          </cell>
          <cell r="E3131" t="str">
            <v>SOL</v>
          </cell>
          <cell r="F3131">
            <v>2</v>
          </cell>
          <cell r="G3131" t="str">
            <v>CB39020000020T</v>
          </cell>
          <cell r="H3131">
            <v>2</v>
          </cell>
          <cell r="I3131">
            <v>0.75</v>
          </cell>
          <cell r="J3131">
            <v>2</v>
          </cell>
          <cell r="K3131">
            <v>3</v>
          </cell>
        </row>
        <row r="3132">
          <cell r="A3132" t="str">
            <v>M2</v>
          </cell>
          <cell r="B3132" t="str">
            <v>A5C</v>
          </cell>
          <cell r="C3132" t="str">
            <v>P</v>
          </cell>
          <cell r="D3132" t="str">
            <v>23135</v>
          </cell>
          <cell r="E3132" t="str">
            <v>SOL</v>
          </cell>
          <cell r="F3132">
            <v>2</v>
          </cell>
          <cell r="G3132" t="str">
            <v>CB39020000020T</v>
          </cell>
          <cell r="H3132">
            <v>2</v>
          </cell>
          <cell r="I3132">
            <v>0.75</v>
          </cell>
          <cell r="J3132">
            <v>4</v>
          </cell>
          <cell r="K3132">
            <v>5</v>
          </cell>
        </row>
        <row r="3133">
          <cell r="A3133" t="str">
            <v>M2</v>
          </cell>
          <cell r="B3133" t="str">
            <v>A5C</v>
          </cell>
          <cell r="C3133" t="str">
            <v>P</v>
          </cell>
          <cell r="D3133" t="str">
            <v>23192</v>
          </cell>
          <cell r="E3133" t="str">
            <v>SOL</v>
          </cell>
          <cell r="F3133">
            <v>2</v>
          </cell>
          <cell r="G3133" t="str">
            <v>CB39020000020T</v>
          </cell>
          <cell r="H3133">
            <v>2</v>
          </cell>
          <cell r="I3133">
            <v>0.75</v>
          </cell>
          <cell r="J3133">
            <v>1</v>
          </cell>
          <cell r="K3133">
            <v>2</v>
          </cell>
        </row>
        <row r="3134">
          <cell r="A3134" t="str">
            <v>M2</v>
          </cell>
          <cell r="B3134" t="str">
            <v>A5C</v>
          </cell>
          <cell r="C3134" t="str">
            <v>P</v>
          </cell>
          <cell r="D3134" t="str">
            <v>23231</v>
          </cell>
          <cell r="E3134" t="str">
            <v>SOL</v>
          </cell>
          <cell r="F3134">
            <v>2</v>
          </cell>
          <cell r="G3134" t="str">
            <v>CB3902000002IH</v>
          </cell>
          <cell r="H3134">
            <v>2</v>
          </cell>
          <cell r="I3134">
            <v>1.5</v>
          </cell>
          <cell r="J3134">
            <v>1</v>
          </cell>
          <cell r="K3134">
            <v>2</v>
          </cell>
        </row>
        <row r="3135">
          <cell r="A3135" t="str">
            <v>M2</v>
          </cell>
          <cell r="B3135" t="str">
            <v>A5C</v>
          </cell>
          <cell r="C3135" t="str">
            <v>P</v>
          </cell>
          <cell r="D3135" t="str">
            <v>23001</v>
          </cell>
          <cell r="E3135" t="str">
            <v>TEE</v>
          </cell>
          <cell r="F3135">
            <v>2</v>
          </cell>
          <cell r="G3135" t="str">
            <v>CB300308000200</v>
          </cell>
          <cell r="H3135">
            <v>2</v>
          </cell>
          <cell r="I3135" t="str">
            <v>--</v>
          </cell>
          <cell r="J3135">
            <v>1</v>
          </cell>
          <cell r="K3135">
            <v>2</v>
          </cell>
        </row>
        <row r="3136">
          <cell r="A3136" t="str">
            <v>M2</v>
          </cell>
          <cell r="B3136" t="str">
            <v>A5C</v>
          </cell>
          <cell r="C3136" t="str">
            <v>P</v>
          </cell>
          <cell r="D3136" t="str">
            <v>23073</v>
          </cell>
          <cell r="E3136" t="str">
            <v>TEE</v>
          </cell>
          <cell r="F3136">
            <v>2</v>
          </cell>
          <cell r="G3136" t="str">
            <v>CB300308000200</v>
          </cell>
          <cell r="H3136">
            <v>2</v>
          </cell>
          <cell r="I3136" t="str">
            <v>--</v>
          </cell>
          <cell r="J3136">
            <v>1</v>
          </cell>
          <cell r="K3136">
            <v>2</v>
          </cell>
        </row>
        <row r="3137">
          <cell r="A3137" t="str">
            <v>M2</v>
          </cell>
          <cell r="B3137" t="str">
            <v>A5C</v>
          </cell>
          <cell r="C3137" t="str">
            <v>P</v>
          </cell>
          <cell r="D3137" t="str">
            <v>23085</v>
          </cell>
          <cell r="E3137" t="str">
            <v>TEE</v>
          </cell>
          <cell r="F3137">
            <v>2</v>
          </cell>
          <cell r="G3137" t="str">
            <v>CB300308000200</v>
          </cell>
          <cell r="H3137">
            <v>2</v>
          </cell>
          <cell r="I3137" t="str">
            <v>--</v>
          </cell>
          <cell r="J3137">
            <v>1</v>
          </cell>
          <cell r="K3137">
            <v>2</v>
          </cell>
        </row>
        <row r="3138">
          <cell r="A3138" t="str">
            <v>M2</v>
          </cell>
          <cell r="B3138" t="str">
            <v>A5C</v>
          </cell>
          <cell r="C3138" t="str">
            <v>P</v>
          </cell>
          <cell r="D3138" t="str">
            <v>23096</v>
          </cell>
          <cell r="E3138" t="str">
            <v>TEE</v>
          </cell>
          <cell r="F3138">
            <v>2</v>
          </cell>
          <cell r="G3138" t="str">
            <v>CB300308000200</v>
          </cell>
          <cell r="H3138">
            <v>2</v>
          </cell>
          <cell r="I3138" t="str">
            <v>--</v>
          </cell>
          <cell r="J3138">
            <v>3</v>
          </cell>
          <cell r="K3138">
            <v>4</v>
          </cell>
        </row>
        <row r="3139">
          <cell r="A3139" t="str">
            <v>M2</v>
          </cell>
          <cell r="B3139" t="str">
            <v>A5C</v>
          </cell>
          <cell r="C3139" t="str">
            <v>P</v>
          </cell>
          <cell r="D3139" t="str">
            <v>23102</v>
          </cell>
          <cell r="E3139" t="str">
            <v>TEE</v>
          </cell>
          <cell r="F3139">
            <v>2</v>
          </cell>
          <cell r="G3139" t="str">
            <v>CB300308000200</v>
          </cell>
          <cell r="H3139">
            <v>2</v>
          </cell>
          <cell r="I3139" t="str">
            <v>--</v>
          </cell>
          <cell r="J3139">
            <v>1</v>
          </cell>
          <cell r="K3139">
            <v>2</v>
          </cell>
        </row>
        <row r="3140">
          <cell r="A3140" t="str">
            <v>M2</v>
          </cell>
          <cell r="B3140" t="str">
            <v>A5C</v>
          </cell>
          <cell r="C3140" t="str">
            <v>P</v>
          </cell>
          <cell r="D3140" t="str">
            <v>23115</v>
          </cell>
          <cell r="E3140" t="str">
            <v>TEE</v>
          </cell>
          <cell r="F3140">
            <v>2</v>
          </cell>
          <cell r="G3140" t="str">
            <v>CB300308000200</v>
          </cell>
          <cell r="H3140">
            <v>2</v>
          </cell>
          <cell r="I3140" t="str">
            <v>--</v>
          </cell>
          <cell r="J3140">
            <v>1</v>
          </cell>
          <cell r="K3140">
            <v>2</v>
          </cell>
        </row>
        <row r="3141">
          <cell r="A3141" t="str">
            <v>M2</v>
          </cell>
          <cell r="B3141" t="str">
            <v>A5C</v>
          </cell>
          <cell r="C3141" t="str">
            <v>P</v>
          </cell>
          <cell r="D3141" t="str">
            <v>23261</v>
          </cell>
          <cell r="E3141" t="str">
            <v>TEE</v>
          </cell>
          <cell r="F3141">
            <v>2</v>
          </cell>
          <cell r="G3141" t="str">
            <v>CB300308000200</v>
          </cell>
          <cell r="H3141">
            <v>2</v>
          </cell>
          <cell r="I3141" t="str">
            <v>--</v>
          </cell>
          <cell r="J3141">
            <v>2</v>
          </cell>
          <cell r="K3141">
            <v>3</v>
          </cell>
        </row>
        <row r="3142">
          <cell r="A3142" t="str">
            <v>M2</v>
          </cell>
          <cell r="B3142" t="str">
            <v>A5C</v>
          </cell>
          <cell r="C3142" t="str">
            <v>P</v>
          </cell>
          <cell r="D3142" t="str">
            <v>24021</v>
          </cell>
          <cell r="E3142" t="str">
            <v>TEE</v>
          </cell>
          <cell r="F3142">
            <v>2</v>
          </cell>
          <cell r="G3142" t="str">
            <v>CB300308000200</v>
          </cell>
          <cell r="H3142">
            <v>2</v>
          </cell>
          <cell r="I3142" t="str">
            <v>--</v>
          </cell>
          <cell r="J3142">
            <v>1</v>
          </cell>
          <cell r="K3142">
            <v>2</v>
          </cell>
        </row>
        <row r="3143">
          <cell r="A3143" t="str">
            <v>M2</v>
          </cell>
          <cell r="B3143" t="str">
            <v>A5C</v>
          </cell>
          <cell r="C3143" t="str">
            <v>P</v>
          </cell>
          <cell r="D3143" t="str">
            <v>23135</v>
          </cell>
          <cell r="E3143" t="str">
            <v>TEE</v>
          </cell>
          <cell r="F3143">
            <v>2</v>
          </cell>
          <cell r="G3143" t="str">
            <v>CB300308000200</v>
          </cell>
          <cell r="H3143">
            <v>2</v>
          </cell>
          <cell r="I3143" t="str">
            <v>--</v>
          </cell>
          <cell r="J3143">
            <v>3</v>
          </cell>
          <cell r="K3143">
            <v>4</v>
          </cell>
        </row>
        <row r="3144">
          <cell r="A3144" t="str">
            <v>M2</v>
          </cell>
          <cell r="B3144" t="str">
            <v>A5C</v>
          </cell>
          <cell r="C3144" t="str">
            <v>P</v>
          </cell>
          <cell r="D3144" t="str">
            <v>HOLD1</v>
          </cell>
          <cell r="E3144" t="str">
            <v>TOL</v>
          </cell>
          <cell r="F3144">
            <v>2</v>
          </cell>
          <cell r="G3144" t="str">
            <v>CB39030000020T</v>
          </cell>
          <cell r="H3144">
            <v>2</v>
          </cell>
          <cell r="I3144">
            <v>0.75</v>
          </cell>
          <cell r="J3144">
            <v>1</v>
          </cell>
          <cell r="K3144">
            <v>2</v>
          </cell>
        </row>
        <row r="3145">
          <cell r="A3145" t="str">
            <v>M2</v>
          </cell>
          <cell r="B3145" t="str">
            <v>A5C</v>
          </cell>
          <cell r="C3145" t="str">
            <v>P</v>
          </cell>
          <cell r="D3145" t="str">
            <v>23263</v>
          </cell>
          <cell r="E3145" t="str">
            <v>90 ELL</v>
          </cell>
          <cell r="F3145">
            <v>2</v>
          </cell>
          <cell r="G3145" t="str">
            <v>CB300108000200</v>
          </cell>
          <cell r="H3145">
            <v>2</v>
          </cell>
          <cell r="I3145" t="str">
            <v>--</v>
          </cell>
          <cell r="J3145">
            <v>4</v>
          </cell>
          <cell r="K3145">
            <v>5</v>
          </cell>
        </row>
        <row r="3146">
          <cell r="A3146" t="str">
            <v>M2</v>
          </cell>
          <cell r="B3146" t="str">
            <v>A5C</v>
          </cell>
          <cell r="C3146" t="str">
            <v>P</v>
          </cell>
          <cell r="D3146" t="str">
            <v>23264</v>
          </cell>
          <cell r="E3146" t="str">
            <v>90 ELL</v>
          </cell>
          <cell r="F3146">
            <v>2</v>
          </cell>
          <cell r="G3146" t="str">
            <v>CB300108000200</v>
          </cell>
          <cell r="H3146">
            <v>2</v>
          </cell>
          <cell r="I3146" t="str">
            <v>--</v>
          </cell>
          <cell r="J3146">
            <v>5</v>
          </cell>
          <cell r="K3146">
            <v>6</v>
          </cell>
        </row>
        <row r="3147">
          <cell r="A3147" t="str">
            <v>M2</v>
          </cell>
          <cell r="B3147" t="str">
            <v>A5C</v>
          </cell>
          <cell r="C3147" t="str">
            <v>P</v>
          </cell>
          <cell r="D3147" t="str">
            <v>24009</v>
          </cell>
          <cell r="E3147" t="str">
            <v>90 ELL</v>
          </cell>
          <cell r="F3147">
            <v>2</v>
          </cell>
          <cell r="G3147" t="str">
            <v>CB300108000200</v>
          </cell>
          <cell r="H3147">
            <v>2</v>
          </cell>
          <cell r="I3147" t="str">
            <v>--</v>
          </cell>
          <cell r="J3147">
            <v>4</v>
          </cell>
          <cell r="K3147">
            <v>5</v>
          </cell>
        </row>
        <row r="3148">
          <cell r="A3148" t="str">
            <v>M2</v>
          </cell>
          <cell r="B3148" t="str">
            <v>A5C</v>
          </cell>
          <cell r="C3148" t="str">
            <v>TRIM</v>
          </cell>
          <cell r="D3148" t="str">
            <v>V-2352</v>
          </cell>
          <cell r="E3148" t="str">
            <v>90 ELL</v>
          </cell>
          <cell r="F3148">
            <v>2</v>
          </cell>
          <cell r="G3148" t="str">
            <v>CB300108000200</v>
          </cell>
          <cell r="H3148">
            <v>2</v>
          </cell>
          <cell r="I3148" t="str">
            <v>--</v>
          </cell>
          <cell r="J3148">
            <v>2</v>
          </cell>
          <cell r="K3148">
            <v>3</v>
          </cell>
        </row>
        <row r="3149">
          <cell r="A3149" t="str">
            <v>M2</v>
          </cell>
          <cell r="B3149" t="str">
            <v>A5C</v>
          </cell>
          <cell r="C3149" t="str">
            <v>TRIM</v>
          </cell>
          <cell r="D3149" t="str">
            <v>V-2352</v>
          </cell>
          <cell r="E3149" t="str">
            <v>CAP</v>
          </cell>
          <cell r="F3149">
            <v>2</v>
          </cell>
          <cell r="G3149" t="str">
            <v>CB300708000200</v>
          </cell>
          <cell r="H3149">
            <v>2</v>
          </cell>
          <cell r="I3149" t="str">
            <v>--</v>
          </cell>
          <cell r="J3149">
            <v>2</v>
          </cell>
          <cell r="K3149">
            <v>3</v>
          </cell>
        </row>
        <row r="3150">
          <cell r="A3150" t="str">
            <v>M2</v>
          </cell>
          <cell r="B3150" t="str">
            <v>A5C</v>
          </cell>
          <cell r="C3150" t="str">
            <v>P</v>
          </cell>
          <cell r="D3150" t="str">
            <v>23264</v>
          </cell>
          <cell r="E3150" t="str">
            <v>SOL</v>
          </cell>
          <cell r="F3150">
            <v>2</v>
          </cell>
          <cell r="G3150" t="str">
            <v>CB39020000020T</v>
          </cell>
          <cell r="H3150">
            <v>2</v>
          </cell>
          <cell r="I3150">
            <v>0.75</v>
          </cell>
          <cell r="J3150">
            <v>2</v>
          </cell>
          <cell r="K3150">
            <v>3</v>
          </cell>
        </row>
        <row r="3151">
          <cell r="A3151" t="str">
            <v>M2</v>
          </cell>
          <cell r="B3151" t="str">
            <v>A5C</v>
          </cell>
          <cell r="C3151" t="str">
            <v>TRIM</v>
          </cell>
          <cell r="D3151" t="str">
            <v>V-2352</v>
          </cell>
          <cell r="E3151" t="str">
            <v>SOL</v>
          </cell>
          <cell r="F3151">
            <v>2</v>
          </cell>
          <cell r="G3151" t="str">
            <v>CB39020000020T</v>
          </cell>
          <cell r="H3151">
            <v>2</v>
          </cell>
          <cell r="I3151">
            <v>0.75</v>
          </cell>
          <cell r="J3151">
            <v>5</v>
          </cell>
          <cell r="K3151">
            <v>6</v>
          </cell>
        </row>
        <row r="3152">
          <cell r="A3152" t="str">
            <v>M2</v>
          </cell>
          <cell r="B3152" t="str">
            <v>A5C</v>
          </cell>
          <cell r="C3152" t="str">
            <v>P</v>
          </cell>
          <cell r="D3152" t="str">
            <v>24009</v>
          </cell>
          <cell r="E3152" t="str">
            <v>TEE</v>
          </cell>
          <cell r="F3152">
            <v>2</v>
          </cell>
          <cell r="G3152" t="str">
            <v>CB300308000200</v>
          </cell>
          <cell r="H3152">
            <v>2</v>
          </cell>
          <cell r="I3152" t="str">
            <v>--</v>
          </cell>
          <cell r="J3152">
            <v>1</v>
          </cell>
          <cell r="K3152">
            <v>2</v>
          </cell>
        </row>
        <row r="3153">
          <cell r="A3153" t="str">
            <v>M2</v>
          </cell>
          <cell r="B3153" t="str">
            <v>A5C</v>
          </cell>
          <cell r="C3153" t="str">
            <v>TRIM</v>
          </cell>
          <cell r="D3153" t="str">
            <v>V-2352</v>
          </cell>
          <cell r="E3153" t="str">
            <v>TEE</v>
          </cell>
          <cell r="F3153">
            <v>2</v>
          </cell>
          <cell r="G3153" t="str">
            <v>CB300308000200</v>
          </cell>
          <cell r="H3153">
            <v>2</v>
          </cell>
          <cell r="I3153" t="str">
            <v>--</v>
          </cell>
          <cell r="J3153">
            <v>2</v>
          </cell>
          <cell r="K3153">
            <v>3</v>
          </cell>
        </row>
        <row r="3154">
          <cell r="A3154" t="str">
            <v>M2</v>
          </cell>
          <cell r="B3154" t="str">
            <v>A5C</v>
          </cell>
          <cell r="C3154" t="str">
            <v>P</v>
          </cell>
          <cell r="D3154" t="str">
            <v>23030</v>
          </cell>
          <cell r="E3154" t="str">
            <v>45 ELL</v>
          </cell>
          <cell r="F3154">
            <v>2</v>
          </cell>
          <cell r="G3154" t="str">
            <v>CB300208000200</v>
          </cell>
          <cell r="H3154">
            <v>2</v>
          </cell>
          <cell r="I3154" t="str">
            <v>--</v>
          </cell>
          <cell r="J3154">
            <v>1</v>
          </cell>
          <cell r="K3154">
            <v>2</v>
          </cell>
        </row>
        <row r="3155">
          <cell r="A3155" t="str">
            <v>M2</v>
          </cell>
          <cell r="B3155" t="str">
            <v>A5C</v>
          </cell>
          <cell r="C3155" t="str">
            <v>P</v>
          </cell>
          <cell r="D3155" t="str">
            <v>23019</v>
          </cell>
          <cell r="E3155" t="str">
            <v>90 ELL</v>
          </cell>
          <cell r="F3155">
            <v>2</v>
          </cell>
          <cell r="G3155" t="str">
            <v>CB300108000200</v>
          </cell>
          <cell r="H3155">
            <v>2</v>
          </cell>
          <cell r="I3155" t="str">
            <v>--</v>
          </cell>
          <cell r="J3155">
            <v>6</v>
          </cell>
          <cell r="K3155">
            <v>7</v>
          </cell>
        </row>
        <row r="3156">
          <cell r="A3156" t="str">
            <v>M2</v>
          </cell>
          <cell r="B3156" t="str">
            <v>A5C</v>
          </cell>
          <cell r="C3156" t="str">
            <v>P</v>
          </cell>
          <cell r="D3156" t="str">
            <v>23020</v>
          </cell>
          <cell r="E3156" t="str">
            <v>90 ELL</v>
          </cell>
          <cell r="F3156">
            <v>2</v>
          </cell>
          <cell r="G3156" t="str">
            <v>CB300108000200</v>
          </cell>
          <cell r="H3156">
            <v>2</v>
          </cell>
          <cell r="I3156" t="str">
            <v>--</v>
          </cell>
          <cell r="J3156">
            <v>6</v>
          </cell>
          <cell r="K3156">
            <v>7</v>
          </cell>
        </row>
        <row r="3157">
          <cell r="A3157" t="str">
            <v>M2</v>
          </cell>
          <cell r="B3157" t="str">
            <v>A5C</v>
          </cell>
          <cell r="C3157" t="str">
            <v>P</v>
          </cell>
          <cell r="D3157" t="str">
            <v>23030</v>
          </cell>
          <cell r="E3157" t="str">
            <v>90 ELL</v>
          </cell>
          <cell r="F3157">
            <v>2</v>
          </cell>
          <cell r="G3157" t="str">
            <v>CB300108000200</v>
          </cell>
          <cell r="H3157">
            <v>2</v>
          </cell>
          <cell r="I3157" t="str">
            <v>--</v>
          </cell>
          <cell r="J3157">
            <v>6</v>
          </cell>
          <cell r="K3157">
            <v>7</v>
          </cell>
        </row>
        <row r="3158">
          <cell r="A3158" t="str">
            <v>M2</v>
          </cell>
          <cell r="B3158" t="str">
            <v>A5C</v>
          </cell>
          <cell r="C3158" t="str">
            <v>P</v>
          </cell>
          <cell r="D3158" t="str">
            <v>23032</v>
          </cell>
          <cell r="E3158" t="str">
            <v>90 ELL</v>
          </cell>
          <cell r="F3158">
            <v>2</v>
          </cell>
          <cell r="G3158" t="str">
            <v>CB300108000200</v>
          </cell>
          <cell r="H3158">
            <v>2</v>
          </cell>
          <cell r="I3158" t="str">
            <v>--</v>
          </cell>
          <cell r="J3158">
            <v>1</v>
          </cell>
          <cell r="K3158">
            <v>2</v>
          </cell>
        </row>
        <row r="3159">
          <cell r="A3159" t="str">
            <v>M2</v>
          </cell>
          <cell r="B3159" t="str">
            <v>A5C</v>
          </cell>
          <cell r="C3159" t="str">
            <v>P</v>
          </cell>
          <cell r="D3159" t="str">
            <v>23036</v>
          </cell>
          <cell r="E3159" t="str">
            <v>90 ELL</v>
          </cell>
          <cell r="F3159">
            <v>2</v>
          </cell>
          <cell r="G3159" t="str">
            <v>CB300108000200</v>
          </cell>
          <cell r="H3159">
            <v>2</v>
          </cell>
          <cell r="I3159" t="str">
            <v>--</v>
          </cell>
          <cell r="J3159">
            <v>8</v>
          </cell>
          <cell r="K3159">
            <v>9</v>
          </cell>
        </row>
        <row r="3160">
          <cell r="A3160" t="str">
            <v>M2</v>
          </cell>
          <cell r="B3160" t="str">
            <v>A5C</v>
          </cell>
          <cell r="C3160" t="str">
            <v>P</v>
          </cell>
          <cell r="D3160" t="str">
            <v>23054</v>
          </cell>
          <cell r="E3160" t="str">
            <v>90 ELL</v>
          </cell>
          <cell r="F3160">
            <v>2</v>
          </cell>
          <cell r="G3160" t="str">
            <v>CB300108000200</v>
          </cell>
          <cell r="H3160">
            <v>2</v>
          </cell>
          <cell r="I3160" t="str">
            <v>--</v>
          </cell>
          <cell r="J3160">
            <v>6</v>
          </cell>
          <cell r="K3160">
            <v>7</v>
          </cell>
        </row>
        <row r="3161">
          <cell r="A3161" t="str">
            <v>M2</v>
          </cell>
          <cell r="B3161" t="str">
            <v>A5C</v>
          </cell>
          <cell r="C3161" t="str">
            <v>P</v>
          </cell>
          <cell r="D3161" t="str">
            <v>23054</v>
          </cell>
          <cell r="E3161" t="str">
            <v>90 ELL</v>
          </cell>
          <cell r="F3161">
            <v>2</v>
          </cell>
          <cell r="G3161" t="str">
            <v>CB300108000200</v>
          </cell>
          <cell r="H3161">
            <v>2</v>
          </cell>
          <cell r="I3161" t="str">
            <v>--</v>
          </cell>
          <cell r="J3161">
            <v>4</v>
          </cell>
          <cell r="K3161">
            <v>5</v>
          </cell>
        </row>
        <row r="3162">
          <cell r="A3162" t="str">
            <v>M2</v>
          </cell>
          <cell r="B3162" t="str">
            <v>A5C</v>
          </cell>
          <cell r="C3162" t="str">
            <v>P</v>
          </cell>
          <cell r="D3162" t="str">
            <v>23092</v>
          </cell>
          <cell r="E3162" t="str">
            <v>90 ELL</v>
          </cell>
          <cell r="F3162">
            <v>2</v>
          </cell>
          <cell r="G3162" t="str">
            <v>CB300108000200</v>
          </cell>
          <cell r="H3162">
            <v>2</v>
          </cell>
          <cell r="I3162" t="str">
            <v>--</v>
          </cell>
          <cell r="J3162">
            <v>9</v>
          </cell>
          <cell r="K3162">
            <v>10</v>
          </cell>
        </row>
        <row r="3163">
          <cell r="A3163" t="str">
            <v>M2</v>
          </cell>
          <cell r="B3163" t="str">
            <v>A5C</v>
          </cell>
          <cell r="C3163" t="str">
            <v>P</v>
          </cell>
          <cell r="D3163" t="str">
            <v>23224</v>
          </cell>
          <cell r="E3163" t="str">
            <v>90 ELL</v>
          </cell>
          <cell r="F3163">
            <v>2</v>
          </cell>
          <cell r="G3163" t="str">
            <v>CB300108000200</v>
          </cell>
          <cell r="H3163">
            <v>2</v>
          </cell>
          <cell r="I3163" t="str">
            <v>--</v>
          </cell>
          <cell r="J3163">
            <v>4</v>
          </cell>
          <cell r="K3163">
            <v>5</v>
          </cell>
        </row>
        <row r="3164">
          <cell r="A3164" t="str">
            <v>M2</v>
          </cell>
          <cell r="B3164" t="str">
            <v>A5C</v>
          </cell>
          <cell r="C3164" t="str">
            <v>TRIM</v>
          </cell>
          <cell r="D3164" t="str">
            <v>V-2302</v>
          </cell>
          <cell r="E3164" t="str">
            <v>90 ELL</v>
          </cell>
          <cell r="F3164">
            <v>2</v>
          </cell>
          <cell r="G3164" t="str">
            <v>CB300108000200</v>
          </cell>
          <cell r="H3164">
            <v>2</v>
          </cell>
          <cell r="I3164" t="str">
            <v>--</v>
          </cell>
          <cell r="J3164">
            <v>2</v>
          </cell>
          <cell r="K3164">
            <v>3</v>
          </cell>
        </row>
        <row r="3165">
          <cell r="A3165" t="str">
            <v>M2</v>
          </cell>
          <cell r="B3165" t="str">
            <v>A5C</v>
          </cell>
          <cell r="C3165" t="str">
            <v>TRIM</v>
          </cell>
          <cell r="D3165" t="str">
            <v>V-2304</v>
          </cell>
          <cell r="E3165" t="str">
            <v>90 ELL</v>
          </cell>
          <cell r="F3165">
            <v>2</v>
          </cell>
          <cell r="G3165" t="str">
            <v>CB300108000200</v>
          </cell>
          <cell r="H3165">
            <v>2</v>
          </cell>
          <cell r="I3165" t="str">
            <v>--</v>
          </cell>
          <cell r="J3165">
            <v>2</v>
          </cell>
          <cell r="K3165">
            <v>3</v>
          </cell>
        </row>
        <row r="3166">
          <cell r="A3166" t="str">
            <v>M2</v>
          </cell>
          <cell r="B3166" t="str">
            <v>A5C</v>
          </cell>
          <cell r="C3166" t="str">
            <v>TRIM</v>
          </cell>
          <cell r="D3166" t="str">
            <v>V-2306</v>
          </cell>
          <cell r="E3166" t="str">
            <v>90 ELL</v>
          </cell>
          <cell r="F3166">
            <v>2</v>
          </cell>
          <cell r="G3166" t="str">
            <v>CB300108000200</v>
          </cell>
          <cell r="H3166">
            <v>2</v>
          </cell>
          <cell r="I3166" t="str">
            <v>--</v>
          </cell>
          <cell r="J3166">
            <v>2</v>
          </cell>
          <cell r="K3166">
            <v>3</v>
          </cell>
        </row>
        <row r="3167">
          <cell r="A3167" t="str">
            <v>M2</v>
          </cell>
          <cell r="B3167" t="str">
            <v>A5C</v>
          </cell>
          <cell r="C3167" t="str">
            <v>TRIM</v>
          </cell>
          <cell r="D3167" t="str">
            <v>V-2308</v>
          </cell>
          <cell r="E3167" t="str">
            <v>90 ELL</v>
          </cell>
          <cell r="F3167">
            <v>2</v>
          </cell>
          <cell r="G3167" t="str">
            <v>CB300108000200</v>
          </cell>
          <cell r="H3167">
            <v>2</v>
          </cell>
          <cell r="I3167" t="str">
            <v>--</v>
          </cell>
          <cell r="J3167">
            <v>2</v>
          </cell>
          <cell r="K3167">
            <v>3</v>
          </cell>
        </row>
        <row r="3168">
          <cell r="A3168" t="str">
            <v>M2</v>
          </cell>
          <cell r="B3168" t="str">
            <v>A5C</v>
          </cell>
          <cell r="C3168" t="str">
            <v>TRIM</v>
          </cell>
          <cell r="D3168" t="str">
            <v>V-2313</v>
          </cell>
          <cell r="E3168" t="str">
            <v>90 ELL</v>
          </cell>
          <cell r="F3168">
            <v>2</v>
          </cell>
          <cell r="G3168" t="str">
            <v>CB300108000200</v>
          </cell>
          <cell r="H3168">
            <v>2</v>
          </cell>
          <cell r="I3168" t="str">
            <v>--</v>
          </cell>
          <cell r="J3168">
            <v>2</v>
          </cell>
          <cell r="K3168">
            <v>3</v>
          </cell>
        </row>
        <row r="3169">
          <cell r="A3169" t="str">
            <v>M2</v>
          </cell>
          <cell r="B3169" t="str">
            <v>A5C</v>
          </cell>
          <cell r="C3169" t="str">
            <v>TRIM</v>
          </cell>
          <cell r="D3169" t="str">
            <v>V-2325</v>
          </cell>
          <cell r="E3169" t="str">
            <v>90 ELL</v>
          </cell>
          <cell r="F3169">
            <v>2</v>
          </cell>
          <cell r="G3169" t="str">
            <v>CB300108000200</v>
          </cell>
          <cell r="H3169">
            <v>2</v>
          </cell>
          <cell r="I3169" t="str">
            <v>--</v>
          </cell>
          <cell r="J3169">
            <v>2</v>
          </cell>
          <cell r="K3169">
            <v>3</v>
          </cell>
        </row>
        <row r="3170">
          <cell r="A3170" t="str">
            <v>M2</v>
          </cell>
          <cell r="B3170" t="str">
            <v>A5C</v>
          </cell>
          <cell r="C3170" t="str">
            <v>TRIM</v>
          </cell>
          <cell r="D3170" t="str">
            <v>V-2403</v>
          </cell>
          <cell r="E3170" t="str">
            <v>90 ELL</v>
          </cell>
          <cell r="F3170">
            <v>2</v>
          </cell>
          <cell r="G3170" t="str">
            <v>CB300108000200</v>
          </cell>
          <cell r="H3170">
            <v>2</v>
          </cell>
          <cell r="I3170" t="str">
            <v>--</v>
          </cell>
          <cell r="J3170">
            <v>2</v>
          </cell>
          <cell r="K3170">
            <v>3</v>
          </cell>
        </row>
        <row r="3171">
          <cell r="A3171" t="str">
            <v>M2</v>
          </cell>
          <cell r="B3171" t="str">
            <v>A5C</v>
          </cell>
          <cell r="C3171" t="str">
            <v>P</v>
          </cell>
          <cell r="D3171" t="str">
            <v>23020</v>
          </cell>
          <cell r="E3171" t="str">
            <v>90 ELL</v>
          </cell>
          <cell r="F3171">
            <v>2</v>
          </cell>
          <cell r="G3171" t="str">
            <v>CB300108000200</v>
          </cell>
          <cell r="H3171">
            <v>2</v>
          </cell>
          <cell r="I3171" t="str">
            <v>--</v>
          </cell>
          <cell r="J3171">
            <v>4</v>
          </cell>
          <cell r="K3171">
            <v>5</v>
          </cell>
        </row>
        <row r="3172">
          <cell r="A3172" t="str">
            <v>M2</v>
          </cell>
          <cell r="B3172" t="str">
            <v>A5C</v>
          </cell>
          <cell r="C3172" t="str">
            <v>P</v>
          </cell>
          <cell r="D3172" t="str">
            <v>23053</v>
          </cell>
          <cell r="E3172" t="str">
            <v>90 ELL</v>
          </cell>
          <cell r="F3172">
            <v>2</v>
          </cell>
          <cell r="G3172" t="str">
            <v>CB300108000200</v>
          </cell>
          <cell r="H3172">
            <v>2</v>
          </cell>
          <cell r="I3172" t="str">
            <v>--</v>
          </cell>
          <cell r="J3172">
            <v>6</v>
          </cell>
          <cell r="K3172">
            <v>7</v>
          </cell>
        </row>
        <row r="3173">
          <cell r="A3173" t="str">
            <v>M2</v>
          </cell>
          <cell r="B3173" t="str">
            <v>A5C</v>
          </cell>
          <cell r="C3173" t="str">
            <v>TRIM</v>
          </cell>
          <cell r="D3173" t="str">
            <v>V-2310</v>
          </cell>
          <cell r="E3173" t="str">
            <v>90 ELL</v>
          </cell>
          <cell r="F3173">
            <v>2</v>
          </cell>
          <cell r="G3173" t="str">
            <v>CB300108000200</v>
          </cell>
          <cell r="H3173">
            <v>2</v>
          </cell>
          <cell r="I3173" t="str">
            <v>--</v>
          </cell>
          <cell r="J3173">
            <v>2</v>
          </cell>
          <cell r="K3173">
            <v>3</v>
          </cell>
        </row>
        <row r="3174">
          <cell r="A3174" t="str">
            <v>M2</v>
          </cell>
          <cell r="B3174" t="str">
            <v>A5C</v>
          </cell>
          <cell r="C3174" t="str">
            <v>P</v>
          </cell>
          <cell r="D3174" t="str">
            <v>23019</v>
          </cell>
          <cell r="E3174" t="str">
            <v>C SWG</v>
          </cell>
          <cell r="F3174">
            <v>2</v>
          </cell>
          <cell r="G3174" t="str">
            <v>CB1614080802IH</v>
          </cell>
          <cell r="H3174">
            <v>2</v>
          </cell>
          <cell r="I3174">
            <v>1.5</v>
          </cell>
          <cell r="J3174">
            <v>2</v>
          </cell>
          <cell r="K3174">
            <v>3</v>
          </cell>
        </row>
        <row r="3175">
          <cell r="A3175" t="str">
            <v>M2</v>
          </cell>
          <cell r="B3175" t="str">
            <v>A5C</v>
          </cell>
          <cell r="C3175" t="str">
            <v>P</v>
          </cell>
          <cell r="D3175" t="str">
            <v>23053</v>
          </cell>
          <cell r="E3175" t="str">
            <v>C SWG</v>
          </cell>
          <cell r="F3175">
            <v>2</v>
          </cell>
          <cell r="G3175" t="str">
            <v>CB1614080802IH</v>
          </cell>
          <cell r="H3175">
            <v>2</v>
          </cell>
          <cell r="I3175">
            <v>1.5</v>
          </cell>
          <cell r="J3175">
            <v>2</v>
          </cell>
          <cell r="K3175">
            <v>3</v>
          </cell>
        </row>
        <row r="3176">
          <cell r="A3176" t="str">
            <v>M2</v>
          </cell>
          <cell r="B3176" t="str">
            <v>A5C</v>
          </cell>
          <cell r="C3176" t="str">
            <v>P</v>
          </cell>
          <cell r="D3176" t="str">
            <v>23224</v>
          </cell>
          <cell r="E3176" t="str">
            <v>C SWG</v>
          </cell>
          <cell r="F3176">
            <v>2</v>
          </cell>
          <cell r="G3176" t="str">
            <v>CB1614080802IH</v>
          </cell>
          <cell r="H3176">
            <v>2</v>
          </cell>
          <cell r="I3176">
            <v>1.5</v>
          </cell>
          <cell r="J3176">
            <v>2</v>
          </cell>
          <cell r="K3176">
            <v>3</v>
          </cell>
        </row>
        <row r="3177">
          <cell r="A3177" t="str">
            <v>M2</v>
          </cell>
          <cell r="B3177" t="str">
            <v>A5C</v>
          </cell>
          <cell r="C3177" t="str">
            <v>P</v>
          </cell>
          <cell r="D3177" t="str">
            <v>24016</v>
          </cell>
          <cell r="E3177" t="str">
            <v>C SWG</v>
          </cell>
          <cell r="F3177">
            <v>2</v>
          </cell>
          <cell r="G3177" t="str">
            <v>CB16140808020T</v>
          </cell>
          <cell r="H3177">
            <v>2</v>
          </cell>
          <cell r="I3177">
            <v>0.75</v>
          </cell>
          <cell r="J3177">
            <v>2</v>
          </cell>
          <cell r="K3177">
            <v>3</v>
          </cell>
        </row>
        <row r="3178">
          <cell r="A3178" t="str">
            <v>M2</v>
          </cell>
          <cell r="B3178" t="str">
            <v>A5C</v>
          </cell>
          <cell r="C3178" t="str">
            <v>P</v>
          </cell>
          <cell r="D3178" t="str">
            <v>23020</v>
          </cell>
          <cell r="E3178" t="str">
            <v>E SWG</v>
          </cell>
          <cell r="F3178">
            <v>2</v>
          </cell>
          <cell r="G3178" t="str">
            <v>CB1624080802IH</v>
          </cell>
          <cell r="H3178">
            <v>2</v>
          </cell>
          <cell r="I3178">
            <v>1.5</v>
          </cell>
          <cell r="J3178">
            <v>2</v>
          </cell>
          <cell r="K3178">
            <v>3</v>
          </cell>
        </row>
        <row r="3179">
          <cell r="A3179" t="str">
            <v>M2</v>
          </cell>
          <cell r="B3179" t="str">
            <v>A5C</v>
          </cell>
          <cell r="C3179" t="str">
            <v>P</v>
          </cell>
          <cell r="D3179" t="str">
            <v>23030</v>
          </cell>
          <cell r="E3179" t="str">
            <v>E SWG</v>
          </cell>
          <cell r="F3179">
            <v>2</v>
          </cell>
          <cell r="G3179" t="str">
            <v>CB1624080802IH</v>
          </cell>
          <cell r="H3179">
            <v>2</v>
          </cell>
          <cell r="I3179">
            <v>1.5</v>
          </cell>
          <cell r="J3179">
            <v>2</v>
          </cell>
          <cell r="K3179">
            <v>3</v>
          </cell>
        </row>
        <row r="3180">
          <cell r="A3180" t="str">
            <v>M2</v>
          </cell>
          <cell r="B3180" t="str">
            <v>A5C</v>
          </cell>
          <cell r="C3180" t="str">
            <v>P</v>
          </cell>
          <cell r="D3180" t="str">
            <v>23054</v>
          </cell>
          <cell r="E3180" t="str">
            <v>E SWG</v>
          </cell>
          <cell r="F3180">
            <v>2</v>
          </cell>
          <cell r="G3180" t="str">
            <v>CB1624080802IH</v>
          </cell>
          <cell r="H3180">
            <v>2</v>
          </cell>
          <cell r="I3180">
            <v>1.5</v>
          </cell>
          <cell r="J3180">
            <v>2</v>
          </cell>
          <cell r="K3180">
            <v>3</v>
          </cell>
        </row>
        <row r="3181">
          <cell r="A3181" t="str">
            <v>M2</v>
          </cell>
          <cell r="B3181" t="str">
            <v>A5C</v>
          </cell>
          <cell r="C3181" t="str">
            <v>P</v>
          </cell>
          <cell r="D3181" t="str">
            <v>24018</v>
          </cell>
          <cell r="E3181" t="str">
            <v>E SWG</v>
          </cell>
          <cell r="F3181">
            <v>2</v>
          </cell>
          <cell r="G3181" t="str">
            <v>CB16240808020T</v>
          </cell>
          <cell r="H3181">
            <v>2</v>
          </cell>
          <cell r="I3181">
            <v>0.75</v>
          </cell>
          <cell r="J3181">
            <v>2</v>
          </cell>
          <cell r="K3181">
            <v>3</v>
          </cell>
        </row>
        <row r="3182">
          <cell r="A3182" t="str">
            <v>M2</v>
          </cell>
          <cell r="B3182" t="str">
            <v>A5C</v>
          </cell>
          <cell r="C3182" t="str">
            <v>P</v>
          </cell>
          <cell r="D3182" t="str">
            <v>23036</v>
          </cell>
          <cell r="E3182" t="str">
            <v>E SWG</v>
          </cell>
          <cell r="F3182">
            <v>2</v>
          </cell>
          <cell r="G3182" t="str">
            <v>CB1624080802IH</v>
          </cell>
          <cell r="H3182">
            <v>2</v>
          </cell>
          <cell r="I3182">
            <v>1.5</v>
          </cell>
          <cell r="J3182">
            <v>2</v>
          </cell>
          <cell r="K3182">
            <v>3</v>
          </cell>
        </row>
        <row r="3183">
          <cell r="A3183" t="str">
            <v>M2</v>
          </cell>
          <cell r="B3183" t="str">
            <v>A5C</v>
          </cell>
          <cell r="C3183" t="str">
            <v>P</v>
          </cell>
          <cell r="D3183" t="str">
            <v>23020</v>
          </cell>
          <cell r="E3183" t="str">
            <v>SOL</v>
          </cell>
          <cell r="F3183">
            <v>2</v>
          </cell>
          <cell r="G3183" t="str">
            <v>CB39020000020T</v>
          </cell>
          <cell r="H3183">
            <v>2</v>
          </cell>
          <cell r="I3183">
            <v>0.75</v>
          </cell>
          <cell r="J3183">
            <v>1</v>
          </cell>
          <cell r="K3183">
            <v>2</v>
          </cell>
        </row>
        <row r="3184">
          <cell r="A3184" t="str">
            <v>M2</v>
          </cell>
          <cell r="B3184" t="str">
            <v>A5C</v>
          </cell>
          <cell r="C3184" t="str">
            <v>P</v>
          </cell>
          <cell r="D3184" t="str">
            <v>23020</v>
          </cell>
          <cell r="E3184" t="str">
            <v>SOL</v>
          </cell>
          <cell r="F3184">
            <v>2</v>
          </cell>
          <cell r="G3184" t="str">
            <v>CB3902000002IH</v>
          </cell>
          <cell r="H3184">
            <v>2</v>
          </cell>
          <cell r="I3184">
            <v>1.5</v>
          </cell>
          <cell r="J3184">
            <v>2</v>
          </cell>
          <cell r="K3184">
            <v>3</v>
          </cell>
        </row>
        <row r="3185">
          <cell r="A3185" t="str">
            <v>M2</v>
          </cell>
          <cell r="B3185" t="str">
            <v>A5C</v>
          </cell>
          <cell r="C3185" t="str">
            <v>P</v>
          </cell>
          <cell r="D3185" t="str">
            <v>23054</v>
          </cell>
          <cell r="E3185" t="str">
            <v>SOL</v>
          </cell>
          <cell r="F3185">
            <v>2</v>
          </cell>
          <cell r="G3185" t="str">
            <v>CB39020000020T</v>
          </cell>
          <cell r="H3185">
            <v>2</v>
          </cell>
          <cell r="I3185">
            <v>0.75</v>
          </cell>
          <cell r="J3185">
            <v>1</v>
          </cell>
          <cell r="K3185">
            <v>2</v>
          </cell>
        </row>
        <row r="3186">
          <cell r="A3186" t="str">
            <v>M2</v>
          </cell>
          <cell r="B3186" t="str">
            <v>A5C</v>
          </cell>
          <cell r="C3186" t="str">
            <v>P</v>
          </cell>
          <cell r="D3186" t="str">
            <v>23054</v>
          </cell>
          <cell r="E3186" t="str">
            <v>SOL</v>
          </cell>
          <cell r="F3186">
            <v>2</v>
          </cell>
          <cell r="G3186" t="str">
            <v>CB3902000002IH</v>
          </cell>
          <cell r="H3186">
            <v>2</v>
          </cell>
          <cell r="I3186">
            <v>1.5</v>
          </cell>
          <cell r="J3186">
            <v>2</v>
          </cell>
          <cell r="K3186">
            <v>3</v>
          </cell>
        </row>
        <row r="3187">
          <cell r="A3187" t="str">
            <v>M2</v>
          </cell>
          <cell r="B3187" t="str">
            <v>A5C</v>
          </cell>
          <cell r="C3187" t="str">
            <v>P</v>
          </cell>
          <cell r="D3187" t="str">
            <v>23053</v>
          </cell>
          <cell r="E3187" t="str">
            <v>SOL</v>
          </cell>
          <cell r="F3187">
            <v>2</v>
          </cell>
          <cell r="G3187" t="str">
            <v>CB39020000020T</v>
          </cell>
          <cell r="H3187">
            <v>2</v>
          </cell>
          <cell r="I3187">
            <v>0.75</v>
          </cell>
          <cell r="J3187">
            <v>5</v>
          </cell>
          <cell r="K3187">
            <v>6</v>
          </cell>
        </row>
        <row r="3188">
          <cell r="A3188" t="str">
            <v>M2</v>
          </cell>
          <cell r="B3188" t="str">
            <v>A5C</v>
          </cell>
          <cell r="C3188" t="str">
            <v>P</v>
          </cell>
          <cell r="D3188" t="str">
            <v>23019</v>
          </cell>
          <cell r="E3188" t="str">
            <v>SOL</v>
          </cell>
          <cell r="F3188">
            <v>2</v>
          </cell>
          <cell r="G3188" t="str">
            <v>CB3902000002IH</v>
          </cell>
          <cell r="H3188">
            <v>2</v>
          </cell>
          <cell r="I3188">
            <v>1.5</v>
          </cell>
          <cell r="J3188">
            <v>1</v>
          </cell>
          <cell r="K3188">
            <v>2</v>
          </cell>
        </row>
        <row r="3189">
          <cell r="A3189" t="str">
            <v>M2</v>
          </cell>
          <cell r="B3189" t="str">
            <v>A5C</v>
          </cell>
          <cell r="C3189" t="str">
            <v>P</v>
          </cell>
          <cell r="D3189" t="str">
            <v>23019</v>
          </cell>
          <cell r="E3189" t="str">
            <v>SOL</v>
          </cell>
          <cell r="F3189">
            <v>2</v>
          </cell>
          <cell r="G3189" t="str">
            <v>CB39020000020T</v>
          </cell>
          <cell r="H3189">
            <v>2</v>
          </cell>
          <cell r="I3189">
            <v>0.75</v>
          </cell>
          <cell r="J3189">
            <v>4</v>
          </cell>
          <cell r="K3189">
            <v>5</v>
          </cell>
        </row>
        <row r="3190">
          <cell r="A3190" t="str">
            <v>M2</v>
          </cell>
          <cell r="B3190" t="str">
            <v>A5C</v>
          </cell>
          <cell r="C3190" t="str">
            <v>P</v>
          </cell>
          <cell r="D3190" t="str">
            <v>23224</v>
          </cell>
          <cell r="E3190" t="str">
            <v>SOL</v>
          </cell>
          <cell r="F3190">
            <v>2</v>
          </cell>
          <cell r="G3190" t="str">
            <v>CB39020000020T</v>
          </cell>
          <cell r="H3190">
            <v>2</v>
          </cell>
          <cell r="I3190">
            <v>0.75</v>
          </cell>
          <cell r="J3190">
            <v>2</v>
          </cell>
          <cell r="K3190">
            <v>3</v>
          </cell>
        </row>
        <row r="3191">
          <cell r="A3191" t="str">
            <v>M2</v>
          </cell>
          <cell r="B3191" t="str">
            <v>A5C</v>
          </cell>
          <cell r="C3191" t="str">
            <v>P</v>
          </cell>
          <cell r="D3191" t="str">
            <v>23224</v>
          </cell>
          <cell r="E3191" t="str">
            <v>SOL</v>
          </cell>
          <cell r="F3191">
            <v>2</v>
          </cell>
          <cell r="G3191" t="str">
            <v>CB390200000201</v>
          </cell>
          <cell r="H3191">
            <v>2</v>
          </cell>
          <cell r="I3191">
            <v>1</v>
          </cell>
          <cell r="J3191">
            <v>1</v>
          </cell>
          <cell r="K3191">
            <v>2</v>
          </cell>
        </row>
        <row r="3192">
          <cell r="A3192" t="str">
            <v>M2</v>
          </cell>
          <cell r="B3192" t="str">
            <v>A5C</v>
          </cell>
          <cell r="C3192" t="str">
            <v>P</v>
          </cell>
          <cell r="D3192" t="str">
            <v>23036</v>
          </cell>
          <cell r="E3192" t="str">
            <v>TEE</v>
          </cell>
          <cell r="F3192">
            <v>2</v>
          </cell>
          <cell r="G3192" t="str">
            <v>CB300308000200</v>
          </cell>
          <cell r="H3192">
            <v>2</v>
          </cell>
          <cell r="I3192" t="str">
            <v>--</v>
          </cell>
          <cell r="J3192">
            <v>1</v>
          </cell>
          <cell r="K3192">
            <v>2</v>
          </cell>
        </row>
        <row r="3193">
          <cell r="A3193" t="str">
            <v>M2</v>
          </cell>
          <cell r="B3193" t="str">
            <v>A5C</v>
          </cell>
          <cell r="C3193" t="str">
            <v>P</v>
          </cell>
          <cell r="D3193" t="str">
            <v>23224</v>
          </cell>
          <cell r="E3193" t="str">
            <v>TEE</v>
          </cell>
          <cell r="F3193">
            <v>2</v>
          </cell>
          <cell r="G3193" t="str">
            <v>CB300308000200</v>
          </cell>
          <cell r="H3193">
            <v>2</v>
          </cell>
          <cell r="I3193" t="str">
            <v>--</v>
          </cell>
          <cell r="J3193">
            <v>1</v>
          </cell>
          <cell r="K3193">
            <v>2</v>
          </cell>
        </row>
        <row r="3194">
          <cell r="A3194" t="str">
            <v>M2</v>
          </cell>
          <cell r="B3194" t="str">
            <v>A5C</v>
          </cell>
          <cell r="C3194" t="str">
            <v>P</v>
          </cell>
          <cell r="D3194" t="str">
            <v>23019</v>
          </cell>
          <cell r="E3194" t="str">
            <v>TEE</v>
          </cell>
          <cell r="F3194">
            <v>2</v>
          </cell>
          <cell r="G3194" t="str">
            <v>CB300308000200</v>
          </cell>
          <cell r="H3194">
            <v>2</v>
          </cell>
          <cell r="I3194" t="str">
            <v>--</v>
          </cell>
          <cell r="J3194">
            <v>1</v>
          </cell>
          <cell r="K3194">
            <v>2</v>
          </cell>
        </row>
        <row r="3195">
          <cell r="A3195" t="str">
            <v>M2</v>
          </cell>
          <cell r="B3195" t="str">
            <v>A5C</v>
          </cell>
          <cell r="C3195" t="str">
            <v>P</v>
          </cell>
          <cell r="D3195" t="str">
            <v>23030</v>
          </cell>
          <cell r="E3195" t="str">
            <v>TEE</v>
          </cell>
          <cell r="F3195">
            <v>2</v>
          </cell>
          <cell r="G3195" t="str">
            <v>CB300308000200</v>
          </cell>
          <cell r="H3195">
            <v>2</v>
          </cell>
          <cell r="I3195" t="str">
            <v>--</v>
          </cell>
          <cell r="J3195">
            <v>1</v>
          </cell>
          <cell r="K3195">
            <v>2</v>
          </cell>
        </row>
        <row r="3196">
          <cell r="A3196" t="str">
            <v>M2</v>
          </cell>
          <cell r="B3196" t="str">
            <v>A5C</v>
          </cell>
          <cell r="C3196" t="str">
            <v>P</v>
          </cell>
          <cell r="D3196" t="str">
            <v>23053</v>
          </cell>
          <cell r="E3196" t="str">
            <v>TEE</v>
          </cell>
          <cell r="F3196">
            <v>2</v>
          </cell>
          <cell r="G3196" t="str">
            <v>CB300308000200</v>
          </cell>
          <cell r="H3196">
            <v>2</v>
          </cell>
          <cell r="I3196" t="str">
            <v>--</v>
          </cell>
          <cell r="J3196">
            <v>1</v>
          </cell>
          <cell r="K3196">
            <v>2</v>
          </cell>
        </row>
        <row r="3197">
          <cell r="A3197" t="str">
            <v>M2</v>
          </cell>
          <cell r="B3197" t="str">
            <v>A5C</v>
          </cell>
          <cell r="C3197" t="str">
            <v>TRIM</v>
          </cell>
          <cell r="D3197" t="str">
            <v>V-2401</v>
          </cell>
          <cell r="E3197" t="str">
            <v>90 ELL</v>
          </cell>
          <cell r="F3197">
            <v>2</v>
          </cell>
          <cell r="G3197" t="str">
            <v>CB300108000200</v>
          </cell>
          <cell r="H3197">
            <v>2</v>
          </cell>
          <cell r="I3197" t="str">
            <v>--</v>
          </cell>
          <cell r="J3197">
            <v>2</v>
          </cell>
          <cell r="K3197">
            <v>3</v>
          </cell>
        </row>
        <row r="3198">
          <cell r="A3198" t="str">
            <v>M2</v>
          </cell>
          <cell r="B3198" t="str">
            <v>A5C</v>
          </cell>
          <cell r="C3198" t="str">
            <v>TRIM</v>
          </cell>
          <cell r="D3198" t="str">
            <v>R-2401</v>
          </cell>
          <cell r="E3198" t="str">
            <v>90 ELL</v>
          </cell>
          <cell r="F3198">
            <v>2</v>
          </cell>
          <cell r="G3198" t="str">
            <v>CB300108000200</v>
          </cell>
          <cell r="H3198">
            <v>2</v>
          </cell>
          <cell r="I3198" t="str">
            <v>--</v>
          </cell>
          <cell r="J3198">
            <v>1</v>
          </cell>
          <cell r="K3198">
            <v>2</v>
          </cell>
        </row>
        <row r="3199">
          <cell r="A3199" t="str">
            <v>M2</v>
          </cell>
          <cell r="B3199" t="str">
            <v>A5C</v>
          </cell>
          <cell r="C3199" t="str">
            <v>TRIM</v>
          </cell>
          <cell r="D3199" t="str">
            <v>V-2404</v>
          </cell>
          <cell r="E3199" t="str">
            <v>90 ELL</v>
          </cell>
          <cell r="F3199">
            <v>2</v>
          </cell>
          <cell r="G3199" t="str">
            <v>CB300108000200</v>
          </cell>
          <cell r="H3199">
            <v>2</v>
          </cell>
          <cell r="I3199" t="str">
            <v>--</v>
          </cell>
          <cell r="J3199">
            <v>2</v>
          </cell>
          <cell r="K3199">
            <v>3</v>
          </cell>
        </row>
        <row r="3200">
          <cell r="A3200" t="str">
            <v>M2</v>
          </cell>
          <cell r="B3200" t="str">
            <v>B2C</v>
          </cell>
          <cell r="C3200" t="str">
            <v>SH</v>
          </cell>
          <cell r="D3200" t="str">
            <v>23601</v>
          </cell>
          <cell r="E3200" t="str">
            <v>90 ELL</v>
          </cell>
          <cell r="F3200">
            <v>2</v>
          </cell>
          <cell r="G3200" t="str">
            <v>CB300104000300</v>
          </cell>
          <cell r="H3200">
            <v>3</v>
          </cell>
          <cell r="I3200" t="str">
            <v>--</v>
          </cell>
          <cell r="J3200">
            <v>6</v>
          </cell>
          <cell r="K3200">
            <v>7</v>
          </cell>
        </row>
        <row r="3201">
          <cell r="A3201" t="str">
            <v>M2</v>
          </cell>
          <cell r="B3201" t="str">
            <v>B2C</v>
          </cell>
          <cell r="C3201" t="str">
            <v>SH</v>
          </cell>
          <cell r="D3201" t="str">
            <v>23612</v>
          </cell>
          <cell r="E3201" t="str">
            <v>90 ELL</v>
          </cell>
          <cell r="F3201">
            <v>2</v>
          </cell>
          <cell r="G3201" t="str">
            <v>CB300104000300</v>
          </cell>
          <cell r="H3201">
            <v>3</v>
          </cell>
          <cell r="I3201" t="str">
            <v>--</v>
          </cell>
          <cell r="J3201">
            <v>8</v>
          </cell>
          <cell r="K3201">
            <v>9</v>
          </cell>
        </row>
        <row r="3202">
          <cell r="A3202" t="str">
            <v>M2</v>
          </cell>
          <cell r="B3202" t="str">
            <v>B2C</v>
          </cell>
          <cell r="C3202" t="str">
            <v>SH</v>
          </cell>
          <cell r="D3202" t="str">
            <v>23601</v>
          </cell>
          <cell r="E3202" t="str">
            <v>CAP</v>
          </cell>
          <cell r="F3202">
            <v>2</v>
          </cell>
          <cell r="G3202" t="str">
            <v>CB300704000300</v>
          </cell>
          <cell r="H3202">
            <v>3</v>
          </cell>
          <cell r="I3202" t="str">
            <v>--</v>
          </cell>
          <cell r="J3202">
            <v>2</v>
          </cell>
          <cell r="K3202">
            <v>3</v>
          </cell>
        </row>
        <row r="3203">
          <cell r="A3203" t="str">
            <v>M2</v>
          </cell>
          <cell r="B3203" t="str">
            <v>B2C</v>
          </cell>
          <cell r="C3203" t="str">
            <v>SH</v>
          </cell>
          <cell r="D3203" t="str">
            <v>23612</v>
          </cell>
          <cell r="E3203" t="str">
            <v>E RED</v>
          </cell>
          <cell r="F3203">
            <v>2</v>
          </cell>
          <cell r="G3203" t="str">
            <v>CB300604080302</v>
          </cell>
          <cell r="H3203">
            <v>3</v>
          </cell>
          <cell r="I3203">
            <v>2</v>
          </cell>
          <cell r="J3203">
            <v>2</v>
          </cell>
          <cell r="K3203">
            <v>3</v>
          </cell>
        </row>
        <row r="3204">
          <cell r="A3204" t="str">
            <v>M2</v>
          </cell>
          <cell r="B3204" t="str">
            <v>B2C</v>
          </cell>
          <cell r="C3204" t="str">
            <v>SH</v>
          </cell>
          <cell r="D3204" t="str">
            <v>23601</v>
          </cell>
          <cell r="E3204" t="str">
            <v>SOL</v>
          </cell>
          <cell r="F3204">
            <v>2</v>
          </cell>
          <cell r="G3204" t="str">
            <v>CB390200000301</v>
          </cell>
          <cell r="H3204">
            <v>3</v>
          </cell>
          <cell r="I3204">
            <v>1</v>
          </cell>
          <cell r="J3204">
            <v>1</v>
          </cell>
          <cell r="K3204">
            <v>2</v>
          </cell>
        </row>
        <row r="3205">
          <cell r="A3205" t="str">
            <v>M2</v>
          </cell>
          <cell r="B3205" t="str">
            <v>B2C</v>
          </cell>
          <cell r="C3205" t="str">
            <v>SH</v>
          </cell>
          <cell r="D3205" t="str">
            <v>23601</v>
          </cell>
          <cell r="E3205" t="str">
            <v>SOL</v>
          </cell>
          <cell r="F3205">
            <v>2</v>
          </cell>
          <cell r="G3205" t="str">
            <v>CB39020000030T</v>
          </cell>
          <cell r="H3205">
            <v>3</v>
          </cell>
          <cell r="I3205">
            <v>0.75</v>
          </cell>
          <cell r="J3205">
            <v>5</v>
          </cell>
          <cell r="K3205">
            <v>6</v>
          </cell>
        </row>
        <row r="3206">
          <cell r="A3206" t="str">
            <v>M2</v>
          </cell>
          <cell r="B3206" t="str">
            <v>B2C</v>
          </cell>
          <cell r="C3206" t="str">
            <v>SH</v>
          </cell>
          <cell r="D3206" t="str">
            <v>23612</v>
          </cell>
          <cell r="E3206" t="str">
            <v>SOL</v>
          </cell>
          <cell r="F3206">
            <v>2</v>
          </cell>
          <cell r="G3206" t="str">
            <v>CB390200000301</v>
          </cell>
          <cell r="H3206">
            <v>3</v>
          </cell>
          <cell r="I3206">
            <v>1</v>
          </cell>
          <cell r="J3206">
            <v>1</v>
          </cell>
          <cell r="K3206">
            <v>2</v>
          </cell>
        </row>
        <row r="3207">
          <cell r="A3207" t="str">
            <v>M2</v>
          </cell>
          <cell r="B3207" t="str">
            <v>B2C</v>
          </cell>
          <cell r="C3207" t="str">
            <v>SH</v>
          </cell>
          <cell r="D3207" t="str">
            <v>23612</v>
          </cell>
          <cell r="E3207" t="str">
            <v>SOL</v>
          </cell>
          <cell r="F3207">
            <v>2</v>
          </cell>
          <cell r="G3207" t="str">
            <v>CB39020000030T</v>
          </cell>
          <cell r="H3207">
            <v>3</v>
          </cell>
          <cell r="I3207">
            <v>0.75</v>
          </cell>
          <cell r="J3207">
            <v>2</v>
          </cell>
          <cell r="K3207">
            <v>3</v>
          </cell>
        </row>
        <row r="3208">
          <cell r="A3208" t="str">
            <v>M2</v>
          </cell>
          <cell r="B3208" t="str">
            <v>B2C</v>
          </cell>
          <cell r="C3208" t="str">
            <v>SH</v>
          </cell>
          <cell r="D3208" t="str">
            <v>23601</v>
          </cell>
          <cell r="E3208" t="str">
            <v>TEE</v>
          </cell>
          <cell r="F3208">
            <v>2</v>
          </cell>
          <cell r="G3208" t="str">
            <v>CB300304000300</v>
          </cell>
          <cell r="H3208">
            <v>3</v>
          </cell>
          <cell r="I3208" t="str">
            <v>--</v>
          </cell>
          <cell r="J3208">
            <v>3</v>
          </cell>
          <cell r="K3208">
            <v>4</v>
          </cell>
        </row>
        <row r="3209">
          <cell r="A3209" t="str">
            <v>M2</v>
          </cell>
          <cell r="B3209" t="str">
            <v>B2C</v>
          </cell>
          <cell r="C3209" t="str">
            <v>SH</v>
          </cell>
          <cell r="D3209" t="str">
            <v>23601</v>
          </cell>
          <cell r="E3209" t="str">
            <v>TOL</v>
          </cell>
          <cell r="F3209">
            <v>2</v>
          </cell>
          <cell r="G3209" t="str">
            <v>CB39030000030T</v>
          </cell>
          <cell r="H3209">
            <v>3</v>
          </cell>
          <cell r="I3209">
            <v>0.75</v>
          </cell>
          <cell r="J3209">
            <v>1</v>
          </cell>
          <cell r="K3209">
            <v>2</v>
          </cell>
        </row>
        <row r="3210">
          <cell r="A3210" t="str">
            <v>M2</v>
          </cell>
          <cell r="B3210" t="str">
            <v>A5C</v>
          </cell>
          <cell r="C3210" t="str">
            <v>P</v>
          </cell>
          <cell r="D3210" t="str">
            <v>23258</v>
          </cell>
          <cell r="E3210" t="str">
            <v>45 ELL</v>
          </cell>
          <cell r="F3210">
            <v>2</v>
          </cell>
          <cell r="G3210" t="str">
            <v>CB300204000300</v>
          </cell>
          <cell r="H3210">
            <v>3</v>
          </cell>
          <cell r="I3210" t="str">
            <v>--</v>
          </cell>
          <cell r="J3210">
            <v>1</v>
          </cell>
          <cell r="K3210">
            <v>2</v>
          </cell>
        </row>
        <row r="3211">
          <cell r="A3211" t="str">
            <v>M2</v>
          </cell>
          <cell r="B3211" t="str">
            <v>A5C</v>
          </cell>
          <cell r="C3211" t="str">
            <v>P</v>
          </cell>
          <cell r="D3211" t="str">
            <v>23005</v>
          </cell>
          <cell r="E3211" t="str">
            <v>90 ELL</v>
          </cell>
          <cell r="F3211">
            <v>2</v>
          </cell>
          <cell r="G3211" t="str">
            <v>CB300104000300</v>
          </cell>
          <cell r="H3211">
            <v>3</v>
          </cell>
          <cell r="I3211" t="str">
            <v>--</v>
          </cell>
          <cell r="J3211">
            <v>4</v>
          </cell>
          <cell r="K3211">
            <v>5</v>
          </cell>
        </row>
        <row r="3212">
          <cell r="A3212" t="str">
            <v>M2</v>
          </cell>
          <cell r="B3212" t="str">
            <v>A5C</v>
          </cell>
          <cell r="C3212" t="str">
            <v>P</v>
          </cell>
          <cell r="D3212" t="str">
            <v>23047</v>
          </cell>
          <cell r="E3212" t="str">
            <v>90 ELL</v>
          </cell>
          <cell r="F3212">
            <v>2</v>
          </cell>
          <cell r="G3212" t="str">
            <v>CB300104000300</v>
          </cell>
          <cell r="H3212">
            <v>3</v>
          </cell>
          <cell r="I3212" t="str">
            <v>--</v>
          </cell>
          <cell r="J3212">
            <v>3</v>
          </cell>
          <cell r="K3212">
            <v>4</v>
          </cell>
        </row>
        <row r="3213">
          <cell r="A3213" t="str">
            <v>M2</v>
          </cell>
          <cell r="B3213" t="str">
            <v>A5C</v>
          </cell>
          <cell r="C3213" t="str">
            <v>P</v>
          </cell>
          <cell r="D3213" t="str">
            <v>23106</v>
          </cell>
          <cell r="E3213" t="str">
            <v>90 ELL</v>
          </cell>
          <cell r="F3213">
            <v>2</v>
          </cell>
          <cell r="G3213" t="str">
            <v>CB300104000300</v>
          </cell>
          <cell r="H3213">
            <v>3</v>
          </cell>
          <cell r="I3213" t="str">
            <v>--</v>
          </cell>
          <cell r="J3213">
            <v>3</v>
          </cell>
          <cell r="K3213">
            <v>4</v>
          </cell>
        </row>
        <row r="3214">
          <cell r="A3214" t="str">
            <v>M2</v>
          </cell>
          <cell r="B3214" t="str">
            <v>A5C</v>
          </cell>
          <cell r="C3214" t="str">
            <v>P</v>
          </cell>
          <cell r="D3214" t="str">
            <v>23106</v>
          </cell>
          <cell r="E3214" t="str">
            <v>90 ELL</v>
          </cell>
          <cell r="F3214">
            <v>2</v>
          </cell>
          <cell r="G3214" t="str">
            <v>CB300104000300</v>
          </cell>
          <cell r="H3214">
            <v>3</v>
          </cell>
          <cell r="I3214" t="str">
            <v>--</v>
          </cell>
          <cell r="J3214">
            <v>2</v>
          </cell>
          <cell r="K3214">
            <v>3</v>
          </cell>
        </row>
        <row r="3215">
          <cell r="A3215" t="str">
            <v>M2</v>
          </cell>
          <cell r="B3215" t="str">
            <v>A5C</v>
          </cell>
          <cell r="C3215" t="str">
            <v>P</v>
          </cell>
          <cell r="D3215" t="str">
            <v>23124</v>
          </cell>
          <cell r="E3215" t="str">
            <v>90 ELL</v>
          </cell>
          <cell r="F3215">
            <v>2</v>
          </cell>
          <cell r="G3215" t="str">
            <v>CB300104000300</v>
          </cell>
          <cell r="H3215">
            <v>3</v>
          </cell>
          <cell r="I3215" t="str">
            <v>--</v>
          </cell>
          <cell r="J3215">
            <v>8</v>
          </cell>
          <cell r="K3215">
            <v>9</v>
          </cell>
        </row>
        <row r="3216">
          <cell r="A3216" t="str">
            <v>M2</v>
          </cell>
          <cell r="B3216" t="str">
            <v>A5C</v>
          </cell>
          <cell r="C3216" t="str">
            <v>P</v>
          </cell>
          <cell r="D3216" t="str">
            <v>23142</v>
          </cell>
          <cell r="E3216" t="str">
            <v>90 ELL</v>
          </cell>
          <cell r="F3216">
            <v>2</v>
          </cell>
          <cell r="G3216" t="str">
            <v>CB300104000300</v>
          </cell>
          <cell r="H3216">
            <v>3</v>
          </cell>
          <cell r="I3216" t="str">
            <v>--</v>
          </cell>
          <cell r="J3216">
            <v>4</v>
          </cell>
          <cell r="K3216">
            <v>5</v>
          </cell>
        </row>
        <row r="3217">
          <cell r="A3217" t="str">
            <v>M2</v>
          </cell>
          <cell r="B3217" t="str">
            <v>A5C</v>
          </cell>
          <cell r="C3217" t="str">
            <v>P</v>
          </cell>
          <cell r="D3217" t="str">
            <v>23232</v>
          </cell>
          <cell r="E3217" t="str">
            <v>90 ELL</v>
          </cell>
          <cell r="F3217">
            <v>2</v>
          </cell>
          <cell r="G3217" t="str">
            <v>CB300104000300</v>
          </cell>
          <cell r="H3217">
            <v>3</v>
          </cell>
          <cell r="I3217" t="str">
            <v>--</v>
          </cell>
          <cell r="J3217">
            <v>4</v>
          </cell>
          <cell r="K3217">
            <v>5</v>
          </cell>
        </row>
        <row r="3218">
          <cell r="A3218" t="str">
            <v>M2</v>
          </cell>
          <cell r="B3218" t="str">
            <v>A5C</v>
          </cell>
          <cell r="C3218" t="str">
            <v>P</v>
          </cell>
          <cell r="D3218" t="str">
            <v>23240</v>
          </cell>
          <cell r="E3218" t="str">
            <v>90 ELL</v>
          </cell>
          <cell r="F3218">
            <v>2</v>
          </cell>
          <cell r="G3218" t="str">
            <v>CB300104000300</v>
          </cell>
          <cell r="H3218">
            <v>3</v>
          </cell>
          <cell r="I3218" t="str">
            <v>--</v>
          </cell>
          <cell r="J3218">
            <v>2</v>
          </cell>
          <cell r="K3218">
            <v>3</v>
          </cell>
        </row>
        <row r="3219">
          <cell r="A3219" t="str">
            <v>M2</v>
          </cell>
          <cell r="B3219" t="str">
            <v>A5C</v>
          </cell>
          <cell r="C3219" t="str">
            <v>P</v>
          </cell>
          <cell r="D3219" t="str">
            <v>23236</v>
          </cell>
          <cell r="E3219" t="str">
            <v>90 ELL</v>
          </cell>
          <cell r="F3219">
            <v>2</v>
          </cell>
          <cell r="G3219" t="str">
            <v>CB300104000300</v>
          </cell>
          <cell r="H3219">
            <v>3</v>
          </cell>
          <cell r="I3219" t="str">
            <v>--</v>
          </cell>
          <cell r="J3219">
            <v>3</v>
          </cell>
          <cell r="K3219">
            <v>4</v>
          </cell>
        </row>
        <row r="3220">
          <cell r="A3220" t="str">
            <v>M2</v>
          </cell>
          <cell r="B3220" t="str">
            <v>A5C</v>
          </cell>
          <cell r="C3220" t="str">
            <v>P</v>
          </cell>
          <cell r="D3220" t="str">
            <v>23240</v>
          </cell>
          <cell r="E3220" t="str">
            <v>90 ELL</v>
          </cell>
          <cell r="F3220">
            <v>2</v>
          </cell>
          <cell r="G3220" t="str">
            <v>CB300104000300</v>
          </cell>
          <cell r="H3220">
            <v>3</v>
          </cell>
          <cell r="I3220" t="str">
            <v>--</v>
          </cell>
          <cell r="J3220">
            <v>3</v>
          </cell>
          <cell r="K3220">
            <v>4</v>
          </cell>
        </row>
        <row r="3221">
          <cell r="A3221" t="str">
            <v>M2</v>
          </cell>
          <cell r="B3221" t="str">
            <v>A5C</v>
          </cell>
          <cell r="C3221" t="str">
            <v>P</v>
          </cell>
          <cell r="D3221" t="str">
            <v>23246</v>
          </cell>
          <cell r="E3221" t="str">
            <v>90 ELL</v>
          </cell>
          <cell r="F3221">
            <v>2</v>
          </cell>
          <cell r="G3221" t="str">
            <v>CB300104000300</v>
          </cell>
          <cell r="H3221">
            <v>3</v>
          </cell>
          <cell r="I3221" t="str">
            <v>--</v>
          </cell>
          <cell r="J3221">
            <v>4</v>
          </cell>
          <cell r="K3221">
            <v>5</v>
          </cell>
        </row>
        <row r="3222">
          <cell r="A3222" t="str">
            <v>M2</v>
          </cell>
          <cell r="B3222" t="str">
            <v>A5C</v>
          </cell>
          <cell r="C3222" t="str">
            <v>P</v>
          </cell>
          <cell r="D3222" t="str">
            <v>23256</v>
          </cell>
          <cell r="E3222" t="str">
            <v>90 ELL</v>
          </cell>
          <cell r="F3222">
            <v>2</v>
          </cell>
          <cell r="G3222" t="str">
            <v>CB300104000300</v>
          </cell>
          <cell r="H3222">
            <v>3</v>
          </cell>
          <cell r="I3222" t="str">
            <v>--</v>
          </cell>
          <cell r="J3222">
            <v>2</v>
          </cell>
          <cell r="K3222">
            <v>3</v>
          </cell>
        </row>
        <row r="3223">
          <cell r="A3223" t="str">
            <v>M2</v>
          </cell>
          <cell r="B3223" t="str">
            <v>A5C</v>
          </cell>
          <cell r="C3223" t="str">
            <v>P</v>
          </cell>
          <cell r="D3223" t="str">
            <v>23257</v>
          </cell>
          <cell r="E3223" t="str">
            <v>90 ELL</v>
          </cell>
          <cell r="F3223">
            <v>2</v>
          </cell>
          <cell r="G3223" t="str">
            <v>CB300104000300</v>
          </cell>
          <cell r="H3223">
            <v>3</v>
          </cell>
          <cell r="I3223" t="str">
            <v>--</v>
          </cell>
          <cell r="J3223">
            <v>4</v>
          </cell>
          <cell r="K3223">
            <v>5</v>
          </cell>
        </row>
        <row r="3224">
          <cell r="A3224" t="str">
            <v>M2</v>
          </cell>
          <cell r="B3224" t="str">
            <v>A5C</v>
          </cell>
          <cell r="C3224" t="str">
            <v>P</v>
          </cell>
          <cell r="D3224" t="str">
            <v>23254</v>
          </cell>
          <cell r="E3224" t="str">
            <v>90 ELL</v>
          </cell>
          <cell r="F3224">
            <v>2</v>
          </cell>
          <cell r="G3224" t="str">
            <v>CB300104000300</v>
          </cell>
          <cell r="H3224">
            <v>3</v>
          </cell>
          <cell r="I3224" t="str">
            <v>--</v>
          </cell>
          <cell r="J3224">
            <v>4</v>
          </cell>
          <cell r="K3224">
            <v>5</v>
          </cell>
        </row>
        <row r="3225">
          <cell r="A3225" t="str">
            <v>M2</v>
          </cell>
          <cell r="B3225" t="str">
            <v>A5C</v>
          </cell>
          <cell r="C3225" t="str">
            <v>P</v>
          </cell>
          <cell r="D3225" t="str">
            <v>23258</v>
          </cell>
          <cell r="E3225" t="str">
            <v>90 ELL</v>
          </cell>
          <cell r="F3225">
            <v>2</v>
          </cell>
          <cell r="G3225" t="str">
            <v>CB300104000300</v>
          </cell>
          <cell r="H3225">
            <v>3</v>
          </cell>
          <cell r="I3225" t="str">
            <v>--</v>
          </cell>
          <cell r="J3225">
            <v>2</v>
          </cell>
          <cell r="K3225">
            <v>3</v>
          </cell>
        </row>
        <row r="3226">
          <cell r="A3226" t="str">
            <v>M2</v>
          </cell>
          <cell r="B3226" t="str">
            <v>A5C</v>
          </cell>
          <cell r="C3226" t="str">
            <v>P</v>
          </cell>
          <cell r="D3226" t="str">
            <v>23082</v>
          </cell>
          <cell r="E3226" t="str">
            <v>90 ELL</v>
          </cell>
          <cell r="F3226">
            <v>2</v>
          </cell>
          <cell r="G3226" t="str">
            <v>CB300104000300</v>
          </cell>
          <cell r="H3226">
            <v>3</v>
          </cell>
          <cell r="I3226" t="str">
            <v>--</v>
          </cell>
          <cell r="J3226">
            <v>4</v>
          </cell>
          <cell r="K3226">
            <v>5</v>
          </cell>
        </row>
        <row r="3227">
          <cell r="A3227" t="str">
            <v>M2</v>
          </cell>
          <cell r="B3227" t="str">
            <v>A5C</v>
          </cell>
          <cell r="C3227" t="str">
            <v>P</v>
          </cell>
          <cell r="D3227" t="str">
            <v>23236</v>
          </cell>
          <cell r="E3227" t="str">
            <v>90 ELL</v>
          </cell>
          <cell r="F3227">
            <v>2</v>
          </cell>
          <cell r="G3227" t="str">
            <v>CB300104000300</v>
          </cell>
          <cell r="H3227">
            <v>3</v>
          </cell>
          <cell r="I3227" t="str">
            <v>--</v>
          </cell>
          <cell r="J3227">
            <v>2</v>
          </cell>
          <cell r="K3227">
            <v>3</v>
          </cell>
        </row>
        <row r="3228">
          <cell r="A3228" t="str">
            <v>M2</v>
          </cell>
          <cell r="B3228" t="str">
            <v>A5C</v>
          </cell>
          <cell r="C3228" t="str">
            <v>P</v>
          </cell>
          <cell r="D3228" t="str">
            <v>23047</v>
          </cell>
          <cell r="E3228" t="str">
            <v>C RED</v>
          </cell>
          <cell r="F3228">
            <v>2</v>
          </cell>
          <cell r="G3228" t="str">
            <v>CB300504080302</v>
          </cell>
          <cell r="H3228">
            <v>3</v>
          </cell>
          <cell r="I3228">
            <v>2</v>
          </cell>
          <cell r="J3228">
            <v>2</v>
          </cell>
          <cell r="K3228">
            <v>3</v>
          </cell>
        </row>
        <row r="3229">
          <cell r="A3229" t="str">
            <v>M2</v>
          </cell>
          <cell r="B3229" t="str">
            <v>A5C</v>
          </cell>
          <cell r="C3229" t="str">
            <v>P</v>
          </cell>
          <cell r="D3229" t="str">
            <v>23142</v>
          </cell>
          <cell r="E3229" t="str">
            <v>C RED</v>
          </cell>
          <cell r="F3229">
            <v>2</v>
          </cell>
          <cell r="G3229" t="str">
            <v>CB300504080302</v>
          </cell>
          <cell r="H3229">
            <v>3</v>
          </cell>
          <cell r="I3229">
            <v>2</v>
          </cell>
          <cell r="J3229">
            <v>2</v>
          </cell>
          <cell r="K3229">
            <v>3</v>
          </cell>
        </row>
        <row r="3230">
          <cell r="A3230" t="str">
            <v>M2</v>
          </cell>
          <cell r="B3230" t="str">
            <v>A5C</v>
          </cell>
          <cell r="C3230" t="str">
            <v>P</v>
          </cell>
          <cell r="D3230" t="str">
            <v>23236</v>
          </cell>
          <cell r="E3230" t="str">
            <v>C RED</v>
          </cell>
          <cell r="F3230">
            <v>2</v>
          </cell>
          <cell r="G3230" t="str">
            <v>CB300504080302</v>
          </cell>
          <cell r="H3230">
            <v>3</v>
          </cell>
          <cell r="I3230">
            <v>2</v>
          </cell>
          <cell r="J3230">
            <v>2</v>
          </cell>
          <cell r="K3230">
            <v>3</v>
          </cell>
        </row>
        <row r="3231">
          <cell r="A3231" t="str">
            <v>M2</v>
          </cell>
          <cell r="B3231" t="str">
            <v>A5C</v>
          </cell>
          <cell r="C3231" t="str">
            <v>P</v>
          </cell>
          <cell r="D3231" t="str">
            <v>23240</v>
          </cell>
          <cell r="E3231" t="str">
            <v>C RED</v>
          </cell>
          <cell r="F3231">
            <v>2</v>
          </cell>
          <cell r="G3231" t="str">
            <v>CB300504080302</v>
          </cell>
          <cell r="H3231">
            <v>3</v>
          </cell>
          <cell r="I3231">
            <v>2</v>
          </cell>
          <cell r="J3231">
            <v>2</v>
          </cell>
          <cell r="K3231">
            <v>3</v>
          </cell>
        </row>
        <row r="3232">
          <cell r="A3232" t="str">
            <v>M2</v>
          </cell>
          <cell r="B3232" t="str">
            <v>A5C</v>
          </cell>
          <cell r="C3232" t="str">
            <v>P</v>
          </cell>
          <cell r="D3232" t="str">
            <v>23124</v>
          </cell>
          <cell r="E3232" t="str">
            <v>C RED</v>
          </cell>
          <cell r="F3232">
            <v>2</v>
          </cell>
          <cell r="G3232" t="str">
            <v>CB300504080302</v>
          </cell>
          <cell r="H3232">
            <v>3</v>
          </cell>
          <cell r="I3232">
            <v>2</v>
          </cell>
          <cell r="J3232">
            <v>2</v>
          </cell>
          <cell r="K3232">
            <v>3</v>
          </cell>
        </row>
        <row r="3233">
          <cell r="A3233" t="str">
            <v>M2</v>
          </cell>
          <cell r="B3233" t="str">
            <v>A5C</v>
          </cell>
          <cell r="C3233" t="str">
            <v>P</v>
          </cell>
          <cell r="D3233" t="str">
            <v>23106</v>
          </cell>
          <cell r="E3233" t="str">
            <v>C SWG</v>
          </cell>
          <cell r="F3233">
            <v>2</v>
          </cell>
          <cell r="G3233" t="str">
            <v>CB1614040803IH</v>
          </cell>
          <cell r="H3233">
            <v>3</v>
          </cell>
          <cell r="I3233">
            <v>1.5</v>
          </cell>
          <cell r="J3233">
            <v>2</v>
          </cell>
          <cell r="K3233">
            <v>3</v>
          </cell>
        </row>
        <row r="3234">
          <cell r="A3234" t="str">
            <v>M2</v>
          </cell>
          <cell r="B3234" t="str">
            <v>A5C</v>
          </cell>
          <cell r="C3234" t="str">
            <v>P</v>
          </cell>
          <cell r="D3234" t="str">
            <v>23005</v>
          </cell>
          <cell r="E3234" t="str">
            <v>C SWG</v>
          </cell>
          <cell r="F3234">
            <v>2</v>
          </cell>
          <cell r="G3234" t="str">
            <v>CB1614040803IH</v>
          </cell>
          <cell r="H3234">
            <v>3</v>
          </cell>
          <cell r="I3234">
            <v>1.5</v>
          </cell>
          <cell r="J3234">
            <v>2</v>
          </cell>
          <cell r="K3234">
            <v>3</v>
          </cell>
        </row>
        <row r="3235">
          <cell r="A3235" t="str">
            <v>M2</v>
          </cell>
          <cell r="B3235" t="str">
            <v>A5C</v>
          </cell>
          <cell r="C3235" t="str">
            <v>P</v>
          </cell>
          <cell r="D3235" t="str">
            <v>23246</v>
          </cell>
          <cell r="E3235" t="str">
            <v>C SWG</v>
          </cell>
          <cell r="F3235">
            <v>2</v>
          </cell>
          <cell r="G3235" t="str">
            <v>CB1614040803IH</v>
          </cell>
          <cell r="H3235">
            <v>3</v>
          </cell>
          <cell r="I3235">
            <v>1.5</v>
          </cell>
          <cell r="J3235">
            <v>2</v>
          </cell>
          <cell r="K3235">
            <v>3</v>
          </cell>
        </row>
        <row r="3236">
          <cell r="A3236" t="str">
            <v>M2</v>
          </cell>
          <cell r="B3236" t="str">
            <v>A5C</v>
          </cell>
          <cell r="C3236" t="str">
            <v>P</v>
          </cell>
          <cell r="D3236" t="str">
            <v>23101</v>
          </cell>
          <cell r="E3236" t="str">
            <v>CAP</v>
          </cell>
          <cell r="F3236">
            <v>2</v>
          </cell>
          <cell r="G3236" t="str">
            <v>CB300704000300</v>
          </cell>
          <cell r="H3236">
            <v>3</v>
          </cell>
          <cell r="I3236" t="str">
            <v>--</v>
          </cell>
          <cell r="J3236">
            <v>2</v>
          </cell>
          <cell r="K3236">
            <v>3</v>
          </cell>
        </row>
        <row r="3237">
          <cell r="A3237" t="str">
            <v>M2</v>
          </cell>
          <cell r="B3237" t="str">
            <v>A5C</v>
          </cell>
          <cell r="C3237" t="str">
            <v>P</v>
          </cell>
          <cell r="D3237" t="str">
            <v>23105</v>
          </cell>
          <cell r="E3237" t="str">
            <v>CAP</v>
          </cell>
          <cell r="F3237">
            <v>2</v>
          </cell>
          <cell r="G3237" t="str">
            <v>CB300704000300</v>
          </cell>
          <cell r="H3237">
            <v>3</v>
          </cell>
          <cell r="I3237" t="str">
            <v>--</v>
          </cell>
          <cell r="J3237">
            <v>2</v>
          </cell>
          <cell r="K3237">
            <v>3</v>
          </cell>
        </row>
        <row r="3238">
          <cell r="A3238" t="str">
            <v>M2</v>
          </cell>
          <cell r="B3238" t="str">
            <v>A5C</v>
          </cell>
          <cell r="C3238" t="str">
            <v>P</v>
          </cell>
          <cell r="D3238" t="str">
            <v>23109</v>
          </cell>
          <cell r="E3238" t="str">
            <v>CAP</v>
          </cell>
          <cell r="F3238">
            <v>2</v>
          </cell>
          <cell r="G3238" t="str">
            <v>CB300704000300</v>
          </cell>
          <cell r="H3238">
            <v>3</v>
          </cell>
          <cell r="I3238" t="str">
            <v>--</v>
          </cell>
          <cell r="J3238">
            <v>2</v>
          </cell>
          <cell r="K3238">
            <v>3</v>
          </cell>
        </row>
        <row r="3239">
          <cell r="A3239" t="str">
            <v>M2</v>
          </cell>
          <cell r="B3239" t="str">
            <v>A5C</v>
          </cell>
          <cell r="C3239" t="str">
            <v>P</v>
          </cell>
          <cell r="D3239" t="str">
            <v>23113</v>
          </cell>
          <cell r="E3239" t="str">
            <v>CAP</v>
          </cell>
          <cell r="F3239">
            <v>2</v>
          </cell>
          <cell r="G3239" t="str">
            <v>CB300704000300</v>
          </cell>
          <cell r="H3239">
            <v>3</v>
          </cell>
          <cell r="I3239" t="str">
            <v>--</v>
          </cell>
          <cell r="J3239">
            <v>2</v>
          </cell>
          <cell r="K3239">
            <v>3</v>
          </cell>
        </row>
        <row r="3240">
          <cell r="A3240" t="str">
            <v>M2</v>
          </cell>
          <cell r="B3240" t="str">
            <v>A5C</v>
          </cell>
          <cell r="C3240" t="str">
            <v>P</v>
          </cell>
          <cell r="D3240" t="str">
            <v>23234</v>
          </cell>
          <cell r="E3240" t="str">
            <v>CAP</v>
          </cell>
          <cell r="F3240">
            <v>2</v>
          </cell>
          <cell r="G3240" t="str">
            <v>CB300704000300</v>
          </cell>
          <cell r="H3240">
            <v>3</v>
          </cell>
          <cell r="I3240" t="str">
            <v>--</v>
          </cell>
          <cell r="J3240">
            <v>2</v>
          </cell>
          <cell r="K3240">
            <v>3</v>
          </cell>
        </row>
        <row r="3241">
          <cell r="A3241" t="str">
            <v>M2</v>
          </cell>
          <cell r="B3241" t="str">
            <v>A5C</v>
          </cell>
          <cell r="C3241" t="str">
            <v>P</v>
          </cell>
          <cell r="D3241" t="str">
            <v>23238</v>
          </cell>
          <cell r="E3241" t="str">
            <v>CAP</v>
          </cell>
          <cell r="F3241">
            <v>2</v>
          </cell>
          <cell r="G3241" t="str">
            <v>CB300704000300</v>
          </cell>
          <cell r="H3241">
            <v>3</v>
          </cell>
          <cell r="I3241" t="str">
            <v>--</v>
          </cell>
          <cell r="J3241">
            <v>2</v>
          </cell>
          <cell r="K3241">
            <v>3</v>
          </cell>
        </row>
        <row r="3242">
          <cell r="A3242" t="str">
            <v>M2</v>
          </cell>
          <cell r="B3242" t="str">
            <v>A5C</v>
          </cell>
          <cell r="C3242" t="str">
            <v>TRIM</v>
          </cell>
          <cell r="D3242" t="str">
            <v>V-2316</v>
          </cell>
          <cell r="E3242" t="str">
            <v>CAP</v>
          </cell>
          <cell r="F3242">
            <v>2</v>
          </cell>
          <cell r="G3242" t="str">
            <v>CB300704000300</v>
          </cell>
          <cell r="H3242">
            <v>3</v>
          </cell>
          <cell r="I3242" t="str">
            <v>--</v>
          </cell>
          <cell r="J3242">
            <v>2</v>
          </cell>
          <cell r="K3242">
            <v>3</v>
          </cell>
        </row>
        <row r="3243">
          <cell r="A3243" t="str">
            <v>M2</v>
          </cell>
          <cell r="B3243" t="str">
            <v>A5C</v>
          </cell>
          <cell r="C3243" t="str">
            <v>TRIM</v>
          </cell>
          <cell r="D3243" t="str">
            <v>V-2320</v>
          </cell>
          <cell r="E3243" t="str">
            <v>CAP</v>
          </cell>
          <cell r="F3243">
            <v>2</v>
          </cell>
          <cell r="G3243" t="str">
            <v>CB300704000300</v>
          </cell>
          <cell r="H3243">
            <v>3</v>
          </cell>
          <cell r="I3243" t="str">
            <v>--</v>
          </cell>
          <cell r="J3243">
            <v>2</v>
          </cell>
          <cell r="K3243">
            <v>3</v>
          </cell>
        </row>
        <row r="3244">
          <cell r="A3244" t="str">
            <v>M2</v>
          </cell>
          <cell r="B3244" t="str">
            <v>A5C</v>
          </cell>
          <cell r="C3244" t="str">
            <v>TRIM</v>
          </cell>
          <cell r="D3244" t="str">
            <v>V-2321</v>
          </cell>
          <cell r="E3244" t="str">
            <v>CAP</v>
          </cell>
          <cell r="F3244">
            <v>2</v>
          </cell>
          <cell r="G3244" t="str">
            <v>CB300704000300</v>
          </cell>
          <cell r="H3244">
            <v>3</v>
          </cell>
          <cell r="I3244" t="str">
            <v>--</v>
          </cell>
          <cell r="J3244">
            <v>2</v>
          </cell>
          <cell r="K3244">
            <v>3</v>
          </cell>
        </row>
        <row r="3245">
          <cell r="A3245" t="str">
            <v>M2</v>
          </cell>
          <cell r="B3245" t="str">
            <v>A5C</v>
          </cell>
          <cell r="C3245" t="str">
            <v>TRIM</v>
          </cell>
          <cell r="D3245" t="str">
            <v>V-2317</v>
          </cell>
          <cell r="E3245" t="str">
            <v>CAP</v>
          </cell>
          <cell r="F3245">
            <v>2</v>
          </cell>
          <cell r="G3245" t="str">
            <v>CB300704000300</v>
          </cell>
          <cell r="H3245">
            <v>3</v>
          </cell>
          <cell r="I3245" t="str">
            <v>--</v>
          </cell>
          <cell r="J3245">
            <v>2</v>
          </cell>
          <cell r="K3245">
            <v>3</v>
          </cell>
        </row>
        <row r="3246">
          <cell r="A3246" t="str">
            <v>M2</v>
          </cell>
          <cell r="B3246" t="str">
            <v>A5C</v>
          </cell>
          <cell r="C3246" t="str">
            <v>TRIM</v>
          </cell>
          <cell r="D3246" t="str">
            <v>V-2323</v>
          </cell>
          <cell r="E3246" t="str">
            <v>CAP</v>
          </cell>
          <cell r="F3246">
            <v>2</v>
          </cell>
          <cell r="G3246" t="str">
            <v>CB300704000300</v>
          </cell>
          <cell r="H3246">
            <v>3</v>
          </cell>
          <cell r="I3246" t="str">
            <v>--</v>
          </cell>
          <cell r="J3246">
            <v>2</v>
          </cell>
          <cell r="K3246">
            <v>3</v>
          </cell>
        </row>
        <row r="3247">
          <cell r="A3247" t="str">
            <v>M2</v>
          </cell>
          <cell r="B3247" t="str">
            <v>A5C</v>
          </cell>
          <cell r="C3247" t="str">
            <v>TRIM</v>
          </cell>
          <cell r="D3247" t="str">
            <v>V-2326</v>
          </cell>
          <cell r="E3247" t="str">
            <v>CAP</v>
          </cell>
          <cell r="F3247">
            <v>2</v>
          </cell>
          <cell r="G3247" t="str">
            <v>CB300704000300</v>
          </cell>
          <cell r="H3247">
            <v>3</v>
          </cell>
          <cell r="I3247" t="str">
            <v>--</v>
          </cell>
          <cell r="J3247">
            <v>2</v>
          </cell>
          <cell r="K3247">
            <v>3</v>
          </cell>
        </row>
        <row r="3248">
          <cell r="A3248" t="str">
            <v>M2</v>
          </cell>
          <cell r="B3248" t="str">
            <v>A5C</v>
          </cell>
          <cell r="C3248" t="str">
            <v>TRIM</v>
          </cell>
          <cell r="D3248" t="str">
            <v>V-2329</v>
          </cell>
          <cell r="E3248" t="str">
            <v>CAP</v>
          </cell>
          <cell r="F3248">
            <v>2</v>
          </cell>
          <cell r="G3248" t="str">
            <v>CB300704000300</v>
          </cell>
          <cell r="H3248">
            <v>3</v>
          </cell>
          <cell r="I3248" t="str">
            <v>--</v>
          </cell>
          <cell r="J3248">
            <v>2</v>
          </cell>
          <cell r="K3248">
            <v>3</v>
          </cell>
        </row>
        <row r="3249">
          <cell r="A3249" t="str">
            <v>M2</v>
          </cell>
          <cell r="B3249" t="str">
            <v>A5C</v>
          </cell>
          <cell r="C3249" t="str">
            <v>TRIM</v>
          </cell>
          <cell r="D3249" t="str">
            <v>V-2330</v>
          </cell>
          <cell r="E3249" t="str">
            <v>CAP</v>
          </cell>
          <cell r="F3249">
            <v>2</v>
          </cell>
          <cell r="G3249" t="str">
            <v>CB300704000300</v>
          </cell>
          <cell r="H3249">
            <v>3</v>
          </cell>
          <cell r="I3249" t="str">
            <v>--</v>
          </cell>
          <cell r="J3249">
            <v>2</v>
          </cell>
          <cell r="K3249">
            <v>3</v>
          </cell>
        </row>
        <row r="3250">
          <cell r="A3250" t="str">
            <v>M2</v>
          </cell>
          <cell r="B3250" t="str">
            <v>A5C</v>
          </cell>
          <cell r="C3250" t="str">
            <v>TRIM</v>
          </cell>
          <cell r="D3250" t="str">
            <v>V-2333</v>
          </cell>
          <cell r="E3250" t="str">
            <v>CAP</v>
          </cell>
          <cell r="F3250">
            <v>2</v>
          </cell>
          <cell r="G3250" t="str">
            <v>CB300704000300</v>
          </cell>
          <cell r="H3250">
            <v>3</v>
          </cell>
          <cell r="I3250" t="str">
            <v>--</v>
          </cell>
          <cell r="J3250">
            <v>2</v>
          </cell>
          <cell r="K3250">
            <v>3</v>
          </cell>
        </row>
        <row r="3251">
          <cell r="A3251" t="str">
            <v>M2</v>
          </cell>
          <cell r="B3251" t="str">
            <v>A5C</v>
          </cell>
          <cell r="C3251" t="str">
            <v>TRIM</v>
          </cell>
          <cell r="D3251" t="str">
            <v>V-2328</v>
          </cell>
          <cell r="E3251" t="str">
            <v>CAP</v>
          </cell>
          <cell r="F3251">
            <v>2</v>
          </cell>
          <cell r="G3251" t="str">
            <v>CB300704000300</v>
          </cell>
          <cell r="H3251">
            <v>3</v>
          </cell>
          <cell r="I3251" t="str">
            <v>--</v>
          </cell>
          <cell r="J3251">
            <v>2</v>
          </cell>
          <cell r="K3251">
            <v>3</v>
          </cell>
        </row>
        <row r="3252">
          <cell r="A3252" t="str">
            <v>M2</v>
          </cell>
          <cell r="B3252" t="str">
            <v>A5C</v>
          </cell>
          <cell r="C3252" t="str">
            <v>TRIM</v>
          </cell>
          <cell r="D3252" t="str">
            <v>V-2331</v>
          </cell>
          <cell r="E3252" t="str">
            <v>CAP</v>
          </cell>
          <cell r="F3252">
            <v>2</v>
          </cell>
          <cell r="G3252" t="str">
            <v>CB300704000300</v>
          </cell>
          <cell r="H3252">
            <v>3</v>
          </cell>
          <cell r="I3252" t="str">
            <v>--</v>
          </cell>
          <cell r="J3252">
            <v>2</v>
          </cell>
          <cell r="K3252">
            <v>3</v>
          </cell>
        </row>
        <row r="3253">
          <cell r="A3253" t="str">
            <v>M2</v>
          </cell>
          <cell r="B3253" t="str">
            <v>A5C</v>
          </cell>
          <cell r="C3253" t="str">
            <v>P</v>
          </cell>
          <cell r="D3253" t="str">
            <v>23094</v>
          </cell>
          <cell r="E3253" t="str">
            <v>CAP</v>
          </cell>
          <cell r="F3253">
            <v>2</v>
          </cell>
          <cell r="G3253" t="str">
            <v>CB300704000300</v>
          </cell>
          <cell r="H3253">
            <v>3</v>
          </cell>
          <cell r="I3253" t="str">
            <v>--</v>
          </cell>
          <cell r="J3253">
            <v>2</v>
          </cell>
          <cell r="K3253">
            <v>3</v>
          </cell>
        </row>
        <row r="3254">
          <cell r="A3254" t="str">
            <v>M2</v>
          </cell>
          <cell r="B3254" t="str">
            <v>A5C</v>
          </cell>
          <cell r="C3254" t="str">
            <v>P</v>
          </cell>
          <cell r="D3254" t="str">
            <v>23133</v>
          </cell>
          <cell r="E3254" t="str">
            <v>CAP</v>
          </cell>
          <cell r="F3254">
            <v>2</v>
          </cell>
          <cell r="G3254" t="str">
            <v>CB300704000300</v>
          </cell>
          <cell r="H3254">
            <v>3</v>
          </cell>
          <cell r="I3254" t="str">
            <v>--</v>
          </cell>
          <cell r="J3254">
            <v>2</v>
          </cell>
          <cell r="K3254">
            <v>3</v>
          </cell>
        </row>
        <row r="3255">
          <cell r="A3255" t="str">
            <v>M2</v>
          </cell>
          <cell r="B3255" t="str">
            <v>A5C</v>
          </cell>
          <cell r="C3255" t="str">
            <v>P</v>
          </cell>
          <cell r="D3255" t="str">
            <v>23141</v>
          </cell>
          <cell r="E3255" t="str">
            <v>CAP</v>
          </cell>
          <cell r="F3255">
            <v>2</v>
          </cell>
          <cell r="G3255" t="str">
            <v>CB300704000300</v>
          </cell>
          <cell r="H3255">
            <v>3</v>
          </cell>
          <cell r="I3255" t="str">
            <v>--</v>
          </cell>
          <cell r="J3255">
            <v>2</v>
          </cell>
          <cell r="K3255">
            <v>3</v>
          </cell>
        </row>
        <row r="3256">
          <cell r="A3256" t="str">
            <v>M2</v>
          </cell>
          <cell r="B3256" t="str">
            <v>A5C</v>
          </cell>
          <cell r="C3256" t="str">
            <v>P</v>
          </cell>
          <cell r="D3256" t="str">
            <v>23145</v>
          </cell>
          <cell r="E3256" t="str">
            <v>CAP</v>
          </cell>
          <cell r="F3256">
            <v>2</v>
          </cell>
          <cell r="G3256" t="str">
            <v>CB300704000300</v>
          </cell>
          <cell r="H3256">
            <v>3</v>
          </cell>
          <cell r="I3256" t="str">
            <v>--</v>
          </cell>
          <cell r="J3256">
            <v>2</v>
          </cell>
          <cell r="K3256">
            <v>3</v>
          </cell>
        </row>
        <row r="3257">
          <cell r="A3257" t="str">
            <v>M2</v>
          </cell>
          <cell r="B3257" t="str">
            <v>A5C</v>
          </cell>
          <cell r="C3257" t="str">
            <v>TRIM</v>
          </cell>
          <cell r="D3257" t="str">
            <v>V-2301</v>
          </cell>
          <cell r="E3257" t="str">
            <v>CAP</v>
          </cell>
          <cell r="F3257">
            <v>2</v>
          </cell>
          <cell r="G3257" t="str">
            <v>CB300704000300</v>
          </cell>
          <cell r="H3257">
            <v>3</v>
          </cell>
          <cell r="I3257" t="str">
            <v>--</v>
          </cell>
          <cell r="J3257">
            <v>2</v>
          </cell>
          <cell r="K3257">
            <v>3</v>
          </cell>
        </row>
        <row r="3258">
          <cell r="A3258" t="str">
            <v>M2</v>
          </cell>
          <cell r="B3258" t="str">
            <v>A5C</v>
          </cell>
          <cell r="C3258" t="str">
            <v>TRIM</v>
          </cell>
          <cell r="D3258" t="str">
            <v>V-2315</v>
          </cell>
          <cell r="E3258" t="str">
            <v>CAP</v>
          </cell>
          <cell r="F3258">
            <v>2</v>
          </cell>
          <cell r="G3258" t="str">
            <v>CB300704000300</v>
          </cell>
          <cell r="H3258">
            <v>3</v>
          </cell>
          <cell r="I3258" t="str">
            <v>--</v>
          </cell>
          <cell r="J3258">
            <v>2</v>
          </cell>
          <cell r="K3258">
            <v>3</v>
          </cell>
        </row>
        <row r="3259">
          <cell r="A3259" t="str">
            <v>M2</v>
          </cell>
          <cell r="B3259" t="str">
            <v>A5C</v>
          </cell>
          <cell r="C3259" t="str">
            <v>TRIM</v>
          </cell>
          <cell r="D3259" t="str">
            <v>V-2318</v>
          </cell>
          <cell r="E3259" t="str">
            <v>CAP</v>
          </cell>
          <cell r="F3259">
            <v>2</v>
          </cell>
          <cell r="G3259" t="str">
            <v>CB300704000300</v>
          </cell>
          <cell r="H3259">
            <v>3</v>
          </cell>
          <cell r="I3259" t="str">
            <v>--</v>
          </cell>
          <cell r="J3259">
            <v>2</v>
          </cell>
          <cell r="K3259">
            <v>3</v>
          </cell>
        </row>
        <row r="3260">
          <cell r="A3260" t="str">
            <v>M2</v>
          </cell>
          <cell r="B3260" t="str">
            <v>A5C</v>
          </cell>
          <cell r="C3260" t="str">
            <v>TRIM</v>
          </cell>
          <cell r="D3260" t="str">
            <v>V-2319</v>
          </cell>
          <cell r="E3260" t="str">
            <v>CAP</v>
          </cell>
          <cell r="F3260">
            <v>2</v>
          </cell>
          <cell r="G3260" t="str">
            <v>CB300704000300</v>
          </cell>
          <cell r="H3260">
            <v>3</v>
          </cell>
          <cell r="I3260" t="str">
            <v>--</v>
          </cell>
          <cell r="J3260">
            <v>2</v>
          </cell>
          <cell r="K3260">
            <v>3</v>
          </cell>
        </row>
        <row r="3261">
          <cell r="A3261" t="str">
            <v>M2</v>
          </cell>
          <cell r="B3261" t="str">
            <v>A5C</v>
          </cell>
          <cell r="C3261" t="str">
            <v>TRIM</v>
          </cell>
          <cell r="D3261" t="str">
            <v>V-2324</v>
          </cell>
          <cell r="E3261" t="str">
            <v>CAP</v>
          </cell>
          <cell r="F3261">
            <v>2</v>
          </cell>
          <cell r="G3261" t="str">
            <v>CB300704000300</v>
          </cell>
          <cell r="H3261">
            <v>3</v>
          </cell>
          <cell r="I3261" t="str">
            <v>--</v>
          </cell>
          <cell r="J3261">
            <v>2</v>
          </cell>
          <cell r="K3261">
            <v>3</v>
          </cell>
        </row>
        <row r="3262">
          <cell r="A3262" t="str">
            <v>M2</v>
          </cell>
          <cell r="B3262" t="str">
            <v>A5C</v>
          </cell>
          <cell r="C3262" t="str">
            <v>TRIM</v>
          </cell>
          <cell r="D3262" t="str">
            <v>V-2327</v>
          </cell>
          <cell r="E3262" t="str">
            <v>CAP</v>
          </cell>
          <cell r="F3262">
            <v>2</v>
          </cell>
          <cell r="G3262" t="str">
            <v>CB300704000300</v>
          </cell>
          <cell r="H3262">
            <v>3</v>
          </cell>
          <cell r="I3262" t="str">
            <v>--</v>
          </cell>
          <cell r="J3262">
            <v>2</v>
          </cell>
          <cell r="K3262">
            <v>3</v>
          </cell>
        </row>
        <row r="3263">
          <cell r="A3263" t="str">
            <v>M2</v>
          </cell>
          <cell r="B3263" t="str">
            <v>A5C</v>
          </cell>
          <cell r="C3263" t="str">
            <v>TRIM</v>
          </cell>
          <cell r="D3263" t="str">
            <v>V-2332</v>
          </cell>
          <cell r="E3263" t="str">
            <v>CAP</v>
          </cell>
          <cell r="F3263">
            <v>2</v>
          </cell>
          <cell r="G3263" t="str">
            <v>CB300704000300</v>
          </cell>
          <cell r="H3263">
            <v>3</v>
          </cell>
          <cell r="I3263" t="str">
            <v>--</v>
          </cell>
          <cell r="J3263">
            <v>2</v>
          </cell>
          <cell r="K3263">
            <v>3</v>
          </cell>
        </row>
        <row r="3264">
          <cell r="A3264" t="str">
            <v>M2</v>
          </cell>
          <cell r="B3264" t="str">
            <v>A5C</v>
          </cell>
          <cell r="C3264" t="str">
            <v>TRIM</v>
          </cell>
          <cell r="D3264" t="str">
            <v>V-2351</v>
          </cell>
          <cell r="E3264" t="str">
            <v>CAP</v>
          </cell>
          <cell r="F3264">
            <v>2</v>
          </cell>
          <cell r="G3264" t="str">
            <v>CB300704000300</v>
          </cell>
          <cell r="H3264">
            <v>3</v>
          </cell>
          <cell r="I3264" t="str">
            <v>--</v>
          </cell>
          <cell r="J3264">
            <v>2</v>
          </cell>
          <cell r="K3264">
            <v>3</v>
          </cell>
        </row>
        <row r="3265">
          <cell r="A3265" t="str">
            <v>M2</v>
          </cell>
          <cell r="B3265" t="str">
            <v>A5C</v>
          </cell>
          <cell r="C3265" t="str">
            <v>P</v>
          </cell>
          <cell r="D3265" t="str">
            <v>23082</v>
          </cell>
          <cell r="E3265" t="str">
            <v>E RED</v>
          </cell>
          <cell r="F3265">
            <v>2</v>
          </cell>
          <cell r="G3265" t="str">
            <v>CB300604080302</v>
          </cell>
          <cell r="H3265">
            <v>3</v>
          </cell>
          <cell r="I3265">
            <v>2</v>
          </cell>
          <cell r="J3265">
            <v>2</v>
          </cell>
          <cell r="K3265">
            <v>3</v>
          </cell>
        </row>
        <row r="3266">
          <cell r="A3266" t="str">
            <v>M2</v>
          </cell>
          <cell r="B3266" t="str">
            <v>A5C</v>
          </cell>
          <cell r="C3266" t="str">
            <v>P</v>
          </cell>
          <cell r="D3266" t="str">
            <v>23232</v>
          </cell>
          <cell r="E3266" t="str">
            <v>E RED</v>
          </cell>
          <cell r="F3266">
            <v>2</v>
          </cell>
          <cell r="G3266" t="str">
            <v>CB300604080302</v>
          </cell>
          <cell r="H3266">
            <v>3</v>
          </cell>
          <cell r="I3266">
            <v>2</v>
          </cell>
          <cell r="J3266">
            <v>2</v>
          </cell>
          <cell r="K3266">
            <v>3</v>
          </cell>
        </row>
        <row r="3267">
          <cell r="A3267" t="str">
            <v>M2</v>
          </cell>
          <cell r="B3267" t="str">
            <v>A5C</v>
          </cell>
          <cell r="C3267" t="str">
            <v>P</v>
          </cell>
          <cell r="D3267" t="str">
            <v>23254</v>
          </cell>
          <cell r="E3267" t="str">
            <v>E RED</v>
          </cell>
          <cell r="F3267">
            <v>2</v>
          </cell>
          <cell r="G3267" t="str">
            <v>CB300604080302</v>
          </cell>
          <cell r="H3267">
            <v>3</v>
          </cell>
          <cell r="I3267">
            <v>2</v>
          </cell>
          <cell r="J3267">
            <v>2</v>
          </cell>
          <cell r="K3267">
            <v>3</v>
          </cell>
        </row>
        <row r="3268">
          <cell r="A3268" t="str">
            <v>M2</v>
          </cell>
          <cell r="B3268" t="str">
            <v>A5C</v>
          </cell>
          <cell r="C3268" t="str">
            <v>P</v>
          </cell>
          <cell r="D3268" t="str">
            <v>23005</v>
          </cell>
          <cell r="E3268" t="str">
            <v>SOL</v>
          </cell>
          <cell r="F3268">
            <v>2</v>
          </cell>
          <cell r="G3268" t="str">
            <v>CB39020000030H</v>
          </cell>
          <cell r="H3268">
            <v>3</v>
          </cell>
          <cell r="I3268">
            <v>0.5</v>
          </cell>
          <cell r="J3268">
            <v>2</v>
          </cell>
          <cell r="K3268">
            <v>3</v>
          </cell>
        </row>
        <row r="3269">
          <cell r="A3269" t="str">
            <v>M2</v>
          </cell>
          <cell r="B3269" t="str">
            <v>A5C</v>
          </cell>
          <cell r="C3269" t="str">
            <v>P</v>
          </cell>
          <cell r="D3269" t="str">
            <v>23005</v>
          </cell>
          <cell r="E3269" t="str">
            <v>SOL</v>
          </cell>
          <cell r="F3269">
            <v>2</v>
          </cell>
          <cell r="G3269" t="str">
            <v>CB390200000301</v>
          </cell>
          <cell r="H3269">
            <v>3</v>
          </cell>
          <cell r="I3269">
            <v>1</v>
          </cell>
          <cell r="J3269">
            <v>1</v>
          </cell>
          <cell r="K3269">
            <v>2</v>
          </cell>
        </row>
        <row r="3270">
          <cell r="A3270" t="str">
            <v>M2</v>
          </cell>
          <cell r="B3270" t="str">
            <v>A5C</v>
          </cell>
          <cell r="C3270" t="str">
            <v>P</v>
          </cell>
          <cell r="D3270" t="str">
            <v>23047</v>
          </cell>
          <cell r="E3270" t="str">
            <v>SOL</v>
          </cell>
          <cell r="F3270">
            <v>2</v>
          </cell>
          <cell r="G3270" t="str">
            <v>CB39020000030T</v>
          </cell>
          <cell r="H3270">
            <v>3</v>
          </cell>
          <cell r="I3270">
            <v>0.75</v>
          </cell>
          <cell r="J3270">
            <v>2</v>
          </cell>
          <cell r="K3270">
            <v>3</v>
          </cell>
        </row>
        <row r="3271">
          <cell r="A3271" t="str">
            <v>M2</v>
          </cell>
          <cell r="B3271" t="str">
            <v>A5C</v>
          </cell>
          <cell r="C3271" t="str">
            <v>P</v>
          </cell>
          <cell r="D3271" t="str">
            <v>23083</v>
          </cell>
          <cell r="E3271" t="str">
            <v>SOL</v>
          </cell>
          <cell r="F3271">
            <v>2</v>
          </cell>
          <cell r="G3271" t="str">
            <v>CB390200000301</v>
          </cell>
          <cell r="H3271">
            <v>3</v>
          </cell>
          <cell r="I3271">
            <v>1</v>
          </cell>
          <cell r="J3271">
            <v>1</v>
          </cell>
          <cell r="K3271">
            <v>2</v>
          </cell>
        </row>
        <row r="3272">
          <cell r="A3272" t="str">
            <v>M2</v>
          </cell>
          <cell r="B3272" t="str">
            <v>A5C</v>
          </cell>
          <cell r="C3272" t="str">
            <v>P</v>
          </cell>
          <cell r="D3272" t="str">
            <v>23094</v>
          </cell>
          <cell r="E3272" t="str">
            <v>SOL</v>
          </cell>
          <cell r="F3272">
            <v>2</v>
          </cell>
          <cell r="G3272" t="str">
            <v>CB39020000030T</v>
          </cell>
          <cell r="H3272">
            <v>3</v>
          </cell>
          <cell r="I3272">
            <v>0.75</v>
          </cell>
          <cell r="J3272">
            <v>4</v>
          </cell>
          <cell r="K3272">
            <v>5</v>
          </cell>
        </row>
        <row r="3273">
          <cell r="A3273" t="str">
            <v>M2</v>
          </cell>
          <cell r="B3273" t="str">
            <v>A5C</v>
          </cell>
          <cell r="C3273" t="str">
            <v>P</v>
          </cell>
          <cell r="D3273" t="str">
            <v>23101</v>
          </cell>
          <cell r="E3273" t="str">
            <v>SOL</v>
          </cell>
          <cell r="F3273">
            <v>2</v>
          </cell>
          <cell r="G3273" t="str">
            <v>CB39020000030T</v>
          </cell>
          <cell r="H3273">
            <v>3</v>
          </cell>
          <cell r="I3273">
            <v>0.75</v>
          </cell>
          <cell r="J3273">
            <v>4</v>
          </cell>
          <cell r="K3273">
            <v>5</v>
          </cell>
        </row>
        <row r="3274">
          <cell r="A3274" t="str">
            <v>M2</v>
          </cell>
          <cell r="B3274" t="str">
            <v>A5C</v>
          </cell>
          <cell r="C3274" t="str">
            <v>P</v>
          </cell>
          <cell r="D3274" t="str">
            <v>23106</v>
          </cell>
          <cell r="E3274" t="str">
            <v>SOL</v>
          </cell>
          <cell r="F3274">
            <v>2</v>
          </cell>
          <cell r="G3274" t="str">
            <v>CB390200000301</v>
          </cell>
          <cell r="H3274">
            <v>3</v>
          </cell>
          <cell r="I3274">
            <v>1</v>
          </cell>
          <cell r="J3274">
            <v>1</v>
          </cell>
          <cell r="K3274">
            <v>2</v>
          </cell>
        </row>
        <row r="3275">
          <cell r="A3275" t="str">
            <v>M2</v>
          </cell>
          <cell r="B3275" t="str">
            <v>A5C</v>
          </cell>
          <cell r="C3275" t="str">
            <v>P</v>
          </cell>
          <cell r="D3275" t="str">
            <v>23106</v>
          </cell>
          <cell r="E3275" t="str">
            <v>SOL</v>
          </cell>
          <cell r="F3275">
            <v>2</v>
          </cell>
          <cell r="G3275" t="str">
            <v>CB39020000030T</v>
          </cell>
          <cell r="H3275">
            <v>3</v>
          </cell>
          <cell r="I3275">
            <v>0.75</v>
          </cell>
          <cell r="J3275">
            <v>2</v>
          </cell>
          <cell r="K3275">
            <v>3</v>
          </cell>
        </row>
        <row r="3276">
          <cell r="A3276" t="str">
            <v>M2</v>
          </cell>
          <cell r="B3276" t="str">
            <v>A5C</v>
          </cell>
          <cell r="C3276" t="str">
            <v>P</v>
          </cell>
          <cell r="D3276" t="str">
            <v>23109</v>
          </cell>
          <cell r="E3276" t="str">
            <v>SOL</v>
          </cell>
          <cell r="F3276">
            <v>2</v>
          </cell>
          <cell r="G3276" t="str">
            <v>CB39020000030T</v>
          </cell>
          <cell r="H3276">
            <v>3</v>
          </cell>
          <cell r="I3276">
            <v>0.75</v>
          </cell>
          <cell r="J3276">
            <v>4</v>
          </cell>
          <cell r="K3276">
            <v>5</v>
          </cell>
        </row>
        <row r="3277">
          <cell r="A3277" t="str">
            <v>M2</v>
          </cell>
          <cell r="B3277" t="str">
            <v>A5C</v>
          </cell>
          <cell r="C3277" t="str">
            <v>P</v>
          </cell>
          <cell r="D3277" t="str">
            <v>23142</v>
          </cell>
          <cell r="E3277" t="str">
            <v>SOL</v>
          </cell>
          <cell r="F3277">
            <v>2</v>
          </cell>
          <cell r="G3277" t="str">
            <v>CB390200000301</v>
          </cell>
          <cell r="H3277">
            <v>3</v>
          </cell>
          <cell r="I3277">
            <v>1</v>
          </cell>
          <cell r="J3277">
            <v>1</v>
          </cell>
          <cell r="K3277">
            <v>2</v>
          </cell>
        </row>
        <row r="3278">
          <cell r="A3278" t="str">
            <v>M2</v>
          </cell>
          <cell r="B3278" t="str">
            <v>A5C</v>
          </cell>
          <cell r="C3278" t="str">
            <v>P</v>
          </cell>
          <cell r="D3278" t="str">
            <v>23142</v>
          </cell>
          <cell r="E3278" t="str">
            <v>SOL</v>
          </cell>
          <cell r="F3278">
            <v>2</v>
          </cell>
          <cell r="G3278" t="str">
            <v>CB39020000030T</v>
          </cell>
          <cell r="H3278">
            <v>3</v>
          </cell>
          <cell r="I3278">
            <v>0.75</v>
          </cell>
          <cell r="J3278">
            <v>2</v>
          </cell>
          <cell r="K3278">
            <v>3</v>
          </cell>
        </row>
        <row r="3279">
          <cell r="A3279" t="str">
            <v>M2</v>
          </cell>
          <cell r="B3279" t="str">
            <v>A5C</v>
          </cell>
          <cell r="C3279" t="str">
            <v>P</v>
          </cell>
          <cell r="D3279" t="str">
            <v>23230</v>
          </cell>
          <cell r="E3279" t="str">
            <v>SOL</v>
          </cell>
          <cell r="F3279">
            <v>2</v>
          </cell>
          <cell r="G3279" t="str">
            <v>CB390200000301</v>
          </cell>
          <cell r="H3279">
            <v>3</v>
          </cell>
          <cell r="I3279">
            <v>1</v>
          </cell>
          <cell r="J3279">
            <v>1</v>
          </cell>
          <cell r="K3279">
            <v>2</v>
          </cell>
        </row>
        <row r="3280">
          <cell r="A3280" t="str">
            <v>M2</v>
          </cell>
          <cell r="B3280" t="str">
            <v>A5C</v>
          </cell>
          <cell r="C3280" t="str">
            <v>P</v>
          </cell>
          <cell r="D3280" t="str">
            <v>23236</v>
          </cell>
          <cell r="E3280" t="str">
            <v>SOL</v>
          </cell>
          <cell r="F3280">
            <v>2</v>
          </cell>
          <cell r="G3280" t="str">
            <v>CB39020000030T</v>
          </cell>
          <cell r="H3280">
            <v>3</v>
          </cell>
          <cell r="I3280">
            <v>0.75</v>
          </cell>
          <cell r="J3280">
            <v>2</v>
          </cell>
          <cell r="K3280">
            <v>3</v>
          </cell>
        </row>
        <row r="3281">
          <cell r="A3281" t="str">
            <v>M2</v>
          </cell>
          <cell r="B3281" t="str">
            <v>A5C</v>
          </cell>
          <cell r="C3281" t="str">
            <v>P</v>
          </cell>
          <cell r="D3281" t="str">
            <v>23234</v>
          </cell>
          <cell r="E3281" t="str">
            <v>SOL</v>
          </cell>
          <cell r="F3281">
            <v>2</v>
          </cell>
          <cell r="G3281" t="str">
            <v>CB39020000030T</v>
          </cell>
          <cell r="H3281">
            <v>3</v>
          </cell>
          <cell r="I3281">
            <v>0.75</v>
          </cell>
          <cell r="J3281">
            <v>4</v>
          </cell>
          <cell r="K3281">
            <v>5</v>
          </cell>
        </row>
        <row r="3282">
          <cell r="A3282" t="str">
            <v>M2</v>
          </cell>
          <cell r="B3282" t="str">
            <v>A5C</v>
          </cell>
          <cell r="C3282" t="str">
            <v>P</v>
          </cell>
          <cell r="D3282" t="str">
            <v>23236</v>
          </cell>
          <cell r="E3282" t="str">
            <v>SOL</v>
          </cell>
          <cell r="F3282">
            <v>2</v>
          </cell>
          <cell r="G3282" t="str">
            <v>CB390200000301</v>
          </cell>
          <cell r="H3282">
            <v>3</v>
          </cell>
          <cell r="I3282">
            <v>1</v>
          </cell>
          <cell r="J3282">
            <v>1</v>
          </cell>
          <cell r="K3282">
            <v>2</v>
          </cell>
        </row>
        <row r="3283">
          <cell r="A3283" t="str">
            <v>M2</v>
          </cell>
          <cell r="B3283" t="str">
            <v>A5C</v>
          </cell>
          <cell r="C3283" t="str">
            <v>P</v>
          </cell>
          <cell r="D3283" t="str">
            <v>23238</v>
          </cell>
          <cell r="E3283" t="str">
            <v>SOL</v>
          </cell>
          <cell r="F3283">
            <v>2</v>
          </cell>
          <cell r="G3283" t="str">
            <v>CB39020000030T</v>
          </cell>
          <cell r="H3283">
            <v>3</v>
          </cell>
          <cell r="I3283">
            <v>0.75</v>
          </cell>
          <cell r="J3283">
            <v>4</v>
          </cell>
          <cell r="K3283">
            <v>5</v>
          </cell>
        </row>
        <row r="3284">
          <cell r="A3284" t="str">
            <v>M2</v>
          </cell>
          <cell r="B3284" t="str">
            <v>A5C</v>
          </cell>
          <cell r="C3284" t="str">
            <v>P</v>
          </cell>
          <cell r="D3284" t="str">
            <v>23240</v>
          </cell>
          <cell r="E3284" t="str">
            <v>SOL</v>
          </cell>
          <cell r="F3284">
            <v>2</v>
          </cell>
          <cell r="G3284" t="str">
            <v>CB390200000301</v>
          </cell>
          <cell r="H3284">
            <v>3</v>
          </cell>
          <cell r="I3284">
            <v>1</v>
          </cell>
          <cell r="J3284">
            <v>1</v>
          </cell>
          <cell r="K3284">
            <v>2</v>
          </cell>
        </row>
        <row r="3285">
          <cell r="A3285" t="str">
            <v>M2</v>
          </cell>
          <cell r="B3285" t="str">
            <v>A5C</v>
          </cell>
          <cell r="C3285" t="str">
            <v>P</v>
          </cell>
          <cell r="D3285" t="str">
            <v>23246</v>
          </cell>
          <cell r="E3285" t="str">
            <v>SOL</v>
          </cell>
          <cell r="F3285">
            <v>2</v>
          </cell>
          <cell r="G3285" t="str">
            <v>CB39020000030T</v>
          </cell>
          <cell r="H3285">
            <v>3</v>
          </cell>
          <cell r="I3285">
            <v>0.75</v>
          </cell>
          <cell r="J3285">
            <v>2</v>
          </cell>
          <cell r="K3285">
            <v>3</v>
          </cell>
        </row>
        <row r="3286">
          <cell r="A3286" t="str">
            <v>M2</v>
          </cell>
          <cell r="B3286" t="str">
            <v>A5C</v>
          </cell>
          <cell r="C3286" t="str">
            <v>P</v>
          </cell>
          <cell r="D3286" t="str">
            <v>23246</v>
          </cell>
          <cell r="E3286" t="str">
            <v>SOL</v>
          </cell>
          <cell r="F3286">
            <v>2</v>
          </cell>
          <cell r="G3286" t="str">
            <v>CB390200000301</v>
          </cell>
          <cell r="H3286">
            <v>3</v>
          </cell>
          <cell r="I3286">
            <v>1</v>
          </cell>
          <cell r="J3286">
            <v>1</v>
          </cell>
          <cell r="K3286">
            <v>2</v>
          </cell>
        </row>
        <row r="3287">
          <cell r="A3287" t="str">
            <v>M2</v>
          </cell>
          <cell r="B3287" t="str">
            <v>A5C</v>
          </cell>
          <cell r="C3287" t="str">
            <v>P</v>
          </cell>
          <cell r="D3287" t="str">
            <v>23252</v>
          </cell>
          <cell r="E3287" t="str">
            <v>SOL</v>
          </cell>
          <cell r="F3287">
            <v>2</v>
          </cell>
          <cell r="G3287" t="str">
            <v>CB390200000301</v>
          </cell>
          <cell r="H3287">
            <v>3</v>
          </cell>
          <cell r="I3287">
            <v>1</v>
          </cell>
          <cell r="J3287">
            <v>1</v>
          </cell>
          <cell r="K3287">
            <v>2</v>
          </cell>
        </row>
        <row r="3288">
          <cell r="A3288" t="str">
            <v>M2</v>
          </cell>
          <cell r="B3288" t="str">
            <v>A5C</v>
          </cell>
          <cell r="C3288" t="str">
            <v>P</v>
          </cell>
          <cell r="D3288" t="str">
            <v>23256</v>
          </cell>
          <cell r="E3288" t="str">
            <v>SOL</v>
          </cell>
          <cell r="F3288">
            <v>2</v>
          </cell>
          <cell r="G3288" t="str">
            <v>CB390200000301</v>
          </cell>
          <cell r="H3288">
            <v>3</v>
          </cell>
          <cell r="I3288">
            <v>1</v>
          </cell>
          <cell r="J3288">
            <v>3</v>
          </cell>
          <cell r="K3288">
            <v>4</v>
          </cell>
        </row>
        <row r="3289">
          <cell r="A3289" t="str">
            <v>M2</v>
          </cell>
          <cell r="B3289" t="str">
            <v>A5C</v>
          </cell>
          <cell r="C3289" t="str">
            <v>P</v>
          </cell>
          <cell r="D3289" t="str">
            <v>23256</v>
          </cell>
          <cell r="E3289" t="str">
            <v>SOL</v>
          </cell>
          <cell r="F3289">
            <v>2</v>
          </cell>
          <cell r="G3289" t="str">
            <v>CB39020000030T</v>
          </cell>
          <cell r="H3289">
            <v>3</v>
          </cell>
          <cell r="I3289">
            <v>0.75</v>
          </cell>
          <cell r="J3289">
            <v>1</v>
          </cell>
          <cell r="K3289">
            <v>2</v>
          </cell>
        </row>
        <row r="3290">
          <cell r="A3290" t="str">
            <v>M2</v>
          </cell>
          <cell r="B3290" t="str">
            <v>A5C</v>
          </cell>
          <cell r="C3290" t="str">
            <v>P</v>
          </cell>
          <cell r="D3290" t="str">
            <v>23258</v>
          </cell>
          <cell r="E3290" t="str">
            <v>SOL</v>
          </cell>
          <cell r="F3290">
            <v>2</v>
          </cell>
          <cell r="G3290" t="str">
            <v>CB39020000030T</v>
          </cell>
          <cell r="H3290">
            <v>3</v>
          </cell>
          <cell r="I3290">
            <v>0.75</v>
          </cell>
          <cell r="J3290">
            <v>1</v>
          </cell>
          <cell r="K3290">
            <v>2</v>
          </cell>
        </row>
        <row r="3291">
          <cell r="A3291" t="str">
            <v>M2</v>
          </cell>
          <cell r="B3291" t="str">
            <v>A5C</v>
          </cell>
          <cell r="C3291" t="str">
            <v>P</v>
          </cell>
          <cell r="D3291" t="str">
            <v>23258</v>
          </cell>
          <cell r="E3291" t="str">
            <v>SOL</v>
          </cell>
          <cell r="F3291">
            <v>2</v>
          </cell>
          <cell r="G3291" t="str">
            <v>CB390200000301</v>
          </cell>
          <cell r="H3291">
            <v>3</v>
          </cell>
          <cell r="I3291">
            <v>1</v>
          </cell>
          <cell r="J3291">
            <v>1</v>
          </cell>
          <cell r="K3291">
            <v>2</v>
          </cell>
        </row>
        <row r="3292">
          <cell r="A3292" t="str">
            <v>M2</v>
          </cell>
          <cell r="B3292" t="str">
            <v>A5C</v>
          </cell>
          <cell r="C3292" t="str">
            <v>TRIM</v>
          </cell>
          <cell r="D3292" t="str">
            <v>V-2301</v>
          </cell>
          <cell r="E3292" t="str">
            <v>SOL</v>
          </cell>
          <cell r="F3292">
            <v>2</v>
          </cell>
          <cell r="G3292" t="str">
            <v>CB39020000030T</v>
          </cell>
          <cell r="H3292">
            <v>3</v>
          </cell>
          <cell r="I3292">
            <v>0.75</v>
          </cell>
          <cell r="J3292">
            <v>4</v>
          </cell>
          <cell r="K3292">
            <v>5</v>
          </cell>
        </row>
        <row r="3293">
          <cell r="A3293" t="str">
            <v>M2</v>
          </cell>
          <cell r="B3293" t="str">
            <v>A5C</v>
          </cell>
          <cell r="C3293" t="str">
            <v>TRIM</v>
          </cell>
          <cell r="D3293" t="str">
            <v>V-2316</v>
          </cell>
          <cell r="E3293" t="str">
            <v>SOL</v>
          </cell>
          <cell r="F3293">
            <v>2</v>
          </cell>
          <cell r="G3293" t="str">
            <v>CB39020000030T</v>
          </cell>
          <cell r="H3293">
            <v>3</v>
          </cell>
          <cell r="I3293">
            <v>0.75</v>
          </cell>
          <cell r="J3293">
            <v>6</v>
          </cell>
          <cell r="K3293">
            <v>7</v>
          </cell>
        </row>
        <row r="3294">
          <cell r="A3294" t="str">
            <v>M2</v>
          </cell>
          <cell r="B3294" t="str">
            <v>A5C</v>
          </cell>
          <cell r="C3294" t="str">
            <v>TRIM</v>
          </cell>
          <cell r="D3294" t="str">
            <v>V-2315</v>
          </cell>
          <cell r="E3294" t="str">
            <v>SOL</v>
          </cell>
          <cell r="F3294">
            <v>2</v>
          </cell>
          <cell r="G3294" t="str">
            <v>CB39020000030T</v>
          </cell>
          <cell r="H3294">
            <v>3</v>
          </cell>
          <cell r="I3294">
            <v>0.75</v>
          </cell>
          <cell r="J3294">
            <v>6</v>
          </cell>
          <cell r="K3294">
            <v>7</v>
          </cell>
        </row>
        <row r="3295">
          <cell r="A3295" t="str">
            <v>M2</v>
          </cell>
          <cell r="B3295" t="str">
            <v>A5C</v>
          </cell>
          <cell r="C3295" t="str">
            <v>TRIM</v>
          </cell>
          <cell r="D3295" t="str">
            <v>V-2317</v>
          </cell>
          <cell r="E3295" t="str">
            <v>SOL</v>
          </cell>
          <cell r="F3295">
            <v>2</v>
          </cell>
          <cell r="G3295" t="str">
            <v>CB39020000030T</v>
          </cell>
          <cell r="H3295">
            <v>3</v>
          </cell>
          <cell r="I3295">
            <v>0.75</v>
          </cell>
          <cell r="J3295">
            <v>6</v>
          </cell>
          <cell r="K3295">
            <v>7</v>
          </cell>
        </row>
        <row r="3296">
          <cell r="A3296" t="str">
            <v>M2</v>
          </cell>
          <cell r="B3296" t="str">
            <v>A5C</v>
          </cell>
          <cell r="C3296" t="str">
            <v>TRIM</v>
          </cell>
          <cell r="D3296" t="str">
            <v>V-2318</v>
          </cell>
          <cell r="E3296" t="str">
            <v>SOL</v>
          </cell>
          <cell r="F3296">
            <v>2</v>
          </cell>
          <cell r="G3296" t="str">
            <v>CB39020000030T</v>
          </cell>
          <cell r="H3296">
            <v>3</v>
          </cell>
          <cell r="I3296">
            <v>0.75</v>
          </cell>
          <cell r="J3296">
            <v>6</v>
          </cell>
          <cell r="K3296">
            <v>7</v>
          </cell>
        </row>
        <row r="3297">
          <cell r="A3297" t="str">
            <v>M2</v>
          </cell>
          <cell r="B3297" t="str">
            <v>A5C</v>
          </cell>
          <cell r="C3297" t="str">
            <v>TRIM</v>
          </cell>
          <cell r="D3297" t="str">
            <v>V-2319</v>
          </cell>
          <cell r="E3297" t="str">
            <v>SOL</v>
          </cell>
          <cell r="F3297">
            <v>2</v>
          </cell>
          <cell r="G3297" t="str">
            <v>CB39020000030T</v>
          </cell>
          <cell r="H3297">
            <v>3</v>
          </cell>
          <cell r="I3297">
            <v>0.75</v>
          </cell>
          <cell r="J3297">
            <v>6</v>
          </cell>
          <cell r="K3297">
            <v>7</v>
          </cell>
        </row>
        <row r="3298">
          <cell r="A3298" t="str">
            <v>M2</v>
          </cell>
          <cell r="B3298" t="str">
            <v>A5C</v>
          </cell>
          <cell r="C3298" t="str">
            <v>TRIM</v>
          </cell>
          <cell r="D3298" t="str">
            <v>V-2320</v>
          </cell>
          <cell r="E3298" t="str">
            <v>SOL</v>
          </cell>
          <cell r="F3298">
            <v>2</v>
          </cell>
          <cell r="G3298" t="str">
            <v>CB39020000030T</v>
          </cell>
          <cell r="H3298">
            <v>3</v>
          </cell>
          <cell r="I3298">
            <v>0.75</v>
          </cell>
          <cell r="J3298">
            <v>6</v>
          </cell>
          <cell r="K3298">
            <v>7</v>
          </cell>
        </row>
        <row r="3299">
          <cell r="A3299" t="str">
            <v>M2</v>
          </cell>
          <cell r="B3299" t="str">
            <v>A5C</v>
          </cell>
          <cell r="C3299" t="str">
            <v>TRIM</v>
          </cell>
          <cell r="D3299" t="str">
            <v>V-2321</v>
          </cell>
          <cell r="E3299" t="str">
            <v>SOL</v>
          </cell>
          <cell r="F3299">
            <v>2</v>
          </cell>
          <cell r="G3299" t="str">
            <v>CB39020000030T</v>
          </cell>
          <cell r="H3299">
            <v>3</v>
          </cell>
          <cell r="I3299">
            <v>0.75</v>
          </cell>
          <cell r="J3299">
            <v>6</v>
          </cell>
          <cell r="K3299">
            <v>7</v>
          </cell>
        </row>
        <row r="3300">
          <cell r="A3300" t="str">
            <v>M2</v>
          </cell>
          <cell r="B3300" t="str">
            <v>A5C</v>
          </cell>
          <cell r="C3300" t="str">
            <v>TRIM</v>
          </cell>
          <cell r="D3300" t="str">
            <v>V-2323</v>
          </cell>
          <cell r="E3300" t="str">
            <v>SOL</v>
          </cell>
          <cell r="F3300">
            <v>2</v>
          </cell>
          <cell r="G3300" t="str">
            <v>CB39020000030T</v>
          </cell>
          <cell r="H3300">
            <v>3</v>
          </cell>
          <cell r="I3300">
            <v>0.75</v>
          </cell>
          <cell r="J3300">
            <v>6</v>
          </cell>
          <cell r="K3300">
            <v>7</v>
          </cell>
        </row>
        <row r="3301">
          <cell r="A3301" t="str">
            <v>M2</v>
          </cell>
          <cell r="B3301" t="str">
            <v>A5C</v>
          </cell>
          <cell r="C3301" t="str">
            <v>TRIM</v>
          </cell>
          <cell r="D3301" t="str">
            <v>V-2324</v>
          </cell>
          <cell r="E3301" t="str">
            <v>SOL</v>
          </cell>
          <cell r="F3301">
            <v>2</v>
          </cell>
          <cell r="G3301" t="str">
            <v>CB39020000030T</v>
          </cell>
          <cell r="H3301">
            <v>3</v>
          </cell>
          <cell r="I3301">
            <v>0.75</v>
          </cell>
          <cell r="J3301">
            <v>6</v>
          </cell>
          <cell r="K3301">
            <v>7</v>
          </cell>
        </row>
        <row r="3302">
          <cell r="A3302" t="str">
            <v>M2</v>
          </cell>
          <cell r="B3302" t="str">
            <v>A5C</v>
          </cell>
          <cell r="C3302" t="str">
            <v>TRIM</v>
          </cell>
          <cell r="D3302" t="str">
            <v>V-2327</v>
          </cell>
          <cell r="E3302" t="str">
            <v>SOL</v>
          </cell>
          <cell r="F3302">
            <v>2</v>
          </cell>
          <cell r="G3302" t="str">
            <v>CB39020000030T</v>
          </cell>
          <cell r="H3302">
            <v>3</v>
          </cell>
          <cell r="I3302">
            <v>0.75</v>
          </cell>
          <cell r="J3302">
            <v>6</v>
          </cell>
          <cell r="K3302">
            <v>7</v>
          </cell>
        </row>
        <row r="3303">
          <cell r="A3303" t="str">
            <v>M2</v>
          </cell>
          <cell r="B3303" t="str">
            <v>A5C</v>
          </cell>
          <cell r="C3303" t="str">
            <v>TRIM</v>
          </cell>
          <cell r="D3303" t="str">
            <v>V-2329</v>
          </cell>
          <cell r="E3303" t="str">
            <v>SOL</v>
          </cell>
          <cell r="F3303">
            <v>2</v>
          </cell>
          <cell r="G3303" t="str">
            <v>CB39020000030T</v>
          </cell>
          <cell r="H3303">
            <v>3</v>
          </cell>
          <cell r="I3303">
            <v>0.75</v>
          </cell>
          <cell r="J3303">
            <v>6</v>
          </cell>
          <cell r="K3303">
            <v>7</v>
          </cell>
        </row>
        <row r="3304">
          <cell r="A3304" t="str">
            <v>M2</v>
          </cell>
          <cell r="B3304" t="str">
            <v>A5C</v>
          </cell>
          <cell r="C3304" t="str">
            <v>TRIM</v>
          </cell>
          <cell r="D3304" t="str">
            <v>V-2330</v>
          </cell>
          <cell r="E3304" t="str">
            <v>SOL</v>
          </cell>
          <cell r="F3304">
            <v>2</v>
          </cell>
          <cell r="G3304" t="str">
            <v>CB39020000030T</v>
          </cell>
          <cell r="H3304">
            <v>3</v>
          </cell>
          <cell r="I3304">
            <v>0.75</v>
          </cell>
          <cell r="J3304">
            <v>6</v>
          </cell>
          <cell r="K3304">
            <v>7</v>
          </cell>
        </row>
        <row r="3305">
          <cell r="A3305" t="str">
            <v>M2</v>
          </cell>
          <cell r="B3305" t="str">
            <v>A5C</v>
          </cell>
          <cell r="C3305" t="str">
            <v>TRIM</v>
          </cell>
          <cell r="D3305" t="str">
            <v>V-2331</v>
          </cell>
          <cell r="E3305" t="str">
            <v>SOL</v>
          </cell>
          <cell r="F3305">
            <v>2</v>
          </cell>
          <cell r="G3305" t="str">
            <v>CB39020000030T</v>
          </cell>
          <cell r="H3305">
            <v>3</v>
          </cell>
          <cell r="I3305">
            <v>0.75</v>
          </cell>
          <cell r="J3305">
            <v>6</v>
          </cell>
          <cell r="K3305">
            <v>7</v>
          </cell>
        </row>
        <row r="3306">
          <cell r="A3306" t="str">
            <v>M2</v>
          </cell>
          <cell r="B3306" t="str">
            <v>A5C</v>
          </cell>
          <cell r="C3306" t="str">
            <v>TRIM</v>
          </cell>
          <cell r="D3306" t="str">
            <v>V-2332</v>
          </cell>
          <cell r="E3306" t="str">
            <v>SOL</v>
          </cell>
          <cell r="F3306">
            <v>2</v>
          </cell>
          <cell r="G3306" t="str">
            <v>CB39020000030T</v>
          </cell>
          <cell r="H3306">
            <v>3</v>
          </cell>
          <cell r="I3306">
            <v>0.75</v>
          </cell>
          <cell r="J3306">
            <v>6</v>
          </cell>
          <cell r="K3306">
            <v>7</v>
          </cell>
        </row>
        <row r="3307">
          <cell r="A3307" t="str">
            <v>M2</v>
          </cell>
          <cell r="B3307" t="str">
            <v>A5C</v>
          </cell>
          <cell r="C3307" t="str">
            <v>P</v>
          </cell>
          <cell r="D3307" t="str">
            <v>23082</v>
          </cell>
          <cell r="E3307" t="str">
            <v>SOL</v>
          </cell>
          <cell r="F3307">
            <v>2</v>
          </cell>
          <cell r="G3307" t="str">
            <v>CB39020000030T</v>
          </cell>
          <cell r="H3307">
            <v>3</v>
          </cell>
          <cell r="I3307">
            <v>0.75</v>
          </cell>
          <cell r="J3307">
            <v>2</v>
          </cell>
          <cell r="K3307">
            <v>3</v>
          </cell>
        </row>
        <row r="3308">
          <cell r="A3308" t="str">
            <v>M2</v>
          </cell>
          <cell r="B3308" t="str">
            <v>A5C</v>
          </cell>
          <cell r="C3308" t="str">
            <v>P</v>
          </cell>
          <cell r="D3308" t="str">
            <v>23105</v>
          </cell>
          <cell r="E3308" t="str">
            <v>SOL</v>
          </cell>
          <cell r="F3308">
            <v>2</v>
          </cell>
          <cell r="G3308" t="str">
            <v>CB39020000030T</v>
          </cell>
          <cell r="H3308">
            <v>3</v>
          </cell>
          <cell r="I3308">
            <v>0.75</v>
          </cell>
          <cell r="J3308">
            <v>4</v>
          </cell>
          <cell r="K3308">
            <v>5</v>
          </cell>
        </row>
        <row r="3309">
          <cell r="A3309" t="str">
            <v>M2</v>
          </cell>
          <cell r="B3309" t="str">
            <v>A5C</v>
          </cell>
          <cell r="C3309" t="str">
            <v>P</v>
          </cell>
          <cell r="D3309" t="str">
            <v>23113</v>
          </cell>
          <cell r="E3309" t="str">
            <v>SOL</v>
          </cell>
          <cell r="F3309">
            <v>2</v>
          </cell>
          <cell r="G3309" t="str">
            <v>CB39020000030T</v>
          </cell>
          <cell r="H3309">
            <v>3</v>
          </cell>
          <cell r="I3309">
            <v>0.75</v>
          </cell>
          <cell r="J3309">
            <v>4</v>
          </cell>
          <cell r="K3309">
            <v>5</v>
          </cell>
        </row>
        <row r="3310">
          <cell r="A3310" t="str">
            <v>M2</v>
          </cell>
          <cell r="B3310" t="str">
            <v>A5C</v>
          </cell>
          <cell r="C3310" t="str">
            <v>P</v>
          </cell>
          <cell r="D3310" t="str">
            <v>23122</v>
          </cell>
          <cell r="E3310" t="str">
            <v>SOL</v>
          </cell>
          <cell r="F3310">
            <v>2</v>
          </cell>
          <cell r="G3310" t="str">
            <v>CB390200000301</v>
          </cell>
          <cell r="H3310">
            <v>3</v>
          </cell>
          <cell r="I3310">
            <v>1</v>
          </cell>
          <cell r="J3310">
            <v>1</v>
          </cell>
          <cell r="K3310">
            <v>2</v>
          </cell>
        </row>
        <row r="3311">
          <cell r="A3311" t="str">
            <v>M2</v>
          </cell>
          <cell r="B3311" t="str">
            <v>A5C</v>
          </cell>
          <cell r="C3311" t="str">
            <v>P</v>
          </cell>
          <cell r="D3311" t="str">
            <v>23124</v>
          </cell>
          <cell r="E3311" t="str">
            <v>SOL</v>
          </cell>
          <cell r="F3311">
            <v>2</v>
          </cell>
          <cell r="G3311" t="str">
            <v>CB39020000030T</v>
          </cell>
          <cell r="H3311">
            <v>3</v>
          </cell>
          <cell r="I3311">
            <v>0.75</v>
          </cell>
          <cell r="J3311">
            <v>3</v>
          </cell>
          <cell r="K3311">
            <v>4</v>
          </cell>
        </row>
        <row r="3312">
          <cell r="A3312" t="str">
            <v>M2</v>
          </cell>
          <cell r="B3312" t="str">
            <v>A5C</v>
          </cell>
          <cell r="C3312" t="str">
            <v>P</v>
          </cell>
          <cell r="D3312" t="str">
            <v>23232</v>
          </cell>
          <cell r="E3312" t="str">
            <v>SOL</v>
          </cell>
          <cell r="F3312">
            <v>2</v>
          </cell>
          <cell r="G3312" t="str">
            <v>CB39020000030T</v>
          </cell>
          <cell r="H3312">
            <v>3</v>
          </cell>
          <cell r="I3312">
            <v>0.75</v>
          </cell>
          <cell r="J3312">
            <v>2</v>
          </cell>
          <cell r="K3312">
            <v>3</v>
          </cell>
        </row>
        <row r="3313">
          <cell r="A3313" t="str">
            <v>M2</v>
          </cell>
          <cell r="B3313" t="str">
            <v>A5C</v>
          </cell>
          <cell r="C3313" t="str">
            <v>P</v>
          </cell>
          <cell r="D3313" t="str">
            <v>23240</v>
          </cell>
          <cell r="E3313" t="str">
            <v>SOL</v>
          </cell>
          <cell r="F3313">
            <v>2</v>
          </cell>
          <cell r="G3313" t="str">
            <v>CB39020000030T</v>
          </cell>
          <cell r="H3313">
            <v>3</v>
          </cell>
          <cell r="I3313">
            <v>0.75</v>
          </cell>
          <cell r="J3313">
            <v>2</v>
          </cell>
          <cell r="K3313">
            <v>3</v>
          </cell>
        </row>
        <row r="3314">
          <cell r="A3314" t="str">
            <v>M2</v>
          </cell>
          <cell r="B3314" t="str">
            <v>A5C</v>
          </cell>
          <cell r="C3314" t="str">
            <v>P</v>
          </cell>
          <cell r="D3314" t="str">
            <v>23254</v>
          </cell>
          <cell r="E3314" t="str">
            <v>SOL</v>
          </cell>
          <cell r="F3314">
            <v>2</v>
          </cell>
          <cell r="G3314" t="str">
            <v>CB39020000030T</v>
          </cell>
          <cell r="H3314">
            <v>3</v>
          </cell>
          <cell r="I3314">
            <v>0.75</v>
          </cell>
          <cell r="J3314">
            <v>2</v>
          </cell>
          <cell r="K3314">
            <v>3</v>
          </cell>
        </row>
        <row r="3315">
          <cell r="A3315" t="str">
            <v>M2</v>
          </cell>
          <cell r="B3315" t="str">
            <v>A5C</v>
          </cell>
          <cell r="C3315" t="str">
            <v>TRIM</v>
          </cell>
          <cell r="D3315" t="str">
            <v>V-2301</v>
          </cell>
          <cell r="E3315" t="str">
            <v>SOL</v>
          </cell>
          <cell r="F3315">
            <v>2</v>
          </cell>
          <cell r="G3315" t="str">
            <v>CB3902000003IH</v>
          </cell>
          <cell r="H3315">
            <v>3</v>
          </cell>
          <cell r="I3315">
            <v>1.5</v>
          </cell>
          <cell r="J3315">
            <v>2</v>
          </cell>
          <cell r="K3315">
            <v>3</v>
          </cell>
        </row>
        <row r="3316">
          <cell r="A3316" t="str">
            <v>M2</v>
          </cell>
          <cell r="B3316" t="str">
            <v>A5C</v>
          </cell>
          <cell r="C3316" t="str">
            <v>TRIM</v>
          </cell>
          <cell r="D3316" t="str">
            <v>V-2326</v>
          </cell>
          <cell r="E3316" t="str">
            <v>SOL</v>
          </cell>
          <cell r="F3316">
            <v>2</v>
          </cell>
          <cell r="G3316" t="str">
            <v>CB39020000030T</v>
          </cell>
          <cell r="H3316">
            <v>3</v>
          </cell>
          <cell r="I3316">
            <v>0.75</v>
          </cell>
          <cell r="J3316">
            <v>6</v>
          </cell>
          <cell r="K3316">
            <v>7</v>
          </cell>
        </row>
        <row r="3317">
          <cell r="A3317" t="str">
            <v>M2</v>
          </cell>
          <cell r="B3317" t="str">
            <v>A5C</v>
          </cell>
          <cell r="C3317" t="str">
            <v>TRIM</v>
          </cell>
          <cell r="D3317" t="str">
            <v>V-2328</v>
          </cell>
          <cell r="E3317" t="str">
            <v>SOL</v>
          </cell>
          <cell r="F3317">
            <v>2</v>
          </cell>
          <cell r="G3317" t="str">
            <v>CB39020000030T</v>
          </cell>
          <cell r="H3317">
            <v>3</v>
          </cell>
          <cell r="I3317">
            <v>0.75</v>
          </cell>
          <cell r="J3317">
            <v>6</v>
          </cell>
          <cell r="K3317">
            <v>7</v>
          </cell>
        </row>
        <row r="3318">
          <cell r="A3318" t="str">
            <v>M2</v>
          </cell>
          <cell r="B3318" t="str">
            <v>A5C</v>
          </cell>
          <cell r="C3318" t="str">
            <v>TRIM</v>
          </cell>
          <cell r="D3318" t="str">
            <v>V-2333</v>
          </cell>
          <cell r="E3318" t="str">
            <v>SOL</v>
          </cell>
          <cell r="F3318">
            <v>2</v>
          </cell>
          <cell r="G3318" t="str">
            <v>CB39020000030T</v>
          </cell>
          <cell r="H3318">
            <v>3</v>
          </cell>
          <cell r="I3318">
            <v>0.75</v>
          </cell>
          <cell r="J3318">
            <v>6</v>
          </cell>
          <cell r="K3318">
            <v>7</v>
          </cell>
        </row>
        <row r="3319">
          <cell r="A3319" t="str">
            <v>M2</v>
          </cell>
          <cell r="B3319" t="str">
            <v>A5C</v>
          </cell>
          <cell r="C3319" t="str">
            <v>TRIM</v>
          </cell>
          <cell r="D3319" t="str">
            <v>V-2351</v>
          </cell>
          <cell r="E3319" t="str">
            <v>SOL</v>
          </cell>
          <cell r="F3319">
            <v>2</v>
          </cell>
          <cell r="G3319" t="str">
            <v>CB39020000030T</v>
          </cell>
          <cell r="H3319">
            <v>3</v>
          </cell>
          <cell r="I3319">
            <v>0.75</v>
          </cell>
          <cell r="J3319">
            <v>4</v>
          </cell>
          <cell r="K3319">
            <v>5</v>
          </cell>
        </row>
        <row r="3320">
          <cell r="A3320" t="str">
            <v>M2</v>
          </cell>
          <cell r="B3320" t="str">
            <v>A5C</v>
          </cell>
          <cell r="C3320" t="str">
            <v>P</v>
          </cell>
          <cell r="D3320" t="str">
            <v>23005</v>
          </cell>
          <cell r="E3320" t="str">
            <v>TEE</v>
          </cell>
          <cell r="F3320">
            <v>2</v>
          </cell>
          <cell r="G3320" t="str">
            <v>CB300304000300</v>
          </cell>
          <cell r="H3320">
            <v>3</v>
          </cell>
          <cell r="I3320" t="str">
            <v>--</v>
          </cell>
          <cell r="J3320">
            <v>1</v>
          </cell>
          <cell r="K3320">
            <v>2</v>
          </cell>
        </row>
        <row r="3321">
          <cell r="A3321" t="str">
            <v>M2</v>
          </cell>
          <cell r="B3321" t="str">
            <v>A5C</v>
          </cell>
          <cell r="C3321" t="str">
            <v>P</v>
          </cell>
          <cell r="D3321" t="str">
            <v>23047</v>
          </cell>
          <cell r="E3321" t="str">
            <v>TEE</v>
          </cell>
          <cell r="F3321">
            <v>2</v>
          </cell>
          <cell r="G3321" t="str">
            <v>CB300304000300</v>
          </cell>
          <cell r="H3321">
            <v>3</v>
          </cell>
          <cell r="I3321" t="str">
            <v>--</v>
          </cell>
          <cell r="J3321">
            <v>1</v>
          </cell>
          <cell r="K3321">
            <v>2</v>
          </cell>
        </row>
        <row r="3322">
          <cell r="A3322" t="str">
            <v>M2</v>
          </cell>
          <cell r="B3322" t="str">
            <v>A5C</v>
          </cell>
          <cell r="C3322" t="str">
            <v>P</v>
          </cell>
          <cell r="D3322" t="str">
            <v>23082</v>
          </cell>
          <cell r="E3322" t="str">
            <v>TEE</v>
          </cell>
          <cell r="F3322">
            <v>2</v>
          </cell>
          <cell r="G3322" t="str">
            <v>CB300304000300</v>
          </cell>
          <cell r="H3322">
            <v>3</v>
          </cell>
          <cell r="I3322" t="str">
            <v>--</v>
          </cell>
          <cell r="J3322">
            <v>1</v>
          </cell>
          <cell r="K3322">
            <v>2</v>
          </cell>
        </row>
        <row r="3323">
          <cell r="A3323" t="str">
            <v>M2</v>
          </cell>
          <cell r="B3323" t="str">
            <v>A5C</v>
          </cell>
          <cell r="C3323" t="str">
            <v>P</v>
          </cell>
          <cell r="D3323" t="str">
            <v>23106</v>
          </cell>
          <cell r="E3323" t="str">
            <v>TEE</v>
          </cell>
          <cell r="F3323">
            <v>2</v>
          </cell>
          <cell r="G3323" t="str">
            <v>CB300304000300</v>
          </cell>
          <cell r="H3323">
            <v>3</v>
          </cell>
          <cell r="I3323" t="str">
            <v>--</v>
          </cell>
          <cell r="J3323">
            <v>1</v>
          </cell>
          <cell r="K3323">
            <v>2</v>
          </cell>
        </row>
        <row r="3324">
          <cell r="A3324" t="str">
            <v>M2</v>
          </cell>
          <cell r="B3324" t="str">
            <v>A5C</v>
          </cell>
          <cell r="C3324" t="str">
            <v>P</v>
          </cell>
          <cell r="D3324" t="str">
            <v>23124</v>
          </cell>
          <cell r="E3324" t="str">
            <v>TEE</v>
          </cell>
          <cell r="F3324">
            <v>2</v>
          </cell>
          <cell r="G3324" t="str">
            <v>CB300304000300</v>
          </cell>
          <cell r="H3324">
            <v>3</v>
          </cell>
          <cell r="I3324" t="str">
            <v>--</v>
          </cell>
          <cell r="J3324">
            <v>1</v>
          </cell>
          <cell r="K3324">
            <v>2</v>
          </cell>
        </row>
        <row r="3325">
          <cell r="A3325" t="str">
            <v>M2</v>
          </cell>
          <cell r="B3325" t="str">
            <v>A5C</v>
          </cell>
          <cell r="C3325" t="str">
            <v>P</v>
          </cell>
          <cell r="D3325" t="str">
            <v>23142</v>
          </cell>
          <cell r="E3325" t="str">
            <v>TEE</v>
          </cell>
          <cell r="F3325">
            <v>2</v>
          </cell>
          <cell r="G3325" t="str">
            <v>CB300304000300</v>
          </cell>
          <cell r="H3325">
            <v>3</v>
          </cell>
          <cell r="I3325" t="str">
            <v>--</v>
          </cell>
          <cell r="J3325">
            <v>1</v>
          </cell>
          <cell r="K3325">
            <v>2</v>
          </cell>
        </row>
        <row r="3326">
          <cell r="A3326" t="str">
            <v>M2</v>
          </cell>
          <cell r="B3326" t="str">
            <v>A5C</v>
          </cell>
          <cell r="C3326" t="str">
            <v>P</v>
          </cell>
          <cell r="D3326" t="str">
            <v>23236</v>
          </cell>
          <cell r="E3326" t="str">
            <v>TEE</v>
          </cell>
          <cell r="F3326">
            <v>2</v>
          </cell>
          <cell r="G3326" t="str">
            <v>CB300304000300</v>
          </cell>
          <cell r="H3326">
            <v>3</v>
          </cell>
          <cell r="I3326" t="str">
            <v>--</v>
          </cell>
          <cell r="J3326">
            <v>1</v>
          </cell>
          <cell r="K3326">
            <v>2</v>
          </cell>
        </row>
        <row r="3327">
          <cell r="A3327" t="str">
            <v>M2</v>
          </cell>
          <cell r="B3327" t="str">
            <v>A5C</v>
          </cell>
          <cell r="C3327" t="str">
            <v>P</v>
          </cell>
          <cell r="D3327" t="str">
            <v>23240</v>
          </cell>
          <cell r="E3327" t="str">
            <v>TEE</v>
          </cell>
          <cell r="F3327">
            <v>2</v>
          </cell>
          <cell r="G3327" t="str">
            <v>CB300304000300</v>
          </cell>
          <cell r="H3327">
            <v>3</v>
          </cell>
          <cell r="I3327" t="str">
            <v>--</v>
          </cell>
          <cell r="J3327">
            <v>1</v>
          </cell>
          <cell r="K3327">
            <v>2</v>
          </cell>
        </row>
        <row r="3328">
          <cell r="A3328" t="str">
            <v>M2</v>
          </cell>
          <cell r="B3328" t="str">
            <v>A5C</v>
          </cell>
          <cell r="C3328" t="str">
            <v>P</v>
          </cell>
          <cell r="D3328" t="str">
            <v>23246</v>
          </cell>
          <cell r="E3328" t="str">
            <v>TEE</v>
          </cell>
          <cell r="F3328">
            <v>2</v>
          </cell>
          <cell r="G3328" t="str">
            <v>CB300304000300</v>
          </cell>
          <cell r="H3328">
            <v>3</v>
          </cell>
          <cell r="I3328" t="str">
            <v>--</v>
          </cell>
          <cell r="J3328">
            <v>1</v>
          </cell>
          <cell r="K3328">
            <v>2</v>
          </cell>
        </row>
        <row r="3329">
          <cell r="A3329" t="str">
            <v>M2</v>
          </cell>
          <cell r="B3329" t="str">
            <v>A5C</v>
          </cell>
          <cell r="C3329" t="str">
            <v>P</v>
          </cell>
          <cell r="D3329" t="str">
            <v>23254</v>
          </cell>
          <cell r="E3329" t="str">
            <v>TEE</v>
          </cell>
          <cell r="F3329">
            <v>2</v>
          </cell>
          <cell r="G3329" t="str">
            <v>CB300304000300</v>
          </cell>
          <cell r="H3329">
            <v>3</v>
          </cell>
          <cell r="I3329" t="str">
            <v>--</v>
          </cell>
          <cell r="J3329">
            <v>1</v>
          </cell>
          <cell r="K3329">
            <v>2</v>
          </cell>
        </row>
        <row r="3330">
          <cell r="A3330" t="str">
            <v>M2</v>
          </cell>
          <cell r="B3330" t="str">
            <v>A5C</v>
          </cell>
          <cell r="C3330" t="str">
            <v>P</v>
          </cell>
          <cell r="D3330" t="str">
            <v>23258</v>
          </cell>
          <cell r="E3330" t="str">
            <v>TEE</v>
          </cell>
          <cell r="F3330">
            <v>2</v>
          </cell>
          <cell r="G3330" t="str">
            <v>CB300304000300</v>
          </cell>
          <cell r="H3330">
            <v>3</v>
          </cell>
          <cell r="I3330" t="str">
            <v>--</v>
          </cell>
          <cell r="J3330">
            <v>1</v>
          </cell>
          <cell r="K3330">
            <v>2</v>
          </cell>
        </row>
        <row r="3331">
          <cell r="A3331" t="str">
            <v>M2</v>
          </cell>
          <cell r="B3331" t="str">
            <v>A5C</v>
          </cell>
          <cell r="C3331" t="str">
            <v>P</v>
          </cell>
          <cell r="D3331" t="str">
            <v>23232</v>
          </cell>
          <cell r="E3331" t="str">
            <v>TEE</v>
          </cell>
          <cell r="F3331">
            <v>2</v>
          </cell>
          <cell r="G3331" t="str">
            <v>CB300304000300</v>
          </cell>
          <cell r="H3331">
            <v>3</v>
          </cell>
          <cell r="I3331" t="str">
            <v>--</v>
          </cell>
          <cell r="J3331">
            <v>1</v>
          </cell>
          <cell r="K3331">
            <v>2</v>
          </cell>
        </row>
        <row r="3332">
          <cell r="A3332" t="str">
            <v>M2</v>
          </cell>
          <cell r="B3332" t="str">
            <v>A5C</v>
          </cell>
          <cell r="C3332" t="str">
            <v>P</v>
          </cell>
          <cell r="D3332" t="str">
            <v>23017</v>
          </cell>
          <cell r="E3332" t="str">
            <v>90 ELL</v>
          </cell>
          <cell r="F3332">
            <v>2</v>
          </cell>
          <cell r="G3332" t="str">
            <v>CB300104000300</v>
          </cell>
          <cell r="H3332">
            <v>3</v>
          </cell>
          <cell r="I3332" t="str">
            <v>--</v>
          </cell>
          <cell r="J3332">
            <v>8</v>
          </cell>
          <cell r="K3332">
            <v>9</v>
          </cell>
        </row>
        <row r="3333">
          <cell r="A3333" t="str">
            <v>M2</v>
          </cell>
          <cell r="B3333" t="str">
            <v>A5C</v>
          </cell>
          <cell r="C3333" t="str">
            <v>P</v>
          </cell>
          <cell r="D3333" t="str">
            <v>23029</v>
          </cell>
          <cell r="E3333" t="str">
            <v>90 ELL</v>
          </cell>
          <cell r="F3333">
            <v>2</v>
          </cell>
          <cell r="G3333" t="str">
            <v>CB300104000300</v>
          </cell>
          <cell r="H3333">
            <v>3</v>
          </cell>
          <cell r="I3333" t="str">
            <v>--</v>
          </cell>
          <cell r="J3333">
            <v>1</v>
          </cell>
          <cell r="K3333">
            <v>2</v>
          </cell>
        </row>
        <row r="3334">
          <cell r="A3334" t="str">
            <v>M2</v>
          </cell>
          <cell r="B3334" t="str">
            <v>A5C</v>
          </cell>
          <cell r="C3334" t="str">
            <v>P</v>
          </cell>
          <cell r="D3334" t="str">
            <v>23050</v>
          </cell>
          <cell r="E3334" t="str">
            <v>90 ELL</v>
          </cell>
          <cell r="F3334">
            <v>2</v>
          </cell>
          <cell r="G3334" t="str">
            <v>CB300104000300</v>
          </cell>
          <cell r="H3334">
            <v>3</v>
          </cell>
          <cell r="I3334" t="str">
            <v>--</v>
          </cell>
          <cell r="J3334">
            <v>2</v>
          </cell>
          <cell r="K3334">
            <v>3</v>
          </cell>
        </row>
        <row r="3335">
          <cell r="A3335" t="str">
            <v>M2</v>
          </cell>
          <cell r="B3335" t="str">
            <v>A5C</v>
          </cell>
          <cell r="C3335" t="str">
            <v>P</v>
          </cell>
          <cell r="D3335" t="str">
            <v>23051</v>
          </cell>
          <cell r="E3335" t="str">
            <v>90 ELL</v>
          </cell>
          <cell r="F3335">
            <v>2</v>
          </cell>
          <cell r="G3335" t="str">
            <v>CB300104000300</v>
          </cell>
          <cell r="H3335">
            <v>3</v>
          </cell>
          <cell r="I3335" t="str">
            <v>--</v>
          </cell>
          <cell r="J3335">
            <v>8</v>
          </cell>
          <cell r="K3335">
            <v>9</v>
          </cell>
        </row>
        <row r="3336">
          <cell r="A3336" t="str">
            <v>M2</v>
          </cell>
          <cell r="B3336" t="str">
            <v>A5C</v>
          </cell>
          <cell r="C3336" t="str">
            <v>P</v>
          </cell>
          <cell r="D3336" t="str">
            <v>23064</v>
          </cell>
          <cell r="E3336" t="str">
            <v>90 ELL</v>
          </cell>
          <cell r="F3336">
            <v>2</v>
          </cell>
          <cell r="G3336" t="str">
            <v>CB300104000300</v>
          </cell>
          <cell r="H3336">
            <v>3</v>
          </cell>
          <cell r="I3336" t="str">
            <v>--</v>
          </cell>
          <cell r="J3336">
            <v>9</v>
          </cell>
          <cell r="K3336">
            <v>10</v>
          </cell>
        </row>
        <row r="3337">
          <cell r="A3337" t="str">
            <v>M2</v>
          </cell>
          <cell r="B3337" t="str">
            <v>A5C</v>
          </cell>
          <cell r="C3337" t="str">
            <v>P</v>
          </cell>
          <cell r="D3337" t="str">
            <v>23071</v>
          </cell>
          <cell r="E3337" t="str">
            <v>90 ELL</v>
          </cell>
          <cell r="F3337">
            <v>2</v>
          </cell>
          <cell r="G3337" t="str">
            <v>CB300104000300</v>
          </cell>
          <cell r="H3337">
            <v>3</v>
          </cell>
          <cell r="I3337" t="str">
            <v>--</v>
          </cell>
          <cell r="J3337">
            <v>1</v>
          </cell>
          <cell r="K3337">
            <v>2</v>
          </cell>
        </row>
        <row r="3338">
          <cell r="A3338" t="str">
            <v>M2</v>
          </cell>
          <cell r="B3338" t="str">
            <v>A5C</v>
          </cell>
          <cell r="C3338" t="str">
            <v>P</v>
          </cell>
          <cell r="D3338" t="str">
            <v>23086</v>
          </cell>
          <cell r="E3338" t="str">
            <v>90 ELL</v>
          </cell>
          <cell r="F3338">
            <v>2</v>
          </cell>
          <cell r="G3338" t="str">
            <v>CB300104000300</v>
          </cell>
          <cell r="H3338">
            <v>3</v>
          </cell>
          <cell r="I3338" t="str">
            <v>--</v>
          </cell>
          <cell r="J3338">
            <v>5</v>
          </cell>
          <cell r="K3338">
            <v>6</v>
          </cell>
        </row>
        <row r="3339">
          <cell r="A3339" t="str">
            <v>M2</v>
          </cell>
          <cell r="B3339" t="str">
            <v>A5C</v>
          </cell>
          <cell r="C3339" t="str">
            <v>P</v>
          </cell>
          <cell r="D3339" t="str">
            <v>23016</v>
          </cell>
          <cell r="E3339" t="str">
            <v>90 ELL</v>
          </cell>
          <cell r="F3339">
            <v>2</v>
          </cell>
          <cell r="G3339" t="str">
            <v>CB300104000300</v>
          </cell>
          <cell r="H3339">
            <v>3</v>
          </cell>
          <cell r="I3339" t="str">
            <v>--</v>
          </cell>
          <cell r="J3339">
            <v>4</v>
          </cell>
          <cell r="K3339">
            <v>5</v>
          </cell>
        </row>
        <row r="3340">
          <cell r="A3340" t="str">
            <v>M2</v>
          </cell>
          <cell r="B3340" t="str">
            <v>A5C</v>
          </cell>
          <cell r="C3340" t="str">
            <v>P</v>
          </cell>
          <cell r="D3340" t="str">
            <v>23061</v>
          </cell>
          <cell r="E3340" t="str">
            <v>90 ELL</v>
          </cell>
          <cell r="F3340">
            <v>2</v>
          </cell>
          <cell r="G3340" t="str">
            <v>CB300104000300</v>
          </cell>
          <cell r="H3340">
            <v>3</v>
          </cell>
          <cell r="I3340" t="str">
            <v>--</v>
          </cell>
          <cell r="J3340">
            <v>2</v>
          </cell>
          <cell r="K3340">
            <v>3</v>
          </cell>
        </row>
        <row r="3341">
          <cell r="A3341" t="str">
            <v>M2</v>
          </cell>
          <cell r="B3341" t="str">
            <v>A5C</v>
          </cell>
          <cell r="C3341" t="str">
            <v>P</v>
          </cell>
          <cell r="D3341" t="str">
            <v>23064</v>
          </cell>
          <cell r="E3341" t="str">
            <v>90 ELL</v>
          </cell>
          <cell r="F3341">
            <v>2</v>
          </cell>
          <cell r="G3341" t="str">
            <v>CB300104000300</v>
          </cell>
          <cell r="H3341">
            <v>3</v>
          </cell>
          <cell r="I3341" t="str">
            <v>--</v>
          </cell>
          <cell r="J3341">
            <v>6</v>
          </cell>
          <cell r="K3341">
            <v>7</v>
          </cell>
        </row>
        <row r="3342">
          <cell r="A3342" t="str">
            <v>M2</v>
          </cell>
          <cell r="B3342" t="str">
            <v>A5C</v>
          </cell>
          <cell r="C3342" t="str">
            <v>P</v>
          </cell>
          <cell r="D3342" t="str">
            <v>23125</v>
          </cell>
          <cell r="E3342" t="str">
            <v>90 ELL</v>
          </cell>
          <cell r="F3342">
            <v>2</v>
          </cell>
          <cell r="G3342" t="str">
            <v>CB300104000300</v>
          </cell>
          <cell r="H3342">
            <v>3</v>
          </cell>
          <cell r="I3342" t="str">
            <v>--</v>
          </cell>
          <cell r="J3342">
            <v>5</v>
          </cell>
          <cell r="K3342">
            <v>6</v>
          </cell>
        </row>
        <row r="3343">
          <cell r="A3343" t="str">
            <v>M2</v>
          </cell>
          <cell r="B3343" t="str">
            <v>A5C</v>
          </cell>
          <cell r="C3343" t="str">
            <v>P</v>
          </cell>
          <cell r="D3343" t="str">
            <v>23064</v>
          </cell>
          <cell r="E3343" t="str">
            <v>C RED</v>
          </cell>
          <cell r="F3343">
            <v>2</v>
          </cell>
          <cell r="G3343" t="str">
            <v>CB300504080302</v>
          </cell>
          <cell r="H3343">
            <v>3</v>
          </cell>
          <cell r="I3343">
            <v>2</v>
          </cell>
          <cell r="J3343">
            <v>2</v>
          </cell>
          <cell r="K3343">
            <v>3</v>
          </cell>
        </row>
        <row r="3344">
          <cell r="A3344" t="str">
            <v>M2</v>
          </cell>
          <cell r="B3344" t="str">
            <v>A5C</v>
          </cell>
          <cell r="C3344" t="str">
            <v>TRIM</v>
          </cell>
          <cell r="D3344" t="str">
            <v>C-2302</v>
          </cell>
          <cell r="E3344" t="str">
            <v>CAP</v>
          </cell>
          <cell r="F3344">
            <v>2</v>
          </cell>
          <cell r="G3344" t="str">
            <v>CB300704000300</v>
          </cell>
          <cell r="H3344">
            <v>3</v>
          </cell>
          <cell r="I3344" t="str">
            <v>--</v>
          </cell>
          <cell r="J3344">
            <v>2</v>
          </cell>
          <cell r="K3344">
            <v>3</v>
          </cell>
        </row>
        <row r="3345">
          <cell r="A3345" t="str">
            <v>M2</v>
          </cell>
          <cell r="B3345" t="str">
            <v>A5C</v>
          </cell>
          <cell r="C3345" t="str">
            <v>TRIM</v>
          </cell>
          <cell r="D3345" t="str">
            <v>C-2303</v>
          </cell>
          <cell r="E3345" t="str">
            <v>CAP</v>
          </cell>
          <cell r="F3345">
            <v>2</v>
          </cell>
          <cell r="G3345" t="str">
            <v>CB300704000300</v>
          </cell>
          <cell r="H3345">
            <v>3</v>
          </cell>
          <cell r="I3345" t="str">
            <v>--</v>
          </cell>
          <cell r="J3345">
            <v>2</v>
          </cell>
          <cell r="K3345">
            <v>3</v>
          </cell>
        </row>
        <row r="3346">
          <cell r="A3346" t="str">
            <v>M2</v>
          </cell>
          <cell r="B3346" t="str">
            <v>A5C</v>
          </cell>
          <cell r="C3346" t="str">
            <v>TRIM</v>
          </cell>
          <cell r="D3346" t="str">
            <v>C-2304</v>
          </cell>
          <cell r="E3346" t="str">
            <v>CAP</v>
          </cell>
          <cell r="F3346">
            <v>2</v>
          </cell>
          <cell r="G3346" t="str">
            <v>CB300704000300</v>
          </cell>
          <cell r="H3346">
            <v>3</v>
          </cell>
          <cell r="I3346" t="str">
            <v>--</v>
          </cell>
          <cell r="J3346">
            <v>2</v>
          </cell>
          <cell r="K3346">
            <v>3</v>
          </cell>
        </row>
        <row r="3347">
          <cell r="A3347" t="str">
            <v>M2</v>
          </cell>
          <cell r="B3347" t="str">
            <v>A5C</v>
          </cell>
          <cell r="C3347" t="str">
            <v>TRIM</v>
          </cell>
          <cell r="D3347" t="str">
            <v>C-2305</v>
          </cell>
          <cell r="E3347" t="str">
            <v>CAP</v>
          </cell>
          <cell r="F3347">
            <v>2</v>
          </cell>
          <cell r="G3347" t="str">
            <v>CB300704000300</v>
          </cell>
          <cell r="H3347">
            <v>3</v>
          </cell>
          <cell r="I3347" t="str">
            <v>--</v>
          </cell>
          <cell r="J3347">
            <v>2</v>
          </cell>
          <cell r="K3347">
            <v>3</v>
          </cell>
        </row>
        <row r="3348">
          <cell r="A3348" t="str">
            <v>M2</v>
          </cell>
          <cell r="B3348" t="str">
            <v>A5C</v>
          </cell>
          <cell r="C3348" t="str">
            <v>TRIM</v>
          </cell>
          <cell r="D3348" t="str">
            <v>C-2306</v>
          </cell>
          <cell r="E3348" t="str">
            <v>CAP</v>
          </cell>
          <cell r="F3348">
            <v>2</v>
          </cell>
          <cell r="G3348" t="str">
            <v>CB300704000300</v>
          </cell>
          <cell r="H3348">
            <v>3</v>
          </cell>
          <cell r="I3348" t="str">
            <v>--</v>
          </cell>
          <cell r="J3348">
            <v>2</v>
          </cell>
          <cell r="K3348">
            <v>3</v>
          </cell>
        </row>
        <row r="3349">
          <cell r="A3349" t="str">
            <v>M2</v>
          </cell>
          <cell r="B3349" t="str">
            <v>A5C</v>
          </cell>
          <cell r="C3349" t="str">
            <v>TRIM</v>
          </cell>
          <cell r="D3349" t="str">
            <v>V-2302</v>
          </cell>
          <cell r="E3349" t="str">
            <v>CAP</v>
          </cell>
          <cell r="F3349">
            <v>2</v>
          </cell>
          <cell r="G3349" t="str">
            <v>CB300704000300</v>
          </cell>
          <cell r="H3349">
            <v>3</v>
          </cell>
          <cell r="I3349" t="str">
            <v>--</v>
          </cell>
          <cell r="J3349">
            <v>2</v>
          </cell>
          <cell r="K3349">
            <v>3</v>
          </cell>
        </row>
        <row r="3350">
          <cell r="A3350" t="str">
            <v>M2</v>
          </cell>
          <cell r="B3350" t="str">
            <v>A5C</v>
          </cell>
          <cell r="C3350" t="str">
            <v>TRIM</v>
          </cell>
          <cell r="D3350" t="str">
            <v>V-2304</v>
          </cell>
          <cell r="E3350" t="str">
            <v>CAP</v>
          </cell>
          <cell r="F3350">
            <v>2</v>
          </cell>
          <cell r="G3350" t="str">
            <v>CB300704000300</v>
          </cell>
          <cell r="H3350">
            <v>3</v>
          </cell>
          <cell r="I3350" t="str">
            <v>--</v>
          </cell>
          <cell r="J3350">
            <v>2</v>
          </cell>
          <cell r="K3350">
            <v>3</v>
          </cell>
        </row>
        <row r="3351">
          <cell r="A3351" t="str">
            <v>M2</v>
          </cell>
          <cell r="B3351" t="str">
            <v>A5C</v>
          </cell>
          <cell r="C3351" t="str">
            <v>TRIM</v>
          </cell>
          <cell r="D3351" t="str">
            <v>V-2306</v>
          </cell>
          <cell r="E3351" t="str">
            <v>CAP</v>
          </cell>
          <cell r="F3351">
            <v>2</v>
          </cell>
          <cell r="G3351" t="str">
            <v>CB300704000300</v>
          </cell>
          <cell r="H3351">
            <v>3</v>
          </cell>
          <cell r="I3351" t="str">
            <v>--</v>
          </cell>
          <cell r="J3351">
            <v>2</v>
          </cell>
          <cell r="K3351">
            <v>3</v>
          </cell>
        </row>
        <row r="3352">
          <cell r="A3352" t="str">
            <v>M2</v>
          </cell>
          <cell r="B3352" t="str">
            <v>A5C</v>
          </cell>
          <cell r="C3352" t="str">
            <v>TRIM</v>
          </cell>
          <cell r="D3352" t="str">
            <v>V-2308</v>
          </cell>
          <cell r="E3352" t="str">
            <v>CAP</v>
          </cell>
          <cell r="F3352">
            <v>2</v>
          </cell>
          <cell r="G3352" t="str">
            <v>CB300704000300</v>
          </cell>
          <cell r="H3352">
            <v>3</v>
          </cell>
          <cell r="I3352" t="str">
            <v>--</v>
          </cell>
          <cell r="J3352">
            <v>2</v>
          </cell>
          <cell r="K3352">
            <v>3</v>
          </cell>
        </row>
        <row r="3353">
          <cell r="A3353" t="str">
            <v>M2</v>
          </cell>
          <cell r="B3353" t="str">
            <v>A5C</v>
          </cell>
          <cell r="C3353" t="str">
            <v>TRIM</v>
          </cell>
          <cell r="D3353" t="str">
            <v>V-2325</v>
          </cell>
          <cell r="E3353" t="str">
            <v>CAP</v>
          </cell>
          <cell r="F3353">
            <v>2</v>
          </cell>
          <cell r="G3353" t="str">
            <v>CB300704000300</v>
          </cell>
          <cell r="H3353">
            <v>3</v>
          </cell>
          <cell r="I3353" t="str">
            <v>--</v>
          </cell>
          <cell r="J3353">
            <v>2</v>
          </cell>
          <cell r="K3353">
            <v>3</v>
          </cell>
        </row>
        <row r="3354">
          <cell r="A3354" t="str">
            <v>M2</v>
          </cell>
          <cell r="B3354" t="str">
            <v>A5C</v>
          </cell>
          <cell r="C3354" t="str">
            <v>TRIM</v>
          </cell>
          <cell r="D3354" t="str">
            <v>V-2403</v>
          </cell>
          <cell r="E3354" t="str">
            <v>CAP</v>
          </cell>
          <cell r="F3354">
            <v>2</v>
          </cell>
          <cell r="G3354" t="str">
            <v>CB300704000300</v>
          </cell>
          <cell r="H3354">
            <v>3</v>
          </cell>
          <cell r="I3354" t="str">
            <v>--</v>
          </cell>
          <cell r="J3354">
            <v>2</v>
          </cell>
          <cell r="K3354">
            <v>3</v>
          </cell>
        </row>
        <row r="3355">
          <cell r="A3355" t="str">
            <v>M2</v>
          </cell>
          <cell r="B3355" t="str">
            <v>A5C</v>
          </cell>
          <cell r="C3355" t="str">
            <v>TRIM</v>
          </cell>
          <cell r="D3355" t="str">
            <v>V-2310</v>
          </cell>
          <cell r="E3355" t="str">
            <v>CAP</v>
          </cell>
          <cell r="F3355">
            <v>2</v>
          </cell>
          <cell r="G3355" t="str">
            <v>CB300704000300</v>
          </cell>
          <cell r="H3355">
            <v>3</v>
          </cell>
          <cell r="I3355" t="str">
            <v>--</v>
          </cell>
          <cell r="J3355">
            <v>2</v>
          </cell>
          <cell r="K3355">
            <v>3</v>
          </cell>
        </row>
        <row r="3356">
          <cell r="A3356" t="str">
            <v>M2</v>
          </cell>
          <cell r="B3356" t="str">
            <v>A5C</v>
          </cell>
          <cell r="C3356" t="str">
            <v>TRIM</v>
          </cell>
          <cell r="D3356" t="str">
            <v>V-2313</v>
          </cell>
          <cell r="E3356" t="str">
            <v>CAP</v>
          </cell>
          <cell r="F3356">
            <v>2</v>
          </cell>
          <cell r="G3356" t="str">
            <v>CB300704000300</v>
          </cell>
          <cell r="H3356">
            <v>3</v>
          </cell>
          <cell r="I3356" t="str">
            <v>--</v>
          </cell>
          <cell r="J3356">
            <v>2</v>
          </cell>
          <cell r="K3356">
            <v>3</v>
          </cell>
        </row>
        <row r="3357">
          <cell r="A3357" t="str">
            <v>M2</v>
          </cell>
          <cell r="B3357" t="str">
            <v>A5C</v>
          </cell>
          <cell r="C3357" t="str">
            <v>P</v>
          </cell>
          <cell r="D3357" t="str">
            <v>23017</v>
          </cell>
          <cell r="E3357" t="str">
            <v>E RED</v>
          </cell>
          <cell r="F3357">
            <v>2</v>
          </cell>
          <cell r="G3357" t="str">
            <v>CB300604080302</v>
          </cell>
          <cell r="H3357">
            <v>3</v>
          </cell>
          <cell r="I3357">
            <v>2</v>
          </cell>
          <cell r="J3357">
            <v>2</v>
          </cell>
          <cell r="K3357">
            <v>3</v>
          </cell>
        </row>
        <row r="3358">
          <cell r="A3358" t="str">
            <v>M2</v>
          </cell>
          <cell r="B3358" t="str">
            <v>A5C</v>
          </cell>
          <cell r="C3358" t="str">
            <v>P</v>
          </cell>
          <cell r="D3358" t="str">
            <v>23051</v>
          </cell>
          <cell r="E3358" t="str">
            <v>E RED</v>
          </cell>
          <cell r="F3358">
            <v>2</v>
          </cell>
          <cell r="G3358" t="str">
            <v>CB300604080302</v>
          </cell>
          <cell r="H3358">
            <v>3</v>
          </cell>
          <cell r="I3358">
            <v>2</v>
          </cell>
          <cell r="J3358">
            <v>2</v>
          </cell>
          <cell r="K3358">
            <v>3</v>
          </cell>
        </row>
        <row r="3359">
          <cell r="A3359" t="str">
            <v>M2</v>
          </cell>
          <cell r="B3359" t="str">
            <v>A5C</v>
          </cell>
          <cell r="C3359" t="str">
            <v>P</v>
          </cell>
          <cell r="D3359" t="str">
            <v>23064</v>
          </cell>
          <cell r="E3359" t="str">
            <v>E RED</v>
          </cell>
          <cell r="F3359">
            <v>2</v>
          </cell>
          <cell r="G3359" t="str">
            <v>CB300604080302</v>
          </cell>
          <cell r="H3359">
            <v>3</v>
          </cell>
          <cell r="I3359">
            <v>2</v>
          </cell>
          <cell r="J3359">
            <v>2</v>
          </cell>
          <cell r="K3359">
            <v>3</v>
          </cell>
        </row>
        <row r="3360">
          <cell r="A3360" t="str">
            <v>M2</v>
          </cell>
          <cell r="B3360" t="str">
            <v>A5C</v>
          </cell>
          <cell r="C3360" t="str">
            <v>P</v>
          </cell>
          <cell r="D3360" t="str">
            <v>23064</v>
          </cell>
          <cell r="E3360" t="str">
            <v>SOL</v>
          </cell>
          <cell r="F3360">
            <v>2</v>
          </cell>
          <cell r="G3360" t="str">
            <v>CB39020000030T</v>
          </cell>
          <cell r="H3360">
            <v>3</v>
          </cell>
          <cell r="I3360">
            <v>0.75</v>
          </cell>
          <cell r="J3360">
            <v>4</v>
          </cell>
          <cell r="K3360">
            <v>5</v>
          </cell>
        </row>
        <row r="3361">
          <cell r="A3361" t="str">
            <v>M2</v>
          </cell>
          <cell r="B3361" t="str">
            <v>A5C</v>
          </cell>
          <cell r="C3361" t="str">
            <v>P</v>
          </cell>
          <cell r="D3361" t="str">
            <v>23064</v>
          </cell>
          <cell r="E3361" t="str">
            <v>SOL</v>
          </cell>
          <cell r="F3361">
            <v>2</v>
          </cell>
          <cell r="G3361" t="str">
            <v>CB39020000030T</v>
          </cell>
          <cell r="H3361">
            <v>3</v>
          </cell>
          <cell r="I3361">
            <v>0.75</v>
          </cell>
          <cell r="J3361">
            <v>1</v>
          </cell>
          <cell r="K3361">
            <v>2</v>
          </cell>
        </row>
        <row r="3362">
          <cell r="A3362" t="str">
            <v>M2</v>
          </cell>
          <cell r="B3362" t="str">
            <v>A5C</v>
          </cell>
          <cell r="C3362" t="str">
            <v>P</v>
          </cell>
          <cell r="D3362" t="str">
            <v>23071</v>
          </cell>
          <cell r="E3362" t="str">
            <v>SOL</v>
          </cell>
          <cell r="F3362">
            <v>2</v>
          </cell>
          <cell r="G3362" t="str">
            <v>CB3902000003IH</v>
          </cell>
          <cell r="H3362">
            <v>3</v>
          </cell>
          <cell r="I3362">
            <v>1.5</v>
          </cell>
          <cell r="J3362">
            <v>1</v>
          </cell>
          <cell r="K3362">
            <v>2</v>
          </cell>
        </row>
        <row r="3363">
          <cell r="A3363" t="str">
            <v>M2</v>
          </cell>
          <cell r="B3363" t="str">
            <v>A5C</v>
          </cell>
          <cell r="C3363" t="str">
            <v>TRIM</v>
          </cell>
          <cell r="D3363" t="str">
            <v>C-2302</v>
          </cell>
          <cell r="E3363" t="str">
            <v>SOL</v>
          </cell>
          <cell r="F3363">
            <v>2</v>
          </cell>
          <cell r="G3363" t="str">
            <v>CB39020000030T</v>
          </cell>
          <cell r="H3363">
            <v>3</v>
          </cell>
          <cell r="I3363">
            <v>0.75</v>
          </cell>
          <cell r="J3363">
            <v>6</v>
          </cell>
          <cell r="K3363">
            <v>7</v>
          </cell>
        </row>
        <row r="3364">
          <cell r="A3364" t="str">
            <v>M2</v>
          </cell>
          <cell r="B3364" t="str">
            <v>A5C</v>
          </cell>
          <cell r="C3364" t="str">
            <v>TRIM</v>
          </cell>
          <cell r="D3364" t="str">
            <v>C-2303</v>
          </cell>
          <cell r="E3364" t="str">
            <v>SOL</v>
          </cell>
          <cell r="F3364">
            <v>2</v>
          </cell>
          <cell r="G3364" t="str">
            <v>CB3902000003IH</v>
          </cell>
          <cell r="H3364">
            <v>3</v>
          </cell>
          <cell r="I3364">
            <v>1.5</v>
          </cell>
          <cell r="J3364">
            <v>2</v>
          </cell>
          <cell r="K3364">
            <v>3</v>
          </cell>
        </row>
        <row r="3365">
          <cell r="A3365" t="str">
            <v>M2</v>
          </cell>
          <cell r="B3365" t="str">
            <v>A5C</v>
          </cell>
          <cell r="C3365" t="str">
            <v>TRIM</v>
          </cell>
          <cell r="D3365" t="str">
            <v>C-2305</v>
          </cell>
          <cell r="E3365" t="str">
            <v>SOL</v>
          </cell>
          <cell r="F3365">
            <v>2</v>
          </cell>
          <cell r="G3365" t="str">
            <v>CB39020000030T</v>
          </cell>
          <cell r="H3365">
            <v>3</v>
          </cell>
          <cell r="I3365">
            <v>0.75</v>
          </cell>
          <cell r="J3365">
            <v>4</v>
          </cell>
          <cell r="K3365">
            <v>5</v>
          </cell>
        </row>
        <row r="3366">
          <cell r="A3366" t="str">
            <v>M2</v>
          </cell>
          <cell r="B3366" t="str">
            <v>A5C</v>
          </cell>
          <cell r="C3366" t="str">
            <v>TRIM</v>
          </cell>
          <cell r="D3366" t="str">
            <v>C-2304</v>
          </cell>
          <cell r="E3366" t="str">
            <v>SOL</v>
          </cell>
          <cell r="F3366">
            <v>2</v>
          </cell>
          <cell r="G3366" t="str">
            <v>CB39020000030T</v>
          </cell>
          <cell r="H3366">
            <v>3</v>
          </cell>
          <cell r="I3366">
            <v>0.75</v>
          </cell>
          <cell r="J3366">
            <v>4</v>
          </cell>
          <cell r="K3366">
            <v>5</v>
          </cell>
        </row>
        <row r="3367">
          <cell r="A3367" t="str">
            <v>M2</v>
          </cell>
          <cell r="B3367" t="str">
            <v>A5C</v>
          </cell>
          <cell r="C3367" t="str">
            <v>TRIM</v>
          </cell>
          <cell r="D3367" t="str">
            <v>C-2304</v>
          </cell>
          <cell r="E3367" t="str">
            <v>SOL</v>
          </cell>
          <cell r="F3367">
            <v>2</v>
          </cell>
          <cell r="G3367" t="str">
            <v>CB3902000003IH</v>
          </cell>
          <cell r="H3367">
            <v>3</v>
          </cell>
          <cell r="I3367">
            <v>1.5</v>
          </cell>
          <cell r="J3367">
            <v>2</v>
          </cell>
          <cell r="K3367">
            <v>3</v>
          </cell>
        </row>
        <row r="3368">
          <cell r="A3368" t="str">
            <v>M2</v>
          </cell>
          <cell r="B3368" t="str">
            <v>A5C</v>
          </cell>
          <cell r="C3368" t="str">
            <v>TRIM</v>
          </cell>
          <cell r="D3368" t="str">
            <v>C-2305</v>
          </cell>
          <cell r="E3368" t="str">
            <v>SOL</v>
          </cell>
          <cell r="F3368">
            <v>2</v>
          </cell>
          <cell r="G3368" t="str">
            <v>CB3902000003IH</v>
          </cell>
          <cell r="H3368">
            <v>3</v>
          </cell>
          <cell r="I3368">
            <v>1.5</v>
          </cell>
          <cell r="J3368">
            <v>2</v>
          </cell>
          <cell r="K3368">
            <v>3</v>
          </cell>
        </row>
        <row r="3369">
          <cell r="A3369" t="str">
            <v>M2</v>
          </cell>
          <cell r="B3369" t="str">
            <v>A5C</v>
          </cell>
          <cell r="C3369" t="str">
            <v>TRIM</v>
          </cell>
          <cell r="D3369" t="str">
            <v>V-2302</v>
          </cell>
          <cell r="E3369" t="str">
            <v>SOL</v>
          </cell>
          <cell r="F3369">
            <v>2</v>
          </cell>
          <cell r="G3369" t="str">
            <v>CB3902000003IH</v>
          </cell>
          <cell r="H3369">
            <v>3</v>
          </cell>
          <cell r="I3369">
            <v>1.5</v>
          </cell>
          <cell r="J3369">
            <v>2</v>
          </cell>
          <cell r="K3369">
            <v>3</v>
          </cell>
        </row>
        <row r="3370">
          <cell r="A3370" t="str">
            <v>M2</v>
          </cell>
          <cell r="B3370" t="str">
            <v>A5C</v>
          </cell>
          <cell r="C3370" t="str">
            <v>TRIM</v>
          </cell>
          <cell r="D3370" t="str">
            <v>C-2306</v>
          </cell>
          <cell r="E3370" t="str">
            <v>SOL</v>
          </cell>
          <cell r="F3370">
            <v>2</v>
          </cell>
          <cell r="G3370" t="str">
            <v>CB39020000030T</v>
          </cell>
          <cell r="H3370">
            <v>3</v>
          </cell>
          <cell r="I3370">
            <v>0.75</v>
          </cell>
          <cell r="J3370">
            <v>4</v>
          </cell>
          <cell r="K3370">
            <v>5</v>
          </cell>
        </row>
        <row r="3371">
          <cell r="A3371" t="str">
            <v>M2</v>
          </cell>
          <cell r="B3371" t="str">
            <v>A5C</v>
          </cell>
          <cell r="C3371" t="str">
            <v>TRIM</v>
          </cell>
          <cell r="D3371" t="str">
            <v>C-2306</v>
          </cell>
          <cell r="E3371" t="str">
            <v>SOL</v>
          </cell>
          <cell r="F3371">
            <v>2</v>
          </cell>
          <cell r="G3371" t="str">
            <v>CB3902000003IH</v>
          </cell>
          <cell r="H3371">
            <v>3</v>
          </cell>
          <cell r="I3371">
            <v>1.5</v>
          </cell>
          <cell r="J3371">
            <v>2</v>
          </cell>
          <cell r="K3371">
            <v>3</v>
          </cell>
        </row>
        <row r="3372">
          <cell r="A3372" t="str">
            <v>M2</v>
          </cell>
          <cell r="B3372" t="str">
            <v>A5C</v>
          </cell>
          <cell r="C3372" t="str">
            <v>TRIM</v>
          </cell>
          <cell r="D3372" t="str">
            <v>V-2304</v>
          </cell>
          <cell r="E3372" t="str">
            <v>SOL</v>
          </cell>
          <cell r="F3372">
            <v>2</v>
          </cell>
          <cell r="G3372" t="str">
            <v>CB39020000030T</v>
          </cell>
          <cell r="H3372">
            <v>3</v>
          </cell>
          <cell r="I3372">
            <v>0.75</v>
          </cell>
          <cell r="J3372">
            <v>4</v>
          </cell>
          <cell r="K3372">
            <v>5</v>
          </cell>
        </row>
        <row r="3373">
          <cell r="A3373" t="str">
            <v>M2</v>
          </cell>
          <cell r="B3373" t="str">
            <v>A5C</v>
          </cell>
          <cell r="C3373" t="str">
            <v>TRIM</v>
          </cell>
          <cell r="D3373" t="str">
            <v>V-2304</v>
          </cell>
          <cell r="E3373" t="str">
            <v>SOL</v>
          </cell>
          <cell r="F3373">
            <v>2</v>
          </cell>
          <cell r="G3373" t="str">
            <v>CB3902000003IH</v>
          </cell>
          <cell r="H3373">
            <v>3</v>
          </cell>
          <cell r="I3373">
            <v>1.5</v>
          </cell>
          <cell r="J3373">
            <v>2</v>
          </cell>
          <cell r="K3373">
            <v>3</v>
          </cell>
        </row>
        <row r="3374">
          <cell r="A3374" t="str">
            <v>M2</v>
          </cell>
          <cell r="B3374" t="str">
            <v>A5C</v>
          </cell>
          <cell r="C3374" t="str">
            <v>TRIM</v>
          </cell>
          <cell r="D3374" t="str">
            <v>V-2306</v>
          </cell>
          <cell r="E3374" t="str">
            <v>SOL</v>
          </cell>
          <cell r="F3374">
            <v>2</v>
          </cell>
          <cell r="G3374" t="str">
            <v>CB3902000003IH</v>
          </cell>
          <cell r="H3374">
            <v>3</v>
          </cell>
          <cell r="I3374">
            <v>1.5</v>
          </cell>
          <cell r="J3374">
            <v>2</v>
          </cell>
          <cell r="K3374">
            <v>3</v>
          </cell>
        </row>
        <row r="3375">
          <cell r="A3375" t="str">
            <v>M2</v>
          </cell>
          <cell r="B3375" t="str">
            <v>A5C</v>
          </cell>
          <cell r="C3375" t="str">
            <v>TRIM</v>
          </cell>
          <cell r="D3375" t="str">
            <v>V-2306</v>
          </cell>
          <cell r="E3375" t="str">
            <v>SOL</v>
          </cell>
          <cell r="F3375">
            <v>2</v>
          </cell>
          <cell r="G3375" t="str">
            <v>CB39020000030T</v>
          </cell>
          <cell r="H3375">
            <v>3</v>
          </cell>
          <cell r="I3375">
            <v>0.75</v>
          </cell>
          <cell r="J3375">
            <v>4</v>
          </cell>
          <cell r="K3375">
            <v>5</v>
          </cell>
        </row>
        <row r="3376">
          <cell r="A3376" t="str">
            <v>M2</v>
          </cell>
          <cell r="B3376" t="str">
            <v>A5C</v>
          </cell>
          <cell r="C3376" t="str">
            <v>TRIM</v>
          </cell>
          <cell r="D3376" t="str">
            <v>V-2310</v>
          </cell>
          <cell r="E3376" t="str">
            <v>SOL</v>
          </cell>
          <cell r="F3376">
            <v>2</v>
          </cell>
          <cell r="G3376" t="str">
            <v>CB3902000003IH</v>
          </cell>
          <cell r="H3376">
            <v>3</v>
          </cell>
          <cell r="I3376">
            <v>1.5</v>
          </cell>
          <cell r="J3376">
            <v>2</v>
          </cell>
          <cell r="K3376">
            <v>3</v>
          </cell>
        </row>
        <row r="3377">
          <cell r="A3377" t="str">
            <v>M2</v>
          </cell>
          <cell r="B3377" t="str">
            <v>A5C</v>
          </cell>
          <cell r="C3377" t="str">
            <v>TRIM</v>
          </cell>
          <cell r="D3377" t="str">
            <v>V-2310</v>
          </cell>
          <cell r="E3377" t="str">
            <v>SOL</v>
          </cell>
          <cell r="F3377">
            <v>2</v>
          </cell>
          <cell r="G3377" t="str">
            <v>CB39020000030T</v>
          </cell>
          <cell r="H3377">
            <v>3</v>
          </cell>
          <cell r="I3377">
            <v>0.75</v>
          </cell>
          <cell r="J3377">
            <v>4</v>
          </cell>
          <cell r="K3377">
            <v>5</v>
          </cell>
        </row>
        <row r="3378">
          <cell r="A3378" t="str">
            <v>M2</v>
          </cell>
          <cell r="B3378" t="str">
            <v>A5C</v>
          </cell>
          <cell r="C3378" t="str">
            <v>TRIM</v>
          </cell>
          <cell r="D3378" t="str">
            <v>V-2308</v>
          </cell>
          <cell r="E3378" t="str">
            <v>SOL</v>
          </cell>
          <cell r="F3378">
            <v>2</v>
          </cell>
          <cell r="G3378" t="str">
            <v>CB3902000003IH</v>
          </cell>
          <cell r="H3378">
            <v>3</v>
          </cell>
          <cell r="I3378">
            <v>1.5</v>
          </cell>
          <cell r="J3378">
            <v>2</v>
          </cell>
          <cell r="K3378">
            <v>3</v>
          </cell>
        </row>
        <row r="3379">
          <cell r="A3379" t="str">
            <v>M2</v>
          </cell>
          <cell r="B3379" t="str">
            <v>A5C</v>
          </cell>
          <cell r="C3379" t="str">
            <v>TRIM</v>
          </cell>
          <cell r="D3379" t="str">
            <v>V-2308</v>
          </cell>
          <cell r="E3379" t="str">
            <v>SOL</v>
          </cell>
          <cell r="F3379">
            <v>2</v>
          </cell>
          <cell r="G3379" t="str">
            <v>CB39020000030T</v>
          </cell>
          <cell r="H3379">
            <v>3</v>
          </cell>
          <cell r="I3379">
            <v>0.75</v>
          </cell>
          <cell r="J3379">
            <v>4</v>
          </cell>
          <cell r="K3379">
            <v>5</v>
          </cell>
        </row>
        <row r="3380">
          <cell r="A3380" t="str">
            <v>M2</v>
          </cell>
          <cell r="B3380" t="str">
            <v>A5C</v>
          </cell>
          <cell r="C3380" t="str">
            <v>TRIM</v>
          </cell>
          <cell r="D3380" t="str">
            <v>V-2313</v>
          </cell>
          <cell r="E3380" t="str">
            <v>SOL</v>
          </cell>
          <cell r="F3380">
            <v>2</v>
          </cell>
          <cell r="G3380" t="str">
            <v>CB3902000003IH</v>
          </cell>
          <cell r="H3380">
            <v>3</v>
          </cell>
          <cell r="I3380">
            <v>1.5</v>
          </cell>
          <cell r="J3380">
            <v>2</v>
          </cell>
          <cell r="K3380">
            <v>3</v>
          </cell>
        </row>
        <row r="3381">
          <cell r="A3381" t="str">
            <v>M2</v>
          </cell>
          <cell r="B3381" t="str">
            <v>A5C</v>
          </cell>
          <cell r="C3381" t="str">
            <v>TRIM</v>
          </cell>
          <cell r="D3381" t="str">
            <v>V-2325</v>
          </cell>
          <cell r="E3381" t="str">
            <v>SOL</v>
          </cell>
          <cell r="F3381">
            <v>2</v>
          </cell>
          <cell r="G3381" t="str">
            <v>CB39020000030T</v>
          </cell>
          <cell r="H3381">
            <v>3</v>
          </cell>
          <cell r="I3381">
            <v>0.75</v>
          </cell>
          <cell r="J3381">
            <v>6</v>
          </cell>
          <cell r="K3381">
            <v>7</v>
          </cell>
        </row>
        <row r="3382">
          <cell r="A3382" t="str">
            <v>M2</v>
          </cell>
          <cell r="B3382" t="str">
            <v>A5C</v>
          </cell>
          <cell r="C3382" t="str">
            <v>TRIM</v>
          </cell>
          <cell r="D3382" t="str">
            <v>V-2403</v>
          </cell>
          <cell r="E3382" t="str">
            <v>SOL</v>
          </cell>
          <cell r="F3382">
            <v>2</v>
          </cell>
          <cell r="G3382" t="str">
            <v>CB39020000030T</v>
          </cell>
          <cell r="H3382">
            <v>3</v>
          </cell>
          <cell r="I3382">
            <v>0.75</v>
          </cell>
          <cell r="J3382">
            <v>6</v>
          </cell>
          <cell r="K3382">
            <v>7</v>
          </cell>
        </row>
        <row r="3383">
          <cell r="A3383" t="str">
            <v>M2</v>
          </cell>
          <cell r="B3383" t="str">
            <v>A5C</v>
          </cell>
          <cell r="C3383" t="str">
            <v>P</v>
          </cell>
          <cell r="D3383" t="str">
            <v>23051</v>
          </cell>
          <cell r="E3383" t="str">
            <v>SOL</v>
          </cell>
          <cell r="F3383">
            <v>2</v>
          </cell>
          <cell r="G3383" t="str">
            <v>CB39020000030T</v>
          </cell>
          <cell r="H3383">
            <v>3</v>
          </cell>
          <cell r="I3383">
            <v>0.75</v>
          </cell>
          <cell r="J3383">
            <v>2</v>
          </cell>
          <cell r="K3383">
            <v>3</v>
          </cell>
        </row>
        <row r="3384">
          <cell r="A3384" t="str">
            <v>M2</v>
          </cell>
          <cell r="B3384" t="str">
            <v>A5C</v>
          </cell>
          <cell r="C3384" t="str">
            <v>TRIM</v>
          </cell>
          <cell r="D3384" t="str">
            <v>C-2303</v>
          </cell>
          <cell r="E3384" t="str">
            <v>SOL</v>
          </cell>
          <cell r="F3384">
            <v>2</v>
          </cell>
          <cell r="G3384" t="str">
            <v>CB39020000030T</v>
          </cell>
          <cell r="H3384">
            <v>3</v>
          </cell>
          <cell r="I3384">
            <v>0.75</v>
          </cell>
          <cell r="J3384">
            <v>4</v>
          </cell>
          <cell r="K3384">
            <v>5</v>
          </cell>
        </row>
        <row r="3385">
          <cell r="A3385" t="str">
            <v>M2</v>
          </cell>
          <cell r="B3385" t="str">
            <v>A5C</v>
          </cell>
          <cell r="C3385" t="str">
            <v>TRIM</v>
          </cell>
          <cell r="D3385" t="str">
            <v>V-2302</v>
          </cell>
          <cell r="E3385" t="str">
            <v>SOL</v>
          </cell>
          <cell r="F3385">
            <v>2</v>
          </cell>
          <cell r="G3385" t="str">
            <v>CB39020000030T</v>
          </cell>
          <cell r="H3385">
            <v>3</v>
          </cell>
          <cell r="I3385">
            <v>0.75</v>
          </cell>
          <cell r="J3385">
            <v>4</v>
          </cell>
          <cell r="K3385">
            <v>5</v>
          </cell>
        </row>
        <row r="3386">
          <cell r="A3386" t="str">
            <v>M2</v>
          </cell>
          <cell r="B3386" t="str">
            <v>A5C</v>
          </cell>
          <cell r="C3386" t="str">
            <v>TRIM</v>
          </cell>
          <cell r="D3386" t="str">
            <v>V-2313</v>
          </cell>
          <cell r="E3386" t="str">
            <v>SOL</v>
          </cell>
          <cell r="F3386">
            <v>2</v>
          </cell>
          <cell r="G3386" t="str">
            <v>CB39020000030T</v>
          </cell>
          <cell r="H3386">
            <v>3</v>
          </cell>
          <cell r="I3386">
            <v>0.75</v>
          </cell>
          <cell r="J3386">
            <v>4</v>
          </cell>
          <cell r="K3386">
            <v>5</v>
          </cell>
        </row>
        <row r="3387">
          <cell r="A3387" t="str">
            <v>M2</v>
          </cell>
          <cell r="B3387" t="str">
            <v>A5C</v>
          </cell>
          <cell r="C3387" t="str">
            <v>P</v>
          </cell>
          <cell r="D3387" t="str">
            <v>23017</v>
          </cell>
          <cell r="E3387" t="str">
            <v>TEE</v>
          </cell>
          <cell r="F3387">
            <v>2</v>
          </cell>
          <cell r="G3387" t="str">
            <v>CB300304000300</v>
          </cell>
          <cell r="H3387">
            <v>3</v>
          </cell>
          <cell r="I3387" t="str">
            <v>--</v>
          </cell>
          <cell r="J3387">
            <v>1</v>
          </cell>
          <cell r="K3387">
            <v>2</v>
          </cell>
        </row>
        <row r="3388">
          <cell r="A3388" t="str">
            <v>M2</v>
          </cell>
          <cell r="B3388" t="str">
            <v>A5C</v>
          </cell>
          <cell r="C3388" t="str">
            <v>P</v>
          </cell>
          <cell r="D3388" t="str">
            <v>23064</v>
          </cell>
          <cell r="E3388" t="str">
            <v>TEE</v>
          </cell>
          <cell r="F3388">
            <v>2</v>
          </cell>
          <cell r="G3388" t="str">
            <v>CB300304000300</v>
          </cell>
          <cell r="H3388">
            <v>3</v>
          </cell>
          <cell r="I3388" t="str">
            <v>--</v>
          </cell>
          <cell r="J3388">
            <v>2</v>
          </cell>
          <cell r="K3388">
            <v>3</v>
          </cell>
        </row>
        <row r="3389">
          <cell r="A3389" t="str">
            <v>M2</v>
          </cell>
          <cell r="B3389" t="str">
            <v>A5C</v>
          </cell>
          <cell r="C3389" t="str">
            <v>P</v>
          </cell>
          <cell r="D3389" t="str">
            <v>23064</v>
          </cell>
          <cell r="E3389" t="str">
            <v>TEE</v>
          </cell>
          <cell r="F3389">
            <v>2</v>
          </cell>
          <cell r="G3389" t="str">
            <v>CB300304000300</v>
          </cell>
          <cell r="H3389">
            <v>3</v>
          </cell>
          <cell r="I3389" t="str">
            <v>--</v>
          </cell>
          <cell r="J3389">
            <v>1</v>
          </cell>
          <cell r="K3389">
            <v>2</v>
          </cell>
        </row>
        <row r="3390">
          <cell r="A3390" t="str">
            <v>M2</v>
          </cell>
          <cell r="B3390" t="str">
            <v>A5C</v>
          </cell>
          <cell r="C3390" t="str">
            <v>P</v>
          </cell>
          <cell r="D3390" t="str">
            <v>23086</v>
          </cell>
          <cell r="E3390" t="str">
            <v>TEE</v>
          </cell>
          <cell r="F3390">
            <v>2</v>
          </cell>
          <cell r="G3390" t="str">
            <v>CB300304000300</v>
          </cell>
          <cell r="H3390">
            <v>3</v>
          </cell>
          <cell r="I3390" t="str">
            <v>--</v>
          </cell>
          <cell r="J3390">
            <v>2</v>
          </cell>
          <cell r="K3390">
            <v>3</v>
          </cell>
        </row>
        <row r="3391">
          <cell r="A3391" t="str">
            <v>M2</v>
          </cell>
          <cell r="B3391" t="str">
            <v>A5C</v>
          </cell>
          <cell r="C3391" t="str">
            <v>P</v>
          </cell>
          <cell r="D3391" t="str">
            <v>23125</v>
          </cell>
          <cell r="E3391" t="str">
            <v>TEE</v>
          </cell>
          <cell r="F3391">
            <v>2</v>
          </cell>
          <cell r="G3391" t="str">
            <v>CB300304000300</v>
          </cell>
          <cell r="H3391">
            <v>3</v>
          </cell>
          <cell r="I3391" t="str">
            <v>--</v>
          </cell>
          <cell r="J3391">
            <v>2</v>
          </cell>
          <cell r="K3391">
            <v>3</v>
          </cell>
        </row>
        <row r="3392">
          <cell r="A3392" t="str">
            <v>M2</v>
          </cell>
          <cell r="B3392" t="str">
            <v>A5C</v>
          </cell>
          <cell r="C3392" t="str">
            <v>P</v>
          </cell>
          <cell r="D3392" t="str">
            <v>23051</v>
          </cell>
          <cell r="E3392" t="str">
            <v>TEE</v>
          </cell>
          <cell r="F3392">
            <v>2</v>
          </cell>
          <cell r="G3392" t="str">
            <v>CB300304000300</v>
          </cell>
          <cell r="H3392">
            <v>3</v>
          </cell>
          <cell r="I3392" t="str">
            <v>--</v>
          </cell>
          <cell r="J3392">
            <v>1</v>
          </cell>
          <cell r="K3392">
            <v>2</v>
          </cell>
        </row>
        <row r="3393">
          <cell r="A3393" t="str">
            <v>M2</v>
          </cell>
          <cell r="B3393" t="str">
            <v>A5C</v>
          </cell>
          <cell r="C3393" t="str">
            <v>P</v>
          </cell>
          <cell r="D3393" t="str">
            <v>24003</v>
          </cell>
          <cell r="E3393" t="str">
            <v>90 ELL</v>
          </cell>
          <cell r="F3393">
            <v>2</v>
          </cell>
          <cell r="G3393" t="str">
            <v>CB300104000300</v>
          </cell>
          <cell r="H3393">
            <v>3</v>
          </cell>
          <cell r="I3393" t="str">
            <v>--</v>
          </cell>
          <cell r="J3393">
            <v>4</v>
          </cell>
          <cell r="K3393">
            <v>5</v>
          </cell>
        </row>
        <row r="3394">
          <cell r="A3394" t="str">
            <v>M2</v>
          </cell>
          <cell r="B3394" t="str">
            <v>A5C</v>
          </cell>
          <cell r="C3394" t="str">
            <v>P</v>
          </cell>
          <cell r="D3394" t="str">
            <v>24027</v>
          </cell>
          <cell r="E3394" t="str">
            <v>90 ELL</v>
          </cell>
          <cell r="F3394">
            <v>2</v>
          </cell>
          <cell r="G3394" t="str">
            <v>CB300104000300</v>
          </cell>
          <cell r="H3394">
            <v>3</v>
          </cell>
          <cell r="I3394" t="str">
            <v>--</v>
          </cell>
          <cell r="J3394">
            <v>3</v>
          </cell>
          <cell r="K3394">
            <v>4</v>
          </cell>
        </row>
        <row r="3395">
          <cell r="A3395" t="str">
            <v>M2</v>
          </cell>
          <cell r="B3395" t="str">
            <v>A5C</v>
          </cell>
          <cell r="C3395" t="str">
            <v>P</v>
          </cell>
          <cell r="D3395" t="str">
            <v>24027</v>
          </cell>
          <cell r="E3395" t="str">
            <v>C SWG</v>
          </cell>
          <cell r="F3395">
            <v>2</v>
          </cell>
          <cell r="G3395" t="str">
            <v>CB1614040803IH</v>
          </cell>
          <cell r="H3395">
            <v>3</v>
          </cell>
          <cell r="I3395">
            <v>1.5</v>
          </cell>
          <cell r="J3395">
            <v>2</v>
          </cell>
          <cell r="K3395">
            <v>3</v>
          </cell>
        </row>
        <row r="3396">
          <cell r="A3396" t="str">
            <v>M2</v>
          </cell>
          <cell r="B3396" t="str">
            <v>A5C</v>
          </cell>
          <cell r="C3396" t="str">
            <v>TRIM</v>
          </cell>
          <cell r="D3396" t="str">
            <v>C-2301</v>
          </cell>
          <cell r="E3396" t="str">
            <v>CAP</v>
          </cell>
          <cell r="F3396">
            <v>2</v>
          </cell>
          <cell r="G3396" t="str">
            <v>CB300704000300</v>
          </cell>
          <cell r="H3396">
            <v>3</v>
          </cell>
          <cell r="I3396" t="str">
            <v>--</v>
          </cell>
          <cell r="J3396">
            <v>2</v>
          </cell>
          <cell r="K3396">
            <v>3</v>
          </cell>
        </row>
        <row r="3397">
          <cell r="A3397" t="str">
            <v>M2</v>
          </cell>
          <cell r="B3397" t="str">
            <v>A5C</v>
          </cell>
          <cell r="C3397" t="str">
            <v>TRIM</v>
          </cell>
          <cell r="D3397" t="str">
            <v>R-2401</v>
          </cell>
          <cell r="E3397" t="str">
            <v>CAP</v>
          </cell>
          <cell r="F3397">
            <v>2</v>
          </cell>
          <cell r="G3397" t="str">
            <v>CB300704000300</v>
          </cell>
          <cell r="H3397">
            <v>3</v>
          </cell>
          <cell r="I3397" t="str">
            <v>--</v>
          </cell>
          <cell r="J3397">
            <v>2</v>
          </cell>
          <cell r="K3397">
            <v>3</v>
          </cell>
        </row>
        <row r="3398">
          <cell r="A3398" t="str">
            <v>M2</v>
          </cell>
          <cell r="B3398" t="str">
            <v>A5C</v>
          </cell>
          <cell r="C3398" t="str">
            <v>TRIM</v>
          </cell>
          <cell r="D3398" t="str">
            <v>V-2401</v>
          </cell>
          <cell r="E3398" t="str">
            <v>CAP</v>
          </cell>
          <cell r="F3398">
            <v>2</v>
          </cell>
          <cell r="G3398" t="str">
            <v>CB300704000300</v>
          </cell>
          <cell r="H3398">
            <v>3</v>
          </cell>
          <cell r="I3398" t="str">
            <v>--</v>
          </cell>
          <cell r="J3398">
            <v>2</v>
          </cell>
          <cell r="K3398">
            <v>3</v>
          </cell>
        </row>
        <row r="3399">
          <cell r="A3399" t="str">
            <v>M2</v>
          </cell>
          <cell r="B3399" t="str">
            <v>A5C</v>
          </cell>
          <cell r="C3399" t="str">
            <v>TRIM</v>
          </cell>
          <cell r="D3399" t="str">
            <v>V-2404</v>
          </cell>
          <cell r="E3399" t="str">
            <v>CAP</v>
          </cell>
          <cell r="F3399">
            <v>2</v>
          </cell>
          <cell r="G3399" t="str">
            <v>CB300704000300</v>
          </cell>
          <cell r="H3399">
            <v>3</v>
          </cell>
          <cell r="I3399" t="str">
            <v>--</v>
          </cell>
          <cell r="J3399">
            <v>2</v>
          </cell>
          <cell r="K3399">
            <v>3</v>
          </cell>
        </row>
        <row r="3400">
          <cell r="A3400" t="str">
            <v>M2</v>
          </cell>
          <cell r="B3400" t="str">
            <v>A5C</v>
          </cell>
          <cell r="C3400" t="str">
            <v>P</v>
          </cell>
          <cell r="D3400" t="str">
            <v>24026</v>
          </cell>
          <cell r="E3400" t="str">
            <v>SOL</v>
          </cell>
          <cell r="F3400">
            <v>2</v>
          </cell>
          <cell r="G3400" t="str">
            <v>CB390200000301</v>
          </cell>
          <cell r="H3400">
            <v>3</v>
          </cell>
          <cell r="I3400">
            <v>1</v>
          </cell>
          <cell r="J3400">
            <v>3</v>
          </cell>
          <cell r="K3400">
            <v>4</v>
          </cell>
        </row>
        <row r="3401">
          <cell r="A3401" t="str">
            <v>M2</v>
          </cell>
          <cell r="B3401" t="str">
            <v>A5C</v>
          </cell>
          <cell r="C3401" t="str">
            <v>TRIM</v>
          </cell>
          <cell r="D3401" t="str">
            <v>C-2301</v>
          </cell>
          <cell r="E3401" t="str">
            <v>SOL</v>
          </cell>
          <cell r="F3401">
            <v>2</v>
          </cell>
          <cell r="G3401" t="str">
            <v>CB39020000030T</v>
          </cell>
          <cell r="H3401">
            <v>3</v>
          </cell>
          <cell r="I3401">
            <v>0.75</v>
          </cell>
          <cell r="J3401">
            <v>4</v>
          </cell>
          <cell r="K3401">
            <v>5</v>
          </cell>
        </row>
        <row r="3402">
          <cell r="A3402" t="str">
            <v>M2</v>
          </cell>
          <cell r="B3402" t="str">
            <v>A5C</v>
          </cell>
          <cell r="C3402" t="str">
            <v>TRIM</v>
          </cell>
          <cell r="D3402" t="str">
            <v>C-2301</v>
          </cell>
          <cell r="E3402" t="str">
            <v>SOL</v>
          </cell>
          <cell r="F3402">
            <v>2</v>
          </cell>
          <cell r="G3402" t="str">
            <v>CB3902000003IH</v>
          </cell>
          <cell r="H3402">
            <v>3</v>
          </cell>
          <cell r="I3402">
            <v>1.5</v>
          </cell>
          <cell r="J3402">
            <v>2</v>
          </cell>
          <cell r="K3402">
            <v>3</v>
          </cell>
        </row>
        <row r="3403">
          <cell r="A3403" t="str">
            <v>M2</v>
          </cell>
          <cell r="B3403" t="str">
            <v>A5C</v>
          </cell>
          <cell r="C3403" t="str">
            <v>TRIM</v>
          </cell>
          <cell r="D3403" t="str">
            <v>V-2401</v>
          </cell>
          <cell r="E3403" t="str">
            <v>SOL</v>
          </cell>
          <cell r="F3403">
            <v>2</v>
          </cell>
          <cell r="G3403" t="str">
            <v>CB39020000030T</v>
          </cell>
          <cell r="H3403">
            <v>3</v>
          </cell>
          <cell r="I3403">
            <v>0.75</v>
          </cell>
          <cell r="J3403">
            <v>6</v>
          </cell>
          <cell r="K3403">
            <v>7</v>
          </cell>
        </row>
        <row r="3404">
          <cell r="A3404" t="str">
            <v>M2</v>
          </cell>
          <cell r="B3404" t="str">
            <v>A5C</v>
          </cell>
          <cell r="C3404" t="str">
            <v>TRIM</v>
          </cell>
          <cell r="D3404" t="str">
            <v>V-2404</v>
          </cell>
          <cell r="E3404" t="str">
            <v>SOL</v>
          </cell>
          <cell r="F3404">
            <v>2</v>
          </cell>
          <cell r="G3404" t="str">
            <v>CB39020000030T</v>
          </cell>
          <cell r="H3404">
            <v>3</v>
          </cell>
          <cell r="I3404">
            <v>0.75</v>
          </cell>
          <cell r="J3404">
            <v>6</v>
          </cell>
          <cell r="K3404">
            <v>7</v>
          </cell>
        </row>
        <row r="3405">
          <cell r="A3405" t="str">
            <v>M2</v>
          </cell>
          <cell r="B3405" t="str">
            <v>A5C</v>
          </cell>
          <cell r="C3405" t="str">
            <v>P</v>
          </cell>
          <cell r="D3405" t="str">
            <v>24002</v>
          </cell>
          <cell r="E3405" t="str">
            <v>SOL</v>
          </cell>
          <cell r="F3405">
            <v>2</v>
          </cell>
          <cell r="G3405" t="str">
            <v>CB390200000301</v>
          </cell>
          <cell r="H3405">
            <v>3</v>
          </cell>
          <cell r="I3405">
            <v>1</v>
          </cell>
          <cell r="J3405">
            <v>3</v>
          </cell>
          <cell r="K3405">
            <v>4</v>
          </cell>
        </row>
        <row r="3406">
          <cell r="A3406" t="str">
            <v>M2</v>
          </cell>
          <cell r="B3406" t="str">
            <v>A5C</v>
          </cell>
          <cell r="C3406" t="str">
            <v>P</v>
          </cell>
          <cell r="D3406" t="str">
            <v>24003</v>
          </cell>
          <cell r="E3406" t="str">
            <v>SOL</v>
          </cell>
          <cell r="F3406">
            <v>2</v>
          </cell>
          <cell r="G3406" t="str">
            <v>CB390200000301</v>
          </cell>
          <cell r="H3406">
            <v>3</v>
          </cell>
          <cell r="I3406">
            <v>1</v>
          </cell>
          <cell r="J3406">
            <v>1</v>
          </cell>
          <cell r="K3406">
            <v>2</v>
          </cell>
        </row>
        <row r="3407">
          <cell r="A3407" t="str">
            <v>M2</v>
          </cell>
          <cell r="B3407" t="str">
            <v>A5C</v>
          </cell>
          <cell r="C3407" t="str">
            <v>P</v>
          </cell>
          <cell r="D3407" t="str">
            <v>24027</v>
          </cell>
          <cell r="E3407" t="str">
            <v>SOL</v>
          </cell>
          <cell r="F3407">
            <v>2</v>
          </cell>
          <cell r="G3407" t="str">
            <v>CB39020000030T</v>
          </cell>
          <cell r="H3407">
            <v>3</v>
          </cell>
          <cell r="I3407">
            <v>0.75</v>
          </cell>
          <cell r="J3407">
            <v>2</v>
          </cell>
          <cell r="K3407">
            <v>3</v>
          </cell>
        </row>
        <row r="3408">
          <cell r="A3408" t="str">
            <v>M2</v>
          </cell>
          <cell r="B3408" t="str">
            <v>A5C</v>
          </cell>
          <cell r="C3408" t="str">
            <v>TRIM</v>
          </cell>
          <cell r="D3408" t="str">
            <v>R-2401</v>
          </cell>
          <cell r="E3408" t="str">
            <v>SOL</v>
          </cell>
          <cell r="F3408">
            <v>2</v>
          </cell>
          <cell r="G3408" t="str">
            <v>CB39020000030T</v>
          </cell>
          <cell r="H3408">
            <v>3</v>
          </cell>
          <cell r="I3408">
            <v>0.75</v>
          </cell>
          <cell r="J3408">
            <v>6</v>
          </cell>
          <cell r="K3408">
            <v>7</v>
          </cell>
        </row>
        <row r="3409">
          <cell r="A3409" t="str">
            <v>M2</v>
          </cell>
          <cell r="B3409" t="str">
            <v>A5C</v>
          </cell>
          <cell r="C3409" t="str">
            <v>P</v>
          </cell>
          <cell r="D3409" t="str">
            <v>24027</v>
          </cell>
          <cell r="E3409" t="str">
            <v>TEE</v>
          </cell>
          <cell r="F3409">
            <v>2</v>
          </cell>
          <cell r="G3409" t="str">
            <v>CB300304000300</v>
          </cell>
          <cell r="H3409">
            <v>3</v>
          </cell>
          <cell r="I3409" t="str">
            <v>--</v>
          </cell>
          <cell r="J3409">
            <v>1</v>
          </cell>
          <cell r="K3409">
            <v>2</v>
          </cell>
        </row>
        <row r="3410">
          <cell r="A3410" t="str">
            <v>M2</v>
          </cell>
          <cell r="B3410" t="str">
            <v>A5C</v>
          </cell>
          <cell r="C3410" t="str">
            <v>P</v>
          </cell>
          <cell r="D3410" t="str">
            <v>24003</v>
          </cell>
          <cell r="E3410" t="str">
            <v>TEE</v>
          </cell>
          <cell r="F3410">
            <v>2</v>
          </cell>
          <cell r="G3410" t="str">
            <v>CB300304000300</v>
          </cell>
          <cell r="H3410">
            <v>3</v>
          </cell>
          <cell r="I3410" t="str">
            <v>--</v>
          </cell>
          <cell r="J3410">
            <v>1</v>
          </cell>
          <cell r="K3410">
            <v>2</v>
          </cell>
        </row>
        <row r="3411">
          <cell r="A3411" t="str">
            <v>M2</v>
          </cell>
          <cell r="B3411" t="str">
            <v>A5C</v>
          </cell>
          <cell r="C3411" t="str">
            <v>P</v>
          </cell>
          <cell r="D3411" t="str">
            <v>HOLD2</v>
          </cell>
          <cell r="E3411" t="str">
            <v>90 ELL</v>
          </cell>
          <cell r="F3411">
            <v>2</v>
          </cell>
          <cell r="G3411" t="str">
            <v>CB300104000400</v>
          </cell>
          <cell r="H3411">
            <v>4</v>
          </cell>
          <cell r="I3411" t="str">
            <v>--</v>
          </cell>
          <cell r="J3411">
            <v>15</v>
          </cell>
          <cell r="K3411">
            <v>18</v>
          </cell>
        </row>
        <row r="3412">
          <cell r="A3412" t="str">
            <v>M2</v>
          </cell>
          <cell r="B3412" t="str">
            <v>A5C</v>
          </cell>
          <cell r="C3412" t="str">
            <v>P</v>
          </cell>
          <cell r="D3412" t="str">
            <v>23058</v>
          </cell>
          <cell r="E3412" t="str">
            <v>90 ELL</v>
          </cell>
          <cell r="F3412">
            <v>2</v>
          </cell>
          <cell r="G3412" t="str">
            <v>CB300104000400</v>
          </cell>
          <cell r="H3412">
            <v>4</v>
          </cell>
          <cell r="I3412" t="str">
            <v>--</v>
          </cell>
          <cell r="J3412">
            <v>3</v>
          </cell>
          <cell r="K3412">
            <v>4</v>
          </cell>
        </row>
        <row r="3413">
          <cell r="A3413" t="str">
            <v>M2</v>
          </cell>
          <cell r="B3413" t="str">
            <v>A5C</v>
          </cell>
          <cell r="C3413" t="str">
            <v>P</v>
          </cell>
          <cell r="D3413" t="str">
            <v>23068</v>
          </cell>
          <cell r="E3413" t="str">
            <v>90 ELL</v>
          </cell>
          <cell r="F3413">
            <v>2</v>
          </cell>
          <cell r="G3413" t="str">
            <v>CB300104000400</v>
          </cell>
          <cell r="H3413">
            <v>4</v>
          </cell>
          <cell r="I3413" t="str">
            <v>--</v>
          </cell>
          <cell r="J3413">
            <v>2</v>
          </cell>
          <cell r="K3413">
            <v>3</v>
          </cell>
        </row>
        <row r="3414">
          <cell r="A3414" t="str">
            <v>M2</v>
          </cell>
          <cell r="B3414" t="str">
            <v>A5C</v>
          </cell>
          <cell r="C3414" t="str">
            <v>P</v>
          </cell>
          <cell r="D3414" t="str">
            <v>23072</v>
          </cell>
          <cell r="E3414" t="str">
            <v>90 ELL</v>
          </cell>
          <cell r="F3414">
            <v>2</v>
          </cell>
          <cell r="G3414" t="str">
            <v>CB300104000400</v>
          </cell>
          <cell r="H3414">
            <v>4</v>
          </cell>
          <cell r="I3414" t="str">
            <v>--</v>
          </cell>
          <cell r="J3414">
            <v>9</v>
          </cell>
          <cell r="K3414">
            <v>11</v>
          </cell>
        </row>
        <row r="3415">
          <cell r="A3415" t="str">
            <v>M2</v>
          </cell>
          <cell r="B3415" t="str">
            <v>A5C</v>
          </cell>
          <cell r="C3415" t="str">
            <v>P</v>
          </cell>
          <cell r="D3415" t="str">
            <v>23095</v>
          </cell>
          <cell r="E3415" t="str">
            <v>90 ELL</v>
          </cell>
          <cell r="F3415">
            <v>2</v>
          </cell>
          <cell r="G3415" t="str">
            <v>CB300104000400</v>
          </cell>
          <cell r="H3415">
            <v>4</v>
          </cell>
          <cell r="I3415" t="str">
            <v>--</v>
          </cell>
          <cell r="J3415">
            <v>3</v>
          </cell>
          <cell r="K3415">
            <v>4</v>
          </cell>
        </row>
        <row r="3416">
          <cell r="A3416" t="str">
            <v>M2</v>
          </cell>
          <cell r="B3416" t="str">
            <v>A5C</v>
          </cell>
          <cell r="C3416" t="str">
            <v>P</v>
          </cell>
          <cell r="D3416" t="str">
            <v>23100</v>
          </cell>
          <cell r="E3416" t="str">
            <v>90 ELL</v>
          </cell>
          <cell r="F3416">
            <v>2</v>
          </cell>
          <cell r="G3416" t="str">
            <v>CB300104000400</v>
          </cell>
          <cell r="H3416">
            <v>4</v>
          </cell>
          <cell r="I3416" t="str">
            <v>--</v>
          </cell>
          <cell r="J3416">
            <v>7</v>
          </cell>
          <cell r="K3416">
            <v>9</v>
          </cell>
        </row>
        <row r="3417">
          <cell r="A3417" t="str">
            <v>M2</v>
          </cell>
          <cell r="B3417" t="str">
            <v>A5C</v>
          </cell>
          <cell r="C3417" t="str">
            <v>P</v>
          </cell>
          <cell r="D3417" t="str">
            <v>23095</v>
          </cell>
          <cell r="E3417" t="str">
            <v>90 ELL</v>
          </cell>
          <cell r="F3417">
            <v>2</v>
          </cell>
          <cell r="G3417" t="str">
            <v>CB300104000400</v>
          </cell>
          <cell r="H3417">
            <v>4</v>
          </cell>
          <cell r="I3417" t="str">
            <v>--</v>
          </cell>
          <cell r="J3417">
            <v>2</v>
          </cell>
          <cell r="K3417">
            <v>3</v>
          </cell>
        </row>
        <row r="3418">
          <cell r="A3418" t="str">
            <v>M2</v>
          </cell>
          <cell r="B3418" t="str">
            <v>A5C</v>
          </cell>
          <cell r="C3418" t="str">
            <v>P</v>
          </cell>
          <cell r="D3418" t="str">
            <v>23110</v>
          </cell>
          <cell r="E3418" t="str">
            <v>90 ELL</v>
          </cell>
          <cell r="F3418">
            <v>2</v>
          </cell>
          <cell r="G3418" t="str">
            <v>CB300104000400</v>
          </cell>
          <cell r="H3418">
            <v>4</v>
          </cell>
          <cell r="I3418" t="str">
            <v>--</v>
          </cell>
          <cell r="J3418">
            <v>3</v>
          </cell>
          <cell r="K3418">
            <v>4</v>
          </cell>
        </row>
        <row r="3419">
          <cell r="A3419" t="str">
            <v>M2</v>
          </cell>
          <cell r="B3419" t="str">
            <v>A5C</v>
          </cell>
          <cell r="C3419" t="str">
            <v>P</v>
          </cell>
          <cell r="D3419" t="str">
            <v>23110</v>
          </cell>
          <cell r="E3419" t="str">
            <v>90 ELL</v>
          </cell>
          <cell r="F3419">
            <v>2</v>
          </cell>
          <cell r="G3419" t="str">
            <v>CB300104000400</v>
          </cell>
          <cell r="H3419">
            <v>4</v>
          </cell>
          <cell r="I3419" t="str">
            <v>--</v>
          </cell>
          <cell r="J3419">
            <v>2</v>
          </cell>
          <cell r="K3419">
            <v>3</v>
          </cell>
        </row>
        <row r="3420">
          <cell r="A3420" t="str">
            <v>M2</v>
          </cell>
          <cell r="B3420" t="str">
            <v>A5C</v>
          </cell>
          <cell r="C3420" t="str">
            <v>P</v>
          </cell>
          <cell r="D3420" t="str">
            <v>23114</v>
          </cell>
          <cell r="E3420" t="str">
            <v>90 ELL</v>
          </cell>
          <cell r="F3420">
            <v>2</v>
          </cell>
          <cell r="G3420" t="str">
            <v>CB300104000400</v>
          </cell>
          <cell r="H3420">
            <v>4</v>
          </cell>
          <cell r="I3420" t="str">
            <v>--</v>
          </cell>
          <cell r="J3420">
            <v>2</v>
          </cell>
          <cell r="K3420">
            <v>3</v>
          </cell>
        </row>
        <row r="3421">
          <cell r="A3421" t="str">
            <v>M2</v>
          </cell>
          <cell r="B3421" t="str">
            <v>A5C</v>
          </cell>
          <cell r="C3421" t="str">
            <v>P</v>
          </cell>
          <cell r="D3421" t="str">
            <v>23114</v>
          </cell>
          <cell r="E3421" t="str">
            <v>90 ELL</v>
          </cell>
          <cell r="F3421">
            <v>2</v>
          </cell>
          <cell r="G3421" t="str">
            <v>CB300104000400</v>
          </cell>
          <cell r="H3421">
            <v>4</v>
          </cell>
          <cell r="I3421" t="str">
            <v>--</v>
          </cell>
          <cell r="J3421">
            <v>3</v>
          </cell>
          <cell r="K3421">
            <v>4</v>
          </cell>
        </row>
        <row r="3422">
          <cell r="A3422" t="str">
            <v>M2</v>
          </cell>
          <cell r="B3422" t="str">
            <v>A5C</v>
          </cell>
          <cell r="C3422" t="str">
            <v>P</v>
          </cell>
          <cell r="D3422" t="str">
            <v>23121</v>
          </cell>
          <cell r="E3422" t="str">
            <v>90 ELL</v>
          </cell>
          <cell r="F3422">
            <v>2</v>
          </cell>
          <cell r="G3422" t="str">
            <v>CB300104000400</v>
          </cell>
          <cell r="H3422">
            <v>4</v>
          </cell>
          <cell r="I3422" t="str">
            <v>--</v>
          </cell>
          <cell r="J3422">
            <v>4</v>
          </cell>
          <cell r="K3422">
            <v>5</v>
          </cell>
        </row>
        <row r="3423">
          <cell r="A3423" t="str">
            <v>M2</v>
          </cell>
          <cell r="B3423" t="str">
            <v>A5C</v>
          </cell>
          <cell r="C3423" t="str">
            <v>P</v>
          </cell>
          <cell r="D3423" t="str">
            <v>23123</v>
          </cell>
          <cell r="E3423" t="str">
            <v>90 ELL</v>
          </cell>
          <cell r="F3423">
            <v>2</v>
          </cell>
          <cell r="G3423" t="str">
            <v>CB300104000400</v>
          </cell>
          <cell r="H3423">
            <v>4</v>
          </cell>
          <cell r="I3423" t="str">
            <v>--</v>
          </cell>
          <cell r="J3423">
            <v>2</v>
          </cell>
          <cell r="K3423">
            <v>3</v>
          </cell>
        </row>
        <row r="3424">
          <cell r="A3424" t="str">
            <v>M2</v>
          </cell>
          <cell r="B3424" t="str">
            <v>A5C</v>
          </cell>
          <cell r="C3424" t="str">
            <v>P</v>
          </cell>
          <cell r="D3424" t="str">
            <v>23127</v>
          </cell>
          <cell r="E3424" t="str">
            <v>90 ELL</v>
          </cell>
          <cell r="F3424">
            <v>2</v>
          </cell>
          <cell r="G3424" t="str">
            <v>CB300104000400</v>
          </cell>
          <cell r="H3424">
            <v>4</v>
          </cell>
          <cell r="I3424" t="str">
            <v>--</v>
          </cell>
          <cell r="J3424">
            <v>2</v>
          </cell>
          <cell r="K3424">
            <v>3</v>
          </cell>
        </row>
        <row r="3425">
          <cell r="A3425" t="str">
            <v>M2</v>
          </cell>
          <cell r="B3425" t="str">
            <v>A5C</v>
          </cell>
          <cell r="C3425" t="str">
            <v>P</v>
          </cell>
          <cell r="D3425" t="str">
            <v>23134</v>
          </cell>
          <cell r="E3425" t="str">
            <v>90 ELL</v>
          </cell>
          <cell r="F3425">
            <v>2</v>
          </cell>
          <cell r="G3425" t="str">
            <v>CB300104000400</v>
          </cell>
          <cell r="H3425">
            <v>4</v>
          </cell>
          <cell r="I3425" t="str">
            <v>--</v>
          </cell>
          <cell r="J3425">
            <v>4</v>
          </cell>
          <cell r="K3425">
            <v>5</v>
          </cell>
        </row>
        <row r="3426">
          <cell r="A3426" t="str">
            <v>M2</v>
          </cell>
          <cell r="B3426" t="str">
            <v>A5C</v>
          </cell>
          <cell r="C3426" t="str">
            <v>P</v>
          </cell>
          <cell r="D3426" t="str">
            <v>23139</v>
          </cell>
          <cell r="E3426" t="str">
            <v>90 ELL</v>
          </cell>
          <cell r="F3426">
            <v>2</v>
          </cell>
          <cell r="G3426" t="str">
            <v>CB300104000400</v>
          </cell>
          <cell r="H3426">
            <v>4</v>
          </cell>
          <cell r="I3426" t="str">
            <v>--</v>
          </cell>
          <cell r="J3426">
            <v>5</v>
          </cell>
          <cell r="K3426">
            <v>6</v>
          </cell>
        </row>
        <row r="3427">
          <cell r="A3427" t="str">
            <v>M2</v>
          </cell>
          <cell r="B3427" t="str">
            <v>A5C</v>
          </cell>
          <cell r="C3427" t="str">
            <v>P</v>
          </cell>
          <cell r="D3427" t="str">
            <v>23146</v>
          </cell>
          <cell r="E3427" t="str">
            <v>90 ELL</v>
          </cell>
          <cell r="F3427">
            <v>2</v>
          </cell>
          <cell r="G3427" t="str">
            <v>CB300104000400</v>
          </cell>
          <cell r="H3427">
            <v>4</v>
          </cell>
          <cell r="I3427" t="str">
            <v>--</v>
          </cell>
          <cell r="J3427">
            <v>4</v>
          </cell>
          <cell r="K3427">
            <v>5</v>
          </cell>
        </row>
        <row r="3428">
          <cell r="A3428" t="str">
            <v>M2</v>
          </cell>
          <cell r="B3428" t="str">
            <v>A5C</v>
          </cell>
          <cell r="C3428" t="str">
            <v>P</v>
          </cell>
          <cell r="D3428" t="str">
            <v>23174</v>
          </cell>
          <cell r="E3428" t="str">
            <v>90 ELL</v>
          </cell>
          <cell r="F3428">
            <v>2</v>
          </cell>
          <cell r="G3428" t="str">
            <v>CB300104000400</v>
          </cell>
          <cell r="H3428">
            <v>4</v>
          </cell>
          <cell r="I3428" t="str">
            <v>--</v>
          </cell>
          <cell r="J3428">
            <v>6</v>
          </cell>
          <cell r="K3428">
            <v>7</v>
          </cell>
        </row>
        <row r="3429">
          <cell r="A3429" t="str">
            <v>M2</v>
          </cell>
          <cell r="B3429" t="str">
            <v>A5C</v>
          </cell>
          <cell r="C3429" t="str">
            <v>P</v>
          </cell>
          <cell r="D3429" t="str">
            <v>23174</v>
          </cell>
          <cell r="E3429" t="str">
            <v>90 ELL</v>
          </cell>
          <cell r="F3429">
            <v>2</v>
          </cell>
          <cell r="G3429" t="str">
            <v>CB300104000400</v>
          </cell>
          <cell r="H3429">
            <v>4</v>
          </cell>
          <cell r="I3429" t="str">
            <v>--</v>
          </cell>
          <cell r="J3429">
            <v>6</v>
          </cell>
          <cell r="K3429">
            <v>7</v>
          </cell>
        </row>
        <row r="3430">
          <cell r="A3430" t="str">
            <v>M2</v>
          </cell>
          <cell r="B3430" t="str">
            <v>A5C</v>
          </cell>
          <cell r="C3430" t="str">
            <v>P</v>
          </cell>
          <cell r="D3430" t="str">
            <v>23227</v>
          </cell>
          <cell r="E3430" t="str">
            <v>90 ELL</v>
          </cell>
          <cell r="F3430">
            <v>2</v>
          </cell>
          <cell r="G3430" t="str">
            <v>CB300104000400</v>
          </cell>
          <cell r="H3430">
            <v>4</v>
          </cell>
          <cell r="I3430" t="str">
            <v>--</v>
          </cell>
          <cell r="J3430">
            <v>5</v>
          </cell>
          <cell r="K3430">
            <v>6</v>
          </cell>
        </row>
        <row r="3431">
          <cell r="A3431" t="str">
            <v>M2</v>
          </cell>
          <cell r="B3431" t="str">
            <v>A5C</v>
          </cell>
          <cell r="C3431" t="str">
            <v>P</v>
          </cell>
          <cell r="D3431" t="str">
            <v>23228</v>
          </cell>
          <cell r="E3431" t="str">
            <v>90 ELL</v>
          </cell>
          <cell r="F3431">
            <v>2</v>
          </cell>
          <cell r="G3431" t="str">
            <v>CB300104000400</v>
          </cell>
          <cell r="H3431">
            <v>4</v>
          </cell>
          <cell r="I3431" t="str">
            <v>--</v>
          </cell>
          <cell r="J3431">
            <v>3</v>
          </cell>
          <cell r="K3431">
            <v>4</v>
          </cell>
        </row>
        <row r="3432">
          <cell r="A3432" t="str">
            <v>M2</v>
          </cell>
          <cell r="B3432" t="str">
            <v>A5C</v>
          </cell>
          <cell r="C3432" t="str">
            <v>P</v>
          </cell>
          <cell r="D3432" t="str">
            <v>23237</v>
          </cell>
          <cell r="E3432" t="str">
            <v>90 ELL</v>
          </cell>
          <cell r="F3432">
            <v>2</v>
          </cell>
          <cell r="G3432" t="str">
            <v>CB300104000400</v>
          </cell>
          <cell r="H3432">
            <v>4</v>
          </cell>
          <cell r="I3432" t="str">
            <v>--</v>
          </cell>
          <cell r="J3432">
            <v>1</v>
          </cell>
          <cell r="K3432">
            <v>2</v>
          </cell>
        </row>
        <row r="3433">
          <cell r="A3433" t="str">
            <v>M2</v>
          </cell>
          <cell r="B3433" t="str">
            <v>A5C</v>
          </cell>
          <cell r="C3433" t="str">
            <v>P</v>
          </cell>
          <cell r="D3433" t="str">
            <v>23241</v>
          </cell>
          <cell r="E3433" t="str">
            <v>90 ELL</v>
          </cell>
          <cell r="F3433">
            <v>2</v>
          </cell>
          <cell r="G3433" t="str">
            <v>CB300104000400</v>
          </cell>
          <cell r="H3433">
            <v>4</v>
          </cell>
          <cell r="I3433" t="str">
            <v>--</v>
          </cell>
          <cell r="J3433">
            <v>1</v>
          </cell>
          <cell r="K3433">
            <v>2</v>
          </cell>
        </row>
        <row r="3434">
          <cell r="A3434" t="str">
            <v>M2</v>
          </cell>
          <cell r="B3434" t="str">
            <v>A5C</v>
          </cell>
          <cell r="C3434" t="str">
            <v>P</v>
          </cell>
          <cell r="D3434" t="str">
            <v>23249</v>
          </cell>
          <cell r="E3434" t="str">
            <v>90 ELL</v>
          </cell>
          <cell r="F3434">
            <v>2</v>
          </cell>
          <cell r="G3434" t="str">
            <v>CB300104000400</v>
          </cell>
          <cell r="H3434">
            <v>4</v>
          </cell>
          <cell r="I3434" t="str">
            <v>--</v>
          </cell>
          <cell r="J3434">
            <v>5</v>
          </cell>
          <cell r="K3434">
            <v>6</v>
          </cell>
        </row>
        <row r="3435">
          <cell r="A3435" t="str">
            <v>M2</v>
          </cell>
          <cell r="B3435" t="str">
            <v>A5C</v>
          </cell>
          <cell r="C3435" t="str">
            <v>P</v>
          </cell>
          <cell r="D3435" t="str">
            <v>23012</v>
          </cell>
          <cell r="E3435" t="str">
            <v>90 ELL</v>
          </cell>
          <cell r="F3435">
            <v>2</v>
          </cell>
          <cell r="G3435" t="str">
            <v>CB300104000400</v>
          </cell>
          <cell r="H3435">
            <v>4</v>
          </cell>
          <cell r="I3435" t="str">
            <v>--</v>
          </cell>
          <cell r="J3435">
            <v>3</v>
          </cell>
          <cell r="K3435">
            <v>4</v>
          </cell>
        </row>
        <row r="3436">
          <cell r="A3436" t="str">
            <v>M2</v>
          </cell>
          <cell r="B3436" t="str">
            <v>A5C</v>
          </cell>
          <cell r="C3436" t="str">
            <v>P</v>
          </cell>
          <cell r="D3436" t="str">
            <v>23181</v>
          </cell>
          <cell r="E3436" t="str">
            <v>90 ELL</v>
          </cell>
          <cell r="F3436">
            <v>2</v>
          </cell>
          <cell r="G3436" t="str">
            <v>CB300104000400</v>
          </cell>
          <cell r="H3436">
            <v>4</v>
          </cell>
          <cell r="I3436" t="str">
            <v>--</v>
          </cell>
          <cell r="J3436">
            <v>2</v>
          </cell>
          <cell r="K3436">
            <v>3</v>
          </cell>
        </row>
        <row r="3437">
          <cell r="A3437" t="str">
            <v>M2</v>
          </cell>
          <cell r="B3437" t="str">
            <v>A5C</v>
          </cell>
          <cell r="C3437" t="str">
            <v>P</v>
          </cell>
          <cell r="D3437" t="str">
            <v>23250</v>
          </cell>
          <cell r="E3437" t="str">
            <v>90 ELL</v>
          </cell>
          <cell r="F3437">
            <v>2</v>
          </cell>
          <cell r="G3437" t="str">
            <v>CB300104000400</v>
          </cell>
          <cell r="H3437">
            <v>4</v>
          </cell>
          <cell r="I3437" t="str">
            <v>--</v>
          </cell>
          <cell r="J3437">
            <v>3</v>
          </cell>
          <cell r="K3437">
            <v>4</v>
          </cell>
        </row>
        <row r="3438">
          <cell r="A3438" t="str">
            <v>M2</v>
          </cell>
          <cell r="B3438" t="str">
            <v>A5C</v>
          </cell>
          <cell r="C3438" t="str">
            <v>P</v>
          </cell>
          <cell r="D3438" t="str">
            <v>23012</v>
          </cell>
          <cell r="E3438" t="str">
            <v>C RED</v>
          </cell>
          <cell r="F3438">
            <v>2</v>
          </cell>
          <cell r="G3438" t="str">
            <v>CB300504040403</v>
          </cell>
          <cell r="H3438">
            <v>4</v>
          </cell>
          <cell r="I3438">
            <v>3</v>
          </cell>
          <cell r="J3438">
            <v>2</v>
          </cell>
          <cell r="K3438">
            <v>3</v>
          </cell>
        </row>
        <row r="3439">
          <cell r="A3439" t="str">
            <v>M2</v>
          </cell>
          <cell r="B3439" t="str">
            <v>A5C</v>
          </cell>
          <cell r="C3439" t="str">
            <v>P</v>
          </cell>
          <cell r="D3439" t="str">
            <v>23058</v>
          </cell>
          <cell r="E3439" t="str">
            <v>C RED</v>
          </cell>
          <cell r="F3439">
            <v>2</v>
          </cell>
          <cell r="G3439" t="str">
            <v>CB300504040403</v>
          </cell>
          <cell r="H3439">
            <v>4</v>
          </cell>
          <cell r="I3439">
            <v>3</v>
          </cell>
          <cell r="J3439">
            <v>2</v>
          </cell>
          <cell r="K3439">
            <v>3</v>
          </cell>
        </row>
        <row r="3440">
          <cell r="A3440" t="str">
            <v>M2</v>
          </cell>
          <cell r="B3440" t="str">
            <v>A5C</v>
          </cell>
          <cell r="C3440" t="str">
            <v>P</v>
          </cell>
          <cell r="D3440" t="str">
            <v>23068</v>
          </cell>
          <cell r="E3440" t="str">
            <v>C RED</v>
          </cell>
          <cell r="F3440">
            <v>2</v>
          </cell>
          <cell r="G3440" t="str">
            <v>CB300504040403</v>
          </cell>
          <cell r="H3440">
            <v>4</v>
          </cell>
          <cell r="I3440">
            <v>3</v>
          </cell>
          <cell r="J3440">
            <v>2</v>
          </cell>
          <cell r="K3440">
            <v>3</v>
          </cell>
        </row>
        <row r="3441">
          <cell r="A3441" t="str">
            <v>M2</v>
          </cell>
          <cell r="B3441" t="str">
            <v>A5C</v>
          </cell>
          <cell r="C3441" t="str">
            <v>P</v>
          </cell>
          <cell r="D3441" t="str">
            <v>23095</v>
          </cell>
          <cell r="E3441" t="str">
            <v>C RED</v>
          </cell>
          <cell r="F3441">
            <v>2</v>
          </cell>
          <cell r="G3441" t="str">
            <v>CB300504040403</v>
          </cell>
          <cell r="H3441">
            <v>4</v>
          </cell>
          <cell r="I3441">
            <v>3</v>
          </cell>
          <cell r="J3441">
            <v>2</v>
          </cell>
          <cell r="K3441">
            <v>3</v>
          </cell>
        </row>
        <row r="3442">
          <cell r="A3442" t="str">
            <v>M2</v>
          </cell>
          <cell r="B3442" t="str">
            <v>A5C</v>
          </cell>
          <cell r="C3442" t="str">
            <v>P</v>
          </cell>
          <cell r="D3442" t="str">
            <v>23110</v>
          </cell>
          <cell r="E3442" t="str">
            <v>C RED</v>
          </cell>
          <cell r="F3442">
            <v>2</v>
          </cell>
          <cell r="G3442" t="str">
            <v>CB300504040403</v>
          </cell>
          <cell r="H3442">
            <v>4</v>
          </cell>
          <cell r="I3442">
            <v>3</v>
          </cell>
          <cell r="J3442">
            <v>2</v>
          </cell>
          <cell r="K3442">
            <v>3</v>
          </cell>
        </row>
        <row r="3443">
          <cell r="A3443" t="str">
            <v>M2</v>
          </cell>
          <cell r="B3443" t="str">
            <v>A5C</v>
          </cell>
          <cell r="C3443" t="str">
            <v>P</v>
          </cell>
          <cell r="D3443" t="str">
            <v>23114</v>
          </cell>
          <cell r="E3443" t="str">
            <v>C RED</v>
          </cell>
          <cell r="F3443">
            <v>2</v>
          </cell>
          <cell r="G3443" t="str">
            <v>CB300504040403</v>
          </cell>
          <cell r="H3443">
            <v>4</v>
          </cell>
          <cell r="I3443">
            <v>3</v>
          </cell>
          <cell r="J3443">
            <v>2</v>
          </cell>
          <cell r="K3443">
            <v>3</v>
          </cell>
        </row>
        <row r="3444">
          <cell r="A3444" t="str">
            <v>M2</v>
          </cell>
          <cell r="B3444" t="str">
            <v>A5C</v>
          </cell>
          <cell r="C3444" t="str">
            <v>P</v>
          </cell>
          <cell r="D3444" t="str">
            <v>23127</v>
          </cell>
          <cell r="E3444" t="str">
            <v>C RED</v>
          </cell>
          <cell r="F3444">
            <v>2</v>
          </cell>
          <cell r="G3444" t="str">
            <v>CB300504040403</v>
          </cell>
          <cell r="H3444">
            <v>4</v>
          </cell>
          <cell r="I3444">
            <v>3</v>
          </cell>
          <cell r="J3444">
            <v>2</v>
          </cell>
          <cell r="K3444">
            <v>3</v>
          </cell>
        </row>
        <row r="3445">
          <cell r="A3445" t="str">
            <v>M2</v>
          </cell>
          <cell r="B3445" t="str">
            <v>A5C</v>
          </cell>
          <cell r="C3445" t="str">
            <v>P</v>
          </cell>
          <cell r="D3445" t="str">
            <v>23134</v>
          </cell>
          <cell r="E3445" t="str">
            <v>C RED</v>
          </cell>
          <cell r="F3445">
            <v>2</v>
          </cell>
          <cell r="G3445" t="str">
            <v>CB300504040403</v>
          </cell>
          <cell r="H3445">
            <v>4</v>
          </cell>
          <cell r="I3445">
            <v>3</v>
          </cell>
          <cell r="J3445">
            <v>2</v>
          </cell>
          <cell r="K3445">
            <v>3</v>
          </cell>
        </row>
        <row r="3446">
          <cell r="A3446" t="str">
            <v>M2</v>
          </cell>
          <cell r="B3446" t="str">
            <v>A5C</v>
          </cell>
          <cell r="C3446" t="str">
            <v>P</v>
          </cell>
          <cell r="D3446" t="str">
            <v>23146</v>
          </cell>
          <cell r="E3446" t="str">
            <v>C RED</v>
          </cell>
          <cell r="F3446">
            <v>2</v>
          </cell>
          <cell r="G3446" t="str">
            <v>CB300504040403</v>
          </cell>
          <cell r="H3446">
            <v>4</v>
          </cell>
          <cell r="I3446">
            <v>3</v>
          </cell>
          <cell r="J3446">
            <v>2</v>
          </cell>
          <cell r="K3446">
            <v>3</v>
          </cell>
        </row>
        <row r="3447">
          <cell r="A3447" t="str">
            <v>M2</v>
          </cell>
          <cell r="B3447" t="str">
            <v>A5C</v>
          </cell>
          <cell r="C3447" t="str">
            <v>P</v>
          </cell>
          <cell r="D3447" t="str">
            <v>23230</v>
          </cell>
          <cell r="E3447" t="str">
            <v>C RED</v>
          </cell>
          <cell r="F3447">
            <v>2</v>
          </cell>
          <cell r="G3447" t="str">
            <v>CB300504080402</v>
          </cell>
          <cell r="H3447">
            <v>4</v>
          </cell>
          <cell r="I3447">
            <v>2</v>
          </cell>
          <cell r="J3447">
            <v>2</v>
          </cell>
          <cell r="K3447">
            <v>3</v>
          </cell>
        </row>
        <row r="3448">
          <cell r="A3448" t="str">
            <v>M2</v>
          </cell>
          <cell r="B3448" t="str">
            <v>A5C</v>
          </cell>
          <cell r="C3448" t="str">
            <v>P</v>
          </cell>
          <cell r="D3448" t="str">
            <v>23252</v>
          </cell>
          <cell r="E3448" t="str">
            <v>C RED</v>
          </cell>
          <cell r="F3448">
            <v>2</v>
          </cell>
          <cell r="G3448" t="str">
            <v>CB300504080402</v>
          </cell>
          <cell r="H3448">
            <v>4</v>
          </cell>
          <cell r="I3448">
            <v>2</v>
          </cell>
          <cell r="J3448">
            <v>2</v>
          </cell>
          <cell r="K3448">
            <v>3</v>
          </cell>
        </row>
        <row r="3449">
          <cell r="A3449" t="str">
            <v>M2</v>
          </cell>
          <cell r="B3449" t="str">
            <v>A5C</v>
          </cell>
          <cell r="C3449" t="str">
            <v>P</v>
          </cell>
          <cell r="D3449" t="str">
            <v>24013</v>
          </cell>
          <cell r="E3449" t="str">
            <v>C RED</v>
          </cell>
          <cell r="F3449">
            <v>2</v>
          </cell>
          <cell r="G3449" t="str">
            <v>CB300504080402</v>
          </cell>
          <cell r="H3449">
            <v>4</v>
          </cell>
          <cell r="I3449">
            <v>2</v>
          </cell>
          <cell r="J3449">
            <v>2</v>
          </cell>
          <cell r="K3449">
            <v>3</v>
          </cell>
        </row>
        <row r="3450">
          <cell r="A3450" t="str">
            <v>M2</v>
          </cell>
          <cell r="B3450" t="str">
            <v>A5C</v>
          </cell>
          <cell r="C3450" t="str">
            <v>P</v>
          </cell>
          <cell r="D3450" t="str">
            <v>23035</v>
          </cell>
          <cell r="E3450" t="str">
            <v>E RED</v>
          </cell>
          <cell r="F3450">
            <v>2</v>
          </cell>
          <cell r="G3450" t="str">
            <v>CB300604080402</v>
          </cell>
          <cell r="H3450">
            <v>4</v>
          </cell>
          <cell r="I3450">
            <v>2</v>
          </cell>
          <cell r="J3450">
            <v>2</v>
          </cell>
          <cell r="K3450">
            <v>3</v>
          </cell>
        </row>
        <row r="3451">
          <cell r="A3451" t="str">
            <v>M2</v>
          </cell>
          <cell r="B3451" t="str">
            <v>A5C</v>
          </cell>
          <cell r="C3451" t="str">
            <v>P</v>
          </cell>
          <cell r="D3451" t="str">
            <v>23121</v>
          </cell>
          <cell r="E3451" t="str">
            <v>E RED</v>
          </cell>
          <cell r="F3451">
            <v>2</v>
          </cell>
          <cell r="G3451" t="str">
            <v>CB300604040403</v>
          </cell>
          <cell r="H3451">
            <v>4</v>
          </cell>
          <cell r="I3451">
            <v>3</v>
          </cell>
          <cell r="J3451">
            <v>2</v>
          </cell>
          <cell r="K3451">
            <v>3</v>
          </cell>
        </row>
        <row r="3452">
          <cell r="A3452" t="str">
            <v>M2</v>
          </cell>
          <cell r="B3452" t="str">
            <v>A5C</v>
          </cell>
          <cell r="C3452" t="str">
            <v>P</v>
          </cell>
          <cell r="D3452" t="str">
            <v>23188</v>
          </cell>
          <cell r="E3452" t="str">
            <v>E RED</v>
          </cell>
          <cell r="F3452">
            <v>2</v>
          </cell>
          <cell r="G3452" t="str">
            <v>CB300604080402</v>
          </cell>
          <cell r="H3452">
            <v>4</v>
          </cell>
          <cell r="I3452">
            <v>2</v>
          </cell>
          <cell r="J3452">
            <v>2</v>
          </cell>
          <cell r="K3452">
            <v>3</v>
          </cell>
        </row>
        <row r="3453">
          <cell r="A3453" t="str">
            <v>M2</v>
          </cell>
          <cell r="B3453" t="str">
            <v>A5C</v>
          </cell>
          <cell r="C3453" t="str">
            <v>P</v>
          </cell>
          <cell r="D3453" t="str">
            <v>23174</v>
          </cell>
          <cell r="E3453" t="str">
            <v>E RED</v>
          </cell>
          <cell r="F3453">
            <v>2</v>
          </cell>
          <cell r="G3453" t="str">
            <v>CB300604040403</v>
          </cell>
          <cell r="H3453">
            <v>4</v>
          </cell>
          <cell r="I3453">
            <v>3</v>
          </cell>
          <cell r="J3453">
            <v>2</v>
          </cell>
          <cell r="K3453">
            <v>3</v>
          </cell>
        </row>
        <row r="3454">
          <cell r="A3454" t="str">
            <v>M2</v>
          </cell>
          <cell r="B3454" t="str">
            <v>A5C</v>
          </cell>
          <cell r="C3454" t="str">
            <v>P</v>
          </cell>
          <cell r="D3454" t="str">
            <v>23012</v>
          </cell>
          <cell r="E3454" t="str">
            <v>SOL</v>
          </cell>
          <cell r="F3454">
            <v>2</v>
          </cell>
          <cell r="G3454" t="str">
            <v>CB39020000040T</v>
          </cell>
          <cell r="H3454">
            <v>4</v>
          </cell>
          <cell r="I3454">
            <v>0.75</v>
          </cell>
          <cell r="J3454">
            <v>2</v>
          </cell>
          <cell r="K3454">
            <v>3</v>
          </cell>
        </row>
        <row r="3455">
          <cell r="A3455" t="str">
            <v>M2</v>
          </cell>
          <cell r="B3455" t="str">
            <v>A5C</v>
          </cell>
          <cell r="C3455" t="str">
            <v>P</v>
          </cell>
          <cell r="D3455" t="str">
            <v>23058</v>
          </cell>
          <cell r="E3455" t="str">
            <v>SOL</v>
          </cell>
          <cell r="F3455">
            <v>2</v>
          </cell>
          <cell r="G3455" t="str">
            <v>CB39020000040T</v>
          </cell>
          <cell r="H3455">
            <v>4</v>
          </cell>
          <cell r="I3455">
            <v>0.75</v>
          </cell>
          <cell r="J3455">
            <v>2</v>
          </cell>
          <cell r="K3455">
            <v>3</v>
          </cell>
        </row>
        <row r="3456">
          <cell r="A3456" t="str">
            <v>M2</v>
          </cell>
          <cell r="B3456" t="str">
            <v>A5C</v>
          </cell>
          <cell r="C3456" t="str">
            <v>P</v>
          </cell>
          <cell r="D3456" t="str">
            <v>23068</v>
          </cell>
          <cell r="E3456" t="str">
            <v>SOL</v>
          </cell>
          <cell r="F3456">
            <v>2</v>
          </cell>
          <cell r="G3456" t="str">
            <v>CB39020000040T</v>
          </cell>
          <cell r="H3456">
            <v>4</v>
          </cell>
          <cell r="I3456">
            <v>0.75</v>
          </cell>
          <cell r="J3456">
            <v>2</v>
          </cell>
          <cell r="K3456">
            <v>3</v>
          </cell>
        </row>
        <row r="3457">
          <cell r="A3457" t="str">
            <v>M2</v>
          </cell>
          <cell r="B3457" t="str">
            <v>A5C</v>
          </cell>
          <cell r="C3457" t="str">
            <v>P</v>
          </cell>
          <cell r="D3457" t="str">
            <v>23095</v>
          </cell>
          <cell r="E3457" t="str">
            <v>SOL</v>
          </cell>
          <cell r="F3457">
            <v>2</v>
          </cell>
          <cell r="G3457" t="str">
            <v>CB390200000401</v>
          </cell>
          <cell r="H3457">
            <v>4</v>
          </cell>
          <cell r="I3457">
            <v>1</v>
          </cell>
          <cell r="J3457">
            <v>1</v>
          </cell>
          <cell r="K3457">
            <v>2</v>
          </cell>
        </row>
        <row r="3458">
          <cell r="A3458" t="str">
            <v>M2</v>
          </cell>
          <cell r="B3458" t="str">
            <v>A5C</v>
          </cell>
          <cell r="C3458" t="str">
            <v>P</v>
          </cell>
          <cell r="D3458" t="str">
            <v>23110</v>
          </cell>
          <cell r="E3458" t="str">
            <v>SOL</v>
          </cell>
          <cell r="F3458">
            <v>2</v>
          </cell>
          <cell r="G3458" t="str">
            <v>CB390200000401</v>
          </cell>
          <cell r="H3458">
            <v>4</v>
          </cell>
          <cell r="I3458">
            <v>1</v>
          </cell>
          <cell r="J3458">
            <v>1</v>
          </cell>
          <cell r="K3458">
            <v>2</v>
          </cell>
        </row>
        <row r="3459">
          <cell r="A3459" t="str">
            <v>M2</v>
          </cell>
          <cell r="B3459" t="str">
            <v>A5C</v>
          </cell>
          <cell r="C3459" t="str">
            <v>P</v>
          </cell>
          <cell r="D3459" t="str">
            <v>23110</v>
          </cell>
          <cell r="E3459" t="str">
            <v>SOL</v>
          </cell>
          <cell r="F3459">
            <v>2</v>
          </cell>
          <cell r="G3459" t="str">
            <v>CB39020000040T</v>
          </cell>
          <cell r="H3459">
            <v>4</v>
          </cell>
          <cell r="I3459">
            <v>0.75</v>
          </cell>
          <cell r="J3459">
            <v>2</v>
          </cell>
          <cell r="K3459">
            <v>3</v>
          </cell>
        </row>
        <row r="3460">
          <cell r="A3460" t="str">
            <v>M2</v>
          </cell>
          <cell r="B3460" t="str">
            <v>A5C</v>
          </cell>
          <cell r="C3460" t="str">
            <v>P</v>
          </cell>
          <cell r="D3460" t="str">
            <v>23114</v>
          </cell>
          <cell r="E3460" t="str">
            <v>SOL</v>
          </cell>
          <cell r="F3460">
            <v>2</v>
          </cell>
          <cell r="G3460" t="str">
            <v>CB390200000401</v>
          </cell>
          <cell r="H3460">
            <v>4</v>
          </cell>
          <cell r="I3460">
            <v>1</v>
          </cell>
          <cell r="J3460">
            <v>1</v>
          </cell>
          <cell r="K3460">
            <v>2</v>
          </cell>
        </row>
        <row r="3461">
          <cell r="A3461" t="str">
            <v>M2</v>
          </cell>
          <cell r="B3461" t="str">
            <v>A5C</v>
          </cell>
          <cell r="C3461" t="str">
            <v>P</v>
          </cell>
          <cell r="D3461" t="str">
            <v>23114</v>
          </cell>
          <cell r="E3461" t="str">
            <v>SOL</v>
          </cell>
          <cell r="F3461">
            <v>2</v>
          </cell>
          <cell r="G3461" t="str">
            <v>CB39020000040T</v>
          </cell>
          <cell r="H3461">
            <v>4</v>
          </cell>
          <cell r="I3461">
            <v>0.75</v>
          </cell>
          <cell r="J3461">
            <v>2</v>
          </cell>
          <cell r="K3461">
            <v>3</v>
          </cell>
        </row>
        <row r="3462">
          <cell r="A3462" t="str">
            <v>M2</v>
          </cell>
          <cell r="B3462" t="str">
            <v>A5C</v>
          </cell>
          <cell r="C3462" t="str">
            <v>P</v>
          </cell>
          <cell r="D3462" t="str">
            <v>23121</v>
          </cell>
          <cell r="E3462" t="str">
            <v>SOL</v>
          </cell>
          <cell r="F3462">
            <v>2</v>
          </cell>
          <cell r="G3462" t="str">
            <v>CB39020000040T</v>
          </cell>
          <cell r="H3462">
            <v>4</v>
          </cell>
          <cell r="I3462">
            <v>0.75</v>
          </cell>
          <cell r="J3462">
            <v>2</v>
          </cell>
          <cell r="K3462">
            <v>3</v>
          </cell>
        </row>
        <row r="3463">
          <cell r="A3463" t="str">
            <v>M2</v>
          </cell>
          <cell r="B3463" t="str">
            <v>A5C</v>
          </cell>
          <cell r="C3463" t="str">
            <v>P</v>
          </cell>
          <cell r="D3463" t="str">
            <v>23122</v>
          </cell>
          <cell r="E3463" t="str">
            <v>SOL</v>
          </cell>
          <cell r="F3463">
            <v>2</v>
          </cell>
          <cell r="G3463" t="str">
            <v>CB390200000401</v>
          </cell>
          <cell r="H3463">
            <v>4</v>
          </cell>
          <cell r="I3463">
            <v>1</v>
          </cell>
          <cell r="J3463">
            <v>1</v>
          </cell>
          <cell r="K3463">
            <v>2</v>
          </cell>
        </row>
        <row r="3464">
          <cell r="A3464" t="str">
            <v>M2</v>
          </cell>
          <cell r="B3464" t="str">
            <v>A5C</v>
          </cell>
          <cell r="C3464" t="str">
            <v>P</v>
          </cell>
          <cell r="D3464" t="str">
            <v>23134</v>
          </cell>
          <cell r="E3464" t="str">
            <v>SOL</v>
          </cell>
          <cell r="F3464">
            <v>2</v>
          </cell>
          <cell r="G3464" t="str">
            <v>CB390200000401</v>
          </cell>
          <cell r="H3464">
            <v>4</v>
          </cell>
          <cell r="I3464">
            <v>1</v>
          </cell>
          <cell r="J3464">
            <v>1</v>
          </cell>
          <cell r="K3464">
            <v>2</v>
          </cell>
        </row>
        <row r="3465">
          <cell r="A3465" t="str">
            <v>M2</v>
          </cell>
          <cell r="B3465" t="str">
            <v>A5C</v>
          </cell>
          <cell r="C3465" t="str">
            <v>P</v>
          </cell>
          <cell r="D3465" t="str">
            <v>23146</v>
          </cell>
          <cell r="E3465" t="str">
            <v>SOL</v>
          </cell>
          <cell r="F3465">
            <v>2</v>
          </cell>
          <cell r="G3465" t="str">
            <v>CB39020000040T</v>
          </cell>
          <cell r="H3465">
            <v>4</v>
          </cell>
          <cell r="I3465">
            <v>0.75</v>
          </cell>
          <cell r="J3465">
            <v>2</v>
          </cell>
          <cell r="K3465">
            <v>3</v>
          </cell>
        </row>
        <row r="3466">
          <cell r="A3466" t="str">
            <v>M2</v>
          </cell>
          <cell r="B3466" t="str">
            <v>A5C</v>
          </cell>
          <cell r="C3466" t="str">
            <v>P</v>
          </cell>
          <cell r="D3466" t="str">
            <v>23174</v>
          </cell>
          <cell r="E3466" t="str">
            <v>SOL</v>
          </cell>
          <cell r="F3466">
            <v>2</v>
          </cell>
          <cell r="G3466" t="str">
            <v>CB39020000040T</v>
          </cell>
          <cell r="H3466">
            <v>4</v>
          </cell>
          <cell r="I3466">
            <v>0.75</v>
          </cell>
          <cell r="J3466">
            <v>4</v>
          </cell>
          <cell r="K3466">
            <v>5</v>
          </cell>
        </row>
        <row r="3467">
          <cell r="A3467" t="str">
            <v>M2</v>
          </cell>
          <cell r="B3467" t="str">
            <v>A5C</v>
          </cell>
          <cell r="C3467" t="str">
            <v>P</v>
          </cell>
          <cell r="D3467" t="str">
            <v>23228</v>
          </cell>
          <cell r="E3467" t="str">
            <v>SOL</v>
          </cell>
          <cell r="F3467">
            <v>2</v>
          </cell>
          <cell r="G3467" t="str">
            <v>CB3902000004IH</v>
          </cell>
          <cell r="H3467">
            <v>4</v>
          </cell>
          <cell r="I3467">
            <v>1.5</v>
          </cell>
          <cell r="J3467">
            <v>1</v>
          </cell>
          <cell r="K3467">
            <v>2</v>
          </cell>
        </row>
        <row r="3468">
          <cell r="A3468" t="str">
            <v>M2</v>
          </cell>
          <cell r="B3468" t="str">
            <v>A5C</v>
          </cell>
          <cell r="C3468" t="str">
            <v>P</v>
          </cell>
          <cell r="D3468" t="str">
            <v>23250</v>
          </cell>
          <cell r="E3468" t="str">
            <v>SOL</v>
          </cell>
          <cell r="F3468">
            <v>2</v>
          </cell>
          <cell r="G3468" t="str">
            <v>CB3902000004IH</v>
          </cell>
          <cell r="H3468">
            <v>4</v>
          </cell>
          <cell r="I3468">
            <v>1.5</v>
          </cell>
          <cell r="J3468">
            <v>1</v>
          </cell>
          <cell r="K3468">
            <v>2</v>
          </cell>
        </row>
        <row r="3469">
          <cell r="A3469" t="str">
            <v>M2</v>
          </cell>
          <cell r="B3469" t="str">
            <v>A5C</v>
          </cell>
          <cell r="C3469" t="str">
            <v>P</v>
          </cell>
          <cell r="D3469" t="str">
            <v>23072</v>
          </cell>
          <cell r="E3469" t="str">
            <v>SOL</v>
          </cell>
          <cell r="F3469">
            <v>2</v>
          </cell>
          <cell r="G3469" t="str">
            <v>CB39020000040T</v>
          </cell>
          <cell r="H3469">
            <v>4</v>
          </cell>
          <cell r="I3469">
            <v>0.75</v>
          </cell>
          <cell r="J3469">
            <v>2</v>
          </cell>
          <cell r="K3469">
            <v>3</v>
          </cell>
        </row>
        <row r="3470">
          <cell r="A3470" t="str">
            <v>M2</v>
          </cell>
          <cell r="B3470" t="str">
            <v>A5C</v>
          </cell>
          <cell r="C3470" t="str">
            <v>P</v>
          </cell>
          <cell r="D3470" t="str">
            <v>23072</v>
          </cell>
          <cell r="E3470" t="str">
            <v>SOL</v>
          </cell>
          <cell r="F3470">
            <v>2</v>
          </cell>
          <cell r="G3470" t="str">
            <v>CB3902000004IH</v>
          </cell>
          <cell r="H3470">
            <v>4</v>
          </cell>
          <cell r="I3470">
            <v>1.5</v>
          </cell>
          <cell r="J3470">
            <v>1</v>
          </cell>
          <cell r="K3470">
            <v>2</v>
          </cell>
        </row>
        <row r="3471">
          <cell r="A3471" t="str">
            <v>M2</v>
          </cell>
          <cell r="B3471" t="str">
            <v>A5C</v>
          </cell>
          <cell r="C3471" t="str">
            <v>P</v>
          </cell>
          <cell r="D3471" t="str">
            <v>23095</v>
          </cell>
          <cell r="E3471" t="str">
            <v>SOL</v>
          </cell>
          <cell r="F3471">
            <v>2</v>
          </cell>
          <cell r="G3471" t="str">
            <v>CB39020000040T</v>
          </cell>
          <cell r="H3471">
            <v>4</v>
          </cell>
          <cell r="I3471">
            <v>0.75</v>
          </cell>
          <cell r="J3471">
            <v>2</v>
          </cell>
          <cell r="K3471">
            <v>3</v>
          </cell>
        </row>
        <row r="3472">
          <cell r="A3472" t="str">
            <v>M2</v>
          </cell>
          <cell r="B3472" t="str">
            <v>A5C</v>
          </cell>
          <cell r="C3472" t="str">
            <v>P</v>
          </cell>
          <cell r="D3472" t="str">
            <v>23123</v>
          </cell>
          <cell r="E3472" t="str">
            <v>SOL</v>
          </cell>
          <cell r="F3472">
            <v>2</v>
          </cell>
          <cell r="G3472" t="str">
            <v>CB39020000040T</v>
          </cell>
          <cell r="H3472">
            <v>4</v>
          </cell>
          <cell r="I3472">
            <v>0.75</v>
          </cell>
          <cell r="J3472">
            <v>2</v>
          </cell>
          <cell r="K3472">
            <v>3</v>
          </cell>
        </row>
        <row r="3473">
          <cell r="A3473" t="str">
            <v>M2</v>
          </cell>
          <cell r="B3473" t="str">
            <v>A5C</v>
          </cell>
          <cell r="C3473" t="str">
            <v>P</v>
          </cell>
          <cell r="D3473" t="str">
            <v>23127</v>
          </cell>
          <cell r="E3473" t="str">
            <v>SOL</v>
          </cell>
          <cell r="F3473">
            <v>2</v>
          </cell>
          <cell r="G3473" t="str">
            <v>CB39020000040T</v>
          </cell>
          <cell r="H3473">
            <v>4</v>
          </cell>
          <cell r="I3473">
            <v>0.75</v>
          </cell>
          <cell r="J3473">
            <v>2</v>
          </cell>
          <cell r="K3473">
            <v>3</v>
          </cell>
        </row>
        <row r="3474">
          <cell r="A3474" t="str">
            <v>M2</v>
          </cell>
          <cell r="B3474" t="str">
            <v>A5C</v>
          </cell>
          <cell r="C3474" t="str">
            <v>P</v>
          </cell>
          <cell r="D3474" t="str">
            <v>23134</v>
          </cell>
          <cell r="E3474" t="str">
            <v>SOL</v>
          </cell>
          <cell r="F3474">
            <v>2</v>
          </cell>
          <cell r="G3474" t="str">
            <v>CB39020000040T</v>
          </cell>
          <cell r="H3474">
            <v>4</v>
          </cell>
          <cell r="I3474">
            <v>0.75</v>
          </cell>
          <cell r="J3474">
            <v>2</v>
          </cell>
          <cell r="K3474">
            <v>3</v>
          </cell>
        </row>
        <row r="3475">
          <cell r="A3475" t="str">
            <v>M2</v>
          </cell>
          <cell r="B3475" t="str">
            <v>A5C</v>
          </cell>
          <cell r="C3475" t="str">
            <v>P</v>
          </cell>
          <cell r="D3475" t="str">
            <v>23146</v>
          </cell>
          <cell r="E3475" t="str">
            <v>SOL</v>
          </cell>
          <cell r="F3475">
            <v>2</v>
          </cell>
          <cell r="G3475" t="str">
            <v>CB390200000401</v>
          </cell>
          <cell r="H3475">
            <v>4</v>
          </cell>
          <cell r="I3475">
            <v>1</v>
          </cell>
          <cell r="J3475">
            <v>1</v>
          </cell>
          <cell r="K3475">
            <v>2</v>
          </cell>
        </row>
        <row r="3476">
          <cell r="A3476" t="str">
            <v>M2</v>
          </cell>
          <cell r="B3476" t="str">
            <v>A5C</v>
          </cell>
          <cell r="C3476" t="str">
            <v>P</v>
          </cell>
          <cell r="D3476" t="str">
            <v>23012</v>
          </cell>
          <cell r="E3476" t="str">
            <v>TEE</v>
          </cell>
          <cell r="F3476">
            <v>2</v>
          </cell>
          <cell r="G3476" t="str">
            <v>CB300304000400</v>
          </cell>
          <cell r="H3476">
            <v>4</v>
          </cell>
          <cell r="I3476" t="str">
            <v>--</v>
          </cell>
          <cell r="J3476">
            <v>1</v>
          </cell>
          <cell r="K3476">
            <v>2</v>
          </cell>
        </row>
        <row r="3477">
          <cell r="A3477" t="str">
            <v>M2</v>
          </cell>
          <cell r="B3477" t="str">
            <v>A5C</v>
          </cell>
          <cell r="C3477" t="str">
            <v>P</v>
          </cell>
          <cell r="D3477" t="str">
            <v>23058</v>
          </cell>
          <cell r="E3477" t="str">
            <v>TEE</v>
          </cell>
          <cell r="F3477">
            <v>2</v>
          </cell>
          <cell r="G3477" t="str">
            <v>CB300304000400</v>
          </cell>
          <cell r="H3477">
            <v>4</v>
          </cell>
          <cell r="I3477" t="str">
            <v>--</v>
          </cell>
          <cell r="J3477">
            <v>1</v>
          </cell>
          <cell r="K3477">
            <v>2</v>
          </cell>
        </row>
        <row r="3478">
          <cell r="A3478" t="str">
            <v>M2</v>
          </cell>
          <cell r="B3478" t="str">
            <v>A5C</v>
          </cell>
          <cell r="C3478" t="str">
            <v>P</v>
          </cell>
          <cell r="D3478" t="str">
            <v>23068</v>
          </cell>
          <cell r="E3478" t="str">
            <v>TEE</v>
          </cell>
          <cell r="F3478">
            <v>2</v>
          </cell>
          <cell r="G3478" t="str">
            <v>CB300304000400</v>
          </cell>
          <cell r="H3478">
            <v>4</v>
          </cell>
          <cell r="I3478" t="str">
            <v>--</v>
          </cell>
          <cell r="J3478">
            <v>1</v>
          </cell>
          <cell r="K3478">
            <v>2</v>
          </cell>
        </row>
        <row r="3479">
          <cell r="A3479" t="str">
            <v>M2</v>
          </cell>
          <cell r="B3479" t="str">
            <v>A5C</v>
          </cell>
          <cell r="C3479" t="str">
            <v>P</v>
          </cell>
          <cell r="D3479" t="str">
            <v>23095</v>
          </cell>
          <cell r="E3479" t="str">
            <v>TEE</v>
          </cell>
          <cell r="F3479">
            <v>2</v>
          </cell>
          <cell r="G3479" t="str">
            <v>CB300304000400</v>
          </cell>
          <cell r="H3479">
            <v>4</v>
          </cell>
          <cell r="I3479" t="str">
            <v>--</v>
          </cell>
          <cell r="J3479">
            <v>1</v>
          </cell>
          <cell r="K3479">
            <v>2</v>
          </cell>
        </row>
        <row r="3480">
          <cell r="A3480" t="str">
            <v>M2</v>
          </cell>
          <cell r="B3480" t="str">
            <v>A5C</v>
          </cell>
          <cell r="C3480" t="str">
            <v>P</v>
          </cell>
          <cell r="D3480" t="str">
            <v>23100</v>
          </cell>
          <cell r="E3480" t="str">
            <v>TEE</v>
          </cell>
          <cell r="F3480">
            <v>2</v>
          </cell>
          <cell r="G3480" t="str">
            <v>CB300304000400</v>
          </cell>
          <cell r="H3480">
            <v>4</v>
          </cell>
          <cell r="I3480" t="str">
            <v>--</v>
          </cell>
          <cell r="J3480">
            <v>3</v>
          </cell>
          <cell r="K3480">
            <v>4</v>
          </cell>
        </row>
        <row r="3481">
          <cell r="A3481" t="str">
            <v>M2</v>
          </cell>
          <cell r="B3481" t="str">
            <v>A5C</v>
          </cell>
          <cell r="C3481" t="str">
            <v>P</v>
          </cell>
          <cell r="D3481" t="str">
            <v>23110</v>
          </cell>
          <cell r="E3481" t="str">
            <v>TEE</v>
          </cell>
          <cell r="F3481">
            <v>2</v>
          </cell>
          <cell r="G3481" t="str">
            <v>CB300304000400</v>
          </cell>
          <cell r="H3481">
            <v>4</v>
          </cell>
          <cell r="I3481" t="str">
            <v>--</v>
          </cell>
          <cell r="J3481">
            <v>1</v>
          </cell>
          <cell r="K3481">
            <v>2</v>
          </cell>
        </row>
        <row r="3482">
          <cell r="A3482" t="str">
            <v>M2</v>
          </cell>
          <cell r="B3482" t="str">
            <v>A5C</v>
          </cell>
          <cell r="C3482" t="str">
            <v>P</v>
          </cell>
          <cell r="D3482" t="str">
            <v>23114</v>
          </cell>
          <cell r="E3482" t="str">
            <v>TEE</v>
          </cell>
          <cell r="F3482">
            <v>2</v>
          </cell>
          <cell r="G3482" t="str">
            <v>CB300304000400</v>
          </cell>
          <cell r="H3482">
            <v>4</v>
          </cell>
          <cell r="I3482" t="str">
            <v>--</v>
          </cell>
          <cell r="J3482">
            <v>1</v>
          </cell>
          <cell r="K3482">
            <v>2</v>
          </cell>
        </row>
        <row r="3483">
          <cell r="A3483" t="str">
            <v>M2</v>
          </cell>
          <cell r="B3483" t="str">
            <v>A5C</v>
          </cell>
          <cell r="C3483" t="str">
            <v>P</v>
          </cell>
          <cell r="D3483" t="str">
            <v>23121</v>
          </cell>
          <cell r="E3483" t="str">
            <v>TEE</v>
          </cell>
          <cell r="F3483">
            <v>2</v>
          </cell>
          <cell r="G3483" t="str">
            <v>CB300304000400</v>
          </cell>
          <cell r="H3483">
            <v>4</v>
          </cell>
          <cell r="I3483" t="str">
            <v>--</v>
          </cell>
          <cell r="J3483">
            <v>1</v>
          </cell>
          <cell r="K3483">
            <v>2</v>
          </cell>
        </row>
        <row r="3484">
          <cell r="A3484" t="str">
            <v>M2</v>
          </cell>
          <cell r="B3484" t="str">
            <v>A5C</v>
          </cell>
          <cell r="C3484" t="str">
            <v>P</v>
          </cell>
          <cell r="D3484" t="str">
            <v>23146</v>
          </cell>
          <cell r="E3484" t="str">
            <v>TEE</v>
          </cell>
          <cell r="F3484">
            <v>2</v>
          </cell>
          <cell r="G3484" t="str">
            <v>CB300304000400</v>
          </cell>
          <cell r="H3484">
            <v>4</v>
          </cell>
          <cell r="I3484" t="str">
            <v>--</v>
          </cell>
          <cell r="J3484">
            <v>1</v>
          </cell>
          <cell r="K3484">
            <v>2</v>
          </cell>
        </row>
        <row r="3485">
          <cell r="A3485" t="str">
            <v>M2</v>
          </cell>
          <cell r="B3485" t="str">
            <v>A5C</v>
          </cell>
          <cell r="C3485" t="str">
            <v>P</v>
          </cell>
          <cell r="D3485" t="str">
            <v>23123</v>
          </cell>
          <cell r="E3485" t="str">
            <v>TEE</v>
          </cell>
          <cell r="F3485">
            <v>2</v>
          </cell>
          <cell r="G3485" t="str">
            <v>CB300304000400</v>
          </cell>
          <cell r="H3485">
            <v>4</v>
          </cell>
          <cell r="I3485" t="str">
            <v>--</v>
          </cell>
          <cell r="J3485">
            <v>1</v>
          </cell>
          <cell r="K3485">
            <v>2</v>
          </cell>
        </row>
        <row r="3486">
          <cell r="A3486" t="str">
            <v>M2</v>
          </cell>
          <cell r="B3486" t="str">
            <v>A5C</v>
          </cell>
          <cell r="C3486" t="str">
            <v>P</v>
          </cell>
          <cell r="D3486" t="str">
            <v>23127</v>
          </cell>
          <cell r="E3486" t="str">
            <v>TEE</v>
          </cell>
          <cell r="F3486">
            <v>2</v>
          </cell>
          <cell r="G3486" t="str">
            <v>CB300304000400</v>
          </cell>
          <cell r="H3486">
            <v>4</v>
          </cell>
          <cell r="I3486" t="str">
            <v>--</v>
          </cell>
          <cell r="J3486">
            <v>1</v>
          </cell>
          <cell r="K3486">
            <v>2</v>
          </cell>
        </row>
        <row r="3487">
          <cell r="A3487" t="str">
            <v>M2</v>
          </cell>
          <cell r="B3487" t="str">
            <v>A5C</v>
          </cell>
          <cell r="C3487" t="str">
            <v>P</v>
          </cell>
          <cell r="D3487" t="str">
            <v>23134</v>
          </cell>
          <cell r="E3487" t="str">
            <v>TEE</v>
          </cell>
          <cell r="F3487">
            <v>2</v>
          </cell>
          <cell r="G3487" t="str">
            <v>CB300304000400</v>
          </cell>
          <cell r="H3487">
            <v>4</v>
          </cell>
          <cell r="I3487" t="str">
            <v>--</v>
          </cell>
          <cell r="J3487">
            <v>1</v>
          </cell>
          <cell r="K3487">
            <v>2</v>
          </cell>
        </row>
        <row r="3488">
          <cell r="A3488" t="str">
            <v>M2</v>
          </cell>
          <cell r="B3488" t="str">
            <v>A5C</v>
          </cell>
          <cell r="C3488" t="str">
            <v>P</v>
          </cell>
          <cell r="D3488" t="str">
            <v>HOLD2</v>
          </cell>
          <cell r="E3488" t="str">
            <v>TOL</v>
          </cell>
          <cell r="F3488">
            <v>2</v>
          </cell>
          <cell r="G3488" t="str">
            <v>CB39030000040T</v>
          </cell>
          <cell r="H3488">
            <v>4</v>
          </cell>
          <cell r="I3488">
            <v>0.75</v>
          </cell>
          <cell r="J3488">
            <v>5</v>
          </cell>
          <cell r="K3488">
            <v>6</v>
          </cell>
        </row>
        <row r="3489">
          <cell r="A3489" t="str">
            <v>M2</v>
          </cell>
          <cell r="B3489" t="str">
            <v>A5C</v>
          </cell>
          <cell r="C3489" t="str">
            <v>P</v>
          </cell>
          <cell r="D3489" t="str">
            <v>23267</v>
          </cell>
          <cell r="E3489" t="str">
            <v>90 ELL</v>
          </cell>
          <cell r="F3489">
            <v>2</v>
          </cell>
          <cell r="G3489" t="str">
            <v>CB300104000400</v>
          </cell>
          <cell r="H3489">
            <v>4</v>
          </cell>
          <cell r="I3489" t="str">
            <v>--</v>
          </cell>
          <cell r="J3489">
            <v>4</v>
          </cell>
          <cell r="K3489">
            <v>5</v>
          </cell>
        </row>
        <row r="3490">
          <cell r="A3490" t="str">
            <v>M2</v>
          </cell>
          <cell r="B3490" t="str">
            <v>A5C</v>
          </cell>
          <cell r="C3490" t="str">
            <v>P</v>
          </cell>
          <cell r="D3490" t="str">
            <v>23024</v>
          </cell>
          <cell r="E3490" t="str">
            <v>90 ELL</v>
          </cell>
          <cell r="F3490">
            <v>2</v>
          </cell>
          <cell r="G3490" t="str">
            <v>CB300104000400</v>
          </cell>
          <cell r="H3490">
            <v>4</v>
          </cell>
          <cell r="I3490" t="str">
            <v>--</v>
          </cell>
          <cell r="J3490">
            <v>8</v>
          </cell>
          <cell r="K3490">
            <v>10</v>
          </cell>
        </row>
        <row r="3491">
          <cell r="A3491" t="str">
            <v>M2</v>
          </cell>
          <cell r="B3491" t="str">
            <v>A5C</v>
          </cell>
          <cell r="C3491" t="str">
            <v>P</v>
          </cell>
          <cell r="D3491" t="str">
            <v>23029</v>
          </cell>
          <cell r="E3491" t="str">
            <v>90 ELL</v>
          </cell>
          <cell r="F3491">
            <v>2</v>
          </cell>
          <cell r="G3491" t="str">
            <v>CB300104000400</v>
          </cell>
          <cell r="H3491">
            <v>4</v>
          </cell>
          <cell r="I3491" t="str">
            <v>--</v>
          </cell>
          <cell r="J3491">
            <v>7</v>
          </cell>
          <cell r="K3491">
            <v>9</v>
          </cell>
        </row>
        <row r="3492">
          <cell r="A3492" t="str">
            <v>M2</v>
          </cell>
          <cell r="B3492" t="str">
            <v>A5C</v>
          </cell>
          <cell r="C3492" t="str">
            <v>P</v>
          </cell>
          <cell r="D3492" t="str">
            <v>23045</v>
          </cell>
          <cell r="E3492" t="str">
            <v>90 ELL</v>
          </cell>
          <cell r="F3492">
            <v>2</v>
          </cell>
          <cell r="G3492" t="str">
            <v>CB300104000400</v>
          </cell>
          <cell r="H3492">
            <v>4</v>
          </cell>
          <cell r="I3492" t="str">
            <v>--</v>
          </cell>
          <cell r="J3492">
            <v>1</v>
          </cell>
          <cell r="K3492">
            <v>2</v>
          </cell>
        </row>
        <row r="3493">
          <cell r="A3493" t="str">
            <v>M2</v>
          </cell>
          <cell r="B3493" t="str">
            <v>A5C</v>
          </cell>
          <cell r="C3493" t="str">
            <v>P</v>
          </cell>
          <cell r="D3493" t="str">
            <v>23062</v>
          </cell>
          <cell r="E3493" t="str">
            <v>90 ELL</v>
          </cell>
          <cell r="F3493">
            <v>2</v>
          </cell>
          <cell r="G3493" t="str">
            <v>CB300104000400</v>
          </cell>
          <cell r="H3493">
            <v>4</v>
          </cell>
          <cell r="I3493" t="str">
            <v>--</v>
          </cell>
          <cell r="J3493">
            <v>8</v>
          </cell>
          <cell r="K3493">
            <v>10</v>
          </cell>
        </row>
        <row r="3494">
          <cell r="A3494" t="str">
            <v>M2</v>
          </cell>
          <cell r="B3494" t="str">
            <v>A5C</v>
          </cell>
          <cell r="C3494" t="str">
            <v>P</v>
          </cell>
          <cell r="D3494" t="str">
            <v>23024</v>
          </cell>
          <cell r="E3494" t="str">
            <v>90 ELL</v>
          </cell>
          <cell r="F3494">
            <v>2</v>
          </cell>
          <cell r="G3494" t="str">
            <v>CB300104000400</v>
          </cell>
          <cell r="H3494">
            <v>4</v>
          </cell>
          <cell r="I3494" t="str">
            <v>--</v>
          </cell>
          <cell r="J3494">
            <v>11</v>
          </cell>
          <cell r="K3494">
            <v>13</v>
          </cell>
        </row>
        <row r="3495">
          <cell r="A3495" t="str">
            <v>M2</v>
          </cell>
          <cell r="B3495" t="str">
            <v>A5C</v>
          </cell>
          <cell r="C3495" t="str">
            <v>P</v>
          </cell>
          <cell r="D3495" t="str">
            <v>23029</v>
          </cell>
          <cell r="E3495" t="str">
            <v>90 ELL</v>
          </cell>
          <cell r="F3495">
            <v>2</v>
          </cell>
          <cell r="G3495" t="str">
            <v>CB300104000400</v>
          </cell>
          <cell r="H3495">
            <v>4</v>
          </cell>
          <cell r="I3495" t="str">
            <v>--</v>
          </cell>
          <cell r="J3495">
            <v>9</v>
          </cell>
          <cell r="K3495">
            <v>11</v>
          </cell>
        </row>
        <row r="3496">
          <cell r="A3496" t="str">
            <v>M2</v>
          </cell>
          <cell r="B3496" t="str">
            <v>A5C</v>
          </cell>
          <cell r="C3496" t="str">
            <v>P</v>
          </cell>
          <cell r="D3496" t="str">
            <v>23016</v>
          </cell>
          <cell r="E3496" t="str">
            <v>C RED</v>
          </cell>
          <cell r="F3496">
            <v>2</v>
          </cell>
          <cell r="G3496" t="str">
            <v>CB300504040403</v>
          </cell>
          <cell r="H3496">
            <v>4</v>
          </cell>
          <cell r="I3496">
            <v>3</v>
          </cell>
          <cell r="J3496">
            <v>2</v>
          </cell>
          <cell r="K3496">
            <v>3</v>
          </cell>
        </row>
        <row r="3497">
          <cell r="A3497" t="str">
            <v>M2</v>
          </cell>
          <cell r="B3497" t="str">
            <v>A5C</v>
          </cell>
          <cell r="C3497" t="str">
            <v>P</v>
          </cell>
          <cell r="D3497" t="str">
            <v>23024</v>
          </cell>
          <cell r="E3497" t="str">
            <v>C RED</v>
          </cell>
          <cell r="F3497">
            <v>2</v>
          </cell>
          <cell r="G3497" t="str">
            <v>CB300504040403</v>
          </cell>
          <cell r="H3497">
            <v>4</v>
          </cell>
          <cell r="I3497">
            <v>3</v>
          </cell>
          <cell r="J3497">
            <v>2</v>
          </cell>
          <cell r="K3497">
            <v>3</v>
          </cell>
        </row>
        <row r="3498">
          <cell r="A3498" t="str">
            <v>M2</v>
          </cell>
          <cell r="B3498" t="str">
            <v>A5C</v>
          </cell>
          <cell r="C3498" t="str">
            <v>P</v>
          </cell>
          <cell r="D3498" t="str">
            <v>23029</v>
          </cell>
          <cell r="E3498" t="str">
            <v>C RED</v>
          </cell>
          <cell r="F3498">
            <v>2</v>
          </cell>
          <cell r="G3498" t="str">
            <v>CB300504040403</v>
          </cell>
          <cell r="H3498">
            <v>4</v>
          </cell>
          <cell r="I3498">
            <v>3</v>
          </cell>
          <cell r="J3498">
            <v>2</v>
          </cell>
          <cell r="K3498">
            <v>3</v>
          </cell>
        </row>
        <row r="3499">
          <cell r="A3499" t="str">
            <v>M2</v>
          </cell>
          <cell r="B3499" t="str">
            <v>A5C</v>
          </cell>
          <cell r="C3499" t="str">
            <v>P</v>
          </cell>
          <cell r="D3499" t="str">
            <v>23029</v>
          </cell>
          <cell r="E3499" t="str">
            <v>C RED</v>
          </cell>
          <cell r="F3499">
            <v>2</v>
          </cell>
          <cell r="G3499" t="str">
            <v>CB300504040403</v>
          </cell>
          <cell r="H3499">
            <v>4</v>
          </cell>
          <cell r="I3499">
            <v>3</v>
          </cell>
          <cell r="J3499">
            <v>1</v>
          </cell>
          <cell r="K3499">
            <v>2</v>
          </cell>
        </row>
        <row r="3500">
          <cell r="A3500" t="str">
            <v>M2</v>
          </cell>
          <cell r="B3500" t="str">
            <v>A5C</v>
          </cell>
          <cell r="C3500" t="str">
            <v>P</v>
          </cell>
          <cell r="D3500" t="str">
            <v>23050</v>
          </cell>
          <cell r="E3500" t="str">
            <v>C RED</v>
          </cell>
          <cell r="F3500">
            <v>2</v>
          </cell>
          <cell r="G3500" t="str">
            <v>CB300504040403</v>
          </cell>
          <cell r="H3500">
            <v>4</v>
          </cell>
          <cell r="I3500">
            <v>3</v>
          </cell>
          <cell r="J3500">
            <v>2</v>
          </cell>
          <cell r="K3500">
            <v>3</v>
          </cell>
        </row>
        <row r="3501">
          <cell r="A3501" t="str">
            <v>M2</v>
          </cell>
          <cell r="B3501" t="str">
            <v>A5C</v>
          </cell>
          <cell r="C3501" t="str">
            <v>P</v>
          </cell>
          <cell r="D3501" t="str">
            <v>23061</v>
          </cell>
          <cell r="E3501" t="str">
            <v>C RED</v>
          </cell>
          <cell r="F3501">
            <v>2</v>
          </cell>
          <cell r="G3501" t="str">
            <v>CB300504040403</v>
          </cell>
          <cell r="H3501">
            <v>4</v>
          </cell>
          <cell r="I3501">
            <v>3</v>
          </cell>
          <cell r="J3501">
            <v>2</v>
          </cell>
          <cell r="K3501">
            <v>3</v>
          </cell>
        </row>
        <row r="3502">
          <cell r="A3502" t="str">
            <v>M2</v>
          </cell>
          <cell r="B3502" t="str">
            <v>A5C</v>
          </cell>
          <cell r="C3502" t="str">
            <v>P</v>
          </cell>
          <cell r="D3502" t="str">
            <v>24016</v>
          </cell>
          <cell r="E3502" t="str">
            <v>C RED</v>
          </cell>
          <cell r="F3502">
            <v>2</v>
          </cell>
          <cell r="G3502" t="str">
            <v>CB300504080402</v>
          </cell>
          <cell r="H3502">
            <v>4</v>
          </cell>
          <cell r="I3502">
            <v>2</v>
          </cell>
          <cell r="J3502">
            <v>2</v>
          </cell>
          <cell r="K3502">
            <v>3</v>
          </cell>
        </row>
        <row r="3503">
          <cell r="A3503" t="str">
            <v>M2</v>
          </cell>
          <cell r="B3503" t="str">
            <v>A5C</v>
          </cell>
          <cell r="C3503" t="str">
            <v>P</v>
          </cell>
          <cell r="D3503" t="str">
            <v>23008</v>
          </cell>
          <cell r="E3503" t="str">
            <v>CAP</v>
          </cell>
          <cell r="F3503">
            <v>2</v>
          </cell>
          <cell r="G3503" t="str">
            <v>CB300704000400</v>
          </cell>
          <cell r="H3503">
            <v>4</v>
          </cell>
          <cell r="I3503" t="str">
            <v>--</v>
          </cell>
          <cell r="J3503">
            <v>2</v>
          </cell>
          <cell r="K3503">
            <v>3</v>
          </cell>
        </row>
        <row r="3504">
          <cell r="A3504" t="str">
            <v>M2</v>
          </cell>
          <cell r="B3504" t="str">
            <v>A5C</v>
          </cell>
          <cell r="C3504" t="str">
            <v>P</v>
          </cell>
          <cell r="D3504" t="str">
            <v>23173</v>
          </cell>
          <cell r="E3504" t="str">
            <v>CAP</v>
          </cell>
          <cell r="F3504">
            <v>2</v>
          </cell>
          <cell r="G3504" t="str">
            <v>CB300704000400</v>
          </cell>
          <cell r="H3504">
            <v>4</v>
          </cell>
          <cell r="I3504" t="str">
            <v>--</v>
          </cell>
          <cell r="J3504">
            <v>2</v>
          </cell>
          <cell r="K3504">
            <v>3</v>
          </cell>
        </row>
        <row r="3505">
          <cell r="A3505" t="str">
            <v>M2</v>
          </cell>
          <cell r="B3505" t="str">
            <v>A5C</v>
          </cell>
          <cell r="C3505" t="str">
            <v>P</v>
          </cell>
          <cell r="D3505" t="str">
            <v>23076</v>
          </cell>
          <cell r="E3505" t="str">
            <v>CAP</v>
          </cell>
          <cell r="F3505">
            <v>2</v>
          </cell>
          <cell r="G3505" t="str">
            <v>CB300704000400</v>
          </cell>
          <cell r="H3505">
            <v>4</v>
          </cell>
          <cell r="I3505" t="str">
            <v>--</v>
          </cell>
          <cell r="J3505">
            <v>2</v>
          </cell>
          <cell r="K3505">
            <v>3</v>
          </cell>
        </row>
        <row r="3506">
          <cell r="A3506" t="str">
            <v>M2</v>
          </cell>
          <cell r="B3506" t="str">
            <v>A5C</v>
          </cell>
          <cell r="C3506" t="str">
            <v>P</v>
          </cell>
          <cell r="D3506" t="str">
            <v>23170</v>
          </cell>
          <cell r="E3506" t="str">
            <v>CAP</v>
          </cell>
          <cell r="F3506">
            <v>2</v>
          </cell>
          <cell r="G3506" t="str">
            <v>CB300704000400</v>
          </cell>
          <cell r="H3506">
            <v>4</v>
          </cell>
          <cell r="I3506" t="str">
            <v>--</v>
          </cell>
          <cell r="J3506">
            <v>2</v>
          </cell>
          <cell r="K3506">
            <v>3</v>
          </cell>
        </row>
        <row r="3507">
          <cell r="A3507" t="str">
            <v>M2</v>
          </cell>
          <cell r="B3507" t="str">
            <v>A5C</v>
          </cell>
          <cell r="C3507" t="str">
            <v>P</v>
          </cell>
          <cell r="D3507" t="str">
            <v>23180</v>
          </cell>
          <cell r="E3507" t="str">
            <v>CAP</v>
          </cell>
          <cell r="F3507">
            <v>2</v>
          </cell>
          <cell r="G3507" t="str">
            <v>CB300704000400</v>
          </cell>
          <cell r="H3507">
            <v>4</v>
          </cell>
          <cell r="I3507" t="str">
            <v>--</v>
          </cell>
          <cell r="J3507">
            <v>2</v>
          </cell>
          <cell r="K3507">
            <v>3</v>
          </cell>
        </row>
        <row r="3508">
          <cell r="A3508" t="str">
            <v>M2</v>
          </cell>
          <cell r="B3508" t="str">
            <v>A5C</v>
          </cell>
          <cell r="C3508" t="str">
            <v>P</v>
          </cell>
          <cell r="D3508" t="str">
            <v>23191</v>
          </cell>
          <cell r="E3508" t="str">
            <v>CAP</v>
          </cell>
          <cell r="F3508">
            <v>2</v>
          </cell>
          <cell r="G3508" t="str">
            <v>CB300704000400</v>
          </cell>
          <cell r="H3508">
            <v>4</v>
          </cell>
          <cell r="I3508" t="str">
            <v>--</v>
          </cell>
          <cell r="J3508">
            <v>2</v>
          </cell>
          <cell r="K3508">
            <v>3</v>
          </cell>
        </row>
        <row r="3509">
          <cell r="A3509" t="str">
            <v>M2</v>
          </cell>
          <cell r="B3509" t="str">
            <v>A5C</v>
          </cell>
          <cell r="C3509" t="str">
            <v>P</v>
          </cell>
          <cell r="D3509" t="str">
            <v>23029</v>
          </cell>
          <cell r="E3509" t="str">
            <v>E RED</v>
          </cell>
          <cell r="F3509">
            <v>2</v>
          </cell>
          <cell r="G3509" t="str">
            <v>CB300604040403</v>
          </cell>
          <cell r="H3509">
            <v>4</v>
          </cell>
          <cell r="I3509">
            <v>3</v>
          </cell>
          <cell r="J3509">
            <v>2</v>
          </cell>
          <cell r="K3509">
            <v>3</v>
          </cell>
        </row>
        <row r="3510">
          <cell r="A3510" t="str">
            <v>M2</v>
          </cell>
          <cell r="B3510" t="str">
            <v>A5C</v>
          </cell>
          <cell r="C3510" t="str">
            <v>P</v>
          </cell>
          <cell r="D3510" t="str">
            <v>24018</v>
          </cell>
          <cell r="E3510" t="str">
            <v>E RED</v>
          </cell>
          <cell r="F3510">
            <v>2</v>
          </cell>
          <cell r="G3510" t="str">
            <v>CB300604080402</v>
          </cell>
          <cell r="H3510">
            <v>4</v>
          </cell>
          <cell r="I3510">
            <v>2</v>
          </cell>
          <cell r="J3510">
            <v>2</v>
          </cell>
          <cell r="K3510">
            <v>3</v>
          </cell>
        </row>
        <row r="3511">
          <cell r="A3511" t="str">
            <v>M2</v>
          </cell>
          <cell r="B3511" t="str">
            <v>A5C</v>
          </cell>
          <cell r="C3511" t="str">
            <v>P</v>
          </cell>
          <cell r="D3511" t="str">
            <v>23024</v>
          </cell>
          <cell r="E3511" t="str">
            <v>E RED</v>
          </cell>
          <cell r="F3511">
            <v>2</v>
          </cell>
          <cell r="G3511" t="str">
            <v>CB300604040403</v>
          </cell>
          <cell r="H3511">
            <v>4</v>
          </cell>
          <cell r="I3511">
            <v>3</v>
          </cell>
          <cell r="J3511">
            <v>2</v>
          </cell>
          <cell r="K3511">
            <v>3</v>
          </cell>
        </row>
        <row r="3512">
          <cell r="A3512" t="str">
            <v>M2</v>
          </cell>
          <cell r="B3512" t="str">
            <v>A5C</v>
          </cell>
          <cell r="C3512" t="str">
            <v>P</v>
          </cell>
          <cell r="D3512" t="str">
            <v>23062</v>
          </cell>
          <cell r="E3512" t="str">
            <v>E RED</v>
          </cell>
          <cell r="F3512">
            <v>2</v>
          </cell>
          <cell r="G3512" t="str">
            <v>CB300604040403</v>
          </cell>
          <cell r="H3512">
            <v>4</v>
          </cell>
          <cell r="I3512">
            <v>3</v>
          </cell>
          <cell r="J3512">
            <v>2</v>
          </cell>
          <cell r="K3512">
            <v>3</v>
          </cell>
        </row>
        <row r="3513">
          <cell r="A3513" t="str">
            <v>M2</v>
          </cell>
          <cell r="B3513" t="str">
            <v>A5C</v>
          </cell>
          <cell r="C3513" t="str">
            <v>P</v>
          </cell>
          <cell r="D3513" t="str">
            <v>23008</v>
          </cell>
          <cell r="E3513" t="str">
            <v>SOL</v>
          </cell>
          <cell r="F3513">
            <v>2</v>
          </cell>
          <cell r="G3513" t="str">
            <v>CB3902000004IH</v>
          </cell>
          <cell r="H3513">
            <v>4</v>
          </cell>
          <cell r="I3513">
            <v>1.5</v>
          </cell>
          <cell r="J3513">
            <v>2</v>
          </cell>
          <cell r="K3513">
            <v>3</v>
          </cell>
        </row>
        <row r="3514">
          <cell r="A3514" t="str">
            <v>M2</v>
          </cell>
          <cell r="B3514" t="str">
            <v>A5C</v>
          </cell>
          <cell r="C3514" t="str">
            <v>P</v>
          </cell>
          <cell r="D3514" t="str">
            <v>23024</v>
          </cell>
          <cell r="E3514" t="str">
            <v>SOL</v>
          </cell>
          <cell r="F3514">
            <v>2</v>
          </cell>
          <cell r="G3514" t="str">
            <v>CB39020000040T</v>
          </cell>
          <cell r="H3514">
            <v>4</v>
          </cell>
          <cell r="I3514">
            <v>0.75</v>
          </cell>
          <cell r="J3514">
            <v>4</v>
          </cell>
          <cell r="K3514">
            <v>5</v>
          </cell>
        </row>
        <row r="3515">
          <cell r="A3515" t="str">
            <v>M2</v>
          </cell>
          <cell r="B3515" t="str">
            <v>A5C</v>
          </cell>
          <cell r="C3515" t="str">
            <v>P</v>
          </cell>
          <cell r="D3515" t="str">
            <v>23024</v>
          </cell>
          <cell r="E3515" t="str">
            <v>SOL</v>
          </cell>
          <cell r="F3515">
            <v>2</v>
          </cell>
          <cell r="G3515" t="str">
            <v>CB39020000040T</v>
          </cell>
          <cell r="H3515">
            <v>4</v>
          </cell>
          <cell r="I3515">
            <v>0.75</v>
          </cell>
          <cell r="J3515">
            <v>1</v>
          </cell>
          <cell r="K3515">
            <v>2</v>
          </cell>
        </row>
        <row r="3516">
          <cell r="A3516" t="str">
            <v>M2</v>
          </cell>
          <cell r="B3516" t="str">
            <v>A5C</v>
          </cell>
          <cell r="C3516" t="str">
            <v>P</v>
          </cell>
          <cell r="D3516" t="str">
            <v>23029</v>
          </cell>
          <cell r="E3516" t="str">
            <v>SOL</v>
          </cell>
          <cell r="F3516">
            <v>2</v>
          </cell>
          <cell r="G3516" t="str">
            <v>CB39020000040T</v>
          </cell>
          <cell r="H3516">
            <v>4</v>
          </cell>
          <cell r="I3516">
            <v>0.75</v>
          </cell>
          <cell r="J3516">
            <v>5</v>
          </cell>
          <cell r="K3516">
            <v>6</v>
          </cell>
        </row>
        <row r="3517">
          <cell r="A3517" t="str">
            <v>M2</v>
          </cell>
          <cell r="B3517" t="str">
            <v>A5C</v>
          </cell>
          <cell r="C3517" t="str">
            <v>P</v>
          </cell>
          <cell r="D3517" t="str">
            <v>23045</v>
          </cell>
          <cell r="E3517" t="str">
            <v>SOL</v>
          </cell>
          <cell r="F3517">
            <v>2</v>
          </cell>
          <cell r="G3517" t="str">
            <v>CB3902000004IH</v>
          </cell>
          <cell r="H3517">
            <v>4</v>
          </cell>
          <cell r="I3517">
            <v>1.5</v>
          </cell>
          <cell r="J3517">
            <v>1</v>
          </cell>
          <cell r="K3517">
            <v>2</v>
          </cell>
        </row>
        <row r="3518">
          <cell r="A3518" t="str">
            <v>M2</v>
          </cell>
          <cell r="B3518" t="str">
            <v>A5C</v>
          </cell>
          <cell r="C3518" t="str">
            <v>P</v>
          </cell>
          <cell r="D3518" t="str">
            <v>23076</v>
          </cell>
          <cell r="E3518" t="str">
            <v>SOL</v>
          </cell>
          <cell r="F3518">
            <v>2</v>
          </cell>
          <cell r="G3518" t="str">
            <v>CB3902000004IH</v>
          </cell>
          <cell r="H3518">
            <v>4</v>
          </cell>
          <cell r="I3518">
            <v>1.5</v>
          </cell>
          <cell r="J3518">
            <v>2</v>
          </cell>
          <cell r="K3518">
            <v>3</v>
          </cell>
        </row>
        <row r="3519">
          <cell r="A3519" t="str">
            <v>M2</v>
          </cell>
          <cell r="B3519" t="str">
            <v>A5C</v>
          </cell>
          <cell r="C3519" t="str">
            <v>P</v>
          </cell>
          <cell r="D3519" t="str">
            <v>23170</v>
          </cell>
          <cell r="E3519" t="str">
            <v>SOL</v>
          </cell>
          <cell r="F3519">
            <v>2</v>
          </cell>
          <cell r="G3519" t="str">
            <v>CB3902000004IH</v>
          </cell>
          <cell r="H3519">
            <v>4</v>
          </cell>
          <cell r="I3519">
            <v>1.5</v>
          </cell>
          <cell r="J3519">
            <v>2</v>
          </cell>
          <cell r="K3519">
            <v>3</v>
          </cell>
        </row>
        <row r="3520">
          <cell r="A3520" t="str">
            <v>M2</v>
          </cell>
          <cell r="B3520" t="str">
            <v>A5C</v>
          </cell>
          <cell r="C3520" t="str">
            <v>P</v>
          </cell>
          <cell r="D3520" t="str">
            <v>23173</v>
          </cell>
          <cell r="E3520" t="str">
            <v>SOL</v>
          </cell>
          <cell r="F3520">
            <v>2</v>
          </cell>
          <cell r="G3520" t="str">
            <v>CB3902000004IH</v>
          </cell>
          <cell r="H3520">
            <v>4</v>
          </cell>
          <cell r="I3520">
            <v>1.5</v>
          </cell>
          <cell r="J3520">
            <v>1</v>
          </cell>
          <cell r="K3520">
            <v>2</v>
          </cell>
        </row>
        <row r="3521">
          <cell r="A3521" t="str">
            <v>M2</v>
          </cell>
          <cell r="B3521" t="str">
            <v>A5C</v>
          </cell>
          <cell r="C3521" t="str">
            <v>P</v>
          </cell>
          <cell r="D3521" t="str">
            <v>23173</v>
          </cell>
          <cell r="E3521" t="str">
            <v>SOL</v>
          </cell>
          <cell r="F3521">
            <v>2</v>
          </cell>
          <cell r="G3521" t="str">
            <v>CB39020000040T</v>
          </cell>
          <cell r="H3521">
            <v>4</v>
          </cell>
          <cell r="I3521">
            <v>0.75</v>
          </cell>
          <cell r="J3521">
            <v>2</v>
          </cell>
          <cell r="K3521">
            <v>3</v>
          </cell>
        </row>
        <row r="3522">
          <cell r="A3522" t="str">
            <v>M2</v>
          </cell>
          <cell r="B3522" t="str">
            <v>A5C</v>
          </cell>
          <cell r="C3522" t="str">
            <v>P</v>
          </cell>
          <cell r="D3522" t="str">
            <v>23180</v>
          </cell>
          <cell r="E3522" t="str">
            <v>SOL</v>
          </cell>
          <cell r="F3522">
            <v>2</v>
          </cell>
          <cell r="G3522" t="str">
            <v>CB39020000040T</v>
          </cell>
          <cell r="H3522">
            <v>4</v>
          </cell>
          <cell r="I3522">
            <v>0.75</v>
          </cell>
          <cell r="J3522">
            <v>2</v>
          </cell>
          <cell r="K3522">
            <v>3</v>
          </cell>
        </row>
        <row r="3523">
          <cell r="A3523" t="str">
            <v>M2</v>
          </cell>
          <cell r="B3523" t="str">
            <v>A5C</v>
          </cell>
          <cell r="C3523" t="str">
            <v>P</v>
          </cell>
          <cell r="D3523" t="str">
            <v>23029</v>
          </cell>
          <cell r="E3523" t="str">
            <v>SOL</v>
          </cell>
          <cell r="F3523">
            <v>2</v>
          </cell>
          <cell r="G3523" t="str">
            <v>CB39020000040T</v>
          </cell>
          <cell r="H3523">
            <v>4</v>
          </cell>
          <cell r="I3523">
            <v>0.75</v>
          </cell>
          <cell r="J3523">
            <v>1</v>
          </cell>
          <cell r="K3523">
            <v>2</v>
          </cell>
        </row>
        <row r="3524">
          <cell r="A3524" t="str">
            <v>M2</v>
          </cell>
          <cell r="B3524" t="str">
            <v>A5C</v>
          </cell>
          <cell r="C3524" t="str">
            <v>P</v>
          </cell>
          <cell r="D3524" t="str">
            <v>23191</v>
          </cell>
          <cell r="E3524" t="str">
            <v>SOL</v>
          </cell>
          <cell r="F3524">
            <v>2</v>
          </cell>
          <cell r="G3524" t="str">
            <v>CB39020000040T</v>
          </cell>
          <cell r="H3524">
            <v>4</v>
          </cell>
          <cell r="I3524">
            <v>0.75</v>
          </cell>
          <cell r="J3524">
            <v>2</v>
          </cell>
          <cell r="K3524">
            <v>3</v>
          </cell>
        </row>
        <row r="3525">
          <cell r="A3525" t="str">
            <v>M2</v>
          </cell>
          <cell r="B3525" t="str">
            <v>A5C</v>
          </cell>
          <cell r="C3525" t="str">
            <v>P</v>
          </cell>
          <cell r="D3525" t="str">
            <v>23024</v>
          </cell>
          <cell r="E3525" t="str">
            <v>TEE</v>
          </cell>
          <cell r="F3525">
            <v>2</v>
          </cell>
          <cell r="G3525" t="str">
            <v>CB300304000400</v>
          </cell>
          <cell r="H3525">
            <v>4</v>
          </cell>
          <cell r="I3525" t="str">
            <v>--</v>
          </cell>
          <cell r="J3525">
            <v>1</v>
          </cell>
          <cell r="K3525">
            <v>2</v>
          </cell>
        </row>
        <row r="3526">
          <cell r="A3526" t="str">
            <v>M2</v>
          </cell>
          <cell r="B3526" t="str">
            <v>A5C</v>
          </cell>
          <cell r="C3526" t="str">
            <v>P</v>
          </cell>
          <cell r="D3526" t="str">
            <v>23029</v>
          </cell>
          <cell r="E3526" t="str">
            <v>TEE</v>
          </cell>
          <cell r="F3526">
            <v>2</v>
          </cell>
          <cell r="G3526" t="str">
            <v>CB300304000400</v>
          </cell>
          <cell r="H3526">
            <v>4</v>
          </cell>
          <cell r="I3526" t="str">
            <v>--</v>
          </cell>
          <cell r="J3526">
            <v>1</v>
          </cell>
          <cell r="K3526">
            <v>2</v>
          </cell>
        </row>
        <row r="3527">
          <cell r="A3527" t="str">
            <v>M2</v>
          </cell>
          <cell r="B3527" t="str">
            <v>A5C</v>
          </cell>
          <cell r="C3527" t="str">
            <v>P</v>
          </cell>
          <cell r="D3527" t="str">
            <v>23029</v>
          </cell>
          <cell r="E3527" t="str">
            <v>TEE</v>
          </cell>
          <cell r="F3527">
            <v>2</v>
          </cell>
          <cell r="G3527" t="str">
            <v>CB300304000400</v>
          </cell>
          <cell r="H3527">
            <v>4</v>
          </cell>
          <cell r="I3527" t="str">
            <v>--</v>
          </cell>
          <cell r="J3527">
            <v>1</v>
          </cell>
          <cell r="K3527">
            <v>2</v>
          </cell>
        </row>
        <row r="3528">
          <cell r="A3528" t="str">
            <v>M2</v>
          </cell>
          <cell r="B3528" t="str">
            <v>A5C</v>
          </cell>
          <cell r="C3528" t="str">
            <v>P</v>
          </cell>
          <cell r="D3528" t="str">
            <v>23062</v>
          </cell>
          <cell r="E3528" t="str">
            <v>TEE</v>
          </cell>
          <cell r="F3528">
            <v>2</v>
          </cell>
          <cell r="G3528" t="str">
            <v>CB300304000400</v>
          </cell>
          <cell r="H3528">
            <v>4</v>
          </cell>
          <cell r="I3528" t="str">
            <v>--</v>
          </cell>
          <cell r="J3528">
            <v>1</v>
          </cell>
          <cell r="K3528">
            <v>2</v>
          </cell>
        </row>
        <row r="3529">
          <cell r="A3529" t="str">
            <v>M2</v>
          </cell>
          <cell r="B3529" t="str">
            <v>A5C</v>
          </cell>
          <cell r="C3529" t="str">
            <v>P</v>
          </cell>
          <cell r="D3529" t="str">
            <v>23084</v>
          </cell>
          <cell r="E3529" t="str">
            <v>90 ELL</v>
          </cell>
          <cell r="F3529">
            <v>2</v>
          </cell>
          <cell r="G3529" t="str">
            <v>CB300104000600</v>
          </cell>
          <cell r="H3529">
            <v>6</v>
          </cell>
          <cell r="I3529" t="str">
            <v>--</v>
          </cell>
          <cell r="J3529">
            <v>2</v>
          </cell>
          <cell r="K3529">
            <v>3</v>
          </cell>
        </row>
        <row r="3530">
          <cell r="A3530" t="str">
            <v>M2</v>
          </cell>
          <cell r="B3530" t="str">
            <v>A5C</v>
          </cell>
          <cell r="C3530" t="str">
            <v>P</v>
          </cell>
          <cell r="D3530" t="str">
            <v>23097</v>
          </cell>
          <cell r="E3530" t="str">
            <v>90 ELL</v>
          </cell>
          <cell r="F3530">
            <v>2</v>
          </cell>
          <cell r="G3530" t="str">
            <v>CB300104000600</v>
          </cell>
          <cell r="H3530">
            <v>6</v>
          </cell>
          <cell r="I3530" t="str">
            <v>--</v>
          </cell>
          <cell r="J3530">
            <v>3</v>
          </cell>
          <cell r="K3530">
            <v>4</v>
          </cell>
        </row>
        <row r="3531">
          <cell r="A3531" t="str">
            <v>M2</v>
          </cell>
          <cell r="B3531" t="str">
            <v>A5C</v>
          </cell>
          <cell r="C3531" t="str">
            <v>P</v>
          </cell>
          <cell r="D3531" t="str">
            <v>23136</v>
          </cell>
          <cell r="E3531" t="str">
            <v>90 ELL</v>
          </cell>
          <cell r="F3531">
            <v>2</v>
          </cell>
          <cell r="G3531" t="str">
            <v>CB300104000600</v>
          </cell>
          <cell r="H3531">
            <v>6</v>
          </cell>
          <cell r="I3531" t="str">
            <v>--</v>
          </cell>
          <cell r="J3531">
            <v>3</v>
          </cell>
          <cell r="K3531">
            <v>4</v>
          </cell>
        </row>
        <row r="3532">
          <cell r="A3532" t="str">
            <v>M2</v>
          </cell>
          <cell r="B3532" t="str">
            <v>A5C</v>
          </cell>
          <cell r="C3532" t="str">
            <v>P</v>
          </cell>
          <cell r="D3532" t="str">
            <v>23152</v>
          </cell>
          <cell r="E3532" t="str">
            <v>90 ELL</v>
          </cell>
          <cell r="F3532">
            <v>2</v>
          </cell>
          <cell r="G3532" t="str">
            <v>CB300104000600</v>
          </cell>
          <cell r="H3532">
            <v>6</v>
          </cell>
          <cell r="I3532" t="str">
            <v>--</v>
          </cell>
          <cell r="J3532">
            <v>6</v>
          </cell>
          <cell r="K3532">
            <v>7</v>
          </cell>
        </row>
        <row r="3533">
          <cell r="A3533" t="str">
            <v>M2</v>
          </cell>
          <cell r="B3533" t="str">
            <v>A5C</v>
          </cell>
          <cell r="C3533" t="str">
            <v>P</v>
          </cell>
          <cell r="D3533" t="str">
            <v>23152</v>
          </cell>
          <cell r="E3533" t="str">
            <v>90 ELL</v>
          </cell>
          <cell r="F3533">
            <v>2</v>
          </cell>
          <cell r="G3533" t="str">
            <v>CB300104000600</v>
          </cell>
          <cell r="H3533">
            <v>6</v>
          </cell>
          <cell r="I3533" t="str">
            <v>--</v>
          </cell>
          <cell r="J3533">
            <v>5</v>
          </cell>
          <cell r="K3533">
            <v>6</v>
          </cell>
        </row>
        <row r="3534">
          <cell r="A3534" t="str">
            <v>M2</v>
          </cell>
          <cell r="B3534" t="str">
            <v>A5C</v>
          </cell>
          <cell r="C3534" t="str">
            <v>P</v>
          </cell>
          <cell r="D3534" t="str">
            <v>23181</v>
          </cell>
          <cell r="E3534" t="str">
            <v>90 ELL</v>
          </cell>
          <cell r="F3534">
            <v>2</v>
          </cell>
          <cell r="G3534" t="str">
            <v>CB300104000600</v>
          </cell>
          <cell r="H3534">
            <v>6</v>
          </cell>
          <cell r="I3534" t="str">
            <v>--</v>
          </cell>
          <cell r="J3534">
            <v>6</v>
          </cell>
          <cell r="K3534">
            <v>7</v>
          </cell>
        </row>
        <row r="3535">
          <cell r="A3535" t="str">
            <v>M2</v>
          </cell>
          <cell r="B3535" t="str">
            <v>A5C</v>
          </cell>
          <cell r="C3535" t="str">
            <v>P</v>
          </cell>
          <cell r="D3535" t="str">
            <v>23181</v>
          </cell>
          <cell r="E3535" t="str">
            <v>90 ELL</v>
          </cell>
          <cell r="F3535">
            <v>2</v>
          </cell>
          <cell r="G3535" t="str">
            <v>CB300104000600</v>
          </cell>
          <cell r="H3535">
            <v>6</v>
          </cell>
          <cell r="I3535" t="str">
            <v>--</v>
          </cell>
          <cell r="J3535">
            <v>4</v>
          </cell>
          <cell r="K3535">
            <v>5</v>
          </cell>
        </row>
        <row r="3536">
          <cell r="A3536" t="str">
            <v>M2</v>
          </cell>
          <cell r="B3536" t="str">
            <v>A5C</v>
          </cell>
          <cell r="C3536" t="str">
            <v>P</v>
          </cell>
          <cell r="D3536" t="str">
            <v>23084</v>
          </cell>
          <cell r="E3536" t="str">
            <v>C RED</v>
          </cell>
          <cell r="F3536">
            <v>2</v>
          </cell>
          <cell r="G3536" t="str">
            <v>CB300504040604</v>
          </cell>
          <cell r="H3536">
            <v>6</v>
          </cell>
          <cell r="I3536">
            <v>4</v>
          </cell>
          <cell r="J3536">
            <v>2</v>
          </cell>
          <cell r="K3536">
            <v>3</v>
          </cell>
        </row>
        <row r="3537">
          <cell r="A3537" t="str">
            <v>M2</v>
          </cell>
          <cell r="B3537" t="str">
            <v>A5C</v>
          </cell>
          <cell r="C3537" t="str">
            <v>P</v>
          </cell>
          <cell r="D3537" t="str">
            <v>23152</v>
          </cell>
          <cell r="E3537" t="str">
            <v>E RED</v>
          </cell>
          <cell r="F3537">
            <v>2</v>
          </cell>
          <cell r="G3537" t="str">
            <v>CB300604040604</v>
          </cell>
          <cell r="H3537">
            <v>6</v>
          </cell>
          <cell r="I3537">
            <v>4</v>
          </cell>
          <cell r="J3537">
            <v>2</v>
          </cell>
          <cell r="K3537">
            <v>3</v>
          </cell>
        </row>
        <row r="3538">
          <cell r="A3538" t="str">
            <v>M2</v>
          </cell>
          <cell r="B3538" t="str">
            <v>A5C</v>
          </cell>
          <cell r="C3538" t="str">
            <v>P</v>
          </cell>
          <cell r="D3538" t="str">
            <v>23181</v>
          </cell>
          <cell r="E3538" t="str">
            <v>E RED</v>
          </cell>
          <cell r="F3538">
            <v>2</v>
          </cell>
          <cell r="G3538" t="str">
            <v>CB300604040604</v>
          </cell>
          <cell r="H3538">
            <v>6</v>
          </cell>
          <cell r="I3538">
            <v>4</v>
          </cell>
          <cell r="J3538">
            <v>2</v>
          </cell>
          <cell r="K3538">
            <v>3</v>
          </cell>
        </row>
        <row r="3539">
          <cell r="A3539" t="str">
            <v>M2</v>
          </cell>
          <cell r="B3539" t="str">
            <v>A5C</v>
          </cell>
          <cell r="C3539" t="str">
            <v>P</v>
          </cell>
          <cell r="D3539" t="str">
            <v>23084</v>
          </cell>
          <cell r="E3539" t="str">
            <v>SOL</v>
          </cell>
          <cell r="F3539">
            <v>2</v>
          </cell>
          <cell r="G3539" t="str">
            <v>CB39020000060T</v>
          </cell>
          <cell r="H3539">
            <v>6</v>
          </cell>
          <cell r="I3539">
            <v>0.75</v>
          </cell>
          <cell r="J3539">
            <v>2</v>
          </cell>
          <cell r="K3539">
            <v>3</v>
          </cell>
        </row>
        <row r="3540">
          <cell r="A3540" t="str">
            <v>M2</v>
          </cell>
          <cell r="B3540" t="str">
            <v>A5C</v>
          </cell>
          <cell r="C3540" t="str">
            <v>P</v>
          </cell>
          <cell r="D3540" t="str">
            <v>23083</v>
          </cell>
          <cell r="E3540" t="str">
            <v>SOL</v>
          </cell>
          <cell r="F3540">
            <v>2</v>
          </cell>
          <cell r="G3540" t="str">
            <v>CB390200000601</v>
          </cell>
          <cell r="H3540">
            <v>6</v>
          </cell>
          <cell r="I3540">
            <v>1</v>
          </cell>
          <cell r="J3540">
            <v>2</v>
          </cell>
          <cell r="K3540">
            <v>3</v>
          </cell>
        </row>
        <row r="3541">
          <cell r="A3541" t="str">
            <v>M2</v>
          </cell>
          <cell r="B3541" t="str">
            <v>A5C</v>
          </cell>
          <cell r="C3541" t="str">
            <v>P</v>
          </cell>
          <cell r="D3541" t="str">
            <v>23097</v>
          </cell>
          <cell r="E3541" t="str">
            <v>SOL</v>
          </cell>
          <cell r="F3541">
            <v>2</v>
          </cell>
          <cell r="G3541" t="str">
            <v>CB3902000006IH</v>
          </cell>
          <cell r="H3541">
            <v>6</v>
          </cell>
          <cell r="I3541">
            <v>1.5</v>
          </cell>
          <cell r="J3541">
            <v>1</v>
          </cell>
          <cell r="K3541">
            <v>2</v>
          </cell>
        </row>
        <row r="3542">
          <cell r="A3542" t="str">
            <v>M2</v>
          </cell>
          <cell r="B3542" t="str">
            <v>A5C</v>
          </cell>
          <cell r="C3542" t="str">
            <v>P</v>
          </cell>
          <cell r="D3542" t="str">
            <v>23136</v>
          </cell>
          <cell r="E3542" t="str">
            <v>SOL</v>
          </cell>
          <cell r="F3542">
            <v>2</v>
          </cell>
          <cell r="G3542" t="str">
            <v>CB3902000006IH</v>
          </cell>
          <cell r="H3542">
            <v>6</v>
          </cell>
          <cell r="I3542">
            <v>1.5</v>
          </cell>
          <cell r="J3542">
            <v>1</v>
          </cell>
          <cell r="K3542">
            <v>2</v>
          </cell>
        </row>
        <row r="3543">
          <cell r="A3543" t="str">
            <v>M2</v>
          </cell>
          <cell r="B3543" t="str">
            <v>A5C</v>
          </cell>
          <cell r="C3543" t="str">
            <v>P</v>
          </cell>
          <cell r="D3543" t="str">
            <v>23152</v>
          </cell>
          <cell r="E3543" t="str">
            <v>SOL</v>
          </cell>
          <cell r="F3543">
            <v>2</v>
          </cell>
          <cell r="G3543" t="str">
            <v>CB39020000060T</v>
          </cell>
          <cell r="H3543">
            <v>6</v>
          </cell>
          <cell r="I3543">
            <v>0.75</v>
          </cell>
          <cell r="J3543">
            <v>4</v>
          </cell>
          <cell r="K3543">
            <v>5</v>
          </cell>
        </row>
        <row r="3544">
          <cell r="A3544" t="str">
            <v>M2</v>
          </cell>
          <cell r="B3544" t="str">
            <v>A5C</v>
          </cell>
          <cell r="C3544" t="str">
            <v>P</v>
          </cell>
          <cell r="D3544" t="str">
            <v>23181</v>
          </cell>
          <cell r="E3544" t="str">
            <v>SOL</v>
          </cell>
          <cell r="F3544">
            <v>2</v>
          </cell>
          <cell r="G3544" t="str">
            <v>CB39020000060T</v>
          </cell>
          <cell r="H3544">
            <v>6</v>
          </cell>
          <cell r="I3544">
            <v>0.75</v>
          </cell>
          <cell r="J3544">
            <v>3</v>
          </cell>
          <cell r="K3544">
            <v>4</v>
          </cell>
        </row>
        <row r="3545">
          <cell r="A3545" t="str">
            <v>M2</v>
          </cell>
          <cell r="B3545" t="str">
            <v>A5C</v>
          </cell>
          <cell r="C3545" t="str">
            <v>P</v>
          </cell>
          <cell r="D3545" t="str">
            <v>23181</v>
          </cell>
          <cell r="E3545" t="str">
            <v>SOL</v>
          </cell>
          <cell r="F3545">
            <v>2</v>
          </cell>
          <cell r="G3545" t="str">
            <v>CB39020000060T</v>
          </cell>
          <cell r="H3545">
            <v>6</v>
          </cell>
          <cell r="I3545">
            <v>0.75</v>
          </cell>
          <cell r="J3545">
            <v>1</v>
          </cell>
          <cell r="K3545">
            <v>2</v>
          </cell>
        </row>
        <row r="3546">
          <cell r="A3546" t="str">
            <v>M2</v>
          </cell>
          <cell r="B3546" t="str">
            <v>A5C</v>
          </cell>
          <cell r="C3546" t="str">
            <v>P</v>
          </cell>
          <cell r="D3546" t="str">
            <v>23084</v>
          </cell>
          <cell r="E3546" t="str">
            <v>TEE</v>
          </cell>
          <cell r="F3546">
            <v>2</v>
          </cell>
          <cell r="G3546" t="str">
            <v>CB300304000600</v>
          </cell>
          <cell r="H3546">
            <v>6</v>
          </cell>
          <cell r="I3546" t="str">
            <v>--</v>
          </cell>
          <cell r="J3546">
            <v>1</v>
          </cell>
          <cell r="K3546">
            <v>2</v>
          </cell>
        </row>
        <row r="3547">
          <cell r="A3547" t="str">
            <v>M2</v>
          </cell>
          <cell r="B3547" t="str">
            <v>A5C</v>
          </cell>
          <cell r="C3547" t="str">
            <v>P</v>
          </cell>
          <cell r="D3547" t="str">
            <v>23056</v>
          </cell>
          <cell r="E3547" t="str">
            <v>90 ELL</v>
          </cell>
          <cell r="F3547">
            <v>2</v>
          </cell>
          <cell r="G3547" t="str">
            <v>CB300104000600</v>
          </cell>
          <cell r="H3547">
            <v>6</v>
          </cell>
          <cell r="I3547" t="str">
            <v>--</v>
          </cell>
          <cell r="J3547">
            <v>1</v>
          </cell>
          <cell r="K3547">
            <v>2</v>
          </cell>
        </row>
        <row r="3548">
          <cell r="A3548" t="str">
            <v>M2</v>
          </cell>
          <cell r="B3548" t="str">
            <v>A5C</v>
          </cell>
          <cell r="C3548" t="str">
            <v>P</v>
          </cell>
          <cell r="D3548" t="str">
            <v>23075</v>
          </cell>
          <cell r="E3548" t="str">
            <v>90 ELL</v>
          </cell>
          <cell r="F3548">
            <v>2</v>
          </cell>
          <cell r="G3548" t="str">
            <v>CB300104000600</v>
          </cell>
          <cell r="H3548">
            <v>6</v>
          </cell>
          <cell r="I3548" t="str">
            <v>--</v>
          </cell>
          <cell r="J3548">
            <v>2</v>
          </cell>
          <cell r="K3548">
            <v>3</v>
          </cell>
        </row>
        <row r="3549">
          <cell r="A3549" t="str">
            <v>M2</v>
          </cell>
          <cell r="B3549" t="str">
            <v>A5C</v>
          </cell>
          <cell r="C3549" t="str">
            <v>P</v>
          </cell>
          <cell r="D3549" t="str">
            <v>23090</v>
          </cell>
          <cell r="E3549" t="str">
            <v>90 ELL</v>
          </cell>
          <cell r="F3549">
            <v>2</v>
          </cell>
          <cell r="G3549" t="str">
            <v>CB300104000600</v>
          </cell>
          <cell r="H3549">
            <v>6</v>
          </cell>
          <cell r="I3549" t="str">
            <v>--</v>
          </cell>
          <cell r="J3549">
            <v>3</v>
          </cell>
          <cell r="K3549">
            <v>4</v>
          </cell>
        </row>
        <row r="3550">
          <cell r="A3550" t="str">
            <v>M2</v>
          </cell>
          <cell r="B3550" t="str">
            <v>A5C</v>
          </cell>
          <cell r="C3550" t="str">
            <v>P</v>
          </cell>
          <cell r="D3550" t="str">
            <v>23091</v>
          </cell>
          <cell r="E3550" t="str">
            <v>90 ELL</v>
          </cell>
          <cell r="F3550">
            <v>2</v>
          </cell>
          <cell r="G3550" t="str">
            <v>CB300104000600</v>
          </cell>
          <cell r="H3550">
            <v>6</v>
          </cell>
          <cell r="I3550" t="str">
            <v>--</v>
          </cell>
          <cell r="J3550">
            <v>3</v>
          </cell>
          <cell r="K3550">
            <v>4</v>
          </cell>
        </row>
        <row r="3551">
          <cell r="A3551" t="str">
            <v>M2</v>
          </cell>
          <cell r="B3551" t="str">
            <v>A5C</v>
          </cell>
          <cell r="C3551" t="str">
            <v>P</v>
          </cell>
          <cell r="D3551" t="str">
            <v>23129</v>
          </cell>
          <cell r="E3551" t="str">
            <v>90 ELL</v>
          </cell>
          <cell r="F3551">
            <v>2</v>
          </cell>
          <cell r="G3551" t="str">
            <v>CB300104000600</v>
          </cell>
          <cell r="H3551">
            <v>6</v>
          </cell>
          <cell r="I3551" t="str">
            <v>--</v>
          </cell>
          <cell r="J3551">
            <v>3</v>
          </cell>
          <cell r="K3551">
            <v>4</v>
          </cell>
        </row>
        <row r="3552">
          <cell r="A3552" t="str">
            <v>M2</v>
          </cell>
          <cell r="B3552" t="str">
            <v>A5C</v>
          </cell>
          <cell r="C3552" t="str">
            <v>P</v>
          </cell>
          <cell r="D3552" t="str">
            <v>23130</v>
          </cell>
          <cell r="E3552" t="str">
            <v>90 ELL</v>
          </cell>
          <cell r="F3552">
            <v>2</v>
          </cell>
          <cell r="G3552" t="str">
            <v>CB300104000600</v>
          </cell>
          <cell r="H3552">
            <v>6</v>
          </cell>
          <cell r="I3552" t="str">
            <v>--</v>
          </cell>
          <cell r="J3552">
            <v>3</v>
          </cell>
          <cell r="K3552">
            <v>4</v>
          </cell>
        </row>
        <row r="3553">
          <cell r="A3553" t="str">
            <v>M2</v>
          </cell>
          <cell r="B3553" t="str">
            <v>A5C</v>
          </cell>
          <cell r="C3553" t="str">
            <v>P</v>
          </cell>
          <cell r="D3553" t="str">
            <v>23221</v>
          </cell>
          <cell r="E3553" t="str">
            <v>90 ELL</v>
          </cell>
          <cell r="F3553">
            <v>2</v>
          </cell>
          <cell r="G3553" t="str">
            <v>CB300104000600</v>
          </cell>
          <cell r="H3553">
            <v>6</v>
          </cell>
          <cell r="I3553" t="str">
            <v>--</v>
          </cell>
          <cell r="J3553">
            <v>4</v>
          </cell>
          <cell r="K3553">
            <v>5</v>
          </cell>
        </row>
        <row r="3554">
          <cell r="A3554" t="str">
            <v>M2</v>
          </cell>
          <cell r="B3554" t="str">
            <v>A5C</v>
          </cell>
          <cell r="C3554" t="str">
            <v>P</v>
          </cell>
          <cell r="D3554" t="str">
            <v>23244</v>
          </cell>
          <cell r="E3554" t="str">
            <v>90 ELL</v>
          </cell>
          <cell r="F3554">
            <v>2</v>
          </cell>
          <cell r="G3554" t="str">
            <v>CB300104000600</v>
          </cell>
          <cell r="H3554">
            <v>6</v>
          </cell>
          <cell r="I3554" t="str">
            <v>--</v>
          </cell>
          <cell r="J3554">
            <v>4</v>
          </cell>
          <cell r="K3554">
            <v>5</v>
          </cell>
        </row>
        <row r="3555">
          <cell r="A3555" t="str">
            <v>M2</v>
          </cell>
          <cell r="B3555" t="str">
            <v>A5C</v>
          </cell>
          <cell r="C3555" t="str">
            <v>P</v>
          </cell>
          <cell r="D3555" t="str">
            <v>23021</v>
          </cell>
          <cell r="E3555" t="str">
            <v>90 ELL</v>
          </cell>
          <cell r="F3555">
            <v>2</v>
          </cell>
          <cell r="G3555" t="str">
            <v>CB300104000600</v>
          </cell>
          <cell r="H3555">
            <v>6</v>
          </cell>
          <cell r="I3555" t="str">
            <v>--</v>
          </cell>
          <cell r="J3555">
            <v>5</v>
          </cell>
          <cell r="K3555">
            <v>6</v>
          </cell>
        </row>
        <row r="3556">
          <cell r="A3556" t="str">
            <v>M2</v>
          </cell>
          <cell r="B3556" t="str">
            <v>A5C</v>
          </cell>
          <cell r="C3556" t="str">
            <v>P</v>
          </cell>
          <cell r="D3556" t="str">
            <v>23025</v>
          </cell>
          <cell r="E3556" t="str">
            <v>90 ELL</v>
          </cell>
          <cell r="F3556">
            <v>2</v>
          </cell>
          <cell r="G3556" t="str">
            <v>CB300104000600</v>
          </cell>
          <cell r="H3556">
            <v>6</v>
          </cell>
          <cell r="I3556" t="str">
            <v>--</v>
          </cell>
          <cell r="J3556">
            <v>2</v>
          </cell>
          <cell r="K3556">
            <v>3</v>
          </cell>
        </row>
        <row r="3557">
          <cell r="A3557" t="str">
            <v>M2</v>
          </cell>
          <cell r="B3557" t="str">
            <v>A5C</v>
          </cell>
          <cell r="C3557" t="str">
            <v>P</v>
          </cell>
          <cell r="D3557" t="str">
            <v>23026</v>
          </cell>
          <cell r="E3557" t="str">
            <v>90 ELL</v>
          </cell>
          <cell r="F3557">
            <v>2</v>
          </cell>
          <cell r="G3557" t="str">
            <v>CB300104000600</v>
          </cell>
          <cell r="H3557">
            <v>6</v>
          </cell>
          <cell r="I3557" t="str">
            <v>--</v>
          </cell>
          <cell r="J3557">
            <v>8</v>
          </cell>
          <cell r="K3557">
            <v>10</v>
          </cell>
        </row>
        <row r="3558">
          <cell r="A3558" t="str">
            <v>M2</v>
          </cell>
          <cell r="B3558" t="str">
            <v>A5C</v>
          </cell>
          <cell r="C3558" t="str">
            <v>P</v>
          </cell>
          <cell r="D3558" t="str">
            <v>23091</v>
          </cell>
          <cell r="E3558" t="str">
            <v>C RED</v>
          </cell>
          <cell r="F3558">
            <v>2</v>
          </cell>
          <cell r="G3558" t="str">
            <v>CB300504040604</v>
          </cell>
          <cell r="H3558">
            <v>6</v>
          </cell>
          <cell r="I3558">
            <v>4</v>
          </cell>
          <cell r="J3558">
            <v>2</v>
          </cell>
          <cell r="K3558">
            <v>3</v>
          </cell>
        </row>
        <row r="3559">
          <cell r="A3559" t="str">
            <v>M2</v>
          </cell>
          <cell r="B3559" t="str">
            <v>A5C</v>
          </cell>
          <cell r="C3559" t="str">
            <v>P</v>
          </cell>
          <cell r="D3559" t="str">
            <v>23130</v>
          </cell>
          <cell r="E3559" t="str">
            <v>C RED</v>
          </cell>
          <cell r="F3559">
            <v>2</v>
          </cell>
          <cell r="G3559" t="str">
            <v>CB300504040604</v>
          </cell>
          <cell r="H3559">
            <v>6</v>
          </cell>
          <cell r="I3559">
            <v>4</v>
          </cell>
          <cell r="J3559">
            <v>2</v>
          </cell>
          <cell r="K3559">
            <v>3</v>
          </cell>
        </row>
        <row r="3560">
          <cell r="A3560" t="str">
            <v>M2</v>
          </cell>
          <cell r="B3560" t="str">
            <v>A5C</v>
          </cell>
          <cell r="C3560" t="str">
            <v>P</v>
          </cell>
          <cell r="D3560" t="str">
            <v>23026</v>
          </cell>
          <cell r="E3560" t="str">
            <v>E RED</v>
          </cell>
          <cell r="F3560">
            <v>2</v>
          </cell>
          <cell r="G3560" t="str">
            <v>CB300604040604</v>
          </cell>
          <cell r="H3560">
            <v>6</v>
          </cell>
          <cell r="I3560">
            <v>4</v>
          </cell>
          <cell r="J3560">
            <v>2</v>
          </cell>
          <cell r="K3560">
            <v>3</v>
          </cell>
        </row>
        <row r="3561">
          <cell r="A3561" t="str">
            <v>M2</v>
          </cell>
          <cell r="B3561" t="str">
            <v>A5C</v>
          </cell>
          <cell r="C3561" t="str">
            <v>P</v>
          </cell>
          <cell r="D3561" t="str">
            <v>23021</v>
          </cell>
          <cell r="E3561" t="str">
            <v>E RED</v>
          </cell>
          <cell r="F3561">
            <v>2</v>
          </cell>
          <cell r="G3561" t="str">
            <v>CB300604040604</v>
          </cell>
          <cell r="H3561">
            <v>6</v>
          </cell>
          <cell r="I3561">
            <v>4</v>
          </cell>
          <cell r="J3561">
            <v>2</v>
          </cell>
          <cell r="K3561">
            <v>3</v>
          </cell>
        </row>
        <row r="3562">
          <cell r="A3562" t="str">
            <v>M2</v>
          </cell>
          <cell r="B3562" t="str">
            <v>A5C</v>
          </cell>
          <cell r="C3562" t="str">
            <v>P</v>
          </cell>
          <cell r="D3562" t="str">
            <v>23091</v>
          </cell>
          <cell r="E3562" t="str">
            <v>SOL</v>
          </cell>
          <cell r="F3562">
            <v>2</v>
          </cell>
          <cell r="G3562" t="str">
            <v>CB3902000006IH</v>
          </cell>
          <cell r="H3562">
            <v>6</v>
          </cell>
          <cell r="I3562">
            <v>1.5</v>
          </cell>
          <cell r="J3562">
            <v>1</v>
          </cell>
          <cell r="K3562">
            <v>2</v>
          </cell>
        </row>
        <row r="3563">
          <cell r="A3563" t="str">
            <v>M2</v>
          </cell>
          <cell r="B3563" t="str">
            <v>A5C</v>
          </cell>
          <cell r="C3563" t="str">
            <v>P</v>
          </cell>
          <cell r="D3563" t="str">
            <v>23091</v>
          </cell>
          <cell r="E3563" t="str">
            <v>SOL</v>
          </cell>
          <cell r="F3563">
            <v>2</v>
          </cell>
          <cell r="G3563" t="str">
            <v>CB39020000060T</v>
          </cell>
          <cell r="H3563">
            <v>6</v>
          </cell>
          <cell r="I3563">
            <v>0.75</v>
          </cell>
          <cell r="J3563">
            <v>2</v>
          </cell>
          <cell r="K3563">
            <v>3</v>
          </cell>
        </row>
        <row r="3564">
          <cell r="A3564" t="str">
            <v>M2</v>
          </cell>
          <cell r="B3564" t="str">
            <v>A5C</v>
          </cell>
          <cell r="C3564" t="str">
            <v>P</v>
          </cell>
          <cell r="D3564" t="str">
            <v>23056</v>
          </cell>
          <cell r="E3564" t="str">
            <v>SOL</v>
          </cell>
          <cell r="F3564">
            <v>2</v>
          </cell>
          <cell r="G3564" t="str">
            <v>CB3902000006IH</v>
          </cell>
          <cell r="H3564">
            <v>6</v>
          </cell>
          <cell r="I3564">
            <v>1.5</v>
          </cell>
          <cell r="J3564">
            <v>1</v>
          </cell>
          <cell r="K3564">
            <v>2</v>
          </cell>
        </row>
        <row r="3565">
          <cell r="A3565" t="str">
            <v>M2</v>
          </cell>
          <cell r="B3565" t="str">
            <v>A5C</v>
          </cell>
          <cell r="C3565" t="str">
            <v>P</v>
          </cell>
          <cell r="D3565" t="str">
            <v>23130</v>
          </cell>
          <cell r="E3565" t="str">
            <v>SOL</v>
          </cell>
          <cell r="F3565">
            <v>2</v>
          </cell>
          <cell r="G3565" t="str">
            <v>CB3902000006IH</v>
          </cell>
          <cell r="H3565">
            <v>6</v>
          </cell>
          <cell r="I3565">
            <v>1.5</v>
          </cell>
          <cell r="J3565">
            <v>1</v>
          </cell>
          <cell r="K3565">
            <v>2</v>
          </cell>
        </row>
        <row r="3566">
          <cell r="A3566" t="str">
            <v>M2</v>
          </cell>
          <cell r="B3566" t="str">
            <v>A5C</v>
          </cell>
          <cell r="C3566" t="str">
            <v>P</v>
          </cell>
          <cell r="D3566" t="str">
            <v>23130</v>
          </cell>
          <cell r="E3566" t="str">
            <v>SOL</v>
          </cell>
          <cell r="F3566">
            <v>2</v>
          </cell>
          <cell r="G3566" t="str">
            <v>CB39020000060T</v>
          </cell>
          <cell r="H3566">
            <v>6</v>
          </cell>
          <cell r="I3566">
            <v>0.75</v>
          </cell>
          <cell r="J3566">
            <v>2</v>
          </cell>
          <cell r="K3566">
            <v>3</v>
          </cell>
        </row>
        <row r="3567">
          <cell r="A3567" t="str">
            <v>M2</v>
          </cell>
          <cell r="B3567" t="str">
            <v>A5C</v>
          </cell>
          <cell r="C3567" t="str">
            <v>P</v>
          </cell>
          <cell r="D3567" t="str">
            <v>23221</v>
          </cell>
          <cell r="E3567" t="str">
            <v>SOL</v>
          </cell>
          <cell r="F3567">
            <v>2</v>
          </cell>
          <cell r="G3567" t="str">
            <v>CB3902000006IH</v>
          </cell>
          <cell r="H3567">
            <v>6</v>
          </cell>
          <cell r="I3567">
            <v>1.5</v>
          </cell>
          <cell r="J3567">
            <v>1</v>
          </cell>
          <cell r="K3567">
            <v>2</v>
          </cell>
        </row>
        <row r="3568">
          <cell r="A3568" t="str">
            <v>M2</v>
          </cell>
          <cell r="B3568" t="str">
            <v>A5C</v>
          </cell>
          <cell r="C3568" t="str">
            <v>P</v>
          </cell>
          <cell r="D3568" t="str">
            <v>23244</v>
          </cell>
          <cell r="E3568" t="str">
            <v>SOL</v>
          </cell>
          <cell r="F3568">
            <v>2</v>
          </cell>
          <cell r="G3568" t="str">
            <v>CB3902000006IH</v>
          </cell>
          <cell r="H3568">
            <v>6</v>
          </cell>
          <cell r="I3568">
            <v>1.5</v>
          </cell>
          <cell r="J3568">
            <v>1</v>
          </cell>
          <cell r="K3568">
            <v>2</v>
          </cell>
        </row>
        <row r="3569">
          <cell r="A3569" t="str">
            <v>M2</v>
          </cell>
          <cell r="B3569" t="str">
            <v>A5C</v>
          </cell>
          <cell r="C3569" t="str">
            <v>P</v>
          </cell>
          <cell r="D3569" t="str">
            <v>23091</v>
          </cell>
          <cell r="E3569" t="str">
            <v>TEE</v>
          </cell>
          <cell r="F3569">
            <v>2</v>
          </cell>
          <cell r="G3569" t="str">
            <v>CB300304000600</v>
          </cell>
          <cell r="H3569">
            <v>6</v>
          </cell>
          <cell r="I3569" t="str">
            <v>--</v>
          </cell>
          <cell r="J3569">
            <v>2</v>
          </cell>
          <cell r="K3569">
            <v>3</v>
          </cell>
        </row>
        <row r="3570">
          <cell r="A3570" t="str">
            <v>M2</v>
          </cell>
          <cell r="B3570" t="str">
            <v>A5C</v>
          </cell>
          <cell r="C3570" t="str">
            <v>P</v>
          </cell>
          <cell r="D3570" t="str">
            <v>23130</v>
          </cell>
          <cell r="E3570" t="str">
            <v>TEE</v>
          </cell>
          <cell r="F3570">
            <v>2</v>
          </cell>
          <cell r="G3570" t="str">
            <v>CB300304000600</v>
          </cell>
          <cell r="H3570">
            <v>6</v>
          </cell>
          <cell r="I3570" t="str">
            <v>--</v>
          </cell>
          <cell r="J3570">
            <v>2</v>
          </cell>
          <cell r="K3570">
            <v>3</v>
          </cell>
        </row>
        <row r="3571">
          <cell r="A3571" t="str">
            <v>M2</v>
          </cell>
          <cell r="B3571" t="str">
            <v>A5C</v>
          </cell>
          <cell r="C3571" t="str">
            <v>P</v>
          </cell>
          <cell r="D3571" t="str">
            <v>23021</v>
          </cell>
          <cell r="E3571" t="str">
            <v>TEE</v>
          </cell>
          <cell r="F3571">
            <v>2</v>
          </cell>
          <cell r="G3571" t="str">
            <v>CB300304000600</v>
          </cell>
          <cell r="H3571">
            <v>6</v>
          </cell>
          <cell r="I3571" t="str">
            <v>--</v>
          </cell>
          <cell r="J3571">
            <v>1</v>
          </cell>
          <cell r="K3571">
            <v>2</v>
          </cell>
        </row>
        <row r="3572">
          <cell r="A3572" t="str">
            <v>M2</v>
          </cell>
          <cell r="B3572" t="str">
            <v>A5C</v>
          </cell>
          <cell r="C3572" t="str">
            <v>P</v>
          </cell>
          <cell r="D3572" t="str">
            <v>23026</v>
          </cell>
          <cell r="E3572" t="str">
            <v>TEE</v>
          </cell>
          <cell r="F3572">
            <v>2</v>
          </cell>
          <cell r="G3572" t="str">
            <v>CB300304000600</v>
          </cell>
          <cell r="H3572">
            <v>6</v>
          </cell>
          <cell r="I3572" t="str">
            <v>--</v>
          </cell>
          <cell r="J3572">
            <v>1</v>
          </cell>
          <cell r="K3572">
            <v>2</v>
          </cell>
        </row>
        <row r="3573">
          <cell r="A3573" t="str">
            <v>M2</v>
          </cell>
          <cell r="B3573" t="str">
            <v>A5C</v>
          </cell>
          <cell r="C3573" t="str">
            <v>P</v>
          </cell>
          <cell r="D3573" t="str">
            <v>23046</v>
          </cell>
          <cell r="E3573" t="str">
            <v>45 ELL</v>
          </cell>
          <cell r="F3573">
            <v>2</v>
          </cell>
          <cell r="G3573" t="str">
            <v>CB300204000800</v>
          </cell>
          <cell r="H3573">
            <v>8</v>
          </cell>
          <cell r="I3573" t="str">
            <v>--</v>
          </cell>
          <cell r="J3573">
            <v>1</v>
          </cell>
          <cell r="K3573">
            <v>2</v>
          </cell>
        </row>
        <row r="3574">
          <cell r="A3574" t="str">
            <v>M2</v>
          </cell>
          <cell r="B3574" t="str">
            <v>A5C</v>
          </cell>
          <cell r="C3574" t="str">
            <v>P</v>
          </cell>
          <cell r="D3574" t="str">
            <v>23046</v>
          </cell>
          <cell r="E3574" t="str">
            <v>90 ELL</v>
          </cell>
          <cell r="F3574">
            <v>2</v>
          </cell>
          <cell r="G3574" t="str">
            <v>CB300104000800</v>
          </cell>
          <cell r="H3574">
            <v>8</v>
          </cell>
          <cell r="I3574" t="str">
            <v>--</v>
          </cell>
          <cell r="J3574">
            <v>6</v>
          </cell>
          <cell r="K3574">
            <v>7</v>
          </cell>
        </row>
        <row r="3575">
          <cell r="A3575" t="str">
            <v>M2</v>
          </cell>
          <cell r="B3575" t="str">
            <v>A5C</v>
          </cell>
          <cell r="C3575" t="str">
            <v>P</v>
          </cell>
          <cell r="D3575" t="str">
            <v>23067</v>
          </cell>
          <cell r="E3575" t="str">
            <v>90 ELL</v>
          </cell>
          <cell r="F3575">
            <v>2</v>
          </cell>
          <cell r="G3575" t="str">
            <v>CB300104000800</v>
          </cell>
          <cell r="H3575">
            <v>8</v>
          </cell>
          <cell r="I3575" t="str">
            <v>--</v>
          </cell>
          <cell r="J3575">
            <v>5</v>
          </cell>
          <cell r="K3575">
            <v>6</v>
          </cell>
        </row>
        <row r="3576">
          <cell r="A3576" t="str">
            <v>M2</v>
          </cell>
          <cell r="B3576" t="str">
            <v>A5C</v>
          </cell>
          <cell r="C3576" t="str">
            <v>P</v>
          </cell>
          <cell r="D3576" t="str">
            <v>23126</v>
          </cell>
          <cell r="E3576" t="str">
            <v>90 ELL</v>
          </cell>
          <cell r="F3576">
            <v>2</v>
          </cell>
          <cell r="G3576" t="str">
            <v>CB300104000800</v>
          </cell>
          <cell r="H3576">
            <v>8</v>
          </cell>
          <cell r="I3576" t="str">
            <v>--</v>
          </cell>
          <cell r="J3576">
            <v>5</v>
          </cell>
          <cell r="K3576">
            <v>6</v>
          </cell>
        </row>
        <row r="3577">
          <cell r="A3577" t="str">
            <v>M2</v>
          </cell>
          <cell r="B3577" t="str">
            <v>A5C</v>
          </cell>
          <cell r="C3577" t="str">
            <v>P</v>
          </cell>
          <cell r="D3577" t="str">
            <v>23160</v>
          </cell>
          <cell r="E3577" t="str">
            <v>90 ELL</v>
          </cell>
          <cell r="F3577">
            <v>2</v>
          </cell>
          <cell r="G3577" t="str">
            <v>CB300104000800</v>
          </cell>
          <cell r="H3577">
            <v>8</v>
          </cell>
          <cell r="I3577" t="str">
            <v>--</v>
          </cell>
          <cell r="J3577">
            <v>10</v>
          </cell>
          <cell r="K3577">
            <v>12</v>
          </cell>
        </row>
        <row r="3578">
          <cell r="A3578" t="str">
            <v>M2</v>
          </cell>
          <cell r="B3578" t="str">
            <v>A5C</v>
          </cell>
          <cell r="C3578" t="str">
            <v>P</v>
          </cell>
          <cell r="D3578" t="str">
            <v>23160</v>
          </cell>
          <cell r="E3578" t="str">
            <v>E RED</v>
          </cell>
          <cell r="F3578">
            <v>2</v>
          </cell>
          <cell r="G3578" t="str">
            <v>CB300604040806</v>
          </cell>
          <cell r="H3578">
            <v>8</v>
          </cell>
          <cell r="I3578">
            <v>6</v>
          </cell>
          <cell r="J3578">
            <v>2</v>
          </cell>
          <cell r="K3578">
            <v>3</v>
          </cell>
        </row>
        <row r="3579">
          <cell r="A3579" t="str">
            <v>M2</v>
          </cell>
          <cell r="B3579" t="str">
            <v>A5C</v>
          </cell>
          <cell r="C3579" t="str">
            <v>P</v>
          </cell>
          <cell r="D3579" t="str">
            <v>23046</v>
          </cell>
          <cell r="E3579" t="str">
            <v>SOL</v>
          </cell>
          <cell r="F3579">
            <v>2</v>
          </cell>
          <cell r="G3579" t="str">
            <v>CB39020000080T</v>
          </cell>
          <cell r="H3579">
            <v>8</v>
          </cell>
          <cell r="I3579">
            <v>0.75</v>
          </cell>
          <cell r="J3579">
            <v>2</v>
          </cell>
          <cell r="K3579">
            <v>3</v>
          </cell>
        </row>
        <row r="3580">
          <cell r="A3580" t="str">
            <v>M2</v>
          </cell>
          <cell r="B3580" t="str">
            <v>A5C</v>
          </cell>
          <cell r="C3580" t="str">
            <v>P</v>
          </cell>
          <cell r="D3580" t="str">
            <v>23067</v>
          </cell>
          <cell r="E3580" t="str">
            <v>SOL</v>
          </cell>
          <cell r="F3580">
            <v>2</v>
          </cell>
          <cell r="G3580" t="str">
            <v>CB390200000801</v>
          </cell>
          <cell r="H3580">
            <v>8</v>
          </cell>
          <cell r="I3580">
            <v>1</v>
          </cell>
          <cell r="J3580">
            <v>1</v>
          </cell>
          <cell r="K3580">
            <v>2</v>
          </cell>
        </row>
        <row r="3581">
          <cell r="A3581" t="str">
            <v>M2</v>
          </cell>
          <cell r="B3581" t="str">
            <v>A5C</v>
          </cell>
          <cell r="C3581" t="str">
            <v>P</v>
          </cell>
          <cell r="D3581" t="str">
            <v>23067</v>
          </cell>
          <cell r="E3581" t="str">
            <v>SOL</v>
          </cell>
          <cell r="F3581">
            <v>2</v>
          </cell>
          <cell r="G3581" t="str">
            <v>CB3902000008IH</v>
          </cell>
          <cell r="H3581">
            <v>8</v>
          </cell>
          <cell r="I3581">
            <v>1.5</v>
          </cell>
          <cell r="J3581">
            <v>1</v>
          </cell>
          <cell r="K3581">
            <v>2</v>
          </cell>
        </row>
        <row r="3582">
          <cell r="A3582" t="str">
            <v>M2</v>
          </cell>
          <cell r="B3582" t="str">
            <v>A5C</v>
          </cell>
          <cell r="C3582" t="str">
            <v>P</v>
          </cell>
          <cell r="D3582" t="str">
            <v>23067</v>
          </cell>
          <cell r="E3582" t="str">
            <v>SOL</v>
          </cell>
          <cell r="F3582">
            <v>2</v>
          </cell>
          <cell r="G3582" t="str">
            <v>CB39020000080T</v>
          </cell>
          <cell r="H3582">
            <v>8</v>
          </cell>
          <cell r="I3582">
            <v>0.75</v>
          </cell>
          <cell r="J3582">
            <v>2</v>
          </cell>
          <cell r="K3582">
            <v>3</v>
          </cell>
        </row>
        <row r="3583">
          <cell r="A3583" t="str">
            <v>M2</v>
          </cell>
          <cell r="B3583" t="str">
            <v>A5C</v>
          </cell>
          <cell r="C3583" t="str">
            <v>P</v>
          </cell>
          <cell r="D3583" t="str">
            <v>23046</v>
          </cell>
          <cell r="E3583" t="str">
            <v>SOL</v>
          </cell>
          <cell r="F3583">
            <v>2</v>
          </cell>
          <cell r="G3583" t="str">
            <v>CB390200000801</v>
          </cell>
          <cell r="H3583">
            <v>8</v>
          </cell>
          <cell r="I3583">
            <v>1</v>
          </cell>
          <cell r="J3583">
            <v>1</v>
          </cell>
          <cell r="K3583">
            <v>2</v>
          </cell>
        </row>
        <row r="3584">
          <cell r="A3584" t="str">
            <v>M2</v>
          </cell>
          <cell r="B3584" t="str">
            <v>A5C</v>
          </cell>
          <cell r="C3584" t="str">
            <v>P</v>
          </cell>
          <cell r="D3584" t="str">
            <v>23126</v>
          </cell>
          <cell r="E3584" t="str">
            <v>SOL</v>
          </cell>
          <cell r="F3584">
            <v>2</v>
          </cell>
          <cell r="G3584" t="str">
            <v>CB3902000008IH</v>
          </cell>
          <cell r="H3584">
            <v>8</v>
          </cell>
          <cell r="I3584">
            <v>1.5</v>
          </cell>
          <cell r="J3584">
            <v>1</v>
          </cell>
          <cell r="K3584">
            <v>2</v>
          </cell>
        </row>
        <row r="3585">
          <cell r="A3585" t="str">
            <v>M2</v>
          </cell>
          <cell r="B3585" t="str">
            <v>A5C</v>
          </cell>
          <cell r="C3585" t="str">
            <v>P</v>
          </cell>
          <cell r="D3585" t="str">
            <v>23126</v>
          </cell>
          <cell r="E3585" t="str">
            <v>SOL</v>
          </cell>
          <cell r="F3585">
            <v>2</v>
          </cell>
          <cell r="G3585" t="str">
            <v>CB390200000801</v>
          </cell>
          <cell r="H3585">
            <v>8</v>
          </cell>
          <cell r="I3585">
            <v>1</v>
          </cell>
          <cell r="J3585">
            <v>1</v>
          </cell>
          <cell r="K3585">
            <v>2</v>
          </cell>
        </row>
        <row r="3586">
          <cell r="A3586" t="str">
            <v>M2</v>
          </cell>
          <cell r="B3586" t="str">
            <v>A5C</v>
          </cell>
          <cell r="C3586" t="str">
            <v>P</v>
          </cell>
          <cell r="D3586" t="str">
            <v>23126</v>
          </cell>
          <cell r="E3586" t="str">
            <v>SOL</v>
          </cell>
          <cell r="F3586">
            <v>2</v>
          </cell>
          <cell r="G3586" t="str">
            <v>CB39020000080T</v>
          </cell>
          <cell r="H3586">
            <v>8</v>
          </cell>
          <cell r="I3586">
            <v>0.75</v>
          </cell>
          <cell r="J3586">
            <v>2</v>
          </cell>
          <cell r="K3586">
            <v>3</v>
          </cell>
        </row>
        <row r="3587">
          <cell r="A3587" t="str">
            <v>M2</v>
          </cell>
          <cell r="B3587" t="str">
            <v>A5C</v>
          </cell>
          <cell r="C3587" t="str">
            <v>P</v>
          </cell>
          <cell r="D3587" t="str">
            <v>23160</v>
          </cell>
          <cell r="E3587" t="str">
            <v>SOL</v>
          </cell>
          <cell r="F3587">
            <v>2</v>
          </cell>
          <cell r="G3587" t="str">
            <v>CB39020000080T</v>
          </cell>
          <cell r="H3587">
            <v>8</v>
          </cell>
          <cell r="I3587">
            <v>0.75</v>
          </cell>
          <cell r="J3587">
            <v>3</v>
          </cell>
          <cell r="K3587">
            <v>4</v>
          </cell>
        </row>
        <row r="3588">
          <cell r="A3588" t="str">
            <v>M2</v>
          </cell>
          <cell r="B3588" t="str">
            <v>A5C</v>
          </cell>
          <cell r="C3588" t="str">
            <v>P</v>
          </cell>
          <cell r="D3588" t="str">
            <v>23093</v>
          </cell>
          <cell r="E3588" t="str">
            <v>90 ELL</v>
          </cell>
          <cell r="F3588">
            <v>2</v>
          </cell>
          <cell r="G3588" t="str">
            <v>CB300104000800</v>
          </cell>
          <cell r="H3588">
            <v>8</v>
          </cell>
          <cell r="I3588" t="str">
            <v>--</v>
          </cell>
          <cell r="J3588">
            <v>3</v>
          </cell>
          <cell r="K3588">
            <v>4</v>
          </cell>
        </row>
        <row r="3589">
          <cell r="A3589" t="str">
            <v>M2</v>
          </cell>
          <cell r="B3589" t="str">
            <v>A5C</v>
          </cell>
          <cell r="C3589" t="str">
            <v>P</v>
          </cell>
          <cell r="D3589" t="str">
            <v>23089</v>
          </cell>
          <cell r="E3589" t="str">
            <v>90 ELL</v>
          </cell>
          <cell r="F3589">
            <v>2</v>
          </cell>
          <cell r="G3589" t="str">
            <v>CB300104000800</v>
          </cell>
          <cell r="H3589">
            <v>8</v>
          </cell>
          <cell r="I3589" t="str">
            <v>--</v>
          </cell>
          <cell r="J3589">
            <v>3</v>
          </cell>
          <cell r="K3589">
            <v>4</v>
          </cell>
        </row>
        <row r="3590">
          <cell r="A3590" t="str">
            <v>M2</v>
          </cell>
          <cell r="B3590" t="str">
            <v>A5C</v>
          </cell>
          <cell r="C3590" t="str">
            <v>P</v>
          </cell>
          <cell r="D3590" t="str">
            <v>23128</v>
          </cell>
          <cell r="E3590" t="str">
            <v>90 ELL</v>
          </cell>
          <cell r="F3590">
            <v>2</v>
          </cell>
          <cell r="G3590" t="str">
            <v>CB300104000800</v>
          </cell>
          <cell r="H3590">
            <v>8</v>
          </cell>
          <cell r="I3590" t="str">
            <v>--</v>
          </cell>
          <cell r="J3590">
            <v>3</v>
          </cell>
          <cell r="K3590">
            <v>4</v>
          </cell>
        </row>
        <row r="3591">
          <cell r="A3591" t="str">
            <v>M2</v>
          </cell>
          <cell r="B3591" t="str">
            <v>A5C</v>
          </cell>
          <cell r="C3591" t="str">
            <v>P</v>
          </cell>
          <cell r="D3591" t="str">
            <v>23132</v>
          </cell>
          <cell r="E3591" t="str">
            <v>90 ELL</v>
          </cell>
          <cell r="F3591">
            <v>2</v>
          </cell>
          <cell r="G3591" t="str">
            <v>CB300104000800</v>
          </cell>
          <cell r="H3591">
            <v>8</v>
          </cell>
          <cell r="I3591" t="str">
            <v>--</v>
          </cell>
          <cell r="J3591">
            <v>3</v>
          </cell>
          <cell r="K3591">
            <v>4</v>
          </cell>
        </row>
        <row r="3592">
          <cell r="A3592" t="str">
            <v>M2</v>
          </cell>
          <cell r="B3592" t="str">
            <v>A5C</v>
          </cell>
          <cell r="C3592" t="str">
            <v>P</v>
          </cell>
          <cell r="D3592" t="str">
            <v>23089</v>
          </cell>
          <cell r="E3592" t="str">
            <v>E RED</v>
          </cell>
          <cell r="F3592">
            <v>2</v>
          </cell>
          <cell r="G3592" t="str">
            <v>CB300604040806</v>
          </cell>
          <cell r="H3592">
            <v>8</v>
          </cell>
          <cell r="I3592">
            <v>6</v>
          </cell>
          <cell r="J3592">
            <v>2</v>
          </cell>
          <cell r="K3592">
            <v>3</v>
          </cell>
        </row>
        <row r="3593">
          <cell r="A3593" t="str">
            <v>M2</v>
          </cell>
          <cell r="B3593" t="str">
            <v>A5C</v>
          </cell>
          <cell r="C3593" t="str">
            <v>P</v>
          </cell>
          <cell r="D3593" t="str">
            <v>23128</v>
          </cell>
          <cell r="E3593" t="str">
            <v>E RED</v>
          </cell>
          <cell r="F3593">
            <v>2</v>
          </cell>
          <cell r="G3593" t="str">
            <v>CB300604040806</v>
          </cell>
          <cell r="H3593">
            <v>8</v>
          </cell>
          <cell r="I3593">
            <v>6</v>
          </cell>
          <cell r="J3593">
            <v>2</v>
          </cell>
          <cell r="K3593">
            <v>3</v>
          </cell>
        </row>
        <row r="3594">
          <cell r="A3594" t="str">
            <v>M2</v>
          </cell>
          <cell r="B3594" t="str">
            <v>A5C</v>
          </cell>
          <cell r="C3594" t="str">
            <v>P</v>
          </cell>
          <cell r="D3594" t="str">
            <v>23089</v>
          </cell>
          <cell r="E3594" t="str">
            <v>SOL</v>
          </cell>
          <cell r="F3594">
            <v>2</v>
          </cell>
          <cell r="G3594" t="str">
            <v>CB39020000080T</v>
          </cell>
          <cell r="H3594">
            <v>8</v>
          </cell>
          <cell r="I3594">
            <v>0.75</v>
          </cell>
          <cell r="J3594">
            <v>2</v>
          </cell>
          <cell r="K3594">
            <v>3</v>
          </cell>
        </row>
        <row r="3595">
          <cell r="A3595" t="str">
            <v>M2</v>
          </cell>
          <cell r="B3595" t="str">
            <v>A5C</v>
          </cell>
          <cell r="C3595" t="str">
            <v>P</v>
          </cell>
          <cell r="D3595" t="str">
            <v>23089</v>
          </cell>
          <cell r="E3595" t="str">
            <v>SOL</v>
          </cell>
          <cell r="F3595">
            <v>2</v>
          </cell>
          <cell r="G3595" t="str">
            <v>CB3902000008IH</v>
          </cell>
          <cell r="H3595">
            <v>8</v>
          </cell>
          <cell r="I3595">
            <v>1.5</v>
          </cell>
          <cell r="J3595">
            <v>1</v>
          </cell>
          <cell r="K3595">
            <v>2</v>
          </cell>
        </row>
        <row r="3596">
          <cell r="A3596" t="str">
            <v>M2</v>
          </cell>
          <cell r="B3596" t="str">
            <v>A5C</v>
          </cell>
          <cell r="C3596" t="str">
            <v>P</v>
          </cell>
          <cell r="D3596" t="str">
            <v>23128</v>
          </cell>
          <cell r="E3596" t="str">
            <v>SOL</v>
          </cell>
          <cell r="F3596">
            <v>2</v>
          </cell>
          <cell r="G3596" t="str">
            <v>CB39020000080T</v>
          </cell>
          <cell r="H3596">
            <v>8</v>
          </cell>
          <cell r="I3596">
            <v>0.75</v>
          </cell>
          <cell r="J3596">
            <v>2</v>
          </cell>
          <cell r="K3596">
            <v>3</v>
          </cell>
        </row>
        <row r="3597">
          <cell r="A3597" t="str">
            <v>M2</v>
          </cell>
          <cell r="B3597" t="str">
            <v>A5C</v>
          </cell>
          <cell r="C3597" t="str">
            <v>P</v>
          </cell>
          <cell r="D3597" t="str">
            <v>23128</v>
          </cell>
          <cell r="E3597" t="str">
            <v>SOL</v>
          </cell>
          <cell r="F3597">
            <v>2</v>
          </cell>
          <cell r="G3597" t="str">
            <v>CB3902000008IH</v>
          </cell>
          <cell r="H3597">
            <v>8</v>
          </cell>
          <cell r="I3597">
            <v>1.5</v>
          </cell>
          <cell r="J3597">
            <v>1</v>
          </cell>
          <cell r="K3597">
            <v>2</v>
          </cell>
        </row>
        <row r="3598">
          <cell r="A3598" t="str">
            <v>M2</v>
          </cell>
          <cell r="B3598" t="str">
            <v>A5C</v>
          </cell>
          <cell r="C3598" t="str">
            <v>P</v>
          </cell>
          <cell r="D3598" t="str">
            <v>23089</v>
          </cell>
          <cell r="E3598" t="str">
            <v>TEE</v>
          </cell>
          <cell r="F3598">
            <v>2</v>
          </cell>
          <cell r="G3598" t="str">
            <v>CB300304000800</v>
          </cell>
          <cell r="H3598">
            <v>8</v>
          </cell>
          <cell r="I3598" t="str">
            <v>--</v>
          </cell>
          <cell r="J3598">
            <v>1</v>
          </cell>
          <cell r="K3598">
            <v>2</v>
          </cell>
        </row>
        <row r="3599">
          <cell r="A3599" t="str">
            <v>M2</v>
          </cell>
          <cell r="B3599" t="str">
            <v>A5C</v>
          </cell>
          <cell r="C3599" t="str">
            <v>P</v>
          </cell>
          <cell r="D3599" t="str">
            <v>23128</v>
          </cell>
          <cell r="E3599" t="str">
            <v>TEE</v>
          </cell>
          <cell r="F3599">
            <v>2</v>
          </cell>
          <cell r="G3599" t="str">
            <v>CB300304000800</v>
          </cell>
          <cell r="H3599">
            <v>8</v>
          </cell>
          <cell r="I3599" t="str">
            <v>--</v>
          </cell>
          <cell r="J3599">
            <v>1</v>
          </cell>
          <cell r="K3599">
            <v>2</v>
          </cell>
        </row>
        <row r="3600">
          <cell r="A3600" t="str">
            <v>M2</v>
          </cell>
          <cell r="B3600" t="str">
            <v>A5C</v>
          </cell>
          <cell r="C3600" t="str">
            <v>P</v>
          </cell>
          <cell r="D3600" t="str">
            <v>23010</v>
          </cell>
          <cell r="E3600" t="str">
            <v>90 ELL</v>
          </cell>
          <cell r="F3600">
            <v>2</v>
          </cell>
          <cell r="G3600" t="str">
            <v>CB300104000800</v>
          </cell>
          <cell r="H3600">
            <v>8</v>
          </cell>
          <cell r="I3600" t="str">
            <v>--</v>
          </cell>
          <cell r="J3600">
            <v>1</v>
          </cell>
          <cell r="K3600">
            <v>2</v>
          </cell>
        </row>
        <row r="3601">
          <cell r="A3601" t="str">
            <v>M2</v>
          </cell>
          <cell r="B3601" t="str">
            <v>A5C</v>
          </cell>
          <cell r="C3601" t="str">
            <v>P</v>
          </cell>
          <cell r="D3601" t="str">
            <v>23010</v>
          </cell>
          <cell r="E3601" t="str">
            <v>SOL</v>
          </cell>
          <cell r="F3601">
            <v>2</v>
          </cell>
          <cell r="G3601" t="str">
            <v>CB3902000008IH</v>
          </cell>
          <cell r="H3601">
            <v>8</v>
          </cell>
          <cell r="I3601">
            <v>1.5</v>
          </cell>
          <cell r="J3601">
            <v>1</v>
          </cell>
          <cell r="K3601">
            <v>2</v>
          </cell>
        </row>
        <row r="3602">
          <cell r="A3602" t="str">
            <v>M2</v>
          </cell>
          <cell r="B3602" t="str">
            <v>A5C</v>
          </cell>
          <cell r="C3602" t="str">
            <v>P</v>
          </cell>
          <cell r="D3602" t="str">
            <v>23011</v>
          </cell>
          <cell r="E3602" t="str">
            <v>90 ELL</v>
          </cell>
          <cell r="F3602">
            <v>2</v>
          </cell>
          <cell r="G3602" t="str">
            <v>CB300104001000</v>
          </cell>
          <cell r="H3602">
            <v>10</v>
          </cell>
          <cell r="I3602" t="str">
            <v>--</v>
          </cell>
          <cell r="J3602">
            <v>6</v>
          </cell>
          <cell r="K3602">
            <v>7</v>
          </cell>
        </row>
        <row r="3603">
          <cell r="A3603" t="str">
            <v>M2</v>
          </cell>
          <cell r="B3603" t="str">
            <v>A5C</v>
          </cell>
          <cell r="C3603" t="str">
            <v>P</v>
          </cell>
          <cell r="D3603" t="str">
            <v>23023</v>
          </cell>
          <cell r="E3603" t="str">
            <v>90 ELL</v>
          </cell>
          <cell r="F3603">
            <v>2</v>
          </cell>
          <cell r="G3603" t="str">
            <v>CB300104001000</v>
          </cell>
          <cell r="H3603">
            <v>10</v>
          </cell>
          <cell r="I3603" t="str">
            <v>--</v>
          </cell>
          <cell r="J3603">
            <v>3</v>
          </cell>
          <cell r="K3603">
            <v>4</v>
          </cell>
        </row>
        <row r="3604">
          <cell r="A3604" t="str">
            <v>M2</v>
          </cell>
          <cell r="B3604" t="str">
            <v>A5C</v>
          </cell>
          <cell r="C3604" t="str">
            <v>P</v>
          </cell>
          <cell r="D3604" t="str">
            <v>23057</v>
          </cell>
          <cell r="E3604" t="str">
            <v>90 ELL</v>
          </cell>
          <cell r="F3604">
            <v>2</v>
          </cell>
          <cell r="G3604" t="str">
            <v>CB300104001000</v>
          </cell>
          <cell r="H3604">
            <v>10</v>
          </cell>
          <cell r="I3604" t="str">
            <v>--</v>
          </cell>
          <cell r="J3604">
            <v>8</v>
          </cell>
          <cell r="K3604">
            <v>9</v>
          </cell>
        </row>
        <row r="3605">
          <cell r="A3605" t="str">
            <v>M2</v>
          </cell>
          <cell r="B3605" t="str">
            <v>A5C</v>
          </cell>
          <cell r="C3605" t="str">
            <v>P</v>
          </cell>
          <cell r="D3605" t="str">
            <v>23023</v>
          </cell>
          <cell r="E3605" t="str">
            <v>C RED</v>
          </cell>
          <cell r="F3605">
            <v>2</v>
          </cell>
          <cell r="G3605" t="str">
            <v>CB300504041006</v>
          </cell>
          <cell r="H3605">
            <v>10</v>
          </cell>
          <cell r="I3605">
            <v>6</v>
          </cell>
          <cell r="J3605">
            <v>2</v>
          </cell>
          <cell r="K3605">
            <v>3</v>
          </cell>
        </row>
        <row r="3606">
          <cell r="A3606" t="str">
            <v>M2</v>
          </cell>
          <cell r="B3606" t="str">
            <v>A5C</v>
          </cell>
          <cell r="C3606" t="str">
            <v>P</v>
          </cell>
          <cell r="D3606" t="str">
            <v>23011</v>
          </cell>
          <cell r="E3606" t="str">
            <v>SOL</v>
          </cell>
          <cell r="F3606">
            <v>2</v>
          </cell>
          <cell r="G3606" t="str">
            <v>CB39020000100T</v>
          </cell>
          <cell r="H3606">
            <v>10</v>
          </cell>
          <cell r="I3606">
            <v>0.75</v>
          </cell>
          <cell r="J3606">
            <v>3</v>
          </cell>
          <cell r="K3606">
            <v>4</v>
          </cell>
        </row>
        <row r="3607">
          <cell r="A3607" t="str">
            <v>M2</v>
          </cell>
          <cell r="B3607" t="str">
            <v>A5C</v>
          </cell>
          <cell r="C3607" t="str">
            <v>P</v>
          </cell>
          <cell r="D3607" t="str">
            <v>23011</v>
          </cell>
          <cell r="E3607" t="str">
            <v>SOL</v>
          </cell>
          <cell r="F3607">
            <v>2</v>
          </cell>
          <cell r="G3607" t="str">
            <v>CB390200001001</v>
          </cell>
          <cell r="H3607">
            <v>10</v>
          </cell>
          <cell r="I3607">
            <v>1</v>
          </cell>
          <cell r="J3607">
            <v>1</v>
          </cell>
          <cell r="K3607">
            <v>2</v>
          </cell>
        </row>
        <row r="3608">
          <cell r="A3608" t="str">
            <v>M2</v>
          </cell>
          <cell r="B3608" t="str">
            <v>A5C</v>
          </cell>
          <cell r="C3608" t="str">
            <v>P</v>
          </cell>
          <cell r="D3608" t="str">
            <v>23057</v>
          </cell>
          <cell r="E3608" t="str">
            <v>SOL</v>
          </cell>
          <cell r="F3608">
            <v>2</v>
          </cell>
          <cell r="G3608" t="str">
            <v>CB39020000100T</v>
          </cell>
          <cell r="H3608">
            <v>10</v>
          </cell>
          <cell r="I3608">
            <v>0.75</v>
          </cell>
          <cell r="J3608">
            <v>2</v>
          </cell>
          <cell r="K3608">
            <v>3</v>
          </cell>
        </row>
        <row r="3609">
          <cell r="A3609" t="str">
            <v>M2</v>
          </cell>
          <cell r="B3609" t="str">
            <v>A5C</v>
          </cell>
          <cell r="C3609" t="str">
            <v>P</v>
          </cell>
          <cell r="D3609" t="str">
            <v>23057</v>
          </cell>
          <cell r="E3609" t="str">
            <v>SOL</v>
          </cell>
          <cell r="F3609">
            <v>2</v>
          </cell>
          <cell r="G3609" t="str">
            <v>CB390200001001</v>
          </cell>
          <cell r="H3609">
            <v>10</v>
          </cell>
          <cell r="I3609">
            <v>1</v>
          </cell>
          <cell r="J3609">
            <v>1</v>
          </cell>
          <cell r="K3609">
            <v>2</v>
          </cell>
        </row>
        <row r="3610">
          <cell r="A3610" t="str">
            <v>M2</v>
          </cell>
          <cell r="B3610" t="str">
            <v>A5C</v>
          </cell>
          <cell r="C3610" t="str">
            <v>P</v>
          </cell>
          <cell r="D3610" t="str">
            <v>23023</v>
          </cell>
          <cell r="E3610" t="str">
            <v>TEE</v>
          </cell>
          <cell r="F3610">
            <v>2</v>
          </cell>
          <cell r="G3610" t="str">
            <v>CB300304001000</v>
          </cell>
          <cell r="H3610">
            <v>10</v>
          </cell>
          <cell r="I3610" t="str">
            <v>--</v>
          </cell>
          <cell r="J3610">
            <v>1</v>
          </cell>
          <cell r="K3610">
            <v>2</v>
          </cell>
        </row>
        <row r="3611">
          <cell r="A3611" t="str">
            <v>M2</v>
          </cell>
          <cell r="B3611" t="str">
            <v>A5C</v>
          </cell>
          <cell r="C3611" t="str">
            <v>P</v>
          </cell>
          <cell r="D3611" t="str">
            <v>23049</v>
          </cell>
          <cell r="E3611" t="str">
            <v>90 ELL</v>
          </cell>
          <cell r="F3611">
            <v>2</v>
          </cell>
          <cell r="G3611" t="str">
            <v>CB300104001000</v>
          </cell>
          <cell r="H3611">
            <v>10</v>
          </cell>
          <cell r="I3611" t="str">
            <v>--</v>
          </cell>
          <cell r="J3611">
            <v>1</v>
          </cell>
          <cell r="K3611">
            <v>2</v>
          </cell>
        </row>
        <row r="3612">
          <cell r="A3612" t="str">
            <v>M2</v>
          </cell>
          <cell r="B3612" t="str">
            <v>A5C</v>
          </cell>
          <cell r="C3612" t="str">
            <v>P</v>
          </cell>
          <cell r="D3612" t="str">
            <v>23060</v>
          </cell>
          <cell r="E3612" t="str">
            <v>90 ELL</v>
          </cell>
          <cell r="F3612">
            <v>2</v>
          </cell>
          <cell r="G3612" t="str">
            <v>CB300104001000</v>
          </cell>
          <cell r="H3612">
            <v>10</v>
          </cell>
          <cell r="I3612" t="str">
            <v>--</v>
          </cell>
          <cell r="J3612">
            <v>1</v>
          </cell>
          <cell r="K3612">
            <v>2</v>
          </cell>
        </row>
        <row r="3613">
          <cell r="A3613" t="str">
            <v>M2</v>
          </cell>
          <cell r="B3613" t="str">
            <v>A5C</v>
          </cell>
          <cell r="C3613" t="str">
            <v>P</v>
          </cell>
          <cell r="D3613" t="str">
            <v>23031</v>
          </cell>
          <cell r="E3613" t="str">
            <v>90 ELL</v>
          </cell>
          <cell r="F3613">
            <v>2</v>
          </cell>
          <cell r="G3613" t="str">
            <v>CB300104001200</v>
          </cell>
          <cell r="H3613">
            <v>12</v>
          </cell>
          <cell r="I3613" t="str">
            <v>--</v>
          </cell>
          <cell r="J3613">
            <v>1</v>
          </cell>
          <cell r="K3613">
            <v>2</v>
          </cell>
        </row>
        <row r="3614">
          <cell r="A3614" t="str">
            <v>M2</v>
          </cell>
          <cell r="B3614" t="str">
            <v>A5C</v>
          </cell>
          <cell r="C3614" t="str">
            <v>P</v>
          </cell>
          <cell r="D3614" t="str">
            <v>23015</v>
          </cell>
          <cell r="E3614" t="str">
            <v>90 ELL</v>
          </cell>
          <cell r="F3614">
            <v>2</v>
          </cell>
          <cell r="G3614" t="str">
            <v>CB300104001200</v>
          </cell>
          <cell r="H3614">
            <v>12</v>
          </cell>
          <cell r="I3614" t="str">
            <v>--</v>
          </cell>
          <cell r="J3614">
            <v>1</v>
          </cell>
          <cell r="K3614">
            <v>2</v>
          </cell>
        </row>
        <row r="3615">
          <cell r="A3615" t="str">
            <v>M2</v>
          </cell>
          <cell r="B3615" t="str">
            <v>A5C</v>
          </cell>
          <cell r="C3615" t="str">
            <v>P</v>
          </cell>
          <cell r="D3615" t="str">
            <v>23032</v>
          </cell>
          <cell r="E3615" t="str">
            <v>90 ELL</v>
          </cell>
          <cell r="F3615">
            <v>2</v>
          </cell>
          <cell r="G3615" t="str">
            <v>CB300104001600</v>
          </cell>
          <cell r="H3615">
            <v>16</v>
          </cell>
          <cell r="I3615" t="str">
            <v>--</v>
          </cell>
          <cell r="J3615">
            <v>3</v>
          </cell>
          <cell r="K3615">
            <v>3</v>
          </cell>
        </row>
        <row r="3616">
          <cell r="A3616" t="str">
            <v>M2</v>
          </cell>
          <cell r="B3616" t="str">
            <v>A5C</v>
          </cell>
          <cell r="C3616" t="str">
            <v>P</v>
          </cell>
          <cell r="D3616" t="str">
            <v>23032</v>
          </cell>
          <cell r="E3616" t="str">
            <v>SOL</v>
          </cell>
          <cell r="F3616">
            <v>2</v>
          </cell>
          <cell r="G3616" t="str">
            <v>CB39020000160T</v>
          </cell>
          <cell r="H3616">
            <v>16</v>
          </cell>
          <cell r="I3616">
            <v>0.75</v>
          </cell>
          <cell r="J3616">
            <v>2</v>
          </cell>
          <cell r="K3616">
            <v>2</v>
          </cell>
        </row>
        <row r="3617">
          <cell r="A3617" t="str">
            <v>M2</v>
          </cell>
          <cell r="B3617" t="str">
            <v>A5C</v>
          </cell>
          <cell r="C3617" t="str">
            <v>P</v>
          </cell>
          <cell r="D3617" t="str">
            <v>23022</v>
          </cell>
          <cell r="E3617" t="str">
            <v>90 ELL</v>
          </cell>
          <cell r="F3617">
            <v>2</v>
          </cell>
          <cell r="G3617" t="str">
            <v>CB300104001800</v>
          </cell>
          <cell r="H3617">
            <v>18</v>
          </cell>
          <cell r="I3617" t="str">
            <v>--</v>
          </cell>
          <cell r="J3617">
            <v>6</v>
          </cell>
          <cell r="K3617">
            <v>6</v>
          </cell>
        </row>
        <row r="3618">
          <cell r="A3618" t="str">
            <v>M2</v>
          </cell>
          <cell r="B3618" t="str">
            <v>A5C</v>
          </cell>
          <cell r="C3618" t="str">
            <v>P</v>
          </cell>
          <cell r="D3618" t="str">
            <v>23022</v>
          </cell>
          <cell r="E3618" t="str">
            <v>E RED</v>
          </cell>
          <cell r="F3618">
            <v>2</v>
          </cell>
          <cell r="G3618" t="str">
            <v>CB300604041812</v>
          </cell>
          <cell r="H3618">
            <v>18</v>
          </cell>
          <cell r="I3618" t="str">
            <v>12</v>
          </cell>
          <cell r="J3618">
            <v>2</v>
          </cell>
          <cell r="K3618">
            <v>2</v>
          </cell>
        </row>
        <row r="3619">
          <cell r="A3619" t="str">
            <v>M2</v>
          </cell>
          <cell r="B3619" t="str">
            <v>A5C</v>
          </cell>
          <cell r="C3619" t="str">
            <v>P</v>
          </cell>
          <cell r="D3619" t="str">
            <v>23022</v>
          </cell>
          <cell r="E3619" t="str">
            <v>SOL</v>
          </cell>
          <cell r="F3619">
            <v>2</v>
          </cell>
          <cell r="G3619" t="str">
            <v>CB39020000180T</v>
          </cell>
          <cell r="H3619">
            <v>18</v>
          </cell>
          <cell r="I3619">
            <v>0.75</v>
          </cell>
          <cell r="J3619">
            <v>2</v>
          </cell>
          <cell r="K3619">
            <v>2</v>
          </cell>
        </row>
        <row r="3620">
          <cell r="A3620" t="str">
            <v>M2</v>
          </cell>
          <cell r="B3620" t="str">
            <v>A5C</v>
          </cell>
          <cell r="C3620" t="str">
            <v>P</v>
          </cell>
          <cell r="D3620" t="str">
            <v>23022</v>
          </cell>
          <cell r="E3620" t="str">
            <v>SOL</v>
          </cell>
          <cell r="F3620">
            <v>2</v>
          </cell>
          <cell r="G3620" t="str">
            <v>CB390200001801</v>
          </cell>
          <cell r="H3620">
            <v>18</v>
          </cell>
          <cell r="I3620">
            <v>1</v>
          </cell>
          <cell r="J3620">
            <v>1</v>
          </cell>
          <cell r="K3620">
            <v>1</v>
          </cell>
        </row>
        <row r="3621">
          <cell r="A3621" t="str">
            <v>M2</v>
          </cell>
          <cell r="B3621" t="str">
            <v>A5C</v>
          </cell>
          <cell r="C3621" t="str">
            <v>P</v>
          </cell>
          <cell r="D3621" t="str">
            <v>23022</v>
          </cell>
          <cell r="E3621" t="str">
            <v>C RED</v>
          </cell>
          <cell r="F3621">
            <v>2</v>
          </cell>
          <cell r="G3621" t="str">
            <v>CB300504042018</v>
          </cell>
          <cell r="H3621">
            <v>20</v>
          </cell>
          <cell r="I3621">
            <v>18</v>
          </cell>
          <cell r="J3621">
            <v>1</v>
          </cell>
          <cell r="K3621">
            <v>1</v>
          </cell>
        </row>
        <row r="3622">
          <cell r="A3622" t="str">
            <v>M2</v>
          </cell>
          <cell r="B3622" t="str">
            <v>A5C</v>
          </cell>
          <cell r="C3622" t="str">
            <v>P</v>
          </cell>
          <cell r="D3622" t="str">
            <v>23034</v>
          </cell>
          <cell r="E3622" t="str">
            <v>90 ELL</v>
          </cell>
          <cell r="F3622">
            <v>2</v>
          </cell>
          <cell r="G3622" t="str">
            <v>CB300104002000</v>
          </cell>
          <cell r="H3622">
            <v>20</v>
          </cell>
          <cell r="I3622" t="str">
            <v>--</v>
          </cell>
          <cell r="J3622">
            <v>1</v>
          </cell>
          <cell r="K3622">
            <v>1</v>
          </cell>
        </row>
        <row r="3623">
          <cell r="A3623" t="str">
            <v>M2</v>
          </cell>
          <cell r="B3623" t="str">
            <v>A5C</v>
          </cell>
          <cell r="C3623" t="str">
            <v>P</v>
          </cell>
          <cell r="D3623" t="str">
            <v>23063</v>
          </cell>
          <cell r="E3623" t="str">
            <v>SW FLG</v>
          </cell>
          <cell r="F3623">
            <v>3</v>
          </cell>
          <cell r="G3623" t="str">
            <v>CB240208000H00</v>
          </cell>
          <cell r="H3623">
            <v>0.5</v>
          </cell>
          <cell r="I3623" t="str">
            <v>--</v>
          </cell>
          <cell r="J3623">
            <v>2</v>
          </cell>
          <cell r="K3623">
            <v>2</v>
          </cell>
        </row>
        <row r="3624">
          <cell r="A3624" t="str">
            <v>M2</v>
          </cell>
          <cell r="B3624" t="str">
            <v>A5C</v>
          </cell>
          <cell r="C3624" t="str">
            <v>P</v>
          </cell>
          <cell r="D3624" t="str">
            <v>23078</v>
          </cell>
          <cell r="E3624" t="str">
            <v>SW FLG</v>
          </cell>
          <cell r="F3624">
            <v>3</v>
          </cell>
          <cell r="G3624" t="str">
            <v>CB240208000H00</v>
          </cell>
          <cell r="H3624">
            <v>0.5</v>
          </cell>
          <cell r="I3624" t="str">
            <v>--</v>
          </cell>
          <cell r="J3624">
            <v>2</v>
          </cell>
          <cell r="K3624">
            <v>2</v>
          </cell>
        </row>
        <row r="3625">
          <cell r="A3625" t="str">
            <v>M2</v>
          </cell>
          <cell r="B3625" t="str">
            <v>A5C</v>
          </cell>
          <cell r="C3625" t="str">
            <v>P</v>
          </cell>
          <cell r="D3625" t="str">
            <v>23094</v>
          </cell>
          <cell r="E3625" t="str">
            <v>SW FLG</v>
          </cell>
          <cell r="F3625">
            <v>3</v>
          </cell>
          <cell r="G3625" t="str">
            <v>CB240208000H00</v>
          </cell>
          <cell r="H3625">
            <v>0.5</v>
          </cell>
          <cell r="I3625" t="str">
            <v>--</v>
          </cell>
          <cell r="J3625">
            <v>2</v>
          </cell>
          <cell r="K3625">
            <v>2</v>
          </cell>
        </row>
        <row r="3626">
          <cell r="A3626" t="str">
            <v>M2</v>
          </cell>
          <cell r="B3626" t="str">
            <v>A5C</v>
          </cell>
          <cell r="C3626" t="str">
            <v>P</v>
          </cell>
          <cell r="D3626" t="str">
            <v>23113</v>
          </cell>
          <cell r="E3626" t="str">
            <v>SW FLG</v>
          </cell>
          <cell r="F3626">
            <v>3</v>
          </cell>
          <cell r="G3626" t="str">
            <v>CB240208000H00</v>
          </cell>
          <cell r="H3626">
            <v>0.5</v>
          </cell>
          <cell r="I3626" t="str">
            <v>--</v>
          </cell>
          <cell r="J3626">
            <v>2</v>
          </cell>
          <cell r="K3626">
            <v>2</v>
          </cell>
        </row>
        <row r="3627">
          <cell r="A3627" t="str">
            <v>M2</v>
          </cell>
          <cell r="B3627" t="str">
            <v>B2C</v>
          </cell>
          <cell r="C3627" t="str">
            <v>SCL</v>
          </cell>
          <cell r="D3627" t="str">
            <v>TRAP</v>
          </cell>
          <cell r="E3627" t="str">
            <v>SW FLG</v>
          </cell>
          <cell r="F3627">
            <v>3</v>
          </cell>
          <cell r="G3627" t="str">
            <v>CB240208000T00</v>
          </cell>
          <cell r="H3627">
            <v>0.75</v>
          </cell>
          <cell r="I3627" t="str">
            <v>--</v>
          </cell>
          <cell r="J3627">
            <v>4</v>
          </cell>
          <cell r="K3627">
            <v>4</v>
          </cell>
        </row>
        <row r="3628">
          <cell r="A3628" t="str">
            <v>M2</v>
          </cell>
          <cell r="B3628" t="str">
            <v>B2C</v>
          </cell>
          <cell r="C3628" t="str">
            <v>SH</v>
          </cell>
          <cell r="D3628" t="str">
            <v>24612</v>
          </cell>
          <cell r="E3628" t="str">
            <v>SW FLG</v>
          </cell>
          <cell r="F3628">
            <v>3</v>
          </cell>
          <cell r="G3628" t="str">
            <v>CB240208000T00</v>
          </cell>
          <cell r="H3628">
            <v>0.75</v>
          </cell>
          <cell r="I3628" t="str">
            <v>--</v>
          </cell>
          <cell r="J3628">
            <v>2</v>
          </cell>
          <cell r="K3628">
            <v>2</v>
          </cell>
        </row>
        <row r="3629">
          <cell r="A3629" t="str">
            <v>M2</v>
          </cell>
          <cell r="B3629" t="str">
            <v>B2C</v>
          </cell>
          <cell r="C3629" t="str">
            <v>SCH</v>
          </cell>
          <cell r="D3629" t="str">
            <v>23613</v>
          </cell>
          <cell r="E3629" t="str">
            <v>SW FLG</v>
          </cell>
          <cell r="F3629">
            <v>3</v>
          </cell>
          <cell r="G3629" t="str">
            <v>CB240208000T00</v>
          </cell>
          <cell r="H3629">
            <v>0.75</v>
          </cell>
          <cell r="I3629" t="str">
            <v>--</v>
          </cell>
          <cell r="J3629">
            <v>2</v>
          </cell>
          <cell r="K3629">
            <v>2</v>
          </cell>
        </row>
        <row r="3630">
          <cell r="A3630" t="str">
            <v>M2</v>
          </cell>
          <cell r="B3630" t="str">
            <v>A5C</v>
          </cell>
          <cell r="C3630" t="str">
            <v>P</v>
          </cell>
          <cell r="D3630" t="str">
            <v>23148</v>
          </cell>
          <cell r="E3630" t="str">
            <v>SW FLG</v>
          </cell>
          <cell r="F3630">
            <v>3</v>
          </cell>
          <cell r="G3630" t="str">
            <v>CB240108000T00</v>
          </cell>
          <cell r="H3630">
            <v>0.75</v>
          </cell>
          <cell r="I3630" t="str">
            <v>--</v>
          </cell>
          <cell r="J3630">
            <v>2</v>
          </cell>
          <cell r="K3630">
            <v>2</v>
          </cell>
        </row>
        <row r="3631">
          <cell r="A3631" t="str">
            <v>M2</v>
          </cell>
          <cell r="B3631" t="str">
            <v>A5C</v>
          </cell>
          <cell r="C3631" t="str">
            <v>N</v>
          </cell>
          <cell r="D3631" t="str">
            <v>23613</v>
          </cell>
          <cell r="E3631" t="str">
            <v>SW FLG</v>
          </cell>
          <cell r="F3631">
            <v>3</v>
          </cell>
          <cell r="G3631" t="str">
            <v>CB240208000T00</v>
          </cell>
          <cell r="H3631">
            <v>0.75</v>
          </cell>
          <cell r="I3631" t="str">
            <v>--</v>
          </cell>
          <cell r="J3631">
            <v>2</v>
          </cell>
          <cell r="K3631">
            <v>2</v>
          </cell>
        </row>
        <row r="3632">
          <cell r="A3632" t="str">
            <v>M2</v>
          </cell>
          <cell r="B3632" t="str">
            <v>A5C</v>
          </cell>
          <cell r="C3632" t="str">
            <v>N</v>
          </cell>
          <cell r="D3632" t="str">
            <v>23619</v>
          </cell>
          <cell r="E3632" t="str">
            <v>SW FLG</v>
          </cell>
          <cell r="F3632">
            <v>3</v>
          </cell>
          <cell r="G3632" t="str">
            <v>CB240208000T00</v>
          </cell>
          <cell r="H3632">
            <v>0.75</v>
          </cell>
          <cell r="I3632" t="str">
            <v>--</v>
          </cell>
          <cell r="J3632">
            <v>2</v>
          </cell>
          <cell r="K3632">
            <v>2</v>
          </cell>
        </row>
        <row r="3633">
          <cell r="A3633" t="str">
            <v>M2</v>
          </cell>
          <cell r="B3633" t="str">
            <v>A5C</v>
          </cell>
          <cell r="C3633" t="str">
            <v>N</v>
          </cell>
          <cell r="D3633" t="str">
            <v>23621</v>
          </cell>
          <cell r="E3633" t="str">
            <v>SW FLG</v>
          </cell>
          <cell r="F3633">
            <v>3</v>
          </cell>
          <cell r="G3633" t="str">
            <v>CB240208000T00</v>
          </cell>
          <cell r="H3633">
            <v>0.75</v>
          </cell>
          <cell r="I3633" t="str">
            <v>--</v>
          </cell>
          <cell r="J3633">
            <v>2</v>
          </cell>
          <cell r="K3633">
            <v>2</v>
          </cell>
        </row>
        <row r="3634">
          <cell r="A3634" t="str">
            <v>M2</v>
          </cell>
          <cell r="B3634" t="str">
            <v>A5C</v>
          </cell>
          <cell r="C3634" t="str">
            <v>N</v>
          </cell>
          <cell r="D3634" t="str">
            <v>23646</v>
          </cell>
          <cell r="E3634" t="str">
            <v>SW FLG</v>
          </cell>
          <cell r="F3634">
            <v>3</v>
          </cell>
          <cell r="G3634" t="str">
            <v>CB240208000T00</v>
          </cell>
          <cell r="H3634">
            <v>0.75</v>
          </cell>
          <cell r="I3634" t="str">
            <v>--</v>
          </cell>
          <cell r="J3634">
            <v>2</v>
          </cell>
          <cell r="K3634">
            <v>2</v>
          </cell>
        </row>
        <row r="3635">
          <cell r="A3635" t="str">
            <v>M2</v>
          </cell>
          <cell r="B3635" t="str">
            <v>A5C</v>
          </cell>
          <cell r="C3635" t="str">
            <v>N</v>
          </cell>
          <cell r="D3635" t="str">
            <v>23647</v>
          </cell>
          <cell r="E3635" t="str">
            <v>SW FLG</v>
          </cell>
          <cell r="F3635">
            <v>3</v>
          </cell>
          <cell r="G3635" t="str">
            <v>CB240108000T00</v>
          </cell>
          <cell r="H3635">
            <v>0.75</v>
          </cell>
          <cell r="I3635" t="str">
            <v>--</v>
          </cell>
          <cell r="J3635">
            <v>2</v>
          </cell>
          <cell r="K3635">
            <v>2</v>
          </cell>
        </row>
        <row r="3636">
          <cell r="A3636" t="str">
            <v>M2</v>
          </cell>
          <cell r="B3636" t="str">
            <v>A5C</v>
          </cell>
          <cell r="C3636" t="str">
            <v>N</v>
          </cell>
          <cell r="D3636" t="str">
            <v>24611</v>
          </cell>
          <cell r="E3636" t="str">
            <v>SW FLG</v>
          </cell>
          <cell r="F3636">
            <v>3</v>
          </cell>
          <cell r="G3636" t="str">
            <v>CB240208000T00</v>
          </cell>
          <cell r="H3636">
            <v>0.75</v>
          </cell>
          <cell r="I3636" t="str">
            <v>--</v>
          </cell>
          <cell r="J3636">
            <v>2</v>
          </cell>
          <cell r="K3636">
            <v>2</v>
          </cell>
        </row>
        <row r="3637">
          <cell r="A3637" t="str">
            <v>M2</v>
          </cell>
          <cell r="B3637" t="str">
            <v>A5C</v>
          </cell>
          <cell r="C3637" t="str">
            <v>N</v>
          </cell>
          <cell r="D3637" t="str">
            <v>24612</v>
          </cell>
          <cell r="E3637" t="str">
            <v>SW FLG</v>
          </cell>
          <cell r="F3637">
            <v>3</v>
          </cell>
          <cell r="G3637" t="str">
            <v>CB240208000T00</v>
          </cell>
          <cell r="H3637">
            <v>0.75</v>
          </cell>
          <cell r="I3637" t="str">
            <v>--</v>
          </cell>
          <cell r="J3637">
            <v>2</v>
          </cell>
          <cell r="K3637">
            <v>2</v>
          </cell>
        </row>
        <row r="3638">
          <cell r="A3638" t="str">
            <v>M2</v>
          </cell>
          <cell r="B3638" t="str">
            <v>A5C</v>
          </cell>
          <cell r="C3638" t="str">
            <v>N</v>
          </cell>
          <cell r="D3638" t="str">
            <v>23642</v>
          </cell>
          <cell r="E3638" t="str">
            <v>SW FLG</v>
          </cell>
          <cell r="F3638">
            <v>3</v>
          </cell>
          <cell r="G3638" t="str">
            <v>CB240208000T00</v>
          </cell>
          <cell r="H3638">
            <v>0.75</v>
          </cell>
          <cell r="I3638" t="str">
            <v>--</v>
          </cell>
          <cell r="J3638">
            <v>2</v>
          </cell>
          <cell r="K3638">
            <v>2</v>
          </cell>
        </row>
        <row r="3639">
          <cell r="A3639" t="str">
            <v>M2</v>
          </cell>
          <cell r="B3639" t="str">
            <v>A5C</v>
          </cell>
          <cell r="C3639" t="str">
            <v>N</v>
          </cell>
          <cell r="D3639" t="str">
            <v>24613</v>
          </cell>
          <cell r="E3639" t="str">
            <v>SW FLG</v>
          </cell>
          <cell r="F3639">
            <v>3</v>
          </cell>
          <cell r="G3639" t="str">
            <v>CB240208000T00</v>
          </cell>
          <cell r="H3639">
            <v>0.75</v>
          </cell>
          <cell r="I3639" t="str">
            <v>--</v>
          </cell>
          <cell r="J3639">
            <v>2</v>
          </cell>
          <cell r="K3639">
            <v>2</v>
          </cell>
        </row>
        <row r="3640">
          <cell r="A3640" t="str">
            <v>M2</v>
          </cell>
          <cell r="B3640" t="str">
            <v>A5C</v>
          </cell>
          <cell r="C3640" t="str">
            <v>N</v>
          </cell>
          <cell r="D3640" t="str">
            <v>24614</v>
          </cell>
          <cell r="E3640" t="str">
            <v>SW FLG</v>
          </cell>
          <cell r="F3640">
            <v>3</v>
          </cell>
          <cell r="G3640" t="str">
            <v>CB240208000T00</v>
          </cell>
          <cell r="H3640">
            <v>0.75</v>
          </cell>
          <cell r="I3640" t="str">
            <v>--</v>
          </cell>
          <cell r="J3640">
            <v>2</v>
          </cell>
          <cell r="K3640">
            <v>2</v>
          </cell>
        </row>
        <row r="3641">
          <cell r="A3641" t="str">
            <v>M2</v>
          </cell>
          <cell r="B3641" t="str">
            <v>A5C</v>
          </cell>
          <cell r="C3641" t="str">
            <v>P</v>
          </cell>
          <cell r="D3641" t="str">
            <v>23052</v>
          </cell>
          <cell r="E3641" t="str">
            <v>SW FLG</v>
          </cell>
          <cell r="F3641">
            <v>3</v>
          </cell>
          <cell r="G3641" t="str">
            <v>CB240208000T00</v>
          </cell>
          <cell r="H3641">
            <v>0.75</v>
          </cell>
          <cell r="I3641" t="str">
            <v>--</v>
          </cell>
          <cell r="J3641">
            <v>2</v>
          </cell>
          <cell r="K3641">
            <v>2</v>
          </cell>
        </row>
        <row r="3642">
          <cell r="A3642" t="str">
            <v>M2</v>
          </cell>
          <cell r="B3642" t="str">
            <v>A5C</v>
          </cell>
          <cell r="C3642" t="str">
            <v>P</v>
          </cell>
          <cell r="D3642" t="str">
            <v>23081</v>
          </cell>
          <cell r="E3642" t="str">
            <v>SW FLG</v>
          </cell>
          <cell r="F3642">
            <v>3</v>
          </cell>
          <cell r="G3642" t="str">
            <v>CB240108000T00</v>
          </cell>
          <cell r="H3642">
            <v>0.75</v>
          </cell>
          <cell r="I3642" t="str">
            <v>--</v>
          </cell>
          <cell r="J3642">
            <v>1</v>
          </cell>
          <cell r="K3642">
            <v>1</v>
          </cell>
        </row>
        <row r="3643">
          <cell r="A3643" t="str">
            <v>M2</v>
          </cell>
          <cell r="B3643" t="str">
            <v>A5C</v>
          </cell>
          <cell r="C3643" t="str">
            <v>P</v>
          </cell>
          <cell r="D3643" t="str">
            <v>23094</v>
          </cell>
          <cell r="E3643" t="str">
            <v>SW FLG</v>
          </cell>
          <cell r="F3643">
            <v>3</v>
          </cell>
          <cell r="G3643" t="str">
            <v>CB240208000T00</v>
          </cell>
          <cell r="H3643">
            <v>0.75</v>
          </cell>
          <cell r="I3643" t="str">
            <v>--</v>
          </cell>
          <cell r="J3643">
            <v>2</v>
          </cell>
          <cell r="K3643">
            <v>2</v>
          </cell>
        </row>
        <row r="3644">
          <cell r="A3644" t="str">
            <v>M2</v>
          </cell>
          <cell r="B3644" t="str">
            <v>A5C</v>
          </cell>
          <cell r="C3644" t="str">
            <v>P</v>
          </cell>
          <cell r="D3644" t="str">
            <v>23094</v>
          </cell>
          <cell r="E3644" t="str">
            <v>SW FLG</v>
          </cell>
          <cell r="F3644">
            <v>3</v>
          </cell>
          <cell r="G3644" t="str">
            <v>CB240108000T00</v>
          </cell>
          <cell r="H3644">
            <v>0.75</v>
          </cell>
          <cell r="I3644" t="str">
            <v>--</v>
          </cell>
          <cell r="J3644">
            <v>6</v>
          </cell>
          <cell r="K3644">
            <v>6</v>
          </cell>
        </row>
        <row r="3645">
          <cell r="A3645" t="str">
            <v>M2</v>
          </cell>
          <cell r="B3645" t="str">
            <v>A5C</v>
          </cell>
          <cell r="C3645" t="str">
            <v>P</v>
          </cell>
          <cell r="D3645" t="str">
            <v>23094</v>
          </cell>
          <cell r="E3645" t="str">
            <v>SW FLG</v>
          </cell>
          <cell r="F3645">
            <v>3</v>
          </cell>
          <cell r="G3645" t="str">
            <v>CB240108000T00</v>
          </cell>
          <cell r="H3645">
            <v>0.75</v>
          </cell>
          <cell r="I3645" t="str">
            <v>--</v>
          </cell>
          <cell r="J3645">
            <v>2</v>
          </cell>
          <cell r="K3645">
            <v>2</v>
          </cell>
        </row>
        <row r="3646">
          <cell r="A3646" t="str">
            <v>M2</v>
          </cell>
          <cell r="B3646" t="str">
            <v>A5C</v>
          </cell>
          <cell r="C3646" t="str">
            <v>P</v>
          </cell>
          <cell r="D3646" t="str">
            <v>23101</v>
          </cell>
          <cell r="E3646" t="str">
            <v>SW FLG</v>
          </cell>
          <cell r="F3646">
            <v>3</v>
          </cell>
          <cell r="G3646" t="str">
            <v>CB240208000T00</v>
          </cell>
          <cell r="H3646">
            <v>0.75</v>
          </cell>
          <cell r="I3646" t="str">
            <v>--</v>
          </cell>
          <cell r="J3646">
            <v>2</v>
          </cell>
          <cell r="K3646">
            <v>2</v>
          </cell>
        </row>
        <row r="3647">
          <cell r="A3647" t="str">
            <v>M2</v>
          </cell>
          <cell r="B3647" t="str">
            <v>A5C</v>
          </cell>
          <cell r="C3647" t="str">
            <v>P</v>
          </cell>
          <cell r="D3647" t="str">
            <v>23101</v>
          </cell>
          <cell r="E3647" t="str">
            <v>SW FLG</v>
          </cell>
          <cell r="F3647">
            <v>3</v>
          </cell>
          <cell r="G3647" t="str">
            <v>CB240108000T00</v>
          </cell>
          <cell r="H3647">
            <v>0.75</v>
          </cell>
          <cell r="I3647" t="str">
            <v>--</v>
          </cell>
          <cell r="J3647">
            <v>6</v>
          </cell>
          <cell r="K3647">
            <v>6</v>
          </cell>
        </row>
        <row r="3648">
          <cell r="A3648" t="str">
            <v>M2</v>
          </cell>
          <cell r="B3648" t="str">
            <v>A5C</v>
          </cell>
          <cell r="C3648" t="str">
            <v>P</v>
          </cell>
          <cell r="D3648" t="str">
            <v>23104</v>
          </cell>
          <cell r="E3648" t="str">
            <v>SW FLG</v>
          </cell>
          <cell r="F3648">
            <v>3</v>
          </cell>
          <cell r="G3648" t="str">
            <v>CB240108000T00</v>
          </cell>
          <cell r="H3648">
            <v>0.75</v>
          </cell>
          <cell r="I3648" t="str">
            <v>--</v>
          </cell>
          <cell r="J3648">
            <v>1</v>
          </cell>
          <cell r="K3648">
            <v>1</v>
          </cell>
        </row>
        <row r="3649">
          <cell r="A3649" t="str">
            <v>M2</v>
          </cell>
          <cell r="B3649" t="str">
            <v>A5C</v>
          </cell>
          <cell r="C3649" t="str">
            <v>P</v>
          </cell>
          <cell r="D3649" t="str">
            <v>23104</v>
          </cell>
          <cell r="E3649" t="str">
            <v>SW FLG</v>
          </cell>
          <cell r="F3649">
            <v>3</v>
          </cell>
          <cell r="G3649" t="str">
            <v>CB240108000T00</v>
          </cell>
          <cell r="H3649">
            <v>0.75</v>
          </cell>
          <cell r="I3649" t="str">
            <v>--</v>
          </cell>
          <cell r="J3649">
            <v>1</v>
          </cell>
          <cell r="K3649">
            <v>1</v>
          </cell>
        </row>
        <row r="3650">
          <cell r="A3650" t="str">
            <v>M2</v>
          </cell>
          <cell r="B3650" t="str">
            <v>A5C</v>
          </cell>
          <cell r="C3650" t="str">
            <v>P</v>
          </cell>
          <cell r="D3650" t="str">
            <v>23105</v>
          </cell>
          <cell r="E3650" t="str">
            <v>SW FLG</v>
          </cell>
          <cell r="F3650">
            <v>3</v>
          </cell>
          <cell r="G3650" t="str">
            <v>CB240108000T00</v>
          </cell>
          <cell r="H3650">
            <v>0.75</v>
          </cell>
          <cell r="I3650" t="str">
            <v>--</v>
          </cell>
          <cell r="J3650">
            <v>6</v>
          </cell>
          <cell r="K3650">
            <v>6</v>
          </cell>
        </row>
        <row r="3651">
          <cell r="A3651" t="str">
            <v>M2</v>
          </cell>
          <cell r="B3651" t="str">
            <v>A5C</v>
          </cell>
          <cell r="C3651" t="str">
            <v>P</v>
          </cell>
          <cell r="D3651" t="str">
            <v>23105</v>
          </cell>
          <cell r="E3651" t="str">
            <v>SW FLG</v>
          </cell>
          <cell r="F3651">
            <v>3</v>
          </cell>
          <cell r="G3651" t="str">
            <v>CB240208000T00</v>
          </cell>
          <cell r="H3651">
            <v>0.75</v>
          </cell>
          <cell r="I3651" t="str">
            <v>--</v>
          </cell>
          <cell r="J3651">
            <v>2</v>
          </cell>
          <cell r="K3651">
            <v>2</v>
          </cell>
        </row>
        <row r="3652">
          <cell r="A3652" t="str">
            <v>M2</v>
          </cell>
          <cell r="B3652" t="str">
            <v>A5C</v>
          </cell>
          <cell r="C3652" t="str">
            <v>P</v>
          </cell>
          <cell r="D3652" t="str">
            <v>23108</v>
          </cell>
          <cell r="E3652" t="str">
            <v>SW FLG</v>
          </cell>
          <cell r="F3652">
            <v>3</v>
          </cell>
          <cell r="G3652" t="str">
            <v>CB240108000T00</v>
          </cell>
          <cell r="H3652">
            <v>0.75</v>
          </cell>
          <cell r="I3652" t="str">
            <v>--</v>
          </cell>
          <cell r="J3652">
            <v>1</v>
          </cell>
          <cell r="K3652">
            <v>1</v>
          </cell>
        </row>
        <row r="3653">
          <cell r="A3653" t="str">
            <v>M2</v>
          </cell>
          <cell r="B3653" t="str">
            <v>A5C</v>
          </cell>
          <cell r="C3653" t="str">
            <v>P</v>
          </cell>
          <cell r="D3653" t="str">
            <v>23108</v>
          </cell>
          <cell r="E3653" t="str">
            <v>SW FLG</v>
          </cell>
          <cell r="F3653">
            <v>3</v>
          </cell>
          <cell r="G3653" t="str">
            <v>CB240108000T00</v>
          </cell>
          <cell r="H3653">
            <v>0.75</v>
          </cell>
          <cell r="I3653" t="str">
            <v>--</v>
          </cell>
          <cell r="J3653">
            <v>1</v>
          </cell>
          <cell r="K3653">
            <v>1</v>
          </cell>
        </row>
        <row r="3654">
          <cell r="A3654" t="str">
            <v>M2</v>
          </cell>
          <cell r="B3654" t="str">
            <v>A5C</v>
          </cell>
          <cell r="C3654" t="str">
            <v>P</v>
          </cell>
          <cell r="D3654" t="str">
            <v>23109</v>
          </cell>
          <cell r="E3654" t="str">
            <v>SW FLG</v>
          </cell>
          <cell r="F3654">
            <v>3</v>
          </cell>
          <cell r="G3654" t="str">
            <v>CB240208000T00</v>
          </cell>
          <cell r="H3654">
            <v>0.75</v>
          </cell>
          <cell r="I3654" t="str">
            <v>--</v>
          </cell>
          <cell r="J3654">
            <v>2</v>
          </cell>
          <cell r="K3654">
            <v>2</v>
          </cell>
        </row>
        <row r="3655">
          <cell r="A3655" t="str">
            <v>M2</v>
          </cell>
          <cell r="B3655" t="str">
            <v>A5C</v>
          </cell>
          <cell r="C3655" t="str">
            <v>P</v>
          </cell>
          <cell r="D3655" t="str">
            <v>23109</v>
          </cell>
          <cell r="E3655" t="str">
            <v>SW FLG</v>
          </cell>
          <cell r="F3655">
            <v>3</v>
          </cell>
          <cell r="G3655" t="str">
            <v>CB240108000T00</v>
          </cell>
          <cell r="H3655">
            <v>0.75</v>
          </cell>
          <cell r="I3655" t="str">
            <v>--</v>
          </cell>
          <cell r="J3655">
            <v>6</v>
          </cell>
          <cell r="K3655">
            <v>6</v>
          </cell>
        </row>
        <row r="3656">
          <cell r="A3656" t="str">
            <v>M2</v>
          </cell>
          <cell r="B3656" t="str">
            <v>A5C</v>
          </cell>
          <cell r="C3656" t="str">
            <v>P</v>
          </cell>
          <cell r="D3656" t="str">
            <v>23112</v>
          </cell>
          <cell r="E3656" t="str">
            <v>SW FLG</v>
          </cell>
          <cell r="F3656">
            <v>3</v>
          </cell>
          <cell r="G3656" t="str">
            <v>CB240108000T00</v>
          </cell>
          <cell r="H3656">
            <v>0.75</v>
          </cell>
          <cell r="I3656" t="str">
            <v>--</v>
          </cell>
          <cell r="J3656">
            <v>1</v>
          </cell>
          <cell r="K3656">
            <v>1</v>
          </cell>
        </row>
        <row r="3657">
          <cell r="A3657" t="str">
            <v>M2</v>
          </cell>
          <cell r="B3657" t="str">
            <v>A5C</v>
          </cell>
          <cell r="C3657" t="str">
            <v>P</v>
          </cell>
          <cell r="D3657" t="str">
            <v>23113</v>
          </cell>
          <cell r="E3657" t="str">
            <v>SW FLG</v>
          </cell>
          <cell r="F3657">
            <v>3</v>
          </cell>
          <cell r="G3657" t="str">
            <v>CB240108000T00</v>
          </cell>
          <cell r="H3657">
            <v>0.75</v>
          </cell>
          <cell r="I3657" t="str">
            <v>--</v>
          </cell>
          <cell r="J3657">
            <v>6</v>
          </cell>
          <cell r="K3657">
            <v>6</v>
          </cell>
        </row>
        <row r="3658">
          <cell r="A3658" t="str">
            <v>M2</v>
          </cell>
          <cell r="B3658" t="str">
            <v>A5C</v>
          </cell>
          <cell r="C3658" t="str">
            <v>P</v>
          </cell>
          <cell r="D3658" t="str">
            <v>23113</v>
          </cell>
          <cell r="E3658" t="str">
            <v>SW FLG</v>
          </cell>
          <cell r="F3658">
            <v>3</v>
          </cell>
          <cell r="G3658" t="str">
            <v>CB240108000T00</v>
          </cell>
          <cell r="H3658">
            <v>0.75</v>
          </cell>
          <cell r="I3658" t="str">
            <v>--</v>
          </cell>
          <cell r="J3658">
            <v>2</v>
          </cell>
          <cell r="K3658">
            <v>2</v>
          </cell>
        </row>
        <row r="3659">
          <cell r="A3659" t="str">
            <v>M2</v>
          </cell>
          <cell r="B3659" t="str">
            <v>A5C</v>
          </cell>
          <cell r="C3659" t="str">
            <v>P</v>
          </cell>
          <cell r="D3659" t="str">
            <v>23133</v>
          </cell>
          <cell r="E3659" t="str">
            <v>SW FLG</v>
          </cell>
          <cell r="F3659">
            <v>3</v>
          </cell>
          <cell r="G3659" t="str">
            <v>CB240108000T00</v>
          </cell>
          <cell r="H3659">
            <v>0.75</v>
          </cell>
          <cell r="I3659" t="str">
            <v>--</v>
          </cell>
          <cell r="J3659">
            <v>5</v>
          </cell>
          <cell r="K3659">
            <v>5</v>
          </cell>
        </row>
        <row r="3660">
          <cell r="A3660" t="str">
            <v>M2</v>
          </cell>
          <cell r="B3660" t="str">
            <v>A5C</v>
          </cell>
          <cell r="C3660" t="str">
            <v>P</v>
          </cell>
          <cell r="D3660" t="str">
            <v>23141</v>
          </cell>
          <cell r="E3660" t="str">
            <v>SW FLG</v>
          </cell>
          <cell r="F3660">
            <v>3</v>
          </cell>
          <cell r="G3660" t="str">
            <v>CB240108000T00</v>
          </cell>
          <cell r="H3660">
            <v>0.75</v>
          </cell>
          <cell r="I3660" t="str">
            <v>--</v>
          </cell>
          <cell r="J3660">
            <v>5</v>
          </cell>
          <cell r="K3660">
            <v>5</v>
          </cell>
        </row>
        <row r="3661">
          <cell r="A3661" t="str">
            <v>M2</v>
          </cell>
          <cell r="B3661" t="str">
            <v>A5C</v>
          </cell>
          <cell r="C3661" t="str">
            <v>P</v>
          </cell>
          <cell r="D3661" t="str">
            <v>23143</v>
          </cell>
          <cell r="E3661" t="str">
            <v>SW FLG</v>
          </cell>
          <cell r="F3661">
            <v>3</v>
          </cell>
          <cell r="G3661" t="str">
            <v>CB240108000T00</v>
          </cell>
          <cell r="H3661">
            <v>0.75</v>
          </cell>
          <cell r="I3661" t="str">
            <v>--</v>
          </cell>
          <cell r="J3661">
            <v>2</v>
          </cell>
          <cell r="K3661">
            <v>2</v>
          </cell>
        </row>
        <row r="3662">
          <cell r="A3662" t="str">
            <v>M2</v>
          </cell>
          <cell r="B3662" t="str">
            <v>A5C</v>
          </cell>
          <cell r="C3662" t="str">
            <v>P</v>
          </cell>
          <cell r="D3662" t="str">
            <v>23145</v>
          </cell>
          <cell r="E3662" t="str">
            <v>SW FLG</v>
          </cell>
          <cell r="F3662">
            <v>3</v>
          </cell>
          <cell r="G3662" t="str">
            <v>CB240108000T00</v>
          </cell>
          <cell r="H3662">
            <v>0.75</v>
          </cell>
          <cell r="I3662" t="str">
            <v>--</v>
          </cell>
          <cell r="J3662">
            <v>5</v>
          </cell>
          <cell r="K3662">
            <v>5</v>
          </cell>
        </row>
        <row r="3663">
          <cell r="A3663" t="str">
            <v>M2</v>
          </cell>
          <cell r="B3663" t="str">
            <v>A5C</v>
          </cell>
          <cell r="C3663" t="str">
            <v>P</v>
          </cell>
          <cell r="D3663" t="str">
            <v>23147</v>
          </cell>
          <cell r="E3663" t="str">
            <v>SW FLG</v>
          </cell>
          <cell r="F3663">
            <v>3</v>
          </cell>
          <cell r="G3663" t="str">
            <v>CB240108000T00</v>
          </cell>
          <cell r="H3663">
            <v>0.75</v>
          </cell>
          <cell r="I3663" t="str">
            <v>--</v>
          </cell>
          <cell r="J3663">
            <v>2</v>
          </cell>
          <cell r="K3663">
            <v>2</v>
          </cell>
        </row>
        <row r="3664">
          <cell r="A3664" t="str">
            <v>M2</v>
          </cell>
          <cell r="B3664" t="str">
            <v>A5C</v>
          </cell>
          <cell r="C3664" t="str">
            <v>P</v>
          </cell>
          <cell r="D3664" t="str">
            <v>23164</v>
          </cell>
          <cell r="E3664" t="str">
            <v>SW FLG</v>
          </cell>
          <cell r="F3664">
            <v>3</v>
          </cell>
          <cell r="G3664" t="str">
            <v>CB240108000T00</v>
          </cell>
          <cell r="H3664">
            <v>0.75</v>
          </cell>
          <cell r="I3664" t="str">
            <v>--</v>
          </cell>
          <cell r="J3664">
            <v>2</v>
          </cell>
          <cell r="K3664">
            <v>2</v>
          </cell>
        </row>
        <row r="3665">
          <cell r="A3665" t="str">
            <v>M2</v>
          </cell>
          <cell r="B3665" t="str">
            <v>A5C</v>
          </cell>
          <cell r="C3665" t="str">
            <v>P</v>
          </cell>
          <cell r="D3665" t="str">
            <v>23188</v>
          </cell>
          <cell r="E3665" t="str">
            <v>SW FLG</v>
          </cell>
          <cell r="F3665">
            <v>3</v>
          </cell>
          <cell r="G3665" t="str">
            <v>CB240208000T00</v>
          </cell>
          <cell r="H3665">
            <v>0.75</v>
          </cell>
          <cell r="I3665" t="str">
            <v>--</v>
          </cell>
          <cell r="J3665">
            <v>2</v>
          </cell>
          <cell r="K3665">
            <v>2</v>
          </cell>
        </row>
        <row r="3666">
          <cell r="A3666" t="str">
            <v>M2</v>
          </cell>
          <cell r="B3666" t="str">
            <v>A5C</v>
          </cell>
          <cell r="C3666" t="str">
            <v>P</v>
          </cell>
          <cell r="D3666" t="str">
            <v>23188</v>
          </cell>
          <cell r="E3666" t="str">
            <v>SW FLG</v>
          </cell>
          <cell r="F3666">
            <v>3</v>
          </cell>
          <cell r="G3666" t="str">
            <v>CB240108000T00</v>
          </cell>
          <cell r="H3666">
            <v>0.75</v>
          </cell>
          <cell r="I3666" t="str">
            <v>--</v>
          </cell>
          <cell r="J3666">
            <v>5</v>
          </cell>
          <cell r="K3666">
            <v>5</v>
          </cell>
        </row>
        <row r="3667">
          <cell r="A3667" t="str">
            <v>M2</v>
          </cell>
          <cell r="B3667" t="str">
            <v>A5C</v>
          </cell>
          <cell r="C3667" t="str">
            <v>P</v>
          </cell>
          <cell r="D3667" t="str">
            <v>23225</v>
          </cell>
          <cell r="E3667" t="str">
            <v>SW FLG</v>
          </cell>
          <cell r="F3667">
            <v>3</v>
          </cell>
          <cell r="G3667" t="str">
            <v>CB240208000T00</v>
          </cell>
          <cell r="H3667">
            <v>0.75</v>
          </cell>
          <cell r="I3667" t="str">
            <v>--</v>
          </cell>
          <cell r="J3667">
            <v>2</v>
          </cell>
          <cell r="K3667">
            <v>2</v>
          </cell>
        </row>
        <row r="3668">
          <cell r="A3668" t="str">
            <v>M2</v>
          </cell>
          <cell r="B3668" t="str">
            <v>A5C</v>
          </cell>
          <cell r="C3668" t="str">
            <v>P</v>
          </cell>
          <cell r="D3668" t="str">
            <v>23234</v>
          </cell>
          <cell r="E3668" t="str">
            <v>SW FLG</v>
          </cell>
          <cell r="F3668">
            <v>3</v>
          </cell>
          <cell r="G3668" t="str">
            <v>CB240208000T00</v>
          </cell>
          <cell r="H3668">
            <v>0.75</v>
          </cell>
          <cell r="I3668" t="str">
            <v>--</v>
          </cell>
          <cell r="J3668">
            <v>2</v>
          </cell>
          <cell r="K3668">
            <v>2</v>
          </cell>
        </row>
        <row r="3669">
          <cell r="A3669" t="str">
            <v>M2</v>
          </cell>
          <cell r="B3669" t="str">
            <v>A5C</v>
          </cell>
          <cell r="C3669" t="str">
            <v>P</v>
          </cell>
          <cell r="D3669" t="str">
            <v>23234</v>
          </cell>
          <cell r="E3669" t="str">
            <v>SW FLG</v>
          </cell>
          <cell r="F3669">
            <v>3</v>
          </cell>
          <cell r="G3669" t="str">
            <v>CB240108000T00</v>
          </cell>
          <cell r="H3669">
            <v>0.75</v>
          </cell>
          <cell r="I3669" t="str">
            <v>--</v>
          </cell>
          <cell r="J3669">
            <v>6</v>
          </cell>
          <cell r="K3669">
            <v>6</v>
          </cell>
        </row>
        <row r="3670">
          <cell r="A3670" t="str">
            <v>M2</v>
          </cell>
          <cell r="B3670" t="str">
            <v>A5C</v>
          </cell>
          <cell r="C3670" t="str">
            <v>P</v>
          </cell>
          <cell r="D3670" t="str">
            <v>23238</v>
          </cell>
          <cell r="E3670" t="str">
            <v>SW FLG</v>
          </cell>
          <cell r="F3670">
            <v>3</v>
          </cell>
          <cell r="G3670" t="str">
            <v>CB240108000T00</v>
          </cell>
          <cell r="H3670">
            <v>0.75</v>
          </cell>
          <cell r="I3670" t="str">
            <v>--</v>
          </cell>
          <cell r="J3670">
            <v>6</v>
          </cell>
          <cell r="K3670">
            <v>6</v>
          </cell>
        </row>
        <row r="3671">
          <cell r="A3671" t="str">
            <v>M2</v>
          </cell>
          <cell r="B3671" t="str">
            <v>A5C</v>
          </cell>
          <cell r="C3671" t="str">
            <v>P</v>
          </cell>
          <cell r="D3671" t="str">
            <v>23247</v>
          </cell>
          <cell r="E3671" t="str">
            <v>SW FLG</v>
          </cell>
          <cell r="F3671">
            <v>3</v>
          </cell>
          <cell r="G3671" t="str">
            <v>CB240208000T00</v>
          </cell>
          <cell r="H3671">
            <v>0.75</v>
          </cell>
          <cell r="I3671" t="str">
            <v>--</v>
          </cell>
          <cell r="J3671">
            <v>2</v>
          </cell>
          <cell r="K3671">
            <v>2</v>
          </cell>
        </row>
        <row r="3672">
          <cell r="A3672" t="str">
            <v>M2</v>
          </cell>
          <cell r="B3672" t="str">
            <v>A5C</v>
          </cell>
          <cell r="C3672" t="str">
            <v>N</v>
          </cell>
          <cell r="D3672" t="str">
            <v>23620</v>
          </cell>
          <cell r="E3672" t="str">
            <v>SW FLG</v>
          </cell>
          <cell r="F3672">
            <v>3</v>
          </cell>
          <cell r="G3672" t="str">
            <v>CB240208000T00</v>
          </cell>
          <cell r="H3672">
            <v>0.75</v>
          </cell>
          <cell r="I3672" t="str">
            <v>--</v>
          </cell>
          <cell r="J3672">
            <v>2</v>
          </cell>
          <cell r="K3672">
            <v>2</v>
          </cell>
        </row>
        <row r="3673">
          <cell r="A3673" t="str">
            <v>M2</v>
          </cell>
          <cell r="B3673" t="str">
            <v>A5C</v>
          </cell>
          <cell r="C3673" t="str">
            <v>P</v>
          </cell>
          <cell r="D3673" t="str">
            <v>23037</v>
          </cell>
          <cell r="E3673" t="str">
            <v>SW FLG</v>
          </cell>
          <cell r="F3673">
            <v>3</v>
          </cell>
          <cell r="G3673" t="str">
            <v>CB240208000T00</v>
          </cell>
          <cell r="H3673">
            <v>0.75</v>
          </cell>
          <cell r="I3673" t="str">
            <v>--</v>
          </cell>
          <cell r="J3673">
            <v>2</v>
          </cell>
          <cell r="K3673">
            <v>2</v>
          </cell>
        </row>
        <row r="3674">
          <cell r="A3674" t="str">
            <v>M2</v>
          </cell>
          <cell r="B3674" t="str">
            <v>A5C</v>
          </cell>
          <cell r="C3674" t="str">
            <v>P</v>
          </cell>
          <cell r="D3674" t="str">
            <v>23081</v>
          </cell>
          <cell r="E3674" t="str">
            <v>SW FLG</v>
          </cell>
          <cell r="F3674">
            <v>3</v>
          </cell>
          <cell r="G3674" t="str">
            <v>CB240208000T00</v>
          </cell>
          <cell r="H3674">
            <v>0.75</v>
          </cell>
          <cell r="I3674" t="str">
            <v>--</v>
          </cell>
          <cell r="J3674">
            <v>2</v>
          </cell>
          <cell r="K3674">
            <v>2</v>
          </cell>
        </row>
        <row r="3675">
          <cell r="A3675" t="str">
            <v>M2</v>
          </cell>
          <cell r="B3675" t="str">
            <v>A5C</v>
          </cell>
          <cell r="C3675" t="str">
            <v>P</v>
          </cell>
          <cell r="D3675" t="str">
            <v>23112</v>
          </cell>
          <cell r="E3675" t="str">
            <v>SW FLG</v>
          </cell>
          <cell r="F3675">
            <v>3</v>
          </cell>
          <cell r="G3675" t="str">
            <v>CB240108000T00</v>
          </cell>
          <cell r="H3675">
            <v>0.75</v>
          </cell>
          <cell r="I3675" t="str">
            <v>--</v>
          </cell>
          <cell r="J3675">
            <v>1</v>
          </cell>
          <cell r="K3675">
            <v>1</v>
          </cell>
        </row>
        <row r="3676">
          <cell r="A3676" t="str">
            <v>M2</v>
          </cell>
          <cell r="B3676" t="str">
            <v>A5C</v>
          </cell>
          <cell r="C3676" t="str">
            <v>P</v>
          </cell>
          <cell r="D3676" t="str">
            <v>23141</v>
          </cell>
          <cell r="E3676" t="str">
            <v>SW FLG</v>
          </cell>
          <cell r="F3676">
            <v>3</v>
          </cell>
          <cell r="G3676" t="str">
            <v>CB240208000T00</v>
          </cell>
          <cell r="H3676">
            <v>0.75</v>
          </cell>
          <cell r="I3676" t="str">
            <v>--</v>
          </cell>
          <cell r="J3676">
            <v>5</v>
          </cell>
          <cell r="K3676">
            <v>5</v>
          </cell>
        </row>
        <row r="3677">
          <cell r="A3677" t="str">
            <v>M2</v>
          </cell>
          <cell r="B3677" t="str">
            <v>A5C</v>
          </cell>
          <cell r="C3677" t="str">
            <v>P</v>
          </cell>
          <cell r="D3677" t="str">
            <v>23149</v>
          </cell>
          <cell r="E3677" t="str">
            <v>SW FLG</v>
          </cell>
          <cell r="F3677">
            <v>3</v>
          </cell>
          <cell r="G3677" t="str">
            <v>CB240208000T00</v>
          </cell>
          <cell r="H3677">
            <v>0.75</v>
          </cell>
          <cell r="I3677" t="str">
            <v>--</v>
          </cell>
          <cell r="J3677">
            <v>2</v>
          </cell>
          <cell r="K3677">
            <v>2</v>
          </cell>
        </row>
        <row r="3678">
          <cell r="A3678" t="str">
            <v>M2</v>
          </cell>
          <cell r="B3678" t="str">
            <v>A5C</v>
          </cell>
          <cell r="C3678" t="str">
            <v>P</v>
          </cell>
          <cell r="D3678" t="str">
            <v>23238</v>
          </cell>
          <cell r="E3678" t="str">
            <v>SW FLG</v>
          </cell>
          <cell r="F3678">
            <v>3</v>
          </cell>
          <cell r="G3678" t="str">
            <v>CB240208000T00</v>
          </cell>
          <cell r="H3678">
            <v>0.75</v>
          </cell>
          <cell r="I3678" t="str">
            <v>--</v>
          </cell>
          <cell r="J3678">
            <v>2</v>
          </cell>
          <cell r="K3678">
            <v>2</v>
          </cell>
        </row>
        <row r="3679">
          <cell r="A3679" t="str">
            <v>M2</v>
          </cell>
          <cell r="B3679" t="str">
            <v>A5C</v>
          </cell>
          <cell r="C3679" t="str">
            <v>P</v>
          </cell>
          <cell r="D3679" t="str">
            <v>24024</v>
          </cell>
          <cell r="E3679" t="str">
            <v>SW FLG</v>
          </cell>
          <cell r="F3679">
            <v>3</v>
          </cell>
          <cell r="G3679" t="str">
            <v>CB240108000T00</v>
          </cell>
          <cell r="H3679">
            <v>0.75</v>
          </cell>
          <cell r="I3679" t="str">
            <v>--</v>
          </cell>
          <cell r="J3679">
            <v>2</v>
          </cell>
          <cell r="K3679">
            <v>2</v>
          </cell>
        </row>
        <row r="3680">
          <cell r="A3680" t="str">
            <v>M2</v>
          </cell>
          <cell r="B3680" t="str">
            <v>A5C</v>
          </cell>
          <cell r="C3680" t="str">
            <v>P</v>
          </cell>
          <cell r="D3680" t="str">
            <v>24024</v>
          </cell>
          <cell r="E3680" t="str">
            <v>SW FLG</v>
          </cell>
          <cell r="F3680">
            <v>3</v>
          </cell>
          <cell r="G3680" t="str">
            <v>CB240208000T00</v>
          </cell>
          <cell r="H3680">
            <v>0.75</v>
          </cell>
          <cell r="I3680" t="str">
            <v>--</v>
          </cell>
          <cell r="J3680">
            <v>2</v>
          </cell>
          <cell r="K3680">
            <v>2</v>
          </cell>
        </row>
        <row r="3681">
          <cell r="A3681" t="str">
            <v>M2</v>
          </cell>
          <cell r="B3681" t="str">
            <v>A5C</v>
          </cell>
          <cell r="C3681" t="str">
            <v>P</v>
          </cell>
          <cell r="D3681" t="str">
            <v>23183</v>
          </cell>
          <cell r="E3681" t="str">
            <v>SW FLG</v>
          </cell>
          <cell r="F3681">
            <v>3</v>
          </cell>
          <cell r="G3681" t="str">
            <v>CB240108000T00</v>
          </cell>
          <cell r="H3681">
            <v>0.75</v>
          </cell>
          <cell r="I3681" t="str">
            <v>--</v>
          </cell>
          <cell r="J3681">
            <v>2</v>
          </cell>
          <cell r="K3681">
            <v>2</v>
          </cell>
        </row>
        <row r="3682">
          <cell r="A3682" t="str">
            <v>M2</v>
          </cell>
          <cell r="B3682" t="str">
            <v>A5C</v>
          </cell>
          <cell r="C3682" t="str">
            <v>P</v>
          </cell>
          <cell r="D3682" t="str">
            <v>23059</v>
          </cell>
          <cell r="E3682" t="str">
            <v>SW FLG</v>
          </cell>
          <cell r="F3682">
            <v>3</v>
          </cell>
          <cell r="G3682" t="str">
            <v>CB240108000T00</v>
          </cell>
          <cell r="H3682">
            <v>0.75</v>
          </cell>
          <cell r="I3682" t="str">
            <v>--</v>
          </cell>
          <cell r="J3682">
            <v>2</v>
          </cell>
          <cell r="K3682">
            <v>2</v>
          </cell>
        </row>
        <row r="3683">
          <cell r="A3683" t="str">
            <v>M2</v>
          </cell>
          <cell r="B3683" t="str">
            <v>A5C</v>
          </cell>
          <cell r="C3683" t="str">
            <v>P</v>
          </cell>
          <cell r="D3683" t="str">
            <v>23059</v>
          </cell>
          <cell r="E3683" t="str">
            <v>SW FLG</v>
          </cell>
          <cell r="F3683">
            <v>3</v>
          </cell>
          <cell r="G3683" t="str">
            <v>CB240208000T00</v>
          </cell>
          <cell r="H3683">
            <v>0.75</v>
          </cell>
          <cell r="I3683" t="str">
            <v>--</v>
          </cell>
          <cell r="J3683">
            <v>2</v>
          </cell>
          <cell r="K3683">
            <v>2</v>
          </cell>
        </row>
        <row r="3684">
          <cell r="A3684" t="str">
            <v>M2</v>
          </cell>
          <cell r="B3684" t="str">
            <v>A5C</v>
          </cell>
          <cell r="C3684" t="str">
            <v>P</v>
          </cell>
          <cell r="D3684" t="str">
            <v>23018</v>
          </cell>
          <cell r="E3684" t="str">
            <v>SW FLG</v>
          </cell>
          <cell r="F3684">
            <v>3</v>
          </cell>
          <cell r="G3684" t="str">
            <v>CB240208000T00</v>
          </cell>
          <cell r="H3684">
            <v>0.75</v>
          </cell>
          <cell r="I3684" t="str">
            <v>--</v>
          </cell>
          <cell r="J3684">
            <v>2</v>
          </cell>
          <cell r="K3684">
            <v>2</v>
          </cell>
        </row>
        <row r="3685">
          <cell r="A3685" t="str">
            <v>M2</v>
          </cell>
          <cell r="B3685" t="str">
            <v>A5C</v>
          </cell>
          <cell r="C3685" t="str">
            <v>P</v>
          </cell>
          <cell r="D3685" t="str">
            <v>23028</v>
          </cell>
          <cell r="E3685" t="str">
            <v>SW FLG</v>
          </cell>
          <cell r="F3685">
            <v>3</v>
          </cell>
          <cell r="G3685" t="str">
            <v>CB240108000T00</v>
          </cell>
          <cell r="H3685">
            <v>0.75</v>
          </cell>
          <cell r="I3685" t="str">
            <v>--</v>
          </cell>
          <cell r="J3685">
            <v>1</v>
          </cell>
          <cell r="K3685">
            <v>1</v>
          </cell>
        </row>
        <row r="3686">
          <cell r="A3686" t="str">
            <v>M2</v>
          </cell>
          <cell r="B3686" t="str">
            <v>A5C</v>
          </cell>
          <cell r="C3686" t="str">
            <v>P</v>
          </cell>
          <cell r="D3686" t="str">
            <v>23048</v>
          </cell>
          <cell r="E3686" t="str">
            <v>SW FLG</v>
          </cell>
          <cell r="F3686">
            <v>3</v>
          </cell>
          <cell r="G3686" t="str">
            <v>CB240108000T00</v>
          </cell>
          <cell r="H3686">
            <v>0.75</v>
          </cell>
          <cell r="I3686" t="str">
            <v>--</v>
          </cell>
          <cell r="J3686">
            <v>2</v>
          </cell>
          <cell r="K3686">
            <v>2</v>
          </cell>
        </row>
        <row r="3687">
          <cell r="A3687" t="str">
            <v>M2</v>
          </cell>
          <cell r="B3687" t="str">
            <v>A5C</v>
          </cell>
          <cell r="C3687" t="str">
            <v>P</v>
          </cell>
          <cell r="D3687" t="str">
            <v>23048</v>
          </cell>
          <cell r="E3687" t="str">
            <v>SW FLG</v>
          </cell>
          <cell r="F3687">
            <v>3</v>
          </cell>
          <cell r="G3687" t="str">
            <v>CB240208000T00</v>
          </cell>
          <cell r="H3687">
            <v>0.75</v>
          </cell>
          <cell r="I3687" t="str">
            <v>--</v>
          </cell>
          <cell r="J3687">
            <v>2</v>
          </cell>
          <cell r="K3687">
            <v>2</v>
          </cell>
        </row>
        <row r="3688">
          <cell r="A3688" t="str">
            <v>M2</v>
          </cell>
          <cell r="B3688" t="str">
            <v>A5C</v>
          </cell>
          <cell r="C3688" t="str">
            <v>P</v>
          </cell>
          <cell r="D3688" t="str">
            <v>23048</v>
          </cell>
          <cell r="E3688" t="str">
            <v>SW FLG</v>
          </cell>
          <cell r="F3688">
            <v>3</v>
          </cell>
          <cell r="G3688" t="str">
            <v>CB240108000T00</v>
          </cell>
          <cell r="H3688">
            <v>0.75</v>
          </cell>
          <cell r="I3688" t="str">
            <v>--</v>
          </cell>
          <cell r="J3688">
            <v>1</v>
          </cell>
          <cell r="K3688">
            <v>1</v>
          </cell>
        </row>
        <row r="3689">
          <cell r="A3689" t="str">
            <v>M2</v>
          </cell>
          <cell r="B3689" t="str">
            <v>A5C</v>
          </cell>
          <cell r="C3689" t="str">
            <v>P</v>
          </cell>
          <cell r="D3689" t="str">
            <v>23065</v>
          </cell>
          <cell r="E3689" t="str">
            <v>SW FLG</v>
          </cell>
          <cell r="F3689">
            <v>3</v>
          </cell>
          <cell r="G3689" t="str">
            <v>CB240108000T00</v>
          </cell>
          <cell r="H3689">
            <v>0.75</v>
          </cell>
          <cell r="I3689" t="str">
            <v>--</v>
          </cell>
          <cell r="J3689">
            <v>1</v>
          </cell>
          <cell r="K3689">
            <v>1</v>
          </cell>
        </row>
        <row r="3690">
          <cell r="A3690" t="str">
            <v>M2</v>
          </cell>
          <cell r="B3690" t="str">
            <v>A5C</v>
          </cell>
          <cell r="C3690" t="str">
            <v>P</v>
          </cell>
          <cell r="D3690" t="str">
            <v>23074</v>
          </cell>
          <cell r="E3690" t="str">
            <v>SW FLG</v>
          </cell>
          <cell r="F3690">
            <v>3</v>
          </cell>
          <cell r="G3690" t="str">
            <v>CB240108000T00</v>
          </cell>
          <cell r="H3690">
            <v>0.75</v>
          </cell>
          <cell r="I3690" t="str">
            <v>--</v>
          </cell>
          <cell r="J3690">
            <v>2</v>
          </cell>
          <cell r="K3690">
            <v>2</v>
          </cell>
        </row>
        <row r="3691">
          <cell r="A3691" t="str">
            <v>M2</v>
          </cell>
          <cell r="B3691" t="str">
            <v>A5C</v>
          </cell>
          <cell r="C3691" t="str">
            <v>P</v>
          </cell>
          <cell r="D3691" t="str">
            <v>23080</v>
          </cell>
          <cell r="E3691" t="str">
            <v>SW FLG</v>
          </cell>
          <cell r="F3691">
            <v>3</v>
          </cell>
          <cell r="G3691" t="str">
            <v>CB240208000T00</v>
          </cell>
          <cell r="H3691">
            <v>0.75</v>
          </cell>
          <cell r="I3691" t="str">
            <v>--</v>
          </cell>
          <cell r="J3691">
            <v>2</v>
          </cell>
          <cell r="K3691">
            <v>2</v>
          </cell>
        </row>
        <row r="3692">
          <cell r="A3692" t="str">
            <v>M2</v>
          </cell>
          <cell r="B3692" t="str">
            <v>A5C</v>
          </cell>
          <cell r="C3692" t="str">
            <v>P</v>
          </cell>
          <cell r="D3692" t="str">
            <v>23080</v>
          </cell>
          <cell r="E3692" t="str">
            <v>SW FLG</v>
          </cell>
          <cell r="F3692">
            <v>3</v>
          </cell>
          <cell r="G3692" t="str">
            <v>CB240108000T00</v>
          </cell>
          <cell r="H3692">
            <v>0.75</v>
          </cell>
          <cell r="I3692" t="str">
            <v>--</v>
          </cell>
          <cell r="J3692">
            <v>1</v>
          </cell>
          <cell r="K3692">
            <v>1</v>
          </cell>
        </row>
        <row r="3693">
          <cell r="A3693" t="str">
            <v>M2</v>
          </cell>
          <cell r="B3693" t="str">
            <v>A5C</v>
          </cell>
          <cell r="C3693" t="str">
            <v>P</v>
          </cell>
          <cell r="D3693" t="str">
            <v>23155</v>
          </cell>
          <cell r="E3693" t="str">
            <v>SW FLG</v>
          </cell>
          <cell r="F3693">
            <v>3</v>
          </cell>
          <cell r="G3693" t="str">
            <v>CB240108000T00</v>
          </cell>
          <cell r="H3693">
            <v>0.75</v>
          </cell>
          <cell r="I3693" t="str">
            <v>--</v>
          </cell>
          <cell r="J3693">
            <v>1</v>
          </cell>
          <cell r="K3693">
            <v>1</v>
          </cell>
        </row>
        <row r="3694">
          <cell r="A3694" t="str">
            <v>M2</v>
          </cell>
          <cell r="B3694" t="str">
            <v>A5C</v>
          </cell>
          <cell r="C3694" t="str">
            <v>P</v>
          </cell>
          <cell r="D3694" t="str">
            <v>23163</v>
          </cell>
          <cell r="E3694" t="str">
            <v>SW FLG</v>
          </cell>
          <cell r="F3694">
            <v>3</v>
          </cell>
          <cell r="G3694" t="str">
            <v>CB240108000T00</v>
          </cell>
          <cell r="H3694">
            <v>0.75</v>
          </cell>
          <cell r="I3694" t="str">
            <v>--</v>
          </cell>
          <cell r="J3694">
            <v>1</v>
          </cell>
          <cell r="K3694">
            <v>1</v>
          </cell>
        </row>
        <row r="3695">
          <cell r="A3695" t="str">
            <v>M2</v>
          </cell>
          <cell r="B3695" t="str">
            <v>A5C</v>
          </cell>
          <cell r="C3695" t="str">
            <v>P</v>
          </cell>
          <cell r="D3695" t="str">
            <v>23173</v>
          </cell>
          <cell r="E3695" t="str">
            <v>SW FLG</v>
          </cell>
          <cell r="F3695">
            <v>3</v>
          </cell>
          <cell r="G3695" t="str">
            <v>CB240108000T00</v>
          </cell>
          <cell r="H3695">
            <v>0.75</v>
          </cell>
          <cell r="I3695" t="str">
            <v>--</v>
          </cell>
          <cell r="J3695">
            <v>4</v>
          </cell>
          <cell r="K3695">
            <v>4</v>
          </cell>
        </row>
        <row r="3696">
          <cell r="A3696" t="str">
            <v>M2</v>
          </cell>
          <cell r="B3696" t="str">
            <v>A5C</v>
          </cell>
          <cell r="C3696" t="str">
            <v>P</v>
          </cell>
          <cell r="D3696" t="str">
            <v>23184</v>
          </cell>
          <cell r="E3696" t="str">
            <v>SW FLG</v>
          </cell>
          <cell r="F3696">
            <v>3</v>
          </cell>
          <cell r="G3696" t="str">
            <v>CB240108000T00</v>
          </cell>
          <cell r="H3696">
            <v>0.75</v>
          </cell>
          <cell r="I3696" t="str">
            <v>--</v>
          </cell>
          <cell r="J3696">
            <v>1</v>
          </cell>
          <cell r="K3696">
            <v>1</v>
          </cell>
        </row>
        <row r="3697">
          <cell r="A3697" t="str">
            <v>M2</v>
          </cell>
          <cell r="B3697" t="str">
            <v>A5C</v>
          </cell>
          <cell r="C3697" t="str">
            <v>P</v>
          </cell>
          <cell r="D3697" t="str">
            <v>23191</v>
          </cell>
          <cell r="E3697" t="str">
            <v>SW FLG</v>
          </cell>
          <cell r="F3697">
            <v>3</v>
          </cell>
          <cell r="G3697" t="str">
            <v>CB240108000T00</v>
          </cell>
          <cell r="H3697">
            <v>0.75</v>
          </cell>
          <cell r="I3697" t="str">
            <v>--</v>
          </cell>
          <cell r="J3697">
            <v>4</v>
          </cell>
          <cell r="K3697">
            <v>4</v>
          </cell>
        </row>
        <row r="3698">
          <cell r="A3698" t="str">
            <v>M2</v>
          </cell>
          <cell r="B3698" t="str">
            <v>A5C</v>
          </cell>
          <cell r="C3698" t="str">
            <v>P</v>
          </cell>
          <cell r="D3698" t="str">
            <v>23193</v>
          </cell>
          <cell r="E3698" t="str">
            <v>SW FLG</v>
          </cell>
          <cell r="F3698">
            <v>3</v>
          </cell>
          <cell r="G3698" t="str">
            <v>CB240108000T00</v>
          </cell>
          <cell r="H3698">
            <v>0.75</v>
          </cell>
          <cell r="I3698" t="str">
            <v>--</v>
          </cell>
          <cell r="J3698">
            <v>1</v>
          </cell>
          <cell r="K3698">
            <v>1</v>
          </cell>
        </row>
        <row r="3699">
          <cell r="A3699" t="str">
            <v>M2</v>
          </cell>
          <cell r="B3699" t="str">
            <v>A5C</v>
          </cell>
          <cell r="C3699" t="str">
            <v>P</v>
          </cell>
          <cell r="D3699" t="str">
            <v>24016</v>
          </cell>
          <cell r="E3699" t="str">
            <v>SW FLG</v>
          </cell>
          <cell r="F3699">
            <v>3</v>
          </cell>
          <cell r="G3699" t="str">
            <v>CB240108000T00</v>
          </cell>
          <cell r="H3699">
            <v>0.75</v>
          </cell>
          <cell r="I3699" t="str">
            <v>--</v>
          </cell>
          <cell r="J3699">
            <v>2</v>
          </cell>
          <cell r="K3699">
            <v>2</v>
          </cell>
        </row>
        <row r="3700">
          <cell r="A3700" t="str">
            <v>M2</v>
          </cell>
          <cell r="B3700" t="str">
            <v>A5C</v>
          </cell>
          <cell r="C3700" t="str">
            <v>P</v>
          </cell>
          <cell r="D3700" t="str">
            <v>24016</v>
          </cell>
          <cell r="E3700" t="str">
            <v>SW FLG</v>
          </cell>
          <cell r="F3700">
            <v>3</v>
          </cell>
          <cell r="G3700" t="str">
            <v>CB240208000T00</v>
          </cell>
          <cell r="H3700">
            <v>0.75</v>
          </cell>
          <cell r="I3700" t="str">
            <v>--</v>
          </cell>
          <cell r="J3700">
            <v>2</v>
          </cell>
          <cell r="K3700">
            <v>2</v>
          </cell>
        </row>
        <row r="3701">
          <cell r="A3701" t="str">
            <v>M2</v>
          </cell>
          <cell r="B3701" t="str">
            <v>A5C</v>
          </cell>
          <cell r="C3701" t="str">
            <v>P</v>
          </cell>
          <cell r="D3701" t="str">
            <v>24017</v>
          </cell>
          <cell r="E3701" t="str">
            <v>SW FLG</v>
          </cell>
          <cell r="F3701">
            <v>3</v>
          </cell>
          <cell r="G3701" t="str">
            <v>CB240208000T00</v>
          </cell>
          <cell r="H3701">
            <v>0.75</v>
          </cell>
          <cell r="I3701" t="str">
            <v>--</v>
          </cell>
          <cell r="J3701">
            <v>2</v>
          </cell>
          <cell r="K3701">
            <v>2</v>
          </cell>
        </row>
        <row r="3702">
          <cell r="A3702" t="str">
            <v>M2</v>
          </cell>
          <cell r="B3702" t="str">
            <v>A5C</v>
          </cell>
          <cell r="C3702" t="str">
            <v>P</v>
          </cell>
          <cell r="D3702" t="str">
            <v>24018</v>
          </cell>
          <cell r="E3702" t="str">
            <v>SW FLG</v>
          </cell>
          <cell r="F3702">
            <v>3</v>
          </cell>
          <cell r="G3702" t="str">
            <v>CB240208000T00</v>
          </cell>
          <cell r="H3702">
            <v>0.75</v>
          </cell>
          <cell r="I3702" t="str">
            <v>--</v>
          </cell>
          <cell r="J3702">
            <v>2</v>
          </cell>
          <cell r="K3702">
            <v>2</v>
          </cell>
        </row>
        <row r="3703">
          <cell r="A3703" t="str">
            <v>M2</v>
          </cell>
          <cell r="B3703" t="str">
            <v>A5C</v>
          </cell>
          <cell r="C3703" t="str">
            <v>P</v>
          </cell>
          <cell r="D3703" t="str">
            <v>23027</v>
          </cell>
          <cell r="E3703" t="str">
            <v>SW FLG</v>
          </cell>
          <cell r="F3703">
            <v>3</v>
          </cell>
          <cell r="G3703" t="str">
            <v>CB240208000T00</v>
          </cell>
          <cell r="H3703">
            <v>0.75</v>
          </cell>
          <cell r="I3703" t="str">
            <v>--</v>
          </cell>
          <cell r="J3703">
            <v>2</v>
          </cell>
          <cell r="K3703">
            <v>2</v>
          </cell>
        </row>
        <row r="3704">
          <cell r="A3704" t="str">
            <v>M2</v>
          </cell>
          <cell r="B3704" t="str">
            <v>A5C</v>
          </cell>
          <cell r="C3704" t="str">
            <v>P</v>
          </cell>
          <cell r="D3704" t="str">
            <v>23028</v>
          </cell>
          <cell r="E3704" t="str">
            <v>SW FLG</v>
          </cell>
          <cell r="F3704">
            <v>3</v>
          </cell>
          <cell r="G3704" t="str">
            <v>CB240208000T00</v>
          </cell>
          <cell r="H3704">
            <v>0.75</v>
          </cell>
          <cell r="I3704" t="str">
            <v>--</v>
          </cell>
          <cell r="J3704">
            <v>2</v>
          </cell>
          <cell r="K3704">
            <v>2</v>
          </cell>
        </row>
        <row r="3705">
          <cell r="A3705" t="str">
            <v>M2</v>
          </cell>
          <cell r="B3705" t="str">
            <v>A5C</v>
          </cell>
          <cell r="C3705" t="str">
            <v>P</v>
          </cell>
          <cell r="D3705" t="str">
            <v>23053</v>
          </cell>
          <cell r="E3705" t="str">
            <v>SW FLG</v>
          </cell>
          <cell r="F3705">
            <v>3</v>
          </cell>
          <cell r="G3705" t="str">
            <v>CB240208000T00</v>
          </cell>
          <cell r="H3705">
            <v>0.75</v>
          </cell>
          <cell r="I3705" t="str">
            <v>--</v>
          </cell>
          <cell r="J3705">
            <v>2</v>
          </cell>
          <cell r="K3705">
            <v>2</v>
          </cell>
        </row>
        <row r="3706">
          <cell r="A3706" t="str">
            <v>M2</v>
          </cell>
          <cell r="B3706" t="str">
            <v>A5C</v>
          </cell>
          <cell r="C3706" t="str">
            <v>P</v>
          </cell>
          <cell r="D3706" t="str">
            <v>23053</v>
          </cell>
          <cell r="E3706" t="str">
            <v>SW FLG</v>
          </cell>
          <cell r="F3706">
            <v>3</v>
          </cell>
          <cell r="G3706" t="str">
            <v>CB240108000T00</v>
          </cell>
          <cell r="H3706">
            <v>0.75</v>
          </cell>
          <cell r="I3706" t="str">
            <v>--</v>
          </cell>
          <cell r="J3706">
            <v>1</v>
          </cell>
          <cell r="K3706">
            <v>1</v>
          </cell>
        </row>
        <row r="3707">
          <cell r="A3707" t="str">
            <v>M2</v>
          </cell>
          <cell r="B3707" t="str">
            <v>A5C</v>
          </cell>
          <cell r="C3707" t="str">
            <v>P</v>
          </cell>
          <cell r="D3707" t="str">
            <v>23079</v>
          </cell>
          <cell r="E3707" t="str">
            <v>SW FLG</v>
          </cell>
          <cell r="F3707">
            <v>3</v>
          </cell>
          <cell r="G3707" t="str">
            <v>CB240108000T00</v>
          </cell>
          <cell r="H3707">
            <v>0.75</v>
          </cell>
          <cell r="I3707" t="str">
            <v>--</v>
          </cell>
          <cell r="J3707">
            <v>2</v>
          </cell>
          <cell r="K3707">
            <v>2</v>
          </cell>
        </row>
        <row r="3708">
          <cell r="A3708" t="str">
            <v>M2</v>
          </cell>
          <cell r="B3708" t="str">
            <v>A5C</v>
          </cell>
          <cell r="C3708" t="str">
            <v>P</v>
          </cell>
          <cell r="D3708" t="str">
            <v>23079</v>
          </cell>
          <cell r="E3708" t="str">
            <v>SW FLG</v>
          </cell>
          <cell r="F3708">
            <v>3</v>
          </cell>
          <cell r="G3708" t="str">
            <v>CB240208000T00</v>
          </cell>
          <cell r="H3708">
            <v>0.75</v>
          </cell>
          <cell r="I3708" t="str">
            <v>--</v>
          </cell>
          <cell r="J3708">
            <v>2</v>
          </cell>
          <cell r="K3708">
            <v>2</v>
          </cell>
        </row>
        <row r="3709">
          <cell r="A3709" t="str">
            <v>M2</v>
          </cell>
          <cell r="B3709" t="str">
            <v>A5C</v>
          </cell>
          <cell r="C3709" t="str">
            <v>P</v>
          </cell>
          <cell r="D3709" t="str">
            <v>23176</v>
          </cell>
          <cell r="E3709" t="str">
            <v>SW FLG</v>
          </cell>
          <cell r="F3709">
            <v>3</v>
          </cell>
          <cell r="G3709" t="str">
            <v>CB240108000T00</v>
          </cell>
          <cell r="H3709">
            <v>0.75</v>
          </cell>
          <cell r="I3709" t="str">
            <v>--</v>
          </cell>
          <cell r="J3709">
            <v>1</v>
          </cell>
          <cell r="K3709">
            <v>1</v>
          </cell>
        </row>
        <row r="3710">
          <cell r="A3710" t="str">
            <v>M2</v>
          </cell>
          <cell r="B3710" t="str">
            <v>A5C</v>
          </cell>
          <cell r="C3710" t="str">
            <v>P</v>
          </cell>
          <cell r="D3710" t="str">
            <v>23180</v>
          </cell>
          <cell r="E3710" t="str">
            <v>SW FLG</v>
          </cell>
          <cell r="F3710">
            <v>3</v>
          </cell>
          <cell r="G3710" t="str">
            <v>CB240108000T00</v>
          </cell>
          <cell r="H3710">
            <v>0.75</v>
          </cell>
          <cell r="I3710" t="str">
            <v>--</v>
          </cell>
          <cell r="J3710">
            <v>4</v>
          </cell>
          <cell r="K3710">
            <v>4</v>
          </cell>
        </row>
        <row r="3711">
          <cell r="A3711" t="str">
            <v>M2</v>
          </cell>
          <cell r="B3711" t="str">
            <v>A5C</v>
          </cell>
          <cell r="C3711" t="str">
            <v>P</v>
          </cell>
          <cell r="D3711" t="str">
            <v>23219</v>
          </cell>
          <cell r="E3711" t="str">
            <v>SW FLG</v>
          </cell>
          <cell r="F3711">
            <v>3</v>
          </cell>
          <cell r="G3711" t="str">
            <v>CB240108000T00</v>
          </cell>
          <cell r="H3711">
            <v>0.75</v>
          </cell>
          <cell r="I3711" t="str">
            <v>--</v>
          </cell>
          <cell r="J3711">
            <v>2</v>
          </cell>
          <cell r="K3711">
            <v>2</v>
          </cell>
        </row>
        <row r="3712">
          <cell r="A3712" t="str">
            <v>M2</v>
          </cell>
          <cell r="B3712" t="str">
            <v>A5C</v>
          </cell>
          <cell r="C3712" t="str">
            <v>TRIM</v>
          </cell>
          <cell r="D3712" t="str">
            <v>V-2403</v>
          </cell>
          <cell r="E3712" t="str">
            <v>SW FLG</v>
          </cell>
          <cell r="F3712">
            <v>3</v>
          </cell>
          <cell r="G3712" t="str">
            <v>CB240108000T00</v>
          </cell>
          <cell r="H3712">
            <v>0.75</v>
          </cell>
          <cell r="I3712" t="str">
            <v>--</v>
          </cell>
          <cell r="J3712">
            <v>2</v>
          </cell>
          <cell r="K3712">
            <v>2</v>
          </cell>
        </row>
        <row r="3713">
          <cell r="A3713" t="str">
            <v>M2</v>
          </cell>
          <cell r="B3713" t="str">
            <v>A5C</v>
          </cell>
          <cell r="C3713" t="str">
            <v>P</v>
          </cell>
          <cell r="D3713" t="str">
            <v>23013</v>
          </cell>
          <cell r="E3713" t="str">
            <v>SW FLG</v>
          </cell>
          <cell r="F3713">
            <v>3</v>
          </cell>
          <cell r="G3713" t="str">
            <v>CB240108000T00</v>
          </cell>
          <cell r="H3713">
            <v>0.75</v>
          </cell>
          <cell r="I3713" t="str">
            <v>--</v>
          </cell>
          <cell r="J3713">
            <v>3</v>
          </cell>
          <cell r="K3713">
            <v>3</v>
          </cell>
        </row>
        <row r="3714">
          <cell r="A3714" t="str">
            <v>M2</v>
          </cell>
          <cell r="B3714" t="str">
            <v>A5C</v>
          </cell>
          <cell r="C3714" t="str">
            <v>P</v>
          </cell>
          <cell r="D3714" t="str">
            <v>23156</v>
          </cell>
          <cell r="E3714" t="str">
            <v>SW FLG</v>
          </cell>
          <cell r="F3714">
            <v>3</v>
          </cell>
          <cell r="G3714" t="str">
            <v>CB240208000T00</v>
          </cell>
          <cell r="H3714">
            <v>0.75</v>
          </cell>
          <cell r="I3714" t="str">
            <v>--</v>
          </cell>
          <cell r="J3714">
            <v>2</v>
          </cell>
          <cell r="K3714">
            <v>2</v>
          </cell>
        </row>
        <row r="3715">
          <cell r="A3715" t="str">
            <v>M2</v>
          </cell>
          <cell r="B3715" t="str">
            <v>A5C</v>
          </cell>
          <cell r="C3715" t="str">
            <v>P</v>
          </cell>
          <cell r="D3715" t="str">
            <v>24004</v>
          </cell>
          <cell r="E3715" t="str">
            <v>SW FLG</v>
          </cell>
          <cell r="F3715">
            <v>3</v>
          </cell>
          <cell r="G3715" t="str">
            <v>CB240108000T00</v>
          </cell>
          <cell r="H3715">
            <v>0.75</v>
          </cell>
          <cell r="I3715" t="str">
            <v>--</v>
          </cell>
          <cell r="J3715">
            <v>2</v>
          </cell>
          <cell r="K3715">
            <v>2</v>
          </cell>
        </row>
        <row r="3716">
          <cell r="A3716" t="str">
            <v>M2</v>
          </cell>
          <cell r="B3716" t="str">
            <v>A5C</v>
          </cell>
          <cell r="C3716" t="str">
            <v>P</v>
          </cell>
          <cell r="D3716" t="str">
            <v>24029</v>
          </cell>
          <cell r="E3716" t="str">
            <v>SW FLG</v>
          </cell>
          <cell r="F3716">
            <v>3</v>
          </cell>
          <cell r="G3716" t="str">
            <v>CB240108000T00</v>
          </cell>
          <cell r="H3716">
            <v>0.75</v>
          </cell>
          <cell r="I3716" t="str">
            <v>--</v>
          </cell>
          <cell r="J3716">
            <v>2</v>
          </cell>
          <cell r="K3716">
            <v>2</v>
          </cell>
        </row>
        <row r="3717">
          <cell r="A3717" t="str">
            <v>M2</v>
          </cell>
          <cell r="B3717" t="str">
            <v>A5C</v>
          </cell>
          <cell r="C3717" t="str">
            <v>P</v>
          </cell>
          <cell r="D3717" t="str">
            <v>24031</v>
          </cell>
          <cell r="E3717" t="str">
            <v>SW FLG</v>
          </cell>
          <cell r="F3717">
            <v>3</v>
          </cell>
          <cell r="G3717" t="str">
            <v>CB240108000T00</v>
          </cell>
          <cell r="H3717">
            <v>0.75</v>
          </cell>
          <cell r="I3717" t="str">
            <v>--</v>
          </cell>
          <cell r="J3717">
            <v>2</v>
          </cell>
          <cell r="K3717">
            <v>2</v>
          </cell>
        </row>
        <row r="3718">
          <cell r="A3718" t="str">
            <v>M2</v>
          </cell>
          <cell r="B3718" t="str">
            <v>A5C</v>
          </cell>
          <cell r="C3718" t="str">
            <v>P</v>
          </cell>
          <cell r="D3718" t="str">
            <v>24033</v>
          </cell>
          <cell r="E3718" t="str">
            <v>SW FLG</v>
          </cell>
          <cell r="F3718">
            <v>3</v>
          </cell>
          <cell r="G3718" t="str">
            <v>CB240108000T00</v>
          </cell>
          <cell r="H3718">
            <v>0.75</v>
          </cell>
          <cell r="I3718" t="str">
            <v>--</v>
          </cell>
          <cell r="J3718">
            <v>2</v>
          </cell>
          <cell r="K3718">
            <v>2</v>
          </cell>
        </row>
        <row r="3719">
          <cell r="A3719" t="str">
            <v>M2</v>
          </cell>
          <cell r="B3719" t="str">
            <v>A5C</v>
          </cell>
          <cell r="C3719" t="str">
            <v>P</v>
          </cell>
          <cell r="D3719" t="str">
            <v>99004</v>
          </cell>
          <cell r="E3719" t="str">
            <v>SW FLG</v>
          </cell>
          <cell r="F3719">
            <v>3</v>
          </cell>
          <cell r="G3719" t="str">
            <v>CB240208000T00</v>
          </cell>
          <cell r="H3719">
            <v>0.75</v>
          </cell>
          <cell r="I3719" t="str">
            <v>--</v>
          </cell>
          <cell r="J3719">
            <v>2</v>
          </cell>
          <cell r="K3719">
            <v>2</v>
          </cell>
        </row>
        <row r="3720">
          <cell r="A3720" t="str">
            <v>M2</v>
          </cell>
          <cell r="B3720" t="str">
            <v>A5C</v>
          </cell>
          <cell r="C3720" t="str">
            <v>P</v>
          </cell>
          <cell r="D3720" t="str">
            <v>23156</v>
          </cell>
          <cell r="E3720" t="str">
            <v>SW FLG</v>
          </cell>
          <cell r="F3720">
            <v>3</v>
          </cell>
          <cell r="G3720" t="str">
            <v>CB240108000T00</v>
          </cell>
          <cell r="H3720">
            <v>0.75</v>
          </cell>
          <cell r="I3720" t="str">
            <v>--</v>
          </cell>
          <cell r="J3720">
            <v>1</v>
          </cell>
          <cell r="K3720">
            <v>1</v>
          </cell>
        </row>
        <row r="3721">
          <cell r="A3721" t="str">
            <v>M2</v>
          </cell>
          <cell r="B3721" t="str">
            <v>B2C</v>
          </cell>
          <cell r="C3721" t="str">
            <v>SH</v>
          </cell>
          <cell r="D3721" t="str">
            <v>23613</v>
          </cell>
          <cell r="E3721" t="str">
            <v>SW FLG</v>
          </cell>
          <cell r="F3721">
            <v>3</v>
          </cell>
          <cell r="G3721" t="str">
            <v>CB240208000100</v>
          </cell>
          <cell r="H3721">
            <v>1</v>
          </cell>
          <cell r="I3721" t="str">
            <v>--</v>
          </cell>
          <cell r="J3721">
            <v>1</v>
          </cell>
          <cell r="K3721">
            <v>1</v>
          </cell>
        </row>
        <row r="3722">
          <cell r="A3722" t="str">
            <v>M2</v>
          </cell>
          <cell r="B3722" t="str">
            <v>B2C</v>
          </cell>
          <cell r="C3722" t="str">
            <v>SH</v>
          </cell>
          <cell r="D3722" t="str">
            <v>24612</v>
          </cell>
          <cell r="E3722" t="str">
            <v>SW FLG</v>
          </cell>
          <cell r="F3722">
            <v>3</v>
          </cell>
          <cell r="G3722" t="str">
            <v>CB240208000100</v>
          </cell>
          <cell r="H3722">
            <v>1</v>
          </cell>
          <cell r="I3722" t="str">
            <v>--</v>
          </cell>
          <cell r="J3722">
            <v>1</v>
          </cell>
          <cell r="K3722">
            <v>1</v>
          </cell>
        </row>
        <row r="3723">
          <cell r="A3723" t="str">
            <v>M2</v>
          </cell>
          <cell r="B3723" t="str">
            <v>A5C</v>
          </cell>
          <cell r="C3723" t="str">
            <v>P</v>
          </cell>
          <cell r="D3723" t="str">
            <v>23011</v>
          </cell>
          <cell r="E3723" t="str">
            <v>LWN FLG</v>
          </cell>
          <cell r="F3723">
            <v>3</v>
          </cell>
          <cell r="G3723" t="str">
            <v>CB2901000001WL</v>
          </cell>
          <cell r="H3723">
            <v>1</v>
          </cell>
          <cell r="I3723" t="str">
            <v>150mm</v>
          </cell>
          <cell r="J3723">
            <v>1</v>
          </cell>
          <cell r="K3723">
            <v>1</v>
          </cell>
        </row>
        <row r="3724">
          <cell r="A3724" t="str">
            <v>M2</v>
          </cell>
          <cell r="B3724" t="str">
            <v>A5C</v>
          </cell>
          <cell r="C3724" t="str">
            <v>P</v>
          </cell>
          <cell r="D3724" t="str">
            <v>23057</v>
          </cell>
          <cell r="E3724" t="str">
            <v>LWN FLG</v>
          </cell>
          <cell r="F3724">
            <v>3</v>
          </cell>
          <cell r="G3724" t="str">
            <v>CB2901000001WL</v>
          </cell>
          <cell r="H3724">
            <v>1</v>
          </cell>
          <cell r="I3724" t="str">
            <v>150mm</v>
          </cell>
          <cell r="J3724">
            <v>1</v>
          </cell>
          <cell r="K3724">
            <v>1</v>
          </cell>
        </row>
        <row r="3725">
          <cell r="A3725" t="str">
            <v>M2</v>
          </cell>
          <cell r="B3725" t="str">
            <v>A5C</v>
          </cell>
          <cell r="C3725" t="str">
            <v>P</v>
          </cell>
          <cell r="D3725" t="str">
            <v>23067</v>
          </cell>
          <cell r="E3725" t="str">
            <v>LWN FLG</v>
          </cell>
          <cell r="F3725">
            <v>3</v>
          </cell>
          <cell r="G3725" t="str">
            <v>CB2901000001WL</v>
          </cell>
          <cell r="H3725">
            <v>1</v>
          </cell>
          <cell r="I3725" t="str">
            <v>150mm</v>
          </cell>
          <cell r="J3725">
            <v>1</v>
          </cell>
          <cell r="K3725">
            <v>1</v>
          </cell>
        </row>
        <row r="3726">
          <cell r="A3726" t="str">
            <v>M2</v>
          </cell>
          <cell r="B3726" t="str">
            <v>A5C</v>
          </cell>
          <cell r="C3726" t="str">
            <v>P</v>
          </cell>
          <cell r="D3726" t="str">
            <v>23072</v>
          </cell>
          <cell r="E3726" t="str">
            <v>LWN FLG</v>
          </cell>
          <cell r="F3726">
            <v>3</v>
          </cell>
          <cell r="G3726" t="str">
            <v>CB2901000001WL</v>
          </cell>
          <cell r="H3726">
            <v>1</v>
          </cell>
          <cell r="I3726" t="str">
            <v>150mm</v>
          </cell>
          <cell r="J3726">
            <v>1</v>
          </cell>
          <cell r="K3726">
            <v>1</v>
          </cell>
        </row>
        <row r="3727">
          <cell r="A3727" t="str">
            <v>M2</v>
          </cell>
          <cell r="B3727" t="str">
            <v>A5C</v>
          </cell>
          <cell r="C3727" t="str">
            <v>P</v>
          </cell>
          <cell r="D3727" t="str">
            <v>23097</v>
          </cell>
          <cell r="E3727" t="str">
            <v>LWN FLG</v>
          </cell>
          <cell r="F3727">
            <v>3</v>
          </cell>
          <cell r="G3727" t="str">
            <v>CB2901000001WL</v>
          </cell>
          <cell r="H3727">
            <v>1</v>
          </cell>
          <cell r="I3727" t="str">
            <v>150mm</v>
          </cell>
          <cell r="J3727">
            <v>1</v>
          </cell>
          <cell r="K3727">
            <v>1</v>
          </cell>
        </row>
        <row r="3728">
          <cell r="A3728" t="str">
            <v>M2</v>
          </cell>
          <cell r="B3728" t="str">
            <v>A5C</v>
          </cell>
          <cell r="C3728" t="str">
            <v>P</v>
          </cell>
          <cell r="D3728" t="str">
            <v>23136</v>
          </cell>
          <cell r="E3728" t="str">
            <v>LWN FLG</v>
          </cell>
          <cell r="F3728">
            <v>3</v>
          </cell>
          <cell r="G3728" t="str">
            <v>CB2901000001WL</v>
          </cell>
          <cell r="H3728">
            <v>1</v>
          </cell>
          <cell r="I3728" t="str">
            <v>150mm</v>
          </cell>
          <cell r="J3728">
            <v>1</v>
          </cell>
          <cell r="K3728">
            <v>1</v>
          </cell>
        </row>
        <row r="3729">
          <cell r="A3729" t="str">
            <v>M2</v>
          </cell>
          <cell r="B3729" t="str">
            <v>A5C</v>
          </cell>
          <cell r="C3729" t="str">
            <v>P</v>
          </cell>
          <cell r="D3729" t="str">
            <v>23228</v>
          </cell>
          <cell r="E3729" t="str">
            <v>LWN FLG</v>
          </cell>
          <cell r="F3729">
            <v>3</v>
          </cell>
          <cell r="G3729" t="str">
            <v>CB2901000001WL</v>
          </cell>
          <cell r="H3729">
            <v>1</v>
          </cell>
          <cell r="I3729" t="str">
            <v>150mm</v>
          </cell>
          <cell r="J3729">
            <v>1</v>
          </cell>
          <cell r="K3729">
            <v>1</v>
          </cell>
        </row>
        <row r="3730">
          <cell r="A3730" t="str">
            <v>M2</v>
          </cell>
          <cell r="B3730" t="str">
            <v>A5C</v>
          </cell>
          <cell r="C3730" t="str">
            <v>P</v>
          </cell>
          <cell r="D3730" t="str">
            <v>23250</v>
          </cell>
          <cell r="E3730" t="str">
            <v>LWN FLG</v>
          </cell>
          <cell r="F3730">
            <v>3</v>
          </cell>
          <cell r="G3730" t="str">
            <v>CB2901000001WL</v>
          </cell>
          <cell r="H3730">
            <v>1</v>
          </cell>
          <cell r="I3730" t="str">
            <v>150mm</v>
          </cell>
          <cell r="J3730">
            <v>1</v>
          </cell>
          <cell r="K3730">
            <v>1</v>
          </cell>
        </row>
        <row r="3731">
          <cell r="A3731" t="str">
            <v>M2</v>
          </cell>
          <cell r="B3731" t="str">
            <v>A5C</v>
          </cell>
          <cell r="C3731" t="str">
            <v>P</v>
          </cell>
          <cell r="D3731" t="str">
            <v>23035</v>
          </cell>
          <cell r="E3731" t="str">
            <v>LWN FLG</v>
          </cell>
          <cell r="F3731">
            <v>3</v>
          </cell>
          <cell r="G3731" t="str">
            <v>CB2901000001WL</v>
          </cell>
          <cell r="H3731">
            <v>1</v>
          </cell>
          <cell r="I3731" t="str">
            <v>150mm</v>
          </cell>
          <cell r="J3731">
            <v>1</v>
          </cell>
          <cell r="K3731">
            <v>1</v>
          </cell>
        </row>
        <row r="3732">
          <cell r="A3732" t="str">
            <v>M2</v>
          </cell>
          <cell r="B3732" t="str">
            <v>A5C</v>
          </cell>
          <cell r="C3732" t="str">
            <v>P</v>
          </cell>
          <cell r="D3732" t="str">
            <v>23046</v>
          </cell>
          <cell r="E3732" t="str">
            <v>LWN FLG</v>
          </cell>
          <cell r="F3732">
            <v>3</v>
          </cell>
          <cell r="G3732" t="str">
            <v>CB2901000001WL</v>
          </cell>
          <cell r="H3732">
            <v>1</v>
          </cell>
          <cell r="I3732" t="str">
            <v>150mm</v>
          </cell>
          <cell r="J3732">
            <v>1</v>
          </cell>
          <cell r="K3732">
            <v>1</v>
          </cell>
        </row>
        <row r="3733">
          <cell r="A3733" t="str">
            <v>M2</v>
          </cell>
          <cell r="B3733" t="str">
            <v>A5C</v>
          </cell>
          <cell r="C3733" t="str">
            <v>P</v>
          </cell>
          <cell r="D3733" t="str">
            <v>23126</v>
          </cell>
          <cell r="E3733" t="str">
            <v>LWN FLG</v>
          </cell>
          <cell r="F3733">
            <v>3</v>
          </cell>
          <cell r="G3733" t="str">
            <v>CB2901000001WL</v>
          </cell>
          <cell r="H3733">
            <v>1</v>
          </cell>
          <cell r="I3733" t="str">
            <v>150mm</v>
          </cell>
          <cell r="J3733">
            <v>1</v>
          </cell>
          <cell r="K3733">
            <v>1</v>
          </cell>
        </row>
        <row r="3734">
          <cell r="A3734" t="str">
            <v>M2</v>
          </cell>
          <cell r="B3734" t="str">
            <v>A5C</v>
          </cell>
          <cell r="C3734" t="str">
            <v>P</v>
          </cell>
          <cell r="D3734" t="str">
            <v>23188</v>
          </cell>
          <cell r="E3734" t="str">
            <v>LWN FLG</v>
          </cell>
          <cell r="F3734">
            <v>3</v>
          </cell>
          <cell r="G3734" t="str">
            <v>CB2901000001WL</v>
          </cell>
          <cell r="H3734">
            <v>1</v>
          </cell>
          <cell r="I3734" t="str">
            <v>150mm</v>
          </cell>
          <cell r="J3734">
            <v>1</v>
          </cell>
          <cell r="K3734">
            <v>1</v>
          </cell>
        </row>
        <row r="3735">
          <cell r="A3735" t="str">
            <v>M2</v>
          </cell>
          <cell r="B3735" t="str">
            <v>A5C</v>
          </cell>
          <cell r="C3735" t="str">
            <v>P</v>
          </cell>
          <cell r="D3735" t="str">
            <v>23230</v>
          </cell>
          <cell r="E3735" t="str">
            <v>LWN FLG</v>
          </cell>
          <cell r="F3735">
            <v>3</v>
          </cell>
          <cell r="G3735" t="str">
            <v>CB2901000001WL</v>
          </cell>
          <cell r="H3735">
            <v>1</v>
          </cell>
          <cell r="I3735" t="str">
            <v>150mm</v>
          </cell>
          <cell r="J3735">
            <v>1</v>
          </cell>
          <cell r="K3735">
            <v>1</v>
          </cell>
        </row>
        <row r="3736">
          <cell r="A3736" t="str">
            <v>M2</v>
          </cell>
          <cell r="B3736" t="str">
            <v>A5C</v>
          </cell>
          <cell r="C3736" t="str">
            <v>P</v>
          </cell>
          <cell r="D3736" t="str">
            <v>23252</v>
          </cell>
          <cell r="E3736" t="str">
            <v>LWN FLG</v>
          </cell>
          <cell r="F3736">
            <v>3</v>
          </cell>
          <cell r="G3736" t="str">
            <v>CB2901000001WL</v>
          </cell>
          <cell r="H3736">
            <v>1</v>
          </cell>
          <cell r="I3736" t="str">
            <v>150mm</v>
          </cell>
          <cell r="J3736">
            <v>1</v>
          </cell>
          <cell r="K3736">
            <v>1</v>
          </cell>
        </row>
        <row r="3737">
          <cell r="A3737" t="str">
            <v>M2</v>
          </cell>
          <cell r="B3737" t="str">
            <v>A5C</v>
          </cell>
          <cell r="C3737" t="str">
            <v>P</v>
          </cell>
          <cell r="D3737" t="str">
            <v>24013</v>
          </cell>
          <cell r="E3737" t="str">
            <v>LWN FLG</v>
          </cell>
          <cell r="F3737">
            <v>3</v>
          </cell>
          <cell r="G3737" t="str">
            <v>CB2901000001WL</v>
          </cell>
          <cell r="H3737">
            <v>1</v>
          </cell>
          <cell r="I3737" t="str">
            <v>150mm</v>
          </cell>
          <cell r="J3737">
            <v>1</v>
          </cell>
          <cell r="K3737">
            <v>1</v>
          </cell>
        </row>
        <row r="3738">
          <cell r="A3738" t="str">
            <v>M2</v>
          </cell>
          <cell r="B3738" t="str">
            <v>A5C</v>
          </cell>
          <cell r="C3738" t="str">
            <v>P</v>
          </cell>
          <cell r="D3738" t="str">
            <v>23006</v>
          </cell>
          <cell r="E3738" t="str">
            <v>SW FLG</v>
          </cell>
          <cell r="F3738">
            <v>3</v>
          </cell>
          <cell r="G3738" t="str">
            <v>CB240208000100</v>
          </cell>
          <cell r="H3738">
            <v>1</v>
          </cell>
          <cell r="I3738" t="str">
            <v>--</v>
          </cell>
          <cell r="J3738">
            <v>2</v>
          </cell>
          <cell r="K3738">
            <v>2</v>
          </cell>
        </row>
        <row r="3739">
          <cell r="A3739" t="str">
            <v>M2</v>
          </cell>
          <cell r="B3739" t="str">
            <v>A5C</v>
          </cell>
          <cell r="C3739" t="str">
            <v>P</v>
          </cell>
          <cell r="D3739" t="str">
            <v>23035</v>
          </cell>
          <cell r="E3739" t="str">
            <v>SW FLG</v>
          </cell>
          <cell r="F3739">
            <v>3</v>
          </cell>
          <cell r="G3739" t="str">
            <v>CB240208000100</v>
          </cell>
          <cell r="H3739">
            <v>1</v>
          </cell>
          <cell r="I3739" t="str">
            <v>--</v>
          </cell>
          <cell r="J3739">
            <v>2</v>
          </cell>
          <cell r="K3739">
            <v>2</v>
          </cell>
        </row>
        <row r="3740">
          <cell r="A3740" t="str">
            <v>M2</v>
          </cell>
          <cell r="B3740" t="str">
            <v>A5C</v>
          </cell>
          <cell r="C3740" t="str">
            <v>P</v>
          </cell>
          <cell r="D3740" t="str">
            <v>23037</v>
          </cell>
          <cell r="E3740" t="str">
            <v>SW FLG</v>
          </cell>
          <cell r="F3740">
            <v>3</v>
          </cell>
          <cell r="G3740" t="str">
            <v>CB240108000100</v>
          </cell>
          <cell r="H3740">
            <v>1</v>
          </cell>
          <cell r="I3740" t="str">
            <v>--</v>
          </cell>
          <cell r="J3740">
            <v>1</v>
          </cell>
          <cell r="K3740">
            <v>1</v>
          </cell>
        </row>
        <row r="3741">
          <cell r="A3741" t="str">
            <v>M2</v>
          </cell>
          <cell r="B3741" t="str">
            <v>A5C</v>
          </cell>
          <cell r="C3741" t="str">
            <v>P</v>
          </cell>
          <cell r="D3741" t="str">
            <v>23038</v>
          </cell>
          <cell r="E3741" t="str">
            <v>SW FLG</v>
          </cell>
          <cell r="F3741">
            <v>3</v>
          </cell>
          <cell r="G3741" t="str">
            <v>CB240108000100</v>
          </cell>
          <cell r="H3741">
            <v>1</v>
          </cell>
          <cell r="I3741" t="str">
            <v>--</v>
          </cell>
          <cell r="J3741">
            <v>2</v>
          </cell>
          <cell r="K3741">
            <v>2</v>
          </cell>
        </row>
        <row r="3742">
          <cell r="A3742" t="str">
            <v>M2</v>
          </cell>
          <cell r="B3742" t="str">
            <v>A5C</v>
          </cell>
          <cell r="C3742" t="str">
            <v>P</v>
          </cell>
          <cell r="D3742" t="str">
            <v>23052</v>
          </cell>
          <cell r="E3742" t="str">
            <v>SW FLG</v>
          </cell>
          <cell r="F3742">
            <v>3</v>
          </cell>
          <cell r="G3742" t="str">
            <v>CB240108000100</v>
          </cell>
          <cell r="H3742">
            <v>1</v>
          </cell>
          <cell r="I3742" t="str">
            <v>--</v>
          </cell>
          <cell r="J3742">
            <v>1</v>
          </cell>
          <cell r="K3742">
            <v>1</v>
          </cell>
        </row>
        <row r="3743">
          <cell r="A3743" t="str">
            <v>M2</v>
          </cell>
          <cell r="B3743" t="str">
            <v>A5C</v>
          </cell>
          <cell r="C3743" t="str">
            <v>P</v>
          </cell>
          <cell r="D3743" t="str">
            <v>23063</v>
          </cell>
          <cell r="E3743" t="str">
            <v>SW FLG</v>
          </cell>
          <cell r="F3743">
            <v>3</v>
          </cell>
          <cell r="G3743" t="str">
            <v>CB240108000100</v>
          </cell>
          <cell r="H3743">
            <v>1</v>
          </cell>
          <cell r="I3743" t="str">
            <v>--</v>
          </cell>
          <cell r="J3743">
            <v>1</v>
          </cell>
          <cell r="K3743">
            <v>1</v>
          </cell>
        </row>
        <row r="3744">
          <cell r="A3744" t="str">
            <v>M2</v>
          </cell>
          <cell r="B3744" t="str">
            <v>A5C</v>
          </cell>
          <cell r="C3744" t="str">
            <v>P</v>
          </cell>
          <cell r="D3744" t="str">
            <v>23070</v>
          </cell>
          <cell r="E3744" t="str">
            <v>SW FLG</v>
          </cell>
          <cell r="F3744">
            <v>3</v>
          </cell>
          <cell r="G3744" t="str">
            <v>CB240108000100</v>
          </cell>
          <cell r="H3744">
            <v>1</v>
          </cell>
          <cell r="I3744" t="str">
            <v>--</v>
          </cell>
          <cell r="J3744">
            <v>2</v>
          </cell>
          <cell r="K3744">
            <v>2</v>
          </cell>
        </row>
        <row r="3745">
          <cell r="A3745" t="str">
            <v>M2</v>
          </cell>
          <cell r="B3745" t="str">
            <v>A5C</v>
          </cell>
          <cell r="C3745" t="str">
            <v>P</v>
          </cell>
          <cell r="D3745" t="str">
            <v>23078</v>
          </cell>
          <cell r="E3745" t="str">
            <v>SW FLG</v>
          </cell>
          <cell r="F3745">
            <v>3</v>
          </cell>
          <cell r="G3745" t="str">
            <v>CB240108000100</v>
          </cell>
          <cell r="H3745">
            <v>1</v>
          </cell>
          <cell r="I3745" t="str">
            <v>--</v>
          </cell>
          <cell r="J3745">
            <v>1</v>
          </cell>
          <cell r="K3745">
            <v>1</v>
          </cell>
        </row>
        <row r="3746">
          <cell r="A3746" t="str">
            <v>M2</v>
          </cell>
          <cell r="B3746" t="str">
            <v>A5C</v>
          </cell>
          <cell r="C3746" t="str">
            <v>P</v>
          </cell>
          <cell r="D3746" t="str">
            <v>23081</v>
          </cell>
          <cell r="E3746" t="str">
            <v>SW FLG</v>
          </cell>
          <cell r="F3746">
            <v>3</v>
          </cell>
          <cell r="G3746" t="str">
            <v>CB240108000100</v>
          </cell>
          <cell r="H3746">
            <v>1</v>
          </cell>
          <cell r="I3746" t="str">
            <v>--</v>
          </cell>
          <cell r="J3746">
            <v>1</v>
          </cell>
          <cell r="K3746">
            <v>1</v>
          </cell>
        </row>
        <row r="3747">
          <cell r="A3747" t="str">
            <v>M2</v>
          </cell>
          <cell r="B3747" t="str">
            <v>A5C</v>
          </cell>
          <cell r="C3747" t="str">
            <v>P</v>
          </cell>
          <cell r="D3747" t="str">
            <v>23094</v>
          </cell>
          <cell r="E3747" t="str">
            <v>SW FLG</v>
          </cell>
          <cell r="F3747">
            <v>3</v>
          </cell>
          <cell r="G3747" t="str">
            <v>CB240108000100</v>
          </cell>
          <cell r="H3747">
            <v>1</v>
          </cell>
          <cell r="I3747" t="str">
            <v>--</v>
          </cell>
          <cell r="J3747">
            <v>1</v>
          </cell>
          <cell r="K3747">
            <v>1</v>
          </cell>
        </row>
        <row r="3748">
          <cell r="A3748" t="str">
            <v>M2</v>
          </cell>
          <cell r="B3748" t="str">
            <v>A5C</v>
          </cell>
          <cell r="C3748" t="str">
            <v>P</v>
          </cell>
          <cell r="D3748" t="str">
            <v>23101</v>
          </cell>
          <cell r="E3748" t="str">
            <v>SW FLG</v>
          </cell>
          <cell r="F3748">
            <v>3</v>
          </cell>
          <cell r="G3748" t="str">
            <v>CB240108000100</v>
          </cell>
          <cell r="H3748">
            <v>1</v>
          </cell>
          <cell r="I3748" t="str">
            <v>--</v>
          </cell>
          <cell r="J3748">
            <v>1</v>
          </cell>
          <cell r="K3748">
            <v>1</v>
          </cell>
        </row>
        <row r="3749">
          <cell r="A3749" t="str">
            <v>M2</v>
          </cell>
          <cell r="B3749" t="str">
            <v>A5C</v>
          </cell>
          <cell r="C3749" t="str">
            <v>P</v>
          </cell>
          <cell r="D3749" t="str">
            <v>23105</v>
          </cell>
          <cell r="E3749" t="str">
            <v>SW FLG</v>
          </cell>
          <cell r="F3749">
            <v>3</v>
          </cell>
          <cell r="G3749" t="str">
            <v>CB240108000100</v>
          </cell>
          <cell r="H3749">
            <v>1</v>
          </cell>
          <cell r="I3749" t="str">
            <v>--</v>
          </cell>
          <cell r="J3749">
            <v>1</v>
          </cell>
          <cell r="K3749">
            <v>1</v>
          </cell>
        </row>
        <row r="3750">
          <cell r="A3750" t="str">
            <v>M2</v>
          </cell>
          <cell r="B3750" t="str">
            <v>A5C</v>
          </cell>
          <cell r="C3750" t="str">
            <v>P</v>
          </cell>
          <cell r="D3750" t="str">
            <v>23103</v>
          </cell>
          <cell r="E3750" t="str">
            <v>SW FLG</v>
          </cell>
          <cell r="F3750">
            <v>3</v>
          </cell>
          <cell r="G3750" t="str">
            <v>CB240108000100</v>
          </cell>
          <cell r="H3750">
            <v>1</v>
          </cell>
          <cell r="I3750" t="str">
            <v>--</v>
          </cell>
          <cell r="J3750">
            <v>2</v>
          </cell>
          <cell r="K3750">
            <v>2</v>
          </cell>
        </row>
        <row r="3751">
          <cell r="A3751" t="str">
            <v>M2</v>
          </cell>
          <cell r="B3751" t="str">
            <v>A5C</v>
          </cell>
          <cell r="C3751" t="str">
            <v>P</v>
          </cell>
          <cell r="D3751" t="str">
            <v>23107</v>
          </cell>
          <cell r="E3751" t="str">
            <v>SW FLG</v>
          </cell>
          <cell r="F3751">
            <v>3</v>
          </cell>
          <cell r="G3751" t="str">
            <v>CB240108000100</v>
          </cell>
          <cell r="H3751">
            <v>1</v>
          </cell>
          <cell r="I3751" t="str">
            <v>--</v>
          </cell>
          <cell r="J3751">
            <v>2</v>
          </cell>
          <cell r="K3751">
            <v>2</v>
          </cell>
        </row>
        <row r="3752">
          <cell r="A3752" t="str">
            <v>M2</v>
          </cell>
          <cell r="B3752" t="str">
            <v>A5C</v>
          </cell>
          <cell r="C3752" t="str">
            <v>P</v>
          </cell>
          <cell r="D3752" t="str">
            <v>23109</v>
          </cell>
          <cell r="E3752" t="str">
            <v>SW FLG</v>
          </cell>
          <cell r="F3752">
            <v>3</v>
          </cell>
          <cell r="G3752" t="str">
            <v>CB240108000100</v>
          </cell>
          <cell r="H3752">
            <v>1</v>
          </cell>
          <cell r="I3752" t="str">
            <v>--</v>
          </cell>
          <cell r="J3752">
            <v>1</v>
          </cell>
          <cell r="K3752">
            <v>1</v>
          </cell>
        </row>
        <row r="3753">
          <cell r="A3753" t="str">
            <v>M2</v>
          </cell>
          <cell r="B3753" t="str">
            <v>A5C</v>
          </cell>
          <cell r="C3753" t="str">
            <v>P</v>
          </cell>
          <cell r="D3753" t="str">
            <v>23111</v>
          </cell>
          <cell r="E3753" t="str">
            <v>SW FLG</v>
          </cell>
          <cell r="F3753">
            <v>3</v>
          </cell>
          <cell r="G3753" t="str">
            <v>CB240108000100</v>
          </cell>
          <cell r="H3753">
            <v>1</v>
          </cell>
          <cell r="I3753" t="str">
            <v>--</v>
          </cell>
          <cell r="J3753">
            <v>2</v>
          </cell>
          <cell r="K3753">
            <v>2</v>
          </cell>
        </row>
        <row r="3754">
          <cell r="A3754" t="str">
            <v>M2</v>
          </cell>
          <cell r="B3754" t="str">
            <v>A5C</v>
          </cell>
          <cell r="C3754" t="str">
            <v>P</v>
          </cell>
          <cell r="D3754" t="str">
            <v>23116</v>
          </cell>
          <cell r="E3754" t="str">
            <v>SW FLG</v>
          </cell>
          <cell r="F3754">
            <v>3</v>
          </cell>
          <cell r="G3754" t="str">
            <v>CB240108000100</v>
          </cell>
          <cell r="H3754">
            <v>1</v>
          </cell>
          <cell r="I3754" t="str">
            <v>--</v>
          </cell>
          <cell r="J3754">
            <v>2</v>
          </cell>
          <cell r="K3754">
            <v>2</v>
          </cell>
        </row>
        <row r="3755">
          <cell r="A3755" t="str">
            <v>M2</v>
          </cell>
          <cell r="B3755" t="str">
            <v>A5C</v>
          </cell>
          <cell r="C3755" t="str">
            <v>P</v>
          </cell>
          <cell r="D3755" t="str">
            <v>23117</v>
          </cell>
          <cell r="E3755" t="str">
            <v>SW FLG</v>
          </cell>
          <cell r="F3755">
            <v>3</v>
          </cell>
          <cell r="G3755" t="str">
            <v>CB240108000100</v>
          </cell>
          <cell r="H3755">
            <v>1</v>
          </cell>
          <cell r="I3755" t="str">
            <v>--</v>
          </cell>
          <cell r="J3755">
            <v>2</v>
          </cell>
          <cell r="K3755">
            <v>2</v>
          </cell>
        </row>
        <row r="3756">
          <cell r="A3756" t="str">
            <v>M2</v>
          </cell>
          <cell r="B3756" t="str">
            <v>A5C</v>
          </cell>
          <cell r="C3756" t="str">
            <v>P</v>
          </cell>
          <cell r="D3756" t="str">
            <v>23122</v>
          </cell>
          <cell r="E3756" t="str">
            <v>SW FLG</v>
          </cell>
          <cell r="F3756">
            <v>3</v>
          </cell>
          <cell r="G3756" t="str">
            <v>CB240208000100</v>
          </cell>
          <cell r="H3756">
            <v>1</v>
          </cell>
          <cell r="I3756" t="str">
            <v>--</v>
          </cell>
          <cell r="J3756">
            <v>2</v>
          </cell>
          <cell r="K3756">
            <v>2</v>
          </cell>
        </row>
        <row r="3757">
          <cell r="A3757" t="str">
            <v>M2</v>
          </cell>
          <cell r="B3757" t="str">
            <v>A5C</v>
          </cell>
          <cell r="C3757" t="str">
            <v>P</v>
          </cell>
          <cell r="D3757" t="str">
            <v>23126</v>
          </cell>
          <cell r="E3757" t="str">
            <v>SW FLG</v>
          </cell>
          <cell r="F3757">
            <v>3</v>
          </cell>
          <cell r="G3757" t="str">
            <v>CB240108000100</v>
          </cell>
          <cell r="H3757">
            <v>1</v>
          </cell>
          <cell r="I3757" t="str">
            <v>--</v>
          </cell>
          <cell r="J3757">
            <v>1</v>
          </cell>
          <cell r="K3757">
            <v>1</v>
          </cell>
        </row>
        <row r="3758">
          <cell r="A3758" t="str">
            <v>M2</v>
          </cell>
          <cell r="B3758" t="str">
            <v>A5C</v>
          </cell>
          <cell r="C3758" t="str">
            <v>P</v>
          </cell>
          <cell r="D3758" t="str">
            <v>23133</v>
          </cell>
          <cell r="E3758" t="str">
            <v>SW FLG</v>
          </cell>
          <cell r="F3758">
            <v>3</v>
          </cell>
          <cell r="G3758" t="str">
            <v>CB240108000100</v>
          </cell>
          <cell r="H3758">
            <v>1</v>
          </cell>
          <cell r="I3758" t="str">
            <v>--</v>
          </cell>
          <cell r="J3758">
            <v>1</v>
          </cell>
          <cell r="K3758">
            <v>1</v>
          </cell>
        </row>
        <row r="3759">
          <cell r="A3759" t="str">
            <v>M2</v>
          </cell>
          <cell r="B3759" t="str">
            <v>A5C</v>
          </cell>
          <cell r="C3759" t="str">
            <v>P</v>
          </cell>
          <cell r="D3759" t="str">
            <v>23141</v>
          </cell>
          <cell r="E3759" t="str">
            <v>SW FLG</v>
          </cell>
          <cell r="F3759">
            <v>3</v>
          </cell>
          <cell r="G3759" t="str">
            <v>CB240108000100</v>
          </cell>
          <cell r="H3759">
            <v>1</v>
          </cell>
          <cell r="I3759" t="str">
            <v>--</v>
          </cell>
          <cell r="J3759">
            <v>1</v>
          </cell>
          <cell r="K3759">
            <v>1</v>
          </cell>
        </row>
        <row r="3760">
          <cell r="A3760" t="str">
            <v>M2</v>
          </cell>
          <cell r="B3760" t="str">
            <v>A5C</v>
          </cell>
          <cell r="C3760" t="str">
            <v>P</v>
          </cell>
          <cell r="D3760" t="str">
            <v>23143</v>
          </cell>
          <cell r="E3760" t="str">
            <v>SW FLG</v>
          </cell>
          <cell r="F3760">
            <v>3</v>
          </cell>
          <cell r="G3760" t="str">
            <v>CB240108000100</v>
          </cell>
          <cell r="H3760">
            <v>1</v>
          </cell>
          <cell r="I3760" t="str">
            <v>--</v>
          </cell>
          <cell r="J3760">
            <v>2</v>
          </cell>
          <cell r="K3760">
            <v>2</v>
          </cell>
        </row>
        <row r="3761">
          <cell r="A3761" t="str">
            <v>M2</v>
          </cell>
          <cell r="B3761" t="str">
            <v>A5C</v>
          </cell>
          <cell r="C3761" t="str">
            <v>P</v>
          </cell>
          <cell r="D3761" t="str">
            <v>23145</v>
          </cell>
          <cell r="E3761" t="str">
            <v>SW FLG</v>
          </cell>
          <cell r="F3761">
            <v>3</v>
          </cell>
          <cell r="G3761" t="str">
            <v>CB240108000100</v>
          </cell>
          <cell r="H3761">
            <v>1</v>
          </cell>
          <cell r="I3761" t="str">
            <v>--</v>
          </cell>
          <cell r="J3761">
            <v>1</v>
          </cell>
          <cell r="K3761">
            <v>1</v>
          </cell>
        </row>
        <row r="3762">
          <cell r="A3762" t="str">
            <v>M2</v>
          </cell>
          <cell r="B3762" t="str">
            <v>A5C</v>
          </cell>
          <cell r="C3762" t="str">
            <v>P</v>
          </cell>
          <cell r="D3762" t="str">
            <v>23144</v>
          </cell>
          <cell r="E3762" t="str">
            <v>SW FLG</v>
          </cell>
          <cell r="F3762">
            <v>3</v>
          </cell>
          <cell r="G3762" t="str">
            <v>CB240108000100</v>
          </cell>
          <cell r="H3762">
            <v>1</v>
          </cell>
          <cell r="I3762" t="str">
            <v>--</v>
          </cell>
          <cell r="J3762">
            <v>2</v>
          </cell>
          <cell r="K3762">
            <v>2</v>
          </cell>
        </row>
        <row r="3763">
          <cell r="A3763" t="str">
            <v>M2</v>
          </cell>
          <cell r="B3763" t="str">
            <v>A5C</v>
          </cell>
          <cell r="C3763" t="str">
            <v>P</v>
          </cell>
          <cell r="D3763" t="str">
            <v>23157</v>
          </cell>
          <cell r="E3763" t="str">
            <v>SW FLG</v>
          </cell>
          <cell r="F3763">
            <v>3</v>
          </cell>
          <cell r="G3763" t="str">
            <v>CB240108000100</v>
          </cell>
          <cell r="H3763">
            <v>1</v>
          </cell>
          <cell r="I3763" t="str">
            <v>--</v>
          </cell>
          <cell r="J3763">
            <v>2</v>
          </cell>
          <cell r="K3763">
            <v>2</v>
          </cell>
        </row>
        <row r="3764">
          <cell r="A3764" t="str">
            <v>M2</v>
          </cell>
          <cell r="B3764" t="str">
            <v>A5C</v>
          </cell>
          <cell r="C3764" t="str">
            <v>P</v>
          </cell>
          <cell r="D3764" t="str">
            <v>23164</v>
          </cell>
          <cell r="E3764" t="str">
            <v>SW FLG</v>
          </cell>
          <cell r="F3764">
            <v>3</v>
          </cell>
          <cell r="G3764" t="str">
            <v>CB240108000100</v>
          </cell>
          <cell r="H3764">
            <v>1</v>
          </cell>
          <cell r="I3764" t="str">
            <v>--</v>
          </cell>
          <cell r="J3764">
            <v>6</v>
          </cell>
          <cell r="K3764">
            <v>6</v>
          </cell>
        </row>
        <row r="3765">
          <cell r="A3765" t="str">
            <v>M2</v>
          </cell>
          <cell r="B3765" t="str">
            <v>A5C</v>
          </cell>
          <cell r="C3765" t="str">
            <v>P</v>
          </cell>
          <cell r="D3765" t="str">
            <v>23185</v>
          </cell>
          <cell r="E3765" t="str">
            <v>SW FLG</v>
          </cell>
          <cell r="F3765">
            <v>3</v>
          </cell>
          <cell r="G3765" t="str">
            <v>CB240108000100</v>
          </cell>
          <cell r="H3765">
            <v>1</v>
          </cell>
          <cell r="I3765" t="str">
            <v>--</v>
          </cell>
          <cell r="J3765">
            <v>2</v>
          </cell>
          <cell r="K3765">
            <v>2</v>
          </cell>
        </row>
        <row r="3766">
          <cell r="A3766" t="str">
            <v>M2</v>
          </cell>
          <cell r="B3766" t="str">
            <v>A5C</v>
          </cell>
          <cell r="C3766" t="str">
            <v>P</v>
          </cell>
          <cell r="D3766" t="str">
            <v>23205</v>
          </cell>
          <cell r="E3766" t="str">
            <v>SW FLG</v>
          </cell>
          <cell r="F3766">
            <v>3</v>
          </cell>
          <cell r="G3766" t="str">
            <v>CB240208000100</v>
          </cell>
          <cell r="H3766">
            <v>1</v>
          </cell>
          <cell r="I3766" t="str">
            <v>--</v>
          </cell>
          <cell r="J3766">
            <v>2</v>
          </cell>
          <cell r="K3766">
            <v>2</v>
          </cell>
        </row>
        <row r="3767">
          <cell r="A3767" t="str">
            <v>M2</v>
          </cell>
          <cell r="B3767" t="str">
            <v>A5C</v>
          </cell>
          <cell r="C3767" t="str">
            <v>P</v>
          </cell>
          <cell r="D3767" t="str">
            <v>23196</v>
          </cell>
          <cell r="E3767" t="str">
            <v>SW FLG</v>
          </cell>
          <cell r="F3767">
            <v>3</v>
          </cell>
          <cell r="G3767" t="str">
            <v>CB240108000100</v>
          </cell>
          <cell r="H3767">
            <v>1</v>
          </cell>
          <cell r="I3767" t="str">
            <v>--</v>
          </cell>
          <cell r="J3767">
            <v>2</v>
          </cell>
          <cell r="K3767">
            <v>2</v>
          </cell>
        </row>
        <row r="3768">
          <cell r="A3768" t="str">
            <v>M2</v>
          </cell>
          <cell r="B3768" t="str">
            <v>A5C</v>
          </cell>
          <cell r="C3768" t="str">
            <v>P</v>
          </cell>
          <cell r="D3768" t="str">
            <v>23208</v>
          </cell>
          <cell r="E3768" t="str">
            <v>SW FLG</v>
          </cell>
          <cell r="F3768">
            <v>3</v>
          </cell>
          <cell r="G3768" t="str">
            <v>CB240208000100</v>
          </cell>
          <cell r="H3768">
            <v>1</v>
          </cell>
          <cell r="I3768" t="str">
            <v>--</v>
          </cell>
          <cell r="J3768">
            <v>2</v>
          </cell>
          <cell r="K3768">
            <v>2</v>
          </cell>
        </row>
        <row r="3769">
          <cell r="A3769" t="str">
            <v>M2</v>
          </cell>
          <cell r="B3769" t="str">
            <v>A5C</v>
          </cell>
          <cell r="C3769" t="str">
            <v>P</v>
          </cell>
          <cell r="D3769" t="str">
            <v>23212</v>
          </cell>
          <cell r="E3769" t="str">
            <v>SW FLG</v>
          </cell>
          <cell r="F3769">
            <v>3</v>
          </cell>
          <cell r="G3769" t="str">
            <v>CB240208000100</v>
          </cell>
          <cell r="H3769">
            <v>1</v>
          </cell>
          <cell r="I3769" t="str">
            <v>--</v>
          </cell>
          <cell r="J3769">
            <v>2</v>
          </cell>
          <cell r="K3769">
            <v>2</v>
          </cell>
        </row>
        <row r="3770">
          <cell r="A3770" t="str">
            <v>M2</v>
          </cell>
          <cell r="B3770" t="str">
            <v>A5C</v>
          </cell>
          <cell r="C3770" t="str">
            <v>P</v>
          </cell>
          <cell r="D3770" t="str">
            <v>23214</v>
          </cell>
          <cell r="E3770" t="str">
            <v>SW FLG</v>
          </cell>
          <cell r="F3770">
            <v>3</v>
          </cell>
          <cell r="G3770" t="str">
            <v>CB240208000100</v>
          </cell>
          <cell r="H3770">
            <v>1</v>
          </cell>
          <cell r="I3770" t="str">
            <v>--</v>
          </cell>
          <cell r="J3770">
            <v>2</v>
          </cell>
          <cell r="K3770">
            <v>2</v>
          </cell>
        </row>
        <row r="3771">
          <cell r="A3771" t="str">
            <v>M2</v>
          </cell>
          <cell r="B3771" t="str">
            <v>A5C</v>
          </cell>
          <cell r="C3771" t="str">
            <v>P</v>
          </cell>
          <cell r="D3771" t="str">
            <v>23207</v>
          </cell>
          <cell r="E3771" t="str">
            <v>SW FLG</v>
          </cell>
          <cell r="F3771">
            <v>3</v>
          </cell>
          <cell r="G3771" t="str">
            <v>CB240208000100</v>
          </cell>
          <cell r="H3771">
            <v>1</v>
          </cell>
          <cell r="I3771" t="str">
            <v>--</v>
          </cell>
          <cell r="J3771">
            <v>2</v>
          </cell>
          <cell r="K3771">
            <v>2</v>
          </cell>
        </row>
        <row r="3772">
          <cell r="A3772" t="str">
            <v>M2</v>
          </cell>
          <cell r="B3772" t="str">
            <v>A5C</v>
          </cell>
          <cell r="C3772" t="str">
            <v>P</v>
          </cell>
          <cell r="D3772" t="str">
            <v>23213</v>
          </cell>
          <cell r="E3772" t="str">
            <v>SW FLG</v>
          </cell>
          <cell r="F3772">
            <v>3</v>
          </cell>
          <cell r="G3772" t="str">
            <v>CB240208000100</v>
          </cell>
          <cell r="H3772">
            <v>1</v>
          </cell>
          <cell r="I3772" t="str">
            <v>--</v>
          </cell>
          <cell r="J3772">
            <v>2</v>
          </cell>
          <cell r="K3772">
            <v>2</v>
          </cell>
        </row>
        <row r="3773">
          <cell r="A3773" t="str">
            <v>M2</v>
          </cell>
          <cell r="B3773" t="str">
            <v>A5C</v>
          </cell>
          <cell r="C3773" t="str">
            <v>P</v>
          </cell>
          <cell r="D3773" t="str">
            <v>23225</v>
          </cell>
          <cell r="E3773" t="str">
            <v>SW FLG</v>
          </cell>
          <cell r="F3773">
            <v>3</v>
          </cell>
          <cell r="G3773" t="str">
            <v>CB240108000100</v>
          </cell>
          <cell r="H3773">
            <v>1</v>
          </cell>
          <cell r="I3773" t="str">
            <v>--</v>
          </cell>
          <cell r="J3773">
            <v>1</v>
          </cell>
          <cell r="K3773">
            <v>1</v>
          </cell>
        </row>
        <row r="3774">
          <cell r="A3774" t="str">
            <v>M2</v>
          </cell>
          <cell r="B3774" t="str">
            <v>A5C</v>
          </cell>
          <cell r="C3774" t="str">
            <v>P</v>
          </cell>
          <cell r="D3774" t="str">
            <v>23230</v>
          </cell>
          <cell r="E3774" t="str">
            <v>SW FLG</v>
          </cell>
          <cell r="F3774">
            <v>3</v>
          </cell>
          <cell r="G3774" t="str">
            <v>CB240208000100</v>
          </cell>
          <cell r="H3774">
            <v>1</v>
          </cell>
          <cell r="I3774" t="str">
            <v>--</v>
          </cell>
          <cell r="J3774">
            <v>2</v>
          </cell>
          <cell r="K3774">
            <v>2</v>
          </cell>
        </row>
        <row r="3775">
          <cell r="A3775" t="str">
            <v>M2</v>
          </cell>
          <cell r="B3775" t="str">
            <v>A5C</v>
          </cell>
          <cell r="C3775" t="str">
            <v>P</v>
          </cell>
          <cell r="D3775" t="str">
            <v>23230</v>
          </cell>
          <cell r="E3775" t="str">
            <v>SW FLG</v>
          </cell>
          <cell r="F3775">
            <v>3</v>
          </cell>
          <cell r="G3775" t="str">
            <v>CB240108000100</v>
          </cell>
          <cell r="H3775">
            <v>1</v>
          </cell>
          <cell r="I3775" t="str">
            <v>--</v>
          </cell>
          <cell r="J3775">
            <v>1</v>
          </cell>
          <cell r="K3775">
            <v>1</v>
          </cell>
        </row>
        <row r="3776">
          <cell r="A3776" t="str">
            <v>M2</v>
          </cell>
          <cell r="B3776" t="str">
            <v>A5C</v>
          </cell>
          <cell r="C3776" t="str">
            <v>P</v>
          </cell>
          <cell r="D3776" t="str">
            <v>23234</v>
          </cell>
          <cell r="E3776" t="str">
            <v>SW FLG</v>
          </cell>
          <cell r="F3776">
            <v>3</v>
          </cell>
          <cell r="G3776" t="str">
            <v>CB240108000100</v>
          </cell>
          <cell r="H3776">
            <v>1</v>
          </cell>
          <cell r="I3776" t="str">
            <v>--</v>
          </cell>
          <cell r="J3776">
            <v>1</v>
          </cell>
          <cell r="K3776">
            <v>1</v>
          </cell>
        </row>
        <row r="3777">
          <cell r="A3777" t="str">
            <v>M2</v>
          </cell>
          <cell r="B3777" t="str">
            <v>A5C</v>
          </cell>
          <cell r="C3777" t="str">
            <v>P</v>
          </cell>
          <cell r="D3777" t="str">
            <v>23239</v>
          </cell>
          <cell r="E3777" t="str">
            <v>SW FLG</v>
          </cell>
          <cell r="F3777">
            <v>3</v>
          </cell>
          <cell r="G3777" t="str">
            <v>CB240208000100</v>
          </cell>
          <cell r="H3777">
            <v>1</v>
          </cell>
          <cell r="I3777" t="str">
            <v>--</v>
          </cell>
          <cell r="J3777">
            <v>2</v>
          </cell>
          <cell r="K3777">
            <v>2</v>
          </cell>
        </row>
        <row r="3778">
          <cell r="A3778" t="str">
            <v>M2</v>
          </cell>
          <cell r="B3778" t="str">
            <v>A5C</v>
          </cell>
          <cell r="C3778" t="str">
            <v>P</v>
          </cell>
          <cell r="D3778" t="str">
            <v>23247</v>
          </cell>
          <cell r="E3778" t="str">
            <v>SW FLG</v>
          </cell>
          <cell r="F3778">
            <v>3</v>
          </cell>
          <cell r="G3778" t="str">
            <v>CB240108000100</v>
          </cell>
          <cell r="H3778">
            <v>1</v>
          </cell>
          <cell r="I3778" t="str">
            <v>--</v>
          </cell>
          <cell r="J3778">
            <v>1</v>
          </cell>
          <cell r="K3778">
            <v>1</v>
          </cell>
        </row>
        <row r="3779">
          <cell r="A3779" t="str">
            <v>M2</v>
          </cell>
          <cell r="B3779" t="str">
            <v>A5C</v>
          </cell>
          <cell r="C3779" t="str">
            <v>P</v>
          </cell>
          <cell r="D3779" t="str">
            <v>23252</v>
          </cell>
          <cell r="E3779" t="str">
            <v>SW FLG</v>
          </cell>
          <cell r="F3779">
            <v>3</v>
          </cell>
          <cell r="G3779" t="str">
            <v>CB240108000100</v>
          </cell>
          <cell r="H3779">
            <v>1</v>
          </cell>
          <cell r="I3779" t="str">
            <v>--</v>
          </cell>
          <cell r="J3779">
            <v>1</v>
          </cell>
          <cell r="K3779">
            <v>1</v>
          </cell>
        </row>
        <row r="3780">
          <cell r="A3780" t="str">
            <v>M2</v>
          </cell>
          <cell r="B3780" t="str">
            <v>A5C</v>
          </cell>
          <cell r="C3780" t="str">
            <v>P</v>
          </cell>
          <cell r="D3780" t="str">
            <v>23252</v>
          </cell>
          <cell r="E3780" t="str">
            <v>SW FLG</v>
          </cell>
          <cell r="F3780">
            <v>3</v>
          </cell>
          <cell r="G3780" t="str">
            <v>CB240208000100</v>
          </cell>
          <cell r="H3780">
            <v>1</v>
          </cell>
          <cell r="I3780" t="str">
            <v>--</v>
          </cell>
          <cell r="J3780">
            <v>2</v>
          </cell>
          <cell r="K3780">
            <v>2</v>
          </cell>
        </row>
        <row r="3781">
          <cell r="A3781" t="str">
            <v>M2</v>
          </cell>
          <cell r="B3781" t="str">
            <v>A5C</v>
          </cell>
          <cell r="C3781" t="str">
            <v>P</v>
          </cell>
          <cell r="D3781" t="str">
            <v>23259</v>
          </cell>
          <cell r="E3781" t="str">
            <v>SW FLG</v>
          </cell>
          <cell r="F3781">
            <v>3</v>
          </cell>
          <cell r="G3781" t="str">
            <v>CB240108000100</v>
          </cell>
          <cell r="H3781">
            <v>1</v>
          </cell>
          <cell r="I3781" t="str">
            <v>--</v>
          </cell>
          <cell r="J3781">
            <v>2</v>
          </cell>
          <cell r="K3781">
            <v>2</v>
          </cell>
        </row>
        <row r="3782">
          <cell r="A3782" t="str">
            <v>M2</v>
          </cell>
          <cell r="B3782" t="str">
            <v>A5C</v>
          </cell>
          <cell r="C3782" t="str">
            <v>P</v>
          </cell>
          <cell r="D3782" t="str">
            <v>24007</v>
          </cell>
          <cell r="E3782" t="str">
            <v>SW FLG</v>
          </cell>
          <cell r="F3782">
            <v>3</v>
          </cell>
          <cell r="G3782" t="str">
            <v>CB240108000100</v>
          </cell>
          <cell r="H3782">
            <v>1</v>
          </cell>
          <cell r="I3782" t="str">
            <v>--</v>
          </cell>
          <cell r="J3782">
            <v>3</v>
          </cell>
          <cell r="K3782">
            <v>3</v>
          </cell>
        </row>
        <row r="3783">
          <cell r="A3783" t="str">
            <v>M2</v>
          </cell>
          <cell r="B3783" t="str">
            <v>A5C</v>
          </cell>
          <cell r="C3783" t="str">
            <v>P</v>
          </cell>
          <cell r="D3783" t="str">
            <v>24013</v>
          </cell>
          <cell r="E3783" t="str">
            <v>SW FLG</v>
          </cell>
          <cell r="F3783">
            <v>3</v>
          </cell>
          <cell r="G3783" t="str">
            <v>CB240108000100</v>
          </cell>
          <cell r="H3783">
            <v>1</v>
          </cell>
          <cell r="I3783" t="str">
            <v>--</v>
          </cell>
          <cell r="J3783">
            <v>3</v>
          </cell>
          <cell r="K3783">
            <v>3</v>
          </cell>
        </row>
        <row r="3784">
          <cell r="A3784" t="str">
            <v>M2</v>
          </cell>
          <cell r="B3784" t="str">
            <v>A5C</v>
          </cell>
          <cell r="C3784" t="str">
            <v>P</v>
          </cell>
          <cell r="D3784" t="str">
            <v>24008</v>
          </cell>
          <cell r="E3784" t="str">
            <v>SW FLG</v>
          </cell>
          <cell r="F3784">
            <v>3</v>
          </cell>
          <cell r="G3784" t="str">
            <v>CB240108000100</v>
          </cell>
          <cell r="H3784">
            <v>1</v>
          </cell>
          <cell r="I3784" t="str">
            <v>--</v>
          </cell>
          <cell r="J3784">
            <v>2</v>
          </cell>
          <cell r="K3784">
            <v>2</v>
          </cell>
        </row>
        <row r="3785">
          <cell r="A3785" t="str">
            <v>M2</v>
          </cell>
          <cell r="B3785" t="str">
            <v>A5C</v>
          </cell>
          <cell r="C3785" t="str">
            <v>P</v>
          </cell>
          <cell r="D3785" t="str">
            <v>24014</v>
          </cell>
          <cell r="E3785" t="str">
            <v>SW FLG</v>
          </cell>
          <cell r="F3785">
            <v>3</v>
          </cell>
          <cell r="G3785" t="str">
            <v>CB240108000100</v>
          </cell>
          <cell r="H3785">
            <v>1</v>
          </cell>
          <cell r="I3785" t="str">
            <v>--</v>
          </cell>
          <cell r="J3785">
            <v>2</v>
          </cell>
          <cell r="K3785">
            <v>2</v>
          </cell>
        </row>
        <row r="3786">
          <cell r="A3786" t="str">
            <v>M2</v>
          </cell>
          <cell r="B3786" t="str">
            <v>A5C</v>
          </cell>
          <cell r="C3786" t="str">
            <v>P</v>
          </cell>
          <cell r="D3786" t="str">
            <v>24020</v>
          </cell>
          <cell r="E3786" t="str">
            <v>SW FLG</v>
          </cell>
          <cell r="F3786">
            <v>3</v>
          </cell>
          <cell r="G3786" t="str">
            <v>CB240208000100</v>
          </cell>
          <cell r="H3786">
            <v>1</v>
          </cell>
          <cell r="I3786" t="str">
            <v>--</v>
          </cell>
          <cell r="J3786">
            <v>2</v>
          </cell>
          <cell r="K3786">
            <v>2</v>
          </cell>
        </row>
        <row r="3787">
          <cell r="A3787" t="str">
            <v>M2</v>
          </cell>
          <cell r="B3787" t="str">
            <v>A5C</v>
          </cell>
          <cell r="C3787" t="str">
            <v>P</v>
          </cell>
          <cell r="D3787" t="str">
            <v>99003</v>
          </cell>
          <cell r="E3787" t="str">
            <v>SW FLG</v>
          </cell>
          <cell r="F3787">
            <v>3</v>
          </cell>
          <cell r="G3787" t="str">
            <v>CB240208000100</v>
          </cell>
          <cell r="H3787">
            <v>1</v>
          </cell>
          <cell r="I3787" t="str">
            <v>--</v>
          </cell>
          <cell r="J3787">
            <v>2</v>
          </cell>
          <cell r="K3787">
            <v>2</v>
          </cell>
        </row>
        <row r="3788">
          <cell r="A3788" t="str">
            <v>M2</v>
          </cell>
          <cell r="B3788" t="str">
            <v>A5C</v>
          </cell>
          <cell r="C3788" t="str">
            <v>P</v>
          </cell>
          <cell r="D3788" t="str">
            <v>23006</v>
          </cell>
          <cell r="E3788" t="str">
            <v>SW FLG</v>
          </cell>
          <cell r="F3788">
            <v>3</v>
          </cell>
          <cell r="G3788" t="str">
            <v>CB240108000100</v>
          </cell>
          <cell r="H3788">
            <v>1</v>
          </cell>
          <cell r="I3788" t="str">
            <v>--</v>
          </cell>
          <cell r="J3788">
            <v>2</v>
          </cell>
          <cell r="K3788">
            <v>2</v>
          </cell>
        </row>
        <row r="3789">
          <cell r="A3789" t="str">
            <v>M2</v>
          </cell>
          <cell r="B3789" t="str">
            <v>A5C</v>
          </cell>
          <cell r="C3789" t="str">
            <v>P</v>
          </cell>
          <cell r="D3789" t="str">
            <v>23067</v>
          </cell>
          <cell r="E3789" t="str">
            <v>SW FLG</v>
          </cell>
          <cell r="F3789">
            <v>3</v>
          </cell>
          <cell r="G3789" t="str">
            <v>CB240108000100</v>
          </cell>
          <cell r="H3789">
            <v>1</v>
          </cell>
          <cell r="I3789" t="str">
            <v>--</v>
          </cell>
          <cell r="J3789">
            <v>1</v>
          </cell>
          <cell r="K3789">
            <v>1</v>
          </cell>
        </row>
        <row r="3790">
          <cell r="A3790" t="str">
            <v>M2</v>
          </cell>
          <cell r="B3790" t="str">
            <v>A5C</v>
          </cell>
          <cell r="C3790" t="str">
            <v>P</v>
          </cell>
          <cell r="D3790" t="str">
            <v>23083</v>
          </cell>
          <cell r="E3790" t="str">
            <v>SW FLG</v>
          </cell>
          <cell r="F3790">
            <v>3</v>
          </cell>
          <cell r="G3790" t="str">
            <v>CB240108000100</v>
          </cell>
          <cell r="H3790">
            <v>1</v>
          </cell>
          <cell r="I3790" t="str">
            <v>--</v>
          </cell>
          <cell r="J3790">
            <v>1</v>
          </cell>
          <cell r="K3790">
            <v>1</v>
          </cell>
        </row>
        <row r="3791">
          <cell r="A3791" t="str">
            <v>M2</v>
          </cell>
          <cell r="B3791" t="str">
            <v>A5C</v>
          </cell>
          <cell r="C3791" t="str">
            <v>P</v>
          </cell>
          <cell r="D3791" t="str">
            <v>23083</v>
          </cell>
          <cell r="E3791" t="str">
            <v>SW FLG</v>
          </cell>
          <cell r="F3791">
            <v>3</v>
          </cell>
          <cell r="G3791" t="str">
            <v>CB240208000100</v>
          </cell>
          <cell r="H3791">
            <v>1</v>
          </cell>
          <cell r="I3791" t="str">
            <v>--</v>
          </cell>
          <cell r="J3791">
            <v>2</v>
          </cell>
          <cell r="K3791">
            <v>2</v>
          </cell>
        </row>
        <row r="3792">
          <cell r="A3792" t="str">
            <v>M2</v>
          </cell>
          <cell r="B3792" t="str">
            <v>A5C</v>
          </cell>
          <cell r="C3792" t="str">
            <v>P</v>
          </cell>
          <cell r="D3792" t="str">
            <v>23113</v>
          </cell>
          <cell r="E3792" t="str">
            <v>SW FLG</v>
          </cell>
          <cell r="F3792">
            <v>3</v>
          </cell>
          <cell r="G3792" t="str">
            <v>CB240108000100</v>
          </cell>
          <cell r="H3792">
            <v>1</v>
          </cell>
          <cell r="I3792" t="str">
            <v>--</v>
          </cell>
          <cell r="J3792">
            <v>1</v>
          </cell>
          <cell r="K3792">
            <v>1</v>
          </cell>
        </row>
        <row r="3793">
          <cell r="A3793" t="str">
            <v>M2</v>
          </cell>
          <cell r="B3793" t="str">
            <v>A5C</v>
          </cell>
          <cell r="C3793" t="str">
            <v>P</v>
          </cell>
          <cell r="D3793" t="str">
            <v>23122</v>
          </cell>
          <cell r="E3793" t="str">
            <v>SW FLG</v>
          </cell>
          <cell r="F3793">
            <v>3</v>
          </cell>
          <cell r="G3793" t="str">
            <v>CB240108000100</v>
          </cell>
          <cell r="H3793">
            <v>1</v>
          </cell>
          <cell r="I3793" t="str">
            <v>--</v>
          </cell>
          <cell r="J3793">
            <v>2</v>
          </cell>
          <cell r="K3793">
            <v>2</v>
          </cell>
        </row>
        <row r="3794">
          <cell r="A3794" t="str">
            <v>M2</v>
          </cell>
          <cell r="B3794" t="str">
            <v>A5C</v>
          </cell>
          <cell r="C3794" t="str">
            <v>P</v>
          </cell>
          <cell r="D3794" t="str">
            <v>23147</v>
          </cell>
          <cell r="E3794" t="str">
            <v>SW FLG</v>
          </cell>
          <cell r="F3794">
            <v>3</v>
          </cell>
          <cell r="G3794" t="str">
            <v>CB240108000100</v>
          </cell>
          <cell r="H3794">
            <v>1</v>
          </cell>
          <cell r="I3794" t="str">
            <v>--</v>
          </cell>
          <cell r="J3794">
            <v>2</v>
          </cell>
          <cell r="K3794">
            <v>2</v>
          </cell>
        </row>
        <row r="3795">
          <cell r="A3795" t="str">
            <v>M2</v>
          </cell>
          <cell r="B3795" t="str">
            <v>A5C</v>
          </cell>
          <cell r="C3795" t="str">
            <v>P</v>
          </cell>
          <cell r="D3795" t="str">
            <v>23204</v>
          </cell>
          <cell r="E3795" t="str">
            <v>SW FLG</v>
          </cell>
          <cell r="F3795">
            <v>3</v>
          </cell>
          <cell r="G3795" t="str">
            <v>CB240208000100</v>
          </cell>
          <cell r="H3795">
            <v>1</v>
          </cell>
          <cell r="I3795" t="str">
            <v>--</v>
          </cell>
          <cell r="J3795">
            <v>2</v>
          </cell>
          <cell r="K3795">
            <v>2</v>
          </cell>
        </row>
        <row r="3796">
          <cell r="A3796" t="str">
            <v>M2</v>
          </cell>
          <cell r="B3796" t="str">
            <v>A5C</v>
          </cell>
          <cell r="C3796" t="str">
            <v>P</v>
          </cell>
          <cell r="D3796" t="str">
            <v>23206</v>
          </cell>
          <cell r="E3796" t="str">
            <v>SW FLG</v>
          </cell>
          <cell r="F3796">
            <v>3</v>
          </cell>
          <cell r="G3796" t="str">
            <v>CB240208000100</v>
          </cell>
          <cell r="H3796">
            <v>1</v>
          </cell>
          <cell r="I3796" t="str">
            <v>--</v>
          </cell>
          <cell r="J3796">
            <v>2</v>
          </cell>
          <cell r="K3796">
            <v>2</v>
          </cell>
        </row>
        <row r="3797">
          <cell r="A3797" t="str">
            <v>M2</v>
          </cell>
          <cell r="B3797" t="str">
            <v>A5C</v>
          </cell>
          <cell r="C3797" t="str">
            <v>P</v>
          </cell>
          <cell r="D3797" t="str">
            <v>23235</v>
          </cell>
          <cell r="E3797" t="str">
            <v>SW FLG</v>
          </cell>
          <cell r="F3797">
            <v>3</v>
          </cell>
          <cell r="G3797" t="str">
            <v>CB240208000100</v>
          </cell>
          <cell r="H3797">
            <v>1</v>
          </cell>
          <cell r="I3797" t="str">
            <v>--</v>
          </cell>
          <cell r="J3797">
            <v>2</v>
          </cell>
          <cell r="K3797">
            <v>2</v>
          </cell>
        </row>
        <row r="3798">
          <cell r="A3798" t="str">
            <v>M2</v>
          </cell>
          <cell r="B3798" t="str">
            <v>A5C</v>
          </cell>
          <cell r="C3798" t="str">
            <v>P</v>
          </cell>
          <cell r="D3798" t="str">
            <v>23238</v>
          </cell>
          <cell r="E3798" t="str">
            <v>SW FLG</v>
          </cell>
          <cell r="F3798">
            <v>3</v>
          </cell>
          <cell r="G3798" t="str">
            <v>CB240108000100</v>
          </cell>
          <cell r="H3798">
            <v>1</v>
          </cell>
          <cell r="I3798" t="str">
            <v>--</v>
          </cell>
          <cell r="J3798">
            <v>1</v>
          </cell>
          <cell r="K3798">
            <v>1</v>
          </cell>
        </row>
        <row r="3799">
          <cell r="A3799" t="str">
            <v>M2</v>
          </cell>
          <cell r="B3799" t="str">
            <v>A5C</v>
          </cell>
          <cell r="C3799" t="str">
            <v>P</v>
          </cell>
          <cell r="D3799" t="str">
            <v>23245</v>
          </cell>
          <cell r="E3799" t="str">
            <v>SW FLG</v>
          </cell>
          <cell r="F3799">
            <v>3</v>
          </cell>
          <cell r="G3799" t="str">
            <v>CB240208000100</v>
          </cell>
          <cell r="H3799">
            <v>1</v>
          </cell>
          <cell r="I3799" t="str">
            <v>--</v>
          </cell>
          <cell r="J3799">
            <v>2</v>
          </cell>
          <cell r="K3799">
            <v>2</v>
          </cell>
        </row>
        <row r="3800">
          <cell r="A3800" t="str">
            <v>M2</v>
          </cell>
          <cell r="B3800" t="str">
            <v>A5C</v>
          </cell>
          <cell r="C3800" t="str">
            <v>P</v>
          </cell>
          <cell r="D3800" t="str">
            <v>24008</v>
          </cell>
          <cell r="E3800" t="str">
            <v>SW FLG</v>
          </cell>
          <cell r="F3800">
            <v>3</v>
          </cell>
          <cell r="G3800" t="str">
            <v>CB240208000100</v>
          </cell>
          <cell r="H3800">
            <v>1</v>
          </cell>
          <cell r="I3800" t="str">
            <v>--</v>
          </cell>
          <cell r="J3800">
            <v>2</v>
          </cell>
          <cell r="K3800">
            <v>2</v>
          </cell>
        </row>
        <row r="3801">
          <cell r="A3801" t="str">
            <v>M2</v>
          </cell>
          <cell r="B3801" t="str">
            <v>A5C</v>
          </cell>
          <cell r="C3801" t="str">
            <v>P</v>
          </cell>
          <cell r="D3801" t="str">
            <v>24020</v>
          </cell>
          <cell r="E3801" t="str">
            <v>SW FLG</v>
          </cell>
          <cell r="F3801">
            <v>3</v>
          </cell>
          <cell r="G3801" t="str">
            <v>CB240108000100</v>
          </cell>
          <cell r="H3801">
            <v>1</v>
          </cell>
          <cell r="I3801" t="str">
            <v>--</v>
          </cell>
          <cell r="J3801">
            <v>3</v>
          </cell>
          <cell r="K3801">
            <v>3</v>
          </cell>
        </row>
        <row r="3802">
          <cell r="A3802" t="str">
            <v>M2</v>
          </cell>
          <cell r="B3802" t="str">
            <v>A5C</v>
          </cell>
          <cell r="C3802" t="str">
            <v>P</v>
          </cell>
          <cell r="D3802" t="str">
            <v>24024</v>
          </cell>
          <cell r="E3802" t="str">
            <v>SW FLG</v>
          </cell>
          <cell r="F3802">
            <v>3</v>
          </cell>
          <cell r="G3802" t="str">
            <v>CB240108000100</v>
          </cell>
          <cell r="H3802">
            <v>1</v>
          </cell>
          <cell r="I3802" t="str">
            <v>--</v>
          </cell>
          <cell r="J3802">
            <v>1</v>
          </cell>
          <cell r="K3802">
            <v>1</v>
          </cell>
        </row>
        <row r="3803">
          <cell r="A3803" t="str">
            <v>M2</v>
          </cell>
          <cell r="B3803" t="str">
            <v>A5C</v>
          </cell>
          <cell r="C3803" t="str">
            <v>TRIM</v>
          </cell>
          <cell r="D3803" t="str">
            <v>V-2316</v>
          </cell>
          <cell r="E3803" t="str">
            <v>SW FLG</v>
          </cell>
          <cell r="F3803">
            <v>3</v>
          </cell>
          <cell r="G3803" t="str">
            <v>CB240108000100</v>
          </cell>
          <cell r="H3803">
            <v>1</v>
          </cell>
          <cell r="I3803" t="str">
            <v>--</v>
          </cell>
          <cell r="J3803">
            <v>3</v>
          </cell>
          <cell r="K3803">
            <v>3</v>
          </cell>
        </row>
        <row r="3804">
          <cell r="A3804" t="str">
            <v>M2</v>
          </cell>
          <cell r="B3804" t="str">
            <v>A5C</v>
          </cell>
          <cell r="C3804" t="str">
            <v>P</v>
          </cell>
          <cell r="D3804" t="str">
            <v>23055</v>
          </cell>
          <cell r="E3804" t="str">
            <v>SW FLG</v>
          </cell>
          <cell r="F3804">
            <v>3</v>
          </cell>
          <cell r="G3804" t="str">
            <v>CB240108000100</v>
          </cell>
          <cell r="H3804">
            <v>1</v>
          </cell>
          <cell r="I3804" t="str">
            <v>--</v>
          </cell>
          <cell r="J3804">
            <v>2</v>
          </cell>
          <cell r="K3804">
            <v>2</v>
          </cell>
        </row>
        <row r="3805">
          <cell r="A3805" t="str">
            <v>M2</v>
          </cell>
          <cell r="B3805" t="str">
            <v>A5C</v>
          </cell>
          <cell r="C3805" t="str">
            <v>P</v>
          </cell>
          <cell r="D3805" t="str">
            <v>23059</v>
          </cell>
          <cell r="E3805" t="str">
            <v>SW FLG</v>
          </cell>
          <cell r="F3805">
            <v>3</v>
          </cell>
          <cell r="G3805" t="str">
            <v>CB240108000100</v>
          </cell>
          <cell r="H3805">
            <v>1</v>
          </cell>
          <cell r="I3805" t="str">
            <v>--</v>
          </cell>
          <cell r="J3805">
            <v>1</v>
          </cell>
          <cell r="K3805">
            <v>1</v>
          </cell>
        </row>
        <row r="3806">
          <cell r="A3806" t="str">
            <v>M2</v>
          </cell>
          <cell r="B3806" t="str">
            <v>A5C</v>
          </cell>
          <cell r="C3806" t="str">
            <v>P</v>
          </cell>
          <cell r="D3806" t="str">
            <v>23183</v>
          </cell>
          <cell r="E3806" t="str">
            <v>SW FLG</v>
          </cell>
          <cell r="F3806">
            <v>3</v>
          </cell>
          <cell r="G3806" t="str">
            <v>CB240108000100</v>
          </cell>
          <cell r="H3806">
            <v>1</v>
          </cell>
          <cell r="I3806" t="str">
            <v>--</v>
          </cell>
          <cell r="J3806">
            <v>1</v>
          </cell>
          <cell r="K3806">
            <v>1</v>
          </cell>
        </row>
        <row r="3807">
          <cell r="A3807" t="str">
            <v>M2</v>
          </cell>
          <cell r="B3807" t="str">
            <v>A5C</v>
          </cell>
          <cell r="C3807" t="str">
            <v>TRIM</v>
          </cell>
          <cell r="D3807" t="str">
            <v>V-2352</v>
          </cell>
          <cell r="E3807" t="str">
            <v>SW FLG</v>
          </cell>
          <cell r="F3807">
            <v>3</v>
          </cell>
          <cell r="G3807" t="str">
            <v>CB240108000100</v>
          </cell>
          <cell r="H3807">
            <v>1</v>
          </cell>
          <cell r="I3807" t="str">
            <v>--</v>
          </cell>
          <cell r="J3807">
            <v>2</v>
          </cell>
          <cell r="K3807">
            <v>2</v>
          </cell>
        </row>
        <row r="3808">
          <cell r="A3808" t="str">
            <v>M2</v>
          </cell>
          <cell r="B3808" t="str">
            <v>A5C</v>
          </cell>
          <cell r="C3808" t="str">
            <v>P</v>
          </cell>
          <cell r="D3808" t="str">
            <v>23008</v>
          </cell>
          <cell r="E3808" t="str">
            <v>LWN FLG</v>
          </cell>
          <cell r="F3808">
            <v>3</v>
          </cell>
          <cell r="G3808" t="str">
            <v>CB2901000001WL</v>
          </cell>
          <cell r="H3808">
            <v>1</v>
          </cell>
          <cell r="I3808" t="str">
            <v>150mm</v>
          </cell>
          <cell r="J3808">
            <v>1</v>
          </cell>
          <cell r="K3808">
            <v>1</v>
          </cell>
        </row>
        <row r="3809">
          <cell r="A3809" t="str">
            <v>M2</v>
          </cell>
          <cell r="B3809" t="str">
            <v>A5C</v>
          </cell>
          <cell r="C3809" t="str">
            <v>P</v>
          </cell>
          <cell r="D3809" t="str">
            <v>23016</v>
          </cell>
          <cell r="E3809" t="str">
            <v>LWN FLG</v>
          </cell>
          <cell r="F3809">
            <v>3</v>
          </cell>
          <cell r="G3809" t="str">
            <v>CB2901000001WL</v>
          </cell>
          <cell r="H3809">
            <v>1</v>
          </cell>
          <cell r="I3809" t="str">
            <v>150mm</v>
          </cell>
          <cell r="J3809">
            <v>1</v>
          </cell>
          <cell r="K3809">
            <v>1</v>
          </cell>
        </row>
        <row r="3810">
          <cell r="A3810" t="str">
            <v>M2</v>
          </cell>
          <cell r="B3810" t="str">
            <v>A5C</v>
          </cell>
          <cell r="C3810" t="str">
            <v>P</v>
          </cell>
          <cell r="D3810" t="str">
            <v>23025</v>
          </cell>
          <cell r="E3810" t="str">
            <v>LWN FLG</v>
          </cell>
          <cell r="F3810">
            <v>3</v>
          </cell>
          <cell r="G3810" t="str">
            <v>CB2901000001WL</v>
          </cell>
          <cell r="H3810">
            <v>1</v>
          </cell>
          <cell r="I3810" t="str">
            <v>150mm</v>
          </cell>
          <cell r="J3810">
            <v>1</v>
          </cell>
          <cell r="K3810">
            <v>1</v>
          </cell>
        </row>
        <row r="3811">
          <cell r="A3811" t="str">
            <v>M2</v>
          </cell>
          <cell r="B3811" t="str">
            <v>A5C</v>
          </cell>
          <cell r="C3811" t="str">
            <v>P</v>
          </cell>
          <cell r="D3811" t="str">
            <v>23032</v>
          </cell>
          <cell r="E3811" t="str">
            <v>LWN FLG</v>
          </cell>
          <cell r="F3811">
            <v>3</v>
          </cell>
          <cell r="G3811" t="str">
            <v>CB2901000001WL</v>
          </cell>
          <cell r="H3811">
            <v>1</v>
          </cell>
          <cell r="I3811" t="str">
            <v>150mm</v>
          </cell>
          <cell r="J3811">
            <v>1</v>
          </cell>
          <cell r="K3811">
            <v>1</v>
          </cell>
        </row>
        <row r="3812">
          <cell r="A3812" t="str">
            <v>M2</v>
          </cell>
          <cell r="B3812" t="str">
            <v>A5C</v>
          </cell>
          <cell r="C3812" t="str">
            <v>P</v>
          </cell>
          <cell r="D3812" t="str">
            <v>23050</v>
          </cell>
          <cell r="E3812" t="str">
            <v>LWN FLG</v>
          </cell>
          <cell r="F3812">
            <v>3</v>
          </cell>
          <cell r="G3812" t="str">
            <v>CB2901000001WL</v>
          </cell>
          <cell r="H3812">
            <v>1</v>
          </cell>
          <cell r="I3812" t="str">
            <v>150mm</v>
          </cell>
          <cell r="J3812">
            <v>1</v>
          </cell>
          <cell r="K3812">
            <v>1</v>
          </cell>
        </row>
        <row r="3813">
          <cell r="A3813" t="str">
            <v>M2</v>
          </cell>
          <cell r="B3813" t="str">
            <v>A5C</v>
          </cell>
          <cell r="C3813" t="str">
            <v>P</v>
          </cell>
          <cell r="D3813" t="str">
            <v>23061</v>
          </cell>
          <cell r="E3813" t="str">
            <v>LWN FLG</v>
          </cell>
          <cell r="F3813">
            <v>3</v>
          </cell>
          <cell r="G3813" t="str">
            <v>CB2901000001WL</v>
          </cell>
          <cell r="H3813">
            <v>1</v>
          </cell>
          <cell r="I3813" t="str">
            <v>150mm</v>
          </cell>
          <cell r="J3813">
            <v>1</v>
          </cell>
          <cell r="K3813">
            <v>1</v>
          </cell>
        </row>
        <row r="3814">
          <cell r="A3814" t="str">
            <v>M2</v>
          </cell>
          <cell r="B3814" t="str">
            <v>A5C</v>
          </cell>
          <cell r="C3814" t="str">
            <v>P</v>
          </cell>
          <cell r="D3814" t="str">
            <v>23170</v>
          </cell>
          <cell r="E3814" t="str">
            <v>LWN FLG</v>
          </cell>
          <cell r="F3814">
            <v>3</v>
          </cell>
          <cell r="G3814" t="str">
            <v>CB2901000001WL</v>
          </cell>
          <cell r="H3814">
            <v>1</v>
          </cell>
          <cell r="I3814" t="str">
            <v>150mm</v>
          </cell>
          <cell r="J3814">
            <v>1</v>
          </cell>
          <cell r="K3814">
            <v>1</v>
          </cell>
        </row>
        <row r="3815">
          <cell r="A3815" t="str">
            <v>M2</v>
          </cell>
          <cell r="B3815" t="str">
            <v>A5C</v>
          </cell>
          <cell r="C3815" t="str">
            <v>P</v>
          </cell>
          <cell r="D3815" t="str">
            <v>23173</v>
          </cell>
          <cell r="E3815" t="str">
            <v>LWN FLG</v>
          </cell>
          <cell r="F3815">
            <v>3</v>
          </cell>
          <cell r="G3815" t="str">
            <v>CB2901000001WL</v>
          </cell>
          <cell r="H3815">
            <v>1</v>
          </cell>
          <cell r="I3815" t="str">
            <v>150mm</v>
          </cell>
          <cell r="J3815">
            <v>1</v>
          </cell>
          <cell r="K3815">
            <v>1</v>
          </cell>
        </row>
        <row r="3816">
          <cell r="A3816" t="str">
            <v>M2</v>
          </cell>
          <cell r="B3816" t="str">
            <v>A5C</v>
          </cell>
          <cell r="C3816" t="str">
            <v>P</v>
          </cell>
          <cell r="D3816" t="str">
            <v>23180</v>
          </cell>
          <cell r="E3816" t="str">
            <v>LWN FLG</v>
          </cell>
          <cell r="F3816">
            <v>3</v>
          </cell>
          <cell r="G3816" t="str">
            <v>CB2901000001WL</v>
          </cell>
          <cell r="H3816">
            <v>1</v>
          </cell>
          <cell r="I3816" t="str">
            <v>150mm</v>
          </cell>
          <cell r="J3816">
            <v>1</v>
          </cell>
          <cell r="K3816">
            <v>1</v>
          </cell>
        </row>
        <row r="3817">
          <cell r="A3817" t="str">
            <v>M2</v>
          </cell>
          <cell r="B3817" t="str">
            <v>A5C</v>
          </cell>
          <cell r="C3817" t="str">
            <v>P</v>
          </cell>
          <cell r="D3817" t="str">
            <v>24016</v>
          </cell>
          <cell r="E3817" t="str">
            <v>LWN FLG</v>
          </cell>
          <cell r="F3817">
            <v>3</v>
          </cell>
          <cell r="G3817" t="str">
            <v>CB2901000001WL</v>
          </cell>
          <cell r="H3817">
            <v>1</v>
          </cell>
          <cell r="I3817" t="str">
            <v>150mm</v>
          </cell>
          <cell r="J3817">
            <v>1</v>
          </cell>
          <cell r="K3817">
            <v>1</v>
          </cell>
        </row>
        <row r="3818">
          <cell r="A3818" t="str">
            <v>M2</v>
          </cell>
          <cell r="B3818" t="str">
            <v>A5C</v>
          </cell>
          <cell r="C3818" t="str">
            <v>P</v>
          </cell>
          <cell r="D3818" t="str">
            <v>23076</v>
          </cell>
          <cell r="E3818" t="str">
            <v>LWN FLG</v>
          </cell>
          <cell r="F3818">
            <v>3</v>
          </cell>
          <cell r="G3818" t="str">
            <v>CB2901000001WL</v>
          </cell>
          <cell r="H3818">
            <v>1</v>
          </cell>
          <cell r="I3818" t="str">
            <v>150mm</v>
          </cell>
          <cell r="J3818">
            <v>1</v>
          </cell>
          <cell r="K3818">
            <v>1</v>
          </cell>
        </row>
        <row r="3819">
          <cell r="A3819" t="str">
            <v>M2</v>
          </cell>
          <cell r="B3819" t="str">
            <v>A5C</v>
          </cell>
          <cell r="C3819" t="str">
            <v>P</v>
          </cell>
          <cell r="D3819" t="str">
            <v>23191</v>
          </cell>
          <cell r="E3819" t="str">
            <v>LWN FLG</v>
          </cell>
          <cell r="F3819">
            <v>3</v>
          </cell>
          <cell r="G3819" t="str">
            <v>CB2901000001WL</v>
          </cell>
          <cell r="H3819">
            <v>1</v>
          </cell>
          <cell r="I3819" t="str">
            <v>150mm</v>
          </cell>
          <cell r="J3819">
            <v>1</v>
          </cell>
          <cell r="K3819">
            <v>1</v>
          </cell>
        </row>
        <row r="3820">
          <cell r="A3820" t="str">
            <v>M2</v>
          </cell>
          <cell r="B3820" t="str">
            <v>A5C</v>
          </cell>
          <cell r="C3820" t="str">
            <v>P</v>
          </cell>
          <cell r="D3820" t="str">
            <v>24018</v>
          </cell>
          <cell r="E3820" t="str">
            <v>LWN FLG</v>
          </cell>
          <cell r="F3820">
            <v>3</v>
          </cell>
          <cell r="G3820" t="str">
            <v>CB2901000001WL</v>
          </cell>
          <cell r="H3820">
            <v>1</v>
          </cell>
          <cell r="I3820" t="str">
            <v>150mm</v>
          </cell>
          <cell r="J3820">
            <v>1</v>
          </cell>
          <cell r="K3820">
            <v>1</v>
          </cell>
        </row>
        <row r="3821">
          <cell r="A3821" t="str">
            <v>M2</v>
          </cell>
          <cell r="B3821" t="str">
            <v>A5C</v>
          </cell>
          <cell r="C3821" t="str">
            <v>P</v>
          </cell>
          <cell r="D3821" t="str">
            <v>23018</v>
          </cell>
          <cell r="E3821" t="str">
            <v>SW FLG</v>
          </cell>
          <cell r="F3821">
            <v>3</v>
          </cell>
          <cell r="G3821" t="str">
            <v>CB240108000100</v>
          </cell>
          <cell r="H3821">
            <v>1</v>
          </cell>
          <cell r="I3821" t="str">
            <v>--</v>
          </cell>
          <cell r="J3821">
            <v>2</v>
          </cell>
          <cell r="K3821">
            <v>2</v>
          </cell>
        </row>
        <row r="3822">
          <cell r="A3822" t="str">
            <v>M2</v>
          </cell>
          <cell r="B3822" t="str">
            <v>A5C</v>
          </cell>
          <cell r="C3822" t="str">
            <v>P</v>
          </cell>
          <cell r="D3822" t="str">
            <v>23027</v>
          </cell>
          <cell r="E3822" t="str">
            <v>SW FLG</v>
          </cell>
          <cell r="F3822">
            <v>3</v>
          </cell>
          <cell r="G3822" t="str">
            <v>CB240108000100</v>
          </cell>
          <cell r="H3822">
            <v>1</v>
          </cell>
          <cell r="I3822" t="str">
            <v>--</v>
          </cell>
          <cell r="J3822">
            <v>1</v>
          </cell>
          <cell r="K3822">
            <v>1</v>
          </cell>
        </row>
        <row r="3823">
          <cell r="A3823" t="str">
            <v>M2</v>
          </cell>
          <cell r="B3823" t="str">
            <v>A5C</v>
          </cell>
          <cell r="C3823" t="str">
            <v>P</v>
          </cell>
          <cell r="D3823" t="str">
            <v>23033</v>
          </cell>
          <cell r="E3823" t="str">
            <v>SW FLG</v>
          </cell>
          <cell r="F3823">
            <v>3</v>
          </cell>
          <cell r="G3823" t="str">
            <v>CB240108000100</v>
          </cell>
          <cell r="H3823">
            <v>1</v>
          </cell>
          <cell r="I3823" t="str">
            <v>--</v>
          </cell>
          <cell r="J3823">
            <v>2</v>
          </cell>
          <cell r="K3823">
            <v>2</v>
          </cell>
        </row>
        <row r="3824">
          <cell r="A3824" t="str">
            <v>M2</v>
          </cell>
          <cell r="B3824" t="str">
            <v>A5C</v>
          </cell>
          <cell r="C3824" t="str">
            <v>P</v>
          </cell>
          <cell r="D3824" t="str">
            <v>23044</v>
          </cell>
          <cell r="E3824" t="str">
            <v>SW FLG</v>
          </cell>
          <cell r="F3824">
            <v>3</v>
          </cell>
          <cell r="G3824" t="str">
            <v>CB240108000100</v>
          </cell>
          <cell r="H3824">
            <v>1</v>
          </cell>
          <cell r="I3824" t="str">
            <v>--</v>
          </cell>
          <cell r="J3824">
            <v>2</v>
          </cell>
          <cell r="K3824">
            <v>2</v>
          </cell>
        </row>
        <row r="3825">
          <cell r="A3825" t="str">
            <v>M2</v>
          </cell>
          <cell r="B3825" t="str">
            <v>A5C</v>
          </cell>
          <cell r="C3825" t="str">
            <v>P</v>
          </cell>
          <cell r="D3825" t="str">
            <v>23039</v>
          </cell>
          <cell r="E3825" t="str">
            <v>SW FLG</v>
          </cell>
          <cell r="F3825">
            <v>3</v>
          </cell>
          <cell r="G3825" t="str">
            <v>CB240108000100</v>
          </cell>
          <cell r="H3825">
            <v>1</v>
          </cell>
          <cell r="I3825" t="str">
            <v>--</v>
          </cell>
          <cell r="J3825">
            <v>2</v>
          </cell>
          <cell r="K3825">
            <v>2</v>
          </cell>
        </row>
        <row r="3826">
          <cell r="A3826" t="str">
            <v>M2</v>
          </cell>
          <cell r="B3826" t="str">
            <v>A5C</v>
          </cell>
          <cell r="C3826" t="str">
            <v>P</v>
          </cell>
          <cell r="D3826" t="str">
            <v>23074</v>
          </cell>
          <cell r="E3826" t="str">
            <v>SW FLG</v>
          </cell>
          <cell r="F3826">
            <v>3</v>
          </cell>
          <cell r="G3826" t="str">
            <v>CB240108000100</v>
          </cell>
          <cell r="H3826">
            <v>1</v>
          </cell>
          <cell r="I3826" t="str">
            <v>--</v>
          </cell>
          <cell r="J3826">
            <v>1</v>
          </cell>
          <cell r="K3826">
            <v>1</v>
          </cell>
        </row>
        <row r="3827">
          <cell r="A3827" t="str">
            <v>M2</v>
          </cell>
          <cell r="B3827" t="str">
            <v>A5C</v>
          </cell>
          <cell r="C3827" t="str">
            <v>P</v>
          </cell>
          <cell r="D3827" t="str">
            <v>23079</v>
          </cell>
          <cell r="E3827" t="str">
            <v>SW FLG</v>
          </cell>
          <cell r="F3827">
            <v>3</v>
          </cell>
          <cell r="G3827" t="str">
            <v>CB240108000100</v>
          </cell>
          <cell r="H3827">
            <v>1</v>
          </cell>
          <cell r="I3827" t="str">
            <v>--</v>
          </cell>
          <cell r="J3827">
            <v>1</v>
          </cell>
          <cell r="K3827">
            <v>1</v>
          </cell>
        </row>
        <row r="3828">
          <cell r="A3828" t="str">
            <v>M2</v>
          </cell>
          <cell r="B3828" t="str">
            <v>A5C</v>
          </cell>
          <cell r="C3828" t="str">
            <v>P</v>
          </cell>
          <cell r="D3828" t="str">
            <v>23219</v>
          </cell>
          <cell r="E3828" t="str">
            <v>SW FLG</v>
          </cell>
          <cell r="F3828">
            <v>3</v>
          </cell>
          <cell r="G3828" t="str">
            <v>CB240108000100</v>
          </cell>
          <cell r="H3828">
            <v>1</v>
          </cell>
          <cell r="I3828" t="str">
            <v>--</v>
          </cell>
          <cell r="J3828">
            <v>1</v>
          </cell>
          <cell r="K3828">
            <v>1</v>
          </cell>
        </row>
        <row r="3829">
          <cell r="A3829" t="str">
            <v>M2</v>
          </cell>
          <cell r="B3829" t="str">
            <v>A5C</v>
          </cell>
          <cell r="C3829" t="str">
            <v>P</v>
          </cell>
          <cell r="D3829" t="str">
            <v>23223</v>
          </cell>
          <cell r="E3829" t="str">
            <v>SW FLG</v>
          </cell>
          <cell r="F3829">
            <v>3</v>
          </cell>
          <cell r="G3829" t="str">
            <v>CB240208000100</v>
          </cell>
          <cell r="H3829">
            <v>1</v>
          </cell>
          <cell r="I3829" t="str">
            <v>--</v>
          </cell>
          <cell r="J3829">
            <v>2</v>
          </cell>
          <cell r="K3829">
            <v>2</v>
          </cell>
        </row>
        <row r="3830">
          <cell r="A3830" t="str">
            <v>M2</v>
          </cell>
          <cell r="B3830" t="str">
            <v>A5C</v>
          </cell>
          <cell r="C3830" t="str">
            <v>P</v>
          </cell>
          <cell r="D3830" t="str">
            <v>24015</v>
          </cell>
          <cell r="E3830" t="str">
            <v>SW FLG</v>
          </cell>
          <cell r="F3830">
            <v>3</v>
          </cell>
          <cell r="G3830" t="str">
            <v>CB240108000100</v>
          </cell>
          <cell r="H3830">
            <v>1</v>
          </cell>
          <cell r="I3830" t="str">
            <v>--</v>
          </cell>
          <cell r="J3830">
            <v>2</v>
          </cell>
          <cell r="K3830">
            <v>2</v>
          </cell>
        </row>
        <row r="3831">
          <cell r="A3831" t="str">
            <v>M2</v>
          </cell>
          <cell r="B3831" t="str">
            <v>A5C</v>
          </cell>
          <cell r="C3831" t="str">
            <v>P</v>
          </cell>
          <cell r="D3831" t="str">
            <v>24016</v>
          </cell>
          <cell r="E3831" t="str">
            <v>SW FLG</v>
          </cell>
          <cell r="F3831">
            <v>3</v>
          </cell>
          <cell r="G3831" t="str">
            <v>CB240108000100</v>
          </cell>
          <cell r="H3831">
            <v>1</v>
          </cell>
          <cell r="I3831" t="str">
            <v>--</v>
          </cell>
          <cell r="J3831">
            <v>2</v>
          </cell>
          <cell r="K3831">
            <v>2</v>
          </cell>
        </row>
        <row r="3832">
          <cell r="A3832" t="str">
            <v>M2</v>
          </cell>
          <cell r="B3832" t="str">
            <v>A5C</v>
          </cell>
          <cell r="C3832" t="str">
            <v>P</v>
          </cell>
          <cell r="D3832" t="str">
            <v>24017</v>
          </cell>
          <cell r="E3832" t="str">
            <v>SW FLG</v>
          </cell>
          <cell r="F3832">
            <v>3</v>
          </cell>
          <cell r="G3832" t="str">
            <v>CB240108000100</v>
          </cell>
          <cell r="H3832">
            <v>1</v>
          </cell>
          <cell r="I3832" t="str">
            <v>--</v>
          </cell>
          <cell r="J3832">
            <v>1</v>
          </cell>
          <cell r="K3832">
            <v>1</v>
          </cell>
        </row>
        <row r="3833">
          <cell r="A3833" t="str">
            <v>M2</v>
          </cell>
          <cell r="B3833" t="str">
            <v>A5C</v>
          </cell>
          <cell r="C3833" t="str">
            <v>P</v>
          </cell>
          <cell r="D3833" t="str">
            <v>24018</v>
          </cell>
          <cell r="E3833" t="str">
            <v>SW FLG</v>
          </cell>
          <cell r="F3833">
            <v>3</v>
          </cell>
          <cell r="G3833" t="str">
            <v>CB240108000100</v>
          </cell>
          <cell r="H3833">
            <v>1</v>
          </cell>
          <cell r="I3833" t="str">
            <v>--</v>
          </cell>
          <cell r="J3833">
            <v>1</v>
          </cell>
          <cell r="K3833">
            <v>1</v>
          </cell>
        </row>
        <row r="3834">
          <cell r="A3834" t="str">
            <v>M2</v>
          </cell>
          <cell r="B3834" t="str">
            <v>A5C</v>
          </cell>
          <cell r="C3834" t="str">
            <v>TRIM</v>
          </cell>
          <cell r="D3834" t="str">
            <v>C-2302</v>
          </cell>
          <cell r="E3834" t="str">
            <v>SW FLG</v>
          </cell>
          <cell r="F3834">
            <v>3</v>
          </cell>
          <cell r="G3834" t="str">
            <v>CB240108000100</v>
          </cell>
          <cell r="H3834">
            <v>1</v>
          </cell>
          <cell r="I3834" t="str">
            <v>--</v>
          </cell>
          <cell r="J3834">
            <v>1</v>
          </cell>
          <cell r="K3834">
            <v>1</v>
          </cell>
        </row>
        <row r="3835">
          <cell r="A3835" t="str">
            <v>M2</v>
          </cell>
          <cell r="B3835" t="str">
            <v>A5C</v>
          </cell>
          <cell r="C3835" t="str">
            <v>TRIM</v>
          </cell>
          <cell r="D3835" t="str">
            <v>C-2303</v>
          </cell>
          <cell r="E3835" t="str">
            <v>SW FLG</v>
          </cell>
          <cell r="F3835">
            <v>3</v>
          </cell>
          <cell r="G3835" t="str">
            <v>CB240108000100</v>
          </cell>
          <cell r="H3835">
            <v>1</v>
          </cell>
          <cell r="I3835" t="str">
            <v>--</v>
          </cell>
          <cell r="J3835">
            <v>1</v>
          </cell>
          <cell r="K3835">
            <v>1</v>
          </cell>
        </row>
        <row r="3836">
          <cell r="A3836" t="str">
            <v>M2</v>
          </cell>
          <cell r="B3836" t="str">
            <v>A5C</v>
          </cell>
          <cell r="C3836" t="str">
            <v>TRIM</v>
          </cell>
          <cell r="D3836" t="str">
            <v>C-2304</v>
          </cell>
          <cell r="E3836" t="str">
            <v>SW FLG</v>
          </cell>
          <cell r="F3836">
            <v>3</v>
          </cell>
          <cell r="G3836" t="str">
            <v>CB240108000100</v>
          </cell>
          <cell r="H3836">
            <v>1</v>
          </cell>
          <cell r="I3836" t="str">
            <v>--</v>
          </cell>
          <cell r="J3836">
            <v>1</v>
          </cell>
          <cell r="K3836">
            <v>1</v>
          </cell>
        </row>
        <row r="3837">
          <cell r="A3837" t="str">
            <v>M2</v>
          </cell>
          <cell r="B3837" t="str">
            <v>A5C</v>
          </cell>
          <cell r="C3837" t="str">
            <v>TRIM</v>
          </cell>
          <cell r="D3837" t="str">
            <v>C-2305</v>
          </cell>
          <cell r="E3837" t="str">
            <v>SW FLG</v>
          </cell>
          <cell r="F3837">
            <v>3</v>
          </cell>
          <cell r="G3837" t="str">
            <v>CB240108000100</v>
          </cell>
          <cell r="H3837">
            <v>1</v>
          </cell>
          <cell r="I3837" t="str">
            <v>--</v>
          </cell>
          <cell r="J3837">
            <v>1</v>
          </cell>
          <cell r="K3837">
            <v>1</v>
          </cell>
        </row>
        <row r="3838">
          <cell r="A3838" t="str">
            <v>M2</v>
          </cell>
          <cell r="B3838" t="str">
            <v>A5C</v>
          </cell>
          <cell r="C3838" t="str">
            <v>TRIM</v>
          </cell>
          <cell r="D3838" t="str">
            <v>C-2306</v>
          </cell>
          <cell r="E3838" t="str">
            <v>SW FLG</v>
          </cell>
          <cell r="F3838">
            <v>3</v>
          </cell>
          <cell r="G3838" t="str">
            <v>CB240108000100</v>
          </cell>
          <cell r="H3838">
            <v>1</v>
          </cell>
          <cell r="I3838" t="str">
            <v>--</v>
          </cell>
          <cell r="J3838">
            <v>1</v>
          </cell>
          <cell r="K3838">
            <v>1</v>
          </cell>
        </row>
        <row r="3839">
          <cell r="A3839" t="str">
            <v>M2</v>
          </cell>
          <cell r="B3839" t="str">
            <v>A5C</v>
          </cell>
          <cell r="C3839" t="str">
            <v>P</v>
          </cell>
          <cell r="D3839" t="str">
            <v>23019</v>
          </cell>
          <cell r="E3839" t="str">
            <v>SW FLG</v>
          </cell>
          <cell r="F3839">
            <v>3</v>
          </cell>
          <cell r="G3839" t="str">
            <v>CB240208000100</v>
          </cell>
          <cell r="H3839">
            <v>1</v>
          </cell>
          <cell r="I3839" t="str">
            <v>--</v>
          </cell>
          <cell r="J3839">
            <v>2</v>
          </cell>
          <cell r="K3839">
            <v>2</v>
          </cell>
        </row>
        <row r="3840">
          <cell r="A3840" t="str">
            <v>M2</v>
          </cell>
          <cell r="B3840" t="str">
            <v>A5C</v>
          </cell>
          <cell r="C3840" t="str">
            <v>P</v>
          </cell>
          <cell r="D3840" t="str">
            <v>23039</v>
          </cell>
          <cell r="E3840" t="str">
            <v>SW FLG</v>
          </cell>
          <cell r="F3840">
            <v>3</v>
          </cell>
          <cell r="G3840" t="str">
            <v>CB240208000100</v>
          </cell>
          <cell r="H3840">
            <v>1</v>
          </cell>
          <cell r="I3840" t="str">
            <v>--</v>
          </cell>
          <cell r="J3840">
            <v>2</v>
          </cell>
          <cell r="K3840">
            <v>2</v>
          </cell>
        </row>
        <row r="3841">
          <cell r="A3841" t="str">
            <v>M2</v>
          </cell>
          <cell r="B3841" t="str">
            <v>A5C</v>
          </cell>
          <cell r="C3841" t="str">
            <v>P</v>
          </cell>
          <cell r="D3841" t="str">
            <v>23077</v>
          </cell>
          <cell r="E3841" t="str">
            <v>SW FLG</v>
          </cell>
          <cell r="F3841">
            <v>3</v>
          </cell>
          <cell r="G3841" t="str">
            <v>CB240108000100</v>
          </cell>
          <cell r="H3841">
            <v>1</v>
          </cell>
          <cell r="I3841" t="str">
            <v>--</v>
          </cell>
          <cell r="J3841">
            <v>2</v>
          </cell>
          <cell r="K3841">
            <v>2</v>
          </cell>
        </row>
        <row r="3842">
          <cell r="A3842" t="str">
            <v>M2</v>
          </cell>
          <cell r="B3842" t="str">
            <v>A5C</v>
          </cell>
          <cell r="C3842" t="str">
            <v>P</v>
          </cell>
          <cell r="D3842" t="str">
            <v>23194</v>
          </cell>
          <cell r="E3842" t="str">
            <v>SW FLG</v>
          </cell>
          <cell r="F3842">
            <v>3</v>
          </cell>
          <cell r="G3842" t="str">
            <v>CB240108000100</v>
          </cell>
          <cell r="H3842">
            <v>1</v>
          </cell>
          <cell r="I3842" t="str">
            <v>--</v>
          </cell>
          <cell r="J3842">
            <v>3</v>
          </cell>
          <cell r="K3842">
            <v>3</v>
          </cell>
        </row>
        <row r="3843">
          <cell r="A3843" t="str">
            <v>M2</v>
          </cell>
          <cell r="B3843" t="str">
            <v>A5C</v>
          </cell>
          <cell r="C3843" t="str">
            <v>TRIM</v>
          </cell>
          <cell r="D3843" t="str">
            <v>V-2325</v>
          </cell>
          <cell r="E3843" t="str">
            <v>SW FLG</v>
          </cell>
          <cell r="F3843">
            <v>3</v>
          </cell>
          <cell r="G3843" t="str">
            <v>CB240108000100</v>
          </cell>
          <cell r="H3843">
            <v>1</v>
          </cell>
          <cell r="I3843" t="str">
            <v>--</v>
          </cell>
          <cell r="J3843">
            <v>3</v>
          </cell>
          <cell r="K3843">
            <v>3</v>
          </cell>
        </row>
        <row r="3844">
          <cell r="A3844" t="str">
            <v>M2</v>
          </cell>
          <cell r="B3844" t="str">
            <v>A5C</v>
          </cell>
          <cell r="C3844" t="str">
            <v>P</v>
          </cell>
          <cell r="D3844" t="str">
            <v>23015</v>
          </cell>
          <cell r="E3844" t="str">
            <v>LWN FLG</v>
          </cell>
          <cell r="F3844">
            <v>3</v>
          </cell>
          <cell r="G3844" t="str">
            <v>CB2901000001WL</v>
          </cell>
          <cell r="H3844">
            <v>1</v>
          </cell>
          <cell r="I3844" t="str">
            <v>150mm</v>
          </cell>
          <cell r="J3844">
            <v>1</v>
          </cell>
          <cell r="K3844">
            <v>1</v>
          </cell>
        </row>
        <row r="3845">
          <cell r="A3845" t="str">
            <v>M2</v>
          </cell>
          <cell r="B3845" t="str">
            <v>A5C</v>
          </cell>
          <cell r="C3845" t="str">
            <v>P</v>
          </cell>
          <cell r="D3845" t="str">
            <v>23009</v>
          </cell>
          <cell r="E3845" t="str">
            <v>SW FLG</v>
          </cell>
          <cell r="F3845">
            <v>3</v>
          </cell>
          <cell r="G3845" t="str">
            <v>CB240108000100</v>
          </cell>
          <cell r="H3845">
            <v>1</v>
          </cell>
          <cell r="I3845" t="str">
            <v>--</v>
          </cell>
          <cell r="J3845">
            <v>2</v>
          </cell>
          <cell r="K3845">
            <v>2</v>
          </cell>
        </row>
        <row r="3846">
          <cell r="A3846" t="str">
            <v>M2</v>
          </cell>
          <cell r="B3846" t="str">
            <v>A5C</v>
          </cell>
          <cell r="C3846" t="str">
            <v>P</v>
          </cell>
          <cell r="D3846" t="str">
            <v>23154</v>
          </cell>
          <cell r="E3846" t="str">
            <v>SW FLG</v>
          </cell>
          <cell r="F3846">
            <v>3</v>
          </cell>
          <cell r="G3846" t="str">
            <v>CB240108000100</v>
          </cell>
          <cell r="H3846">
            <v>1</v>
          </cell>
          <cell r="I3846" t="str">
            <v>--</v>
          </cell>
          <cell r="J3846">
            <v>3</v>
          </cell>
          <cell r="K3846">
            <v>3</v>
          </cell>
        </row>
        <row r="3847">
          <cell r="A3847" t="str">
            <v>M2</v>
          </cell>
          <cell r="B3847" t="str">
            <v>A5C</v>
          </cell>
          <cell r="C3847" t="str">
            <v>P</v>
          </cell>
          <cell r="D3847" t="str">
            <v>23156</v>
          </cell>
          <cell r="E3847" t="str">
            <v>SW FLG</v>
          </cell>
          <cell r="F3847">
            <v>3</v>
          </cell>
          <cell r="G3847" t="str">
            <v>CB240108000100</v>
          </cell>
          <cell r="H3847">
            <v>1</v>
          </cell>
          <cell r="I3847" t="str">
            <v>--</v>
          </cell>
          <cell r="J3847">
            <v>1</v>
          </cell>
          <cell r="K3847">
            <v>1</v>
          </cell>
        </row>
        <row r="3848">
          <cell r="A3848" t="str">
            <v>M2</v>
          </cell>
          <cell r="B3848" t="str">
            <v>A5C</v>
          </cell>
          <cell r="C3848" t="str">
            <v>P</v>
          </cell>
          <cell r="D3848" t="str">
            <v>24002</v>
          </cell>
          <cell r="E3848" t="str">
            <v>SW FLG</v>
          </cell>
          <cell r="F3848">
            <v>3</v>
          </cell>
          <cell r="G3848" t="str">
            <v>CB240108000100</v>
          </cell>
          <cell r="H3848">
            <v>1</v>
          </cell>
          <cell r="I3848" t="str">
            <v>--</v>
          </cell>
          <cell r="J3848">
            <v>1</v>
          </cell>
          <cell r="K3848">
            <v>1</v>
          </cell>
        </row>
        <row r="3849">
          <cell r="A3849" t="str">
            <v>M2</v>
          </cell>
          <cell r="B3849" t="str">
            <v>A5C</v>
          </cell>
          <cell r="C3849" t="str">
            <v>P</v>
          </cell>
          <cell r="D3849" t="str">
            <v>24002</v>
          </cell>
          <cell r="E3849" t="str">
            <v>SW FLG</v>
          </cell>
          <cell r="F3849">
            <v>3</v>
          </cell>
          <cell r="G3849" t="str">
            <v>CB240208000100</v>
          </cell>
          <cell r="H3849">
            <v>1</v>
          </cell>
          <cell r="I3849" t="str">
            <v>--</v>
          </cell>
          <cell r="J3849">
            <v>2</v>
          </cell>
          <cell r="K3849">
            <v>2</v>
          </cell>
        </row>
        <row r="3850">
          <cell r="A3850" t="str">
            <v>M2</v>
          </cell>
          <cell r="B3850" t="str">
            <v>A5C</v>
          </cell>
          <cell r="C3850" t="str">
            <v>P</v>
          </cell>
          <cell r="D3850" t="str">
            <v>24004</v>
          </cell>
          <cell r="E3850" t="str">
            <v>SW FLG</v>
          </cell>
          <cell r="F3850">
            <v>3</v>
          </cell>
          <cell r="G3850" t="str">
            <v>CB240208000100</v>
          </cell>
          <cell r="H3850">
            <v>1</v>
          </cell>
          <cell r="I3850" t="str">
            <v>--</v>
          </cell>
          <cell r="J3850">
            <v>2</v>
          </cell>
          <cell r="K3850">
            <v>2</v>
          </cell>
        </row>
        <row r="3851">
          <cell r="A3851" t="str">
            <v>M2</v>
          </cell>
          <cell r="B3851" t="str">
            <v>A5C</v>
          </cell>
          <cell r="C3851" t="str">
            <v>P</v>
          </cell>
          <cell r="D3851" t="str">
            <v>24010</v>
          </cell>
          <cell r="E3851" t="str">
            <v>SW FLG</v>
          </cell>
          <cell r="F3851">
            <v>3</v>
          </cell>
          <cell r="G3851" t="str">
            <v>CB240108000100</v>
          </cell>
          <cell r="H3851">
            <v>1</v>
          </cell>
          <cell r="I3851" t="str">
            <v>--</v>
          </cell>
          <cell r="J3851">
            <v>2</v>
          </cell>
          <cell r="K3851">
            <v>2</v>
          </cell>
        </row>
        <row r="3852">
          <cell r="A3852" t="str">
            <v>M2</v>
          </cell>
          <cell r="B3852" t="str">
            <v>A5C</v>
          </cell>
          <cell r="C3852" t="str">
            <v>P</v>
          </cell>
          <cell r="D3852" t="str">
            <v>24004</v>
          </cell>
          <cell r="E3852" t="str">
            <v>SW FLG</v>
          </cell>
          <cell r="F3852">
            <v>3</v>
          </cell>
          <cell r="G3852" t="str">
            <v>CB240108000100</v>
          </cell>
          <cell r="H3852">
            <v>1</v>
          </cell>
          <cell r="I3852" t="str">
            <v>--</v>
          </cell>
          <cell r="J3852">
            <v>3</v>
          </cell>
          <cell r="K3852">
            <v>3</v>
          </cell>
        </row>
        <row r="3853">
          <cell r="A3853" t="str">
            <v>M2</v>
          </cell>
          <cell r="B3853" t="str">
            <v>A5C</v>
          </cell>
          <cell r="C3853" t="str">
            <v>P</v>
          </cell>
          <cell r="D3853" t="str">
            <v>24026</v>
          </cell>
          <cell r="E3853" t="str">
            <v>SW FLG</v>
          </cell>
          <cell r="F3853">
            <v>3</v>
          </cell>
          <cell r="G3853" t="str">
            <v>CB240208000100</v>
          </cell>
          <cell r="H3853">
            <v>1</v>
          </cell>
          <cell r="I3853" t="str">
            <v>--</v>
          </cell>
          <cell r="J3853">
            <v>2</v>
          </cell>
          <cell r="K3853">
            <v>2</v>
          </cell>
        </row>
        <row r="3854">
          <cell r="A3854" t="str">
            <v>M2</v>
          </cell>
          <cell r="B3854" t="str">
            <v>A5C</v>
          </cell>
          <cell r="C3854" t="str">
            <v>P</v>
          </cell>
          <cell r="D3854" t="str">
            <v>24029</v>
          </cell>
          <cell r="E3854" t="str">
            <v>SW FLG</v>
          </cell>
          <cell r="F3854">
            <v>3</v>
          </cell>
          <cell r="G3854" t="str">
            <v>CB240108000100</v>
          </cell>
          <cell r="H3854">
            <v>1</v>
          </cell>
          <cell r="I3854" t="str">
            <v>--</v>
          </cell>
          <cell r="J3854">
            <v>1</v>
          </cell>
          <cell r="K3854">
            <v>1</v>
          </cell>
        </row>
        <row r="3855">
          <cell r="A3855" t="str">
            <v>M2</v>
          </cell>
          <cell r="B3855" t="str">
            <v>A5C</v>
          </cell>
          <cell r="C3855" t="str">
            <v>P</v>
          </cell>
          <cell r="D3855" t="str">
            <v>24032</v>
          </cell>
          <cell r="E3855" t="str">
            <v>SW FLG</v>
          </cell>
          <cell r="F3855">
            <v>3</v>
          </cell>
          <cell r="G3855" t="str">
            <v>CB240108000100</v>
          </cell>
          <cell r="H3855">
            <v>1</v>
          </cell>
          <cell r="I3855" t="str">
            <v>--</v>
          </cell>
          <cell r="J3855">
            <v>1</v>
          </cell>
          <cell r="K3855">
            <v>1</v>
          </cell>
        </row>
        <row r="3856">
          <cell r="A3856" t="str">
            <v>M2</v>
          </cell>
          <cell r="B3856" t="str">
            <v>A5C</v>
          </cell>
          <cell r="C3856" t="str">
            <v>P</v>
          </cell>
          <cell r="D3856" t="str">
            <v>24033</v>
          </cell>
          <cell r="E3856" t="str">
            <v>SW FLG</v>
          </cell>
          <cell r="F3856">
            <v>3</v>
          </cell>
          <cell r="G3856" t="str">
            <v>CB240108000100</v>
          </cell>
          <cell r="H3856">
            <v>1</v>
          </cell>
          <cell r="I3856" t="str">
            <v>--</v>
          </cell>
          <cell r="J3856">
            <v>1</v>
          </cell>
          <cell r="K3856">
            <v>1</v>
          </cell>
        </row>
        <row r="3857">
          <cell r="A3857" t="str">
            <v>M2</v>
          </cell>
          <cell r="B3857" t="str">
            <v>A5C</v>
          </cell>
          <cell r="C3857" t="str">
            <v>P</v>
          </cell>
          <cell r="D3857" t="str">
            <v>24031</v>
          </cell>
          <cell r="E3857" t="str">
            <v>SW FLG</v>
          </cell>
          <cell r="F3857">
            <v>3</v>
          </cell>
          <cell r="G3857" t="str">
            <v>CB240108000100</v>
          </cell>
          <cell r="H3857">
            <v>1</v>
          </cell>
          <cell r="I3857" t="str">
            <v>--</v>
          </cell>
          <cell r="J3857">
            <v>1</v>
          </cell>
          <cell r="K3857">
            <v>1</v>
          </cell>
        </row>
        <row r="3858">
          <cell r="A3858" t="str">
            <v>M2</v>
          </cell>
          <cell r="B3858" t="str">
            <v>A5C</v>
          </cell>
          <cell r="C3858" t="str">
            <v>P</v>
          </cell>
          <cell r="D3858" t="str">
            <v>99004</v>
          </cell>
          <cell r="E3858" t="str">
            <v>SW FLG</v>
          </cell>
          <cell r="F3858">
            <v>3</v>
          </cell>
          <cell r="G3858" t="str">
            <v>CB240108000100</v>
          </cell>
          <cell r="H3858">
            <v>1</v>
          </cell>
          <cell r="I3858" t="str">
            <v>--</v>
          </cell>
          <cell r="J3858">
            <v>1</v>
          </cell>
          <cell r="K3858">
            <v>1</v>
          </cell>
        </row>
        <row r="3859">
          <cell r="A3859" t="str">
            <v>M2</v>
          </cell>
          <cell r="B3859" t="str">
            <v>A5C</v>
          </cell>
          <cell r="C3859" t="str">
            <v>TRIM</v>
          </cell>
          <cell r="D3859" t="str">
            <v>C-2301</v>
          </cell>
          <cell r="E3859" t="str">
            <v>SW FLG</v>
          </cell>
          <cell r="F3859">
            <v>3</v>
          </cell>
          <cell r="G3859" t="str">
            <v>CB240108000100</v>
          </cell>
          <cell r="H3859">
            <v>1</v>
          </cell>
          <cell r="I3859" t="str">
            <v>--</v>
          </cell>
          <cell r="J3859">
            <v>1</v>
          </cell>
          <cell r="K3859">
            <v>1</v>
          </cell>
        </row>
        <row r="3860">
          <cell r="A3860" t="str">
            <v>M2</v>
          </cell>
          <cell r="B3860" t="str">
            <v>A5C</v>
          </cell>
          <cell r="C3860" t="str">
            <v>TRIM</v>
          </cell>
          <cell r="D3860" t="str">
            <v>R-2401</v>
          </cell>
          <cell r="E3860" t="str">
            <v>SW FLG</v>
          </cell>
          <cell r="F3860">
            <v>3</v>
          </cell>
          <cell r="G3860" t="str">
            <v>CB240108000100</v>
          </cell>
          <cell r="H3860">
            <v>1</v>
          </cell>
          <cell r="I3860" t="str">
            <v>--</v>
          </cell>
          <cell r="J3860">
            <v>1</v>
          </cell>
          <cell r="K3860">
            <v>1</v>
          </cell>
        </row>
        <row r="3861">
          <cell r="A3861" t="str">
            <v>M2</v>
          </cell>
          <cell r="B3861" t="str">
            <v>A5C</v>
          </cell>
          <cell r="C3861" t="str">
            <v>P</v>
          </cell>
          <cell r="D3861" t="str">
            <v>24001</v>
          </cell>
          <cell r="E3861" t="str">
            <v>SW FLG</v>
          </cell>
          <cell r="F3861">
            <v>3</v>
          </cell>
          <cell r="G3861" t="str">
            <v>CB240108000100</v>
          </cell>
          <cell r="H3861">
            <v>1</v>
          </cell>
          <cell r="I3861" t="str">
            <v>--</v>
          </cell>
          <cell r="J3861">
            <v>2</v>
          </cell>
          <cell r="K3861">
            <v>2</v>
          </cell>
        </row>
        <row r="3862">
          <cell r="A3862" t="str">
            <v>M2</v>
          </cell>
          <cell r="B3862" t="str">
            <v>A5C</v>
          </cell>
          <cell r="C3862" t="str">
            <v>P</v>
          </cell>
          <cell r="D3862" t="str">
            <v>24025</v>
          </cell>
          <cell r="E3862" t="str">
            <v>SW FLG</v>
          </cell>
          <cell r="F3862">
            <v>3</v>
          </cell>
          <cell r="G3862" t="str">
            <v>CB240108000100</v>
          </cell>
          <cell r="H3862">
            <v>1</v>
          </cell>
          <cell r="I3862" t="str">
            <v>--</v>
          </cell>
          <cell r="J3862">
            <v>7</v>
          </cell>
          <cell r="K3862">
            <v>7</v>
          </cell>
        </row>
        <row r="3863">
          <cell r="A3863" t="str">
            <v>M2</v>
          </cell>
          <cell r="B3863" t="str">
            <v>A5C</v>
          </cell>
          <cell r="C3863" t="str">
            <v>P</v>
          </cell>
          <cell r="D3863" t="str">
            <v>24026</v>
          </cell>
          <cell r="E3863" t="str">
            <v>SW FLG</v>
          </cell>
          <cell r="F3863">
            <v>3</v>
          </cell>
          <cell r="G3863" t="str">
            <v>CB240108000100</v>
          </cell>
          <cell r="H3863">
            <v>1</v>
          </cell>
          <cell r="I3863" t="str">
            <v>--</v>
          </cell>
          <cell r="J3863">
            <v>1</v>
          </cell>
          <cell r="K3863">
            <v>1</v>
          </cell>
        </row>
        <row r="3864">
          <cell r="A3864" t="str">
            <v>M2</v>
          </cell>
          <cell r="B3864" t="str">
            <v>A5C</v>
          </cell>
          <cell r="C3864" t="str">
            <v>P</v>
          </cell>
          <cell r="D3864" t="str">
            <v>23006</v>
          </cell>
          <cell r="E3864" t="str">
            <v>SW FLG</v>
          </cell>
          <cell r="F3864">
            <v>3</v>
          </cell>
          <cell r="G3864" t="str">
            <v>CB240108001H00</v>
          </cell>
          <cell r="H3864">
            <v>1.5</v>
          </cell>
          <cell r="I3864" t="str">
            <v>--</v>
          </cell>
          <cell r="J3864">
            <v>1</v>
          </cell>
          <cell r="K3864">
            <v>1</v>
          </cell>
        </row>
        <row r="3865">
          <cell r="A3865" t="str">
            <v>M2</v>
          </cell>
          <cell r="B3865" t="str">
            <v>A5C</v>
          </cell>
          <cell r="C3865" t="str">
            <v>P</v>
          </cell>
          <cell r="D3865" t="str">
            <v>22102</v>
          </cell>
          <cell r="E3865" t="str">
            <v>SW FLG</v>
          </cell>
          <cell r="F3865">
            <v>3</v>
          </cell>
          <cell r="G3865" t="str">
            <v>CB240108001H00</v>
          </cell>
          <cell r="H3865">
            <v>1.5</v>
          </cell>
          <cell r="I3865" t="str">
            <v>--</v>
          </cell>
          <cell r="J3865">
            <v>1</v>
          </cell>
          <cell r="K3865">
            <v>1</v>
          </cell>
        </row>
        <row r="3866">
          <cell r="A3866" t="str">
            <v>M2</v>
          </cell>
          <cell r="B3866" t="str">
            <v>A5C</v>
          </cell>
          <cell r="C3866" t="str">
            <v>P</v>
          </cell>
          <cell r="D3866" t="str">
            <v>23001</v>
          </cell>
          <cell r="E3866" t="str">
            <v>SW FLG</v>
          </cell>
          <cell r="F3866">
            <v>3</v>
          </cell>
          <cell r="G3866" t="str">
            <v>CB240108001H00</v>
          </cell>
          <cell r="H3866">
            <v>1.5</v>
          </cell>
          <cell r="I3866" t="str">
            <v>--</v>
          </cell>
          <cell r="J3866">
            <v>2</v>
          </cell>
          <cell r="K3866">
            <v>2</v>
          </cell>
        </row>
        <row r="3867">
          <cell r="A3867" t="str">
            <v>M2</v>
          </cell>
          <cell r="B3867" t="str">
            <v>A5C</v>
          </cell>
          <cell r="C3867" t="str">
            <v>P</v>
          </cell>
          <cell r="D3867" t="str">
            <v>23005</v>
          </cell>
          <cell r="E3867" t="str">
            <v>SW FLG</v>
          </cell>
          <cell r="F3867">
            <v>3</v>
          </cell>
          <cell r="G3867" t="str">
            <v>CB240108001H00</v>
          </cell>
          <cell r="H3867">
            <v>1.5</v>
          </cell>
          <cell r="I3867" t="str">
            <v>--</v>
          </cell>
          <cell r="J3867">
            <v>2</v>
          </cell>
          <cell r="K3867">
            <v>2</v>
          </cell>
        </row>
        <row r="3868">
          <cell r="A3868" t="str">
            <v>M2</v>
          </cell>
          <cell r="B3868" t="str">
            <v>A5C</v>
          </cell>
          <cell r="C3868" t="str">
            <v>P</v>
          </cell>
          <cell r="D3868" t="str">
            <v>23037</v>
          </cell>
          <cell r="E3868" t="str">
            <v>SW FLG</v>
          </cell>
          <cell r="F3868">
            <v>3</v>
          </cell>
          <cell r="G3868" t="str">
            <v>CB240108001H00</v>
          </cell>
          <cell r="H3868">
            <v>1.5</v>
          </cell>
          <cell r="I3868" t="str">
            <v>--</v>
          </cell>
          <cell r="J3868">
            <v>1</v>
          </cell>
          <cell r="K3868">
            <v>1</v>
          </cell>
        </row>
        <row r="3869">
          <cell r="A3869" t="str">
            <v>M2</v>
          </cell>
          <cell r="B3869" t="str">
            <v>A5C</v>
          </cell>
          <cell r="C3869" t="str">
            <v>P</v>
          </cell>
          <cell r="D3869" t="str">
            <v>23035</v>
          </cell>
          <cell r="E3869" t="str">
            <v>SW FLG</v>
          </cell>
          <cell r="F3869">
            <v>3</v>
          </cell>
          <cell r="G3869" t="str">
            <v>CB240108001H00</v>
          </cell>
          <cell r="H3869">
            <v>1.5</v>
          </cell>
          <cell r="I3869" t="str">
            <v>--</v>
          </cell>
          <cell r="J3869">
            <v>5</v>
          </cell>
          <cell r="K3869">
            <v>5</v>
          </cell>
        </row>
        <row r="3870">
          <cell r="A3870" t="str">
            <v>M2</v>
          </cell>
          <cell r="B3870" t="str">
            <v>A5C</v>
          </cell>
          <cell r="C3870" t="str">
            <v>P</v>
          </cell>
          <cell r="D3870" t="str">
            <v>23038</v>
          </cell>
          <cell r="E3870" t="str">
            <v>SW FLG</v>
          </cell>
          <cell r="F3870">
            <v>3</v>
          </cell>
          <cell r="G3870" t="str">
            <v>CB240108001H00</v>
          </cell>
          <cell r="H3870">
            <v>1.5</v>
          </cell>
          <cell r="I3870" t="str">
            <v>--</v>
          </cell>
          <cell r="J3870">
            <v>4</v>
          </cell>
          <cell r="K3870">
            <v>4</v>
          </cell>
        </row>
        <row r="3871">
          <cell r="A3871" t="str">
            <v>M2</v>
          </cell>
          <cell r="B3871" t="str">
            <v>A5C</v>
          </cell>
          <cell r="C3871" t="str">
            <v>P</v>
          </cell>
          <cell r="D3871" t="str">
            <v>23052</v>
          </cell>
          <cell r="E3871" t="str">
            <v>SW FLG</v>
          </cell>
          <cell r="F3871">
            <v>3</v>
          </cell>
          <cell r="G3871" t="str">
            <v>CB240108001H00</v>
          </cell>
          <cell r="H3871">
            <v>1.5</v>
          </cell>
          <cell r="I3871" t="str">
            <v>--</v>
          </cell>
          <cell r="J3871">
            <v>1</v>
          </cell>
          <cell r="K3871">
            <v>1</v>
          </cell>
        </row>
        <row r="3872">
          <cell r="A3872" t="str">
            <v>M2</v>
          </cell>
          <cell r="B3872" t="str">
            <v>A5C</v>
          </cell>
          <cell r="C3872" t="str">
            <v>P</v>
          </cell>
          <cell r="D3872" t="str">
            <v>23063</v>
          </cell>
          <cell r="E3872" t="str">
            <v>SW FLG</v>
          </cell>
          <cell r="F3872">
            <v>3</v>
          </cell>
          <cell r="G3872" t="str">
            <v>CB240108001H00</v>
          </cell>
          <cell r="H3872">
            <v>1.5</v>
          </cell>
          <cell r="I3872" t="str">
            <v>--</v>
          </cell>
          <cell r="J3872">
            <v>1</v>
          </cell>
          <cell r="K3872">
            <v>1</v>
          </cell>
        </row>
        <row r="3873">
          <cell r="A3873" t="str">
            <v>M2</v>
          </cell>
          <cell r="B3873" t="str">
            <v>A5C</v>
          </cell>
          <cell r="C3873" t="str">
            <v>P</v>
          </cell>
          <cell r="D3873" t="str">
            <v>23070</v>
          </cell>
          <cell r="E3873" t="str">
            <v>SW FLG</v>
          </cell>
          <cell r="F3873">
            <v>3</v>
          </cell>
          <cell r="G3873" t="str">
            <v>CB240108001H00</v>
          </cell>
          <cell r="H3873">
            <v>1.5</v>
          </cell>
          <cell r="I3873" t="str">
            <v>--</v>
          </cell>
          <cell r="J3873">
            <v>4</v>
          </cell>
          <cell r="K3873">
            <v>4</v>
          </cell>
        </row>
        <row r="3874">
          <cell r="A3874" t="str">
            <v>M2</v>
          </cell>
          <cell r="B3874" t="str">
            <v>A5C</v>
          </cell>
          <cell r="C3874" t="str">
            <v>P</v>
          </cell>
          <cell r="D3874" t="str">
            <v>23073</v>
          </cell>
          <cell r="E3874" t="str">
            <v>SW FLG</v>
          </cell>
          <cell r="F3874">
            <v>3</v>
          </cell>
          <cell r="G3874" t="str">
            <v>CB240108001H00</v>
          </cell>
          <cell r="H3874">
            <v>1.5</v>
          </cell>
          <cell r="I3874" t="str">
            <v>--</v>
          </cell>
          <cell r="J3874">
            <v>2</v>
          </cell>
          <cell r="K3874">
            <v>2</v>
          </cell>
        </row>
        <row r="3875">
          <cell r="A3875" t="str">
            <v>M2</v>
          </cell>
          <cell r="B3875" t="str">
            <v>A5C</v>
          </cell>
          <cell r="C3875" t="str">
            <v>P</v>
          </cell>
          <cell r="D3875" t="str">
            <v>23078</v>
          </cell>
          <cell r="E3875" t="str">
            <v>SW FLG</v>
          </cell>
          <cell r="F3875">
            <v>3</v>
          </cell>
          <cell r="G3875" t="str">
            <v>CB240108001H00</v>
          </cell>
          <cell r="H3875">
            <v>1.5</v>
          </cell>
          <cell r="I3875" t="str">
            <v>--</v>
          </cell>
          <cell r="J3875">
            <v>1</v>
          </cell>
          <cell r="K3875">
            <v>1</v>
          </cell>
        </row>
        <row r="3876">
          <cell r="A3876" t="str">
            <v>M2</v>
          </cell>
          <cell r="B3876" t="str">
            <v>A5C</v>
          </cell>
          <cell r="C3876" t="str">
            <v>P</v>
          </cell>
          <cell r="D3876" t="str">
            <v>23096</v>
          </cell>
          <cell r="E3876" t="str">
            <v>SW FLG</v>
          </cell>
          <cell r="F3876">
            <v>3</v>
          </cell>
          <cell r="G3876" t="str">
            <v>CB240108001H00</v>
          </cell>
          <cell r="H3876">
            <v>1.5</v>
          </cell>
          <cell r="I3876" t="str">
            <v>--</v>
          </cell>
          <cell r="J3876">
            <v>2</v>
          </cell>
          <cell r="K3876">
            <v>2</v>
          </cell>
        </row>
        <row r="3877">
          <cell r="A3877" t="str">
            <v>M2</v>
          </cell>
          <cell r="B3877" t="str">
            <v>A5C</v>
          </cell>
          <cell r="C3877" t="str">
            <v>P</v>
          </cell>
          <cell r="D3877" t="str">
            <v>23107</v>
          </cell>
          <cell r="E3877" t="str">
            <v>SW FLG</v>
          </cell>
          <cell r="F3877">
            <v>3</v>
          </cell>
          <cell r="G3877" t="str">
            <v>CB240108001H00</v>
          </cell>
          <cell r="H3877">
            <v>1.5</v>
          </cell>
          <cell r="I3877" t="str">
            <v>--</v>
          </cell>
          <cell r="J3877">
            <v>5</v>
          </cell>
          <cell r="K3877">
            <v>5</v>
          </cell>
        </row>
        <row r="3878">
          <cell r="A3878" t="str">
            <v>M2</v>
          </cell>
          <cell r="B3878" t="str">
            <v>A5C</v>
          </cell>
          <cell r="C3878" t="str">
            <v>P</v>
          </cell>
          <cell r="D3878" t="str">
            <v>23111</v>
          </cell>
          <cell r="E3878" t="str">
            <v>SW FLG</v>
          </cell>
          <cell r="F3878">
            <v>3</v>
          </cell>
          <cell r="G3878" t="str">
            <v>CB240108001H00</v>
          </cell>
          <cell r="H3878">
            <v>1.5</v>
          </cell>
          <cell r="I3878" t="str">
            <v>--</v>
          </cell>
          <cell r="J3878">
            <v>5</v>
          </cell>
          <cell r="K3878">
            <v>5</v>
          </cell>
        </row>
        <row r="3879">
          <cell r="A3879" t="str">
            <v>M2</v>
          </cell>
          <cell r="B3879" t="str">
            <v>A5C</v>
          </cell>
          <cell r="C3879" t="str">
            <v>P</v>
          </cell>
          <cell r="D3879" t="str">
            <v>23115</v>
          </cell>
          <cell r="E3879" t="str">
            <v>SW FLG</v>
          </cell>
          <cell r="F3879">
            <v>3</v>
          </cell>
          <cell r="G3879" t="str">
            <v>CB240108001H00</v>
          </cell>
          <cell r="H3879">
            <v>1.5</v>
          </cell>
          <cell r="I3879" t="str">
            <v>--</v>
          </cell>
          <cell r="J3879">
            <v>2</v>
          </cell>
          <cell r="K3879">
            <v>2</v>
          </cell>
        </row>
        <row r="3880">
          <cell r="A3880" t="str">
            <v>M2</v>
          </cell>
          <cell r="B3880" t="str">
            <v>A5C</v>
          </cell>
          <cell r="C3880" t="str">
            <v>P</v>
          </cell>
          <cell r="D3880" t="str">
            <v>23117</v>
          </cell>
          <cell r="E3880" t="str">
            <v>SW FLG</v>
          </cell>
          <cell r="F3880">
            <v>3</v>
          </cell>
          <cell r="G3880" t="str">
            <v>CB240108001H00</v>
          </cell>
          <cell r="H3880">
            <v>1.5</v>
          </cell>
          <cell r="I3880" t="str">
            <v>--</v>
          </cell>
          <cell r="J3880">
            <v>4</v>
          </cell>
          <cell r="K3880">
            <v>4</v>
          </cell>
        </row>
        <row r="3881">
          <cell r="A3881" t="str">
            <v>M2</v>
          </cell>
          <cell r="B3881" t="str">
            <v>A5C</v>
          </cell>
          <cell r="C3881" t="str">
            <v>P</v>
          </cell>
          <cell r="D3881" t="str">
            <v>23143</v>
          </cell>
          <cell r="E3881" t="str">
            <v>SW FLG</v>
          </cell>
          <cell r="F3881">
            <v>3</v>
          </cell>
          <cell r="G3881" t="str">
            <v>CB240108001H00</v>
          </cell>
          <cell r="H3881">
            <v>1.5</v>
          </cell>
          <cell r="I3881" t="str">
            <v>--</v>
          </cell>
          <cell r="J3881">
            <v>5</v>
          </cell>
          <cell r="K3881">
            <v>5</v>
          </cell>
        </row>
        <row r="3882">
          <cell r="A3882" t="str">
            <v>M2</v>
          </cell>
          <cell r="B3882" t="str">
            <v>A5C</v>
          </cell>
          <cell r="C3882" t="str">
            <v>P</v>
          </cell>
          <cell r="D3882" t="str">
            <v>23147</v>
          </cell>
          <cell r="E3882" t="str">
            <v>SW FLG</v>
          </cell>
          <cell r="F3882">
            <v>3</v>
          </cell>
          <cell r="G3882" t="str">
            <v>CB240108001H00</v>
          </cell>
          <cell r="H3882">
            <v>1.5</v>
          </cell>
          <cell r="I3882" t="str">
            <v>--</v>
          </cell>
          <cell r="J3882">
            <v>5</v>
          </cell>
          <cell r="K3882">
            <v>5</v>
          </cell>
        </row>
        <row r="3883">
          <cell r="A3883" t="str">
            <v>M2</v>
          </cell>
          <cell r="B3883" t="str">
            <v>A5C</v>
          </cell>
          <cell r="C3883" t="str">
            <v>P</v>
          </cell>
          <cell r="D3883" t="str">
            <v>23157</v>
          </cell>
          <cell r="E3883" t="str">
            <v>SW FLG</v>
          </cell>
          <cell r="F3883">
            <v>3</v>
          </cell>
          <cell r="G3883" t="str">
            <v>CB240108001H00</v>
          </cell>
          <cell r="H3883">
            <v>1.5</v>
          </cell>
          <cell r="I3883" t="str">
            <v>--</v>
          </cell>
          <cell r="J3883">
            <v>4</v>
          </cell>
          <cell r="K3883">
            <v>4</v>
          </cell>
        </row>
        <row r="3884">
          <cell r="A3884" t="str">
            <v>M2</v>
          </cell>
          <cell r="B3884" t="str">
            <v>A5C</v>
          </cell>
          <cell r="C3884" t="str">
            <v>P</v>
          </cell>
          <cell r="D3884" t="str">
            <v>23185</v>
          </cell>
          <cell r="E3884" t="str">
            <v>SW FLG</v>
          </cell>
          <cell r="F3884">
            <v>3</v>
          </cell>
          <cell r="G3884" t="str">
            <v>CB240108001H00</v>
          </cell>
          <cell r="H3884">
            <v>1.5</v>
          </cell>
          <cell r="I3884" t="str">
            <v>--</v>
          </cell>
          <cell r="J3884">
            <v>4</v>
          </cell>
          <cell r="K3884">
            <v>4</v>
          </cell>
        </row>
        <row r="3885">
          <cell r="A3885" t="str">
            <v>M2</v>
          </cell>
          <cell r="B3885" t="str">
            <v>A5C</v>
          </cell>
          <cell r="C3885" t="str">
            <v>P</v>
          </cell>
          <cell r="D3885" t="str">
            <v>23196</v>
          </cell>
          <cell r="E3885" t="str">
            <v>SW FLG</v>
          </cell>
          <cell r="F3885">
            <v>3</v>
          </cell>
          <cell r="G3885" t="str">
            <v>CB240108001H00</v>
          </cell>
          <cell r="H3885">
            <v>1.5</v>
          </cell>
          <cell r="I3885" t="str">
            <v>--</v>
          </cell>
          <cell r="J3885">
            <v>4</v>
          </cell>
          <cell r="K3885">
            <v>4</v>
          </cell>
        </row>
        <row r="3886">
          <cell r="A3886" t="str">
            <v>M2</v>
          </cell>
          <cell r="B3886" t="str">
            <v>A5C</v>
          </cell>
          <cell r="C3886" t="str">
            <v>P</v>
          </cell>
          <cell r="D3886" t="str">
            <v>23217</v>
          </cell>
          <cell r="E3886" t="str">
            <v>SW FLG</v>
          </cell>
          <cell r="F3886">
            <v>3</v>
          </cell>
          <cell r="G3886" t="str">
            <v>CB240108001H00</v>
          </cell>
          <cell r="H3886">
            <v>1.5</v>
          </cell>
          <cell r="I3886" t="str">
            <v>--</v>
          </cell>
          <cell r="J3886">
            <v>2</v>
          </cell>
          <cell r="K3886">
            <v>2</v>
          </cell>
        </row>
        <row r="3887">
          <cell r="A3887" t="str">
            <v>M2</v>
          </cell>
          <cell r="B3887" t="str">
            <v>A5C</v>
          </cell>
          <cell r="C3887" t="str">
            <v>P</v>
          </cell>
          <cell r="D3887" t="str">
            <v>23226</v>
          </cell>
          <cell r="E3887" t="str">
            <v>SW FLG</v>
          </cell>
          <cell r="F3887">
            <v>3</v>
          </cell>
          <cell r="G3887" t="str">
            <v>CB240108001H00</v>
          </cell>
          <cell r="H3887">
            <v>1.5</v>
          </cell>
          <cell r="I3887" t="str">
            <v>--</v>
          </cell>
          <cell r="J3887">
            <v>2</v>
          </cell>
          <cell r="K3887">
            <v>2</v>
          </cell>
        </row>
        <row r="3888">
          <cell r="A3888" t="str">
            <v>M2</v>
          </cell>
          <cell r="B3888" t="str">
            <v>A5C</v>
          </cell>
          <cell r="C3888" t="str">
            <v>P</v>
          </cell>
          <cell r="D3888" t="str">
            <v>23246</v>
          </cell>
          <cell r="E3888" t="str">
            <v>SW FLG</v>
          </cell>
          <cell r="F3888">
            <v>3</v>
          </cell>
          <cell r="G3888" t="str">
            <v>CB240108001H00</v>
          </cell>
          <cell r="H3888">
            <v>1.5</v>
          </cell>
          <cell r="I3888" t="str">
            <v>--</v>
          </cell>
          <cell r="J3888">
            <v>2</v>
          </cell>
          <cell r="K3888">
            <v>2</v>
          </cell>
        </row>
        <row r="3889">
          <cell r="A3889" t="str">
            <v>M2</v>
          </cell>
          <cell r="B3889" t="str">
            <v>A5C</v>
          </cell>
          <cell r="C3889" t="str">
            <v>P</v>
          </cell>
          <cell r="D3889" t="str">
            <v>23248</v>
          </cell>
          <cell r="E3889" t="str">
            <v>SW FLG</v>
          </cell>
          <cell r="F3889">
            <v>3</v>
          </cell>
          <cell r="G3889" t="str">
            <v>CB240108001H00</v>
          </cell>
          <cell r="H3889">
            <v>1.5</v>
          </cell>
          <cell r="I3889" t="str">
            <v>--</v>
          </cell>
          <cell r="J3889">
            <v>2</v>
          </cell>
          <cell r="K3889">
            <v>2</v>
          </cell>
        </row>
        <row r="3890">
          <cell r="A3890" t="str">
            <v>M2</v>
          </cell>
          <cell r="B3890" t="str">
            <v>A5C</v>
          </cell>
          <cell r="C3890" t="str">
            <v>P</v>
          </cell>
          <cell r="D3890" t="str">
            <v>23253</v>
          </cell>
          <cell r="E3890" t="str">
            <v>SW FLG</v>
          </cell>
          <cell r="F3890">
            <v>3</v>
          </cell>
          <cell r="G3890" t="str">
            <v>CB240108001H00</v>
          </cell>
          <cell r="H3890">
            <v>1.5</v>
          </cell>
          <cell r="I3890" t="str">
            <v>--</v>
          </cell>
          <cell r="J3890">
            <v>1</v>
          </cell>
          <cell r="K3890">
            <v>1</v>
          </cell>
        </row>
        <row r="3891">
          <cell r="A3891" t="str">
            <v>M2</v>
          </cell>
          <cell r="B3891" t="str">
            <v>A5C</v>
          </cell>
          <cell r="C3891" t="str">
            <v>P</v>
          </cell>
          <cell r="D3891" t="str">
            <v>23259</v>
          </cell>
          <cell r="E3891" t="str">
            <v>SW FLG</v>
          </cell>
          <cell r="F3891">
            <v>3</v>
          </cell>
          <cell r="G3891" t="str">
            <v>CB240108001H00</v>
          </cell>
          <cell r="H3891">
            <v>1.5</v>
          </cell>
          <cell r="I3891" t="str">
            <v>--</v>
          </cell>
          <cell r="J3891">
            <v>4</v>
          </cell>
          <cell r="K3891">
            <v>4</v>
          </cell>
        </row>
        <row r="3892">
          <cell r="A3892" t="str">
            <v>M2</v>
          </cell>
          <cell r="B3892" t="str">
            <v>A5C</v>
          </cell>
          <cell r="C3892" t="str">
            <v>P</v>
          </cell>
          <cell r="D3892" t="str">
            <v>24014</v>
          </cell>
          <cell r="E3892" t="str">
            <v>SW FLG</v>
          </cell>
          <cell r="F3892">
            <v>3</v>
          </cell>
          <cell r="G3892" t="str">
            <v>CB240108001H00</v>
          </cell>
          <cell r="H3892">
            <v>1.5</v>
          </cell>
          <cell r="I3892" t="str">
            <v>--</v>
          </cell>
          <cell r="J3892">
            <v>4</v>
          </cell>
          <cell r="K3892">
            <v>4</v>
          </cell>
        </row>
        <row r="3893">
          <cell r="A3893" t="str">
            <v>M2</v>
          </cell>
          <cell r="B3893" t="str">
            <v>A5C</v>
          </cell>
          <cell r="C3893" t="str">
            <v>P</v>
          </cell>
          <cell r="D3893" t="str">
            <v>24021</v>
          </cell>
          <cell r="E3893" t="str">
            <v>SW FLG</v>
          </cell>
          <cell r="F3893">
            <v>3</v>
          </cell>
          <cell r="G3893" t="str">
            <v>CB240108001H00</v>
          </cell>
          <cell r="H3893">
            <v>1.5</v>
          </cell>
          <cell r="I3893" t="str">
            <v>--</v>
          </cell>
          <cell r="J3893">
            <v>2</v>
          </cell>
          <cell r="K3893">
            <v>2</v>
          </cell>
        </row>
        <row r="3894">
          <cell r="A3894" t="str">
            <v>M2</v>
          </cell>
          <cell r="B3894" t="str">
            <v>A5C</v>
          </cell>
          <cell r="C3894" t="str">
            <v>P</v>
          </cell>
          <cell r="D3894" t="str">
            <v>99003</v>
          </cell>
          <cell r="E3894" t="str">
            <v>SW FLG</v>
          </cell>
          <cell r="F3894">
            <v>3</v>
          </cell>
          <cell r="G3894" t="str">
            <v>CB240108001H00</v>
          </cell>
          <cell r="H3894">
            <v>1.5</v>
          </cell>
          <cell r="I3894" t="str">
            <v>--</v>
          </cell>
          <cell r="J3894">
            <v>6</v>
          </cell>
          <cell r="K3894">
            <v>6</v>
          </cell>
        </row>
        <row r="3895">
          <cell r="A3895" t="str">
            <v>M2</v>
          </cell>
          <cell r="B3895" t="str">
            <v>A5C</v>
          </cell>
          <cell r="C3895" t="str">
            <v>P</v>
          </cell>
          <cell r="D3895" t="str">
            <v>99003</v>
          </cell>
          <cell r="E3895" t="str">
            <v>SW FLG</v>
          </cell>
          <cell r="F3895">
            <v>3</v>
          </cell>
          <cell r="G3895" t="str">
            <v>CB240108001H00</v>
          </cell>
          <cell r="H3895">
            <v>1.5</v>
          </cell>
          <cell r="I3895" t="str">
            <v>--</v>
          </cell>
          <cell r="J3895">
            <v>1</v>
          </cell>
          <cell r="K3895">
            <v>1</v>
          </cell>
        </row>
        <row r="3896">
          <cell r="A3896" t="str">
            <v>M2</v>
          </cell>
          <cell r="B3896" t="str">
            <v>A5C</v>
          </cell>
          <cell r="C3896" t="str">
            <v>P</v>
          </cell>
          <cell r="D3896" t="str">
            <v>23072</v>
          </cell>
          <cell r="E3896" t="str">
            <v>SW FLG</v>
          </cell>
          <cell r="F3896">
            <v>3</v>
          </cell>
          <cell r="G3896" t="str">
            <v>CB240108001H00</v>
          </cell>
          <cell r="H3896">
            <v>1.5</v>
          </cell>
          <cell r="I3896" t="str">
            <v>--</v>
          </cell>
          <cell r="J3896">
            <v>1</v>
          </cell>
          <cell r="K3896">
            <v>1</v>
          </cell>
        </row>
        <row r="3897">
          <cell r="A3897" t="str">
            <v>M2</v>
          </cell>
          <cell r="B3897" t="str">
            <v>A5C</v>
          </cell>
          <cell r="C3897" t="str">
            <v>P</v>
          </cell>
          <cell r="D3897" t="str">
            <v>23085</v>
          </cell>
          <cell r="E3897" t="str">
            <v>SW FLG</v>
          </cell>
          <cell r="F3897">
            <v>3</v>
          </cell>
          <cell r="G3897" t="str">
            <v>CB240108001H00</v>
          </cell>
          <cell r="H3897">
            <v>1.5</v>
          </cell>
          <cell r="I3897" t="str">
            <v>--</v>
          </cell>
          <cell r="J3897">
            <v>2</v>
          </cell>
          <cell r="K3897">
            <v>2</v>
          </cell>
        </row>
        <row r="3898">
          <cell r="A3898" t="str">
            <v>M2</v>
          </cell>
          <cell r="B3898" t="str">
            <v>A5C</v>
          </cell>
          <cell r="C3898" t="str">
            <v>P</v>
          </cell>
          <cell r="D3898" t="str">
            <v>23102</v>
          </cell>
          <cell r="E3898" t="str">
            <v>SW FLG</v>
          </cell>
          <cell r="F3898">
            <v>3</v>
          </cell>
          <cell r="G3898" t="str">
            <v>CB240108001H00</v>
          </cell>
          <cell r="H3898">
            <v>1.5</v>
          </cell>
          <cell r="I3898" t="str">
            <v>--</v>
          </cell>
          <cell r="J3898">
            <v>2</v>
          </cell>
          <cell r="K3898">
            <v>2</v>
          </cell>
        </row>
        <row r="3899">
          <cell r="A3899" t="str">
            <v>M2</v>
          </cell>
          <cell r="B3899" t="str">
            <v>A5C</v>
          </cell>
          <cell r="C3899" t="str">
            <v>P</v>
          </cell>
          <cell r="D3899" t="str">
            <v>23103</v>
          </cell>
          <cell r="E3899" t="str">
            <v>SW FLG</v>
          </cell>
          <cell r="F3899">
            <v>3</v>
          </cell>
          <cell r="G3899" t="str">
            <v>CB240108001H00</v>
          </cell>
          <cell r="H3899">
            <v>1.5</v>
          </cell>
          <cell r="I3899" t="str">
            <v>--</v>
          </cell>
          <cell r="J3899">
            <v>5</v>
          </cell>
          <cell r="K3899">
            <v>5</v>
          </cell>
        </row>
        <row r="3900">
          <cell r="A3900" t="str">
            <v>M2</v>
          </cell>
          <cell r="B3900" t="str">
            <v>A5C</v>
          </cell>
          <cell r="C3900" t="str">
            <v>P</v>
          </cell>
          <cell r="D3900" t="str">
            <v>23106</v>
          </cell>
          <cell r="E3900" t="str">
            <v>SW FLG</v>
          </cell>
          <cell r="F3900">
            <v>3</v>
          </cell>
          <cell r="G3900" t="str">
            <v>CB240108001H00</v>
          </cell>
          <cell r="H3900">
            <v>1.5</v>
          </cell>
          <cell r="I3900" t="str">
            <v>--</v>
          </cell>
          <cell r="J3900">
            <v>2</v>
          </cell>
          <cell r="K3900">
            <v>2</v>
          </cell>
        </row>
        <row r="3901">
          <cell r="A3901" t="str">
            <v>M2</v>
          </cell>
          <cell r="B3901" t="str">
            <v>A5C</v>
          </cell>
          <cell r="C3901" t="str">
            <v>P</v>
          </cell>
          <cell r="D3901" t="str">
            <v>23135</v>
          </cell>
          <cell r="E3901" t="str">
            <v>SW FLG</v>
          </cell>
          <cell r="F3901">
            <v>3</v>
          </cell>
          <cell r="G3901" t="str">
            <v>CB240108001H00</v>
          </cell>
          <cell r="H3901">
            <v>1.5</v>
          </cell>
          <cell r="I3901" t="str">
            <v>--</v>
          </cell>
          <cell r="J3901">
            <v>2</v>
          </cell>
          <cell r="K3901">
            <v>2</v>
          </cell>
        </row>
        <row r="3902">
          <cell r="A3902" t="str">
            <v>M2</v>
          </cell>
          <cell r="B3902" t="str">
            <v>A5C</v>
          </cell>
          <cell r="C3902" t="str">
            <v>P</v>
          </cell>
          <cell r="D3902" t="str">
            <v>23192</v>
          </cell>
          <cell r="E3902" t="str">
            <v>SW FLG</v>
          </cell>
          <cell r="F3902">
            <v>3</v>
          </cell>
          <cell r="G3902" t="str">
            <v>CB240208001H00</v>
          </cell>
          <cell r="H3902">
            <v>1.5</v>
          </cell>
          <cell r="I3902" t="str">
            <v>--</v>
          </cell>
          <cell r="J3902">
            <v>2</v>
          </cell>
          <cell r="K3902">
            <v>2</v>
          </cell>
        </row>
        <row r="3903">
          <cell r="A3903" t="str">
            <v>M2</v>
          </cell>
          <cell r="B3903" t="str">
            <v>A5C</v>
          </cell>
          <cell r="C3903" t="str">
            <v>P</v>
          </cell>
          <cell r="D3903" t="str">
            <v>23231</v>
          </cell>
          <cell r="E3903" t="str">
            <v>SW FLG</v>
          </cell>
          <cell r="F3903">
            <v>3</v>
          </cell>
          <cell r="G3903" t="str">
            <v>CB240108001H00</v>
          </cell>
          <cell r="H3903">
            <v>1.5</v>
          </cell>
          <cell r="I3903" t="str">
            <v>--</v>
          </cell>
          <cell r="J3903">
            <v>1</v>
          </cell>
          <cell r="K3903">
            <v>1</v>
          </cell>
        </row>
        <row r="3904">
          <cell r="A3904" t="str">
            <v>M2</v>
          </cell>
          <cell r="B3904" t="str">
            <v>A5C</v>
          </cell>
          <cell r="C3904" t="str">
            <v>TRIM</v>
          </cell>
          <cell r="D3904" t="str">
            <v>V-2301</v>
          </cell>
          <cell r="E3904" t="str">
            <v>SW FLG</v>
          </cell>
          <cell r="F3904">
            <v>3</v>
          </cell>
          <cell r="G3904" t="str">
            <v>CB240108001H00</v>
          </cell>
          <cell r="H3904">
            <v>1.5</v>
          </cell>
          <cell r="I3904" t="str">
            <v>--</v>
          </cell>
          <cell r="J3904">
            <v>2</v>
          </cell>
          <cell r="K3904">
            <v>2</v>
          </cell>
        </row>
        <row r="3905">
          <cell r="A3905" t="str">
            <v>M2</v>
          </cell>
          <cell r="B3905" t="str">
            <v>A5C</v>
          </cell>
          <cell r="C3905" t="str">
            <v>P</v>
          </cell>
          <cell r="D3905" t="str">
            <v>23055</v>
          </cell>
          <cell r="E3905" t="str">
            <v>SW FLG</v>
          </cell>
          <cell r="F3905">
            <v>3</v>
          </cell>
          <cell r="G3905" t="str">
            <v>CB240108001H00</v>
          </cell>
          <cell r="H3905">
            <v>1.5</v>
          </cell>
          <cell r="I3905" t="str">
            <v>--</v>
          </cell>
          <cell r="J3905">
            <v>4</v>
          </cell>
          <cell r="K3905">
            <v>4</v>
          </cell>
        </row>
        <row r="3906">
          <cell r="A3906" t="str">
            <v>M2</v>
          </cell>
          <cell r="B3906" t="str">
            <v>A5C</v>
          </cell>
          <cell r="C3906" t="str">
            <v>P</v>
          </cell>
          <cell r="D3906" t="str">
            <v>23008</v>
          </cell>
          <cell r="E3906" t="str">
            <v>SW FLG</v>
          </cell>
          <cell r="F3906">
            <v>3</v>
          </cell>
          <cell r="G3906" t="str">
            <v>CB240108001H00</v>
          </cell>
          <cell r="H3906">
            <v>1.5</v>
          </cell>
          <cell r="I3906" t="str">
            <v>--</v>
          </cell>
          <cell r="J3906">
            <v>4</v>
          </cell>
          <cell r="K3906">
            <v>4</v>
          </cell>
        </row>
        <row r="3907">
          <cell r="A3907" t="str">
            <v>M2</v>
          </cell>
          <cell r="B3907" t="str">
            <v>A5C</v>
          </cell>
          <cell r="C3907" t="str">
            <v>P</v>
          </cell>
          <cell r="D3907" t="str">
            <v>23027</v>
          </cell>
          <cell r="E3907" t="str">
            <v>SW FLG</v>
          </cell>
          <cell r="F3907">
            <v>3</v>
          </cell>
          <cell r="G3907" t="str">
            <v>CB240108001H00</v>
          </cell>
          <cell r="H3907">
            <v>1.5</v>
          </cell>
          <cell r="I3907" t="str">
            <v>--</v>
          </cell>
          <cell r="J3907">
            <v>1</v>
          </cell>
          <cell r="K3907">
            <v>1</v>
          </cell>
        </row>
        <row r="3908">
          <cell r="A3908" t="str">
            <v>M2</v>
          </cell>
          <cell r="B3908" t="str">
            <v>A5C</v>
          </cell>
          <cell r="C3908" t="str">
            <v>P</v>
          </cell>
          <cell r="D3908" t="str">
            <v>23030</v>
          </cell>
          <cell r="E3908" t="str">
            <v>SW FLG</v>
          </cell>
          <cell r="F3908">
            <v>3</v>
          </cell>
          <cell r="G3908" t="str">
            <v>CB240108001H00</v>
          </cell>
          <cell r="H3908">
            <v>1.5</v>
          </cell>
          <cell r="I3908" t="str">
            <v>--</v>
          </cell>
          <cell r="J3908">
            <v>2</v>
          </cell>
          <cell r="K3908">
            <v>2</v>
          </cell>
        </row>
        <row r="3909">
          <cell r="A3909" t="str">
            <v>M2</v>
          </cell>
          <cell r="B3909" t="str">
            <v>A5C</v>
          </cell>
          <cell r="C3909" t="str">
            <v>P</v>
          </cell>
          <cell r="D3909" t="str">
            <v>23036</v>
          </cell>
          <cell r="E3909" t="str">
            <v>SW FLG</v>
          </cell>
          <cell r="F3909">
            <v>3</v>
          </cell>
          <cell r="G3909" t="str">
            <v>CB240108001H00</v>
          </cell>
          <cell r="H3909">
            <v>1.5</v>
          </cell>
          <cell r="I3909" t="str">
            <v>--</v>
          </cell>
          <cell r="J3909">
            <v>2</v>
          </cell>
          <cell r="K3909">
            <v>2</v>
          </cell>
        </row>
        <row r="3910">
          <cell r="A3910" t="str">
            <v>M2</v>
          </cell>
          <cell r="B3910" t="str">
            <v>A5C</v>
          </cell>
          <cell r="C3910" t="str">
            <v>P</v>
          </cell>
          <cell r="D3910" t="str">
            <v>23033</v>
          </cell>
          <cell r="E3910" t="str">
            <v>SW FLG</v>
          </cell>
          <cell r="F3910">
            <v>3</v>
          </cell>
          <cell r="G3910" t="str">
            <v>CB240108001H00</v>
          </cell>
          <cell r="H3910">
            <v>1.5</v>
          </cell>
          <cell r="I3910" t="str">
            <v>--</v>
          </cell>
          <cell r="J3910">
            <v>1</v>
          </cell>
          <cell r="K3910">
            <v>1</v>
          </cell>
        </row>
        <row r="3911">
          <cell r="A3911" t="str">
            <v>M2</v>
          </cell>
          <cell r="B3911" t="str">
            <v>A5C</v>
          </cell>
          <cell r="C3911" t="str">
            <v>P</v>
          </cell>
          <cell r="D3911" t="str">
            <v>23039</v>
          </cell>
          <cell r="E3911" t="str">
            <v>SW FLG</v>
          </cell>
          <cell r="F3911">
            <v>3</v>
          </cell>
          <cell r="G3911" t="str">
            <v>CB240108001H00</v>
          </cell>
          <cell r="H3911">
            <v>1.5</v>
          </cell>
          <cell r="I3911" t="str">
            <v>--</v>
          </cell>
          <cell r="J3911">
            <v>1</v>
          </cell>
          <cell r="K3911">
            <v>1</v>
          </cell>
        </row>
        <row r="3912">
          <cell r="A3912" t="str">
            <v>M2</v>
          </cell>
          <cell r="B3912" t="str">
            <v>A5C</v>
          </cell>
          <cell r="C3912" t="str">
            <v>P</v>
          </cell>
          <cell r="D3912" t="str">
            <v>23044</v>
          </cell>
          <cell r="E3912" t="str">
            <v>SW FLG</v>
          </cell>
          <cell r="F3912">
            <v>3</v>
          </cell>
          <cell r="G3912" t="str">
            <v>CB240108001H00</v>
          </cell>
          <cell r="H3912">
            <v>1.5</v>
          </cell>
          <cell r="I3912" t="str">
            <v>--</v>
          </cell>
          <cell r="J3912">
            <v>4</v>
          </cell>
          <cell r="K3912">
            <v>4</v>
          </cell>
        </row>
        <row r="3913">
          <cell r="A3913" t="str">
            <v>M2</v>
          </cell>
          <cell r="B3913" t="str">
            <v>A5C</v>
          </cell>
          <cell r="C3913" t="str">
            <v>P</v>
          </cell>
          <cell r="D3913" t="str">
            <v>23054</v>
          </cell>
          <cell r="E3913" t="str">
            <v>SW FLG</v>
          </cell>
          <cell r="F3913">
            <v>3</v>
          </cell>
          <cell r="G3913" t="str">
            <v>CB240208001H00</v>
          </cell>
          <cell r="H3913">
            <v>1.5</v>
          </cell>
          <cell r="I3913" t="str">
            <v>--</v>
          </cell>
          <cell r="J3913">
            <v>2</v>
          </cell>
          <cell r="K3913">
            <v>2</v>
          </cell>
        </row>
        <row r="3914">
          <cell r="A3914" t="str">
            <v>M2</v>
          </cell>
          <cell r="B3914" t="str">
            <v>A5C</v>
          </cell>
          <cell r="C3914" t="str">
            <v>P</v>
          </cell>
          <cell r="D3914" t="str">
            <v>23076</v>
          </cell>
          <cell r="E3914" t="str">
            <v>SW FLG</v>
          </cell>
          <cell r="F3914">
            <v>3</v>
          </cell>
          <cell r="G3914" t="str">
            <v>CB240108001H00</v>
          </cell>
          <cell r="H3914">
            <v>1.5</v>
          </cell>
          <cell r="I3914" t="str">
            <v>--</v>
          </cell>
          <cell r="J3914">
            <v>2</v>
          </cell>
          <cell r="K3914">
            <v>2</v>
          </cell>
        </row>
        <row r="3915">
          <cell r="A3915" t="str">
            <v>M2</v>
          </cell>
          <cell r="B3915" t="str">
            <v>A5C</v>
          </cell>
          <cell r="C3915" t="str">
            <v>P</v>
          </cell>
          <cell r="D3915" t="str">
            <v>23077</v>
          </cell>
          <cell r="E3915" t="str">
            <v>SW FLG</v>
          </cell>
          <cell r="F3915">
            <v>3</v>
          </cell>
          <cell r="G3915" t="str">
            <v>CB240108001H00</v>
          </cell>
          <cell r="H3915">
            <v>1.5</v>
          </cell>
          <cell r="I3915" t="str">
            <v>--</v>
          </cell>
          <cell r="J3915">
            <v>5</v>
          </cell>
          <cell r="K3915">
            <v>5</v>
          </cell>
        </row>
        <row r="3916">
          <cell r="A3916" t="str">
            <v>M2</v>
          </cell>
          <cell r="B3916" t="str">
            <v>A5C</v>
          </cell>
          <cell r="C3916" t="str">
            <v>P</v>
          </cell>
          <cell r="D3916" t="str">
            <v>23170</v>
          </cell>
          <cell r="E3916" t="str">
            <v>SW FLG</v>
          </cell>
          <cell r="F3916">
            <v>3</v>
          </cell>
          <cell r="G3916" t="str">
            <v>CB240108001H00</v>
          </cell>
          <cell r="H3916">
            <v>1.5</v>
          </cell>
          <cell r="I3916" t="str">
            <v>--</v>
          </cell>
          <cell r="J3916">
            <v>4</v>
          </cell>
          <cell r="K3916">
            <v>4</v>
          </cell>
        </row>
        <row r="3917">
          <cell r="A3917" t="str">
            <v>M2</v>
          </cell>
          <cell r="B3917" t="str">
            <v>A5C</v>
          </cell>
          <cell r="C3917" t="str">
            <v>P</v>
          </cell>
          <cell r="D3917" t="str">
            <v>23216</v>
          </cell>
          <cell r="E3917" t="str">
            <v>SW FLG</v>
          </cell>
          <cell r="F3917">
            <v>3</v>
          </cell>
          <cell r="G3917" t="str">
            <v>CB240108001H00</v>
          </cell>
          <cell r="H3917">
            <v>1.5</v>
          </cell>
          <cell r="I3917" t="str">
            <v>--</v>
          </cell>
          <cell r="J3917">
            <v>2</v>
          </cell>
          <cell r="K3917">
            <v>2</v>
          </cell>
        </row>
        <row r="3918">
          <cell r="A3918" t="str">
            <v>M2</v>
          </cell>
          <cell r="B3918" t="str">
            <v>A5C</v>
          </cell>
          <cell r="C3918" t="str">
            <v>P</v>
          </cell>
          <cell r="D3918" t="str">
            <v>23220</v>
          </cell>
          <cell r="E3918" t="str">
            <v>SW FLG</v>
          </cell>
          <cell r="F3918">
            <v>3</v>
          </cell>
          <cell r="G3918" t="str">
            <v>CB240108001H00</v>
          </cell>
          <cell r="H3918">
            <v>1.5</v>
          </cell>
          <cell r="I3918" t="str">
            <v>--</v>
          </cell>
          <cell r="J3918">
            <v>1</v>
          </cell>
          <cell r="K3918">
            <v>1</v>
          </cell>
        </row>
        <row r="3919">
          <cell r="A3919" t="str">
            <v>M2</v>
          </cell>
          <cell r="B3919" t="str">
            <v>A5C</v>
          </cell>
          <cell r="C3919" t="str">
            <v>P</v>
          </cell>
          <cell r="D3919" t="str">
            <v>23224</v>
          </cell>
          <cell r="E3919" t="str">
            <v>SW FLG</v>
          </cell>
          <cell r="F3919">
            <v>3</v>
          </cell>
          <cell r="G3919" t="str">
            <v>CB240108001H00</v>
          </cell>
          <cell r="H3919">
            <v>1.5</v>
          </cell>
          <cell r="I3919" t="str">
            <v>--</v>
          </cell>
          <cell r="J3919">
            <v>2</v>
          </cell>
          <cell r="K3919">
            <v>2</v>
          </cell>
        </row>
        <row r="3920">
          <cell r="A3920" t="str">
            <v>M2</v>
          </cell>
          <cell r="B3920" t="str">
            <v>A5C</v>
          </cell>
          <cell r="C3920" t="str">
            <v>TRIM</v>
          </cell>
          <cell r="D3920" t="str">
            <v>C-2303</v>
          </cell>
          <cell r="E3920" t="str">
            <v>SW FLG</v>
          </cell>
          <cell r="F3920">
            <v>3</v>
          </cell>
          <cell r="G3920" t="str">
            <v>CB240108001H00</v>
          </cell>
          <cell r="H3920">
            <v>1.5</v>
          </cell>
          <cell r="I3920" t="str">
            <v>--</v>
          </cell>
          <cell r="J3920">
            <v>2</v>
          </cell>
          <cell r="K3920">
            <v>2</v>
          </cell>
        </row>
        <row r="3921">
          <cell r="A3921" t="str">
            <v>M2</v>
          </cell>
          <cell r="B3921" t="str">
            <v>A5C</v>
          </cell>
          <cell r="C3921" t="str">
            <v>TRIM</v>
          </cell>
          <cell r="D3921" t="str">
            <v>C-2305</v>
          </cell>
          <cell r="E3921" t="str">
            <v>SW FLG</v>
          </cell>
          <cell r="F3921">
            <v>3</v>
          </cell>
          <cell r="G3921" t="str">
            <v>CB240108001H00</v>
          </cell>
          <cell r="H3921">
            <v>1.5</v>
          </cell>
          <cell r="I3921" t="str">
            <v>--</v>
          </cell>
          <cell r="J3921">
            <v>2</v>
          </cell>
          <cell r="K3921">
            <v>2</v>
          </cell>
        </row>
        <row r="3922">
          <cell r="A3922" t="str">
            <v>M2</v>
          </cell>
          <cell r="B3922" t="str">
            <v>A5C</v>
          </cell>
          <cell r="C3922" t="str">
            <v>TRIM</v>
          </cell>
          <cell r="D3922" t="str">
            <v>V-2302</v>
          </cell>
          <cell r="E3922" t="str">
            <v>SW FLG</v>
          </cell>
          <cell r="F3922">
            <v>3</v>
          </cell>
          <cell r="G3922" t="str">
            <v>CB240108001H00</v>
          </cell>
          <cell r="H3922">
            <v>1.5</v>
          </cell>
          <cell r="I3922" t="str">
            <v>--</v>
          </cell>
          <cell r="J3922">
            <v>2</v>
          </cell>
          <cell r="K3922">
            <v>2</v>
          </cell>
        </row>
        <row r="3923">
          <cell r="A3923" t="str">
            <v>M2</v>
          </cell>
          <cell r="B3923" t="str">
            <v>A5C</v>
          </cell>
          <cell r="C3923" t="str">
            <v>TRIM</v>
          </cell>
          <cell r="D3923" t="str">
            <v>C-2306</v>
          </cell>
          <cell r="E3923" t="str">
            <v>SW FLG</v>
          </cell>
          <cell r="F3923">
            <v>3</v>
          </cell>
          <cell r="G3923" t="str">
            <v>CB240108001H00</v>
          </cell>
          <cell r="H3923">
            <v>1.5</v>
          </cell>
          <cell r="I3923" t="str">
            <v>--</v>
          </cell>
          <cell r="J3923">
            <v>2</v>
          </cell>
          <cell r="K3923">
            <v>2</v>
          </cell>
        </row>
        <row r="3924">
          <cell r="A3924" t="str">
            <v>M2</v>
          </cell>
          <cell r="B3924" t="str">
            <v>A5C</v>
          </cell>
          <cell r="C3924" t="str">
            <v>TRIM</v>
          </cell>
          <cell r="D3924" t="str">
            <v>V-2304</v>
          </cell>
          <cell r="E3924" t="str">
            <v>SW FLG</v>
          </cell>
          <cell r="F3924">
            <v>3</v>
          </cell>
          <cell r="G3924" t="str">
            <v>CB240108001H00</v>
          </cell>
          <cell r="H3924">
            <v>1.5</v>
          </cell>
          <cell r="I3924" t="str">
            <v>--</v>
          </cell>
          <cell r="J3924">
            <v>2</v>
          </cell>
          <cell r="K3924">
            <v>2</v>
          </cell>
        </row>
        <row r="3925">
          <cell r="A3925" t="str">
            <v>M2</v>
          </cell>
          <cell r="B3925" t="str">
            <v>A5C</v>
          </cell>
          <cell r="C3925" t="str">
            <v>TRIM</v>
          </cell>
          <cell r="D3925" t="str">
            <v>V-2306</v>
          </cell>
          <cell r="E3925" t="str">
            <v>SW FLG</v>
          </cell>
          <cell r="F3925">
            <v>3</v>
          </cell>
          <cell r="G3925" t="str">
            <v>CB240108001H00</v>
          </cell>
          <cell r="H3925">
            <v>1.5</v>
          </cell>
          <cell r="I3925" t="str">
            <v>--</v>
          </cell>
          <cell r="J3925">
            <v>2</v>
          </cell>
          <cell r="K3925">
            <v>2</v>
          </cell>
        </row>
        <row r="3926">
          <cell r="A3926" t="str">
            <v>M2</v>
          </cell>
          <cell r="B3926" t="str">
            <v>A5C</v>
          </cell>
          <cell r="C3926" t="str">
            <v>TRIM</v>
          </cell>
          <cell r="D3926" t="str">
            <v>V-2308</v>
          </cell>
          <cell r="E3926" t="str">
            <v>SW FLG</v>
          </cell>
          <cell r="F3926">
            <v>3</v>
          </cell>
          <cell r="G3926" t="str">
            <v>CB240108001H00</v>
          </cell>
          <cell r="H3926">
            <v>1.5</v>
          </cell>
          <cell r="I3926" t="str">
            <v>--</v>
          </cell>
          <cell r="J3926">
            <v>2</v>
          </cell>
          <cell r="K3926">
            <v>2</v>
          </cell>
        </row>
        <row r="3927">
          <cell r="A3927" t="str">
            <v>M2</v>
          </cell>
          <cell r="B3927" t="str">
            <v>A5C</v>
          </cell>
          <cell r="C3927" t="str">
            <v>P</v>
          </cell>
          <cell r="D3927" t="str">
            <v>23019</v>
          </cell>
          <cell r="E3927" t="str">
            <v>SW FLG</v>
          </cell>
          <cell r="F3927">
            <v>3</v>
          </cell>
          <cell r="G3927" t="str">
            <v>CB240108001H00</v>
          </cell>
          <cell r="H3927">
            <v>1.5</v>
          </cell>
          <cell r="I3927" t="str">
            <v>--</v>
          </cell>
          <cell r="J3927">
            <v>2</v>
          </cell>
          <cell r="K3927">
            <v>2</v>
          </cell>
        </row>
        <row r="3928">
          <cell r="A3928" t="str">
            <v>M2</v>
          </cell>
          <cell r="B3928" t="str">
            <v>A5C</v>
          </cell>
          <cell r="C3928" t="str">
            <v>P</v>
          </cell>
          <cell r="D3928" t="str">
            <v>23019</v>
          </cell>
          <cell r="E3928" t="str">
            <v>SW FLG</v>
          </cell>
          <cell r="F3928">
            <v>3</v>
          </cell>
          <cell r="G3928" t="str">
            <v>CB240108001H00</v>
          </cell>
          <cell r="H3928">
            <v>1.5</v>
          </cell>
          <cell r="I3928" t="str">
            <v>--</v>
          </cell>
          <cell r="J3928">
            <v>1</v>
          </cell>
          <cell r="K3928">
            <v>1</v>
          </cell>
        </row>
        <row r="3929">
          <cell r="A3929" t="str">
            <v>M2</v>
          </cell>
          <cell r="B3929" t="str">
            <v>A5C</v>
          </cell>
          <cell r="C3929" t="str">
            <v>P</v>
          </cell>
          <cell r="D3929" t="str">
            <v>23020</v>
          </cell>
          <cell r="E3929" t="str">
            <v>SW FLG</v>
          </cell>
          <cell r="F3929">
            <v>3</v>
          </cell>
          <cell r="G3929" t="str">
            <v>CB240208001H00</v>
          </cell>
          <cell r="H3929">
            <v>1.5</v>
          </cell>
          <cell r="I3929" t="str">
            <v>--</v>
          </cell>
          <cell r="J3929">
            <v>2</v>
          </cell>
          <cell r="K3929">
            <v>2</v>
          </cell>
        </row>
        <row r="3930">
          <cell r="A3930" t="str">
            <v>M2</v>
          </cell>
          <cell r="B3930" t="str">
            <v>A5C</v>
          </cell>
          <cell r="C3930" t="str">
            <v>P</v>
          </cell>
          <cell r="D3930" t="str">
            <v>23053</v>
          </cell>
          <cell r="E3930" t="str">
            <v>SW FLG</v>
          </cell>
          <cell r="F3930">
            <v>3</v>
          </cell>
          <cell r="G3930" t="str">
            <v>CB240108001H00</v>
          </cell>
          <cell r="H3930">
            <v>1.5</v>
          </cell>
          <cell r="I3930" t="str">
            <v>--</v>
          </cell>
          <cell r="J3930">
            <v>2</v>
          </cell>
          <cell r="K3930">
            <v>2</v>
          </cell>
        </row>
        <row r="3931">
          <cell r="A3931" t="str">
            <v>M2</v>
          </cell>
          <cell r="B3931" t="str">
            <v>A5C</v>
          </cell>
          <cell r="C3931" t="str">
            <v>P</v>
          </cell>
          <cell r="D3931" t="str">
            <v>23243</v>
          </cell>
          <cell r="E3931" t="str">
            <v>SW FLG</v>
          </cell>
          <cell r="F3931">
            <v>3</v>
          </cell>
          <cell r="G3931" t="str">
            <v>CB240108001H00</v>
          </cell>
          <cell r="H3931">
            <v>1.5</v>
          </cell>
          <cell r="I3931" t="str">
            <v>--</v>
          </cell>
          <cell r="J3931">
            <v>1</v>
          </cell>
          <cell r="K3931">
            <v>1</v>
          </cell>
        </row>
        <row r="3932">
          <cell r="A3932" t="str">
            <v>M2</v>
          </cell>
          <cell r="B3932" t="str">
            <v>A5C</v>
          </cell>
          <cell r="C3932" t="str">
            <v>TRIM</v>
          </cell>
          <cell r="D3932" t="str">
            <v>C-2302</v>
          </cell>
          <cell r="E3932" t="str">
            <v>SW FLG</v>
          </cell>
          <cell r="F3932">
            <v>3</v>
          </cell>
          <cell r="G3932" t="str">
            <v>CB240108001H00</v>
          </cell>
          <cell r="H3932">
            <v>1.5</v>
          </cell>
          <cell r="I3932" t="str">
            <v>--</v>
          </cell>
          <cell r="J3932">
            <v>2</v>
          </cell>
          <cell r="K3932">
            <v>2</v>
          </cell>
        </row>
        <row r="3933">
          <cell r="A3933" t="str">
            <v>M2</v>
          </cell>
          <cell r="B3933" t="str">
            <v>A5C</v>
          </cell>
          <cell r="C3933" t="str">
            <v>TRIM</v>
          </cell>
          <cell r="D3933" t="str">
            <v>C-2304</v>
          </cell>
          <cell r="E3933" t="str">
            <v>SW FLG</v>
          </cell>
          <cell r="F3933">
            <v>3</v>
          </cell>
          <cell r="G3933" t="str">
            <v>CB240108001H00</v>
          </cell>
          <cell r="H3933">
            <v>1.5</v>
          </cell>
          <cell r="I3933" t="str">
            <v>--</v>
          </cell>
          <cell r="J3933">
            <v>2</v>
          </cell>
          <cell r="K3933">
            <v>2</v>
          </cell>
        </row>
        <row r="3934">
          <cell r="A3934" t="str">
            <v>M2</v>
          </cell>
          <cell r="B3934" t="str">
            <v>A5C</v>
          </cell>
          <cell r="C3934" t="str">
            <v>TRIM</v>
          </cell>
          <cell r="D3934" t="str">
            <v>V-2310</v>
          </cell>
          <cell r="E3934" t="str">
            <v>SW FLG</v>
          </cell>
          <cell r="F3934">
            <v>3</v>
          </cell>
          <cell r="G3934" t="str">
            <v>CB240108001H00</v>
          </cell>
          <cell r="H3934">
            <v>1.5</v>
          </cell>
          <cell r="I3934" t="str">
            <v>--</v>
          </cell>
          <cell r="J3934">
            <v>2</v>
          </cell>
          <cell r="K3934">
            <v>2</v>
          </cell>
        </row>
        <row r="3935">
          <cell r="A3935" t="str">
            <v>M2</v>
          </cell>
          <cell r="B3935" t="str">
            <v>A5C</v>
          </cell>
          <cell r="C3935" t="str">
            <v>TRIM</v>
          </cell>
          <cell r="D3935" t="str">
            <v>V-2313</v>
          </cell>
          <cell r="E3935" t="str">
            <v>SW FLG</v>
          </cell>
          <cell r="F3935">
            <v>3</v>
          </cell>
          <cell r="G3935" t="str">
            <v>CB240108001H00</v>
          </cell>
          <cell r="H3935">
            <v>1.5</v>
          </cell>
          <cell r="I3935" t="str">
            <v>--</v>
          </cell>
          <cell r="J3935">
            <v>2</v>
          </cell>
          <cell r="K3935">
            <v>2</v>
          </cell>
        </row>
        <row r="3936">
          <cell r="A3936" t="str">
            <v>M2</v>
          </cell>
          <cell r="B3936" t="str">
            <v>A5C</v>
          </cell>
          <cell r="C3936" t="str">
            <v>P</v>
          </cell>
          <cell r="D3936" t="str">
            <v>23009</v>
          </cell>
          <cell r="E3936" t="str">
            <v>SW FLG</v>
          </cell>
          <cell r="F3936">
            <v>3</v>
          </cell>
          <cell r="G3936" t="str">
            <v>CB240108001H00</v>
          </cell>
          <cell r="H3936">
            <v>1.5</v>
          </cell>
          <cell r="I3936" t="str">
            <v>--</v>
          </cell>
          <cell r="J3936">
            <v>4</v>
          </cell>
          <cell r="K3936">
            <v>4</v>
          </cell>
        </row>
        <row r="3937">
          <cell r="A3937" t="str">
            <v>M2</v>
          </cell>
          <cell r="B3937" t="str">
            <v>A5C</v>
          </cell>
          <cell r="C3937" t="str">
            <v>P</v>
          </cell>
          <cell r="D3937" t="str">
            <v>24001</v>
          </cell>
          <cell r="E3937" t="str">
            <v>SW FLG</v>
          </cell>
          <cell r="F3937">
            <v>3</v>
          </cell>
          <cell r="G3937" t="str">
            <v>CB240108001H00</v>
          </cell>
          <cell r="H3937">
            <v>1.5</v>
          </cell>
          <cell r="I3937" t="str">
            <v>--</v>
          </cell>
          <cell r="J3937">
            <v>5</v>
          </cell>
          <cell r="K3937">
            <v>5</v>
          </cell>
        </row>
        <row r="3938">
          <cell r="A3938" t="str">
            <v>M2</v>
          </cell>
          <cell r="B3938" t="str">
            <v>A5C</v>
          </cell>
          <cell r="C3938" t="str">
            <v>P</v>
          </cell>
          <cell r="D3938" t="str">
            <v>24012</v>
          </cell>
          <cell r="E3938" t="str">
            <v>SW FLG</v>
          </cell>
          <cell r="F3938">
            <v>3</v>
          </cell>
          <cell r="G3938" t="str">
            <v>CB240108001H00</v>
          </cell>
          <cell r="H3938">
            <v>1.5</v>
          </cell>
          <cell r="I3938" t="str">
            <v>--</v>
          </cell>
          <cell r="J3938">
            <v>2</v>
          </cell>
          <cell r="K3938">
            <v>2</v>
          </cell>
        </row>
        <row r="3939">
          <cell r="A3939" t="str">
            <v>M2</v>
          </cell>
          <cell r="B3939" t="str">
            <v>A5C</v>
          </cell>
          <cell r="C3939" t="str">
            <v>P</v>
          </cell>
          <cell r="D3939" t="str">
            <v>24003</v>
          </cell>
          <cell r="E3939" t="str">
            <v>SW FLG</v>
          </cell>
          <cell r="F3939">
            <v>3</v>
          </cell>
          <cell r="G3939" t="str">
            <v>CB240108001H00</v>
          </cell>
          <cell r="H3939">
            <v>1.5</v>
          </cell>
          <cell r="I3939" t="str">
            <v>--</v>
          </cell>
          <cell r="J3939">
            <v>2</v>
          </cell>
          <cell r="K3939">
            <v>2</v>
          </cell>
        </row>
        <row r="3940">
          <cell r="A3940" t="str">
            <v>M2</v>
          </cell>
          <cell r="B3940" t="str">
            <v>A5C</v>
          </cell>
          <cell r="C3940" t="str">
            <v>P</v>
          </cell>
          <cell r="D3940" t="str">
            <v>24027</v>
          </cell>
          <cell r="E3940" t="str">
            <v>SW FLG</v>
          </cell>
          <cell r="F3940">
            <v>3</v>
          </cell>
          <cell r="G3940" t="str">
            <v>CB240108001H00</v>
          </cell>
          <cell r="H3940">
            <v>1.5</v>
          </cell>
          <cell r="I3940" t="str">
            <v>--</v>
          </cell>
          <cell r="J3940">
            <v>2</v>
          </cell>
          <cell r="K3940">
            <v>2</v>
          </cell>
        </row>
        <row r="3941">
          <cell r="A3941" t="str">
            <v>M2</v>
          </cell>
          <cell r="B3941" t="str">
            <v>A5C</v>
          </cell>
          <cell r="C3941" t="str">
            <v>TRIM</v>
          </cell>
          <cell r="D3941" t="str">
            <v>C-2301</v>
          </cell>
          <cell r="E3941" t="str">
            <v>SW FLG</v>
          </cell>
          <cell r="F3941">
            <v>3</v>
          </cell>
          <cell r="G3941" t="str">
            <v>CB240108001H00</v>
          </cell>
          <cell r="H3941">
            <v>1.5</v>
          </cell>
          <cell r="I3941" t="str">
            <v>--</v>
          </cell>
          <cell r="J3941">
            <v>2</v>
          </cell>
          <cell r="K3941">
            <v>2</v>
          </cell>
        </row>
        <row r="3942">
          <cell r="A3942" t="str">
            <v>M2</v>
          </cell>
          <cell r="B3942" t="str">
            <v>B2C</v>
          </cell>
          <cell r="C3942" t="str">
            <v>SH</v>
          </cell>
          <cell r="D3942" t="str">
            <v>23612</v>
          </cell>
          <cell r="E3942" t="str">
            <v>WN FLG</v>
          </cell>
          <cell r="F3942">
            <v>3</v>
          </cell>
          <cell r="G3942" t="str">
            <v>CB200208000200</v>
          </cell>
          <cell r="H3942">
            <v>2</v>
          </cell>
          <cell r="I3942" t="str">
            <v>--</v>
          </cell>
          <cell r="J3942">
            <v>4</v>
          </cell>
          <cell r="K3942">
            <v>5</v>
          </cell>
        </row>
        <row r="3943">
          <cell r="A3943" t="str">
            <v>M2</v>
          </cell>
          <cell r="B3943" t="str">
            <v>A5C</v>
          </cell>
          <cell r="C3943" t="str">
            <v>P</v>
          </cell>
          <cell r="D3943" t="str">
            <v>23001</v>
          </cell>
          <cell r="E3943" t="str">
            <v>WN FLG</v>
          </cell>
          <cell r="F3943">
            <v>3</v>
          </cell>
          <cell r="G3943" t="str">
            <v>CB200108000200</v>
          </cell>
          <cell r="H3943">
            <v>2</v>
          </cell>
          <cell r="I3943" t="str">
            <v>--</v>
          </cell>
          <cell r="J3943">
            <v>5</v>
          </cell>
          <cell r="K3943">
            <v>6</v>
          </cell>
        </row>
        <row r="3944">
          <cell r="A3944" t="str">
            <v>M2</v>
          </cell>
          <cell r="B3944" t="str">
            <v>A5C</v>
          </cell>
          <cell r="C3944" t="str">
            <v>P</v>
          </cell>
          <cell r="D3944" t="str">
            <v>23022</v>
          </cell>
          <cell r="E3944" t="str">
            <v>WN FLG</v>
          </cell>
          <cell r="F3944">
            <v>3</v>
          </cell>
          <cell r="G3944" t="str">
            <v>CB200108000200</v>
          </cell>
          <cell r="H3944">
            <v>2</v>
          </cell>
          <cell r="I3944" t="str">
            <v>--</v>
          </cell>
          <cell r="J3944">
            <v>1</v>
          </cell>
          <cell r="K3944">
            <v>2</v>
          </cell>
        </row>
        <row r="3945">
          <cell r="A3945" t="str">
            <v>M2</v>
          </cell>
          <cell r="B3945" t="str">
            <v>A5C</v>
          </cell>
          <cell r="C3945" t="str">
            <v>P</v>
          </cell>
          <cell r="D3945" t="str">
            <v>23047</v>
          </cell>
          <cell r="E3945" t="str">
            <v>WN FLG</v>
          </cell>
          <cell r="F3945">
            <v>3</v>
          </cell>
          <cell r="G3945" t="str">
            <v>CB200108000200</v>
          </cell>
          <cell r="H3945">
            <v>2</v>
          </cell>
          <cell r="I3945" t="str">
            <v>--</v>
          </cell>
          <cell r="J3945">
            <v>2</v>
          </cell>
          <cell r="K3945">
            <v>3</v>
          </cell>
        </row>
        <row r="3946">
          <cell r="A3946" t="str">
            <v>M2</v>
          </cell>
          <cell r="B3946" t="str">
            <v>A5C</v>
          </cell>
          <cell r="C3946" t="str">
            <v>P</v>
          </cell>
          <cell r="D3946" t="str">
            <v>23046</v>
          </cell>
          <cell r="E3946" t="str">
            <v>WN FLG</v>
          </cell>
          <cell r="F3946">
            <v>3</v>
          </cell>
          <cell r="G3946" t="str">
            <v>CB200108000200</v>
          </cell>
          <cell r="H3946">
            <v>2</v>
          </cell>
          <cell r="I3946" t="str">
            <v>--</v>
          </cell>
          <cell r="J3946">
            <v>1</v>
          </cell>
          <cell r="K3946">
            <v>2</v>
          </cell>
        </row>
        <row r="3947">
          <cell r="A3947" t="str">
            <v>M2</v>
          </cell>
          <cell r="B3947" t="str">
            <v>A5C</v>
          </cell>
          <cell r="C3947" t="str">
            <v>P</v>
          </cell>
          <cell r="D3947" t="str">
            <v>23057</v>
          </cell>
          <cell r="E3947" t="str">
            <v>WN FLG</v>
          </cell>
          <cell r="F3947">
            <v>3</v>
          </cell>
          <cell r="G3947" t="str">
            <v>CB200108000200</v>
          </cell>
          <cell r="H3947">
            <v>2</v>
          </cell>
          <cell r="I3947" t="str">
            <v>--</v>
          </cell>
          <cell r="J3947">
            <v>1</v>
          </cell>
          <cell r="K3947">
            <v>2</v>
          </cell>
        </row>
        <row r="3948">
          <cell r="A3948" t="str">
            <v>M2</v>
          </cell>
          <cell r="B3948" t="str">
            <v>A5C</v>
          </cell>
          <cell r="C3948" t="str">
            <v>P</v>
          </cell>
          <cell r="D3948" t="str">
            <v>23073</v>
          </cell>
          <cell r="E3948" t="str">
            <v>WN FLG</v>
          </cell>
          <cell r="F3948">
            <v>3</v>
          </cell>
          <cell r="G3948" t="str">
            <v>CB200108000200</v>
          </cell>
          <cell r="H3948">
            <v>2</v>
          </cell>
          <cell r="I3948" t="str">
            <v>--</v>
          </cell>
          <cell r="J3948">
            <v>4</v>
          </cell>
          <cell r="K3948">
            <v>5</v>
          </cell>
        </row>
        <row r="3949">
          <cell r="A3949" t="str">
            <v>M2</v>
          </cell>
          <cell r="B3949" t="str">
            <v>A5C</v>
          </cell>
          <cell r="C3949" t="str">
            <v>P</v>
          </cell>
          <cell r="D3949" t="str">
            <v>23085</v>
          </cell>
          <cell r="E3949" t="str">
            <v>WN FLG</v>
          </cell>
          <cell r="F3949">
            <v>3</v>
          </cell>
          <cell r="G3949" t="str">
            <v>CB200108000200</v>
          </cell>
          <cell r="H3949">
            <v>2</v>
          </cell>
          <cell r="I3949" t="str">
            <v>--</v>
          </cell>
          <cell r="J3949">
            <v>9</v>
          </cell>
          <cell r="K3949">
            <v>10</v>
          </cell>
        </row>
        <row r="3950">
          <cell r="A3950" t="str">
            <v>M2</v>
          </cell>
          <cell r="B3950" t="str">
            <v>A5C</v>
          </cell>
          <cell r="C3950" t="str">
            <v>P</v>
          </cell>
          <cell r="D3950" t="str">
            <v>23082</v>
          </cell>
          <cell r="E3950" t="str">
            <v>WN FLG</v>
          </cell>
          <cell r="F3950">
            <v>3</v>
          </cell>
          <cell r="G3950" t="str">
            <v>CB200108000200</v>
          </cell>
          <cell r="H3950">
            <v>2</v>
          </cell>
          <cell r="I3950" t="str">
            <v>--</v>
          </cell>
          <cell r="J3950">
            <v>2</v>
          </cell>
          <cell r="K3950">
            <v>3</v>
          </cell>
        </row>
        <row r="3951">
          <cell r="A3951" t="str">
            <v>M2</v>
          </cell>
          <cell r="B3951" t="str">
            <v>A5C</v>
          </cell>
          <cell r="C3951" t="str">
            <v>P</v>
          </cell>
          <cell r="D3951" t="str">
            <v>23085</v>
          </cell>
          <cell r="E3951" t="str">
            <v>WN FLG</v>
          </cell>
          <cell r="F3951">
            <v>3</v>
          </cell>
          <cell r="G3951" t="str">
            <v>CB200108000200</v>
          </cell>
          <cell r="H3951">
            <v>2</v>
          </cell>
          <cell r="I3951" t="str">
            <v>--</v>
          </cell>
          <cell r="J3951">
            <v>2</v>
          </cell>
          <cell r="K3951">
            <v>3</v>
          </cell>
        </row>
        <row r="3952">
          <cell r="A3952" t="str">
            <v>M2</v>
          </cell>
          <cell r="B3952" t="str">
            <v>A5C</v>
          </cell>
          <cell r="C3952" t="str">
            <v>P</v>
          </cell>
          <cell r="D3952" t="str">
            <v>23096</v>
          </cell>
          <cell r="E3952" t="str">
            <v>WN FLG</v>
          </cell>
          <cell r="F3952">
            <v>3</v>
          </cell>
          <cell r="G3952" t="str">
            <v>CB200208000200</v>
          </cell>
          <cell r="H3952">
            <v>2</v>
          </cell>
          <cell r="I3952" t="str">
            <v>--</v>
          </cell>
          <cell r="J3952">
            <v>2</v>
          </cell>
          <cell r="K3952">
            <v>3</v>
          </cell>
        </row>
        <row r="3953">
          <cell r="A3953" t="str">
            <v>M2</v>
          </cell>
          <cell r="B3953" t="str">
            <v>A5C</v>
          </cell>
          <cell r="C3953" t="str">
            <v>P</v>
          </cell>
          <cell r="D3953" t="str">
            <v>23102</v>
          </cell>
          <cell r="E3953" t="str">
            <v>WN FLG</v>
          </cell>
          <cell r="F3953">
            <v>3</v>
          </cell>
          <cell r="G3953" t="str">
            <v>CB200108000200</v>
          </cell>
          <cell r="H3953">
            <v>2</v>
          </cell>
          <cell r="I3953" t="str">
            <v>--</v>
          </cell>
          <cell r="J3953">
            <v>1</v>
          </cell>
          <cell r="K3953">
            <v>2</v>
          </cell>
        </row>
        <row r="3954">
          <cell r="A3954" t="str">
            <v>M2</v>
          </cell>
          <cell r="B3954" t="str">
            <v>A5C</v>
          </cell>
          <cell r="C3954" t="str">
            <v>P</v>
          </cell>
          <cell r="D3954" t="str">
            <v>23102</v>
          </cell>
          <cell r="E3954" t="str">
            <v>WN FLG</v>
          </cell>
          <cell r="F3954">
            <v>3</v>
          </cell>
          <cell r="G3954" t="str">
            <v>CB200108000200</v>
          </cell>
          <cell r="H3954">
            <v>2</v>
          </cell>
          <cell r="I3954" t="str">
            <v>--</v>
          </cell>
          <cell r="J3954">
            <v>4</v>
          </cell>
          <cell r="K3954">
            <v>5</v>
          </cell>
        </row>
        <row r="3955">
          <cell r="A3955" t="str">
            <v>M2</v>
          </cell>
          <cell r="B3955" t="str">
            <v>A5C</v>
          </cell>
          <cell r="C3955" t="str">
            <v>P</v>
          </cell>
          <cell r="D3955" t="str">
            <v>23096</v>
          </cell>
          <cell r="E3955" t="str">
            <v>WN FLG</v>
          </cell>
          <cell r="F3955">
            <v>3</v>
          </cell>
          <cell r="G3955" t="str">
            <v>CB200108000200</v>
          </cell>
          <cell r="H3955">
            <v>2</v>
          </cell>
          <cell r="I3955" t="str">
            <v>--</v>
          </cell>
          <cell r="J3955">
            <v>13</v>
          </cell>
          <cell r="K3955">
            <v>15</v>
          </cell>
        </row>
        <row r="3956">
          <cell r="A3956" t="str">
            <v>M2</v>
          </cell>
          <cell r="B3956" t="str">
            <v>A5C</v>
          </cell>
          <cell r="C3956" t="str">
            <v>P</v>
          </cell>
          <cell r="D3956" t="str">
            <v>23096</v>
          </cell>
          <cell r="E3956" t="str">
            <v>WN FLG</v>
          </cell>
          <cell r="F3956">
            <v>3</v>
          </cell>
          <cell r="G3956" t="str">
            <v>CB200108000200</v>
          </cell>
          <cell r="H3956">
            <v>2</v>
          </cell>
          <cell r="I3956" t="str">
            <v>--</v>
          </cell>
          <cell r="J3956">
            <v>4</v>
          </cell>
          <cell r="K3956">
            <v>5</v>
          </cell>
        </row>
        <row r="3957">
          <cell r="A3957" t="str">
            <v>M2</v>
          </cell>
          <cell r="B3957" t="str">
            <v>A5C</v>
          </cell>
          <cell r="C3957" t="str">
            <v>P</v>
          </cell>
          <cell r="D3957" t="str">
            <v>23115</v>
          </cell>
          <cell r="E3957" t="str">
            <v>WN FLG</v>
          </cell>
          <cell r="F3957">
            <v>3</v>
          </cell>
          <cell r="G3957" t="str">
            <v>CB200108000200</v>
          </cell>
          <cell r="H3957">
            <v>2</v>
          </cell>
          <cell r="I3957" t="str">
            <v>--</v>
          </cell>
          <cell r="J3957">
            <v>9</v>
          </cell>
          <cell r="K3957">
            <v>10</v>
          </cell>
        </row>
        <row r="3958">
          <cell r="A3958" t="str">
            <v>M2</v>
          </cell>
          <cell r="B3958" t="str">
            <v>A5C</v>
          </cell>
          <cell r="C3958" t="str">
            <v>P</v>
          </cell>
          <cell r="D3958" t="str">
            <v>23124</v>
          </cell>
          <cell r="E3958" t="str">
            <v>WN FLG</v>
          </cell>
          <cell r="F3958">
            <v>3</v>
          </cell>
          <cell r="G3958" t="str">
            <v>CB200108000200</v>
          </cell>
          <cell r="H3958">
            <v>2</v>
          </cell>
          <cell r="I3958" t="str">
            <v>--</v>
          </cell>
          <cell r="J3958">
            <v>2</v>
          </cell>
          <cell r="K3958">
            <v>3</v>
          </cell>
        </row>
        <row r="3959">
          <cell r="A3959" t="str">
            <v>M2</v>
          </cell>
          <cell r="B3959" t="str">
            <v>A5C</v>
          </cell>
          <cell r="C3959" t="str">
            <v>P</v>
          </cell>
          <cell r="D3959" t="str">
            <v>23131</v>
          </cell>
          <cell r="E3959" t="str">
            <v>WN FLG</v>
          </cell>
          <cell r="F3959">
            <v>3</v>
          </cell>
          <cell r="G3959" t="str">
            <v>CB200108000200</v>
          </cell>
          <cell r="H3959">
            <v>2</v>
          </cell>
          <cell r="I3959" t="str">
            <v>--</v>
          </cell>
          <cell r="J3959">
            <v>3</v>
          </cell>
          <cell r="K3959">
            <v>4</v>
          </cell>
        </row>
        <row r="3960">
          <cell r="A3960" t="str">
            <v>M2</v>
          </cell>
          <cell r="B3960" t="str">
            <v>A5C</v>
          </cell>
          <cell r="C3960" t="str">
            <v>P</v>
          </cell>
          <cell r="D3960" t="str">
            <v>23135</v>
          </cell>
          <cell r="E3960" t="str">
            <v>WN FLG</v>
          </cell>
          <cell r="F3960">
            <v>3</v>
          </cell>
          <cell r="G3960" t="str">
            <v>CB200108000200</v>
          </cell>
          <cell r="H3960">
            <v>2</v>
          </cell>
          <cell r="I3960" t="str">
            <v>--</v>
          </cell>
          <cell r="J3960">
            <v>13</v>
          </cell>
          <cell r="K3960">
            <v>15</v>
          </cell>
        </row>
        <row r="3961">
          <cell r="A3961" t="str">
            <v>M2</v>
          </cell>
          <cell r="B3961" t="str">
            <v>A5C</v>
          </cell>
          <cell r="C3961" t="str">
            <v>P</v>
          </cell>
          <cell r="D3961" t="str">
            <v>23131</v>
          </cell>
          <cell r="E3961" t="str">
            <v>WN FLG</v>
          </cell>
          <cell r="F3961">
            <v>3</v>
          </cell>
          <cell r="G3961" t="str">
            <v>CB200208000200</v>
          </cell>
          <cell r="H3961">
            <v>2</v>
          </cell>
          <cell r="I3961" t="str">
            <v>--</v>
          </cell>
          <cell r="J3961">
            <v>2</v>
          </cell>
          <cell r="K3961">
            <v>3</v>
          </cell>
        </row>
        <row r="3962">
          <cell r="A3962" t="str">
            <v>M2</v>
          </cell>
          <cell r="B3962" t="str">
            <v>A5C</v>
          </cell>
          <cell r="C3962" t="str">
            <v>P</v>
          </cell>
          <cell r="D3962" t="str">
            <v>23142</v>
          </cell>
          <cell r="E3962" t="str">
            <v>WN FLG</v>
          </cell>
          <cell r="F3962">
            <v>3</v>
          </cell>
          <cell r="G3962" t="str">
            <v>CB200108000200</v>
          </cell>
          <cell r="H3962">
            <v>2</v>
          </cell>
          <cell r="I3962" t="str">
            <v>--</v>
          </cell>
          <cell r="J3962">
            <v>2</v>
          </cell>
          <cell r="K3962">
            <v>3</v>
          </cell>
        </row>
        <row r="3963">
          <cell r="A3963" t="str">
            <v>M2</v>
          </cell>
          <cell r="B3963" t="str">
            <v>A5C</v>
          </cell>
          <cell r="C3963" t="str">
            <v>P</v>
          </cell>
          <cell r="D3963" t="str">
            <v>23135</v>
          </cell>
          <cell r="E3963" t="str">
            <v>WN FLG</v>
          </cell>
          <cell r="F3963">
            <v>3</v>
          </cell>
          <cell r="G3963" t="str">
            <v>CB200208000200</v>
          </cell>
          <cell r="H3963">
            <v>2</v>
          </cell>
          <cell r="I3963" t="str">
            <v>--</v>
          </cell>
          <cell r="J3963">
            <v>2</v>
          </cell>
          <cell r="K3963">
            <v>3</v>
          </cell>
        </row>
        <row r="3964">
          <cell r="A3964" t="str">
            <v>M2</v>
          </cell>
          <cell r="B3964" t="str">
            <v>A5C</v>
          </cell>
          <cell r="C3964" t="str">
            <v>P</v>
          </cell>
          <cell r="D3964" t="str">
            <v>23192</v>
          </cell>
          <cell r="E3964" t="str">
            <v>WN FLG</v>
          </cell>
          <cell r="F3964">
            <v>3</v>
          </cell>
          <cell r="G3964" t="str">
            <v>CB200108000200</v>
          </cell>
          <cell r="H3964">
            <v>2</v>
          </cell>
          <cell r="I3964" t="str">
            <v>--</v>
          </cell>
          <cell r="J3964">
            <v>1</v>
          </cell>
          <cell r="K3964">
            <v>2</v>
          </cell>
        </row>
        <row r="3965">
          <cell r="A3965" t="str">
            <v>M2</v>
          </cell>
          <cell r="B3965" t="str">
            <v>A5C</v>
          </cell>
          <cell r="C3965" t="str">
            <v>P</v>
          </cell>
          <cell r="D3965" t="str">
            <v>23229</v>
          </cell>
          <cell r="E3965" t="str">
            <v>WN FLG</v>
          </cell>
          <cell r="F3965">
            <v>3</v>
          </cell>
          <cell r="G3965" t="str">
            <v>CB200108000200</v>
          </cell>
          <cell r="H3965">
            <v>2</v>
          </cell>
          <cell r="I3965" t="str">
            <v>--</v>
          </cell>
          <cell r="J3965">
            <v>1</v>
          </cell>
          <cell r="K3965">
            <v>2</v>
          </cell>
        </row>
        <row r="3966">
          <cell r="A3966" t="str">
            <v>M2</v>
          </cell>
          <cell r="B3966" t="str">
            <v>A5C</v>
          </cell>
          <cell r="C3966" t="str">
            <v>P</v>
          </cell>
          <cell r="D3966" t="str">
            <v>23232</v>
          </cell>
          <cell r="E3966" t="str">
            <v>WN FLG</v>
          </cell>
          <cell r="F3966">
            <v>3</v>
          </cell>
          <cell r="G3966" t="str">
            <v>CB200108000200</v>
          </cell>
          <cell r="H3966">
            <v>2</v>
          </cell>
          <cell r="I3966" t="str">
            <v>--</v>
          </cell>
          <cell r="J3966">
            <v>2</v>
          </cell>
          <cell r="K3966">
            <v>3</v>
          </cell>
        </row>
        <row r="3967">
          <cell r="A3967" t="str">
            <v>M2</v>
          </cell>
          <cell r="B3967" t="str">
            <v>A5C</v>
          </cell>
          <cell r="C3967" t="str">
            <v>P</v>
          </cell>
          <cell r="D3967" t="str">
            <v>23233</v>
          </cell>
          <cell r="E3967" t="str">
            <v>WN FLG</v>
          </cell>
          <cell r="F3967">
            <v>3</v>
          </cell>
          <cell r="G3967" t="str">
            <v>CB200108000200</v>
          </cell>
          <cell r="H3967">
            <v>2</v>
          </cell>
          <cell r="I3967" t="str">
            <v>--</v>
          </cell>
          <cell r="J3967">
            <v>1</v>
          </cell>
          <cell r="K3967">
            <v>2</v>
          </cell>
        </row>
        <row r="3968">
          <cell r="A3968" t="str">
            <v>M2</v>
          </cell>
          <cell r="B3968" t="str">
            <v>A5C</v>
          </cell>
          <cell r="C3968" t="str">
            <v>P</v>
          </cell>
          <cell r="D3968" t="str">
            <v>23240</v>
          </cell>
          <cell r="E3968" t="str">
            <v>WN FLG</v>
          </cell>
          <cell r="F3968">
            <v>3</v>
          </cell>
          <cell r="G3968" t="str">
            <v>CB200108000200</v>
          </cell>
          <cell r="H3968">
            <v>2</v>
          </cell>
          <cell r="I3968" t="str">
            <v>--</v>
          </cell>
          <cell r="J3968">
            <v>2</v>
          </cell>
          <cell r="K3968">
            <v>3</v>
          </cell>
        </row>
        <row r="3969">
          <cell r="A3969" t="str">
            <v>M2</v>
          </cell>
          <cell r="B3969" t="str">
            <v>A5C</v>
          </cell>
          <cell r="C3969" t="str">
            <v>P</v>
          </cell>
          <cell r="D3969" t="str">
            <v>23251</v>
          </cell>
          <cell r="E3969" t="str">
            <v>WN FLG</v>
          </cell>
          <cell r="F3969">
            <v>3</v>
          </cell>
          <cell r="G3969" t="str">
            <v>CB200108000200</v>
          </cell>
          <cell r="H3969">
            <v>2</v>
          </cell>
          <cell r="I3969" t="str">
            <v>--</v>
          </cell>
          <cell r="J3969">
            <v>1</v>
          </cell>
          <cell r="K3969">
            <v>2</v>
          </cell>
        </row>
        <row r="3970">
          <cell r="A3970" t="str">
            <v>M2</v>
          </cell>
          <cell r="B3970" t="str">
            <v>A5C</v>
          </cell>
          <cell r="C3970" t="str">
            <v>P</v>
          </cell>
          <cell r="D3970" t="str">
            <v>23254</v>
          </cell>
          <cell r="E3970" t="str">
            <v>WN FLG</v>
          </cell>
          <cell r="F3970">
            <v>3</v>
          </cell>
          <cell r="G3970" t="str">
            <v>CB200108000200</v>
          </cell>
          <cell r="H3970">
            <v>2</v>
          </cell>
          <cell r="I3970" t="str">
            <v>--</v>
          </cell>
          <cell r="J3970">
            <v>2</v>
          </cell>
          <cell r="K3970">
            <v>3</v>
          </cell>
        </row>
        <row r="3971">
          <cell r="A3971" t="str">
            <v>M2</v>
          </cell>
          <cell r="B3971" t="str">
            <v>A5C</v>
          </cell>
          <cell r="C3971" t="str">
            <v>P</v>
          </cell>
          <cell r="D3971" t="str">
            <v>23255</v>
          </cell>
          <cell r="E3971" t="str">
            <v>WN FLG</v>
          </cell>
          <cell r="F3971">
            <v>3</v>
          </cell>
          <cell r="G3971" t="str">
            <v>CB200108000200</v>
          </cell>
          <cell r="H3971">
            <v>2</v>
          </cell>
          <cell r="I3971" t="str">
            <v>--</v>
          </cell>
          <cell r="J3971">
            <v>1</v>
          </cell>
          <cell r="K3971">
            <v>2</v>
          </cell>
        </row>
        <row r="3972">
          <cell r="A3972" t="str">
            <v>M2</v>
          </cell>
          <cell r="B3972" t="str">
            <v>A5C</v>
          </cell>
          <cell r="C3972" t="str">
            <v>P</v>
          </cell>
          <cell r="D3972" t="str">
            <v>23253</v>
          </cell>
          <cell r="E3972" t="str">
            <v>WN FLG</v>
          </cell>
          <cell r="F3972">
            <v>3</v>
          </cell>
          <cell r="G3972" t="str">
            <v>CB200108000200</v>
          </cell>
          <cell r="H3972">
            <v>2</v>
          </cell>
          <cell r="I3972" t="str">
            <v>--</v>
          </cell>
          <cell r="J3972">
            <v>1</v>
          </cell>
          <cell r="K3972">
            <v>2</v>
          </cell>
        </row>
        <row r="3973">
          <cell r="A3973" t="str">
            <v>M2</v>
          </cell>
          <cell r="B3973" t="str">
            <v>A5C</v>
          </cell>
          <cell r="C3973" t="str">
            <v>P</v>
          </cell>
          <cell r="D3973" t="str">
            <v>23261</v>
          </cell>
          <cell r="E3973" t="str">
            <v>WN FLG</v>
          </cell>
          <cell r="F3973">
            <v>3</v>
          </cell>
          <cell r="G3973" t="str">
            <v>CB200108000200</v>
          </cell>
          <cell r="H3973">
            <v>2</v>
          </cell>
          <cell r="I3973" t="str">
            <v>--</v>
          </cell>
          <cell r="J3973">
            <v>2</v>
          </cell>
          <cell r="K3973">
            <v>3</v>
          </cell>
        </row>
        <row r="3974">
          <cell r="A3974" t="str">
            <v>M2</v>
          </cell>
          <cell r="B3974" t="str">
            <v>A5C</v>
          </cell>
          <cell r="C3974" t="str">
            <v>P</v>
          </cell>
          <cell r="D3974" t="str">
            <v>24007</v>
          </cell>
          <cell r="E3974" t="str">
            <v>WN FLG</v>
          </cell>
          <cell r="F3974">
            <v>3</v>
          </cell>
          <cell r="G3974" t="str">
            <v>CB200108000200</v>
          </cell>
          <cell r="H3974">
            <v>2</v>
          </cell>
          <cell r="I3974" t="str">
            <v>--</v>
          </cell>
          <cell r="J3974">
            <v>1</v>
          </cell>
          <cell r="K3974">
            <v>2</v>
          </cell>
        </row>
        <row r="3975">
          <cell r="A3975" t="str">
            <v>M2</v>
          </cell>
          <cell r="B3975" t="str">
            <v>A5C</v>
          </cell>
          <cell r="C3975" t="str">
            <v>P</v>
          </cell>
          <cell r="D3975" t="str">
            <v>24006</v>
          </cell>
          <cell r="E3975" t="str">
            <v>WN FLG</v>
          </cell>
          <cell r="F3975">
            <v>3</v>
          </cell>
          <cell r="G3975" t="str">
            <v>CB200108000200</v>
          </cell>
          <cell r="H3975">
            <v>2</v>
          </cell>
          <cell r="I3975" t="str">
            <v>--</v>
          </cell>
          <cell r="J3975">
            <v>3</v>
          </cell>
          <cell r="K3975">
            <v>4</v>
          </cell>
        </row>
        <row r="3976">
          <cell r="A3976" t="str">
            <v>M2</v>
          </cell>
          <cell r="B3976" t="str">
            <v>A5C</v>
          </cell>
          <cell r="C3976" t="str">
            <v>P</v>
          </cell>
          <cell r="D3976" t="str">
            <v>24020</v>
          </cell>
          <cell r="E3976" t="str">
            <v>WN FLG</v>
          </cell>
          <cell r="F3976">
            <v>3</v>
          </cell>
          <cell r="G3976" t="str">
            <v>CB200108000200</v>
          </cell>
          <cell r="H3976">
            <v>2</v>
          </cell>
          <cell r="I3976" t="str">
            <v>--</v>
          </cell>
          <cell r="J3976">
            <v>1</v>
          </cell>
          <cell r="K3976">
            <v>2</v>
          </cell>
        </row>
        <row r="3977">
          <cell r="A3977" t="str">
            <v>M2</v>
          </cell>
          <cell r="B3977" t="str">
            <v>A5C</v>
          </cell>
          <cell r="C3977" t="str">
            <v>P</v>
          </cell>
          <cell r="D3977" t="str">
            <v>24021</v>
          </cell>
          <cell r="E3977" t="str">
            <v>WN FLG</v>
          </cell>
          <cell r="F3977">
            <v>3</v>
          </cell>
          <cell r="G3977" t="str">
            <v>CB200108000200</v>
          </cell>
          <cell r="H3977">
            <v>2</v>
          </cell>
          <cell r="I3977" t="str">
            <v>--</v>
          </cell>
          <cell r="J3977">
            <v>8</v>
          </cell>
          <cell r="K3977">
            <v>9</v>
          </cell>
        </row>
        <row r="3978">
          <cell r="A3978" t="str">
            <v>M2</v>
          </cell>
          <cell r="B3978" t="str">
            <v>A5C</v>
          </cell>
          <cell r="C3978" t="str">
            <v>TRIM</v>
          </cell>
          <cell r="D3978" t="str">
            <v>V-2316</v>
          </cell>
          <cell r="E3978" t="str">
            <v>WN FLG</v>
          </cell>
          <cell r="F3978">
            <v>3</v>
          </cell>
          <cell r="G3978" t="str">
            <v>CB200108000200</v>
          </cell>
          <cell r="H3978">
            <v>2</v>
          </cell>
          <cell r="I3978" t="str">
            <v>--</v>
          </cell>
          <cell r="J3978">
            <v>2</v>
          </cell>
          <cell r="K3978">
            <v>3</v>
          </cell>
        </row>
        <row r="3979">
          <cell r="A3979" t="str">
            <v>M2</v>
          </cell>
          <cell r="B3979" t="str">
            <v>A5C</v>
          </cell>
          <cell r="C3979" t="str">
            <v>TRIM</v>
          </cell>
          <cell r="D3979" t="str">
            <v>V-2315</v>
          </cell>
          <cell r="E3979" t="str">
            <v>WN FLG</v>
          </cell>
          <cell r="F3979">
            <v>3</v>
          </cell>
          <cell r="G3979" t="str">
            <v>CB200108000200</v>
          </cell>
          <cell r="H3979">
            <v>2</v>
          </cell>
          <cell r="I3979" t="str">
            <v>--</v>
          </cell>
          <cell r="J3979">
            <v>2</v>
          </cell>
          <cell r="K3979">
            <v>3</v>
          </cell>
        </row>
        <row r="3980">
          <cell r="A3980" t="str">
            <v>M2</v>
          </cell>
          <cell r="B3980" t="str">
            <v>A5C</v>
          </cell>
          <cell r="C3980" t="str">
            <v>TRIM</v>
          </cell>
          <cell r="D3980" t="str">
            <v>V-2321</v>
          </cell>
          <cell r="E3980" t="str">
            <v>WN FLG</v>
          </cell>
          <cell r="F3980">
            <v>3</v>
          </cell>
          <cell r="G3980" t="str">
            <v>CB200108000200</v>
          </cell>
          <cell r="H3980">
            <v>2</v>
          </cell>
          <cell r="I3980" t="str">
            <v>--</v>
          </cell>
          <cell r="J3980">
            <v>2</v>
          </cell>
          <cell r="K3980">
            <v>3</v>
          </cell>
        </row>
        <row r="3981">
          <cell r="A3981" t="str">
            <v>M2</v>
          </cell>
          <cell r="B3981" t="str">
            <v>A5C</v>
          </cell>
          <cell r="C3981" t="str">
            <v>TRIM</v>
          </cell>
          <cell r="D3981" t="str">
            <v>V-2317</v>
          </cell>
          <cell r="E3981" t="str">
            <v>WN FLG</v>
          </cell>
          <cell r="F3981">
            <v>3</v>
          </cell>
          <cell r="G3981" t="str">
            <v>CB200108000200</v>
          </cell>
          <cell r="H3981">
            <v>2</v>
          </cell>
          <cell r="I3981" t="str">
            <v>--</v>
          </cell>
          <cell r="J3981">
            <v>2</v>
          </cell>
          <cell r="K3981">
            <v>3</v>
          </cell>
        </row>
        <row r="3982">
          <cell r="A3982" t="str">
            <v>M2</v>
          </cell>
          <cell r="B3982" t="str">
            <v>A5C</v>
          </cell>
          <cell r="C3982" t="str">
            <v>TRIM</v>
          </cell>
          <cell r="D3982" t="str">
            <v>V-2318</v>
          </cell>
          <cell r="E3982" t="str">
            <v>WN FLG</v>
          </cell>
          <cell r="F3982">
            <v>3</v>
          </cell>
          <cell r="G3982" t="str">
            <v>CB200108000200</v>
          </cell>
          <cell r="H3982">
            <v>2</v>
          </cell>
          <cell r="I3982" t="str">
            <v>--</v>
          </cell>
          <cell r="J3982">
            <v>2</v>
          </cell>
          <cell r="K3982">
            <v>3</v>
          </cell>
        </row>
        <row r="3983">
          <cell r="A3983" t="str">
            <v>M2</v>
          </cell>
          <cell r="B3983" t="str">
            <v>A5C</v>
          </cell>
          <cell r="C3983" t="str">
            <v>TRIM</v>
          </cell>
          <cell r="D3983" t="str">
            <v>V-2320</v>
          </cell>
          <cell r="E3983" t="str">
            <v>WN FLG</v>
          </cell>
          <cell r="F3983">
            <v>3</v>
          </cell>
          <cell r="G3983" t="str">
            <v>CB200108000200</v>
          </cell>
          <cell r="H3983">
            <v>2</v>
          </cell>
          <cell r="I3983" t="str">
            <v>--</v>
          </cell>
          <cell r="J3983">
            <v>2</v>
          </cell>
          <cell r="K3983">
            <v>3</v>
          </cell>
        </row>
        <row r="3984">
          <cell r="A3984" t="str">
            <v>M2</v>
          </cell>
          <cell r="B3984" t="str">
            <v>A5C</v>
          </cell>
          <cell r="C3984" t="str">
            <v>TRIM</v>
          </cell>
          <cell r="D3984" t="str">
            <v>V-2323</v>
          </cell>
          <cell r="E3984" t="str">
            <v>WN FLG</v>
          </cell>
          <cell r="F3984">
            <v>3</v>
          </cell>
          <cell r="G3984" t="str">
            <v>CB200108000200</v>
          </cell>
          <cell r="H3984">
            <v>2</v>
          </cell>
          <cell r="I3984" t="str">
            <v>--</v>
          </cell>
          <cell r="J3984">
            <v>2</v>
          </cell>
          <cell r="K3984">
            <v>3</v>
          </cell>
        </row>
        <row r="3985">
          <cell r="A3985" t="str">
            <v>M2</v>
          </cell>
          <cell r="B3985" t="str">
            <v>A5C</v>
          </cell>
          <cell r="C3985" t="str">
            <v>TRIM</v>
          </cell>
          <cell r="D3985" t="str">
            <v>V-2324</v>
          </cell>
          <cell r="E3985" t="str">
            <v>WN FLG</v>
          </cell>
          <cell r="F3985">
            <v>3</v>
          </cell>
          <cell r="G3985" t="str">
            <v>CB200108000200</v>
          </cell>
          <cell r="H3985">
            <v>2</v>
          </cell>
          <cell r="I3985" t="str">
            <v>--</v>
          </cell>
          <cell r="J3985">
            <v>2</v>
          </cell>
          <cell r="K3985">
            <v>3</v>
          </cell>
        </row>
        <row r="3986">
          <cell r="A3986" t="str">
            <v>M2</v>
          </cell>
          <cell r="B3986" t="str">
            <v>A5C</v>
          </cell>
          <cell r="C3986" t="str">
            <v>TRIM</v>
          </cell>
          <cell r="D3986" t="str">
            <v>V-2326</v>
          </cell>
          <cell r="E3986" t="str">
            <v>WN FLG</v>
          </cell>
          <cell r="F3986">
            <v>3</v>
          </cell>
          <cell r="G3986" t="str">
            <v>CB200108000200</v>
          </cell>
          <cell r="H3986">
            <v>2</v>
          </cell>
          <cell r="I3986" t="str">
            <v>--</v>
          </cell>
          <cell r="J3986">
            <v>2</v>
          </cell>
          <cell r="K3986">
            <v>3</v>
          </cell>
        </row>
        <row r="3987">
          <cell r="A3987" t="str">
            <v>M2</v>
          </cell>
          <cell r="B3987" t="str">
            <v>A5C</v>
          </cell>
          <cell r="C3987" t="str">
            <v>TRIM</v>
          </cell>
          <cell r="D3987" t="str">
            <v>V-2327</v>
          </cell>
          <cell r="E3987" t="str">
            <v>WN FLG</v>
          </cell>
          <cell r="F3987">
            <v>3</v>
          </cell>
          <cell r="G3987" t="str">
            <v>CB200108000200</v>
          </cell>
          <cell r="H3987">
            <v>2</v>
          </cell>
          <cell r="I3987" t="str">
            <v>--</v>
          </cell>
          <cell r="J3987">
            <v>2</v>
          </cell>
          <cell r="K3987">
            <v>3</v>
          </cell>
        </row>
        <row r="3988">
          <cell r="A3988" t="str">
            <v>M2</v>
          </cell>
          <cell r="B3988" t="str">
            <v>A5C</v>
          </cell>
          <cell r="C3988" t="str">
            <v>TRIM</v>
          </cell>
          <cell r="D3988" t="str">
            <v>V-2328</v>
          </cell>
          <cell r="E3988" t="str">
            <v>WN FLG</v>
          </cell>
          <cell r="F3988">
            <v>3</v>
          </cell>
          <cell r="G3988" t="str">
            <v>CB200108000200</v>
          </cell>
          <cell r="H3988">
            <v>2</v>
          </cell>
          <cell r="I3988" t="str">
            <v>--</v>
          </cell>
          <cell r="J3988">
            <v>2</v>
          </cell>
          <cell r="K3988">
            <v>3</v>
          </cell>
        </row>
        <row r="3989">
          <cell r="A3989" t="str">
            <v>M2</v>
          </cell>
          <cell r="B3989" t="str">
            <v>A5C</v>
          </cell>
          <cell r="C3989" t="str">
            <v>TRIM</v>
          </cell>
          <cell r="D3989" t="str">
            <v>V-2329</v>
          </cell>
          <cell r="E3989" t="str">
            <v>WN FLG</v>
          </cell>
          <cell r="F3989">
            <v>3</v>
          </cell>
          <cell r="G3989" t="str">
            <v>CB200108000200</v>
          </cell>
          <cell r="H3989">
            <v>2</v>
          </cell>
          <cell r="I3989" t="str">
            <v>--</v>
          </cell>
          <cell r="J3989">
            <v>2</v>
          </cell>
          <cell r="K3989">
            <v>3</v>
          </cell>
        </row>
        <row r="3990">
          <cell r="A3990" t="str">
            <v>M2</v>
          </cell>
          <cell r="B3990" t="str">
            <v>A5C</v>
          </cell>
          <cell r="C3990" t="str">
            <v>TRIM</v>
          </cell>
          <cell r="D3990" t="str">
            <v>V-2330</v>
          </cell>
          <cell r="E3990" t="str">
            <v>WN FLG</v>
          </cell>
          <cell r="F3990">
            <v>3</v>
          </cell>
          <cell r="G3990" t="str">
            <v>CB200108000200</v>
          </cell>
          <cell r="H3990">
            <v>2</v>
          </cell>
          <cell r="I3990" t="str">
            <v>--</v>
          </cell>
          <cell r="J3990">
            <v>2</v>
          </cell>
          <cell r="K3990">
            <v>3</v>
          </cell>
        </row>
        <row r="3991">
          <cell r="A3991" t="str">
            <v>M2</v>
          </cell>
          <cell r="B3991" t="str">
            <v>A5C</v>
          </cell>
          <cell r="C3991" t="str">
            <v>TRIM</v>
          </cell>
          <cell r="D3991" t="str">
            <v>V-2331</v>
          </cell>
          <cell r="E3991" t="str">
            <v>WN FLG</v>
          </cell>
          <cell r="F3991">
            <v>3</v>
          </cell>
          <cell r="G3991" t="str">
            <v>CB200108000200</v>
          </cell>
          <cell r="H3991">
            <v>2</v>
          </cell>
          <cell r="I3991" t="str">
            <v>--</v>
          </cell>
          <cell r="J3991">
            <v>2</v>
          </cell>
          <cell r="K3991">
            <v>3</v>
          </cell>
        </row>
        <row r="3992">
          <cell r="A3992" t="str">
            <v>M2</v>
          </cell>
          <cell r="B3992" t="str">
            <v>A5C</v>
          </cell>
          <cell r="C3992" t="str">
            <v>TRIM</v>
          </cell>
          <cell r="D3992" t="str">
            <v>V-2332</v>
          </cell>
          <cell r="E3992" t="str">
            <v>WN FLG</v>
          </cell>
          <cell r="F3992">
            <v>3</v>
          </cell>
          <cell r="G3992" t="str">
            <v>CB200108000200</v>
          </cell>
          <cell r="H3992">
            <v>2</v>
          </cell>
          <cell r="I3992" t="str">
            <v>--</v>
          </cell>
          <cell r="J3992">
            <v>2</v>
          </cell>
          <cell r="K3992">
            <v>3</v>
          </cell>
        </row>
        <row r="3993">
          <cell r="A3993" t="str">
            <v>M2</v>
          </cell>
          <cell r="B3993" t="str">
            <v>A5C</v>
          </cell>
          <cell r="C3993" t="str">
            <v>TRIM</v>
          </cell>
          <cell r="D3993" t="str">
            <v>V-2333</v>
          </cell>
          <cell r="E3993" t="str">
            <v>WN FLG</v>
          </cell>
          <cell r="F3993">
            <v>3</v>
          </cell>
          <cell r="G3993" t="str">
            <v>CB200108000200</v>
          </cell>
          <cell r="H3993">
            <v>2</v>
          </cell>
          <cell r="I3993" t="str">
            <v>--</v>
          </cell>
          <cell r="J3993">
            <v>2</v>
          </cell>
          <cell r="K3993">
            <v>3</v>
          </cell>
        </row>
        <row r="3994">
          <cell r="A3994" t="str">
            <v>M2</v>
          </cell>
          <cell r="B3994" t="str">
            <v>A5C</v>
          </cell>
          <cell r="C3994" t="str">
            <v>TRIM</v>
          </cell>
          <cell r="D3994" t="str">
            <v>V-2351</v>
          </cell>
          <cell r="E3994" t="str">
            <v>WN FLG</v>
          </cell>
          <cell r="F3994">
            <v>3</v>
          </cell>
          <cell r="G3994" t="str">
            <v>CB200108000200</v>
          </cell>
          <cell r="H3994">
            <v>2</v>
          </cell>
          <cell r="I3994" t="str">
            <v>--</v>
          </cell>
          <cell r="J3994">
            <v>3</v>
          </cell>
          <cell r="K3994">
            <v>4</v>
          </cell>
        </row>
        <row r="3995">
          <cell r="A3995" t="str">
            <v>M2</v>
          </cell>
          <cell r="B3995" t="str">
            <v>A5C</v>
          </cell>
          <cell r="C3995" t="str">
            <v>TRIM</v>
          </cell>
          <cell r="D3995" t="str">
            <v>V-2402</v>
          </cell>
          <cell r="E3995" t="str">
            <v>WN FLG</v>
          </cell>
          <cell r="F3995">
            <v>3</v>
          </cell>
          <cell r="G3995" t="str">
            <v>CB200108000200</v>
          </cell>
          <cell r="H3995">
            <v>2</v>
          </cell>
          <cell r="I3995" t="str">
            <v>--</v>
          </cell>
          <cell r="J3995">
            <v>2</v>
          </cell>
          <cell r="K3995">
            <v>3</v>
          </cell>
        </row>
        <row r="3996">
          <cell r="A3996" t="str">
            <v>M2</v>
          </cell>
          <cell r="B3996" t="str">
            <v>A5C</v>
          </cell>
          <cell r="C3996" t="str">
            <v>P</v>
          </cell>
          <cell r="D3996" t="str">
            <v>23011</v>
          </cell>
          <cell r="E3996" t="str">
            <v>WN FLG</v>
          </cell>
          <cell r="F3996">
            <v>3</v>
          </cell>
          <cell r="G3996" t="str">
            <v>CB200108000200</v>
          </cell>
          <cell r="H3996">
            <v>2</v>
          </cell>
          <cell r="I3996" t="str">
            <v>--</v>
          </cell>
          <cell r="J3996">
            <v>1</v>
          </cell>
          <cell r="K3996">
            <v>2</v>
          </cell>
        </row>
        <row r="3997">
          <cell r="A3997" t="str">
            <v>M2</v>
          </cell>
          <cell r="B3997" t="str">
            <v>A5C</v>
          </cell>
          <cell r="C3997" t="str">
            <v>P</v>
          </cell>
          <cell r="D3997" t="str">
            <v>23135</v>
          </cell>
          <cell r="E3997" t="str">
            <v>WN FLG</v>
          </cell>
          <cell r="F3997">
            <v>3</v>
          </cell>
          <cell r="G3997" t="str">
            <v>CB200108000200</v>
          </cell>
          <cell r="H3997">
            <v>2</v>
          </cell>
          <cell r="I3997" t="str">
            <v>--</v>
          </cell>
          <cell r="J3997">
            <v>4</v>
          </cell>
          <cell r="K3997">
            <v>5</v>
          </cell>
        </row>
        <row r="3998">
          <cell r="A3998" t="str">
            <v>M2</v>
          </cell>
          <cell r="B3998" t="str">
            <v>A5C</v>
          </cell>
          <cell r="C3998" t="str">
            <v>P</v>
          </cell>
          <cell r="D3998" t="str">
            <v>23192</v>
          </cell>
          <cell r="E3998" t="str">
            <v>WN FLG</v>
          </cell>
          <cell r="F3998">
            <v>3</v>
          </cell>
          <cell r="G3998" t="str">
            <v>CB200108000200</v>
          </cell>
          <cell r="H3998">
            <v>2</v>
          </cell>
          <cell r="I3998" t="str">
            <v>--</v>
          </cell>
          <cell r="J3998">
            <v>4</v>
          </cell>
          <cell r="K3998">
            <v>5</v>
          </cell>
        </row>
        <row r="3999">
          <cell r="A3999" t="str">
            <v>M2</v>
          </cell>
          <cell r="B3999" t="str">
            <v>A5C</v>
          </cell>
          <cell r="C3999" t="str">
            <v>P</v>
          </cell>
          <cell r="D3999" t="str">
            <v>23231</v>
          </cell>
          <cell r="E3999" t="str">
            <v>WN FLG</v>
          </cell>
          <cell r="F3999">
            <v>3</v>
          </cell>
          <cell r="G3999" t="str">
            <v>CB200108000200</v>
          </cell>
          <cell r="H3999">
            <v>2</v>
          </cell>
          <cell r="I3999" t="str">
            <v>--</v>
          </cell>
          <cell r="J3999">
            <v>1</v>
          </cell>
          <cell r="K3999">
            <v>2</v>
          </cell>
        </row>
        <row r="4000">
          <cell r="A4000" t="str">
            <v>M2</v>
          </cell>
          <cell r="B4000" t="str">
            <v>A5C</v>
          </cell>
          <cell r="C4000" t="str">
            <v>P</v>
          </cell>
          <cell r="D4000" t="str">
            <v>23236</v>
          </cell>
          <cell r="E4000" t="str">
            <v>WN FLG</v>
          </cell>
          <cell r="F4000">
            <v>3</v>
          </cell>
          <cell r="G4000" t="str">
            <v>CB200108000200</v>
          </cell>
          <cell r="H4000">
            <v>2</v>
          </cell>
          <cell r="I4000" t="str">
            <v>--</v>
          </cell>
          <cell r="J4000">
            <v>2</v>
          </cell>
          <cell r="K4000">
            <v>3</v>
          </cell>
        </row>
        <row r="4001">
          <cell r="A4001" t="str">
            <v>M2</v>
          </cell>
          <cell r="B4001" t="str">
            <v>A5C</v>
          </cell>
          <cell r="C4001" t="str">
            <v>TRIM</v>
          </cell>
          <cell r="D4001" t="str">
            <v>V-2301</v>
          </cell>
          <cell r="E4001" t="str">
            <v>WN FLG</v>
          </cell>
          <cell r="F4001">
            <v>3</v>
          </cell>
          <cell r="G4001" t="str">
            <v>CB200108000200</v>
          </cell>
          <cell r="H4001">
            <v>2</v>
          </cell>
          <cell r="I4001" t="str">
            <v>--</v>
          </cell>
          <cell r="J4001">
            <v>2</v>
          </cell>
          <cell r="K4001">
            <v>3</v>
          </cell>
        </row>
        <row r="4002">
          <cell r="A4002" t="str">
            <v>M2</v>
          </cell>
          <cell r="B4002" t="str">
            <v>A5C</v>
          </cell>
          <cell r="C4002" t="str">
            <v>TRIM</v>
          </cell>
          <cell r="D4002" t="str">
            <v>V-2319</v>
          </cell>
          <cell r="E4002" t="str">
            <v>WN FLG</v>
          </cell>
          <cell r="F4002">
            <v>3</v>
          </cell>
          <cell r="G4002" t="str">
            <v>CB200108000200</v>
          </cell>
          <cell r="H4002">
            <v>2</v>
          </cell>
          <cell r="I4002" t="str">
            <v>--</v>
          </cell>
          <cell r="J4002">
            <v>2</v>
          </cell>
          <cell r="K4002">
            <v>3</v>
          </cell>
        </row>
        <row r="4003">
          <cell r="A4003" t="str">
            <v>M2</v>
          </cell>
          <cell r="B4003" t="str">
            <v>A5C</v>
          </cell>
          <cell r="C4003" t="str">
            <v>P</v>
          </cell>
          <cell r="D4003" t="str">
            <v>23263</v>
          </cell>
          <cell r="E4003" t="str">
            <v>WN FLG</v>
          </cell>
          <cell r="F4003">
            <v>3</v>
          </cell>
          <cell r="G4003" t="str">
            <v>CB200108000200</v>
          </cell>
          <cell r="H4003">
            <v>2</v>
          </cell>
          <cell r="I4003" t="str">
            <v>--</v>
          </cell>
          <cell r="J4003">
            <v>1</v>
          </cell>
          <cell r="K4003">
            <v>2</v>
          </cell>
        </row>
        <row r="4004">
          <cell r="A4004" t="str">
            <v>M2</v>
          </cell>
          <cell r="B4004" t="str">
            <v>A5C</v>
          </cell>
          <cell r="C4004" t="str">
            <v>P</v>
          </cell>
          <cell r="D4004" t="str">
            <v>23264</v>
          </cell>
          <cell r="E4004" t="str">
            <v>WN FLG</v>
          </cell>
          <cell r="F4004">
            <v>3</v>
          </cell>
          <cell r="G4004" t="str">
            <v>CB200108000200</v>
          </cell>
          <cell r="H4004">
            <v>2</v>
          </cell>
          <cell r="I4004" t="str">
            <v>--</v>
          </cell>
          <cell r="J4004">
            <v>4</v>
          </cell>
          <cell r="K4004">
            <v>5</v>
          </cell>
        </row>
        <row r="4005">
          <cell r="A4005" t="str">
            <v>M2</v>
          </cell>
          <cell r="B4005" t="str">
            <v>A5C</v>
          </cell>
          <cell r="C4005" t="str">
            <v>P</v>
          </cell>
          <cell r="D4005" t="str">
            <v>24009</v>
          </cell>
          <cell r="E4005" t="str">
            <v>WN FLG</v>
          </cell>
          <cell r="F4005">
            <v>3</v>
          </cell>
          <cell r="G4005" t="str">
            <v>CB200108000200</v>
          </cell>
          <cell r="H4005">
            <v>2</v>
          </cell>
          <cell r="I4005" t="str">
            <v>--</v>
          </cell>
          <cell r="J4005">
            <v>4</v>
          </cell>
          <cell r="K4005">
            <v>5</v>
          </cell>
        </row>
        <row r="4006">
          <cell r="A4006" t="str">
            <v>M2</v>
          </cell>
          <cell r="B4006" t="str">
            <v>A5C</v>
          </cell>
          <cell r="C4006" t="str">
            <v>TRIM</v>
          </cell>
          <cell r="D4006" t="str">
            <v>V-2352</v>
          </cell>
          <cell r="E4006" t="str">
            <v>WN FLG</v>
          </cell>
          <cell r="F4006">
            <v>3</v>
          </cell>
          <cell r="G4006" t="str">
            <v>CB200108000200</v>
          </cell>
          <cell r="H4006">
            <v>2</v>
          </cell>
          <cell r="I4006" t="str">
            <v>--</v>
          </cell>
          <cell r="J4006">
            <v>2</v>
          </cell>
          <cell r="K4006">
            <v>3</v>
          </cell>
        </row>
        <row r="4007">
          <cell r="A4007" t="str">
            <v>M2</v>
          </cell>
          <cell r="B4007" t="str">
            <v>A5C</v>
          </cell>
          <cell r="C4007" t="str">
            <v>P</v>
          </cell>
          <cell r="D4007" t="str">
            <v>23017</v>
          </cell>
          <cell r="E4007" t="str">
            <v>WN FLG</v>
          </cell>
          <cell r="F4007">
            <v>3</v>
          </cell>
          <cell r="G4007" t="str">
            <v>CB200108000200</v>
          </cell>
          <cell r="H4007">
            <v>2</v>
          </cell>
          <cell r="I4007" t="str">
            <v>--</v>
          </cell>
          <cell r="J4007">
            <v>2</v>
          </cell>
          <cell r="K4007">
            <v>3</v>
          </cell>
        </row>
        <row r="4008">
          <cell r="A4008" t="str">
            <v>M2</v>
          </cell>
          <cell r="B4008" t="str">
            <v>A5C</v>
          </cell>
          <cell r="C4008" t="str">
            <v>P</v>
          </cell>
          <cell r="D4008" t="str">
            <v>23019</v>
          </cell>
          <cell r="E4008" t="str">
            <v>WN FLG</v>
          </cell>
          <cell r="F4008">
            <v>3</v>
          </cell>
          <cell r="G4008" t="str">
            <v>CB200108000200</v>
          </cell>
          <cell r="H4008">
            <v>2</v>
          </cell>
          <cell r="I4008" t="str">
            <v>--</v>
          </cell>
          <cell r="J4008">
            <v>8</v>
          </cell>
          <cell r="K4008">
            <v>9</v>
          </cell>
        </row>
        <row r="4009">
          <cell r="A4009" t="str">
            <v>M2</v>
          </cell>
          <cell r="B4009" t="str">
            <v>A5C</v>
          </cell>
          <cell r="C4009" t="str">
            <v>P</v>
          </cell>
          <cell r="D4009" t="str">
            <v>23020</v>
          </cell>
          <cell r="E4009" t="str">
            <v>WN FLG</v>
          </cell>
          <cell r="F4009">
            <v>3</v>
          </cell>
          <cell r="G4009" t="str">
            <v>CB200108000200</v>
          </cell>
          <cell r="H4009">
            <v>2</v>
          </cell>
          <cell r="I4009" t="str">
            <v>--</v>
          </cell>
          <cell r="J4009">
            <v>5</v>
          </cell>
          <cell r="K4009">
            <v>6</v>
          </cell>
        </row>
        <row r="4010">
          <cell r="A4010" t="str">
            <v>M2</v>
          </cell>
          <cell r="B4010" t="str">
            <v>A5C</v>
          </cell>
          <cell r="C4010" t="str">
            <v>P</v>
          </cell>
          <cell r="D4010" t="str">
            <v>23036</v>
          </cell>
          <cell r="E4010" t="str">
            <v>WN FLG</v>
          </cell>
          <cell r="F4010">
            <v>3</v>
          </cell>
          <cell r="G4010" t="str">
            <v>CB200108000200</v>
          </cell>
          <cell r="H4010">
            <v>2</v>
          </cell>
          <cell r="I4010" t="str">
            <v>--</v>
          </cell>
          <cell r="J4010">
            <v>5</v>
          </cell>
          <cell r="K4010">
            <v>6</v>
          </cell>
        </row>
        <row r="4011">
          <cell r="A4011" t="str">
            <v>M2</v>
          </cell>
          <cell r="B4011" t="str">
            <v>A5C</v>
          </cell>
          <cell r="C4011" t="str">
            <v>P</v>
          </cell>
          <cell r="D4011" t="str">
            <v>23054</v>
          </cell>
          <cell r="E4011" t="str">
            <v>WN FLG</v>
          </cell>
          <cell r="F4011">
            <v>3</v>
          </cell>
          <cell r="G4011" t="str">
            <v>CB200108000200</v>
          </cell>
          <cell r="H4011">
            <v>2</v>
          </cell>
          <cell r="I4011" t="str">
            <v>--</v>
          </cell>
          <cell r="J4011">
            <v>5</v>
          </cell>
          <cell r="K4011">
            <v>6</v>
          </cell>
        </row>
        <row r="4012">
          <cell r="A4012" t="str">
            <v>M2</v>
          </cell>
          <cell r="B4012" t="str">
            <v>A5C</v>
          </cell>
          <cell r="C4012" t="str">
            <v>P</v>
          </cell>
          <cell r="D4012" t="str">
            <v>23051</v>
          </cell>
          <cell r="E4012" t="str">
            <v>WN FLG</v>
          </cell>
          <cell r="F4012">
            <v>3</v>
          </cell>
          <cell r="G4012" t="str">
            <v>CB200108000200</v>
          </cell>
          <cell r="H4012">
            <v>2</v>
          </cell>
          <cell r="I4012" t="str">
            <v>--</v>
          </cell>
          <cell r="J4012">
            <v>2</v>
          </cell>
          <cell r="K4012">
            <v>3</v>
          </cell>
        </row>
        <row r="4013">
          <cell r="A4013" t="str">
            <v>M2</v>
          </cell>
          <cell r="B4013" t="str">
            <v>A5C</v>
          </cell>
          <cell r="C4013" t="str">
            <v>P</v>
          </cell>
          <cell r="D4013" t="str">
            <v>23064</v>
          </cell>
          <cell r="E4013" t="str">
            <v>WN FLG</v>
          </cell>
          <cell r="F4013">
            <v>3</v>
          </cell>
          <cell r="G4013" t="str">
            <v>CB200108000200</v>
          </cell>
          <cell r="H4013">
            <v>2</v>
          </cell>
          <cell r="I4013" t="str">
            <v>--</v>
          </cell>
          <cell r="J4013">
            <v>2</v>
          </cell>
          <cell r="K4013">
            <v>3</v>
          </cell>
        </row>
        <row r="4014">
          <cell r="A4014" t="str">
            <v>M2</v>
          </cell>
          <cell r="B4014" t="str">
            <v>A5C</v>
          </cell>
          <cell r="C4014" t="str">
            <v>P</v>
          </cell>
          <cell r="D4014" t="str">
            <v>23064</v>
          </cell>
          <cell r="E4014" t="str">
            <v>WN FLG</v>
          </cell>
          <cell r="F4014">
            <v>3</v>
          </cell>
          <cell r="G4014" t="str">
            <v>CB200208000200</v>
          </cell>
          <cell r="H4014">
            <v>2</v>
          </cell>
          <cell r="I4014" t="str">
            <v>--</v>
          </cell>
          <cell r="J4014">
            <v>2</v>
          </cell>
          <cell r="K4014">
            <v>3</v>
          </cell>
        </row>
        <row r="4015">
          <cell r="A4015" t="str">
            <v>M2</v>
          </cell>
          <cell r="B4015" t="str">
            <v>A5C</v>
          </cell>
          <cell r="C4015" t="str">
            <v>P</v>
          </cell>
          <cell r="D4015" t="str">
            <v>23092</v>
          </cell>
          <cell r="E4015" t="str">
            <v>WN FLG</v>
          </cell>
          <cell r="F4015">
            <v>3</v>
          </cell>
          <cell r="G4015" t="str">
            <v>CB200108000200</v>
          </cell>
          <cell r="H4015">
            <v>2</v>
          </cell>
          <cell r="I4015" t="str">
            <v>--</v>
          </cell>
          <cell r="J4015">
            <v>2</v>
          </cell>
          <cell r="K4015">
            <v>3</v>
          </cell>
        </row>
        <row r="4016">
          <cell r="A4016" t="str">
            <v>M2</v>
          </cell>
          <cell r="B4016" t="str">
            <v>A5C</v>
          </cell>
          <cell r="C4016" t="str">
            <v>P</v>
          </cell>
          <cell r="D4016" t="str">
            <v>23092</v>
          </cell>
          <cell r="E4016" t="str">
            <v>WN FLG</v>
          </cell>
          <cell r="F4016">
            <v>3</v>
          </cell>
          <cell r="G4016" t="str">
            <v>CB200108000200</v>
          </cell>
          <cell r="H4016">
            <v>2</v>
          </cell>
          <cell r="I4016" t="str">
            <v>--</v>
          </cell>
          <cell r="J4016">
            <v>3</v>
          </cell>
          <cell r="K4016">
            <v>4</v>
          </cell>
        </row>
        <row r="4017">
          <cell r="A4017" t="str">
            <v>M2</v>
          </cell>
          <cell r="B4017" t="str">
            <v>A5C</v>
          </cell>
          <cell r="C4017" t="str">
            <v>P</v>
          </cell>
          <cell r="D4017" t="str">
            <v>23224</v>
          </cell>
          <cell r="E4017" t="str">
            <v>WN FLG</v>
          </cell>
          <cell r="F4017">
            <v>3</v>
          </cell>
          <cell r="G4017" t="str">
            <v>CB200108000200</v>
          </cell>
          <cell r="H4017">
            <v>2</v>
          </cell>
          <cell r="I4017" t="str">
            <v>--</v>
          </cell>
          <cell r="J4017">
            <v>9</v>
          </cell>
          <cell r="K4017">
            <v>10</v>
          </cell>
        </row>
        <row r="4018">
          <cell r="A4018" t="str">
            <v>M2</v>
          </cell>
          <cell r="B4018" t="str">
            <v>A5C</v>
          </cell>
          <cell r="C4018" t="str">
            <v>TRIM</v>
          </cell>
          <cell r="D4018" t="str">
            <v>C-2303</v>
          </cell>
          <cell r="E4018" t="str">
            <v>WN FLG</v>
          </cell>
          <cell r="F4018">
            <v>3</v>
          </cell>
          <cell r="G4018" t="str">
            <v>CB200108000200</v>
          </cell>
          <cell r="H4018">
            <v>2</v>
          </cell>
          <cell r="I4018" t="str">
            <v>--</v>
          </cell>
          <cell r="J4018">
            <v>2</v>
          </cell>
          <cell r="K4018">
            <v>3</v>
          </cell>
        </row>
        <row r="4019">
          <cell r="A4019" t="str">
            <v>M2</v>
          </cell>
          <cell r="B4019" t="str">
            <v>A5C</v>
          </cell>
          <cell r="C4019" t="str">
            <v>TRIM</v>
          </cell>
          <cell r="D4019" t="str">
            <v>C-2304</v>
          </cell>
          <cell r="E4019" t="str">
            <v>WN FLG</v>
          </cell>
          <cell r="F4019">
            <v>3</v>
          </cell>
          <cell r="G4019" t="str">
            <v>CB200108000200</v>
          </cell>
          <cell r="H4019">
            <v>2</v>
          </cell>
          <cell r="I4019" t="str">
            <v>--</v>
          </cell>
          <cell r="J4019">
            <v>2</v>
          </cell>
          <cell r="K4019">
            <v>3</v>
          </cell>
        </row>
        <row r="4020">
          <cell r="A4020" t="str">
            <v>M2</v>
          </cell>
          <cell r="B4020" t="str">
            <v>A5C</v>
          </cell>
          <cell r="C4020" t="str">
            <v>TRIM</v>
          </cell>
          <cell r="D4020" t="str">
            <v>C-2305</v>
          </cell>
          <cell r="E4020" t="str">
            <v>WN FLG</v>
          </cell>
          <cell r="F4020">
            <v>3</v>
          </cell>
          <cell r="G4020" t="str">
            <v>CB200108000200</v>
          </cell>
          <cell r="H4020">
            <v>2</v>
          </cell>
          <cell r="I4020" t="str">
            <v>--</v>
          </cell>
          <cell r="J4020">
            <v>2</v>
          </cell>
          <cell r="K4020">
            <v>3</v>
          </cell>
        </row>
        <row r="4021">
          <cell r="A4021" t="str">
            <v>M2</v>
          </cell>
          <cell r="B4021" t="str">
            <v>A5C</v>
          </cell>
          <cell r="C4021" t="str">
            <v>TRIM</v>
          </cell>
          <cell r="D4021" t="str">
            <v>C-2306</v>
          </cell>
          <cell r="E4021" t="str">
            <v>WN FLG</v>
          </cell>
          <cell r="F4021">
            <v>3</v>
          </cell>
          <cell r="G4021" t="str">
            <v>CB200108000200</v>
          </cell>
          <cell r="H4021">
            <v>2</v>
          </cell>
          <cell r="I4021" t="str">
            <v>--</v>
          </cell>
          <cell r="J4021">
            <v>2</v>
          </cell>
          <cell r="K4021">
            <v>3</v>
          </cell>
        </row>
        <row r="4022">
          <cell r="A4022" t="str">
            <v>M2</v>
          </cell>
          <cell r="B4022" t="str">
            <v>A5C</v>
          </cell>
          <cell r="C4022" t="str">
            <v>TRIM</v>
          </cell>
          <cell r="D4022" t="str">
            <v>V-2302</v>
          </cell>
          <cell r="E4022" t="str">
            <v>WN FLG</v>
          </cell>
          <cell r="F4022">
            <v>3</v>
          </cell>
          <cell r="G4022" t="str">
            <v>CB200108000200</v>
          </cell>
          <cell r="H4022">
            <v>2</v>
          </cell>
          <cell r="I4022" t="str">
            <v>--</v>
          </cell>
          <cell r="J4022">
            <v>2</v>
          </cell>
          <cell r="K4022">
            <v>3</v>
          </cell>
        </row>
        <row r="4023">
          <cell r="A4023" t="str">
            <v>M2</v>
          </cell>
          <cell r="B4023" t="str">
            <v>A5C</v>
          </cell>
          <cell r="C4023" t="str">
            <v>TRIM</v>
          </cell>
          <cell r="D4023" t="str">
            <v>V-2306</v>
          </cell>
          <cell r="E4023" t="str">
            <v>WN FLG</v>
          </cell>
          <cell r="F4023">
            <v>3</v>
          </cell>
          <cell r="G4023" t="str">
            <v>CB200108000200</v>
          </cell>
          <cell r="H4023">
            <v>2</v>
          </cell>
          <cell r="I4023" t="str">
            <v>--</v>
          </cell>
          <cell r="J4023">
            <v>2</v>
          </cell>
          <cell r="K4023">
            <v>3</v>
          </cell>
        </row>
        <row r="4024">
          <cell r="A4024" t="str">
            <v>M2</v>
          </cell>
          <cell r="B4024" t="str">
            <v>A5C</v>
          </cell>
          <cell r="C4024" t="str">
            <v>P</v>
          </cell>
          <cell r="D4024" t="str">
            <v>23030</v>
          </cell>
          <cell r="E4024" t="str">
            <v>WN FLG</v>
          </cell>
          <cell r="F4024">
            <v>3</v>
          </cell>
          <cell r="G4024" t="str">
            <v>CB200108000200</v>
          </cell>
          <cell r="H4024">
            <v>2</v>
          </cell>
          <cell r="I4024" t="str">
            <v>--</v>
          </cell>
          <cell r="J4024">
            <v>4</v>
          </cell>
          <cell r="K4024">
            <v>5</v>
          </cell>
        </row>
        <row r="4025">
          <cell r="A4025" t="str">
            <v>M2</v>
          </cell>
          <cell r="B4025" t="str">
            <v>A5C</v>
          </cell>
          <cell r="C4025" t="str">
            <v>P</v>
          </cell>
          <cell r="D4025" t="str">
            <v>23032</v>
          </cell>
          <cell r="E4025" t="str">
            <v>WN FLG</v>
          </cell>
          <cell r="F4025">
            <v>3</v>
          </cell>
          <cell r="G4025" t="str">
            <v>CB200108000200</v>
          </cell>
          <cell r="H4025">
            <v>2</v>
          </cell>
          <cell r="I4025" t="str">
            <v>--</v>
          </cell>
          <cell r="J4025">
            <v>1</v>
          </cell>
          <cell r="K4025">
            <v>2</v>
          </cell>
        </row>
        <row r="4026">
          <cell r="A4026" t="str">
            <v>M2</v>
          </cell>
          <cell r="B4026" t="str">
            <v>A5C</v>
          </cell>
          <cell r="C4026" t="str">
            <v>P</v>
          </cell>
          <cell r="D4026" t="str">
            <v>23053</v>
          </cell>
          <cell r="E4026" t="str">
            <v>WN FLG</v>
          </cell>
          <cell r="F4026">
            <v>3</v>
          </cell>
          <cell r="G4026" t="str">
            <v>CB200108000200</v>
          </cell>
          <cell r="H4026">
            <v>2</v>
          </cell>
          <cell r="I4026" t="str">
            <v>--</v>
          </cell>
          <cell r="J4026">
            <v>8</v>
          </cell>
          <cell r="K4026">
            <v>9</v>
          </cell>
        </row>
        <row r="4027">
          <cell r="A4027" t="str">
            <v>M2</v>
          </cell>
          <cell r="B4027" t="str">
            <v>A5C</v>
          </cell>
          <cell r="C4027" t="str">
            <v>TRIM</v>
          </cell>
          <cell r="D4027" t="str">
            <v>C-2302</v>
          </cell>
          <cell r="E4027" t="str">
            <v>WN FLG</v>
          </cell>
          <cell r="F4027">
            <v>3</v>
          </cell>
          <cell r="G4027" t="str">
            <v>CB200108000200</v>
          </cell>
          <cell r="H4027">
            <v>2</v>
          </cell>
          <cell r="I4027" t="str">
            <v>--</v>
          </cell>
          <cell r="J4027">
            <v>2</v>
          </cell>
          <cell r="K4027">
            <v>3</v>
          </cell>
        </row>
        <row r="4028">
          <cell r="A4028" t="str">
            <v>M2</v>
          </cell>
          <cell r="B4028" t="str">
            <v>A5C</v>
          </cell>
          <cell r="C4028" t="str">
            <v>TRIM</v>
          </cell>
          <cell r="D4028" t="str">
            <v>V-2304</v>
          </cell>
          <cell r="E4028" t="str">
            <v>WN FLG</v>
          </cell>
          <cell r="F4028">
            <v>3</v>
          </cell>
          <cell r="G4028" t="str">
            <v>CB200108000200</v>
          </cell>
          <cell r="H4028">
            <v>2</v>
          </cell>
          <cell r="I4028" t="str">
            <v>--</v>
          </cell>
          <cell r="J4028">
            <v>2</v>
          </cell>
          <cell r="K4028">
            <v>3</v>
          </cell>
        </row>
        <row r="4029">
          <cell r="A4029" t="str">
            <v>M2</v>
          </cell>
          <cell r="B4029" t="str">
            <v>A5C</v>
          </cell>
          <cell r="C4029" t="str">
            <v>TRIM</v>
          </cell>
          <cell r="D4029" t="str">
            <v>V-2308</v>
          </cell>
          <cell r="E4029" t="str">
            <v>WN FLG</v>
          </cell>
          <cell r="F4029">
            <v>3</v>
          </cell>
          <cell r="G4029" t="str">
            <v>CB200108000200</v>
          </cell>
          <cell r="H4029">
            <v>2</v>
          </cell>
          <cell r="I4029" t="str">
            <v>--</v>
          </cell>
          <cell r="J4029">
            <v>2</v>
          </cell>
          <cell r="K4029">
            <v>3</v>
          </cell>
        </row>
        <row r="4030">
          <cell r="A4030" t="str">
            <v>M2</v>
          </cell>
          <cell r="B4030" t="str">
            <v>A5C</v>
          </cell>
          <cell r="C4030" t="str">
            <v>TRIM</v>
          </cell>
          <cell r="D4030" t="str">
            <v>V-2310</v>
          </cell>
          <cell r="E4030" t="str">
            <v>WN FLG</v>
          </cell>
          <cell r="F4030">
            <v>3</v>
          </cell>
          <cell r="G4030" t="str">
            <v>CB200108000200</v>
          </cell>
          <cell r="H4030">
            <v>2</v>
          </cell>
          <cell r="I4030" t="str">
            <v>--</v>
          </cell>
          <cell r="J4030">
            <v>2</v>
          </cell>
          <cell r="K4030">
            <v>3</v>
          </cell>
        </row>
        <row r="4031">
          <cell r="A4031" t="str">
            <v>M2</v>
          </cell>
          <cell r="B4031" t="str">
            <v>A5C</v>
          </cell>
          <cell r="C4031" t="str">
            <v>TRIM</v>
          </cell>
          <cell r="D4031" t="str">
            <v>V-2313</v>
          </cell>
          <cell r="E4031" t="str">
            <v>WN FLG</v>
          </cell>
          <cell r="F4031">
            <v>3</v>
          </cell>
          <cell r="G4031" t="str">
            <v>CB200108000200</v>
          </cell>
          <cell r="H4031">
            <v>2</v>
          </cell>
          <cell r="I4031" t="str">
            <v>--</v>
          </cell>
          <cell r="J4031">
            <v>2</v>
          </cell>
          <cell r="K4031">
            <v>3</v>
          </cell>
        </row>
        <row r="4032">
          <cell r="A4032" t="str">
            <v>M2</v>
          </cell>
          <cell r="B4032" t="str">
            <v>A5C</v>
          </cell>
          <cell r="C4032" t="str">
            <v>TRIM</v>
          </cell>
          <cell r="D4032" t="str">
            <v>V-2325</v>
          </cell>
          <cell r="E4032" t="str">
            <v>WN FLG</v>
          </cell>
          <cell r="F4032">
            <v>3</v>
          </cell>
          <cell r="G4032" t="str">
            <v>CB200108000200</v>
          </cell>
          <cell r="H4032">
            <v>2</v>
          </cell>
          <cell r="I4032" t="str">
            <v>--</v>
          </cell>
          <cell r="J4032">
            <v>2</v>
          </cell>
          <cell r="K4032">
            <v>3</v>
          </cell>
        </row>
        <row r="4033">
          <cell r="A4033" t="str">
            <v>M2</v>
          </cell>
          <cell r="B4033" t="str">
            <v>A5C</v>
          </cell>
          <cell r="C4033" t="str">
            <v>TRIM</v>
          </cell>
          <cell r="D4033" t="str">
            <v>V-2403</v>
          </cell>
          <cell r="E4033" t="str">
            <v>WN FLG</v>
          </cell>
          <cell r="F4033">
            <v>3</v>
          </cell>
          <cell r="G4033" t="str">
            <v>CB200108000200</v>
          </cell>
          <cell r="H4033">
            <v>2</v>
          </cell>
          <cell r="I4033" t="str">
            <v>--</v>
          </cell>
          <cell r="J4033">
            <v>6</v>
          </cell>
          <cell r="K4033">
            <v>7</v>
          </cell>
        </row>
        <row r="4034">
          <cell r="A4034" t="str">
            <v>M2</v>
          </cell>
          <cell r="B4034" t="str">
            <v>A5C</v>
          </cell>
          <cell r="C4034" t="str">
            <v>TRIM</v>
          </cell>
          <cell r="D4034" t="str">
            <v>R-2401</v>
          </cell>
          <cell r="E4034" t="str">
            <v>WN FLG</v>
          </cell>
          <cell r="F4034">
            <v>3</v>
          </cell>
          <cell r="G4034" t="str">
            <v>CB200108000200</v>
          </cell>
          <cell r="H4034">
            <v>2</v>
          </cell>
          <cell r="I4034" t="str">
            <v>--</v>
          </cell>
          <cell r="J4034">
            <v>5</v>
          </cell>
          <cell r="K4034">
            <v>6</v>
          </cell>
        </row>
        <row r="4035">
          <cell r="A4035" t="str">
            <v>M2</v>
          </cell>
          <cell r="B4035" t="str">
            <v>A5C</v>
          </cell>
          <cell r="C4035" t="str">
            <v>TRIM</v>
          </cell>
          <cell r="D4035" t="str">
            <v>V-2401</v>
          </cell>
          <cell r="E4035" t="str">
            <v>WN FLG</v>
          </cell>
          <cell r="F4035">
            <v>3</v>
          </cell>
          <cell r="G4035" t="str">
            <v>CB200108000200</v>
          </cell>
          <cell r="H4035">
            <v>2</v>
          </cell>
          <cell r="I4035" t="str">
            <v>--</v>
          </cell>
          <cell r="J4035">
            <v>6</v>
          </cell>
          <cell r="K4035">
            <v>7</v>
          </cell>
        </row>
        <row r="4036">
          <cell r="A4036" t="str">
            <v>M2</v>
          </cell>
          <cell r="B4036" t="str">
            <v>A5C</v>
          </cell>
          <cell r="C4036" t="str">
            <v>TRIM</v>
          </cell>
          <cell r="D4036" t="str">
            <v>V-2404</v>
          </cell>
          <cell r="E4036" t="str">
            <v>WN FLG</v>
          </cell>
          <cell r="F4036">
            <v>3</v>
          </cell>
          <cell r="G4036" t="str">
            <v>CB200108000200</v>
          </cell>
          <cell r="H4036">
            <v>2</v>
          </cell>
          <cell r="I4036" t="str">
            <v>--</v>
          </cell>
          <cell r="J4036">
            <v>6</v>
          </cell>
          <cell r="K4036">
            <v>7</v>
          </cell>
        </row>
        <row r="4037">
          <cell r="A4037" t="str">
            <v>M2</v>
          </cell>
          <cell r="B4037" t="str">
            <v>A5C</v>
          </cell>
          <cell r="C4037" t="str">
            <v>TRIM</v>
          </cell>
          <cell r="D4037" t="str">
            <v>C-2301</v>
          </cell>
          <cell r="E4037" t="str">
            <v>WN FLG</v>
          </cell>
          <cell r="F4037">
            <v>3</v>
          </cell>
          <cell r="G4037" t="str">
            <v>CB200108000200</v>
          </cell>
          <cell r="H4037">
            <v>2</v>
          </cell>
          <cell r="I4037" t="str">
            <v>--</v>
          </cell>
          <cell r="J4037">
            <v>2</v>
          </cell>
          <cell r="K4037">
            <v>3</v>
          </cell>
        </row>
        <row r="4038">
          <cell r="A4038" t="str">
            <v>M2</v>
          </cell>
          <cell r="B4038" t="str">
            <v>B2C</v>
          </cell>
          <cell r="C4038" t="str">
            <v>SH</v>
          </cell>
          <cell r="D4038" t="str">
            <v>23601</v>
          </cell>
          <cell r="E4038" t="str">
            <v>WN FLG</v>
          </cell>
          <cell r="F4038">
            <v>3</v>
          </cell>
          <cell r="G4038" t="str">
            <v>CB200204000300</v>
          </cell>
          <cell r="H4038">
            <v>3</v>
          </cell>
          <cell r="I4038" t="str">
            <v>--</v>
          </cell>
          <cell r="J4038">
            <v>3</v>
          </cell>
          <cell r="K4038">
            <v>4</v>
          </cell>
        </row>
        <row r="4039">
          <cell r="A4039" t="str">
            <v>M2</v>
          </cell>
          <cell r="B4039" t="str">
            <v>B2C</v>
          </cell>
          <cell r="C4039" t="str">
            <v>SH</v>
          </cell>
          <cell r="D4039" t="str">
            <v>23612</v>
          </cell>
          <cell r="E4039" t="str">
            <v>WN FLG</v>
          </cell>
          <cell r="F4039">
            <v>3</v>
          </cell>
          <cell r="G4039" t="str">
            <v>CB200204000300</v>
          </cell>
          <cell r="H4039">
            <v>3</v>
          </cell>
          <cell r="I4039" t="str">
            <v>--</v>
          </cell>
          <cell r="J4039">
            <v>5</v>
          </cell>
          <cell r="K4039">
            <v>6</v>
          </cell>
        </row>
        <row r="4040">
          <cell r="A4040" t="str">
            <v>M2</v>
          </cell>
          <cell r="B4040" t="str">
            <v>A5C</v>
          </cell>
          <cell r="C4040" t="str">
            <v>P</v>
          </cell>
          <cell r="D4040" t="str">
            <v>23005</v>
          </cell>
          <cell r="E4040" t="str">
            <v>WN FLG</v>
          </cell>
          <cell r="F4040">
            <v>3</v>
          </cell>
          <cell r="G4040" t="str">
            <v>CB200104000300</v>
          </cell>
          <cell r="H4040">
            <v>3</v>
          </cell>
          <cell r="I4040" t="str">
            <v>--</v>
          </cell>
          <cell r="J4040">
            <v>9</v>
          </cell>
          <cell r="K4040">
            <v>10</v>
          </cell>
        </row>
        <row r="4041">
          <cell r="A4041" t="str">
            <v>M2</v>
          </cell>
          <cell r="B4041" t="str">
            <v>A5C</v>
          </cell>
          <cell r="C4041" t="str">
            <v>P</v>
          </cell>
          <cell r="D4041" t="str">
            <v>23012</v>
          </cell>
          <cell r="E4041" t="str">
            <v>WN FLG</v>
          </cell>
          <cell r="F4041">
            <v>3</v>
          </cell>
          <cell r="G4041" t="str">
            <v>CB200104000300</v>
          </cell>
          <cell r="H4041">
            <v>3</v>
          </cell>
          <cell r="I4041" t="str">
            <v>--</v>
          </cell>
          <cell r="J4041">
            <v>2</v>
          </cell>
          <cell r="K4041">
            <v>3</v>
          </cell>
        </row>
        <row r="4042">
          <cell r="A4042" t="str">
            <v>M2</v>
          </cell>
          <cell r="B4042" t="str">
            <v>A5C</v>
          </cell>
          <cell r="C4042" t="str">
            <v>P</v>
          </cell>
          <cell r="D4042" t="str">
            <v>23047</v>
          </cell>
          <cell r="E4042" t="str">
            <v>WN FLG</v>
          </cell>
          <cell r="F4042">
            <v>3</v>
          </cell>
          <cell r="G4042" t="str">
            <v>CB200104000300</v>
          </cell>
          <cell r="H4042">
            <v>3</v>
          </cell>
          <cell r="I4042" t="str">
            <v>--</v>
          </cell>
          <cell r="J4042">
            <v>4</v>
          </cell>
          <cell r="K4042">
            <v>5</v>
          </cell>
        </row>
        <row r="4043">
          <cell r="A4043" t="str">
            <v>M2</v>
          </cell>
          <cell r="B4043" t="str">
            <v>A5C</v>
          </cell>
          <cell r="C4043" t="str">
            <v>P</v>
          </cell>
          <cell r="D4043" t="str">
            <v>23058</v>
          </cell>
          <cell r="E4043" t="str">
            <v>WN FLG</v>
          </cell>
          <cell r="F4043">
            <v>3</v>
          </cell>
          <cell r="G4043" t="str">
            <v>CB200104000300</v>
          </cell>
          <cell r="H4043">
            <v>3</v>
          </cell>
          <cell r="I4043" t="str">
            <v>--</v>
          </cell>
          <cell r="J4043">
            <v>2</v>
          </cell>
          <cell r="K4043">
            <v>3</v>
          </cell>
        </row>
        <row r="4044">
          <cell r="A4044" t="str">
            <v>M2</v>
          </cell>
          <cell r="B4044" t="str">
            <v>A5C</v>
          </cell>
          <cell r="C4044" t="str">
            <v>P</v>
          </cell>
          <cell r="D4044" t="str">
            <v>23106</v>
          </cell>
          <cell r="E4044" t="str">
            <v>WN FLG</v>
          </cell>
          <cell r="F4044">
            <v>3</v>
          </cell>
          <cell r="G4044" t="str">
            <v>CB200104000300</v>
          </cell>
          <cell r="H4044">
            <v>3</v>
          </cell>
          <cell r="I4044" t="str">
            <v>--</v>
          </cell>
          <cell r="J4044">
            <v>1</v>
          </cell>
          <cell r="K4044">
            <v>2</v>
          </cell>
        </row>
        <row r="4045">
          <cell r="A4045" t="str">
            <v>M2</v>
          </cell>
          <cell r="B4045" t="str">
            <v>A5C</v>
          </cell>
          <cell r="C4045" t="str">
            <v>P</v>
          </cell>
          <cell r="D4045" t="str">
            <v>23106</v>
          </cell>
          <cell r="E4045" t="str">
            <v>WN FLG</v>
          </cell>
          <cell r="F4045">
            <v>3</v>
          </cell>
          <cell r="G4045" t="str">
            <v>CB200104000300</v>
          </cell>
          <cell r="H4045">
            <v>3</v>
          </cell>
          <cell r="I4045" t="str">
            <v>--</v>
          </cell>
          <cell r="J4045">
            <v>4</v>
          </cell>
          <cell r="K4045">
            <v>5</v>
          </cell>
        </row>
        <row r="4046">
          <cell r="A4046" t="str">
            <v>M2</v>
          </cell>
          <cell r="B4046" t="str">
            <v>A5C</v>
          </cell>
          <cell r="C4046" t="str">
            <v>P</v>
          </cell>
          <cell r="D4046" t="str">
            <v>23110</v>
          </cell>
          <cell r="E4046" t="str">
            <v>WN FLG</v>
          </cell>
          <cell r="F4046">
            <v>3</v>
          </cell>
          <cell r="G4046" t="str">
            <v>CB200104000300</v>
          </cell>
          <cell r="H4046">
            <v>3</v>
          </cell>
          <cell r="I4046" t="str">
            <v>--</v>
          </cell>
          <cell r="J4046">
            <v>2</v>
          </cell>
          <cell r="K4046">
            <v>3</v>
          </cell>
        </row>
        <row r="4047">
          <cell r="A4047" t="str">
            <v>M2</v>
          </cell>
          <cell r="B4047" t="str">
            <v>A5C</v>
          </cell>
          <cell r="C4047" t="str">
            <v>P</v>
          </cell>
          <cell r="D4047" t="str">
            <v>23114</v>
          </cell>
          <cell r="E4047" t="str">
            <v>WN FLG</v>
          </cell>
          <cell r="F4047">
            <v>3</v>
          </cell>
          <cell r="G4047" t="str">
            <v>CB200104000300</v>
          </cell>
          <cell r="H4047">
            <v>3</v>
          </cell>
          <cell r="I4047" t="str">
            <v>--</v>
          </cell>
          <cell r="J4047">
            <v>2</v>
          </cell>
          <cell r="K4047">
            <v>3</v>
          </cell>
        </row>
        <row r="4048">
          <cell r="A4048" t="str">
            <v>M2</v>
          </cell>
          <cell r="B4048" t="str">
            <v>A5C</v>
          </cell>
          <cell r="C4048" t="str">
            <v>P</v>
          </cell>
          <cell r="D4048" t="str">
            <v>23121</v>
          </cell>
          <cell r="E4048" t="str">
            <v>WN FLG</v>
          </cell>
          <cell r="F4048">
            <v>3</v>
          </cell>
          <cell r="G4048" t="str">
            <v>CB200104000300</v>
          </cell>
          <cell r="H4048">
            <v>3</v>
          </cell>
          <cell r="I4048" t="str">
            <v>--</v>
          </cell>
          <cell r="J4048">
            <v>2</v>
          </cell>
          <cell r="K4048">
            <v>3</v>
          </cell>
        </row>
        <row r="4049">
          <cell r="A4049" t="str">
            <v>M2</v>
          </cell>
          <cell r="B4049" t="str">
            <v>A5C</v>
          </cell>
          <cell r="C4049" t="str">
            <v>P</v>
          </cell>
          <cell r="D4049" t="str">
            <v>23124</v>
          </cell>
          <cell r="E4049" t="str">
            <v>WN FLG</v>
          </cell>
          <cell r="F4049">
            <v>3</v>
          </cell>
          <cell r="G4049" t="str">
            <v>CB200204000300</v>
          </cell>
          <cell r="H4049">
            <v>3</v>
          </cell>
          <cell r="I4049" t="str">
            <v>--</v>
          </cell>
          <cell r="J4049">
            <v>2</v>
          </cell>
          <cell r="K4049">
            <v>3</v>
          </cell>
        </row>
        <row r="4050">
          <cell r="A4050" t="str">
            <v>M2</v>
          </cell>
          <cell r="B4050" t="str">
            <v>A5C</v>
          </cell>
          <cell r="C4050" t="str">
            <v>P</v>
          </cell>
          <cell r="D4050" t="str">
            <v>23124</v>
          </cell>
          <cell r="E4050" t="str">
            <v>WN FLG</v>
          </cell>
          <cell r="F4050">
            <v>3</v>
          </cell>
          <cell r="G4050" t="str">
            <v>CB200104000300</v>
          </cell>
          <cell r="H4050">
            <v>3</v>
          </cell>
          <cell r="I4050" t="str">
            <v>--</v>
          </cell>
          <cell r="J4050">
            <v>9</v>
          </cell>
          <cell r="K4050">
            <v>10</v>
          </cell>
        </row>
        <row r="4051">
          <cell r="A4051" t="str">
            <v>M2</v>
          </cell>
          <cell r="B4051" t="str">
            <v>A5C</v>
          </cell>
          <cell r="C4051" t="str">
            <v>P</v>
          </cell>
          <cell r="D4051" t="str">
            <v>23123</v>
          </cell>
          <cell r="E4051" t="str">
            <v>WN FLG</v>
          </cell>
          <cell r="F4051">
            <v>3</v>
          </cell>
          <cell r="G4051" t="str">
            <v>CB200104000300</v>
          </cell>
          <cell r="H4051">
            <v>3</v>
          </cell>
          <cell r="I4051" t="str">
            <v>--</v>
          </cell>
          <cell r="J4051">
            <v>2</v>
          </cell>
          <cell r="K4051">
            <v>3</v>
          </cell>
        </row>
        <row r="4052">
          <cell r="A4052" t="str">
            <v>M2</v>
          </cell>
          <cell r="B4052" t="str">
            <v>A5C</v>
          </cell>
          <cell r="C4052" t="str">
            <v>P</v>
          </cell>
          <cell r="D4052" t="str">
            <v>23127</v>
          </cell>
          <cell r="E4052" t="str">
            <v>WN FLG</v>
          </cell>
          <cell r="F4052">
            <v>3</v>
          </cell>
          <cell r="G4052" t="str">
            <v>CB200104000300</v>
          </cell>
          <cell r="H4052">
            <v>3</v>
          </cell>
          <cell r="I4052" t="str">
            <v>--</v>
          </cell>
          <cell r="J4052">
            <v>2</v>
          </cell>
          <cell r="K4052">
            <v>3</v>
          </cell>
        </row>
        <row r="4053">
          <cell r="A4053" t="str">
            <v>M2</v>
          </cell>
          <cell r="B4053" t="str">
            <v>A5C</v>
          </cell>
          <cell r="C4053" t="str">
            <v>P</v>
          </cell>
          <cell r="D4053" t="str">
            <v>23134</v>
          </cell>
          <cell r="E4053" t="str">
            <v>WN FLG</v>
          </cell>
          <cell r="F4053">
            <v>3</v>
          </cell>
          <cell r="G4053" t="str">
            <v>CB200104000300</v>
          </cell>
          <cell r="H4053">
            <v>3</v>
          </cell>
          <cell r="I4053" t="str">
            <v>--</v>
          </cell>
          <cell r="J4053">
            <v>2</v>
          </cell>
          <cell r="K4053">
            <v>3</v>
          </cell>
        </row>
        <row r="4054">
          <cell r="A4054" t="str">
            <v>M2</v>
          </cell>
          <cell r="B4054" t="str">
            <v>A5C</v>
          </cell>
          <cell r="C4054" t="str">
            <v>P</v>
          </cell>
          <cell r="D4054" t="str">
            <v>23142</v>
          </cell>
          <cell r="E4054" t="str">
            <v>WN FLG</v>
          </cell>
          <cell r="F4054">
            <v>3</v>
          </cell>
          <cell r="G4054" t="str">
            <v>CB200104000300</v>
          </cell>
          <cell r="H4054">
            <v>3</v>
          </cell>
          <cell r="I4054" t="str">
            <v>--</v>
          </cell>
          <cell r="J4054">
            <v>9</v>
          </cell>
          <cell r="K4054">
            <v>10</v>
          </cell>
        </row>
        <row r="4055">
          <cell r="A4055" t="str">
            <v>M2</v>
          </cell>
          <cell r="B4055" t="str">
            <v>A5C</v>
          </cell>
          <cell r="C4055" t="str">
            <v>P</v>
          </cell>
          <cell r="D4055" t="str">
            <v>23174</v>
          </cell>
          <cell r="E4055" t="str">
            <v>WN FLG</v>
          </cell>
          <cell r="F4055">
            <v>3</v>
          </cell>
          <cell r="G4055" t="str">
            <v>CB200204000300</v>
          </cell>
          <cell r="H4055">
            <v>3</v>
          </cell>
          <cell r="I4055" t="str">
            <v>--</v>
          </cell>
          <cell r="J4055">
            <v>2</v>
          </cell>
          <cell r="K4055">
            <v>3</v>
          </cell>
        </row>
        <row r="4056">
          <cell r="A4056" t="str">
            <v>M2</v>
          </cell>
          <cell r="B4056" t="str">
            <v>A5C</v>
          </cell>
          <cell r="C4056" t="str">
            <v>P</v>
          </cell>
          <cell r="D4056" t="str">
            <v>23174</v>
          </cell>
          <cell r="E4056" t="str">
            <v>WN FLG</v>
          </cell>
          <cell r="F4056">
            <v>3</v>
          </cell>
          <cell r="G4056" t="str">
            <v>CB200104000300</v>
          </cell>
          <cell r="H4056">
            <v>3</v>
          </cell>
          <cell r="I4056" t="str">
            <v>--</v>
          </cell>
          <cell r="J4056">
            <v>2</v>
          </cell>
          <cell r="K4056">
            <v>3</v>
          </cell>
        </row>
        <row r="4057">
          <cell r="A4057" t="str">
            <v>M2</v>
          </cell>
          <cell r="B4057" t="str">
            <v>A5C</v>
          </cell>
          <cell r="C4057" t="str">
            <v>P</v>
          </cell>
          <cell r="D4057" t="str">
            <v>23232</v>
          </cell>
          <cell r="E4057" t="str">
            <v>WN FLG</v>
          </cell>
          <cell r="F4057">
            <v>3</v>
          </cell>
          <cell r="G4057" t="str">
            <v>CB200104000300</v>
          </cell>
          <cell r="H4057">
            <v>3</v>
          </cell>
          <cell r="I4057" t="str">
            <v>--</v>
          </cell>
          <cell r="J4057">
            <v>9</v>
          </cell>
          <cell r="K4057">
            <v>10</v>
          </cell>
        </row>
        <row r="4058">
          <cell r="A4058" t="str">
            <v>M2</v>
          </cell>
          <cell r="B4058" t="str">
            <v>A5C</v>
          </cell>
          <cell r="C4058" t="str">
            <v>P</v>
          </cell>
          <cell r="D4058" t="str">
            <v>23240</v>
          </cell>
          <cell r="E4058" t="str">
            <v>WN FLG</v>
          </cell>
          <cell r="F4058">
            <v>3</v>
          </cell>
          <cell r="G4058" t="str">
            <v>CB200104000300</v>
          </cell>
          <cell r="H4058">
            <v>3</v>
          </cell>
          <cell r="I4058" t="str">
            <v>--</v>
          </cell>
          <cell r="J4058">
            <v>8</v>
          </cell>
          <cell r="K4058">
            <v>9</v>
          </cell>
        </row>
        <row r="4059">
          <cell r="A4059" t="str">
            <v>M2</v>
          </cell>
          <cell r="B4059" t="str">
            <v>A5C</v>
          </cell>
          <cell r="C4059" t="str">
            <v>P</v>
          </cell>
          <cell r="D4059" t="str">
            <v>23236</v>
          </cell>
          <cell r="E4059" t="str">
            <v>WN FLG</v>
          </cell>
          <cell r="F4059">
            <v>3</v>
          </cell>
          <cell r="G4059" t="str">
            <v>CB200104000300</v>
          </cell>
          <cell r="H4059">
            <v>3</v>
          </cell>
          <cell r="I4059" t="str">
            <v>--</v>
          </cell>
          <cell r="J4059">
            <v>1</v>
          </cell>
          <cell r="K4059">
            <v>2</v>
          </cell>
        </row>
        <row r="4060">
          <cell r="A4060" t="str">
            <v>M2</v>
          </cell>
          <cell r="B4060" t="str">
            <v>A5C</v>
          </cell>
          <cell r="C4060" t="str">
            <v>P</v>
          </cell>
          <cell r="D4060" t="str">
            <v>23236</v>
          </cell>
          <cell r="E4060" t="str">
            <v>WN FLG</v>
          </cell>
          <cell r="F4060">
            <v>3</v>
          </cell>
          <cell r="G4060" t="str">
            <v>CB200104000300</v>
          </cell>
          <cell r="H4060">
            <v>3</v>
          </cell>
          <cell r="I4060" t="str">
            <v>--</v>
          </cell>
          <cell r="J4060">
            <v>8</v>
          </cell>
          <cell r="K4060">
            <v>9</v>
          </cell>
        </row>
        <row r="4061">
          <cell r="A4061" t="str">
            <v>M2</v>
          </cell>
          <cell r="B4061" t="str">
            <v>A5C</v>
          </cell>
          <cell r="C4061" t="str">
            <v>P</v>
          </cell>
          <cell r="D4061" t="str">
            <v>23256</v>
          </cell>
          <cell r="E4061" t="str">
            <v>WN FLG</v>
          </cell>
          <cell r="F4061">
            <v>3</v>
          </cell>
          <cell r="G4061" t="str">
            <v>CB200104000300</v>
          </cell>
          <cell r="H4061">
            <v>3</v>
          </cell>
          <cell r="I4061" t="str">
            <v>--</v>
          </cell>
          <cell r="J4061">
            <v>2</v>
          </cell>
          <cell r="K4061">
            <v>3</v>
          </cell>
        </row>
        <row r="4062">
          <cell r="A4062" t="str">
            <v>M2</v>
          </cell>
          <cell r="B4062" t="str">
            <v>A5C</v>
          </cell>
          <cell r="C4062" t="str">
            <v>P</v>
          </cell>
          <cell r="D4062" t="str">
            <v>23257</v>
          </cell>
          <cell r="E4062" t="str">
            <v>WN FLG</v>
          </cell>
          <cell r="F4062">
            <v>3</v>
          </cell>
          <cell r="G4062" t="str">
            <v>CB200104000300</v>
          </cell>
          <cell r="H4062">
            <v>3</v>
          </cell>
          <cell r="I4062" t="str">
            <v>--</v>
          </cell>
          <cell r="J4062">
            <v>2</v>
          </cell>
          <cell r="K4062">
            <v>3</v>
          </cell>
        </row>
        <row r="4063">
          <cell r="A4063" t="str">
            <v>M2</v>
          </cell>
          <cell r="B4063" t="str">
            <v>A5C</v>
          </cell>
          <cell r="C4063" t="str">
            <v>P</v>
          </cell>
          <cell r="D4063" t="str">
            <v>23258</v>
          </cell>
          <cell r="E4063" t="str">
            <v>WN FLG</v>
          </cell>
          <cell r="F4063">
            <v>3</v>
          </cell>
          <cell r="G4063" t="str">
            <v>CB200104000300</v>
          </cell>
          <cell r="H4063">
            <v>3</v>
          </cell>
          <cell r="I4063" t="str">
            <v>--</v>
          </cell>
          <cell r="J4063">
            <v>2</v>
          </cell>
          <cell r="K4063">
            <v>3</v>
          </cell>
        </row>
        <row r="4064">
          <cell r="A4064" t="str">
            <v>M2</v>
          </cell>
          <cell r="B4064" t="str">
            <v>A5C</v>
          </cell>
          <cell r="C4064" t="str">
            <v>P</v>
          </cell>
          <cell r="D4064" t="str">
            <v>23254</v>
          </cell>
          <cell r="E4064" t="str">
            <v>WN FLG</v>
          </cell>
          <cell r="F4064">
            <v>3</v>
          </cell>
          <cell r="G4064" t="str">
            <v>CB200104000300</v>
          </cell>
          <cell r="H4064">
            <v>3</v>
          </cell>
          <cell r="I4064" t="str">
            <v>--</v>
          </cell>
          <cell r="J4064">
            <v>9</v>
          </cell>
          <cell r="K4064">
            <v>10</v>
          </cell>
        </row>
        <row r="4065">
          <cell r="A4065" t="str">
            <v>M2</v>
          </cell>
          <cell r="B4065" t="str">
            <v>A5C</v>
          </cell>
          <cell r="C4065" t="str">
            <v>P</v>
          </cell>
          <cell r="D4065" t="str">
            <v>23082</v>
          </cell>
          <cell r="E4065" t="str">
            <v>WN FLG</v>
          </cell>
          <cell r="F4065">
            <v>3</v>
          </cell>
          <cell r="G4065" t="str">
            <v>CB200104000300</v>
          </cell>
          <cell r="H4065">
            <v>3</v>
          </cell>
          <cell r="I4065" t="str">
            <v>--</v>
          </cell>
          <cell r="J4065">
            <v>9</v>
          </cell>
          <cell r="K4065">
            <v>10</v>
          </cell>
        </row>
        <row r="4066">
          <cell r="A4066" t="str">
            <v>M2</v>
          </cell>
          <cell r="B4066" t="str">
            <v>A5C</v>
          </cell>
          <cell r="C4066" t="str">
            <v>P</v>
          </cell>
          <cell r="D4066" t="str">
            <v>23146</v>
          </cell>
          <cell r="E4066" t="str">
            <v>WN FLG</v>
          </cell>
          <cell r="F4066">
            <v>3</v>
          </cell>
          <cell r="G4066" t="str">
            <v>CB200104000300</v>
          </cell>
          <cell r="H4066">
            <v>3</v>
          </cell>
          <cell r="I4066" t="str">
            <v>--</v>
          </cell>
          <cell r="J4066">
            <v>2</v>
          </cell>
          <cell r="K4066">
            <v>3</v>
          </cell>
        </row>
        <row r="4067">
          <cell r="A4067" t="str">
            <v>M2</v>
          </cell>
          <cell r="B4067" t="str">
            <v>A5C</v>
          </cell>
          <cell r="C4067" t="str">
            <v>P</v>
          </cell>
          <cell r="D4067" t="str">
            <v>23240</v>
          </cell>
          <cell r="E4067" t="str">
            <v>WN FLG</v>
          </cell>
          <cell r="F4067">
            <v>3</v>
          </cell>
          <cell r="G4067" t="str">
            <v>CB200104000300</v>
          </cell>
          <cell r="H4067">
            <v>3</v>
          </cell>
          <cell r="I4067" t="str">
            <v>--</v>
          </cell>
          <cell r="J4067">
            <v>1</v>
          </cell>
          <cell r="K4067">
            <v>2</v>
          </cell>
        </row>
        <row r="4068">
          <cell r="A4068" t="str">
            <v>M2</v>
          </cell>
          <cell r="B4068" t="str">
            <v>A5C</v>
          </cell>
          <cell r="C4068" t="str">
            <v>P</v>
          </cell>
          <cell r="D4068" t="str">
            <v>23246</v>
          </cell>
          <cell r="E4068" t="str">
            <v>WN FLG</v>
          </cell>
          <cell r="F4068">
            <v>3</v>
          </cell>
          <cell r="G4068" t="str">
            <v>CB200104000300</v>
          </cell>
          <cell r="H4068">
            <v>3</v>
          </cell>
          <cell r="I4068" t="str">
            <v>--</v>
          </cell>
          <cell r="J4068">
            <v>9</v>
          </cell>
          <cell r="K4068">
            <v>10</v>
          </cell>
        </row>
        <row r="4069">
          <cell r="A4069" t="str">
            <v>M2</v>
          </cell>
          <cell r="B4069" t="str">
            <v>A5C</v>
          </cell>
          <cell r="C4069" t="str">
            <v>P</v>
          </cell>
          <cell r="D4069" t="str">
            <v>23016</v>
          </cell>
          <cell r="E4069" t="str">
            <v>WN FLG</v>
          </cell>
          <cell r="F4069">
            <v>3</v>
          </cell>
          <cell r="G4069" t="str">
            <v>CB200104000300</v>
          </cell>
          <cell r="H4069">
            <v>3</v>
          </cell>
          <cell r="I4069" t="str">
            <v>--</v>
          </cell>
          <cell r="J4069">
            <v>2</v>
          </cell>
          <cell r="K4069">
            <v>3</v>
          </cell>
        </row>
        <row r="4070">
          <cell r="A4070" t="str">
            <v>M2</v>
          </cell>
          <cell r="B4070" t="str">
            <v>A5C</v>
          </cell>
          <cell r="C4070" t="str">
            <v>P</v>
          </cell>
          <cell r="D4070" t="str">
            <v>23017</v>
          </cell>
          <cell r="E4070" t="str">
            <v>WN FLG</v>
          </cell>
          <cell r="F4070">
            <v>3</v>
          </cell>
          <cell r="G4070" t="str">
            <v>CB200104000300</v>
          </cell>
          <cell r="H4070">
            <v>3</v>
          </cell>
          <cell r="I4070" t="str">
            <v>--</v>
          </cell>
          <cell r="J4070">
            <v>5</v>
          </cell>
          <cell r="K4070">
            <v>6</v>
          </cell>
        </row>
        <row r="4071">
          <cell r="A4071" t="str">
            <v>M2</v>
          </cell>
          <cell r="B4071" t="str">
            <v>A5C</v>
          </cell>
          <cell r="C4071" t="str">
            <v>P</v>
          </cell>
          <cell r="D4071" t="str">
            <v>23024</v>
          </cell>
          <cell r="E4071" t="str">
            <v>WN FLG</v>
          </cell>
          <cell r="F4071">
            <v>3</v>
          </cell>
          <cell r="G4071" t="str">
            <v>CB200104000300</v>
          </cell>
          <cell r="H4071">
            <v>3</v>
          </cell>
          <cell r="I4071" t="str">
            <v>--</v>
          </cell>
          <cell r="J4071">
            <v>2</v>
          </cell>
          <cell r="K4071">
            <v>3</v>
          </cell>
        </row>
        <row r="4072">
          <cell r="A4072" t="str">
            <v>M2</v>
          </cell>
          <cell r="B4072" t="str">
            <v>A5C</v>
          </cell>
          <cell r="C4072" t="str">
            <v>P</v>
          </cell>
          <cell r="D4072" t="str">
            <v>23024</v>
          </cell>
          <cell r="E4072" t="str">
            <v>WN FLG</v>
          </cell>
          <cell r="F4072">
            <v>3</v>
          </cell>
          <cell r="G4072" t="str">
            <v>CB200204000300</v>
          </cell>
          <cell r="H4072">
            <v>3</v>
          </cell>
          <cell r="I4072" t="str">
            <v>--</v>
          </cell>
          <cell r="J4072">
            <v>2</v>
          </cell>
          <cell r="K4072">
            <v>3</v>
          </cell>
        </row>
        <row r="4073">
          <cell r="A4073" t="str">
            <v>M2</v>
          </cell>
          <cell r="B4073" t="str">
            <v>A5C</v>
          </cell>
          <cell r="C4073" t="str">
            <v>P</v>
          </cell>
          <cell r="D4073" t="str">
            <v>23024</v>
          </cell>
          <cell r="E4073" t="str">
            <v>WN FLG</v>
          </cell>
          <cell r="F4073">
            <v>3</v>
          </cell>
          <cell r="G4073" t="str">
            <v>CB200104000300</v>
          </cell>
          <cell r="H4073">
            <v>3</v>
          </cell>
          <cell r="I4073" t="str">
            <v>--</v>
          </cell>
          <cell r="J4073">
            <v>2</v>
          </cell>
          <cell r="K4073">
            <v>3</v>
          </cell>
        </row>
        <row r="4074">
          <cell r="A4074" t="str">
            <v>M2</v>
          </cell>
          <cell r="B4074" t="str">
            <v>A5C</v>
          </cell>
          <cell r="C4074" t="str">
            <v>P</v>
          </cell>
          <cell r="D4074" t="str">
            <v>23029</v>
          </cell>
          <cell r="E4074" t="str">
            <v>WN FLG</v>
          </cell>
          <cell r="F4074">
            <v>3</v>
          </cell>
          <cell r="G4074" t="str">
            <v>CB200104000300</v>
          </cell>
          <cell r="H4074">
            <v>3</v>
          </cell>
          <cell r="I4074" t="str">
            <v>--</v>
          </cell>
          <cell r="J4074">
            <v>2</v>
          </cell>
          <cell r="K4074">
            <v>3</v>
          </cell>
        </row>
        <row r="4075">
          <cell r="A4075" t="str">
            <v>M2</v>
          </cell>
          <cell r="B4075" t="str">
            <v>A5C</v>
          </cell>
          <cell r="C4075" t="str">
            <v>P</v>
          </cell>
          <cell r="D4075" t="str">
            <v>23029</v>
          </cell>
          <cell r="E4075" t="str">
            <v>WN FLG</v>
          </cell>
          <cell r="F4075">
            <v>3</v>
          </cell>
          <cell r="G4075" t="str">
            <v>CB200204000300</v>
          </cell>
          <cell r="H4075">
            <v>3</v>
          </cell>
          <cell r="I4075" t="str">
            <v>--</v>
          </cell>
          <cell r="J4075">
            <v>2</v>
          </cell>
          <cell r="K4075">
            <v>3</v>
          </cell>
        </row>
        <row r="4076">
          <cell r="A4076" t="str">
            <v>M2</v>
          </cell>
          <cell r="B4076" t="str">
            <v>A5C</v>
          </cell>
          <cell r="C4076" t="str">
            <v>P</v>
          </cell>
          <cell r="D4076" t="str">
            <v>23050</v>
          </cell>
          <cell r="E4076" t="str">
            <v>WN FLG</v>
          </cell>
          <cell r="F4076">
            <v>3</v>
          </cell>
          <cell r="G4076" t="str">
            <v>CB200104000300</v>
          </cell>
          <cell r="H4076">
            <v>3</v>
          </cell>
          <cell r="I4076" t="str">
            <v>--</v>
          </cell>
          <cell r="J4076">
            <v>2</v>
          </cell>
          <cell r="K4076">
            <v>3</v>
          </cell>
        </row>
        <row r="4077">
          <cell r="A4077" t="str">
            <v>M2</v>
          </cell>
          <cell r="B4077" t="str">
            <v>A5C</v>
          </cell>
          <cell r="C4077" t="str">
            <v>P</v>
          </cell>
          <cell r="D4077" t="str">
            <v>23051</v>
          </cell>
          <cell r="E4077" t="str">
            <v>WN FLG</v>
          </cell>
          <cell r="F4077">
            <v>3</v>
          </cell>
          <cell r="G4077" t="str">
            <v>CB200104000300</v>
          </cell>
          <cell r="H4077">
            <v>3</v>
          </cell>
          <cell r="I4077" t="str">
            <v>--</v>
          </cell>
          <cell r="J4077">
            <v>5</v>
          </cell>
          <cell r="K4077">
            <v>6</v>
          </cell>
        </row>
        <row r="4078">
          <cell r="A4078" t="str">
            <v>M2</v>
          </cell>
          <cell r="B4078" t="str">
            <v>A5C</v>
          </cell>
          <cell r="C4078" t="str">
            <v>P</v>
          </cell>
          <cell r="D4078" t="str">
            <v>23061</v>
          </cell>
          <cell r="E4078" t="str">
            <v>WN FLG</v>
          </cell>
          <cell r="F4078">
            <v>3</v>
          </cell>
          <cell r="G4078" t="str">
            <v>CB200104000300</v>
          </cell>
          <cell r="H4078">
            <v>3</v>
          </cell>
          <cell r="I4078" t="str">
            <v>--</v>
          </cell>
          <cell r="J4078">
            <v>2</v>
          </cell>
          <cell r="K4078">
            <v>3</v>
          </cell>
        </row>
        <row r="4079">
          <cell r="A4079" t="str">
            <v>M2</v>
          </cell>
          <cell r="B4079" t="str">
            <v>A5C</v>
          </cell>
          <cell r="C4079" t="str">
            <v>P</v>
          </cell>
          <cell r="D4079" t="str">
            <v>23064</v>
          </cell>
          <cell r="E4079" t="str">
            <v>WN FLG</v>
          </cell>
          <cell r="F4079">
            <v>3</v>
          </cell>
          <cell r="G4079" t="str">
            <v>CB200104000300</v>
          </cell>
          <cell r="H4079">
            <v>3</v>
          </cell>
          <cell r="I4079" t="str">
            <v>--</v>
          </cell>
          <cell r="J4079">
            <v>7</v>
          </cell>
          <cell r="K4079">
            <v>8</v>
          </cell>
        </row>
        <row r="4080">
          <cell r="A4080" t="str">
            <v>M2</v>
          </cell>
          <cell r="B4080" t="str">
            <v>A5C</v>
          </cell>
          <cell r="C4080" t="str">
            <v>P</v>
          </cell>
          <cell r="D4080" t="str">
            <v>23086</v>
          </cell>
          <cell r="E4080" t="str">
            <v>WN FLG</v>
          </cell>
          <cell r="F4080">
            <v>3</v>
          </cell>
          <cell r="G4080" t="str">
            <v>CB200104000300</v>
          </cell>
          <cell r="H4080">
            <v>3</v>
          </cell>
          <cell r="I4080" t="str">
            <v>--</v>
          </cell>
          <cell r="J4080">
            <v>4</v>
          </cell>
          <cell r="K4080">
            <v>5</v>
          </cell>
        </row>
        <row r="4081">
          <cell r="A4081" t="str">
            <v>M2</v>
          </cell>
          <cell r="B4081" t="str">
            <v>A5C</v>
          </cell>
          <cell r="C4081" t="str">
            <v>P</v>
          </cell>
          <cell r="D4081" t="str">
            <v>23125</v>
          </cell>
          <cell r="E4081" t="str">
            <v>WN FLG</v>
          </cell>
          <cell r="F4081">
            <v>3</v>
          </cell>
          <cell r="G4081" t="str">
            <v>CB200104000300</v>
          </cell>
          <cell r="H4081">
            <v>3</v>
          </cell>
          <cell r="I4081" t="str">
            <v>--</v>
          </cell>
          <cell r="J4081">
            <v>4</v>
          </cell>
          <cell r="K4081">
            <v>5</v>
          </cell>
        </row>
        <row r="4082">
          <cell r="A4082" t="str">
            <v>M2</v>
          </cell>
          <cell r="B4082" t="str">
            <v>A5C</v>
          </cell>
          <cell r="C4082" t="str">
            <v>P</v>
          </cell>
          <cell r="D4082" t="str">
            <v>23029</v>
          </cell>
          <cell r="E4082" t="str">
            <v>WN FLG</v>
          </cell>
          <cell r="F4082">
            <v>3</v>
          </cell>
          <cell r="G4082" t="str">
            <v>CB200104000300</v>
          </cell>
          <cell r="H4082">
            <v>3</v>
          </cell>
          <cell r="I4082" t="str">
            <v>--</v>
          </cell>
          <cell r="J4082">
            <v>2</v>
          </cell>
          <cell r="K4082">
            <v>3</v>
          </cell>
        </row>
        <row r="4083">
          <cell r="A4083" t="str">
            <v>M2</v>
          </cell>
          <cell r="B4083" t="str">
            <v>A5C</v>
          </cell>
          <cell r="C4083" t="str">
            <v>P</v>
          </cell>
          <cell r="D4083" t="str">
            <v>23062</v>
          </cell>
          <cell r="E4083" t="str">
            <v>WN FLG</v>
          </cell>
          <cell r="F4083">
            <v>3</v>
          </cell>
          <cell r="G4083" t="str">
            <v>CB200104000300</v>
          </cell>
          <cell r="H4083">
            <v>3</v>
          </cell>
          <cell r="I4083" t="str">
            <v>--</v>
          </cell>
          <cell r="J4083">
            <v>2</v>
          </cell>
          <cell r="K4083">
            <v>3</v>
          </cell>
        </row>
        <row r="4084">
          <cell r="A4084" t="str">
            <v>M2</v>
          </cell>
          <cell r="B4084" t="str">
            <v>A5C</v>
          </cell>
          <cell r="C4084" t="str">
            <v>P</v>
          </cell>
          <cell r="D4084" t="str">
            <v>23064</v>
          </cell>
          <cell r="E4084" t="str">
            <v>WN FLG</v>
          </cell>
          <cell r="F4084">
            <v>3</v>
          </cell>
          <cell r="G4084" t="str">
            <v>CB200104000300</v>
          </cell>
          <cell r="H4084">
            <v>3</v>
          </cell>
          <cell r="I4084" t="str">
            <v>--</v>
          </cell>
          <cell r="J4084">
            <v>8</v>
          </cell>
          <cell r="K4084">
            <v>9</v>
          </cell>
        </row>
        <row r="4085">
          <cell r="A4085" t="str">
            <v>M2</v>
          </cell>
          <cell r="B4085" t="str">
            <v>A5C</v>
          </cell>
          <cell r="C4085" t="str">
            <v>P</v>
          </cell>
          <cell r="D4085" t="str">
            <v>23071</v>
          </cell>
          <cell r="E4085" t="str">
            <v>WN FLG</v>
          </cell>
          <cell r="F4085">
            <v>3</v>
          </cell>
          <cell r="G4085" t="str">
            <v>CB200104000300</v>
          </cell>
          <cell r="H4085">
            <v>3</v>
          </cell>
          <cell r="I4085" t="str">
            <v>--</v>
          </cell>
          <cell r="J4085">
            <v>2</v>
          </cell>
          <cell r="K4085">
            <v>3</v>
          </cell>
        </row>
        <row r="4086">
          <cell r="A4086" t="str">
            <v>M2</v>
          </cell>
          <cell r="B4086" t="str">
            <v>A5C</v>
          </cell>
          <cell r="C4086" t="str">
            <v>P</v>
          </cell>
          <cell r="D4086" t="str">
            <v>24002</v>
          </cell>
          <cell r="E4086" t="str">
            <v>WN FLG</v>
          </cell>
          <cell r="F4086">
            <v>3</v>
          </cell>
          <cell r="G4086" t="str">
            <v>CB200104000300</v>
          </cell>
          <cell r="H4086">
            <v>3</v>
          </cell>
          <cell r="I4086" t="str">
            <v>--</v>
          </cell>
          <cell r="J4086">
            <v>1</v>
          </cell>
          <cell r="K4086">
            <v>2</v>
          </cell>
        </row>
        <row r="4087">
          <cell r="A4087" t="str">
            <v>M2</v>
          </cell>
          <cell r="B4087" t="str">
            <v>A5C</v>
          </cell>
          <cell r="C4087" t="str">
            <v>P</v>
          </cell>
          <cell r="D4087" t="str">
            <v>24026</v>
          </cell>
          <cell r="E4087" t="str">
            <v>WN FLG</v>
          </cell>
          <cell r="F4087">
            <v>3</v>
          </cell>
          <cell r="G4087" t="str">
            <v>CB200104000300</v>
          </cell>
          <cell r="H4087">
            <v>3</v>
          </cell>
          <cell r="I4087" t="str">
            <v>--</v>
          </cell>
          <cell r="J4087">
            <v>1</v>
          </cell>
          <cell r="K4087">
            <v>2</v>
          </cell>
        </row>
        <row r="4088">
          <cell r="A4088" t="str">
            <v>M2</v>
          </cell>
          <cell r="B4088" t="str">
            <v>A5C</v>
          </cell>
          <cell r="C4088" t="str">
            <v>P</v>
          </cell>
          <cell r="D4088" t="str">
            <v>24003</v>
          </cell>
          <cell r="E4088" t="str">
            <v>WN FLG</v>
          </cell>
          <cell r="F4088">
            <v>3</v>
          </cell>
          <cell r="G4088" t="str">
            <v>CB200104000300</v>
          </cell>
          <cell r="H4088">
            <v>3</v>
          </cell>
          <cell r="I4088" t="str">
            <v>--</v>
          </cell>
          <cell r="J4088">
            <v>8</v>
          </cell>
          <cell r="K4088">
            <v>9</v>
          </cell>
        </row>
        <row r="4089">
          <cell r="A4089" t="str">
            <v>M2</v>
          </cell>
          <cell r="B4089" t="str">
            <v>A5C</v>
          </cell>
          <cell r="C4089" t="str">
            <v>P</v>
          </cell>
          <cell r="D4089" t="str">
            <v>24027</v>
          </cell>
          <cell r="E4089" t="str">
            <v>WN FLG</v>
          </cell>
          <cell r="F4089">
            <v>3</v>
          </cell>
          <cell r="G4089" t="str">
            <v>CB200104000300</v>
          </cell>
          <cell r="H4089">
            <v>3</v>
          </cell>
          <cell r="I4089" t="str">
            <v>--</v>
          </cell>
          <cell r="J4089">
            <v>8</v>
          </cell>
          <cell r="K4089">
            <v>9</v>
          </cell>
        </row>
        <row r="4090">
          <cell r="A4090" t="str">
            <v>M2</v>
          </cell>
          <cell r="B4090" t="str">
            <v>A5C</v>
          </cell>
          <cell r="C4090" t="str">
            <v>P</v>
          </cell>
          <cell r="D4090" t="str">
            <v>23012</v>
          </cell>
          <cell r="E4090" t="str">
            <v>WN FLG</v>
          </cell>
          <cell r="F4090">
            <v>3</v>
          </cell>
          <cell r="G4090" t="str">
            <v>CB200104000400</v>
          </cell>
          <cell r="H4090">
            <v>4</v>
          </cell>
          <cell r="I4090" t="str">
            <v>--</v>
          </cell>
          <cell r="J4090">
            <v>6</v>
          </cell>
          <cell r="K4090">
            <v>7</v>
          </cell>
        </row>
        <row r="4091">
          <cell r="A4091" t="str">
            <v>M2</v>
          </cell>
          <cell r="B4091" t="str">
            <v>A5C</v>
          </cell>
          <cell r="C4091" t="str">
            <v>P</v>
          </cell>
          <cell r="D4091" t="str">
            <v>23068</v>
          </cell>
          <cell r="E4091" t="str">
            <v>WN FLG</v>
          </cell>
          <cell r="F4091">
            <v>3</v>
          </cell>
          <cell r="G4091" t="str">
            <v>CB200104000400</v>
          </cell>
          <cell r="H4091">
            <v>4</v>
          </cell>
          <cell r="I4091" t="str">
            <v>--</v>
          </cell>
          <cell r="J4091">
            <v>8</v>
          </cell>
          <cell r="K4091">
            <v>10</v>
          </cell>
        </row>
        <row r="4092">
          <cell r="A4092" t="str">
            <v>M2</v>
          </cell>
          <cell r="B4092" t="str">
            <v>A5C</v>
          </cell>
          <cell r="C4092" t="str">
            <v>P</v>
          </cell>
          <cell r="D4092" t="str">
            <v>23072</v>
          </cell>
          <cell r="E4092" t="str">
            <v>WN FLG</v>
          </cell>
          <cell r="F4092">
            <v>3</v>
          </cell>
          <cell r="G4092" t="str">
            <v>CB200204000400</v>
          </cell>
          <cell r="H4092">
            <v>4</v>
          </cell>
          <cell r="I4092" t="str">
            <v>--</v>
          </cell>
          <cell r="J4092">
            <v>2</v>
          </cell>
          <cell r="K4092">
            <v>3</v>
          </cell>
        </row>
        <row r="4093">
          <cell r="A4093" t="str">
            <v>M2</v>
          </cell>
          <cell r="B4093" t="str">
            <v>A5C</v>
          </cell>
          <cell r="C4093" t="str">
            <v>P</v>
          </cell>
          <cell r="D4093" t="str">
            <v>23095</v>
          </cell>
          <cell r="E4093" t="str">
            <v>WN FLG</v>
          </cell>
          <cell r="F4093">
            <v>3</v>
          </cell>
          <cell r="G4093" t="str">
            <v>CB200104000400</v>
          </cell>
          <cell r="H4093">
            <v>4</v>
          </cell>
          <cell r="I4093" t="str">
            <v>--</v>
          </cell>
          <cell r="J4093">
            <v>1</v>
          </cell>
          <cell r="K4093">
            <v>2</v>
          </cell>
        </row>
        <row r="4094">
          <cell r="A4094" t="str">
            <v>M2</v>
          </cell>
          <cell r="B4094" t="str">
            <v>A5C</v>
          </cell>
          <cell r="C4094" t="str">
            <v>P</v>
          </cell>
          <cell r="D4094" t="str">
            <v>23100</v>
          </cell>
          <cell r="E4094" t="str">
            <v>WN FLG</v>
          </cell>
          <cell r="F4094">
            <v>3</v>
          </cell>
          <cell r="G4094" t="str">
            <v>CB200104000400</v>
          </cell>
          <cell r="H4094">
            <v>4</v>
          </cell>
          <cell r="I4094" t="str">
            <v>--</v>
          </cell>
          <cell r="J4094">
            <v>2</v>
          </cell>
          <cell r="K4094">
            <v>3</v>
          </cell>
        </row>
        <row r="4095">
          <cell r="A4095" t="str">
            <v>M2</v>
          </cell>
          <cell r="B4095" t="str">
            <v>A5C</v>
          </cell>
          <cell r="C4095" t="str">
            <v>P</v>
          </cell>
          <cell r="D4095" t="str">
            <v>23100</v>
          </cell>
          <cell r="E4095" t="str">
            <v>WN FLG</v>
          </cell>
          <cell r="F4095">
            <v>3</v>
          </cell>
          <cell r="G4095" t="str">
            <v>CB200104000400</v>
          </cell>
          <cell r="H4095">
            <v>4</v>
          </cell>
          <cell r="I4095" t="str">
            <v>--</v>
          </cell>
          <cell r="J4095">
            <v>3</v>
          </cell>
          <cell r="K4095">
            <v>4</v>
          </cell>
        </row>
        <row r="4096">
          <cell r="A4096" t="str">
            <v>M2</v>
          </cell>
          <cell r="B4096" t="str">
            <v>A5C</v>
          </cell>
          <cell r="C4096" t="str">
            <v>P</v>
          </cell>
          <cell r="D4096" t="str">
            <v>23110</v>
          </cell>
          <cell r="E4096" t="str">
            <v>WN FLG</v>
          </cell>
          <cell r="F4096">
            <v>3</v>
          </cell>
          <cell r="G4096" t="str">
            <v>CB200104000400</v>
          </cell>
          <cell r="H4096">
            <v>4</v>
          </cell>
          <cell r="I4096" t="str">
            <v>--</v>
          </cell>
          <cell r="J4096">
            <v>1</v>
          </cell>
          <cell r="K4096">
            <v>2</v>
          </cell>
        </row>
        <row r="4097">
          <cell r="A4097" t="str">
            <v>M2</v>
          </cell>
          <cell r="B4097" t="str">
            <v>A5C</v>
          </cell>
          <cell r="C4097" t="str">
            <v>P</v>
          </cell>
          <cell r="D4097" t="str">
            <v>23110</v>
          </cell>
          <cell r="E4097" t="str">
            <v>WN FLG</v>
          </cell>
          <cell r="F4097">
            <v>3</v>
          </cell>
          <cell r="G4097" t="str">
            <v>CB200104000400</v>
          </cell>
          <cell r="H4097">
            <v>4</v>
          </cell>
          <cell r="I4097" t="str">
            <v>--</v>
          </cell>
          <cell r="J4097">
            <v>8</v>
          </cell>
          <cell r="K4097">
            <v>10</v>
          </cell>
        </row>
        <row r="4098">
          <cell r="A4098" t="str">
            <v>M2</v>
          </cell>
          <cell r="B4098" t="str">
            <v>A5C</v>
          </cell>
          <cell r="C4098" t="str">
            <v>P</v>
          </cell>
          <cell r="D4098" t="str">
            <v>23114</v>
          </cell>
          <cell r="E4098" t="str">
            <v>WN FLG</v>
          </cell>
          <cell r="F4098">
            <v>3</v>
          </cell>
          <cell r="G4098" t="str">
            <v>CB200104000400</v>
          </cell>
          <cell r="H4098">
            <v>4</v>
          </cell>
          <cell r="I4098" t="str">
            <v>--</v>
          </cell>
          <cell r="J4098">
            <v>1</v>
          </cell>
          <cell r="K4098">
            <v>2</v>
          </cell>
        </row>
        <row r="4099">
          <cell r="A4099" t="str">
            <v>M2</v>
          </cell>
          <cell r="B4099" t="str">
            <v>A5C</v>
          </cell>
          <cell r="C4099" t="str">
            <v>P</v>
          </cell>
          <cell r="D4099" t="str">
            <v>23121</v>
          </cell>
          <cell r="E4099" t="str">
            <v>WN FLG</v>
          </cell>
          <cell r="F4099">
            <v>3</v>
          </cell>
          <cell r="G4099" t="str">
            <v>CB200104000400</v>
          </cell>
          <cell r="H4099">
            <v>4</v>
          </cell>
          <cell r="I4099" t="str">
            <v>--</v>
          </cell>
          <cell r="J4099">
            <v>9</v>
          </cell>
          <cell r="K4099">
            <v>11</v>
          </cell>
        </row>
        <row r="4100">
          <cell r="A4100" t="str">
            <v>M2</v>
          </cell>
          <cell r="B4100" t="str">
            <v>A5C</v>
          </cell>
          <cell r="C4100" t="str">
            <v>P</v>
          </cell>
          <cell r="D4100" t="str">
            <v>23123</v>
          </cell>
          <cell r="E4100" t="str">
            <v>WN FLG</v>
          </cell>
          <cell r="F4100">
            <v>3</v>
          </cell>
          <cell r="G4100" t="str">
            <v>CB200104000400</v>
          </cell>
          <cell r="H4100">
            <v>4</v>
          </cell>
          <cell r="I4100" t="str">
            <v>--</v>
          </cell>
          <cell r="J4100">
            <v>8</v>
          </cell>
          <cell r="K4100">
            <v>10</v>
          </cell>
        </row>
        <row r="4101">
          <cell r="A4101" t="str">
            <v>M2</v>
          </cell>
          <cell r="B4101" t="str">
            <v>A5C</v>
          </cell>
          <cell r="C4101" t="str">
            <v>P</v>
          </cell>
          <cell r="D4101" t="str">
            <v>23152</v>
          </cell>
          <cell r="E4101" t="str">
            <v>WN FLG</v>
          </cell>
          <cell r="F4101">
            <v>3</v>
          </cell>
          <cell r="G4101" t="str">
            <v>CB200204000400</v>
          </cell>
          <cell r="H4101">
            <v>4</v>
          </cell>
          <cell r="I4101" t="str">
            <v>--</v>
          </cell>
          <cell r="J4101">
            <v>2</v>
          </cell>
          <cell r="K4101">
            <v>3</v>
          </cell>
        </row>
        <row r="4102">
          <cell r="A4102" t="str">
            <v>M2</v>
          </cell>
          <cell r="B4102" t="str">
            <v>A5C</v>
          </cell>
          <cell r="C4102" t="str">
            <v>P</v>
          </cell>
          <cell r="D4102" t="str">
            <v>23152</v>
          </cell>
          <cell r="E4102" t="str">
            <v>WN FLG</v>
          </cell>
          <cell r="F4102">
            <v>3</v>
          </cell>
          <cell r="G4102" t="str">
            <v>CB200104000400</v>
          </cell>
          <cell r="H4102">
            <v>4</v>
          </cell>
          <cell r="I4102" t="str">
            <v>--</v>
          </cell>
          <cell r="J4102">
            <v>2</v>
          </cell>
          <cell r="K4102">
            <v>3</v>
          </cell>
        </row>
        <row r="4103">
          <cell r="A4103" t="str">
            <v>M2</v>
          </cell>
          <cell r="B4103" t="str">
            <v>A5C</v>
          </cell>
          <cell r="C4103" t="str">
            <v>P</v>
          </cell>
          <cell r="D4103" t="str">
            <v>23181</v>
          </cell>
          <cell r="E4103" t="str">
            <v>WN FLG</v>
          </cell>
          <cell r="F4103">
            <v>3</v>
          </cell>
          <cell r="G4103" t="str">
            <v>CB200104000400</v>
          </cell>
          <cell r="H4103">
            <v>4</v>
          </cell>
          <cell r="I4103" t="str">
            <v>--</v>
          </cell>
          <cell r="J4103">
            <v>2</v>
          </cell>
          <cell r="K4103">
            <v>3</v>
          </cell>
        </row>
        <row r="4104">
          <cell r="A4104" t="str">
            <v>M2</v>
          </cell>
          <cell r="B4104" t="str">
            <v>A5C</v>
          </cell>
          <cell r="C4104" t="str">
            <v>P</v>
          </cell>
          <cell r="D4104" t="str">
            <v>23181</v>
          </cell>
          <cell r="E4104" t="str">
            <v>WN FLG</v>
          </cell>
          <cell r="F4104">
            <v>3</v>
          </cell>
          <cell r="G4104" t="str">
            <v>CB200204000400</v>
          </cell>
          <cell r="H4104">
            <v>4</v>
          </cell>
          <cell r="I4104" t="str">
            <v>--</v>
          </cell>
          <cell r="J4104">
            <v>2</v>
          </cell>
          <cell r="K4104">
            <v>3</v>
          </cell>
        </row>
        <row r="4105">
          <cell r="A4105" t="str">
            <v>M2</v>
          </cell>
          <cell r="B4105" t="str">
            <v>A5C</v>
          </cell>
          <cell r="C4105" t="str">
            <v>P</v>
          </cell>
          <cell r="D4105" t="str">
            <v>23227</v>
          </cell>
          <cell r="E4105" t="str">
            <v>WN FLG</v>
          </cell>
          <cell r="F4105">
            <v>3</v>
          </cell>
          <cell r="G4105" t="str">
            <v>CB200104000400</v>
          </cell>
          <cell r="H4105">
            <v>4</v>
          </cell>
          <cell r="I4105" t="str">
            <v>--</v>
          </cell>
          <cell r="J4105">
            <v>2</v>
          </cell>
          <cell r="K4105">
            <v>3</v>
          </cell>
        </row>
        <row r="4106">
          <cell r="A4106" t="str">
            <v>M2</v>
          </cell>
          <cell r="B4106" t="str">
            <v>A5C</v>
          </cell>
          <cell r="C4106" t="str">
            <v>P</v>
          </cell>
          <cell r="D4106" t="str">
            <v>23228</v>
          </cell>
          <cell r="E4106" t="str">
            <v>WN FLG</v>
          </cell>
          <cell r="F4106">
            <v>3</v>
          </cell>
          <cell r="G4106" t="str">
            <v>CB200104000400</v>
          </cell>
          <cell r="H4106">
            <v>4</v>
          </cell>
          <cell r="I4106" t="str">
            <v>--</v>
          </cell>
          <cell r="J4106">
            <v>2</v>
          </cell>
          <cell r="K4106">
            <v>3</v>
          </cell>
        </row>
        <row r="4107">
          <cell r="A4107" t="str">
            <v>M2</v>
          </cell>
          <cell r="B4107" t="str">
            <v>A5C</v>
          </cell>
          <cell r="C4107" t="str">
            <v>P</v>
          </cell>
          <cell r="D4107" t="str">
            <v>23237</v>
          </cell>
          <cell r="E4107" t="str">
            <v>WN FLG</v>
          </cell>
          <cell r="F4107">
            <v>3</v>
          </cell>
          <cell r="G4107" t="str">
            <v>CB200104000400</v>
          </cell>
          <cell r="H4107">
            <v>4</v>
          </cell>
          <cell r="I4107" t="str">
            <v>--</v>
          </cell>
          <cell r="J4107">
            <v>2</v>
          </cell>
          <cell r="K4107">
            <v>3</v>
          </cell>
        </row>
        <row r="4108">
          <cell r="A4108" t="str">
            <v>M2</v>
          </cell>
          <cell r="B4108" t="str">
            <v>A5C</v>
          </cell>
          <cell r="C4108" t="str">
            <v>P</v>
          </cell>
          <cell r="D4108" t="str">
            <v>23237</v>
          </cell>
          <cell r="E4108" t="str">
            <v>WN FLG</v>
          </cell>
          <cell r="F4108">
            <v>3</v>
          </cell>
          <cell r="G4108" t="str">
            <v>CB200104000400</v>
          </cell>
          <cell r="H4108">
            <v>4</v>
          </cell>
          <cell r="I4108" t="str">
            <v>--</v>
          </cell>
          <cell r="J4108">
            <v>1</v>
          </cell>
          <cell r="K4108">
            <v>2</v>
          </cell>
        </row>
        <row r="4109">
          <cell r="A4109" t="str">
            <v>M2</v>
          </cell>
          <cell r="B4109" t="str">
            <v>A5C</v>
          </cell>
          <cell r="C4109" t="str">
            <v>P</v>
          </cell>
          <cell r="D4109" t="str">
            <v>23241</v>
          </cell>
          <cell r="E4109" t="str">
            <v>WN FLG</v>
          </cell>
          <cell r="F4109">
            <v>3</v>
          </cell>
          <cell r="G4109" t="str">
            <v>CB200104000400</v>
          </cell>
          <cell r="H4109">
            <v>4</v>
          </cell>
          <cell r="I4109" t="str">
            <v>--</v>
          </cell>
          <cell r="J4109">
            <v>1</v>
          </cell>
          <cell r="K4109">
            <v>2</v>
          </cell>
        </row>
        <row r="4110">
          <cell r="A4110" t="str">
            <v>M2</v>
          </cell>
          <cell r="B4110" t="str">
            <v>A5C</v>
          </cell>
          <cell r="C4110" t="str">
            <v>P</v>
          </cell>
          <cell r="D4110" t="str">
            <v>23241</v>
          </cell>
          <cell r="E4110" t="str">
            <v>WN FLG</v>
          </cell>
          <cell r="F4110">
            <v>3</v>
          </cell>
          <cell r="G4110" t="str">
            <v>CB200204000400</v>
          </cell>
          <cell r="H4110">
            <v>4</v>
          </cell>
          <cell r="I4110" t="str">
            <v>--</v>
          </cell>
          <cell r="J4110">
            <v>2</v>
          </cell>
          <cell r="K4110">
            <v>3</v>
          </cell>
        </row>
        <row r="4111">
          <cell r="A4111" t="str">
            <v>M2</v>
          </cell>
          <cell r="B4111" t="str">
            <v>A5C</v>
          </cell>
          <cell r="C4111" t="str">
            <v>P</v>
          </cell>
          <cell r="D4111" t="str">
            <v>23249</v>
          </cell>
          <cell r="E4111" t="str">
            <v>WN FLG</v>
          </cell>
          <cell r="F4111">
            <v>3</v>
          </cell>
          <cell r="G4111" t="str">
            <v>CB200104000400</v>
          </cell>
          <cell r="H4111">
            <v>4</v>
          </cell>
          <cell r="I4111" t="str">
            <v>--</v>
          </cell>
          <cell r="J4111">
            <v>2</v>
          </cell>
          <cell r="K4111">
            <v>3</v>
          </cell>
        </row>
        <row r="4112">
          <cell r="A4112" t="str">
            <v>M2</v>
          </cell>
          <cell r="B4112" t="str">
            <v>A5C</v>
          </cell>
          <cell r="C4112" t="str">
            <v>P</v>
          </cell>
          <cell r="D4112" t="str">
            <v>23250</v>
          </cell>
          <cell r="E4112" t="str">
            <v>WN FLG</v>
          </cell>
          <cell r="F4112">
            <v>3</v>
          </cell>
          <cell r="G4112" t="str">
            <v>CB200104000400</v>
          </cell>
          <cell r="H4112">
            <v>4</v>
          </cell>
          <cell r="I4112" t="str">
            <v>--</v>
          </cell>
          <cell r="J4112">
            <v>2</v>
          </cell>
          <cell r="K4112">
            <v>3</v>
          </cell>
        </row>
        <row r="4113">
          <cell r="A4113" t="str">
            <v>M2</v>
          </cell>
          <cell r="B4113" t="str">
            <v>A5C</v>
          </cell>
          <cell r="C4113" t="str">
            <v>P</v>
          </cell>
          <cell r="D4113" t="str">
            <v>23058</v>
          </cell>
          <cell r="E4113" t="str">
            <v>WN FLG</v>
          </cell>
          <cell r="F4113">
            <v>3</v>
          </cell>
          <cell r="G4113" t="str">
            <v>CB200104000400</v>
          </cell>
          <cell r="H4113">
            <v>4</v>
          </cell>
          <cell r="I4113" t="str">
            <v>--</v>
          </cell>
          <cell r="J4113">
            <v>4</v>
          </cell>
          <cell r="K4113">
            <v>5</v>
          </cell>
        </row>
        <row r="4114">
          <cell r="A4114" t="str">
            <v>M2</v>
          </cell>
          <cell r="B4114" t="str">
            <v>A5C</v>
          </cell>
          <cell r="C4114" t="str">
            <v>P</v>
          </cell>
          <cell r="D4114" t="str">
            <v>23072</v>
          </cell>
          <cell r="E4114" t="str">
            <v>WN FLG</v>
          </cell>
          <cell r="F4114">
            <v>3</v>
          </cell>
          <cell r="G4114" t="str">
            <v>CB200104000400</v>
          </cell>
          <cell r="H4114">
            <v>4</v>
          </cell>
          <cell r="I4114" t="str">
            <v>--</v>
          </cell>
          <cell r="J4114">
            <v>2</v>
          </cell>
          <cell r="K4114">
            <v>3</v>
          </cell>
        </row>
        <row r="4115">
          <cell r="A4115" t="str">
            <v>M2</v>
          </cell>
          <cell r="B4115" t="str">
            <v>A5C</v>
          </cell>
          <cell r="C4115" t="str">
            <v>P</v>
          </cell>
          <cell r="D4115" t="str">
            <v>23084</v>
          </cell>
          <cell r="E4115" t="str">
            <v>WN FLG</v>
          </cell>
          <cell r="F4115">
            <v>3</v>
          </cell>
          <cell r="G4115" t="str">
            <v>CB200104000400</v>
          </cell>
          <cell r="H4115">
            <v>4</v>
          </cell>
          <cell r="I4115" t="str">
            <v>--</v>
          </cell>
          <cell r="J4115">
            <v>2</v>
          </cell>
          <cell r="K4115">
            <v>3</v>
          </cell>
        </row>
        <row r="4116">
          <cell r="A4116" t="str">
            <v>M2</v>
          </cell>
          <cell r="B4116" t="str">
            <v>A5C</v>
          </cell>
          <cell r="C4116" t="str">
            <v>P</v>
          </cell>
          <cell r="D4116" t="str">
            <v>23114</v>
          </cell>
          <cell r="E4116" t="str">
            <v>WN FLG</v>
          </cell>
          <cell r="F4116">
            <v>3</v>
          </cell>
          <cell r="G4116" t="str">
            <v>CB200104000400</v>
          </cell>
          <cell r="H4116">
            <v>4</v>
          </cell>
          <cell r="I4116" t="str">
            <v>--</v>
          </cell>
          <cell r="J4116">
            <v>8</v>
          </cell>
          <cell r="K4116">
            <v>10</v>
          </cell>
        </row>
        <row r="4117">
          <cell r="A4117" t="str">
            <v>M2</v>
          </cell>
          <cell r="B4117" t="str">
            <v>A5C</v>
          </cell>
          <cell r="C4117" t="str">
            <v>P</v>
          </cell>
          <cell r="D4117" t="str">
            <v>23127</v>
          </cell>
          <cell r="E4117" t="str">
            <v>WN FLG</v>
          </cell>
          <cell r="F4117">
            <v>3</v>
          </cell>
          <cell r="G4117" t="str">
            <v>CB200104000400</v>
          </cell>
          <cell r="H4117">
            <v>4</v>
          </cell>
          <cell r="I4117" t="str">
            <v>--</v>
          </cell>
          <cell r="J4117">
            <v>8</v>
          </cell>
          <cell r="K4117">
            <v>10</v>
          </cell>
        </row>
        <row r="4118">
          <cell r="A4118" t="str">
            <v>M2</v>
          </cell>
          <cell r="B4118" t="str">
            <v>A5C</v>
          </cell>
          <cell r="C4118" t="str">
            <v>P</v>
          </cell>
          <cell r="D4118" t="str">
            <v>23134</v>
          </cell>
          <cell r="E4118" t="str">
            <v>WN FLG</v>
          </cell>
          <cell r="F4118">
            <v>3</v>
          </cell>
          <cell r="G4118" t="str">
            <v>CB200104000400</v>
          </cell>
          <cell r="H4118">
            <v>4</v>
          </cell>
          <cell r="I4118" t="str">
            <v>--</v>
          </cell>
          <cell r="J4118">
            <v>9</v>
          </cell>
          <cell r="K4118">
            <v>11</v>
          </cell>
        </row>
        <row r="4119">
          <cell r="A4119" t="str">
            <v>M2</v>
          </cell>
          <cell r="B4119" t="str">
            <v>A5C</v>
          </cell>
          <cell r="C4119" t="str">
            <v>P</v>
          </cell>
          <cell r="D4119" t="str">
            <v>23139</v>
          </cell>
          <cell r="E4119" t="str">
            <v>WN FLG</v>
          </cell>
          <cell r="F4119">
            <v>3</v>
          </cell>
          <cell r="G4119" t="str">
            <v>CB200104000400</v>
          </cell>
          <cell r="H4119">
            <v>4</v>
          </cell>
          <cell r="I4119" t="str">
            <v>--</v>
          </cell>
          <cell r="J4119">
            <v>1</v>
          </cell>
          <cell r="K4119">
            <v>2</v>
          </cell>
        </row>
        <row r="4120">
          <cell r="A4120" t="str">
            <v>M2</v>
          </cell>
          <cell r="B4120" t="str">
            <v>A5C</v>
          </cell>
          <cell r="C4120" t="str">
            <v>P</v>
          </cell>
          <cell r="D4120" t="str">
            <v>23139</v>
          </cell>
          <cell r="E4120" t="str">
            <v>WN FLG</v>
          </cell>
          <cell r="F4120">
            <v>3</v>
          </cell>
          <cell r="G4120" t="str">
            <v>CB200204000400</v>
          </cell>
          <cell r="H4120">
            <v>4</v>
          </cell>
          <cell r="I4120" t="str">
            <v>--</v>
          </cell>
          <cell r="J4120">
            <v>1</v>
          </cell>
          <cell r="K4120">
            <v>2</v>
          </cell>
        </row>
        <row r="4121">
          <cell r="A4121" t="str">
            <v>M2</v>
          </cell>
          <cell r="B4121" t="str">
            <v>A5C</v>
          </cell>
          <cell r="C4121" t="str">
            <v>P</v>
          </cell>
          <cell r="D4121" t="str">
            <v>23146</v>
          </cell>
          <cell r="E4121" t="str">
            <v>WN FLG</v>
          </cell>
          <cell r="F4121">
            <v>3</v>
          </cell>
          <cell r="G4121" t="str">
            <v>CB200104000400</v>
          </cell>
          <cell r="H4121">
            <v>4</v>
          </cell>
          <cell r="I4121" t="str">
            <v>--</v>
          </cell>
          <cell r="J4121">
            <v>9</v>
          </cell>
          <cell r="K4121">
            <v>11</v>
          </cell>
        </row>
        <row r="4122">
          <cell r="A4122" t="str">
            <v>M2</v>
          </cell>
          <cell r="B4122" t="str">
            <v>A5C</v>
          </cell>
          <cell r="C4122" t="str">
            <v>P</v>
          </cell>
          <cell r="D4122" t="str">
            <v>23174</v>
          </cell>
          <cell r="E4122" t="str">
            <v>WN FLG</v>
          </cell>
          <cell r="F4122">
            <v>3</v>
          </cell>
          <cell r="G4122" t="str">
            <v>CB200104000400</v>
          </cell>
          <cell r="H4122">
            <v>4</v>
          </cell>
          <cell r="I4122" t="str">
            <v>--</v>
          </cell>
          <cell r="J4122">
            <v>5</v>
          </cell>
          <cell r="K4122">
            <v>6</v>
          </cell>
        </row>
        <row r="4123">
          <cell r="A4123" t="str">
            <v>M2</v>
          </cell>
          <cell r="B4123" t="str">
            <v>A5C</v>
          </cell>
          <cell r="C4123" t="str">
            <v>P</v>
          </cell>
          <cell r="D4123" t="str">
            <v>23267</v>
          </cell>
          <cell r="E4123" t="str">
            <v>WN FLG</v>
          </cell>
          <cell r="F4123">
            <v>3</v>
          </cell>
          <cell r="G4123" t="str">
            <v>CB200104000400</v>
          </cell>
          <cell r="H4123">
            <v>4</v>
          </cell>
          <cell r="I4123" t="str">
            <v>--</v>
          </cell>
          <cell r="J4123">
            <v>2</v>
          </cell>
          <cell r="K4123">
            <v>3</v>
          </cell>
        </row>
        <row r="4124">
          <cell r="A4124" t="str">
            <v>M2</v>
          </cell>
          <cell r="B4124" t="str">
            <v>A5C</v>
          </cell>
          <cell r="C4124" t="str">
            <v>P</v>
          </cell>
          <cell r="D4124" t="str">
            <v>23021</v>
          </cell>
          <cell r="E4124" t="str">
            <v>WN FLG</v>
          </cell>
          <cell r="F4124">
            <v>3</v>
          </cell>
          <cell r="G4124" t="str">
            <v>CB200104000400</v>
          </cell>
          <cell r="H4124">
            <v>4</v>
          </cell>
          <cell r="I4124" t="str">
            <v>--</v>
          </cell>
          <cell r="J4124">
            <v>2</v>
          </cell>
          <cell r="K4124">
            <v>3</v>
          </cell>
        </row>
        <row r="4125">
          <cell r="A4125" t="str">
            <v>M2</v>
          </cell>
          <cell r="B4125" t="str">
            <v>A5C</v>
          </cell>
          <cell r="C4125" t="str">
            <v>P</v>
          </cell>
          <cell r="D4125" t="str">
            <v>23024</v>
          </cell>
          <cell r="E4125" t="str">
            <v>WN FLG</v>
          </cell>
          <cell r="F4125">
            <v>3</v>
          </cell>
          <cell r="G4125" t="str">
            <v>CB200104000400</v>
          </cell>
          <cell r="H4125">
            <v>4</v>
          </cell>
          <cell r="I4125" t="str">
            <v>--</v>
          </cell>
          <cell r="J4125">
            <v>8</v>
          </cell>
          <cell r="K4125">
            <v>10</v>
          </cell>
        </row>
        <row r="4126">
          <cell r="A4126" t="str">
            <v>M2</v>
          </cell>
          <cell r="B4126" t="str">
            <v>A5C</v>
          </cell>
          <cell r="C4126" t="str">
            <v>P</v>
          </cell>
          <cell r="D4126" t="str">
            <v>23026</v>
          </cell>
          <cell r="E4126" t="str">
            <v>WN FLG</v>
          </cell>
          <cell r="F4126">
            <v>3</v>
          </cell>
          <cell r="G4126" t="str">
            <v>CB200104000400</v>
          </cell>
          <cell r="H4126">
            <v>4</v>
          </cell>
          <cell r="I4126" t="str">
            <v>--</v>
          </cell>
          <cell r="J4126">
            <v>2</v>
          </cell>
          <cell r="K4126">
            <v>3</v>
          </cell>
        </row>
        <row r="4127">
          <cell r="A4127" t="str">
            <v>M2</v>
          </cell>
          <cell r="B4127" t="str">
            <v>A5C</v>
          </cell>
          <cell r="C4127" t="str">
            <v>P</v>
          </cell>
          <cell r="D4127" t="str">
            <v>23029</v>
          </cell>
          <cell r="E4127" t="str">
            <v>WN FLG</v>
          </cell>
          <cell r="F4127">
            <v>3</v>
          </cell>
          <cell r="G4127" t="str">
            <v>CB200104000400</v>
          </cell>
          <cell r="H4127">
            <v>4</v>
          </cell>
          <cell r="I4127" t="str">
            <v>--</v>
          </cell>
          <cell r="J4127">
            <v>5</v>
          </cell>
          <cell r="K4127">
            <v>6</v>
          </cell>
        </row>
        <row r="4128">
          <cell r="A4128" t="str">
            <v>M2</v>
          </cell>
          <cell r="B4128" t="str">
            <v>A5C</v>
          </cell>
          <cell r="C4128" t="str">
            <v>P</v>
          </cell>
          <cell r="D4128" t="str">
            <v>23029</v>
          </cell>
          <cell r="E4128" t="str">
            <v>WN FLG</v>
          </cell>
          <cell r="F4128">
            <v>3</v>
          </cell>
          <cell r="G4128" t="str">
            <v>CB200104000400</v>
          </cell>
          <cell r="H4128">
            <v>4</v>
          </cell>
          <cell r="I4128" t="str">
            <v>--</v>
          </cell>
          <cell r="J4128">
            <v>8</v>
          </cell>
          <cell r="K4128">
            <v>10</v>
          </cell>
        </row>
        <row r="4129">
          <cell r="A4129" t="str">
            <v>M2</v>
          </cell>
          <cell r="B4129" t="str">
            <v>A5C</v>
          </cell>
          <cell r="C4129" t="str">
            <v>P</v>
          </cell>
          <cell r="D4129" t="str">
            <v>23045</v>
          </cell>
          <cell r="E4129" t="str">
            <v>WN FLG</v>
          </cell>
          <cell r="F4129">
            <v>3</v>
          </cell>
          <cell r="G4129" t="str">
            <v>CB200104000400</v>
          </cell>
          <cell r="H4129">
            <v>4</v>
          </cell>
          <cell r="I4129" t="str">
            <v>--</v>
          </cell>
          <cell r="J4129">
            <v>2</v>
          </cell>
          <cell r="K4129">
            <v>3</v>
          </cell>
        </row>
        <row r="4130">
          <cell r="A4130" t="str">
            <v>M2</v>
          </cell>
          <cell r="B4130" t="str">
            <v>A5C</v>
          </cell>
          <cell r="C4130" t="str">
            <v>P</v>
          </cell>
          <cell r="D4130" t="str">
            <v>23024</v>
          </cell>
          <cell r="E4130" t="str">
            <v>WN FLG</v>
          </cell>
          <cell r="F4130">
            <v>3</v>
          </cell>
          <cell r="G4130" t="str">
            <v>CB200104000400</v>
          </cell>
          <cell r="H4130">
            <v>4</v>
          </cell>
          <cell r="I4130" t="str">
            <v>--</v>
          </cell>
          <cell r="J4130">
            <v>5</v>
          </cell>
          <cell r="K4130">
            <v>6</v>
          </cell>
        </row>
        <row r="4131">
          <cell r="A4131" t="str">
            <v>M2</v>
          </cell>
          <cell r="B4131" t="str">
            <v>A5C</v>
          </cell>
          <cell r="C4131" t="str">
            <v>P</v>
          </cell>
          <cell r="D4131" t="str">
            <v>23062</v>
          </cell>
          <cell r="E4131" t="str">
            <v>WN FLG</v>
          </cell>
          <cell r="F4131">
            <v>3</v>
          </cell>
          <cell r="G4131" t="str">
            <v>CB200104000400</v>
          </cell>
          <cell r="H4131">
            <v>4</v>
          </cell>
          <cell r="I4131" t="str">
            <v>--</v>
          </cell>
          <cell r="J4131">
            <v>5</v>
          </cell>
          <cell r="K4131">
            <v>6</v>
          </cell>
        </row>
        <row r="4132">
          <cell r="A4132" t="str">
            <v>M2</v>
          </cell>
          <cell r="B4132" t="str">
            <v>A5C</v>
          </cell>
          <cell r="C4132" t="str">
            <v>P</v>
          </cell>
          <cell r="D4132" t="str">
            <v>23091</v>
          </cell>
          <cell r="E4132" t="str">
            <v>WN FLG</v>
          </cell>
          <cell r="F4132">
            <v>3</v>
          </cell>
          <cell r="G4132" t="str">
            <v>CB200104000400</v>
          </cell>
          <cell r="H4132">
            <v>4</v>
          </cell>
          <cell r="I4132" t="str">
            <v>--</v>
          </cell>
          <cell r="J4132">
            <v>2</v>
          </cell>
          <cell r="K4132">
            <v>3</v>
          </cell>
        </row>
        <row r="4133">
          <cell r="A4133" t="str">
            <v>M2</v>
          </cell>
          <cell r="B4133" t="str">
            <v>A5C</v>
          </cell>
          <cell r="C4133" t="str">
            <v>P</v>
          </cell>
          <cell r="D4133" t="str">
            <v>23130</v>
          </cell>
          <cell r="E4133" t="str">
            <v>WN FLG</v>
          </cell>
          <cell r="F4133">
            <v>3</v>
          </cell>
          <cell r="G4133" t="str">
            <v>CB200104000400</v>
          </cell>
          <cell r="H4133">
            <v>4</v>
          </cell>
          <cell r="I4133" t="str">
            <v>--</v>
          </cell>
          <cell r="J4133">
            <v>2</v>
          </cell>
          <cell r="K4133">
            <v>3</v>
          </cell>
        </row>
        <row r="4134">
          <cell r="A4134" t="str">
            <v>M2</v>
          </cell>
          <cell r="B4134" t="str">
            <v>A5C</v>
          </cell>
          <cell r="C4134" t="str">
            <v>P</v>
          </cell>
          <cell r="D4134" t="str">
            <v>23023</v>
          </cell>
          <cell r="E4134" t="str">
            <v>WN FLG</v>
          </cell>
          <cell r="F4134">
            <v>3</v>
          </cell>
          <cell r="G4134" t="str">
            <v>CB200104000600</v>
          </cell>
          <cell r="H4134">
            <v>6</v>
          </cell>
          <cell r="I4134" t="str">
            <v>--</v>
          </cell>
          <cell r="J4134">
            <v>2</v>
          </cell>
          <cell r="K4134">
            <v>3</v>
          </cell>
        </row>
        <row r="4135">
          <cell r="A4135" t="str">
            <v>M2</v>
          </cell>
          <cell r="B4135" t="str">
            <v>A5C</v>
          </cell>
          <cell r="C4135" t="str">
            <v>P</v>
          </cell>
          <cell r="D4135" t="str">
            <v>23084</v>
          </cell>
          <cell r="E4135" t="str">
            <v>WN FLG</v>
          </cell>
          <cell r="F4135">
            <v>3</v>
          </cell>
          <cell r="G4135" t="str">
            <v>CB200104000600</v>
          </cell>
          <cell r="H4135">
            <v>6</v>
          </cell>
          <cell r="I4135" t="str">
            <v>--</v>
          </cell>
          <cell r="J4135">
            <v>8</v>
          </cell>
          <cell r="K4135">
            <v>10</v>
          </cell>
        </row>
        <row r="4136">
          <cell r="A4136" t="str">
            <v>M2</v>
          </cell>
          <cell r="B4136" t="str">
            <v>A5C</v>
          </cell>
          <cell r="C4136" t="str">
            <v>P</v>
          </cell>
          <cell r="D4136" t="str">
            <v>23097</v>
          </cell>
          <cell r="E4136" t="str">
            <v>WN FLG</v>
          </cell>
          <cell r="F4136">
            <v>3</v>
          </cell>
          <cell r="G4136" t="str">
            <v>CB200104000600</v>
          </cell>
          <cell r="H4136">
            <v>6</v>
          </cell>
          <cell r="I4136" t="str">
            <v>--</v>
          </cell>
          <cell r="J4136">
            <v>2</v>
          </cell>
          <cell r="K4136">
            <v>3</v>
          </cell>
        </row>
        <row r="4137">
          <cell r="A4137" t="str">
            <v>M2</v>
          </cell>
          <cell r="B4137" t="str">
            <v>A5C</v>
          </cell>
          <cell r="C4137" t="str">
            <v>P</v>
          </cell>
          <cell r="D4137" t="str">
            <v>23136</v>
          </cell>
          <cell r="E4137" t="str">
            <v>WN FLG</v>
          </cell>
          <cell r="F4137">
            <v>3</v>
          </cell>
          <cell r="G4137" t="str">
            <v>CB200104000600</v>
          </cell>
          <cell r="H4137">
            <v>6</v>
          </cell>
          <cell r="I4137" t="str">
            <v>--</v>
          </cell>
          <cell r="J4137">
            <v>2</v>
          </cell>
          <cell r="K4137">
            <v>3</v>
          </cell>
        </row>
        <row r="4138">
          <cell r="A4138" t="str">
            <v>M2</v>
          </cell>
          <cell r="B4138" t="str">
            <v>A5C</v>
          </cell>
          <cell r="C4138" t="str">
            <v>P</v>
          </cell>
          <cell r="D4138" t="str">
            <v>23152</v>
          </cell>
          <cell r="E4138" t="str">
            <v>WN FLG</v>
          </cell>
          <cell r="F4138">
            <v>3</v>
          </cell>
          <cell r="G4138" t="str">
            <v>CB200104000600</v>
          </cell>
          <cell r="H4138">
            <v>6</v>
          </cell>
          <cell r="I4138" t="str">
            <v>--</v>
          </cell>
          <cell r="J4138">
            <v>5</v>
          </cell>
          <cell r="K4138">
            <v>6</v>
          </cell>
        </row>
        <row r="4139">
          <cell r="A4139" t="str">
            <v>M2</v>
          </cell>
          <cell r="B4139" t="str">
            <v>A5C</v>
          </cell>
          <cell r="C4139" t="str">
            <v>P</v>
          </cell>
          <cell r="D4139" t="str">
            <v>23160</v>
          </cell>
          <cell r="E4139" t="str">
            <v>WN FLG</v>
          </cell>
          <cell r="F4139">
            <v>3</v>
          </cell>
          <cell r="G4139" t="str">
            <v>CB200104000600</v>
          </cell>
          <cell r="H4139">
            <v>6</v>
          </cell>
          <cell r="I4139" t="str">
            <v>--</v>
          </cell>
          <cell r="J4139">
            <v>2</v>
          </cell>
          <cell r="K4139">
            <v>3</v>
          </cell>
        </row>
        <row r="4140">
          <cell r="A4140" t="str">
            <v>M2</v>
          </cell>
          <cell r="B4140" t="str">
            <v>A5C</v>
          </cell>
          <cell r="C4140" t="str">
            <v>P</v>
          </cell>
          <cell r="D4140" t="str">
            <v>23160</v>
          </cell>
          <cell r="E4140" t="str">
            <v>WN FLG</v>
          </cell>
          <cell r="F4140">
            <v>3</v>
          </cell>
          <cell r="G4140" t="str">
            <v>CB200204000600</v>
          </cell>
          <cell r="H4140">
            <v>6</v>
          </cell>
          <cell r="I4140" t="str">
            <v>--</v>
          </cell>
          <cell r="J4140">
            <v>2</v>
          </cell>
          <cell r="K4140">
            <v>3</v>
          </cell>
        </row>
        <row r="4141">
          <cell r="A4141" t="str">
            <v>M2</v>
          </cell>
          <cell r="B4141" t="str">
            <v>A5C</v>
          </cell>
          <cell r="C4141" t="str">
            <v>P</v>
          </cell>
          <cell r="D4141" t="str">
            <v>23181</v>
          </cell>
          <cell r="E4141" t="str">
            <v>WN FLG</v>
          </cell>
          <cell r="F4141">
            <v>3</v>
          </cell>
          <cell r="G4141" t="str">
            <v>CB200104000600</v>
          </cell>
          <cell r="H4141">
            <v>6</v>
          </cell>
          <cell r="I4141" t="str">
            <v>--</v>
          </cell>
          <cell r="J4141">
            <v>4</v>
          </cell>
          <cell r="K4141">
            <v>5</v>
          </cell>
        </row>
        <row r="4142">
          <cell r="A4142" t="str">
            <v>M2</v>
          </cell>
          <cell r="B4142" t="str">
            <v>A5C</v>
          </cell>
          <cell r="C4142" t="str">
            <v>P</v>
          </cell>
          <cell r="D4142" t="str">
            <v>23181</v>
          </cell>
          <cell r="E4142" t="str">
            <v>WN FLG</v>
          </cell>
          <cell r="F4142">
            <v>3</v>
          </cell>
          <cell r="G4142" t="str">
            <v>CB200104000600</v>
          </cell>
          <cell r="H4142">
            <v>6</v>
          </cell>
          <cell r="I4142" t="str">
            <v>--</v>
          </cell>
          <cell r="J4142">
            <v>1</v>
          </cell>
          <cell r="K4142">
            <v>2</v>
          </cell>
        </row>
        <row r="4143">
          <cell r="A4143" t="str">
            <v>M2</v>
          </cell>
          <cell r="B4143" t="str">
            <v>A5C</v>
          </cell>
          <cell r="C4143" t="str">
            <v>P</v>
          </cell>
          <cell r="D4143" t="str">
            <v>23083</v>
          </cell>
          <cell r="E4143" t="str">
            <v>WN FLG</v>
          </cell>
          <cell r="F4143">
            <v>3</v>
          </cell>
          <cell r="G4143" t="str">
            <v>CB200104000600</v>
          </cell>
          <cell r="H4143">
            <v>6</v>
          </cell>
          <cell r="I4143" t="str">
            <v>--</v>
          </cell>
          <cell r="J4143">
            <v>1</v>
          </cell>
          <cell r="K4143">
            <v>2</v>
          </cell>
        </row>
        <row r="4144">
          <cell r="A4144" t="str">
            <v>M2</v>
          </cell>
          <cell r="B4144" t="str">
            <v>A5C</v>
          </cell>
          <cell r="C4144" t="str">
            <v>P</v>
          </cell>
          <cell r="D4144" t="str">
            <v>23056</v>
          </cell>
          <cell r="E4144" t="str">
            <v>WN FLG</v>
          </cell>
          <cell r="F4144">
            <v>3</v>
          </cell>
          <cell r="G4144" t="str">
            <v>CB200104000600</v>
          </cell>
          <cell r="H4144">
            <v>6</v>
          </cell>
          <cell r="I4144" t="str">
            <v>--</v>
          </cell>
          <cell r="J4144">
            <v>2</v>
          </cell>
          <cell r="K4144">
            <v>3</v>
          </cell>
        </row>
        <row r="4145">
          <cell r="A4145" t="str">
            <v>M2</v>
          </cell>
          <cell r="B4145" t="str">
            <v>A5C</v>
          </cell>
          <cell r="C4145" t="str">
            <v>P</v>
          </cell>
          <cell r="D4145" t="str">
            <v>23075</v>
          </cell>
          <cell r="E4145" t="str">
            <v>WN FLG</v>
          </cell>
          <cell r="F4145">
            <v>3</v>
          </cell>
          <cell r="G4145" t="str">
            <v>CB200104000600</v>
          </cell>
          <cell r="H4145">
            <v>6</v>
          </cell>
          <cell r="I4145" t="str">
            <v>--</v>
          </cell>
          <cell r="J4145">
            <v>2</v>
          </cell>
          <cell r="K4145">
            <v>3</v>
          </cell>
        </row>
        <row r="4146">
          <cell r="A4146" t="str">
            <v>M2</v>
          </cell>
          <cell r="B4146" t="str">
            <v>A5C</v>
          </cell>
          <cell r="C4146" t="str">
            <v>P</v>
          </cell>
          <cell r="D4146" t="str">
            <v>23089</v>
          </cell>
          <cell r="E4146" t="str">
            <v>WN FLG</v>
          </cell>
          <cell r="F4146">
            <v>3</v>
          </cell>
          <cell r="G4146" t="str">
            <v>CB200104000600</v>
          </cell>
          <cell r="H4146">
            <v>6</v>
          </cell>
          <cell r="I4146" t="str">
            <v>--</v>
          </cell>
          <cell r="J4146">
            <v>2</v>
          </cell>
          <cell r="K4146">
            <v>3</v>
          </cell>
        </row>
        <row r="4147">
          <cell r="A4147" t="str">
            <v>M2</v>
          </cell>
          <cell r="B4147" t="str">
            <v>A5C</v>
          </cell>
          <cell r="C4147" t="str">
            <v>P</v>
          </cell>
          <cell r="D4147" t="str">
            <v>23090</v>
          </cell>
          <cell r="E4147" t="str">
            <v>WN FLG</v>
          </cell>
          <cell r="F4147">
            <v>3</v>
          </cell>
          <cell r="G4147" t="str">
            <v>CB200104000600</v>
          </cell>
          <cell r="H4147">
            <v>6</v>
          </cell>
          <cell r="I4147" t="str">
            <v>--</v>
          </cell>
          <cell r="J4147">
            <v>2</v>
          </cell>
          <cell r="K4147">
            <v>3</v>
          </cell>
        </row>
        <row r="4148">
          <cell r="A4148" t="str">
            <v>M2</v>
          </cell>
          <cell r="B4148" t="str">
            <v>A5C</v>
          </cell>
          <cell r="C4148" t="str">
            <v>P</v>
          </cell>
          <cell r="D4148" t="str">
            <v>23091</v>
          </cell>
          <cell r="E4148" t="str">
            <v>WN FLG</v>
          </cell>
          <cell r="F4148">
            <v>3</v>
          </cell>
          <cell r="G4148" t="str">
            <v>CB200104000600</v>
          </cell>
          <cell r="H4148">
            <v>6</v>
          </cell>
          <cell r="I4148" t="str">
            <v>--</v>
          </cell>
          <cell r="J4148">
            <v>9</v>
          </cell>
          <cell r="K4148">
            <v>11</v>
          </cell>
        </row>
        <row r="4149">
          <cell r="A4149" t="str">
            <v>M2</v>
          </cell>
          <cell r="B4149" t="str">
            <v>A5C</v>
          </cell>
          <cell r="C4149" t="str">
            <v>P</v>
          </cell>
          <cell r="D4149" t="str">
            <v>23091</v>
          </cell>
          <cell r="E4149" t="str">
            <v>WN FLG</v>
          </cell>
          <cell r="F4149">
            <v>3</v>
          </cell>
          <cell r="G4149" t="str">
            <v>CB200104000600</v>
          </cell>
          <cell r="H4149">
            <v>6</v>
          </cell>
          <cell r="I4149" t="str">
            <v>--</v>
          </cell>
          <cell r="J4149">
            <v>2</v>
          </cell>
          <cell r="K4149">
            <v>3</v>
          </cell>
        </row>
        <row r="4150">
          <cell r="A4150" t="str">
            <v>M2</v>
          </cell>
          <cell r="B4150" t="str">
            <v>A5C</v>
          </cell>
          <cell r="C4150" t="str">
            <v>P</v>
          </cell>
          <cell r="D4150" t="str">
            <v>23129</v>
          </cell>
          <cell r="E4150" t="str">
            <v>WN FLG</v>
          </cell>
          <cell r="F4150">
            <v>3</v>
          </cell>
          <cell r="G4150" t="str">
            <v>CB200104000600</v>
          </cell>
          <cell r="H4150">
            <v>6</v>
          </cell>
          <cell r="I4150" t="str">
            <v>--</v>
          </cell>
          <cell r="J4150">
            <v>2</v>
          </cell>
          <cell r="K4150">
            <v>3</v>
          </cell>
        </row>
        <row r="4151">
          <cell r="A4151" t="str">
            <v>M2</v>
          </cell>
          <cell r="B4151" t="str">
            <v>A5C</v>
          </cell>
          <cell r="C4151" t="str">
            <v>P</v>
          </cell>
          <cell r="D4151" t="str">
            <v>23130</v>
          </cell>
          <cell r="E4151" t="str">
            <v>WN FLG</v>
          </cell>
          <cell r="F4151">
            <v>3</v>
          </cell>
          <cell r="G4151" t="str">
            <v>CB200104000600</v>
          </cell>
          <cell r="H4151">
            <v>6</v>
          </cell>
          <cell r="I4151" t="str">
            <v>--</v>
          </cell>
          <cell r="J4151">
            <v>9</v>
          </cell>
          <cell r="K4151">
            <v>11</v>
          </cell>
        </row>
        <row r="4152">
          <cell r="A4152" t="str">
            <v>M2</v>
          </cell>
          <cell r="B4152" t="str">
            <v>A5C</v>
          </cell>
          <cell r="C4152" t="str">
            <v>P</v>
          </cell>
          <cell r="D4152" t="str">
            <v>23130</v>
          </cell>
          <cell r="E4152" t="str">
            <v>WN FLG</v>
          </cell>
          <cell r="F4152">
            <v>3</v>
          </cell>
          <cell r="G4152" t="str">
            <v>CB200204000600</v>
          </cell>
          <cell r="H4152">
            <v>6</v>
          </cell>
          <cell r="I4152" t="str">
            <v>--</v>
          </cell>
          <cell r="J4152">
            <v>2</v>
          </cell>
          <cell r="K4152">
            <v>3</v>
          </cell>
        </row>
        <row r="4153">
          <cell r="A4153" t="str">
            <v>M2</v>
          </cell>
          <cell r="B4153" t="str">
            <v>A5C</v>
          </cell>
          <cell r="C4153" t="str">
            <v>P</v>
          </cell>
          <cell r="D4153" t="str">
            <v>23021</v>
          </cell>
          <cell r="E4153" t="str">
            <v>WN FLG</v>
          </cell>
          <cell r="F4153">
            <v>3</v>
          </cell>
          <cell r="G4153" t="str">
            <v>CB200104000600</v>
          </cell>
          <cell r="H4153">
            <v>6</v>
          </cell>
          <cell r="I4153" t="str">
            <v>--</v>
          </cell>
          <cell r="J4153">
            <v>5</v>
          </cell>
          <cell r="K4153">
            <v>6</v>
          </cell>
        </row>
        <row r="4154">
          <cell r="A4154" t="str">
            <v>M2</v>
          </cell>
          <cell r="B4154" t="str">
            <v>A5C</v>
          </cell>
          <cell r="C4154" t="str">
            <v>P</v>
          </cell>
          <cell r="D4154" t="str">
            <v>23025</v>
          </cell>
          <cell r="E4154" t="str">
            <v>WN FLG</v>
          </cell>
          <cell r="F4154">
            <v>3</v>
          </cell>
          <cell r="G4154" t="str">
            <v>CB200104000600</v>
          </cell>
          <cell r="H4154">
            <v>6</v>
          </cell>
          <cell r="I4154" t="str">
            <v>--</v>
          </cell>
          <cell r="J4154">
            <v>2</v>
          </cell>
          <cell r="K4154">
            <v>3</v>
          </cell>
        </row>
        <row r="4155">
          <cell r="A4155" t="str">
            <v>M2</v>
          </cell>
          <cell r="B4155" t="str">
            <v>A5C</v>
          </cell>
          <cell r="C4155" t="str">
            <v>P</v>
          </cell>
          <cell r="D4155" t="str">
            <v>23026</v>
          </cell>
          <cell r="E4155" t="str">
            <v>WN FLG</v>
          </cell>
          <cell r="F4155">
            <v>3</v>
          </cell>
          <cell r="G4155" t="str">
            <v>CB200104000600</v>
          </cell>
          <cell r="H4155">
            <v>6</v>
          </cell>
          <cell r="I4155" t="str">
            <v>--</v>
          </cell>
          <cell r="J4155">
            <v>5</v>
          </cell>
          <cell r="K4155">
            <v>6</v>
          </cell>
        </row>
        <row r="4156">
          <cell r="A4156" t="str">
            <v>M2</v>
          </cell>
          <cell r="B4156" t="str">
            <v>A5C</v>
          </cell>
          <cell r="C4156" t="str">
            <v>P</v>
          </cell>
          <cell r="D4156" t="str">
            <v>23128</v>
          </cell>
          <cell r="E4156" t="str">
            <v>WN FLG</v>
          </cell>
          <cell r="F4156">
            <v>3</v>
          </cell>
          <cell r="G4156" t="str">
            <v>CB200104000600</v>
          </cell>
          <cell r="H4156">
            <v>6</v>
          </cell>
          <cell r="I4156" t="str">
            <v>--</v>
          </cell>
          <cell r="J4156">
            <v>2</v>
          </cell>
          <cell r="K4156">
            <v>3</v>
          </cell>
        </row>
        <row r="4157">
          <cell r="A4157" t="str">
            <v>M2</v>
          </cell>
          <cell r="B4157" t="str">
            <v>A5C</v>
          </cell>
          <cell r="C4157" t="str">
            <v>P</v>
          </cell>
          <cell r="D4157" t="str">
            <v>23221</v>
          </cell>
          <cell r="E4157" t="str">
            <v>WN FLG</v>
          </cell>
          <cell r="F4157">
            <v>3</v>
          </cell>
          <cell r="G4157" t="str">
            <v>CB200104000600</v>
          </cell>
          <cell r="H4157">
            <v>6</v>
          </cell>
          <cell r="I4157" t="str">
            <v>--</v>
          </cell>
          <cell r="J4157">
            <v>5</v>
          </cell>
          <cell r="K4157">
            <v>6</v>
          </cell>
        </row>
        <row r="4158">
          <cell r="A4158" t="str">
            <v>M2</v>
          </cell>
          <cell r="B4158" t="str">
            <v>A5C</v>
          </cell>
          <cell r="C4158" t="str">
            <v>P</v>
          </cell>
          <cell r="D4158" t="str">
            <v>23221</v>
          </cell>
          <cell r="E4158" t="str">
            <v>WN FLG</v>
          </cell>
          <cell r="F4158">
            <v>3</v>
          </cell>
          <cell r="G4158" t="str">
            <v>CB200104000600</v>
          </cell>
          <cell r="H4158">
            <v>6</v>
          </cell>
          <cell r="I4158" t="str">
            <v>--</v>
          </cell>
          <cell r="J4158">
            <v>2</v>
          </cell>
          <cell r="K4158">
            <v>3</v>
          </cell>
        </row>
        <row r="4159">
          <cell r="A4159" t="str">
            <v>M2</v>
          </cell>
          <cell r="B4159" t="str">
            <v>A5C</v>
          </cell>
          <cell r="C4159" t="str">
            <v>P</v>
          </cell>
          <cell r="D4159" t="str">
            <v>23244</v>
          </cell>
          <cell r="E4159" t="str">
            <v>WN FLG</v>
          </cell>
          <cell r="F4159">
            <v>3</v>
          </cell>
          <cell r="G4159" t="str">
            <v>CB200204000600</v>
          </cell>
          <cell r="H4159">
            <v>6</v>
          </cell>
          <cell r="I4159" t="str">
            <v>--</v>
          </cell>
          <cell r="J4159">
            <v>2</v>
          </cell>
          <cell r="K4159">
            <v>3</v>
          </cell>
        </row>
        <row r="4160">
          <cell r="A4160" t="str">
            <v>M2</v>
          </cell>
          <cell r="B4160" t="str">
            <v>A5C</v>
          </cell>
          <cell r="C4160" t="str">
            <v>P</v>
          </cell>
          <cell r="D4160" t="str">
            <v>23244</v>
          </cell>
          <cell r="E4160" t="str">
            <v>WN FLG</v>
          </cell>
          <cell r="F4160">
            <v>3</v>
          </cell>
          <cell r="G4160" t="str">
            <v>CB200104000600</v>
          </cell>
          <cell r="H4160">
            <v>6</v>
          </cell>
          <cell r="I4160" t="str">
            <v>--</v>
          </cell>
          <cell r="J4160">
            <v>5</v>
          </cell>
          <cell r="K4160">
            <v>6</v>
          </cell>
        </row>
        <row r="4161">
          <cell r="A4161" t="str">
            <v>M2</v>
          </cell>
          <cell r="B4161" t="str">
            <v>A5C</v>
          </cell>
          <cell r="C4161" t="str">
            <v>P</v>
          </cell>
          <cell r="D4161" t="str">
            <v>23046</v>
          </cell>
          <cell r="E4161" t="str">
            <v>WN FLG</v>
          </cell>
          <cell r="F4161">
            <v>3</v>
          </cell>
          <cell r="G4161" t="str">
            <v>CB200104000800</v>
          </cell>
          <cell r="H4161">
            <v>8</v>
          </cell>
          <cell r="I4161" t="str">
            <v>--</v>
          </cell>
          <cell r="J4161">
            <v>2</v>
          </cell>
          <cell r="K4161">
            <v>3</v>
          </cell>
        </row>
        <row r="4162">
          <cell r="A4162" t="str">
            <v>M2</v>
          </cell>
          <cell r="B4162" t="str">
            <v>A5C</v>
          </cell>
          <cell r="C4162" t="str">
            <v>P</v>
          </cell>
          <cell r="D4162" t="str">
            <v>23046</v>
          </cell>
          <cell r="E4162" t="str">
            <v>WN FLG</v>
          </cell>
          <cell r="F4162">
            <v>3</v>
          </cell>
          <cell r="G4162" t="str">
            <v>CB200204000800</v>
          </cell>
          <cell r="H4162">
            <v>8</v>
          </cell>
          <cell r="I4162" t="str">
            <v>--</v>
          </cell>
          <cell r="J4162">
            <v>2</v>
          </cell>
          <cell r="K4162">
            <v>3</v>
          </cell>
        </row>
        <row r="4163">
          <cell r="A4163" t="str">
            <v>M2</v>
          </cell>
          <cell r="B4163" t="str">
            <v>A5C</v>
          </cell>
          <cell r="C4163" t="str">
            <v>P</v>
          </cell>
          <cell r="D4163" t="str">
            <v>23067</v>
          </cell>
          <cell r="E4163" t="str">
            <v>WN FLG</v>
          </cell>
          <cell r="F4163">
            <v>3</v>
          </cell>
          <cell r="G4163" t="str">
            <v>CB200104000800</v>
          </cell>
          <cell r="H4163">
            <v>8</v>
          </cell>
          <cell r="I4163" t="str">
            <v>--</v>
          </cell>
          <cell r="J4163">
            <v>2</v>
          </cell>
          <cell r="K4163">
            <v>3</v>
          </cell>
        </row>
        <row r="4164">
          <cell r="A4164" t="str">
            <v>M2</v>
          </cell>
          <cell r="B4164" t="str">
            <v>A5C</v>
          </cell>
          <cell r="C4164" t="str">
            <v>P</v>
          </cell>
          <cell r="D4164" t="str">
            <v>23126</v>
          </cell>
          <cell r="E4164" t="str">
            <v>WN FLG</v>
          </cell>
          <cell r="F4164">
            <v>3</v>
          </cell>
          <cell r="G4164" t="str">
            <v>CB200104000800</v>
          </cell>
          <cell r="H4164">
            <v>8</v>
          </cell>
          <cell r="I4164" t="str">
            <v>--</v>
          </cell>
          <cell r="J4164">
            <v>2</v>
          </cell>
          <cell r="K4164">
            <v>3</v>
          </cell>
        </row>
        <row r="4165">
          <cell r="A4165" t="str">
            <v>M2</v>
          </cell>
          <cell r="B4165" t="str">
            <v>A5C</v>
          </cell>
          <cell r="C4165" t="str">
            <v>P</v>
          </cell>
          <cell r="D4165" t="str">
            <v>23160</v>
          </cell>
          <cell r="E4165" t="str">
            <v>WN FLG</v>
          </cell>
          <cell r="F4165">
            <v>3</v>
          </cell>
          <cell r="G4165" t="str">
            <v>CB200104000800</v>
          </cell>
          <cell r="H4165">
            <v>8</v>
          </cell>
          <cell r="I4165" t="str">
            <v>--</v>
          </cell>
          <cell r="J4165">
            <v>5</v>
          </cell>
          <cell r="K4165">
            <v>6</v>
          </cell>
        </row>
        <row r="4166">
          <cell r="A4166" t="str">
            <v>M2</v>
          </cell>
          <cell r="B4166" t="str">
            <v>A5C</v>
          </cell>
          <cell r="C4166" t="str">
            <v>P</v>
          </cell>
          <cell r="D4166" t="str">
            <v>23089</v>
          </cell>
          <cell r="E4166" t="str">
            <v>WN FLG</v>
          </cell>
          <cell r="F4166">
            <v>3</v>
          </cell>
          <cell r="G4166" t="str">
            <v>CB200104000800</v>
          </cell>
          <cell r="H4166">
            <v>8</v>
          </cell>
          <cell r="I4166" t="str">
            <v>--</v>
          </cell>
          <cell r="J4166">
            <v>5</v>
          </cell>
          <cell r="K4166">
            <v>6</v>
          </cell>
        </row>
        <row r="4167">
          <cell r="A4167" t="str">
            <v>M2</v>
          </cell>
          <cell r="B4167" t="str">
            <v>A5C</v>
          </cell>
          <cell r="C4167" t="str">
            <v>P</v>
          </cell>
          <cell r="D4167" t="str">
            <v>23093</v>
          </cell>
          <cell r="E4167" t="str">
            <v>WN FLG</v>
          </cell>
          <cell r="F4167">
            <v>3</v>
          </cell>
          <cell r="G4167" t="str">
            <v>CB200104000800</v>
          </cell>
          <cell r="H4167">
            <v>8</v>
          </cell>
          <cell r="I4167" t="str">
            <v>--</v>
          </cell>
          <cell r="J4167">
            <v>2</v>
          </cell>
          <cell r="K4167">
            <v>3</v>
          </cell>
        </row>
        <row r="4168">
          <cell r="A4168" t="str">
            <v>M2</v>
          </cell>
          <cell r="B4168" t="str">
            <v>A5C</v>
          </cell>
          <cell r="C4168" t="str">
            <v>P</v>
          </cell>
          <cell r="D4168" t="str">
            <v>23128</v>
          </cell>
          <cell r="E4168" t="str">
            <v>WN FLG</v>
          </cell>
          <cell r="F4168">
            <v>3</v>
          </cell>
          <cell r="G4168" t="str">
            <v>CB200104000800</v>
          </cell>
          <cell r="H4168">
            <v>8</v>
          </cell>
          <cell r="I4168" t="str">
            <v>--</v>
          </cell>
          <cell r="J4168">
            <v>5</v>
          </cell>
          <cell r="K4168">
            <v>6</v>
          </cell>
        </row>
        <row r="4169">
          <cell r="A4169" t="str">
            <v>M2</v>
          </cell>
          <cell r="B4169" t="str">
            <v>A5C</v>
          </cell>
          <cell r="C4169" t="str">
            <v>P</v>
          </cell>
          <cell r="D4169" t="str">
            <v>23132</v>
          </cell>
          <cell r="E4169" t="str">
            <v>WN FLG</v>
          </cell>
          <cell r="F4169">
            <v>3</v>
          </cell>
          <cell r="G4169" t="str">
            <v>CB200104000800</v>
          </cell>
          <cell r="H4169">
            <v>8</v>
          </cell>
          <cell r="I4169" t="str">
            <v>--</v>
          </cell>
          <cell r="J4169">
            <v>2</v>
          </cell>
          <cell r="K4169">
            <v>3</v>
          </cell>
        </row>
        <row r="4170">
          <cell r="A4170" t="str">
            <v>M2</v>
          </cell>
          <cell r="B4170" t="str">
            <v>A5C</v>
          </cell>
          <cell r="C4170" t="str">
            <v>P</v>
          </cell>
          <cell r="D4170" t="str">
            <v>23010</v>
          </cell>
          <cell r="E4170" t="str">
            <v>WN FLG</v>
          </cell>
          <cell r="F4170">
            <v>3</v>
          </cell>
          <cell r="G4170" t="str">
            <v>CB200104000800</v>
          </cell>
          <cell r="H4170">
            <v>8</v>
          </cell>
          <cell r="I4170" t="str">
            <v>--</v>
          </cell>
          <cell r="J4170">
            <v>2</v>
          </cell>
          <cell r="K4170">
            <v>3</v>
          </cell>
        </row>
        <row r="4171">
          <cell r="A4171" t="str">
            <v>M2</v>
          </cell>
          <cell r="B4171" t="str">
            <v>A5C</v>
          </cell>
          <cell r="C4171" t="str">
            <v>P</v>
          </cell>
          <cell r="D4171" t="str">
            <v>23011</v>
          </cell>
          <cell r="E4171" t="str">
            <v>WN FLG</v>
          </cell>
          <cell r="F4171">
            <v>3</v>
          </cell>
          <cell r="G4171" t="str">
            <v>CB200204001000</v>
          </cell>
          <cell r="H4171">
            <v>10</v>
          </cell>
          <cell r="I4171" t="str">
            <v>--</v>
          </cell>
          <cell r="J4171">
            <v>2</v>
          </cell>
          <cell r="K4171">
            <v>3</v>
          </cell>
        </row>
        <row r="4172">
          <cell r="A4172" t="str">
            <v>M2</v>
          </cell>
          <cell r="B4172" t="str">
            <v>A5C</v>
          </cell>
          <cell r="C4172" t="str">
            <v>P</v>
          </cell>
          <cell r="D4172" t="str">
            <v>23011</v>
          </cell>
          <cell r="E4172" t="str">
            <v>WN FLG</v>
          </cell>
          <cell r="F4172">
            <v>3</v>
          </cell>
          <cell r="G4172" t="str">
            <v>CB200104001000</v>
          </cell>
          <cell r="H4172">
            <v>10</v>
          </cell>
          <cell r="I4172" t="str">
            <v>--</v>
          </cell>
          <cell r="J4172">
            <v>2</v>
          </cell>
          <cell r="K4172">
            <v>3</v>
          </cell>
        </row>
        <row r="4173">
          <cell r="A4173" t="str">
            <v>M2</v>
          </cell>
          <cell r="B4173" t="str">
            <v>A5C</v>
          </cell>
          <cell r="C4173" t="str">
            <v>P</v>
          </cell>
          <cell r="D4173" t="str">
            <v>23023</v>
          </cell>
          <cell r="E4173" t="str">
            <v>WN FLG</v>
          </cell>
          <cell r="F4173">
            <v>3</v>
          </cell>
          <cell r="G4173" t="str">
            <v>CB200104001000</v>
          </cell>
          <cell r="H4173">
            <v>10</v>
          </cell>
          <cell r="I4173" t="str">
            <v>--</v>
          </cell>
          <cell r="J4173">
            <v>4</v>
          </cell>
          <cell r="K4173">
            <v>5</v>
          </cell>
        </row>
        <row r="4174">
          <cell r="A4174" t="str">
            <v>M2</v>
          </cell>
          <cell r="B4174" t="str">
            <v>A5C</v>
          </cell>
          <cell r="C4174" t="str">
            <v>P</v>
          </cell>
          <cell r="D4174" t="str">
            <v>23057</v>
          </cell>
          <cell r="E4174" t="str">
            <v>WN FLG</v>
          </cell>
          <cell r="F4174">
            <v>3</v>
          </cell>
          <cell r="G4174" t="str">
            <v>CB200104001000</v>
          </cell>
          <cell r="H4174">
            <v>10</v>
          </cell>
          <cell r="I4174" t="str">
            <v>--</v>
          </cell>
          <cell r="J4174">
            <v>2</v>
          </cell>
          <cell r="K4174">
            <v>3</v>
          </cell>
        </row>
        <row r="4175">
          <cell r="A4175" t="str">
            <v>M2</v>
          </cell>
          <cell r="B4175" t="str">
            <v>A5C</v>
          </cell>
          <cell r="C4175" t="str">
            <v>P</v>
          </cell>
          <cell r="D4175" t="str">
            <v>23057</v>
          </cell>
          <cell r="E4175" t="str">
            <v>WN FLG</v>
          </cell>
          <cell r="F4175">
            <v>3</v>
          </cell>
          <cell r="G4175" t="str">
            <v>CB200204001000</v>
          </cell>
          <cell r="H4175">
            <v>10</v>
          </cell>
          <cell r="I4175" t="str">
            <v>--</v>
          </cell>
          <cell r="J4175">
            <v>2</v>
          </cell>
          <cell r="K4175">
            <v>3</v>
          </cell>
        </row>
        <row r="4176">
          <cell r="A4176" t="str">
            <v>M2</v>
          </cell>
          <cell r="B4176" t="str">
            <v>A5C</v>
          </cell>
          <cell r="C4176" t="str">
            <v>P</v>
          </cell>
          <cell r="D4176" t="str">
            <v>23049</v>
          </cell>
          <cell r="E4176" t="str">
            <v>WN FLG</v>
          </cell>
          <cell r="F4176">
            <v>3</v>
          </cell>
          <cell r="G4176" t="str">
            <v>CB200104001000</v>
          </cell>
          <cell r="H4176">
            <v>10</v>
          </cell>
          <cell r="I4176" t="str">
            <v>--</v>
          </cell>
          <cell r="J4176">
            <v>2</v>
          </cell>
          <cell r="K4176">
            <v>3</v>
          </cell>
        </row>
        <row r="4177">
          <cell r="A4177" t="str">
            <v>M2</v>
          </cell>
          <cell r="B4177" t="str">
            <v>A5C</v>
          </cell>
          <cell r="C4177" t="str">
            <v>P</v>
          </cell>
          <cell r="D4177" t="str">
            <v>23060</v>
          </cell>
          <cell r="E4177" t="str">
            <v>WN FLG</v>
          </cell>
          <cell r="F4177">
            <v>3</v>
          </cell>
          <cell r="G4177" t="str">
            <v>CB200104001000</v>
          </cell>
          <cell r="H4177">
            <v>10</v>
          </cell>
          <cell r="I4177" t="str">
            <v>--</v>
          </cell>
          <cell r="J4177">
            <v>2</v>
          </cell>
          <cell r="K4177">
            <v>3</v>
          </cell>
        </row>
        <row r="4178">
          <cell r="A4178" t="str">
            <v>M2</v>
          </cell>
          <cell r="B4178" t="str">
            <v>A5C</v>
          </cell>
          <cell r="C4178" t="str">
            <v>P</v>
          </cell>
          <cell r="D4178" t="str">
            <v>23022</v>
          </cell>
          <cell r="E4178" t="str">
            <v>WN FLG</v>
          </cell>
          <cell r="F4178">
            <v>3</v>
          </cell>
          <cell r="G4178" t="str">
            <v>CB200204001200</v>
          </cell>
          <cell r="H4178">
            <v>12</v>
          </cell>
          <cell r="I4178" t="str">
            <v>--</v>
          </cell>
          <cell r="J4178">
            <v>2</v>
          </cell>
          <cell r="K4178">
            <v>3</v>
          </cell>
        </row>
        <row r="4179">
          <cell r="A4179" t="str">
            <v>M2</v>
          </cell>
          <cell r="B4179" t="str">
            <v>A5C</v>
          </cell>
          <cell r="C4179" t="str">
            <v>P</v>
          </cell>
          <cell r="D4179" t="str">
            <v>23031</v>
          </cell>
          <cell r="E4179" t="str">
            <v>WN FLG</v>
          </cell>
          <cell r="F4179">
            <v>3</v>
          </cell>
          <cell r="G4179" t="str">
            <v>CB200104001200</v>
          </cell>
          <cell r="H4179">
            <v>12</v>
          </cell>
          <cell r="I4179" t="str">
            <v>--</v>
          </cell>
          <cell r="J4179">
            <v>1</v>
          </cell>
          <cell r="K4179">
            <v>2</v>
          </cell>
        </row>
        <row r="4180">
          <cell r="A4180" t="str">
            <v>M2</v>
          </cell>
          <cell r="B4180" t="str">
            <v>A5C</v>
          </cell>
          <cell r="C4180" t="str">
            <v>P</v>
          </cell>
          <cell r="D4180" t="str">
            <v>23015</v>
          </cell>
          <cell r="E4180" t="str">
            <v>WN FLG</v>
          </cell>
          <cell r="F4180">
            <v>3</v>
          </cell>
          <cell r="G4180" t="str">
            <v>CB200104001200</v>
          </cell>
          <cell r="H4180">
            <v>12</v>
          </cell>
          <cell r="I4180" t="str">
            <v>--</v>
          </cell>
          <cell r="J4180">
            <v>1</v>
          </cell>
          <cell r="K4180">
            <v>2</v>
          </cell>
        </row>
        <row r="4181">
          <cell r="A4181" t="str">
            <v>M2</v>
          </cell>
          <cell r="B4181" t="str">
            <v>A5C</v>
          </cell>
          <cell r="C4181" t="str">
            <v>P</v>
          </cell>
          <cell r="D4181" t="str">
            <v>23032</v>
          </cell>
          <cell r="E4181" t="str">
            <v>WN FLG</v>
          </cell>
          <cell r="F4181">
            <v>3</v>
          </cell>
          <cell r="G4181" t="str">
            <v>CB200104001600</v>
          </cell>
          <cell r="H4181">
            <v>16</v>
          </cell>
          <cell r="I4181" t="str">
            <v>--</v>
          </cell>
          <cell r="J4181">
            <v>2</v>
          </cell>
          <cell r="K4181">
            <v>2</v>
          </cell>
        </row>
        <row r="4182">
          <cell r="A4182" t="str">
            <v>M2</v>
          </cell>
          <cell r="B4182" t="str">
            <v>A5C</v>
          </cell>
          <cell r="C4182" t="str">
            <v>P</v>
          </cell>
          <cell r="D4182" t="str">
            <v>23022</v>
          </cell>
          <cell r="E4182" t="str">
            <v>WN FLG</v>
          </cell>
          <cell r="F4182">
            <v>3</v>
          </cell>
          <cell r="G4182" t="str">
            <v>CB200104001800</v>
          </cell>
          <cell r="H4182">
            <v>18</v>
          </cell>
          <cell r="I4182" t="str">
            <v>--</v>
          </cell>
          <cell r="J4182">
            <v>1</v>
          </cell>
          <cell r="K4182">
            <v>1</v>
          </cell>
        </row>
        <row r="4183">
          <cell r="A4183" t="str">
            <v>M2</v>
          </cell>
          <cell r="B4183" t="str">
            <v>A5C</v>
          </cell>
          <cell r="C4183" t="str">
            <v>P</v>
          </cell>
          <cell r="D4183" t="str">
            <v>23022</v>
          </cell>
          <cell r="E4183" t="str">
            <v>WN FLG</v>
          </cell>
          <cell r="F4183">
            <v>3</v>
          </cell>
          <cell r="G4183" t="str">
            <v>CB200104002000</v>
          </cell>
          <cell r="H4183">
            <v>20</v>
          </cell>
          <cell r="I4183" t="str">
            <v>--</v>
          </cell>
          <cell r="J4183">
            <v>1</v>
          </cell>
          <cell r="K4183">
            <v>1</v>
          </cell>
        </row>
        <row r="4184">
          <cell r="A4184" t="str">
            <v>M2</v>
          </cell>
          <cell r="B4184" t="str">
            <v>A5C</v>
          </cell>
          <cell r="C4184" t="str">
            <v>P</v>
          </cell>
          <cell r="D4184" t="str">
            <v>23034</v>
          </cell>
          <cell r="E4184" t="str">
            <v>WN FLG</v>
          </cell>
          <cell r="F4184">
            <v>3</v>
          </cell>
          <cell r="G4184" t="str">
            <v>CB200104002000</v>
          </cell>
          <cell r="H4184">
            <v>20</v>
          </cell>
          <cell r="I4184" t="str">
            <v>--</v>
          </cell>
          <cell r="J4184">
            <v>1</v>
          </cell>
          <cell r="K4184">
            <v>1</v>
          </cell>
        </row>
        <row r="4185">
          <cell r="A4185" t="str">
            <v>M2</v>
          </cell>
          <cell r="B4185" t="str">
            <v>B2C</v>
          </cell>
          <cell r="C4185" t="str">
            <v>SH</v>
          </cell>
          <cell r="D4185" t="str">
            <v>23601</v>
          </cell>
          <cell r="E4185" t="str">
            <v>GATE VA</v>
          </cell>
          <cell r="F4185">
            <v>6</v>
          </cell>
          <cell r="G4185" t="str">
            <v>VG8010400000H00</v>
          </cell>
          <cell r="H4185">
            <v>0.5</v>
          </cell>
          <cell r="I4185" t="str">
            <v>--</v>
          </cell>
          <cell r="J4185">
            <v>2</v>
          </cell>
          <cell r="K4185">
            <v>2</v>
          </cell>
        </row>
        <row r="4186">
          <cell r="A4186" t="str">
            <v>M2</v>
          </cell>
          <cell r="B4186" t="str">
            <v>B2C</v>
          </cell>
          <cell r="C4186" t="str">
            <v>SH</v>
          </cell>
          <cell r="D4186" t="str">
            <v>23612</v>
          </cell>
          <cell r="E4186" t="str">
            <v>GATE VA</v>
          </cell>
          <cell r="F4186">
            <v>6</v>
          </cell>
          <cell r="G4186" t="str">
            <v>VG8010400000H00</v>
          </cell>
          <cell r="H4186">
            <v>0.5</v>
          </cell>
          <cell r="I4186" t="str">
            <v>--</v>
          </cell>
          <cell r="J4186">
            <v>2</v>
          </cell>
          <cell r="K4186">
            <v>2</v>
          </cell>
        </row>
        <row r="4187">
          <cell r="A4187" t="str">
            <v>M2</v>
          </cell>
          <cell r="B4187" t="str">
            <v>A5C</v>
          </cell>
          <cell r="C4187" t="str">
            <v>P</v>
          </cell>
          <cell r="D4187" t="str">
            <v>23081</v>
          </cell>
          <cell r="E4187" t="str">
            <v>BALL VA</v>
          </cell>
          <cell r="F4187">
            <v>6</v>
          </cell>
          <cell r="G4187" t="str">
            <v>VB8010600000H00</v>
          </cell>
          <cell r="H4187">
            <v>0.5</v>
          </cell>
          <cell r="I4187" t="str">
            <v>--</v>
          </cell>
          <cell r="J4187">
            <v>2</v>
          </cell>
          <cell r="K4187">
            <v>2</v>
          </cell>
        </row>
        <row r="4188">
          <cell r="A4188" t="str">
            <v>M2</v>
          </cell>
          <cell r="B4188" t="str">
            <v>A5C</v>
          </cell>
          <cell r="C4188" t="str">
            <v>P</v>
          </cell>
          <cell r="D4188" t="str">
            <v>23085</v>
          </cell>
          <cell r="E4188" t="str">
            <v>BALL VA</v>
          </cell>
          <cell r="F4188">
            <v>6</v>
          </cell>
          <cell r="G4188" t="str">
            <v>VB8010600000H00</v>
          </cell>
          <cell r="H4188">
            <v>0.5</v>
          </cell>
          <cell r="I4188" t="str">
            <v>--</v>
          </cell>
          <cell r="J4188">
            <v>2</v>
          </cell>
          <cell r="K4188">
            <v>2</v>
          </cell>
        </row>
        <row r="4189">
          <cell r="A4189" t="str">
            <v>M2</v>
          </cell>
          <cell r="B4189" t="str">
            <v>A5C</v>
          </cell>
          <cell r="C4189" t="str">
            <v>P</v>
          </cell>
          <cell r="D4189" t="str">
            <v>23094</v>
          </cell>
          <cell r="E4189" t="str">
            <v>BALL VA</v>
          </cell>
          <cell r="F4189">
            <v>6</v>
          </cell>
          <cell r="G4189" t="str">
            <v>VB8010600000H00</v>
          </cell>
          <cell r="H4189">
            <v>0.5</v>
          </cell>
          <cell r="I4189" t="str">
            <v>--</v>
          </cell>
          <cell r="J4189">
            <v>2</v>
          </cell>
          <cell r="K4189">
            <v>2</v>
          </cell>
        </row>
        <row r="4190">
          <cell r="A4190" t="str">
            <v>M2</v>
          </cell>
          <cell r="B4190" t="str">
            <v>A5C</v>
          </cell>
          <cell r="C4190" t="str">
            <v>P</v>
          </cell>
          <cell r="D4190" t="str">
            <v>23096</v>
          </cell>
          <cell r="E4190" t="str">
            <v>BALL VA</v>
          </cell>
          <cell r="F4190">
            <v>6</v>
          </cell>
          <cell r="G4190" t="str">
            <v>VB8010600000H00</v>
          </cell>
          <cell r="H4190">
            <v>0.5</v>
          </cell>
          <cell r="I4190" t="str">
            <v>--</v>
          </cell>
          <cell r="J4190">
            <v>2</v>
          </cell>
          <cell r="K4190">
            <v>2</v>
          </cell>
        </row>
        <row r="4191">
          <cell r="A4191" t="str">
            <v>M2</v>
          </cell>
          <cell r="B4191" t="str">
            <v>A5C</v>
          </cell>
          <cell r="C4191" t="str">
            <v>P</v>
          </cell>
          <cell r="D4191" t="str">
            <v>23113</v>
          </cell>
          <cell r="E4191" t="str">
            <v>BALL VA</v>
          </cell>
          <cell r="F4191">
            <v>6</v>
          </cell>
          <cell r="G4191" t="str">
            <v>VB8010600000H00</v>
          </cell>
          <cell r="H4191">
            <v>0.5</v>
          </cell>
          <cell r="I4191" t="str">
            <v>--</v>
          </cell>
          <cell r="J4191">
            <v>2</v>
          </cell>
          <cell r="K4191">
            <v>2</v>
          </cell>
        </row>
        <row r="4192">
          <cell r="A4192" t="str">
            <v>M2</v>
          </cell>
          <cell r="B4192" t="str">
            <v>A5C</v>
          </cell>
          <cell r="C4192" t="str">
            <v>P</v>
          </cell>
          <cell r="D4192" t="str">
            <v>23225</v>
          </cell>
          <cell r="E4192" t="str">
            <v>BALL VA</v>
          </cell>
          <cell r="F4192">
            <v>6</v>
          </cell>
          <cell r="G4192" t="str">
            <v>VB8010600000H00</v>
          </cell>
          <cell r="H4192">
            <v>0.5</v>
          </cell>
          <cell r="I4192" t="str">
            <v>--</v>
          </cell>
          <cell r="J4192">
            <v>2</v>
          </cell>
          <cell r="K4192">
            <v>2</v>
          </cell>
        </row>
        <row r="4193">
          <cell r="A4193" t="str">
            <v>M2</v>
          </cell>
          <cell r="B4193" t="str">
            <v>A5C</v>
          </cell>
          <cell r="C4193" t="str">
            <v>P</v>
          </cell>
          <cell r="D4193" t="str">
            <v>23247</v>
          </cell>
          <cell r="E4193" t="str">
            <v>BALL VA</v>
          </cell>
          <cell r="F4193">
            <v>6</v>
          </cell>
          <cell r="G4193" t="str">
            <v>VB8010600000H00</v>
          </cell>
          <cell r="H4193">
            <v>0.5</v>
          </cell>
          <cell r="I4193" t="str">
            <v>--</v>
          </cell>
          <cell r="J4193">
            <v>2</v>
          </cell>
          <cell r="K4193">
            <v>2</v>
          </cell>
        </row>
        <row r="4194">
          <cell r="A4194" t="str">
            <v>M2</v>
          </cell>
          <cell r="B4194" t="str">
            <v>A5C</v>
          </cell>
          <cell r="C4194" t="str">
            <v>P</v>
          </cell>
          <cell r="D4194" t="str">
            <v>24008</v>
          </cell>
          <cell r="E4194" t="str">
            <v>BALL VA</v>
          </cell>
          <cell r="F4194">
            <v>6</v>
          </cell>
          <cell r="G4194" t="str">
            <v>VB8010600000H00</v>
          </cell>
          <cell r="H4194">
            <v>0.5</v>
          </cell>
          <cell r="I4194" t="str">
            <v>--</v>
          </cell>
          <cell r="J4194">
            <v>2</v>
          </cell>
          <cell r="K4194">
            <v>2</v>
          </cell>
        </row>
        <row r="4195">
          <cell r="A4195" t="str">
            <v>M2</v>
          </cell>
          <cell r="B4195" t="str">
            <v>A5C</v>
          </cell>
          <cell r="C4195" t="str">
            <v>P</v>
          </cell>
          <cell r="D4195" t="str">
            <v>24024</v>
          </cell>
          <cell r="E4195" t="str">
            <v>BALL VA</v>
          </cell>
          <cell r="F4195">
            <v>6</v>
          </cell>
          <cell r="G4195" t="str">
            <v>VB8010600000H00</v>
          </cell>
          <cell r="H4195">
            <v>0.5</v>
          </cell>
          <cell r="I4195" t="str">
            <v>--</v>
          </cell>
          <cell r="J4195">
            <v>2</v>
          </cell>
          <cell r="K4195">
            <v>2</v>
          </cell>
        </row>
        <row r="4196">
          <cell r="A4196" t="str">
            <v>M2</v>
          </cell>
          <cell r="B4196" t="str">
            <v>A5C</v>
          </cell>
          <cell r="C4196" t="str">
            <v>P</v>
          </cell>
          <cell r="D4196" t="str">
            <v>23006</v>
          </cell>
          <cell r="E4196" t="str">
            <v>BALL VA</v>
          </cell>
          <cell r="F4196">
            <v>6</v>
          </cell>
          <cell r="G4196" t="str">
            <v>VB8010600000H00</v>
          </cell>
          <cell r="H4196">
            <v>0.5</v>
          </cell>
          <cell r="I4196" t="str">
            <v>--</v>
          </cell>
          <cell r="J4196">
            <v>2</v>
          </cell>
          <cell r="K4196">
            <v>2</v>
          </cell>
        </row>
        <row r="4197">
          <cell r="A4197" t="str">
            <v>M2</v>
          </cell>
          <cell r="B4197" t="str">
            <v>A5C</v>
          </cell>
          <cell r="C4197" t="str">
            <v>P</v>
          </cell>
          <cell r="D4197" t="str">
            <v>23124</v>
          </cell>
          <cell r="E4197" t="str">
            <v>BALL VA</v>
          </cell>
          <cell r="F4197">
            <v>6</v>
          </cell>
          <cell r="G4197" t="str">
            <v>VB8010600000H00</v>
          </cell>
          <cell r="H4197">
            <v>0.5</v>
          </cell>
          <cell r="I4197" t="str">
            <v>--</v>
          </cell>
          <cell r="J4197">
            <v>2</v>
          </cell>
          <cell r="K4197">
            <v>2</v>
          </cell>
        </row>
        <row r="4198">
          <cell r="A4198" t="str">
            <v>M2</v>
          </cell>
          <cell r="B4198" t="str">
            <v>A5C</v>
          </cell>
          <cell r="C4198" t="str">
            <v>P</v>
          </cell>
          <cell r="D4198" t="str">
            <v>23094</v>
          </cell>
          <cell r="E4198" t="str">
            <v>GLOBE VA</v>
          </cell>
          <cell r="F4198">
            <v>6</v>
          </cell>
          <cell r="G4198" t="str">
            <v>VL8010100000H00</v>
          </cell>
          <cell r="H4198">
            <v>0.5</v>
          </cell>
          <cell r="I4198" t="str">
            <v>--</v>
          </cell>
          <cell r="J4198">
            <v>1</v>
          </cell>
          <cell r="K4198">
            <v>1</v>
          </cell>
        </row>
        <row r="4199">
          <cell r="A4199" t="str">
            <v>M2</v>
          </cell>
          <cell r="B4199" t="str">
            <v>A5C</v>
          </cell>
          <cell r="C4199" t="str">
            <v>P</v>
          </cell>
          <cell r="D4199" t="str">
            <v>23113</v>
          </cell>
          <cell r="E4199" t="str">
            <v>GLOBE VA</v>
          </cell>
          <cell r="F4199">
            <v>6</v>
          </cell>
          <cell r="G4199" t="str">
            <v>VL8010100000H00</v>
          </cell>
          <cell r="H4199">
            <v>0.5</v>
          </cell>
          <cell r="I4199" t="str">
            <v>--</v>
          </cell>
          <cell r="J4199">
            <v>1</v>
          </cell>
          <cell r="K4199">
            <v>1</v>
          </cell>
        </row>
        <row r="4200">
          <cell r="A4200" t="str">
            <v>M2</v>
          </cell>
          <cell r="B4200" t="str">
            <v>A5C</v>
          </cell>
          <cell r="C4200" t="str">
            <v>P</v>
          </cell>
          <cell r="D4200" t="str">
            <v>23059</v>
          </cell>
          <cell r="E4200" t="str">
            <v>BALL VA</v>
          </cell>
          <cell r="F4200">
            <v>6</v>
          </cell>
          <cell r="G4200" t="str">
            <v>VB8010600000H00</v>
          </cell>
          <cell r="H4200">
            <v>0.5</v>
          </cell>
          <cell r="I4200" t="str">
            <v>--</v>
          </cell>
          <cell r="J4200">
            <v>2</v>
          </cell>
          <cell r="K4200">
            <v>2</v>
          </cell>
        </row>
        <row r="4201">
          <cell r="A4201" t="str">
            <v>M2</v>
          </cell>
          <cell r="B4201" t="str">
            <v>A5C</v>
          </cell>
          <cell r="C4201" t="str">
            <v>P</v>
          </cell>
          <cell r="D4201" t="str">
            <v>23019</v>
          </cell>
          <cell r="E4201" t="str">
            <v>BALL VA</v>
          </cell>
          <cell r="F4201">
            <v>6</v>
          </cell>
          <cell r="G4201" t="str">
            <v>VB8010600000H00</v>
          </cell>
          <cell r="H4201">
            <v>0.5</v>
          </cell>
          <cell r="I4201" t="str">
            <v>--</v>
          </cell>
          <cell r="J4201">
            <v>2</v>
          </cell>
          <cell r="K4201">
            <v>2</v>
          </cell>
        </row>
        <row r="4202">
          <cell r="A4202" t="str">
            <v>M2</v>
          </cell>
          <cell r="B4202" t="str">
            <v>A5C</v>
          </cell>
          <cell r="C4202" t="str">
            <v>P</v>
          </cell>
          <cell r="D4202" t="str">
            <v>23024</v>
          </cell>
          <cell r="E4202" t="str">
            <v>BALL VA</v>
          </cell>
          <cell r="F4202">
            <v>6</v>
          </cell>
          <cell r="G4202" t="str">
            <v>VB8010600000H00</v>
          </cell>
          <cell r="H4202">
            <v>0.5</v>
          </cell>
          <cell r="I4202" t="str">
            <v>--</v>
          </cell>
          <cell r="J4202">
            <v>2</v>
          </cell>
          <cell r="K4202">
            <v>2</v>
          </cell>
        </row>
        <row r="4203">
          <cell r="A4203" t="str">
            <v>M2</v>
          </cell>
          <cell r="B4203" t="str">
            <v>A5C</v>
          </cell>
          <cell r="C4203" t="str">
            <v>P</v>
          </cell>
          <cell r="D4203" t="str">
            <v>23028</v>
          </cell>
          <cell r="E4203" t="str">
            <v>BALL VA</v>
          </cell>
          <cell r="F4203">
            <v>6</v>
          </cell>
          <cell r="G4203" t="str">
            <v>VB8010600000H00</v>
          </cell>
          <cell r="H4203">
            <v>0.5</v>
          </cell>
          <cell r="I4203" t="str">
            <v>--</v>
          </cell>
          <cell r="J4203">
            <v>4</v>
          </cell>
          <cell r="K4203">
            <v>4</v>
          </cell>
        </row>
        <row r="4204">
          <cell r="A4204" t="str">
            <v>M2</v>
          </cell>
          <cell r="B4204" t="str">
            <v>A5C</v>
          </cell>
          <cell r="C4204" t="str">
            <v>P</v>
          </cell>
          <cell r="D4204" t="str">
            <v>23039</v>
          </cell>
          <cell r="E4204" t="str">
            <v>BALL VA</v>
          </cell>
          <cell r="F4204">
            <v>6</v>
          </cell>
          <cell r="G4204" t="str">
            <v>VB8010600000H00</v>
          </cell>
          <cell r="H4204">
            <v>0.5</v>
          </cell>
          <cell r="I4204" t="str">
            <v>--</v>
          </cell>
          <cell r="J4204">
            <v>2</v>
          </cell>
          <cell r="K4204">
            <v>2</v>
          </cell>
        </row>
        <row r="4205">
          <cell r="A4205" t="str">
            <v>M2</v>
          </cell>
          <cell r="B4205" t="str">
            <v>A5C</v>
          </cell>
          <cell r="C4205" t="str">
            <v>P</v>
          </cell>
          <cell r="D4205" t="str">
            <v>23048</v>
          </cell>
          <cell r="E4205" t="str">
            <v>BALL VA</v>
          </cell>
          <cell r="F4205">
            <v>6</v>
          </cell>
          <cell r="G4205" t="str">
            <v>VB8010600000H00</v>
          </cell>
          <cell r="H4205">
            <v>0.5</v>
          </cell>
          <cell r="I4205" t="str">
            <v>--</v>
          </cell>
          <cell r="J4205">
            <v>2</v>
          </cell>
          <cell r="K4205">
            <v>2</v>
          </cell>
        </row>
        <row r="4206">
          <cell r="A4206" t="str">
            <v>M2</v>
          </cell>
          <cell r="B4206" t="str">
            <v>A5C</v>
          </cell>
          <cell r="C4206" t="str">
            <v>P</v>
          </cell>
          <cell r="D4206" t="str">
            <v>23053</v>
          </cell>
          <cell r="E4206" t="str">
            <v>BALL VA</v>
          </cell>
          <cell r="F4206">
            <v>6</v>
          </cell>
          <cell r="G4206" t="str">
            <v>VB8010600000H00</v>
          </cell>
          <cell r="H4206">
            <v>0.5</v>
          </cell>
          <cell r="I4206" t="str">
            <v>--</v>
          </cell>
          <cell r="J4206">
            <v>2</v>
          </cell>
          <cell r="K4206">
            <v>2</v>
          </cell>
        </row>
        <row r="4207">
          <cell r="A4207" t="str">
            <v>M2</v>
          </cell>
          <cell r="B4207" t="str">
            <v>A5C</v>
          </cell>
          <cell r="C4207" t="str">
            <v>P</v>
          </cell>
          <cell r="D4207" t="str">
            <v>23054</v>
          </cell>
          <cell r="E4207" t="str">
            <v>BALL VA</v>
          </cell>
          <cell r="F4207">
            <v>6</v>
          </cell>
          <cell r="G4207" t="str">
            <v>VB8010600000H00</v>
          </cell>
          <cell r="H4207">
            <v>0.5</v>
          </cell>
          <cell r="I4207" t="str">
            <v>--</v>
          </cell>
          <cell r="J4207">
            <v>2</v>
          </cell>
          <cell r="K4207">
            <v>2</v>
          </cell>
        </row>
        <row r="4208">
          <cell r="A4208" t="str">
            <v>M2</v>
          </cell>
          <cell r="B4208" t="str">
            <v>A5C</v>
          </cell>
          <cell r="C4208" t="str">
            <v>P</v>
          </cell>
          <cell r="D4208" t="str">
            <v>23064</v>
          </cell>
          <cell r="E4208" t="str">
            <v>BALL VA</v>
          </cell>
          <cell r="F4208">
            <v>6</v>
          </cell>
          <cell r="G4208" t="str">
            <v>VB8010600000H00</v>
          </cell>
          <cell r="H4208">
            <v>0.5</v>
          </cell>
          <cell r="I4208" t="str">
            <v>--</v>
          </cell>
          <cell r="J4208">
            <v>2</v>
          </cell>
          <cell r="K4208">
            <v>2</v>
          </cell>
        </row>
        <row r="4209">
          <cell r="A4209" t="str">
            <v>M2</v>
          </cell>
          <cell r="B4209" t="str">
            <v>A5C</v>
          </cell>
          <cell r="C4209" t="str">
            <v>P</v>
          </cell>
          <cell r="D4209" t="str">
            <v>23079</v>
          </cell>
          <cell r="E4209" t="str">
            <v>BALL VA</v>
          </cell>
          <cell r="F4209">
            <v>6</v>
          </cell>
          <cell r="G4209" t="str">
            <v>VB8010600000H00</v>
          </cell>
          <cell r="H4209">
            <v>0.5</v>
          </cell>
          <cell r="I4209" t="str">
            <v>--</v>
          </cell>
          <cell r="J4209">
            <v>2</v>
          </cell>
          <cell r="K4209">
            <v>2</v>
          </cell>
        </row>
        <row r="4210">
          <cell r="A4210" t="str">
            <v>M2</v>
          </cell>
          <cell r="B4210" t="str">
            <v>A5C</v>
          </cell>
          <cell r="C4210" t="str">
            <v>P</v>
          </cell>
          <cell r="D4210" t="str">
            <v>24016</v>
          </cell>
          <cell r="E4210" t="str">
            <v>BALL VA</v>
          </cell>
          <cell r="F4210">
            <v>6</v>
          </cell>
          <cell r="G4210" t="str">
            <v>VB8010600000H00</v>
          </cell>
          <cell r="H4210">
            <v>0.5</v>
          </cell>
          <cell r="I4210" t="str">
            <v>--</v>
          </cell>
          <cell r="J4210">
            <v>2</v>
          </cell>
          <cell r="K4210">
            <v>2</v>
          </cell>
        </row>
        <row r="4211">
          <cell r="A4211" t="str">
            <v>M2</v>
          </cell>
          <cell r="B4211" t="str">
            <v>A5C</v>
          </cell>
          <cell r="C4211" t="str">
            <v>P</v>
          </cell>
          <cell r="D4211" t="str">
            <v>24018</v>
          </cell>
          <cell r="E4211" t="str">
            <v>BALL VA</v>
          </cell>
          <cell r="F4211">
            <v>6</v>
          </cell>
          <cell r="G4211" t="str">
            <v>VB8010600000H00</v>
          </cell>
          <cell r="H4211">
            <v>0.5</v>
          </cell>
          <cell r="I4211" t="str">
            <v>--</v>
          </cell>
          <cell r="J4211">
            <v>2</v>
          </cell>
          <cell r="K4211">
            <v>2</v>
          </cell>
        </row>
        <row r="4212">
          <cell r="A4212" t="str">
            <v>M2</v>
          </cell>
          <cell r="B4212" t="str">
            <v>A5C</v>
          </cell>
          <cell r="C4212" t="str">
            <v>P</v>
          </cell>
          <cell r="D4212" t="str">
            <v>23020</v>
          </cell>
          <cell r="E4212" t="str">
            <v>BALL VA</v>
          </cell>
          <cell r="F4212">
            <v>6</v>
          </cell>
          <cell r="G4212" t="str">
            <v>VB8010600000H00</v>
          </cell>
          <cell r="H4212">
            <v>0.5</v>
          </cell>
          <cell r="I4212" t="str">
            <v>--</v>
          </cell>
          <cell r="J4212">
            <v>2</v>
          </cell>
          <cell r="K4212">
            <v>2</v>
          </cell>
        </row>
        <row r="4213">
          <cell r="A4213" t="str">
            <v>M2</v>
          </cell>
          <cell r="B4213" t="str">
            <v>A5C</v>
          </cell>
          <cell r="C4213" t="str">
            <v>P</v>
          </cell>
          <cell r="D4213" t="str">
            <v>23029</v>
          </cell>
          <cell r="E4213" t="str">
            <v>BALL VA</v>
          </cell>
          <cell r="F4213">
            <v>6</v>
          </cell>
          <cell r="G4213" t="str">
            <v>VB8010600000H00</v>
          </cell>
          <cell r="H4213">
            <v>0.5</v>
          </cell>
          <cell r="I4213" t="str">
            <v>--</v>
          </cell>
          <cell r="J4213">
            <v>2</v>
          </cell>
          <cell r="K4213">
            <v>2</v>
          </cell>
        </row>
        <row r="4214">
          <cell r="A4214" t="str">
            <v>M2</v>
          </cell>
          <cell r="B4214" t="str">
            <v>A5C</v>
          </cell>
          <cell r="C4214" t="str">
            <v>P</v>
          </cell>
          <cell r="D4214" t="str">
            <v>23080</v>
          </cell>
          <cell r="E4214" t="str">
            <v>BALL VA</v>
          </cell>
          <cell r="F4214">
            <v>6</v>
          </cell>
          <cell r="G4214" t="str">
            <v>VB8010600000H00</v>
          </cell>
          <cell r="H4214">
            <v>0.5</v>
          </cell>
          <cell r="I4214" t="str">
            <v>--</v>
          </cell>
          <cell r="J4214">
            <v>2</v>
          </cell>
          <cell r="K4214">
            <v>2</v>
          </cell>
        </row>
        <row r="4215">
          <cell r="A4215" t="str">
            <v>M2</v>
          </cell>
          <cell r="B4215" t="str">
            <v>A5C</v>
          </cell>
          <cell r="C4215" t="str">
            <v>P</v>
          </cell>
          <cell r="D4215" t="str">
            <v>23156</v>
          </cell>
          <cell r="E4215" t="str">
            <v>BALL VA</v>
          </cell>
          <cell r="F4215">
            <v>6</v>
          </cell>
          <cell r="G4215" t="str">
            <v>VB8010600000H00</v>
          </cell>
          <cell r="H4215">
            <v>0.5</v>
          </cell>
          <cell r="I4215" t="str">
            <v>--</v>
          </cell>
          <cell r="J4215">
            <v>2</v>
          </cell>
          <cell r="K4215">
            <v>2</v>
          </cell>
        </row>
        <row r="4216">
          <cell r="A4216" t="str">
            <v>M2</v>
          </cell>
          <cell r="B4216" t="str">
            <v>A5C</v>
          </cell>
          <cell r="C4216" t="str">
            <v>P</v>
          </cell>
          <cell r="D4216" t="str">
            <v>24004</v>
          </cell>
          <cell r="E4216" t="str">
            <v>BALL VA</v>
          </cell>
          <cell r="F4216">
            <v>6</v>
          </cell>
          <cell r="G4216" t="str">
            <v>VB8010600000H00</v>
          </cell>
          <cell r="H4216">
            <v>0.5</v>
          </cell>
          <cell r="I4216" t="str">
            <v>--</v>
          </cell>
          <cell r="J4216">
            <v>2</v>
          </cell>
          <cell r="K4216">
            <v>2</v>
          </cell>
        </row>
        <row r="4217">
          <cell r="A4217" t="str">
            <v>M2</v>
          </cell>
          <cell r="B4217" t="str">
            <v>A5C</v>
          </cell>
          <cell r="C4217" t="str">
            <v>P</v>
          </cell>
          <cell r="D4217" t="str">
            <v>99004</v>
          </cell>
          <cell r="E4217" t="str">
            <v>BALL VA</v>
          </cell>
          <cell r="F4217">
            <v>6</v>
          </cell>
          <cell r="G4217" t="str">
            <v>VB8010600000H00</v>
          </cell>
          <cell r="H4217">
            <v>0.5</v>
          </cell>
          <cell r="I4217" t="str">
            <v>--</v>
          </cell>
          <cell r="J4217">
            <v>2</v>
          </cell>
          <cell r="K4217">
            <v>2</v>
          </cell>
        </row>
        <row r="4218">
          <cell r="A4218" t="str">
            <v>M2</v>
          </cell>
          <cell r="B4218" t="str">
            <v>B2C</v>
          </cell>
          <cell r="C4218" t="str">
            <v>SCH</v>
          </cell>
          <cell r="D4218" t="str">
            <v>23613</v>
          </cell>
          <cell r="E4218" t="str">
            <v>GATE VA</v>
          </cell>
          <cell r="F4218">
            <v>6</v>
          </cell>
          <cell r="G4218" t="str">
            <v>VG8010100000T00</v>
          </cell>
          <cell r="H4218">
            <v>0.75</v>
          </cell>
          <cell r="I4218" t="str">
            <v>--</v>
          </cell>
          <cell r="J4218">
            <v>2</v>
          </cell>
          <cell r="K4218">
            <v>2</v>
          </cell>
        </row>
        <row r="4219">
          <cell r="A4219" t="str">
            <v>M2</v>
          </cell>
          <cell r="B4219" t="str">
            <v>B2C</v>
          </cell>
          <cell r="C4219" t="str">
            <v>SCL</v>
          </cell>
          <cell r="D4219" t="str">
            <v>TRAP</v>
          </cell>
          <cell r="E4219" t="str">
            <v>GATE VA</v>
          </cell>
          <cell r="F4219">
            <v>6</v>
          </cell>
          <cell r="G4219" t="str">
            <v>VG8010100000T00</v>
          </cell>
          <cell r="H4219">
            <v>0.75</v>
          </cell>
          <cell r="I4219" t="str">
            <v>--</v>
          </cell>
          <cell r="J4219">
            <v>6</v>
          </cell>
          <cell r="K4219">
            <v>6</v>
          </cell>
        </row>
        <row r="4220">
          <cell r="A4220" t="str">
            <v>M2</v>
          </cell>
          <cell r="B4220" t="str">
            <v>B2C</v>
          </cell>
          <cell r="C4220" t="str">
            <v>SH</v>
          </cell>
          <cell r="D4220" t="str">
            <v>23601</v>
          </cell>
          <cell r="E4220" t="str">
            <v>GATE VA</v>
          </cell>
          <cell r="F4220">
            <v>6</v>
          </cell>
          <cell r="G4220" t="str">
            <v>VG8010100000T00</v>
          </cell>
          <cell r="H4220">
            <v>0.75</v>
          </cell>
          <cell r="I4220" t="str">
            <v>--</v>
          </cell>
          <cell r="J4220">
            <v>2</v>
          </cell>
          <cell r="K4220">
            <v>2</v>
          </cell>
        </row>
        <row r="4221">
          <cell r="A4221" t="str">
            <v>M2</v>
          </cell>
          <cell r="B4221" t="str">
            <v>B2C</v>
          </cell>
          <cell r="C4221" t="str">
            <v>SH</v>
          </cell>
          <cell r="D4221" t="str">
            <v>23612</v>
          </cell>
          <cell r="E4221" t="str">
            <v>GATE VA</v>
          </cell>
          <cell r="F4221">
            <v>6</v>
          </cell>
          <cell r="G4221" t="str">
            <v>VG8010400000T00</v>
          </cell>
          <cell r="H4221">
            <v>0.75</v>
          </cell>
          <cell r="I4221" t="str">
            <v>--</v>
          </cell>
          <cell r="J4221">
            <v>1</v>
          </cell>
          <cell r="K4221">
            <v>1</v>
          </cell>
        </row>
        <row r="4222">
          <cell r="A4222" t="str">
            <v>M2</v>
          </cell>
          <cell r="B4222" t="str">
            <v>B2C</v>
          </cell>
          <cell r="C4222" t="str">
            <v>SH</v>
          </cell>
          <cell r="D4222" t="str">
            <v>24612</v>
          </cell>
          <cell r="E4222" t="str">
            <v>GATE VA</v>
          </cell>
          <cell r="F4222">
            <v>6</v>
          </cell>
          <cell r="G4222" t="str">
            <v>VG8010100000T00</v>
          </cell>
          <cell r="H4222">
            <v>0.75</v>
          </cell>
          <cell r="I4222" t="str">
            <v>--</v>
          </cell>
          <cell r="J4222">
            <v>4</v>
          </cell>
          <cell r="K4222">
            <v>4</v>
          </cell>
        </row>
        <row r="4223">
          <cell r="A4223" t="str">
            <v>M2</v>
          </cell>
          <cell r="B4223" t="str">
            <v>B2C</v>
          </cell>
          <cell r="C4223" t="str">
            <v>SH</v>
          </cell>
          <cell r="D4223" t="str">
            <v>24612</v>
          </cell>
          <cell r="E4223" t="str">
            <v>GLOBE VA</v>
          </cell>
          <cell r="F4223">
            <v>6</v>
          </cell>
          <cell r="G4223" t="str">
            <v>VL8010100000T00</v>
          </cell>
          <cell r="H4223">
            <v>0.75</v>
          </cell>
          <cell r="I4223" t="str">
            <v>--</v>
          </cell>
          <cell r="J4223">
            <v>1</v>
          </cell>
          <cell r="K4223">
            <v>1</v>
          </cell>
        </row>
        <row r="4224">
          <cell r="A4224" t="str">
            <v>M2</v>
          </cell>
          <cell r="B4224" t="str">
            <v>A5C</v>
          </cell>
          <cell r="C4224" t="str">
            <v>N</v>
          </cell>
          <cell r="D4224" t="str">
            <v>23613</v>
          </cell>
          <cell r="E4224" t="str">
            <v>BALL VA</v>
          </cell>
          <cell r="F4224">
            <v>6</v>
          </cell>
          <cell r="G4224" t="str">
            <v>VB8010600000T00</v>
          </cell>
          <cell r="H4224">
            <v>0.75</v>
          </cell>
          <cell r="I4224" t="str">
            <v>--</v>
          </cell>
          <cell r="J4224">
            <v>3</v>
          </cell>
          <cell r="K4224">
            <v>3</v>
          </cell>
        </row>
        <row r="4225">
          <cell r="A4225" t="str">
            <v>M2</v>
          </cell>
          <cell r="B4225" t="str">
            <v>A5C</v>
          </cell>
          <cell r="C4225" t="str">
            <v>N</v>
          </cell>
          <cell r="D4225" t="str">
            <v>23620</v>
          </cell>
          <cell r="E4225" t="str">
            <v>BALL VA</v>
          </cell>
          <cell r="F4225">
            <v>6</v>
          </cell>
          <cell r="G4225" t="str">
            <v>VB8010600000T00</v>
          </cell>
          <cell r="H4225">
            <v>0.75</v>
          </cell>
          <cell r="I4225" t="str">
            <v>--</v>
          </cell>
          <cell r="J4225">
            <v>3</v>
          </cell>
          <cell r="K4225">
            <v>3</v>
          </cell>
        </row>
        <row r="4226">
          <cell r="A4226" t="str">
            <v>M2</v>
          </cell>
          <cell r="B4226" t="str">
            <v>A5C</v>
          </cell>
          <cell r="C4226" t="str">
            <v>N</v>
          </cell>
          <cell r="D4226" t="str">
            <v>23620</v>
          </cell>
          <cell r="E4226" t="str">
            <v>BALL VA</v>
          </cell>
          <cell r="F4226">
            <v>6</v>
          </cell>
          <cell r="G4226" t="str">
            <v>VB8010600000T00</v>
          </cell>
          <cell r="H4226">
            <v>0.75</v>
          </cell>
          <cell r="I4226" t="str">
            <v>--</v>
          </cell>
          <cell r="J4226">
            <v>1</v>
          </cell>
          <cell r="K4226">
            <v>1</v>
          </cell>
        </row>
        <row r="4227">
          <cell r="A4227" t="str">
            <v>M2</v>
          </cell>
          <cell r="B4227" t="str">
            <v>A5C</v>
          </cell>
          <cell r="C4227" t="str">
            <v>N</v>
          </cell>
          <cell r="D4227" t="str">
            <v>23621</v>
          </cell>
          <cell r="E4227" t="str">
            <v>BALL VA</v>
          </cell>
          <cell r="F4227">
            <v>6</v>
          </cell>
          <cell r="G4227" t="str">
            <v>VB8010600000T00</v>
          </cell>
          <cell r="H4227">
            <v>0.75</v>
          </cell>
          <cell r="I4227" t="str">
            <v>--</v>
          </cell>
          <cell r="J4227">
            <v>3</v>
          </cell>
          <cell r="K4227">
            <v>3</v>
          </cell>
        </row>
        <row r="4228">
          <cell r="A4228" t="str">
            <v>M2</v>
          </cell>
          <cell r="B4228" t="str">
            <v>A5C</v>
          </cell>
          <cell r="C4228" t="str">
            <v>N</v>
          </cell>
          <cell r="D4228" t="str">
            <v>23631</v>
          </cell>
          <cell r="E4228" t="str">
            <v>BALL VA</v>
          </cell>
          <cell r="F4228">
            <v>6</v>
          </cell>
          <cell r="G4228" t="str">
            <v>VB8010600000T00</v>
          </cell>
          <cell r="H4228">
            <v>0.75</v>
          </cell>
          <cell r="I4228" t="str">
            <v>--</v>
          </cell>
          <cell r="J4228">
            <v>1</v>
          </cell>
          <cell r="K4228">
            <v>1</v>
          </cell>
        </row>
        <row r="4229">
          <cell r="A4229" t="str">
            <v>M2</v>
          </cell>
          <cell r="B4229" t="str">
            <v>A5C</v>
          </cell>
          <cell r="C4229" t="str">
            <v>N</v>
          </cell>
          <cell r="D4229" t="str">
            <v>23632</v>
          </cell>
          <cell r="E4229" t="str">
            <v>BALL VA</v>
          </cell>
          <cell r="F4229">
            <v>6</v>
          </cell>
          <cell r="G4229" t="str">
            <v>VB8010600000T00</v>
          </cell>
          <cell r="H4229">
            <v>0.75</v>
          </cell>
          <cell r="I4229" t="str">
            <v>--</v>
          </cell>
          <cell r="J4229">
            <v>1</v>
          </cell>
          <cell r="K4229">
            <v>1</v>
          </cell>
        </row>
        <row r="4230">
          <cell r="A4230" t="str">
            <v>M2</v>
          </cell>
          <cell r="B4230" t="str">
            <v>A5C</v>
          </cell>
          <cell r="C4230" t="str">
            <v>N</v>
          </cell>
          <cell r="D4230" t="str">
            <v>23633</v>
          </cell>
          <cell r="E4230" t="str">
            <v>BALL VA</v>
          </cell>
          <cell r="F4230">
            <v>6</v>
          </cell>
          <cell r="G4230" t="str">
            <v>VB8010600000T00</v>
          </cell>
          <cell r="H4230">
            <v>0.75</v>
          </cell>
          <cell r="I4230" t="str">
            <v>--</v>
          </cell>
          <cell r="J4230">
            <v>1</v>
          </cell>
          <cell r="K4230">
            <v>1</v>
          </cell>
        </row>
        <row r="4231">
          <cell r="A4231" t="str">
            <v>M2</v>
          </cell>
          <cell r="B4231" t="str">
            <v>A5C</v>
          </cell>
          <cell r="C4231" t="str">
            <v>N</v>
          </cell>
          <cell r="D4231" t="str">
            <v>23642</v>
          </cell>
          <cell r="E4231" t="str">
            <v>BALL VA</v>
          </cell>
          <cell r="F4231">
            <v>6</v>
          </cell>
          <cell r="G4231" t="str">
            <v>VB8010600000T00</v>
          </cell>
          <cell r="H4231">
            <v>0.75</v>
          </cell>
          <cell r="I4231" t="str">
            <v>--</v>
          </cell>
          <cell r="J4231">
            <v>1</v>
          </cell>
          <cell r="K4231">
            <v>1</v>
          </cell>
        </row>
        <row r="4232">
          <cell r="A4232" t="str">
            <v>M2</v>
          </cell>
          <cell r="B4232" t="str">
            <v>A5C</v>
          </cell>
          <cell r="C4232" t="str">
            <v>N</v>
          </cell>
          <cell r="D4232" t="str">
            <v>23642</v>
          </cell>
          <cell r="E4232" t="str">
            <v>BALL VA</v>
          </cell>
          <cell r="F4232">
            <v>6</v>
          </cell>
          <cell r="G4232" t="str">
            <v>VB8010600000T00</v>
          </cell>
          <cell r="H4232">
            <v>0.75</v>
          </cell>
          <cell r="I4232" t="str">
            <v>--</v>
          </cell>
          <cell r="J4232">
            <v>3</v>
          </cell>
          <cell r="K4232">
            <v>3</v>
          </cell>
        </row>
        <row r="4233">
          <cell r="A4233" t="str">
            <v>M2</v>
          </cell>
          <cell r="B4233" t="str">
            <v>A5C</v>
          </cell>
          <cell r="C4233" t="str">
            <v>N</v>
          </cell>
          <cell r="D4233" t="str">
            <v>23647</v>
          </cell>
          <cell r="E4233" t="str">
            <v>BALL VA</v>
          </cell>
          <cell r="F4233">
            <v>6</v>
          </cell>
          <cell r="G4233" t="str">
            <v>VB8010600000T00</v>
          </cell>
          <cell r="H4233">
            <v>0.75</v>
          </cell>
          <cell r="I4233" t="str">
            <v>--</v>
          </cell>
          <cell r="J4233">
            <v>1</v>
          </cell>
          <cell r="K4233">
            <v>1</v>
          </cell>
        </row>
        <row r="4234">
          <cell r="A4234" t="str">
            <v>M2</v>
          </cell>
          <cell r="B4234" t="str">
            <v>A5C</v>
          </cell>
          <cell r="C4234" t="str">
            <v>N</v>
          </cell>
          <cell r="D4234" t="str">
            <v>24611</v>
          </cell>
          <cell r="E4234" t="str">
            <v>BALL VA</v>
          </cell>
          <cell r="F4234">
            <v>6</v>
          </cell>
          <cell r="G4234" t="str">
            <v>VB8010600000T00</v>
          </cell>
          <cell r="H4234">
            <v>0.75</v>
          </cell>
          <cell r="I4234" t="str">
            <v>--</v>
          </cell>
          <cell r="J4234">
            <v>3</v>
          </cell>
          <cell r="K4234">
            <v>3</v>
          </cell>
        </row>
        <row r="4235">
          <cell r="A4235" t="str">
            <v>M2</v>
          </cell>
          <cell r="B4235" t="str">
            <v>A5C</v>
          </cell>
          <cell r="C4235" t="str">
            <v>N</v>
          </cell>
          <cell r="D4235" t="str">
            <v>24611</v>
          </cell>
          <cell r="E4235" t="str">
            <v>BALL VA</v>
          </cell>
          <cell r="F4235">
            <v>6</v>
          </cell>
          <cell r="G4235" t="str">
            <v>VB8010600000T00</v>
          </cell>
          <cell r="H4235">
            <v>0.75</v>
          </cell>
          <cell r="I4235" t="str">
            <v>--</v>
          </cell>
          <cell r="J4235">
            <v>1</v>
          </cell>
          <cell r="K4235">
            <v>1</v>
          </cell>
        </row>
        <row r="4236">
          <cell r="A4236" t="str">
            <v>M2</v>
          </cell>
          <cell r="B4236" t="str">
            <v>A5C</v>
          </cell>
          <cell r="C4236" t="str">
            <v>N</v>
          </cell>
          <cell r="D4236" t="str">
            <v>23646</v>
          </cell>
          <cell r="E4236" t="str">
            <v>BALL VA</v>
          </cell>
          <cell r="F4236">
            <v>6</v>
          </cell>
          <cell r="G4236" t="str">
            <v>VB8010600000T00</v>
          </cell>
          <cell r="H4236">
            <v>0.75</v>
          </cell>
          <cell r="I4236" t="str">
            <v>--</v>
          </cell>
          <cell r="J4236">
            <v>1</v>
          </cell>
          <cell r="K4236">
            <v>1</v>
          </cell>
        </row>
        <row r="4237">
          <cell r="A4237" t="str">
            <v>M2</v>
          </cell>
          <cell r="B4237" t="str">
            <v>A5C</v>
          </cell>
          <cell r="C4237" t="str">
            <v>N</v>
          </cell>
          <cell r="D4237" t="str">
            <v>23646</v>
          </cell>
          <cell r="E4237" t="str">
            <v>BALL VA</v>
          </cell>
          <cell r="F4237">
            <v>6</v>
          </cell>
          <cell r="G4237" t="str">
            <v>VB8010600000T00</v>
          </cell>
          <cell r="H4237">
            <v>0.75</v>
          </cell>
          <cell r="I4237" t="str">
            <v>--</v>
          </cell>
          <cell r="J4237">
            <v>3</v>
          </cell>
          <cell r="K4237">
            <v>3</v>
          </cell>
        </row>
        <row r="4238">
          <cell r="A4238" t="str">
            <v>M2</v>
          </cell>
          <cell r="B4238" t="str">
            <v>A5C</v>
          </cell>
          <cell r="C4238" t="str">
            <v>N</v>
          </cell>
          <cell r="D4238" t="str">
            <v>24612</v>
          </cell>
          <cell r="E4238" t="str">
            <v>BALL VA</v>
          </cell>
          <cell r="F4238">
            <v>6</v>
          </cell>
          <cell r="G4238" t="str">
            <v>VB8010600000T00</v>
          </cell>
          <cell r="H4238">
            <v>0.75</v>
          </cell>
          <cell r="I4238" t="str">
            <v>--</v>
          </cell>
          <cell r="J4238">
            <v>3</v>
          </cell>
          <cell r="K4238">
            <v>3</v>
          </cell>
        </row>
        <row r="4239">
          <cell r="A4239" t="str">
            <v>M2</v>
          </cell>
          <cell r="B4239" t="str">
            <v>A5C</v>
          </cell>
          <cell r="C4239" t="str">
            <v>N</v>
          </cell>
          <cell r="D4239" t="str">
            <v>24614</v>
          </cell>
          <cell r="E4239" t="str">
            <v>BALL VA</v>
          </cell>
          <cell r="F4239">
            <v>6</v>
          </cell>
          <cell r="G4239" t="str">
            <v>VB8010600000T00</v>
          </cell>
          <cell r="H4239">
            <v>0.75</v>
          </cell>
          <cell r="I4239" t="str">
            <v>--</v>
          </cell>
          <cell r="J4239">
            <v>1</v>
          </cell>
          <cell r="K4239">
            <v>1</v>
          </cell>
        </row>
        <row r="4240">
          <cell r="A4240" t="str">
            <v>M2</v>
          </cell>
          <cell r="B4240" t="str">
            <v>A5C</v>
          </cell>
          <cell r="C4240" t="str">
            <v>P</v>
          </cell>
          <cell r="D4240" t="str">
            <v>23006</v>
          </cell>
          <cell r="E4240" t="str">
            <v>BALL VA</v>
          </cell>
          <cell r="F4240">
            <v>6</v>
          </cell>
          <cell r="G4240" t="str">
            <v>VB8010600000T00</v>
          </cell>
          <cell r="H4240">
            <v>0.75</v>
          </cell>
          <cell r="I4240" t="str">
            <v>--</v>
          </cell>
          <cell r="J4240">
            <v>1</v>
          </cell>
          <cell r="K4240">
            <v>1</v>
          </cell>
        </row>
        <row r="4241">
          <cell r="A4241" t="str">
            <v>M2</v>
          </cell>
          <cell r="B4241" t="str">
            <v>A5C</v>
          </cell>
          <cell r="C4241" t="str">
            <v>P</v>
          </cell>
          <cell r="D4241" t="str">
            <v>23006</v>
          </cell>
          <cell r="E4241" t="str">
            <v>BALL VA</v>
          </cell>
          <cell r="F4241">
            <v>6</v>
          </cell>
          <cell r="G4241" t="str">
            <v>VB8010600000T00</v>
          </cell>
          <cell r="H4241">
            <v>0.75</v>
          </cell>
          <cell r="I4241" t="str">
            <v>--</v>
          </cell>
          <cell r="J4241">
            <v>2</v>
          </cell>
          <cell r="K4241">
            <v>2</v>
          </cell>
        </row>
        <row r="4242">
          <cell r="A4242" t="str">
            <v>M2</v>
          </cell>
          <cell r="B4242" t="str">
            <v>A5C</v>
          </cell>
          <cell r="C4242" t="str">
            <v>P</v>
          </cell>
          <cell r="D4242" t="str">
            <v>23011</v>
          </cell>
          <cell r="E4242" t="str">
            <v>BALL VA</v>
          </cell>
          <cell r="F4242">
            <v>6</v>
          </cell>
          <cell r="G4242" t="str">
            <v>VB8010600000T00</v>
          </cell>
          <cell r="H4242">
            <v>0.75</v>
          </cell>
          <cell r="I4242" t="str">
            <v>--</v>
          </cell>
          <cell r="J4242">
            <v>2</v>
          </cell>
          <cell r="K4242">
            <v>2</v>
          </cell>
        </row>
        <row r="4243">
          <cell r="A4243" t="str">
            <v>M2</v>
          </cell>
          <cell r="B4243" t="str">
            <v>A5C</v>
          </cell>
          <cell r="C4243" t="str">
            <v>P</v>
          </cell>
          <cell r="D4243" t="str">
            <v>23022</v>
          </cell>
          <cell r="E4243" t="str">
            <v>BALL VA</v>
          </cell>
          <cell r="F4243">
            <v>6</v>
          </cell>
          <cell r="G4243" t="str">
            <v>VB8010600000T00</v>
          </cell>
          <cell r="H4243">
            <v>0.75</v>
          </cell>
          <cell r="I4243" t="str">
            <v>--</v>
          </cell>
          <cell r="J4243">
            <v>2</v>
          </cell>
          <cell r="K4243">
            <v>2</v>
          </cell>
        </row>
        <row r="4244">
          <cell r="A4244" t="str">
            <v>M2</v>
          </cell>
          <cell r="B4244" t="str">
            <v>A5C</v>
          </cell>
          <cell r="C4244" t="str">
            <v>P</v>
          </cell>
          <cell r="D4244" t="str">
            <v>23023</v>
          </cell>
          <cell r="E4244" t="str">
            <v>BALL VA</v>
          </cell>
          <cell r="F4244">
            <v>6</v>
          </cell>
          <cell r="G4244" t="str">
            <v>VB8010600000T00</v>
          </cell>
          <cell r="H4244">
            <v>0.75</v>
          </cell>
          <cell r="I4244" t="str">
            <v>--</v>
          </cell>
          <cell r="J4244">
            <v>2</v>
          </cell>
          <cell r="K4244">
            <v>2</v>
          </cell>
        </row>
        <row r="4245">
          <cell r="A4245" t="str">
            <v>M2</v>
          </cell>
          <cell r="B4245" t="str">
            <v>A5C</v>
          </cell>
          <cell r="C4245" t="str">
            <v>P</v>
          </cell>
          <cell r="D4245" t="str">
            <v>23035</v>
          </cell>
          <cell r="E4245" t="str">
            <v>BALL VA</v>
          </cell>
          <cell r="F4245">
            <v>6</v>
          </cell>
          <cell r="G4245" t="str">
            <v>VB8010600000T00</v>
          </cell>
          <cell r="H4245">
            <v>0.75</v>
          </cell>
          <cell r="I4245" t="str">
            <v>--</v>
          </cell>
          <cell r="J4245">
            <v>3</v>
          </cell>
          <cell r="K4245">
            <v>3</v>
          </cell>
        </row>
        <row r="4246">
          <cell r="A4246" t="str">
            <v>M2</v>
          </cell>
          <cell r="B4246" t="str">
            <v>A5C</v>
          </cell>
          <cell r="C4246" t="str">
            <v>P</v>
          </cell>
          <cell r="D4246" t="str">
            <v>23037</v>
          </cell>
          <cell r="E4246" t="str">
            <v>BALL VA</v>
          </cell>
          <cell r="F4246">
            <v>6</v>
          </cell>
          <cell r="G4246" t="str">
            <v>VB8010600000T00</v>
          </cell>
          <cell r="H4246">
            <v>0.75</v>
          </cell>
          <cell r="I4246" t="str">
            <v>--</v>
          </cell>
          <cell r="J4246">
            <v>1</v>
          </cell>
          <cell r="K4246">
            <v>1</v>
          </cell>
        </row>
        <row r="4247">
          <cell r="A4247" t="str">
            <v>M2</v>
          </cell>
          <cell r="B4247" t="str">
            <v>A5C</v>
          </cell>
          <cell r="C4247" t="str">
            <v>P</v>
          </cell>
          <cell r="D4247" t="str">
            <v>23037</v>
          </cell>
          <cell r="E4247" t="str">
            <v>BALL VA</v>
          </cell>
          <cell r="F4247">
            <v>6</v>
          </cell>
          <cell r="G4247" t="str">
            <v>VB8010600000T00</v>
          </cell>
          <cell r="H4247">
            <v>0.75</v>
          </cell>
          <cell r="I4247" t="str">
            <v>--</v>
          </cell>
          <cell r="J4247">
            <v>2</v>
          </cell>
          <cell r="K4247">
            <v>2</v>
          </cell>
        </row>
        <row r="4248">
          <cell r="A4248" t="str">
            <v>M2</v>
          </cell>
          <cell r="B4248" t="str">
            <v>A5C</v>
          </cell>
          <cell r="C4248" t="str">
            <v>P</v>
          </cell>
          <cell r="D4248" t="str">
            <v>23038</v>
          </cell>
          <cell r="E4248" t="str">
            <v>BALL VA</v>
          </cell>
          <cell r="F4248">
            <v>6</v>
          </cell>
          <cell r="G4248" t="str">
            <v>VB8010600000T00</v>
          </cell>
          <cell r="H4248">
            <v>0.75</v>
          </cell>
          <cell r="I4248" t="str">
            <v>--</v>
          </cell>
          <cell r="J4248">
            <v>2</v>
          </cell>
          <cell r="K4248">
            <v>2</v>
          </cell>
        </row>
        <row r="4249">
          <cell r="A4249" t="str">
            <v>M2</v>
          </cell>
          <cell r="B4249" t="str">
            <v>A5C</v>
          </cell>
          <cell r="C4249" t="str">
            <v>P</v>
          </cell>
          <cell r="D4249" t="str">
            <v>23046</v>
          </cell>
          <cell r="E4249" t="str">
            <v>BALL VA</v>
          </cell>
          <cell r="F4249">
            <v>6</v>
          </cell>
          <cell r="G4249" t="str">
            <v>VB8010600000T00</v>
          </cell>
          <cell r="H4249">
            <v>0.75</v>
          </cell>
          <cell r="I4249" t="str">
            <v>--</v>
          </cell>
          <cell r="J4249">
            <v>2</v>
          </cell>
          <cell r="K4249">
            <v>2</v>
          </cell>
        </row>
        <row r="4250">
          <cell r="A4250" t="str">
            <v>M2</v>
          </cell>
          <cell r="B4250" t="str">
            <v>A5C</v>
          </cell>
          <cell r="C4250" t="str">
            <v>P</v>
          </cell>
          <cell r="D4250" t="str">
            <v>23047</v>
          </cell>
          <cell r="E4250" t="str">
            <v>BALL VA</v>
          </cell>
          <cell r="F4250">
            <v>6</v>
          </cell>
          <cell r="G4250" t="str">
            <v>VB8010600000T00</v>
          </cell>
          <cell r="H4250">
            <v>0.75</v>
          </cell>
          <cell r="I4250" t="str">
            <v>--</v>
          </cell>
          <cell r="J4250">
            <v>2</v>
          </cell>
          <cell r="K4250">
            <v>2</v>
          </cell>
        </row>
        <row r="4251">
          <cell r="A4251" t="str">
            <v>M2</v>
          </cell>
          <cell r="B4251" t="str">
            <v>A5C</v>
          </cell>
          <cell r="C4251" t="str">
            <v>P</v>
          </cell>
          <cell r="D4251" t="str">
            <v>23052</v>
          </cell>
          <cell r="E4251" t="str">
            <v>BALL VA</v>
          </cell>
          <cell r="F4251">
            <v>6</v>
          </cell>
          <cell r="G4251" t="str">
            <v>VB8010600000T00</v>
          </cell>
          <cell r="H4251">
            <v>0.75</v>
          </cell>
          <cell r="I4251" t="str">
            <v>--</v>
          </cell>
          <cell r="J4251">
            <v>1</v>
          </cell>
          <cell r="K4251">
            <v>1</v>
          </cell>
        </row>
        <row r="4252">
          <cell r="A4252" t="str">
            <v>M2</v>
          </cell>
          <cell r="B4252" t="str">
            <v>A5C</v>
          </cell>
          <cell r="C4252" t="str">
            <v>P</v>
          </cell>
          <cell r="D4252" t="str">
            <v>23052</v>
          </cell>
          <cell r="E4252" t="str">
            <v>BALL VA</v>
          </cell>
          <cell r="F4252">
            <v>6</v>
          </cell>
          <cell r="G4252" t="str">
            <v>VB8010600000T00</v>
          </cell>
          <cell r="H4252">
            <v>0.75</v>
          </cell>
          <cell r="I4252" t="str">
            <v>--</v>
          </cell>
          <cell r="J4252">
            <v>2</v>
          </cell>
          <cell r="K4252">
            <v>2</v>
          </cell>
        </row>
        <row r="4253">
          <cell r="A4253" t="str">
            <v>M2</v>
          </cell>
          <cell r="B4253" t="str">
            <v>A5C</v>
          </cell>
          <cell r="C4253" t="str">
            <v>P</v>
          </cell>
          <cell r="D4253" t="str">
            <v>23057</v>
          </cell>
          <cell r="E4253" t="str">
            <v>BALL VA</v>
          </cell>
          <cell r="F4253">
            <v>6</v>
          </cell>
          <cell r="G4253" t="str">
            <v>VB8010600000T00</v>
          </cell>
          <cell r="H4253">
            <v>0.75</v>
          </cell>
          <cell r="I4253" t="str">
            <v>--</v>
          </cell>
          <cell r="J4253">
            <v>2</v>
          </cell>
          <cell r="K4253">
            <v>2</v>
          </cell>
        </row>
        <row r="4254">
          <cell r="A4254" t="str">
            <v>M2</v>
          </cell>
          <cell r="B4254" t="str">
            <v>A5C</v>
          </cell>
          <cell r="C4254" t="str">
            <v>P</v>
          </cell>
          <cell r="D4254" t="str">
            <v>23058</v>
          </cell>
          <cell r="E4254" t="str">
            <v>BALL VA</v>
          </cell>
          <cell r="F4254">
            <v>6</v>
          </cell>
          <cell r="G4254" t="str">
            <v>VB8010600000T00</v>
          </cell>
          <cell r="H4254">
            <v>0.75</v>
          </cell>
          <cell r="I4254" t="str">
            <v>--</v>
          </cell>
          <cell r="J4254">
            <v>2</v>
          </cell>
          <cell r="K4254">
            <v>2</v>
          </cell>
        </row>
        <row r="4255">
          <cell r="A4255" t="str">
            <v>M2</v>
          </cell>
          <cell r="B4255" t="str">
            <v>A5C</v>
          </cell>
          <cell r="C4255" t="str">
            <v>P</v>
          </cell>
          <cell r="D4255" t="str">
            <v>23063</v>
          </cell>
          <cell r="E4255" t="str">
            <v>BALL VA</v>
          </cell>
          <cell r="F4255">
            <v>6</v>
          </cell>
          <cell r="G4255" t="str">
            <v>VB8010600000T00</v>
          </cell>
          <cell r="H4255">
            <v>0.75</v>
          </cell>
          <cell r="I4255" t="str">
            <v>--</v>
          </cell>
          <cell r="J4255">
            <v>3</v>
          </cell>
          <cell r="K4255">
            <v>3</v>
          </cell>
        </row>
        <row r="4256">
          <cell r="A4256" t="str">
            <v>M2</v>
          </cell>
          <cell r="B4256" t="str">
            <v>A5C</v>
          </cell>
          <cell r="C4256" t="str">
            <v>P</v>
          </cell>
          <cell r="D4256" t="str">
            <v>23067</v>
          </cell>
          <cell r="E4256" t="str">
            <v>BALL VA</v>
          </cell>
          <cell r="F4256">
            <v>6</v>
          </cell>
          <cell r="G4256" t="str">
            <v>VB8010600000T00</v>
          </cell>
          <cell r="H4256">
            <v>0.75</v>
          </cell>
          <cell r="I4256" t="str">
            <v>--</v>
          </cell>
          <cell r="J4256">
            <v>2</v>
          </cell>
          <cell r="K4256">
            <v>2</v>
          </cell>
        </row>
        <row r="4257">
          <cell r="A4257" t="str">
            <v>M2</v>
          </cell>
          <cell r="B4257" t="str">
            <v>A5C</v>
          </cell>
          <cell r="C4257" t="str">
            <v>P</v>
          </cell>
          <cell r="D4257" t="str">
            <v>23072</v>
          </cell>
          <cell r="E4257" t="str">
            <v>BALL VA</v>
          </cell>
          <cell r="F4257">
            <v>6</v>
          </cell>
          <cell r="G4257" t="str">
            <v>VB8010600000T00</v>
          </cell>
          <cell r="H4257">
            <v>0.75</v>
          </cell>
          <cell r="I4257" t="str">
            <v>--</v>
          </cell>
          <cell r="J4257">
            <v>2</v>
          </cell>
          <cell r="K4257">
            <v>2</v>
          </cell>
        </row>
        <row r="4258">
          <cell r="A4258" t="str">
            <v>M2</v>
          </cell>
          <cell r="B4258" t="str">
            <v>A5C</v>
          </cell>
          <cell r="C4258" t="str">
            <v>P</v>
          </cell>
          <cell r="D4258" t="str">
            <v>23073</v>
          </cell>
          <cell r="E4258" t="str">
            <v>BALL VA</v>
          </cell>
          <cell r="F4258">
            <v>6</v>
          </cell>
          <cell r="G4258" t="str">
            <v>VB8010600000T00</v>
          </cell>
          <cell r="H4258">
            <v>0.75</v>
          </cell>
          <cell r="I4258" t="str">
            <v>--</v>
          </cell>
          <cell r="J4258">
            <v>2</v>
          </cell>
          <cell r="K4258">
            <v>2</v>
          </cell>
        </row>
        <row r="4259">
          <cell r="A4259" t="str">
            <v>M2</v>
          </cell>
          <cell r="B4259" t="str">
            <v>A5C</v>
          </cell>
          <cell r="C4259" t="str">
            <v>P</v>
          </cell>
          <cell r="D4259" t="str">
            <v>23078</v>
          </cell>
          <cell r="E4259" t="str">
            <v>BALL VA</v>
          </cell>
          <cell r="F4259">
            <v>6</v>
          </cell>
          <cell r="G4259" t="str">
            <v>VB8010600000T00</v>
          </cell>
          <cell r="H4259">
            <v>0.75</v>
          </cell>
          <cell r="I4259" t="str">
            <v>--</v>
          </cell>
          <cell r="J4259">
            <v>2</v>
          </cell>
          <cell r="K4259">
            <v>2</v>
          </cell>
        </row>
        <row r="4260">
          <cell r="A4260" t="str">
            <v>M2</v>
          </cell>
          <cell r="B4260" t="str">
            <v>A5C</v>
          </cell>
          <cell r="C4260" t="str">
            <v>P</v>
          </cell>
          <cell r="D4260" t="str">
            <v>23078</v>
          </cell>
          <cell r="E4260" t="str">
            <v>BALL VA</v>
          </cell>
          <cell r="F4260">
            <v>6</v>
          </cell>
          <cell r="G4260" t="str">
            <v>VB8010600000T00</v>
          </cell>
          <cell r="H4260">
            <v>0.75</v>
          </cell>
          <cell r="I4260" t="str">
            <v>--</v>
          </cell>
          <cell r="J4260">
            <v>1</v>
          </cell>
          <cell r="K4260">
            <v>1</v>
          </cell>
        </row>
        <row r="4261">
          <cell r="A4261" t="str">
            <v>M2</v>
          </cell>
          <cell r="B4261" t="str">
            <v>A5C</v>
          </cell>
          <cell r="C4261" t="str">
            <v>P</v>
          </cell>
          <cell r="D4261" t="str">
            <v>23084</v>
          </cell>
          <cell r="E4261" t="str">
            <v>BALL VA</v>
          </cell>
          <cell r="F4261">
            <v>6</v>
          </cell>
          <cell r="G4261" t="str">
            <v>VB8010600000T00</v>
          </cell>
          <cell r="H4261">
            <v>0.75</v>
          </cell>
          <cell r="I4261" t="str">
            <v>--</v>
          </cell>
          <cell r="J4261">
            <v>2</v>
          </cell>
          <cell r="K4261">
            <v>2</v>
          </cell>
        </row>
        <row r="4262">
          <cell r="A4262" t="str">
            <v>M2</v>
          </cell>
          <cell r="B4262" t="str">
            <v>A5C</v>
          </cell>
          <cell r="C4262" t="str">
            <v>P</v>
          </cell>
          <cell r="D4262" t="str">
            <v>23081</v>
          </cell>
          <cell r="E4262" t="str">
            <v>BALL VA</v>
          </cell>
          <cell r="F4262">
            <v>6</v>
          </cell>
          <cell r="G4262" t="str">
            <v>VB8010600000T00</v>
          </cell>
          <cell r="H4262">
            <v>0.75</v>
          </cell>
          <cell r="I4262" t="str">
            <v>--</v>
          </cell>
          <cell r="J4262">
            <v>3</v>
          </cell>
          <cell r="K4262">
            <v>3</v>
          </cell>
        </row>
        <row r="4263">
          <cell r="A4263" t="str">
            <v>M2</v>
          </cell>
          <cell r="B4263" t="str">
            <v>A5C</v>
          </cell>
          <cell r="C4263" t="str">
            <v>P</v>
          </cell>
          <cell r="D4263" t="str">
            <v>23082</v>
          </cell>
          <cell r="E4263" t="str">
            <v>BALL VA</v>
          </cell>
          <cell r="F4263">
            <v>6</v>
          </cell>
          <cell r="G4263" t="str">
            <v>VB8010600000T00</v>
          </cell>
          <cell r="H4263">
            <v>0.75</v>
          </cell>
          <cell r="I4263" t="str">
            <v>--</v>
          </cell>
          <cell r="J4263">
            <v>2</v>
          </cell>
          <cell r="K4263">
            <v>2</v>
          </cell>
        </row>
        <row r="4264">
          <cell r="A4264" t="str">
            <v>M2</v>
          </cell>
          <cell r="B4264" t="str">
            <v>A5C</v>
          </cell>
          <cell r="C4264" t="str">
            <v>P</v>
          </cell>
          <cell r="D4264" t="str">
            <v>23083</v>
          </cell>
          <cell r="E4264" t="str">
            <v>BALL VA</v>
          </cell>
          <cell r="F4264">
            <v>6</v>
          </cell>
          <cell r="G4264" t="str">
            <v>VB8010600000T00</v>
          </cell>
          <cell r="H4264">
            <v>0.75</v>
          </cell>
          <cell r="I4264" t="str">
            <v>--</v>
          </cell>
          <cell r="J4264">
            <v>1</v>
          </cell>
          <cell r="K4264">
            <v>1</v>
          </cell>
        </row>
        <row r="4265">
          <cell r="A4265" t="str">
            <v>M2</v>
          </cell>
          <cell r="B4265" t="str">
            <v>A5C</v>
          </cell>
          <cell r="C4265" t="str">
            <v>P</v>
          </cell>
          <cell r="D4265" t="str">
            <v>23085</v>
          </cell>
          <cell r="E4265" t="str">
            <v>BALL VA</v>
          </cell>
          <cell r="F4265">
            <v>6</v>
          </cell>
          <cell r="G4265" t="str">
            <v>VB8010600000T00</v>
          </cell>
          <cell r="H4265">
            <v>0.75</v>
          </cell>
          <cell r="I4265" t="str">
            <v>--</v>
          </cell>
          <cell r="J4265">
            <v>5</v>
          </cell>
          <cell r="K4265">
            <v>5</v>
          </cell>
        </row>
        <row r="4266">
          <cell r="A4266" t="str">
            <v>M2</v>
          </cell>
          <cell r="B4266" t="str">
            <v>A5C</v>
          </cell>
          <cell r="C4266" t="str">
            <v>P</v>
          </cell>
          <cell r="D4266" t="str">
            <v>23094</v>
          </cell>
          <cell r="E4266" t="str">
            <v>BALL VA</v>
          </cell>
          <cell r="F4266">
            <v>6</v>
          </cell>
          <cell r="G4266" t="str">
            <v>VB8010600000T00</v>
          </cell>
          <cell r="H4266">
            <v>0.75</v>
          </cell>
          <cell r="I4266" t="str">
            <v>--</v>
          </cell>
          <cell r="J4266">
            <v>3</v>
          </cell>
          <cell r="K4266">
            <v>3</v>
          </cell>
        </row>
        <row r="4267">
          <cell r="A4267" t="str">
            <v>M2</v>
          </cell>
          <cell r="B4267" t="str">
            <v>A5C</v>
          </cell>
          <cell r="C4267" t="str">
            <v>P</v>
          </cell>
          <cell r="D4267" t="str">
            <v>23095</v>
          </cell>
          <cell r="E4267" t="str">
            <v>BALL VA</v>
          </cell>
          <cell r="F4267">
            <v>6</v>
          </cell>
          <cell r="G4267" t="str">
            <v>VB8010600000T00</v>
          </cell>
          <cell r="H4267">
            <v>0.75</v>
          </cell>
          <cell r="I4267" t="str">
            <v>--</v>
          </cell>
          <cell r="J4267">
            <v>2</v>
          </cell>
          <cell r="K4267">
            <v>2</v>
          </cell>
        </row>
        <row r="4268">
          <cell r="A4268" t="str">
            <v>M2</v>
          </cell>
          <cell r="B4268" t="str">
            <v>A5C</v>
          </cell>
          <cell r="C4268" t="str">
            <v>P</v>
          </cell>
          <cell r="D4268" t="str">
            <v>23096</v>
          </cell>
          <cell r="E4268" t="str">
            <v>BALL VA</v>
          </cell>
          <cell r="F4268">
            <v>6</v>
          </cell>
          <cell r="G4268" t="str">
            <v>VB8010600000T00</v>
          </cell>
          <cell r="H4268">
            <v>0.75</v>
          </cell>
          <cell r="I4268" t="str">
            <v>--</v>
          </cell>
          <cell r="J4268">
            <v>3</v>
          </cell>
          <cell r="K4268">
            <v>3</v>
          </cell>
        </row>
        <row r="4269">
          <cell r="A4269" t="str">
            <v>M2</v>
          </cell>
          <cell r="B4269" t="str">
            <v>A5C</v>
          </cell>
          <cell r="C4269" t="str">
            <v>P</v>
          </cell>
          <cell r="D4269" t="str">
            <v>23096</v>
          </cell>
          <cell r="E4269" t="str">
            <v>BALL VA</v>
          </cell>
          <cell r="F4269">
            <v>6</v>
          </cell>
          <cell r="G4269" t="str">
            <v>VB8010600000T00</v>
          </cell>
          <cell r="H4269">
            <v>0.75</v>
          </cell>
          <cell r="I4269" t="str">
            <v>--</v>
          </cell>
          <cell r="J4269">
            <v>2</v>
          </cell>
          <cell r="K4269">
            <v>2</v>
          </cell>
        </row>
        <row r="4270">
          <cell r="A4270" t="str">
            <v>M2</v>
          </cell>
          <cell r="B4270" t="str">
            <v>A5C</v>
          </cell>
          <cell r="C4270" t="str">
            <v>P</v>
          </cell>
          <cell r="D4270" t="str">
            <v>23104</v>
          </cell>
          <cell r="E4270" t="str">
            <v>BALL VA</v>
          </cell>
          <cell r="F4270">
            <v>6</v>
          </cell>
          <cell r="G4270" t="str">
            <v>VB8010600000T00</v>
          </cell>
          <cell r="H4270">
            <v>0.75</v>
          </cell>
          <cell r="I4270" t="str">
            <v>--</v>
          </cell>
          <cell r="J4270">
            <v>1</v>
          </cell>
          <cell r="K4270">
            <v>1</v>
          </cell>
        </row>
        <row r="4271">
          <cell r="A4271" t="str">
            <v>M2</v>
          </cell>
          <cell r="B4271" t="str">
            <v>A5C</v>
          </cell>
          <cell r="C4271" t="str">
            <v>P</v>
          </cell>
          <cell r="D4271" t="str">
            <v>23101</v>
          </cell>
          <cell r="E4271" t="str">
            <v>BALL VA</v>
          </cell>
          <cell r="F4271">
            <v>6</v>
          </cell>
          <cell r="G4271" t="str">
            <v>VB8010600000T00</v>
          </cell>
          <cell r="H4271">
            <v>0.75</v>
          </cell>
          <cell r="I4271" t="str">
            <v>--</v>
          </cell>
          <cell r="J4271">
            <v>1</v>
          </cell>
          <cell r="K4271">
            <v>1</v>
          </cell>
        </row>
        <row r="4272">
          <cell r="A4272" t="str">
            <v>M2</v>
          </cell>
          <cell r="B4272" t="str">
            <v>A5C</v>
          </cell>
          <cell r="C4272" t="str">
            <v>P</v>
          </cell>
          <cell r="D4272" t="str">
            <v>23103</v>
          </cell>
          <cell r="E4272" t="str">
            <v>BALL VA</v>
          </cell>
          <cell r="F4272">
            <v>6</v>
          </cell>
          <cell r="G4272" t="str">
            <v>VB8010600000T00</v>
          </cell>
          <cell r="H4272">
            <v>0.75</v>
          </cell>
          <cell r="I4272" t="str">
            <v>--</v>
          </cell>
          <cell r="J4272">
            <v>2</v>
          </cell>
          <cell r="K4272">
            <v>2</v>
          </cell>
        </row>
        <row r="4273">
          <cell r="A4273" t="str">
            <v>M2</v>
          </cell>
          <cell r="B4273" t="str">
            <v>A5C</v>
          </cell>
          <cell r="C4273" t="str">
            <v>P</v>
          </cell>
          <cell r="D4273" t="str">
            <v>23104</v>
          </cell>
          <cell r="E4273" t="str">
            <v>BALL VA</v>
          </cell>
          <cell r="F4273">
            <v>6</v>
          </cell>
          <cell r="G4273" t="str">
            <v>VB8010600000T00</v>
          </cell>
          <cell r="H4273">
            <v>0.75</v>
          </cell>
          <cell r="I4273" t="str">
            <v>--</v>
          </cell>
          <cell r="J4273">
            <v>1</v>
          </cell>
          <cell r="K4273">
            <v>1</v>
          </cell>
        </row>
        <row r="4274">
          <cell r="A4274" t="str">
            <v>M2</v>
          </cell>
          <cell r="B4274" t="str">
            <v>A5C</v>
          </cell>
          <cell r="C4274" t="str">
            <v>P</v>
          </cell>
          <cell r="D4274" t="str">
            <v>23104</v>
          </cell>
          <cell r="E4274" t="str">
            <v>BALL VA</v>
          </cell>
          <cell r="F4274">
            <v>6</v>
          </cell>
          <cell r="G4274" t="str">
            <v>VB8010600000T00</v>
          </cell>
          <cell r="H4274">
            <v>0.75</v>
          </cell>
          <cell r="I4274" t="str">
            <v>--</v>
          </cell>
          <cell r="J4274">
            <v>1</v>
          </cell>
          <cell r="K4274">
            <v>1</v>
          </cell>
        </row>
        <row r="4275">
          <cell r="A4275" t="str">
            <v>M2</v>
          </cell>
          <cell r="B4275" t="str">
            <v>A5C</v>
          </cell>
          <cell r="C4275" t="str">
            <v>P</v>
          </cell>
          <cell r="D4275" t="str">
            <v>23104</v>
          </cell>
          <cell r="E4275" t="str">
            <v>BALL VA</v>
          </cell>
          <cell r="F4275">
            <v>6</v>
          </cell>
          <cell r="G4275" t="str">
            <v>VB8010600000T00</v>
          </cell>
          <cell r="H4275">
            <v>0.75</v>
          </cell>
          <cell r="I4275" t="str">
            <v>--</v>
          </cell>
          <cell r="J4275">
            <v>1</v>
          </cell>
          <cell r="K4275">
            <v>1</v>
          </cell>
        </row>
        <row r="4276">
          <cell r="A4276" t="str">
            <v>M2</v>
          </cell>
          <cell r="B4276" t="str">
            <v>A5C</v>
          </cell>
          <cell r="C4276" t="str">
            <v>P</v>
          </cell>
          <cell r="D4276" t="str">
            <v>23105</v>
          </cell>
          <cell r="E4276" t="str">
            <v>BALL VA</v>
          </cell>
          <cell r="F4276">
            <v>6</v>
          </cell>
          <cell r="G4276" t="str">
            <v>VB8010600000T00</v>
          </cell>
          <cell r="H4276">
            <v>0.75</v>
          </cell>
          <cell r="I4276" t="str">
            <v>--</v>
          </cell>
          <cell r="J4276">
            <v>1</v>
          </cell>
          <cell r="K4276">
            <v>1</v>
          </cell>
        </row>
        <row r="4277">
          <cell r="A4277" t="str">
            <v>M2</v>
          </cell>
          <cell r="B4277" t="str">
            <v>A5C</v>
          </cell>
          <cell r="C4277" t="str">
            <v>P</v>
          </cell>
          <cell r="D4277" t="str">
            <v>23108</v>
          </cell>
          <cell r="E4277" t="str">
            <v>BALL VA</v>
          </cell>
          <cell r="F4277">
            <v>6</v>
          </cell>
          <cell r="G4277" t="str">
            <v>VB8010600000T00</v>
          </cell>
          <cell r="H4277">
            <v>0.75</v>
          </cell>
          <cell r="I4277" t="str">
            <v>--</v>
          </cell>
          <cell r="J4277">
            <v>1</v>
          </cell>
          <cell r="K4277">
            <v>1</v>
          </cell>
        </row>
        <row r="4278">
          <cell r="A4278" t="str">
            <v>M2</v>
          </cell>
          <cell r="B4278" t="str">
            <v>A5C</v>
          </cell>
          <cell r="C4278" t="str">
            <v>P</v>
          </cell>
          <cell r="D4278" t="str">
            <v>23107</v>
          </cell>
          <cell r="E4278" t="str">
            <v>BALL VA</v>
          </cell>
          <cell r="F4278">
            <v>6</v>
          </cell>
          <cell r="G4278" t="str">
            <v>VB8010600000T00</v>
          </cell>
          <cell r="H4278">
            <v>0.75</v>
          </cell>
          <cell r="I4278" t="str">
            <v>--</v>
          </cell>
          <cell r="J4278">
            <v>2</v>
          </cell>
          <cell r="K4278">
            <v>2</v>
          </cell>
        </row>
        <row r="4279">
          <cell r="A4279" t="str">
            <v>M2</v>
          </cell>
          <cell r="B4279" t="str">
            <v>A5C</v>
          </cell>
          <cell r="C4279" t="str">
            <v>P</v>
          </cell>
          <cell r="D4279" t="str">
            <v>23108</v>
          </cell>
          <cell r="E4279" t="str">
            <v>BALL VA</v>
          </cell>
          <cell r="F4279">
            <v>6</v>
          </cell>
          <cell r="G4279" t="str">
            <v>VB8010600000T00</v>
          </cell>
          <cell r="H4279">
            <v>0.75</v>
          </cell>
          <cell r="I4279" t="str">
            <v>--</v>
          </cell>
          <cell r="J4279">
            <v>1</v>
          </cell>
          <cell r="K4279">
            <v>1</v>
          </cell>
        </row>
        <row r="4280">
          <cell r="A4280" t="str">
            <v>M2</v>
          </cell>
          <cell r="B4280" t="str">
            <v>A5C</v>
          </cell>
          <cell r="C4280" t="str">
            <v>P</v>
          </cell>
          <cell r="D4280" t="str">
            <v>23111</v>
          </cell>
          <cell r="E4280" t="str">
            <v>BALL VA</v>
          </cell>
          <cell r="F4280">
            <v>6</v>
          </cell>
          <cell r="G4280" t="str">
            <v>VB8010600000T00</v>
          </cell>
          <cell r="H4280">
            <v>0.75</v>
          </cell>
          <cell r="I4280" t="str">
            <v>--</v>
          </cell>
          <cell r="J4280">
            <v>2</v>
          </cell>
          <cell r="K4280">
            <v>2</v>
          </cell>
        </row>
        <row r="4281">
          <cell r="A4281" t="str">
            <v>M2</v>
          </cell>
          <cell r="B4281" t="str">
            <v>A5C</v>
          </cell>
          <cell r="C4281" t="str">
            <v>P</v>
          </cell>
          <cell r="D4281" t="str">
            <v>23112</v>
          </cell>
          <cell r="E4281" t="str">
            <v>BALL VA</v>
          </cell>
          <cell r="F4281">
            <v>6</v>
          </cell>
          <cell r="G4281" t="str">
            <v>VB8010600000T00</v>
          </cell>
          <cell r="H4281">
            <v>0.75</v>
          </cell>
          <cell r="I4281" t="str">
            <v>--</v>
          </cell>
          <cell r="J4281">
            <v>1</v>
          </cell>
          <cell r="K4281">
            <v>1</v>
          </cell>
        </row>
        <row r="4282">
          <cell r="A4282" t="str">
            <v>M2</v>
          </cell>
          <cell r="B4282" t="str">
            <v>A5C</v>
          </cell>
          <cell r="C4282" t="str">
            <v>P</v>
          </cell>
          <cell r="D4282" t="str">
            <v>23113</v>
          </cell>
          <cell r="E4282" t="str">
            <v>BALL VA</v>
          </cell>
          <cell r="F4282">
            <v>6</v>
          </cell>
          <cell r="G4282" t="str">
            <v>VB8010600000T00</v>
          </cell>
          <cell r="H4282">
            <v>0.75</v>
          </cell>
          <cell r="I4282" t="str">
            <v>--</v>
          </cell>
          <cell r="J4282">
            <v>3</v>
          </cell>
          <cell r="K4282">
            <v>3</v>
          </cell>
        </row>
        <row r="4283">
          <cell r="A4283" t="str">
            <v>M2</v>
          </cell>
          <cell r="B4283" t="str">
            <v>A5C</v>
          </cell>
          <cell r="C4283" t="str">
            <v>P</v>
          </cell>
          <cell r="D4283" t="str">
            <v>23113</v>
          </cell>
          <cell r="E4283" t="str">
            <v>BALL VA</v>
          </cell>
          <cell r="F4283">
            <v>6</v>
          </cell>
          <cell r="G4283" t="str">
            <v>VB8010600000T00</v>
          </cell>
          <cell r="H4283">
            <v>0.75</v>
          </cell>
          <cell r="I4283" t="str">
            <v>--</v>
          </cell>
          <cell r="J4283">
            <v>1</v>
          </cell>
          <cell r="K4283">
            <v>1</v>
          </cell>
        </row>
        <row r="4284">
          <cell r="A4284" t="str">
            <v>M2</v>
          </cell>
          <cell r="B4284" t="str">
            <v>A5C</v>
          </cell>
          <cell r="C4284" t="str">
            <v>P</v>
          </cell>
          <cell r="D4284" t="str">
            <v>23116</v>
          </cell>
          <cell r="E4284" t="str">
            <v>BALL VA</v>
          </cell>
          <cell r="F4284">
            <v>6</v>
          </cell>
          <cell r="G4284" t="str">
            <v>VB8010600000T00</v>
          </cell>
          <cell r="H4284">
            <v>0.75</v>
          </cell>
          <cell r="I4284" t="str">
            <v>--</v>
          </cell>
          <cell r="J4284">
            <v>2</v>
          </cell>
          <cell r="K4284">
            <v>2</v>
          </cell>
        </row>
        <row r="4285">
          <cell r="A4285" t="str">
            <v>M2</v>
          </cell>
          <cell r="B4285" t="str">
            <v>A5C</v>
          </cell>
          <cell r="C4285" t="str">
            <v>P</v>
          </cell>
          <cell r="D4285" t="str">
            <v>23116</v>
          </cell>
          <cell r="E4285" t="str">
            <v>BALL VA</v>
          </cell>
          <cell r="F4285">
            <v>6</v>
          </cell>
          <cell r="G4285" t="str">
            <v>VB8010600000T00</v>
          </cell>
          <cell r="H4285">
            <v>0.75</v>
          </cell>
          <cell r="I4285" t="str">
            <v>--</v>
          </cell>
          <cell r="J4285">
            <v>2</v>
          </cell>
          <cell r="K4285">
            <v>2</v>
          </cell>
        </row>
        <row r="4286">
          <cell r="A4286" t="str">
            <v>M2</v>
          </cell>
          <cell r="B4286" t="str">
            <v>A5C</v>
          </cell>
          <cell r="C4286" t="str">
            <v>P</v>
          </cell>
          <cell r="D4286" t="str">
            <v>23117</v>
          </cell>
          <cell r="E4286" t="str">
            <v>BALL VA</v>
          </cell>
          <cell r="F4286">
            <v>6</v>
          </cell>
          <cell r="G4286" t="str">
            <v>VB8010600000T00</v>
          </cell>
          <cell r="H4286">
            <v>0.75</v>
          </cell>
          <cell r="I4286" t="str">
            <v>--</v>
          </cell>
          <cell r="J4286">
            <v>2</v>
          </cell>
          <cell r="K4286">
            <v>2</v>
          </cell>
        </row>
        <row r="4287">
          <cell r="A4287" t="str">
            <v>M2</v>
          </cell>
          <cell r="B4287" t="str">
            <v>A5C</v>
          </cell>
          <cell r="C4287" t="str">
            <v>P</v>
          </cell>
          <cell r="D4287" t="str">
            <v>23121</v>
          </cell>
          <cell r="E4287" t="str">
            <v>BALL VA</v>
          </cell>
          <cell r="F4287">
            <v>6</v>
          </cell>
          <cell r="G4287" t="str">
            <v>VB8010600000T00</v>
          </cell>
          <cell r="H4287">
            <v>0.75</v>
          </cell>
          <cell r="I4287" t="str">
            <v>--</v>
          </cell>
          <cell r="J4287">
            <v>2</v>
          </cell>
          <cell r="K4287">
            <v>2</v>
          </cell>
        </row>
        <row r="4288">
          <cell r="A4288" t="str">
            <v>M2</v>
          </cell>
          <cell r="B4288" t="str">
            <v>A5C</v>
          </cell>
          <cell r="C4288" t="str">
            <v>P</v>
          </cell>
          <cell r="D4288" t="str">
            <v>23123</v>
          </cell>
          <cell r="E4288" t="str">
            <v>BALL VA</v>
          </cell>
          <cell r="F4288">
            <v>6</v>
          </cell>
          <cell r="G4288" t="str">
            <v>VB8010600000T00</v>
          </cell>
          <cell r="H4288">
            <v>0.75</v>
          </cell>
          <cell r="I4288" t="str">
            <v>--</v>
          </cell>
          <cell r="J4288">
            <v>2</v>
          </cell>
          <cell r="K4288">
            <v>2</v>
          </cell>
        </row>
        <row r="4289">
          <cell r="A4289" t="str">
            <v>M2</v>
          </cell>
          <cell r="B4289" t="str">
            <v>A5C</v>
          </cell>
          <cell r="C4289" t="str">
            <v>P</v>
          </cell>
          <cell r="D4289" t="str">
            <v>23122</v>
          </cell>
          <cell r="E4289" t="str">
            <v>BALL VA</v>
          </cell>
          <cell r="F4289">
            <v>6</v>
          </cell>
          <cell r="G4289" t="str">
            <v>VB8010600000T00</v>
          </cell>
          <cell r="H4289">
            <v>0.75</v>
          </cell>
          <cell r="I4289" t="str">
            <v>--</v>
          </cell>
          <cell r="J4289">
            <v>1</v>
          </cell>
          <cell r="K4289">
            <v>1</v>
          </cell>
        </row>
        <row r="4290">
          <cell r="A4290" t="str">
            <v>M2</v>
          </cell>
          <cell r="B4290" t="str">
            <v>A5C</v>
          </cell>
          <cell r="C4290" t="str">
            <v>P</v>
          </cell>
          <cell r="D4290" t="str">
            <v>23124</v>
          </cell>
          <cell r="E4290" t="str">
            <v>BALL VA</v>
          </cell>
          <cell r="F4290">
            <v>6</v>
          </cell>
          <cell r="G4290" t="str">
            <v>VB8010600000T00</v>
          </cell>
          <cell r="H4290">
            <v>0.75</v>
          </cell>
          <cell r="I4290" t="str">
            <v>--</v>
          </cell>
          <cell r="J4290">
            <v>3</v>
          </cell>
          <cell r="K4290">
            <v>3</v>
          </cell>
        </row>
        <row r="4291">
          <cell r="A4291" t="str">
            <v>M2</v>
          </cell>
          <cell r="B4291" t="str">
            <v>A5C</v>
          </cell>
          <cell r="C4291" t="str">
            <v>P</v>
          </cell>
          <cell r="D4291" t="str">
            <v>23124</v>
          </cell>
          <cell r="E4291" t="str">
            <v>BALL VA</v>
          </cell>
          <cell r="F4291">
            <v>6</v>
          </cell>
          <cell r="G4291" t="str">
            <v>VB8010600000T00</v>
          </cell>
          <cell r="H4291">
            <v>0.75</v>
          </cell>
          <cell r="I4291" t="str">
            <v>--</v>
          </cell>
          <cell r="J4291">
            <v>2</v>
          </cell>
          <cell r="K4291">
            <v>2</v>
          </cell>
        </row>
        <row r="4292">
          <cell r="A4292" t="str">
            <v>M2</v>
          </cell>
          <cell r="B4292" t="str">
            <v>A5C</v>
          </cell>
          <cell r="C4292" t="str">
            <v>P</v>
          </cell>
          <cell r="D4292" t="str">
            <v>23127</v>
          </cell>
          <cell r="E4292" t="str">
            <v>BALL VA</v>
          </cell>
          <cell r="F4292">
            <v>6</v>
          </cell>
          <cell r="G4292" t="str">
            <v>VB8010600000T00</v>
          </cell>
          <cell r="H4292">
            <v>0.75</v>
          </cell>
          <cell r="I4292" t="str">
            <v>--</v>
          </cell>
          <cell r="J4292">
            <v>2</v>
          </cell>
          <cell r="K4292">
            <v>2</v>
          </cell>
        </row>
        <row r="4293">
          <cell r="A4293" t="str">
            <v>M2</v>
          </cell>
          <cell r="B4293" t="str">
            <v>A5C</v>
          </cell>
          <cell r="C4293" t="str">
            <v>P</v>
          </cell>
          <cell r="D4293" t="str">
            <v>23126</v>
          </cell>
          <cell r="E4293" t="str">
            <v>BALL VA</v>
          </cell>
          <cell r="F4293">
            <v>6</v>
          </cell>
          <cell r="G4293" t="str">
            <v>VB8010600000T00</v>
          </cell>
          <cell r="H4293">
            <v>0.75</v>
          </cell>
          <cell r="I4293" t="str">
            <v>--</v>
          </cell>
          <cell r="J4293">
            <v>2</v>
          </cell>
          <cell r="K4293">
            <v>2</v>
          </cell>
        </row>
        <row r="4294">
          <cell r="A4294" t="str">
            <v>M2</v>
          </cell>
          <cell r="B4294" t="str">
            <v>A5C</v>
          </cell>
          <cell r="C4294" t="str">
            <v>P</v>
          </cell>
          <cell r="D4294" t="str">
            <v>23133</v>
          </cell>
          <cell r="E4294" t="str">
            <v>BALL VA</v>
          </cell>
          <cell r="F4294">
            <v>6</v>
          </cell>
          <cell r="G4294" t="str">
            <v>VB8010600000T00</v>
          </cell>
          <cell r="H4294">
            <v>0.75</v>
          </cell>
          <cell r="I4294" t="str">
            <v>--</v>
          </cell>
          <cell r="J4294">
            <v>1</v>
          </cell>
          <cell r="K4294">
            <v>1</v>
          </cell>
        </row>
        <row r="4295">
          <cell r="A4295" t="str">
            <v>M2</v>
          </cell>
          <cell r="B4295" t="str">
            <v>A5C</v>
          </cell>
          <cell r="C4295" t="str">
            <v>P</v>
          </cell>
          <cell r="D4295" t="str">
            <v>23134</v>
          </cell>
          <cell r="E4295" t="str">
            <v>BALL VA</v>
          </cell>
          <cell r="F4295">
            <v>6</v>
          </cell>
          <cell r="G4295" t="str">
            <v>VB8010600000T00</v>
          </cell>
          <cell r="H4295">
            <v>0.75</v>
          </cell>
          <cell r="I4295" t="str">
            <v>--</v>
          </cell>
          <cell r="J4295">
            <v>2</v>
          </cell>
          <cell r="K4295">
            <v>2</v>
          </cell>
        </row>
        <row r="4296">
          <cell r="A4296" t="str">
            <v>M2</v>
          </cell>
          <cell r="B4296" t="str">
            <v>A5C</v>
          </cell>
          <cell r="C4296" t="str">
            <v>P</v>
          </cell>
          <cell r="D4296" t="str">
            <v>23135</v>
          </cell>
          <cell r="E4296" t="str">
            <v>BALL VA</v>
          </cell>
          <cell r="F4296">
            <v>6</v>
          </cell>
          <cell r="G4296" t="str">
            <v>VB8010600000T00</v>
          </cell>
          <cell r="H4296">
            <v>0.75</v>
          </cell>
          <cell r="I4296" t="str">
            <v>--</v>
          </cell>
          <cell r="J4296">
            <v>3</v>
          </cell>
          <cell r="K4296">
            <v>3</v>
          </cell>
        </row>
        <row r="4297">
          <cell r="A4297" t="str">
            <v>M2</v>
          </cell>
          <cell r="B4297" t="str">
            <v>A5C</v>
          </cell>
          <cell r="C4297" t="str">
            <v>P</v>
          </cell>
          <cell r="D4297" t="str">
            <v>23135</v>
          </cell>
          <cell r="E4297" t="str">
            <v>BALL VA</v>
          </cell>
          <cell r="F4297">
            <v>6</v>
          </cell>
          <cell r="G4297" t="str">
            <v>VB8010600000T00</v>
          </cell>
          <cell r="H4297">
            <v>0.75</v>
          </cell>
          <cell r="I4297" t="str">
            <v>--</v>
          </cell>
          <cell r="J4297">
            <v>4</v>
          </cell>
          <cell r="K4297">
            <v>4</v>
          </cell>
        </row>
        <row r="4298">
          <cell r="A4298" t="str">
            <v>M2</v>
          </cell>
          <cell r="B4298" t="str">
            <v>A5C</v>
          </cell>
          <cell r="C4298" t="str">
            <v>P</v>
          </cell>
          <cell r="D4298" t="str">
            <v>23141</v>
          </cell>
          <cell r="E4298" t="str">
            <v>BALL VA</v>
          </cell>
          <cell r="F4298">
            <v>6</v>
          </cell>
          <cell r="G4298" t="str">
            <v>VB8010600000T00</v>
          </cell>
          <cell r="H4298">
            <v>0.75</v>
          </cell>
          <cell r="I4298" t="str">
            <v>--</v>
          </cell>
          <cell r="J4298">
            <v>3</v>
          </cell>
          <cell r="K4298">
            <v>3</v>
          </cell>
        </row>
        <row r="4299">
          <cell r="A4299" t="str">
            <v>M2</v>
          </cell>
          <cell r="B4299" t="str">
            <v>A5C</v>
          </cell>
          <cell r="C4299" t="str">
            <v>P</v>
          </cell>
          <cell r="D4299" t="str">
            <v>23142</v>
          </cell>
          <cell r="E4299" t="str">
            <v>BALL VA</v>
          </cell>
          <cell r="F4299">
            <v>6</v>
          </cell>
          <cell r="G4299" t="str">
            <v>VB8010600000T00</v>
          </cell>
          <cell r="H4299">
            <v>0.75</v>
          </cell>
          <cell r="I4299" t="str">
            <v>--</v>
          </cell>
          <cell r="J4299">
            <v>2</v>
          </cell>
          <cell r="K4299">
            <v>2</v>
          </cell>
        </row>
        <row r="4300">
          <cell r="A4300" t="str">
            <v>M2</v>
          </cell>
          <cell r="B4300" t="str">
            <v>A5C</v>
          </cell>
          <cell r="C4300" t="str">
            <v>P</v>
          </cell>
          <cell r="D4300" t="str">
            <v>23143</v>
          </cell>
          <cell r="E4300" t="str">
            <v>BALL VA</v>
          </cell>
          <cell r="F4300">
            <v>6</v>
          </cell>
          <cell r="G4300" t="str">
            <v>VB8010600000T00</v>
          </cell>
          <cell r="H4300">
            <v>0.75</v>
          </cell>
          <cell r="I4300" t="str">
            <v>--</v>
          </cell>
          <cell r="J4300">
            <v>2</v>
          </cell>
          <cell r="K4300">
            <v>2</v>
          </cell>
        </row>
        <row r="4301">
          <cell r="A4301" t="str">
            <v>M2</v>
          </cell>
          <cell r="B4301" t="str">
            <v>A5C</v>
          </cell>
          <cell r="C4301" t="str">
            <v>P</v>
          </cell>
          <cell r="D4301" t="str">
            <v>23144</v>
          </cell>
          <cell r="E4301" t="str">
            <v>BALL VA</v>
          </cell>
          <cell r="F4301">
            <v>6</v>
          </cell>
          <cell r="G4301" t="str">
            <v>VB8010600000T00</v>
          </cell>
          <cell r="H4301">
            <v>0.75</v>
          </cell>
          <cell r="I4301" t="str">
            <v>--</v>
          </cell>
          <cell r="J4301">
            <v>2</v>
          </cell>
          <cell r="K4301">
            <v>2</v>
          </cell>
        </row>
        <row r="4302">
          <cell r="A4302" t="str">
            <v>M2</v>
          </cell>
          <cell r="B4302" t="str">
            <v>A5C</v>
          </cell>
          <cell r="C4302" t="str">
            <v>P</v>
          </cell>
          <cell r="D4302" t="str">
            <v>23144</v>
          </cell>
          <cell r="E4302" t="str">
            <v>BALL VA</v>
          </cell>
          <cell r="F4302">
            <v>6</v>
          </cell>
          <cell r="G4302" t="str">
            <v>VB8010600000T00</v>
          </cell>
          <cell r="H4302">
            <v>0.75</v>
          </cell>
          <cell r="I4302" t="str">
            <v>--</v>
          </cell>
          <cell r="J4302">
            <v>2</v>
          </cell>
          <cell r="K4302">
            <v>2</v>
          </cell>
        </row>
        <row r="4303">
          <cell r="A4303" t="str">
            <v>M2</v>
          </cell>
          <cell r="B4303" t="str">
            <v>A5C</v>
          </cell>
          <cell r="C4303" t="str">
            <v>P</v>
          </cell>
          <cell r="D4303" t="str">
            <v>23145</v>
          </cell>
          <cell r="E4303" t="str">
            <v>BALL VA</v>
          </cell>
          <cell r="F4303">
            <v>6</v>
          </cell>
          <cell r="G4303" t="str">
            <v>VB8010600000T00</v>
          </cell>
          <cell r="H4303">
            <v>0.75</v>
          </cell>
          <cell r="I4303" t="str">
            <v>--</v>
          </cell>
          <cell r="J4303">
            <v>1</v>
          </cell>
          <cell r="K4303">
            <v>1</v>
          </cell>
        </row>
        <row r="4304">
          <cell r="A4304" t="str">
            <v>M2</v>
          </cell>
          <cell r="B4304" t="str">
            <v>A5C</v>
          </cell>
          <cell r="C4304" t="str">
            <v>P</v>
          </cell>
          <cell r="D4304" t="str">
            <v>23146</v>
          </cell>
          <cell r="E4304" t="str">
            <v>BALL VA</v>
          </cell>
          <cell r="F4304">
            <v>6</v>
          </cell>
          <cell r="G4304" t="str">
            <v>VB8010600000T00</v>
          </cell>
          <cell r="H4304">
            <v>0.75</v>
          </cell>
          <cell r="I4304" t="str">
            <v>--</v>
          </cell>
          <cell r="J4304">
            <v>2</v>
          </cell>
          <cell r="K4304">
            <v>2</v>
          </cell>
        </row>
        <row r="4305">
          <cell r="A4305" t="str">
            <v>M2</v>
          </cell>
          <cell r="B4305" t="str">
            <v>A5C</v>
          </cell>
          <cell r="C4305" t="str">
            <v>P</v>
          </cell>
          <cell r="D4305" t="str">
            <v>23147</v>
          </cell>
          <cell r="E4305" t="str">
            <v>BALL VA</v>
          </cell>
          <cell r="F4305">
            <v>6</v>
          </cell>
          <cell r="G4305" t="str">
            <v>VB8010600000T00</v>
          </cell>
          <cell r="H4305">
            <v>0.75</v>
          </cell>
          <cell r="I4305" t="str">
            <v>--</v>
          </cell>
          <cell r="J4305">
            <v>2</v>
          </cell>
          <cell r="K4305">
            <v>2</v>
          </cell>
        </row>
        <row r="4306">
          <cell r="A4306" t="str">
            <v>M2</v>
          </cell>
          <cell r="B4306" t="str">
            <v>A5C</v>
          </cell>
          <cell r="C4306" t="str">
            <v>P</v>
          </cell>
          <cell r="D4306" t="str">
            <v>23148</v>
          </cell>
          <cell r="E4306" t="str">
            <v>BALL VA</v>
          </cell>
          <cell r="F4306">
            <v>6</v>
          </cell>
          <cell r="G4306" t="str">
            <v>VB8010600000T00</v>
          </cell>
          <cell r="H4306">
            <v>0.75</v>
          </cell>
          <cell r="I4306" t="str">
            <v>--</v>
          </cell>
          <cell r="J4306">
            <v>2</v>
          </cell>
          <cell r="K4306">
            <v>2</v>
          </cell>
        </row>
        <row r="4307">
          <cell r="A4307" t="str">
            <v>M2</v>
          </cell>
          <cell r="B4307" t="str">
            <v>A5C</v>
          </cell>
          <cell r="C4307" t="str">
            <v>P</v>
          </cell>
          <cell r="D4307" t="str">
            <v>23148</v>
          </cell>
          <cell r="E4307" t="str">
            <v>BALL VA</v>
          </cell>
          <cell r="F4307">
            <v>6</v>
          </cell>
          <cell r="G4307" t="str">
            <v>VB8010600000T00</v>
          </cell>
          <cell r="H4307">
            <v>0.75</v>
          </cell>
          <cell r="I4307" t="str">
            <v>--</v>
          </cell>
          <cell r="J4307">
            <v>2</v>
          </cell>
          <cell r="K4307">
            <v>2</v>
          </cell>
        </row>
        <row r="4308">
          <cell r="A4308" t="str">
            <v>M2</v>
          </cell>
          <cell r="B4308" t="str">
            <v>A5C</v>
          </cell>
          <cell r="C4308" t="str">
            <v>P</v>
          </cell>
          <cell r="D4308" t="str">
            <v>23149</v>
          </cell>
          <cell r="E4308" t="str">
            <v>BALL VA</v>
          </cell>
          <cell r="F4308">
            <v>6</v>
          </cell>
          <cell r="G4308" t="str">
            <v>VB8010600000T00</v>
          </cell>
          <cell r="H4308">
            <v>0.75</v>
          </cell>
          <cell r="I4308" t="str">
            <v>--</v>
          </cell>
          <cell r="J4308">
            <v>1</v>
          </cell>
          <cell r="K4308">
            <v>1</v>
          </cell>
        </row>
        <row r="4309">
          <cell r="A4309" t="str">
            <v>M2</v>
          </cell>
          <cell r="B4309" t="str">
            <v>A5C</v>
          </cell>
          <cell r="C4309" t="str">
            <v>P</v>
          </cell>
          <cell r="D4309" t="str">
            <v>23149</v>
          </cell>
          <cell r="E4309" t="str">
            <v>BALL VA</v>
          </cell>
          <cell r="F4309">
            <v>6</v>
          </cell>
          <cell r="G4309" t="str">
            <v>VB8010600000T00</v>
          </cell>
          <cell r="H4309">
            <v>0.75</v>
          </cell>
          <cell r="I4309" t="str">
            <v>--</v>
          </cell>
          <cell r="J4309">
            <v>2</v>
          </cell>
          <cell r="K4309">
            <v>2</v>
          </cell>
        </row>
        <row r="4310">
          <cell r="A4310" t="str">
            <v>M2</v>
          </cell>
          <cell r="B4310" t="str">
            <v>A5C</v>
          </cell>
          <cell r="C4310" t="str">
            <v>P</v>
          </cell>
          <cell r="D4310" t="str">
            <v>23152</v>
          </cell>
          <cell r="E4310" t="str">
            <v>BALL VA</v>
          </cell>
          <cell r="F4310">
            <v>6</v>
          </cell>
          <cell r="G4310" t="str">
            <v>VB8010600000T00</v>
          </cell>
          <cell r="H4310">
            <v>0.75</v>
          </cell>
          <cell r="I4310" t="str">
            <v>--</v>
          </cell>
          <cell r="J4310">
            <v>1</v>
          </cell>
          <cell r="K4310">
            <v>1</v>
          </cell>
        </row>
        <row r="4311">
          <cell r="A4311" t="str">
            <v>M2</v>
          </cell>
          <cell r="B4311" t="str">
            <v>A5C</v>
          </cell>
          <cell r="C4311" t="str">
            <v>P</v>
          </cell>
          <cell r="D4311" t="str">
            <v>23160</v>
          </cell>
          <cell r="E4311" t="str">
            <v>BALL VA</v>
          </cell>
          <cell r="F4311">
            <v>6</v>
          </cell>
          <cell r="G4311" t="str">
            <v>VB8010600000T00</v>
          </cell>
          <cell r="H4311">
            <v>0.75</v>
          </cell>
          <cell r="I4311" t="str">
            <v>--</v>
          </cell>
          <cell r="J4311">
            <v>2</v>
          </cell>
          <cell r="K4311">
            <v>2</v>
          </cell>
        </row>
        <row r="4312">
          <cell r="A4312" t="str">
            <v>M2</v>
          </cell>
          <cell r="B4312" t="str">
            <v>A5C</v>
          </cell>
          <cell r="C4312" t="str">
            <v>P</v>
          </cell>
          <cell r="D4312" t="str">
            <v>23160</v>
          </cell>
          <cell r="E4312" t="str">
            <v>BALL VA</v>
          </cell>
          <cell r="F4312">
            <v>6</v>
          </cell>
          <cell r="G4312" t="str">
            <v>VB8010600000T00</v>
          </cell>
          <cell r="H4312">
            <v>0.75</v>
          </cell>
          <cell r="I4312" t="str">
            <v>--</v>
          </cell>
          <cell r="J4312">
            <v>1</v>
          </cell>
          <cell r="K4312">
            <v>1</v>
          </cell>
        </row>
        <row r="4313">
          <cell r="A4313" t="str">
            <v>M2</v>
          </cell>
          <cell r="B4313" t="str">
            <v>A5C</v>
          </cell>
          <cell r="C4313" t="str">
            <v>P</v>
          </cell>
          <cell r="D4313" t="str">
            <v>23164</v>
          </cell>
          <cell r="E4313" t="str">
            <v>BALL VA</v>
          </cell>
          <cell r="F4313">
            <v>6</v>
          </cell>
          <cell r="G4313" t="str">
            <v>VB8010600000T00</v>
          </cell>
          <cell r="H4313">
            <v>0.75</v>
          </cell>
          <cell r="I4313" t="str">
            <v>--</v>
          </cell>
          <cell r="J4313">
            <v>2</v>
          </cell>
          <cell r="K4313">
            <v>2</v>
          </cell>
        </row>
        <row r="4314">
          <cell r="A4314" t="str">
            <v>M2</v>
          </cell>
          <cell r="B4314" t="str">
            <v>A5C</v>
          </cell>
          <cell r="C4314" t="str">
            <v>P</v>
          </cell>
          <cell r="D4314" t="str">
            <v>23174</v>
          </cell>
          <cell r="E4314" t="str">
            <v>BALL VA</v>
          </cell>
          <cell r="F4314">
            <v>6</v>
          </cell>
          <cell r="G4314" t="str">
            <v>VB8010600000T00</v>
          </cell>
          <cell r="H4314">
            <v>0.75</v>
          </cell>
          <cell r="I4314" t="str">
            <v>--</v>
          </cell>
          <cell r="J4314">
            <v>2</v>
          </cell>
          <cell r="K4314">
            <v>2</v>
          </cell>
        </row>
        <row r="4315">
          <cell r="A4315" t="str">
            <v>M2</v>
          </cell>
          <cell r="B4315" t="str">
            <v>A5C</v>
          </cell>
          <cell r="C4315" t="str">
            <v>P</v>
          </cell>
          <cell r="D4315" t="str">
            <v>23174</v>
          </cell>
          <cell r="E4315" t="str">
            <v>BALL VA</v>
          </cell>
          <cell r="F4315">
            <v>6</v>
          </cell>
          <cell r="G4315" t="str">
            <v>VB8010600000T00</v>
          </cell>
          <cell r="H4315">
            <v>0.75</v>
          </cell>
          <cell r="I4315" t="str">
            <v>--</v>
          </cell>
          <cell r="J4315">
            <v>1</v>
          </cell>
          <cell r="K4315">
            <v>1</v>
          </cell>
        </row>
        <row r="4316">
          <cell r="A4316" t="str">
            <v>M2</v>
          </cell>
          <cell r="B4316" t="str">
            <v>A5C</v>
          </cell>
          <cell r="C4316" t="str">
            <v>P</v>
          </cell>
          <cell r="D4316" t="str">
            <v>23181</v>
          </cell>
          <cell r="E4316" t="str">
            <v>BALL VA</v>
          </cell>
          <cell r="F4316">
            <v>6</v>
          </cell>
          <cell r="G4316" t="str">
            <v>VB8010600000T00</v>
          </cell>
          <cell r="H4316">
            <v>0.75</v>
          </cell>
          <cell r="I4316" t="str">
            <v>--</v>
          </cell>
          <cell r="J4316">
            <v>2</v>
          </cell>
          <cell r="K4316">
            <v>2</v>
          </cell>
        </row>
        <row r="4317">
          <cell r="A4317" t="str">
            <v>M2</v>
          </cell>
          <cell r="B4317" t="str">
            <v>A5C</v>
          </cell>
          <cell r="C4317" t="str">
            <v>P</v>
          </cell>
          <cell r="D4317" t="str">
            <v>23185</v>
          </cell>
          <cell r="E4317" t="str">
            <v>BALL VA</v>
          </cell>
          <cell r="F4317">
            <v>6</v>
          </cell>
          <cell r="G4317" t="str">
            <v>VB8010600000T00</v>
          </cell>
          <cell r="H4317">
            <v>0.75</v>
          </cell>
          <cell r="I4317" t="str">
            <v>--</v>
          </cell>
          <cell r="J4317">
            <v>2</v>
          </cell>
          <cell r="K4317">
            <v>2</v>
          </cell>
        </row>
        <row r="4318">
          <cell r="A4318" t="str">
            <v>M2</v>
          </cell>
          <cell r="B4318" t="str">
            <v>A5C</v>
          </cell>
          <cell r="C4318" t="str">
            <v>P</v>
          </cell>
          <cell r="D4318" t="str">
            <v>23188</v>
          </cell>
          <cell r="E4318" t="str">
            <v>BALL VA</v>
          </cell>
          <cell r="F4318">
            <v>6</v>
          </cell>
          <cell r="G4318" t="str">
            <v>VB8010600000T00</v>
          </cell>
          <cell r="H4318">
            <v>0.75</v>
          </cell>
          <cell r="I4318" t="str">
            <v>--</v>
          </cell>
          <cell r="J4318">
            <v>9</v>
          </cell>
          <cell r="K4318">
            <v>9</v>
          </cell>
        </row>
        <row r="4319">
          <cell r="A4319" t="str">
            <v>M2</v>
          </cell>
          <cell r="B4319" t="str">
            <v>A5C</v>
          </cell>
          <cell r="C4319" t="str">
            <v>P</v>
          </cell>
          <cell r="D4319" t="str">
            <v>23188</v>
          </cell>
          <cell r="E4319" t="str">
            <v>BALL VA</v>
          </cell>
          <cell r="F4319">
            <v>6</v>
          </cell>
          <cell r="G4319" t="str">
            <v>VB8010600000T00</v>
          </cell>
          <cell r="H4319">
            <v>0.75</v>
          </cell>
          <cell r="I4319" t="str">
            <v>--</v>
          </cell>
          <cell r="J4319">
            <v>2</v>
          </cell>
          <cell r="K4319">
            <v>2</v>
          </cell>
        </row>
        <row r="4320">
          <cell r="A4320" t="str">
            <v>M2</v>
          </cell>
          <cell r="B4320" t="str">
            <v>A5C</v>
          </cell>
          <cell r="C4320" t="str">
            <v>P</v>
          </cell>
          <cell r="D4320" t="str">
            <v>23192</v>
          </cell>
          <cell r="E4320" t="str">
            <v>BALL VA</v>
          </cell>
          <cell r="F4320">
            <v>6</v>
          </cell>
          <cell r="G4320" t="str">
            <v>VB8010600000T00</v>
          </cell>
          <cell r="H4320">
            <v>0.75</v>
          </cell>
          <cell r="I4320" t="str">
            <v>--</v>
          </cell>
          <cell r="J4320">
            <v>1</v>
          </cell>
          <cell r="K4320">
            <v>1</v>
          </cell>
        </row>
        <row r="4321">
          <cell r="A4321" t="str">
            <v>M2</v>
          </cell>
          <cell r="B4321" t="str">
            <v>A5C</v>
          </cell>
          <cell r="C4321" t="str">
            <v>P</v>
          </cell>
          <cell r="D4321" t="str">
            <v>23192</v>
          </cell>
          <cell r="E4321" t="str">
            <v>BALL VA</v>
          </cell>
          <cell r="F4321">
            <v>6</v>
          </cell>
          <cell r="G4321" t="str">
            <v>VB8010600000T00</v>
          </cell>
          <cell r="H4321">
            <v>0.75</v>
          </cell>
          <cell r="I4321" t="str">
            <v>--</v>
          </cell>
          <cell r="J4321">
            <v>2</v>
          </cell>
          <cell r="K4321">
            <v>2</v>
          </cell>
        </row>
        <row r="4322">
          <cell r="A4322" t="str">
            <v>M2</v>
          </cell>
          <cell r="B4322" t="str">
            <v>A5C</v>
          </cell>
          <cell r="C4322" t="str">
            <v>P</v>
          </cell>
          <cell r="D4322" t="str">
            <v>23205</v>
          </cell>
          <cell r="E4322" t="str">
            <v>BALL VA</v>
          </cell>
          <cell r="F4322">
            <v>6</v>
          </cell>
          <cell r="G4322" t="str">
            <v>VB8010600000T00</v>
          </cell>
          <cell r="H4322">
            <v>0.75</v>
          </cell>
          <cell r="I4322" t="str">
            <v>--</v>
          </cell>
          <cell r="J4322">
            <v>1</v>
          </cell>
          <cell r="K4322">
            <v>1</v>
          </cell>
        </row>
        <row r="4323">
          <cell r="A4323" t="str">
            <v>M2</v>
          </cell>
          <cell r="B4323" t="str">
            <v>A5C</v>
          </cell>
          <cell r="C4323" t="str">
            <v>P</v>
          </cell>
          <cell r="D4323" t="str">
            <v>23208</v>
          </cell>
          <cell r="E4323" t="str">
            <v>BALL VA</v>
          </cell>
          <cell r="F4323">
            <v>6</v>
          </cell>
          <cell r="G4323" t="str">
            <v>VB8010600000T00</v>
          </cell>
          <cell r="H4323">
            <v>0.75</v>
          </cell>
          <cell r="I4323" t="str">
            <v>--</v>
          </cell>
          <cell r="J4323">
            <v>1</v>
          </cell>
          <cell r="K4323">
            <v>1</v>
          </cell>
        </row>
        <row r="4324">
          <cell r="A4324" t="str">
            <v>M2</v>
          </cell>
          <cell r="B4324" t="str">
            <v>A5C</v>
          </cell>
          <cell r="C4324" t="str">
            <v>P</v>
          </cell>
          <cell r="D4324" t="str">
            <v>23212</v>
          </cell>
          <cell r="E4324" t="str">
            <v>BALL VA</v>
          </cell>
          <cell r="F4324">
            <v>6</v>
          </cell>
          <cell r="G4324" t="str">
            <v>VB8010600000T00</v>
          </cell>
          <cell r="H4324">
            <v>0.75</v>
          </cell>
          <cell r="I4324" t="str">
            <v>--</v>
          </cell>
          <cell r="J4324">
            <v>1</v>
          </cell>
          <cell r="K4324">
            <v>1</v>
          </cell>
        </row>
        <row r="4325">
          <cell r="A4325" t="str">
            <v>M2</v>
          </cell>
          <cell r="B4325" t="str">
            <v>A5C</v>
          </cell>
          <cell r="C4325" t="str">
            <v>P</v>
          </cell>
          <cell r="D4325" t="str">
            <v>23207</v>
          </cell>
          <cell r="E4325" t="str">
            <v>BALL VA</v>
          </cell>
          <cell r="F4325">
            <v>6</v>
          </cell>
          <cell r="G4325" t="str">
            <v>VB8010600000T00</v>
          </cell>
          <cell r="H4325">
            <v>0.75</v>
          </cell>
          <cell r="I4325" t="str">
            <v>--</v>
          </cell>
          <cell r="J4325">
            <v>1</v>
          </cell>
          <cell r="K4325">
            <v>1</v>
          </cell>
        </row>
        <row r="4326">
          <cell r="A4326" t="str">
            <v>M2</v>
          </cell>
          <cell r="B4326" t="str">
            <v>A5C</v>
          </cell>
          <cell r="C4326" t="str">
            <v>P</v>
          </cell>
          <cell r="D4326" t="str">
            <v>23213</v>
          </cell>
          <cell r="E4326" t="str">
            <v>BALL VA</v>
          </cell>
          <cell r="F4326">
            <v>6</v>
          </cell>
          <cell r="G4326" t="str">
            <v>VB8010600000T00</v>
          </cell>
          <cell r="H4326">
            <v>0.75</v>
          </cell>
          <cell r="I4326" t="str">
            <v>--</v>
          </cell>
          <cell r="J4326">
            <v>1</v>
          </cell>
          <cell r="K4326">
            <v>1</v>
          </cell>
        </row>
        <row r="4327">
          <cell r="A4327" t="str">
            <v>M2</v>
          </cell>
          <cell r="B4327" t="str">
            <v>A5C</v>
          </cell>
          <cell r="C4327" t="str">
            <v>P</v>
          </cell>
          <cell r="D4327" t="str">
            <v>23225</v>
          </cell>
          <cell r="E4327" t="str">
            <v>BALL VA</v>
          </cell>
          <cell r="F4327">
            <v>6</v>
          </cell>
          <cell r="G4327" t="str">
            <v>VB8010600000T00</v>
          </cell>
          <cell r="H4327">
            <v>0.75</v>
          </cell>
          <cell r="I4327" t="str">
            <v>--</v>
          </cell>
          <cell r="J4327">
            <v>3</v>
          </cell>
          <cell r="K4327">
            <v>3</v>
          </cell>
        </row>
        <row r="4328">
          <cell r="A4328" t="str">
            <v>M2</v>
          </cell>
          <cell r="B4328" t="str">
            <v>A5C</v>
          </cell>
          <cell r="C4328" t="str">
            <v>P</v>
          </cell>
          <cell r="D4328" t="str">
            <v>23226</v>
          </cell>
          <cell r="E4328" t="str">
            <v>BALL VA</v>
          </cell>
          <cell r="F4328">
            <v>6</v>
          </cell>
          <cell r="G4328" t="str">
            <v>VB8010600000T00</v>
          </cell>
          <cell r="H4328">
            <v>0.75</v>
          </cell>
          <cell r="I4328" t="str">
            <v>--</v>
          </cell>
          <cell r="J4328">
            <v>1</v>
          </cell>
          <cell r="K4328">
            <v>1</v>
          </cell>
        </row>
        <row r="4329">
          <cell r="A4329" t="str">
            <v>M2</v>
          </cell>
          <cell r="B4329" t="str">
            <v>A5C</v>
          </cell>
          <cell r="C4329" t="str">
            <v>P</v>
          </cell>
          <cell r="D4329" t="str">
            <v>23230</v>
          </cell>
          <cell r="E4329" t="str">
            <v>BALL VA</v>
          </cell>
          <cell r="F4329">
            <v>6</v>
          </cell>
          <cell r="G4329" t="str">
            <v>VB8010600000T00</v>
          </cell>
          <cell r="H4329">
            <v>0.75</v>
          </cell>
          <cell r="I4329" t="str">
            <v>--</v>
          </cell>
          <cell r="J4329">
            <v>1</v>
          </cell>
          <cell r="K4329">
            <v>1</v>
          </cell>
        </row>
        <row r="4330">
          <cell r="A4330" t="str">
            <v>M2</v>
          </cell>
          <cell r="B4330" t="str">
            <v>A5C</v>
          </cell>
          <cell r="C4330" t="str">
            <v>P</v>
          </cell>
          <cell r="D4330" t="str">
            <v>23230</v>
          </cell>
          <cell r="E4330" t="str">
            <v>BALL VA</v>
          </cell>
          <cell r="F4330">
            <v>6</v>
          </cell>
          <cell r="G4330" t="str">
            <v>VB8010600000T00</v>
          </cell>
          <cell r="H4330">
            <v>0.75</v>
          </cell>
          <cell r="I4330" t="str">
            <v>--</v>
          </cell>
          <cell r="J4330">
            <v>1</v>
          </cell>
          <cell r="K4330">
            <v>1</v>
          </cell>
        </row>
        <row r="4331">
          <cell r="A4331" t="str">
            <v>M2</v>
          </cell>
          <cell r="B4331" t="str">
            <v>A5C</v>
          </cell>
          <cell r="C4331" t="str">
            <v>P</v>
          </cell>
          <cell r="D4331" t="str">
            <v>23229</v>
          </cell>
          <cell r="E4331" t="str">
            <v>BALL VA</v>
          </cell>
          <cell r="F4331">
            <v>6</v>
          </cell>
          <cell r="G4331" t="str">
            <v>VB8010600000T00</v>
          </cell>
          <cell r="H4331">
            <v>0.75</v>
          </cell>
          <cell r="I4331" t="str">
            <v>--</v>
          </cell>
          <cell r="J4331">
            <v>1</v>
          </cell>
          <cell r="K4331">
            <v>1</v>
          </cell>
        </row>
        <row r="4332">
          <cell r="A4332" t="str">
            <v>M2</v>
          </cell>
          <cell r="B4332" t="str">
            <v>A5C</v>
          </cell>
          <cell r="C4332" t="str">
            <v>P</v>
          </cell>
          <cell r="D4332" t="str">
            <v>23236</v>
          </cell>
          <cell r="E4332" t="str">
            <v>BALL VA</v>
          </cell>
          <cell r="F4332">
            <v>6</v>
          </cell>
          <cell r="G4332" t="str">
            <v>VB8010600000T00</v>
          </cell>
          <cell r="H4332">
            <v>0.75</v>
          </cell>
          <cell r="I4332" t="str">
            <v>--</v>
          </cell>
          <cell r="J4332">
            <v>2</v>
          </cell>
          <cell r="K4332">
            <v>2</v>
          </cell>
        </row>
        <row r="4333">
          <cell r="A4333" t="str">
            <v>M2</v>
          </cell>
          <cell r="B4333" t="str">
            <v>A5C</v>
          </cell>
          <cell r="C4333" t="str">
            <v>P</v>
          </cell>
          <cell r="D4333" t="str">
            <v>23231</v>
          </cell>
          <cell r="E4333" t="str">
            <v>BALL VA</v>
          </cell>
          <cell r="F4333">
            <v>6</v>
          </cell>
          <cell r="G4333" t="str">
            <v>VB8010600000T00</v>
          </cell>
          <cell r="H4333">
            <v>0.75</v>
          </cell>
          <cell r="I4333" t="str">
            <v>--</v>
          </cell>
          <cell r="J4333">
            <v>1</v>
          </cell>
          <cell r="K4333">
            <v>1</v>
          </cell>
        </row>
        <row r="4334">
          <cell r="A4334" t="str">
            <v>M2</v>
          </cell>
          <cell r="B4334" t="str">
            <v>A5C</v>
          </cell>
          <cell r="C4334" t="str">
            <v>P</v>
          </cell>
          <cell r="D4334" t="str">
            <v>23235</v>
          </cell>
          <cell r="E4334" t="str">
            <v>BALL VA</v>
          </cell>
          <cell r="F4334">
            <v>6</v>
          </cell>
          <cell r="G4334" t="str">
            <v>VB8010600000T00</v>
          </cell>
          <cell r="H4334">
            <v>0.75</v>
          </cell>
          <cell r="I4334" t="str">
            <v>--</v>
          </cell>
          <cell r="J4334">
            <v>1</v>
          </cell>
          <cell r="K4334">
            <v>1</v>
          </cell>
        </row>
        <row r="4335">
          <cell r="A4335" t="str">
            <v>M2</v>
          </cell>
          <cell r="B4335" t="str">
            <v>A5C</v>
          </cell>
          <cell r="C4335" t="str">
            <v>P</v>
          </cell>
          <cell r="D4335" t="str">
            <v>23238</v>
          </cell>
          <cell r="E4335" t="str">
            <v>BALL VA</v>
          </cell>
          <cell r="F4335">
            <v>6</v>
          </cell>
          <cell r="G4335" t="str">
            <v>VB8010600000T00</v>
          </cell>
          <cell r="H4335">
            <v>0.75</v>
          </cell>
          <cell r="I4335" t="str">
            <v>--</v>
          </cell>
          <cell r="J4335">
            <v>1</v>
          </cell>
          <cell r="K4335">
            <v>1</v>
          </cell>
        </row>
        <row r="4336">
          <cell r="A4336" t="str">
            <v>M2</v>
          </cell>
          <cell r="B4336" t="str">
            <v>A5C</v>
          </cell>
          <cell r="C4336" t="str">
            <v>P</v>
          </cell>
          <cell r="D4336" t="str">
            <v>23239</v>
          </cell>
          <cell r="E4336" t="str">
            <v>BALL VA</v>
          </cell>
          <cell r="F4336">
            <v>6</v>
          </cell>
          <cell r="G4336" t="str">
            <v>VB8010600000T00</v>
          </cell>
          <cell r="H4336">
            <v>0.75</v>
          </cell>
          <cell r="I4336" t="str">
            <v>--</v>
          </cell>
          <cell r="J4336">
            <v>1</v>
          </cell>
          <cell r="K4336">
            <v>1</v>
          </cell>
        </row>
        <row r="4337">
          <cell r="A4337" t="str">
            <v>M2</v>
          </cell>
          <cell r="B4337" t="str">
            <v>A5C</v>
          </cell>
          <cell r="C4337" t="str">
            <v>P</v>
          </cell>
          <cell r="D4337" t="str">
            <v>23240</v>
          </cell>
          <cell r="E4337" t="str">
            <v>BALL VA</v>
          </cell>
          <cell r="F4337">
            <v>6</v>
          </cell>
          <cell r="G4337" t="str">
            <v>VB8010600000T00</v>
          </cell>
          <cell r="H4337">
            <v>0.75</v>
          </cell>
          <cell r="I4337" t="str">
            <v>--</v>
          </cell>
          <cell r="J4337">
            <v>2</v>
          </cell>
          <cell r="K4337">
            <v>2</v>
          </cell>
        </row>
        <row r="4338">
          <cell r="A4338" t="str">
            <v>M2</v>
          </cell>
          <cell r="B4338" t="str">
            <v>A5C</v>
          </cell>
          <cell r="C4338" t="str">
            <v>P</v>
          </cell>
          <cell r="D4338" t="str">
            <v>23247</v>
          </cell>
          <cell r="E4338" t="str">
            <v>BALL VA</v>
          </cell>
          <cell r="F4338">
            <v>6</v>
          </cell>
          <cell r="G4338" t="str">
            <v>VB8010600000T00</v>
          </cell>
          <cell r="H4338">
            <v>0.75</v>
          </cell>
          <cell r="I4338" t="str">
            <v>--</v>
          </cell>
          <cell r="J4338">
            <v>3</v>
          </cell>
          <cell r="K4338">
            <v>3</v>
          </cell>
        </row>
        <row r="4339">
          <cell r="A4339" t="str">
            <v>M2</v>
          </cell>
          <cell r="B4339" t="str">
            <v>A5C</v>
          </cell>
          <cell r="C4339" t="str">
            <v>P</v>
          </cell>
          <cell r="D4339" t="str">
            <v>23248</v>
          </cell>
          <cell r="E4339" t="str">
            <v>BALL VA</v>
          </cell>
          <cell r="F4339">
            <v>6</v>
          </cell>
          <cell r="G4339" t="str">
            <v>VB8010600000T00</v>
          </cell>
          <cell r="H4339">
            <v>0.75</v>
          </cell>
          <cell r="I4339" t="str">
            <v>--</v>
          </cell>
          <cell r="J4339">
            <v>1</v>
          </cell>
          <cell r="K4339">
            <v>1</v>
          </cell>
        </row>
        <row r="4340">
          <cell r="A4340" t="str">
            <v>M2</v>
          </cell>
          <cell r="B4340" t="str">
            <v>A5C</v>
          </cell>
          <cell r="C4340" t="str">
            <v>P</v>
          </cell>
          <cell r="D4340" t="str">
            <v>23258</v>
          </cell>
          <cell r="E4340" t="str">
            <v>BALL VA</v>
          </cell>
          <cell r="F4340">
            <v>6</v>
          </cell>
          <cell r="G4340" t="str">
            <v>VB8010600000T00</v>
          </cell>
          <cell r="H4340">
            <v>0.75</v>
          </cell>
          <cell r="I4340" t="str">
            <v>--</v>
          </cell>
          <cell r="J4340">
            <v>1</v>
          </cell>
          <cell r="K4340">
            <v>1</v>
          </cell>
        </row>
        <row r="4341">
          <cell r="A4341" t="str">
            <v>M2</v>
          </cell>
          <cell r="B4341" t="str">
            <v>A5C</v>
          </cell>
          <cell r="C4341" t="str">
            <v>P</v>
          </cell>
          <cell r="D4341" t="str">
            <v>23252</v>
          </cell>
          <cell r="E4341" t="str">
            <v>BALL VA</v>
          </cell>
          <cell r="F4341">
            <v>6</v>
          </cell>
          <cell r="G4341" t="str">
            <v>VB8010600000T00</v>
          </cell>
          <cell r="H4341">
            <v>0.75</v>
          </cell>
          <cell r="I4341" t="str">
            <v>--</v>
          </cell>
          <cell r="J4341">
            <v>1</v>
          </cell>
          <cell r="K4341">
            <v>1</v>
          </cell>
        </row>
        <row r="4342">
          <cell r="A4342" t="str">
            <v>M2</v>
          </cell>
          <cell r="B4342" t="str">
            <v>A5C</v>
          </cell>
          <cell r="C4342" t="str">
            <v>P</v>
          </cell>
          <cell r="D4342" t="str">
            <v>23252</v>
          </cell>
          <cell r="E4342" t="str">
            <v>BALL VA</v>
          </cell>
          <cell r="F4342">
            <v>6</v>
          </cell>
          <cell r="G4342" t="str">
            <v>VB8010600000T00</v>
          </cell>
          <cell r="H4342">
            <v>0.75</v>
          </cell>
          <cell r="I4342" t="str">
            <v>--</v>
          </cell>
          <cell r="J4342">
            <v>1</v>
          </cell>
          <cell r="K4342">
            <v>1</v>
          </cell>
        </row>
        <row r="4343">
          <cell r="A4343" t="str">
            <v>M2</v>
          </cell>
          <cell r="B4343" t="str">
            <v>A5C</v>
          </cell>
          <cell r="C4343" t="str">
            <v>P</v>
          </cell>
          <cell r="D4343" t="str">
            <v>23254</v>
          </cell>
          <cell r="E4343" t="str">
            <v>BALL VA</v>
          </cell>
          <cell r="F4343">
            <v>6</v>
          </cell>
          <cell r="G4343" t="str">
            <v>VB8010600000T00</v>
          </cell>
          <cell r="H4343">
            <v>0.75</v>
          </cell>
          <cell r="I4343" t="str">
            <v>--</v>
          </cell>
          <cell r="J4343">
            <v>2</v>
          </cell>
          <cell r="K4343">
            <v>2</v>
          </cell>
        </row>
        <row r="4344">
          <cell r="A4344" t="str">
            <v>M2</v>
          </cell>
          <cell r="B4344" t="str">
            <v>A5C</v>
          </cell>
          <cell r="C4344" t="str">
            <v>P</v>
          </cell>
          <cell r="D4344" t="str">
            <v>23259</v>
          </cell>
          <cell r="E4344" t="str">
            <v>BALL VA</v>
          </cell>
          <cell r="F4344">
            <v>6</v>
          </cell>
          <cell r="G4344" t="str">
            <v>VB8010600000T00</v>
          </cell>
          <cell r="H4344">
            <v>0.75</v>
          </cell>
          <cell r="I4344" t="str">
            <v>--</v>
          </cell>
          <cell r="J4344">
            <v>2</v>
          </cell>
          <cell r="K4344">
            <v>2</v>
          </cell>
        </row>
        <row r="4345">
          <cell r="A4345" t="str">
            <v>M2</v>
          </cell>
          <cell r="B4345" t="str">
            <v>A5C</v>
          </cell>
          <cell r="C4345" t="str">
            <v>P</v>
          </cell>
          <cell r="D4345" t="str">
            <v>24008</v>
          </cell>
          <cell r="E4345" t="str">
            <v>BALL VA</v>
          </cell>
          <cell r="F4345">
            <v>6</v>
          </cell>
          <cell r="G4345" t="str">
            <v>VB8010600000T00</v>
          </cell>
          <cell r="H4345">
            <v>0.75</v>
          </cell>
          <cell r="I4345" t="str">
            <v>--</v>
          </cell>
          <cell r="J4345">
            <v>1</v>
          </cell>
          <cell r="K4345">
            <v>1</v>
          </cell>
        </row>
        <row r="4346">
          <cell r="A4346" t="str">
            <v>M2</v>
          </cell>
          <cell r="B4346" t="str">
            <v>A5C</v>
          </cell>
          <cell r="C4346" t="str">
            <v>P</v>
          </cell>
          <cell r="D4346" t="str">
            <v>24008</v>
          </cell>
          <cell r="E4346" t="str">
            <v>BALL VA</v>
          </cell>
          <cell r="F4346">
            <v>6</v>
          </cell>
          <cell r="G4346" t="str">
            <v>VB8010600000T00</v>
          </cell>
          <cell r="H4346">
            <v>0.75</v>
          </cell>
          <cell r="I4346" t="str">
            <v>--</v>
          </cell>
          <cell r="J4346">
            <v>2</v>
          </cell>
          <cell r="K4346">
            <v>2</v>
          </cell>
        </row>
        <row r="4347">
          <cell r="A4347" t="str">
            <v>M2</v>
          </cell>
          <cell r="B4347" t="str">
            <v>A5C</v>
          </cell>
          <cell r="C4347" t="str">
            <v>P</v>
          </cell>
          <cell r="D4347" t="str">
            <v>24014</v>
          </cell>
          <cell r="E4347" t="str">
            <v>BALL VA</v>
          </cell>
          <cell r="F4347">
            <v>6</v>
          </cell>
          <cell r="G4347" t="str">
            <v>VB8010600000T00</v>
          </cell>
          <cell r="H4347">
            <v>0.75</v>
          </cell>
          <cell r="I4347" t="str">
            <v>--</v>
          </cell>
          <cell r="J4347">
            <v>2</v>
          </cell>
          <cell r="K4347">
            <v>2</v>
          </cell>
        </row>
        <row r="4348">
          <cell r="A4348" t="str">
            <v>M2</v>
          </cell>
          <cell r="B4348" t="str">
            <v>A5C</v>
          </cell>
          <cell r="C4348" t="str">
            <v>P</v>
          </cell>
          <cell r="D4348" t="str">
            <v>24020</v>
          </cell>
          <cell r="E4348" t="str">
            <v>BALL VA</v>
          </cell>
          <cell r="F4348">
            <v>6</v>
          </cell>
          <cell r="G4348" t="str">
            <v>VB8010600000T00</v>
          </cell>
          <cell r="H4348">
            <v>0.75</v>
          </cell>
          <cell r="I4348" t="str">
            <v>--</v>
          </cell>
          <cell r="J4348">
            <v>1</v>
          </cell>
          <cell r="K4348">
            <v>1</v>
          </cell>
        </row>
        <row r="4349">
          <cell r="A4349" t="str">
            <v>M2</v>
          </cell>
          <cell r="B4349" t="str">
            <v>A5C</v>
          </cell>
          <cell r="C4349" t="str">
            <v>P</v>
          </cell>
          <cell r="D4349" t="str">
            <v>24021</v>
          </cell>
          <cell r="E4349" t="str">
            <v>BALL VA</v>
          </cell>
          <cell r="F4349">
            <v>6</v>
          </cell>
          <cell r="G4349" t="str">
            <v>VB8010600000T00</v>
          </cell>
          <cell r="H4349">
            <v>0.75</v>
          </cell>
          <cell r="I4349" t="str">
            <v>--</v>
          </cell>
          <cell r="J4349">
            <v>2</v>
          </cell>
          <cell r="K4349">
            <v>2</v>
          </cell>
        </row>
        <row r="4350">
          <cell r="A4350" t="str">
            <v>M2</v>
          </cell>
          <cell r="B4350" t="str">
            <v>A5C</v>
          </cell>
          <cell r="C4350" t="str">
            <v>P</v>
          </cell>
          <cell r="D4350" t="str">
            <v>24024</v>
          </cell>
          <cell r="E4350" t="str">
            <v>BALL VA</v>
          </cell>
          <cell r="F4350">
            <v>6</v>
          </cell>
          <cell r="G4350" t="str">
            <v>VB8010600000T00</v>
          </cell>
          <cell r="H4350">
            <v>0.75</v>
          </cell>
          <cell r="I4350" t="str">
            <v>--</v>
          </cell>
          <cell r="J4350">
            <v>5</v>
          </cell>
          <cell r="K4350">
            <v>5</v>
          </cell>
        </row>
        <row r="4351">
          <cell r="A4351" t="str">
            <v>M2</v>
          </cell>
          <cell r="B4351" t="str">
            <v>A5C</v>
          </cell>
          <cell r="C4351" t="str">
            <v>P</v>
          </cell>
          <cell r="D4351" t="str">
            <v>99003</v>
          </cell>
          <cell r="E4351" t="str">
            <v>BALL VA</v>
          </cell>
          <cell r="F4351">
            <v>6</v>
          </cell>
          <cell r="G4351" t="str">
            <v>VB8010600000T00</v>
          </cell>
          <cell r="H4351">
            <v>0.75</v>
          </cell>
          <cell r="I4351" t="str">
            <v>--</v>
          </cell>
          <cell r="J4351">
            <v>2</v>
          </cell>
          <cell r="K4351">
            <v>2</v>
          </cell>
        </row>
        <row r="4352">
          <cell r="A4352" t="str">
            <v>M2</v>
          </cell>
          <cell r="B4352" t="str">
            <v>A5C</v>
          </cell>
          <cell r="C4352" t="str">
            <v>P</v>
          </cell>
          <cell r="D4352" t="str">
            <v>99003</v>
          </cell>
          <cell r="E4352" t="str">
            <v>BALL VA</v>
          </cell>
          <cell r="F4352">
            <v>6</v>
          </cell>
          <cell r="G4352" t="str">
            <v>VB8010600000T00</v>
          </cell>
          <cell r="H4352">
            <v>0.75</v>
          </cell>
          <cell r="I4352" t="str">
            <v>--</v>
          </cell>
          <cell r="J4352">
            <v>2</v>
          </cell>
          <cell r="K4352">
            <v>2</v>
          </cell>
        </row>
        <row r="4353">
          <cell r="A4353" t="str">
            <v>M2</v>
          </cell>
          <cell r="B4353" t="str">
            <v>A5C</v>
          </cell>
          <cell r="C4353" t="str">
            <v>P</v>
          </cell>
          <cell r="D4353" t="str">
            <v>99003</v>
          </cell>
          <cell r="E4353" t="str">
            <v>BALL VA</v>
          </cell>
          <cell r="F4353">
            <v>6</v>
          </cell>
          <cell r="G4353" t="str">
            <v>VB8010600000T00</v>
          </cell>
          <cell r="H4353">
            <v>0.75</v>
          </cell>
          <cell r="I4353" t="str">
            <v>--</v>
          </cell>
          <cell r="J4353">
            <v>1</v>
          </cell>
          <cell r="K4353">
            <v>1</v>
          </cell>
        </row>
        <row r="4354">
          <cell r="A4354" t="str">
            <v>M2</v>
          </cell>
          <cell r="B4354" t="str">
            <v>A5C</v>
          </cell>
          <cell r="C4354" t="str">
            <v>TRIM</v>
          </cell>
          <cell r="D4354" t="str">
            <v>V-2301</v>
          </cell>
          <cell r="E4354" t="str">
            <v>BALL VA</v>
          </cell>
          <cell r="F4354">
            <v>6</v>
          </cell>
          <cell r="G4354" t="str">
            <v>VB8010600000T00</v>
          </cell>
          <cell r="H4354">
            <v>0.75</v>
          </cell>
          <cell r="I4354" t="str">
            <v>--</v>
          </cell>
          <cell r="J4354">
            <v>2</v>
          </cell>
          <cell r="K4354">
            <v>2</v>
          </cell>
        </row>
        <row r="4355">
          <cell r="A4355" t="str">
            <v>M2</v>
          </cell>
          <cell r="B4355" t="str">
            <v>A5C</v>
          </cell>
          <cell r="C4355" t="str">
            <v>TRIM</v>
          </cell>
          <cell r="D4355" t="str">
            <v>V-2301</v>
          </cell>
          <cell r="E4355" t="str">
            <v>BALL VA</v>
          </cell>
          <cell r="F4355">
            <v>6</v>
          </cell>
          <cell r="G4355" t="str">
            <v>VB8010600000T00</v>
          </cell>
          <cell r="H4355">
            <v>0.75</v>
          </cell>
          <cell r="I4355" t="str">
            <v>--</v>
          </cell>
          <cell r="J4355">
            <v>2</v>
          </cell>
          <cell r="K4355">
            <v>2</v>
          </cell>
        </row>
        <row r="4356">
          <cell r="A4356" t="str">
            <v>M2</v>
          </cell>
          <cell r="B4356" t="str">
            <v>A5C</v>
          </cell>
          <cell r="C4356" t="str">
            <v>TRIM</v>
          </cell>
          <cell r="D4356" t="str">
            <v>V-2315</v>
          </cell>
          <cell r="E4356" t="str">
            <v>BALL VA</v>
          </cell>
          <cell r="F4356">
            <v>6</v>
          </cell>
          <cell r="G4356" t="str">
            <v>VB8010600000T00</v>
          </cell>
          <cell r="H4356">
            <v>0.75</v>
          </cell>
          <cell r="I4356" t="str">
            <v>--</v>
          </cell>
          <cell r="J4356">
            <v>2</v>
          </cell>
          <cell r="K4356">
            <v>2</v>
          </cell>
        </row>
        <row r="4357">
          <cell r="A4357" t="str">
            <v>M2</v>
          </cell>
          <cell r="B4357" t="str">
            <v>A5C</v>
          </cell>
          <cell r="C4357" t="str">
            <v>TRIM</v>
          </cell>
          <cell r="D4357" t="str">
            <v>V-2316</v>
          </cell>
          <cell r="E4357" t="str">
            <v>BALL VA</v>
          </cell>
          <cell r="F4357">
            <v>6</v>
          </cell>
          <cell r="G4357" t="str">
            <v>VB8010600000T00</v>
          </cell>
          <cell r="H4357">
            <v>0.75</v>
          </cell>
          <cell r="I4357" t="str">
            <v>--</v>
          </cell>
          <cell r="J4357">
            <v>2</v>
          </cell>
          <cell r="K4357">
            <v>2</v>
          </cell>
        </row>
        <row r="4358">
          <cell r="A4358" t="str">
            <v>M2</v>
          </cell>
          <cell r="B4358" t="str">
            <v>A5C</v>
          </cell>
          <cell r="C4358" t="str">
            <v>TRIM</v>
          </cell>
          <cell r="D4358" t="str">
            <v>V-2316</v>
          </cell>
          <cell r="E4358" t="str">
            <v>BALL VA</v>
          </cell>
          <cell r="F4358">
            <v>6</v>
          </cell>
          <cell r="G4358" t="str">
            <v>VB8010600000T00</v>
          </cell>
          <cell r="H4358">
            <v>0.75</v>
          </cell>
          <cell r="I4358" t="str">
            <v>--</v>
          </cell>
          <cell r="J4358">
            <v>4</v>
          </cell>
          <cell r="K4358">
            <v>4</v>
          </cell>
        </row>
        <row r="4359">
          <cell r="A4359" t="str">
            <v>M2</v>
          </cell>
          <cell r="B4359" t="str">
            <v>A5C</v>
          </cell>
          <cell r="C4359" t="str">
            <v>TRIM</v>
          </cell>
          <cell r="D4359" t="str">
            <v>V-2318</v>
          </cell>
          <cell r="E4359" t="str">
            <v>BALL VA</v>
          </cell>
          <cell r="F4359">
            <v>6</v>
          </cell>
          <cell r="G4359" t="str">
            <v>VB8010600000T00</v>
          </cell>
          <cell r="H4359">
            <v>0.75</v>
          </cell>
          <cell r="I4359" t="str">
            <v>--</v>
          </cell>
          <cell r="J4359">
            <v>2</v>
          </cell>
          <cell r="K4359">
            <v>2</v>
          </cell>
        </row>
        <row r="4360">
          <cell r="A4360" t="str">
            <v>M2</v>
          </cell>
          <cell r="B4360" t="str">
            <v>A5C</v>
          </cell>
          <cell r="C4360" t="str">
            <v>TRIM</v>
          </cell>
          <cell r="D4360" t="str">
            <v>V-2320</v>
          </cell>
          <cell r="E4360" t="str">
            <v>BALL VA</v>
          </cell>
          <cell r="F4360">
            <v>6</v>
          </cell>
          <cell r="G4360" t="str">
            <v>VB8010600000T00</v>
          </cell>
          <cell r="H4360">
            <v>0.75</v>
          </cell>
          <cell r="I4360" t="str">
            <v>--</v>
          </cell>
          <cell r="J4360">
            <v>2</v>
          </cell>
          <cell r="K4360">
            <v>2</v>
          </cell>
        </row>
        <row r="4361">
          <cell r="A4361" t="str">
            <v>M2</v>
          </cell>
          <cell r="B4361" t="str">
            <v>A5C</v>
          </cell>
          <cell r="C4361" t="str">
            <v>TRIM</v>
          </cell>
          <cell r="D4361" t="str">
            <v>V-2320</v>
          </cell>
          <cell r="E4361" t="str">
            <v>BALL VA</v>
          </cell>
          <cell r="F4361">
            <v>6</v>
          </cell>
          <cell r="G4361" t="str">
            <v>VB8010600000T00</v>
          </cell>
          <cell r="H4361">
            <v>0.75</v>
          </cell>
          <cell r="I4361" t="str">
            <v>--</v>
          </cell>
          <cell r="J4361">
            <v>4</v>
          </cell>
          <cell r="K4361">
            <v>4</v>
          </cell>
        </row>
        <row r="4362">
          <cell r="A4362" t="str">
            <v>M2</v>
          </cell>
          <cell r="B4362" t="str">
            <v>A5C</v>
          </cell>
          <cell r="C4362" t="str">
            <v>TRIM</v>
          </cell>
          <cell r="D4362" t="str">
            <v>V-2321</v>
          </cell>
          <cell r="E4362" t="str">
            <v>BALL VA</v>
          </cell>
          <cell r="F4362">
            <v>6</v>
          </cell>
          <cell r="G4362" t="str">
            <v>VB8010600000T00</v>
          </cell>
          <cell r="H4362">
            <v>0.75</v>
          </cell>
          <cell r="I4362" t="str">
            <v>--</v>
          </cell>
          <cell r="J4362">
            <v>4</v>
          </cell>
          <cell r="K4362">
            <v>4</v>
          </cell>
        </row>
        <row r="4363">
          <cell r="A4363" t="str">
            <v>M2</v>
          </cell>
          <cell r="B4363" t="str">
            <v>A5C</v>
          </cell>
          <cell r="C4363" t="str">
            <v>TRIM</v>
          </cell>
          <cell r="D4363" t="str">
            <v>V-2321</v>
          </cell>
          <cell r="E4363" t="str">
            <v>BALL VA</v>
          </cell>
          <cell r="F4363">
            <v>6</v>
          </cell>
          <cell r="G4363" t="str">
            <v>VB8010600000T00</v>
          </cell>
          <cell r="H4363">
            <v>0.75</v>
          </cell>
          <cell r="I4363" t="str">
            <v>--</v>
          </cell>
          <cell r="J4363">
            <v>2</v>
          </cell>
          <cell r="K4363">
            <v>2</v>
          </cell>
        </row>
        <row r="4364">
          <cell r="A4364" t="str">
            <v>M2</v>
          </cell>
          <cell r="B4364" t="str">
            <v>A5C</v>
          </cell>
          <cell r="C4364" t="str">
            <v>TRIM</v>
          </cell>
          <cell r="D4364" t="str">
            <v>V-2323</v>
          </cell>
          <cell r="E4364" t="str">
            <v>BALL VA</v>
          </cell>
          <cell r="F4364">
            <v>6</v>
          </cell>
          <cell r="G4364" t="str">
            <v>VB8010600000T00</v>
          </cell>
          <cell r="H4364">
            <v>0.75</v>
          </cell>
          <cell r="I4364" t="str">
            <v>--</v>
          </cell>
          <cell r="J4364">
            <v>4</v>
          </cell>
          <cell r="K4364">
            <v>4</v>
          </cell>
        </row>
        <row r="4365">
          <cell r="A4365" t="str">
            <v>M2</v>
          </cell>
          <cell r="B4365" t="str">
            <v>A5C</v>
          </cell>
          <cell r="C4365" t="str">
            <v>TRIM</v>
          </cell>
          <cell r="D4365" t="str">
            <v>V-2323</v>
          </cell>
          <cell r="E4365" t="str">
            <v>BALL VA</v>
          </cell>
          <cell r="F4365">
            <v>6</v>
          </cell>
          <cell r="G4365" t="str">
            <v>VB8010600000T00</v>
          </cell>
          <cell r="H4365">
            <v>0.75</v>
          </cell>
          <cell r="I4365" t="str">
            <v>--</v>
          </cell>
          <cell r="J4365">
            <v>2</v>
          </cell>
          <cell r="K4365">
            <v>2</v>
          </cell>
        </row>
        <row r="4366">
          <cell r="A4366" t="str">
            <v>M2</v>
          </cell>
          <cell r="B4366" t="str">
            <v>A5C</v>
          </cell>
          <cell r="C4366" t="str">
            <v>TRIM</v>
          </cell>
          <cell r="D4366" t="str">
            <v>V-2324</v>
          </cell>
          <cell r="E4366" t="str">
            <v>BALL VA</v>
          </cell>
          <cell r="F4366">
            <v>6</v>
          </cell>
          <cell r="G4366" t="str">
            <v>VB8010600000T00</v>
          </cell>
          <cell r="H4366">
            <v>0.75</v>
          </cell>
          <cell r="I4366" t="str">
            <v>--</v>
          </cell>
          <cell r="J4366">
            <v>2</v>
          </cell>
          <cell r="K4366">
            <v>2</v>
          </cell>
        </row>
        <row r="4367">
          <cell r="A4367" t="str">
            <v>M2</v>
          </cell>
          <cell r="B4367" t="str">
            <v>A5C</v>
          </cell>
          <cell r="C4367" t="str">
            <v>TRIM</v>
          </cell>
          <cell r="D4367" t="str">
            <v>V-2324</v>
          </cell>
          <cell r="E4367" t="str">
            <v>BALL VA</v>
          </cell>
          <cell r="F4367">
            <v>6</v>
          </cell>
          <cell r="G4367" t="str">
            <v>VB8010600000T00</v>
          </cell>
          <cell r="H4367">
            <v>0.75</v>
          </cell>
          <cell r="I4367" t="str">
            <v>--</v>
          </cell>
          <cell r="J4367">
            <v>4</v>
          </cell>
          <cell r="K4367">
            <v>4</v>
          </cell>
        </row>
        <row r="4368">
          <cell r="A4368" t="str">
            <v>M2</v>
          </cell>
          <cell r="B4368" t="str">
            <v>A5C</v>
          </cell>
          <cell r="C4368" t="str">
            <v>TRIM</v>
          </cell>
          <cell r="D4368" t="str">
            <v>V-2326</v>
          </cell>
          <cell r="E4368" t="str">
            <v>BALL VA</v>
          </cell>
          <cell r="F4368">
            <v>6</v>
          </cell>
          <cell r="G4368" t="str">
            <v>VB8010600000T00</v>
          </cell>
          <cell r="H4368">
            <v>0.75</v>
          </cell>
          <cell r="I4368" t="str">
            <v>--</v>
          </cell>
          <cell r="J4368">
            <v>4</v>
          </cell>
          <cell r="K4368">
            <v>4</v>
          </cell>
        </row>
        <row r="4369">
          <cell r="A4369" t="str">
            <v>M2</v>
          </cell>
          <cell r="B4369" t="str">
            <v>A5C</v>
          </cell>
          <cell r="C4369" t="str">
            <v>TRIM</v>
          </cell>
          <cell r="D4369" t="str">
            <v>V-2326</v>
          </cell>
          <cell r="E4369" t="str">
            <v>BALL VA</v>
          </cell>
          <cell r="F4369">
            <v>6</v>
          </cell>
          <cell r="G4369" t="str">
            <v>VB8010600000T00</v>
          </cell>
          <cell r="H4369">
            <v>0.75</v>
          </cell>
          <cell r="I4369" t="str">
            <v>--</v>
          </cell>
          <cell r="J4369">
            <v>2</v>
          </cell>
          <cell r="K4369">
            <v>2</v>
          </cell>
        </row>
        <row r="4370">
          <cell r="A4370" t="str">
            <v>M2</v>
          </cell>
          <cell r="B4370" t="str">
            <v>A5C</v>
          </cell>
          <cell r="C4370" t="str">
            <v>TRIM</v>
          </cell>
          <cell r="D4370" t="str">
            <v>V-2328</v>
          </cell>
          <cell r="E4370" t="str">
            <v>BALL VA</v>
          </cell>
          <cell r="F4370">
            <v>6</v>
          </cell>
          <cell r="G4370" t="str">
            <v>VB8010600000T00</v>
          </cell>
          <cell r="H4370">
            <v>0.75</v>
          </cell>
          <cell r="I4370" t="str">
            <v>--</v>
          </cell>
          <cell r="J4370">
            <v>2</v>
          </cell>
          <cell r="K4370">
            <v>2</v>
          </cell>
        </row>
        <row r="4371">
          <cell r="A4371" t="str">
            <v>M2</v>
          </cell>
          <cell r="B4371" t="str">
            <v>A5C</v>
          </cell>
          <cell r="C4371" t="str">
            <v>TRIM</v>
          </cell>
          <cell r="D4371" t="str">
            <v>V-2329</v>
          </cell>
          <cell r="E4371" t="str">
            <v>BALL VA</v>
          </cell>
          <cell r="F4371">
            <v>6</v>
          </cell>
          <cell r="G4371" t="str">
            <v>VB8010600000T00</v>
          </cell>
          <cell r="H4371">
            <v>0.75</v>
          </cell>
          <cell r="I4371" t="str">
            <v>--</v>
          </cell>
          <cell r="J4371">
            <v>4</v>
          </cell>
          <cell r="K4371">
            <v>4</v>
          </cell>
        </row>
        <row r="4372">
          <cell r="A4372" t="str">
            <v>M2</v>
          </cell>
          <cell r="B4372" t="str">
            <v>A5C</v>
          </cell>
          <cell r="C4372" t="str">
            <v>TRIM</v>
          </cell>
          <cell r="D4372" t="str">
            <v>V-2330</v>
          </cell>
          <cell r="E4372" t="str">
            <v>BALL VA</v>
          </cell>
          <cell r="F4372">
            <v>6</v>
          </cell>
          <cell r="G4372" t="str">
            <v>VB8010600000T00</v>
          </cell>
          <cell r="H4372">
            <v>0.75</v>
          </cell>
          <cell r="I4372" t="str">
            <v>--</v>
          </cell>
          <cell r="J4372">
            <v>4</v>
          </cell>
          <cell r="K4372">
            <v>4</v>
          </cell>
        </row>
        <row r="4373">
          <cell r="A4373" t="str">
            <v>M2</v>
          </cell>
          <cell r="B4373" t="str">
            <v>A5C</v>
          </cell>
          <cell r="C4373" t="str">
            <v>TRIM</v>
          </cell>
          <cell r="D4373" t="str">
            <v>V-2330</v>
          </cell>
          <cell r="E4373" t="str">
            <v>BALL VA</v>
          </cell>
          <cell r="F4373">
            <v>6</v>
          </cell>
          <cell r="G4373" t="str">
            <v>VB8010600000T00</v>
          </cell>
          <cell r="H4373">
            <v>0.75</v>
          </cell>
          <cell r="I4373" t="str">
            <v>--</v>
          </cell>
          <cell r="J4373">
            <v>2</v>
          </cell>
          <cell r="K4373">
            <v>2</v>
          </cell>
        </row>
        <row r="4374">
          <cell r="A4374" t="str">
            <v>M2</v>
          </cell>
          <cell r="B4374" t="str">
            <v>A5C</v>
          </cell>
          <cell r="C4374" t="str">
            <v>TRIM</v>
          </cell>
          <cell r="D4374" t="str">
            <v>V-2331</v>
          </cell>
          <cell r="E4374" t="str">
            <v>BALL VA</v>
          </cell>
          <cell r="F4374">
            <v>6</v>
          </cell>
          <cell r="G4374" t="str">
            <v>VB8010600000T00</v>
          </cell>
          <cell r="H4374">
            <v>0.75</v>
          </cell>
          <cell r="I4374" t="str">
            <v>--</v>
          </cell>
          <cell r="J4374">
            <v>2</v>
          </cell>
          <cell r="K4374">
            <v>2</v>
          </cell>
        </row>
        <row r="4375">
          <cell r="A4375" t="str">
            <v>M2</v>
          </cell>
          <cell r="B4375" t="str">
            <v>A5C</v>
          </cell>
          <cell r="C4375" t="str">
            <v>TRIM</v>
          </cell>
          <cell r="D4375" t="str">
            <v>V-2331</v>
          </cell>
          <cell r="E4375" t="str">
            <v>BALL VA</v>
          </cell>
          <cell r="F4375">
            <v>6</v>
          </cell>
          <cell r="G4375" t="str">
            <v>VB8010600000T00</v>
          </cell>
          <cell r="H4375">
            <v>0.75</v>
          </cell>
          <cell r="I4375" t="str">
            <v>--</v>
          </cell>
          <cell r="J4375">
            <v>4</v>
          </cell>
          <cell r="K4375">
            <v>4</v>
          </cell>
        </row>
        <row r="4376">
          <cell r="A4376" t="str">
            <v>M2</v>
          </cell>
          <cell r="B4376" t="str">
            <v>A5C</v>
          </cell>
          <cell r="C4376" t="str">
            <v>TRIM</v>
          </cell>
          <cell r="D4376" t="str">
            <v>V-2332</v>
          </cell>
          <cell r="E4376" t="str">
            <v>BALL VA</v>
          </cell>
          <cell r="F4376">
            <v>6</v>
          </cell>
          <cell r="G4376" t="str">
            <v>VB8010600000T00</v>
          </cell>
          <cell r="H4376">
            <v>0.75</v>
          </cell>
          <cell r="I4376" t="str">
            <v>--</v>
          </cell>
          <cell r="J4376">
            <v>2</v>
          </cell>
          <cell r="K4376">
            <v>2</v>
          </cell>
        </row>
        <row r="4377">
          <cell r="A4377" t="str">
            <v>M2</v>
          </cell>
          <cell r="B4377" t="str">
            <v>A5C</v>
          </cell>
          <cell r="C4377" t="str">
            <v>TRIM</v>
          </cell>
          <cell r="D4377" t="str">
            <v>V-2332</v>
          </cell>
          <cell r="E4377" t="str">
            <v>BALL VA</v>
          </cell>
          <cell r="F4377">
            <v>6</v>
          </cell>
          <cell r="G4377" t="str">
            <v>VB8010600000T00</v>
          </cell>
          <cell r="H4377">
            <v>0.75</v>
          </cell>
          <cell r="I4377" t="str">
            <v>--</v>
          </cell>
          <cell r="J4377">
            <v>4</v>
          </cell>
          <cell r="K4377">
            <v>4</v>
          </cell>
        </row>
        <row r="4378">
          <cell r="A4378" t="str">
            <v>M2</v>
          </cell>
          <cell r="B4378" t="str">
            <v>A5C</v>
          </cell>
          <cell r="C4378" t="str">
            <v>TRIM</v>
          </cell>
          <cell r="D4378" t="str">
            <v>V-2333</v>
          </cell>
          <cell r="E4378" t="str">
            <v>BALL VA</v>
          </cell>
          <cell r="F4378">
            <v>6</v>
          </cell>
          <cell r="G4378" t="str">
            <v>VB8010600000T00</v>
          </cell>
          <cell r="H4378">
            <v>0.75</v>
          </cell>
          <cell r="I4378" t="str">
            <v>--</v>
          </cell>
          <cell r="J4378">
            <v>2</v>
          </cell>
          <cell r="K4378">
            <v>2</v>
          </cell>
        </row>
        <row r="4379">
          <cell r="A4379" t="str">
            <v>M2</v>
          </cell>
          <cell r="B4379" t="str">
            <v>A5C</v>
          </cell>
          <cell r="C4379" t="str">
            <v>TRIM</v>
          </cell>
          <cell r="D4379" t="str">
            <v>V-2351</v>
          </cell>
          <cell r="E4379" t="str">
            <v>BALL VA</v>
          </cell>
          <cell r="F4379">
            <v>6</v>
          </cell>
          <cell r="G4379" t="str">
            <v>VB8010600000T00</v>
          </cell>
          <cell r="H4379">
            <v>0.75</v>
          </cell>
          <cell r="I4379" t="str">
            <v>--</v>
          </cell>
          <cell r="J4379">
            <v>2</v>
          </cell>
          <cell r="K4379">
            <v>2</v>
          </cell>
        </row>
        <row r="4380">
          <cell r="A4380" t="str">
            <v>M2</v>
          </cell>
          <cell r="B4380" t="str">
            <v>A5C</v>
          </cell>
          <cell r="C4380" t="str">
            <v>TRIM</v>
          </cell>
          <cell r="D4380" t="str">
            <v>V-2351</v>
          </cell>
          <cell r="E4380" t="str">
            <v>BALL VA</v>
          </cell>
          <cell r="F4380">
            <v>6</v>
          </cell>
          <cell r="G4380" t="str">
            <v>VB8010600000T00</v>
          </cell>
          <cell r="H4380">
            <v>0.75</v>
          </cell>
          <cell r="I4380" t="str">
            <v>--</v>
          </cell>
          <cell r="J4380">
            <v>2</v>
          </cell>
          <cell r="K4380">
            <v>2</v>
          </cell>
        </row>
        <row r="4381">
          <cell r="A4381" t="str">
            <v>M2</v>
          </cell>
          <cell r="B4381" t="str">
            <v>A5C</v>
          </cell>
          <cell r="C4381" t="str">
            <v>TRIM</v>
          </cell>
          <cell r="D4381" t="str">
            <v>V-2327</v>
          </cell>
          <cell r="E4381" t="str">
            <v>BALL VA</v>
          </cell>
          <cell r="F4381">
            <v>6</v>
          </cell>
          <cell r="G4381" t="str">
            <v>VB8010600000T00</v>
          </cell>
          <cell r="H4381">
            <v>0.75</v>
          </cell>
          <cell r="I4381" t="str">
            <v>--</v>
          </cell>
          <cell r="J4381">
            <v>4</v>
          </cell>
          <cell r="K4381">
            <v>4</v>
          </cell>
        </row>
        <row r="4382">
          <cell r="A4382" t="str">
            <v>M2</v>
          </cell>
          <cell r="B4382" t="str">
            <v>A5C</v>
          </cell>
          <cell r="C4382" t="str">
            <v>TRIM</v>
          </cell>
          <cell r="D4382" t="str">
            <v>V-2333</v>
          </cell>
          <cell r="E4382" t="str">
            <v>BALL VA</v>
          </cell>
          <cell r="F4382">
            <v>6</v>
          </cell>
          <cell r="G4382" t="str">
            <v>VB8010600000T00</v>
          </cell>
          <cell r="H4382">
            <v>0.75</v>
          </cell>
          <cell r="I4382" t="str">
            <v>--</v>
          </cell>
          <cell r="J4382">
            <v>4</v>
          </cell>
          <cell r="K4382">
            <v>4</v>
          </cell>
        </row>
        <row r="4383">
          <cell r="A4383" t="str">
            <v>M2</v>
          </cell>
          <cell r="B4383" t="str">
            <v>A5C</v>
          </cell>
          <cell r="C4383" t="str">
            <v>N</v>
          </cell>
          <cell r="D4383" t="str">
            <v>23613</v>
          </cell>
          <cell r="E4383" t="str">
            <v>BALL VA</v>
          </cell>
          <cell r="F4383">
            <v>6</v>
          </cell>
          <cell r="G4383" t="str">
            <v>VB8010600000T00</v>
          </cell>
          <cell r="H4383">
            <v>0.75</v>
          </cell>
          <cell r="I4383" t="str">
            <v>--</v>
          </cell>
          <cell r="J4383">
            <v>1</v>
          </cell>
          <cell r="K4383">
            <v>1</v>
          </cell>
        </row>
        <row r="4384">
          <cell r="A4384" t="str">
            <v>M2</v>
          </cell>
          <cell r="B4384" t="str">
            <v>A5C</v>
          </cell>
          <cell r="C4384" t="str">
            <v>N</v>
          </cell>
          <cell r="D4384" t="str">
            <v>23619</v>
          </cell>
          <cell r="E4384" t="str">
            <v>BALL VA</v>
          </cell>
          <cell r="F4384">
            <v>6</v>
          </cell>
          <cell r="G4384" t="str">
            <v>VB8010600000T00</v>
          </cell>
          <cell r="H4384">
            <v>0.75</v>
          </cell>
          <cell r="I4384" t="str">
            <v>--</v>
          </cell>
          <cell r="J4384">
            <v>3</v>
          </cell>
          <cell r="K4384">
            <v>3</v>
          </cell>
        </row>
        <row r="4385">
          <cell r="A4385" t="str">
            <v>M2</v>
          </cell>
          <cell r="B4385" t="str">
            <v>A5C</v>
          </cell>
          <cell r="C4385" t="str">
            <v>N</v>
          </cell>
          <cell r="D4385" t="str">
            <v>23619</v>
          </cell>
          <cell r="E4385" t="str">
            <v>BALL VA</v>
          </cell>
          <cell r="F4385">
            <v>6</v>
          </cell>
          <cell r="G4385" t="str">
            <v>VB8010600000T00</v>
          </cell>
          <cell r="H4385">
            <v>0.75</v>
          </cell>
          <cell r="I4385" t="str">
            <v>--</v>
          </cell>
          <cell r="J4385">
            <v>1</v>
          </cell>
          <cell r="K4385">
            <v>1</v>
          </cell>
        </row>
        <row r="4386">
          <cell r="A4386" t="str">
            <v>M2</v>
          </cell>
          <cell r="B4386" t="str">
            <v>A5C</v>
          </cell>
          <cell r="C4386" t="str">
            <v>N</v>
          </cell>
          <cell r="D4386" t="str">
            <v>23634</v>
          </cell>
          <cell r="E4386" t="str">
            <v>BALL VA</v>
          </cell>
          <cell r="F4386">
            <v>6</v>
          </cell>
          <cell r="G4386" t="str">
            <v>VB8010600000T00</v>
          </cell>
          <cell r="H4386">
            <v>0.75</v>
          </cell>
          <cell r="I4386" t="str">
            <v>--</v>
          </cell>
          <cell r="J4386">
            <v>1</v>
          </cell>
          <cell r="K4386">
            <v>1</v>
          </cell>
        </row>
        <row r="4387">
          <cell r="A4387" t="str">
            <v>M2</v>
          </cell>
          <cell r="B4387" t="str">
            <v>A5C</v>
          </cell>
          <cell r="C4387" t="str">
            <v>N</v>
          </cell>
          <cell r="D4387" t="str">
            <v>23635</v>
          </cell>
          <cell r="E4387" t="str">
            <v>BALL VA</v>
          </cell>
          <cell r="F4387">
            <v>6</v>
          </cell>
          <cell r="G4387" t="str">
            <v>VB8010600000T00</v>
          </cell>
          <cell r="H4387">
            <v>0.75</v>
          </cell>
          <cell r="I4387" t="str">
            <v>--</v>
          </cell>
          <cell r="J4387">
            <v>1</v>
          </cell>
          <cell r="K4387">
            <v>1</v>
          </cell>
        </row>
        <row r="4388">
          <cell r="A4388" t="str">
            <v>M2</v>
          </cell>
          <cell r="B4388" t="str">
            <v>A5C</v>
          </cell>
          <cell r="C4388" t="str">
            <v>N</v>
          </cell>
          <cell r="D4388" t="str">
            <v>23636</v>
          </cell>
          <cell r="E4388" t="str">
            <v>BALL VA</v>
          </cell>
          <cell r="F4388">
            <v>6</v>
          </cell>
          <cell r="G4388" t="str">
            <v>VB8010600000T00</v>
          </cell>
          <cell r="H4388">
            <v>0.75</v>
          </cell>
          <cell r="I4388" t="str">
            <v>--</v>
          </cell>
          <cell r="J4388">
            <v>1</v>
          </cell>
          <cell r="K4388">
            <v>1</v>
          </cell>
        </row>
        <row r="4389">
          <cell r="A4389" t="str">
            <v>M2</v>
          </cell>
          <cell r="B4389" t="str">
            <v>A5C</v>
          </cell>
          <cell r="C4389" t="str">
            <v>N</v>
          </cell>
          <cell r="D4389" t="str">
            <v>23637</v>
          </cell>
          <cell r="E4389" t="str">
            <v>BALL VA</v>
          </cell>
          <cell r="F4389">
            <v>6</v>
          </cell>
          <cell r="G4389" t="str">
            <v>VB8010600000T00</v>
          </cell>
          <cell r="H4389">
            <v>0.75</v>
          </cell>
          <cell r="I4389" t="str">
            <v>--</v>
          </cell>
          <cell r="J4389">
            <v>1</v>
          </cell>
          <cell r="K4389">
            <v>1</v>
          </cell>
        </row>
        <row r="4390">
          <cell r="A4390" t="str">
            <v>M2</v>
          </cell>
          <cell r="B4390" t="str">
            <v>A5C</v>
          </cell>
          <cell r="C4390" t="str">
            <v>N</v>
          </cell>
          <cell r="D4390" t="str">
            <v>23638</v>
          </cell>
          <cell r="E4390" t="str">
            <v>BALL VA</v>
          </cell>
          <cell r="F4390">
            <v>6</v>
          </cell>
          <cell r="G4390" t="str">
            <v>VB8010600000T00</v>
          </cell>
          <cell r="H4390">
            <v>0.75</v>
          </cell>
          <cell r="I4390" t="str">
            <v>--</v>
          </cell>
          <cell r="J4390">
            <v>1</v>
          </cell>
          <cell r="K4390">
            <v>1</v>
          </cell>
        </row>
        <row r="4391">
          <cell r="A4391" t="str">
            <v>M2</v>
          </cell>
          <cell r="B4391" t="str">
            <v>A5C</v>
          </cell>
          <cell r="C4391" t="str">
            <v>N</v>
          </cell>
          <cell r="D4391" t="str">
            <v>23639</v>
          </cell>
          <cell r="E4391" t="str">
            <v>BALL VA</v>
          </cell>
          <cell r="F4391">
            <v>6</v>
          </cell>
          <cell r="G4391" t="str">
            <v>VB8010600000T00</v>
          </cell>
          <cell r="H4391">
            <v>0.75</v>
          </cell>
          <cell r="I4391" t="str">
            <v>--</v>
          </cell>
          <cell r="J4391">
            <v>1</v>
          </cell>
          <cell r="K4391">
            <v>1</v>
          </cell>
        </row>
        <row r="4392">
          <cell r="A4392" t="str">
            <v>M2</v>
          </cell>
          <cell r="B4392" t="str">
            <v>A5C</v>
          </cell>
          <cell r="C4392" t="str">
            <v>N</v>
          </cell>
          <cell r="D4392" t="str">
            <v>23640</v>
          </cell>
          <cell r="E4392" t="str">
            <v>BALL VA</v>
          </cell>
          <cell r="F4392">
            <v>6</v>
          </cell>
          <cell r="G4392" t="str">
            <v>VB8010600000T00</v>
          </cell>
          <cell r="H4392">
            <v>0.75</v>
          </cell>
          <cell r="I4392" t="str">
            <v>--</v>
          </cell>
          <cell r="J4392">
            <v>1</v>
          </cell>
          <cell r="K4392">
            <v>1</v>
          </cell>
        </row>
        <row r="4393">
          <cell r="A4393" t="str">
            <v>M2</v>
          </cell>
          <cell r="B4393" t="str">
            <v>A5C</v>
          </cell>
          <cell r="C4393" t="str">
            <v>N</v>
          </cell>
          <cell r="D4393" t="str">
            <v>24612</v>
          </cell>
          <cell r="E4393" t="str">
            <v>BALL VA</v>
          </cell>
          <cell r="F4393">
            <v>6</v>
          </cell>
          <cell r="G4393" t="str">
            <v>VB8010600000T00</v>
          </cell>
          <cell r="H4393">
            <v>0.75</v>
          </cell>
          <cell r="I4393" t="str">
            <v>--</v>
          </cell>
          <cell r="J4393">
            <v>1</v>
          </cell>
          <cell r="K4393">
            <v>1</v>
          </cell>
        </row>
        <row r="4394">
          <cell r="A4394" t="str">
            <v>M2</v>
          </cell>
          <cell r="B4394" t="str">
            <v>A5C</v>
          </cell>
          <cell r="C4394" t="str">
            <v>N</v>
          </cell>
          <cell r="D4394" t="str">
            <v>24613</v>
          </cell>
          <cell r="E4394" t="str">
            <v>BALL VA</v>
          </cell>
          <cell r="F4394">
            <v>6</v>
          </cell>
          <cell r="G4394" t="str">
            <v>VB8010600000T00</v>
          </cell>
          <cell r="H4394">
            <v>0.75</v>
          </cell>
          <cell r="I4394" t="str">
            <v>--</v>
          </cell>
          <cell r="J4394">
            <v>3</v>
          </cell>
          <cell r="K4394">
            <v>3</v>
          </cell>
        </row>
        <row r="4395">
          <cell r="A4395" t="str">
            <v>M2</v>
          </cell>
          <cell r="B4395" t="str">
            <v>A5C</v>
          </cell>
          <cell r="C4395" t="str">
            <v>N</v>
          </cell>
          <cell r="D4395" t="str">
            <v>24614</v>
          </cell>
          <cell r="E4395" t="str">
            <v>BALL VA</v>
          </cell>
          <cell r="F4395">
            <v>6</v>
          </cell>
          <cell r="G4395" t="str">
            <v>VB8010600000T00</v>
          </cell>
          <cell r="H4395">
            <v>0.75</v>
          </cell>
          <cell r="I4395" t="str">
            <v>--</v>
          </cell>
          <cell r="J4395">
            <v>3</v>
          </cell>
          <cell r="K4395">
            <v>3</v>
          </cell>
        </row>
        <row r="4396">
          <cell r="A4396" t="str">
            <v>M2</v>
          </cell>
          <cell r="B4396" t="str">
            <v>A5C</v>
          </cell>
          <cell r="C4396" t="str">
            <v>P</v>
          </cell>
          <cell r="D4396" t="str">
            <v>23005</v>
          </cell>
          <cell r="E4396" t="str">
            <v>BALL VA</v>
          </cell>
          <cell r="F4396">
            <v>6</v>
          </cell>
          <cell r="G4396" t="str">
            <v>VB8010600000T00</v>
          </cell>
          <cell r="H4396">
            <v>0.75</v>
          </cell>
          <cell r="I4396" t="str">
            <v>--</v>
          </cell>
          <cell r="J4396">
            <v>2</v>
          </cell>
          <cell r="K4396">
            <v>2</v>
          </cell>
        </row>
        <row r="4397">
          <cell r="A4397" t="str">
            <v>M2</v>
          </cell>
          <cell r="B4397" t="str">
            <v>A5C</v>
          </cell>
          <cell r="C4397" t="str">
            <v>P</v>
          </cell>
          <cell r="D4397" t="str">
            <v>23006</v>
          </cell>
          <cell r="E4397" t="str">
            <v>BALL VA</v>
          </cell>
          <cell r="F4397">
            <v>6</v>
          </cell>
          <cell r="G4397" t="str">
            <v>VB8010600000T00</v>
          </cell>
          <cell r="H4397">
            <v>0.75</v>
          </cell>
          <cell r="I4397" t="str">
            <v>--</v>
          </cell>
          <cell r="J4397">
            <v>2</v>
          </cell>
          <cell r="K4397">
            <v>2</v>
          </cell>
        </row>
        <row r="4398">
          <cell r="A4398" t="str">
            <v>M2</v>
          </cell>
          <cell r="B4398" t="str">
            <v>A5C</v>
          </cell>
          <cell r="C4398" t="str">
            <v>P</v>
          </cell>
          <cell r="D4398" t="str">
            <v>23012</v>
          </cell>
          <cell r="E4398" t="str">
            <v>BALL VA</v>
          </cell>
          <cell r="F4398">
            <v>6</v>
          </cell>
          <cell r="G4398" t="str">
            <v>VB8010600000T00</v>
          </cell>
          <cell r="H4398">
            <v>0.75</v>
          </cell>
          <cell r="I4398" t="str">
            <v>--</v>
          </cell>
          <cell r="J4398">
            <v>2</v>
          </cell>
          <cell r="K4398">
            <v>2</v>
          </cell>
        </row>
        <row r="4399">
          <cell r="A4399" t="str">
            <v>M2</v>
          </cell>
          <cell r="B4399" t="str">
            <v>A5C</v>
          </cell>
          <cell r="C4399" t="str">
            <v>P</v>
          </cell>
          <cell r="D4399" t="str">
            <v>23035</v>
          </cell>
          <cell r="E4399" t="str">
            <v>BALL VA</v>
          </cell>
          <cell r="F4399">
            <v>6</v>
          </cell>
          <cell r="G4399" t="str">
            <v>VB8010600000T00</v>
          </cell>
          <cell r="H4399">
            <v>0.75</v>
          </cell>
          <cell r="I4399" t="str">
            <v>--</v>
          </cell>
          <cell r="J4399">
            <v>2</v>
          </cell>
          <cell r="K4399">
            <v>2</v>
          </cell>
        </row>
        <row r="4400">
          <cell r="A4400" t="str">
            <v>M2</v>
          </cell>
          <cell r="B4400" t="str">
            <v>A5C</v>
          </cell>
          <cell r="C4400" t="str">
            <v>P</v>
          </cell>
          <cell r="D4400" t="str">
            <v>23035</v>
          </cell>
          <cell r="E4400" t="str">
            <v>BALL VA</v>
          </cell>
          <cell r="F4400">
            <v>6</v>
          </cell>
          <cell r="G4400" t="str">
            <v>VB8010600000T00</v>
          </cell>
          <cell r="H4400">
            <v>0.75</v>
          </cell>
          <cell r="I4400" t="str">
            <v>--</v>
          </cell>
          <cell r="J4400">
            <v>1</v>
          </cell>
          <cell r="K4400">
            <v>1</v>
          </cell>
        </row>
        <row r="4401">
          <cell r="A4401" t="str">
            <v>M2</v>
          </cell>
          <cell r="B4401" t="str">
            <v>A5C</v>
          </cell>
          <cell r="C4401" t="str">
            <v>P</v>
          </cell>
          <cell r="D4401" t="str">
            <v>23068</v>
          </cell>
          <cell r="E4401" t="str">
            <v>BALL VA</v>
          </cell>
          <cell r="F4401">
            <v>6</v>
          </cell>
          <cell r="G4401" t="str">
            <v>VB8010600000T00</v>
          </cell>
          <cell r="H4401">
            <v>0.75</v>
          </cell>
          <cell r="I4401" t="str">
            <v>--</v>
          </cell>
          <cell r="J4401">
            <v>2</v>
          </cell>
          <cell r="K4401">
            <v>2</v>
          </cell>
        </row>
        <row r="4402">
          <cell r="A4402" t="str">
            <v>M2</v>
          </cell>
          <cell r="B4402" t="str">
            <v>A5C</v>
          </cell>
          <cell r="C4402" t="str">
            <v>P</v>
          </cell>
          <cell r="D4402" t="str">
            <v>23094</v>
          </cell>
          <cell r="E4402" t="str">
            <v>BALL VA</v>
          </cell>
          <cell r="F4402">
            <v>6</v>
          </cell>
          <cell r="G4402" t="str">
            <v>VB8010600000T00</v>
          </cell>
          <cell r="H4402">
            <v>0.75</v>
          </cell>
          <cell r="I4402" t="str">
            <v>--</v>
          </cell>
          <cell r="J4402">
            <v>1</v>
          </cell>
          <cell r="K4402">
            <v>1</v>
          </cell>
        </row>
        <row r="4403">
          <cell r="A4403" t="str">
            <v>M2</v>
          </cell>
          <cell r="B4403" t="str">
            <v>A5C</v>
          </cell>
          <cell r="C4403" t="str">
            <v>P</v>
          </cell>
          <cell r="D4403" t="str">
            <v>23102</v>
          </cell>
          <cell r="E4403" t="str">
            <v>BALL VA</v>
          </cell>
          <cell r="F4403">
            <v>6</v>
          </cell>
          <cell r="G4403" t="str">
            <v>VB8010600000T00</v>
          </cell>
          <cell r="H4403">
            <v>0.75</v>
          </cell>
          <cell r="I4403" t="str">
            <v>--</v>
          </cell>
          <cell r="J4403">
            <v>2</v>
          </cell>
          <cell r="K4403">
            <v>2</v>
          </cell>
        </row>
        <row r="4404">
          <cell r="A4404" t="str">
            <v>M2</v>
          </cell>
          <cell r="B4404" t="str">
            <v>A5C</v>
          </cell>
          <cell r="C4404" t="str">
            <v>P</v>
          </cell>
          <cell r="D4404" t="str">
            <v>23106</v>
          </cell>
          <cell r="E4404" t="str">
            <v>BALL VA</v>
          </cell>
          <cell r="F4404">
            <v>6</v>
          </cell>
          <cell r="G4404" t="str">
            <v>VB8010600000T00</v>
          </cell>
          <cell r="H4404">
            <v>0.75</v>
          </cell>
          <cell r="I4404" t="str">
            <v>--</v>
          </cell>
          <cell r="J4404">
            <v>2</v>
          </cell>
          <cell r="K4404">
            <v>2</v>
          </cell>
        </row>
        <row r="4405">
          <cell r="A4405" t="str">
            <v>M2</v>
          </cell>
          <cell r="B4405" t="str">
            <v>A5C</v>
          </cell>
          <cell r="C4405" t="str">
            <v>P</v>
          </cell>
          <cell r="D4405" t="str">
            <v>23108</v>
          </cell>
          <cell r="E4405" t="str">
            <v>BALL VA</v>
          </cell>
          <cell r="F4405">
            <v>6</v>
          </cell>
          <cell r="G4405" t="str">
            <v>VB8010600000T00</v>
          </cell>
          <cell r="H4405">
            <v>0.75</v>
          </cell>
          <cell r="I4405" t="str">
            <v>--</v>
          </cell>
          <cell r="J4405">
            <v>1</v>
          </cell>
          <cell r="K4405">
            <v>1</v>
          </cell>
        </row>
        <row r="4406">
          <cell r="A4406" t="str">
            <v>M2</v>
          </cell>
          <cell r="B4406" t="str">
            <v>A5C</v>
          </cell>
          <cell r="C4406" t="str">
            <v>P</v>
          </cell>
          <cell r="D4406" t="str">
            <v>23108</v>
          </cell>
          <cell r="E4406" t="str">
            <v>BALL VA</v>
          </cell>
          <cell r="F4406">
            <v>6</v>
          </cell>
          <cell r="G4406" t="str">
            <v>VB8010600000T00</v>
          </cell>
          <cell r="H4406">
            <v>0.75</v>
          </cell>
          <cell r="I4406" t="str">
            <v>--</v>
          </cell>
          <cell r="J4406">
            <v>1</v>
          </cell>
          <cell r="K4406">
            <v>1</v>
          </cell>
        </row>
        <row r="4407">
          <cell r="A4407" t="str">
            <v>M2</v>
          </cell>
          <cell r="B4407" t="str">
            <v>A5C</v>
          </cell>
          <cell r="C4407" t="str">
            <v>P</v>
          </cell>
          <cell r="D4407" t="str">
            <v>23109</v>
          </cell>
          <cell r="E4407" t="str">
            <v>BALL VA</v>
          </cell>
          <cell r="F4407">
            <v>6</v>
          </cell>
          <cell r="G4407" t="str">
            <v>VB8010600000T00</v>
          </cell>
          <cell r="H4407">
            <v>0.75</v>
          </cell>
          <cell r="I4407" t="str">
            <v>--</v>
          </cell>
          <cell r="J4407">
            <v>1</v>
          </cell>
          <cell r="K4407">
            <v>1</v>
          </cell>
        </row>
        <row r="4408">
          <cell r="A4408" t="str">
            <v>M2</v>
          </cell>
          <cell r="B4408" t="str">
            <v>A5C</v>
          </cell>
          <cell r="C4408" t="str">
            <v>P</v>
          </cell>
          <cell r="D4408" t="str">
            <v>23110</v>
          </cell>
          <cell r="E4408" t="str">
            <v>BALL VA</v>
          </cell>
          <cell r="F4408">
            <v>6</v>
          </cell>
          <cell r="G4408" t="str">
            <v>VB8010600000T00</v>
          </cell>
          <cell r="H4408">
            <v>0.75</v>
          </cell>
          <cell r="I4408" t="str">
            <v>--</v>
          </cell>
          <cell r="J4408">
            <v>2</v>
          </cell>
          <cell r="K4408">
            <v>2</v>
          </cell>
        </row>
        <row r="4409">
          <cell r="A4409" t="str">
            <v>M2</v>
          </cell>
          <cell r="B4409" t="str">
            <v>A5C</v>
          </cell>
          <cell r="C4409" t="str">
            <v>P</v>
          </cell>
          <cell r="D4409" t="str">
            <v>23112</v>
          </cell>
          <cell r="E4409" t="str">
            <v>BALL VA</v>
          </cell>
          <cell r="F4409">
            <v>6</v>
          </cell>
          <cell r="G4409" t="str">
            <v>VB8010600000T00</v>
          </cell>
          <cell r="H4409">
            <v>0.75</v>
          </cell>
          <cell r="I4409" t="str">
            <v>--</v>
          </cell>
          <cell r="J4409">
            <v>1</v>
          </cell>
          <cell r="K4409">
            <v>1</v>
          </cell>
        </row>
        <row r="4410">
          <cell r="A4410" t="str">
            <v>M2</v>
          </cell>
          <cell r="B4410" t="str">
            <v>A5C</v>
          </cell>
          <cell r="C4410" t="str">
            <v>P</v>
          </cell>
          <cell r="D4410" t="str">
            <v>23112</v>
          </cell>
          <cell r="E4410" t="str">
            <v>BALL VA</v>
          </cell>
          <cell r="F4410">
            <v>6</v>
          </cell>
          <cell r="G4410" t="str">
            <v>VB8010600000T00</v>
          </cell>
          <cell r="H4410">
            <v>0.75</v>
          </cell>
          <cell r="I4410" t="str">
            <v>--</v>
          </cell>
          <cell r="J4410">
            <v>1</v>
          </cell>
          <cell r="K4410">
            <v>1</v>
          </cell>
        </row>
        <row r="4411">
          <cell r="A4411" t="str">
            <v>M2</v>
          </cell>
          <cell r="B4411" t="str">
            <v>A5C</v>
          </cell>
          <cell r="C4411" t="str">
            <v>P</v>
          </cell>
          <cell r="D4411" t="str">
            <v>23112</v>
          </cell>
          <cell r="E4411" t="str">
            <v>BALL VA</v>
          </cell>
          <cell r="F4411">
            <v>6</v>
          </cell>
          <cell r="G4411" t="str">
            <v>VB8010600000T00</v>
          </cell>
          <cell r="H4411">
            <v>0.75</v>
          </cell>
          <cell r="I4411" t="str">
            <v>--</v>
          </cell>
          <cell r="J4411">
            <v>1</v>
          </cell>
          <cell r="K4411">
            <v>1</v>
          </cell>
        </row>
        <row r="4412">
          <cell r="A4412" t="str">
            <v>M2</v>
          </cell>
          <cell r="B4412" t="str">
            <v>A5C</v>
          </cell>
          <cell r="C4412" t="str">
            <v>P</v>
          </cell>
          <cell r="D4412" t="str">
            <v>23114</v>
          </cell>
          <cell r="E4412" t="str">
            <v>BALL VA</v>
          </cell>
          <cell r="F4412">
            <v>6</v>
          </cell>
          <cell r="G4412" t="str">
            <v>VB8010600000T00</v>
          </cell>
          <cell r="H4412">
            <v>0.75</v>
          </cell>
          <cell r="I4412" t="str">
            <v>--</v>
          </cell>
          <cell r="J4412">
            <v>2</v>
          </cell>
          <cell r="K4412">
            <v>2</v>
          </cell>
        </row>
        <row r="4413">
          <cell r="A4413" t="str">
            <v>M2</v>
          </cell>
          <cell r="B4413" t="str">
            <v>A5C</v>
          </cell>
          <cell r="C4413" t="str">
            <v>P</v>
          </cell>
          <cell r="D4413" t="str">
            <v>23141</v>
          </cell>
          <cell r="E4413" t="str">
            <v>BALL VA</v>
          </cell>
          <cell r="F4413">
            <v>6</v>
          </cell>
          <cell r="G4413" t="str">
            <v>VB8010600000T00</v>
          </cell>
          <cell r="H4413">
            <v>0.75</v>
          </cell>
          <cell r="I4413" t="str">
            <v>--</v>
          </cell>
          <cell r="J4413">
            <v>1</v>
          </cell>
          <cell r="K4413">
            <v>1</v>
          </cell>
        </row>
        <row r="4414">
          <cell r="A4414" t="str">
            <v>M2</v>
          </cell>
          <cell r="B4414" t="str">
            <v>A5C</v>
          </cell>
          <cell r="C4414" t="str">
            <v>P</v>
          </cell>
          <cell r="D4414" t="str">
            <v>23141</v>
          </cell>
          <cell r="E4414" t="str">
            <v>BALL VA</v>
          </cell>
          <cell r="F4414">
            <v>6</v>
          </cell>
          <cell r="G4414" t="str">
            <v>VB8010600000T00</v>
          </cell>
          <cell r="H4414">
            <v>0.75</v>
          </cell>
          <cell r="I4414" t="str">
            <v>--</v>
          </cell>
          <cell r="J4414">
            <v>2</v>
          </cell>
          <cell r="K4414">
            <v>2</v>
          </cell>
        </row>
        <row r="4415">
          <cell r="A4415" t="str">
            <v>M2</v>
          </cell>
          <cell r="B4415" t="str">
            <v>A5C</v>
          </cell>
          <cell r="C4415" t="str">
            <v>P</v>
          </cell>
          <cell r="D4415" t="str">
            <v>23152</v>
          </cell>
          <cell r="E4415" t="str">
            <v>BALL VA</v>
          </cell>
          <cell r="F4415">
            <v>6</v>
          </cell>
          <cell r="G4415" t="str">
            <v>VB8010600000T00</v>
          </cell>
          <cell r="H4415">
            <v>0.75</v>
          </cell>
          <cell r="I4415" t="str">
            <v>--</v>
          </cell>
          <cell r="J4415">
            <v>2</v>
          </cell>
          <cell r="K4415">
            <v>2</v>
          </cell>
        </row>
        <row r="4416">
          <cell r="A4416" t="str">
            <v>M2</v>
          </cell>
          <cell r="B4416" t="str">
            <v>A5C</v>
          </cell>
          <cell r="C4416" t="str">
            <v>P</v>
          </cell>
          <cell r="D4416" t="str">
            <v>23157</v>
          </cell>
          <cell r="E4416" t="str">
            <v>BALL VA</v>
          </cell>
          <cell r="F4416">
            <v>6</v>
          </cell>
          <cell r="G4416" t="str">
            <v>VB8010600000T00</v>
          </cell>
          <cell r="H4416">
            <v>0.75</v>
          </cell>
          <cell r="I4416" t="str">
            <v>--</v>
          </cell>
          <cell r="J4416">
            <v>2</v>
          </cell>
          <cell r="K4416">
            <v>2</v>
          </cell>
        </row>
        <row r="4417">
          <cell r="A4417" t="str">
            <v>M2</v>
          </cell>
          <cell r="B4417" t="str">
            <v>A5C</v>
          </cell>
          <cell r="C4417" t="str">
            <v>P</v>
          </cell>
          <cell r="D4417" t="str">
            <v>23181</v>
          </cell>
          <cell r="E4417" t="str">
            <v>BALL VA</v>
          </cell>
          <cell r="F4417">
            <v>6</v>
          </cell>
          <cell r="G4417" t="str">
            <v>VB8010600000T00</v>
          </cell>
          <cell r="H4417">
            <v>0.75</v>
          </cell>
          <cell r="I4417" t="str">
            <v>--</v>
          </cell>
          <cell r="J4417">
            <v>1</v>
          </cell>
          <cell r="K4417">
            <v>1</v>
          </cell>
        </row>
        <row r="4418">
          <cell r="A4418" t="str">
            <v>M2</v>
          </cell>
          <cell r="B4418" t="str">
            <v>A5C</v>
          </cell>
          <cell r="C4418" t="str">
            <v>P</v>
          </cell>
          <cell r="D4418" t="str">
            <v>23196</v>
          </cell>
          <cell r="E4418" t="str">
            <v>BALL VA</v>
          </cell>
          <cell r="F4418">
            <v>6</v>
          </cell>
          <cell r="G4418" t="str">
            <v>VB8010600000T00</v>
          </cell>
          <cell r="H4418">
            <v>0.75</v>
          </cell>
          <cell r="I4418" t="str">
            <v>--</v>
          </cell>
          <cell r="J4418">
            <v>2</v>
          </cell>
          <cell r="K4418">
            <v>2</v>
          </cell>
        </row>
        <row r="4419">
          <cell r="A4419" t="str">
            <v>M2</v>
          </cell>
          <cell r="B4419" t="str">
            <v>A5C</v>
          </cell>
          <cell r="C4419" t="str">
            <v>P</v>
          </cell>
          <cell r="D4419" t="str">
            <v>23204</v>
          </cell>
          <cell r="E4419" t="str">
            <v>BALL VA</v>
          </cell>
          <cell r="F4419">
            <v>6</v>
          </cell>
          <cell r="G4419" t="str">
            <v>VB8010600000T00</v>
          </cell>
          <cell r="H4419">
            <v>0.75</v>
          </cell>
          <cell r="I4419" t="str">
            <v>--</v>
          </cell>
          <cell r="J4419">
            <v>1</v>
          </cell>
          <cell r="K4419">
            <v>1</v>
          </cell>
        </row>
        <row r="4420">
          <cell r="A4420" t="str">
            <v>M2</v>
          </cell>
          <cell r="B4420" t="str">
            <v>A5C</v>
          </cell>
          <cell r="C4420" t="str">
            <v>P</v>
          </cell>
          <cell r="D4420" t="str">
            <v>23206</v>
          </cell>
          <cell r="E4420" t="str">
            <v>BALL VA</v>
          </cell>
          <cell r="F4420">
            <v>6</v>
          </cell>
          <cell r="G4420" t="str">
            <v>VB8010600000T00</v>
          </cell>
          <cell r="H4420">
            <v>0.75</v>
          </cell>
          <cell r="I4420" t="str">
            <v>--</v>
          </cell>
          <cell r="J4420">
            <v>1</v>
          </cell>
          <cell r="K4420">
            <v>1</v>
          </cell>
        </row>
        <row r="4421">
          <cell r="A4421" t="str">
            <v>M2</v>
          </cell>
          <cell r="B4421" t="str">
            <v>A5C</v>
          </cell>
          <cell r="C4421" t="str">
            <v>P</v>
          </cell>
          <cell r="D4421" t="str">
            <v>23212</v>
          </cell>
          <cell r="E4421" t="str">
            <v>BALL VA</v>
          </cell>
          <cell r="F4421">
            <v>6</v>
          </cell>
          <cell r="G4421" t="str">
            <v>VB8010600000T00</v>
          </cell>
          <cell r="H4421">
            <v>0.75</v>
          </cell>
          <cell r="I4421" t="str">
            <v>--</v>
          </cell>
          <cell r="J4421">
            <v>1</v>
          </cell>
          <cell r="K4421">
            <v>1</v>
          </cell>
        </row>
        <row r="4422">
          <cell r="A4422" t="str">
            <v>M2</v>
          </cell>
          <cell r="B4422" t="str">
            <v>A5C</v>
          </cell>
          <cell r="C4422" t="str">
            <v>P</v>
          </cell>
          <cell r="D4422" t="str">
            <v>23213</v>
          </cell>
          <cell r="E4422" t="str">
            <v>BALL VA</v>
          </cell>
          <cell r="F4422">
            <v>6</v>
          </cell>
          <cell r="G4422" t="str">
            <v>VB8010600000T00</v>
          </cell>
          <cell r="H4422">
            <v>0.75</v>
          </cell>
          <cell r="I4422" t="str">
            <v>--</v>
          </cell>
          <cell r="J4422">
            <v>1</v>
          </cell>
          <cell r="K4422">
            <v>1</v>
          </cell>
        </row>
        <row r="4423">
          <cell r="A4423" t="str">
            <v>M2</v>
          </cell>
          <cell r="B4423" t="str">
            <v>A5C</v>
          </cell>
          <cell r="C4423" t="str">
            <v>P</v>
          </cell>
          <cell r="D4423" t="str">
            <v>23214</v>
          </cell>
          <cell r="E4423" t="str">
            <v>BALL VA</v>
          </cell>
          <cell r="F4423">
            <v>6</v>
          </cell>
          <cell r="G4423" t="str">
            <v>VB8010600000T00</v>
          </cell>
          <cell r="H4423">
            <v>0.75</v>
          </cell>
          <cell r="I4423" t="str">
            <v>--</v>
          </cell>
          <cell r="J4423">
            <v>1</v>
          </cell>
          <cell r="K4423">
            <v>1</v>
          </cell>
        </row>
        <row r="4424">
          <cell r="A4424" t="str">
            <v>M2</v>
          </cell>
          <cell r="B4424" t="str">
            <v>A5C</v>
          </cell>
          <cell r="C4424" t="str">
            <v>P</v>
          </cell>
          <cell r="D4424" t="str">
            <v>23214</v>
          </cell>
          <cell r="E4424" t="str">
            <v>BALL VA</v>
          </cell>
          <cell r="F4424">
            <v>6</v>
          </cell>
          <cell r="G4424" t="str">
            <v>VB8010600000T00</v>
          </cell>
          <cell r="H4424">
            <v>0.75</v>
          </cell>
          <cell r="I4424" t="str">
            <v>--</v>
          </cell>
          <cell r="J4424">
            <v>1</v>
          </cell>
          <cell r="K4424">
            <v>1</v>
          </cell>
        </row>
        <row r="4425">
          <cell r="A4425" t="str">
            <v>M2</v>
          </cell>
          <cell r="B4425" t="str">
            <v>A5C</v>
          </cell>
          <cell r="C4425" t="str">
            <v>P</v>
          </cell>
          <cell r="D4425" t="str">
            <v>23232</v>
          </cell>
          <cell r="E4425" t="str">
            <v>BALL VA</v>
          </cell>
          <cell r="F4425">
            <v>6</v>
          </cell>
          <cell r="G4425" t="str">
            <v>VB8010600000T00</v>
          </cell>
          <cell r="H4425">
            <v>0.75</v>
          </cell>
          <cell r="I4425" t="str">
            <v>--</v>
          </cell>
          <cell r="J4425">
            <v>2</v>
          </cell>
          <cell r="K4425">
            <v>2</v>
          </cell>
        </row>
        <row r="4426">
          <cell r="A4426" t="str">
            <v>M2</v>
          </cell>
          <cell r="B4426" t="str">
            <v>A5C</v>
          </cell>
          <cell r="C4426" t="str">
            <v>P</v>
          </cell>
          <cell r="D4426" t="str">
            <v>23234</v>
          </cell>
          <cell r="E4426" t="str">
            <v>BALL VA</v>
          </cell>
          <cell r="F4426">
            <v>6</v>
          </cell>
          <cell r="G4426" t="str">
            <v>VB8010600000T00</v>
          </cell>
          <cell r="H4426">
            <v>0.75</v>
          </cell>
          <cell r="I4426" t="str">
            <v>--</v>
          </cell>
          <cell r="J4426">
            <v>1</v>
          </cell>
          <cell r="K4426">
            <v>1</v>
          </cell>
        </row>
        <row r="4427">
          <cell r="A4427" t="str">
            <v>M2</v>
          </cell>
          <cell r="B4427" t="str">
            <v>A5C</v>
          </cell>
          <cell r="C4427" t="str">
            <v>P</v>
          </cell>
          <cell r="D4427" t="str">
            <v>23245</v>
          </cell>
          <cell r="E4427" t="str">
            <v>BALL VA</v>
          </cell>
          <cell r="F4427">
            <v>6</v>
          </cell>
          <cell r="G4427" t="str">
            <v>VB8010600000T00</v>
          </cell>
          <cell r="H4427">
            <v>0.75</v>
          </cell>
          <cell r="I4427" t="str">
            <v>--</v>
          </cell>
          <cell r="J4427">
            <v>1</v>
          </cell>
          <cell r="K4427">
            <v>1</v>
          </cell>
        </row>
        <row r="4428">
          <cell r="A4428" t="str">
            <v>M2</v>
          </cell>
          <cell r="B4428" t="str">
            <v>A5C</v>
          </cell>
          <cell r="C4428" t="str">
            <v>P</v>
          </cell>
          <cell r="D4428" t="str">
            <v>23245</v>
          </cell>
          <cell r="E4428" t="str">
            <v>BALL VA</v>
          </cell>
          <cell r="F4428">
            <v>6</v>
          </cell>
          <cell r="G4428" t="str">
            <v>VB8010600000T00</v>
          </cell>
          <cell r="H4428">
            <v>0.75</v>
          </cell>
          <cell r="I4428" t="str">
            <v>--</v>
          </cell>
          <cell r="J4428">
            <v>1</v>
          </cell>
          <cell r="K4428">
            <v>1</v>
          </cell>
        </row>
        <row r="4429">
          <cell r="A4429" t="str">
            <v>M2</v>
          </cell>
          <cell r="B4429" t="str">
            <v>A5C</v>
          </cell>
          <cell r="C4429" t="str">
            <v>P</v>
          </cell>
          <cell r="D4429" t="str">
            <v>23246</v>
          </cell>
          <cell r="E4429" t="str">
            <v>BALL VA</v>
          </cell>
          <cell r="F4429">
            <v>6</v>
          </cell>
          <cell r="G4429" t="str">
            <v>VB8010600000T00</v>
          </cell>
          <cell r="H4429">
            <v>0.75</v>
          </cell>
          <cell r="I4429" t="str">
            <v>--</v>
          </cell>
          <cell r="J4429">
            <v>2</v>
          </cell>
          <cell r="K4429">
            <v>2</v>
          </cell>
        </row>
        <row r="4430">
          <cell r="A4430" t="str">
            <v>M2</v>
          </cell>
          <cell r="B4430" t="str">
            <v>A5C</v>
          </cell>
          <cell r="C4430" t="str">
            <v>P</v>
          </cell>
          <cell r="D4430" t="str">
            <v>23251</v>
          </cell>
          <cell r="E4430" t="str">
            <v>BALL VA</v>
          </cell>
          <cell r="F4430">
            <v>6</v>
          </cell>
          <cell r="G4430" t="str">
            <v>VB8010600000T00</v>
          </cell>
          <cell r="H4430">
            <v>0.75</v>
          </cell>
          <cell r="I4430" t="str">
            <v>--</v>
          </cell>
          <cell r="J4430">
            <v>1</v>
          </cell>
          <cell r="K4430">
            <v>1</v>
          </cell>
        </row>
        <row r="4431">
          <cell r="A4431" t="str">
            <v>M2</v>
          </cell>
          <cell r="B4431" t="str">
            <v>A5C</v>
          </cell>
          <cell r="C4431" t="str">
            <v>P</v>
          </cell>
          <cell r="D4431" t="str">
            <v>23253</v>
          </cell>
          <cell r="E4431" t="str">
            <v>BALL VA</v>
          </cell>
          <cell r="F4431">
            <v>6</v>
          </cell>
          <cell r="G4431" t="str">
            <v>VB8010600000T00</v>
          </cell>
          <cell r="H4431">
            <v>0.75</v>
          </cell>
          <cell r="I4431" t="str">
            <v>--</v>
          </cell>
          <cell r="J4431">
            <v>1</v>
          </cell>
          <cell r="K4431">
            <v>1</v>
          </cell>
        </row>
        <row r="4432">
          <cell r="A4432" t="str">
            <v>M2</v>
          </cell>
          <cell r="B4432" t="str">
            <v>A5C</v>
          </cell>
          <cell r="C4432" t="str">
            <v>P</v>
          </cell>
          <cell r="D4432" t="str">
            <v>24007</v>
          </cell>
          <cell r="E4432" t="str">
            <v>BALL VA</v>
          </cell>
          <cell r="F4432">
            <v>6</v>
          </cell>
          <cell r="G4432" t="str">
            <v>VB8010600000T00</v>
          </cell>
          <cell r="H4432">
            <v>0.75</v>
          </cell>
          <cell r="I4432" t="str">
            <v>--</v>
          </cell>
          <cell r="J4432">
            <v>1</v>
          </cell>
          <cell r="K4432">
            <v>1</v>
          </cell>
        </row>
        <row r="4433">
          <cell r="A4433" t="str">
            <v>M2</v>
          </cell>
          <cell r="B4433" t="str">
            <v>A5C</v>
          </cell>
          <cell r="C4433" t="str">
            <v>P</v>
          </cell>
          <cell r="D4433" t="str">
            <v>24013</v>
          </cell>
          <cell r="E4433" t="str">
            <v>BALL VA</v>
          </cell>
          <cell r="F4433">
            <v>6</v>
          </cell>
          <cell r="G4433" t="str">
            <v>VB8010600000T00</v>
          </cell>
          <cell r="H4433">
            <v>0.75</v>
          </cell>
          <cell r="I4433" t="str">
            <v>--</v>
          </cell>
          <cell r="J4433">
            <v>2</v>
          </cell>
          <cell r="K4433">
            <v>2</v>
          </cell>
        </row>
        <row r="4434">
          <cell r="A4434" t="str">
            <v>M2</v>
          </cell>
          <cell r="B4434" t="str">
            <v>A5C</v>
          </cell>
          <cell r="C4434" t="str">
            <v>TRIM</v>
          </cell>
          <cell r="D4434" t="str">
            <v>V-2315</v>
          </cell>
          <cell r="E4434" t="str">
            <v>BALL VA</v>
          </cell>
          <cell r="F4434">
            <v>6</v>
          </cell>
          <cell r="G4434" t="str">
            <v>VB8010600000T00</v>
          </cell>
          <cell r="H4434">
            <v>0.75</v>
          </cell>
          <cell r="I4434" t="str">
            <v>--</v>
          </cell>
          <cell r="J4434">
            <v>4</v>
          </cell>
          <cell r="K4434">
            <v>4</v>
          </cell>
        </row>
        <row r="4435">
          <cell r="A4435" t="str">
            <v>M2</v>
          </cell>
          <cell r="B4435" t="str">
            <v>A5C</v>
          </cell>
          <cell r="C4435" t="str">
            <v>TRIM</v>
          </cell>
          <cell r="D4435" t="str">
            <v>V-2317</v>
          </cell>
          <cell r="E4435" t="str">
            <v>BALL VA</v>
          </cell>
          <cell r="F4435">
            <v>6</v>
          </cell>
          <cell r="G4435" t="str">
            <v>VB8010600000T00</v>
          </cell>
          <cell r="H4435">
            <v>0.75</v>
          </cell>
          <cell r="I4435" t="str">
            <v>--</v>
          </cell>
          <cell r="J4435">
            <v>4</v>
          </cell>
          <cell r="K4435">
            <v>4</v>
          </cell>
        </row>
        <row r="4436">
          <cell r="A4436" t="str">
            <v>M2</v>
          </cell>
          <cell r="B4436" t="str">
            <v>A5C</v>
          </cell>
          <cell r="C4436" t="str">
            <v>TRIM</v>
          </cell>
          <cell r="D4436" t="str">
            <v>V-2317</v>
          </cell>
          <cell r="E4436" t="str">
            <v>BALL VA</v>
          </cell>
          <cell r="F4436">
            <v>6</v>
          </cell>
          <cell r="G4436" t="str">
            <v>VB8010600000T00</v>
          </cell>
          <cell r="H4436">
            <v>0.75</v>
          </cell>
          <cell r="I4436" t="str">
            <v>--</v>
          </cell>
          <cell r="J4436">
            <v>2</v>
          </cell>
          <cell r="K4436">
            <v>2</v>
          </cell>
        </row>
        <row r="4437">
          <cell r="A4437" t="str">
            <v>M2</v>
          </cell>
          <cell r="B4437" t="str">
            <v>A5C</v>
          </cell>
          <cell r="C4437" t="str">
            <v>TRIM</v>
          </cell>
          <cell r="D4437" t="str">
            <v>V-2318</v>
          </cell>
          <cell r="E4437" t="str">
            <v>BALL VA</v>
          </cell>
          <cell r="F4437">
            <v>6</v>
          </cell>
          <cell r="G4437" t="str">
            <v>VB8010600000T00</v>
          </cell>
          <cell r="H4437">
            <v>0.75</v>
          </cell>
          <cell r="I4437" t="str">
            <v>--</v>
          </cell>
          <cell r="J4437">
            <v>4</v>
          </cell>
          <cell r="K4437">
            <v>4</v>
          </cell>
        </row>
        <row r="4438">
          <cell r="A4438" t="str">
            <v>M2</v>
          </cell>
          <cell r="B4438" t="str">
            <v>A5C</v>
          </cell>
          <cell r="C4438" t="str">
            <v>TRIM</v>
          </cell>
          <cell r="D4438" t="str">
            <v>V-2319</v>
          </cell>
          <cell r="E4438" t="str">
            <v>BALL VA</v>
          </cell>
          <cell r="F4438">
            <v>6</v>
          </cell>
          <cell r="G4438" t="str">
            <v>VB8010600000T00</v>
          </cell>
          <cell r="H4438">
            <v>0.75</v>
          </cell>
          <cell r="I4438" t="str">
            <v>--</v>
          </cell>
          <cell r="J4438">
            <v>4</v>
          </cell>
          <cell r="K4438">
            <v>4</v>
          </cell>
        </row>
        <row r="4439">
          <cell r="A4439" t="str">
            <v>M2</v>
          </cell>
          <cell r="B4439" t="str">
            <v>A5C</v>
          </cell>
          <cell r="C4439" t="str">
            <v>TRIM</v>
          </cell>
          <cell r="D4439" t="str">
            <v>V-2319</v>
          </cell>
          <cell r="E4439" t="str">
            <v>BALL VA</v>
          </cell>
          <cell r="F4439">
            <v>6</v>
          </cell>
          <cell r="G4439" t="str">
            <v>VB8010600000T00</v>
          </cell>
          <cell r="H4439">
            <v>0.75</v>
          </cell>
          <cell r="I4439" t="str">
            <v>--</v>
          </cell>
          <cell r="J4439">
            <v>2</v>
          </cell>
          <cell r="K4439">
            <v>2</v>
          </cell>
        </row>
        <row r="4440">
          <cell r="A4440" t="str">
            <v>M2</v>
          </cell>
          <cell r="B4440" t="str">
            <v>A5C</v>
          </cell>
          <cell r="C4440" t="str">
            <v>TRIM</v>
          </cell>
          <cell r="D4440" t="str">
            <v>V-2327</v>
          </cell>
          <cell r="E4440" t="str">
            <v>BALL VA</v>
          </cell>
          <cell r="F4440">
            <v>6</v>
          </cell>
          <cell r="G4440" t="str">
            <v>VB8010600000T00</v>
          </cell>
          <cell r="H4440">
            <v>0.75</v>
          </cell>
          <cell r="I4440" t="str">
            <v>--</v>
          </cell>
          <cell r="J4440">
            <v>2</v>
          </cell>
          <cell r="K4440">
            <v>2</v>
          </cell>
        </row>
        <row r="4441">
          <cell r="A4441" t="str">
            <v>M2</v>
          </cell>
          <cell r="B4441" t="str">
            <v>A5C</v>
          </cell>
          <cell r="C4441" t="str">
            <v>TRIM</v>
          </cell>
          <cell r="D4441" t="str">
            <v>V-2328</v>
          </cell>
          <cell r="E4441" t="str">
            <v>BALL VA</v>
          </cell>
          <cell r="F4441">
            <v>6</v>
          </cell>
          <cell r="G4441" t="str">
            <v>VB8010600000T00</v>
          </cell>
          <cell r="H4441">
            <v>0.75</v>
          </cell>
          <cell r="I4441" t="str">
            <v>--</v>
          </cell>
          <cell r="J4441">
            <v>4</v>
          </cell>
          <cell r="K4441">
            <v>4</v>
          </cell>
        </row>
        <row r="4442">
          <cell r="A4442" t="str">
            <v>M2</v>
          </cell>
          <cell r="B4442" t="str">
            <v>A5C</v>
          </cell>
          <cell r="C4442" t="str">
            <v>TRIM</v>
          </cell>
          <cell r="D4442" t="str">
            <v>V-2329</v>
          </cell>
          <cell r="E4442" t="str">
            <v>BALL VA</v>
          </cell>
          <cell r="F4442">
            <v>6</v>
          </cell>
          <cell r="G4442" t="str">
            <v>VB8010600000T00</v>
          </cell>
          <cell r="H4442">
            <v>0.75</v>
          </cell>
          <cell r="I4442" t="str">
            <v>--</v>
          </cell>
          <cell r="J4442">
            <v>2</v>
          </cell>
          <cell r="K4442">
            <v>2</v>
          </cell>
        </row>
        <row r="4443">
          <cell r="A4443" t="str">
            <v>M2</v>
          </cell>
          <cell r="B4443" t="str">
            <v>A5C</v>
          </cell>
          <cell r="C4443" t="str">
            <v>N</v>
          </cell>
          <cell r="D4443" t="str">
            <v>23613</v>
          </cell>
          <cell r="E4443" t="str">
            <v>CHECK VA</v>
          </cell>
          <cell r="F4443">
            <v>6</v>
          </cell>
          <cell r="G4443" t="str">
            <v>VCB8010400000T00</v>
          </cell>
          <cell r="H4443">
            <v>0.75</v>
          </cell>
          <cell r="I4443" t="str">
            <v>--</v>
          </cell>
          <cell r="J4443">
            <v>1</v>
          </cell>
          <cell r="K4443">
            <v>1</v>
          </cell>
        </row>
        <row r="4444">
          <cell r="A4444" t="str">
            <v>M2</v>
          </cell>
          <cell r="B4444" t="str">
            <v>A5C</v>
          </cell>
          <cell r="C4444" t="str">
            <v>N</v>
          </cell>
          <cell r="D4444" t="str">
            <v>23619</v>
          </cell>
          <cell r="E4444" t="str">
            <v>CHECK VA</v>
          </cell>
          <cell r="F4444">
            <v>6</v>
          </cell>
          <cell r="G4444" t="str">
            <v>VCB8010400000T00</v>
          </cell>
          <cell r="H4444">
            <v>0.75</v>
          </cell>
          <cell r="I4444" t="str">
            <v>--</v>
          </cell>
          <cell r="J4444">
            <v>1</v>
          </cell>
          <cell r="K4444">
            <v>1</v>
          </cell>
        </row>
        <row r="4445">
          <cell r="A4445" t="str">
            <v>M2</v>
          </cell>
          <cell r="B4445" t="str">
            <v>A5C</v>
          </cell>
          <cell r="C4445" t="str">
            <v>N</v>
          </cell>
          <cell r="D4445" t="str">
            <v>23620</v>
          </cell>
          <cell r="E4445" t="str">
            <v>CHECK VA</v>
          </cell>
          <cell r="F4445">
            <v>6</v>
          </cell>
          <cell r="G4445" t="str">
            <v>VCB8010400000T00</v>
          </cell>
          <cell r="H4445">
            <v>0.75</v>
          </cell>
          <cell r="I4445" t="str">
            <v>--</v>
          </cell>
          <cell r="J4445">
            <v>1</v>
          </cell>
          <cell r="K4445">
            <v>1</v>
          </cell>
        </row>
        <row r="4446">
          <cell r="A4446" t="str">
            <v>M2</v>
          </cell>
          <cell r="B4446" t="str">
            <v>A5C</v>
          </cell>
          <cell r="C4446" t="str">
            <v>N</v>
          </cell>
          <cell r="D4446" t="str">
            <v>23628</v>
          </cell>
          <cell r="E4446" t="str">
            <v>CHECK VA</v>
          </cell>
          <cell r="F4446">
            <v>6</v>
          </cell>
          <cell r="G4446" t="str">
            <v>VCB8010400000T00</v>
          </cell>
          <cell r="H4446">
            <v>0.75</v>
          </cell>
          <cell r="I4446" t="str">
            <v>--</v>
          </cell>
          <cell r="J4446">
            <v>1</v>
          </cell>
          <cell r="K4446">
            <v>1</v>
          </cell>
        </row>
        <row r="4447">
          <cell r="A4447" t="str">
            <v>M2</v>
          </cell>
          <cell r="B4447" t="str">
            <v>A5C</v>
          </cell>
          <cell r="C4447" t="str">
            <v>N</v>
          </cell>
          <cell r="D4447" t="str">
            <v>23630</v>
          </cell>
          <cell r="E4447" t="str">
            <v>CHECK VA</v>
          </cell>
          <cell r="F4447">
            <v>6</v>
          </cell>
          <cell r="G4447" t="str">
            <v>VCB8010400000T00</v>
          </cell>
          <cell r="H4447">
            <v>0.75</v>
          </cell>
          <cell r="I4447" t="str">
            <v>--</v>
          </cell>
          <cell r="J4447">
            <v>1</v>
          </cell>
          <cell r="K4447">
            <v>1</v>
          </cell>
        </row>
        <row r="4448">
          <cell r="A4448" t="str">
            <v>M2</v>
          </cell>
          <cell r="B4448" t="str">
            <v>A5C</v>
          </cell>
          <cell r="C4448" t="str">
            <v>N</v>
          </cell>
          <cell r="D4448" t="str">
            <v>23629</v>
          </cell>
          <cell r="E4448" t="str">
            <v>CHECK VA</v>
          </cell>
          <cell r="F4448">
            <v>6</v>
          </cell>
          <cell r="G4448" t="str">
            <v>VCB8010400000T00</v>
          </cell>
          <cell r="H4448">
            <v>0.75</v>
          </cell>
          <cell r="I4448" t="str">
            <v>--</v>
          </cell>
          <cell r="J4448">
            <v>1</v>
          </cell>
          <cell r="K4448">
            <v>1</v>
          </cell>
        </row>
        <row r="4449">
          <cell r="A4449" t="str">
            <v>M2</v>
          </cell>
          <cell r="B4449" t="str">
            <v>A5C</v>
          </cell>
          <cell r="C4449" t="str">
            <v>N</v>
          </cell>
          <cell r="D4449" t="str">
            <v>24611</v>
          </cell>
          <cell r="E4449" t="str">
            <v>CHECK VA</v>
          </cell>
          <cell r="F4449">
            <v>6</v>
          </cell>
          <cell r="G4449" t="str">
            <v>VCB8010400000T00</v>
          </cell>
          <cell r="H4449">
            <v>0.75</v>
          </cell>
          <cell r="I4449" t="str">
            <v>--</v>
          </cell>
          <cell r="J4449">
            <v>1</v>
          </cell>
          <cell r="K4449">
            <v>1</v>
          </cell>
        </row>
        <row r="4450">
          <cell r="A4450" t="str">
            <v>M2</v>
          </cell>
          <cell r="B4450" t="str">
            <v>A5C</v>
          </cell>
          <cell r="C4450" t="str">
            <v>N</v>
          </cell>
          <cell r="D4450" t="str">
            <v>24612</v>
          </cell>
          <cell r="E4450" t="str">
            <v>CHECK VA</v>
          </cell>
          <cell r="F4450">
            <v>6</v>
          </cell>
          <cell r="G4450" t="str">
            <v>VCB8010400000T00</v>
          </cell>
          <cell r="H4450">
            <v>0.75</v>
          </cell>
          <cell r="I4450" t="str">
            <v>--</v>
          </cell>
          <cell r="J4450">
            <v>1</v>
          </cell>
          <cell r="K4450">
            <v>1</v>
          </cell>
        </row>
        <row r="4451">
          <cell r="A4451" t="str">
            <v>M2</v>
          </cell>
          <cell r="B4451" t="str">
            <v>A5C</v>
          </cell>
          <cell r="C4451" t="str">
            <v>N</v>
          </cell>
          <cell r="D4451" t="str">
            <v>23648</v>
          </cell>
          <cell r="E4451" t="str">
            <v>CHECK VA</v>
          </cell>
          <cell r="F4451">
            <v>6</v>
          </cell>
          <cell r="G4451" t="str">
            <v>VCB8010400000T00</v>
          </cell>
          <cell r="H4451">
            <v>0.75</v>
          </cell>
          <cell r="I4451" t="str">
            <v>--</v>
          </cell>
          <cell r="J4451">
            <v>1</v>
          </cell>
          <cell r="K4451">
            <v>1</v>
          </cell>
        </row>
        <row r="4452">
          <cell r="A4452" t="str">
            <v>M2</v>
          </cell>
          <cell r="B4452" t="str">
            <v>A5C</v>
          </cell>
          <cell r="C4452" t="str">
            <v>N</v>
          </cell>
          <cell r="D4452" t="str">
            <v>24613</v>
          </cell>
          <cell r="E4452" t="str">
            <v>CHECK VA</v>
          </cell>
          <cell r="F4452">
            <v>6</v>
          </cell>
          <cell r="G4452" t="str">
            <v>VCB8010400000T00</v>
          </cell>
          <cell r="H4452">
            <v>0.75</v>
          </cell>
          <cell r="I4452" t="str">
            <v>--</v>
          </cell>
          <cell r="J4452">
            <v>1</v>
          </cell>
          <cell r="K4452">
            <v>1</v>
          </cell>
        </row>
        <row r="4453">
          <cell r="A4453" t="str">
            <v>M2</v>
          </cell>
          <cell r="B4453" t="str">
            <v>A5C</v>
          </cell>
          <cell r="C4453" t="str">
            <v>P</v>
          </cell>
          <cell r="D4453" t="str">
            <v>23204</v>
          </cell>
          <cell r="E4453" t="str">
            <v>CHECK VA</v>
          </cell>
          <cell r="F4453">
            <v>6</v>
          </cell>
          <cell r="G4453" t="str">
            <v>VCB8010400000T00</v>
          </cell>
          <cell r="H4453">
            <v>0.75</v>
          </cell>
          <cell r="I4453" t="str">
            <v>--</v>
          </cell>
          <cell r="J4453">
            <v>1</v>
          </cell>
          <cell r="K4453">
            <v>1</v>
          </cell>
        </row>
        <row r="4454">
          <cell r="A4454" t="str">
            <v>M2</v>
          </cell>
          <cell r="B4454" t="str">
            <v>A5C</v>
          </cell>
          <cell r="C4454" t="str">
            <v>P</v>
          </cell>
          <cell r="D4454" t="str">
            <v>23207</v>
          </cell>
          <cell r="E4454" t="str">
            <v>CHECK VA</v>
          </cell>
          <cell r="F4454">
            <v>6</v>
          </cell>
          <cell r="G4454" t="str">
            <v>VCB8010400000T00</v>
          </cell>
          <cell r="H4454">
            <v>0.75</v>
          </cell>
          <cell r="I4454" t="str">
            <v>--</v>
          </cell>
          <cell r="J4454">
            <v>1</v>
          </cell>
          <cell r="K4454">
            <v>1</v>
          </cell>
        </row>
        <row r="4455">
          <cell r="A4455" t="str">
            <v>M2</v>
          </cell>
          <cell r="B4455" t="str">
            <v>A5C</v>
          </cell>
          <cell r="C4455" t="str">
            <v>P</v>
          </cell>
          <cell r="D4455" t="str">
            <v>23239</v>
          </cell>
          <cell r="E4455" t="str">
            <v>CHECK VA</v>
          </cell>
          <cell r="F4455">
            <v>6</v>
          </cell>
          <cell r="G4455" t="str">
            <v>VCB8010400000T00</v>
          </cell>
          <cell r="H4455">
            <v>0.75</v>
          </cell>
          <cell r="I4455" t="str">
            <v>--</v>
          </cell>
          <cell r="J4455">
            <v>1</v>
          </cell>
          <cell r="K4455">
            <v>1</v>
          </cell>
        </row>
        <row r="4456">
          <cell r="A4456" t="str">
            <v>M2</v>
          </cell>
          <cell r="B4456" t="str">
            <v>A5C</v>
          </cell>
          <cell r="C4456" t="str">
            <v>N</v>
          </cell>
          <cell r="D4456" t="str">
            <v>23621</v>
          </cell>
          <cell r="E4456" t="str">
            <v>CHECK VA</v>
          </cell>
          <cell r="F4456">
            <v>6</v>
          </cell>
          <cell r="G4456" t="str">
            <v>VCB8010400000T00</v>
          </cell>
          <cell r="H4456">
            <v>0.75</v>
          </cell>
          <cell r="I4456" t="str">
            <v>--</v>
          </cell>
          <cell r="J4456">
            <v>1</v>
          </cell>
          <cell r="K4456">
            <v>1</v>
          </cell>
        </row>
        <row r="4457">
          <cell r="A4457" t="str">
            <v>M2</v>
          </cell>
          <cell r="B4457" t="str">
            <v>A5C</v>
          </cell>
          <cell r="C4457" t="str">
            <v>N</v>
          </cell>
          <cell r="D4457" t="str">
            <v>23641</v>
          </cell>
          <cell r="E4457" t="str">
            <v>CHECK VA</v>
          </cell>
          <cell r="F4457">
            <v>6</v>
          </cell>
          <cell r="G4457" t="str">
            <v>VCB8010400000T00</v>
          </cell>
          <cell r="H4457">
            <v>0.75</v>
          </cell>
          <cell r="I4457" t="str">
            <v>--</v>
          </cell>
          <cell r="J4457">
            <v>1</v>
          </cell>
          <cell r="K4457">
            <v>1</v>
          </cell>
        </row>
        <row r="4458">
          <cell r="A4458" t="str">
            <v>M2</v>
          </cell>
          <cell r="B4458" t="str">
            <v>A5C</v>
          </cell>
          <cell r="C4458" t="str">
            <v>N</v>
          </cell>
          <cell r="D4458" t="str">
            <v>23642</v>
          </cell>
          <cell r="E4458" t="str">
            <v>CHECK VA</v>
          </cell>
          <cell r="F4458">
            <v>6</v>
          </cell>
          <cell r="G4458" t="str">
            <v>VCB8010400000T00</v>
          </cell>
          <cell r="H4458">
            <v>0.75</v>
          </cell>
          <cell r="I4458" t="str">
            <v>--</v>
          </cell>
          <cell r="J4458">
            <v>1</v>
          </cell>
          <cell r="K4458">
            <v>1</v>
          </cell>
        </row>
        <row r="4459">
          <cell r="A4459" t="str">
            <v>M2</v>
          </cell>
          <cell r="B4459" t="str">
            <v>A5C</v>
          </cell>
          <cell r="C4459" t="str">
            <v>N</v>
          </cell>
          <cell r="D4459" t="str">
            <v>23645</v>
          </cell>
          <cell r="E4459" t="str">
            <v>CHECK VA</v>
          </cell>
          <cell r="F4459">
            <v>6</v>
          </cell>
          <cell r="G4459" t="str">
            <v>VCB8010400000T00</v>
          </cell>
          <cell r="H4459">
            <v>0.75</v>
          </cell>
          <cell r="I4459" t="str">
            <v>--</v>
          </cell>
          <cell r="J4459">
            <v>1</v>
          </cell>
          <cell r="K4459">
            <v>1</v>
          </cell>
        </row>
        <row r="4460">
          <cell r="A4460" t="str">
            <v>M2</v>
          </cell>
          <cell r="B4460" t="str">
            <v>A5C</v>
          </cell>
          <cell r="C4460" t="str">
            <v>N</v>
          </cell>
          <cell r="D4460" t="str">
            <v>23646</v>
          </cell>
          <cell r="E4460" t="str">
            <v>CHECK VA</v>
          </cell>
          <cell r="F4460">
            <v>6</v>
          </cell>
          <cell r="G4460" t="str">
            <v>VCB8010400000T00</v>
          </cell>
          <cell r="H4460">
            <v>0.75</v>
          </cell>
          <cell r="I4460" t="str">
            <v>--</v>
          </cell>
          <cell r="J4460">
            <v>1</v>
          </cell>
          <cell r="K4460">
            <v>1</v>
          </cell>
        </row>
        <row r="4461">
          <cell r="A4461" t="str">
            <v>M2</v>
          </cell>
          <cell r="B4461" t="str">
            <v>A5C</v>
          </cell>
          <cell r="C4461" t="str">
            <v>N</v>
          </cell>
          <cell r="D4461" t="str">
            <v>24614</v>
          </cell>
          <cell r="E4461" t="str">
            <v>CHECK VA</v>
          </cell>
          <cell r="F4461">
            <v>6</v>
          </cell>
          <cell r="G4461" t="str">
            <v>VCB8010400000T00</v>
          </cell>
          <cell r="H4461">
            <v>0.75</v>
          </cell>
          <cell r="I4461" t="str">
            <v>--</v>
          </cell>
          <cell r="J4461">
            <v>1</v>
          </cell>
          <cell r="K4461">
            <v>1</v>
          </cell>
        </row>
        <row r="4462">
          <cell r="A4462" t="str">
            <v>M2</v>
          </cell>
          <cell r="B4462" t="str">
            <v>A5C</v>
          </cell>
          <cell r="C4462" t="str">
            <v>P</v>
          </cell>
          <cell r="D4462" t="str">
            <v>23205</v>
          </cell>
          <cell r="E4462" t="str">
            <v>CHECK VA</v>
          </cell>
          <cell r="F4462">
            <v>6</v>
          </cell>
          <cell r="G4462" t="str">
            <v>VCB8010400000T00</v>
          </cell>
          <cell r="H4462">
            <v>0.75</v>
          </cell>
          <cell r="I4462" t="str">
            <v>--</v>
          </cell>
          <cell r="J4462">
            <v>1</v>
          </cell>
          <cell r="K4462">
            <v>1</v>
          </cell>
        </row>
        <row r="4463">
          <cell r="A4463" t="str">
            <v>M2</v>
          </cell>
          <cell r="B4463" t="str">
            <v>A5C</v>
          </cell>
          <cell r="C4463" t="str">
            <v>P</v>
          </cell>
          <cell r="D4463" t="str">
            <v>23206</v>
          </cell>
          <cell r="E4463" t="str">
            <v>CHECK VA</v>
          </cell>
          <cell r="F4463">
            <v>6</v>
          </cell>
          <cell r="G4463" t="str">
            <v>VCB8010400000T00</v>
          </cell>
          <cell r="H4463">
            <v>0.75</v>
          </cell>
          <cell r="I4463" t="str">
            <v>--</v>
          </cell>
          <cell r="J4463">
            <v>1</v>
          </cell>
          <cell r="K4463">
            <v>1</v>
          </cell>
        </row>
        <row r="4464">
          <cell r="A4464" t="str">
            <v>M2</v>
          </cell>
          <cell r="B4464" t="str">
            <v>A5C</v>
          </cell>
          <cell r="C4464" t="str">
            <v>P</v>
          </cell>
          <cell r="D4464" t="str">
            <v>23208</v>
          </cell>
          <cell r="E4464" t="str">
            <v>CHECK VA</v>
          </cell>
          <cell r="F4464">
            <v>6</v>
          </cell>
          <cell r="G4464" t="str">
            <v>VCB8010400000T00</v>
          </cell>
          <cell r="H4464">
            <v>0.75</v>
          </cell>
          <cell r="I4464" t="str">
            <v>--</v>
          </cell>
          <cell r="J4464">
            <v>1</v>
          </cell>
          <cell r="K4464">
            <v>1</v>
          </cell>
        </row>
        <row r="4465">
          <cell r="A4465" t="str">
            <v>M2</v>
          </cell>
          <cell r="B4465" t="str">
            <v>A5C</v>
          </cell>
          <cell r="C4465" t="str">
            <v>P</v>
          </cell>
          <cell r="D4465" t="str">
            <v>23235</v>
          </cell>
          <cell r="E4465" t="str">
            <v>CHECK VA</v>
          </cell>
          <cell r="F4465">
            <v>6</v>
          </cell>
          <cell r="G4465" t="str">
            <v>VCB8010400000T00</v>
          </cell>
          <cell r="H4465">
            <v>0.75</v>
          </cell>
          <cell r="I4465" t="str">
            <v>--</v>
          </cell>
          <cell r="J4465">
            <v>1</v>
          </cell>
          <cell r="K4465">
            <v>1</v>
          </cell>
        </row>
        <row r="4466">
          <cell r="A4466" t="str">
            <v>M2</v>
          </cell>
          <cell r="B4466" t="str">
            <v>A5C</v>
          </cell>
          <cell r="C4466" t="str">
            <v>P</v>
          </cell>
          <cell r="D4466" t="str">
            <v>24006</v>
          </cell>
          <cell r="E4466" t="str">
            <v>GATE VA</v>
          </cell>
          <cell r="F4466">
            <v>6</v>
          </cell>
          <cell r="G4466" t="str">
            <v>VG8010100000T00</v>
          </cell>
          <cell r="H4466">
            <v>0.75</v>
          </cell>
          <cell r="I4466" t="str">
            <v>--</v>
          </cell>
          <cell r="J4466">
            <v>1</v>
          </cell>
          <cell r="K4466">
            <v>1</v>
          </cell>
        </row>
        <row r="4467">
          <cell r="A4467" t="str">
            <v>M2</v>
          </cell>
          <cell r="B4467" t="str">
            <v>A5C</v>
          </cell>
          <cell r="C4467" t="str">
            <v>N</v>
          </cell>
          <cell r="D4467" t="str">
            <v>23619</v>
          </cell>
          <cell r="E4467" t="str">
            <v>GLOBE VA</v>
          </cell>
          <cell r="F4467">
            <v>6</v>
          </cell>
          <cell r="G4467" t="str">
            <v>VL8010100000T00</v>
          </cell>
          <cell r="H4467">
            <v>0.75</v>
          </cell>
          <cell r="I4467" t="str">
            <v>--</v>
          </cell>
          <cell r="J4467">
            <v>1</v>
          </cell>
          <cell r="K4467">
            <v>1</v>
          </cell>
        </row>
        <row r="4468">
          <cell r="A4468" t="str">
            <v>M2</v>
          </cell>
          <cell r="B4468" t="str">
            <v>A5C</v>
          </cell>
          <cell r="C4468" t="str">
            <v>N</v>
          </cell>
          <cell r="D4468" t="str">
            <v>23642</v>
          </cell>
          <cell r="E4468" t="str">
            <v>GLOBE VA</v>
          </cell>
          <cell r="F4468">
            <v>6</v>
          </cell>
          <cell r="G4468" t="str">
            <v>VL8010100000T00</v>
          </cell>
          <cell r="H4468">
            <v>0.75</v>
          </cell>
          <cell r="I4468" t="str">
            <v>--</v>
          </cell>
          <cell r="J4468">
            <v>1</v>
          </cell>
          <cell r="K4468">
            <v>1</v>
          </cell>
        </row>
        <row r="4469">
          <cell r="A4469" t="str">
            <v>M2</v>
          </cell>
          <cell r="B4469" t="str">
            <v>A5C</v>
          </cell>
          <cell r="C4469" t="str">
            <v>N</v>
          </cell>
          <cell r="D4469" t="str">
            <v>23646</v>
          </cell>
          <cell r="E4469" t="str">
            <v>GLOBE VA</v>
          </cell>
          <cell r="F4469">
            <v>6</v>
          </cell>
          <cell r="G4469" t="str">
            <v>VL8010100000T00</v>
          </cell>
          <cell r="H4469">
            <v>0.75</v>
          </cell>
          <cell r="I4469" t="str">
            <v>--</v>
          </cell>
          <cell r="J4469">
            <v>1</v>
          </cell>
          <cell r="K4469">
            <v>1</v>
          </cell>
        </row>
        <row r="4470">
          <cell r="A4470" t="str">
            <v>M2</v>
          </cell>
          <cell r="B4470" t="str">
            <v>A5C</v>
          </cell>
          <cell r="C4470" t="str">
            <v>N</v>
          </cell>
          <cell r="D4470" t="str">
            <v>24611</v>
          </cell>
          <cell r="E4470" t="str">
            <v>GLOBE VA</v>
          </cell>
          <cell r="F4470">
            <v>6</v>
          </cell>
          <cell r="G4470" t="str">
            <v>VL8010100000T00</v>
          </cell>
          <cell r="H4470">
            <v>0.75</v>
          </cell>
          <cell r="I4470" t="str">
            <v>--</v>
          </cell>
          <cell r="J4470">
            <v>1</v>
          </cell>
          <cell r="K4470">
            <v>1</v>
          </cell>
        </row>
        <row r="4471">
          <cell r="A4471" t="str">
            <v>M2</v>
          </cell>
          <cell r="B4471" t="str">
            <v>A5C</v>
          </cell>
          <cell r="C4471" t="str">
            <v>N</v>
          </cell>
          <cell r="D4471" t="str">
            <v>23647</v>
          </cell>
          <cell r="E4471" t="str">
            <v>GLOBE VA</v>
          </cell>
          <cell r="F4471">
            <v>6</v>
          </cell>
          <cell r="G4471" t="str">
            <v>VL8010100000T00</v>
          </cell>
          <cell r="H4471">
            <v>0.75</v>
          </cell>
          <cell r="I4471" t="str">
            <v>--</v>
          </cell>
          <cell r="J4471">
            <v>2</v>
          </cell>
          <cell r="K4471">
            <v>2</v>
          </cell>
        </row>
        <row r="4472">
          <cell r="A4472" t="str">
            <v>M2</v>
          </cell>
          <cell r="B4472" t="str">
            <v>A5C</v>
          </cell>
          <cell r="C4472" t="str">
            <v>N</v>
          </cell>
          <cell r="D4472" t="str">
            <v>23648</v>
          </cell>
          <cell r="E4472" t="str">
            <v>GLOBE VA</v>
          </cell>
          <cell r="F4472">
            <v>6</v>
          </cell>
          <cell r="G4472" t="str">
            <v>VL8010100000T00</v>
          </cell>
          <cell r="H4472">
            <v>0.75</v>
          </cell>
          <cell r="I4472" t="str">
            <v>--</v>
          </cell>
          <cell r="J4472">
            <v>1</v>
          </cell>
          <cell r="K4472">
            <v>1</v>
          </cell>
        </row>
        <row r="4473">
          <cell r="A4473" t="str">
            <v>M2</v>
          </cell>
          <cell r="B4473" t="str">
            <v>A5C</v>
          </cell>
          <cell r="C4473" t="str">
            <v>N</v>
          </cell>
          <cell r="D4473" t="str">
            <v>24612</v>
          </cell>
          <cell r="E4473" t="str">
            <v>GLOBE VA</v>
          </cell>
          <cell r="F4473">
            <v>6</v>
          </cell>
          <cell r="G4473" t="str">
            <v>VL8010100000T00</v>
          </cell>
          <cell r="H4473">
            <v>0.75</v>
          </cell>
          <cell r="I4473" t="str">
            <v>--</v>
          </cell>
          <cell r="J4473">
            <v>1</v>
          </cell>
          <cell r="K4473">
            <v>1</v>
          </cell>
        </row>
        <row r="4474">
          <cell r="A4474" t="str">
            <v>M2</v>
          </cell>
          <cell r="B4474" t="str">
            <v>A5C</v>
          </cell>
          <cell r="C4474" t="str">
            <v>P</v>
          </cell>
          <cell r="D4474" t="str">
            <v>23037</v>
          </cell>
          <cell r="E4474" t="str">
            <v>GLOBE VA</v>
          </cell>
          <cell r="F4474">
            <v>6</v>
          </cell>
          <cell r="G4474" t="str">
            <v>VL8010100000T00</v>
          </cell>
          <cell r="H4474">
            <v>0.75</v>
          </cell>
          <cell r="I4474" t="str">
            <v>--</v>
          </cell>
          <cell r="J4474">
            <v>1</v>
          </cell>
          <cell r="K4474">
            <v>1</v>
          </cell>
        </row>
        <row r="4475">
          <cell r="A4475" t="str">
            <v>M2</v>
          </cell>
          <cell r="B4475" t="str">
            <v>A5C</v>
          </cell>
          <cell r="C4475" t="str">
            <v>P</v>
          </cell>
          <cell r="D4475" t="str">
            <v>23052</v>
          </cell>
          <cell r="E4475" t="str">
            <v>GLOBE VA</v>
          </cell>
          <cell r="F4475">
            <v>6</v>
          </cell>
          <cell r="G4475" t="str">
            <v>VL8010100000T00</v>
          </cell>
          <cell r="H4475">
            <v>0.75</v>
          </cell>
          <cell r="I4475" t="str">
            <v>--</v>
          </cell>
          <cell r="J4475">
            <v>1</v>
          </cell>
          <cell r="K4475">
            <v>1</v>
          </cell>
        </row>
        <row r="4476">
          <cell r="A4476" t="str">
            <v>M2</v>
          </cell>
          <cell r="B4476" t="str">
            <v>A5C</v>
          </cell>
          <cell r="C4476" t="str">
            <v>P</v>
          </cell>
          <cell r="D4476" t="str">
            <v>23081</v>
          </cell>
          <cell r="E4476" t="str">
            <v>GLOBE VA</v>
          </cell>
          <cell r="F4476">
            <v>6</v>
          </cell>
          <cell r="G4476" t="str">
            <v>VL8010100000T00</v>
          </cell>
          <cell r="H4476">
            <v>0.75</v>
          </cell>
          <cell r="I4476" t="str">
            <v>--</v>
          </cell>
          <cell r="J4476">
            <v>1</v>
          </cell>
          <cell r="K4476">
            <v>1</v>
          </cell>
        </row>
        <row r="4477">
          <cell r="A4477" t="str">
            <v>M2</v>
          </cell>
          <cell r="B4477" t="str">
            <v>A5C</v>
          </cell>
          <cell r="C4477" t="str">
            <v>P</v>
          </cell>
          <cell r="D4477" t="str">
            <v>23188</v>
          </cell>
          <cell r="E4477" t="str">
            <v>GLOBE VA</v>
          </cell>
          <cell r="F4477">
            <v>6</v>
          </cell>
          <cell r="G4477" t="str">
            <v>VL8010100000T00</v>
          </cell>
          <cell r="H4477">
            <v>0.75</v>
          </cell>
          <cell r="I4477" t="str">
            <v>--</v>
          </cell>
          <cell r="J4477">
            <v>1</v>
          </cell>
          <cell r="K4477">
            <v>1</v>
          </cell>
        </row>
        <row r="4478">
          <cell r="A4478" t="str">
            <v>M2</v>
          </cell>
          <cell r="B4478" t="str">
            <v>A5C</v>
          </cell>
          <cell r="C4478" t="str">
            <v>P</v>
          </cell>
          <cell r="D4478" t="str">
            <v>23247</v>
          </cell>
          <cell r="E4478" t="str">
            <v>GLOBE VA</v>
          </cell>
          <cell r="F4478">
            <v>6</v>
          </cell>
          <cell r="G4478" t="str">
            <v>VL8010100000T00</v>
          </cell>
          <cell r="H4478">
            <v>0.75</v>
          </cell>
          <cell r="I4478" t="str">
            <v>--</v>
          </cell>
          <cell r="J4478">
            <v>1</v>
          </cell>
          <cell r="K4478">
            <v>1</v>
          </cell>
        </row>
        <row r="4479">
          <cell r="A4479" t="str">
            <v>M2</v>
          </cell>
          <cell r="B4479" t="str">
            <v>A5C</v>
          </cell>
          <cell r="C4479" t="str">
            <v>P</v>
          </cell>
          <cell r="D4479" t="str">
            <v>24024</v>
          </cell>
          <cell r="E4479" t="str">
            <v>GLOBE VA</v>
          </cell>
          <cell r="F4479">
            <v>6</v>
          </cell>
          <cell r="G4479" t="str">
            <v>VL8010100000T00</v>
          </cell>
          <cell r="H4479">
            <v>0.75</v>
          </cell>
          <cell r="I4479" t="str">
            <v>--</v>
          </cell>
          <cell r="J4479">
            <v>1</v>
          </cell>
          <cell r="K4479">
            <v>1</v>
          </cell>
        </row>
        <row r="4480">
          <cell r="A4480" t="str">
            <v>M2</v>
          </cell>
          <cell r="B4480" t="str">
            <v>A5C</v>
          </cell>
          <cell r="C4480" t="str">
            <v>TRIM</v>
          </cell>
          <cell r="D4480" t="str">
            <v>V-2316</v>
          </cell>
          <cell r="E4480" t="str">
            <v>GLOBE VA</v>
          </cell>
          <cell r="F4480">
            <v>6</v>
          </cell>
          <cell r="G4480" t="str">
            <v>VL8010100000T00</v>
          </cell>
          <cell r="H4480">
            <v>0.75</v>
          </cell>
          <cell r="I4480" t="str">
            <v>--</v>
          </cell>
          <cell r="J4480">
            <v>1</v>
          </cell>
          <cell r="K4480">
            <v>1</v>
          </cell>
        </row>
        <row r="4481">
          <cell r="A4481" t="str">
            <v>M2</v>
          </cell>
          <cell r="B4481" t="str">
            <v>A5C</v>
          </cell>
          <cell r="C4481" t="str">
            <v>N</v>
          </cell>
          <cell r="D4481" t="str">
            <v>23613</v>
          </cell>
          <cell r="E4481" t="str">
            <v>GLOBE VA</v>
          </cell>
          <cell r="F4481">
            <v>6</v>
          </cell>
          <cell r="G4481" t="str">
            <v>VL8010100000T00</v>
          </cell>
          <cell r="H4481">
            <v>0.75</v>
          </cell>
          <cell r="I4481" t="str">
            <v>--</v>
          </cell>
          <cell r="J4481">
            <v>1</v>
          </cell>
          <cell r="K4481">
            <v>1</v>
          </cell>
        </row>
        <row r="4482">
          <cell r="A4482" t="str">
            <v>M2</v>
          </cell>
          <cell r="B4482" t="str">
            <v>A5C</v>
          </cell>
          <cell r="C4482" t="str">
            <v>N</v>
          </cell>
          <cell r="D4482" t="str">
            <v>23620</v>
          </cell>
          <cell r="E4482" t="str">
            <v>GLOBE VA</v>
          </cell>
          <cell r="F4482">
            <v>6</v>
          </cell>
          <cell r="G4482" t="str">
            <v>VL8010100000T00</v>
          </cell>
          <cell r="H4482">
            <v>0.75</v>
          </cell>
          <cell r="I4482" t="str">
            <v>--</v>
          </cell>
          <cell r="J4482">
            <v>1</v>
          </cell>
          <cell r="K4482">
            <v>1</v>
          </cell>
        </row>
        <row r="4483">
          <cell r="A4483" t="str">
            <v>M2</v>
          </cell>
          <cell r="B4483" t="str">
            <v>A5C</v>
          </cell>
          <cell r="C4483" t="str">
            <v>N</v>
          </cell>
          <cell r="D4483" t="str">
            <v>23621</v>
          </cell>
          <cell r="E4483" t="str">
            <v>GLOBE VA</v>
          </cell>
          <cell r="F4483">
            <v>6</v>
          </cell>
          <cell r="G4483" t="str">
            <v>VL8010100000T00</v>
          </cell>
          <cell r="H4483">
            <v>0.75</v>
          </cell>
          <cell r="I4483" t="str">
            <v>--</v>
          </cell>
          <cell r="J4483">
            <v>1</v>
          </cell>
          <cell r="K4483">
            <v>1</v>
          </cell>
        </row>
        <row r="4484">
          <cell r="A4484" t="str">
            <v>M2</v>
          </cell>
          <cell r="B4484" t="str">
            <v>A5C</v>
          </cell>
          <cell r="C4484" t="str">
            <v>N</v>
          </cell>
          <cell r="D4484" t="str">
            <v>24613</v>
          </cell>
          <cell r="E4484" t="str">
            <v>GLOBE VA</v>
          </cell>
          <cell r="F4484">
            <v>6</v>
          </cell>
          <cell r="G4484" t="str">
            <v>VL8010100000T00</v>
          </cell>
          <cell r="H4484">
            <v>0.75</v>
          </cell>
          <cell r="I4484" t="str">
            <v>--</v>
          </cell>
          <cell r="J4484">
            <v>1</v>
          </cell>
          <cell r="K4484">
            <v>1</v>
          </cell>
        </row>
        <row r="4485">
          <cell r="A4485" t="str">
            <v>M2</v>
          </cell>
          <cell r="B4485" t="str">
            <v>A5C</v>
          </cell>
          <cell r="C4485" t="str">
            <v>N</v>
          </cell>
          <cell r="D4485" t="str">
            <v>24614</v>
          </cell>
          <cell r="E4485" t="str">
            <v>GLOBE VA</v>
          </cell>
          <cell r="F4485">
            <v>6</v>
          </cell>
          <cell r="G4485" t="str">
            <v>VL8010100000T00</v>
          </cell>
          <cell r="H4485">
            <v>0.75</v>
          </cell>
          <cell r="I4485" t="str">
            <v>--</v>
          </cell>
          <cell r="J4485">
            <v>1</v>
          </cell>
          <cell r="K4485">
            <v>1</v>
          </cell>
        </row>
        <row r="4486">
          <cell r="A4486" t="str">
            <v>M2</v>
          </cell>
          <cell r="B4486" t="str">
            <v>A5C</v>
          </cell>
          <cell r="C4486" t="str">
            <v>P</v>
          </cell>
          <cell r="D4486" t="str">
            <v>23141</v>
          </cell>
          <cell r="E4486" t="str">
            <v>GLOBE VA</v>
          </cell>
          <cell r="F4486">
            <v>6</v>
          </cell>
          <cell r="G4486" t="str">
            <v>VL8010100000T00</v>
          </cell>
          <cell r="H4486">
            <v>0.75</v>
          </cell>
          <cell r="I4486" t="str">
            <v>--</v>
          </cell>
          <cell r="J4486">
            <v>1</v>
          </cell>
          <cell r="K4486">
            <v>1</v>
          </cell>
        </row>
        <row r="4487">
          <cell r="A4487" t="str">
            <v>M2</v>
          </cell>
          <cell r="B4487" t="str">
            <v>A5C</v>
          </cell>
          <cell r="C4487" t="str">
            <v>P</v>
          </cell>
          <cell r="D4487" t="str">
            <v>23149</v>
          </cell>
          <cell r="E4487" t="str">
            <v>GLOBE VA</v>
          </cell>
          <cell r="F4487">
            <v>6</v>
          </cell>
          <cell r="G4487" t="str">
            <v>VL8010100000T00</v>
          </cell>
          <cell r="H4487">
            <v>0.75</v>
          </cell>
          <cell r="I4487" t="str">
            <v>--</v>
          </cell>
          <cell r="J4487">
            <v>1</v>
          </cell>
          <cell r="K4487">
            <v>1</v>
          </cell>
        </row>
        <row r="4488">
          <cell r="A4488" t="str">
            <v>M2</v>
          </cell>
          <cell r="B4488" t="str">
            <v>A5C</v>
          </cell>
          <cell r="C4488" t="str">
            <v>P</v>
          </cell>
          <cell r="D4488" t="str">
            <v>23225</v>
          </cell>
          <cell r="E4488" t="str">
            <v>GLOBE VA</v>
          </cell>
          <cell r="F4488">
            <v>6</v>
          </cell>
          <cell r="G4488" t="str">
            <v>VL8010100000T00</v>
          </cell>
          <cell r="H4488">
            <v>0.75</v>
          </cell>
          <cell r="I4488" t="str">
            <v>--</v>
          </cell>
          <cell r="J4488">
            <v>1</v>
          </cell>
          <cell r="K4488">
            <v>1</v>
          </cell>
        </row>
        <row r="4489">
          <cell r="A4489" t="str">
            <v>M2</v>
          </cell>
          <cell r="B4489" t="str">
            <v>A5C</v>
          </cell>
          <cell r="C4489" t="str">
            <v>P</v>
          </cell>
          <cell r="D4489" t="str">
            <v>23059</v>
          </cell>
          <cell r="E4489" t="str">
            <v>BALL VA</v>
          </cell>
          <cell r="F4489">
            <v>6</v>
          </cell>
          <cell r="G4489" t="str">
            <v>VB8010600000T00</v>
          </cell>
          <cell r="H4489">
            <v>0.75</v>
          </cell>
          <cell r="I4489" t="str">
            <v>--</v>
          </cell>
          <cell r="J4489">
            <v>2</v>
          </cell>
          <cell r="K4489">
            <v>2</v>
          </cell>
        </row>
        <row r="4490">
          <cell r="A4490" t="str">
            <v>M2</v>
          </cell>
          <cell r="B4490" t="str">
            <v>A5C</v>
          </cell>
          <cell r="C4490" t="str">
            <v>P</v>
          </cell>
          <cell r="D4490" t="str">
            <v>23059</v>
          </cell>
          <cell r="E4490" t="str">
            <v>BALL VA</v>
          </cell>
          <cell r="F4490">
            <v>6</v>
          </cell>
          <cell r="G4490" t="str">
            <v>VB8010600000T00</v>
          </cell>
          <cell r="H4490">
            <v>0.75</v>
          </cell>
          <cell r="I4490" t="str">
            <v>--</v>
          </cell>
          <cell r="J4490">
            <v>2</v>
          </cell>
          <cell r="K4490">
            <v>2</v>
          </cell>
        </row>
        <row r="4491">
          <cell r="A4491" t="str">
            <v>M2</v>
          </cell>
          <cell r="B4491" t="str">
            <v>A5C</v>
          </cell>
          <cell r="C4491" t="str">
            <v>P</v>
          </cell>
          <cell r="D4491" t="str">
            <v>23059</v>
          </cell>
          <cell r="E4491" t="str">
            <v>BALL VA</v>
          </cell>
          <cell r="F4491">
            <v>6</v>
          </cell>
          <cell r="G4491" t="str">
            <v>VB8010600000T00</v>
          </cell>
          <cell r="H4491">
            <v>0.75</v>
          </cell>
          <cell r="I4491" t="str">
            <v>--</v>
          </cell>
          <cell r="J4491">
            <v>3</v>
          </cell>
          <cell r="K4491">
            <v>3</v>
          </cell>
        </row>
        <row r="4492">
          <cell r="A4492" t="str">
            <v>M2</v>
          </cell>
          <cell r="B4492" t="str">
            <v>A5C</v>
          </cell>
          <cell r="C4492" t="str">
            <v>P</v>
          </cell>
          <cell r="D4492" t="str">
            <v>23183</v>
          </cell>
          <cell r="E4492" t="str">
            <v>BALL VA</v>
          </cell>
          <cell r="F4492">
            <v>6</v>
          </cell>
          <cell r="G4492" t="str">
            <v>VB8010600000T00</v>
          </cell>
          <cell r="H4492">
            <v>0.75</v>
          </cell>
          <cell r="I4492" t="str">
            <v>--</v>
          </cell>
          <cell r="J4492">
            <v>1</v>
          </cell>
          <cell r="K4492">
            <v>1</v>
          </cell>
        </row>
        <row r="4493">
          <cell r="A4493" t="str">
            <v>M2</v>
          </cell>
          <cell r="B4493" t="str">
            <v>A5C</v>
          </cell>
          <cell r="C4493" t="str">
            <v>P</v>
          </cell>
          <cell r="D4493" t="str">
            <v>23264</v>
          </cell>
          <cell r="E4493" t="str">
            <v>BALL VA</v>
          </cell>
          <cell r="F4493">
            <v>6</v>
          </cell>
          <cell r="G4493" t="str">
            <v>VB8010600000T00</v>
          </cell>
          <cell r="H4493">
            <v>0.75</v>
          </cell>
          <cell r="I4493" t="str">
            <v>--</v>
          </cell>
          <cell r="J4493">
            <v>1</v>
          </cell>
          <cell r="K4493">
            <v>1</v>
          </cell>
        </row>
        <row r="4494">
          <cell r="A4494" t="str">
            <v>M2</v>
          </cell>
          <cell r="B4494" t="str">
            <v>A5C</v>
          </cell>
          <cell r="C4494" t="str">
            <v>P</v>
          </cell>
          <cell r="D4494" t="str">
            <v>23264</v>
          </cell>
          <cell r="E4494" t="str">
            <v>BALL VA</v>
          </cell>
          <cell r="F4494">
            <v>6</v>
          </cell>
          <cell r="G4494" t="str">
            <v>VB8010600000T00</v>
          </cell>
          <cell r="H4494">
            <v>0.75</v>
          </cell>
          <cell r="I4494" t="str">
            <v>--</v>
          </cell>
          <cell r="J4494">
            <v>1</v>
          </cell>
          <cell r="K4494">
            <v>1</v>
          </cell>
        </row>
        <row r="4495">
          <cell r="A4495" t="str">
            <v>M2</v>
          </cell>
          <cell r="B4495" t="str">
            <v>A5C</v>
          </cell>
          <cell r="C4495" t="str">
            <v>TRIM</v>
          </cell>
          <cell r="D4495" t="str">
            <v>V-2352</v>
          </cell>
          <cell r="E4495" t="str">
            <v>BALL VA</v>
          </cell>
          <cell r="F4495">
            <v>6</v>
          </cell>
          <cell r="G4495" t="str">
            <v>VB8010600000T00</v>
          </cell>
          <cell r="H4495">
            <v>0.75</v>
          </cell>
          <cell r="I4495" t="str">
            <v>--</v>
          </cell>
          <cell r="J4495">
            <v>2</v>
          </cell>
          <cell r="K4495">
            <v>2</v>
          </cell>
        </row>
        <row r="4496">
          <cell r="A4496" t="str">
            <v>M2</v>
          </cell>
          <cell r="B4496" t="str">
            <v>A5C</v>
          </cell>
          <cell r="C4496" t="str">
            <v>TRIM</v>
          </cell>
          <cell r="D4496" t="str">
            <v>V-2352</v>
          </cell>
          <cell r="E4496" t="str">
            <v>BALL VA</v>
          </cell>
          <cell r="F4496">
            <v>6</v>
          </cell>
          <cell r="G4496" t="str">
            <v>VB8010600000T00</v>
          </cell>
          <cell r="H4496">
            <v>0.75</v>
          </cell>
          <cell r="I4496" t="str">
            <v>--</v>
          </cell>
          <cell r="J4496">
            <v>3</v>
          </cell>
          <cell r="K4496">
            <v>3</v>
          </cell>
        </row>
        <row r="4497">
          <cell r="A4497" t="str">
            <v>M2</v>
          </cell>
          <cell r="B4497" t="str">
            <v>A5C</v>
          </cell>
          <cell r="C4497" t="str">
            <v>P</v>
          </cell>
          <cell r="D4497" t="str">
            <v>23059</v>
          </cell>
          <cell r="E4497" t="str">
            <v>GLOBE VA</v>
          </cell>
          <cell r="F4497">
            <v>6</v>
          </cell>
          <cell r="G4497" t="str">
            <v>VL8010100000T00</v>
          </cell>
          <cell r="H4497">
            <v>0.75</v>
          </cell>
          <cell r="I4497" t="str">
            <v>--</v>
          </cell>
          <cell r="J4497">
            <v>1</v>
          </cell>
          <cell r="K4497">
            <v>1</v>
          </cell>
        </row>
        <row r="4498">
          <cell r="A4498" t="str">
            <v>M2</v>
          </cell>
          <cell r="B4498" t="str">
            <v>A5C</v>
          </cell>
          <cell r="C4498" t="str">
            <v>TRIM</v>
          </cell>
          <cell r="D4498" t="str">
            <v>C-2303</v>
          </cell>
          <cell r="E4498" t="str">
            <v>BALL VA</v>
          </cell>
          <cell r="F4498">
            <v>6</v>
          </cell>
          <cell r="G4498" t="str">
            <v>VB8010600000T00</v>
          </cell>
          <cell r="H4498">
            <v>0.75</v>
          </cell>
          <cell r="I4498" t="str">
            <v>--</v>
          </cell>
          <cell r="J4498">
            <v>4</v>
          </cell>
          <cell r="K4498">
            <v>4</v>
          </cell>
        </row>
        <row r="4499">
          <cell r="A4499" t="str">
            <v>M2</v>
          </cell>
          <cell r="B4499" t="str">
            <v>A5C</v>
          </cell>
          <cell r="C4499" t="str">
            <v>P</v>
          </cell>
          <cell r="D4499" t="str">
            <v>23018</v>
          </cell>
          <cell r="E4499" t="str">
            <v>BALL VA</v>
          </cell>
          <cell r="F4499">
            <v>6</v>
          </cell>
          <cell r="G4499" t="str">
            <v>VB8010600000T00</v>
          </cell>
          <cell r="H4499">
            <v>0.75</v>
          </cell>
          <cell r="I4499" t="str">
            <v>--</v>
          </cell>
          <cell r="J4499">
            <v>2</v>
          </cell>
          <cell r="K4499">
            <v>2</v>
          </cell>
        </row>
        <row r="4500">
          <cell r="A4500" t="str">
            <v>M2</v>
          </cell>
          <cell r="B4500" t="str">
            <v>A5C</v>
          </cell>
          <cell r="C4500" t="str">
            <v>P</v>
          </cell>
          <cell r="D4500" t="str">
            <v>23018</v>
          </cell>
          <cell r="E4500" t="str">
            <v>BALL VA</v>
          </cell>
          <cell r="F4500">
            <v>6</v>
          </cell>
          <cell r="G4500" t="str">
            <v>VB8010600000T00</v>
          </cell>
          <cell r="H4500">
            <v>0.75</v>
          </cell>
          <cell r="I4500" t="str">
            <v>--</v>
          </cell>
          <cell r="J4500">
            <v>1</v>
          </cell>
          <cell r="K4500">
            <v>1</v>
          </cell>
        </row>
        <row r="4501">
          <cell r="A4501" t="str">
            <v>M2</v>
          </cell>
          <cell r="B4501" t="str">
            <v>A5C</v>
          </cell>
          <cell r="C4501" t="str">
            <v>P</v>
          </cell>
          <cell r="D4501" t="str">
            <v>23018</v>
          </cell>
          <cell r="E4501" t="str">
            <v>BALL VA</v>
          </cell>
          <cell r="F4501">
            <v>6</v>
          </cell>
          <cell r="G4501" t="str">
            <v>VB8010600000T00</v>
          </cell>
          <cell r="H4501">
            <v>0.75</v>
          </cell>
          <cell r="I4501" t="str">
            <v>--</v>
          </cell>
          <cell r="J4501">
            <v>1</v>
          </cell>
          <cell r="K4501">
            <v>1</v>
          </cell>
        </row>
        <row r="4502">
          <cell r="A4502" t="str">
            <v>M2</v>
          </cell>
          <cell r="B4502" t="str">
            <v>A5C</v>
          </cell>
          <cell r="C4502" t="str">
            <v>P</v>
          </cell>
          <cell r="D4502" t="str">
            <v>23019</v>
          </cell>
          <cell r="E4502" t="str">
            <v>BALL VA</v>
          </cell>
          <cell r="F4502">
            <v>6</v>
          </cell>
          <cell r="G4502" t="str">
            <v>VB8010600000T00</v>
          </cell>
          <cell r="H4502">
            <v>0.75</v>
          </cell>
          <cell r="I4502" t="str">
            <v>--</v>
          </cell>
          <cell r="J4502">
            <v>2</v>
          </cell>
          <cell r="K4502">
            <v>2</v>
          </cell>
        </row>
        <row r="4503">
          <cell r="A4503" t="str">
            <v>M2</v>
          </cell>
          <cell r="B4503" t="str">
            <v>A5C</v>
          </cell>
          <cell r="C4503" t="str">
            <v>P</v>
          </cell>
          <cell r="D4503" t="str">
            <v>23019</v>
          </cell>
          <cell r="E4503" t="str">
            <v>BALL VA</v>
          </cell>
          <cell r="F4503">
            <v>6</v>
          </cell>
          <cell r="G4503" t="str">
            <v>VB8010600000T00</v>
          </cell>
          <cell r="H4503">
            <v>0.75</v>
          </cell>
          <cell r="I4503" t="str">
            <v>--</v>
          </cell>
          <cell r="J4503">
            <v>2</v>
          </cell>
          <cell r="K4503">
            <v>2</v>
          </cell>
        </row>
        <row r="4504">
          <cell r="A4504" t="str">
            <v>M2</v>
          </cell>
          <cell r="B4504" t="str">
            <v>A5C</v>
          </cell>
          <cell r="C4504" t="str">
            <v>P</v>
          </cell>
          <cell r="D4504" t="str">
            <v>23020</v>
          </cell>
          <cell r="E4504" t="str">
            <v>BALL VA</v>
          </cell>
          <cell r="F4504">
            <v>6</v>
          </cell>
          <cell r="G4504" t="str">
            <v>VB8010600000T00</v>
          </cell>
          <cell r="H4504">
            <v>0.75</v>
          </cell>
          <cell r="I4504" t="str">
            <v>--</v>
          </cell>
          <cell r="J4504">
            <v>1</v>
          </cell>
          <cell r="K4504">
            <v>1</v>
          </cell>
        </row>
        <row r="4505">
          <cell r="A4505" t="str">
            <v>M2</v>
          </cell>
          <cell r="B4505" t="str">
            <v>A5C</v>
          </cell>
          <cell r="C4505" t="str">
            <v>P</v>
          </cell>
          <cell r="D4505" t="str">
            <v>23024</v>
          </cell>
          <cell r="E4505" t="str">
            <v>BALL VA</v>
          </cell>
          <cell r="F4505">
            <v>6</v>
          </cell>
          <cell r="G4505" t="str">
            <v>VB8010600000T00</v>
          </cell>
          <cell r="H4505">
            <v>0.75</v>
          </cell>
          <cell r="I4505" t="str">
            <v>--</v>
          </cell>
          <cell r="J4505">
            <v>2</v>
          </cell>
          <cell r="K4505">
            <v>2</v>
          </cell>
        </row>
        <row r="4506">
          <cell r="A4506" t="str">
            <v>M2</v>
          </cell>
          <cell r="B4506" t="str">
            <v>A5C</v>
          </cell>
          <cell r="C4506" t="str">
            <v>P</v>
          </cell>
          <cell r="D4506" t="str">
            <v>23024</v>
          </cell>
          <cell r="E4506" t="str">
            <v>BALL VA</v>
          </cell>
          <cell r="F4506">
            <v>6</v>
          </cell>
          <cell r="G4506" t="str">
            <v>VB8010600000T00</v>
          </cell>
          <cell r="H4506">
            <v>0.75</v>
          </cell>
          <cell r="I4506" t="str">
            <v>--</v>
          </cell>
          <cell r="J4506">
            <v>2</v>
          </cell>
          <cell r="K4506">
            <v>2</v>
          </cell>
        </row>
        <row r="4507">
          <cell r="A4507" t="str">
            <v>M2</v>
          </cell>
          <cell r="B4507" t="str">
            <v>A5C</v>
          </cell>
          <cell r="C4507" t="str">
            <v>P</v>
          </cell>
          <cell r="D4507" t="str">
            <v>23027</v>
          </cell>
          <cell r="E4507" t="str">
            <v>BALL VA</v>
          </cell>
          <cell r="F4507">
            <v>6</v>
          </cell>
          <cell r="G4507" t="str">
            <v>VB8010600000T00</v>
          </cell>
          <cell r="H4507">
            <v>0.75</v>
          </cell>
          <cell r="I4507" t="str">
            <v>--</v>
          </cell>
          <cell r="J4507">
            <v>1</v>
          </cell>
          <cell r="K4507">
            <v>1</v>
          </cell>
        </row>
        <row r="4508">
          <cell r="A4508" t="str">
            <v>M2</v>
          </cell>
          <cell r="B4508" t="str">
            <v>A5C</v>
          </cell>
          <cell r="C4508" t="str">
            <v>P</v>
          </cell>
          <cell r="D4508" t="str">
            <v>23027</v>
          </cell>
          <cell r="E4508" t="str">
            <v>BALL VA</v>
          </cell>
          <cell r="F4508">
            <v>6</v>
          </cell>
          <cell r="G4508" t="str">
            <v>VB8010600000T00</v>
          </cell>
          <cell r="H4508">
            <v>0.75</v>
          </cell>
          <cell r="I4508" t="str">
            <v>--</v>
          </cell>
          <cell r="J4508">
            <v>2</v>
          </cell>
          <cell r="K4508">
            <v>2</v>
          </cell>
        </row>
        <row r="4509">
          <cell r="A4509" t="str">
            <v>M2</v>
          </cell>
          <cell r="B4509" t="str">
            <v>A5C</v>
          </cell>
          <cell r="C4509" t="str">
            <v>P</v>
          </cell>
          <cell r="D4509" t="str">
            <v>23028</v>
          </cell>
          <cell r="E4509" t="str">
            <v>BALL VA</v>
          </cell>
          <cell r="F4509">
            <v>6</v>
          </cell>
          <cell r="G4509" t="str">
            <v>VB8010600000T00</v>
          </cell>
          <cell r="H4509">
            <v>0.75</v>
          </cell>
          <cell r="I4509" t="str">
            <v>--</v>
          </cell>
          <cell r="J4509">
            <v>3</v>
          </cell>
          <cell r="K4509">
            <v>3</v>
          </cell>
        </row>
        <row r="4510">
          <cell r="A4510" t="str">
            <v>M2</v>
          </cell>
          <cell r="B4510" t="str">
            <v>A5C</v>
          </cell>
          <cell r="C4510" t="str">
            <v>P</v>
          </cell>
          <cell r="D4510" t="str">
            <v>23029</v>
          </cell>
          <cell r="E4510" t="str">
            <v>BALL VA</v>
          </cell>
          <cell r="F4510">
            <v>6</v>
          </cell>
          <cell r="G4510" t="str">
            <v>VB8010600000T00</v>
          </cell>
          <cell r="H4510">
            <v>0.75</v>
          </cell>
          <cell r="I4510" t="str">
            <v>--</v>
          </cell>
          <cell r="J4510">
            <v>2</v>
          </cell>
          <cell r="K4510">
            <v>2</v>
          </cell>
        </row>
        <row r="4511">
          <cell r="A4511" t="str">
            <v>M2</v>
          </cell>
          <cell r="B4511" t="str">
            <v>A5C</v>
          </cell>
          <cell r="C4511" t="str">
            <v>P</v>
          </cell>
          <cell r="D4511" t="str">
            <v>23029</v>
          </cell>
          <cell r="E4511" t="str">
            <v>BALL VA</v>
          </cell>
          <cell r="F4511">
            <v>6</v>
          </cell>
          <cell r="G4511" t="str">
            <v>VB8010600000T00</v>
          </cell>
          <cell r="H4511">
            <v>0.75</v>
          </cell>
          <cell r="I4511" t="str">
            <v>--</v>
          </cell>
          <cell r="J4511">
            <v>1</v>
          </cell>
          <cell r="K4511">
            <v>1</v>
          </cell>
        </row>
        <row r="4512">
          <cell r="A4512" t="str">
            <v>M2</v>
          </cell>
          <cell r="B4512" t="str">
            <v>A5C</v>
          </cell>
          <cell r="C4512" t="str">
            <v>P</v>
          </cell>
          <cell r="D4512" t="str">
            <v>23032</v>
          </cell>
          <cell r="E4512" t="str">
            <v>BALL VA</v>
          </cell>
          <cell r="F4512">
            <v>6</v>
          </cell>
          <cell r="G4512" t="str">
            <v>VB8010600000T00</v>
          </cell>
          <cell r="H4512">
            <v>0.75</v>
          </cell>
          <cell r="I4512" t="str">
            <v>--</v>
          </cell>
          <cell r="J4512">
            <v>2</v>
          </cell>
          <cell r="K4512">
            <v>2</v>
          </cell>
        </row>
        <row r="4513">
          <cell r="A4513" t="str">
            <v>M2</v>
          </cell>
          <cell r="B4513" t="str">
            <v>A5C</v>
          </cell>
          <cell r="C4513" t="str">
            <v>P</v>
          </cell>
          <cell r="D4513" t="str">
            <v>23033</v>
          </cell>
          <cell r="E4513" t="str">
            <v>BALL VA</v>
          </cell>
          <cell r="F4513">
            <v>6</v>
          </cell>
          <cell r="G4513" t="str">
            <v>VB8010600000T00</v>
          </cell>
          <cell r="H4513">
            <v>0.75</v>
          </cell>
          <cell r="I4513" t="str">
            <v>--</v>
          </cell>
          <cell r="J4513">
            <v>2</v>
          </cell>
          <cell r="K4513">
            <v>2</v>
          </cell>
        </row>
        <row r="4514">
          <cell r="A4514" t="str">
            <v>M2</v>
          </cell>
          <cell r="B4514" t="str">
            <v>A5C</v>
          </cell>
          <cell r="C4514" t="str">
            <v>P</v>
          </cell>
          <cell r="D4514" t="str">
            <v>23039</v>
          </cell>
          <cell r="E4514" t="str">
            <v>BALL VA</v>
          </cell>
          <cell r="F4514">
            <v>6</v>
          </cell>
          <cell r="G4514" t="str">
            <v>VB8010600000T00</v>
          </cell>
          <cell r="H4514">
            <v>0.75</v>
          </cell>
          <cell r="I4514" t="str">
            <v>--</v>
          </cell>
          <cell r="J4514">
            <v>2</v>
          </cell>
          <cell r="K4514">
            <v>2</v>
          </cell>
        </row>
        <row r="4515">
          <cell r="A4515" t="str">
            <v>M2</v>
          </cell>
          <cell r="B4515" t="str">
            <v>A5C</v>
          </cell>
          <cell r="C4515" t="str">
            <v>P</v>
          </cell>
          <cell r="D4515" t="str">
            <v>23039</v>
          </cell>
          <cell r="E4515" t="str">
            <v>BALL VA</v>
          </cell>
          <cell r="F4515">
            <v>6</v>
          </cell>
          <cell r="G4515" t="str">
            <v>VB8010600000T00</v>
          </cell>
          <cell r="H4515">
            <v>0.75</v>
          </cell>
          <cell r="I4515" t="str">
            <v>--</v>
          </cell>
          <cell r="J4515">
            <v>2</v>
          </cell>
          <cell r="K4515">
            <v>2</v>
          </cell>
        </row>
        <row r="4516">
          <cell r="A4516" t="str">
            <v>M2</v>
          </cell>
          <cell r="B4516" t="str">
            <v>A5C</v>
          </cell>
          <cell r="C4516" t="str">
            <v>P</v>
          </cell>
          <cell r="D4516" t="str">
            <v>23039</v>
          </cell>
          <cell r="E4516" t="str">
            <v>BALL VA</v>
          </cell>
          <cell r="F4516">
            <v>6</v>
          </cell>
          <cell r="G4516" t="str">
            <v>VB8010600000T00</v>
          </cell>
          <cell r="H4516">
            <v>0.75</v>
          </cell>
          <cell r="I4516" t="str">
            <v>--</v>
          </cell>
          <cell r="J4516">
            <v>1</v>
          </cell>
          <cell r="K4516">
            <v>1</v>
          </cell>
        </row>
        <row r="4517">
          <cell r="A4517" t="str">
            <v>M2</v>
          </cell>
          <cell r="B4517" t="str">
            <v>A5C</v>
          </cell>
          <cell r="C4517" t="str">
            <v>P</v>
          </cell>
          <cell r="D4517" t="str">
            <v>23048</v>
          </cell>
          <cell r="E4517" t="str">
            <v>BALL VA</v>
          </cell>
          <cell r="F4517">
            <v>6</v>
          </cell>
          <cell r="G4517" t="str">
            <v>VB8010600000T00</v>
          </cell>
          <cell r="H4517">
            <v>0.75</v>
          </cell>
          <cell r="I4517" t="str">
            <v>--</v>
          </cell>
          <cell r="J4517">
            <v>2</v>
          </cell>
          <cell r="K4517">
            <v>2</v>
          </cell>
        </row>
        <row r="4518">
          <cell r="A4518" t="str">
            <v>M2</v>
          </cell>
          <cell r="B4518" t="str">
            <v>A5C</v>
          </cell>
          <cell r="C4518" t="str">
            <v>P</v>
          </cell>
          <cell r="D4518" t="str">
            <v>23048</v>
          </cell>
          <cell r="E4518" t="str">
            <v>BALL VA</v>
          </cell>
          <cell r="F4518">
            <v>6</v>
          </cell>
          <cell r="G4518" t="str">
            <v>VB8010600000T00</v>
          </cell>
          <cell r="H4518">
            <v>0.75</v>
          </cell>
          <cell r="I4518" t="str">
            <v>--</v>
          </cell>
          <cell r="J4518">
            <v>2</v>
          </cell>
          <cell r="K4518">
            <v>2</v>
          </cell>
        </row>
        <row r="4519">
          <cell r="A4519" t="str">
            <v>M2</v>
          </cell>
          <cell r="B4519" t="str">
            <v>A5C</v>
          </cell>
          <cell r="C4519" t="str">
            <v>P</v>
          </cell>
          <cell r="D4519" t="str">
            <v>23048</v>
          </cell>
          <cell r="E4519" t="str">
            <v>BALL VA</v>
          </cell>
          <cell r="F4519">
            <v>6</v>
          </cell>
          <cell r="G4519" t="str">
            <v>VB8010600000T00</v>
          </cell>
          <cell r="H4519">
            <v>0.75</v>
          </cell>
          <cell r="I4519" t="str">
            <v>--</v>
          </cell>
          <cell r="J4519">
            <v>3</v>
          </cell>
          <cell r="K4519">
            <v>3</v>
          </cell>
        </row>
        <row r="4520">
          <cell r="A4520" t="str">
            <v>M2</v>
          </cell>
          <cell r="B4520" t="str">
            <v>A5C</v>
          </cell>
          <cell r="C4520" t="str">
            <v>P</v>
          </cell>
          <cell r="D4520" t="str">
            <v>23051</v>
          </cell>
          <cell r="E4520" t="str">
            <v>BALL VA</v>
          </cell>
          <cell r="F4520">
            <v>6</v>
          </cell>
          <cell r="G4520" t="str">
            <v>VB8010600000T00</v>
          </cell>
          <cell r="H4520">
            <v>0.75</v>
          </cell>
          <cell r="I4520" t="str">
            <v>--</v>
          </cell>
          <cell r="J4520">
            <v>2</v>
          </cell>
          <cell r="K4520">
            <v>2</v>
          </cell>
        </row>
        <row r="4521">
          <cell r="A4521" t="str">
            <v>M2</v>
          </cell>
          <cell r="B4521" t="str">
            <v>A5C</v>
          </cell>
          <cell r="C4521" t="str">
            <v>P</v>
          </cell>
          <cell r="D4521" t="str">
            <v>23053</v>
          </cell>
          <cell r="E4521" t="str">
            <v>BALL VA</v>
          </cell>
          <cell r="F4521">
            <v>6</v>
          </cell>
          <cell r="G4521" t="str">
            <v>VB8010600000T00</v>
          </cell>
          <cell r="H4521">
            <v>0.75</v>
          </cell>
          <cell r="I4521" t="str">
            <v>--</v>
          </cell>
          <cell r="J4521">
            <v>2</v>
          </cell>
          <cell r="K4521">
            <v>2</v>
          </cell>
        </row>
        <row r="4522">
          <cell r="A4522" t="str">
            <v>M2</v>
          </cell>
          <cell r="B4522" t="str">
            <v>A5C</v>
          </cell>
          <cell r="C4522" t="str">
            <v>P</v>
          </cell>
          <cell r="D4522" t="str">
            <v>23053</v>
          </cell>
          <cell r="E4522" t="str">
            <v>BALL VA</v>
          </cell>
          <cell r="F4522">
            <v>6</v>
          </cell>
          <cell r="G4522" t="str">
            <v>VB8010600000T00</v>
          </cell>
          <cell r="H4522">
            <v>0.75</v>
          </cell>
          <cell r="I4522" t="str">
            <v>--</v>
          </cell>
          <cell r="J4522">
            <v>2</v>
          </cell>
          <cell r="K4522">
            <v>2</v>
          </cell>
        </row>
        <row r="4523">
          <cell r="A4523" t="str">
            <v>M2</v>
          </cell>
          <cell r="B4523" t="str">
            <v>A5C</v>
          </cell>
          <cell r="C4523" t="str">
            <v>P</v>
          </cell>
          <cell r="D4523" t="str">
            <v>23053</v>
          </cell>
          <cell r="E4523" t="str">
            <v>BALL VA</v>
          </cell>
          <cell r="F4523">
            <v>6</v>
          </cell>
          <cell r="G4523" t="str">
            <v>VB8010600000T00</v>
          </cell>
          <cell r="H4523">
            <v>0.75</v>
          </cell>
          <cell r="I4523" t="str">
            <v>--</v>
          </cell>
          <cell r="J4523">
            <v>1</v>
          </cell>
          <cell r="K4523">
            <v>1</v>
          </cell>
        </row>
        <row r="4524">
          <cell r="A4524" t="str">
            <v>M2</v>
          </cell>
          <cell r="B4524" t="str">
            <v>A5C</v>
          </cell>
          <cell r="C4524" t="str">
            <v>P</v>
          </cell>
          <cell r="D4524" t="str">
            <v>23053</v>
          </cell>
          <cell r="E4524" t="str">
            <v>BALL VA</v>
          </cell>
          <cell r="F4524">
            <v>6</v>
          </cell>
          <cell r="G4524" t="str">
            <v>VB8010600000T00</v>
          </cell>
          <cell r="H4524">
            <v>0.75</v>
          </cell>
          <cell r="I4524" t="str">
            <v>--</v>
          </cell>
          <cell r="J4524">
            <v>2</v>
          </cell>
          <cell r="K4524">
            <v>2</v>
          </cell>
        </row>
        <row r="4525">
          <cell r="A4525" t="str">
            <v>M2</v>
          </cell>
          <cell r="B4525" t="str">
            <v>A5C</v>
          </cell>
          <cell r="C4525" t="str">
            <v>P</v>
          </cell>
          <cell r="D4525" t="str">
            <v>23064</v>
          </cell>
          <cell r="E4525" t="str">
            <v>BALL VA</v>
          </cell>
          <cell r="F4525">
            <v>6</v>
          </cell>
          <cell r="G4525" t="str">
            <v>VB8010600000T00</v>
          </cell>
          <cell r="H4525">
            <v>0.75</v>
          </cell>
          <cell r="I4525" t="str">
            <v>--</v>
          </cell>
          <cell r="J4525">
            <v>2</v>
          </cell>
          <cell r="K4525">
            <v>2</v>
          </cell>
        </row>
        <row r="4526">
          <cell r="A4526" t="str">
            <v>M2</v>
          </cell>
          <cell r="B4526" t="str">
            <v>A5C</v>
          </cell>
          <cell r="C4526" t="str">
            <v>P</v>
          </cell>
          <cell r="D4526" t="str">
            <v>23064</v>
          </cell>
          <cell r="E4526" t="str">
            <v>BALL VA</v>
          </cell>
          <cell r="F4526">
            <v>6</v>
          </cell>
          <cell r="G4526" t="str">
            <v>VB8010600000T00</v>
          </cell>
          <cell r="H4526">
            <v>0.75</v>
          </cell>
          <cell r="I4526" t="str">
            <v>--</v>
          </cell>
          <cell r="J4526">
            <v>2</v>
          </cell>
          <cell r="K4526">
            <v>2</v>
          </cell>
        </row>
        <row r="4527">
          <cell r="A4527" t="str">
            <v>M2</v>
          </cell>
          <cell r="B4527" t="str">
            <v>A5C</v>
          </cell>
          <cell r="C4527" t="str">
            <v>P</v>
          </cell>
          <cell r="D4527" t="str">
            <v>23064</v>
          </cell>
          <cell r="E4527" t="str">
            <v>BALL VA</v>
          </cell>
          <cell r="F4527">
            <v>6</v>
          </cell>
          <cell r="G4527" t="str">
            <v>VB8010600000T00</v>
          </cell>
          <cell r="H4527">
            <v>0.75</v>
          </cell>
          <cell r="I4527" t="str">
            <v>--</v>
          </cell>
          <cell r="J4527">
            <v>1</v>
          </cell>
          <cell r="K4527">
            <v>1</v>
          </cell>
        </row>
        <row r="4528">
          <cell r="A4528" t="str">
            <v>M2</v>
          </cell>
          <cell r="B4528" t="str">
            <v>A5C</v>
          </cell>
          <cell r="C4528" t="str">
            <v>P</v>
          </cell>
          <cell r="D4528" t="str">
            <v>23074</v>
          </cell>
          <cell r="E4528" t="str">
            <v>BALL VA</v>
          </cell>
          <cell r="F4528">
            <v>6</v>
          </cell>
          <cell r="G4528" t="str">
            <v>VB8010600000T00</v>
          </cell>
          <cell r="H4528">
            <v>0.75</v>
          </cell>
          <cell r="I4528" t="str">
            <v>--</v>
          </cell>
          <cell r="J4528">
            <v>2</v>
          </cell>
          <cell r="K4528">
            <v>2</v>
          </cell>
        </row>
        <row r="4529">
          <cell r="A4529" t="str">
            <v>M2</v>
          </cell>
          <cell r="B4529" t="str">
            <v>A5C</v>
          </cell>
          <cell r="C4529" t="str">
            <v>P</v>
          </cell>
          <cell r="D4529" t="str">
            <v>23079</v>
          </cell>
          <cell r="E4529" t="str">
            <v>BALL VA</v>
          </cell>
          <cell r="F4529">
            <v>6</v>
          </cell>
          <cell r="G4529" t="str">
            <v>VB8010600000T00</v>
          </cell>
          <cell r="H4529">
            <v>0.75</v>
          </cell>
          <cell r="I4529" t="str">
            <v>--</v>
          </cell>
          <cell r="J4529">
            <v>2</v>
          </cell>
          <cell r="K4529">
            <v>2</v>
          </cell>
        </row>
        <row r="4530">
          <cell r="A4530" t="str">
            <v>M2</v>
          </cell>
          <cell r="B4530" t="str">
            <v>A5C</v>
          </cell>
          <cell r="C4530" t="str">
            <v>P</v>
          </cell>
          <cell r="D4530" t="str">
            <v>23079</v>
          </cell>
          <cell r="E4530" t="str">
            <v>BALL VA</v>
          </cell>
          <cell r="F4530">
            <v>6</v>
          </cell>
          <cell r="G4530" t="str">
            <v>VB8010600000T00</v>
          </cell>
          <cell r="H4530">
            <v>0.75</v>
          </cell>
          <cell r="I4530" t="str">
            <v>--</v>
          </cell>
          <cell r="J4530">
            <v>2</v>
          </cell>
          <cell r="K4530">
            <v>2</v>
          </cell>
        </row>
        <row r="4531">
          <cell r="A4531" t="str">
            <v>M2</v>
          </cell>
          <cell r="B4531" t="str">
            <v>A5C</v>
          </cell>
          <cell r="C4531" t="str">
            <v>P</v>
          </cell>
          <cell r="D4531" t="str">
            <v>23089</v>
          </cell>
          <cell r="E4531" t="str">
            <v>BALL VA</v>
          </cell>
          <cell r="F4531">
            <v>6</v>
          </cell>
          <cell r="G4531" t="str">
            <v>VB8010600000T00</v>
          </cell>
          <cell r="H4531">
            <v>0.75</v>
          </cell>
          <cell r="I4531" t="str">
            <v>--</v>
          </cell>
          <cell r="J4531">
            <v>2</v>
          </cell>
          <cell r="K4531">
            <v>2</v>
          </cell>
        </row>
        <row r="4532">
          <cell r="A4532" t="str">
            <v>M2</v>
          </cell>
          <cell r="B4532" t="str">
            <v>A5C</v>
          </cell>
          <cell r="C4532" t="str">
            <v>P</v>
          </cell>
          <cell r="D4532" t="str">
            <v>23091</v>
          </cell>
          <cell r="E4532" t="str">
            <v>BALL VA</v>
          </cell>
          <cell r="F4532">
            <v>6</v>
          </cell>
          <cell r="G4532" t="str">
            <v>VB8010600000T00</v>
          </cell>
          <cell r="H4532">
            <v>0.75</v>
          </cell>
          <cell r="I4532" t="str">
            <v>--</v>
          </cell>
          <cell r="J4532">
            <v>2</v>
          </cell>
          <cell r="K4532">
            <v>2</v>
          </cell>
        </row>
        <row r="4533">
          <cell r="A4533" t="str">
            <v>M2</v>
          </cell>
          <cell r="B4533" t="str">
            <v>A5C</v>
          </cell>
          <cell r="C4533" t="str">
            <v>P</v>
          </cell>
          <cell r="D4533" t="str">
            <v>23091</v>
          </cell>
          <cell r="E4533" t="str">
            <v>BALL VA</v>
          </cell>
          <cell r="F4533">
            <v>6</v>
          </cell>
          <cell r="G4533" t="str">
            <v>VB8010600000T00</v>
          </cell>
          <cell r="H4533">
            <v>0.75</v>
          </cell>
          <cell r="I4533" t="str">
            <v>--</v>
          </cell>
          <cell r="J4533">
            <v>2</v>
          </cell>
          <cell r="K4533">
            <v>2</v>
          </cell>
        </row>
        <row r="4534">
          <cell r="A4534" t="str">
            <v>M2</v>
          </cell>
          <cell r="B4534" t="str">
            <v>A5C</v>
          </cell>
          <cell r="C4534" t="str">
            <v>P</v>
          </cell>
          <cell r="D4534" t="str">
            <v>23128</v>
          </cell>
          <cell r="E4534" t="str">
            <v>BALL VA</v>
          </cell>
          <cell r="F4534">
            <v>6</v>
          </cell>
          <cell r="G4534" t="str">
            <v>VB8010600000T00</v>
          </cell>
          <cell r="H4534">
            <v>0.75</v>
          </cell>
          <cell r="I4534" t="str">
            <v>--</v>
          </cell>
          <cell r="J4534">
            <v>2</v>
          </cell>
          <cell r="K4534">
            <v>2</v>
          </cell>
        </row>
        <row r="4535">
          <cell r="A4535" t="str">
            <v>M2</v>
          </cell>
          <cell r="B4535" t="str">
            <v>A5C</v>
          </cell>
          <cell r="C4535" t="str">
            <v>P</v>
          </cell>
          <cell r="D4535" t="str">
            <v>23130</v>
          </cell>
          <cell r="E4535" t="str">
            <v>BALL VA</v>
          </cell>
          <cell r="F4535">
            <v>6</v>
          </cell>
          <cell r="G4535" t="str">
            <v>VB8010600000T00</v>
          </cell>
          <cell r="H4535">
            <v>0.75</v>
          </cell>
          <cell r="I4535" t="str">
            <v>--</v>
          </cell>
          <cell r="J4535">
            <v>2</v>
          </cell>
          <cell r="K4535">
            <v>2</v>
          </cell>
        </row>
        <row r="4536">
          <cell r="A4536" t="str">
            <v>M2</v>
          </cell>
          <cell r="B4536" t="str">
            <v>A5C</v>
          </cell>
          <cell r="C4536" t="str">
            <v>P</v>
          </cell>
          <cell r="D4536" t="str">
            <v>23130</v>
          </cell>
          <cell r="E4536" t="str">
            <v>BALL VA</v>
          </cell>
          <cell r="F4536">
            <v>6</v>
          </cell>
          <cell r="G4536" t="str">
            <v>VB8010600000T00</v>
          </cell>
          <cell r="H4536">
            <v>0.75</v>
          </cell>
          <cell r="I4536" t="str">
            <v>--</v>
          </cell>
          <cell r="J4536">
            <v>2</v>
          </cell>
          <cell r="K4536">
            <v>2</v>
          </cell>
        </row>
        <row r="4537">
          <cell r="A4537" t="str">
            <v>M2</v>
          </cell>
          <cell r="B4537" t="str">
            <v>A5C</v>
          </cell>
          <cell r="C4537" t="str">
            <v>P</v>
          </cell>
          <cell r="D4537" t="str">
            <v>23155</v>
          </cell>
          <cell r="E4537" t="str">
            <v>BALL VA</v>
          </cell>
          <cell r="F4537">
            <v>6</v>
          </cell>
          <cell r="G4537" t="str">
            <v>VB8010600000T00</v>
          </cell>
          <cell r="H4537">
            <v>0.75</v>
          </cell>
          <cell r="I4537" t="str">
            <v>--</v>
          </cell>
          <cell r="J4537">
            <v>1</v>
          </cell>
          <cell r="K4537">
            <v>1</v>
          </cell>
        </row>
        <row r="4538">
          <cell r="A4538" t="str">
            <v>M2</v>
          </cell>
          <cell r="B4538" t="str">
            <v>A5C</v>
          </cell>
          <cell r="C4538" t="str">
            <v>P</v>
          </cell>
          <cell r="D4538" t="str">
            <v>23163</v>
          </cell>
          <cell r="E4538" t="str">
            <v>BALL VA</v>
          </cell>
          <cell r="F4538">
            <v>6</v>
          </cell>
          <cell r="G4538" t="str">
            <v>VB8010600000T00</v>
          </cell>
          <cell r="H4538">
            <v>0.75</v>
          </cell>
          <cell r="I4538" t="str">
            <v>--</v>
          </cell>
          <cell r="J4538">
            <v>1</v>
          </cell>
          <cell r="K4538">
            <v>1</v>
          </cell>
        </row>
        <row r="4539">
          <cell r="A4539" t="str">
            <v>M2</v>
          </cell>
          <cell r="B4539" t="str">
            <v>A5C</v>
          </cell>
          <cell r="C4539" t="str">
            <v>P</v>
          </cell>
          <cell r="D4539" t="str">
            <v>23180</v>
          </cell>
          <cell r="E4539" t="str">
            <v>BALL VA</v>
          </cell>
          <cell r="F4539">
            <v>6</v>
          </cell>
          <cell r="G4539" t="str">
            <v>VB8010600000T00</v>
          </cell>
          <cell r="H4539">
            <v>0.75</v>
          </cell>
          <cell r="I4539" t="str">
            <v>--</v>
          </cell>
          <cell r="J4539">
            <v>3</v>
          </cell>
          <cell r="K4539">
            <v>3</v>
          </cell>
        </row>
        <row r="4540">
          <cell r="A4540" t="str">
            <v>M2</v>
          </cell>
          <cell r="B4540" t="str">
            <v>A5C</v>
          </cell>
          <cell r="C4540" t="str">
            <v>P</v>
          </cell>
          <cell r="D4540" t="str">
            <v>23184</v>
          </cell>
          <cell r="E4540" t="str">
            <v>BALL VA</v>
          </cell>
          <cell r="F4540">
            <v>6</v>
          </cell>
          <cell r="G4540" t="str">
            <v>VB8010600000T00</v>
          </cell>
          <cell r="H4540">
            <v>0.75</v>
          </cell>
          <cell r="I4540" t="str">
            <v>--</v>
          </cell>
          <cell r="J4540">
            <v>1</v>
          </cell>
          <cell r="K4540">
            <v>1</v>
          </cell>
        </row>
        <row r="4541">
          <cell r="A4541" t="str">
            <v>M2</v>
          </cell>
          <cell r="B4541" t="str">
            <v>A5C</v>
          </cell>
          <cell r="C4541" t="str">
            <v>P</v>
          </cell>
          <cell r="D4541" t="str">
            <v>23191</v>
          </cell>
          <cell r="E4541" t="str">
            <v>BALL VA</v>
          </cell>
          <cell r="F4541">
            <v>6</v>
          </cell>
          <cell r="G4541" t="str">
            <v>VB8010600000T00</v>
          </cell>
          <cell r="H4541">
            <v>0.75</v>
          </cell>
          <cell r="I4541" t="str">
            <v>--</v>
          </cell>
          <cell r="J4541">
            <v>3</v>
          </cell>
          <cell r="K4541">
            <v>3</v>
          </cell>
        </row>
        <row r="4542">
          <cell r="A4542" t="str">
            <v>M2</v>
          </cell>
          <cell r="B4542" t="str">
            <v>A5C</v>
          </cell>
          <cell r="C4542" t="str">
            <v>P</v>
          </cell>
          <cell r="D4542" t="str">
            <v>23193</v>
          </cell>
          <cell r="E4542" t="str">
            <v>BALL VA</v>
          </cell>
          <cell r="F4542">
            <v>6</v>
          </cell>
          <cell r="G4542" t="str">
            <v>VB8010600000T00</v>
          </cell>
          <cell r="H4542">
            <v>0.75</v>
          </cell>
          <cell r="I4542" t="str">
            <v>--</v>
          </cell>
          <cell r="J4542">
            <v>1</v>
          </cell>
          <cell r="K4542">
            <v>1</v>
          </cell>
        </row>
        <row r="4543">
          <cell r="A4543" t="str">
            <v>M2</v>
          </cell>
          <cell r="B4543" t="str">
            <v>A5C</v>
          </cell>
          <cell r="C4543" t="str">
            <v>P</v>
          </cell>
          <cell r="D4543" t="str">
            <v>23224</v>
          </cell>
          <cell r="E4543" t="str">
            <v>BALL VA</v>
          </cell>
          <cell r="F4543">
            <v>6</v>
          </cell>
          <cell r="G4543" t="str">
            <v>VB8010600000T00</v>
          </cell>
          <cell r="H4543">
            <v>0.75</v>
          </cell>
          <cell r="I4543" t="str">
            <v>--</v>
          </cell>
          <cell r="J4543">
            <v>2</v>
          </cell>
          <cell r="K4543">
            <v>2</v>
          </cell>
        </row>
        <row r="4544">
          <cell r="A4544" t="str">
            <v>M2</v>
          </cell>
          <cell r="B4544" t="str">
            <v>A5C</v>
          </cell>
          <cell r="C4544" t="str">
            <v>P</v>
          </cell>
          <cell r="D4544" t="str">
            <v>24016</v>
          </cell>
          <cell r="E4544" t="str">
            <v>BALL VA</v>
          </cell>
          <cell r="F4544">
            <v>6</v>
          </cell>
          <cell r="G4544" t="str">
            <v>VB8010600000T00</v>
          </cell>
          <cell r="H4544">
            <v>0.75</v>
          </cell>
          <cell r="I4544" t="str">
            <v>--</v>
          </cell>
          <cell r="J4544">
            <v>3</v>
          </cell>
          <cell r="K4544">
            <v>3</v>
          </cell>
        </row>
        <row r="4545">
          <cell r="A4545" t="str">
            <v>M2</v>
          </cell>
          <cell r="B4545" t="str">
            <v>A5C</v>
          </cell>
          <cell r="C4545" t="str">
            <v>P</v>
          </cell>
          <cell r="D4545" t="str">
            <v>24017</v>
          </cell>
          <cell r="E4545" t="str">
            <v>BALL VA</v>
          </cell>
          <cell r="F4545">
            <v>6</v>
          </cell>
          <cell r="G4545" t="str">
            <v>VB8010600000T00</v>
          </cell>
          <cell r="H4545">
            <v>0.75</v>
          </cell>
          <cell r="I4545" t="str">
            <v>--</v>
          </cell>
          <cell r="J4545">
            <v>4</v>
          </cell>
          <cell r="K4545">
            <v>4</v>
          </cell>
        </row>
        <row r="4546">
          <cell r="A4546" t="str">
            <v>M2</v>
          </cell>
          <cell r="B4546" t="str">
            <v>A5C</v>
          </cell>
          <cell r="C4546" t="str">
            <v>P</v>
          </cell>
          <cell r="D4546" t="str">
            <v>24017</v>
          </cell>
          <cell r="E4546" t="str">
            <v>BALL VA</v>
          </cell>
          <cell r="F4546">
            <v>6</v>
          </cell>
          <cell r="G4546" t="str">
            <v>VB8010600000T00</v>
          </cell>
          <cell r="H4546">
            <v>0.75</v>
          </cell>
          <cell r="I4546" t="str">
            <v>--</v>
          </cell>
          <cell r="J4546">
            <v>1</v>
          </cell>
          <cell r="K4546">
            <v>1</v>
          </cell>
        </row>
        <row r="4547">
          <cell r="A4547" t="str">
            <v>M2</v>
          </cell>
          <cell r="B4547" t="str">
            <v>A5C</v>
          </cell>
          <cell r="C4547" t="str">
            <v>P</v>
          </cell>
          <cell r="D4547" t="str">
            <v>24018</v>
          </cell>
          <cell r="E4547" t="str">
            <v>BALL VA</v>
          </cell>
          <cell r="F4547">
            <v>6</v>
          </cell>
          <cell r="G4547" t="str">
            <v>VB8010600000T00</v>
          </cell>
          <cell r="H4547">
            <v>0.75</v>
          </cell>
          <cell r="I4547" t="str">
            <v>--</v>
          </cell>
          <cell r="J4547">
            <v>4</v>
          </cell>
          <cell r="K4547">
            <v>4</v>
          </cell>
        </row>
        <row r="4548">
          <cell r="A4548" t="str">
            <v>M2</v>
          </cell>
          <cell r="B4548" t="str">
            <v>A5C</v>
          </cell>
          <cell r="C4548" t="str">
            <v>TRIM</v>
          </cell>
          <cell r="D4548" t="str">
            <v>C-2302</v>
          </cell>
          <cell r="E4548" t="str">
            <v>BALL VA</v>
          </cell>
          <cell r="F4548">
            <v>6</v>
          </cell>
          <cell r="G4548" t="str">
            <v>VB8010600000T00</v>
          </cell>
          <cell r="H4548">
            <v>0.75</v>
          </cell>
          <cell r="I4548" t="str">
            <v>--</v>
          </cell>
          <cell r="J4548">
            <v>2</v>
          </cell>
          <cell r="K4548">
            <v>2</v>
          </cell>
        </row>
        <row r="4549">
          <cell r="A4549" t="str">
            <v>M2</v>
          </cell>
          <cell r="B4549" t="str">
            <v>A5C</v>
          </cell>
          <cell r="C4549" t="str">
            <v>TRIM</v>
          </cell>
          <cell r="D4549" t="str">
            <v>C-2302</v>
          </cell>
          <cell r="E4549" t="str">
            <v>BALL VA</v>
          </cell>
          <cell r="F4549">
            <v>6</v>
          </cell>
          <cell r="G4549" t="str">
            <v>VB8010600000T00</v>
          </cell>
          <cell r="H4549">
            <v>0.75</v>
          </cell>
          <cell r="I4549" t="str">
            <v>--</v>
          </cell>
          <cell r="J4549">
            <v>6</v>
          </cell>
          <cell r="K4549">
            <v>6</v>
          </cell>
        </row>
        <row r="4550">
          <cell r="A4550" t="str">
            <v>M2</v>
          </cell>
          <cell r="B4550" t="str">
            <v>A5C</v>
          </cell>
          <cell r="C4550" t="str">
            <v>TRIM</v>
          </cell>
          <cell r="D4550" t="str">
            <v>C-2304</v>
          </cell>
          <cell r="E4550" t="str">
            <v>BALL VA</v>
          </cell>
          <cell r="F4550">
            <v>6</v>
          </cell>
          <cell r="G4550" t="str">
            <v>VB8010600000T00</v>
          </cell>
          <cell r="H4550">
            <v>0.75</v>
          </cell>
          <cell r="I4550" t="str">
            <v>--</v>
          </cell>
          <cell r="J4550">
            <v>2</v>
          </cell>
          <cell r="K4550">
            <v>2</v>
          </cell>
        </row>
        <row r="4551">
          <cell r="A4551" t="str">
            <v>M2</v>
          </cell>
          <cell r="B4551" t="str">
            <v>A5C</v>
          </cell>
          <cell r="C4551" t="str">
            <v>TRIM</v>
          </cell>
          <cell r="D4551" t="str">
            <v>C-2304</v>
          </cell>
          <cell r="E4551" t="str">
            <v>BALL VA</v>
          </cell>
          <cell r="F4551">
            <v>6</v>
          </cell>
          <cell r="G4551" t="str">
            <v>VB8010600000T00</v>
          </cell>
          <cell r="H4551">
            <v>0.75</v>
          </cell>
          <cell r="I4551" t="str">
            <v>--</v>
          </cell>
          <cell r="J4551">
            <v>4</v>
          </cell>
          <cell r="K4551">
            <v>4</v>
          </cell>
        </row>
        <row r="4552">
          <cell r="A4552" t="str">
            <v>M2</v>
          </cell>
          <cell r="B4552" t="str">
            <v>A5C</v>
          </cell>
          <cell r="C4552" t="str">
            <v>TRIM</v>
          </cell>
          <cell r="D4552" t="str">
            <v>C-2303</v>
          </cell>
          <cell r="E4552" t="str">
            <v>BALL VA</v>
          </cell>
          <cell r="F4552">
            <v>6</v>
          </cell>
          <cell r="G4552" t="str">
            <v>VB8010600000T00</v>
          </cell>
          <cell r="H4552">
            <v>0.75</v>
          </cell>
          <cell r="I4552" t="str">
            <v>--</v>
          </cell>
          <cell r="J4552">
            <v>2</v>
          </cell>
          <cell r="K4552">
            <v>2</v>
          </cell>
        </row>
        <row r="4553">
          <cell r="A4553" t="str">
            <v>M2</v>
          </cell>
          <cell r="B4553" t="str">
            <v>A5C</v>
          </cell>
          <cell r="C4553" t="str">
            <v>TRIM</v>
          </cell>
          <cell r="D4553" t="str">
            <v>C-2305</v>
          </cell>
          <cell r="E4553" t="str">
            <v>BALL VA</v>
          </cell>
          <cell r="F4553">
            <v>6</v>
          </cell>
          <cell r="G4553" t="str">
            <v>VB8010600000T00</v>
          </cell>
          <cell r="H4553">
            <v>0.75</v>
          </cell>
          <cell r="I4553" t="str">
            <v>--</v>
          </cell>
          <cell r="J4553">
            <v>4</v>
          </cell>
          <cell r="K4553">
            <v>4</v>
          </cell>
        </row>
        <row r="4554">
          <cell r="A4554" t="str">
            <v>M2</v>
          </cell>
          <cell r="B4554" t="str">
            <v>A5C</v>
          </cell>
          <cell r="C4554" t="str">
            <v>TRIM</v>
          </cell>
          <cell r="D4554" t="str">
            <v>C-2305</v>
          </cell>
          <cell r="E4554" t="str">
            <v>BALL VA</v>
          </cell>
          <cell r="F4554">
            <v>6</v>
          </cell>
          <cell r="G4554" t="str">
            <v>VB8010600000T00</v>
          </cell>
          <cell r="H4554">
            <v>0.75</v>
          </cell>
          <cell r="I4554" t="str">
            <v>--</v>
          </cell>
          <cell r="J4554">
            <v>2</v>
          </cell>
          <cell r="K4554">
            <v>2</v>
          </cell>
        </row>
        <row r="4555">
          <cell r="A4555" t="str">
            <v>M2</v>
          </cell>
          <cell r="B4555" t="str">
            <v>A5C</v>
          </cell>
          <cell r="C4555" t="str">
            <v>TRIM</v>
          </cell>
          <cell r="D4555" t="str">
            <v>C-2306</v>
          </cell>
          <cell r="E4555" t="str">
            <v>BALL VA</v>
          </cell>
          <cell r="F4555">
            <v>6</v>
          </cell>
          <cell r="G4555" t="str">
            <v>VB8010600000T00</v>
          </cell>
          <cell r="H4555">
            <v>0.75</v>
          </cell>
          <cell r="I4555" t="str">
            <v>--</v>
          </cell>
          <cell r="J4555">
            <v>2</v>
          </cell>
          <cell r="K4555">
            <v>2</v>
          </cell>
        </row>
        <row r="4556">
          <cell r="A4556" t="str">
            <v>M2</v>
          </cell>
          <cell r="B4556" t="str">
            <v>A5C</v>
          </cell>
          <cell r="C4556" t="str">
            <v>TRIM</v>
          </cell>
          <cell r="D4556" t="str">
            <v>V-2302</v>
          </cell>
          <cell r="E4556" t="str">
            <v>BALL VA</v>
          </cell>
          <cell r="F4556">
            <v>6</v>
          </cell>
          <cell r="G4556" t="str">
            <v>VB8010600000T00</v>
          </cell>
          <cell r="H4556">
            <v>0.75</v>
          </cell>
          <cell r="I4556" t="str">
            <v>--</v>
          </cell>
          <cell r="J4556">
            <v>2</v>
          </cell>
          <cell r="K4556">
            <v>2</v>
          </cell>
        </row>
        <row r="4557">
          <cell r="A4557" t="str">
            <v>M2</v>
          </cell>
          <cell r="B4557" t="str">
            <v>A5C</v>
          </cell>
          <cell r="C4557" t="str">
            <v>TRIM</v>
          </cell>
          <cell r="D4557" t="str">
            <v>V-2302</v>
          </cell>
          <cell r="E4557" t="str">
            <v>BALL VA</v>
          </cell>
          <cell r="F4557">
            <v>6</v>
          </cell>
          <cell r="G4557" t="str">
            <v>VB8010600000T00</v>
          </cell>
          <cell r="H4557">
            <v>0.75</v>
          </cell>
          <cell r="I4557" t="str">
            <v>--</v>
          </cell>
          <cell r="J4557">
            <v>2</v>
          </cell>
          <cell r="K4557">
            <v>2</v>
          </cell>
        </row>
        <row r="4558">
          <cell r="A4558" t="str">
            <v>M2</v>
          </cell>
          <cell r="B4558" t="str">
            <v>A5C</v>
          </cell>
          <cell r="C4558" t="str">
            <v>TRIM</v>
          </cell>
          <cell r="D4558" t="str">
            <v>V-2304</v>
          </cell>
          <cell r="E4558" t="str">
            <v>BALL VA</v>
          </cell>
          <cell r="F4558">
            <v>6</v>
          </cell>
          <cell r="G4558" t="str">
            <v>VB8010600000T00</v>
          </cell>
          <cell r="H4558">
            <v>0.75</v>
          </cell>
          <cell r="I4558" t="str">
            <v>--</v>
          </cell>
          <cell r="J4558">
            <v>2</v>
          </cell>
          <cell r="K4558">
            <v>2</v>
          </cell>
        </row>
        <row r="4559">
          <cell r="A4559" t="str">
            <v>M2</v>
          </cell>
          <cell r="B4559" t="str">
            <v>A5C</v>
          </cell>
          <cell r="C4559" t="str">
            <v>TRIM</v>
          </cell>
          <cell r="D4559" t="str">
            <v>V-2306</v>
          </cell>
          <cell r="E4559" t="str">
            <v>BALL VA</v>
          </cell>
          <cell r="F4559">
            <v>6</v>
          </cell>
          <cell r="G4559" t="str">
            <v>VB8010600000T00</v>
          </cell>
          <cell r="H4559">
            <v>0.75</v>
          </cell>
          <cell r="I4559" t="str">
            <v>--</v>
          </cell>
          <cell r="J4559">
            <v>2</v>
          </cell>
          <cell r="K4559">
            <v>2</v>
          </cell>
        </row>
        <row r="4560">
          <cell r="A4560" t="str">
            <v>M2</v>
          </cell>
          <cell r="B4560" t="str">
            <v>A5C</v>
          </cell>
          <cell r="C4560" t="str">
            <v>TRIM</v>
          </cell>
          <cell r="D4560" t="str">
            <v>V-2306</v>
          </cell>
          <cell r="E4560" t="str">
            <v>BALL VA</v>
          </cell>
          <cell r="F4560">
            <v>6</v>
          </cell>
          <cell r="G4560" t="str">
            <v>VB8010600000T00</v>
          </cell>
          <cell r="H4560">
            <v>0.75</v>
          </cell>
          <cell r="I4560" t="str">
            <v>--</v>
          </cell>
          <cell r="J4560">
            <v>2</v>
          </cell>
          <cell r="K4560">
            <v>2</v>
          </cell>
        </row>
        <row r="4561">
          <cell r="A4561" t="str">
            <v>M2</v>
          </cell>
          <cell r="B4561" t="str">
            <v>A5C</v>
          </cell>
          <cell r="C4561" t="str">
            <v>TRIM</v>
          </cell>
          <cell r="D4561" t="str">
            <v>V-2308</v>
          </cell>
          <cell r="E4561" t="str">
            <v>BALL VA</v>
          </cell>
          <cell r="F4561">
            <v>6</v>
          </cell>
          <cell r="G4561" t="str">
            <v>VB8010600000T00</v>
          </cell>
          <cell r="H4561">
            <v>0.75</v>
          </cell>
          <cell r="I4561" t="str">
            <v>--</v>
          </cell>
          <cell r="J4561">
            <v>2</v>
          </cell>
          <cell r="K4561">
            <v>2</v>
          </cell>
        </row>
        <row r="4562">
          <cell r="A4562" t="str">
            <v>M2</v>
          </cell>
          <cell r="B4562" t="str">
            <v>A5C</v>
          </cell>
          <cell r="C4562" t="str">
            <v>TRIM</v>
          </cell>
          <cell r="D4562" t="str">
            <v>V-2308</v>
          </cell>
          <cell r="E4562" t="str">
            <v>BALL VA</v>
          </cell>
          <cell r="F4562">
            <v>6</v>
          </cell>
          <cell r="G4562" t="str">
            <v>VB8010600000T00</v>
          </cell>
          <cell r="H4562">
            <v>0.75</v>
          </cell>
          <cell r="I4562" t="str">
            <v>--</v>
          </cell>
          <cell r="J4562">
            <v>2</v>
          </cell>
          <cell r="K4562">
            <v>2</v>
          </cell>
        </row>
        <row r="4563">
          <cell r="A4563" t="str">
            <v>M2</v>
          </cell>
          <cell r="B4563" t="str">
            <v>A5C</v>
          </cell>
          <cell r="C4563" t="str">
            <v>TRIM</v>
          </cell>
          <cell r="D4563" t="str">
            <v>V-2310</v>
          </cell>
          <cell r="E4563" t="str">
            <v>BALL VA</v>
          </cell>
          <cell r="F4563">
            <v>6</v>
          </cell>
          <cell r="G4563" t="str">
            <v>VB8010600000T00</v>
          </cell>
          <cell r="H4563">
            <v>0.75</v>
          </cell>
          <cell r="I4563" t="str">
            <v>--</v>
          </cell>
          <cell r="J4563">
            <v>2</v>
          </cell>
          <cell r="K4563">
            <v>2</v>
          </cell>
        </row>
        <row r="4564">
          <cell r="A4564" t="str">
            <v>M2</v>
          </cell>
          <cell r="B4564" t="str">
            <v>A5C</v>
          </cell>
          <cell r="C4564" t="str">
            <v>TRIM</v>
          </cell>
          <cell r="D4564" t="str">
            <v>V-2310</v>
          </cell>
          <cell r="E4564" t="str">
            <v>BALL VA</v>
          </cell>
          <cell r="F4564">
            <v>6</v>
          </cell>
          <cell r="G4564" t="str">
            <v>VB8010600000T00</v>
          </cell>
          <cell r="H4564">
            <v>0.75</v>
          </cell>
          <cell r="I4564" t="str">
            <v>--</v>
          </cell>
          <cell r="J4564">
            <v>2</v>
          </cell>
          <cell r="K4564">
            <v>2</v>
          </cell>
        </row>
        <row r="4565">
          <cell r="A4565" t="str">
            <v>M2</v>
          </cell>
          <cell r="B4565" t="str">
            <v>A5C</v>
          </cell>
          <cell r="C4565" t="str">
            <v>TRIM</v>
          </cell>
          <cell r="D4565" t="str">
            <v>V-2313</v>
          </cell>
          <cell r="E4565" t="str">
            <v>BALL VA</v>
          </cell>
          <cell r="F4565">
            <v>6</v>
          </cell>
          <cell r="G4565" t="str">
            <v>VB8010600000T00</v>
          </cell>
          <cell r="H4565">
            <v>0.75</v>
          </cell>
          <cell r="I4565" t="str">
            <v>--</v>
          </cell>
          <cell r="J4565">
            <v>2</v>
          </cell>
          <cell r="K4565">
            <v>2</v>
          </cell>
        </row>
        <row r="4566">
          <cell r="A4566" t="str">
            <v>M2</v>
          </cell>
          <cell r="B4566" t="str">
            <v>A5C</v>
          </cell>
          <cell r="C4566" t="str">
            <v>TRIM</v>
          </cell>
          <cell r="D4566" t="str">
            <v>V-2313</v>
          </cell>
          <cell r="E4566" t="str">
            <v>BALL VA</v>
          </cell>
          <cell r="F4566">
            <v>6</v>
          </cell>
          <cell r="G4566" t="str">
            <v>VB8010600000T00</v>
          </cell>
          <cell r="H4566">
            <v>0.75</v>
          </cell>
          <cell r="I4566" t="str">
            <v>--</v>
          </cell>
          <cell r="J4566">
            <v>2</v>
          </cell>
          <cell r="K4566">
            <v>2</v>
          </cell>
        </row>
        <row r="4567">
          <cell r="A4567" t="str">
            <v>M2</v>
          </cell>
          <cell r="B4567" t="str">
            <v>A5C</v>
          </cell>
          <cell r="C4567" t="str">
            <v>TRIM</v>
          </cell>
          <cell r="D4567" t="str">
            <v>V-2325</v>
          </cell>
          <cell r="E4567" t="str">
            <v>BALL VA</v>
          </cell>
          <cell r="F4567">
            <v>6</v>
          </cell>
          <cell r="G4567" t="str">
            <v>VB8010600000T00</v>
          </cell>
          <cell r="H4567">
            <v>0.75</v>
          </cell>
          <cell r="I4567" t="str">
            <v>--</v>
          </cell>
          <cell r="J4567">
            <v>2</v>
          </cell>
          <cell r="K4567">
            <v>2</v>
          </cell>
        </row>
        <row r="4568">
          <cell r="A4568" t="str">
            <v>M2</v>
          </cell>
          <cell r="B4568" t="str">
            <v>A5C</v>
          </cell>
          <cell r="C4568" t="str">
            <v>TRIM</v>
          </cell>
          <cell r="D4568" t="str">
            <v>V-2325</v>
          </cell>
          <cell r="E4568" t="str">
            <v>BALL VA</v>
          </cell>
          <cell r="F4568">
            <v>6</v>
          </cell>
          <cell r="G4568" t="str">
            <v>VB8010600000T00</v>
          </cell>
          <cell r="H4568">
            <v>0.75</v>
          </cell>
          <cell r="I4568" t="str">
            <v>--</v>
          </cell>
          <cell r="J4568">
            <v>4</v>
          </cell>
          <cell r="K4568">
            <v>4</v>
          </cell>
        </row>
        <row r="4569">
          <cell r="A4569" t="str">
            <v>M2</v>
          </cell>
          <cell r="B4569" t="str">
            <v>A5C</v>
          </cell>
          <cell r="C4569" t="str">
            <v>TRIM</v>
          </cell>
          <cell r="D4569" t="str">
            <v>V-2403</v>
          </cell>
          <cell r="E4569" t="str">
            <v>BALL VA</v>
          </cell>
          <cell r="F4569">
            <v>6</v>
          </cell>
          <cell r="G4569" t="str">
            <v>VB8010600000T00</v>
          </cell>
          <cell r="H4569">
            <v>0.75</v>
          </cell>
          <cell r="I4569" t="str">
            <v>--</v>
          </cell>
          <cell r="J4569">
            <v>3</v>
          </cell>
          <cell r="K4569">
            <v>3</v>
          </cell>
        </row>
        <row r="4570">
          <cell r="A4570" t="str">
            <v>M2</v>
          </cell>
          <cell r="B4570" t="str">
            <v>A5C</v>
          </cell>
          <cell r="C4570" t="str">
            <v>TRIM</v>
          </cell>
          <cell r="D4570" t="str">
            <v>V-2403</v>
          </cell>
          <cell r="E4570" t="str">
            <v>BALL VA</v>
          </cell>
          <cell r="F4570">
            <v>6</v>
          </cell>
          <cell r="G4570" t="str">
            <v>VB8010600000T00</v>
          </cell>
          <cell r="H4570">
            <v>0.75</v>
          </cell>
          <cell r="I4570" t="str">
            <v>--</v>
          </cell>
          <cell r="J4570">
            <v>4</v>
          </cell>
          <cell r="K4570">
            <v>4</v>
          </cell>
        </row>
        <row r="4571">
          <cell r="A4571" t="str">
            <v>M2</v>
          </cell>
          <cell r="B4571" t="str">
            <v>A5C</v>
          </cell>
          <cell r="C4571" t="str">
            <v>P</v>
          </cell>
          <cell r="D4571" t="str">
            <v>23019</v>
          </cell>
          <cell r="E4571" t="str">
            <v>BALL VA</v>
          </cell>
          <cell r="F4571">
            <v>6</v>
          </cell>
          <cell r="G4571" t="str">
            <v>VB8010600000T00</v>
          </cell>
          <cell r="H4571">
            <v>0.75</v>
          </cell>
          <cell r="I4571" t="str">
            <v>--</v>
          </cell>
          <cell r="J4571">
            <v>1</v>
          </cell>
          <cell r="K4571">
            <v>1</v>
          </cell>
        </row>
        <row r="4572">
          <cell r="A4572" t="str">
            <v>M2</v>
          </cell>
          <cell r="B4572" t="str">
            <v>A5C</v>
          </cell>
          <cell r="C4572" t="str">
            <v>P</v>
          </cell>
          <cell r="D4572" t="str">
            <v>23024</v>
          </cell>
          <cell r="E4572" t="str">
            <v>BALL VA</v>
          </cell>
          <cell r="F4572">
            <v>6</v>
          </cell>
          <cell r="G4572" t="str">
            <v>VB8010600000T00</v>
          </cell>
          <cell r="H4572">
            <v>0.75</v>
          </cell>
          <cell r="I4572" t="str">
            <v>--</v>
          </cell>
          <cell r="J4572">
            <v>1</v>
          </cell>
          <cell r="K4572">
            <v>1</v>
          </cell>
        </row>
        <row r="4573">
          <cell r="A4573" t="str">
            <v>M2</v>
          </cell>
          <cell r="B4573" t="str">
            <v>A5C</v>
          </cell>
          <cell r="C4573" t="str">
            <v>P</v>
          </cell>
          <cell r="D4573" t="str">
            <v>23029</v>
          </cell>
          <cell r="E4573" t="str">
            <v>BALL VA</v>
          </cell>
          <cell r="F4573">
            <v>6</v>
          </cell>
          <cell r="G4573" t="str">
            <v>VB8010600000T00</v>
          </cell>
          <cell r="H4573">
            <v>0.75</v>
          </cell>
          <cell r="I4573" t="str">
            <v>--</v>
          </cell>
          <cell r="J4573">
            <v>2</v>
          </cell>
          <cell r="K4573">
            <v>2</v>
          </cell>
        </row>
        <row r="4574">
          <cell r="A4574" t="str">
            <v>M2</v>
          </cell>
          <cell r="B4574" t="str">
            <v>A5C</v>
          </cell>
          <cell r="C4574" t="str">
            <v>P</v>
          </cell>
          <cell r="D4574" t="str">
            <v>23033</v>
          </cell>
          <cell r="E4574" t="str">
            <v>BALL VA</v>
          </cell>
          <cell r="F4574">
            <v>6</v>
          </cell>
          <cell r="G4574" t="str">
            <v>VB8010600000T00</v>
          </cell>
          <cell r="H4574">
            <v>0.75</v>
          </cell>
          <cell r="I4574" t="str">
            <v>--</v>
          </cell>
          <cell r="J4574">
            <v>2</v>
          </cell>
          <cell r="K4574">
            <v>2</v>
          </cell>
        </row>
        <row r="4575">
          <cell r="A4575" t="str">
            <v>M2</v>
          </cell>
          <cell r="B4575" t="str">
            <v>A5C</v>
          </cell>
          <cell r="C4575" t="str">
            <v>P</v>
          </cell>
          <cell r="D4575" t="str">
            <v>23054</v>
          </cell>
          <cell r="E4575" t="str">
            <v>BALL VA</v>
          </cell>
          <cell r="F4575">
            <v>6</v>
          </cell>
          <cell r="G4575" t="str">
            <v>VB8010600000T00</v>
          </cell>
          <cell r="H4575">
            <v>0.75</v>
          </cell>
          <cell r="I4575" t="str">
            <v>--</v>
          </cell>
          <cell r="J4575">
            <v>1</v>
          </cell>
          <cell r="K4575">
            <v>1</v>
          </cell>
        </row>
        <row r="4576">
          <cell r="A4576" t="str">
            <v>M2</v>
          </cell>
          <cell r="B4576" t="str">
            <v>A5C</v>
          </cell>
          <cell r="C4576" t="str">
            <v>P</v>
          </cell>
          <cell r="D4576" t="str">
            <v>23074</v>
          </cell>
          <cell r="E4576" t="str">
            <v>BALL VA</v>
          </cell>
          <cell r="F4576">
            <v>6</v>
          </cell>
          <cell r="G4576" t="str">
            <v>VB8010600000T00</v>
          </cell>
          <cell r="H4576">
            <v>0.75</v>
          </cell>
          <cell r="I4576" t="str">
            <v>--</v>
          </cell>
          <cell r="J4576">
            <v>2</v>
          </cell>
          <cell r="K4576">
            <v>2</v>
          </cell>
        </row>
        <row r="4577">
          <cell r="A4577" t="str">
            <v>M2</v>
          </cell>
          <cell r="B4577" t="str">
            <v>A5C</v>
          </cell>
          <cell r="C4577" t="str">
            <v>P</v>
          </cell>
          <cell r="D4577" t="str">
            <v>23079</v>
          </cell>
          <cell r="E4577" t="str">
            <v>BALL VA</v>
          </cell>
          <cell r="F4577">
            <v>6</v>
          </cell>
          <cell r="G4577" t="str">
            <v>VB8010600000T00</v>
          </cell>
          <cell r="H4577">
            <v>0.75</v>
          </cell>
          <cell r="I4577" t="str">
            <v>--</v>
          </cell>
          <cell r="J4577">
            <v>2</v>
          </cell>
          <cell r="K4577">
            <v>2</v>
          </cell>
        </row>
        <row r="4578">
          <cell r="A4578" t="str">
            <v>M2</v>
          </cell>
          <cell r="B4578" t="str">
            <v>A5C</v>
          </cell>
          <cell r="C4578" t="str">
            <v>P</v>
          </cell>
          <cell r="D4578" t="str">
            <v>23080</v>
          </cell>
          <cell r="E4578" t="str">
            <v>BALL VA</v>
          </cell>
          <cell r="F4578">
            <v>6</v>
          </cell>
          <cell r="G4578" t="str">
            <v>VB8010600000T00</v>
          </cell>
          <cell r="H4578">
            <v>0.75</v>
          </cell>
          <cell r="I4578" t="str">
            <v>--</v>
          </cell>
          <cell r="J4578">
            <v>3</v>
          </cell>
          <cell r="K4578">
            <v>3</v>
          </cell>
        </row>
        <row r="4579">
          <cell r="A4579" t="str">
            <v>M2</v>
          </cell>
          <cell r="B4579" t="str">
            <v>A5C</v>
          </cell>
          <cell r="C4579" t="str">
            <v>P</v>
          </cell>
          <cell r="D4579" t="str">
            <v>23173</v>
          </cell>
          <cell r="E4579" t="str">
            <v>BALL VA</v>
          </cell>
          <cell r="F4579">
            <v>6</v>
          </cell>
          <cell r="G4579" t="str">
            <v>VB8010600000T00</v>
          </cell>
          <cell r="H4579">
            <v>0.75</v>
          </cell>
          <cell r="I4579" t="str">
            <v>--</v>
          </cell>
          <cell r="J4579">
            <v>3</v>
          </cell>
          <cell r="K4579">
            <v>3</v>
          </cell>
        </row>
        <row r="4580">
          <cell r="A4580" t="str">
            <v>M2</v>
          </cell>
          <cell r="B4580" t="str">
            <v>A5C</v>
          </cell>
          <cell r="C4580" t="str">
            <v>P</v>
          </cell>
          <cell r="D4580" t="str">
            <v>23176</v>
          </cell>
          <cell r="E4580" t="str">
            <v>BALL VA</v>
          </cell>
          <cell r="F4580">
            <v>6</v>
          </cell>
          <cell r="G4580" t="str">
            <v>VB8010600000T00</v>
          </cell>
          <cell r="H4580">
            <v>0.75</v>
          </cell>
          <cell r="I4580" t="str">
            <v>--</v>
          </cell>
          <cell r="J4580">
            <v>1</v>
          </cell>
          <cell r="K4580">
            <v>1</v>
          </cell>
        </row>
        <row r="4581">
          <cell r="A4581" t="str">
            <v>M2</v>
          </cell>
          <cell r="B4581" t="str">
            <v>A5C</v>
          </cell>
          <cell r="C4581" t="str">
            <v>P</v>
          </cell>
          <cell r="D4581" t="str">
            <v>23219</v>
          </cell>
          <cell r="E4581" t="str">
            <v>BALL VA</v>
          </cell>
          <cell r="F4581">
            <v>6</v>
          </cell>
          <cell r="G4581" t="str">
            <v>VB8010600000T00</v>
          </cell>
          <cell r="H4581">
            <v>0.75</v>
          </cell>
          <cell r="I4581" t="str">
            <v>--</v>
          </cell>
          <cell r="J4581">
            <v>1</v>
          </cell>
          <cell r="K4581">
            <v>1</v>
          </cell>
        </row>
        <row r="4582">
          <cell r="A4582" t="str">
            <v>M2</v>
          </cell>
          <cell r="B4582" t="str">
            <v>A5C</v>
          </cell>
          <cell r="C4582" t="str">
            <v>P</v>
          </cell>
          <cell r="D4582" t="str">
            <v>23223</v>
          </cell>
          <cell r="E4582" t="str">
            <v>BALL VA</v>
          </cell>
          <cell r="F4582">
            <v>6</v>
          </cell>
          <cell r="G4582" t="str">
            <v>VB8010600000T00</v>
          </cell>
          <cell r="H4582">
            <v>0.75</v>
          </cell>
          <cell r="I4582" t="str">
            <v>--</v>
          </cell>
          <cell r="J4582">
            <v>1</v>
          </cell>
          <cell r="K4582">
            <v>1</v>
          </cell>
        </row>
        <row r="4583">
          <cell r="A4583" t="str">
            <v>M2</v>
          </cell>
          <cell r="B4583" t="str">
            <v>A5C</v>
          </cell>
          <cell r="C4583" t="str">
            <v>P</v>
          </cell>
          <cell r="D4583" t="str">
            <v>23223</v>
          </cell>
          <cell r="E4583" t="str">
            <v>BALL VA</v>
          </cell>
          <cell r="F4583">
            <v>6</v>
          </cell>
          <cell r="G4583" t="str">
            <v>VB8010600000T00</v>
          </cell>
          <cell r="H4583">
            <v>0.75</v>
          </cell>
          <cell r="I4583" t="str">
            <v>--</v>
          </cell>
          <cell r="J4583">
            <v>1</v>
          </cell>
          <cell r="K4583">
            <v>1</v>
          </cell>
        </row>
        <row r="4584">
          <cell r="A4584" t="str">
            <v>M2</v>
          </cell>
          <cell r="B4584" t="str">
            <v>A5C</v>
          </cell>
          <cell r="C4584" t="str">
            <v>TRIM</v>
          </cell>
          <cell r="D4584" t="str">
            <v>C-2306</v>
          </cell>
          <cell r="E4584" t="str">
            <v>BALL VA</v>
          </cell>
          <cell r="F4584">
            <v>6</v>
          </cell>
          <cell r="G4584" t="str">
            <v>VB8010600000T00</v>
          </cell>
          <cell r="H4584">
            <v>0.75</v>
          </cell>
          <cell r="I4584" t="str">
            <v>--</v>
          </cell>
          <cell r="J4584">
            <v>4</v>
          </cell>
          <cell r="K4584">
            <v>4</v>
          </cell>
        </row>
        <row r="4585">
          <cell r="A4585" t="str">
            <v>M2</v>
          </cell>
          <cell r="B4585" t="str">
            <v>A5C</v>
          </cell>
          <cell r="C4585" t="str">
            <v>TRIM</v>
          </cell>
          <cell r="D4585" t="str">
            <v>V-2304</v>
          </cell>
          <cell r="E4585" t="str">
            <v>BALL VA</v>
          </cell>
          <cell r="F4585">
            <v>6</v>
          </cell>
          <cell r="G4585" t="str">
            <v>VB8010600000T00</v>
          </cell>
          <cell r="H4585">
            <v>0.75</v>
          </cell>
          <cell r="I4585" t="str">
            <v>--</v>
          </cell>
          <cell r="J4585">
            <v>2</v>
          </cell>
          <cell r="K4585">
            <v>2</v>
          </cell>
        </row>
        <row r="4586">
          <cell r="A4586" t="str">
            <v>M2</v>
          </cell>
          <cell r="B4586" t="str">
            <v>A5C</v>
          </cell>
          <cell r="C4586" t="str">
            <v>P</v>
          </cell>
          <cell r="D4586" t="str">
            <v>24017</v>
          </cell>
          <cell r="E4586" t="str">
            <v>CHECK VA</v>
          </cell>
          <cell r="F4586">
            <v>6</v>
          </cell>
          <cell r="G4586" t="str">
            <v>VCB8010400000T00</v>
          </cell>
          <cell r="H4586">
            <v>0.75</v>
          </cell>
          <cell r="I4586" t="str">
            <v>--</v>
          </cell>
          <cell r="J4586">
            <v>1</v>
          </cell>
          <cell r="K4586">
            <v>1</v>
          </cell>
        </row>
        <row r="4587">
          <cell r="A4587" t="str">
            <v>M2</v>
          </cell>
          <cell r="B4587" t="str">
            <v>A5C</v>
          </cell>
          <cell r="C4587" t="str">
            <v>P</v>
          </cell>
          <cell r="D4587" t="str">
            <v>23018</v>
          </cell>
          <cell r="E4587" t="str">
            <v>GLOBE VA</v>
          </cell>
          <cell r="F4587">
            <v>6</v>
          </cell>
          <cell r="G4587" t="str">
            <v>VL8010100000T00</v>
          </cell>
          <cell r="H4587">
            <v>0.75</v>
          </cell>
          <cell r="I4587" t="str">
            <v>--</v>
          </cell>
          <cell r="J4587">
            <v>1</v>
          </cell>
          <cell r="K4587">
            <v>1</v>
          </cell>
        </row>
        <row r="4588">
          <cell r="A4588" t="str">
            <v>M2</v>
          </cell>
          <cell r="B4588" t="str">
            <v>A5C</v>
          </cell>
          <cell r="C4588" t="str">
            <v>P</v>
          </cell>
          <cell r="D4588" t="str">
            <v>23028</v>
          </cell>
          <cell r="E4588" t="str">
            <v>GLOBE VA</v>
          </cell>
          <cell r="F4588">
            <v>6</v>
          </cell>
          <cell r="G4588" t="str">
            <v>VL8010100000T00</v>
          </cell>
          <cell r="H4588">
            <v>0.75</v>
          </cell>
          <cell r="I4588" t="str">
            <v>--</v>
          </cell>
          <cell r="J4588">
            <v>1</v>
          </cell>
          <cell r="K4588">
            <v>1</v>
          </cell>
        </row>
        <row r="4589">
          <cell r="A4589" t="str">
            <v>M2</v>
          </cell>
          <cell r="B4589" t="str">
            <v>A5C</v>
          </cell>
          <cell r="C4589" t="str">
            <v>P</v>
          </cell>
          <cell r="D4589" t="str">
            <v>23048</v>
          </cell>
          <cell r="E4589" t="str">
            <v>GLOBE VA</v>
          </cell>
          <cell r="F4589">
            <v>6</v>
          </cell>
          <cell r="G4589" t="str">
            <v>VL8010100000T00</v>
          </cell>
          <cell r="H4589">
            <v>0.75</v>
          </cell>
          <cell r="I4589" t="str">
            <v>--</v>
          </cell>
          <cell r="J4589">
            <v>1</v>
          </cell>
          <cell r="K4589">
            <v>1</v>
          </cell>
        </row>
        <row r="4590">
          <cell r="A4590" t="str">
            <v>M2</v>
          </cell>
          <cell r="B4590" t="str">
            <v>A5C</v>
          </cell>
          <cell r="C4590" t="str">
            <v>P</v>
          </cell>
          <cell r="D4590" t="str">
            <v>24016</v>
          </cell>
          <cell r="E4590" t="str">
            <v>GLOBE VA</v>
          </cell>
          <cell r="F4590">
            <v>6</v>
          </cell>
          <cell r="G4590" t="str">
            <v>VL8010100000T00</v>
          </cell>
          <cell r="H4590">
            <v>0.75</v>
          </cell>
          <cell r="I4590" t="str">
            <v>--</v>
          </cell>
          <cell r="J4590">
            <v>1</v>
          </cell>
          <cell r="K4590">
            <v>1</v>
          </cell>
        </row>
        <row r="4591">
          <cell r="A4591" t="str">
            <v>M2</v>
          </cell>
          <cell r="B4591" t="str">
            <v>A5C</v>
          </cell>
          <cell r="C4591" t="str">
            <v>TRIM</v>
          </cell>
          <cell r="D4591" t="str">
            <v>V-2325</v>
          </cell>
          <cell r="E4591" t="str">
            <v>GLOBE VA</v>
          </cell>
          <cell r="F4591">
            <v>6</v>
          </cell>
          <cell r="G4591" t="str">
            <v>VL8010100000T00</v>
          </cell>
          <cell r="H4591">
            <v>0.75</v>
          </cell>
          <cell r="I4591" t="str">
            <v>--</v>
          </cell>
          <cell r="J4591">
            <v>1</v>
          </cell>
          <cell r="K4591">
            <v>1</v>
          </cell>
        </row>
        <row r="4592">
          <cell r="A4592" t="str">
            <v>M2</v>
          </cell>
          <cell r="B4592" t="str">
            <v>A5C</v>
          </cell>
          <cell r="C4592" t="str">
            <v>P</v>
          </cell>
          <cell r="D4592" t="str">
            <v>23053</v>
          </cell>
          <cell r="E4592" t="str">
            <v>GLOBE VA</v>
          </cell>
          <cell r="F4592">
            <v>6</v>
          </cell>
          <cell r="G4592" t="str">
            <v>VL8010100000T00</v>
          </cell>
          <cell r="H4592">
            <v>0.75</v>
          </cell>
          <cell r="I4592" t="str">
            <v>--</v>
          </cell>
          <cell r="J4592">
            <v>1</v>
          </cell>
          <cell r="K4592">
            <v>1</v>
          </cell>
        </row>
        <row r="4593">
          <cell r="A4593" t="str">
            <v>M2</v>
          </cell>
          <cell r="B4593" t="str">
            <v>A5C</v>
          </cell>
          <cell r="C4593" t="str">
            <v>P</v>
          </cell>
          <cell r="D4593" t="str">
            <v>23080</v>
          </cell>
          <cell r="E4593" t="str">
            <v>GLOBE VA</v>
          </cell>
          <cell r="F4593">
            <v>6</v>
          </cell>
          <cell r="G4593" t="str">
            <v>VL8010100000T00</v>
          </cell>
          <cell r="H4593">
            <v>0.75</v>
          </cell>
          <cell r="I4593" t="str">
            <v>--</v>
          </cell>
          <cell r="J4593">
            <v>1</v>
          </cell>
          <cell r="K4593">
            <v>1</v>
          </cell>
        </row>
        <row r="4594">
          <cell r="A4594" t="str">
            <v>M2</v>
          </cell>
          <cell r="B4594" t="str">
            <v>A5C</v>
          </cell>
          <cell r="C4594" t="str">
            <v>P</v>
          </cell>
          <cell r="D4594" t="str">
            <v>24017</v>
          </cell>
          <cell r="E4594" t="str">
            <v>GLOBE VA</v>
          </cell>
          <cell r="F4594">
            <v>6</v>
          </cell>
          <cell r="G4594" t="str">
            <v>VL8010100000T00</v>
          </cell>
          <cell r="H4594">
            <v>0.75</v>
          </cell>
          <cell r="I4594" t="str">
            <v>--</v>
          </cell>
          <cell r="J4594">
            <v>1</v>
          </cell>
          <cell r="K4594">
            <v>1</v>
          </cell>
        </row>
        <row r="4595">
          <cell r="A4595" t="str">
            <v>M2</v>
          </cell>
          <cell r="B4595" t="str">
            <v>A5C</v>
          </cell>
          <cell r="C4595" t="str">
            <v>P</v>
          </cell>
          <cell r="D4595" t="str">
            <v>24018</v>
          </cell>
          <cell r="E4595" t="str">
            <v>GLOBE VA</v>
          </cell>
          <cell r="F4595">
            <v>6</v>
          </cell>
          <cell r="G4595" t="str">
            <v>VL8010100000T00</v>
          </cell>
          <cell r="H4595">
            <v>0.75</v>
          </cell>
          <cell r="I4595" t="str">
            <v>--</v>
          </cell>
          <cell r="J4595">
            <v>1</v>
          </cell>
          <cell r="K4595">
            <v>1</v>
          </cell>
        </row>
        <row r="4596">
          <cell r="A4596" t="str">
            <v>M2</v>
          </cell>
          <cell r="B4596" t="str">
            <v>A5C</v>
          </cell>
          <cell r="C4596" t="str">
            <v>P</v>
          </cell>
          <cell r="D4596" t="str">
            <v>23014</v>
          </cell>
          <cell r="E4596" t="str">
            <v>BALL VA</v>
          </cell>
          <cell r="F4596">
            <v>6</v>
          </cell>
          <cell r="G4596" t="str">
            <v>VB8010600000T00</v>
          </cell>
          <cell r="H4596">
            <v>0.75</v>
          </cell>
          <cell r="I4596" t="str">
            <v>--</v>
          </cell>
          <cell r="J4596">
            <v>1</v>
          </cell>
          <cell r="K4596">
            <v>1</v>
          </cell>
        </row>
        <row r="4597">
          <cell r="A4597" t="str">
            <v>M2</v>
          </cell>
          <cell r="B4597" t="str">
            <v>A5C</v>
          </cell>
          <cell r="C4597" t="str">
            <v>P</v>
          </cell>
          <cell r="D4597" t="str">
            <v>23156</v>
          </cell>
          <cell r="E4597" t="str">
            <v>BALL VA</v>
          </cell>
          <cell r="F4597">
            <v>6</v>
          </cell>
          <cell r="G4597" t="str">
            <v>VB8010600000T00</v>
          </cell>
          <cell r="H4597">
            <v>0.75</v>
          </cell>
          <cell r="I4597" t="str">
            <v>--</v>
          </cell>
          <cell r="J4597">
            <v>4</v>
          </cell>
          <cell r="K4597">
            <v>4</v>
          </cell>
        </row>
        <row r="4598">
          <cell r="A4598" t="str">
            <v>M2</v>
          </cell>
          <cell r="B4598" t="str">
            <v>A5C</v>
          </cell>
          <cell r="C4598" t="str">
            <v>P</v>
          </cell>
          <cell r="D4598" t="str">
            <v>24001</v>
          </cell>
          <cell r="E4598" t="str">
            <v>BALL VA</v>
          </cell>
          <cell r="F4598">
            <v>6</v>
          </cell>
          <cell r="G4598" t="str">
            <v>VB8010600000T00</v>
          </cell>
          <cell r="H4598">
            <v>0.75</v>
          </cell>
          <cell r="I4598" t="str">
            <v>--</v>
          </cell>
          <cell r="J4598">
            <v>2</v>
          </cell>
          <cell r="K4598">
            <v>2</v>
          </cell>
        </row>
        <row r="4599">
          <cell r="A4599" t="str">
            <v>M2</v>
          </cell>
          <cell r="B4599" t="str">
            <v>A5C</v>
          </cell>
          <cell r="C4599" t="str">
            <v>P</v>
          </cell>
          <cell r="D4599" t="str">
            <v>24002</v>
          </cell>
          <cell r="E4599" t="str">
            <v>BALL VA</v>
          </cell>
          <cell r="F4599">
            <v>6</v>
          </cell>
          <cell r="G4599" t="str">
            <v>VB8010600000T00</v>
          </cell>
          <cell r="H4599">
            <v>0.75</v>
          </cell>
          <cell r="I4599" t="str">
            <v>--</v>
          </cell>
          <cell r="J4599">
            <v>1</v>
          </cell>
          <cell r="K4599">
            <v>1</v>
          </cell>
        </row>
        <row r="4600">
          <cell r="A4600" t="str">
            <v>M2</v>
          </cell>
          <cell r="B4600" t="str">
            <v>A5C</v>
          </cell>
          <cell r="C4600" t="str">
            <v>P</v>
          </cell>
          <cell r="D4600" t="str">
            <v>24003</v>
          </cell>
          <cell r="E4600" t="str">
            <v>BALL VA</v>
          </cell>
          <cell r="F4600">
            <v>6</v>
          </cell>
          <cell r="G4600" t="str">
            <v>VB8010600000T00</v>
          </cell>
          <cell r="H4600">
            <v>0.75</v>
          </cell>
          <cell r="I4600" t="str">
            <v>--</v>
          </cell>
          <cell r="J4600">
            <v>2</v>
          </cell>
          <cell r="K4600">
            <v>2</v>
          </cell>
        </row>
        <row r="4601">
          <cell r="A4601" t="str">
            <v>M2</v>
          </cell>
          <cell r="B4601" t="str">
            <v>A5C</v>
          </cell>
          <cell r="C4601" t="str">
            <v>P</v>
          </cell>
          <cell r="D4601" t="str">
            <v>24004</v>
          </cell>
          <cell r="E4601" t="str">
            <v>BALL VA</v>
          </cell>
          <cell r="F4601">
            <v>6</v>
          </cell>
          <cell r="G4601" t="str">
            <v>VB8010600000T00</v>
          </cell>
          <cell r="H4601">
            <v>0.75</v>
          </cell>
          <cell r="I4601" t="str">
            <v>--</v>
          </cell>
          <cell r="J4601">
            <v>2</v>
          </cell>
          <cell r="K4601">
            <v>2</v>
          </cell>
        </row>
        <row r="4602">
          <cell r="A4602" t="str">
            <v>M2</v>
          </cell>
          <cell r="B4602" t="str">
            <v>A5C</v>
          </cell>
          <cell r="C4602" t="str">
            <v>P</v>
          </cell>
          <cell r="D4602" t="str">
            <v>24004</v>
          </cell>
          <cell r="E4602" t="str">
            <v>BALL VA</v>
          </cell>
          <cell r="F4602">
            <v>6</v>
          </cell>
          <cell r="G4602" t="str">
            <v>VB8010600000T00</v>
          </cell>
          <cell r="H4602">
            <v>0.75</v>
          </cell>
          <cell r="I4602" t="str">
            <v>--</v>
          </cell>
          <cell r="J4602">
            <v>3</v>
          </cell>
          <cell r="K4602">
            <v>3</v>
          </cell>
        </row>
        <row r="4603">
          <cell r="A4603" t="str">
            <v>M2</v>
          </cell>
          <cell r="B4603" t="str">
            <v>A5C</v>
          </cell>
          <cell r="C4603" t="str">
            <v>P</v>
          </cell>
          <cell r="D4603" t="str">
            <v>24025</v>
          </cell>
          <cell r="E4603" t="str">
            <v>BALL VA</v>
          </cell>
          <cell r="F4603">
            <v>6</v>
          </cell>
          <cell r="G4603" t="str">
            <v>VB8010600000T00</v>
          </cell>
          <cell r="H4603">
            <v>0.75</v>
          </cell>
          <cell r="I4603" t="str">
            <v>--</v>
          </cell>
          <cell r="J4603">
            <v>2</v>
          </cell>
          <cell r="K4603">
            <v>2</v>
          </cell>
        </row>
        <row r="4604">
          <cell r="A4604" t="str">
            <v>M2</v>
          </cell>
          <cell r="B4604" t="str">
            <v>A5C</v>
          </cell>
          <cell r="C4604" t="str">
            <v>P</v>
          </cell>
          <cell r="D4604" t="str">
            <v>24027</v>
          </cell>
          <cell r="E4604" t="str">
            <v>BALL VA</v>
          </cell>
          <cell r="F4604">
            <v>6</v>
          </cell>
          <cell r="G4604" t="str">
            <v>VB8010600000T00</v>
          </cell>
          <cell r="H4604">
            <v>0.75</v>
          </cell>
          <cell r="I4604" t="str">
            <v>--</v>
          </cell>
          <cell r="J4604">
            <v>2</v>
          </cell>
          <cell r="K4604">
            <v>2</v>
          </cell>
        </row>
        <row r="4605">
          <cell r="A4605" t="str">
            <v>M2</v>
          </cell>
          <cell r="B4605" t="str">
            <v>A5C</v>
          </cell>
          <cell r="C4605" t="str">
            <v>P</v>
          </cell>
          <cell r="D4605" t="str">
            <v>24029</v>
          </cell>
          <cell r="E4605" t="str">
            <v>BALL VA</v>
          </cell>
          <cell r="F4605">
            <v>6</v>
          </cell>
          <cell r="G4605" t="str">
            <v>VB8010600000T00</v>
          </cell>
          <cell r="H4605">
            <v>0.75</v>
          </cell>
          <cell r="I4605" t="str">
            <v>--</v>
          </cell>
          <cell r="J4605">
            <v>4</v>
          </cell>
          <cell r="K4605">
            <v>4</v>
          </cell>
        </row>
        <row r="4606">
          <cell r="A4606" t="str">
            <v>M2</v>
          </cell>
          <cell r="B4606" t="str">
            <v>A5C</v>
          </cell>
          <cell r="C4606" t="str">
            <v>P</v>
          </cell>
          <cell r="D4606" t="str">
            <v>24029</v>
          </cell>
          <cell r="E4606" t="str">
            <v>BALL VA</v>
          </cell>
          <cell r="F4606">
            <v>6</v>
          </cell>
          <cell r="G4606" t="str">
            <v>VB8010600000T00</v>
          </cell>
          <cell r="H4606">
            <v>0.75</v>
          </cell>
          <cell r="I4606" t="str">
            <v>--</v>
          </cell>
          <cell r="J4606">
            <v>2</v>
          </cell>
          <cell r="K4606">
            <v>2</v>
          </cell>
        </row>
        <row r="4607">
          <cell r="A4607" t="str">
            <v>M2</v>
          </cell>
          <cell r="B4607" t="str">
            <v>A5C</v>
          </cell>
          <cell r="C4607" t="str">
            <v>P</v>
          </cell>
          <cell r="D4607" t="str">
            <v>24031</v>
          </cell>
          <cell r="E4607" t="str">
            <v>BALL VA</v>
          </cell>
          <cell r="F4607">
            <v>6</v>
          </cell>
          <cell r="G4607" t="str">
            <v>VB8010600000T00</v>
          </cell>
          <cell r="H4607">
            <v>0.75</v>
          </cell>
          <cell r="I4607" t="str">
            <v>--</v>
          </cell>
          <cell r="J4607">
            <v>1</v>
          </cell>
          <cell r="K4607">
            <v>1</v>
          </cell>
        </row>
        <row r="4608">
          <cell r="A4608" t="str">
            <v>M2</v>
          </cell>
          <cell r="B4608" t="str">
            <v>A5C</v>
          </cell>
          <cell r="C4608" t="str">
            <v>P</v>
          </cell>
          <cell r="D4608" t="str">
            <v>99004</v>
          </cell>
          <cell r="E4608" t="str">
            <v>BALL VA</v>
          </cell>
          <cell r="F4608">
            <v>6</v>
          </cell>
          <cell r="G4608" t="str">
            <v>VB8010600000T00</v>
          </cell>
          <cell r="H4608">
            <v>0.75</v>
          </cell>
          <cell r="I4608" t="str">
            <v>--</v>
          </cell>
          <cell r="J4608">
            <v>1</v>
          </cell>
          <cell r="K4608">
            <v>1</v>
          </cell>
        </row>
        <row r="4609">
          <cell r="A4609" t="str">
            <v>M2</v>
          </cell>
          <cell r="B4609" t="str">
            <v>A5C</v>
          </cell>
          <cell r="C4609" t="str">
            <v>P</v>
          </cell>
          <cell r="D4609" t="str">
            <v>99004</v>
          </cell>
          <cell r="E4609" t="str">
            <v>BALL VA</v>
          </cell>
          <cell r="F4609">
            <v>6</v>
          </cell>
          <cell r="G4609" t="str">
            <v>VB8010600000T00</v>
          </cell>
          <cell r="H4609">
            <v>0.75</v>
          </cell>
          <cell r="I4609" t="str">
            <v>--</v>
          </cell>
          <cell r="J4609">
            <v>2</v>
          </cell>
          <cell r="K4609">
            <v>2</v>
          </cell>
        </row>
        <row r="4610">
          <cell r="A4610" t="str">
            <v>M2</v>
          </cell>
          <cell r="B4610" t="str">
            <v>A5C</v>
          </cell>
          <cell r="C4610" t="str">
            <v>TRIM</v>
          </cell>
          <cell r="D4610" t="str">
            <v>C-2301</v>
          </cell>
          <cell r="E4610" t="str">
            <v>BALL VA</v>
          </cell>
          <cell r="F4610">
            <v>6</v>
          </cell>
          <cell r="G4610" t="str">
            <v>VB8010600000T00</v>
          </cell>
          <cell r="H4610">
            <v>0.75</v>
          </cell>
          <cell r="I4610" t="str">
            <v>--</v>
          </cell>
          <cell r="J4610">
            <v>2</v>
          </cell>
          <cell r="K4610">
            <v>2</v>
          </cell>
        </row>
        <row r="4611">
          <cell r="A4611" t="str">
            <v>M2</v>
          </cell>
          <cell r="B4611" t="str">
            <v>A5C</v>
          </cell>
          <cell r="C4611" t="str">
            <v>TRIM</v>
          </cell>
          <cell r="D4611" t="str">
            <v>C-2301</v>
          </cell>
          <cell r="E4611" t="str">
            <v>BALL VA</v>
          </cell>
          <cell r="F4611">
            <v>6</v>
          </cell>
          <cell r="G4611" t="str">
            <v>VB8010600000T00</v>
          </cell>
          <cell r="H4611">
            <v>0.75</v>
          </cell>
          <cell r="I4611" t="str">
            <v>--</v>
          </cell>
          <cell r="J4611">
            <v>4</v>
          </cell>
          <cell r="K4611">
            <v>4</v>
          </cell>
        </row>
        <row r="4612">
          <cell r="A4612" t="str">
            <v>M2</v>
          </cell>
          <cell r="B4612" t="str">
            <v>A5C</v>
          </cell>
          <cell r="C4612" t="str">
            <v>TRIM</v>
          </cell>
          <cell r="D4612" t="str">
            <v>R-2401</v>
          </cell>
          <cell r="E4612" t="str">
            <v>BALL VA</v>
          </cell>
          <cell r="F4612">
            <v>6</v>
          </cell>
          <cell r="G4612" t="str">
            <v>VB8010600000T00</v>
          </cell>
          <cell r="H4612">
            <v>0.75</v>
          </cell>
          <cell r="I4612" t="str">
            <v>--</v>
          </cell>
          <cell r="J4612">
            <v>2</v>
          </cell>
          <cell r="K4612">
            <v>2</v>
          </cell>
        </row>
        <row r="4613">
          <cell r="A4613" t="str">
            <v>M2</v>
          </cell>
          <cell r="B4613" t="str">
            <v>A5C</v>
          </cell>
          <cell r="C4613" t="str">
            <v>TRIM</v>
          </cell>
          <cell r="D4613" t="str">
            <v>R-2401</v>
          </cell>
          <cell r="E4613" t="str">
            <v>BALL VA</v>
          </cell>
          <cell r="F4613">
            <v>6</v>
          </cell>
          <cell r="G4613" t="str">
            <v>VB8010600000T00</v>
          </cell>
          <cell r="H4613">
            <v>0.75</v>
          </cell>
          <cell r="I4613" t="str">
            <v>--</v>
          </cell>
          <cell r="J4613">
            <v>5</v>
          </cell>
          <cell r="K4613">
            <v>5</v>
          </cell>
        </row>
        <row r="4614">
          <cell r="A4614" t="str">
            <v>M2</v>
          </cell>
          <cell r="B4614" t="str">
            <v>A5C</v>
          </cell>
          <cell r="C4614" t="str">
            <v>TRIM</v>
          </cell>
          <cell r="D4614" t="str">
            <v>V-2401</v>
          </cell>
          <cell r="E4614" t="str">
            <v>BALL VA</v>
          </cell>
          <cell r="F4614">
            <v>6</v>
          </cell>
          <cell r="G4614" t="str">
            <v>VB8010600000T00</v>
          </cell>
          <cell r="H4614">
            <v>0.75</v>
          </cell>
          <cell r="I4614" t="str">
            <v>--</v>
          </cell>
          <cell r="J4614">
            <v>2</v>
          </cell>
          <cell r="K4614">
            <v>2</v>
          </cell>
        </row>
        <row r="4615">
          <cell r="A4615" t="str">
            <v>M2</v>
          </cell>
          <cell r="B4615" t="str">
            <v>A5C</v>
          </cell>
          <cell r="C4615" t="str">
            <v>TRIM</v>
          </cell>
          <cell r="D4615" t="str">
            <v>V-2404</v>
          </cell>
          <cell r="E4615" t="str">
            <v>BALL VA</v>
          </cell>
          <cell r="F4615">
            <v>6</v>
          </cell>
          <cell r="G4615" t="str">
            <v>VB8010600000T00</v>
          </cell>
          <cell r="H4615">
            <v>0.75</v>
          </cell>
          <cell r="I4615" t="str">
            <v>--</v>
          </cell>
          <cell r="J4615">
            <v>4</v>
          </cell>
          <cell r="K4615">
            <v>4</v>
          </cell>
        </row>
        <row r="4616">
          <cell r="A4616" t="str">
            <v>M2</v>
          </cell>
          <cell r="B4616" t="str">
            <v>A5C</v>
          </cell>
          <cell r="C4616" t="str">
            <v>P</v>
          </cell>
          <cell r="D4616" t="str">
            <v>23013</v>
          </cell>
          <cell r="E4616" t="str">
            <v>BALL VA</v>
          </cell>
          <cell r="F4616">
            <v>6</v>
          </cell>
          <cell r="G4616" t="str">
            <v>VB8010600000T00</v>
          </cell>
          <cell r="H4616">
            <v>0.75</v>
          </cell>
          <cell r="I4616" t="str">
            <v>--</v>
          </cell>
          <cell r="J4616">
            <v>2</v>
          </cell>
          <cell r="K4616">
            <v>2</v>
          </cell>
        </row>
        <row r="4617">
          <cell r="A4617" t="str">
            <v>M2</v>
          </cell>
          <cell r="B4617" t="str">
            <v>A5C</v>
          </cell>
          <cell r="C4617" t="str">
            <v>P</v>
          </cell>
          <cell r="D4617" t="str">
            <v>23013</v>
          </cell>
          <cell r="E4617" t="str">
            <v>BALL VA</v>
          </cell>
          <cell r="F4617">
            <v>6</v>
          </cell>
          <cell r="G4617" t="str">
            <v>VB8010600000T00</v>
          </cell>
          <cell r="H4617">
            <v>0.75</v>
          </cell>
          <cell r="I4617" t="str">
            <v>--</v>
          </cell>
          <cell r="J4617">
            <v>2</v>
          </cell>
          <cell r="K4617">
            <v>2</v>
          </cell>
        </row>
        <row r="4618">
          <cell r="A4618" t="str">
            <v>M2</v>
          </cell>
          <cell r="B4618" t="str">
            <v>A5C</v>
          </cell>
          <cell r="C4618" t="str">
            <v>P</v>
          </cell>
          <cell r="D4618" t="str">
            <v>24026</v>
          </cell>
          <cell r="E4618" t="str">
            <v>BALL VA</v>
          </cell>
          <cell r="F4618">
            <v>6</v>
          </cell>
          <cell r="G4618" t="str">
            <v>VB8010600000T00</v>
          </cell>
          <cell r="H4618">
            <v>0.75</v>
          </cell>
          <cell r="I4618" t="str">
            <v>--</v>
          </cell>
          <cell r="J4618">
            <v>1</v>
          </cell>
          <cell r="K4618">
            <v>1</v>
          </cell>
        </row>
        <row r="4619">
          <cell r="A4619" t="str">
            <v>M2</v>
          </cell>
          <cell r="B4619" t="str">
            <v>A5C</v>
          </cell>
          <cell r="C4619" t="str">
            <v>P</v>
          </cell>
          <cell r="D4619" t="str">
            <v>24033</v>
          </cell>
          <cell r="E4619" t="str">
            <v>BALL VA</v>
          </cell>
          <cell r="F4619">
            <v>6</v>
          </cell>
          <cell r="G4619" t="str">
            <v>VB8010600000T00</v>
          </cell>
          <cell r="H4619">
            <v>0.75</v>
          </cell>
          <cell r="I4619" t="str">
            <v>--</v>
          </cell>
          <cell r="J4619">
            <v>1</v>
          </cell>
          <cell r="K4619">
            <v>1</v>
          </cell>
        </row>
        <row r="4620">
          <cell r="A4620" t="str">
            <v>M2</v>
          </cell>
          <cell r="B4620" t="str">
            <v>A5C</v>
          </cell>
          <cell r="C4620" t="str">
            <v>TRIM</v>
          </cell>
          <cell r="D4620" t="str">
            <v>V-2401</v>
          </cell>
          <cell r="E4620" t="str">
            <v>BALL VA</v>
          </cell>
          <cell r="F4620">
            <v>6</v>
          </cell>
          <cell r="G4620" t="str">
            <v>VB8010600000T00</v>
          </cell>
          <cell r="H4620">
            <v>0.75</v>
          </cell>
          <cell r="I4620" t="str">
            <v>--</v>
          </cell>
          <cell r="J4620">
            <v>4</v>
          </cell>
          <cell r="K4620">
            <v>4</v>
          </cell>
        </row>
        <row r="4621">
          <cell r="A4621" t="str">
            <v>M2</v>
          </cell>
          <cell r="B4621" t="str">
            <v>A5C</v>
          </cell>
          <cell r="C4621" t="str">
            <v>TRIM</v>
          </cell>
          <cell r="D4621" t="str">
            <v>V-2404</v>
          </cell>
          <cell r="E4621" t="str">
            <v>BALL VA</v>
          </cell>
          <cell r="F4621">
            <v>6</v>
          </cell>
          <cell r="G4621" t="str">
            <v>VB8010600000T00</v>
          </cell>
          <cell r="H4621">
            <v>0.75</v>
          </cell>
          <cell r="I4621" t="str">
            <v>--</v>
          </cell>
          <cell r="J4621">
            <v>2</v>
          </cell>
          <cell r="K4621">
            <v>2</v>
          </cell>
        </row>
        <row r="4622">
          <cell r="A4622" t="str">
            <v>M2</v>
          </cell>
          <cell r="B4622" t="str">
            <v>A5C</v>
          </cell>
          <cell r="C4622" t="str">
            <v>P</v>
          </cell>
          <cell r="D4622" t="str">
            <v>23014</v>
          </cell>
          <cell r="E4622" t="str">
            <v>CHECK VA</v>
          </cell>
          <cell r="F4622">
            <v>6</v>
          </cell>
          <cell r="G4622" t="str">
            <v>VCB8010400000T00</v>
          </cell>
          <cell r="H4622">
            <v>0.75</v>
          </cell>
          <cell r="I4622" t="str">
            <v>--</v>
          </cell>
          <cell r="J4622">
            <v>1</v>
          </cell>
          <cell r="K4622">
            <v>1</v>
          </cell>
        </row>
        <row r="4623">
          <cell r="A4623" t="str">
            <v>M2</v>
          </cell>
          <cell r="B4623" t="str">
            <v>A5C</v>
          </cell>
          <cell r="C4623" t="str">
            <v>P</v>
          </cell>
          <cell r="D4623" t="str">
            <v>24029</v>
          </cell>
          <cell r="E4623" t="str">
            <v>CHECK VA</v>
          </cell>
          <cell r="F4623">
            <v>6</v>
          </cell>
          <cell r="G4623" t="str">
            <v>VCB8010400000T00</v>
          </cell>
          <cell r="H4623">
            <v>0.75</v>
          </cell>
          <cell r="I4623" t="str">
            <v>--</v>
          </cell>
          <cell r="J4623">
            <v>2</v>
          </cell>
          <cell r="K4623">
            <v>2</v>
          </cell>
        </row>
        <row r="4624">
          <cell r="A4624" t="str">
            <v>M2</v>
          </cell>
          <cell r="B4624" t="str">
            <v>A5C</v>
          </cell>
          <cell r="C4624" t="str">
            <v>P</v>
          </cell>
          <cell r="D4624" t="str">
            <v>23156</v>
          </cell>
          <cell r="E4624" t="str">
            <v>GLOBE VA</v>
          </cell>
          <cell r="F4624">
            <v>6</v>
          </cell>
          <cell r="G4624" t="str">
            <v>VL8010100000T00</v>
          </cell>
          <cell r="H4624">
            <v>0.75</v>
          </cell>
          <cell r="I4624" t="str">
            <v>--</v>
          </cell>
          <cell r="J4624">
            <v>1</v>
          </cell>
          <cell r="K4624">
            <v>1</v>
          </cell>
        </row>
        <row r="4625">
          <cell r="A4625" t="str">
            <v>M2</v>
          </cell>
          <cell r="B4625" t="str">
            <v>A5C</v>
          </cell>
          <cell r="C4625" t="str">
            <v>P</v>
          </cell>
          <cell r="D4625" t="str">
            <v>99004</v>
          </cell>
          <cell r="E4625" t="str">
            <v>GLOBE VA</v>
          </cell>
          <cell r="F4625">
            <v>6</v>
          </cell>
          <cell r="G4625" t="str">
            <v>VL8010100000T00</v>
          </cell>
          <cell r="H4625">
            <v>0.75</v>
          </cell>
          <cell r="I4625" t="str">
            <v>--</v>
          </cell>
          <cell r="J4625">
            <v>1</v>
          </cell>
          <cell r="K4625">
            <v>1</v>
          </cell>
        </row>
        <row r="4626">
          <cell r="A4626" t="str">
            <v>M2</v>
          </cell>
          <cell r="B4626" t="str">
            <v>A5C</v>
          </cell>
          <cell r="C4626" t="str">
            <v>N</v>
          </cell>
          <cell r="D4626" t="str">
            <v>23634</v>
          </cell>
          <cell r="E4626" t="str">
            <v>BALL VA</v>
          </cell>
          <cell r="F4626">
            <v>6</v>
          </cell>
          <cell r="G4626" t="str">
            <v>VB8010600000100</v>
          </cell>
          <cell r="H4626">
            <v>1</v>
          </cell>
          <cell r="I4626" t="str">
            <v>--</v>
          </cell>
          <cell r="J4626">
            <v>1</v>
          </cell>
          <cell r="K4626">
            <v>1</v>
          </cell>
        </row>
        <row r="4627">
          <cell r="A4627" t="str">
            <v>M2</v>
          </cell>
          <cell r="B4627" t="str">
            <v>A5C</v>
          </cell>
          <cell r="C4627" t="str">
            <v>N</v>
          </cell>
          <cell r="D4627" t="str">
            <v>23636</v>
          </cell>
          <cell r="E4627" t="str">
            <v>BALL VA</v>
          </cell>
          <cell r="F4627">
            <v>6</v>
          </cell>
          <cell r="G4627" t="str">
            <v>VB8010600000100</v>
          </cell>
          <cell r="H4627">
            <v>1</v>
          </cell>
          <cell r="I4627" t="str">
            <v>--</v>
          </cell>
          <cell r="J4627">
            <v>1</v>
          </cell>
          <cell r="K4627">
            <v>1</v>
          </cell>
        </row>
        <row r="4628">
          <cell r="A4628" t="str">
            <v>M2</v>
          </cell>
          <cell r="B4628" t="str">
            <v>A5C</v>
          </cell>
          <cell r="C4628" t="str">
            <v>P</v>
          </cell>
          <cell r="D4628" t="str">
            <v>23037</v>
          </cell>
          <cell r="E4628" t="str">
            <v>BALL VA</v>
          </cell>
          <cell r="F4628">
            <v>6</v>
          </cell>
          <cell r="G4628" t="str">
            <v>VB8010600000100</v>
          </cell>
          <cell r="H4628">
            <v>1</v>
          </cell>
          <cell r="I4628" t="str">
            <v>--</v>
          </cell>
          <cell r="J4628">
            <v>3</v>
          </cell>
          <cell r="K4628">
            <v>3</v>
          </cell>
        </row>
        <row r="4629">
          <cell r="A4629" t="str">
            <v>M2</v>
          </cell>
          <cell r="B4629" t="str">
            <v>A5C</v>
          </cell>
          <cell r="C4629" t="str">
            <v>P</v>
          </cell>
          <cell r="D4629" t="str">
            <v>23052</v>
          </cell>
          <cell r="E4629" t="str">
            <v>BALL VA</v>
          </cell>
          <cell r="F4629">
            <v>6</v>
          </cell>
          <cell r="G4629" t="str">
            <v>VB8010600000100</v>
          </cell>
          <cell r="H4629">
            <v>1</v>
          </cell>
          <cell r="I4629" t="str">
            <v>--</v>
          </cell>
          <cell r="J4629">
            <v>3</v>
          </cell>
          <cell r="K4629">
            <v>3</v>
          </cell>
        </row>
        <row r="4630">
          <cell r="A4630" t="str">
            <v>M2</v>
          </cell>
          <cell r="B4630" t="str">
            <v>A5C</v>
          </cell>
          <cell r="C4630" t="str">
            <v>P</v>
          </cell>
          <cell r="D4630" t="str">
            <v>23063</v>
          </cell>
          <cell r="E4630" t="str">
            <v>BALL VA</v>
          </cell>
          <cell r="F4630">
            <v>6</v>
          </cell>
          <cell r="G4630" t="str">
            <v>VB8010600000100</v>
          </cell>
          <cell r="H4630">
            <v>1</v>
          </cell>
          <cell r="I4630" t="str">
            <v>--</v>
          </cell>
          <cell r="J4630">
            <v>3</v>
          </cell>
          <cell r="K4630">
            <v>3</v>
          </cell>
        </row>
        <row r="4631">
          <cell r="A4631" t="str">
            <v>M2</v>
          </cell>
          <cell r="B4631" t="str">
            <v>A5C</v>
          </cell>
          <cell r="C4631" t="str">
            <v>P</v>
          </cell>
          <cell r="D4631" t="str">
            <v>23067</v>
          </cell>
          <cell r="E4631" t="str">
            <v>BALL VA</v>
          </cell>
          <cell r="F4631">
            <v>6</v>
          </cell>
          <cell r="G4631" t="str">
            <v>VB8010600000100</v>
          </cell>
          <cell r="H4631">
            <v>1</v>
          </cell>
          <cell r="I4631" t="str">
            <v>--</v>
          </cell>
          <cell r="J4631">
            <v>1</v>
          </cell>
          <cell r="K4631">
            <v>1</v>
          </cell>
        </row>
        <row r="4632">
          <cell r="A4632" t="str">
            <v>M2</v>
          </cell>
          <cell r="B4632" t="str">
            <v>A5C</v>
          </cell>
          <cell r="C4632" t="str">
            <v>P</v>
          </cell>
          <cell r="D4632" t="str">
            <v>23078</v>
          </cell>
          <cell r="E4632" t="str">
            <v>BALL VA</v>
          </cell>
          <cell r="F4632">
            <v>6</v>
          </cell>
          <cell r="G4632" t="str">
            <v>VB8010600000100</v>
          </cell>
          <cell r="H4632">
            <v>1</v>
          </cell>
          <cell r="I4632" t="str">
            <v>--</v>
          </cell>
          <cell r="J4632">
            <v>3</v>
          </cell>
          <cell r="K4632">
            <v>3</v>
          </cell>
        </row>
        <row r="4633">
          <cell r="A4633" t="str">
            <v>M2</v>
          </cell>
          <cell r="B4633" t="str">
            <v>A5C</v>
          </cell>
          <cell r="C4633" t="str">
            <v>P</v>
          </cell>
          <cell r="D4633" t="str">
            <v>23083</v>
          </cell>
          <cell r="E4633" t="str">
            <v>BALL VA</v>
          </cell>
          <cell r="F4633">
            <v>6</v>
          </cell>
          <cell r="G4633" t="str">
            <v>VB8010600000100</v>
          </cell>
          <cell r="H4633">
            <v>1</v>
          </cell>
          <cell r="I4633" t="str">
            <v>--</v>
          </cell>
          <cell r="J4633">
            <v>3</v>
          </cell>
          <cell r="K4633">
            <v>3</v>
          </cell>
        </row>
        <row r="4634">
          <cell r="A4634" t="str">
            <v>M2</v>
          </cell>
          <cell r="B4634" t="str">
            <v>A5C</v>
          </cell>
          <cell r="C4634" t="str">
            <v>P</v>
          </cell>
          <cell r="D4634" t="str">
            <v>23104</v>
          </cell>
          <cell r="E4634" t="str">
            <v>BALL VA</v>
          </cell>
          <cell r="F4634">
            <v>6</v>
          </cell>
          <cell r="G4634" t="str">
            <v>VB8010600000100</v>
          </cell>
          <cell r="H4634">
            <v>1</v>
          </cell>
          <cell r="I4634" t="str">
            <v>--</v>
          </cell>
          <cell r="J4634">
            <v>1</v>
          </cell>
          <cell r="K4634">
            <v>1</v>
          </cell>
        </row>
        <row r="4635">
          <cell r="A4635" t="str">
            <v>M2</v>
          </cell>
          <cell r="B4635" t="str">
            <v>A5C</v>
          </cell>
          <cell r="C4635" t="str">
            <v>P</v>
          </cell>
          <cell r="D4635" t="str">
            <v>23104</v>
          </cell>
          <cell r="E4635" t="str">
            <v>BALL VA</v>
          </cell>
          <cell r="F4635">
            <v>6</v>
          </cell>
          <cell r="G4635" t="str">
            <v>VB8010600000100</v>
          </cell>
          <cell r="H4635">
            <v>1</v>
          </cell>
          <cell r="I4635" t="str">
            <v>--</v>
          </cell>
          <cell r="J4635">
            <v>1</v>
          </cell>
          <cell r="K4635">
            <v>1</v>
          </cell>
        </row>
        <row r="4636">
          <cell r="A4636" t="str">
            <v>M2</v>
          </cell>
          <cell r="B4636" t="str">
            <v>A5C</v>
          </cell>
          <cell r="C4636" t="str">
            <v>P</v>
          </cell>
          <cell r="D4636" t="str">
            <v>23108</v>
          </cell>
          <cell r="E4636" t="str">
            <v>BALL VA</v>
          </cell>
          <cell r="F4636">
            <v>6</v>
          </cell>
          <cell r="G4636" t="str">
            <v>VB8010600000100</v>
          </cell>
          <cell r="H4636">
            <v>1</v>
          </cell>
          <cell r="I4636" t="str">
            <v>--</v>
          </cell>
          <cell r="J4636">
            <v>1</v>
          </cell>
          <cell r="K4636">
            <v>1</v>
          </cell>
        </row>
        <row r="4637">
          <cell r="A4637" t="str">
            <v>M2</v>
          </cell>
          <cell r="B4637" t="str">
            <v>A5C</v>
          </cell>
          <cell r="C4637" t="str">
            <v>P</v>
          </cell>
          <cell r="D4637" t="str">
            <v>23112</v>
          </cell>
          <cell r="E4637" t="str">
            <v>BALL VA</v>
          </cell>
          <cell r="F4637">
            <v>6</v>
          </cell>
          <cell r="G4637" t="str">
            <v>VB8010600000100</v>
          </cell>
          <cell r="H4637">
            <v>1</v>
          </cell>
          <cell r="I4637" t="str">
            <v>--</v>
          </cell>
          <cell r="J4637">
            <v>1</v>
          </cell>
          <cell r="K4637">
            <v>1</v>
          </cell>
        </row>
        <row r="4638">
          <cell r="A4638" t="str">
            <v>M2</v>
          </cell>
          <cell r="B4638" t="str">
            <v>A5C</v>
          </cell>
          <cell r="C4638" t="str">
            <v>P</v>
          </cell>
          <cell r="D4638" t="str">
            <v>23112</v>
          </cell>
          <cell r="E4638" t="str">
            <v>BALL VA</v>
          </cell>
          <cell r="F4638">
            <v>6</v>
          </cell>
          <cell r="G4638" t="str">
            <v>VB8010600000100</v>
          </cell>
          <cell r="H4638">
            <v>1</v>
          </cell>
          <cell r="I4638" t="str">
            <v>--</v>
          </cell>
          <cell r="J4638">
            <v>1</v>
          </cell>
          <cell r="K4638">
            <v>1</v>
          </cell>
        </row>
        <row r="4639">
          <cell r="A4639" t="str">
            <v>M2</v>
          </cell>
          <cell r="B4639" t="str">
            <v>A5C</v>
          </cell>
          <cell r="C4639" t="str">
            <v>P</v>
          </cell>
          <cell r="D4639" t="str">
            <v>23122</v>
          </cell>
          <cell r="E4639" t="str">
            <v>BALL VA</v>
          </cell>
          <cell r="F4639">
            <v>6</v>
          </cell>
          <cell r="G4639" t="str">
            <v>VB8010600000100</v>
          </cell>
          <cell r="H4639">
            <v>1</v>
          </cell>
          <cell r="I4639" t="str">
            <v>--</v>
          </cell>
          <cell r="J4639">
            <v>3</v>
          </cell>
          <cell r="K4639">
            <v>3</v>
          </cell>
        </row>
        <row r="4640">
          <cell r="A4640" t="str">
            <v>M2</v>
          </cell>
          <cell r="B4640" t="str">
            <v>A5C</v>
          </cell>
          <cell r="C4640" t="str">
            <v>P</v>
          </cell>
          <cell r="D4640" t="str">
            <v>23144</v>
          </cell>
          <cell r="E4640" t="str">
            <v>BALL VA</v>
          </cell>
          <cell r="F4640">
            <v>6</v>
          </cell>
          <cell r="G4640" t="str">
            <v>VB8010600000100</v>
          </cell>
          <cell r="H4640">
            <v>1</v>
          </cell>
          <cell r="I4640" t="str">
            <v>--</v>
          </cell>
          <cell r="J4640">
            <v>2</v>
          </cell>
          <cell r="K4640">
            <v>2</v>
          </cell>
        </row>
        <row r="4641">
          <cell r="A4641" t="str">
            <v>M2</v>
          </cell>
          <cell r="B4641" t="str">
            <v>A5C</v>
          </cell>
          <cell r="C4641" t="str">
            <v>P</v>
          </cell>
          <cell r="D4641" t="str">
            <v>23148</v>
          </cell>
          <cell r="E4641" t="str">
            <v>BALL VA</v>
          </cell>
          <cell r="F4641">
            <v>6</v>
          </cell>
          <cell r="G4641" t="str">
            <v>VB8010600000100</v>
          </cell>
          <cell r="H4641">
            <v>1</v>
          </cell>
          <cell r="I4641" t="str">
            <v>--</v>
          </cell>
          <cell r="J4641">
            <v>2</v>
          </cell>
          <cell r="K4641">
            <v>2</v>
          </cell>
        </row>
        <row r="4642">
          <cell r="A4642" t="str">
            <v>M2</v>
          </cell>
          <cell r="B4642" t="str">
            <v>A5C</v>
          </cell>
          <cell r="C4642" t="str">
            <v>P</v>
          </cell>
          <cell r="D4642" t="str">
            <v>23149</v>
          </cell>
          <cell r="E4642" t="str">
            <v>BALL VA</v>
          </cell>
          <cell r="F4642">
            <v>6</v>
          </cell>
          <cell r="G4642" t="str">
            <v>VB8010600000100</v>
          </cell>
          <cell r="H4642">
            <v>1</v>
          </cell>
          <cell r="I4642" t="str">
            <v>--</v>
          </cell>
          <cell r="J4642">
            <v>2</v>
          </cell>
          <cell r="K4642">
            <v>2</v>
          </cell>
        </row>
        <row r="4643">
          <cell r="A4643" t="str">
            <v>M2</v>
          </cell>
          <cell r="B4643" t="str">
            <v>A5C</v>
          </cell>
          <cell r="C4643" t="str">
            <v>P</v>
          </cell>
          <cell r="D4643" t="str">
            <v>23164</v>
          </cell>
          <cell r="E4643" t="str">
            <v>BALL VA</v>
          </cell>
          <cell r="F4643">
            <v>6</v>
          </cell>
          <cell r="G4643" t="str">
            <v>VB8010600000100</v>
          </cell>
          <cell r="H4643">
            <v>1</v>
          </cell>
          <cell r="I4643" t="str">
            <v>--</v>
          </cell>
          <cell r="J4643">
            <v>2</v>
          </cell>
          <cell r="K4643">
            <v>2</v>
          </cell>
        </row>
        <row r="4644">
          <cell r="A4644" t="str">
            <v>M2</v>
          </cell>
          <cell r="B4644" t="str">
            <v>A5C</v>
          </cell>
          <cell r="C4644" t="str">
            <v>P</v>
          </cell>
          <cell r="D4644" t="str">
            <v>23204</v>
          </cell>
          <cell r="E4644" t="str">
            <v>BALL VA</v>
          </cell>
          <cell r="F4644">
            <v>6</v>
          </cell>
          <cell r="G4644" t="str">
            <v>VB8010600000100</v>
          </cell>
          <cell r="H4644">
            <v>1</v>
          </cell>
          <cell r="I4644" t="str">
            <v>--</v>
          </cell>
          <cell r="J4644">
            <v>1</v>
          </cell>
          <cell r="K4644">
            <v>1</v>
          </cell>
        </row>
        <row r="4645">
          <cell r="A4645" t="str">
            <v>M2</v>
          </cell>
          <cell r="B4645" t="str">
            <v>A5C</v>
          </cell>
          <cell r="C4645" t="str">
            <v>P</v>
          </cell>
          <cell r="D4645" t="str">
            <v>23206</v>
          </cell>
          <cell r="E4645" t="str">
            <v>BALL VA</v>
          </cell>
          <cell r="F4645">
            <v>6</v>
          </cell>
          <cell r="G4645" t="str">
            <v>VB8010600000100</v>
          </cell>
          <cell r="H4645">
            <v>1</v>
          </cell>
          <cell r="I4645" t="str">
            <v>--</v>
          </cell>
          <cell r="J4645">
            <v>1</v>
          </cell>
          <cell r="K4645">
            <v>1</v>
          </cell>
        </row>
        <row r="4646">
          <cell r="A4646" t="str">
            <v>M2</v>
          </cell>
          <cell r="B4646" t="str">
            <v>A5C</v>
          </cell>
          <cell r="C4646" t="str">
            <v>P</v>
          </cell>
          <cell r="D4646" t="str">
            <v>23208</v>
          </cell>
          <cell r="E4646" t="str">
            <v>BALL VA</v>
          </cell>
          <cell r="F4646">
            <v>6</v>
          </cell>
          <cell r="G4646" t="str">
            <v>VB8010600000100</v>
          </cell>
          <cell r="H4646">
            <v>1</v>
          </cell>
          <cell r="I4646" t="str">
            <v>--</v>
          </cell>
          <cell r="J4646">
            <v>1</v>
          </cell>
          <cell r="K4646">
            <v>1</v>
          </cell>
        </row>
        <row r="4647">
          <cell r="A4647" t="str">
            <v>M2</v>
          </cell>
          <cell r="B4647" t="str">
            <v>A5C</v>
          </cell>
          <cell r="C4647" t="str">
            <v>P</v>
          </cell>
          <cell r="D4647" t="str">
            <v>23207</v>
          </cell>
          <cell r="E4647" t="str">
            <v>BALL VA</v>
          </cell>
          <cell r="F4647">
            <v>6</v>
          </cell>
          <cell r="G4647" t="str">
            <v>VB8010600000100</v>
          </cell>
          <cell r="H4647">
            <v>1</v>
          </cell>
          <cell r="I4647" t="str">
            <v>--</v>
          </cell>
          <cell r="J4647">
            <v>1</v>
          </cell>
          <cell r="K4647">
            <v>1</v>
          </cell>
        </row>
        <row r="4648">
          <cell r="A4648" t="str">
            <v>M2</v>
          </cell>
          <cell r="B4648" t="str">
            <v>A5C</v>
          </cell>
          <cell r="C4648" t="str">
            <v>P</v>
          </cell>
          <cell r="D4648" t="str">
            <v>23213</v>
          </cell>
          <cell r="E4648" t="str">
            <v>BALL VA</v>
          </cell>
          <cell r="F4648">
            <v>6</v>
          </cell>
          <cell r="G4648" t="str">
            <v>VB8010600000100</v>
          </cell>
          <cell r="H4648">
            <v>1</v>
          </cell>
          <cell r="I4648" t="str">
            <v>--</v>
          </cell>
          <cell r="J4648">
            <v>1</v>
          </cell>
          <cell r="K4648">
            <v>1</v>
          </cell>
        </row>
        <row r="4649">
          <cell r="A4649" t="str">
            <v>M2</v>
          </cell>
          <cell r="B4649" t="str">
            <v>A5C</v>
          </cell>
          <cell r="C4649" t="str">
            <v>P</v>
          </cell>
          <cell r="D4649" t="str">
            <v>23230</v>
          </cell>
          <cell r="E4649" t="str">
            <v>BALL VA</v>
          </cell>
          <cell r="F4649">
            <v>6</v>
          </cell>
          <cell r="G4649" t="str">
            <v>VB8010600000100</v>
          </cell>
          <cell r="H4649">
            <v>1</v>
          </cell>
          <cell r="I4649" t="str">
            <v>--</v>
          </cell>
          <cell r="J4649">
            <v>2</v>
          </cell>
          <cell r="K4649">
            <v>2</v>
          </cell>
        </row>
        <row r="4650">
          <cell r="A4650" t="str">
            <v>M2</v>
          </cell>
          <cell r="B4650" t="str">
            <v>A5C</v>
          </cell>
          <cell r="C4650" t="str">
            <v>P</v>
          </cell>
          <cell r="D4650" t="str">
            <v>23239</v>
          </cell>
          <cell r="E4650" t="str">
            <v>BALL VA</v>
          </cell>
          <cell r="F4650">
            <v>6</v>
          </cell>
          <cell r="G4650" t="str">
            <v>VB8010600000100</v>
          </cell>
          <cell r="H4650">
            <v>1</v>
          </cell>
          <cell r="I4650" t="str">
            <v>--</v>
          </cell>
          <cell r="J4650">
            <v>1</v>
          </cell>
          <cell r="K4650">
            <v>1</v>
          </cell>
        </row>
        <row r="4651">
          <cell r="A4651" t="str">
            <v>M2</v>
          </cell>
          <cell r="B4651" t="str">
            <v>A5C</v>
          </cell>
          <cell r="C4651" t="str">
            <v>P</v>
          </cell>
          <cell r="D4651" t="str">
            <v>23235</v>
          </cell>
          <cell r="E4651" t="str">
            <v>BALL VA</v>
          </cell>
          <cell r="F4651">
            <v>6</v>
          </cell>
          <cell r="G4651" t="str">
            <v>VB8010600000100</v>
          </cell>
          <cell r="H4651">
            <v>1</v>
          </cell>
          <cell r="I4651" t="str">
            <v>--</v>
          </cell>
          <cell r="J4651">
            <v>1</v>
          </cell>
          <cell r="K4651">
            <v>1</v>
          </cell>
        </row>
        <row r="4652">
          <cell r="A4652" t="str">
            <v>M2</v>
          </cell>
          <cell r="B4652" t="str">
            <v>A5C</v>
          </cell>
          <cell r="C4652" t="str">
            <v>P</v>
          </cell>
          <cell r="D4652" t="str">
            <v>23245</v>
          </cell>
          <cell r="E4652" t="str">
            <v>BALL VA</v>
          </cell>
          <cell r="F4652">
            <v>6</v>
          </cell>
          <cell r="G4652" t="str">
            <v>VB8010600000100</v>
          </cell>
          <cell r="H4652">
            <v>1</v>
          </cell>
          <cell r="I4652" t="str">
            <v>--</v>
          </cell>
          <cell r="J4652">
            <v>1</v>
          </cell>
          <cell r="K4652">
            <v>1</v>
          </cell>
        </row>
        <row r="4653">
          <cell r="A4653" t="str">
            <v>M2</v>
          </cell>
          <cell r="B4653" t="str">
            <v>A5C</v>
          </cell>
          <cell r="C4653" t="str">
            <v>P</v>
          </cell>
          <cell r="D4653" t="str">
            <v>23252</v>
          </cell>
          <cell r="E4653" t="str">
            <v>BALL VA</v>
          </cell>
          <cell r="F4653">
            <v>6</v>
          </cell>
          <cell r="G4653" t="str">
            <v>VB8010600000100</v>
          </cell>
          <cell r="H4653">
            <v>1</v>
          </cell>
          <cell r="I4653" t="str">
            <v>--</v>
          </cell>
          <cell r="J4653">
            <v>2</v>
          </cell>
          <cell r="K4653">
            <v>2</v>
          </cell>
        </row>
        <row r="4654">
          <cell r="A4654" t="str">
            <v>M2</v>
          </cell>
          <cell r="B4654" t="str">
            <v>A5C</v>
          </cell>
          <cell r="C4654" t="str">
            <v>P</v>
          </cell>
          <cell r="D4654" t="str">
            <v>23261</v>
          </cell>
          <cell r="E4654" t="str">
            <v>BALL VA</v>
          </cell>
          <cell r="F4654">
            <v>6</v>
          </cell>
          <cell r="G4654" t="str">
            <v>VB8010600000100</v>
          </cell>
          <cell r="H4654">
            <v>1</v>
          </cell>
          <cell r="I4654" t="str">
            <v>--</v>
          </cell>
          <cell r="J4654">
            <v>1</v>
          </cell>
          <cell r="K4654">
            <v>1</v>
          </cell>
        </row>
        <row r="4655">
          <cell r="A4655" t="str">
            <v>M2</v>
          </cell>
          <cell r="B4655" t="str">
            <v>A5C</v>
          </cell>
          <cell r="C4655" t="str">
            <v>P</v>
          </cell>
          <cell r="D4655" t="str">
            <v>24008</v>
          </cell>
          <cell r="E4655" t="str">
            <v>BALL VA</v>
          </cell>
          <cell r="F4655">
            <v>6</v>
          </cell>
          <cell r="G4655" t="str">
            <v>VB8010600000100</v>
          </cell>
          <cell r="H4655">
            <v>1</v>
          </cell>
          <cell r="I4655" t="str">
            <v>--</v>
          </cell>
          <cell r="J4655">
            <v>4</v>
          </cell>
          <cell r="K4655">
            <v>4</v>
          </cell>
        </row>
        <row r="4656">
          <cell r="A4656" t="str">
            <v>M2</v>
          </cell>
          <cell r="B4656" t="str">
            <v>A5C</v>
          </cell>
          <cell r="C4656" t="str">
            <v>P</v>
          </cell>
          <cell r="D4656" t="str">
            <v>24020</v>
          </cell>
          <cell r="E4656" t="str">
            <v>BALL VA</v>
          </cell>
          <cell r="F4656">
            <v>6</v>
          </cell>
          <cell r="G4656" t="str">
            <v>VB8010600000100</v>
          </cell>
          <cell r="H4656">
            <v>1</v>
          </cell>
          <cell r="I4656" t="str">
            <v>--</v>
          </cell>
          <cell r="J4656">
            <v>3</v>
          </cell>
          <cell r="K4656">
            <v>3</v>
          </cell>
        </row>
        <row r="4657">
          <cell r="A4657" t="str">
            <v>M2</v>
          </cell>
          <cell r="B4657" t="str">
            <v>A5C</v>
          </cell>
          <cell r="C4657" t="str">
            <v>TRIM</v>
          </cell>
          <cell r="D4657" t="str">
            <v>V-2316</v>
          </cell>
          <cell r="E4657" t="str">
            <v>BALL VA</v>
          </cell>
          <cell r="F4657">
            <v>6</v>
          </cell>
          <cell r="G4657" t="str">
            <v>VB8010600000100</v>
          </cell>
          <cell r="H4657">
            <v>1</v>
          </cell>
          <cell r="I4657" t="str">
            <v>--</v>
          </cell>
          <cell r="J4657">
            <v>2</v>
          </cell>
          <cell r="K4657">
            <v>2</v>
          </cell>
        </row>
        <row r="4658">
          <cell r="A4658" t="str">
            <v>M2</v>
          </cell>
          <cell r="B4658" t="str">
            <v>A5C</v>
          </cell>
          <cell r="C4658" t="str">
            <v>N</v>
          </cell>
          <cell r="D4658" t="str">
            <v>23638</v>
          </cell>
          <cell r="E4658" t="str">
            <v>BALL VA</v>
          </cell>
          <cell r="F4658">
            <v>6</v>
          </cell>
          <cell r="G4658" t="str">
            <v>VB8010600000100</v>
          </cell>
          <cell r="H4658">
            <v>1</v>
          </cell>
          <cell r="I4658" t="str">
            <v>--</v>
          </cell>
          <cell r="J4658">
            <v>1</v>
          </cell>
          <cell r="K4658">
            <v>1</v>
          </cell>
        </row>
        <row r="4659">
          <cell r="A4659" t="str">
            <v>M2</v>
          </cell>
          <cell r="B4659" t="str">
            <v>A5C</v>
          </cell>
          <cell r="C4659" t="str">
            <v>N</v>
          </cell>
          <cell r="D4659" t="str">
            <v>23640</v>
          </cell>
          <cell r="E4659" t="str">
            <v>BALL VA</v>
          </cell>
          <cell r="F4659">
            <v>6</v>
          </cell>
          <cell r="G4659" t="str">
            <v>VB8010600000100</v>
          </cell>
          <cell r="H4659">
            <v>1</v>
          </cell>
          <cell r="I4659" t="str">
            <v>--</v>
          </cell>
          <cell r="J4659">
            <v>1</v>
          </cell>
          <cell r="K4659">
            <v>1</v>
          </cell>
        </row>
        <row r="4660">
          <cell r="A4660" t="str">
            <v>M2</v>
          </cell>
          <cell r="B4660" t="str">
            <v>A5C</v>
          </cell>
          <cell r="C4660" t="str">
            <v>P</v>
          </cell>
          <cell r="D4660" t="str">
            <v>23108</v>
          </cell>
          <cell r="E4660" t="str">
            <v>BALL VA</v>
          </cell>
          <cell r="F4660">
            <v>6</v>
          </cell>
          <cell r="G4660" t="str">
            <v>VB8010600000100</v>
          </cell>
          <cell r="H4660">
            <v>1</v>
          </cell>
          <cell r="I4660" t="str">
            <v>--</v>
          </cell>
          <cell r="J4660">
            <v>1</v>
          </cell>
          <cell r="K4660">
            <v>1</v>
          </cell>
        </row>
        <row r="4661">
          <cell r="A4661" t="str">
            <v>M2</v>
          </cell>
          <cell r="B4661" t="str">
            <v>A5C</v>
          </cell>
          <cell r="C4661" t="str">
            <v>P</v>
          </cell>
          <cell r="D4661" t="str">
            <v>23126</v>
          </cell>
          <cell r="E4661" t="str">
            <v>BALL VA</v>
          </cell>
          <cell r="F4661">
            <v>6</v>
          </cell>
          <cell r="G4661" t="str">
            <v>VB8010600000100</v>
          </cell>
          <cell r="H4661">
            <v>1</v>
          </cell>
          <cell r="I4661" t="str">
            <v>--</v>
          </cell>
          <cell r="J4661">
            <v>1</v>
          </cell>
          <cell r="K4661">
            <v>1</v>
          </cell>
        </row>
        <row r="4662">
          <cell r="A4662" t="str">
            <v>M2</v>
          </cell>
          <cell r="B4662" t="str">
            <v>A5C</v>
          </cell>
          <cell r="C4662" t="str">
            <v>P</v>
          </cell>
          <cell r="D4662" t="str">
            <v>23205</v>
          </cell>
          <cell r="E4662" t="str">
            <v>BALL VA</v>
          </cell>
          <cell r="F4662">
            <v>6</v>
          </cell>
          <cell r="G4662" t="str">
            <v>VB8010600000100</v>
          </cell>
          <cell r="H4662">
            <v>1</v>
          </cell>
          <cell r="I4662" t="str">
            <v>--</v>
          </cell>
          <cell r="J4662">
            <v>1</v>
          </cell>
          <cell r="K4662">
            <v>1</v>
          </cell>
        </row>
        <row r="4663">
          <cell r="A4663" t="str">
            <v>M2</v>
          </cell>
          <cell r="B4663" t="str">
            <v>A5C</v>
          </cell>
          <cell r="C4663" t="str">
            <v>P</v>
          </cell>
          <cell r="D4663" t="str">
            <v>23212</v>
          </cell>
          <cell r="E4663" t="str">
            <v>BALL VA</v>
          </cell>
          <cell r="F4663">
            <v>6</v>
          </cell>
          <cell r="G4663" t="str">
            <v>VB8010600000100</v>
          </cell>
          <cell r="H4663">
            <v>1</v>
          </cell>
          <cell r="I4663" t="str">
            <v>--</v>
          </cell>
          <cell r="J4663">
            <v>1</v>
          </cell>
          <cell r="K4663">
            <v>1</v>
          </cell>
        </row>
        <row r="4664">
          <cell r="A4664" t="str">
            <v>M2</v>
          </cell>
          <cell r="B4664" t="str">
            <v>A5C</v>
          </cell>
          <cell r="C4664" t="str">
            <v>P</v>
          </cell>
          <cell r="D4664" t="str">
            <v>23214</v>
          </cell>
          <cell r="E4664" t="str">
            <v>BALL VA</v>
          </cell>
          <cell r="F4664">
            <v>6</v>
          </cell>
          <cell r="G4664" t="str">
            <v>VB8010600000100</v>
          </cell>
          <cell r="H4664">
            <v>1</v>
          </cell>
          <cell r="I4664" t="str">
            <v>--</v>
          </cell>
          <cell r="J4664">
            <v>1</v>
          </cell>
          <cell r="K4664">
            <v>1</v>
          </cell>
        </row>
        <row r="4665">
          <cell r="A4665" t="str">
            <v>M2</v>
          </cell>
          <cell r="B4665" t="str">
            <v>A5C</v>
          </cell>
          <cell r="C4665" t="str">
            <v>P</v>
          </cell>
          <cell r="D4665" t="str">
            <v>24007</v>
          </cell>
          <cell r="E4665" t="str">
            <v>BALL VA</v>
          </cell>
          <cell r="F4665">
            <v>6</v>
          </cell>
          <cell r="G4665" t="str">
            <v>VB8010600000100</v>
          </cell>
          <cell r="H4665">
            <v>1</v>
          </cell>
          <cell r="I4665" t="str">
            <v>--</v>
          </cell>
          <cell r="J4665">
            <v>1</v>
          </cell>
          <cell r="K4665">
            <v>1</v>
          </cell>
        </row>
        <row r="4666">
          <cell r="A4666" t="str">
            <v>M2</v>
          </cell>
          <cell r="B4666" t="str">
            <v>A5C</v>
          </cell>
          <cell r="C4666" t="str">
            <v>P</v>
          </cell>
          <cell r="D4666" t="str">
            <v>24013</v>
          </cell>
          <cell r="E4666" t="str">
            <v>BALL VA</v>
          </cell>
          <cell r="F4666">
            <v>6</v>
          </cell>
          <cell r="G4666" t="str">
            <v>VB8010600000100</v>
          </cell>
          <cell r="H4666">
            <v>1</v>
          </cell>
          <cell r="I4666" t="str">
            <v>--</v>
          </cell>
          <cell r="J4666">
            <v>1</v>
          </cell>
          <cell r="K4666">
            <v>1</v>
          </cell>
        </row>
        <row r="4667">
          <cell r="A4667" t="str">
            <v>M2</v>
          </cell>
          <cell r="B4667" t="str">
            <v>A5C</v>
          </cell>
          <cell r="C4667" t="str">
            <v>N</v>
          </cell>
          <cell r="D4667" t="str">
            <v>23640</v>
          </cell>
          <cell r="E4667" t="str">
            <v>CHECK VA</v>
          </cell>
          <cell r="F4667">
            <v>6</v>
          </cell>
          <cell r="G4667" t="str">
            <v>VCB8010400000100</v>
          </cell>
          <cell r="H4667">
            <v>1</v>
          </cell>
          <cell r="I4667" t="str">
            <v>--</v>
          </cell>
          <cell r="J4667">
            <v>1</v>
          </cell>
          <cell r="K4667">
            <v>1</v>
          </cell>
        </row>
        <row r="4668">
          <cell r="A4668" t="str">
            <v>M2</v>
          </cell>
          <cell r="B4668" t="str">
            <v>A5C</v>
          </cell>
          <cell r="C4668" t="str">
            <v>N</v>
          </cell>
          <cell r="D4668" t="str">
            <v>23631</v>
          </cell>
          <cell r="E4668" t="str">
            <v>CHECK VA</v>
          </cell>
          <cell r="F4668">
            <v>6</v>
          </cell>
          <cell r="G4668" t="str">
            <v>VCB8010400000100</v>
          </cell>
          <cell r="H4668">
            <v>1</v>
          </cell>
          <cell r="I4668" t="str">
            <v>--</v>
          </cell>
          <cell r="J4668">
            <v>1</v>
          </cell>
          <cell r="K4668">
            <v>1</v>
          </cell>
        </row>
        <row r="4669">
          <cell r="A4669" t="str">
            <v>M2</v>
          </cell>
          <cell r="B4669" t="str">
            <v>A5C</v>
          </cell>
          <cell r="C4669" t="str">
            <v>N</v>
          </cell>
          <cell r="D4669" t="str">
            <v>23632</v>
          </cell>
          <cell r="E4669" t="str">
            <v>CHECK VA</v>
          </cell>
          <cell r="F4669">
            <v>6</v>
          </cell>
          <cell r="G4669" t="str">
            <v>VCB8010400000100</v>
          </cell>
          <cell r="H4669">
            <v>1</v>
          </cell>
          <cell r="I4669" t="str">
            <v>--</v>
          </cell>
          <cell r="J4669">
            <v>1</v>
          </cell>
          <cell r="K4669">
            <v>1</v>
          </cell>
        </row>
        <row r="4670">
          <cell r="A4670" t="str">
            <v>M2</v>
          </cell>
          <cell r="B4670" t="str">
            <v>A5C</v>
          </cell>
          <cell r="C4670" t="str">
            <v>N</v>
          </cell>
          <cell r="D4670" t="str">
            <v>23633</v>
          </cell>
          <cell r="E4670" t="str">
            <v>CHECK VA</v>
          </cell>
          <cell r="F4670">
            <v>6</v>
          </cell>
          <cell r="G4670" t="str">
            <v>VCB8010400000100</v>
          </cell>
          <cell r="H4670">
            <v>1</v>
          </cell>
          <cell r="I4670" t="str">
            <v>--</v>
          </cell>
          <cell r="J4670">
            <v>1</v>
          </cell>
          <cell r="K4670">
            <v>1</v>
          </cell>
        </row>
        <row r="4671">
          <cell r="A4671" t="str">
            <v>M2</v>
          </cell>
          <cell r="B4671" t="str">
            <v>A5C</v>
          </cell>
          <cell r="C4671" t="str">
            <v>N</v>
          </cell>
          <cell r="D4671" t="str">
            <v>23634</v>
          </cell>
          <cell r="E4671" t="str">
            <v>CHECK VA</v>
          </cell>
          <cell r="F4671">
            <v>6</v>
          </cell>
          <cell r="G4671" t="str">
            <v>VCB8010400000100</v>
          </cell>
          <cell r="H4671">
            <v>1</v>
          </cell>
          <cell r="I4671" t="str">
            <v>--</v>
          </cell>
          <cell r="J4671">
            <v>1</v>
          </cell>
          <cell r="K4671">
            <v>1</v>
          </cell>
        </row>
        <row r="4672">
          <cell r="A4672" t="str">
            <v>M2</v>
          </cell>
          <cell r="B4672" t="str">
            <v>A5C</v>
          </cell>
          <cell r="C4672" t="str">
            <v>N</v>
          </cell>
          <cell r="D4672" t="str">
            <v>23635</v>
          </cell>
          <cell r="E4672" t="str">
            <v>CHECK VA</v>
          </cell>
          <cell r="F4672">
            <v>6</v>
          </cell>
          <cell r="G4672" t="str">
            <v>VCB8010400000100</v>
          </cell>
          <cell r="H4672">
            <v>1</v>
          </cell>
          <cell r="I4672" t="str">
            <v>--</v>
          </cell>
          <cell r="J4672">
            <v>1</v>
          </cell>
          <cell r="K4672">
            <v>1</v>
          </cell>
        </row>
        <row r="4673">
          <cell r="A4673" t="str">
            <v>M2</v>
          </cell>
          <cell r="B4673" t="str">
            <v>A5C</v>
          </cell>
          <cell r="C4673" t="str">
            <v>N</v>
          </cell>
          <cell r="D4673" t="str">
            <v>23638</v>
          </cell>
          <cell r="E4673" t="str">
            <v>CHECK VA</v>
          </cell>
          <cell r="F4673">
            <v>6</v>
          </cell>
          <cell r="G4673" t="str">
            <v>VCB8010400000100</v>
          </cell>
          <cell r="H4673">
            <v>1</v>
          </cell>
          <cell r="I4673" t="str">
            <v>--</v>
          </cell>
          <cell r="J4673">
            <v>1</v>
          </cell>
          <cell r="K4673">
            <v>1</v>
          </cell>
        </row>
        <row r="4674">
          <cell r="A4674" t="str">
            <v>M2</v>
          </cell>
          <cell r="B4674" t="str">
            <v>A5C</v>
          </cell>
          <cell r="C4674" t="str">
            <v>N</v>
          </cell>
          <cell r="D4674" t="str">
            <v>23639</v>
          </cell>
          <cell r="E4674" t="str">
            <v>CHECK VA</v>
          </cell>
          <cell r="F4674">
            <v>6</v>
          </cell>
          <cell r="G4674" t="str">
            <v>VCB8010400000100</v>
          </cell>
          <cell r="H4674">
            <v>1</v>
          </cell>
          <cell r="I4674" t="str">
            <v>--</v>
          </cell>
          <cell r="J4674">
            <v>1</v>
          </cell>
          <cell r="K4674">
            <v>1</v>
          </cell>
        </row>
        <row r="4675">
          <cell r="A4675" t="str">
            <v>M2</v>
          </cell>
          <cell r="B4675" t="str">
            <v>A5C</v>
          </cell>
          <cell r="C4675" t="str">
            <v>P</v>
          </cell>
          <cell r="D4675" t="str">
            <v>23037</v>
          </cell>
          <cell r="E4675" t="str">
            <v>CHECK VA</v>
          </cell>
          <cell r="F4675">
            <v>6</v>
          </cell>
          <cell r="G4675" t="str">
            <v>VCB8010400000100</v>
          </cell>
          <cell r="H4675">
            <v>1</v>
          </cell>
          <cell r="I4675" t="str">
            <v>--</v>
          </cell>
          <cell r="J4675">
            <v>1</v>
          </cell>
          <cell r="K4675">
            <v>1</v>
          </cell>
        </row>
        <row r="4676">
          <cell r="A4676" t="str">
            <v>M2</v>
          </cell>
          <cell r="B4676" t="str">
            <v>A5C</v>
          </cell>
          <cell r="C4676" t="str">
            <v>P</v>
          </cell>
          <cell r="D4676" t="str">
            <v>23083</v>
          </cell>
          <cell r="E4676" t="str">
            <v>CHECK VA</v>
          </cell>
          <cell r="F4676">
            <v>6</v>
          </cell>
          <cell r="G4676" t="str">
            <v>VCB8010400000100</v>
          </cell>
          <cell r="H4676">
            <v>1</v>
          </cell>
          <cell r="I4676" t="str">
            <v>--</v>
          </cell>
          <cell r="J4676">
            <v>1</v>
          </cell>
          <cell r="K4676">
            <v>1</v>
          </cell>
        </row>
        <row r="4677">
          <cell r="A4677" t="str">
            <v>M2</v>
          </cell>
          <cell r="B4677" t="str">
            <v>A5C</v>
          </cell>
          <cell r="C4677" t="str">
            <v>P</v>
          </cell>
          <cell r="D4677" t="str">
            <v>23104</v>
          </cell>
          <cell r="E4677" t="str">
            <v>CHECK VA</v>
          </cell>
          <cell r="F4677">
            <v>6</v>
          </cell>
          <cell r="G4677" t="str">
            <v>VCB8010400000100</v>
          </cell>
          <cell r="H4677">
            <v>1</v>
          </cell>
          <cell r="I4677" t="str">
            <v>--</v>
          </cell>
          <cell r="J4677">
            <v>1</v>
          </cell>
          <cell r="K4677">
            <v>1</v>
          </cell>
        </row>
        <row r="4678">
          <cell r="A4678" t="str">
            <v>M2</v>
          </cell>
          <cell r="B4678" t="str">
            <v>A5C</v>
          </cell>
          <cell r="C4678" t="str">
            <v>P</v>
          </cell>
          <cell r="D4678" t="str">
            <v>23122</v>
          </cell>
          <cell r="E4678" t="str">
            <v>CHECK VA</v>
          </cell>
          <cell r="F4678">
            <v>6</v>
          </cell>
          <cell r="G4678" t="str">
            <v>VCB8010400000100</v>
          </cell>
          <cell r="H4678">
            <v>1</v>
          </cell>
          <cell r="I4678" t="str">
            <v>--</v>
          </cell>
          <cell r="J4678">
            <v>1</v>
          </cell>
          <cell r="K4678">
            <v>1</v>
          </cell>
        </row>
        <row r="4679">
          <cell r="A4679" t="str">
            <v>M2</v>
          </cell>
          <cell r="B4679" t="str">
            <v>A5C</v>
          </cell>
          <cell r="C4679" t="str">
            <v>P</v>
          </cell>
          <cell r="D4679" t="str">
            <v>23144</v>
          </cell>
          <cell r="E4679" t="str">
            <v>CHECK VA</v>
          </cell>
          <cell r="F4679">
            <v>6</v>
          </cell>
          <cell r="G4679" t="str">
            <v>VCB8010400000100</v>
          </cell>
          <cell r="H4679">
            <v>1</v>
          </cell>
          <cell r="I4679" t="str">
            <v>--</v>
          </cell>
          <cell r="J4679">
            <v>2</v>
          </cell>
          <cell r="K4679">
            <v>2</v>
          </cell>
        </row>
        <row r="4680">
          <cell r="A4680" t="str">
            <v>M2</v>
          </cell>
          <cell r="B4680" t="str">
            <v>A5C</v>
          </cell>
          <cell r="C4680" t="str">
            <v>P</v>
          </cell>
          <cell r="D4680" t="str">
            <v>23149</v>
          </cell>
          <cell r="E4680" t="str">
            <v>CHECK VA</v>
          </cell>
          <cell r="F4680">
            <v>6</v>
          </cell>
          <cell r="G4680" t="str">
            <v>VCB8010400000100</v>
          </cell>
          <cell r="H4680">
            <v>1</v>
          </cell>
          <cell r="I4680" t="str">
            <v>--</v>
          </cell>
          <cell r="J4680">
            <v>1</v>
          </cell>
          <cell r="K4680">
            <v>1</v>
          </cell>
        </row>
        <row r="4681">
          <cell r="A4681" t="str">
            <v>M2</v>
          </cell>
          <cell r="B4681" t="str">
            <v>A5C</v>
          </cell>
          <cell r="C4681" t="str">
            <v>P</v>
          </cell>
          <cell r="D4681" t="str">
            <v>23204</v>
          </cell>
          <cell r="E4681" t="str">
            <v>CHECK VA</v>
          </cell>
          <cell r="F4681">
            <v>6</v>
          </cell>
          <cell r="G4681" t="str">
            <v>VCB8010400000100</v>
          </cell>
          <cell r="H4681">
            <v>1</v>
          </cell>
          <cell r="I4681" t="str">
            <v>--</v>
          </cell>
          <cell r="J4681">
            <v>1</v>
          </cell>
          <cell r="K4681">
            <v>1</v>
          </cell>
        </row>
        <row r="4682">
          <cell r="A4682" t="str">
            <v>M2</v>
          </cell>
          <cell r="B4682" t="str">
            <v>A5C</v>
          </cell>
          <cell r="C4682" t="str">
            <v>P</v>
          </cell>
          <cell r="D4682" t="str">
            <v>23213</v>
          </cell>
          <cell r="E4682" t="str">
            <v>CHECK VA</v>
          </cell>
          <cell r="F4682">
            <v>6</v>
          </cell>
          <cell r="G4682" t="str">
            <v>VCB8010400000100</v>
          </cell>
          <cell r="H4682">
            <v>1</v>
          </cell>
          <cell r="I4682" t="str">
            <v>--</v>
          </cell>
          <cell r="J4682">
            <v>1</v>
          </cell>
          <cell r="K4682">
            <v>1</v>
          </cell>
        </row>
        <row r="4683">
          <cell r="A4683" t="str">
            <v>M2</v>
          </cell>
          <cell r="B4683" t="str">
            <v>A5C</v>
          </cell>
          <cell r="C4683" t="str">
            <v>P</v>
          </cell>
          <cell r="D4683" t="str">
            <v>23206</v>
          </cell>
          <cell r="E4683" t="str">
            <v>CHECK VA</v>
          </cell>
          <cell r="F4683">
            <v>6</v>
          </cell>
          <cell r="G4683" t="str">
            <v>VCB8010400000100</v>
          </cell>
          <cell r="H4683">
            <v>1</v>
          </cell>
          <cell r="I4683" t="str">
            <v>--</v>
          </cell>
          <cell r="J4683">
            <v>1</v>
          </cell>
          <cell r="K4683">
            <v>1</v>
          </cell>
        </row>
        <row r="4684">
          <cell r="A4684" t="str">
            <v>M2</v>
          </cell>
          <cell r="B4684" t="str">
            <v>A5C</v>
          </cell>
          <cell r="C4684" t="str">
            <v>P</v>
          </cell>
          <cell r="D4684" t="str">
            <v>23208</v>
          </cell>
          <cell r="E4684" t="str">
            <v>CHECK VA</v>
          </cell>
          <cell r="F4684">
            <v>6</v>
          </cell>
          <cell r="G4684" t="str">
            <v>VCB8010400000100</v>
          </cell>
          <cell r="H4684">
            <v>1</v>
          </cell>
          <cell r="I4684" t="str">
            <v>--</v>
          </cell>
          <cell r="J4684">
            <v>1</v>
          </cell>
          <cell r="K4684">
            <v>1</v>
          </cell>
        </row>
        <row r="4685">
          <cell r="A4685" t="str">
            <v>M2</v>
          </cell>
          <cell r="B4685" t="str">
            <v>A5C</v>
          </cell>
          <cell r="C4685" t="str">
            <v>P</v>
          </cell>
          <cell r="D4685" t="str">
            <v>23212</v>
          </cell>
          <cell r="E4685" t="str">
            <v>CHECK VA</v>
          </cell>
          <cell r="F4685">
            <v>6</v>
          </cell>
          <cell r="G4685" t="str">
            <v>VCB8010400000100</v>
          </cell>
          <cell r="H4685">
            <v>1</v>
          </cell>
          <cell r="I4685" t="str">
            <v>--</v>
          </cell>
          <cell r="J4685">
            <v>1</v>
          </cell>
          <cell r="K4685">
            <v>1</v>
          </cell>
        </row>
        <row r="4686">
          <cell r="A4686" t="str">
            <v>M2</v>
          </cell>
          <cell r="B4686" t="str">
            <v>A5C</v>
          </cell>
          <cell r="C4686" t="str">
            <v>P</v>
          </cell>
          <cell r="D4686" t="str">
            <v>23214</v>
          </cell>
          <cell r="E4686" t="str">
            <v>CHECK VA</v>
          </cell>
          <cell r="F4686">
            <v>6</v>
          </cell>
          <cell r="G4686" t="str">
            <v>VCB8010400000100</v>
          </cell>
          <cell r="H4686">
            <v>1</v>
          </cell>
          <cell r="I4686" t="str">
            <v>--</v>
          </cell>
          <cell r="J4686">
            <v>1</v>
          </cell>
          <cell r="K4686">
            <v>1</v>
          </cell>
        </row>
        <row r="4687">
          <cell r="A4687" t="str">
            <v>M2</v>
          </cell>
          <cell r="B4687" t="str">
            <v>A5C</v>
          </cell>
          <cell r="C4687" t="str">
            <v>P</v>
          </cell>
          <cell r="D4687" t="str">
            <v>23230</v>
          </cell>
          <cell r="E4687" t="str">
            <v>CHECK VA</v>
          </cell>
          <cell r="F4687">
            <v>6</v>
          </cell>
          <cell r="G4687" t="str">
            <v>VCB8010400000100</v>
          </cell>
          <cell r="H4687">
            <v>1</v>
          </cell>
          <cell r="I4687" t="str">
            <v>--</v>
          </cell>
          <cell r="J4687">
            <v>1</v>
          </cell>
          <cell r="K4687">
            <v>1</v>
          </cell>
        </row>
        <row r="4688">
          <cell r="A4688" t="str">
            <v>M2</v>
          </cell>
          <cell r="B4688" t="str">
            <v>A5C</v>
          </cell>
          <cell r="C4688" t="str">
            <v>P</v>
          </cell>
          <cell r="D4688" t="str">
            <v>23235</v>
          </cell>
          <cell r="E4688" t="str">
            <v>CHECK VA</v>
          </cell>
          <cell r="F4688">
            <v>6</v>
          </cell>
          <cell r="G4688" t="str">
            <v>VCB8010400000100</v>
          </cell>
          <cell r="H4688">
            <v>1</v>
          </cell>
          <cell r="I4688" t="str">
            <v>--</v>
          </cell>
          <cell r="J4688">
            <v>1</v>
          </cell>
          <cell r="K4688">
            <v>1</v>
          </cell>
        </row>
        <row r="4689">
          <cell r="A4689" t="str">
            <v>M2</v>
          </cell>
          <cell r="B4689" t="str">
            <v>A5C</v>
          </cell>
          <cell r="C4689" t="str">
            <v>P</v>
          </cell>
          <cell r="D4689" t="str">
            <v>23239</v>
          </cell>
          <cell r="E4689" t="str">
            <v>CHECK VA</v>
          </cell>
          <cell r="F4689">
            <v>6</v>
          </cell>
          <cell r="G4689" t="str">
            <v>VCB8010400000100</v>
          </cell>
          <cell r="H4689">
            <v>1</v>
          </cell>
          <cell r="I4689" t="str">
            <v>--</v>
          </cell>
          <cell r="J4689">
            <v>1</v>
          </cell>
          <cell r="K4689">
            <v>1</v>
          </cell>
        </row>
        <row r="4690">
          <cell r="A4690" t="str">
            <v>M2</v>
          </cell>
          <cell r="B4690" t="str">
            <v>A5C</v>
          </cell>
          <cell r="C4690" t="str">
            <v>P</v>
          </cell>
          <cell r="D4690" t="str">
            <v>23245</v>
          </cell>
          <cell r="E4690" t="str">
            <v>CHECK VA</v>
          </cell>
          <cell r="F4690">
            <v>6</v>
          </cell>
          <cell r="G4690" t="str">
            <v>VCB8010400000100</v>
          </cell>
          <cell r="H4690">
            <v>1</v>
          </cell>
          <cell r="I4690" t="str">
            <v>--</v>
          </cell>
          <cell r="J4690">
            <v>1</v>
          </cell>
          <cell r="K4690">
            <v>1</v>
          </cell>
        </row>
        <row r="4691">
          <cell r="A4691" t="str">
            <v>M2</v>
          </cell>
          <cell r="B4691" t="str">
            <v>A5C</v>
          </cell>
          <cell r="C4691" t="str">
            <v>P</v>
          </cell>
          <cell r="D4691" t="str">
            <v>23252</v>
          </cell>
          <cell r="E4691" t="str">
            <v>CHECK VA</v>
          </cell>
          <cell r="F4691">
            <v>6</v>
          </cell>
          <cell r="G4691" t="str">
            <v>VCB8010400000100</v>
          </cell>
          <cell r="H4691">
            <v>1</v>
          </cell>
          <cell r="I4691" t="str">
            <v>--</v>
          </cell>
          <cell r="J4691">
            <v>1</v>
          </cell>
          <cell r="K4691">
            <v>1</v>
          </cell>
        </row>
        <row r="4692">
          <cell r="A4692" t="str">
            <v>M2</v>
          </cell>
          <cell r="B4692" t="str">
            <v>A5C</v>
          </cell>
          <cell r="C4692" t="str">
            <v>P</v>
          </cell>
          <cell r="D4692" t="str">
            <v>24008</v>
          </cell>
          <cell r="E4692" t="str">
            <v>CHECK VA</v>
          </cell>
          <cell r="F4692">
            <v>6</v>
          </cell>
          <cell r="G4692" t="str">
            <v>VCB8010400000100</v>
          </cell>
          <cell r="H4692">
            <v>1</v>
          </cell>
          <cell r="I4692" t="str">
            <v>--</v>
          </cell>
          <cell r="J4692">
            <v>1</v>
          </cell>
          <cell r="K4692">
            <v>1</v>
          </cell>
        </row>
        <row r="4693">
          <cell r="A4693" t="str">
            <v>M2</v>
          </cell>
          <cell r="B4693" t="str">
            <v>A5C</v>
          </cell>
          <cell r="C4693" t="str">
            <v>P</v>
          </cell>
          <cell r="D4693" t="str">
            <v>24020</v>
          </cell>
          <cell r="E4693" t="str">
            <v>CHECK VA</v>
          </cell>
          <cell r="F4693">
            <v>6</v>
          </cell>
          <cell r="G4693" t="str">
            <v>VCB8010400000100</v>
          </cell>
          <cell r="H4693">
            <v>1</v>
          </cell>
          <cell r="I4693" t="str">
            <v>--</v>
          </cell>
          <cell r="J4693">
            <v>1</v>
          </cell>
          <cell r="K4693">
            <v>1</v>
          </cell>
        </row>
        <row r="4694">
          <cell r="A4694" t="str">
            <v>M2</v>
          </cell>
          <cell r="B4694" t="str">
            <v>A5C</v>
          </cell>
          <cell r="C4694" t="str">
            <v>N</v>
          </cell>
          <cell r="D4694" t="str">
            <v>23636</v>
          </cell>
          <cell r="E4694" t="str">
            <v>CHECK VA</v>
          </cell>
          <cell r="F4694">
            <v>6</v>
          </cell>
          <cell r="G4694" t="str">
            <v>VCB8010400000100</v>
          </cell>
          <cell r="H4694">
            <v>1</v>
          </cell>
          <cell r="I4694" t="str">
            <v>--</v>
          </cell>
          <cell r="J4694">
            <v>1</v>
          </cell>
          <cell r="K4694">
            <v>1</v>
          </cell>
        </row>
        <row r="4695">
          <cell r="A4695" t="str">
            <v>M2</v>
          </cell>
          <cell r="B4695" t="str">
            <v>A5C</v>
          </cell>
          <cell r="C4695" t="str">
            <v>N</v>
          </cell>
          <cell r="D4695" t="str">
            <v>23637</v>
          </cell>
          <cell r="E4695" t="str">
            <v>CHECK VA</v>
          </cell>
          <cell r="F4695">
            <v>6</v>
          </cell>
          <cell r="G4695" t="str">
            <v>VCB8010400000100</v>
          </cell>
          <cell r="H4695">
            <v>1</v>
          </cell>
          <cell r="I4695" t="str">
            <v>--</v>
          </cell>
          <cell r="J4695">
            <v>1</v>
          </cell>
          <cell r="K4695">
            <v>1</v>
          </cell>
        </row>
        <row r="4696">
          <cell r="A4696" t="str">
            <v>M2</v>
          </cell>
          <cell r="B4696" t="str">
            <v>A5C</v>
          </cell>
          <cell r="C4696" t="str">
            <v>P</v>
          </cell>
          <cell r="D4696" t="str">
            <v>23104</v>
          </cell>
          <cell r="E4696" t="str">
            <v>CHECK VA</v>
          </cell>
          <cell r="F4696">
            <v>6</v>
          </cell>
          <cell r="G4696" t="str">
            <v>VCB8010400000100</v>
          </cell>
          <cell r="H4696">
            <v>1</v>
          </cell>
          <cell r="I4696" t="str">
            <v>--</v>
          </cell>
          <cell r="J4696">
            <v>1</v>
          </cell>
          <cell r="K4696">
            <v>1</v>
          </cell>
        </row>
        <row r="4697">
          <cell r="A4697" t="str">
            <v>M2</v>
          </cell>
          <cell r="B4697" t="str">
            <v>A5C</v>
          </cell>
          <cell r="C4697" t="str">
            <v>P</v>
          </cell>
          <cell r="D4697" t="str">
            <v>23108</v>
          </cell>
          <cell r="E4697" t="str">
            <v>CHECK VA</v>
          </cell>
          <cell r="F4697">
            <v>6</v>
          </cell>
          <cell r="G4697" t="str">
            <v>VCB8010400000100</v>
          </cell>
          <cell r="H4697">
            <v>1</v>
          </cell>
          <cell r="I4697" t="str">
            <v>--</v>
          </cell>
          <cell r="J4697">
            <v>1</v>
          </cell>
          <cell r="K4697">
            <v>1</v>
          </cell>
        </row>
        <row r="4698">
          <cell r="A4698" t="str">
            <v>M2</v>
          </cell>
          <cell r="B4698" t="str">
            <v>A5C</v>
          </cell>
          <cell r="C4698" t="str">
            <v>P</v>
          </cell>
          <cell r="D4698" t="str">
            <v>23108</v>
          </cell>
          <cell r="E4698" t="str">
            <v>CHECK VA</v>
          </cell>
          <cell r="F4698">
            <v>6</v>
          </cell>
          <cell r="G4698" t="str">
            <v>VCB8010400000100</v>
          </cell>
          <cell r="H4698">
            <v>1</v>
          </cell>
          <cell r="I4698" t="str">
            <v>--</v>
          </cell>
          <cell r="J4698">
            <v>1</v>
          </cell>
          <cell r="K4698">
            <v>1</v>
          </cell>
        </row>
        <row r="4699">
          <cell r="A4699" t="str">
            <v>M2</v>
          </cell>
          <cell r="B4699" t="str">
            <v>A5C</v>
          </cell>
          <cell r="C4699" t="str">
            <v>P</v>
          </cell>
          <cell r="D4699" t="str">
            <v>23112</v>
          </cell>
          <cell r="E4699" t="str">
            <v>CHECK VA</v>
          </cell>
          <cell r="F4699">
            <v>6</v>
          </cell>
          <cell r="G4699" t="str">
            <v>VCB8010400000100</v>
          </cell>
          <cell r="H4699">
            <v>1</v>
          </cell>
          <cell r="I4699" t="str">
            <v>--</v>
          </cell>
          <cell r="J4699">
            <v>1</v>
          </cell>
          <cell r="K4699">
            <v>1</v>
          </cell>
        </row>
        <row r="4700">
          <cell r="A4700" t="str">
            <v>M2</v>
          </cell>
          <cell r="B4700" t="str">
            <v>A5C</v>
          </cell>
          <cell r="C4700" t="str">
            <v>P</v>
          </cell>
          <cell r="D4700" t="str">
            <v>23112</v>
          </cell>
          <cell r="E4700" t="str">
            <v>CHECK VA</v>
          </cell>
          <cell r="F4700">
            <v>6</v>
          </cell>
          <cell r="G4700" t="str">
            <v>VCB8010400000100</v>
          </cell>
          <cell r="H4700">
            <v>1</v>
          </cell>
          <cell r="I4700" t="str">
            <v>--</v>
          </cell>
          <cell r="J4700">
            <v>1</v>
          </cell>
          <cell r="K4700">
            <v>1</v>
          </cell>
        </row>
        <row r="4701">
          <cell r="A4701" t="str">
            <v>M2</v>
          </cell>
          <cell r="B4701" t="str">
            <v>A5C</v>
          </cell>
          <cell r="C4701" t="str">
            <v>P</v>
          </cell>
          <cell r="D4701" t="str">
            <v>23148</v>
          </cell>
          <cell r="E4701" t="str">
            <v>CHECK VA</v>
          </cell>
          <cell r="F4701">
            <v>6</v>
          </cell>
          <cell r="G4701" t="str">
            <v>VCB8010400000100</v>
          </cell>
          <cell r="H4701">
            <v>1</v>
          </cell>
          <cell r="I4701" t="str">
            <v>--</v>
          </cell>
          <cell r="J4701">
            <v>2</v>
          </cell>
          <cell r="K4701">
            <v>2</v>
          </cell>
        </row>
        <row r="4702">
          <cell r="A4702" t="str">
            <v>M2</v>
          </cell>
          <cell r="B4702" t="str">
            <v>A5C</v>
          </cell>
          <cell r="C4702" t="str">
            <v>P</v>
          </cell>
          <cell r="D4702" t="str">
            <v>23205</v>
          </cell>
          <cell r="E4702" t="str">
            <v>CHECK VA</v>
          </cell>
          <cell r="F4702">
            <v>6</v>
          </cell>
          <cell r="G4702" t="str">
            <v>VCB8010400000100</v>
          </cell>
          <cell r="H4702">
            <v>1</v>
          </cell>
          <cell r="I4702" t="str">
            <v>--</v>
          </cell>
          <cell r="J4702">
            <v>1</v>
          </cell>
          <cell r="K4702">
            <v>1</v>
          </cell>
        </row>
        <row r="4703">
          <cell r="A4703" t="str">
            <v>M2</v>
          </cell>
          <cell r="B4703" t="str">
            <v>A5C</v>
          </cell>
          <cell r="C4703" t="str">
            <v>P</v>
          </cell>
          <cell r="D4703" t="str">
            <v>23207</v>
          </cell>
          <cell r="E4703" t="str">
            <v>CHECK VA</v>
          </cell>
          <cell r="F4703">
            <v>6</v>
          </cell>
          <cell r="G4703" t="str">
            <v>VCB8010400000100</v>
          </cell>
          <cell r="H4703">
            <v>1</v>
          </cell>
          <cell r="I4703" t="str">
            <v>--</v>
          </cell>
          <cell r="J4703">
            <v>1</v>
          </cell>
          <cell r="K4703">
            <v>1</v>
          </cell>
        </row>
        <row r="4704">
          <cell r="A4704" t="str">
            <v>M2</v>
          </cell>
          <cell r="B4704" t="str">
            <v>A5C</v>
          </cell>
          <cell r="C4704" t="str">
            <v>N</v>
          </cell>
          <cell r="D4704" t="str">
            <v>23631</v>
          </cell>
          <cell r="E4704" t="str">
            <v>GLOBE VA</v>
          </cell>
          <cell r="F4704">
            <v>6</v>
          </cell>
          <cell r="G4704" t="str">
            <v>VL8010100000100</v>
          </cell>
          <cell r="H4704">
            <v>1</v>
          </cell>
          <cell r="I4704" t="str">
            <v>--</v>
          </cell>
          <cell r="J4704">
            <v>1</v>
          </cell>
          <cell r="K4704">
            <v>1</v>
          </cell>
        </row>
        <row r="4705">
          <cell r="A4705" t="str">
            <v>M2</v>
          </cell>
          <cell r="B4705" t="str">
            <v>A5C</v>
          </cell>
          <cell r="C4705" t="str">
            <v>N</v>
          </cell>
          <cell r="D4705" t="str">
            <v>23632</v>
          </cell>
          <cell r="E4705" t="str">
            <v>GLOBE VA</v>
          </cell>
          <cell r="F4705">
            <v>6</v>
          </cell>
          <cell r="G4705" t="str">
            <v>VL8010100000100</v>
          </cell>
          <cell r="H4705">
            <v>1</v>
          </cell>
          <cell r="I4705" t="str">
            <v>--</v>
          </cell>
          <cell r="J4705">
            <v>1</v>
          </cell>
          <cell r="K4705">
            <v>1</v>
          </cell>
        </row>
        <row r="4706">
          <cell r="A4706" t="str">
            <v>M2</v>
          </cell>
          <cell r="B4706" t="str">
            <v>A5C</v>
          </cell>
          <cell r="C4706" t="str">
            <v>N</v>
          </cell>
          <cell r="D4706" t="str">
            <v>23633</v>
          </cell>
          <cell r="E4706" t="str">
            <v>GLOBE VA</v>
          </cell>
          <cell r="F4706">
            <v>6</v>
          </cell>
          <cell r="G4706" t="str">
            <v>VL8010100000100</v>
          </cell>
          <cell r="H4706">
            <v>1</v>
          </cell>
          <cell r="I4706" t="str">
            <v>--</v>
          </cell>
          <cell r="J4706">
            <v>1</v>
          </cell>
          <cell r="K4706">
            <v>1</v>
          </cell>
        </row>
        <row r="4707">
          <cell r="A4707" t="str">
            <v>M2</v>
          </cell>
          <cell r="B4707" t="str">
            <v>A5C</v>
          </cell>
          <cell r="C4707" t="str">
            <v>N</v>
          </cell>
          <cell r="D4707" t="str">
            <v>23637</v>
          </cell>
          <cell r="E4707" t="str">
            <v>GLOBE VA</v>
          </cell>
          <cell r="F4707">
            <v>6</v>
          </cell>
          <cell r="G4707" t="str">
            <v>VL8010100000100</v>
          </cell>
          <cell r="H4707">
            <v>1</v>
          </cell>
          <cell r="I4707" t="str">
            <v>--</v>
          </cell>
          <cell r="J4707">
            <v>1</v>
          </cell>
          <cell r="K4707">
            <v>1</v>
          </cell>
        </row>
        <row r="4708">
          <cell r="A4708" t="str">
            <v>M2</v>
          </cell>
          <cell r="B4708" t="str">
            <v>A5C</v>
          </cell>
          <cell r="C4708" t="str">
            <v>P</v>
          </cell>
          <cell r="D4708" t="str">
            <v>23006</v>
          </cell>
          <cell r="E4708" t="str">
            <v>GLOBE VA</v>
          </cell>
          <cell r="F4708">
            <v>6</v>
          </cell>
          <cell r="G4708" t="str">
            <v>VL8010100000100</v>
          </cell>
          <cell r="H4708">
            <v>1</v>
          </cell>
          <cell r="I4708" t="str">
            <v>--</v>
          </cell>
          <cell r="J4708">
            <v>1</v>
          </cell>
          <cell r="K4708">
            <v>1</v>
          </cell>
        </row>
        <row r="4709">
          <cell r="A4709" t="str">
            <v>M2</v>
          </cell>
          <cell r="B4709" t="str">
            <v>A5C</v>
          </cell>
          <cell r="C4709" t="str">
            <v>P</v>
          </cell>
          <cell r="D4709" t="str">
            <v>23035</v>
          </cell>
          <cell r="E4709" t="str">
            <v>GLOBE VA</v>
          </cell>
          <cell r="F4709">
            <v>6</v>
          </cell>
          <cell r="G4709" t="str">
            <v>VL8010100000100</v>
          </cell>
          <cell r="H4709">
            <v>1</v>
          </cell>
          <cell r="I4709" t="str">
            <v>--</v>
          </cell>
          <cell r="J4709">
            <v>1</v>
          </cell>
          <cell r="K4709">
            <v>1</v>
          </cell>
        </row>
        <row r="4710">
          <cell r="A4710" t="str">
            <v>M2</v>
          </cell>
          <cell r="B4710" t="str">
            <v>A5C</v>
          </cell>
          <cell r="C4710" t="str">
            <v>P</v>
          </cell>
          <cell r="D4710" t="str">
            <v>23063</v>
          </cell>
          <cell r="E4710" t="str">
            <v>GLOBE VA</v>
          </cell>
          <cell r="F4710">
            <v>6</v>
          </cell>
          <cell r="G4710" t="str">
            <v>VL8010100000100</v>
          </cell>
          <cell r="H4710">
            <v>1</v>
          </cell>
          <cell r="I4710" t="str">
            <v>--</v>
          </cell>
          <cell r="J4710">
            <v>1</v>
          </cell>
          <cell r="K4710">
            <v>1</v>
          </cell>
        </row>
        <row r="4711">
          <cell r="A4711" t="str">
            <v>M2</v>
          </cell>
          <cell r="B4711" t="str">
            <v>A5C</v>
          </cell>
          <cell r="C4711" t="str">
            <v>P</v>
          </cell>
          <cell r="D4711" t="str">
            <v>23078</v>
          </cell>
          <cell r="E4711" t="str">
            <v>GLOBE VA</v>
          </cell>
          <cell r="F4711">
            <v>6</v>
          </cell>
          <cell r="G4711" t="str">
            <v>VL8010100000100</v>
          </cell>
          <cell r="H4711">
            <v>1</v>
          </cell>
          <cell r="I4711" t="str">
            <v>--</v>
          </cell>
          <cell r="J4711">
            <v>1</v>
          </cell>
          <cell r="K4711">
            <v>1</v>
          </cell>
        </row>
        <row r="4712">
          <cell r="A4712" t="str">
            <v>M2</v>
          </cell>
          <cell r="B4712" t="str">
            <v>A5C</v>
          </cell>
          <cell r="C4712" t="str">
            <v>P</v>
          </cell>
          <cell r="D4712" t="str">
            <v>23083</v>
          </cell>
          <cell r="E4712" t="str">
            <v>GLOBE VA</v>
          </cell>
          <cell r="F4712">
            <v>6</v>
          </cell>
          <cell r="G4712" t="str">
            <v>VL8010100000100</v>
          </cell>
          <cell r="H4712">
            <v>1</v>
          </cell>
          <cell r="I4712" t="str">
            <v>--</v>
          </cell>
          <cell r="J4712">
            <v>1</v>
          </cell>
          <cell r="K4712">
            <v>1</v>
          </cell>
        </row>
        <row r="4713">
          <cell r="A4713" t="str">
            <v>M2</v>
          </cell>
          <cell r="B4713" t="str">
            <v>A5C</v>
          </cell>
          <cell r="C4713" t="str">
            <v>P</v>
          </cell>
          <cell r="D4713" t="str">
            <v>23122</v>
          </cell>
          <cell r="E4713" t="str">
            <v>GLOBE VA</v>
          </cell>
          <cell r="F4713">
            <v>6</v>
          </cell>
          <cell r="G4713" t="str">
            <v>VL8010100000100</v>
          </cell>
          <cell r="H4713">
            <v>1</v>
          </cell>
          <cell r="I4713" t="str">
            <v>--</v>
          </cell>
          <cell r="J4713">
            <v>1</v>
          </cell>
          <cell r="K4713">
            <v>1</v>
          </cell>
        </row>
        <row r="4714">
          <cell r="A4714" t="str">
            <v>M2</v>
          </cell>
          <cell r="B4714" t="str">
            <v>A5C</v>
          </cell>
          <cell r="C4714" t="str">
            <v>P</v>
          </cell>
          <cell r="D4714" t="str">
            <v>23252</v>
          </cell>
          <cell r="E4714" t="str">
            <v>GLOBE VA</v>
          </cell>
          <cell r="F4714">
            <v>6</v>
          </cell>
          <cell r="G4714" t="str">
            <v>VL8010100000100</v>
          </cell>
          <cell r="H4714">
            <v>1</v>
          </cell>
          <cell r="I4714" t="str">
            <v>--</v>
          </cell>
          <cell r="J4714">
            <v>1</v>
          </cell>
          <cell r="K4714">
            <v>1</v>
          </cell>
        </row>
        <row r="4715">
          <cell r="A4715" t="str">
            <v>M2</v>
          </cell>
          <cell r="B4715" t="str">
            <v>A5C</v>
          </cell>
          <cell r="C4715" t="str">
            <v>P</v>
          </cell>
          <cell r="D4715" t="str">
            <v>24020</v>
          </cell>
          <cell r="E4715" t="str">
            <v>GLOBE VA</v>
          </cell>
          <cell r="F4715">
            <v>6</v>
          </cell>
          <cell r="G4715" t="str">
            <v>VL8010100000100</v>
          </cell>
          <cell r="H4715">
            <v>1</v>
          </cell>
          <cell r="I4715" t="str">
            <v>--</v>
          </cell>
          <cell r="J4715">
            <v>1</v>
          </cell>
          <cell r="K4715">
            <v>1</v>
          </cell>
        </row>
        <row r="4716">
          <cell r="A4716" t="str">
            <v>M2</v>
          </cell>
          <cell r="B4716" t="str">
            <v>A5C</v>
          </cell>
          <cell r="C4716" t="str">
            <v>N</v>
          </cell>
          <cell r="D4716" t="str">
            <v>23635</v>
          </cell>
          <cell r="E4716" t="str">
            <v>GLOBE VA</v>
          </cell>
          <cell r="F4716">
            <v>6</v>
          </cell>
          <cell r="G4716" t="str">
            <v>VL8010100000100</v>
          </cell>
          <cell r="H4716">
            <v>1</v>
          </cell>
          <cell r="I4716" t="str">
            <v>--</v>
          </cell>
          <cell r="J4716">
            <v>1</v>
          </cell>
          <cell r="K4716">
            <v>1</v>
          </cell>
        </row>
        <row r="4717">
          <cell r="A4717" t="str">
            <v>M2</v>
          </cell>
          <cell r="B4717" t="str">
            <v>A5C</v>
          </cell>
          <cell r="C4717" t="str">
            <v>N</v>
          </cell>
          <cell r="D4717" t="str">
            <v>23639</v>
          </cell>
          <cell r="E4717" t="str">
            <v>GLOBE VA</v>
          </cell>
          <cell r="F4717">
            <v>6</v>
          </cell>
          <cell r="G4717" t="str">
            <v>VL8010100000100</v>
          </cell>
          <cell r="H4717">
            <v>1</v>
          </cell>
          <cell r="I4717" t="str">
            <v>--</v>
          </cell>
          <cell r="J4717">
            <v>1</v>
          </cell>
          <cell r="K4717">
            <v>1</v>
          </cell>
        </row>
        <row r="4718">
          <cell r="A4718" t="str">
            <v>M2</v>
          </cell>
          <cell r="B4718" t="str">
            <v>A5C</v>
          </cell>
          <cell r="C4718" t="str">
            <v>P</v>
          </cell>
          <cell r="D4718" t="str">
            <v>23230</v>
          </cell>
          <cell r="E4718" t="str">
            <v>GLOBE VA</v>
          </cell>
          <cell r="F4718">
            <v>6</v>
          </cell>
          <cell r="G4718" t="str">
            <v>VL8010100000100</v>
          </cell>
          <cell r="H4718">
            <v>1</v>
          </cell>
          <cell r="I4718" t="str">
            <v>--</v>
          </cell>
          <cell r="J4718">
            <v>1</v>
          </cell>
          <cell r="K4718">
            <v>1</v>
          </cell>
        </row>
        <row r="4719">
          <cell r="A4719" t="str">
            <v>M2</v>
          </cell>
          <cell r="B4719" t="str">
            <v>A5C</v>
          </cell>
          <cell r="C4719" t="str">
            <v>P</v>
          </cell>
          <cell r="D4719" t="str">
            <v>24008</v>
          </cell>
          <cell r="E4719" t="str">
            <v>GLOBE VA</v>
          </cell>
          <cell r="F4719">
            <v>6</v>
          </cell>
          <cell r="G4719" t="str">
            <v>VL8010100000100</v>
          </cell>
          <cell r="H4719">
            <v>1</v>
          </cell>
          <cell r="I4719" t="str">
            <v>--</v>
          </cell>
          <cell r="J4719">
            <v>1</v>
          </cell>
          <cell r="K4719">
            <v>1</v>
          </cell>
        </row>
        <row r="4720">
          <cell r="A4720" t="str">
            <v>M2</v>
          </cell>
          <cell r="B4720" t="str">
            <v>A5C</v>
          </cell>
          <cell r="C4720" t="str">
            <v>P</v>
          </cell>
          <cell r="D4720" t="str">
            <v>99003</v>
          </cell>
          <cell r="E4720" t="str">
            <v>GLOBE VA</v>
          </cell>
          <cell r="F4720">
            <v>6</v>
          </cell>
          <cell r="G4720" t="str">
            <v>VL8010100000100</v>
          </cell>
          <cell r="H4720">
            <v>1</v>
          </cell>
          <cell r="I4720" t="str">
            <v>--</v>
          </cell>
          <cell r="J4720">
            <v>1</v>
          </cell>
          <cell r="K4720">
            <v>1</v>
          </cell>
        </row>
        <row r="4721">
          <cell r="A4721" t="str">
            <v>M2</v>
          </cell>
          <cell r="B4721" t="str">
            <v>A5C</v>
          </cell>
          <cell r="C4721" t="str">
            <v>P</v>
          </cell>
          <cell r="D4721" t="str">
            <v>23059</v>
          </cell>
          <cell r="E4721" t="str">
            <v>BALL VA</v>
          </cell>
          <cell r="F4721">
            <v>6</v>
          </cell>
          <cell r="G4721" t="str">
            <v>VB8010600000100</v>
          </cell>
          <cell r="H4721">
            <v>1</v>
          </cell>
          <cell r="I4721" t="str">
            <v>--</v>
          </cell>
          <cell r="J4721">
            <v>2</v>
          </cell>
          <cell r="K4721">
            <v>2</v>
          </cell>
        </row>
        <row r="4722">
          <cell r="A4722" t="str">
            <v>M2</v>
          </cell>
          <cell r="B4722" t="str">
            <v>A5C</v>
          </cell>
          <cell r="C4722" t="str">
            <v>TRIM</v>
          </cell>
          <cell r="D4722" t="str">
            <v>V-2352</v>
          </cell>
          <cell r="E4722" t="str">
            <v>BALL VA</v>
          </cell>
          <cell r="F4722">
            <v>6</v>
          </cell>
          <cell r="G4722" t="str">
            <v>VB8010600000100</v>
          </cell>
          <cell r="H4722">
            <v>1</v>
          </cell>
          <cell r="I4722" t="str">
            <v>--</v>
          </cell>
          <cell r="J4722">
            <v>1</v>
          </cell>
          <cell r="K4722">
            <v>1</v>
          </cell>
        </row>
        <row r="4723">
          <cell r="A4723" t="str">
            <v>M2</v>
          </cell>
          <cell r="B4723" t="str">
            <v>A5C</v>
          </cell>
          <cell r="C4723" t="str">
            <v>P</v>
          </cell>
          <cell r="D4723" t="str">
            <v>23059</v>
          </cell>
          <cell r="E4723" t="str">
            <v>CHECK VA</v>
          </cell>
          <cell r="F4723">
            <v>6</v>
          </cell>
          <cell r="G4723" t="str">
            <v>VCB8010400000100</v>
          </cell>
          <cell r="H4723">
            <v>1</v>
          </cell>
          <cell r="I4723" t="str">
            <v>--</v>
          </cell>
          <cell r="J4723">
            <v>2</v>
          </cell>
          <cell r="K4723">
            <v>2</v>
          </cell>
        </row>
        <row r="4724">
          <cell r="A4724" t="str">
            <v>M2</v>
          </cell>
          <cell r="B4724" t="str">
            <v>A5C</v>
          </cell>
          <cell r="C4724" t="str">
            <v>P</v>
          </cell>
          <cell r="D4724" t="str">
            <v>23018</v>
          </cell>
          <cell r="E4724" t="str">
            <v>BALL VA</v>
          </cell>
          <cell r="F4724">
            <v>6</v>
          </cell>
          <cell r="G4724" t="str">
            <v>VB8010600000100</v>
          </cell>
          <cell r="H4724">
            <v>1</v>
          </cell>
          <cell r="I4724" t="str">
            <v>--</v>
          </cell>
          <cell r="J4724">
            <v>1</v>
          </cell>
          <cell r="K4724">
            <v>1</v>
          </cell>
        </row>
        <row r="4725">
          <cell r="A4725" t="str">
            <v>M2</v>
          </cell>
          <cell r="B4725" t="str">
            <v>A5C</v>
          </cell>
          <cell r="C4725" t="str">
            <v>P</v>
          </cell>
          <cell r="D4725" t="str">
            <v>23018</v>
          </cell>
          <cell r="E4725" t="str">
            <v>BALL VA</v>
          </cell>
          <cell r="F4725">
            <v>6</v>
          </cell>
          <cell r="G4725" t="str">
            <v>VB8010600000100</v>
          </cell>
          <cell r="H4725">
            <v>1</v>
          </cell>
          <cell r="I4725" t="str">
            <v>--</v>
          </cell>
          <cell r="J4725">
            <v>2</v>
          </cell>
          <cell r="K4725">
            <v>2</v>
          </cell>
        </row>
        <row r="4726">
          <cell r="A4726" t="str">
            <v>M2</v>
          </cell>
          <cell r="B4726" t="str">
            <v>A5C</v>
          </cell>
          <cell r="C4726" t="str">
            <v>P</v>
          </cell>
          <cell r="D4726" t="str">
            <v>23027</v>
          </cell>
          <cell r="E4726" t="str">
            <v>BALL VA</v>
          </cell>
          <cell r="F4726">
            <v>6</v>
          </cell>
          <cell r="G4726" t="str">
            <v>VB8010600000100</v>
          </cell>
          <cell r="H4726">
            <v>1</v>
          </cell>
          <cell r="I4726" t="str">
            <v>--</v>
          </cell>
          <cell r="J4726">
            <v>3</v>
          </cell>
          <cell r="K4726">
            <v>3</v>
          </cell>
        </row>
        <row r="4727">
          <cell r="A4727" t="str">
            <v>M2</v>
          </cell>
          <cell r="B4727" t="str">
            <v>A5C</v>
          </cell>
          <cell r="C4727" t="str">
            <v>P</v>
          </cell>
          <cell r="D4727" t="str">
            <v>23048</v>
          </cell>
          <cell r="E4727" t="str">
            <v>BALL VA</v>
          </cell>
          <cell r="F4727">
            <v>6</v>
          </cell>
          <cell r="G4727" t="str">
            <v>VB8010600000100</v>
          </cell>
          <cell r="H4727">
            <v>1</v>
          </cell>
          <cell r="I4727" t="str">
            <v>--</v>
          </cell>
          <cell r="J4727">
            <v>2</v>
          </cell>
          <cell r="K4727">
            <v>2</v>
          </cell>
        </row>
        <row r="4728">
          <cell r="A4728" t="str">
            <v>M2</v>
          </cell>
          <cell r="B4728" t="str">
            <v>A5C</v>
          </cell>
          <cell r="C4728" t="str">
            <v>P</v>
          </cell>
          <cell r="D4728" t="str">
            <v>23079</v>
          </cell>
          <cell r="E4728" t="str">
            <v>BALL VA</v>
          </cell>
          <cell r="F4728">
            <v>6</v>
          </cell>
          <cell r="G4728" t="str">
            <v>VB8010600000100</v>
          </cell>
          <cell r="H4728">
            <v>1</v>
          </cell>
          <cell r="I4728" t="str">
            <v>--</v>
          </cell>
          <cell r="J4728">
            <v>2</v>
          </cell>
          <cell r="K4728">
            <v>2</v>
          </cell>
        </row>
        <row r="4729">
          <cell r="A4729" t="str">
            <v>M2</v>
          </cell>
          <cell r="B4729" t="str">
            <v>A5C</v>
          </cell>
          <cell r="C4729" t="str">
            <v>TRIM</v>
          </cell>
          <cell r="D4729" t="str">
            <v>V-2325</v>
          </cell>
          <cell r="E4729" t="str">
            <v>BALL VA</v>
          </cell>
          <cell r="F4729">
            <v>6</v>
          </cell>
          <cell r="G4729" t="str">
            <v>VB8010600000100</v>
          </cell>
          <cell r="H4729">
            <v>1</v>
          </cell>
          <cell r="I4729" t="str">
            <v>--</v>
          </cell>
          <cell r="J4729">
            <v>2</v>
          </cell>
          <cell r="K4729">
            <v>2</v>
          </cell>
        </row>
        <row r="4730">
          <cell r="A4730" t="str">
            <v>M2</v>
          </cell>
          <cell r="B4730" t="str">
            <v>A5C</v>
          </cell>
          <cell r="C4730" t="str">
            <v>P</v>
          </cell>
          <cell r="D4730" t="str">
            <v>23074</v>
          </cell>
          <cell r="E4730" t="str">
            <v>BALL VA</v>
          </cell>
          <cell r="F4730">
            <v>6</v>
          </cell>
          <cell r="G4730" t="str">
            <v>VB8010600000100</v>
          </cell>
          <cell r="H4730">
            <v>1</v>
          </cell>
          <cell r="I4730" t="str">
            <v>--</v>
          </cell>
          <cell r="J4730">
            <v>2</v>
          </cell>
          <cell r="K4730">
            <v>2</v>
          </cell>
        </row>
        <row r="4731">
          <cell r="A4731" t="str">
            <v>M2</v>
          </cell>
          <cell r="B4731" t="str">
            <v>A5C</v>
          </cell>
          <cell r="C4731" t="str">
            <v>P</v>
          </cell>
          <cell r="D4731" t="str">
            <v>23194</v>
          </cell>
          <cell r="E4731" t="str">
            <v>BALL VA</v>
          </cell>
          <cell r="F4731">
            <v>6</v>
          </cell>
          <cell r="G4731" t="str">
            <v>VB8010600000100</v>
          </cell>
          <cell r="H4731">
            <v>1</v>
          </cell>
          <cell r="I4731" t="str">
            <v>--</v>
          </cell>
          <cell r="J4731">
            <v>1</v>
          </cell>
          <cell r="K4731">
            <v>1</v>
          </cell>
        </row>
        <row r="4732">
          <cell r="A4732" t="str">
            <v>M2</v>
          </cell>
          <cell r="B4732" t="str">
            <v>A5C</v>
          </cell>
          <cell r="C4732" t="str">
            <v>P</v>
          </cell>
          <cell r="D4732" t="str">
            <v>23223</v>
          </cell>
          <cell r="E4732" t="str">
            <v>BALL VA</v>
          </cell>
          <cell r="F4732">
            <v>6</v>
          </cell>
          <cell r="G4732" t="str">
            <v>VB8010600000100</v>
          </cell>
          <cell r="H4732">
            <v>1</v>
          </cell>
          <cell r="I4732" t="str">
            <v>--</v>
          </cell>
          <cell r="J4732">
            <v>1</v>
          </cell>
          <cell r="K4732">
            <v>1</v>
          </cell>
        </row>
        <row r="4733">
          <cell r="A4733" t="str">
            <v>M2</v>
          </cell>
          <cell r="B4733" t="str">
            <v>A5C</v>
          </cell>
          <cell r="C4733" t="str">
            <v>P</v>
          </cell>
          <cell r="D4733" t="str">
            <v>23048</v>
          </cell>
          <cell r="E4733" t="str">
            <v>CHECK VA</v>
          </cell>
          <cell r="F4733">
            <v>6</v>
          </cell>
          <cell r="G4733" t="str">
            <v>VCB8010400000100</v>
          </cell>
          <cell r="H4733">
            <v>1</v>
          </cell>
          <cell r="I4733" t="str">
            <v>--</v>
          </cell>
          <cell r="J4733">
            <v>2</v>
          </cell>
          <cell r="K4733">
            <v>2</v>
          </cell>
        </row>
        <row r="4734">
          <cell r="A4734" t="str">
            <v>M2</v>
          </cell>
          <cell r="B4734" t="str">
            <v>A5C</v>
          </cell>
          <cell r="C4734" t="str">
            <v>P</v>
          </cell>
          <cell r="D4734" t="str">
            <v>23074</v>
          </cell>
          <cell r="E4734" t="str">
            <v>CHECK VA</v>
          </cell>
          <cell r="F4734">
            <v>6</v>
          </cell>
          <cell r="G4734" t="str">
            <v>VCB8010400000100</v>
          </cell>
          <cell r="H4734">
            <v>1</v>
          </cell>
          <cell r="I4734" t="str">
            <v>--</v>
          </cell>
          <cell r="J4734">
            <v>2</v>
          </cell>
          <cell r="K4734">
            <v>2</v>
          </cell>
        </row>
        <row r="4735">
          <cell r="A4735" t="str">
            <v>M2</v>
          </cell>
          <cell r="B4735" t="str">
            <v>A5C</v>
          </cell>
          <cell r="C4735" t="str">
            <v>P</v>
          </cell>
          <cell r="D4735" t="str">
            <v>23079</v>
          </cell>
          <cell r="E4735" t="str">
            <v>CHECK VA</v>
          </cell>
          <cell r="F4735">
            <v>6</v>
          </cell>
          <cell r="G4735" t="str">
            <v>VCB8010400000100</v>
          </cell>
          <cell r="H4735">
            <v>1</v>
          </cell>
          <cell r="I4735" t="str">
            <v>--</v>
          </cell>
          <cell r="J4735">
            <v>2</v>
          </cell>
          <cell r="K4735">
            <v>2</v>
          </cell>
        </row>
        <row r="4736">
          <cell r="A4736" t="str">
            <v>M2</v>
          </cell>
          <cell r="B4736" t="str">
            <v>A5C</v>
          </cell>
          <cell r="C4736" t="str">
            <v>P</v>
          </cell>
          <cell r="D4736" t="str">
            <v>23223</v>
          </cell>
          <cell r="E4736" t="str">
            <v>CHECK VA</v>
          </cell>
          <cell r="F4736">
            <v>6</v>
          </cell>
          <cell r="G4736" t="str">
            <v>VCB8010400000100</v>
          </cell>
          <cell r="H4736">
            <v>1</v>
          </cell>
          <cell r="I4736" t="str">
            <v>--</v>
          </cell>
          <cell r="J4736">
            <v>1</v>
          </cell>
          <cell r="K4736">
            <v>1</v>
          </cell>
        </row>
        <row r="4737">
          <cell r="A4737" t="str">
            <v>M2</v>
          </cell>
          <cell r="B4737" t="str">
            <v>A5C</v>
          </cell>
          <cell r="C4737" t="str">
            <v>P</v>
          </cell>
          <cell r="D4737" t="str">
            <v>23027</v>
          </cell>
          <cell r="E4737" t="str">
            <v>GLOBE VA</v>
          </cell>
          <cell r="F4737">
            <v>6</v>
          </cell>
          <cell r="G4737" t="str">
            <v>VL8010100000100</v>
          </cell>
          <cell r="H4737">
            <v>1</v>
          </cell>
          <cell r="I4737" t="str">
            <v>--</v>
          </cell>
          <cell r="J4737">
            <v>1</v>
          </cell>
          <cell r="K4737">
            <v>1</v>
          </cell>
        </row>
        <row r="4738">
          <cell r="A4738" t="str">
            <v>M2</v>
          </cell>
          <cell r="B4738" t="str">
            <v>A5C</v>
          </cell>
          <cell r="C4738" t="str">
            <v>P</v>
          </cell>
          <cell r="D4738" t="str">
            <v>23039</v>
          </cell>
          <cell r="E4738" t="str">
            <v>GLOBE VA</v>
          </cell>
          <cell r="F4738">
            <v>6</v>
          </cell>
          <cell r="G4738" t="str">
            <v>VL8010100000100</v>
          </cell>
          <cell r="H4738">
            <v>1</v>
          </cell>
          <cell r="I4738" t="str">
            <v>--</v>
          </cell>
          <cell r="J4738">
            <v>1</v>
          </cell>
          <cell r="K4738">
            <v>1</v>
          </cell>
        </row>
        <row r="4739">
          <cell r="A4739" t="str">
            <v>M2</v>
          </cell>
          <cell r="B4739" t="str">
            <v>A5C</v>
          </cell>
          <cell r="C4739" t="str">
            <v>P</v>
          </cell>
          <cell r="D4739" t="str">
            <v>23079</v>
          </cell>
          <cell r="E4739" t="str">
            <v>GLOBE VA</v>
          </cell>
          <cell r="F4739">
            <v>6</v>
          </cell>
          <cell r="G4739" t="str">
            <v>VL8010100000100</v>
          </cell>
          <cell r="H4739">
            <v>1</v>
          </cell>
          <cell r="I4739" t="str">
            <v>--</v>
          </cell>
          <cell r="J4739">
            <v>1</v>
          </cell>
          <cell r="K4739">
            <v>1</v>
          </cell>
        </row>
        <row r="4740">
          <cell r="A4740" t="str">
            <v>M2</v>
          </cell>
          <cell r="B4740" t="str">
            <v>A5C</v>
          </cell>
          <cell r="C4740" t="str">
            <v>P</v>
          </cell>
          <cell r="D4740" t="str">
            <v>23019</v>
          </cell>
          <cell r="E4740" t="str">
            <v>GLOBE VA</v>
          </cell>
          <cell r="F4740">
            <v>6</v>
          </cell>
          <cell r="G4740" t="str">
            <v>VL8010100000100</v>
          </cell>
          <cell r="H4740">
            <v>1</v>
          </cell>
          <cell r="I4740" t="str">
            <v>--</v>
          </cell>
          <cell r="J4740">
            <v>1</v>
          </cell>
          <cell r="K4740">
            <v>1</v>
          </cell>
        </row>
        <row r="4741">
          <cell r="A4741" t="str">
            <v>M2</v>
          </cell>
          <cell r="B4741" t="str">
            <v>A5C</v>
          </cell>
          <cell r="C4741" t="str">
            <v>P</v>
          </cell>
          <cell r="D4741" t="str">
            <v>24002</v>
          </cell>
          <cell r="E4741" t="str">
            <v>BALL VA</v>
          </cell>
          <cell r="F4741">
            <v>6</v>
          </cell>
          <cell r="G4741" t="str">
            <v>VB8010600000100</v>
          </cell>
          <cell r="H4741">
            <v>1</v>
          </cell>
          <cell r="I4741" t="str">
            <v>--</v>
          </cell>
          <cell r="J4741">
            <v>3</v>
          </cell>
          <cell r="K4741">
            <v>3</v>
          </cell>
        </row>
        <row r="4742">
          <cell r="A4742" t="str">
            <v>M2</v>
          </cell>
          <cell r="B4742" t="str">
            <v>A5C</v>
          </cell>
          <cell r="C4742" t="str">
            <v>P</v>
          </cell>
          <cell r="D4742" t="str">
            <v>24004</v>
          </cell>
          <cell r="E4742" t="str">
            <v>BALL VA</v>
          </cell>
          <cell r="F4742">
            <v>6</v>
          </cell>
          <cell r="G4742" t="str">
            <v>VB8010600000100</v>
          </cell>
          <cell r="H4742">
            <v>1</v>
          </cell>
          <cell r="I4742" t="str">
            <v>--</v>
          </cell>
          <cell r="J4742">
            <v>6</v>
          </cell>
          <cell r="K4742">
            <v>6</v>
          </cell>
        </row>
        <row r="4743">
          <cell r="A4743" t="str">
            <v>M2</v>
          </cell>
          <cell r="B4743" t="str">
            <v>A5C</v>
          </cell>
          <cell r="C4743" t="str">
            <v>P</v>
          </cell>
          <cell r="D4743" t="str">
            <v>24025</v>
          </cell>
          <cell r="E4743" t="str">
            <v>BALL VA</v>
          </cell>
          <cell r="F4743">
            <v>6</v>
          </cell>
          <cell r="G4743" t="str">
            <v>VB8010600000100</v>
          </cell>
          <cell r="H4743">
            <v>1</v>
          </cell>
          <cell r="I4743" t="str">
            <v>--</v>
          </cell>
          <cell r="J4743">
            <v>2</v>
          </cell>
          <cell r="K4743">
            <v>2</v>
          </cell>
        </row>
        <row r="4744">
          <cell r="A4744" t="str">
            <v>M2</v>
          </cell>
          <cell r="B4744" t="str">
            <v>A5C</v>
          </cell>
          <cell r="C4744" t="str">
            <v>P</v>
          </cell>
          <cell r="D4744" t="str">
            <v>24026</v>
          </cell>
          <cell r="E4744" t="str">
            <v>BALL VA</v>
          </cell>
          <cell r="F4744">
            <v>6</v>
          </cell>
          <cell r="G4744" t="str">
            <v>VB8010600000100</v>
          </cell>
          <cell r="H4744">
            <v>1</v>
          </cell>
          <cell r="I4744" t="str">
            <v>--</v>
          </cell>
          <cell r="J4744">
            <v>3</v>
          </cell>
          <cell r="K4744">
            <v>3</v>
          </cell>
        </row>
        <row r="4745">
          <cell r="A4745" t="str">
            <v>M2</v>
          </cell>
          <cell r="B4745" t="str">
            <v>A5C</v>
          </cell>
          <cell r="C4745" t="str">
            <v>P</v>
          </cell>
          <cell r="D4745" t="str">
            <v>24032</v>
          </cell>
          <cell r="E4745" t="str">
            <v>BALL VA</v>
          </cell>
          <cell r="F4745">
            <v>6</v>
          </cell>
          <cell r="G4745" t="str">
            <v>VB8010600000100</v>
          </cell>
          <cell r="H4745">
            <v>1</v>
          </cell>
          <cell r="I4745" t="str">
            <v>--</v>
          </cell>
          <cell r="J4745">
            <v>1</v>
          </cell>
          <cell r="K4745">
            <v>1</v>
          </cell>
        </row>
        <row r="4746">
          <cell r="A4746" t="str">
            <v>M2</v>
          </cell>
          <cell r="B4746" t="str">
            <v>A5C</v>
          </cell>
          <cell r="C4746" t="str">
            <v>P</v>
          </cell>
          <cell r="D4746" t="str">
            <v>99004</v>
          </cell>
          <cell r="E4746" t="str">
            <v>BALL VA</v>
          </cell>
          <cell r="F4746">
            <v>6</v>
          </cell>
          <cell r="G4746" t="str">
            <v>VB8010600000100</v>
          </cell>
          <cell r="H4746">
            <v>1</v>
          </cell>
          <cell r="I4746" t="str">
            <v>--</v>
          </cell>
          <cell r="J4746">
            <v>1</v>
          </cell>
          <cell r="K4746">
            <v>1</v>
          </cell>
        </row>
        <row r="4747">
          <cell r="A4747" t="str">
            <v>M2</v>
          </cell>
          <cell r="B4747" t="str">
            <v>A5C</v>
          </cell>
          <cell r="C4747" t="str">
            <v>P</v>
          </cell>
          <cell r="D4747" t="str">
            <v>23013</v>
          </cell>
          <cell r="E4747" t="str">
            <v>BALL VA</v>
          </cell>
          <cell r="F4747">
            <v>6</v>
          </cell>
          <cell r="G4747" t="str">
            <v>VB8010600000100</v>
          </cell>
          <cell r="H4747">
            <v>1</v>
          </cell>
          <cell r="I4747" t="str">
            <v>--</v>
          </cell>
          <cell r="J4747">
            <v>2</v>
          </cell>
          <cell r="K4747">
            <v>2</v>
          </cell>
        </row>
        <row r="4748">
          <cell r="A4748" t="str">
            <v>M2</v>
          </cell>
          <cell r="B4748" t="str">
            <v>A5C</v>
          </cell>
          <cell r="C4748" t="str">
            <v>P</v>
          </cell>
          <cell r="D4748" t="str">
            <v>23154</v>
          </cell>
          <cell r="E4748" t="str">
            <v>BALL VA</v>
          </cell>
          <cell r="F4748">
            <v>6</v>
          </cell>
          <cell r="G4748" t="str">
            <v>VB8010600000100</v>
          </cell>
          <cell r="H4748">
            <v>1</v>
          </cell>
          <cell r="I4748" t="str">
            <v>--</v>
          </cell>
          <cell r="J4748">
            <v>1</v>
          </cell>
          <cell r="K4748">
            <v>1</v>
          </cell>
        </row>
        <row r="4749">
          <cell r="A4749" t="str">
            <v>M2</v>
          </cell>
          <cell r="B4749" t="str">
            <v>A5C</v>
          </cell>
          <cell r="C4749" t="str">
            <v>P</v>
          </cell>
          <cell r="D4749" t="str">
            <v>23013</v>
          </cell>
          <cell r="E4749" t="str">
            <v>CHECK VA</v>
          </cell>
          <cell r="F4749">
            <v>6</v>
          </cell>
          <cell r="G4749" t="str">
            <v>VCB8010400000100</v>
          </cell>
          <cell r="H4749">
            <v>1</v>
          </cell>
          <cell r="I4749" t="str">
            <v>--</v>
          </cell>
          <cell r="J4749">
            <v>2</v>
          </cell>
          <cell r="K4749">
            <v>2</v>
          </cell>
        </row>
        <row r="4750">
          <cell r="A4750" t="str">
            <v>M2</v>
          </cell>
          <cell r="B4750" t="str">
            <v>A5C</v>
          </cell>
          <cell r="C4750" t="str">
            <v>P</v>
          </cell>
          <cell r="D4750" t="str">
            <v>24002</v>
          </cell>
          <cell r="E4750" t="str">
            <v>CHECK VA</v>
          </cell>
          <cell r="F4750">
            <v>6</v>
          </cell>
          <cell r="G4750" t="str">
            <v>VCB8010400000100</v>
          </cell>
          <cell r="H4750">
            <v>1</v>
          </cell>
          <cell r="I4750" t="str">
            <v>--</v>
          </cell>
          <cell r="J4750">
            <v>1</v>
          </cell>
          <cell r="K4750">
            <v>1</v>
          </cell>
        </row>
        <row r="4751">
          <cell r="A4751" t="str">
            <v>M2</v>
          </cell>
          <cell r="B4751" t="str">
            <v>A5C</v>
          </cell>
          <cell r="C4751" t="str">
            <v>P</v>
          </cell>
          <cell r="D4751" t="str">
            <v>24004</v>
          </cell>
          <cell r="E4751" t="str">
            <v>CHECK VA</v>
          </cell>
          <cell r="F4751">
            <v>6</v>
          </cell>
          <cell r="G4751" t="str">
            <v>VCB8010400000100</v>
          </cell>
          <cell r="H4751">
            <v>1</v>
          </cell>
          <cell r="I4751" t="str">
            <v>--</v>
          </cell>
          <cell r="J4751">
            <v>2</v>
          </cell>
          <cell r="K4751">
            <v>2</v>
          </cell>
        </row>
        <row r="4752">
          <cell r="A4752" t="str">
            <v>M2</v>
          </cell>
          <cell r="B4752" t="str">
            <v>A5C</v>
          </cell>
          <cell r="C4752" t="str">
            <v>P</v>
          </cell>
          <cell r="D4752" t="str">
            <v>24026</v>
          </cell>
          <cell r="E4752" t="str">
            <v>CHECK VA</v>
          </cell>
          <cell r="F4752">
            <v>6</v>
          </cell>
          <cell r="G4752" t="str">
            <v>VCB8010400000100</v>
          </cell>
          <cell r="H4752">
            <v>1</v>
          </cell>
          <cell r="I4752" t="str">
            <v>--</v>
          </cell>
          <cell r="J4752">
            <v>1</v>
          </cell>
          <cell r="K4752">
            <v>1</v>
          </cell>
        </row>
        <row r="4753">
          <cell r="A4753" t="str">
            <v>M2</v>
          </cell>
          <cell r="B4753" t="str">
            <v>A5C</v>
          </cell>
          <cell r="C4753" t="str">
            <v>P</v>
          </cell>
          <cell r="D4753" t="str">
            <v>99004</v>
          </cell>
          <cell r="E4753" t="str">
            <v>CHECK VA</v>
          </cell>
          <cell r="F4753">
            <v>6</v>
          </cell>
          <cell r="G4753" t="str">
            <v>VCB8010400000100</v>
          </cell>
          <cell r="H4753">
            <v>1</v>
          </cell>
          <cell r="I4753" t="str">
            <v>--</v>
          </cell>
          <cell r="J4753">
            <v>1</v>
          </cell>
          <cell r="K4753">
            <v>1</v>
          </cell>
        </row>
        <row r="4754">
          <cell r="A4754" t="str">
            <v>M2</v>
          </cell>
          <cell r="B4754" t="str">
            <v>A5C</v>
          </cell>
          <cell r="C4754" t="str">
            <v>P</v>
          </cell>
          <cell r="D4754" t="str">
            <v>24002</v>
          </cell>
          <cell r="E4754" t="str">
            <v>GLOBE VA</v>
          </cell>
          <cell r="F4754">
            <v>6</v>
          </cell>
          <cell r="G4754" t="str">
            <v>VL8010100000100</v>
          </cell>
          <cell r="H4754">
            <v>1</v>
          </cell>
          <cell r="I4754" t="str">
            <v>--</v>
          </cell>
          <cell r="J4754">
            <v>1</v>
          </cell>
          <cell r="K4754">
            <v>1</v>
          </cell>
        </row>
        <row r="4755">
          <cell r="A4755" t="str">
            <v>M2</v>
          </cell>
          <cell r="B4755" t="str">
            <v>A5C</v>
          </cell>
          <cell r="C4755" t="str">
            <v>P</v>
          </cell>
          <cell r="D4755" t="str">
            <v>24004</v>
          </cell>
          <cell r="E4755" t="str">
            <v>GLOBE VA</v>
          </cell>
          <cell r="F4755">
            <v>6</v>
          </cell>
          <cell r="G4755" t="str">
            <v>VL8010100000100</v>
          </cell>
          <cell r="H4755">
            <v>1</v>
          </cell>
          <cell r="I4755" t="str">
            <v>--</v>
          </cell>
          <cell r="J4755">
            <v>1</v>
          </cell>
          <cell r="K4755">
            <v>1</v>
          </cell>
        </row>
        <row r="4756">
          <cell r="A4756" t="str">
            <v>M2</v>
          </cell>
          <cell r="B4756" t="str">
            <v>A5C</v>
          </cell>
          <cell r="C4756" t="str">
            <v>P</v>
          </cell>
          <cell r="D4756" t="str">
            <v>24026</v>
          </cell>
          <cell r="E4756" t="str">
            <v>GLOBE VA</v>
          </cell>
          <cell r="F4756">
            <v>6</v>
          </cell>
          <cell r="G4756" t="str">
            <v>VL8010100000100</v>
          </cell>
          <cell r="H4756">
            <v>1</v>
          </cell>
          <cell r="I4756" t="str">
            <v>--</v>
          </cell>
          <cell r="J4756">
            <v>1</v>
          </cell>
          <cell r="K4756">
            <v>1</v>
          </cell>
        </row>
        <row r="4757">
          <cell r="A4757" t="str">
            <v>M2</v>
          </cell>
          <cell r="B4757" t="str">
            <v>A5C</v>
          </cell>
          <cell r="C4757" t="str">
            <v>P</v>
          </cell>
          <cell r="D4757" t="str">
            <v>23006</v>
          </cell>
          <cell r="E4757" t="str">
            <v>BALL VA</v>
          </cell>
          <cell r="F4757">
            <v>6</v>
          </cell>
          <cell r="G4757" t="str">
            <v>VB8010600001H00</v>
          </cell>
          <cell r="H4757">
            <v>1.5</v>
          </cell>
          <cell r="I4757" t="str">
            <v>--</v>
          </cell>
          <cell r="J4757">
            <v>3</v>
          </cell>
          <cell r="K4757">
            <v>3</v>
          </cell>
        </row>
        <row r="4758">
          <cell r="A4758" t="str">
            <v>M2</v>
          </cell>
          <cell r="B4758" t="str">
            <v>A5C</v>
          </cell>
          <cell r="C4758" t="str">
            <v>P</v>
          </cell>
          <cell r="D4758" t="str">
            <v>23007</v>
          </cell>
          <cell r="E4758" t="str">
            <v>BALL VA</v>
          </cell>
          <cell r="F4758">
            <v>6</v>
          </cell>
          <cell r="G4758" t="str">
            <v>VB8010600001H00</v>
          </cell>
          <cell r="H4758">
            <v>1.5</v>
          </cell>
          <cell r="I4758" t="str">
            <v>--</v>
          </cell>
          <cell r="J4758">
            <v>1</v>
          </cell>
          <cell r="K4758">
            <v>1</v>
          </cell>
        </row>
        <row r="4759">
          <cell r="A4759" t="str">
            <v>M2</v>
          </cell>
          <cell r="B4759" t="str">
            <v>A5C</v>
          </cell>
          <cell r="C4759" t="str">
            <v>P</v>
          </cell>
          <cell r="D4759" t="str">
            <v>23035</v>
          </cell>
          <cell r="E4759" t="str">
            <v>BALL VA</v>
          </cell>
          <cell r="F4759">
            <v>6</v>
          </cell>
          <cell r="G4759" t="str">
            <v>VB8010600001H00</v>
          </cell>
          <cell r="H4759">
            <v>1.5</v>
          </cell>
          <cell r="I4759" t="str">
            <v>--</v>
          </cell>
          <cell r="J4759">
            <v>3</v>
          </cell>
          <cell r="K4759">
            <v>3</v>
          </cell>
        </row>
        <row r="4760">
          <cell r="A4760" t="str">
            <v>M2</v>
          </cell>
          <cell r="B4760" t="str">
            <v>A5C</v>
          </cell>
          <cell r="C4760" t="str">
            <v>P</v>
          </cell>
          <cell r="D4760" t="str">
            <v>23035</v>
          </cell>
          <cell r="E4760" t="str">
            <v>BALL VA</v>
          </cell>
          <cell r="F4760">
            <v>6</v>
          </cell>
          <cell r="G4760" t="str">
            <v>VB8010600001H00</v>
          </cell>
          <cell r="H4760">
            <v>1.5</v>
          </cell>
          <cell r="I4760" t="str">
            <v>--</v>
          </cell>
          <cell r="J4760">
            <v>3</v>
          </cell>
          <cell r="K4760">
            <v>3</v>
          </cell>
        </row>
        <row r="4761">
          <cell r="A4761" t="str">
            <v>M2</v>
          </cell>
          <cell r="B4761" t="str">
            <v>A5C</v>
          </cell>
          <cell r="C4761" t="str">
            <v>P</v>
          </cell>
          <cell r="D4761" t="str">
            <v>23070</v>
          </cell>
          <cell r="E4761" t="str">
            <v>BALL VA</v>
          </cell>
          <cell r="F4761">
            <v>6</v>
          </cell>
          <cell r="G4761" t="str">
            <v>VB8010600001H00</v>
          </cell>
          <cell r="H4761">
            <v>1.5</v>
          </cell>
          <cell r="I4761" t="str">
            <v>--</v>
          </cell>
          <cell r="J4761">
            <v>2</v>
          </cell>
          <cell r="K4761">
            <v>2</v>
          </cell>
        </row>
        <row r="4762">
          <cell r="A4762" t="str">
            <v>M2</v>
          </cell>
          <cell r="B4762" t="str">
            <v>A5C</v>
          </cell>
          <cell r="C4762" t="str">
            <v>P</v>
          </cell>
          <cell r="D4762" t="str">
            <v>23072</v>
          </cell>
          <cell r="E4762" t="str">
            <v>BALL VA</v>
          </cell>
          <cell r="F4762">
            <v>6</v>
          </cell>
          <cell r="G4762" t="str">
            <v>VB8010600001H00</v>
          </cell>
          <cell r="H4762">
            <v>1.5</v>
          </cell>
          <cell r="I4762" t="str">
            <v>--</v>
          </cell>
          <cell r="J4762">
            <v>1</v>
          </cell>
          <cell r="K4762">
            <v>1</v>
          </cell>
        </row>
        <row r="4763">
          <cell r="A4763" t="str">
            <v>M2</v>
          </cell>
          <cell r="B4763" t="str">
            <v>A5C</v>
          </cell>
          <cell r="C4763" t="str">
            <v>P</v>
          </cell>
          <cell r="D4763" t="str">
            <v>23103</v>
          </cell>
          <cell r="E4763" t="str">
            <v>BALL VA</v>
          </cell>
          <cell r="F4763">
            <v>6</v>
          </cell>
          <cell r="G4763" t="str">
            <v>VB8010600001H00</v>
          </cell>
          <cell r="H4763">
            <v>1.5</v>
          </cell>
          <cell r="I4763" t="str">
            <v>--</v>
          </cell>
          <cell r="J4763">
            <v>2</v>
          </cell>
          <cell r="K4763">
            <v>2</v>
          </cell>
        </row>
        <row r="4764">
          <cell r="A4764" t="str">
            <v>M2</v>
          </cell>
          <cell r="B4764" t="str">
            <v>A5C</v>
          </cell>
          <cell r="C4764" t="str">
            <v>P</v>
          </cell>
          <cell r="D4764" t="str">
            <v>23107</v>
          </cell>
          <cell r="E4764" t="str">
            <v>BALL VA</v>
          </cell>
          <cell r="F4764">
            <v>6</v>
          </cell>
          <cell r="G4764" t="str">
            <v>VB8010600001H00</v>
          </cell>
          <cell r="H4764">
            <v>1.5</v>
          </cell>
          <cell r="I4764" t="str">
            <v>--</v>
          </cell>
          <cell r="J4764">
            <v>2</v>
          </cell>
          <cell r="K4764">
            <v>2</v>
          </cell>
        </row>
        <row r="4765">
          <cell r="A4765" t="str">
            <v>M2</v>
          </cell>
          <cell r="B4765" t="str">
            <v>A5C</v>
          </cell>
          <cell r="C4765" t="str">
            <v>P</v>
          </cell>
          <cell r="D4765" t="str">
            <v>23111</v>
          </cell>
          <cell r="E4765" t="str">
            <v>BALL VA</v>
          </cell>
          <cell r="F4765">
            <v>6</v>
          </cell>
          <cell r="G4765" t="str">
            <v>VB8010600001H00</v>
          </cell>
          <cell r="H4765">
            <v>1.5</v>
          </cell>
          <cell r="I4765" t="str">
            <v>--</v>
          </cell>
          <cell r="J4765">
            <v>2</v>
          </cell>
          <cell r="K4765">
            <v>2</v>
          </cell>
        </row>
        <row r="4766">
          <cell r="A4766" t="str">
            <v>M2</v>
          </cell>
          <cell r="B4766" t="str">
            <v>A5C</v>
          </cell>
          <cell r="C4766" t="str">
            <v>P</v>
          </cell>
          <cell r="D4766" t="str">
            <v>23117</v>
          </cell>
          <cell r="E4766" t="str">
            <v>BALL VA</v>
          </cell>
          <cell r="F4766">
            <v>6</v>
          </cell>
          <cell r="G4766" t="str">
            <v>VB8010600001H00</v>
          </cell>
          <cell r="H4766">
            <v>1.5</v>
          </cell>
          <cell r="I4766" t="str">
            <v>--</v>
          </cell>
          <cell r="J4766">
            <v>2</v>
          </cell>
          <cell r="K4766">
            <v>2</v>
          </cell>
        </row>
        <row r="4767">
          <cell r="A4767" t="str">
            <v>M2</v>
          </cell>
          <cell r="B4767" t="str">
            <v>A5C</v>
          </cell>
          <cell r="C4767" t="str">
            <v>P</v>
          </cell>
          <cell r="D4767" t="str">
            <v>23143</v>
          </cell>
          <cell r="E4767" t="str">
            <v>BALL VA</v>
          </cell>
          <cell r="F4767">
            <v>6</v>
          </cell>
          <cell r="G4767" t="str">
            <v>VB8010600001H00</v>
          </cell>
          <cell r="H4767">
            <v>1.5</v>
          </cell>
          <cell r="I4767" t="str">
            <v>--</v>
          </cell>
          <cell r="J4767">
            <v>2</v>
          </cell>
          <cell r="K4767">
            <v>2</v>
          </cell>
        </row>
        <row r="4768">
          <cell r="A4768" t="str">
            <v>M2</v>
          </cell>
          <cell r="B4768" t="str">
            <v>A5C</v>
          </cell>
          <cell r="C4768" t="str">
            <v>P</v>
          </cell>
          <cell r="D4768" t="str">
            <v>23185</v>
          </cell>
          <cell r="E4768" t="str">
            <v>BALL VA</v>
          </cell>
          <cell r="F4768">
            <v>6</v>
          </cell>
          <cell r="G4768" t="str">
            <v>VB8010600001H00</v>
          </cell>
          <cell r="H4768">
            <v>1.5</v>
          </cell>
          <cell r="I4768" t="str">
            <v>--</v>
          </cell>
          <cell r="J4768">
            <v>2</v>
          </cell>
          <cell r="K4768">
            <v>2</v>
          </cell>
        </row>
        <row r="4769">
          <cell r="A4769" t="str">
            <v>M2</v>
          </cell>
          <cell r="B4769" t="str">
            <v>A5C</v>
          </cell>
          <cell r="C4769" t="str">
            <v>P</v>
          </cell>
          <cell r="D4769" t="str">
            <v>23215</v>
          </cell>
          <cell r="E4769" t="str">
            <v>BALL VA</v>
          </cell>
          <cell r="F4769">
            <v>6</v>
          </cell>
          <cell r="G4769" t="str">
            <v>VB8010600001H00</v>
          </cell>
          <cell r="H4769">
            <v>1.5</v>
          </cell>
          <cell r="I4769" t="str">
            <v>--</v>
          </cell>
          <cell r="J4769">
            <v>1</v>
          </cell>
          <cell r="K4769">
            <v>1</v>
          </cell>
        </row>
        <row r="4770">
          <cell r="A4770" t="str">
            <v>M2</v>
          </cell>
          <cell r="B4770" t="str">
            <v>A5C</v>
          </cell>
          <cell r="C4770" t="str">
            <v>P</v>
          </cell>
          <cell r="D4770" t="str">
            <v>23259</v>
          </cell>
          <cell r="E4770" t="str">
            <v>BALL VA</v>
          </cell>
          <cell r="F4770">
            <v>6</v>
          </cell>
          <cell r="G4770" t="str">
            <v>VB8010600001H00</v>
          </cell>
          <cell r="H4770">
            <v>1.5</v>
          </cell>
          <cell r="I4770" t="str">
            <v>--</v>
          </cell>
          <cell r="J4770">
            <v>2</v>
          </cell>
          <cell r="K4770">
            <v>2</v>
          </cell>
        </row>
        <row r="4771">
          <cell r="A4771" t="str">
            <v>M2</v>
          </cell>
          <cell r="B4771" t="str">
            <v>A5C</v>
          </cell>
          <cell r="C4771" t="str">
            <v>P</v>
          </cell>
          <cell r="D4771" t="str">
            <v>24014</v>
          </cell>
          <cell r="E4771" t="str">
            <v>BALL VA</v>
          </cell>
          <cell r="F4771">
            <v>6</v>
          </cell>
          <cell r="G4771" t="str">
            <v>VB8010600001H00</v>
          </cell>
          <cell r="H4771">
            <v>1.5</v>
          </cell>
          <cell r="I4771" t="str">
            <v>--</v>
          </cell>
          <cell r="J4771">
            <v>2</v>
          </cell>
          <cell r="K4771">
            <v>2</v>
          </cell>
        </row>
        <row r="4772">
          <cell r="A4772" t="str">
            <v>M2</v>
          </cell>
          <cell r="B4772" t="str">
            <v>A5C</v>
          </cell>
          <cell r="C4772" t="str">
            <v>P</v>
          </cell>
          <cell r="D4772" t="str">
            <v>99003</v>
          </cell>
          <cell r="E4772" t="str">
            <v>BALL VA</v>
          </cell>
          <cell r="F4772">
            <v>6</v>
          </cell>
          <cell r="G4772" t="str">
            <v>VB8010600001H00</v>
          </cell>
          <cell r="H4772">
            <v>1.5</v>
          </cell>
          <cell r="I4772" t="str">
            <v>--</v>
          </cell>
          <cell r="J4772">
            <v>4</v>
          </cell>
          <cell r="K4772">
            <v>4</v>
          </cell>
        </row>
        <row r="4773">
          <cell r="A4773" t="str">
            <v>M2</v>
          </cell>
          <cell r="B4773" t="str">
            <v>A5C</v>
          </cell>
          <cell r="C4773" t="str">
            <v>P</v>
          </cell>
          <cell r="D4773" t="str">
            <v>99003</v>
          </cell>
          <cell r="E4773" t="str">
            <v>BALL VA</v>
          </cell>
          <cell r="F4773">
            <v>6</v>
          </cell>
          <cell r="G4773" t="str">
            <v>VB8010600001H00</v>
          </cell>
          <cell r="H4773">
            <v>1.5</v>
          </cell>
          <cell r="I4773" t="str">
            <v>--</v>
          </cell>
          <cell r="J4773">
            <v>2</v>
          </cell>
          <cell r="K4773">
            <v>2</v>
          </cell>
        </row>
        <row r="4774">
          <cell r="A4774" t="str">
            <v>M2</v>
          </cell>
          <cell r="B4774" t="str">
            <v>A5C</v>
          </cell>
          <cell r="C4774" t="str">
            <v>TRIM</v>
          </cell>
          <cell r="D4774" t="str">
            <v>V-2301</v>
          </cell>
          <cell r="E4774" t="str">
            <v>BALL VA</v>
          </cell>
          <cell r="F4774">
            <v>6</v>
          </cell>
          <cell r="G4774" t="str">
            <v>VB8010600001H00</v>
          </cell>
          <cell r="H4774">
            <v>1.5</v>
          </cell>
          <cell r="I4774" t="str">
            <v>--</v>
          </cell>
          <cell r="J4774">
            <v>2</v>
          </cell>
          <cell r="K4774">
            <v>2</v>
          </cell>
        </row>
        <row r="4775">
          <cell r="A4775" t="str">
            <v>M2</v>
          </cell>
          <cell r="B4775" t="str">
            <v>A5C</v>
          </cell>
          <cell r="C4775" t="str">
            <v>P</v>
          </cell>
          <cell r="D4775" t="str">
            <v>22102</v>
          </cell>
          <cell r="E4775" t="str">
            <v>BALL VA</v>
          </cell>
          <cell r="F4775">
            <v>6</v>
          </cell>
          <cell r="G4775" t="str">
            <v>VB8010600001H00</v>
          </cell>
          <cell r="H4775">
            <v>1.5</v>
          </cell>
          <cell r="I4775" t="str">
            <v>--</v>
          </cell>
          <cell r="J4775">
            <v>1</v>
          </cell>
          <cell r="K4775">
            <v>1</v>
          </cell>
        </row>
        <row r="4776">
          <cell r="A4776" t="str">
            <v>M2</v>
          </cell>
          <cell r="B4776" t="str">
            <v>A5C</v>
          </cell>
          <cell r="C4776" t="str">
            <v>P</v>
          </cell>
          <cell r="D4776" t="str">
            <v>23006</v>
          </cell>
          <cell r="E4776" t="str">
            <v>BALL VA</v>
          </cell>
          <cell r="F4776">
            <v>6</v>
          </cell>
          <cell r="G4776" t="str">
            <v>VB8010600001H00</v>
          </cell>
          <cell r="H4776">
            <v>1.5</v>
          </cell>
          <cell r="I4776" t="str">
            <v>--</v>
          </cell>
          <cell r="J4776">
            <v>2</v>
          </cell>
          <cell r="K4776">
            <v>2</v>
          </cell>
        </row>
        <row r="4777">
          <cell r="A4777" t="str">
            <v>M2</v>
          </cell>
          <cell r="B4777" t="str">
            <v>A5C</v>
          </cell>
          <cell r="C4777" t="str">
            <v>P</v>
          </cell>
          <cell r="D4777" t="str">
            <v>23038</v>
          </cell>
          <cell r="E4777" t="str">
            <v>BALL VA</v>
          </cell>
          <cell r="F4777">
            <v>6</v>
          </cell>
          <cell r="G4777" t="str">
            <v>VB8010600001H00</v>
          </cell>
          <cell r="H4777">
            <v>1.5</v>
          </cell>
          <cell r="I4777" t="str">
            <v>--</v>
          </cell>
          <cell r="J4777">
            <v>2</v>
          </cell>
          <cell r="K4777">
            <v>2</v>
          </cell>
        </row>
        <row r="4778">
          <cell r="A4778" t="str">
            <v>M2</v>
          </cell>
          <cell r="B4778" t="str">
            <v>A5C</v>
          </cell>
          <cell r="C4778" t="str">
            <v>P</v>
          </cell>
          <cell r="D4778" t="str">
            <v>23116</v>
          </cell>
          <cell r="E4778" t="str">
            <v>BALL VA</v>
          </cell>
          <cell r="F4778">
            <v>6</v>
          </cell>
          <cell r="G4778" t="str">
            <v>VB8010600001H00</v>
          </cell>
          <cell r="H4778">
            <v>1.5</v>
          </cell>
          <cell r="I4778" t="str">
            <v>--</v>
          </cell>
          <cell r="J4778">
            <v>2</v>
          </cell>
          <cell r="K4778">
            <v>2</v>
          </cell>
        </row>
        <row r="4779">
          <cell r="A4779" t="str">
            <v>M2</v>
          </cell>
          <cell r="B4779" t="str">
            <v>A5C</v>
          </cell>
          <cell r="C4779" t="str">
            <v>P</v>
          </cell>
          <cell r="D4779" t="str">
            <v>23147</v>
          </cell>
          <cell r="E4779" t="str">
            <v>BALL VA</v>
          </cell>
          <cell r="F4779">
            <v>6</v>
          </cell>
          <cell r="G4779" t="str">
            <v>VB8010600001H00</v>
          </cell>
          <cell r="H4779">
            <v>1.5</v>
          </cell>
          <cell r="I4779" t="str">
            <v>--</v>
          </cell>
          <cell r="J4779">
            <v>2</v>
          </cell>
          <cell r="K4779">
            <v>2</v>
          </cell>
        </row>
        <row r="4780">
          <cell r="A4780" t="str">
            <v>M2</v>
          </cell>
          <cell r="B4780" t="str">
            <v>A5C</v>
          </cell>
          <cell r="C4780" t="str">
            <v>P</v>
          </cell>
          <cell r="D4780" t="str">
            <v>23157</v>
          </cell>
          <cell r="E4780" t="str">
            <v>BALL VA</v>
          </cell>
          <cell r="F4780">
            <v>6</v>
          </cell>
          <cell r="G4780" t="str">
            <v>VB8010600001H00</v>
          </cell>
          <cell r="H4780">
            <v>1.5</v>
          </cell>
          <cell r="I4780" t="str">
            <v>--</v>
          </cell>
          <cell r="J4780">
            <v>2</v>
          </cell>
          <cell r="K4780">
            <v>2</v>
          </cell>
        </row>
        <row r="4781">
          <cell r="A4781" t="str">
            <v>M2</v>
          </cell>
          <cell r="B4781" t="str">
            <v>A5C</v>
          </cell>
          <cell r="C4781" t="str">
            <v>P</v>
          </cell>
          <cell r="D4781" t="str">
            <v>23196</v>
          </cell>
          <cell r="E4781" t="str">
            <v>BALL VA</v>
          </cell>
          <cell r="F4781">
            <v>6</v>
          </cell>
          <cell r="G4781" t="str">
            <v>VB8010600001H00</v>
          </cell>
          <cell r="H4781">
            <v>1.5</v>
          </cell>
          <cell r="I4781" t="str">
            <v>--</v>
          </cell>
          <cell r="J4781">
            <v>2</v>
          </cell>
          <cell r="K4781">
            <v>2</v>
          </cell>
        </row>
        <row r="4782">
          <cell r="A4782" t="str">
            <v>M2</v>
          </cell>
          <cell r="B4782" t="str">
            <v>A5C</v>
          </cell>
          <cell r="C4782" t="str">
            <v>P</v>
          </cell>
          <cell r="D4782" t="str">
            <v>23217</v>
          </cell>
          <cell r="E4782" t="str">
            <v>BALL VA</v>
          </cell>
          <cell r="F4782">
            <v>6</v>
          </cell>
          <cell r="G4782" t="str">
            <v>VB8010600001H00</v>
          </cell>
          <cell r="H4782">
            <v>1.5</v>
          </cell>
          <cell r="I4782" t="str">
            <v>--</v>
          </cell>
          <cell r="J4782">
            <v>1</v>
          </cell>
          <cell r="K4782">
            <v>1</v>
          </cell>
        </row>
        <row r="4783">
          <cell r="A4783" t="str">
            <v>M2</v>
          </cell>
          <cell r="B4783" t="str">
            <v>A5C</v>
          </cell>
          <cell r="C4783" t="str">
            <v>P</v>
          </cell>
          <cell r="D4783" t="str">
            <v>23006</v>
          </cell>
          <cell r="E4783" t="str">
            <v>CHECK VA</v>
          </cell>
          <cell r="F4783">
            <v>6</v>
          </cell>
          <cell r="G4783" t="str">
            <v>VCB8010400001H00</v>
          </cell>
          <cell r="H4783">
            <v>1.5</v>
          </cell>
          <cell r="I4783" t="str">
            <v>--</v>
          </cell>
          <cell r="J4783">
            <v>2</v>
          </cell>
          <cell r="K4783">
            <v>2</v>
          </cell>
        </row>
        <row r="4784">
          <cell r="A4784" t="str">
            <v>M2</v>
          </cell>
          <cell r="B4784" t="str">
            <v>A5C</v>
          </cell>
          <cell r="C4784" t="str">
            <v>P</v>
          </cell>
          <cell r="D4784" t="str">
            <v>23007</v>
          </cell>
          <cell r="E4784" t="str">
            <v>CHECK VA</v>
          </cell>
          <cell r="F4784">
            <v>6</v>
          </cell>
          <cell r="G4784" t="str">
            <v>VCB8010400001H00</v>
          </cell>
          <cell r="H4784">
            <v>1.5</v>
          </cell>
          <cell r="I4784" t="str">
            <v>--</v>
          </cell>
          <cell r="J4784">
            <v>1</v>
          </cell>
          <cell r="K4784">
            <v>1</v>
          </cell>
        </row>
        <row r="4785">
          <cell r="A4785" t="str">
            <v>M2</v>
          </cell>
          <cell r="B4785" t="str">
            <v>A5C</v>
          </cell>
          <cell r="C4785" t="str">
            <v>P</v>
          </cell>
          <cell r="D4785" t="str">
            <v>23116</v>
          </cell>
          <cell r="E4785" t="str">
            <v>CHECK VA</v>
          </cell>
          <cell r="F4785">
            <v>6</v>
          </cell>
          <cell r="G4785" t="str">
            <v>VCB8010400001H00</v>
          </cell>
          <cell r="H4785">
            <v>1.5</v>
          </cell>
          <cell r="I4785" t="str">
            <v>--</v>
          </cell>
          <cell r="J4785">
            <v>2</v>
          </cell>
          <cell r="K4785">
            <v>2</v>
          </cell>
        </row>
        <row r="4786">
          <cell r="A4786" t="str">
            <v>M2</v>
          </cell>
          <cell r="B4786" t="str">
            <v>A5C</v>
          </cell>
          <cell r="C4786" t="str">
            <v>P</v>
          </cell>
          <cell r="D4786" t="str">
            <v>23192</v>
          </cell>
          <cell r="E4786" t="str">
            <v>GLOBE VA</v>
          </cell>
          <cell r="F4786">
            <v>6</v>
          </cell>
          <cell r="G4786" t="str">
            <v>VL8010100001H00</v>
          </cell>
          <cell r="H4786">
            <v>1.5</v>
          </cell>
          <cell r="I4786" t="str">
            <v>--</v>
          </cell>
          <cell r="J4786">
            <v>1</v>
          </cell>
          <cell r="K4786">
            <v>1</v>
          </cell>
        </row>
        <row r="4787">
          <cell r="A4787" t="str">
            <v>M2</v>
          </cell>
          <cell r="B4787" t="str">
            <v>A5C</v>
          </cell>
          <cell r="C4787" t="str">
            <v>P</v>
          </cell>
          <cell r="D4787" t="str">
            <v>23055</v>
          </cell>
          <cell r="E4787" t="str">
            <v>BALL VA</v>
          </cell>
          <cell r="F4787">
            <v>6</v>
          </cell>
          <cell r="G4787" t="str">
            <v>VB8010600001H00</v>
          </cell>
          <cell r="H4787">
            <v>1.5</v>
          </cell>
          <cell r="I4787" t="str">
            <v>--</v>
          </cell>
          <cell r="J4787">
            <v>2</v>
          </cell>
          <cell r="K4787">
            <v>2</v>
          </cell>
        </row>
        <row r="4788">
          <cell r="A4788" t="str">
            <v>M2</v>
          </cell>
          <cell r="B4788" t="str">
            <v>A5C</v>
          </cell>
          <cell r="C4788" t="str">
            <v>P</v>
          </cell>
          <cell r="D4788" t="str">
            <v>23008</v>
          </cell>
          <cell r="E4788" t="str">
            <v>BALL VA</v>
          </cell>
          <cell r="F4788">
            <v>6</v>
          </cell>
          <cell r="G4788" t="str">
            <v>VB8010600001H00</v>
          </cell>
          <cell r="H4788">
            <v>1.5</v>
          </cell>
          <cell r="I4788" t="str">
            <v>--</v>
          </cell>
          <cell r="J4788">
            <v>3</v>
          </cell>
          <cell r="K4788">
            <v>3</v>
          </cell>
        </row>
        <row r="4789">
          <cell r="A4789" t="str">
            <v>M2</v>
          </cell>
          <cell r="B4789" t="str">
            <v>A5C</v>
          </cell>
          <cell r="C4789" t="str">
            <v>P</v>
          </cell>
          <cell r="D4789" t="str">
            <v>23019</v>
          </cell>
          <cell r="E4789" t="str">
            <v>BALL VA</v>
          </cell>
          <cell r="F4789">
            <v>6</v>
          </cell>
          <cell r="G4789" t="str">
            <v>VB8010600001H00</v>
          </cell>
          <cell r="H4789">
            <v>1.5</v>
          </cell>
          <cell r="I4789" t="str">
            <v>--</v>
          </cell>
          <cell r="J4789">
            <v>2</v>
          </cell>
          <cell r="K4789">
            <v>2</v>
          </cell>
        </row>
        <row r="4790">
          <cell r="A4790" t="str">
            <v>M2</v>
          </cell>
          <cell r="B4790" t="str">
            <v>A5C</v>
          </cell>
          <cell r="C4790" t="str">
            <v>P</v>
          </cell>
          <cell r="D4790" t="str">
            <v>23039</v>
          </cell>
          <cell r="E4790" t="str">
            <v>BALL VA</v>
          </cell>
          <cell r="F4790">
            <v>6</v>
          </cell>
          <cell r="G4790" t="str">
            <v>VB8010600001H00</v>
          </cell>
          <cell r="H4790">
            <v>1.5</v>
          </cell>
          <cell r="I4790" t="str">
            <v>--</v>
          </cell>
          <cell r="J4790">
            <v>2</v>
          </cell>
          <cell r="K4790">
            <v>2</v>
          </cell>
        </row>
        <row r="4791">
          <cell r="A4791" t="str">
            <v>M2</v>
          </cell>
          <cell r="B4791" t="str">
            <v>A5C</v>
          </cell>
          <cell r="C4791" t="str">
            <v>P</v>
          </cell>
          <cell r="D4791" t="str">
            <v>23039</v>
          </cell>
          <cell r="E4791" t="str">
            <v>BALL VA</v>
          </cell>
          <cell r="F4791">
            <v>6</v>
          </cell>
          <cell r="G4791" t="str">
            <v>VB8010600001H00</v>
          </cell>
          <cell r="H4791">
            <v>1.5</v>
          </cell>
          <cell r="I4791" t="str">
            <v>--</v>
          </cell>
          <cell r="J4791">
            <v>2</v>
          </cell>
          <cell r="K4791">
            <v>2</v>
          </cell>
        </row>
        <row r="4792">
          <cell r="A4792" t="str">
            <v>M2</v>
          </cell>
          <cell r="B4792" t="str">
            <v>A5C</v>
          </cell>
          <cell r="C4792" t="str">
            <v>P</v>
          </cell>
          <cell r="D4792" t="str">
            <v>23077</v>
          </cell>
          <cell r="E4792" t="str">
            <v>BALL VA</v>
          </cell>
          <cell r="F4792">
            <v>6</v>
          </cell>
          <cell r="G4792" t="str">
            <v>VB8010600001H00</v>
          </cell>
          <cell r="H4792">
            <v>1.5</v>
          </cell>
          <cell r="I4792" t="str">
            <v>--</v>
          </cell>
          <cell r="J4792">
            <v>2</v>
          </cell>
          <cell r="K4792">
            <v>2</v>
          </cell>
        </row>
        <row r="4793">
          <cell r="A4793" t="str">
            <v>M2</v>
          </cell>
          <cell r="B4793" t="str">
            <v>A5C</v>
          </cell>
          <cell r="C4793" t="str">
            <v>P</v>
          </cell>
          <cell r="D4793" t="str">
            <v>23216</v>
          </cell>
          <cell r="E4793" t="str">
            <v>BALL VA</v>
          </cell>
          <cell r="F4793">
            <v>6</v>
          </cell>
          <cell r="G4793" t="str">
            <v>VB8010600001H00</v>
          </cell>
          <cell r="H4793">
            <v>1.5</v>
          </cell>
          <cell r="I4793" t="str">
            <v>--</v>
          </cell>
          <cell r="J4793">
            <v>1</v>
          </cell>
          <cell r="K4793">
            <v>1</v>
          </cell>
        </row>
        <row r="4794">
          <cell r="A4794" t="str">
            <v>M2</v>
          </cell>
          <cell r="B4794" t="str">
            <v>A5C</v>
          </cell>
          <cell r="C4794" t="str">
            <v>P</v>
          </cell>
          <cell r="D4794" t="str">
            <v>23218</v>
          </cell>
          <cell r="E4794" t="str">
            <v>BALL VA</v>
          </cell>
          <cell r="F4794">
            <v>6</v>
          </cell>
          <cell r="G4794" t="str">
            <v>VB8010600001H00</v>
          </cell>
          <cell r="H4794">
            <v>1.5</v>
          </cell>
          <cell r="I4794" t="str">
            <v>--</v>
          </cell>
          <cell r="J4794">
            <v>1</v>
          </cell>
          <cell r="K4794">
            <v>1</v>
          </cell>
        </row>
        <row r="4795">
          <cell r="A4795" t="str">
            <v>M2</v>
          </cell>
          <cell r="B4795" t="str">
            <v>A5C</v>
          </cell>
          <cell r="C4795" t="str">
            <v>P</v>
          </cell>
          <cell r="D4795" t="str">
            <v>23222</v>
          </cell>
          <cell r="E4795" t="str">
            <v>BALL VA</v>
          </cell>
          <cell r="F4795">
            <v>6</v>
          </cell>
          <cell r="G4795" t="str">
            <v>VB8010600001H00</v>
          </cell>
          <cell r="H4795">
            <v>1.5</v>
          </cell>
          <cell r="I4795" t="str">
            <v>--</v>
          </cell>
          <cell r="J4795">
            <v>1</v>
          </cell>
          <cell r="K4795">
            <v>1</v>
          </cell>
        </row>
        <row r="4796">
          <cell r="A4796" t="str">
            <v>M2</v>
          </cell>
          <cell r="B4796" t="str">
            <v>A5C</v>
          </cell>
          <cell r="C4796" t="str">
            <v>P</v>
          </cell>
          <cell r="D4796" t="str">
            <v>23242</v>
          </cell>
          <cell r="E4796" t="str">
            <v>BALL VA</v>
          </cell>
          <cell r="F4796">
            <v>6</v>
          </cell>
          <cell r="G4796" t="str">
            <v>VB8010600001H00</v>
          </cell>
          <cell r="H4796">
            <v>1.5</v>
          </cell>
          <cell r="I4796" t="str">
            <v>--</v>
          </cell>
          <cell r="J4796">
            <v>1</v>
          </cell>
          <cell r="K4796">
            <v>1</v>
          </cell>
        </row>
        <row r="4797">
          <cell r="A4797" t="str">
            <v>M2</v>
          </cell>
          <cell r="B4797" t="str">
            <v>A5C</v>
          </cell>
          <cell r="C4797" t="str">
            <v>TRIM</v>
          </cell>
          <cell r="D4797" t="str">
            <v>C-2304</v>
          </cell>
          <cell r="E4797" t="str">
            <v>BALL VA</v>
          </cell>
          <cell r="F4797">
            <v>6</v>
          </cell>
          <cell r="G4797" t="str">
            <v>VB8010600001H00</v>
          </cell>
          <cell r="H4797">
            <v>1.5</v>
          </cell>
          <cell r="I4797" t="str">
            <v>--</v>
          </cell>
          <cell r="J4797">
            <v>2</v>
          </cell>
          <cell r="K4797">
            <v>2</v>
          </cell>
        </row>
        <row r="4798">
          <cell r="A4798" t="str">
            <v>M2</v>
          </cell>
          <cell r="B4798" t="str">
            <v>A5C</v>
          </cell>
          <cell r="C4798" t="str">
            <v>TRIM</v>
          </cell>
          <cell r="D4798" t="str">
            <v>C-2305</v>
          </cell>
          <cell r="E4798" t="str">
            <v>BALL VA</v>
          </cell>
          <cell r="F4798">
            <v>6</v>
          </cell>
          <cell r="G4798" t="str">
            <v>VB8010600001H00</v>
          </cell>
          <cell r="H4798">
            <v>1.5</v>
          </cell>
          <cell r="I4798" t="str">
            <v>--</v>
          </cell>
          <cell r="J4798">
            <v>2</v>
          </cell>
          <cell r="K4798">
            <v>2</v>
          </cell>
        </row>
        <row r="4799">
          <cell r="A4799" t="str">
            <v>M2</v>
          </cell>
          <cell r="B4799" t="str">
            <v>A5C</v>
          </cell>
          <cell r="C4799" t="str">
            <v>TRIM</v>
          </cell>
          <cell r="D4799" t="str">
            <v>C-2306</v>
          </cell>
          <cell r="E4799" t="str">
            <v>BALL VA</v>
          </cell>
          <cell r="F4799">
            <v>6</v>
          </cell>
          <cell r="G4799" t="str">
            <v>VB8010600001H00</v>
          </cell>
          <cell r="H4799">
            <v>1.5</v>
          </cell>
          <cell r="I4799" t="str">
            <v>--</v>
          </cell>
          <cell r="J4799">
            <v>2</v>
          </cell>
          <cell r="K4799">
            <v>2</v>
          </cell>
        </row>
        <row r="4800">
          <cell r="A4800" t="str">
            <v>M2</v>
          </cell>
          <cell r="B4800" t="str">
            <v>A5C</v>
          </cell>
          <cell r="C4800" t="str">
            <v>TRIM</v>
          </cell>
          <cell r="D4800" t="str">
            <v>V-2302</v>
          </cell>
          <cell r="E4800" t="str">
            <v>BALL VA</v>
          </cell>
          <cell r="F4800">
            <v>6</v>
          </cell>
          <cell r="G4800" t="str">
            <v>VB8010600001H00</v>
          </cell>
          <cell r="H4800">
            <v>1.5</v>
          </cell>
          <cell r="I4800" t="str">
            <v>--</v>
          </cell>
          <cell r="J4800">
            <v>2</v>
          </cell>
          <cell r="K4800">
            <v>2</v>
          </cell>
        </row>
        <row r="4801">
          <cell r="A4801" t="str">
            <v>M2</v>
          </cell>
          <cell r="B4801" t="str">
            <v>A5C</v>
          </cell>
          <cell r="C4801" t="str">
            <v>TRIM</v>
          </cell>
          <cell r="D4801" t="str">
            <v>V-2306</v>
          </cell>
          <cell r="E4801" t="str">
            <v>BALL VA</v>
          </cell>
          <cell r="F4801">
            <v>6</v>
          </cell>
          <cell r="G4801" t="str">
            <v>VB8010600001H00</v>
          </cell>
          <cell r="H4801">
            <v>1.5</v>
          </cell>
          <cell r="I4801" t="str">
            <v>--</v>
          </cell>
          <cell r="J4801">
            <v>2</v>
          </cell>
          <cell r="K4801">
            <v>2</v>
          </cell>
        </row>
        <row r="4802">
          <cell r="A4802" t="str">
            <v>M2</v>
          </cell>
          <cell r="B4802" t="str">
            <v>A5C</v>
          </cell>
          <cell r="C4802" t="str">
            <v>TRIM</v>
          </cell>
          <cell r="D4802" t="str">
            <v>V-2308</v>
          </cell>
          <cell r="E4802" t="str">
            <v>BALL VA</v>
          </cell>
          <cell r="F4802">
            <v>6</v>
          </cell>
          <cell r="G4802" t="str">
            <v>VB8010600001H00</v>
          </cell>
          <cell r="H4802">
            <v>1.5</v>
          </cell>
          <cell r="I4802" t="str">
            <v>--</v>
          </cell>
          <cell r="J4802">
            <v>2</v>
          </cell>
          <cell r="K4802">
            <v>2</v>
          </cell>
        </row>
        <row r="4803">
          <cell r="A4803" t="str">
            <v>M2</v>
          </cell>
          <cell r="B4803" t="str">
            <v>A5C</v>
          </cell>
          <cell r="C4803" t="str">
            <v>TRIM</v>
          </cell>
          <cell r="D4803" t="str">
            <v>V-2310</v>
          </cell>
          <cell r="E4803" t="str">
            <v>BALL VA</v>
          </cell>
          <cell r="F4803">
            <v>6</v>
          </cell>
          <cell r="G4803" t="str">
            <v>VB8010600001H00</v>
          </cell>
          <cell r="H4803">
            <v>1.5</v>
          </cell>
          <cell r="I4803" t="str">
            <v>--</v>
          </cell>
          <cell r="J4803">
            <v>2</v>
          </cell>
          <cell r="K4803">
            <v>2</v>
          </cell>
        </row>
        <row r="4804">
          <cell r="A4804" t="str">
            <v>M2</v>
          </cell>
          <cell r="B4804" t="str">
            <v>A5C</v>
          </cell>
          <cell r="C4804" t="str">
            <v>TRIM</v>
          </cell>
          <cell r="D4804" t="str">
            <v>V-2313</v>
          </cell>
          <cell r="E4804" t="str">
            <v>BALL VA</v>
          </cell>
          <cell r="F4804">
            <v>6</v>
          </cell>
          <cell r="G4804" t="str">
            <v>VB8010600001H00</v>
          </cell>
          <cell r="H4804">
            <v>1.5</v>
          </cell>
          <cell r="I4804" t="str">
            <v>--</v>
          </cell>
          <cell r="J4804">
            <v>2</v>
          </cell>
          <cell r="K4804">
            <v>2</v>
          </cell>
        </row>
        <row r="4805">
          <cell r="A4805" t="str">
            <v>M2</v>
          </cell>
          <cell r="B4805" t="str">
            <v>A5C</v>
          </cell>
          <cell r="C4805" t="str">
            <v>P</v>
          </cell>
          <cell r="D4805" t="str">
            <v>23033</v>
          </cell>
          <cell r="E4805" t="str">
            <v>BALL VA</v>
          </cell>
          <cell r="F4805">
            <v>6</v>
          </cell>
          <cell r="G4805" t="str">
            <v>VB8010600001H00</v>
          </cell>
          <cell r="H4805">
            <v>1.5</v>
          </cell>
          <cell r="I4805" t="str">
            <v>--</v>
          </cell>
          <cell r="J4805">
            <v>2</v>
          </cell>
          <cell r="K4805">
            <v>2</v>
          </cell>
        </row>
        <row r="4806">
          <cell r="A4806" t="str">
            <v>M2</v>
          </cell>
          <cell r="B4806" t="str">
            <v>A5C</v>
          </cell>
          <cell r="C4806" t="str">
            <v>P</v>
          </cell>
          <cell r="D4806" t="str">
            <v>23033</v>
          </cell>
          <cell r="E4806" t="str">
            <v>BALL VA</v>
          </cell>
          <cell r="F4806">
            <v>6</v>
          </cell>
          <cell r="G4806" t="str">
            <v>VB8010600001H00</v>
          </cell>
          <cell r="H4806">
            <v>1.5</v>
          </cell>
          <cell r="I4806" t="str">
            <v>--</v>
          </cell>
          <cell r="J4806">
            <v>1</v>
          </cell>
          <cell r="K4806">
            <v>1</v>
          </cell>
        </row>
        <row r="4807">
          <cell r="A4807" t="str">
            <v>M2</v>
          </cell>
          <cell r="B4807" t="str">
            <v>A5C</v>
          </cell>
          <cell r="C4807" t="str">
            <v>P</v>
          </cell>
          <cell r="D4807" t="str">
            <v>23044</v>
          </cell>
          <cell r="E4807" t="str">
            <v>BALL VA</v>
          </cell>
          <cell r="F4807">
            <v>6</v>
          </cell>
          <cell r="G4807" t="str">
            <v>VB8010600001H00</v>
          </cell>
          <cell r="H4807">
            <v>1.5</v>
          </cell>
          <cell r="I4807" t="str">
            <v>--</v>
          </cell>
          <cell r="J4807">
            <v>2</v>
          </cell>
          <cell r="K4807">
            <v>2</v>
          </cell>
        </row>
        <row r="4808">
          <cell r="A4808" t="str">
            <v>M2</v>
          </cell>
          <cell r="B4808" t="str">
            <v>A5C</v>
          </cell>
          <cell r="C4808" t="str">
            <v>P</v>
          </cell>
          <cell r="D4808" t="str">
            <v>23170</v>
          </cell>
          <cell r="E4808" t="str">
            <v>BALL VA</v>
          </cell>
          <cell r="F4808">
            <v>6</v>
          </cell>
          <cell r="G4808" t="str">
            <v>VB8010600001H00</v>
          </cell>
          <cell r="H4808">
            <v>1.5</v>
          </cell>
          <cell r="I4808" t="str">
            <v>--</v>
          </cell>
          <cell r="J4808">
            <v>3</v>
          </cell>
          <cell r="K4808">
            <v>3</v>
          </cell>
        </row>
        <row r="4809">
          <cell r="A4809" t="str">
            <v>M2</v>
          </cell>
          <cell r="B4809" t="str">
            <v>A5C</v>
          </cell>
          <cell r="C4809" t="str">
            <v>TRIM</v>
          </cell>
          <cell r="D4809" t="str">
            <v>C-2303</v>
          </cell>
          <cell r="E4809" t="str">
            <v>BALL VA</v>
          </cell>
          <cell r="F4809">
            <v>6</v>
          </cell>
          <cell r="G4809" t="str">
            <v>VB8010600001H00</v>
          </cell>
          <cell r="H4809">
            <v>1.5</v>
          </cell>
          <cell r="I4809" t="str">
            <v>--</v>
          </cell>
          <cell r="J4809">
            <v>2</v>
          </cell>
          <cell r="K4809">
            <v>2</v>
          </cell>
        </row>
        <row r="4810">
          <cell r="A4810" t="str">
            <v>M2</v>
          </cell>
          <cell r="B4810" t="str">
            <v>A5C</v>
          </cell>
          <cell r="C4810" t="str">
            <v>TRIM</v>
          </cell>
          <cell r="D4810" t="str">
            <v>V-2304</v>
          </cell>
          <cell r="E4810" t="str">
            <v>BALL VA</v>
          </cell>
          <cell r="F4810">
            <v>6</v>
          </cell>
          <cell r="G4810" t="str">
            <v>VB8010600001H00</v>
          </cell>
          <cell r="H4810">
            <v>1.5</v>
          </cell>
          <cell r="I4810" t="str">
            <v>--</v>
          </cell>
          <cell r="J4810">
            <v>2</v>
          </cell>
          <cell r="K4810">
            <v>2</v>
          </cell>
        </row>
        <row r="4811">
          <cell r="A4811" t="str">
            <v>M2</v>
          </cell>
          <cell r="B4811" t="str">
            <v>A5C</v>
          </cell>
          <cell r="C4811" t="str">
            <v>P</v>
          </cell>
          <cell r="D4811" t="str">
            <v>23033</v>
          </cell>
          <cell r="E4811" t="str">
            <v>CHECK VA</v>
          </cell>
          <cell r="F4811">
            <v>6</v>
          </cell>
          <cell r="G4811" t="str">
            <v>VCB8010400001H00</v>
          </cell>
          <cell r="H4811">
            <v>1.5</v>
          </cell>
          <cell r="I4811" t="str">
            <v>--</v>
          </cell>
          <cell r="J4811">
            <v>2</v>
          </cell>
          <cell r="K4811">
            <v>2</v>
          </cell>
        </row>
        <row r="4812">
          <cell r="A4812" t="str">
            <v>M2</v>
          </cell>
          <cell r="B4812" t="str">
            <v>A5C</v>
          </cell>
          <cell r="C4812" t="str">
            <v>P</v>
          </cell>
          <cell r="D4812" t="str">
            <v>23039</v>
          </cell>
          <cell r="E4812" t="str">
            <v>CHECK VA</v>
          </cell>
          <cell r="F4812">
            <v>6</v>
          </cell>
          <cell r="G4812" t="str">
            <v>VCB8010400001H00</v>
          </cell>
          <cell r="H4812">
            <v>1.5</v>
          </cell>
          <cell r="I4812" t="str">
            <v>--</v>
          </cell>
          <cell r="J4812">
            <v>2</v>
          </cell>
          <cell r="K4812">
            <v>2</v>
          </cell>
        </row>
        <row r="4813">
          <cell r="A4813" t="str">
            <v>M2</v>
          </cell>
          <cell r="B4813" t="str">
            <v>A5C</v>
          </cell>
          <cell r="C4813" t="str">
            <v>P</v>
          </cell>
          <cell r="D4813" t="str">
            <v>23020</v>
          </cell>
          <cell r="E4813" t="str">
            <v>GLOBE VA</v>
          </cell>
          <cell r="F4813">
            <v>6</v>
          </cell>
          <cell r="G4813" t="str">
            <v>VL8010100001H00</v>
          </cell>
          <cell r="H4813">
            <v>1.5</v>
          </cell>
          <cell r="I4813" t="str">
            <v>--</v>
          </cell>
          <cell r="J4813">
            <v>1</v>
          </cell>
          <cell r="K4813">
            <v>1</v>
          </cell>
        </row>
        <row r="4814">
          <cell r="A4814" t="str">
            <v>M2</v>
          </cell>
          <cell r="B4814" t="str">
            <v>A5C</v>
          </cell>
          <cell r="C4814" t="str">
            <v>P</v>
          </cell>
          <cell r="D4814" t="str">
            <v>23220</v>
          </cell>
          <cell r="E4814" t="str">
            <v>GLOBE VA</v>
          </cell>
          <cell r="F4814">
            <v>6</v>
          </cell>
          <cell r="G4814" t="str">
            <v>VL8010100001H00</v>
          </cell>
          <cell r="H4814">
            <v>1.5</v>
          </cell>
          <cell r="I4814" t="str">
            <v>--</v>
          </cell>
          <cell r="J4814">
            <v>1</v>
          </cell>
          <cell r="K4814">
            <v>1</v>
          </cell>
        </row>
        <row r="4815">
          <cell r="A4815" t="str">
            <v>M2</v>
          </cell>
          <cell r="B4815" t="str">
            <v>A5C</v>
          </cell>
          <cell r="C4815" t="str">
            <v>P</v>
          </cell>
          <cell r="D4815" t="str">
            <v>23054</v>
          </cell>
          <cell r="E4815" t="str">
            <v>GLOBE VA</v>
          </cell>
          <cell r="F4815">
            <v>6</v>
          </cell>
          <cell r="G4815" t="str">
            <v>VL8010100001H00</v>
          </cell>
          <cell r="H4815">
            <v>1.5</v>
          </cell>
          <cell r="I4815" t="str">
            <v>--</v>
          </cell>
          <cell r="J4815">
            <v>1</v>
          </cell>
          <cell r="K4815">
            <v>1</v>
          </cell>
        </row>
        <row r="4816">
          <cell r="A4816" t="str">
            <v>M2</v>
          </cell>
          <cell r="B4816" t="str">
            <v>A5C</v>
          </cell>
          <cell r="C4816" t="str">
            <v>P</v>
          </cell>
          <cell r="D4816" t="str">
            <v>23243</v>
          </cell>
          <cell r="E4816" t="str">
            <v>GLOBE VA</v>
          </cell>
          <cell r="F4816">
            <v>6</v>
          </cell>
          <cell r="G4816" t="str">
            <v>VL8010100001H00</v>
          </cell>
          <cell r="H4816">
            <v>1.5</v>
          </cell>
          <cell r="I4816" t="str">
            <v>--</v>
          </cell>
          <cell r="J4816">
            <v>1</v>
          </cell>
          <cell r="K4816">
            <v>1</v>
          </cell>
        </row>
        <row r="4817">
          <cell r="A4817" t="str">
            <v>M2</v>
          </cell>
          <cell r="B4817" t="str">
            <v>A5C</v>
          </cell>
          <cell r="C4817" t="str">
            <v>P</v>
          </cell>
          <cell r="D4817" t="str">
            <v>23009</v>
          </cell>
          <cell r="E4817" t="str">
            <v>BALL VA</v>
          </cell>
          <cell r="F4817">
            <v>6</v>
          </cell>
          <cell r="G4817" t="str">
            <v>VB8010600001H00</v>
          </cell>
          <cell r="H4817">
            <v>1.5</v>
          </cell>
          <cell r="I4817" t="str">
            <v>--</v>
          </cell>
          <cell r="J4817">
            <v>2</v>
          </cell>
          <cell r="K4817">
            <v>2</v>
          </cell>
        </row>
        <row r="4818">
          <cell r="A4818" t="str">
            <v>M2</v>
          </cell>
          <cell r="B4818" t="str">
            <v>A5C</v>
          </cell>
          <cell r="C4818" t="str">
            <v>P</v>
          </cell>
          <cell r="D4818" t="str">
            <v>24001</v>
          </cell>
          <cell r="E4818" t="str">
            <v>BALL VA</v>
          </cell>
          <cell r="F4818">
            <v>6</v>
          </cell>
          <cell r="G4818" t="str">
            <v>VB8010600001H00</v>
          </cell>
          <cell r="H4818">
            <v>1.5</v>
          </cell>
          <cell r="I4818" t="str">
            <v>--</v>
          </cell>
          <cell r="J4818">
            <v>2</v>
          </cell>
          <cell r="K4818">
            <v>2</v>
          </cell>
        </row>
        <row r="4819">
          <cell r="A4819" t="str">
            <v>M2</v>
          </cell>
          <cell r="B4819" t="str">
            <v>A5C</v>
          </cell>
          <cell r="C4819" t="str">
            <v>TRIM</v>
          </cell>
          <cell r="D4819" t="str">
            <v>C-2301</v>
          </cell>
          <cell r="E4819" t="str">
            <v>BALL VA</v>
          </cell>
          <cell r="F4819">
            <v>6</v>
          </cell>
          <cell r="G4819" t="str">
            <v>VB8010600001H00</v>
          </cell>
          <cell r="H4819">
            <v>1.5</v>
          </cell>
          <cell r="I4819" t="str">
            <v>--</v>
          </cell>
          <cell r="J4819">
            <v>2</v>
          </cell>
          <cell r="K4819">
            <v>2</v>
          </cell>
        </row>
        <row r="4820">
          <cell r="A4820" t="str">
            <v>M2</v>
          </cell>
          <cell r="B4820" t="str">
            <v>A5C</v>
          </cell>
          <cell r="C4820" t="str">
            <v>P</v>
          </cell>
          <cell r="D4820" t="str">
            <v>24012</v>
          </cell>
          <cell r="E4820" t="str">
            <v>BALL VA</v>
          </cell>
          <cell r="F4820">
            <v>6</v>
          </cell>
          <cell r="G4820" t="str">
            <v>VB8010600001H00</v>
          </cell>
          <cell r="H4820">
            <v>1.5</v>
          </cell>
          <cell r="I4820" t="str">
            <v>--</v>
          </cell>
          <cell r="J4820">
            <v>1</v>
          </cell>
          <cell r="K4820">
            <v>1</v>
          </cell>
        </row>
        <row r="4821">
          <cell r="A4821" t="str">
            <v>M2</v>
          </cell>
          <cell r="B4821" t="str">
            <v>B2C</v>
          </cell>
          <cell r="C4821" t="str">
            <v>SCL</v>
          </cell>
          <cell r="D4821" t="str">
            <v>TRAP</v>
          </cell>
          <cell r="E4821" t="str">
            <v>STEAM TRAP</v>
          </cell>
          <cell r="F4821">
            <v>7</v>
          </cell>
          <cell r="G4821" t="str">
            <v>SP-05-100000T00</v>
          </cell>
          <cell r="H4821">
            <v>0.75</v>
          </cell>
          <cell r="I4821" t="str">
            <v>--</v>
          </cell>
          <cell r="J4821">
            <v>2</v>
          </cell>
          <cell r="K4821">
            <v>2</v>
          </cell>
        </row>
        <row r="4822">
          <cell r="A4822" t="str">
            <v>M2</v>
          </cell>
          <cell r="B4822" t="str">
            <v>B2C</v>
          </cell>
          <cell r="C4822" t="str">
            <v>SCH</v>
          </cell>
          <cell r="D4822" t="str">
            <v>23613</v>
          </cell>
          <cell r="E4822" t="str">
            <v>STEAM TRAP</v>
          </cell>
          <cell r="F4822">
            <v>7</v>
          </cell>
          <cell r="G4822" t="str">
            <v>SP-05-100000T00</v>
          </cell>
          <cell r="H4822">
            <v>0.75</v>
          </cell>
          <cell r="I4822" t="str">
            <v>--</v>
          </cell>
          <cell r="J4822">
            <v>1</v>
          </cell>
          <cell r="K4822">
            <v>1</v>
          </cell>
        </row>
        <row r="4823">
          <cell r="A4823" t="str">
            <v>M2</v>
          </cell>
          <cell r="B4823" t="str">
            <v>A5C</v>
          </cell>
          <cell r="C4823" t="str">
            <v>P</v>
          </cell>
          <cell r="D4823" t="str">
            <v>24007</v>
          </cell>
          <cell r="E4823" t="str">
            <v>T-STR</v>
          </cell>
          <cell r="F4823">
            <v>7</v>
          </cell>
          <cell r="G4823" t="str">
            <v>SP-07-108000100</v>
          </cell>
          <cell r="H4823">
            <v>1</v>
          </cell>
          <cell r="I4823" t="str">
            <v>--</v>
          </cell>
          <cell r="J4823">
            <v>1</v>
          </cell>
          <cell r="K4823">
            <v>1</v>
          </cell>
        </row>
        <row r="4824">
          <cell r="A4824" t="str">
            <v>M2</v>
          </cell>
          <cell r="B4824" t="str">
            <v>A5C</v>
          </cell>
          <cell r="C4824" t="str">
            <v>P</v>
          </cell>
          <cell r="D4824" t="str">
            <v>24025</v>
          </cell>
          <cell r="E4824" t="str">
            <v>Y-STR</v>
          </cell>
          <cell r="F4824">
            <v>7</v>
          </cell>
          <cell r="G4824" t="str">
            <v>SP-06-100000100</v>
          </cell>
          <cell r="H4824">
            <v>1</v>
          </cell>
          <cell r="I4824" t="str">
            <v>--</v>
          </cell>
          <cell r="J4824">
            <v>2</v>
          </cell>
          <cell r="K4824">
            <v>2</v>
          </cell>
        </row>
        <row r="4825">
          <cell r="A4825" t="str">
            <v>M2</v>
          </cell>
          <cell r="B4825" t="str">
            <v>A5C</v>
          </cell>
          <cell r="C4825" t="str">
            <v>P</v>
          </cell>
          <cell r="D4825" t="str">
            <v>23070</v>
          </cell>
          <cell r="E4825" t="str">
            <v>T-STR</v>
          </cell>
          <cell r="F4825">
            <v>7</v>
          </cell>
          <cell r="G4825" t="str">
            <v>SP-07-108001H00</v>
          </cell>
          <cell r="H4825">
            <v>1.5</v>
          </cell>
          <cell r="I4825" t="str">
            <v>--</v>
          </cell>
          <cell r="J4825">
            <v>2</v>
          </cell>
          <cell r="K4825">
            <v>2</v>
          </cell>
        </row>
        <row r="4826">
          <cell r="A4826" t="str">
            <v>M2</v>
          </cell>
          <cell r="B4826" t="str">
            <v>A5C</v>
          </cell>
          <cell r="C4826" t="str">
            <v>P</v>
          </cell>
          <cell r="D4826" t="str">
            <v>23103</v>
          </cell>
          <cell r="E4826" t="str">
            <v>T-STR</v>
          </cell>
          <cell r="F4826">
            <v>7</v>
          </cell>
          <cell r="G4826" t="str">
            <v>SP-07-108001H00</v>
          </cell>
          <cell r="H4826">
            <v>1.5</v>
          </cell>
          <cell r="I4826" t="str">
            <v>--</v>
          </cell>
          <cell r="J4826">
            <v>2</v>
          </cell>
          <cell r="K4826">
            <v>2</v>
          </cell>
        </row>
        <row r="4827">
          <cell r="A4827" t="str">
            <v>M2</v>
          </cell>
          <cell r="B4827" t="str">
            <v>A5C</v>
          </cell>
          <cell r="C4827" t="str">
            <v>P</v>
          </cell>
          <cell r="D4827" t="str">
            <v>23143</v>
          </cell>
          <cell r="E4827" t="str">
            <v>T-STR</v>
          </cell>
          <cell r="F4827">
            <v>7</v>
          </cell>
          <cell r="G4827" t="str">
            <v>SP-07-108001H00</v>
          </cell>
          <cell r="H4827">
            <v>1.5</v>
          </cell>
          <cell r="I4827" t="str">
            <v>--</v>
          </cell>
          <cell r="J4827">
            <v>2</v>
          </cell>
          <cell r="K4827">
            <v>2</v>
          </cell>
        </row>
        <row r="4828">
          <cell r="A4828" t="str">
            <v>M2</v>
          </cell>
          <cell r="B4828" t="str">
            <v>A5C</v>
          </cell>
          <cell r="C4828" t="str">
            <v>P</v>
          </cell>
          <cell r="D4828" t="str">
            <v>23107</v>
          </cell>
          <cell r="E4828" t="str">
            <v>T-STR</v>
          </cell>
          <cell r="F4828">
            <v>7</v>
          </cell>
          <cell r="G4828" t="str">
            <v>SP-07-108001H00</v>
          </cell>
          <cell r="H4828">
            <v>1.5</v>
          </cell>
          <cell r="I4828" t="str">
            <v>--</v>
          </cell>
          <cell r="J4828">
            <v>2</v>
          </cell>
          <cell r="K4828">
            <v>2</v>
          </cell>
        </row>
        <row r="4829">
          <cell r="A4829" t="str">
            <v>M2</v>
          </cell>
          <cell r="B4829" t="str">
            <v>A5C</v>
          </cell>
          <cell r="C4829" t="str">
            <v>P</v>
          </cell>
          <cell r="D4829" t="str">
            <v>23111</v>
          </cell>
          <cell r="E4829" t="str">
            <v>T-STR</v>
          </cell>
          <cell r="F4829">
            <v>7</v>
          </cell>
          <cell r="G4829" t="str">
            <v>SP-07-108001H00</v>
          </cell>
          <cell r="H4829">
            <v>1.5</v>
          </cell>
          <cell r="I4829" t="str">
            <v>--</v>
          </cell>
          <cell r="J4829">
            <v>2</v>
          </cell>
          <cell r="K4829">
            <v>2</v>
          </cell>
        </row>
        <row r="4830">
          <cell r="A4830" t="str">
            <v>M2</v>
          </cell>
          <cell r="B4830" t="str">
            <v>A5C</v>
          </cell>
          <cell r="C4830" t="str">
            <v>P</v>
          </cell>
          <cell r="D4830" t="str">
            <v>23147</v>
          </cell>
          <cell r="E4830" t="str">
            <v>T-STR</v>
          </cell>
          <cell r="F4830">
            <v>7</v>
          </cell>
          <cell r="G4830" t="str">
            <v>SP-07-108001H00</v>
          </cell>
          <cell r="H4830">
            <v>1.5</v>
          </cell>
          <cell r="I4830" t="str">
            <v>--</v>
          </cell>
          <cell r="J4830">
            <v>2</v>
          </cell>
          <cell r="K4830">
            <v>2</v>
          </cell>
        </row>
        <row r="4831">
          <cell r="A4831" t="str">
            <v>M2</v>
          </cell>
          <cell r="B4831" t="str">
            <v>A5C</v>
          </cell>
          <cell r="C4831" t="str">
            <v>P</v>
          </cell>
          <cell r="D4831" t="str">
            <v>23055</v>
          </cell>
          <cell r="E4831" t="str">
            <v>T-STR</v>
          </cell>
          <cell r="F4831">
            <v>7</v>
          </cell>
          <cell r="G4831" t="str">
            <v>SP-07-108001H00</v>
          </cell>
          <cell r="H4831">
            <v>1.5</v>
          </cell>
          <cell r="I4831" t="str">
            <v>--</v>
          </cell>
          <cell r="J4831">
            <v>2</v>
          </cell>
          <cell r="K4831">
            <v>2</v>
          </cell>
        </row>
        <row r="4832">
          <cell r="A4832" t="str">
            <v>M2</v>
          </cell>
          <cell r="B4832" t="str">
            <v>A5C</v>
          </cell>
          <cell r="C4832" t="str">
            <v>P</v>
          </cell>
          <cell r="D4832" t="str">
            <v>23044</v>
          </cell>
          <cell r="E4832" t="str">
            <v>T-STR</v>
          </cell>
          <cell r="F4832">
            <v>7</v>
          </cell>
          <cell r="G4832" t="str">
            <v>SP-07-108001H00</v>
          </cell>
          <cell r="H4832">
            <v>1.5</v>
          </cell>
          <cell r="I4832" t="str">
            <v>--</v>
          </cell>
          <cell r="J4832">
            <v>2</v>
          </cell>
          <cell r="K4832">
            <v>2</v>
          </cell>
        </row>
        <row r="4833">
          <cell r="A4833" t="str">
            <v>M2</v>
          </cell>
          <cell r="B4833" t="str">
            <v>A5C</v>
          </cell>
          <cell r="C4833" t="str">
            <v>P</v>
          </cell>
          <cell r="D4833" t="str">
            <v>23077</v>
          </cell>
          <cell r="E4833" t="str">
            <v>T-STR</v>
          </cell>
          <cell r="F4833">
            <v>7</v>
          </cell>
          <cell r="G4833" t="str">
            <v>SP-07-108001H00</v>
          </cell>
          <cell r="H4833">
            <v>1.5</v>
          </cell>
          <cell r="I4833" t="str">
            <v>--</v>
          </cell>
          <cell r="J4833">
            <v>2</v>
          </cell>
          <cell r="K4833">
            <v>2</v>
          </cell>
        </row>
        <row r="4834">
          <cell r="A4834" t="str">
            <v>M2</v>
          </cell>
          <cell r="B4834" t="str">
            <v>A5C</v>
          </cell>
          <cell r="C4834" t="str">
            <v>P</v>
          </cell>
          <cell r="D4834" t="str">
            <v>23009</v>
          </cell>
          <cell r="E4834" t="str">
            <v>T-STR</v>
          </cell>
          <cell r="F4834">
            <v>7</v>
          </cell>
          <cell r="G4834" t="str">
            <v>SP-07-108001H00</v>
          </cell>
          <cell r="H4834">
            <v>1.5</v>
          </cell>
          <cell r="I4834" t="str">
            <v>--</v>
          </cell>
          <cell r="J4834">
            <v>2</v>
          </cell>
          <cell r="K4834">
            <v>2</v>
          </cell>
        </row>
        <row r="4835">
          <cell r="A4835" t="str">
            <v>M2</v>
          </cell>
          <cell r="B4835" t="str">
            <v>A5C</v>
          </cell>
          <cell r="C4835" t="str">
            <v>P</v>
          </cell>
          <cell r="D4835" t="str">
            <v>24001</v>
          </cell>
          <cell r="E4835" t="str">
            <v>Y-STR</v>
          </cell>
          <cell r="F4835">
            <v>7</v>
          </cell>
          <cell r="G4835" t="str">
            <v>SP-06-100001H00</v>
          </cell>
          <cell r="H4835">
            <v>1.5</v>
          </cell>
          <cell r="I4835" t="str">
            <v>--</v>
          </cell>
          <cell r="J4835">
            <v>2</v>
          </cell>
          <cell r="K4835">
            <v>2</v>
          </cell>
        </row>
        <row r="4836">
          <cell r="A4836" t="str">
            <v>MC</v>
          </cell>
          <cell r="B4836" t="str">
            <v>CA304</v>
          </cell>
          <cell r="C4836" t="str">
            <v>SC1</v>
          </cell>
          <cell r="D4836" t="str">
            <v>HOLD</v>
          </cell>
          <cell r="E4836" t="str">
            <v>PIPE</v>
          </cell>
          <cell r="F4836">
            <v>1</v>
          </cell>
          <cell r="G4836" t="str">
            <v>CB100508000H00</v>
          </cell>
          <cell r="H4836">
            <v>0.5</v>
          </cell>
          <cell r="I4836" t="str">
            <v>--</v>
          </cell>
          <cell r="J4836">
            <v>1.5</v>
          </cell>
          <cell r="K4836">
            <v>1.5</v>
          </cell>
        </row>
        <row r="4837">
          <cell r="A4837" t="str">
            <v>MC</v>
          </cell>
          <cell r="B4837" t="str">
            <v>CA304</v>
          </cell>
          <cell r="C4837" t="str">
            <v>SCC</v>
          </cell>
          <cell r="D4837" t="str">
            <v>HOLD</v>
          </cell>
          <cell r="E4837" t="str">
            <v>PIPE</v>
          </cell>
          <cell r="F4837">
            <v>1</v>
          </cell>
          <cell r="G4837" t="str">
            <v>CB100508000H00</v>
          </cell>
          <cell r="H4837">
            <v>0.5</v>
          </cell>
          <cell r="I4837" t="str">
            <v>--</v>
          </cell>
          <cell r="J4837">
            <v>4</v>
          </cell>
          <cell r="K4837">
            <v>4</v>
          </cell>
        </row>
        <row r="4838">
          <cell r="A4838" t="str">
            <v>MC</v>
          </cell>
          <cell r="B4838" t="str">
            <v>CA304</v>
          </cell>
          <cell r="C4838" t="str">
            <v>MC</v>
          </cell>
          <cell r="D4838" t="str">
            <v>HOLD</v>
          </cell>
          <cell r="E4838" t="str">
            <v>PIPE</v>
          </cell>
          <cell r="F4838">
            <v>1</v>
          </cell>
          <cell r="G4838" t="str">
            <v>CB100508000H00</v>
          </cell>
          <cell r="H4838">
            <v>0.5</v>
          </cell>
          <cell r="I4838" t="str">
            <v>--</v>
          </cell>
          <cell r="J4838">
            <v>12</v>
          </cell>
          <cell r="K4838">
            <v>12</v>
          </cell>
        </row>
        <row r="4839">
          <cell r="A4839" t="str">
            <v>MC</v>
          </cell>
          <cell r="B4839" t="str">
            <v>BA305</v>
          </cell>
          <cell r="C4839" t="str">
            <v>VNC</v>
          </cell>
          <cell r="D4839" t="str">
            <v>2016</v>
          </cell>
          <cell r="E4839" t="str">
            <v>PIPE</v>
          </cell>
          <cell r="F4839">
            <v>1</v>
          </cell>
          <cell r="G4839" t="str">
            <v>CB100508000T00</v>
          </cell>
          <cell r="H4839">
            <v>0.75</v>
          </cell>
          <cell r="I4839" t="str">
            <v>--</v>
          </cell>
          <cell r="J4839">
            <v>0.1</v>
          </cell>
          <cell r="K4839">
            <v>0.1</v>
          </cell>
        </row>
        <row r="4840">
          <cell r="A4840" t="str">
            <v>MC</v>
          </cell>
          <cell r="B4840" t="str">
            <v>CA304</v>
          </cell>
          <cell r="C4840" t="str">
            <v>TRIM</v>
          </cell>
          <cell r="D4840" t="str">
            <v>E-1260</v>
          </cell>
          <cell r="E4840" t="str">
            <v>PIPE</v>
          </cell>
          <cell r="F4840">
            <v>1</v>
          </cell>
          <cell r="G4840" t="str">
            <v>CB100508000T00</v>
          </cell>
          <cell r="H4840">
            <v>0.75</v>
          </cell>
          <cell r="I4840" t="str">
            <v>--</v>
          </cell>
          <cell r="J4840">
            <v>0.1</v>
          </cell>
          <cell r="K4840">
            <v>0.1</v>
          </cell>
        </row>
        <row r="4841">
          <cell r="A4841" t="str">
            <v>MC</v>
          </cell>
          <cell r="B4841" t="str">
            <v>CA304</v>
          </cell>
          <cell r="C4841" t="str">
            <v>MC</v>
          </cell>
          <cell r="D4841" t="str">
            <v>2412</v>
          </cell>
          <cell r="E4841" t="str">
            <v>PIPE</v>
          </cell>
          <cell r="F4841">
            <v>1</v>
          </cell>
          <cell r="G4841" t="str">
            <v>CB100508000T00</v>
          </cell>
          <cell r="H4841">
            <v>0.75</v>
          </cell>
          <cell r="I4841" t="str">
            <v>--</v>
          </cell>
          <cell r="J4841">
            <v>0.2</v>
          </cell>
          <cell r="K4841">
            <v>0.2</v>
          </cell>
        </row>
        <row r="4842">
          <cell r="A4842" t="str">
            <v>MC</v>
          </cell>
          <cell r="B4842" t="str">
            <v>CA304</v>
          </cell>
          <cell r="C4842" t="str">
            <v>MC</v>
          </cell>
          <cell r="D4842" t="str">
            <v>2505</v>
          </cell>
          <cell r="E4842" t="str">
            <v>PIPE</v>
          </cell>
          <cell r="F4842">
            <v>1</v>
          </cell>
          <cell r="G4842" t="str">
            <v>CB100508000T00</v>
          </cell>
          <cell r="H4842">
            <v>0.75</v>
          </cell>
          <cell r="I4842" t="str">
            <v>--</v>
          </cell>
          <cell r="J4842">
            <v>0.2</v>
          </cell>
          <cell r="K4842">
            <v>0.2</v>
          </cell>
        </row>
        <row r="4843">
          <cell r="A4843" t="str">
            <v>MC</v>
          </cell>
          <cell r="B4843" t="str">
            <v>CA304</v>
          </cell>
          <cell r="C4843" t="str">
            <v>MC</v>
          </cell>
          <cell r="D4843" t="str">
            <v>2601</v>
          </cell>
          <cell r="E4843" t="str">
            <v>PIPE</v>
          </cell>
          <cell r="F4843">
            <v>1</v>
          </cell>
          <cell r="G4843" t="str">
            <v>CB100508000T00</v>
          </cell>
          <cell r="H4843">
            <v>0.75</v>
          </cell>
          <cell r="I4843" t="str">
            <v>--</v>
          </cell>
          <cell r="J4843">
            <v>0.2</v>
          </cell>
          <cell r="K4843">
            <v>0.2</v>
          </cell>
        </row>
        <row r="4844">
          <cell r="A4844" t="str">
            <v>MC</v>
          </cell>
          <cell r="B4844" t="str">
            <v>CA304</v>
          </cell>
          <cell r="C4844" t="str">
            <v>MC</v>
          </cell>
          <cell r="D4844" t="str">
            <v>2502</v>
          </cell>
          <cell r="E4844" t="str">
            <v>PIPE</v>
          </cell>
          <cell r="F4844">
            <v>1</v>
          </cell>
          <cell r="G4844" t="str">
            <v>CB100508000T00</v>
          </cell>
          <cell r="H4844">
            <v>0.75</v>
          </cell>
          <cell r="I4844" t="str">
            <v>--</v>
          </cell>
          <cell r="J4844">
            <v>0.2</v>
          </cell>
          <cell r="K4844">
            <v>0.2</v>
          </cell>
        </row>
        <row r="4845">
          <cell r="A4845" t="str">
            <v>MC</v>
          </cell>
          <cell r="B4845" t="str">
            <v>CA304</v>
          </cell>
          <cell r="C4845" t="str">
            <v>MC</v>
          </cell>
          <cell r="D4845" t="str">
            <v>2502</v>
          </cell>
          <cell r="E4845" t="str">
            <v>PIPE</v>
          </cell>
          <cell r="F4845">
            <v>1</v>
          </cell>
          <cell r="G4845" t="str">
            <v>CB100508000T00</v>
          </cell>
          <cell r="H4845">
            <v>0.75</v>
          </cell>
          <cell r="I4845" t="str">
            <v>--</v>
          </cell>
          <cell r="J4845">
            <v>0.2</v>
          </cell>
          <cell r="K4845">
            <v>0.2</v>
          </cell>
        </row>
        <row r="4846">
          <cell r="A4846" t="str">
            <v>MC</v>
          </cell>
          <cell r="B4846" t="str">
            <v>CA304</v>
          </cell>
          <cell r="C4846" t="str">
            <v>TRIM</v>
          </cell>
          <cell r="D4846" t="str">
            <v>V-1260A/B</v>
          </cell>
          <cell r="E4846" t="str">
            <v>PIPE</v>
          </cell>
          <cell r="F4846">
            <v>1</v>
          </cell>
          <cell r="G4846" t="str">
            <v>CB100508000T00</v>
          </cell>
          <cell r="H4846">
            <v>0.75</v>
          </cell>
          <cell r="I4846" t="str">
            <v>--</v>
          </cell>
          <cell r="J4846">
            <v>0.3</v>
          </cell>
          <cell r="K4846">
            <v>0.3</v>
          </cell>
        </row>
        <row r="4847">
          <cell r="A4847" t="str">
            <v>MC</v>
          </cell>
          <cell r="B4847" t="str">
            <v>B2C</v>
          </cell>
          <cell r="C4847" t="str">
            <v>SH</v>
          </cell>
          <cell r="D4847" t="str">
            <v>1360</v>
          </cell>
          <cell r="E4847" t="str">
            <v>PIPE</v>
          </cell>
          <cell r="F4847">
            <v>1</v>
          </cell>
          <cell r="G4847" t="str">
            <v>CB100508000T00</v>
          </cell>
          <cell r="H4847">
            <v>0.75</v>
          </cell>
          <cell r="I4847" t="str">
            <v>--</v>
          </cell>
          <cell r="J4847">
            <v>0.5</v>
          </cell>
          <cell r="K4847">
            <v>0.5</v>
          </cell>
        </row>
        <row r="4848">
          <cell r="A4848" t="str">
            <v>MC</v>
          </cell>
          <cell r="B4848" t="str">
            <v>B2C</v>
          </cell>
          <cell r="C4848" t="str">
            <v>SH</v>
          </cell>
          <cell r="D4848" t="str">
            <v>1260</v>
          </cell>
          <cell r="E4848" t="str">
            <v>PIPE</v>
          </cell>
          <cell r="F4848">
            <v>1</v>
          </cell>
          <cell r="G4848" t="str">
            <v>CB100508000T00</v>
          </cell>
          <cell r="H4848">
            <v>0.75</v>
          </cell>
          <cell r="I4848" t="str">
            <v>--</v>
          </cell>
          <cell r="J4848">
            <v>0.5</v>
          </cell>
          <cell r="K4848">
            <v>0.5</v>
          </cell>
        </row>
        <row r="4849">
          <cell r="A4849" t="str">
            <v>MC</v>
          </cell>
          <cell r="B4849" t="str">
            <v>B2C</v>
          </cell>
          <cell r="C4849" t="str">
            <v>SH</v>
          </cell>
          <cell r="D4849" t="str">
            <v>1460</v>
          </cell>
          <cell r="E4849" t="str">
            <v>PIPE</v>
          </cell>
          <cell r="F4849">
            <v>1</v>
          </cell>
          <cell r="G4849" t="str">
            <v>CB100508000T00</v>
          </cell>
          <cell r="H4849">
            <v>0.75</v>
          </cell>
          <cell r="I4849" t="str">
            <v>--</v>
          </cell>
          <cell r="J4849">
            <v>0.5</v>
          </cell>
          <cell r="K4849">
            <v>0.5</v>
          </cell>
        </row>
        <row r="4850">
          <cell r="A4850" t="str">
            <v>MC</v>
          </cell>
          <cell r="B4850" t="str">
            <v>CA307</v>
          </cell>
          <cell r="C4850" t="str">
            <v>HCL</v>
          </cell>
          <cell r="D4850" t="str">
            <v>1100</v>
          </cell>
          <cell r="E4850" t="str">
            <v>PIPE</v>
          </cell>
          <cell r="F4850">
            <v>1</v>
          </cell>
          <cell r="G4850" t="str">
            <v>CB100508000T00</v>
          </cell>
          <cell r="H4850">
            <v>0.75</v>
          </cell>
          <cell r="I4850" t="str">
            <v>--</v>
          </cell>
          <cell r="J4850">
            <v>0.5</v>
          </cell>
          <cell r="K4850">
            <v>0.5</v>
          </cell>
        </row>
        <row r="4851">
          <cell r="A4851" t="str">
            <v>MC</v>
          </cell>
          <cell r="B4851" t="str">
            <v>CA304</v>
          </cell>
          <cell r="C4851" t="str">
            <v>MC</v>
          </cell>
          <cell r="D4851" t="str">
            <v>2501</v>
          </cell>
          <cell r="E4851" t="str">
            <v>PIPE</v>
          </cell>
          <cell r="F4851">
            <v>1</v>
          </cell>
          <cell r="G4851" t="str">
            <v>CB100508000T00</v>
          </cell>
          <cell r="H4851">
            <v>0.75</v>
          </cell>
          <cell r="I4851" t="str">
            <v>--</v>
          </cell>
          <cell r="J4851">
            <v>0.5</v>
          </cell>
          <cell r="K4851">
            <v>0.5</v>
          </cell>
        </row>
        <row r="4852">
          <cell r="A4852" t="str">
            <v>MC</v>
          </cell>
          <cell r="B4852" t="str">
            <v>CA304</v>
          </cell>
          <cell r="C4852" t="str">
            <v>MC</v>
          </cell>
          <cell r="D4852" t="str">
            <v>2607</v>
          </cell>
          <cell r="E4852" t="str">
            <v>PIPE</v>
          </cell>
          <cell r="F4852">
            <v>1</v>
          </cell>
          <cell r="G4852" t="str">
            <v>CB100508000T00</v>
          </cell>
          <cell r="H4852">
            <v>0.75</v>
          </cell>
          <cell r="I4852" t="str">
            <v>--</v>
          </cell>
          <cell r="J4852">
            <v>0.5</v>
          </cell>
          <cell r="K4852">
            <v>0.5</v>
          </cell>
        </row>
        <row r="4853">
          <cell r="A4853" t="str">
            <v>MC</v>
          </cell>
          <cell r="B4853" t="str">
            <v>BA305</v>
          </cell>
          <cell r="C4853" t="str">
            <v>MOH</v>
          </cell>
          <cell r="D4853" t="str">
            <v>2002</v>
          </cell>
          <cell r="E4853" t="str">
            <v>PIPE</v>
          </cell>
          <cell r="F4853">
            <v>1</v>
          </cell>
          <cell r="G4853" t="str">
            <v>CB100508000T00</v>
          </cell>
          <cell r="H4853">
            <v>0.75</v>
          </cell>
          <cell r="I4853" t="str">
            <v>--</v>
          </cell>
          <cell r="J4853">
            <v>0.5</v>
          </cell>
          <cell r="K4853">
            <v>0.5</v>
          </cell>
        </row>
        <row r="4854">
          <cell r="A4854" t="str">
            <v>MC</v>
          </cell>
          <cell r="B4854" t="str">
            <v>BA302</v>
          </cell>
          <cell r="C4854" t="str">
            <v>SD20</v>
          </cell>
          <cell r="D4854" t="str">
            <v>2301</v>
          </cell>
          <cell r="E4854" t="str">
            <v>PIPE</v>
          </cell>
          <cell r="F4854">
            <v>1</v>
          </cell>
          <cell r="G4854" t="str">
            <v>CB100508000T00</v>
          </cell>
          <cell r="H4854">
            <v>0.75</v>
          </cell>
          <cell r="I4854" t="str">
            <v>--</v>
          </cell>
          <cell r="J4854">
            <v>0.5</v>
          </cell>
          <cell r="K4854">
            <v>0.5</v>
          </cell>
        </row>
        <row r="4855">
          <cell r="A4855" t="str">
            <v>MC</v>
          </cell>
          <cell r="B4855" t="str">
            <v>CA304</v>
          </cell>
          <cell r="C4855" t="str">
            <v>MC</v>
          </cell>
          <cell r="D4855" t="str">
            <v>2501</v>
          </cell>
          <cell r="E4855" t="str">
            <v>PIPE</v>
          </cell>
          <cell r="F4855">
            <v>1</v>
          </cell>
          <cell r="G4855" t="str">
            <v>CB100508000T00</v>
          </cell>
          <cell r="H4855">
            <v>0.75</v>
          </cell>
          <cell r="I4855" t="str">
            <v>--</v>
          </cell>
          <cell r="J4855">
            <v>0.5</v>
          </cell>
          <cell r="K4855">
            <v>0.5</v>
          </cell>
        </row>
        <row r="4856">
          <cell r="A4856" t="str">
            <v>MC</v>
          </cell>
          <cell r="B4856" t="str">
            <v>BA312</v>
          </cell>
          <cell r="C4856" t="str">
            <v>SA98</v>
          </cell>
          <cell r="D4856" t="str">
            <v>2411</v>
          </cell>
          <cell r="E4856" t="str">
            <v>PIPE</v>
          </cell>
          <cell r="F4856">
            <v>1</v>
          </cell>
          <cell r="G4856" t="str">
            <v>CB100508000T00</v>
          </cell>
          <cell r="H4856">
            <v>0.75</v>
          </cell>
          <cell r="I4856" t="str">
            <v>--</v>
          </cell>
          <cell r="J4856">
            <v>0.5</v>
          </cell>
          <cell r="K4856">
            <v>0.5</v>
          </cell>
        </row>
        <row r="4857">
          <cell r="A4857" t="str">
            <v>MC</v>
          </cell>
          <cell r="B4857" t="str">
            <v>CA304</v>
          </cell>
          <cell r="C4857" t="str">
            <v>TRIM</v>
          </cell>
          <cell r="D4857" t="str">
            <v>E-1261</v>
          </cell>
          <cell r="E4857" t="str">
            <v>PIPE</v>
          </cell>
          <cell r="F4857">
            <v>1</v>
          </cell>
          <cell r="G4857" t="str">
            <v>CB100508000T00</v>
          </cell>
          <cell r="H4857">
            <v>0.75</v>
          </cell>
          <cell r="I4857" t="str">
            <v>--</v>
          </cell>
          <cell r="J4857">
            <v>0.6</v>
          </cell>
          <cell r="K4857">
            <v>0.6</v>
          </cell>
        </row>
        <row r="4858">
          <cell r="A4858" t="str">
            <v>MC</v>
          </cell>
          <cell r="B4858" t="str">
            <v>CA304</v>
          </cell>
          <cell r="C4858" t="str">
            <v>TRIM</v>
          </cell>
          <cell r="D4858" t="str">
            <v>F-1251</v>
          </cell>
          <cell r="E4858" t="str">
            <v>PIPE</v>
          </cell>
          <cell r="F4858">
            <v>1</v>
          </cell>
          <cell r="G4858" t="str">
            <v>CB100508000T00</v>
          </cell>
          <cell r="H4858">
            <v>0.75</v>
          </cell>
          <cell r="I4858" t="str">
            <v>--</v>
          </cell>
          <cell r="J4858">
            <v>1</v>
          </cell>
          <cell r="K4858">
            <v>1</v>
          </cell>
        </row>
        <row r="4859">
          <cell r="A4859" t="str">
            <v>MC</v>
          </cell>
          <cell r="B4859" t="str">
            <v>CA304</v>
          </cell>
          <cell r="C4859" t="str">
            <v>MC</v>
          </cell>
          <cell r="D4859" t="str">
            <v>HOLD</v>
          </cell>
          <cell r="E4859" t="str">
            <v>PIPE</v>
          </cell>
          <cell r="F4859">
            <v>1</v>
          </cell>
          <cell r="G4859" t="str">
            <v>CB100508000T00</v>
          </cell>
          <cell r="H4859">
            <v>0.75</v>
          </cell>
          <cell r="I4859" t="str">
            <v>--</v>
          </cell>
          <cell r="J4859">
            <v>1</v>
          </cell>
          <cell r="K4859">
            <v>1</v>
          </cell>
        </row>
        <row r="4860">
          <cell r="A4860" t="str">
            <v>MC</v>
          </cell>
          <cell r="B4860" t="str">
            <v>BA305</v>
          </cell>
          <cell r="C4860" t="str">
            <v>MOH</v>
          </cell>
          <cell r="D4860" t="str">
            <v>2112</v>
          </cell>
          <cell r="E4860" t="str">
            <v>PIPE</v>
          </cell>
          <cell r="F4860">
            <v>1</v>
          </cell>
          <cell r="G4860" t="str">
            <v>CB100508000T00</v>
          </cell>
          <cell r="H4860">
            <v>0.75</v>
          </cell>
          <cell r="I4860" t="str">
            <v>--</v>
          </cell>
          <cell r="J4860">
            <v>1.5</v>
          </cell>
          <cell r="K4860">
            <v>1.5</v>
          </cell>
        </row>
        <row r="4861">
          <cell r="A4861" t="str">
            <v>MC</v>
          </cell>
          <cell r="B4861" t="str">
            <v>CA304</v>
          </cell>
          <cell r="C4861" t="str">
            <v>MC</v>
          </cell>
          <cell r="D4861" t="str">
            <v>HOLD</v>
          </cell>
          <cell r="E4861" t="str">
            <v>PIPE</v>
          </cell>
          <cell r="F4861">
            <v>1</v>
          </cell>
          <cell r="G4861" t="str">
            <v>CB100508000T00</v>
          </cell>
          <cell r="H4861">
            <v>0.75</v>
          </cell>
          <cell r="I4861" t="str">
            <v>--</v>
          </cell>
          <cell r="J4861">
            <v>2</v>
          </cell>
          <cell r="K4861">
            <v>2</v>
          </cell>
        </row>
        <row r="4862">
          <cell r="A4862" t="str">
            <v>MC</v>
          </cell>
          <cell r="B4862" t="str">
            <v>CA304</v>
          </cell>
          <cell r="C4862" t="str">
            <v>MC</v>
          </cell>
          <cell r="D4862" t="str">
            <v>2604</v>
          </cell>
          <cell r="E4862" t="str">
            <v>PIPE</v>
          </cell>
          <cell r="F4862">
            <v>1</v>
          </cell>
          <cell r="G4862" t="str">
            <v>CB100508000T00</v>
          </cell>
          <cell r="H4862">
            <v>0.75</v>
          </cell>
          <cell r="I4862" t="str">
            <v>--</v>
          </cell>
          <cell r="J4862">
            <v>2</v>
          </cell>
          <cell r="K4862">
            <v>2</v>
          </cell>
        </row>
        <row r="4863">
          <cell r="A4863" t="str">
            <v>MC</v>
          </cell>
          <cell r="B4863" t="str">
            <v>CA304</v>
          </cell>
          <cell r="C4863" t="str">
            <v>MC</v>
          </cell>
          <cell r="D4863" t="str">
            <v>HOLD</v>
          </cell>
          <cell r="E4863" t="str">
            <v>PIPE</v>
          </cell>
          <cell r="F4863">
            <v>1</v>
          </cell>
          <cell r="G4863" t="str">
            <v>CB100508000T00</v>
          </cell>
          <cell r="H4863">
            <v>0.75</v>
          </cell>
          <cell r="I4863" t="str">
            <v>--</v>
          </cell>
          <cell r="J4863">
            <v>2</v>
          </cell>
          <cell r="K4863">
            <v>2</v>
          </cell>
        </row>
        <row r="4864">
          <cell r="A4864" t="str">
            <v>MC</v>
          </cell>
          <cell r="B4864" t="str">
            <v>CA304</v>
          </cell>
          <cell r="C4864" t="str">
            <v>MC</v>
          </cell>
          <cell r="D4864" t="str">
            <v>HOLD</v>
          </cell>
          <cell r="E4864" t="str">
            <v>PIPE</v>
          </cell>
          <cell r="F4864">
            <v>1</v>
          </cell>
          <cell r="G4864" t="str">
            <v>CB100508000T00</v>
          </cell>
          <cell r="H4864">
            <v>0.75</v>
          </cell>
          <cell r="I4864" t="str">
            <v>--</v>
          </cell>
          <cell r="J4864">
            <v>2</v>
          </cell>
          <cell r="K4864">
            <v>2</v>
          </cell>
        </row>
        <row r="4865">
          <cell r="A4865" t="str">
            <v>MC</v>
          </cell>
          <cell r="B4865" t="str">
            <v>CA304</v>
          </cell>
          <cell r="C4865" t="str">
            <v>VT</v>
          </cell>
          <cell r="D4865" t="str">
            <v>HOLD</v>
          </cell>
          <cell r="E4865" t="str">
            <v>PIPE</v>
          </cell>
          <cell r="F4865">
            <v>1</v>
          </cell>
          <cell r="G4865" t="str">
            <v>CB100508000T00</v>
          </cell>
          <cell r="H4865">
            <v>0.75</v>
          </cell>
          <cell r="I4865" t="str">
            <v>--</v>
          </cell>
          <cell r="J4865">
            <v>2.4</v>
          </cell>
          <cell r="K4865">
            <v>2.4</v>
          </cell>
        </row>
        <row r="4866">
          <cell r="A4866" t="str">
            <v>MC</v>
          </cell>
          <cell r="B4866" t="str">
            <v>BA305</v>
          </cell>
          <cell r="C4866" t="str">
            <v>MOH</v>
          </cell>
          <cell r="D4866" t="str">
            <v>2000</v>
          </cell>
          <cell r="E4866" t="str">
            <v>PIPE</v>
          </cell>
          <cell r="F4866">
            <v>1</v>
          </cell>
          <cell r="G4866" t="str">
            <v>CB100508000T00</v>
          </cell>
          <cell r="H4866">
            <v>0.75</v>
          </cell>
          <cell r="I4866" t="str">
            <v>--</v>
          </cell>
          <cell r="J4866">
            <v>3</v>
          </cell>
          <cell r="K4866">
            <v>3</v>
          </cell>
        </row>
        <row r="4867">
          <cell r="A4867" t="str">
            <v>MC</v>
          </cell>
          <cell r="B4867" t="str">
            <v>CA304</v>
          </cell>
          <cell r="C4867" t="str">
            <v>SC1</v>
          </cell>
          <cell r="D4867" t="str">
            <v>HOLD</v>
          </cell>
          <cell r="E4867" t="str">
            <v>PIPE</v>
          </cell>
          <cell r="F4867">
            <v>1</v>
          </cell>
          <cell r="G4867" t="str">
            <v>CB100508000T00</v>
          </cell>
          <cell r="H4867">
            <v>0.75</v>
          </cell>
          <cell r="I4867" t="str">
            <v>--</v>
          </cell>
          <cell r="J4867">
            <v>4.5</v>
          </cell>
          <cell r="K4867">
            <v>4.5</v>
          </cell>
        </row>
        <row r="4868">
          <cell r="A4868" t="str">
            <v>MC</v>
          </cell>
          <cell r="B4868" t="str">
            <v>CA304</v>
          </cell>
          <cell r="C4868" t="str">
            <v>MC</v>
          </cell>
          <cell r="D4868" t="str">
            <v>HOLD</v>
          </cell>
          <cell r="E4868" t="str">
            <v>PIPE</v>
          </cell>
          <cell r="F4868">
            <v>1</v>
          </cell>
          <cell r="G4868" t="str">
            <v>CB100508000T00</v>
          </cell>
          <cell r="H4868">
            <v>0.75</v>
          </cell>
          <cell r="I4868" t="str">
            <v>--</v>
          </cell>
          <cell r="J4868">
            <v>5</v>
          </cell>
          <cell r="K4868">
            <v>5</v>
          </cell>
        </row>
        <row r="4869">
          <cell r="A4869" t="str">
            <v>MC</v>
          </cell>
          <cell r="B4869" t="str">
            <v>CA304</v>
          </cell>
          <cell r="C4869" t="str">
            <v>SCC</v>
          </cell>
          <cell r="D4869" t="str">
            <v>HOLD</v>
          </cell>
          <cell r="E4869" t="str">
            <v>PIPE</v>
          </cell>
          <cell r="F4869">
            <v>1</v>
          </cell>
          <cell r="G4869" t="str">
            <v>CB100508000T00</v>
          </cell>
          <cell r="H4869">
            <v>0.75</v>
          </cell>
          <cell r="I4869" t="str">
            <v>--</v>
          </cell>
          <cell r="J4869">
            <v>6</v>
          </cell>
          <cell r="K4869">
            <v>6</v>
          </cell>
        </row>
        <row r="4870">
          <cell r="A4870" t="str">
            <v>MC</v>
          </cell>
          <cell r="B4870" t="str">
            <v>CA304</v>
          </cell>
          <cell r="C4870" t="str">
            <v>MC</v>
          </cell>
          <cell r="D4870" t="str">
            <v>HOLD</v>
          </cell>
          <cell r="E4870" t="str">
            <v>PIPE</v>
          </cell>
          <cell r="F4870">
            <v>1</v>
          </cell>
          <cell r="G4870" t="str">
            <v>CB100508000T00</v>
          </cell>
          <cell r="H4870">
            <v>0.75</v>
          </cell>
          <cell r="I4870" t="str">
            <v>--</v>
          </cell>
          <cell r="J4870">
            <v>12</v>
          </cell>
          <cell r="K4870">
            <v>12</v>
          </cell>
        </row>
        <row r="4871">
          <cell r="A4871" t="str">
            <v>MC</v>
          </cell>
          <cell r="B4871" t="str">
            <v>CA304</v>
          </cell>
          <cell r="C4871" t="str">
            <v>MC</v>
          </cell>
          <cell r="D4871" t="str">
            <v>2608</v>
          </cell>
          <cell r="E4871" t="str">
            <v>PIPE</v>
          </cell>
          <cell r="F4871">
            <v>1</v>
          </cell>
          <cell r="G4871" t="str">
            <v>CB100508000100</v>
          </cell>
          <cell r="H4871">
            <v>1</v>
          </cell>
          <cell r="I4871" t="str">
            <v>--</v>
          </cell>
          <cell r="J4871">
            <v>0.4</v>
          </cell>
          <cell r="K4871">
            <v>0.4</v>
          </cell>
        </row>
        <row r="4872">
          <cell r="A4872" t="str">
            <v>MC</v>
          </cell>
          <cell r="B4872" t="str">
            <v>CA304</v>
          </cell>
          <cell r="C4872" t="str">
            <v>N</v>
          </cell>
          <cell r="D4872" t="str">
            <v>HOLD</v>
          </cell>
          <cell r="E4872" t="str">
            <v>PIPE</v>
          </cell>
          <cell r="F4872">
            <v>1</v>
          </cell>
          <cell r="G4872" t="str">
            <v>CB100508000100</v>
          </cell>
          <cell r="H4872">
            <v>1</v>
          </cell>
          <cell r="I4872" t="str">
            <v>--</v>
          </cell>
          <cell r="J4872">
            <v>1</v>
          </cell>
          <cell r="K4872">
            <v>1</v>
          </cell>
        </row>
        <row r="4873">
          <cell r="A4873" t="str">
            <v>MC</v>
          </cell>
          <cell r="B4873" t="str">
            <v>CA304</v>
          </cell>
          <cell r="C4873" t="str">
            <v>MC</v>
          </cell>
          <cell r="D4873" t="str">
            <v>HOLD</v>
          </cell>
          <cell r="E4873" t="str">
            <v>PIPE</v>
          </cell>
          <cell r="F4873">
            <v>1</v>
          </cell>
          <cell r="G4873" t="str">
            <v>CB100508000100</v>
          </cell>
          <cell r="H4873">
            <v>1</v>
          </cell>
          <cell r="I4873" t="str">
            <v>--</v>
          </cell>
          <cell r="J4873">
            <v>5</v>
          </cell>
          <cell r="K4873">
            <v>5</v>
          </cell>
        </row>
        <row r="4874">
          <cell r="A4874" t="str">
            <v>MC</v>
          </cell>
          <cell r="B4874" t="str">
            <v>BA305</v>
          </cell>
          <cell r="C4874" t="str">
            <v>VNC</v>
          </cell>
          <cell r="D4874" t="str">
            <v>2016</v>
          </cell>
          <cell r="E4874" t="str">
            <v>PIPE</v>
          </cell>
          <cell r="F4874">
            <v>1</v>
          </cell>
          <cell r="G4874" t="str">
            <v>CB100508000100</v>
          </cell>
          <cell r="H4874">
            <v>1</v>
          </cell>
          <cell r="I4874" t="str">
            <v>--</v>
          </cell>
          <cell r="J4874">
            <v>6</v>
          </cell>
          <cell r="K4874">
            <v>6</v>
          </cell>
        </row>
        <row r="4875">
          <cell r="A4875" t="str">
            <v>MC</v>
          </cell>
          <cell r="B4875" t="str">
            <v>BA305</v>
          </cell>
          <cell r="C4875" t="str">
            <v>MOH</v>
          </cell>
          <cell r="D4875" t="str">
            <v>2101</v>
          </cell>
          <cell r="E4875" t="str">
            <v>PIPE</v>
          </cell>
          <cell r="F4875">
            <v>1</v>
          </cell>
          <cell r="G4875" t="str">
            <v>CB100508000100</v>
          </cell>
          <cell r="H4875">
            <v>1</v>
          </cell>
          <cell r="I4875" t="str">
            <v>--</v>
          </cell>
          <cell r="J4875">
            <v>13</v>
          </cell>
          <cell r="K4875">
            <v>13</v>
          </cell>
        </row>
        <row r="4876">
          <cell r="A4876" t="str">
            <v>MC</v>
          </cell>
          <cell r="B4876" t="str">
            <v>BA305</v>
          </cell>
          <cell r="C4876" t="str">
            <v>MOH</v>
          </cell>
          <cell r="D4876" t="str">
            <v>2002</v>
          </cell>
          <cell r="E4876" t="str">
            <v>PIPE</v>
          </cell>
          <cell r="F4876">
            <v>1</v>
          </cell>
          <cell r="G4876" t="str">
            <v>CB100508000100</v>
          </cell>
          <cell r="H4876">
            <v>1</v>
          </cell>
          <cell r="I4876" t="str">
            <v>--</v>
          </cell>
          <cell r="J4876">
            <v>13.5</v>
          </cell>
          <cell r="K4876">
            <v>13.5</v>
          </cell>
        </row>
        <row r="4877">
          <cell r="A4877" t="str">
            <v>MC</v>
          </cell>
          <cell r="B4877" t="str">
            <v>CA304</v>
          </cell>
          <cell r="C4877" t="str">
            <v>MC</v>
          </cell>
          <cell r="D4877" t="str">
            <v>2604</v>
          </cell>
          <cell r="E4877" t="str">
            <v>PIPE</v>
          </cell>
          <cell r="F4877">
            <v>1</v>
          </cell>
          <cell r="G4877" t="str">
            <v>CB100508000100</v>
          </cell>
          <cell r="H4877">
            <v>1</v>
          </cell>
          <cell r="I4877" t="str">
            <v>--</v>
          </cell>
          <cell r="J4877">
            <v>17.5</v>
          </cell>
          <cell r="K4877">
            <v>17.5</v>
          </cell>
        </row>
        <row r="4878">
          <cell r="A4878" t="str">
            <v>MC</v>
          </cell>
          <cell r="B4878" t="str">
            <v>CA304</v>
          </cell>
          <cell r="C4878" t="str">
            <v>MC</v>
          </cell>
          <cell r="D4878" t="str">
            <v>HOLD</v>
          </cell>
          <cell r="E4878" t="str">
            <v>PIPE</v>
          </cell>
          <cell r="F4878">
            <v>1</v>
          </cell>
          <cell r="G4878" t="str">
            <v>CB100508000100</v>
          </cell>
          <cell r="H4878">
            <v>1</v>
          </cell>
          <cell r="I4878" t="str">
            <v>--</v>
          </cell>
          <cell r="J4878">
            <v>18</v>
          </cell>
          <cell r="K4878">
            <v>18</v>
          </cell>
        </row>
        <row r="4879">
          <cell r="A4879" t="str">
            <v>MC</v>
          </cell>
          <cell r="B4879" t="str">
            <v>BA305</v>
          </cell>
          <cell r="C4879" t="str">
            <v>MOH</v>
          </cell>
          <cell r="D4879" t="str">
            <v>2112</v>
          </cell>
          <cell r="E4879" t="str">
            <v>PIPE</v>
          </cell>
          <cell r="F4879">
            <v>1</v>
          </cell>
          <cell r="G4879" t="str">
            <v>CB100508000100</v>
          </cell>
          <cell r="H4879">
            <v>1</v>
          </cell>
          <cell r="I4879" t="str">
            <v>--</v>
          </cell>
          <cell r="J4879">
            <v>19.5</v>
          </cell>
          <cell r="K4879">
            <v>19.5</v>
          </cell>
        </row>
        <row r="4880">
          <cell r="A4880" t="str">
            <v>MC</v>
          </cell>
          <cell r="B4880" t="str">
            <v>BA302</v>
          </cell>
          <cell r="C4880" t="str">
            <v>SD20</v>
          </cell>
          <cell r="D4880" t="str">
            <v>2301</v>
          </cell>
          <cell r="E4880" t="str">
            <v>PIPE</v>
          </cell>
          <cell r="F4880">
            <v>1</v>
          </cell>
          <cell r="G4880" t="str">
            <v>CB100508000100</v>
          </cell>
          <cell r="H4880">
            <v>1</v>
          </cell>
          <cell r="I4880" t="str">
            <v>--</v>
          </cell>
          <cell r="J4880">
            <v>20.5</v>
          </cell>
          <cell r="K4880">
            <v>20.5</v>
          </cell>
        </row>
        <row r="4881">
          <cell r="A4881" t="str">
            <v>MC</v>
          </cell>
          <cell r="B4881" t="str">
            <v>CA304</v>
          </cell>
          <cell r="C4881" t="str">
            <v>MC</v>
          </cell>
          <cell r="D4881" t="str">
            <v>2605</v>
          </cell>
          <cell r="E4881" t="str">
            <v>PIPE</v>
          </cell>
          <cell r="F4881">
            <v>1</v>
          </cell>
          <cell r="G4881" t="str">
            <v>CB100508000100</v>
          </cell>
          <cell r="H4881">
            <v>1</v>
          </cell>
          <cell r="I4881" t="str">
            <v>--</v>
          </cell>
          <cell r="J4881">
            <v>21</v>
          </cell>
          <cell r="K4881">
            <v>21</v>
          </cell>
        </row>
        <row r="4882">
          <cell r="A4882" t="str">
            <v>MC</v>
          </cell>
          <cell r="B4882" t="str">
            <v>CA304</v>
          </cell>
          <cell r="C4882" t="str">
            <v>MC</v>
          </cell>
          <cell r="D4882" t="str">
            <v>2609</v>
          </cell>
          <cell r="E4882" t="str">
            <v>PIPE</v>
          </cell>
          <cell r="F4882">
            <v>1</v>
          </cell>
          <cell r="G4882" t="str">
            <v>CB100508000100</v>
          </cell>
          <cell r="H4882">
            <v>1</v>
          </cell>
          <cell r="I4882" t="str">
            <v>--</v>
          </cell>
          <cell r="J4882">
            <v>25</v>
          </cell>
          <cell r="K4882">
            <v>25</v>
          </cell>
        </row>
        <row r="4883">
          <cell r="A4883" t="str">
            <v>MC</v>
          </cell>
          <cell r="B4883" t="str">
            <v>BA312</v>
          </cell>
          <cell r="C4883" t="str">
            <v>SA98</v>
          </cell>
          <cell r="D4883" t="str">
            <v>2411</v>
          </cell>
          <cell r="E4883" t="str">
            <v>PIPE</v>
          </cell>
          <cell r="F4883">
            <v>1</v>
          </cell>
          <cell r="G4883" t="str">
            <v>CB100508000100</v>
          </cell>
          <cell r="H4883">
            <v>1</v>
          </cell>
          <cell r="I4883" t="str">
            <v>--</v>
          </cell>
          <cell r="J4883">
            <v>25.5</v>
          </cell>
          <cell r="K4883">
            <v>25.5</v>
          </cell>
        </row>
        <row r="4884">
          <cell r="A4884" t="str">
            <v>MC</v>
          </cell>
          <cell r="B4884" t="str">
            <v>CA304</v>
          </cell>
          <cell r="C4884" t="str">
            <v>MC</v>
          </cell>
          <cell r="D4884" t="str">
            <v>2607</v>
          </cell>
          <cell r="E4884" t="str">
            <v>PIPE</v>
          </cell>
          <cell r="F4884">
            <v>1</v>
          </cell>
          <cell r="G4884" t="str">
            <v>CB100508001H00</v>
          </cell>
          <cell r="H4884">
            <v>1.5</v>
          </cell>
          <cell r="I4884" t="str">
            <v>--</v>
          </cell>
          <cell r="J4884">
            <v>0.3</v>
          </cell>
          <cell r="K4884">
            <v>0.3</v>
          </cell>
        </row>
        <row r="4885">
          <cell r="A4885" t="str">
            <v>MC</v>
          </cell>
          <cell r="B4885" t="str">
            <v>BA312</v>
          </cell>
          <cell r="C4885" t="str">
            <v>SA98</v>
          </cell>
          <cell r="D4885" t="str">
            <v>2411</v>
          </cell>
          <cell r="E4885" t="str">
            <v>PIPE</v>
          </cell>
          <cell r="F4885">
            <v>1</v>
          </cell>
          <cell r="G4885" t="str">
            <v>CB100508001H00</v>
          </cell>
          <cell r="H4885">
            <v>1.5</v>
          </cell>
          <cell r="I4885" t="str">
            <v>--</v>
          </cell>
          <cell r="J4885">
            <v>0.5</v>
          </cell>
          <cell r="K4885">
            <v>0.5</v>
          </cell>
        </row>
        <row r="4886">
          <cell r="A4886" t="str">
            <v>MC</v>
          </cell>
          <cell r="B4886" t="str">
            <v>CA304</v>
          </cell>
          <cell r="C4886" t="str">
            <v>MC</v>
          </cell>
          <cell r="D4886" t="str">
            <v>2604</v>
          </cell>
          <cell r="E4886" t="str">
            <v>PIPE</v>
          </cell>
          <cell r="F4886">
            <v>1</v>
          </cell>
          <cell r="G4886" t="str">
            <v>CB100508001H00</v>
          </cell>
          <cell r="H4886">
            <v>1.5</v>
          </cell>
          <cell r="I4886" t="str">
            <v>--</v>
          </cell>
          <cell r="J4886">
            <v>0.5</v>
          </cell>
          <cell r="K4886">
            <v>0.5</v>
          </cell>
        </row>
        <row r="4887">
          <cell r="A4887" t="str">
            <v>MC</v>
          </cell>
          <cell r="B4887" t="str">
            <v>CA304</v>
          </cell>
          <cell r="C4887" t="str">
            <v>N</v>
          </cell>
          <cell r="D4887" t="str">
            <v>HOLD</v>
          </cell>
          <cell r="E4887" t="str">
            <v>PIPE</v>
          </cell>
          <cell r="F4887">
            <v>1</v>
          </cell>
          <cell r="G4887" t="str">
            <v>CB100508001H00</v>
          </cell>
          <cell r="H4887">
            <v>1.5</v>
          </cell>
          <cell r="I4887" t="str">
            <v>--</v>
          </cell>
          <cell r="J4887">
            <v>1</v>
          </cell>
          <cell r="K4887">
            <v>1</v>
          </cell>
        </row>
        <row r="4888">
          <cell r="A4888" t="str">
            <v>MC</v>
          </cell>
          <cell r="B4888" t="str">
            <v>CA304</v>
          </cell>
          <cell r="C4888" t="str">
            <v>TRIM</v>
          </cell>
          <cell r="D4888" t="str">
            <v>E-1261</v>
          </cell>
          <cell r="E4888" t="str">
            <v>PIPE</v>
          </cell>
          <cell r="F4888">
            <v>1</v>
          </cell>
          <cell r="G4888" t="str">
            <v>CB100508001H00</v>
          </cell>
          <cell r="H4888">
            <v>1.5</v>
          </cell>
          <cell r="I4888" t="str">
            <v>--</v>
          </cell>
          <cell r="J4888">
            <v>1</v>
          </cell>
          <cell r="K4888">
            <v>1</v>
          </cell>
        </row>
        <row r="4889">
          <cell r="A4889" t="str">
            <v>MC</v>
          </cell>
          <cell r="B4889" t="str">
            <v>CA304</v>
          </cell>
          <cell r="C4889" t="str">
            <v>TRIM</v>
          </cell>
          <cell r="D4889" t="str">
            <v>V-1260A/B</v>
          </cell>
          <cell r="E4889" t="str">
            <v>PIPE</v>
          </cell>
          <cell r="F4889">
            <v>1</v>
          </cell>
          <cell r="G4889" t="str">
            <v>CB100508001H00</v>
          </cell>
          <cell r="H4889">
            <v>1.5</v>
          </cell>
          <cell r="I4889" t="str">
            <v>--</v>
          </cell>
          <cell r="J4889">
            <v>1</v>
          </cell>
          <cell r="K4889">
            <v>1</v>
          </cell>
        </row>
        <row r="4890">
          <cell r="A4890" t="str">
            <v>MC</v>
          </cell>
          <cell r="B4890" t="str">
            <v>CA304</v>
          </cell>
          <cell r="C4890" t="str">
            <v>N</v>
          </cell>
          <cell r="D4890" t="str">
            <v>HOLD</v>
          </cell>
          <cell r="E4890" t="str">
            <v>PIPE</v>
          </cell>
          <cell r="F4890">
            <v>1</v>
          </cell>
          <cell r="G4890" t="str">
            <v>CB100508001H00</v>
          </cell>
          <cell r="H4890">
            <v>1.5</v>
          </cell>
          <cell r="I4890" t="str">
            <v>--</v>
          </cell>
          <cell r="J4890">
            <v>1</v>
          </cell>
          <cell r="K4890">
            <v>1</v>
          </cell>
        </row>
        <row r="4891">
          <cell r="A4891" t="str">
            <v>MC</v>
          </cell>
          <cell r="B4891" t="str">
            <v>BA305</v>
          </cell>
          <cell r="C4891" t="str">
            <v>VNC</v>
          </cell>
          <cell r="D4891" t="str">
            <v>2016</v>
          </cell>
          <cell r="E4891" t="str">
            <v>PIPE</v>
          </cell>
          <cell r="F4891">
            <v>1</v>
          </cell>
          <cell r="G4891" t="str">
            <v>CB100508001H00</v>
          </cell>
          <cell r="H4891">
            <v>1.5</v>
          </cell>
          <cell r="I4891" t="str">
            <v>--</v>
          </cell>
          <cell r="J4891">
            <v>2</v>
          </cell>
          <cell r="K4891">
            <v>2</v>
          </cell>
        </row>
        <row r="4892">
          <cell r="A4892" t="str">
            <v>MC</v>
          </cell>
          <cell r="B4892" t="str">
            <v>CA304</v>
          </cell>
          <cell r="C4892" t="str">
            <v>MC</v>
          </cell>
          <cell r="D4892" t="str">
            <v>2609</v>
          </cell>
          <cell r="E4892" t="str">
            <v>PIPE</v>
          </cell>
          <cell r="F4892">
            <v>1</v>
          </cell>
          <cell r="G4892" t="str">
            <v>CB100508001H00</v>
          </cell>
          <cell r="H4892">
            <v>1.5</v>
          </cell>
          <cell r="I4892" t="str">
            <v>--</v>
          </cell>
          <cell r="J4892">
            <v>2</v>
          </cell>
          <cell r="K4892">
            <v>2</v>
          </cell>
        </row>
        <row r="4893">
          <cell r="A4893" t="str">
            <v>MC</v>
          </cell>
          <cell r="B4893" t="str">
            <v>CA304</v>
          </cell>
          <cell r="C4893" t="str">
            <v>MC</v>
          </cell>
          <cell r="D4893" t="str">
            <v>HOLD</v>
          </cell>
          <cell r="E4893" t="str">
            <v>PIPE</v>
          </cell>
          <cell r="F4893">
            <v>1</v>
          </cell>
          <cell r="G4893" t="str">
            <v>CB100508001H00</v>
          </cell>
          <cell r="H4893">
            <v>1.5</v>
          </cell>
          <cell r="I4893" t="str">
            <v>--</v>
          </cell>
          <cell r="J4893">
            <v>3</v>
          </cell>
          <cell r="K4893">
            <v>3</v>
          </cell>
        </row>
        <row r="4894">
          <cell r="A4894" t="str">
            <v>MC</v>
          </cell>
          <cell r="B4894" t="str">
            <v>CA304</v>
          </cell>
          <cell r="C4894" t="str">
            <v>MC</v>
          </cell>
          <cell r="D4894" t="str">
            <v>2605</v>
          </cell>
          <cell r="E4894" t="str">
            <v>PIPE</v>
          </cell>
          <cell r="F4894">
            <v>1</v>
          </cell>
          <cell r="G4894" t="str">
            <v>CB100508001H00</v>
          </cell>
          <cell r="H4894">
            <v>1.5</v>
          </cell>
          <cell r="I4894" t="str">
            <v>--</v>
          </cell>
          <cell r="J4894">
            <v>6</v>
          </cell>
          <cell r="K4894">
            <v>6</v>
          </cell>
        </row>
        <row r="4895">
          <cell r="A4895" t="str">
            <v>MC</v>
          </cell>
          <cell r="B4895" t="str">
            <v>CA304</v>
          </cell>
          <cell r="C4895" t="str">
            <v>VT</v>
          </cell>
          <cell r="D4895" t="str">
            <v>HOLD</v>
          </cell>
          <cell r="E4895" t="str">
            <v>PIPE</v>
          </cell>
          <cell r="F4895">
            <v>1</v>
          </cell>
          <cell r="G4895" t="str">
            <v>CB100508001H00</v>
          </cell>
          <cell r="H4895">
            <v>1.5</v>
          </cell>
          <cell r="I4895" t="str">
            <v>--</v>
          </cell>
          <cell r="J4895">
            <v>10.5</v>
          </cell>
          <cell r="K4895">
            <v>10.5</v>
          </cell>
        </row>
        <row r="4896">
          <cell r="A4896" t="str">
            <v>MC</v>
          </cell>
          <cell r="B4896" t="str">
            <v>CA304</v>
          </cell>
          <cell r="C4896" t="str">
            <v>MC</v>
          </cell>
          <cell r="D4896" t="str">
            <v>2609</v>
          </cell>
          <cell r="E4896" t="str">
            <v>PIPE</v>
          </cell>
          <cell r="F4896">
            <v>1</v>
          </cell>
          <cell r="G4896" t="str">
            <v>CB100508001H00</v>
          </cell>
          <cell r="H4896">
            <v>1.5</v>
          </cell>
          <cell r="I4896" t="str">
            <v>--</v>
          </cell>
          <cell r="J4896">
            <v>18</v>
          </cell>
          <cell r="K4896">
            <v>18</v>
          </cell>
        </row>
        <row r="4897">
          <cell r="A4897" t="str">
            <v>MC</v>
          </cell>
          <cell r="B4897" t="str">
            <v>CA304</v>
          </cell>
          <cell r="C4897" t="str">
            <v>MC</v>
          </cell>
          <cell r="D4897" t="str">
            <v>2609</v>
          </cell>
          <cell r="E4897" t="str">
            <v>PIPE</v>
          </cell>
          <cell r="F4897">
            <v>1</v>
          </cell>
          <cell r="G4897" t="str">
            <v>CB100508001H00</v>
          </cell>
          <cell r="H4897">
            <v>1.5</v>
          </cell>
          <cell r="I4897" t="str">
            <v>--</v>
          </cell>
          <cell r="J4897">
            <v>20</v>
          </cell>
          <cell r="K4897">
            <v>20</v>
          </cell>
        </row>
        <row r="4898">
          <cell r="A4898" t="str">
            <v>MC</v>
          </cell>
          <cell r="B4898" t="str">
            <v>CA304</v>
          </cell>
          <cell r="C4898" t="str">
            <v>MC</v>
          </cell>
          <cell r="D4898" t="str">
            <v>2505</v>
          </cell>
          <cell r="E4898" t="str">
            <v>PIPE</v>
          </cell>
          <cell r="F4898">
            <v>1</v>
          </cell>
          <cell r="G4898" t="str">
            <v>CB100508001H00</v>
          </cell>
          <cell r="H4898">
            <v>1.5</v>
          </cell>
          <cell r="I4898" t="str">
            <v>--</v>
          </cell>
          <cell r="J4898">
            <v>21</v>
          </cell>
          <cell r="K4898">
            <v>21</v>
          </cell>
        </row>
        <row r="4899">
          <cell r="A4899" t="str">
            <v>MC</v>
          </cell>
          <cell r="B4899" t="str">
            <v>CA304</v>
          </cell>
          <cell r="C4899" t="str">
            <v>MC</v>
          </cell>
          <cell r="D4899" t="str">
            <v>2608</v>
          </cell>
          <cell r="E4899" t="str">
            <v>PIPE</v>
          </cell>
          <cell r="F4899">
            <v>1</v>
          </cell>
          <cell r="G4899" t="str">
            <v>CB100508001H00</v>
          </cell>
          <cell r="H4899">
            <v>1.5</v>
          </cell>
          <cell r="I4899" t="str">
            <v>--</v>
          </cell>
          <cell r="J4899">
            <v>21</v>
          </cell>
          <cell r="K4899">
            <v>21</v>
          </cell>
        </row>
        <row r="4900">
          <cell r="A4900" t="str">
            <v>MC</v>
          </cell>
          <cell r="B4900" t="str">
            <v>B2C</v>
          </cell>
          <cell r="C4900" t="str">
            <v>SH</v>
          </cell>
          <cell r="D4900" t="str">
            <v>HOLD</v>
          </cell>
          <cell r="E4900" t="str">
            <v>PIPE</v>
          </cell>
          <cell r="F4900">
            <v>1</v>
          </cell>
          <cell r="G4900" t="str">
            <v>CB100508001H00</v>
          </cell>
          <cell r="H4900">
            <v>1.5</v>
          </cell>
          <cell r="I4900" t="str">
            <v>--</v>
          </cell>
          <cell r="J4900">
            <v>25.3</v>
          </cell>
          <cell r="K4900">
            <v>25.3</v>
          </cell>
        </row>
        <row r="4901">
          <cell r="A4901" t="str">
            <v>MC</v>
          </cell>
          <cell r="B4901" t="str">
            <v>CA304</v>
          </cell>
          <cell r="C4901" t="str">
            <v>MC</v>
          </cell>
          <cell r="D4901" t="str">
            <v>2612</v>
          </cell>
          <cell r="E4901" t="str">
            <v>PIPE</v>
          </cell>
          <cell r="F4901">
            <v>1</v>
          </cell>
          <cell r="G4901" t="str">
            <v>CB100508001H00</v>
          </cell>
          <cell r="H4901">
            <v>1.5</v>
          </cell>
          <cell r="I4901" t="str">
            <v>--</v>
          </cell>
          <cell r="J4901">
            <v>27</v>
          </cell>
          <cell r="K4901">
            <v>27</v>
          </cell>
        </row>
        <row r="4902">
          <cell r="A4902" t="str">
            <v>MC</v>
          </cell>
          <cell r="B4902" t="str">
            <v>BA305</v>
          </cell>
          <cell r="C4902" t="str">
            <v>MOH</v>
          </cell>
          <cell r="D4902" t="str">
            <v>2100</v>
          </cell>
          <cell r="E4902" t="str">
            <v>PIPE</v>
          </cell>
          <cell r="F4902">
            <v>1</v>
          </cell>
          <cell r="G4902" t="str">
            <v>CB100508001H00</v>
          </cell>
          <cell r="H4902">
            <v>1.5</v>
          </cell>
          <cell r="I4902" t="str">
            <v>--</v>
          </cell>
          <cell r="J4902">
            <v>31</v>
          </cell>
          <cell r="K4902">
            <v>31</v>
          </cell>
        </row>
        <row r="4903">
          <cell r="A4903" t="str">
            <v>MC</v>
          </cell>
          <cell r="B4903" t="str">
            <v>CA304</v>
          </cell>
          <cell r="C4903" t="str">
            <v>TRIM</v>
          </cell>
          <cell r="D4903" t="str">
            <v>E-1261</v>
          </cell>
          <cell r="E4903" t="str">
            <v>PIPE</v>
          </cell>
          <cell r="F4903">
            <v>1</v>
          </cell>
          <cell r="G4903" t="str">
            <v>CB100405000200</v>
          </cell>
          <cell r="H4903">
            <v>2</v>
          </cell>
          <cell r="I4903" t="str">
            <v>--</v>
          </cell>
          <cell r="J4903">
            <v>2</v>
          </cell>
          <cell r="K4903">
            <v>2.2000000000000002</v>
          </cell>
        </row>
        <row r="4904">
          <cell r="A4904" t="str">
            <v>MC</v>
          </cell>
          <cell r="B4904" t="str">
            <v>CA304</v>
          </cell>
          <cell r="C4904" t="str">
            <v>MC</v>
          </cell>
          <cell r="D4904" t="str">
            <v>2607</v>
          </cell>
          <cell r="E4904" t="str">
            <v>PIPE</v>
          </cell>
          <cell r="F4904">
            <v>1</v>
          </cell>
          <cell r="G4904" t="str">
            <v>CB100405000200</v>
          </cell>
          <cell r="H4904">
            <v>2</v>
          </cell>
          <cell r="I4904" t="str">
            <v>--</v>
          </cell>
          <cell r="J4904">
            <v>2</v>
          </cell>
          <cell r="K4904">
            <v>2.2000000000000002</v>
          </cell>
        </row>
        <row r="4905">
          <cell r="A4905" t="str">
            <v>MC</v>
          </cell>
          <cell r="B4905" t="str">
            <v>CA304</v>
          </cell>
          <cell r="C4905" t="str">
            <v>N</v>
          </cell>
          <cell r="D4905" t="str">
            <v>HOLD</v>
          </cell>
          <cell r="E4905" t="str">
            <v>PIPE</v>
          </cell>
          <cell r="F4905">
            <v>1</v>
          </cell>
          <cell r="G4905" t="str">
            <v>CB100405000200</v>
          </cell>
          <cell r="H4905">
            <v>2</v>
          </cell>
          <cell r="I4905" t="str">
            <v>--</v>
          </cell>
          <cell r="J4905">
            <v>2</v>
          </cell>
          <cell r="K4905">
            <v>2.2000000000000002</v>
          </cell>
        </row>
        <row r="4906">
          <cell r="A4906" t="str">
            <v>MC</v>
          </cell>
          <cell r="B4906" t="str">
            <v>B2C</v>
          </cell>
          <cell r="C4906" t="str">
            <v>SH</v>
          </cell>
          <cell r="D4906" t="str">
            <v>HOLD</v>
          </cell>
          <cell r="E4906" t="str">
            <v>PIPE</v>
          </cell>
          <cell r="F4906">
            <v>1</v>
          </cell>
          <cell r="G4906" t="str">
            <v>CB100408000200</v>
          </cell>
          <cell r="H4906">
            <v>2</v>
          </cell>
          <cell r="I4906" t="str">
            <v>--</v>
          </cell>
          <cell r="J4906">
            <v>2.5</v>
          </cell>
          <cell r="K4906">
            <v>2.8</v>
          </cell>
        </row>
        <row r="4907">
          <cell r="A4907" t="str">
            <v>MC</v>
          </cell>
          <cell r="B4907" t="str">
            <v>CA304</v>
          </cell>
          <cell r="C4907" t="str">
            <v>MC</v>
          </cell>
          <cell r="D4907" t="str">
            <v>HOLD</v>
          </cell>
          <cell r="E4907" t="str">
            <v>PIPE</v>
          </cell>
          <cell r="F4907">
            <v>1</v>
          </cell>
          <cell r="G4907" t="str">
            <v>CB100405000200</v>
          </cell>
          <cell r="H4907">
            <v>2</v>
          </cell>
          <cell r="I4907" t="str">
            <v>--</v>
          </cell>
          <cell r="J4907">
            <v>3</v>
          </cell>
          <cell r="K4907">
            <v>3.3</v>
          </cell>
        </row>
        <row r="4908">
          <cell r="A4908" t="str">
            <v>MC</v>
          </cell>
          <cell r="B4908" t="str">
            <v>CA304</v>
          </cell>
          <cell r="C4908" t="str">
            <v>MC</v>
          </cell>
          <cell r="D4908" t="str">
            <v>HOLD</v>
          </cell>
          <cell r="E4908" t="str">
            <v>PIPE</v>
          </cell>
          <cell r="F4908">
            <v>1</v>
          </cell>
          <cell r="G4908" t="str">
            <v>CB100405000200</v>
          </cell>
          <cell r="H4908">
            <v>2</v>
          </cell>
          <cell r="I4908" t="str">
            <v>--</v>
          </cell>
          <cell r="J4908">
            <v>3</v>
          </cell>
          <cell r="K4908">
            <v>3.3</v>
          </cell>
        </row>
        <row r="4909">
          <cell r="A4909" t="str">
            <v>MC</v>
          </cell>
          <cell r="B4909" t="str">
            <v>CA304</v>
          </cell>
          <cell r="C4909" t="str">
            <v>MC</v>
          </cell>
          <cell r="D4909" t="str">
            <v>HOLD</v>
          </cell>
          <cell r="E4909" t="str">
            <v>PIPE</v>
          </cell>
          <cell r="F4909">
            <v>1</v>
          </cell>
          <cell r="G4909" t="str">
            <v>CB100405000200</v>
          </cell>
          <cell r="H4909">
            <v>2</v>
          </cell>
          <cell r="I4909" t="str">
            <v>--</v>
          </cell>
          <cell r="J4909">
            <v>3</v>
          </cell>
          <cell r="K4909">
            <v>3.3</v>
          </cell>
        </row>
        <row r="4910">
          <cell r="A4910" t="str">
            <v>MC</v>
          </cell>
          <cell r="B4910" t="str">
            <v>CA304</v>
          </cell>
          <cell r="C4910" t="str">
            <v>MC</v>
          </cell>
          <cell r="D4910" t="str">
            <v>2612</v>
          </cell>
          <cell r="E4910" t="str">
            <v>PIPE</v>
          </cell>
          <cell r="F4910">
            <v>1</v>
          </cell>
          <cell r="G4910" t="str">
            <v>CB100405000200</v>
          </cell>
          <cell r="H4910">
            <v>2</v>
          </cell>
          <cell r="I4910" t="str">
            <v>--</v>
          </cell>
          <cell r="J4910">
            <v>5</v>
          </cell>
          <cell r="K4910">
            <v>5.5</v>
          </cell>
        </row>
        <row r="4911">
          <cell r="A4911" t="str">
            <v>MC</v>
          </cell>
          <cell r="B4911" t="str">
            <v>CA304</v>
          </cell>
          <cell r="C4911" t="str">
            <v>MC</v>
          </cell>
          <cell r="D4911" t="str">
            <v>2609</v>
          </cell>
          <cell r="E4911" t="str">
            <v>PIPE</v>
          </cell>
          <cell r="F4911">
            <v>1</v>
          </cell>
          <cell r="G4911" t="str">
            <v>CB100405000200</v>
          </cell>
          <cell r="H4911">
            <v>2</v>
          </cell>
          <cell r="I4911" t="str">
            <v>--</v>
          </cell>
          <cell r="J4911">
            <v>6</v>
          </cell>
          <cell r="K4911">
            <v>6.6</v>
          </cell>
        </row>
        <row r="4912">
          <cell r="A4912" t="str">
            <v>MC</v>
          </cell>
          <cell r="B4912" t="str">
            <v>CA304</v>
          </cell>
          <cell r="C4912" t="str">
            <v>MC</v>
          </cell>
          <cell r="D4912" t="str">
            <v>2502</v>
          </cell>
          <cell r="E4912" t="str">
            <v>PIPE</v>
          </cell>
          <cell r="F4912">
            <v>1</v>
          </cell>
          <cell r="G4912" t="str">
            <v>CB100405000200</v>
          </cell>
          <cell r="H4912">
            <v>2</v>
          </cell>
          <cell r="I4912" t="str">
            <v>--</v>
          </cell>
          <cell r="J4912">
            <v>6</v>
          </cell>
          <cell r="K4912">
            <v>6.6</v>
          </cell>
        </row>
        <row r="4913">
          <cell r="A4913" t="str">
            <v>MC</v>
          </cell>
          <cell r="B4913" t="str">
            <v>CA304</v>
          </cell>
          <cell r="C4913" t="str">
            <v>MC</v>
          </cell>
          <cell r="D4913" t="str">
            <v>2502</v>
          </cell>
          <cell r="E4913" t="str">
            <v>PIPE</v>
          </cell>
          <cell r="F4913">
            <v>1</v>
          </cell>
          <cell r="G4913" t="str">
            <v>CB100405000200</v>
          </cell>
          <cell r="H4913">
            <v>2</v>
          </cell>
          <cell r="I4913" t="str">
            <v>--</v>
          </cell>
          <cell r="J4913">
            <v>6</v>
          </cell>
          <cell r="K4913">
            <v>6.6</v>
          </cell>
        </row>
        <row r="4914">
          <cell r="A4914" t="str">
            <v>MC</v>
          </cell>
          <cell r="B4914" t="str">
            <v>CA304</v>
          </cell>
          <cell r="C4914" t="str">
            <v>MC</v>
          </cell>
          <cell r="D4914" t="str">
            <v>2610</v>
          </cell>
          <cell r="E4914" t="str">
            <v>PIPE</v>
          </cell>
          <cell r="F4914">
            <v>1</v>
          </cell>
          <cell r="G4914" t="str">
            <v>CB100405000200</v>
          </cell>
          <cell r="H4914">
            <v>2</v>
          </cell>
          <cell r="I4914" t="str">
            <v>--</v>
          </cell>
          <cell r="J4914">
            <v>13</v>
          </cell>
          <cell r="K4914">
            <v>14.3</v>
          </cell>
        </row>
        <row r="4915">
          <cell r="A4915" t="str">
            <v>MC</v>
          </cell>
          <cell r="B4915" t="str">
            <v>CA304</v>
          </cell>
          <cell r="C4915" t="str">
            <v>MC</v>
          </cell>
          <cell r="D4915" t="str">
            <v>2506</v>
          </cell>
          <cell r="E4915" t="str">
            <v>PIPE</v>
          </cell>
          <cell r="F4915">
            <v>1</v>
          </cell>
          <cell r="G4915" t="str">
            <v>CB100405000200</v>
          </cell>
          <cell r="H4915">
            <v>2</v>
          </cell>
          <cell r="I4915" t="str">
            <v>--</v>
          </cell>
          <cell r="J4915">
            <v>15</v>
          </cell>
          <cell r="K4915">
            <v>16.5</v>
          </cell>
        </row>
        <row r="4916">
          <cell r="A4916" t="str">
            <v>MC</v>
          </cell>
          <cell r="B4916" t="str">
            <v>CA304</v>
          </cell>
          <cell r="C4916" t="str">
            <v>MC</v>
          </cell>
          <cell r="D4916" t="str">
            <v>HOLD</v>
          </cell>
          <cell r="E4916" t="str">
            <v>PIPE</v>
          </cell>
          <cell r="F4916">
            <v>1</v>
          </cell>
          <cell r="G4916" t="str">
            <v>CB100405000200</v>
          </cell>
          <cell r="H4916">
            <v>2</v>
          </cell>
          <cell r="I4916" t="str">
            <v>--</v>
          </cell>
          <cell r="J4916">
            <v>16</v>
          </cell>
          <cell r="K4916">
            <v>17.600000000000001</v>
          </cell>
        </row>
        <row r="4917">
          <cell r="A4917" t="str">
            <v>MC</v>
          </cell>
          <cell r="B4917" t="str">
            <v>CA304</v>
          </cell>
          <cell r="C4917" t="str">
            <v>MC</v>
          </cell>
          <cell r="D4917" t="str">
            <v>HOLD</v>
          </cell>
          <cell r="E4917" t="str">
            <v>PIPE</v>
          </cell>
          <cell r="F4917">
            <v>1</v>
          </cell>
          <cell r="G4917" t="str">
            <v>CB100405000200</v>
          </cell>
          <cell r="H4917">
            <v>2</v>
          </cell>
          <cell r="I4917" t="str">
            <v>--</v>
          </cell>
          <cell r="J4917">
            <v>18</v>
          </cell>
          <cell r="K4917">
            <v>19.8</v>
          </cell>
        </row>
        <row r="4918">
          <cell r="A4918" t="str">
            <v>MC</v>
          </cell>
          <cell r="B4918" t="str">
            <v>B2C</v>
          </cell>
          <cell r="C4918" t="str">
            <v>SH</v>
          </cell>
          <cell r="D4918" t="str">
            <v>1405</v>
          </cell>
          <cell r="E4918" t="str">
            <v>PIPE</v>
          </cell>
          <cell r="F4918">
            <v>1</v>
          </cell>
          <cell r="G4918" t="str">
            <v>CB100408000200</v>
          </cell>
          <cell r="H4918">
            <v>2</v>
          </cell>
          <cell r="I4918" t="str">
            <v>--</v>
          </cell>
          <cell r="J4918">
            <v>19</v>
          </cell>
          <cell r="K4918">
            <v>20.9</v>
          </cell>
        </row>
        <row r="4919">
          <cell r="A4919" t="str">
            <v>MC</v>
          </cell>
          <cell r="B4919" t="str">
            <v>CA304</v>
          </cell>
          <cell r="C4919" t="str">
            <v>MC</v>
          </cell>
          <cell r="D4919" t="str">
            <v>2601</v>
          </cell>
          <cell r="E4919" t="str">
            <v>PIPE</v>
          </cell>
          <cell r="F4919">
            <v>1</v>
          </cell>
          <cell r="G4919" t="str">
            <v>CB100405000200</v>
          </cell>
          <cell r="H4919">
            <v>2</v>
          </cell>
          <cell r="I4919" t="str">
            <v>--</v>
          </cell>
          <cell r="J4919">
            <v>19</v>
          </cell>
          <cell r="K4919">
            <v>20.9</v>
          </cell>
        </row>
        <row r="4920">
          <cell r="A4920" t="str">
            <v>MC</v>
          </cell>
          <cell r="B4920" t="str">
            <v>CA304</v>
          </cell>
          <cell r="C4920" t="str">
            <v>MC</v>
          </cell>
          <cell r="D4920" t="str">
            <v>HOLD</v>
          </cell>
          <cell r="E4920" t="str">
            <v>PIPE</v>
          </cell>
          <cell r="F4920">
            <v>1</v>
          </cell>
          <cell r="G4920" t="str">
            <v>CB100405000200</v>
          </cell>
          <cell r="H4920">
            <v>2</v>
          </cell>
          <cell r="I4920" t="str">
            <v>--</v>
          </cell>
          <cell r="J4920">
            <v>25</v>
          </cell>
          <cell r="K4920">
            <v>27.5</v>
          </cell>
        </row>
        <row r="4921">
          <cell r="A4921" t="str">
            <v>MC</v>
          </cell>
          <cell r="B4921" t="str">
            <v>BA305</v>
          </cell>
          <cell r="C4921" t="str">
            <v>MOH</v>
          </cell>
          <cell r="D4921" t="str">
            <v>2000</v>
          </cell>
          <cell r="E4921" t="str">
            <v>PIPE</v>
          </cell>
          <cell r="F4921">
            <v>1</v>
          </cell>
          <cell r="G4921" t="str">
            <v>CB100405000200</v>
          </cell>
          <cell r="H4921">
            <v>2</v>
          </cell>
          <cell r="I4921" t="str">
            <v>--</v>
          </cell>
          <cell r="J4921">
            <v>31</v>
          </cell>
          <cell r="K4921">
            <v>34.1</v>
          </cell>
        </row>
        <row r="4922">
          <cell r="A4922" t="str">
            <v>MC</v>
          </cell>
          <cell r="B4922" t="str">
            <v>A5C</v>
          </cell>
          <cell r="C4922" t="str">
            <v>P</v>
          </cell>
          <cell r="D4922" t="str">
            <v>23112</v>
          </cell>
          <cell r="E4922" t="str">
            <v>PIPE</v>
          </cell>
          <cell r="F4922">
            <v>1</v>
          </cell>
          <cell r="G4922" t="str">
            <v>CB100408000200</v>
          </cell>
          <cell r="H4922">
            <v>2</v>
          </cell>
          <cell r="I4922" t="str">
            <v>--</v>
          </cell>
          <cell r="J4922">
            <v>50.5</v>
          </cell>
          <cell r="K4922">
            <v>55.6</v>
          </cell>
        </row>
        <row r="4923">
          <cell r="A4923" t="str">
            <v>MC</v>
          </cell>
          <cell r="B4923" t="str">
            <v>A5C</v>
          </cell>
          <cell r="C4923" t="str">
            <v>P</v>
          </cell>
          <cell r="D4923" t="str">
            <v>23116</v>
          </cell>
          <cell r="E4923" t="str">
            <v>PIPE</v>
          </cell>
          <cell r="F4923">
            <v>1</v>
          </cell>
          <cell r="G4923" t="str">
            <v>CB100408000200</v>
          </cell>
          <cell r="H4923">
            <v>2</v>
          </cell>
          <cell r="I4923" t="str">
            <v>--</v>
          </cell>
          <cell r="J4923">
            <v>50.5</v>
          </cell>
          <cell r="K4923">
            <v>55.6</v>
          </cell>
        </row>
        <row r="4924">
          <cell r="A4924" t="str">
            <v>MC</v>
          </cell>
          <cell r="B4924" t="str">
            <v>A5C</v>
          </cell>
          <cell r="C4924" t="str">
            <v>P</v>
          </cell>
          <cell r="D4924" t="str">
            <v>23144</v>
          </cell>
          <cell r="E4924" t="str">
            <v>PIPE</v>
          </cell>
          <cell r="F4924">
            <v>1</v>
          </cell>
          <cell r="G4924" t="str">
            <v>CB100408000200</v>
          </cell>
          <cell r="H4924">
            <v>2</v>
          </cell>
          <cell r="I4924" t="str">
            <v>--</v>
          </cell>
          <cell r="J4924">
            <v>50.5</v>
          </cell>
          <cell r="K4924">
            <v>55.6</v>
          </cell>
        </row>
        <row r="4925">
          <cell r="A4925" t="str">
            <v>MC</v>
          </cell>
          <cell r="B4925" t="str">
            <v>A5C</v>
          </cell>
          <cell r="C4925" t="str">
            <v>P</v>
          </cell>
          <cell r="D4925" t="str">
            <v>23148</v>
          </cell>
          <cell r="E4925" t="str">
            <v>PIPE</v>
          </cell>
          <cell r="F4925">
            <v>1</v>
          </cell>
          <cell r="G4925" t="str">
            <v>CB100408000200</v>
          </cell>
          <cell r="H4925">
            <v>2</v>
          </cell>
          <cell r="I4925" t="str">
            <v>--</v>
          </cell>
          <cell r="J4925">
            <v>50.5</v>
          </cell>
          <cell r="K4925">
            <v>55.6</v>
          </cell>
        </row>
        <row r="4926">
          <cell r="A4926" t="str">
            <v>MC</v>
          </cell>
          <cell r="B4926" t="str">
            <v>A5C</v>
          </cell>
          <cell r="C4926" t="str">
            <v>P</v>
          </cell>
          <cell r="D4926" t="str">
            <v>23108</v>
          </cell>
          <cell r="E4926" t="str">
            <v>PIPE</v>
          </cell>
          <cell r="F4926">
            <v>1</v>
          </cell>
          <cell r="G4926" t="str">
            <v>CB100408000200</v>
          </cell>
          <cell r="H4926">
            <v>2</v>
          </cell>
          <cell r="I4926" t="str">
            <v>--</v>
          </cell>
          <cell r="J4926">
            <v>50.5</v>
          </cell>
          <cell r="K4926">
            <v>55.6</v>
          </cell>
        </row>
        <row r="4927">
          <cell r="A4927" t="str">
            <v>MC</v>
          </cell>
          <cell r="B4927" t="str">
            <v>A5C</v>
          </cell>
          <cell r="C4927" t="str">
            <v>P</v>
          </cell>
          <cell r="D4927" t="str">
            <v>23155</v>
          </cell>
          <cell r="E4927" t="str">
            <v>PIPE</v>
          </cell>
          <cell r="F4927">
            <v>1</v>
          </cell>
          <cell r="G4927" t="str">
            <v>CB100408000200</v>
          </cell>
          <cell r="H4927">
            <v>2</v>
          </cell>
          <cell r="I4927" t="str">
            <v>--</v>
          </cell>
          <cell r="J4927">
            <v>50.5</v>
          </cell>
          <cell r="K4927">
            <v>55.6</v>
          </cell>
        </row>
        <row r="4928">
          <cell r="A4928" t="str">
            <v>MC</v>
          </cell>
          <cell r="B4928" t="str">
            <v>A5C</v>
          </cell>
          <cell r="C4928" t="str">
            <v>P</v>
          </cell>
          <cell r="D4928" t="str">
            <v>HOLD2</v>
          </cell>
          <cell r="E4928" t="str">
            <v>PIPE</v>
          </cell>
          <cell r="F4928">
            <v>1</v>
          </cell>
          <cell r="G4928" t="str">
            <v>CB100408000200</v>
          </cell>
          <cell r="H4928">
            <v>2</v>
          </cell>
          <cell r="I4928" t="str">
            <v>--</v>
          </cell>
          <cell r="J4928">
            <v>306</v>
          </cell>
          <cell r="K4928">
            <v>336.6</v>
          </cell>
        </row>
        <row r="4929">
          <cell r="A4929" t="str">
            <v>MC</v>
          </cell>
          <cell r="B4929" t="str">
            <v>CA304</v>
          </cell>
          <cell r="C4929" t="str">
            <v>VT</v>
          </cell>
          <cell r="D4929" t="str">
            <v>HOLD</v>
          </cell>
          <cell r="E4929" t="str">
            <v>PIPE</v>
          </cell>
          <cell r="F4929">
            <v>1</v>
          </cell>
          <cell r="G4929" t="str">
            <v>CB100405000300</v>
          </cell>
          <cell r="H4929">
            <v>3</v>
          </cell>
          <cell r="I4929" t="str">
            <v>--</v>
          </cell>
          <cell r="J4929">
            <v>1.5</v>
          </cell>
          <cell r="K4929">
            <v>1.7</v>
          </cell>
        </row>
        <row r="4930">
          <cell r="A4930" t="str">
            <v>MC</v>
          </cell>
          <cell r="B4930" t="str">
            <v>B2C</v>
          </cell>
          <cell r="C4930" t="str">
            <v>SH</v>
          </cell>
          <cell r="D4930" t="str">
            <v>1260</v>
          </cell>
          <cell r="E4930" t="str">
            <v>PIPE</v>
          </cell>
          <cell r="F4930">
            <v>1</v>
          </cell>
          <cell r="G4930" t="str">
            <v>CB100404000300</v>
          </cell>
          <cell r="H4930">
            <v>3</v>
          </cell>
          <cell r="I4930" t="str">
            <v>--</v>
          </cell>
          <cell r="J4930">
            <v>2</v>
          </cell>
          <cell r="K4930">
            <v>2.2000000000000002</v>
          </cell>
        </row>
        <row r="4931">
          <cell r="A4931" t="str">
            <v>MC</v>
          </cell>
          <cell r="B4931" t="str">
            <v>CA304</v>
          </cell>
          <cell r="C4931" t="str">
            <v>TRIM</v>
          </cell>
          <cell r="D4931" t="str">
            <v>E-1261</v>
          </cell>
          <cell r="E4931" t="str">
            <v>PIPE</v>
          </cell>
          <cell r="F4931">
            <v>1</v>
          </cell>
          <cell r="G4931" t="str">
            <v>CB100405000300</v>
          </cell>
          <cell r="H4931">
            <v>3</v>
          </cell>
          <cell r="I4931" t="str">
            <v>--</v>
          </cell>
          <cell r="J4931">
            <v>2</v>
          </cell>
          <cell r="K4931">
            <v>2.2000000000000002</v>
          </cell>
        </row>
        <row r="4932">
          <cell r="A4932" t="str">
            <v>MC</v>
          </cell>
          <cell r="B4932" t="str">
            <v>CA304</v>
          </cell>
          <cell r="C4932" t="str">
            <v>MC</v>
          </cell>
          <cell r="D4932" t="str">
            <v>2612</v>
          </cell>
          <cell r="E4932" t="str">
            <v>PIPE</v>
          </cell>
          <cell r="F4932">
            <v>1</v>
          </cell>
          <cell r="G4932" t="str">
            <v>CB100405000300</v>
          </cell>
          <cell r="H4932">
            <v>3</v>
          </cell>
          <cell r="I4932" t="str">
            <v>--</v>
          </cell>
          <cell r="J4932">
            <v>4</v>
          </cell>
          <cell r="K4932">
            <v>4.4000000000000004</v>
          </cell>
        </row>
        <row r="4933">
          <cell r="A4933" t="str">
            <v>MC</v>
          </cell>
          <cell r="B4933" t="str">
            <v>CA304</v>
          </cell>
          <cell r="C4933" t="str">
            <v>CMC</v>
          </cell>
          <cell r="D4933" t="str">
            <v>HOLD</v>
          </cell>
          <cell r="E4933" t="str">
            <v>PIPE</v>
          </cell>
          <cell r="F4933">
            <v>1</v>
          </cell>
          <cell r="G4933" t="str">
            <v>CB100405000300</v>
          </cell>
          <cell r="H4933">
            <v>3</v>
          </cell>
          <cell r="I4933" t="str">
            <v>--</v>
          </cell>
          <cell r="J4933">
            <v>6</v>
          </cell>
          <cell r="K4933">
            <v>6.6</v>
          </cell>
        </row>
        <row r="4934">
          <cell r="A4934" t="str">
            <v>MC</v>
          </cell>
          <cell r="B4934" t="str">
            <v>CA304</v>
          </cell>
          <cell r="C4934" t="str">
            <v>MC</v>
          </cell>
          <cell r="D4934" t="str">
            <v>HOLD</v>
          </cell>
          <cell r="E4934" t="str">
            <v>PIPE</v>
          </cell>
          <cell r="F4934">
            <v>1</v>
          </cell>
          <cell r="G4934" t="str">
            <v>CB100405000300</v>
          </cell>
          <cell r="H4934">
            <v>3</v>
          </cell>
          <cell r="I4934" t="str">
            <v>--</v>
          </cell>
          <cell r="J4934">
            <v>6</v>
          </cell>
          <cell r="K4934">
            <v>6.6</v>
          </cell>
        </row>
        <row r="4935">
          <cell r="A4935" t="str">
            <v>MC</v>
          </cell>
          <cell r="B4935" t="str">
            <v>CA304</v>
          </cell>
          <cell r="C4935" t="str">
            <v>MC</v>
          </cell>
          <cell r="D4935" t="str">
            <v>HOLD</v>
          </cell>
          <cell r="E4935" t="str">
            <v>PIPE</v>
          </cell>
          <cell r="F4935">
            <v>1</v>
          </cell>
          <cell r="G4935" t="str">
            <v>CB100405000300</v>
          </cell>
          <cell r="H4935">
            <v>3</v>
          </cell>
          <cell r="I4935" t="str">
            <v>--</v>
          </cell>
          <cell r="J4935">
            <v>6</v>
          </cell>
          <cell r="K4935">
            <v>6.6</v>
          </cell>
        </row>
        <row r="4936">
          <cell r="A4936" t="str">
            <v>MC</v>
          </cell>
          <cell r="B4936" t="str">
            <v>CA304</v>
          </cell>
          <cell r="C4936" t="str">
            <v>MC</v>
          </cell>
          <cell r="D4936" t="str">
            <v>HOLD</v>
          </cell>
          <cell r="E4936" t="str">
            <v>PIPE</v>
          </cell>
          <cell r="F4936">
            <v>1</v>
          </cell>
          <cell r="G4936" t="str">
            <v>CB100405000300</v>
          </cell>
          <cell r="H4936">
            <v>3</v>
          </cell>
          <cell r="I4936" t="str">
            <v>--</v>
          </cell>
          <cell r="J4936">
            <v>6</v>
          </cell>
          <cell r="K4936">
            <v>6.6</v>
          </cell>
        </row>
        <row r="4937">
          <cell r="A4937" t="str">
            <v>MC</v>
          </cell>
          <cell r="B4937" t="str">
            <v>CA304</v>
          </cell>
          <cell r="C4937" t="str">
            <v>VT</v>
          </cell>
          <cell r="D4937" t="str">
            <v>HOLD</v>
          </cell>
          <cell r="E4937" t="str">
            <v>PIPE</v>
          </cell>
          <cell r="F4937">
            <v>1</v>
          </cell>
          <cell r="G4937" t="str">
            <v>CB100405000300</v>
          </cell>
          <cell r="H4937">
            <v>3</v>
          </cell>
          <cell r="I4937" t="str">
            <v>--</v>
          </cell>
          <cell r="J4937">
            <v>8</v>
          </cell>
          <cell r="K4937">
            <v>8.8000000000000007</v>
          </cell>
        </row>
        <row r="4938">
          <cell r="A4938" t="str">
            <v>MC</v>
          </cell>
          <cell r="B4938" t="str">
            <v>CA304</v>
          </cell>
          <cell r="C4938" t="str">
            <v>VT</v>
          </cell>
          <cell r="D4938" t="str">
            <v>HOLD</v>
          </cell>
          <cell r="E4938" t="str">
            <v>PIPE</v>
          </cell>
          <cell r="F4938">
            <v>1</v>
          </cell>
          <cell r="G4938" t="str">
            <v>CB100405000300</v>
          </cell>
          <cell r="H4938">
            <v>3</v>
          </cell>
          <cell r="I4938" t="str">
            <v>--</v>
          </cell>
          <cell r="J4938">
            <v>8.5</v>
          </cell>
          <cell r="K4938">
            <v>9.4</v>
          </cell>
        </row>
        <row r="4939">
          <cell r="A4939" t="str">
            <v>MC</v>
          </cell>
          <cell r="B4939" t="str">
            <v>CA304</v>
          </cell>
          <cell r="C4939" t="str">
            <v>MC</v>
          </cell>
          <cell r="D4939" t="str">
            <v>2606</v>
          </cell>
          <cell r="E4939" t="str">
            <v>PIPE</v>
          </cell>
          <cell r="F4939">
            <v>1</v>
          </cell>
          <cell r="G4939" t="str">
            <v>CB100405000300</v>
          </cell>
          <cell r="H4939">
            <v>3</v>
          </cell>
          <cell r="I4939" t="str">
            <v>--</v>
          </cell>
          <cell r="J4939">
            <v>14</v>
          </cell>
          <cell r="K4939">
            <v>15.4</v>
          </cell>
        </row>
        <row r="4940">
          <cell r="A4940" t="str">
            <v>MC</v>
          </cell>
          <cell r="B4940" t="str">
            <v>CA304</v>
          </cell>
          <cell r="C4940" t="str">
            <v>MC</v>
          </cell>
          <cell r="D4940" t="str">
            <v>2505</v>
          </cell>
          <cell r="E4940" t="str">
            <v>PIPE</v>
          </cell>
          <cell r="F4940">
            <v>1</v>
          </cell>
          <cell r="G4940" t="str">
            <v>CB100405000400</v>
          </cell>
          <cell r="H4940">
            <v>4</v>
          </cell>
          <cell r="I4940" t="str">
            <v>--</v>
          </cell>
          <cell r="J4940">
            <v>0.2</v>
          </cell>
          <cell r="K4940">
            <v>0.3</v>
          </cell>
        </row>
        <row r="4941">
          <cell r="A4941" t="str">
            <v>MC</v>
          </cell>
          <cell r="B4941" t="str">
            <v>CA304</v>
          </cell>
          <cell r="C4941" t="str">
            <v>MC</v>
          </cell>
          <cell r="D4941" t="str">
            <v>2605</v>
          </cell>
          <cell r="E4941" t="str">
            <v>PIPE</v>
          </cell>
          <cell r="F4941">
            <v>1</v>
          </cell>
          <cell r="G4941" t="str">
            <v>CB100405000400</v>
          </cell>
          <cell r="H4941">
            <v>4</v>
          </cell>
          <cell r="I4941" t="str">
            <v>--</v>
          </cell>
          <cell r="J4941">
            <v>0.2</v>
          </cell>
          <cell r="K4941">
            <v>0.3</v>
          </cell>
        </row>
        <row r="4942">
          <cell r="A4942" t="str">
            <v>MC</v>
          </cell>
          <cell r="B4942" t="str">
            <v>CA304</v>
          </cell>
          <cell r="C4942" t="str">
            <v>MC</v>
          </cell>
          <cell r="D4942" t="str">
            <v>2506</v>
          </cell>
          <cell r="E4942" t="str">
            <v>PIPE</v>
          </cell>
          <cell r="F4942">
            <v>1</v>
          </cell>
          <cell r="G4942" t="str">
            <v>CB100405000400</v>
          </cell>
          <cell r="H4942">
            <v>4</v>
          </cell>
          <cell r="I4942" t="str">
            <v>--</v>
          </cell>
          <cell r="J4942">
            <v>0.2</v>
          </cell>
          <cell r="K4942">
            <v>0.3</v>
          </cell>
        </row>
        <row r="4943">
          <cell r="A4943" t="str">
            <v>MC</v>
          </cell>
          <cell r="B4943" t="str">
            <v>CA304</v>
          </cell>
          <cell r="C4943" t="str">
            <v>MC</v>
          </cell>
          <cell r="D4943" t="str">
            <v>2609</v>
          </cell>
          <cell r="E4943" t="str">
            <v>PIPE</v>
          </cell>
          <cell r="F4943">
            <v>1</v>
          </cell>
          <cell r="G4943" t="str">
            <v>CB100405000400</v>
          </cell>
          <cell r="H4943">
            <v>4</v>
          </cell>
          <cell r="I4943" t="str">
            <v>--</v>
          </cell>
          <cell r="J4943">
            <v>0.2</v>
          </cell>
          <cell r="K4943">
            <v>0.3</v>
          </cell>
        </row>
        <row r="4944">
          <cell r="A4944" t="str">
            <v>MC</v>
          </cell>
          <cell r="B4944" t="str">
            <v>CA304</v>
          </cell>
          <cell r="C4944" t="str">
            <v>MC</v>
          </cell>
          <cell r="D4944" t="str">
            <v>2604</v>
          </cell>
          <cell r="E4944" t="str">
            <v>PIPE</v>
          </cell>
          <cell r="F4944">
            <v>1</v>
          </cell>
          <cell r="G4944" t="str">
            <v>CB100405000400</v>
          </cell>
          <cell r="H4944">
            <v>4</v>
          </cell>
          <cell r="I4944" t="str">
            <v>--</v>
          </cell>
          <cell r="J4944">
            <v>0.5</v>
          </cell>
          <cell r="K4944">
            <v>0.6</v>
          </cell>
        </row>
        <row r="4945">
          <cell r="A4945" t="str">
            <v>MC</v>
          </cell>
          <cell r="B4945" t="str">
            <v>B2C</v>
          </cell>
          <cell r="C4945" t="str">
            <v>SH</v>
          </cell>
          <cell r="D4945" t="str">
            <v>1460</v>
          </cell>
          <cell r="E4945" t="str">
            <v>PIPE</v>
          </cell>
          <cell r="F4945">
            <v>1</v>
          </cell>
          <cell r="G4945" t="str">
            <v>CB100404000400</v>
          </cell>
          <cell r="H4945">
            <v>4</v>
          </cell>
          <cell r="I4945" t="str">
            <v>--</v>
          </cell>
          <cell r="J4945">
            <v>1</v>
          </cell>
          <cell r="K4945">
            <v>1.2</v>
          </cell>
        </row>
        <row r="4946">
          <cell r="A4946" t="str">
            <v>MC</v>
          </cell>
          <cell r="B4946" t="str">
            <v>CA304</v>
          </cell>
          <cell r="C4946" t="str">
            <v>CMC</v>
          </cell>
          <cell r="D4946" t="str">
            <v>HOLD</v>
          </cell>
          <cell r="E4946" t="str">
            <v>PIPE</v>
          </cell>
          <cell r="F4946">
            <v>1</v>
          </cell>
          <cell r="G4946" t="str">
            <v>CB100405000400</v>
          </cell>
          <cell r="H4946">
            <v>4</v>
          </cell>
          <cell r="I4946" t="str">
            <v>--</v>
          </cell>
          <cell r="J4946">
            <v>2</v>
          </cell>
          <cell r="K4946">
            <v>2.4</v>
          </cell>
        </row>
        <row r="4947">
          <cell r="A4947" t="str">
            <v>MC</v>
          </cell>
          <cell r="B4947" t="str">
            <v>CA304</v>
          </cell>
          <cell r="C4947" t="str">
            <v>CMC</v>
          </cell>
          <cell r="D4947" t="str">
            <v>HOLD</v>
          </cell>
          <cell r="E4947" t="str">
            <v>PIPE</v>
          </cell>
          <cell r="F4947">
            <v>1</v>
          </cell>
          <cell r="G4947" t="str">
            <v>CB100405000400</v>
          </cell>
          <cell r="H4947">
            <v>4</v>
          </cell>
          <cell r="I4947" t="str">
            <v>--</v>
          </cell>
          <cell r="J4947">
            <v>2</v>
          </cell>
          <cell r="K4947">
            <v>2.4</v>
          </cell>
        </row>
        <row r="4948">
          <cell r="A4948" t="str">
            <v>MC</v>
          </cell>
          <cell r="B4948" t="str">
            <v>CA304</v>
          </cell>
          <cell r="C4948" t="str">
            <v>CMC</v>
          </cell>
          <cell r="D4948" t="str">
            <v>HOLD</v>
          </cell>
          <cell r="E4948" t="str">
            <v>PIPE</v>
          </cell>
          <cell r="F4948">
            <v>1</v>
          </cell>
          <cell r="G4948" t="str">
            <v>CB100405000400</v>
          </cell>
          <cell r="H4948">
            <v>4</v>
          </cell>
          <cell r="I4948" t="str">
            <v>--</v>
          </cell>
          <cell r="J4948">
            <v>4</v>
          </cell>
          <cell r="K4948">
            <v>4.8</v>
          </cell>
        </row>
        <row r="4949">
          <cell r="A4949" t="str">
            <v>MC</v>
          </cell>
          <cell r="B4949" t="str">
            <v>CA304</v>
          </cell>
          <cell r="C4949" t="str">
            <v>MC</v>
          </cell>
          <cell r="D4949" t="str">
            <v>2502</v>
          </cell>
          <cell r="E4949" t="str">
            <v>PIPE</v>
          </cell>
          <cell r="F4949">
            <v>1</v>
          </cell>
          <cell r="G4949" t="str">
            <v>CB100405000400</v>
          </cell>
          <cell r="H4949">
            <v>4</v>
          </cell>
          <cell r="I4949" t="str">
            <v>--</v>
          </cell>
          <cell r="J4949">
            <v>5</v>
          </cell>
          <cell r="K4949">
            <v>6</v>
          </cell>
        </row>
        <row r="4950">
          <cell r="A4950" t="str">
            <v>MC</v>
          </cell>
          <cell r="B4950" t="str">
            <v>CA304</v>
          </cell>
          <cell r="C4950" t="str">
            <v>MC</v>
          </cell>
          <cell r="D4950" t="str">
            <v>2502</v>
          </cell>
          <cell r="E4950" t="str">
            <v>PIPE</v>
          </cell>
          <cell r="F4950">
            <v>1</v>
          </cell>
          <cell r="G4950" t="str">
            <v>CB100405000400</v>
          </cell>
          <cell r="H4950">
            <v>4</v>
          </cell>
          <cell r="I4950" t="str">
            <v>--</v>
          </cell>
          <cell r="J4950">
            <v>5</v>
          </cell>
          <cell r="K4950">
            <v>6</v>
          </cell>
        </row>
        <row r="4951">
          <cell r="A4951" t="str">
            <v>MC</v>
          </cell>
          <cell r="B4951" t="str">
            <v>CA304</v>
          </cell>
          <cell r="C4951" t="str">
            <v>MC</v>
          </cell>
          <cell r="D4951" t="str">
            <v>2503</v>
          </cell>
          <cell r="E4951" t="str">
            <v>PIPE</v>
          </cell>
          <cell r="F4951">
            <v>1</v>
          </cell>
          <cell r="G4951" t="str">
            <v>CB100405000400</v>
          </cell>
          <cell r="H4951">
            <v>4</v>
          </cell>
          <cell r="I4951" t="str">
            <v>--</v>
          </cell>
          <cell r="J4951">
            <v>6</v>
          </cell>
          <cell r="K4951">
            <v>7.2</v>
          </cell>
        </row>
        <row r="4952">
          <cell r="A4952" t="str">
            <v>MC</v>
          </cell>
          <cell r="B4952" t="str">
            <v>CA304</v>
          </cell>
          <cell r="C4952" t="str">
            <v>MC</v>
          </cell>
          <cell r="D4952" t="str">
            <v>2507</v>
          </cell>
          <cell r="E4952" t="str">
            <v>PIPE</v>
          </cell>
          <cell r="F4952">
            <v>1</v>
          </cell>
          <cell r="G4952" t="str">
            <v>CB100405000400</v>
          </cell>
          <cell r="H4952">
            <v>4</v>
          </cell>
          <cell r="I4952" t="str">
            <v>--</v>
          </cell>
          <cell r="J4952">
            <v>7</v>
          </cell>
          <cell r="K4952">
            <v>8.4</v>
          </cell>
        </row>
        <row r="4953">
          <cell r="A4953" t="str">
            <v>MC</v>
          </cell>
          <cell r="B4953" t="str">
            <v>CA304</v>
          </cell>
          <cell r="C4953" t="str">
            <v>VT</v>
          </cell>
          <cell r="D4953" t="str">
            <v>HOLD</v>
          </cell>
          <cell r="E4953" t="str">
            <v>PIPE</v>
          </cell>
          <cell r="F4953">
            <v>1</v>
          </cell>
          <cell r="G4953" t="str">
            <v>CB100405000400</v>
          </cell>
          <cell r="H4953">
            <v>4</v>
          </cell>
          <cell r="I4953" t="str">
            <v>--</v>
          </cell>
          <cell r="J4953">
            <v>11.5</v>
          </cell>
          <cell r="K4953">
            <v>13.8</v>
          </cell>
        </row>
        <row r="4954">
          <cell r="A4954" t="str">
            <v>MC</v>
          </cell>
          <cell r="B4954" t="str">
            <v>CA304</v>
          </cell>
          <cell r="C4954" t="str">
            <v>MC</v>
          </cell>
          <cell r="D4954" t="str">
            <v>HOLD</v>
          </cell>
          <cell r="E4954" t="str">
            <v>PIPE</v>
          </cell>
          <cell r="F4954">
            <v>1</v>
          </cell>
          <cell r="G4954" t="str">
            <v>CB100405000400</v>
          </cell>
          <cell r="H4954">
            <v>4</v>
          </cell>
          <cell r="I4954" t="str">
            <v>--</v>
          </cell>
          <cell r="J4954">
            <v>14</v>
          </cell>
          <cell r="K4954">
            <v>16.8</v>
          </cell>
        </row>
        <row r="4955">
          <cell r="A4955" t="str">
            <v>MC</v>
          </cell>
          <cell r="B4955" t="str">
            <v>CA304</v>
          </cell>
          <cell r="C4955" t="str">
            <v>MC</v>
          </cell>
          <cell r="D4955" t="str">
            <v>HOLD</v>
          </cell>
          <cell r="E4955" t="str">
            <v>PIPE</v>
          </cell>
          <cell r="F4955">
            <v>1</v>
          </cell>
          <cell r="G4955" t="str">
            <v>CB100405000400</v>
          </cell>
          <cell r="H4955">
            <v>4</v>
          </cell>
          <cell r="I4955" t="str">
            <v>--</v>
          </cell>
          <cell r="J4955">
            <v>14</v>
          </cell>
          <cell r="K4955">
            <v>16.8</v>
          </cell>
        </row>
        <row r="4956">
          <cell r="A4956" t="str">
            <v>MC</v>
          </cell>
          <cell r="B4956" t="str">
            <v>CA304</v>
          </cell>
          <cell r="C4956" t="str">
            <v>MC</v>
          </cell>
          <cell r="D4956" t="str">
            <v>HOLD</v>
          </cell>
          <cell r="E4956" t="str">
            <v>PIPE</v>
          </cell>
          <cell r="F4956">
            <v>1</v>
          </cell>
          <cell r="G4956" t="str">
            <v>CB100405000400</v>
          </cell>
          <cell r="H4956">
            <v>4</v>
          </cell>
          <cell r="I4956" t="str">
            <v>--</v>
          </cell>
          <cell r="J4956">
            <v>14</v>
          </cell>
          <cell r="K4956">
            <v>16.8</v>
          </cell>
        </row>
        <row r="4957">
          <cell r="A4957" t="str">
            <v>MC</v>
          </cell>
          <cell r="B4957" t="str">
            <v>CA304</v>
          </cell>
          <cell r="C4957" t="str">
            <v>VT</v>
          </cell>
          <cell r="D4957" t="str">
            <v>HOLD</v>
          </cell>
          <cell r="E4957" t="str">
            <v>PIPE</v>
          </cell>
          <cell r="F4957">
            <v>1</v>
          </cell>
          <cell r="G4957" t="str">
            <v>CB100405000400</v>
          </cell>
          <cell r="H4957">
            <v>4</v>
          </cell>
          <cell r="I4957" t="str">
            <v>--</v>
          </cell>
          <cell r="J4957">
            <v>15.5</v>
          </cell>
          <cell r="K4957">
            <v>18.600000000000001</v>
          </cell>
        </row>
        <row r="4958">
          <cell r="A4958" t="str">
            <v>MC</v>
          </cell>
          <cell r="B4958" t="str">
            <v>B2C</v>
          </cell>
          <cell r="C4958" t="str">
            <v>SH</v>
          </cell>
          <cell r="D4958" t="str">
            <v>1260</v>
          </cell>
          <cell r="E4958" t="str">
            <v>PIPE</v>
          </cell>
          <cell r="F4958">
            <v>1</v>
          </cell>
          <cell r="G4958" t="str">
            <v>CB100404000400</v>
          </cell>
          <cell r="H4958">
            <v>4</v>
          </cell>
          <cell r="I4958" t="str">
            <v>--</v>
          </cell>
          <cell r="J4958">
            <v>20.5</v>
          </cell>
          <cell r="K4958">
            <v>24.6</v>
          </cell>
        </row>
        <row r="4959">
          <cell r="A4959" t="str">
            <v>MC</v>
          </cell>
          <cell r="B4959" t="str">
            <v>CA307</v>
          </cell>
          <cell r="C4959" t="str">
            <v>P</v>
          </cell>
          <cell r="D4959" t="str">
            <v>HOLD1</v>
          </cell>
          <cell r="E4959" t="str">
            <v>PIPE</v>
          </cell>
          <cell r="F4959">
            <v>1</v>
          </cell>
          <cell r="G4959" t="str">
            <v>CB100405000400</v>
          </cell>
          <cell r="H4959">
            <v>4</v>
          </cell>
          <cell r="I4959" t="str">
            <v>--</v>
          </cell>
          <cell r="J4959">
            <v>51</v>
          </cell>
          <cell r="K4959">
            <v>61.2</v>
          </cell>
        </row>
        <row r="4960">
          <cell r="A4960" t="str">
            <v>MC</v>
          </cell>
          <cell r="B4960" t="str">
            <v>B2C</v>
          </cell>
          <cell r="C4960" t="str">
            <v>SH</v>
          </cell>
          <cell r="D4960" t="str">
            <v>1000</v>
          </cell>
          <cell r="E4960" t="str">
            <v>PIPE</v>
          </cell>
          <cell r="F4960">
            <v>1</v>
          </cell>
          <cell r="G4960" t="str">
            <v>CB100404000600</v>
          </cell>
          <cell r="H4960">
            <v>6</v>
          </cell>
          <cell r="I4960" t="str">
            <v>--</v>
          </cell>
          <cell r="J4960">
            <v>1</v>
          </cell>
          <cell r="K4960">
            <v>1.2</v>
          </cell>
        </row>
        <row r="4961">
          <cell r="A4961" t="str">
            <v>MC</v>
          </cell>
          <cell r="B4961" t="str">
            <v>B2C</v>
          </cell>
          <cell r="C4961" t="str">
            <v>SH</v>
          </cell>
          <cell r="D4961" t="str">
            <v>1360</v>
          </cell>
          <cell r="E4961" t="str">
            <v>PIPE</v>
          </cell>
          <cell r="F4961">
            <v>1</v>
          </cell>
          <cell r="G4961" t="str">
            <v>CB100404000600</v>
          </cell>
          <cell r="H4961">
            <v>6</v>
          </cell>
          <cell r="I4961" t="str">
            <v>--</v>
          </cell>
          <cell r="J4961">
            <v>2</v>
          </cell>
          <cell r="K4961">
            <v>2.4</v>
          </cell>
        </row>
        <row r="4962">
          <cell r="A4962" t="str">
            <v>MC</v>
          </cell>
          <cell r="B4962" t="str">
            <v>CA304</v>
          </cell>
          <cell r="C4962" t="str">
            <v>CMC</v>
          </cell>
          <cell r="D4962" t="str">
            <v>HOLD</v>
          </cell>
          <cell r="E4962" t="str">
            <v>PIPE</v>
          </cell>
          <cell r="F4962">
            <v>1</v>
          </cell>
          <cell r="G4962" t="str">
            <v>CB100405000600</v>
          </cell>
          <cell r="H4962">
            <v>6</v>
          </cell>
          <cell r="I4962" t="str">
            <v>--</v>
          </cell>
          <cell r="J4962">
            <v>2</v>
          </cell>
          <cell r="K4962">
            <v>2.4</v>
          </cell>
        </row>
        <row r="4963">
          <cell r="A4963" t="str">
            <v>MC</v>
          </cell>
          <cell r="B4963" t="str">
            <v>CA304</v>
          </cell>
          <cell r="C4963" t="str">
            <v>CMC</v>
          </cell>
          <cell r="D4963" t="str">
            <v>HOLD</v>
          </cell>
          <cell r="E4963" t="str">
            <v>PIPE</v>
          </cell>
          <cell r="F4963">
            <v>1</v>
          </cell>
          <cell r="G4963" t="str">
            <v>CB100405000600</v>
          </cell>
          <cell r="H4963">
            <v>6</v>
          </cell>
          <cell r="I4963" t="str">
            <v>--</v>
          </cell>
          <cell r="J4963">
            <v>2</v>
          </cell>
          <cell r="K4963">
            <v>2.4</v>
          </cell>
        </row>
        <row r="4964">
          <cell r="A4964" t="str">
            <v>MC</v>
          </cell>
          <cell r="B4964" t="str">
            <v>CA304</v>
          </cell>
          <cell r="C4964" t="str">
            <v>MC</v>
          </cell>
          <cell r="D4964" t="str">
            <v>2502</v>
          </cell>
          <cell r="E4964" t="str">
            <v>PIPE</v>
          </cell>
          <cell r="F4964">
            <v>1</v>
          </cell>
          <cell r="G4964" t="str">
            <v>CB100405000600</v>
          </cell>
          <cell r="H4964">
            <v>6</v>
          </cell>
          <cell r="I4964" t="str">
            <v>--</v>
          </cell>
          <cell r="J4964">
            <v>5</v>
          </cell>
          <cell r="K4964">
            <v>6</v>
          </cell>
        </row>
        <row r="4965">
          <cell r="A4965" t="str">
            <v>MC</v>
          </cell>
          <cell r="B4965" t="str">
            <v>BA305</v>
          </cell>
          <cell r="C4965" t="str">
            <v>MOH</v>
          </cell>
          <cell r="D4965" t="str">
            <v>HOLD</v>
          </cell>
          <cell r="E4965" t="str">
            <v>PIPE</v>
          </cell>
          <cell r="F4965">
            <v>1</v>
          </cell>
          <cell r="G4965" t="str">
            <v>CB100405000600</v>
          </cell>
          <cell r="H4965">
            <v>6</v>
          </cell>
          <cell r="I4965" t="str">
            <v>--</v>
          </cell>
          <cell r="J4965">
            <v>9</v>
          </cell>
          <cell r="K4965">
            <v>10.8</v>
          </cell>
        </row>
        <row r="4966">
          <cell r="A4966" t="str">
            <v>MC</v>
          </cell>
          <cell r="B4966" t="str">
            <v>BA305</v>
          </cell>
          <cell r="C4966" t="str">
            <v>MOH</v>
          </cell>
          <cell r="D4966" t="str">
            <v>2103</v>
          </cell>
          <cell r="E4966" t="str">
            <v>PIPE</v>
          </cell>
          <cell r="F4966">
            <v>1</v>
          </cell>
          <cell r="G4966" t="str">
            <v>CB100405000600</v>
          </cell>
          <cell r="H4966">
            <v>6</v>
          </cell>
          <cell r="I4966" t="str">
            <v>--</v>
          </cell>
          <cell r="J4966">
            <v>10</v>
          </cell>
          <cell r="K4966">
            <v>12</v>
          </cell>
        </row>
        <row r="4967">
          <cell r="A4967" t="str">
            <v>MC</v>
          </cell>
          <cell r="B4967" t="str">
            <v>CA304</v>
          </cell>
          <cell r="C4967" t="str">
            <v>MC</v>
          </cell>
          <cell r="D4967" t="str">
            <v>2502</v>
          </cell>
          <cell r="E4967" t="str">
            <v>PIPE</v>
          </cell>
          <cell r="F4967">
            <v>1</v>
          </cell>
          <cell r="G4967" t="str">
            <v>CB100405000600</v>
          </cell>
          <cell r="H4967">
            <v>6</v>
          </cell>
          <cell r="I4967" t="str">
            <v>--</v>
          </cell>
          <cell r="J4967">
            <v>12</v>
          </cell>
          <cell r="K4967">
            <v>14.4</v>
          </cell>
        </row>
        <row r="4968">
          <cell r="A4968" t="str">
            <v>MC</v>
          </cell>
          <cell r="B4968" t="str">
            <v>CA304</v>
          </cell>
          <cell r="C4968" t="str">
            <v>MC</v>
          </cell>
          <cell r="D4968" t="str">
            <v>2410</v>
          </cell>
          <cell r="E4968" t="str">
            <v>PIPE</v>
          </cell>
          <cell r="F4968">
            <v>1</v>
          </cell>
          <cell r="G4968" t="str">
            <v>CB100405000600</v>
          </cell>
          <cell r="H4968">
            <v>6</v>
          </cell>
          <cell r="I4968" t="str">
            <v>--</v>
          </cell>
          <cell r="J4968">
            <v>12.5</v>
          </cell>
          <cell r="K4968">
            <v>15</v>
          </cell>
        </row>
        <row r="4969">
          <cell r="A4969" t="str">
            <v>MC</v>
          </cell>
          <cell r="B4969" t="str">
            <v>CA304</v>
          </cell>
          <cell r="C4969" t="str">
            <v>CMC</v>
          </cell>
          <cell r="D4969" t="str">
            <v>HOLD</v>
          </cell>
          <cell r="E4969" t="str">
            <v>PIPE</v>
          </cell>
          <cell r="F4969">
            <v>1</v>
          </cell>
          <cell r="G4969" t="str">
            <v>CB100405000600</v>
          </cell>
          <cell r="H4969">
            <v>6</v>
          </cell>
          <cell r="I4969" t="str">
            <v>--</v>
          </cell>
          <cell r="J4969">
            <v>14</v>
          </cell>
          <cell r="K4969">
            <v>16.8</v>
          </cell>
        </row>
        <row r="4970">
          <cell r="A4970" t="str">
            <v>MC</v>
          </cell>
          <cell r="B4970" t="str">
            <v>B2C</v>
          </cell>
          <cell r="C4970" t="str">
            <v>SH</v>
          </cell>
          <cell r="D4970" t="str">
            <v>1460</v>
          </cell>
          <cell r="E4970" t="str">
            <v>PIPE</v>
          </cell>
          <cell r="F4970">
            <v>1</v>
          </cell>
          <cell r="G4970" t="str">
            <v>CB100404000600</v>
          </cell>
          <cell r="H4970">
            <v>6</v>
          </cell>
          <cell r="I4970" t="str">
            <v>--</v>
          </cell>
          <cell r="J4970">
            <v>16</v>
          </cell>
          <cell r="K4970">
            <v>19.2</v>
          </cell>
        </row>
        <row r="4971">
          <cell r="A4971" t="str">
            <v>MC</v>
          </cell>
          <cell r="B4971" t="str">
            <v>CA304</v>
          </cell>
          <cell r="C4971" t="str">
            <v>MC</v>
          </cell>
          <cell r="D4971" t="str">
            <v>2412</v>
          </cell>
          <cell r="E4971" t="str">
            <v>PIPE</v>
          </cell>
          <cell r="F4971">
            <v>1</v>
          </cell>
          <cell r="G4971" t="str">
            <v>CB100405000600</v>
          </cell>
          <cell r="H4971">
            <v>6</v>
          </cell>
          <cell r="I4971" t="str">
            <v>--</v>
          </cell>
          <cell r="J4971">
            <v>16</v>
          </cell>
          <cell r="K4971">
            <v>19.2</v>
          </cell>
        </row>
        <row r="4972">
          <cell r="A4972" t="str">
            <v>MC</v>
          </cell>
          <cell r="B4972" t="str">
            <v>CA304</v>
          </cell>
          <cell r="C4972" t="str">
            <v>MC</v>
          </cell>
          <cell r="D4972" t="str">
            <v>2504</v>
          </cell>
          <cell r="E4972" t="str">
            <v>PIPE</v>
          </cell>
          <cell r="F4972">
            <v>1</v>
          </cell>
          <cell r="G4972" t="str">
            <v>CB100405000600</v>
          </cell>
          <cell r="H4972">
            <v>6</v>
          </cell>
          <cell r="I4972" t="str">
            <v>--</v>
          </cell>
          <cell r="J4972">
            <v>17</v>
          </cell>
          <cell r="K4972">
            <v>20.399999999999999</v>
          </cell>
        </row>
        <row r="4973">
          <cell r="A4973" t="str">
            <v>MC</v>
          </cell>
          <cell r="B4973" t="str">
            <v>CA304</v>
          </cell>
          <cell r="C4973" t="str">
            <v>MC</v>
          </cell>
          <cell r="D4973" t="str">
            <v>2613</v>
          </cell>
          <cell r="E4973" t="str">
            <v>PIPE</v>
          </cell>
          <cell r="F4973">
            <v>1</v>
          </cell>
          <cell r="G4973" t="str">
            <v>CB100405000600</v>
          </cell>
          <cell r="H4973">
            <v>6</v>
          </cell>
          <cell r="I4973" t="str">
            <v>--</v>
          </cell>
          <cell r="J4973">
            <v>23</v>
          </cell>
          <cell r="K4973">
            <v>27.6</v>
          </cell>
        </row>
        <row r="4974">
          <cell r="A4974" t="str">
            <v>MC</v>
          </cell>
          <cell r="B4974" t="str">
            <v>CA307</v>
          </cell>
          <cell r="C4974" t="str">
            <v>HCLG</v>
          </cell>
          <cell r="D4974" t="str">
            <v>1100</v>
          </cell>
          <cell r="E4974" t="str">
            <v>PIPE</v>
          </cell>
          <cell r="F4974">
            <v>1</v>
          </cell>
          <cell r="G4974" t="str">
            <v>CB100405000600</v>
          </cell>
          <cell r="H4974">
            <v>6</v>
          </cell>
          <cell r="I4974" t="str">
            <v>--</v>
          </cell>
          <cell r="J4974">
            <v>51</v>
          </cell>
          <cell r="K4974">
            <v>61.2</v>
          </cell>
        </row>
        <row r="4975">
          <cell r="A4975" t="str">
            <v>MC</v>
          </cell>
          <cell r="B4975" t="str">
            <v>CA307</v>
          </cell>
          <cell r="C4975" t="str">
            <v>HCL</v>
          </cell>
          <cell r="D4975" t="str">
            <v>1100</v>
          </cell>
          <cell r="E4975" t="str">
            <v>PIPE</v>
          </cell>
          <cell r="F4975">
            <v>1</v>
          </cell>
          <cell r="G4975" t="str">
            <v>CB100405000600</v>
          </cell>
          <cell r="H4975">
            <v>6</v>
          </cell>
          <cell r="I4975" t="str">
            <v>--</v>
          </cell>
          <cell r="J4975">
            <v>62</v>
          </cell>
          <cell r="K4975">
            <v>74.400000000000006</v>
          </cell>
        </row>
        <row r="4976">
          <cell r="A4976" t="str">
            <v>MC</v>
          </cell>
          <cell r="B4976" t="str">
            <v>CA304</v>
          </cell>
          <cell r="C4976" t="str">
            <v>MC</v>
          </cell>
          <cell r="D4976" t="str">
            <v>2501</v>
          </cell>
          <cell r="E4976" t="str">
            <v>PIPE</v>
          </cell>
          <cell r="F4976">
            <v>1</v>
          </cell>
          <cell r="G4976" t="str">
            <v>CB100405000800</v>
          </cell>
          <cell r="H4976">
            <v>8</v>
          </cell>
          <cell r="I4976" t="str">
            <v>--</v>
          </cell>
          <cell r="J4976">
            <v>5</v>
          </cell>
          <cell r="K4976">
            <v>6</v>
          </cell>
        </row>
        <row r="4977">
          <cell r="A4977" t="str">
            <v>MC</v>
          </cell>
          <cell r="B4977" t="str">
            <v>CA304</v>
          </cell>
          <cell r="C4977" t="str">
            <v>MC</v>
          </cell>
          <cell r="D4977" t="str">
            <v>2501</v>
          </cell>
          <cell r="E4977" t="str">
            <v>PIPE</v>
          </cell>
          <cell r="F4977">
            <v>1</v>
          </cell>
          <cell r="G4977" t="str">
            <v>CB100405000800</v>
          </cell>
          <cell r="H4977">
            <v>8</v>
          </cell>
          <cell r="I4977" t="str">
            <v>--</v>
          </cell>
          <cell r="J4977">
            <v>8</v>
          </cell>
          <cell r="K4977">
            <v>9.6</v>
          </cell>
        </row>
        <row r="4978">
          <cell r="A4978" t="str">
            <v>MC</v>
          </cell>
          <cell r="B4978" t="str">
            <v>CA304</v>
          </cell>
          <cell r="C4978" t="str">
            <v>MC</v>
          </cell>
          <cell r="D4978" t="str">
            <v>2501</v>
          </cell>
          <cell r="E4978" t="str">
            <v>PIPE</v>
          </cell>
          <cell r="F4978">
            <v>1</v>
          </cell>
          <cell r="G4978" t="str">
            <v>CB100405000800</v>
          </cell>
          <cell r="H4978">
            <v>8</v>
          </cell>
          <cell r="I4978" t="str">
            <v>--</v>
          </cell>
          <cell r="J4978">
            <v>11</v>
          </cell>
          <cell r="K4978">
            <v>13.2</v>
          </cell>
        </row>
        <row r="4979">
          <cell r="A4979" t="str">
            <v>MC</v>
          </cell>
          <cell r="B4979" t="str">
            <v>B2C</v>
          </cell>
          <cell r="C4979" t="str">
            <v>SH</v>
          </cell>
          <cell r="D4979" t="str">
            <v>1360</v>
          </cell>
          <cell r="E4979" t="str">
            <v>PIPE</v>
          </cell>
          <cell r="F4979">
            <v>1</v>
          </cell>
          <cell r="G4979" t="str">
            <v>CB100404000800</v>
          </cell>
          <cell r="H4979">
            <v>8</v>
          </cell>
          <cell r="I4979" t="str">
            <v>--</v>
          </cell>
          <cell r="J4979">
            <v>18</v>
          </cell>
          <cell r="K4979">
            <v>21.6</v>
          </cell>
        </row>
        <row r="4980">
          <cell r="A4980" t="str">
            <v>MC</v>
          </cell>
          <cell r="B4980" t="str">
            <v>CA304</v>
          </cell>
          <cell r="C4980" t="str">
            <v>VT</v>
          </cell>
          <cell r="D4980" t="str">
            <v>HOLD</v>
          </cell>
          <cell r="E4980" t="str">
            <v>PIPE</v>
          </cell>
          <cell r="F4980">
            <v>1</v>
          </cell>
          <cell r="G4980" t="str">
            <v>CB100405001000</v>
          </cell>
          <cell r="H4980">
            <v>10</v>
          </cell>
          <cell r="I4980" t="str">
            <v>--</v>
          </cell>
          <cell r="J4980">
            <v>37</v>
          </cell>
          <cell r="K4980">
            <v>40.700000000000003</v>
          </cell>
        </row>
        <row r="4981">
          <cell r="A4981" t="str">
            <v>MC</v>
          </cell>
          <cell r="B4981" t="str">
            <v>B2C</v>
          </cell>
          <cell r="C4981" t="str">
            <v>SH</v>
          </cell>
          <cell r="D4981" t="str">
            <v>1000</v>
          </cell>
          <cell r="E4981" t="str">
            <v>PIPE</v>
          </cell>
          <cell r="F4981">
            <v>1</v>
          </cell>
          <cell r="G4981" t="str">
            <v>CB100404001000</v>
          </cell>
          <cell r="H4981">
            <v>10</v>
          </cell>
          <cell r="I4981" t="str">
            <v>--</v>
          </cell>
          <cell r="J4981">
            <v>54</v>
          </cell>
          <cell r="K4981">
            <v>59.4</v>
          </cell>
        </row>
        <row r="4982">
          <cell r="A4982" t="str">
            <v>MC</v>
          </cell>
          <cell r="B4982" t="str">
            <v>B2C</v>
          </cell>
          <cell r="C4982" t="str">
            <v>SH</v>
          </cell>
          <cell r="D4982" t="str">
            <v>1000</v>
          </cell>
          <cell r="E4982" t="str">
            <v>NPL</v>
          </cell>
          <cell r="F4982">
            <v>2</v>
          </cell>
          <cell r="G4982" t="str">
            <v>CB132108000HVR</v>
          </cell>
          <cell r="H4982">
            <v>0.5</v>
          </cell>
          <cell r="I4982" t="str">
            <v>75mm</v>
          </cell>
          <cell r="J4982">
            <v>1</v>
          </cell>
          <cell r="K4982">
            <v>1</v>
          </cell>
        </row>
        <row r="4983">
          <cell r="A4983" t="str">
            <v>MC</v>
          </cell>
          <cell r="B4983" t="str">
            <v>B2C</v>
          </cell>
          <cell r="C4983" t="str">
            <v>SH</v>
          </cell>
          <cell r="D4983" t="str">
            <v>1260</v>
          </cell>
          <cell r="E4983" t="str">
            <v>NPL</v>
          </cell>
          <cell r="F4983">
            <v>2</v>
          </cell>
          <cell r="G4983" t="str">
            <v>CB132108000HVR</v>
          </cell>
          <cell r="H4983">
            <v>0.5</v>
          </cell>
          <cell r="I4983" t="str">
            <v>75mm</v>
          </cell>
          <cell r="J4983">
            <v>1</v>
          </cell>
          <cell r="K4983">
            <v>1</v>
          </cell>
        </row>
        <row r="4984">
          <cell r="A4984" t="str">
            <v>MC</v>
          </cell>
          <cell r="B4984" t="str">
            <v>B2C</v>
          </cell>
          <cell r="C4984" t="str">
            <v>SH</v>
          </cell>
          <cell r="D4984" t="str">
            <v>1460</v>
          </cell>
          <cell r="E4984" t="str">
            <v>NPL</v>
          </cell>
          <cell r="F4984">
            <v>2</v>
          </cell>
          <cell r="G4984" t="str">
            <v>CB132108000HVR</v>
          </cell>
          <cell r="H4984">
            <v>0.5</v>
          </cell>
          <cell r="I4984" t="str">
            <v>75mm</v>
          </cell>
          <cell r="J4984">
            <v>1</v>
          </cell>
          <cell r="K4984">
            <v>1</v>
          </cell>
        </row>
        <row r="4985">
          <cell r="A4985" t="str">
            <v>MC</v>
          </cell>
          <cell r="B4985" t="str">
            <v>B2C</v>
          </cell>
          <cell r="C4985" t="str">
            <v>SH</v>
          </cell>
          <cell r="D4985" t="str">
            <v>1460</v>
          </cell>
          <cell r="E4985" t="str">
            <v>NPL</v>
          </cell>
          <cell r="F4985">
            <v>2</v>
          </cell>
          <cell r="G4985" t="str">
            <v>CB132108000HWL</v>
          </cell>
          <cell r="H4985">
            <v>0.5</v>
          </cell>
          <cell r="I4985" t="str">
            <v>150mm</v>
          </cell>
          <cell r="J4985">
            <v>1</v>
          </cell>
          <cell r="K4985">
            <v>1</v>
          </cell>
        </row>
        <row r="4986">
          <cell r="A4986" t="str">
            <v>MC</v>
          </cell>
          <cell r="B4986" t="str">
            <v>B2C</v>
          </cell>
          <cell r="C4986" t="str">
            <v>SH</v>
          </cell>
          <cell r="D4986" t="str">
            <v>1360</v>
          </cell>
          <cell r="E4986" t="str">
            <v>NPL</v>
          </cell>
          <cell r="F4986">
            <v>2</v>
          </cell>
          <cell r="G4986" t="str">
            <v>CB132108000HVR</v>
          </cell>
          <cell r="H4986">
            <v>0.5</v>
          </cell>
          <cell r="I4986" t="str">
            <v>75mm</v>
          </cell>
          <cell r="J4986">
            <v>1</v>
          </cell>
          <cell r="K4986">
            <v>1</v>
          </cell>
        </row>
        <row r="4987">
          <cell r="A4987" t="str">
            <v>MC</v>
          </cell>
          <cell r="B4987" t="str">
            <v>B2C</v>
          </cell>
          <cell r="C4987" t="str">
            <v>SH</v>
          </cell>
          <cell r="D4987" t="str">
            <v>1360</v>
          </cell>
          <cell r="E4987" t="str">
            <v>NPL</v>
          </cell>
          <cell r="F4987">
            <v>2</v>
          </cell>
          <cell r="G4987" t="str">
            <v>CB132108000HWL</v>
          </cell>
          <cell r="H4987">
            <v>0.5</v>
          </cell>
          <cell r="I4987" t="str">
            <v>150mm</v>
          </cell>
          <cell r="J4987">
            <v>1</v>
          </cell>
          <cell r="K4987">
            <v>1</v>
          </cell>
        </row>
        <row r="4988">
          <cell r="A4988" t="str">
            <v>MC</v>
          </cell>
          <cell r="B4988" t="str">
            <v>B2C</v>
          </cell>
          <cell r="C4988" t="str">
            <v>SH</v>
          </cell>
          <cell r="D4988" t="str">
            <v>1405</v>
          </cell>
          <cell r="E4988" t="str">
            <v>NPL</v>
          </cell>
          <cell r="F4988">
            <v>2</v>
          </cell>
          <cell r="G4988" t="str">
            <v>CB132108000HVR</v>
          </cell>
          <cell r="H4988">
            <v>0.5</v>
          </cell>
          <cell r="I4988" t="str">
            <v>75mm</v>
          </cell>
          <cell r="J4988">
            <v>1</v>
          </cell>
          <cell r="K4988">
            <v>1</v>
          </cell>
        </row>
        <row r="4989">
          <cell r="A4989" t="str">
            <v>MC</v>
          </cell>
          <cell r="B4989" t="str">
            <v>B2C</v>
          </cell>
          <cell r="C4989" t="str">
            <v>SH</v>
          </cell>
          <cell r="D4989" t="str">
            <v>1405</v>
          </cell>
          <cell r="E4989" t="str">
            <v>NPL</v>
          </cell>
          <cell r="F4989">
            <v>2</v>
          </cell>
          <cell r="G4989" t="str">
            <v>CB132108000HWL</v>
          </cell>
          <cell r="H4989">
            <v>0.5</v>
          </cell>
          <cell r="I4989" t="str">
            <v>150mm</v>
          </cell>
          <cell r="J4989">
            <v>1</v>
          </cell>
          <cell r="K4989">
            <v>1</v>
          </cell>
        </row>
        <row r="4990">
          <cell r="A4990" t="str">
            <v>MC</v>
          </cell>
          <cell r="B4990" t="str">
            <v>B2C</v>
          </cell>
          <cell r="C4990" t="str">
            <v>SH</v>
          </cell>
          <cell r="D4990" t="str">
            <v>1000</v>
          </cell>
          <cell r="E4990" t="str">
            <v>NPL</v>
          </cell>
          <cell r="F4990">
            <v>2</v>
          </cell>
          <cell r="G4990" t="str">
            <v>CB132108000HWL</v>
          </cell>
          <cell r="H4990">
            <v>0.5</v>
          </cell>
          <cell r="I4990" t="str">
            <v>150mm</v>
          </cell>
          <cell r="J4990">
            <v>1</v>
          </cell>
          <cell r="K4990">
            <v>1</v>
          </cell>
        </row>
        <row r="4991">
          <cell r="A4991" t="str">
            <v>MC</v>
          </cell>
          <cell r="B4991" t="str">
            <v>B2C</v>
          </cell>
          <cell r="C4991" t="str">
            <v>SH</v>
          </cell>
          <cell r="D4991" t="str">
            <v>1260</v>
          </cell>
          <cell r="E4991" t="str">
            <v>NPL</v>
          </cell>
          <cell r="F4991">
            <v>2</v>
          </cell>
          <cell r="G4991" t="str">
            <v>CB132108000HWL</v>
          </cell>
          <cell r="H4991">
            <v>0.5</v>
          </cell>
          <cell r="I4991" t="str">
            <v>150mm</v>
          </cell>
          <cell r="J4991">
            <v>1</v>
          </cell>
          <cell r="K4991">
            <v>1</v>
          </cell>
        </row>
        <row r="4992">
          <cell r="A4992" t="str">
            <v>MC</v>
          </cell>
          <cell r="B4992" t="str">
            <v>CA307</v>
          </cell>
          <cell r="C4992" t="str">
            <v>HCL</v>
          </cell>
          <cell r="D4992" t="str">
            <v>1100</v>
          </cell>
          <cell r="E4992" t="str">
            <v>NPL</v>
          </cell>
          <cell r="F4992">
            <v>2</v>
          </cell>
          <cell r="G4992" t="str">
            <v>CB132108000HVR</v>
          </cell>
          <cell r="H4992">
            <v>0.5</v>
          </cell>
          <cell r="I4992" t="str">
            <v>75mm</v>
          </cell>
          <cell r="J4992">
            <v>1</v>
          </cell>
          <cell r="K4992">
            <v>1</v>
          </cell>
        </row>
        <row r="4993">
          <cell r="A4993" t="str">
            <v>MC</v>
          </cell>
          <cell r="B4993" t="str">
            <v>CA307</v>
          </cell>
          <cell r="C4993" t="str">
            <v>HCL</v>
          </cell>
          <cell r="D4993" t="str">
            <v>1100</v>
          </cell>
          <cell r="E4993" t="str">
            <v>NPL</v>
          </cell>
          <cell r="F4993">
            <v>2</v>
          </cell>
          <cell r="G4993" t="str">
            <v>CB132108000HWL</v>
          </cell>
          <cell r="H4993">
            <v>0.5</v>
          </cell>
          <cell r="I4993" t="str">
            <v>150mm</v>
          </cell>
          <cell r="J4993">
            <v>1</v>
          </cell>
          <cell r="K4993">
            <v>1</v>
          </cell>
        </row>
        <row r="4994">
          <cell r="A4994" t="str">
            <v>MC</v>
          </cell>
          <cell r="B4994" t="str">
            <v>CA304</v>
          </cell>
          <cell r="C4994" t="str">
            <v>MC</v>
          </cell>
          <cell r="D4994" t="str">
            <v>2501</v>
          </cell>
          <cell r="E4994" t="str">
            <v>NPL</v>
          </cell>
          <cell r="F4994">
            <v>2</v>
          </cell>
          <cell r="G4994" t="str">
            <v>CB132108000HVR</v>
          </cell>
          <cell r="H4994">
            <v>0.5</v>
          </cell>
          <cell r="I4994" t="str">
            <v>75mm</v>
          </cell>
          <cell r="J4994">
            <v>1</v>
          </cell>
          <cell r="K4994">
            <v>1</v>
          </cell>
        </row>
        <row r="4995">
          <cell r="A4995" t="str">
            <v>MC</v>
          </cell>
          <cell r="B4995" t="str">
            <v>CA304</v>
          </cell>
          <cell r="C4995" t="str">
            <v>MC</v>
          </cell>
          <cell r="D4995" t="str">
            <v>2501</v>
          </cell>
          <cell r="E4995" t="str">
            <v>NPL</v>
          </cell>
          <cell r="F4995">
            <v>2</v>
          </cell>
          <cell r="G4995" t="str">
            <v>CB132108000HWL</v>
          </cell>
          <cell r="H4995">
            <v>0.5</v>
          </cell>
          <cell r="I4995" t="str">
            <v>150mm</v>
          </cell>
          <cell r="J4995">
            <v>1</v>
          </cell>
          <cell r="K4995">
            <v>1</v>
          </cell>
        </row>
        <row r="4996">
          <cell r="A4996" t="str">
            <v>MC</v>
          </cell>
          <cell r="B4996" t="str">
            <v>CA304</v>
          </cell>
          <cell r="C4996" t="str">
            <v>MC</v>
          </cell>
          <cell r="D4996" t="str">
            <v>2505</v>
          </cell>
          <cell r="E4996" t="str">
            <v>NPL</v>
          </cell>
          <cell r="F4996">
            <v>2</v>
          </cell>
          <cell r="G4996" t="str">
            <v>CB132108000HVR</v>
          </cell>
          <cell r="H4996">
            <v>0.5</v>
          </cell>
          <cell r="I4996" t="str">
            <v>75mm</v>
          </cell>
          <cell r="J4996">
            <v>1</v>
          </cell>
          <cell r="K4996">
            <v>1</v>
          </cell>
        </row>
        <row r="4997">
          <cell r="A4997" t="str">
            <v>MC</v>
          </cell>
          <cell r="B4997" t="str">
            <v>CA304</v>
          </cell>
          <cell r="C4997" t="str">
            <v>MC</v>
          </cell>
          <cell r="D4997" t="str">
            <v>2505</v>
          </cell>
          <cell r="E4997" t="str">
            <v>NPL</v>
          </cell>
          <cell r="F4997">
            <v>2</v>
          </cell>
          <cell r="G4997" t="str">
            <v>CB132108000HWL</v>
          </cell>
          <cell r="H4997">
            <v>0.5</v>
          </cell>
          <cell r="I4997" t="str">
            <v>150mm</v>
          </cell>
          <cell r="J4997">
            <v>1</v>
          </cell>
          <cell r="K4997">
            <v>1</v>
          </cell>
        </row>
        <row r="4998">
          <cell r="A4998" t="str">
            <v>MC</v>
          </cell>
          <cell r="B4998" t="str">
            <v>BA305</v>
          </cell>
          <cell r="C4998" t="str">
            <v>MOH</v>
          </cell>
          <cell r="D4998" t="str">
            <v>2112</v>
          </cell>
          <cell r="E4998" t="str">
            <v>NPL</v>
          </cell>
          <cell r="F4998">
            <v>2</v>
          </cell>
          <cell r="G4998" t="str">
            <v>CB132108000HVR</v>
          </cell>
          <cell r="H4998">
            <v>0.5</v>
          </cell>
          <cell r="I4998" t="str">
            <v>75mm</v>
          </cell>
          <cell r="J4998">
            <v>1</v>
          </cell>
          <cell r="K4998">
            <v>1</v>
          </cell>
        </row>
        <row r="4999">
          <cell r="A4999" t="str">
            <v>MC</v>
          </cell>
          <cell r="B4999" t="str">
            <v>CA304</v>
          </cell>
          <cell r="C4999" t="str">
            <v>MC</v>
          </cell>
          <cell r="D4999" t="str">
            <v>2610</v>
          </cell>
          <cell r="E4999" t="str">
            <v>NPL</v>
          </cell>
          <cell r="F4999">
            <v>2</v>
          </cell>
          <cell r="G4999" t="str">
            <v>CB132108000HWL</v>
          </cell>
          <cell r="H4999">
            <v>0.5</v>
          </cell>
          <cell r="I4999" t="str">
            <v>150mm</v>
          </cell>
          <cell r="J4999">
            <v>1</v>
          </cell>
          <cell r="K4999">
            <v>1</v>
          </cell>
        </row>
        <row r="5000">
          <cell r="A5000" t="str">
            <v>MC</v>
          </cell>
          <cell r="B5000" t="str">
            <v>CA304</v>
          </cell>
          <cell r="C5000" t="str">
            <v>MC</v>
          </cell>
          <cell r="D5000" t="str">
            <v>2610</v>
          </cell>
          <cell r="E5000" t="str">
            <v>NPL</v>
          </cell>
          <cell r="F5000">
            <v>2</v>
          </cell>
          <cell r="G5000" t="str">
            <v>CB132108000HVR</v>
          </cell>
          <cell r="H5000">
            <v>0.5</v>
          </cell>
          <cell r="I5000" t="str">
            <v>75mm</v>
          </cell>
          <cell r="J5000">
            <v>1</v>
          </cell>
          <cell r="K5000">
            <v>1</v>
          </cell>
        </row>
        <row r="5001">
          <cell r="A5001" t="str">
            <v>MC</v>
          </cell>
          <cell r="B5001" t="str">
            <v>BA305</v>
          </cell>
          <cell r="C5001" t="str">
            <v>MOH</v>
          </cell>
          <cell r="D5001" t="str">
            <v>2100</v>
          </cell>
          <cell r="E5001" t="str">
            <v>NPL</v>
          </cell>
          <cell r="F5001">
            <v>2</v>
          </cell>
          <cell r="G5001" t="str">
            <v>CB132108000HWL</v>
          </cell>
          <cell r="H5001">
            <v>0.5</v>
          </cell>
          <cell r="I5001" t="str">
            <v>150mm</v>
          </cell>
          <cell r="J5001">
            <v>1</v>
          </cell>
          <cell r="K5001">
            <v>1</v>
          </cell>
        </row>
        <row r="5002">
          <cell r="A5002" t="str">
            <v>MC</v>
          </cell>
          <cell r="B5002" t="str">
            <v>BA305</v>
          </cell>
          <cell r="C5002" t="str">
            <v>MOH</v>
          </cell>
          <cell r="D5002" t="str">
            <v>2100</v>
          </cell>
          <cell r="E5002" t="str">
            <v>NPL</v>
          </cell>
          <cell r="F5002">
            <v>2</v>
          </cell>
          <cell r="G5002" t="str">
            <v>CB132108000HVR</v>
          </cell>
          <cell r="H5002">
            <v>0.5</v>
          </cell>
          <cell r="I5002" t="str">
            <v>75mm</v>
          </cell>
          <cell r="J5002">
            <v>1</v>
          </cell>
          <cell r="K5002">
            <v>1</v>
          </cell>
        </row>
        <row r="5003">
          <cell r="A5003" t="str">
            <v>MC</v>
          </cell>
          <cell r="B5003" t="str">
            <v>BA305</v>
          </cell>
          <cell r="C5003" t="str">
            <v>MOH</v>
          </cell>
          <cell r="D5003" t="str">
            <v>2112</v>
          </cell>
          <cell r="E5003" t="str">
            <v>NPL</v>
          </cell>
          <cell r="F5003">
            <v>2</v>
          </cell>
          <cell r="G5003" t="str">
            <v>CB132108000HWL</v>
          </cell>
          <cell r="H5003">
            <v>0.5</v>
          </cell>
          <cell r="I5003" t="str">
            <v>150mm</v>
          </cell>
          <cell r="J5003">
            <v>1</v>
          </cell>
          <cell r="K5003">
            <v>1</v>
          </cell>
        </row>
        <row r="5004">
          <cell r="A5004" t="str">
            <v>MC</v>
          </cell>
          <cell r="B5004" t="str">
            <v>BA312</v>
          </cell>
          <cell r="C5004" t="str">
            <v>SA98</v>
          </cell>
          <cell r="D5004" t="str">
            <v>2411</v>
          </cell>
          <cell r="E5004" t="str">
            <v>NPL</v>
          </cell>
          <cell r="F5004">
            <v>2</v>
          </cell>
          <cell r="G5004" t="str">
            <v>CB132108000HVR</v>
          </cell>
          <cell r="H5004">
            <v>0.5</v>
          </cell>
          <cell r="I5004" t="str">
            <v>75mm</v>
          </cell>
          <cell r="J5004">
            <v>1</v>
          </cell>
          <cell r="K5004">
            <v>1</v>
          </cell>
        </row>
        <row r="5005">
          <cell r="A5005" t="str">
            <v>MC</v>
          </cell>
          <cell r="B5005" t="str">
            <v>BA312</v>
          </cell>
          <cell r="C5005" t="str">
            <v>SA98</v>
          </cell>
          <cell r="D5005" t="str">
            <v>2411</v>
          </cell>
          <cell r="E5005" t="str">
            <v>NPL</v>
          </cell>
          <cell r="F5005">
            <v>2</v>
          </cell>
          <cell r="G5005" t="str">
            <v>CB132108000HWL</v>
          </cell>
          <cell r="H5005">
            <v>0.5</v>
          </cell>
          <cell r="I5005" t="str">
            <v>150mm</v>
          </cell>
          <cell r="J5005">
            <v>1</v>
          </cell>
          <cell r="K5005">
            <v>1</v>
          </cell>
        </row>
        <row r="5006">
          <cell r="A5006" t="str">
            <v>MC</v>
          </cell>
          <cell r="B5006" t="str">
            <v>CA304</v>
          </cell>
          <cell r="C5006" t="str">
            <v>MC</v>
          </cell>
          <cell r="D5006" t="str">
            <v>2613</v>
          </cell>
          <cell r="E5006" t="str">
            <v>NPL</v>
          </cell>
          <cell r="F5006">
            <v>2</v>
          </cell>
          <cell r="G5006" t="str">
            <v>CB132108000HVR</v>
          </cell>
          <cell r="H5006">
            <v>0.5</v>
          </cell>
          <cell r="I5006" t="str">
            <v>75mm</v>
          </cell>
          <cell r="J5006">
            <v>1</v>
          </cell>
          <cell r="K5006">
            <v>1</v>
          </cell>
        </row>
        <row r="5007">
          <cell r="A5007" t="str">
            <v>MC</v>
          </cell>
          <cell r="B5007" t="str">
            <v>CA304</v>
          </cell>
          <cell r="C5007" t="str">
            <v>MC</v>
          </cell>
          <cell r="D5007" t="str">
            <v>2613</v>
          </cell>
          <cell r="E5007" t="str">
            <v>NPL</v>
          </cell>
          <cell r="F5007">
            <v>2</v>
          </cell>
          <cell r="G5007" t="str">
            <v>CB132108000HWL</v>
          </cell>
          <cell r="H5007">
            <v>0.5</v>
          </cell>
          <cell r="I5007" t="str">
            <v>150mm</v>
          </cell>
          <cell r="J5007">
            <v>1</v>
          </cell>
          <cell r="K5007">
            <v>1</v>
          </cell>
        </row>
        <row r="5008">
          <cell r="A5008" t="str">
            <v>MC</v>
          </cell>
          <cell r="B5008" t="str">
            <v>BA305</v>
          </cell>
          <cell r="C5008" t="str">
            <v>MOH</v>
          </cell>
          <cell r="D5008" t="str">
            <v>2101</v>
          </cell>
          <cell r="E5008" t="str">
            <v>NPL</v>
          </cell>
          <cell r="F5008">
            <v>2</v>
          </cell>
          <cell r="G5008" t="str">
            <v>CB132108000HVR</v>
          </cell>
          <cell r="H5008">
            <v>0.5</v>
          </cell>
          <cell r="I5008" t="str">
            <v>75mm</v>
          </cell>
          <cell r="J5008">
            <v>1</v>
          </cell>
          <cell r="K5008">
            <v>1</v>
          </cell>
        </row>
        <row r="5009">
          <cell r="A5009" t="str">
            <v>MC</v>
          </cell>
          <cell r="B5009" t="str">
            <v>BA305</v>
          </cell>
          <cell r="C5009" t="str">
            <v>MOH</v>
          </cell>
          <cell r="D5009" t="str">
            <v>2101</v>
          </cell>
          <cell r="E5009" t="str">
            <v>NPL</v>
          </cell>
          <cell r="F5009">
            <v>2</v>
          </cell>
          <cell r="G5009" t="str">
            <v>CB132108000HWL</v>
          </cell>
          <cell r="H5009">
            <v>0.5</v>
          </cell>
          <cell r="I5009" t="str">
            <v>150mm</v>
          </cell>
          <cell r="J5009">
            <v>1</v>
          </cell>
          <cell r="K5009">
            <v>1</v>
          </cell>
        </row>
        <row r="5010">
          <cell r="A5010" t="str">
            <v>MC</v>
          </cell>
          <cell r="B5010" t="str">
            <v>CA304</v>
          </cell>
          <cell r="C5010" t="str">
            <v>SCC</v>
          </cell>
          <cell r="D5010" t="str">
            <v>HOLD</v>
          </cell>
          <cell r="E5010" t="str">
            <v>TEE</v>
          </cell>
          <cell r="F5010">
            <v>2</v>
          </cell>
          <cell r="G5010" t="str">
            <v>CB400300000H00</v>
          </cell>
          <cell r="H5010">
            <v>0.5</v>
          </cell>
          <cell r="I5010" t="str">
            <v>--</v>
          </cell>
          <cell r="J5010">
            <v>2</v>
          </cell>
          <cell r="K5010">
            <v>2</v>
          </cell>
        </row>
        <row r="5011">
          <cell r="A5011" t="str">
            <v>MC</v>
          </cell>
          <cell r="B5011" t="str">
            <v>CA304</v>
          </cell>
          <cell r="C5011" t="str">
            <v>MC</v>
          </cell>
          <cell r="D5011" t="str">
            <v>HOLD</v>
          </cell>
          <cell r="E5011" t="str">
            <v>90 ELL</v>
          </cell>
          <cell r="F5011">
            <v>2</v>
          </cell>
          <cell r="G5011" t="str">
            <v>CB400100000H00</v>
          </cell>
          <cell r="H5011">
            <v>0.5</v>
          </cell>
          <cell r="I5011" t="str">
            <v>--</v>
          </cell>
          <cell r="J5011">
            <v>6</v>
          </cell>
          <cell r="K5011">
            <v>6</v>
          </cell>
        </row>
        <row r="5012">
          <cell r="A5012" t="str">
            <v>MC</v>
          </cell>
          <cell r="B5012" t="str">
            <v>CA304</v>
          </cell>
          <cell r="C5012" t="str">
            <v>MC</v>
          </cell>
          <cell r="D5012" t="str">
            <v>2604</v>
          </cell>
          <cell r="E5012" t="str">
            <v>NPL</v>
          </cell>
          <cell r="F5012">
            <v>2</v>
          </cell>
          <cell r="G5012" t="str">
            <v>CB132108000HVR</v>
          </cell>
          <cell r="H5012">
            <v>0.5</v>
          </cell>
          <cell r="I5012" t="str">
            <v>75mm</v>
          </cell>
          <cell r="J5012">
            <v>1</v>
          </cell>
          <cell r="K5012">
            <v>1</v>
          </cell>
        </row>
        <row r="5013">
          <cell r="A5013" t="str">
            <v>MC</v>
          </cell>
          <cell r="B5013" t="str">
            <v>CA304</v>
          </cell>
          <cell r="C5013" t="str">
            <v>MC</v>
          </cell>
          <cell r="D5013" t="str">
            <v>2604</v>
          </cell>
          <cell r="E5013" t="str">
            <v>NPL</v>
          </cell>
          <cell r="F5013">
            <v>2</v>
          </cell>
          <cell r="G5013" t="str">
            <v>CB132108000HWL</v>
          </cell>
          <cell r="H5013">
            <v>0.5</v>
          </cell>
          <cell r="I5013" t="str">
            <v>150mm</v>
          </cell>
          <cell r="J5013">
            <v>1</v>
          </cell>
          <cell r="K5013">
            <v>1</v>
          </cell>
        </row>
        <row r="5014">
          <cell r="A5014" t="str">
            <v>MC</v>
          </cell>
          <cell r="B5014" t="str">
            <v>CA304</v>
          </cell>
          <cell r="C5014" t="str">
            <v>MC</v>
          </cell>
          <cell r="D5014" t="str">
            <v>2504</v>
          </cell>
          <cell r="E5014" t="str">
            <v>NPL</v>
          </cell>
          <cell r="F5014">
            <v>2</v>
          </cell>
          <cell r="G5014" t="str">
            <v>CB132108000HVR</v>
          </cell>
          <cell r="H5014">
            <v>0.5</v>
          </cell>
          <cell r="I5014" t="str">
            <v>75mm</v>
          </cell>
          <cell r="J5014">
            <v>1</v>
          </cell>
          <cell r="K5014">
            <v>1</v>
          </cell>
        </row>
        <row r="5015">
          <cell r="A5015" t="str">
            <v>MC</v>
          </cell>
          <cell r="B5015" t="str">
            <v>CA304</v>
          </cell>
          <cell r="C5015" t="str">
            <v>MC</v>
          </cell>
          <cell r="D5015" t="str">
            <v>2504</v>
          </cell>
          <cell r="E5015" t="str">
            <v>NPL</v>
          </cell>
          <cell r="F5015">
            <v>2</v>
          </cell>
          <cell r="G5015" t="str">
            <v>CB132108000HWL</v>
          </cell>
          <cell r="H5015">
            <v>0.5</v>
          </cell>
          <cell r="I5015" t="str">
            <v>150mm</v>
          </cell>
          <cell r="J5015">
            <v>1</v>
          </cell>
          <cell r="K5015">
            <v>1</v>
          </cell>
        </row>
        <row r="5016">
          <cell r="A5016" t="str">
            <v>MC</v>
          </cell>
          <cell r="B5016" t="str">
            <v>CA304</v>
          </cell>
          <cell r="C5016" t="str">
            <v>MC</v>
          </cell>
          <cell r="D5016" t="str">
            <v>HOLD</v>
          </cell>
          <cell r="E5016" t="str">
            <v>TEE</v>
          </cell>
          <cell r="F5016">
            <v>2</v>
          </cell>
          <cell r="G5016" t="str">
            <v>CB400300000H00</v>
          </cell>
          <cell r="H5016">
            <v>0.5</v>
          </cell>
          <cell r="I5016" t="str">
            <v>--</v>
          </cell>
          <cell r="J5016">
            <v>1</v>
          </cell>
          <cell r="K5016">
            <v>1</v>
          </cell>
        </row>
        <row r="5017">
          <cell r="A5017" t="str">
            <v>MC</v>
          </cell>
          <cell r="B5017" t="str">
            <v>CA304</v>
          </cell>
          <cell r="C5017" t="str">
            <v>SC1</v>
          </cell>
          <cell r="D5017" t="str">
            <v>HOLD</v>
          </cell>
          <cell r="E5017" t="str">
            <v>CAP</v>
          </cell>
          <cell r="F5017">
            <v>2</v>
          </cell>
          <cell r="G5017" t="str">
            <v>CB520700000H00</v>
          </cell>
          <cell r="H5017">
            <v>0.5</v>
          </cell>
          <cell r="I5017" t="str">
            <v>--</v>
          </cell>
          <cell r="J5017">
            <v>3</v>
          </cell>
          <cell r="K5017">
            <v>3</v>
          </cell>
        </row>
        <row r="5018">
          <cell r="A5018" t="str">
            <v>MC</v>
          </cell>
          <cell r="B5018" t="str">
            <v>CA304</v>
          </cell>
          <cell r="C5018" t="str">
            <v>SC1</v>
          </cell>
          <cell r="D5018" t="str">
            <v>HOLD</v>
          </cell>
          <cell r="E5018" t="str">
            <v>CPLG</v>
          </cell>
          <cell r="F5018">
            <v>2</v>
          </cell>
          <cell r="G5018" t="str">
            <v>CB400500000H00</v>
          </cell>
          <cell r="H5018">
            <v>0.5</v>
          </cell>
          <cell r="I5018" t="str">
            <v>--</v>
          </cell>
          <cell r="J5018">
            <v>3</v>
          </cell>
          <cell r="K5018">
            <v>3</v>
          </cell>
        </row>
        <row r="5019">
          <cell r="A5019" t="str">
            <v>MC</v>
          </cell>
          <cell r="B5019" t="str">
            <v>CA304</v>
          </cell>
          <cell r="C5019" t="str">
            <v>SC1</v>
          </cell>
          <cell r="D5019" t="str">
            <v>HOLD</v>
          </cell>
          <cell r="E5019" t="str">
            <v>NPL</v>
          </cell>
          <cell r="F5019">
            <v>2</v>
          </cell>
          <cell r="G5019" t="str">
            <v>CB132308000HVR</v>
          </cell>
          <cell r="H5019">
            <v>0.5</v>
          </cell>
          <cell r="I5019" t="str">
            <v>75mm</v>
          </cell>
          <cell r="J5019">
            <v>3</v>
          </cell>
          <cell r="K5019">
            <v>3</v>
          </cell>
        </row>
        <row r="5020">
          <cell r="A5020" t="str">
            <v>MC</v>
          </cell>
          <cell r="B5020" t="str">
            <v>B2C</v>
          </cell>
          <cell r="C5020" t="str">
            <v>SH</v>
          </cell>
          <cell r="D5020" t="str">
            <v>1260</v>
          </cell>
          <cell r="E5020" t="str">
            <v>90 ELL</v>
          </cell>
          <cell r="F5020">
            <v>2</v>
          </cell>
          <cell r="G5020" t="str">
            <v>CB400100000T00</v>
          </cell>
          <cell r="H5020">
            <v>0.75</v>
          </cell>
          <cell r="I5020" t="str">
            <v>--</v>
          </cell>
          <cell r="J5020">
            <v>1</v>
          </cell>
          <cell r="K5020">
            <v>1</v>
          </cell>
        </row>
        <row r="5021">
          <cell r="A5021" t="str">
            <v>MC</v>
          </cell>
          <cell r="B5021" t="str">
            <v>B2C</v>
          </cell>
          <cell r="C5021" t="str">
            <v>SH</v>
          </cell>
          <cell r="D5021" t="str">
            <v>1360</v>
          </cell>
          <cell r="E5021" t="str">
            <v>90 ELL</v>
          </cell>
          <cell r="F5021">
            <v>2</v>
          </cell>
          <cell r="G5021" t="str">
            <v>CB400100000T00</v>
          </cell>
          <cell r="H5021">
            <v>0.75</v>
          </cell>
          <cell r="I5021" t="str">
            <v>--</v>
          </cell>
          <cell r="J5021">
            <v>1</v>
          </cell>
          <cell r="K5021">
            <v>1</v>
          </cell>
        </row>
        <row r="5022">
          <cell r="A5022" t="str">
            <v>MC</v>
          </cell>
          <cell r="B5022" t="str">
            <v>B2C</v>
          </cell>
          <cell r="C5022" t="str">
            <v>SH</v>
          </cell>
          <cell r="D5022" t="str">
            <v>1460</v>
          </cell>
          <cell r="E5022" t="str">
            <v>90 ELL</v>
          </cell>
          <cell r="F5022">
            <v>2</v>
          </cell>
          <cell r="G5022" t="str">
            <v>CB400100000T00</v>
          </cell>
          <cell r="H5022">
            <v>0.75</v>
          </cell>
          <cell r="I5022" t="str">
            <v>--</v>
          </cell>
          <cell r="J5022">
            <v>1</v>
          </cell>
          <cell r="K5022">
            <v>1</v>
          </cell>
        </row>
        <row r="5023">
          <cell r="A5023" t="str">
            <v>MC</v>
          </cell>
          <cell r="B5023" t="str">
            <v>B2C</v>
          </cell>
          <cell r="C5023" t="str">
            <v>SH</v>
          </cell>
          <cell r="D5023" t="str">
            <v>1405</v>
          </cell>
          <cell r="E5023" t="str">
            <v>90 ELL</v>
          </cell>
          <cell r="F5023">
            <v>2</v>
          </cell>
          <cell r="G5023" t="str">
            <v>CB400100000T00</v>
          </cell>
          <cell r="H5023">
            <v>0.75</v>
          </cell>
          <cell r="I5023" t="str">
            <v>--</v>
          </cell>
          <cell r="J5023">
            <v>1</v>
          </cell>
          <cell r="K5023">
            <v>1</v>
          </cell>
        </row>
        <row r="5024">
          <cell r="A5024" t="str">
            <v>MC</v>
          </cell>
          <cell r="B5024" t="str">
            <v>B2C</v>
          </cell>
          <cell r="C5024" t="str">
            <v>SH</v>
          </cell>
          <cell r="D5024" t="str">
            <v>1000</v>
          </cell>
          <cell r="E5024" t="str">
            <v>CAP</v>
          </cell>
          <cell r="F5024">
            <v>2</v>
          </cell>
          <cell r="G5024" t="str">
            <v>CB520700000T00</v>
          </cell>
          <cell r="H5024">
            <v>0.75</v>
          </cell>
          <cell r="I5024" t="str">
            <v>--</v>
          </cell>
          <cell r="J5024">
            <v>2</v>
          </cell>
          <cell r="K5024">
            <v>2</v>
          </cell>
        </row>
        <row r="5025">
          <cell r="A5025" t="str">
            <v>MC</v>
          </cell>
          <cell r="B5025" t="str">
            <v>B2C</v>
          </cell>
          <cell r="C5025" t="str">
            <v>SH</v>
          </cell>
          <cell r="D5025" t="str">
            <v>1360</v>
          </cell>
          <cell r="E5025" t="str">
            <v>CAP</v>
          </cell>
          <cell r="F5025">
            <v>2</v>
          </cell>
          <cell r="G5025" t="str">
            <v>CB520700000T00</v>
          </cell>
          <cell r="H5025">
            <v>0.75</v>
          </cell>
          <cell r="I5025" t="str">
            <v>--</v>
          </cell>
          <cell r="J5025">
            <v>1</v>
          </cell>
          <cell r="K5025">
            <v>1</v>
          </cell>
        </row>
        <row r="5026">
          <cell r="A5026" t="str">
            <v>MC</v>
          </cell>
          <cell r="B5026" t="str">
            <v>B2C</v>
          </cell>
          <cell r="C5026" t="str">
            <v>SH</v>
          </cell>
          <cell r="D5026" t="str">
            <v>1460</v>
          </cell>
          <cell r="E5026" t="str">
            <v>CAP</v>
          </cell>
          <cell r="F5026">
            <v>2</v>
          </cell>
          <cell r="G5026" t="str">
            <v>CB520700000T00</v>
          </cell>
          <cell r="H5026">
            <v>0.75</v>
          </cell>
          <cell r="I5026" t="str">
            <v>--</v>
          </cell>
          <cell r="J5026">
            <v>2</v>
          </cell>
          <cell r="K5026">
            <v>2</v>
          </cell>
        </row>
        <row r="5027">
          <cell r="A5027" t="str">
            <v>MC</v>
          </cell>
          <cell r="B5027" t="str">
            <v>B2C</v>
          </cell>
          <cell r="C5027" t="str">
            <v>SH</v>
          </cell>
          <cell r="D5027" t="str">
            <v>1260</v>
          </cell>
          <cell r="E5027" t="str">
            <v>CAP</v>
          </cell>
          <cell r="F5027">
            <v>2</v>
          </cell>
          <cell r="G5027" t="str">
            <v>CB520700000T00</v>
          </cell>
          <cell r="H5027">
            <v>0.75</v>
          </cell>
          <cell r="I5027" t="str">
            <v>--</v>
          </cell>
          <cell r="J5027">
            <v>2</v>
          </cell>
          <cell r="K5027">
            <v>2</v>
          </cell>
        </row>
        <row r="5028">
          <cell r="A5028" t="str">
            <v>MC</v>
          </cell>
          <cell r="B5028" t="str">
            <v>B2C</v>
          </cell>
          <cell r="C5028" t="str">
            <v>SH</v>
          </cell>
          <cell r="D5028" t="str">
            <v>1405</v>
          </cell>
          <cell r="E5028" t="str">
            <v>CAP</v>
          </cell>
          <cell r="F5028">
            <v>2</v>
          </cell>
          <cell r="G5028" t="str">
            <v>CB520700000T00</v>
          </cell>
          <cell r="H5028">
            <v>0.75</v>
          </cell>
          <cell r="I5028" t="str">
            <v>--</v>
          </cell>
          <cell r="J5028">
            <v>1</v>
          </cell>
          <cell r="K5028">
            <v>1</v>
          </cell>
        </row>
        <row r="5029">
          <cell r="A5029" t="str">
            <v>MC</v>
          </cell>
          <cell r="B5029" t="str">
            <v>B2C</v>
          </cell>
          <cell r="C5029" t="str">
            <v>SH</v>
          </cell>
          <cell r="D5029" t="str">
            <v>1260</v>
          </cell>
          <cell r="E5029" t="str">
            <v>NPL</v>
          </cell>
          <cell r="F5029">
            <v>2</v>
          </cell>
          <cell r="G5029" t="str">
            <v>CB132108000TVR</v>
          </cell>
          <cell r="H5029">
            <v>0.75</v>
          </cell>
          <cell r="I5029" t="str">
            <v>75mm</v>
          </cell>
          <cell r="J5029">
            <v>3</v>
          </cell>
          <cell r="K5029">
            <v>3</v>
          </cell>
        </row>
        <row r="5030">
          <cell r="A5030" t="str">
            <v>MC</v>
          </cell>
          <cell r="B5030" t="str">
            <v>B2C</v>
          </cell>
          <cell r="C5030" t="str">
            <v>SH</v>
          </cell>
          <cell r="D5030" t="str">
            <v>1360</v>
          </cell>
          <cell r="E5030" t="str">
            <v>NPL</v>
          </cell>
          <cell r="F5030">
            <v>2</v>
          </cell>
          <cell r="G5030" t="str">
            <v>CB132308000TVR</v>
          </cell>
          <cell r="H5030">
            <v>0.75</v>
          </cell>
          <cell r="I5030" t="str">
            <v>75mm</v>
          </cell>
          <cell r="J5030">
            <v>1</v>
          </cell>
          <cell r="K5030">
            <v>1</v>
          </cell>
        </row>
        <row r="5031">
          <cell r="A5031" t="str">
            <v>MC</v>
          </cell>
          <cell r="B5031" t="str">
            <v>B2C</v>
          </cell>
          <cell r="C5031" t="str">
            <v>SH</v>
          </cell>
          <cell r="D5031" t="str">
            <v>1460</v>
          </cell>
          <cell r="E5031" t="str">
            <v>NPL</v>
          </cell>
          <cell r="F5031">
            <v>2</v>
          </cell>
          <cell r="G5031" t="str">
            <v>CB132108000TVR</v>
          </cell>
          <cell r="H5031">
            <v>0.75</v>
          </cell>
          <cell r="I5031" t="str">
            <v>75mm</v>
          </cell>
          <cell r="J5031">
            <v>3</v>
          </cell>
          <cell r="K5031">
            <v>3</v>
          </cell>
        </row>
        <row r="5032">
          <cell r="A5032" t="str">
            <v>MC</v>
          </cell>
          <cell r="B5032" t="str">
            <v>B2C</v>
          </cell>
          <cell r="C5032" t="str">
            <v>SH</v>
          </cell>
          <cell r="D5032" t="str">
            <v>1360</v>
          </cell>
          <cell r="E5032" t="str">
            <v>NPL</v>
          </cell>
          <cell r="F5032">
            <v>2</v>
          </cell>
          <cell r="G5032" t="str">
            <v>CB132108000TVR</v>
          </cell>
          <cell r="H5032">
            <v>0.75</v>
          </cell>
          <cell r="I5032" t="str">
            <v>75mm</v>
          </cell>
          <cell r="J5032">
            <v>1</v>
          </cell>
          <cell r="K5032">
            <v>1</v>
          </cell>
        </row>
        <row r="5033">
          <cell r="A5033" t="str">
            <v>MC</v>
          </cell>
          <cell r="B5033" t="str">
            <v>B2C</v>
          </cell>
          <cell r="C5033" t="str">
            <v>SH</v>
          </cell>
          <cell r="D5033" t="str">
            <v>1405</v>
          </cell>
          <cell r="E5033" t="str">
            <v>NPL</v>
          </cell>
          <cell r="F5033">
            <v>2</v>
          </cell>
          <cell r="G5033" t="str">
            <v>CB132108000TVR</v>
          </cell>
          <cell r="H5033">
            <v>0.75</v>
          </cell>
          <cell r="I5033" t="str">
            <v>75mm</v>
          </cell>
          <cell r="J5033">
            <v>3</v>
          </cell>
          <cell r="K5033">
            <v>3</v>
          </cell>
        </row>
        <row r="5034">
          <cell r="A5034" t="str">
            <v>MC</v>
          </cell>
          <cell r="B5034" t="str">
            <v>B2C</v>
          </cell>
          <cell r="C5034" t="str">
            <v>SH</v>
          </cell>
          <cell r="D5034" t="str">
            <v>1405</v>
          </cell>
          <cell r="E5034" t="str">
            <v>NPL</v>
          </cell>
          <cell r="F5034">
            <v>2</v>
          </cell>
          <cell r="G5034" t="str">
            <v>CB132308000TVR</v>
          </cell>
          <cell r="H5034">
            <v>0.75</v>
          </cell>
          <cell r="I5034" t="str">
            <v>75mm</v>
          </cell>
          <cell r="J5034">
            <v>1</v>
          </cell>
          <cell r="K5034">
            <v>1</v>
          </cell>
        </row>
        <row r="5035">
          <cell r="A5035" t="str">
            <v>MC</v>
          </cell>
          <cell r="B5035" t="str">
            <v>B2C</v>
          </cell>
          <cell r="C5035" t="str">
            <v>SH</v>
          </cell>
          <cell r="D5035" t="str">
            <v>1460</v>
          </cell>
          <cell r="E5035" t="str">
            <v>NPL</v>
          </cell>
          <cell r="F5035">
            <v>2</v>
          </cell>
          <cell r="G5035" t="str">
            <v>CB132308000TVR</v>
          </cell>
          <cell r="H5035">
            <v>0.75</v>
          </cell>
          <cell r="I5035" t="str">
            <v>75mm</v>
          </cell>
          <cell r="J5035">
            <v>2</v>
          </cell>
          <cell r="K5035">
            <v>2</v>
          </cell>
        </row>
        <row r="5036">
          <cell r="A5036" t="str">
            <v>MC</v>
          </cell>
          <cell r="B5036" t="str">
            <v>B2C</v>
          </cell>
          <cell r="C5036" t="str">
            <v>SH</v>
          </cell>
          <cell r="D5036" t="str">
            <v>1000</v>
          </cell>
          <cell r="E5036" t="str">
            <v>NPL</v>
          </cell>
          <cell r="F5036">
            <v>2</v>
          </cell>
          <cell r="G5036" t="str">
            <v>CB132108000TVR</v>
          </cell>
          <cell r="H5036">
            <v>0.75</v>
          </cell>
          <cell r="I5036" t="str">
            <v>75mm</v>
          </cell>
          <cell r="J5036">
            <v>6</v>
          </cell>
          <cell r="K5036">
            <v>6</v>
          </cell>
        </row>
        <row r="5037">
          <cell r="A5037" t="str">
            <v>MC</v>
          </cell>
          <cell r="B5037" t="str">
            <v>B2C</v>
          </cell>
          <cell r="C5037" t="str">
            <v>SH</v>
          </cell>
          <cell r="D5037" t="str">
            <v>1000</v>
          </cell>
          <cell r="E5037" t="str">
            <v>NPL</v>
          </cell>
          <cell r="F5037">
            <v>2</v>
          </cell>
          <cell r="G5037" t="str">
            <v>CB132308000TVR</v>
          </cell>
          <cell r="H5037">
            <v>0.75</v>
          </cell>
          <cell r="I5037" t="str">
            <v>75mm</v>
          </cell>
          <cell r="J5037">
            <v>2</v>
          </cell>
          <cell r="K5037">
            <v>2</v>
          </cell>
        </row>
        <row r="5038">
          <cell r="A5038" t="str">
            <v>MC</v>
          </cell>
          <cell r="B5038" t="str">
            <v>B2C</v>
          </cell>
          <cell r="C5038" t="str">
            <v>SH</v>
          </cell>
          <cell r="D5038" t="str">
            <v>1260</v>
          </cell>
          <cell r="E5038" t="str">
            <v>NPL</v>
          </cell>
          <cell r="F5038">
            <v>2</v>
          </cell>
          <cell r="G5038" t="str">
            <v>CB132308000TVR</v>
          </cell>
          <cell r="H5038">
            <v>0.75</v>
          </cell>
          <cell r="I5038" t="str">
            <v>75mm</v>
          </cell>
          <cell r="J5038">
            <v>2</v>
          </cell>
          <cell r="K5038">
            <v>2</v>
          </cell>
        </row>
        <row r="5039">
          <cell r="A5039" t="str">
            <v>MC</v>
          </cell>
          <cell r="B5039" t="str">
            <v>CA304</v>
          </cell>
          <cell r="C5039" t="str">
            <v>CMC</v>
          </cell>
          <cell r="D5039" t="str">
            <v>HOLD</v>
          </cell>
          <cell r="E5039" t="str">
            <v>90 ELL</v>
          </cell>
          <cell r="F5039">
            <v>2</v>
          </cell>
          <cell r="G5039" t="str">
            <v>CB400100000T00</v>
          </cell>
          <cell r="H5039">
            <v>0.75</v>
          </cell>
          <cell r="I5039" t="str">
            <v>--</v>
          </cell>
          <cell r="J5039">
            <v>2</v>
          </cell>
          <cell r="K5039">
            <v>2</v>
          </cell>
        </row>
        <row r="5040">
          <cell r="A5040" t="str">
            <v>MC</v>
          </cell>
          <cell r="B5040" t="str">
            <v>CA304</v>
          </cell>
          <cell r="C5040" t="str">
            <v>CMC</v>
          </cell>
          <cell r="D5040" t="str">
            <v>HOLD</v>
          </cell>
          <cell r="E5040" t="str">
            <v>90 ELL</v>
          </cell>
          <cell r="F5040">
            <v>2</v>
          </cell>
          <cell r="G5040" t="str">
            <v>CB400100000T00</v>
          </cell>
          <cell r="H5040">
            <v>0.75</v>
          </cell>
          <cell r="I5040" t="str">
            <v>--</v>
          </cell>
          <cell r="J5040">
            <v>2</v>
          </cell>
          <cell r="K5040">
            <v>2</v>
          </cell>
        </row>
        <row r="5041">
          <cell r="A5041" t="str">
            <v>MC</v>
          </cell>
          <cell r="B5041" t="str">
            <v>CA304</v>
          </cell>
          <cell r="C5041" t="str">
            <v>CMC</v>
          </cell>
          <cell r="D5041" t="str">
            <v>HOLD</v>
          </cell>
          <cell r="E5041" t="str">
            <v>90 ELL</v>
          </cell>
          <cell r="F5041">
            <v>2</v>
          </cell>
          <cell r="G5041" t="str">
            <v>CB400100000T00</v>
          </cell>
          <cell r="H5041">
            <v>0.75</v>
          </cell>
          <cell r="I5041" t="str">
            <v>--</v>
          </cell>
          <cell r="J5041">
            <v>4</v>
          </cell>
          <cell r="K5041">
            <v>4</v>
          </cell>
        </row>
        <row r="5042">
          <cell r="A5042" t="str">
            <v>MC</v>
          </cell>
          <cell r="B5042" t="str">
            <v>CA304</v>
          </cell>
          <cell r="C5042" t="str">
            <v>TRIM</v>
          </cell>
          <cell r="D5042" t="str">
            <v>E-1261</v>
          </cell>
          <cell r="E5042" t="str">
            <v>90 ELL</v>
          </cell>
          <cell r="F5042">
            <v>2</v>
          </cell>
          <cell r="G5042" t="str">
            <v>CB400100000T00</v>
          </cell>
          <cell r="H5042">
            <v>0.75</v>
          </cell>
          <cell r="I5042" t="str">
            <v>--</v>
          </cell>
          <cell r="J5042">
            <v>1</v>
          </cell>
          <cell r="K5042">
            <v>1</v>
          </cell>
        </row>
        <row r="5043">
          <cell r="A5043" t="str">
            <v>MC</v>
          </cell>
          <cell r="B5043" t="str">
            <v>CA304</v>
          </cell>
          <cell r="C5043" t="str">
            <v>SCC</v>
          </cell>
          <cell r="D5043" t="str">
            <v>HOLD</v>
          </cell>
          <cell r="E5043" t="str">
            <v>C SWG</v>
          </cell>
          <cell r="F5043">
            <v>2</v>
          </cell>
          <cell r="G5043" t="str">
            <v>CB161308080T0Q</v>
          </cell>
          <cell r="H5043">
            <v>0.75</v>
          </cell>
          <cell r="I5043">
            <v>0.25</v>
          </cell>
          <cell r="J5043">
            <v>4</v>
          </cell>
          <cell r="K5043">
            <v>4</v>
          </cell>
        </row>
        <row r="5044">
          <cell r="A5044" t="str">
            <v>MC</v>
          </cell>
          <cell r="B5044" t="str">
            <v>CA304</v>
          </cell>
          <cell r="C5044" t="str">
            <v>CMC</v>
          </cell>
          <cell r="D5044" t="str">
            <v>HOLD</v>
          </cell>
          <cell r="E5044" t="str">
            <v>CAP</v>
          </cell>
          <cell r="F5044">
            <v>2</v>
          </cell>
          <cell r="G5044" t="str">
            <v>CB520700000T00</v>
          </cell>
          <cell r="H5044">
            <v>0.75</v>
          </cell>
          <cell r="I5044" t="str">
            <v>--</v>
          </cell>
          <cell r="J5044">
            <v>1</v>
          </cell>
          <cell r="K5044">
            <v>1</v>
          </cell>
        </row>
        <row r="5045">
          <cell r="A5045" t="str">
            <v>MC</v>
          </cell>
          <cell r="B5045" t="str">
            <v>CA304</v>
          </cell>
          <cell r="C5045" t="str">
            <v>CMC</v>
          </cell>
          <cell r="D5045" t="str">
            <v>HOLD</v>
          </cell>
          <cell r="E5045" t="str">
            <v>CAP</v>
          </cell>
          <cell r="F5045">
            <v>2</v>
          </cell>
          <cell r="G5045" t="str">
            <v>CB520700000T00</v>
          </cell>
          <cell r="H5045">
            <v>0.75</v>
          </cell>
          <cell r="I5045" t="str">
            <v>--</v>
          </cell>
          <cell r="J5045">
            <v>1</v>
          </cell>
          <cell r="K5045">
            <v>1</v>
          </cell>
        </row>
        <row r="5046">
          <cell r="A5046" t="str">
            <v>MC</v>
          </cell>
          <cell r="B5046" t="str">
            <v>CA304</v>
          </cell>
          <cell r="C5046" t="str">
            <v>CMC</v>
          </cell>
          <cell r="D5046" t="str">
            <v>HOLD</v>
          </cell>
          <cell r="E5046" t="str">
            <v>CAP</v>
          </cell>
          <cell r="F5046">
            <v>2</v>
          </cell>
          <cell r="G5046" t="str">
            <v>CB520700000T00</v>
          </cell>
          <cell r="H5046">
            <v>0.75</v>
          </cell>
          <cell r="I5046" t="str">
            <v>--</v>
          </cell>
          <cell r="J5046">
            <v>2</v>
          </cell>
          <cell r="K5046">
            <v>2</v>
          </cell>
        </row>
        <row r="5047">
          <cell r="A5047" t="str">
            <v>MC</v>
          </cell>
          <cell r="B5047" t="str">
            <v>CA307</v>
          </cell>
          <cell r="C5047" t="str">
            <v>HCL</v>
          </cell>
          <cell r="D5047" t="str">
            <v>1100</v>
          </cell>
          <cell r="E5047" t="str">
            <v>CAP</v>
          </cell>
          <cell r="F5047">
            <v>2</v>
          </cell>
          <cell r="G5047" t="str">
            <v>CB520700000T00</v>
          </cell>
          <cell r="H5047">
            <v>0.75</v>
          </cell>
          <cell r="I5047" t="str">
            <v>--</v>
          </cell>
          <cell r="J5047">
            <v>2</v>
          </cell>
          <cell r="K5047">
            <v>2</v>
          </cell>
        </row>
        <row r="5048">
          <cell r="A5048" t="str">
            <v>MC</v>
          </cell>
          <cell r="B5048" t="str">
            <v>CA304</v>
          </cell>
          <cell r="C5048" t="str">
            <v>MC</v>
          </cell>
          <cell r="D5048" t="str">
            <v>2410</v>
          </cell>
          <cell r="E5048" t="str">
            <v>CAP</v>
          </cell>
          <cell r="F5048">
            <v>2</v>
          </cell>
          <cell r="G5048" t="str">
            <v>CB520700000T00</v>
          </cell>
          <cell r="H5048">
            <v>0.75</v>
          </cell>
          <cell r="I5048" t="str">
            <v>--</v>
          </cell>
          <cell r="J5048">
            <v>1</v>
          </cell>
          <cell r="K5048">
            <v>1</v>
          </cell>
        </row>
        <row r="5049">
          <cell r="A5049" t="str">
            <v>MC</v>
          </cell>
          <cell r="B5049" t="str">
            <v>CA304</v>
          </cell>
          <cell r="C5049" t="str">
            <v>MC</v>
          </cell>
          <cell r="D5049" t="str">
            <v>2607</v>
          </cell>
          <cell r="E5049" t="str">
            <v>CAP</v>
          </cell>
          <cell r="F5049">
            <v>2</v>
          </cell>
          <cell r="G5049" t="str">
            <v>CB520700000T00</v>
          </cell>
          <cell r="H5049">
            <v>0.75</v>
          </cell>
          <cell r="I5049" t="str">
            <v>--</v>
          </cell>
          <cell r="J5049">
            <v>1</v>
          </cell>
          <cell r="K5049">
            <v>1</v>
          </cell>
        </row>
        <row r="5050">
          <cell r="A5050" t="str">
            <v>MC</v>
          </cell>
          <cell r="B5050" t="str">
            <v>CA304</v>
          </cell>
          <cell r="C5050" t="str">
            <v>MC</v>
          </cell>
          <cell r="D5050" t="str">
            <v>2612</v>
          </cell>
          <cell r="E5050" t="str">
            <v>CAP</v>
          </cell>
          <cell r="F5050">
            <v>2</v>
          </cell>
          <cell r="G5050" t="str">
            <v>CB520700000T00</v>
          </cell>
          <cell r="H5050">
            <v>0.75</v>
          </cell>
          <cell r="I5050" t="str">
            <v>--</v>
          </cell>
          <cell r="J5050">
            <v>3</v>
          </cell>
          <cell r="K5050">
            <v>3</v>
          </cell>
        </row>
        <row r="5051">
          <cell r="A5051" t="str">
            <v>MC</v>
          </cell>
          <cell r="B5051" t="str">
            <v>BA305</v>
          </cell>
          <cell r="C5051" t="str">
            <v>MOH</v>
          </cell>
          <cell r="D5051" t="str">
            <v>2002</v>
          </cell>
          <cell r="E5051" t="str">
            <v>CAP</v>
          </cell>
          <cell r="F5051">
            <v>2</v>
          </cell>
          <cell r="G5051" t="str">
            <v>CB520700000T00</v>
          </cell>
          <cell r="H5051">
            <v>0.75</v>
          </cell>
          <cell r="I5051" t="str">
            <v>--</v>
          </cell>
          <cell r="J5051">
            <v>1</v>
          </cell>
          <cell r="K5051">
            <v>1</v>
          </cell>
        </row>
        <row r="5052">
          <cell r="A5052" t="str">
            <v>MC</v>
          </cell>
          <cell r="B5052" t="str">
            <v>BA305</v>
          </cell>
          <cell r="C5052" t="str">
            <v>MOH</v>
          </cell>
          <cell r="D5052" t="str">
            <v>2100</v>
          </cell>
          <cell r="E5052" t="str">
            <v>CAP</v>
          </cell>
          <cell r="F5052">
            <v>2</v>
          </cell>
          <cell r="G5052" t="str">
            <v>CB520700000T00</v>
          </cell>
          <cell r="H5052">
            <v>0.75</v>
          </cell>
          <cell r="I5052" t="str">
            <v>--</v>
          </cell>
          <cell r="J5052">
            <v>1</v>
          </cell>
          <cell r="K5052">
            <v>1</v>
          </cell>
        </row>
        <row r="5053">
          <cell r="A5053" t="str">
            <v>MC</v>
          </cell>
          <cell r="B5053" t="str">
            <v>BA305</v>
          </cell>
          <cell r="C5053" t="str">
            <v>MOH</v>
          </cell>
          <cell r="D5053" t="str">
            <v>2101</v>
          </cell>
          <cell r="E5053" t="str">
            <v>CAP</v>
          </cell>
          <cell r="F5053">
            <v>2</v>
          </cell>
          <cell r="G5053" t="str">
            <v>CB520700000T00</v>
          </cell>
          <cell r="H5053">
            <v>0.75</v>
          </cell>
          <cell r="I5053" t="str">
            <v>--</v>
          </cell>
          <cell r="J5053">
            <v>2</v>
          </cell>
          <cell r="K5053">
            <v>2</v>
          </cell>
        </row>
        <row r="5054">
          <cell r="A5054" t="str">
            <v>MC</v>
          </cell>
          <cell r="B5054" t="str">
            <v>BA305</v>
          </cell>
          <cell r="C5054" t="str">
            <v>MOH</v>
          </cell>
          <cell r="D5054" t="str">
            <v>2112</v>
          </cell>
          <cell r="E5054" t="str">
            <v>CAP</v>
          </cell>
          <cell r="F5054">
            <v>2</v>
          </cell>
          <cell r="G5054" t="str">
            <v>CB520700000T00</v>
          </cell>
          <cell r="H5054">
            <v>0.75</v>
          </cell>
          <cell r="I5054" t="str">
            <v>--</v>
          </cell>
          <cell r="J5054">
            <v>1</v>
          </cell>
          <cell r="K5054">
            <v>1</v>
          </cell>
        </row>
        <row r="5055">
          <cell r="A5055" t="str">
            <v>MC</v>
          </cell>
          <cell r="B5055" t="str">
            <v>CA304</v>
          </cell>
          <cell r="C5055" t="str">
            <v>TRIM</v>
          </cell>
          <cell r="D5055" t="str">
            <v>F-1251</v>
          </cell>
          <cell r="E5055" t="str">
            <v>CAP</v>
          </cell>
          <cell r="F5055">
            <v>2</v>
          </cell>
          <cell r="G5055" t="str">
            <v>CB520700000T00</v>
          </cell>
          <cell r="H5055">
            <v>0.75</v>
          </cell>
          <cell r="I5055" t="str">
            <v>--</v>
          </cell>
          <cell r="J5055">
            <v>2</v>
          </cell>
          <cell r="K5055">
            <v>2</v>
          </cell>
        </row>
        <row r="5056">
          <cell r="A5056" t="str">
            <v>MC</v>
          </cell>
          <cell r="B5056" t="str">
            <v>BA302</v>
          </cell>
          <cell r="C5056" t="str">
            <v>SD20</v>
          </cell>
          <cell r="D5056" t="str">
            <v>2301</v>
          </cell>
          <cell r="E5056" t="str">
            <v>CAP</v>
          </cell>
          <cell r="F5056">
            <v>2</v>
          </cell>
          <cell r="G5056" t="str">
            <v>CB520700000T00</v>
          </cell>
          <cell r="H5056">
            <v>0.75</v>
          </cell>
          <cell r="I5056" t="str">
            <v>--</v>
          </cell>
          <cell r="J5056">
            <v>2</v>
          </cell>
          <cell r="K5056">
            <v>2</v>
          </cell>
        </row>
        <row r="5057">
          <cell r="A5057" t="str">
            <v>MC</v>
          </cell>
          <cell r="B5057" t="str">
            <v>CA304</v>
          </cell>
          <cell r="C5057" t="str">
            <v>VT</v>
          </cell>
          <cell r="D5057" t="str">
            <v>HOLD</v>
          </cell>
          <cell r="E5057" t="str">
            <v>CAP</v>
          </cell>
          <cell r="F5057">
            <v>2</v>
          </cell>
          <cell r="G5057" t="str">
            <v>CB520700000T00</v>
          </cell>
          <cell r="H5057">
            <v>0.75</v>
          </cell>
          <cell r="I5057" t="str">
            <v>--</v>
          </cell>
          <cell r="J5057">
            <v>4</v>
          </cell>
          <cell r="K5057">
            <v>4</v>
          </cell>
        </row>
        <row r="5058">
          <cell r="A5058" t="str">
            <v>MC</v>
          </cell>
          <cell r="B5058" t="str">
            <v>CA304</v>
          </cell>
          <cell r="C5058" t="str">
            <v>TRIM</v>
          </cell>
          <cell r="D5058" t="str">
            <v>E-1260</v>
          </cell>
          <cell r="E5058" t="str">
            <v>CAP</v>
          </cell>
          <cell r="F5058">
            <v>2</v>
          </cell>
          <cell r="G5058" t="str">
            <v>CB520700000T00</v>
          </cell>
          <cell r="H5058">
            <v>0.75</v>
          </cell>
          <cell r="I5058" t="str">
            <v>--</v>
          </cell>
          <cell r="J5058">
            <v>1</v>
          </cell>
          <cell r="K5058">
            <v>1</v>
          </cell>
        </row>
        <row r="5059">
          <cell r="A5059" t="str">
            <v>MC</v>
          </cell>
          <cell r="B5059" t="str">
            <v>CA304</v>
          </cell>
          <cell r="C5059" t="str">
            <v>MC</v>
          </cell>
          <cell r="D5059" t="str">
            <v>2506</v>
          </cell>
          <cell r="E5059" t="str">
            <v>CAP</v>
          </cell>
          <cell r="F5059">
            <v>2</v>
          </cell>
          <cell r="G5059" t="str">
            <v>CB520700000T00</v>
          </cell>
          <cell r="H5059">
            <v>0.75</v>
          </cell>
          <cell r="I5059" t="str">
            <v>--</v>
          </cell>
          <cell r="J5059">
            <v>1</v>
          </cell>
          <cell r="K5059">
            <v>1</v>
          </cell>
        </row>
        <row r="5060">
          <cell r="A5060" t="str">
            <v>MC</v>
          </cell>
          <cell r="B5060" t="str">
            <v>CA304</v>
          </cell>
          <cell r="C5060" t="str">
            <v>MC</v>
          </cell>
          <cell r="D5060" t="str">
            <v>2601</v>
          </cell>
          <cell r="E5060" t="str">
            <v>CAP</v>
          </cell>
          <cell r="F5060">
            <v>2</v>
          </cell>
          <cell r="G5060" t="str">
            <v>CB520700000T00</v>
          </cell>
          <cell r="H5060">
            <v>0.75</v>
          </cell>
          <cell r="I5060" t="str">
            <v>--</v>
          </cell>
          <cell r="J5060">
            <v>1</v>
          </cell>
          <cell r="K5060">
            <v>1</v>
          </cell>
        </row>
        <row r="5061">
          <cell r="A5061" t="str">
            <v>MC</v>
          </cell>
          <cell r="B5061" t="str">
            <v>CA304</v>
          </cell>
          <cell r="C5061" t="str">
            <v>MC</v>
          </cell>
          <cell r="D5061" t="str">
            <v>2609</v>
          </cell>
          <cell r="E5061" t="str">
            <v>CAP</v>
          </cell>
          <cell r="F5061">
            <v>2</v>
          </cell>
          <cell r="G5061" t="str">
            <v>CB520700000T00</v>
          </cell>
          <cell r="H5061">
            <v>0.75</v>
          </cell>
          <cell r="I5061" t="str">
            <v>--</v>
          </cell>
          <cell r="J5061">
            <v>1</v>
          </cell>
          <cell r="K5061">
            <v>1</v>
          </cell>
        </row>
        <row r="5062">
          <cell r="A5062" t="str">
            <v>MC</v>
          </cell>
          <cell r="B5062" t="str">
            <v>BA305</v>
          </cell>
          <cell r="C5062" t="str">
            <v>MOH</v>
          </cell>
          <cell r="D5062" t="str">
            <v>2100</v>
          </cell>
          <cell r="E5062" t="str">
            <v>CPLG</v>
          </cell>
          <cell r="F5062">
            <v>2</v>
          </cell>
          <cell r="G5062" t="str">
            <v>CB400500000T00</v>
          </cell>
          <cell r="H5062">
            <v>0.75</v>
          </cell>
          <cell r="I5062" t="str">
            <v>--</v>
          </cell>
          <cell r="J5062">
            <v>1</v>
          </cell>
          <cell r="K5062">
            <v>1</v>
          </cell>
        </row>
        <row r="5063">
          <cell r="A5063" t="str">
            <v>MC</v>
          </cell>
          <cell r="B5063" t="str">
            <v>CA307</v>
          </cell>
          <cell r="C5063" t="str">
            <v>HCL</v>
          </cell>
          <cell r="D5063" t="str">
            <v>1100</v>
          </cell>
          <cell r="E5063" t="str">
            <v>NPL</v>
          </cell>
          <cell r="F5063">
            <v>2</v>
          </cell>
          <cell r="G5063" t="str">
            <v>CB132308000TVR</v>
          </cell>
          <cell r="H5063">
            <v>0.75</v>
          </cell>
          <cell r="I5063" t="str">
            <v>75mm</v>
          </cell>
          <cell r="J5063">
            <v>2</v>
          </cell>
          <cell r="K5063">
            <v>2</v>
          </cell>
        </row>
        <row r="5064">
          <cell r="A5064" t="str">
            <v>MC</v>
          </cell>
          <cell r="B5064" t="str">
            <v>CA304</v>
          </cell>
          <cell r="C5064" t="str">
            <v>MC</v>
          </cell>
          <cell r="D5064" t="str">
            <v>2606</v>
          </cell>
          <cell r="E5064" t="str">
            <v>NPL</v>
          </cell>
          <cell r="F5064">
            <v>2</v>
          </cell>
          <cell r="G5064" t="str">
            <v>CB132108000TVR</v>
          </cell>
          <cell r="H5064">
            <v>0.75</v>
          </cell>
          <cell r="I5064" t="str">
            <v>75mm</v>
          </cell>
          <cell r="J5064">
            <v>1</v>
          </cell>
          <cell r="K5064">
            <v>1</v>
          </cell>
        </row>
        <row r="5065">
          <cell r="A5065" t="str">
            <v>MC</v>
          </cell>
          <cell r="B5065" t="str">
            <v>BA302</v>
          </cell>
          <cell r="C5065" t="str">
            <v>SD20</v>
          </cell>
          <cell r="D5065" t="str">
            <v>2301</v>
          </cell>
          <cell r="E5065" t="str">
            <v>NPL</v>
          </cell>
          <cell r="F5065">
            <v>2</v>
          </cell>
          <cell r="G5065" t="str">
            <v>CB132308000TVR</v>
          </cell>
          <cell r="H5065">
            <v>0.75</v>
          </cell>
          <cell r="I5065" t="str">
            <v>75mm</v>
          </cell>
          <cell r="J5065">
            <v>2</v>
          </cell>
          <cell r="K5065">
            <v>2</v>
          </cell>
        </row>
        <row r="5066">
          <cell r="A5066" t="str">
            <v>MC</v>
          </cell>
          <cell r="B5066" t="str">
            <v>CA304</v>
          </cell>
          <cell r="C5066" t="str">
            <v>TRIM</v>
          </cell>
          <cell r="D5066" t="str">
            <v>F-1251</v>
          </cell>
          <cell r="E5066" t="str">
            <v>NPL</v>
          </cell>
          <cell r="F5066">
            <v>2</v>
          </cell>
          <cell r="G5066" t="str">
            <v>CB132308000TVR</v>
          </cell>
          <cell r="H5066">
            <v>0.75</v>
          </cell>
          <cell r="I5066" t="str">
            <v>75mm</v>
          </cell>
          <cell r="J5066">
            <v>2</v>
          </cell>
          <cell r="K5066">
            <v>2</v>
          </cell>
        </row>
        <row r="5067">
          <cell r="A5067" t="str">
            <v>MC</v>
          </cell>
          <cell r="B5067" t="str">
            <v>CA304</v>
          </cell>
          <cell r="C5067" t="str">
            <v>VT</v>
          </cell>
          <cell r="D5067" t="str">
            <v>HOLD</v>
          </cell>
          <cell r="E5067" t="str">
            <v>NPL</v>
          </cell>
          <cell r="F5067">
            <v>2</v>
          </cell>
          <cell r="G5067" t="str">
            <v>CB132308000TVR</v>
          </cell>
          <cell r="H5067">
            <v>0.75</v>
          </cell>
          <cell r="I5067" t="str">
            <v>75mm</v>
          </cell>
          <cell r="J5067">
            <v>4</v>
          </cell>
          <cell r="K5067">
            <v>4</v>
          </cell>
        </row>
        <row r="5068">
          <cell r="A5068" t="str">
            <v>MC</v>
          </cell>
          <cell r="B5068" t="str">
            <v>CA304</v>
          </cell>
          <cell r="C5068" t="str">
            <v>TRIM</v>
          </cell>
          <cell r="D5068" t="str">
            <v>E-1260</v>
          </cell>
          <cell r="E5068" t="str">
            <v>NPL</v>
          </cell>
          <cell r="F5068">
            <v>2</v>
          </cell>
          <cell r="G5068" t="str">
            <v>CB132308000TVR</v>
          </cell>
          <cell r="H5068">
            <v>0.75</v>
          </cell>
          <cell r="I5068" t="str">
            <v>75mm</v>
          </cell>
          <cell r="J5068">
            <v>1</v>
          </cell>
          <cell r="K5068">
            <v>1</v>
          </cell>
        </row>
        <row r="5069">
          <cell r="A5069" t="str">
            <v>MC</v>
          </cell>
          <cell r="B5069" t="str">
            <v>CA304</v>
          </cell>
          <cell r="C5069" t="str">
            <v>SCC</v>
          </cell>
          <cell r="D5069" t="str">
            <v>HOLD</v>
          </cell>
          <cell r="E5069" t="str">
            <v>R TEE</v>
          </cell>
          <cell r="F5069">
            <v>2</v>
          </cell>
          <cell r="G5069" t="str">
            <v>CB400400000T0H</v>
          </cell>
          <cell r="H5069">
            <v>0.75</v>
          </cell>
          <cell r="I5069">
            <v>0.5</v>
          </cell>
          <cell r="J5069">
            <v>2</v>
          </cell>
          <cell r="K5069">
            <v>2</v>
          </cell>
        </row>
        <row r="5070">
          <cell r="A5070" t="str">
            <v>MC</v>
          </cell>
          <cell r="B5070" t="str">
            <v>CA304</v>
          </cell>
          <cell r="C5070" t="str">
            <v>CMC</v>
          </cell>
          <cell r="D5070" t="str">
            <v>HOLD</v>
          </cell>
          <cell r="E5070" t="str">
            <v>TEE</v>
          </cell>
          <cell r="F5070">
            <v>2</v>
          </cell>
          <cell r="G5070" t="str">
            <v>CB400300000T00</v>
          </cell>
          <cell r="H5070">
            <v>0.75</v>
          </cell>
          <cell r="I5070" t="str">
            <v>--</v>
          </cell>
          <cell r="J5070">
            <v>2</v>
          </cell>
          <cell r="K5070">
            <v>2</v>
          </cell>
        </row>
        <row r="5071">
          <cell r="A5071" t="str">
            <v>MC</v>
          </cell>
          <cell r="B5071" t="str">
            <v>CA304</v>
          </cell>
          <cell r="C5071" t="str">
            <v>CMC</v>
          </cell>
          <cell r="D5071" t="str">
            <v>HOLD</v>
          </cell>
          <cell r="E5071" t="str">
            <v>TEE</v>
          </cell>
          <cell r="F5071">
            <v>2</v>
          </cell>
          <cell r="G5071" t="str">
            <v>CB400300000T00</v>
          </cell>
          <cell r="H5071">
            <v>0.75</v>
          </cell>
          <cell r="I5071" t="str">
            <v>--</v>
          </cell>
          <cell r="J5071">
            <v>2</v>
          </cell>
          <cell r="K5071">
            <v>2</v>
          </cell>
        </row>
        <row r="5072">
          <cell r="A5072" t="str">
            <v>MC</v>
          </cell>
          <cell r="B5072" t="str">
            <v>CA304</v>
          </cell>
          <cell r="C5072" t="str">
            <v>CMC</v>
          </cell>
          <cell r="D5072" t="str">
            <v>HOLD</v>
          </cell>
          <cell r="E5072" t="str">
            <v>TEE</v>
          </cell>
          <cell r="F5072">
            <v>2</v>
          </cell>
          <cell r="G5072" t="str">
            <v>CB400300000T00</v>
          </cell>
          <cell r="H5072">
            <v>0.75</v>
          </cell>
          <cell r="I5072" t="str">
            <v>--</v>
          </cell>
          <cell r="J5072">
            <v>4</v>
          </cell>
          <cell r="K5072">
            <v>4</v>
          </cell>
        </row>
        <row r="5073">
          <cell r="A5073" t="str">
            <v>MC</v>
          </cell>
          <cell r="B5073" t="str">
            <v>CA304</v>
          </cell>
          <cell r="C5073" t="str">
            <v>MC</v>
          </cell>
          <cell r="D5073" t="str">
            <v>2607</v>
          </cell>
          <cell r="E5073" t="str">
            <v>TEE</v>
          </cell>
          <cell r="F5073">
            <v>2</v>
          </cell>
          <cell r="G5073" t="str">
            <v>CB400300000T00</v>
          </cell>
          <cell r="H5073">
            <v>0.75</v>
          </cell>
          <cell r="I5073" t="str">
            <v>--</v>
          </cell>
          <cell r="J5073">
            <v>1</v>
          </cell>
          <cell r="K5073">
            <v>1</v>
          </cell>
        </row>
        <row r="5074">
          <cell r="A5074" t="str">
            <v>MC</v>
          </cell>
          <cell r="B5074" t="str">
            <v>CA304</v>
          </cell>
          <cell r="C5074" t="str">
            <v>VT</v>
          </cell>
          <cell r="D5074" t="str">
            <v>HOLD</v>
          </cell>
          <cell r="E5074" t="str">
            <v>TEE</v>
          </cell>
          <cell r="F5074">
            <v>2</v>
          </cell>
          <cell r="G5074" t="str">
            <v>CB400300000T00</v>
          </cell>
          <cell r="H5074">
            <v>0.75</v>
          </cell>
          <cell r="I5074" t="str">
            <v>--</v>
          </cell>
          <cell r="J5074">
            <v>8</v>
          </cell>
          <cell r="K5074">
            <v>8</v>
          </cell>
        </row>
        <row r="5075">
          <cell r="A5075" t="str">
            <v>MC</v>
          </cell>
          <cell r="B5075" t="str">
            <v>CA304</v>
          </cell>
          <cell r="C5075" t="str">
            <v>TRIM</v>
          </cell>
          <cell r="D5075" t="str">
            <v>E-1261</v>
          </cell>
          <cell r="E5075" t="str">
            <v>TEE</v>
          </cell>
          <cell r="F5075">
            <v>2</v>
          </cell>
          <cell r="G5075" t="str">
            <v>CB400300000T00</v>
          </cell>
          <cell r="H5075">
            <v>0.75</v>
          </cell>
          <cell r="I5075" t="str">
            <v>--</v>
          </cell>
          <cell r="J5075">
            <v>1</v>
          </cell>
          <cell r="K5075">
            <v>1</v>
          </cell>
        </row>
        <row r="5076">
          <cell r="A5076" t="str">
            <v>MC</v>
          </cell>
          <cell r="B5076" t="str">
            <v>BA305</v>
          </cell>
          <cell r="C5076" t="str">
            <v>MOH</v>
          </cell>
          <cell r="D5076" t="str">
            <v>2000</v>
          </cell>
          <cell r="E5076" t="str">
            <v>90 ELL</v>
          </cell>
          <cell r="F5076">
            <v>2</v>
          </cell>
          <cell r="G5076" t="str">
            <v>CB400100000T00</v>
          </cell>
          <cell r="H5076">
            <v>0.75</v>
          </cell>
          <cell r="I5076" t="str">
            <v>--</v>
          </cell>
          <cell r="J5076">
            <v>4</v>
          </cell>
          <cell r="K5076">
            <v>4</v>
          </cell>
        </row>
        <row r="5077">
          <cell r="A5077" t="str">
            <v>MC</v>
          </cell>
          <cell r="B5077" t="str">
            <v>CA304</v>
          </cell>
          <cell r="C5077" t="str">
            <v>MC</v>
          </cell>
          <cell r="D5077" t="str">
            <v>2604</v>
          </cell>
          <cell r="E5077" t="str">
            <v>90 ELL</v>
          </cell>
          <cell r="F5077">
            <v>2</v>
          </cell>
          <cell r="G5077" t="str">
            <v>CB400100000T00</v>
          </cell>
          <cell r="H5077">
            <v>0.75</v>
          </cell>
          <cell r="I5077" t="str">
            <v>--</v>
          </cell>
          <cell r="J5077">
            <v>2</v>
          </cell>
          <cell r="K5077">
            <v>2</v>
          </cell>
        </row>
        <row r="5078">
          <cell r="A5078" t="str">
            <v>MC</v>
          </cell>
          <cell r="B5078" t="str">
            <v>CA304</v>
          </cell>
          <cell r="C5078" t="str">
            <v>MC</v>
          </cell>
          <cell r="D5078" t="str">
            <v>HOLD</v>
          </cell>
          <cell r="E5078" t="str">
            <v>90 ELL</v>
          </cell>
          <cell r="F5078">
            <v>2</v>
          </cell>
          <cell r="G5078" t="str">
            <v>CB400100000T00</v>
          </cell>
          <cell r="H5078">
            <v>0.75</v>
          </cell>
          <cell r="I5078" t="str">
            <v>--</v>
          </cell>
          <cell r="J5078">
            <v>4</v>
          </cell>
          <cell r="K5078">
            <v>4</v>
          </cell>
        </row>
        <row r="5079">
          <cell r="A5079" t="str">
            <v>MC</v>
          </cell>
          <cell r="B5079" t="str">
            <v>CA304</v>
          </cell>
          <cell r="C5079" t="str">
            <v>MC</v>
          </cell>
          <cell r="D5079" t="str">
            <v>HOLD</v>
          </cell>
          <cell r="E5079" t="str">
            <v>90 ELL</v>
          </cell>
          <cell r="F5079">
            <v>2</v>
          </cell>
          <cell r="G5079" t="str">
            <v>CB400100000T00</v>
          </cell>
          <cell r="H5079">
            <v>0.75</v>
          </cell>
          <cell r="I5079" t="str">
            <v>--</v>
          </cell>
          <cell r="J5079">
            <v>4</v>
          </cell>
          <cell r="K5079">
            <v>4</v>
          </cell>
        </row>
        <row r="5080">
          <cell r="A5080" t="str">
            <v>MC</v>
          </cell>
          <cell r="B5080" t="str">
            <v>CA304</v>
          </cell>
          <cell r="C5080" t="str">
            <v>MC</v>
          </cell>
          <cell r="D5080" t="str">
            <v>HOLD</v>
          </cell>
          <cell r="E5080" t="str">
            <v>90 ELL</v>
          </cell>
          <cell r="F5080">
            <v>2</v>
          </cell>
          <cell r="G5080" t="str">
            <v>CB400100000T00</v>
          </cell>
          <cell r="H5080">
            <v>0.75</v>
          </cell>
          <cell r="I5080" t="str">
            <v>--</v>
          </cell>
          <cell r="J5080">
            <v>4</v>
          </cell>
          <cell r="K5080">
            <v>4</v>
          </cell>
        </row>
        <row r="5081">
          <cell r="A5081" t="str">
            <v>MC</v>
          </cell>
          <cell r="B5081" t="str">
            <v>CA304</v>
          </cell>
          <cell r="C5081" t="str">
            <v>MC</v>
          </cell>
          <cell r="D5081" t="str">
            <v>HOLD</v>
          </cell>
          <cell r="E5081" t="str">
            <v>90 ELL</v>
          </cell>
          <cell r="F5081">
            <v>2</v>
          </cell>
          <cell r="G5081" t="str">
            <v>CB400100000T00</v>
          </cell>
          <cell r="H5081">
            <v>0.75</v>
          </cell>
          <cell r="I5081" t="str">
            <v>--</v>
          </cell>
          <cell r="J5081">
            <v>11</v>
          </cell>
          <cell r="K5081">
            <v>11</v>
          </cell>
        </row>
        <row r="5082">
          <cell r="A5082" t="str">
            <v>MC</v>
          </cell>
          <cell r="B5082" t="str">
            <v>CA304</v>
          </cell>
          <cell r="C5082" t="str">
            <v>MC</v>
          </cell>
          <cell r="D5082" t="str">
            <v>HOLD</v>
          </cell>
          <cell r="E5082" t="str">
            <v>90 ELL</v>
          </cell>
          <cell r="F5082">
            <v>2</v>
          </cell>
          <cell r="G5082" t="str">
            <v>CB400100000T00</v>
          </cell>
          <cell r="H5082">
            <v>0.75</v>
          </cell>
          <cell r="I5082" t="str">
            <v>--</v>
          </cell>
          <cell r="J5082">
            <v>4</v>
          </cell>
          <cell r="K5082">
            <v>4</v>
          </cell>
        </row>
        <row r="5083">
          <cell r="A5083" t="str">
            <v>MC</v>
          </cell>
          <cell r="B5083" t="str">
            <v>CA304</v>
          </cell>
          <cell r="C5083" t="str">
            <v>MC</v>
          </cell>
          <cell r="D5083" t="str">
            <v>2502</v>
          </cell>
          <cell r="E5083" t="str">
            <v>CAP</v>
          </cell>
          <cell r="F5083">
            <v>2</v>
          </cell>
          <cell r="G5083" t="str">
            <v>CB520700000T00</v>
          </cell>
          <cell r="H5083">
            <v>0.75</v>
          </cell>
          <cell r="I5083" t="str">
            <v>--</v>
          </cell>
          <cell r="J5083">
            <v>2</v>
          </cell>
          <cell r="K5083">
            <v>2</v>
          </cell>
        </row>
        <row r="5084">
          <cell r="A5084" t="str">
            <v>MC</v>
          </cell>
          <cell r="B5084" t="str">
            <v>CA304</v>
          </cell>
          <cell r="C5084" t="str">
            <v>MC</v>
          </cell>
          <cell r="D5084" t="str">
            <v>2502</v>
          </cell>
          <cell r="E5084" t="str">
            <v>CAP</v>
          </cell>
          <cell r="F5084">
            <v>2</v>
          </cell>
          <cell r="G5084" t="str">
            <v>CB520700000T00</v>
          </cell>
          <cell r="H5084">
            <v>0.75</v>
          </cell>
          <cell r="I5084" t="str">
            <v>--</v>
          </cell>
          <cell r="J5084">
            <v>1</v>
          </cell>
          <cell r="K5084">
            <v>1</v>
          </cell>
        </row>
        <row r="5085">
          <cell r="A5085" t="str">
            <v>MC</v>
          </cell>
          <cell r="B5085" t="str">
            <v>CA304</v>
          </cell>
          <cell r="C5085" t="str">
            <v>MC</v>
          </cell>
          <cell r="D5085" t="str">
            <v>2502</v>
          </cell>
          <cell r="E5085" t="str">
            <v>CAP</v>
          </cell>
          <cell r="F5085">
            <v>2</v>
          </cell>
          <cell r="G5085" t="str">
            <v>CB520700000T00</v>
          </cell>
          <cell r="H5085">
            <v>0.75</v>
          </cell>
          <cell r="I5085" t="str">
            <v>--</v>
          </cell>
          <cell r="J5085">
            <v>1</v>
          </cell>
          <cell r="K5085">
            <v>1</v>
          </cell>
        </row>
        <row r="5086">
          <cell r="A5086" t="str">
            <v>MC</v>
          </cell>
          <cell r="B5086" t="str">
            <v>CA304</v>
          </cell>
          <cell r="C5086" t="str">
            <v>MC</v>
          </cell>
          <cell r="D5086" t="str">
            <v>2502</v>
          </cell>
          <cell r="E5086" t="str">
            <v>CAP</v>
          </cell>
          <cell r="F5086">
            <v>2</v>
          </cell>
          <cell r="G5086" t="str">
            <v>CB520700000T00</v>
          </cell>
          <cell r="H5086">
            <v>0.75</v>
          </cell>
          <cell r="I5086" t="str">
            <v>--</v>
          </cell>
          <cell r="J5086">
            <v>2</v>
          </cell>
          <cell r="K5086">
            <v>2</v>
          </cell>
        </row>
        <row r="5087">
          <cell r="A5087" t="str">
            <v>MC</v>
          </cell>
          <cell r="B5087" t="str">
            <v>CA304</v>
          </cell>
          <cell r="C5087" t="str">
            <v>MC</v>
          </cell>
          <cell r="D5087" t="str">
            <v>HOLD</v>
          </cell>
          <cell r="E5087" t="str">
            <v>CAP</v>
          </cell>
          <cell r="F5087">
            <v>2</v>
          </cell>
          <cell r="G5087" t="str">
            <v>CB520700000T00</v>
          </cell>
          <cell r="H5087">
            <v>0.75</v>
          </cell>
          <cell r="I5087" t="str">
            <v>--</v>
          </cell>
          <cell r="J5087">
            <v>2</v>
          </cell>
          <cell r="K5087">
            <v>2</v>
          </cell>
        </row>
        <row r="5088">
          <cell r="A5088" t="str">
            <v>MC</v>
          </cell>
          <cell r="B5088" t="str">
            <v>CA304</v>
          </cell>
          <cell r="C5088" t="str">
            <v>MC</v>
          </cell>
          <cell r="D5088" t="str">
            <v>HOLD</v>
          </cell>
          <cell r="E5088" t="str">
            <v>CAP</v>
          </cell>
          <cell r="F5088">
            <v>2</v>
          </cell>
          <cell r="G5088" t="str">
            <v>CB520700000T00</v>
          </cell>
          <cell r="H5088">
            <v>0.75</v>
          </cell>
          <cell r="I5088" t="str">
            <v>--</v>
          </cell>
          <cell r="J5088">
            <v>2</v>
          </cell>
          <cell r="K5088">
            <v>2</v>
          </cell>
        </row>
        <row r="5089">
          <cell r="A5089" t="str">
            <v>MC</v>
          </cell>
          <cell r="B5089" t="str">
            <v>CA304</v>
          </cell>
          <cell r="C5089" t="str">
            <v>MC</v>
          </cell>
          <cell r="D5089" t="str">
            <v>HOLD</v>
          </cell>
          <cell r="E5089" t="str">
            <v>CAP</v>
          </cell>
          <cell r="F5089">
            <v>2</v>
          </cell>
          <cell r="G5089" t="str">
            <v>CB520700000T00</v>
          </cell>
          <cell r="H5089">
            <v>0.75</v>
          </cell>
          <cell r="I5089" t="str">
            <v>--</v>
          </cell>
          <cell r="J5089">
            <v>2</v>
          </cell>
          <cell r="K5089">
            <v>2</v>
          </cell>
        </row>
        <row r="5090">
          <cell r="A5090" t="str">
            <v>MC</v>
          </cell>
          <cell r="B5090" t="str">
            <v>CA304</v>
          </cell>
          <cell r="C5090" t="str">
            <v>MC</v>
          </cell>
          <cell r="D5090" t="str">
            <v>HOLD</v>
          </cell>
          <cell r="E5090" t="str">
            <v>CAP</v>
          </cell>
          <cell r="F5090">
            <v>2</v>
          </cell>
          <cell r="G5090" t="str">
            <v>CB520700000T00</v>
          </cell>
          <cell r="H5090">
            <v>0.75</v>
          </cell>
          <cell r="I5090" t="str">
            <v>--</v>
          </cell>
          <cell r="J5090">
            <v>2</v>
          </cell>
          <cell r="K5090">
            <v>2</v>
          </cell>
        </row>
        <row r="5091">
          <cell r="A5091" t="str">
            <v>MC</v>
          </cell>
          <cell r="B5091" t="str">
            <v>CA304</v>
          </cell>
          <cell r="C5091" t="str">
            <v>MC</v>
          </cell>
          <cell r="D5091" t="str">
            <v>2502</v>
          </cell>
          <cell r="E5091" t="str">
            <v>NPL</v>
          </cell>
          <cell r="F5091">
            <v>2</v>
          </cell>
          <cell r="G5091" t="str">
            <v>CB132308000TVR</v>
          </cell>
          <cell r="H5091">
            <v>0.75</v>
          </cell>
          <cell r="I5091" t="str">
            <v>75mm</v>
          </cell>
          <cell r="J5091">
            <v>4</v>
          </cell>
          <cell r="K5091">
            <v>4</v>
          </cell>
        </row>
        <row r="5092">
          <cell r="A5092" t="str">
            <v>MC</v>
          </cell>
          <cell r="B5092" t="str">
            <v>CA304</v>
          </cell>
          <cell r="C5092" t="str">
            <v>MC</v>
          </cell>
          <cell r="D5092" t="str">
            <v>2502</v>
          </cell>
          <cell r="E5092" t="str">
            <v>NPL</v>
          </cell>
          <cell r="F5092">
            <v>2</v>
          </cell>
          <cell r="G5092" t="str">
            <v>CB132308000TVR</v>
          </cell>
          <cell r="H5092">
            <v>0.75</v>
          </cell>
          <cell r="I5092" t="str">
            <v>75mm</v>
          </cell>
          <cell r="J5092">
            <v>2</v>
          </cell>
          <cell r="K5092">
            <v>2</v>
          </cell>
        </row>
        <row r="5093">
          <cell r="A5093" t="str">
            <v>MC</v>
          </cell>
          <cell r="B5093" t="str">
            <v>CA304</v>
          </cell>
          <cell r="C5093" t="str">
            <v>MC</v>
          </cell>
          <cell r="D5093" t="str">
            <v>2502</v>
          </cell>
          <cell r="E5093" t="str">
            <v>NPL</v>
          </cell>
          <cell r="F5093">
            <v>2</v>
          </cell>
          <cell r="G5093" t="str">
            <v>CB132308000TVR</v>
          </cell>
          <cell r="H5093">
            <v>0.75</v>
          </cell>
          <cell r="I5093" t="str">
            <v>75mm</v>
          </cell>
          <cell r="J5093">
            <v>2</v>
          </cell>
          <cell r="K5093">
            <v>2</v>
          </cell>
        </row>
        <row r="5094">
          <cell r="A5094" t="str">
            <v>MC</v>
          </cell>
          <cell r="B5094" t="str">
            <v>CA304</v>
          </cell>
          <cell r="C5094" t="str">
            <v>MC</v>
          </cell>
          <cell r="D5094" t="str">
            <v>2502</v>
          </cell>
          <cell r="E5094" t="str">
            <v>NPL</v>
          </cell>
          <cell r="F5094">
            <v>2</v>
          </cell>
          <cell r="G5094" t="str">
            <v>CB132308000TVR</v>
          </cell>
          <cell r="H5094">
            <v>0.75</v>
          </cell>
          <cell r="I5094" t="str">
            <v>75mm</v>
          </cell>
          <cell r="J5094">
            <v>4</v>
          </cell>
          <cell r="K5094">
            <v>4</v>
          </cell>
        </row>
        <row r="5095">
          <cell r="A5095" t="str">
            <v>MC</v>
          </cell>
          <cell r="B5095" t="str">
            <v>CA304</v>
          </cell>
          <cell r="C5095" t="str">
            <v>MC</v>
          </cell>
          <cell r="D5095" t="str">
            <v>HOLD</v>
          </cell>
          <cell r="E5095" t="str">
            <v>TEE</v>
          </cell>
          <cell r="F5095">
            <v>2</v>
          </cell>
          <cell r="G5095" t="str">
            <v>CB400300000T00</v>
          </cell>
          <cell r="H5095">
            <v>0.75</v>
          </cell>
          <cell r="I5095" t="str">
            <v>--</v>
          </cell>
          <cell r="J5095">
            <v>4</v>
          </cell>
          <cell r="K5095">
            <v>4</v>
          </cell>
        </row>
        <row r="5096">
          <cell r="A5096" t="str">
            <v>MC</v>
          </cell>
          <cell r="B5096" t="str">
            <v>CA304</v>
          </cell>
          <cell r="C5096" t="str">
            <v>MC</v>
          </cell>
          <cell r="D5096" t="str">
            <v>HOLD</v>
          </cell>
          <cell r="E5096" t="str">
            <v>TEE</v>
          </cell>
          <cell r="F5096">
            <v>2</v>
          </cell>
          <cell r="G5096" t="str">
            <v>CB400300000T00</v>
          </cell>
          <cell r="H5096">
            <v>0.75</v>
          </cell>
          <cell r="I5096" t="str">
            <v>--</v>
          </cell>
          <cell r="J5096">
            <v>4</v>
          </cell>
          <cell r="K5096">
            <v>4</v>
          </cell>
        </row>
        <row r="5097">
          <cell r="A5097" t="str">
            <v>MC</v>
          </cell>
          <cell r="B5097" t="str">
            <v>CA304</v>
          </cell>
          <cell r="C5097" t="str">
            <v>MC</v>
          </cell>
          <cell r="D5097" t="str">
            <v>HOLD</v>
          </cell>
          <cell r="E5097" t="str">
            <v>TEE</v>
          </cell>
          <cell r="F5097">
            <v>2</v>
          </cell>
          <cell r="G5097" t="str">
            <v>CB400300000T00</v>
          </cell>
          <cell r="H5097">
            <v>0.75</v>
          </cell>
          <cell r="I5097" t="str">
            <v>--</v>
          </cell>
          <cell r="J5097">
            <v>4</v>
          </cell>
          <cell r="K5097">
            <v>4</v>
          </cell>
        </row>
        <row r="5098">
          <cell r="A5098" t="str">
            <v>MC</v>
          </cell>
          <cell r="B5098" t="str">
            <v>CA304</v>
          </cell>
          <cell r="C5098" t="str">
            <v>MC</v>
          </cell>
          <cell r="D5098" t="str">
            <v>HOLD</v>
          </cell>
          <cell r="E5098" t="str">
            <v>TEE</v>
          </cell>
          <cell r="F5098">
            <v>2</v>
          </cell>
          <cell r="G5098" t="str">
            <v>CB400300000T00</v>
          </cell>
          <cell r="H5098">
            <v>0.75</v>
          </cell>
          <cell r="I5098" t="str">
            <v>--</v>
          </cell>
          <cell r="J5098">
            <v>2</v>
          </cell>
          <cell r="K5098">
            <v>2</v>
          </cell>
        </row>
        <row r="5099">
          <cell r="A5099" t="str">
            <v>MC</v>
          </cell>
          <cell r="B5099" t="str">
            <v>CA304</v>
          </cell>
          <cell r="C5099" t="str">
            <v>MC</v>
          </cell>
          <cell r="D5099" t="str">
            <v>HOLD</v>
          </cell>
          <cell r="E5099" t="str">
            <v>TEE</v>
          </cell>
          <cell r="F5099">
            <v>2</v>
          </cell>
          <cell r="G5099" t="str">
            <v>CB400300000T00</v>
          </cell>
          <cell r="H5099">
            <v>0.75</v>
          </cell>
          <cell r="I5099" t="str">
            <v>--</v>
          </cell>
          <cell r="J5099">
            <v>4</v>
          </cell>
          <cell r="K5099">
            <v>4</v>
          </cell>
        </row>
        <row r="5100">
          <cell r="A5100" t="str">
            <v>MC</v>
          </cell>
          <cell r="B5100" t="str">
            <v>CA304</v>
          </cell>
          <cell r="C5100" t="str">
            <v>SC1</v>
          </cell>
          <cell r="D5100" t="str">
            <v>HOLD</v>
          </cell>
          <cell r="E5100" t="str">
            <v>C SWG</v>
          </cell>
          <cell r="F5100">
            <v>2</v>
          </cell>
          <cell r="G5100" t="str">
            <v>CB161108080T0H</v>
          </cell>
          <cell r="H5100">
            <v>0.75</v>
          </cell>
          <cell r="I5100">
            <v>0.5</v>
          </cell>
          <cell r="J5100">
            <v>3</v>
          </cell>
          <cell r="K5100">
            <v>3</v>
          </cell>
        </row>
        <row r="5101">
          <cell r="A5101" t="str">
            <v>MC</v>
          </cell>
          <cell r="B5101" t="str">
            <v>CA304</v>
          </cell>
          <cell r="C5101" t="str">
            <v>MC</v>
          </cell>
          <cell r="D5101" t="str">
            <v>2605</v>
          </cell>
          <cell r="E5101" t="str">
            <v>90 ELL</v>
          </cell>
          <cell r="F5101">
            <v>2</v>
          </cell>
          <cell r="G5101" t="str">
            <v>CB400100000100</v>
          </cell>
          <cell r="H5101">
            <v>1</v>
          </cell>
          <cell r="I5101" t="str">
            <v>--</v>
          </cell>
          <cell r="J5101">
            <v>6</v>
          </cell>
          <cell r="K5101">
            <v>6</v>
          </cell>
        </row>
        <row r="5102">
          <cell r="A5102" t="str">
            <v>MC</v>
          </cell>
          <cell r="B5102" t="str">
            <v>CA304</v>
          </cell>
          <cell r="C5102" t="str">
            <v>MC</v>
          </cell>
          <cell r="D5102" t="str">
            <v>2609</v>
          </cell>
          <cell r="E5102" t="str">
            <v>90 ELL</v>
          </cell>
          <cell r="F5102">
            <v>2</v>
          </cell>
          <cell r="G5102" t="str">
            <v>CB400100000100</v>
          </cell>
          <cell r="H5102">
            <v>1</v>
          </cell>
          <cell r="I5102" t="str">
            <v>--</v>
          </cell>
          <cell r="J5102">
            <v>7</v>
          </cell>
          <cell r="K5102">
            <v>7</v>
          </cell>
        </row>
        <row r="5103">
          <cell r="A5103" t="str">
            <v>MC</v>
          </cell>
          <cell r="B5103" t="str">
            <v>BA305</v>
          </cell>
          <cell r="C5103" t="str">
            <v>MOH</v>
          </cell>
          <cell r="D5103" t="str">
            <v>2002</v>
          </cell>
          <cell r="E5103" t="str">
            <v>90 ELL</v>
          </cell>
          <cell r="F5103">
            <v>2</v>
          </cell>
          <cell r="G5103" t="str">
            <v>CB400100000100</v>
          </cell>
          <cell r="H5103">
            <v>1</v>
          </cell>
          <cell r="I5103" t="str">
            <v>--</v>
          </cell>
          <cell r="J5103">
            <v>6</v>
          </cell>
          <cell r="K5103">
            <v>6</v>
          </cell>
        </row>
        <row r="5104">
          <cell r="A5104" t="str">
            <v>MC</v>
          </cell>
          <cell r="B5104" t="str">
            <v>BA305</v>
          </cell>
          <cell r="C5104" t="str">
            <v>MOH</v>
          </cell>
          <cell r="D5104" t="str">
            <v>2100</v>
          </cell>
          <cell r="E5104" t="str">
            <v>90 ELL</v>
          </cell>
          <cell r="F5104">
            <v>2</v>
          </cell>
          <cell r="G5104" t="str">
            <v>CB400100000100</v>
          </cell>
          <cell r="H5104">
            <v>1</v>
          </cell>
          <cell r="I5104" t="str">
            <v>--</v>
          </cell>
          <cell r="J5104">
            <v>2</v>
          </cell>
          <cell r="K5104">
            <v>2</v>
          </cell>
        </row>
        <row r="5105">
          <cell r="A5105" t="str">
            <v>MC</v>
          </cell>
          <cell r="B5105" t="str">
            <v>BA305</v>
          </cell>
          <cell r="C5105" t="str">
            <v>MOH</v>
          </cell>
          <cell r="D5105" t="str">
            <v>2101</v>
          </cell>
          <cell r="E5105" t="str">
            <v>90 ELL</v>
          </cell>
          <cell r="F5105">
            <v>2</v>
          </cell>
          <cell r="G5105" t="str">
            <v>CB400100000100</v>
          </cell>
          <cell r="H5105">
            <v>1</v>
          </cell>
          <cell r="I5105" t="str">
            <v>--</v>
          </cell>
          <cell r="J5105">
            <v>6</v>
          </cell>
          <cell r="K5105">
            <v>6</v>
          </cell>
        </row>
        <row r="5106">
          <cell r="A5106" t="str">
            <v>MC</v>
          </cell>
          <cell r="B5106" t="str">
            <v>CA304</v>
          </cell>
          <cell r="C5106" t="str">
            <v>N</v>
          </cell>
          <cell r="D5106" t="str">
            <v>HOLD</v>
          </cell>
          <cell r="E5106" t="str">
            <v>90 ELL</v>
          </cell>
          <cell r="F5106">
            <v>2</v>
          </cell>
          <cell r="G5106" t="str">
            <v>CB400100000100</v>
          </cell>
          <cell r="H5106">
            <v>1</v>
          </cell>
          <cell r="I5106" t="str">
            <v>--</v>
          </cell>
          <cell r="J5106">
            <v>1</v>
          </cell>
          <cell r="K5106">
            <v>1</v>
          </cell>
        </row>
        <row r="5107">
          <cell r="A5107" t="str">
            <v>MC</v>
          </cell>
          <cell r="B5107" t="str">
            <v>BA312</v>
          </cell>
          <cell r="C5107" t="str">
            <v>SA98</v>
          </cell>
          <cell r="D5107" t="str">
            <v>2411</v>
          </cell>
          <cell r="E5107" t="str">
            <v>90 ELL</v>
          </cell>
          <cell r="F5107">
            <v>2</v>
          </cell>
          <cell r="G5107" t="str">
            <v>CB300108000100</v>
          </cell>
          <cell r="H5107">
            <v>1</v>
          </cell>
          <cell r="I5107" t="str">
            <v>--</v>
          </cell>
          <cell r="J5107">
            <v>9</v>
          </cell>
          <cell r="K5107">
            <v>9</v>
          </cell>
        </row>
        <row r="5108">
          <cell r="A5108" t="str">
            <v>MC</v>
          </cell>
          <cell r="B5108" t="str">
            <v>BA302</v>
          </cell>
          <cell r="C5108" t="str">
            <v>SD20</v>
          </cell>
          <cell r="D5108" t="str">
            <v>2301</v>
          </cell>
          <cell r="E5108" t="str">
            <v>90 ELL</v>
          </cell>
          <cell r="F5108">
            <v>2</v>
          </cell>
          <cell r="G5108" t="str">
            <v>CB400100000100</v>
          </cell>
          <cell r="H5108">
            <v>1</v>
          </cell>
          <cell r="I5108" t="str">
            <v>--</v>
          </cell>
          <cell r="J5108">
            <v>10</v>
          </cell>
          <cell r="K5108">
            <v>10</v>
          </cell>
        </row>
        <row r="5109">
          <cell r="A5109" t="str">
            <v>MC</v>
          </cell>
          <cell r="B5109" t="str">
            <v>BA305</v>
          </cell>
          <cell r="C5109" t="str">
            <v>MOH</v>
          </cell>
          <cell r="D5109" t="str">
            <v>2112</v>
          </cell>
          <cell r="E5109" t="str">
            <v>90 ELL</v>
          </cell>
          <cell r="F5109">
            <v>2</v>
          </cell>
          <cell r="G5109" t="str">
            <v>CB400100000100</v>
          </cell>
          <cell r="H5109">
            <v>1</v>
          </cell>
          <cell r="I5109" t="str">
            <v>--</v>
          </cell>
          <cell r="J5109">
            <v>7</v>
          </cell>
          <cell r="K5109">
            <v>7</v>
          </cell>
        </row>
        <row r="5110">
          <cell r="A5110" t="str">
            <v>MC</v>
          </cell>
          <cell r="B5110" t="str">
            <v>BA305</v>
          </cell>
          <cell r="C5110" t="str">
            <v>VNC</v>
          </cell>
          <cell r="D5110" t="str">
            <v>2016</v>
          </cell>
          <cell r="E5110" t="str">
            <v>90 ELL</v>
          </cell>
          <cell r="F5110">
            <v>2</v>
          </cell>
          <cell r="G5110" t="str">
            <v>CB400100000100</v>
          </cell>
          <cell r="H5110">
            <v>1</v>
          </cell>
          <cell r="I5110" t="str">
            <v>--</v>
          </cell>
          <cell r="J5110">
            <v>2</v>
          </cell>
          <cell r="K5110">
            <v>2</v>
          </cell>
        </row>
        <row r="5111">
          <cell r="A5111" t="str">
            <v>MC</v>
          </cell>
          <cell r="B5111" t="str">
            <v>BA305</v>
          </cell>
          <cell r="C5111" t="str">
            <v>MOH</v>
          </cell>
          <cell r="D5111" t="str">
            <v>2100</v>
          </cell>
          <cell r="E5111" t="str">
            <v>C SWG</v>
          </cell>
          <cell r="F5111">
            <v>2</v>
          </cell>
          <cell r="G5111" t="str">
            <v>CB16110808010T</v>
          </cell>
          <cell r="H5111">
            <v>1</v>
          </cell>
          <cell r="I5111">
            <v>0.75</v>
          </cell>
          <cell r="J5111">
            <v>1</v>
          </cell>
          <cell r="K5111">
            <v>1</v>
          </cell>
        </row>
        <row r="5112">
          <cell r="A5112" t="str">
            <v>MC</v>
          </cell>
          <cell r="B5112" t="str">
            <v>BA305</v>
          </cell>
          <cell r="C5112" t="str">
            <v>VNC</v>
          </cell>
          <cell r="D5112" t="str">
            <v>2016</v>
          </cell>
          <cell r="E5112" t="str">
            <v>C SWG</v>
          </cell>
          <cell r="F5112">
            <v>2</v>
          </cell>
          <cell r="G5112" t="str">
            <v>CB16110808010T</v>
          </cell>
          <cell r="H5112">
            <v>1</v>
          </cell>
          <cell r="I5112">
            <v>0.75</v>
          </cell>
          <cell r="J5112">
            <v>1</v>
          </cell>
          <cell r="K5112">
            <v>1</v>
          </cell>
        </row>
        <row r="5113">
          <cell r="A5113" t="str">
            <v>MC</v>
          </cell>
          <cell r="B5113" t="str">
            <v>BA312</v>
          </cell>
          <cell r="C5113" t="str">
            <v>SA98</v>
          </cell>
          <cell r="D5113" t="str">
            <v>2411</v>
          </cell>
          <cell r="E5113" t="str">
            <v>CPLG</v>
          </cell>
          <cell r="F5113">
            <v>2</v>
          </cell>
          <cell r="G5113" t="str">
            <v>CB400500000100</v>
          </cell>
          <cell r="H5113">
            <v>1</v>
          </cell>
          <cell r="I5113" t="str">
            <v>--</v>
          </cell>
          <cell r="J5113">
            <v>5</v>
          </cell>
          <cell r="K5113">
            <v>5</v>
          </cell>
        </row>
        <row r="5114">
          <cell r="A5114" t="str">
            <v>MC</v>
          </cell>
          <cell r="B5114" t="str">
            <v>BA302</v>
          </cell>
          <cell r="C5114" t="str">
            <v>SD20</v>
          </cell>
          <cell r="D5114" t="str">
            <v>2301</v>
          </cell>
          <cell r="E5114" t="str">
            <v>CPLG</v>
          </cell>
          <cell r="F5114">
            <v>2</v>
          </cell>
          <cell r="G5114" t="str">
            <v>CB400500000100</v>
          </cell>
          <cell r="H5114">
            <v>1</v>
          </cell>
          <cell r="I5114" t="str">
            <v>--</v>
          </cell>
          <cell r="J5114">
            <v>3</v>
          </cell>
          <cell r="K5114">
            <v>3</v>
          </cell>
        </row>
        <row r="5115">
          <cell r="A5115" t="str">
            <v>MC</v>
          </cell>
          <cell r="B5115" t="str">
            <v>BA305</v>
          </cell>
          <cell r="C5115" t="str">
            <v>VNC</v>
          </cell>
          <cell r="D5115" t="str">
            <v>2016</v>
          </cell>
          <cell r="E5115" t="str">
            <v>CPLG</v>
          </cell>
          <cell r="F5115">
            <v>2</v>
          </cell>
          <cell r="G5115" t="str">
            <v>CB400500000100</v>
          </cell>
          <cell r="H5115">
            <v>1</v>
          </cell>
          <cell r="I5115" t="str">
            <v>--</v>
          </cell>
          <cell r="J5115">
            <v>1</v>
          </cell>
          <cell r="K5115">
            <v>1</v>
          </cell>
        </row>
        <row r="5116">
          <cell r="A5116" t="str">
            <v>MC</v>
          </cell>
          <cell r="B5116" t="str">
            <v>BA305</v>
          </cell>
          <cell r="C5116" t="str">
            <v>MOH</v>
          </cell>
          <cell r="D5116" t="str">
            <v>2101</v>
          </cell>
          <cell r="E5116" t="str">
            <v>E SWG</v>
          </cell>
          <cell r="F5116">
            <v>2</v>
          </cell>
          <cell r="G5116" t="str">
            <v>CB16210808010T</v>
          </cell>
          <cell r="H5116">
            <v>1</v>
          </cell>
          <cell r="I5116">
            <v>0.75</v>
          </cell>
          <cell r="J5116">
            <v>2</v>
          </cell>
          <cell r="K5116">
            <v>2</v>
          </cell>
        </row>
        <row r="5117">
          <cell r="A5117" t="str">
            <v>MC</v>
          </cell>
          <cell r="B5117" t="str">
            <v>BA305</v>
          </cell>
          <cell r="C5117" t="str">
            <v>MOH</v>
          </cell>
          <cell r="D5117" t="str">
            <v>2112</v>
          </cell>
          <cell r="E5117" t="str">
            <v>E SWG</v>
          </cell>
          <cell r="F5117">
            <v>2</v>
          </cell>
          <cell r="G5117" t="str">
            <v>CB16210808010T</v>
          </cell>
          <cell r="H5117">
            <v>1</v>
          </cell>
          <cell r="I5117">
            <v>0.75</v>
          </cell>
          <cell r="J5117">
            <v>2</v>
          </cell>
          <cell r="K5117">
            <v>2</v>
          </cell>
        </row>
        <row r="5118">
          <cell r="A5118" t="str">
            <v>MC</v>
          </cell>
          <cell r="B5118" t="str">
            <v>BA312</v>
          </cell>
          <cell r="C5118" t="str">
            <v>SA98</v>
          </cell>
          <cell r="D5118" t="str">
            <v>2411</v>
          </cell>
          <cell r="E5118" t="str">
            <v>E SWG</v>
          </cell>
          <cell r="F5118">
            <v>2</v>
          </cell>
          <cell r="G5118" t="str">
            <v>CB16210808010T</v>
          </cell>
          <cell r="H5118">
            <v>1</v>
          </cell>
          <cell r="I5118">
            <v>0.75</v>
          </cell>
          <cell r="J5118">
            <v>2</v>
          </cell>
          <cell r="K5118">
            <v>2</v>
          </cell>
        </row>
        <row r="5119">
          <cell r="A5119" t="str">
            <v>MC</v>
          </cell>
          <cell r="B5119" t="str">
            <v>BA302</v>
          </cell>
          <cell r="C5119" t="str">
            <v>SD20</v>
          </cell>
          <cell r="D5119" t="str">
            <v>2301</v>
          </cell>
          <cell r="E5119" t="str">
            <v>E SWG</v>
          </cell>
          <cell r="F5119">
            <v>2</v>
          </cell>
          <cell r="G5119" t="str">
            <v>CB16210808010T</v>
          </cell>
          <cell r="H5119">
            <v>1</v>
          </cell>
          <cell r="I5119">
            <v>0.75</v>
          </cell>
          <cell r="J5119">
            <v>2</v>
          </cell>
          <cell r="K5119">
            <v>2</v>
          </cell>
        </row>
        <row r="5120">
          <cell r="A5120" t="str">
            <v>MC</v>
          </cell>
          <cell r="B5120" t="str">
            <v>BA305</v>
          </cell>
          <cell r="C5120" t="str">
            <v>MOH</v>
          </cell>
          <cell r="D5120" t="str">
            <v>2002</v>
          </cell>
          <cell r="E5120" t="str">
            <v>R TEE</v>
          </cell>
          <cell r="F5120">
            <v>2</v>
          </cell>
          <cell r="G5120" t="str">
            <v>CB40040000010T</v>
          </cell>
          <cell r="H5120">
            <v>1</v>
          </cell>
          <cell r="I5120">
            <v>0.75</v>
          </cell>
          <cell r="J5120">
            <v>2</v>
          </cell>
          <cell r="K5120">
            <v>2</v>
          </cell>
        </row>
        <row r="5121">
          <cell r="A5121" t="str">
            <v>MC</v>
          </cell>
          <cell r="B5121" t="str">
            <v>BA305</v>
          </cell>
          <cell r="C5121" t="str">
            <v>MOH</v>
          </cell>
          <cell r="D5121" t="str">
            <v>2101</v>
          </cell>
          <cell r="E5121" t="str">
            <v>R TEE</v>
          </cell>
          <cell r="F5121">
            <v>2</v>
          </cell>
          <cell r="G5121" t="str">
            <v>CB40040000010T</v>
          </cell>
          <cell r="H5121">
            <v>1</v>
          </cell>
          <cell r="I5121">
            <v>0.75</v>
          </cell>
          <cell r="J5121">
            <v>2</v>
          </cell>
          <cell r="K5121">
            <v>2</v>
          </cell>
        </row>
        <row r="5122">
          <cell r="A5122" t="str">
            <v>MC</v>
          </cell>
          <cell r="B5122" t="str">
            <v>BA305</v>
          </cell>
          <cell r="C5122" t="str">
            <v>MOH</v>
          </cell>
          <cell r="D5122" t="str">
            <v>2100</v>
          </cell>
          <cell r="E5122" t="str">
            <v>R TEE</v>
          </cell>
          <cell r="F5122">
            <v>2</v>
          </cell>
          <cell r="G5122" t="str">
            <v>CB40040000010T</v>
          </cell>
          <cell r="H5122">
            <v>1</v>
          </cell>
          <cell r="I5122">
            <v>0.75</v>
          </cell>
          <cell r="J5122">
            <v>1</v>
          </cell>
          <cell r="K5122">
            <v>1</v>
          </cell>
        </row>
        <row r="5123">
          <cell r="A5123" t="str">
            <v>MC</v>
          </cell>
          <cell r="B5123" t="str">
            <v>BA305</v>
          </cell>
          <cell r="C5123" t="str">
            <v>MOH</v>
          </cell>
          <cell r="D5123" t="str">
            <v>2112</v>
          </cell>
          <cell r="E5123" t="str">
            <v>R TEE</v>
          </cell>
          <cell r="F5123">
            <v>2</v>
          </cell>
          <cell r="G5123" t="str">
            <v>CB40040000010T</v>
          </cell>
          <cell r="H5123">
            <v>1</v>
          </cell>
          <cell r="I5123">
            <v>0.75</v>
          </cell>
          <cell r="J5123">
            <v>3</v>
          </cell>
          <cell r="K5123">
            <v>3</v>
          </cell>
        </row>
        <row r="5124">
          <cell r="A5124" t="str">
            <v>MC</v>
          </cell>
          <cell r="B5124" t="str">
            <v>BA302</v>
          </cell>
          <cell r="C5124" t="str">
            <v>SD20</v>
          </cell>
          <cell r="D5124" t="str">
            <v>2301</v>
          </cell>
          <cell r="E5124" t="str">
            <v>R TEE</v>
          </cell>
          <cell r="F5124">
            <v>2</v>
          </cell>
          <cell r="G5124" t="str">
            <v>CB40040000010T</v>
          </cell>
          <cell r="H5124">
            <v>1</v>
          </cell>
          <cell r="I5124">
            <v>0.75</v>
          </cell>
          <cell r="J5124">
            <v>2</v>
          </cell>
          <cell r="K5124">
            <v>2</v>
          </cell>
        </row>
        <row r="5125">
          <cell r="A5125" t="str">
            <v>MC</v>
          </cell>
          <cell r="B5125" t="str">
            <v>BA312</v>
          </cell>
          <cell r="C5125" t="str">
            <v>SA98</v>
          </cell>
          <cell r="D5125" t="str">
            <v>2411</v>
          </cell>
          <cell r="E5125" t="str">
            <v>R TEE</v>
          </cell>
          <cell r="F5125">
            <v>2</v>
          </cell>
          <cell r="G5125" t="str">
            <v>CB40040000010T</v>
          </cell>
          <cell r="H5125">
            <v>1</v>
          </cell>
          <cell r="I5125">
            <v>0.75</v>
          </cell>
          <cell r="J5125">
            <v>3</v>
          </cell>
          <cell r="K5125">
            <v>3</v>
          </cell>
        </row>
        <row r="5126">
          <cell r="A5126" t="str">
            <v>MC</v>
          </cell>
          <cell r="B5126" t="str">
            <v>BA312</v>
          </cell>
          <cell r="C5126" t="str">
            <v>SA98</v>
          </cell>
          <cell r="D5126" t="str">
            <v>2411</v>
          </cell>
          <cell r="E5126" t="str">
            <v>TEE</v>
          </cell>
          <cell r="F5126">
            <v>2</v>
          </cell>
          <cell r="G5126" t="str">
            <v>CB300308000100</v>
          </cell>
          <cell r="H5126">
            <v>1</v>
          </cell>
          <cell r="I5126" t="str">
            <v>--</v>
          </cell>
          <cell r="J5126">
            <v>2</v>
          </cell>
          <cell r="K5126">
            <v>2</v>
          </cell>
        </row>
        <row r="5127">
          <cell r="A5127" t="str">
            <v>MC</v>
          </cell>
          <cell r="B5127" t="str">
            <v>BA302</v>
          </cell>
          <cell r="C5127" t="str">
            <v>SD20</v>
          </cell>
          <cell r="D5127" t="str">
            <v>2301</v>
          </cell>
          <cell r="E5127" t="str">
            <v>TEE</v>
          </cell>
          <cell r="F5127">
            <v>2</v>
          </cell>
          <cell r="G5127" t="str">
            <v>CB400300000100</v>
          </cell>
          <cell r="H5127">
            <v>1</v>
          </cell>
          <cell r="I5127" t="str">
            <v>--</v>
          </cell>
          <cell r="J5127">
            <v>2</v>
          </cell>
          <cell r="K5127">
            <v>2</v>
          </cell>
        </row>
        <row r="5128">
          <cell r="A5128" t="str">
            <v>MC</v>
          </cell>
          <cell r="B5128" t="str">
            <v>BA305</v>
          </cell>
          <cell r="C5128" t="str">
            <v>MOH</v>
          </cell>
          <cell r="D5128" t="str">
            <v>2100</v>
          </cell>
          <cell r="E5128" t="str">
            <v>TEE</v>
          </cell>
          <cell r="F5128">
            <v>2</v>
          </cell>
          <cell r="G5128" t="str">
            <v>CB400300000100</v>
          </cell>
          <cell r="H5128">
            <v>1</v>
          </cell>
          <cell r="I5128" t="str">
            <v>--</v>
          </cell>
          <cell r="J5128">
            <v>1</v>
          </cell>
          <cell r="K5128">
            <v>1</v>
          </cell>
        </row>
        <row r="5129">
          <cell r="A5129" t="str">
            <v>MC</v>
          </cell>
          <cell r="B5129" t="str">
            <v>BA305</v>
          </cell>
          <cell r="C5129" t="str">
            <v>MOH</v>
          </cell>
          <cell r="D5129" t="str">
            <v>2101</v>
          </cell>
          <cell r="E5129" t="str">
            <v>TEE</v>
          </cell>
          <cell r="F5129">
            <v>2</v>
          </cell>
          <cell r="G5129" t="str">
            <v>CB400300000100</v>
          </cell>
          <cell r="H5129">
            <v>1</v>
          </cell>
          <cell r="I5129" t="str">
            <v>--</v>
          </cell>
          <cell r="J5129">
            <v>2</v>
          </cell>
          <cell r="K5129">
            <v>2</v>
          </cell>
        </row>
        <row r="5130">
          <cell r="A5130" t="str">
            <v>MC</v>
          </cell>
          <cell r="B5130" t="str">
            <v>CA304</v>
          </cell>
          <cell r="C5130" t="str">
            <v>MC</v>
          </cell>
          <cell r="D5130" t="str">
            <v>2604</v>
          </cell>
          <cell r="E5130" t="str">
            <v>90 ELL</v>
          </cell>
          <cell r="F5130">
            <v>2</v>
          </cell>
          <cell r="G5130" t="str">
            <v>CB400100000100</v>
          </cell>
          <cell r="H5130">
            <v>1</v>
          </cell>
          <cell r="I5130" t="str">
            <v>--</v>
          </cell>
          <cell r="J5130">
            <v>8</v>
          </cell>
          <cell r="K5130">
            <v>8</v>
          </cell>
        </row>
        <row r="5131">
          <cell r="A5131" t="str">
            <v>MC</v>
          </cell>
          <cell r="B5131" t="str">
            <v>CA304</v>
          </cell>
          <cell r="C5131" t="str">
            <v>MC</v>
          </cell>
          <cell r="D5131" t="str">
            <v>HOLD</v>
          </cell>
          <cell r="E5131" t="str">
            <v>90 ELL</v>
          </cell>
          <cell r="F5131">
            <v>2</v>
          </cell>
          <cell r="G5131" t="str">
            <v>CB400100000100</v>
          </cell>
          <cell r="H5131">
            <v>1</v>
          </cell>
          <cell r="I5131" t="str">
            <v>--</v>
          </cell>
          <cell r="J5131">
            <v>3</v>
          </cell>
          <cell r="K5131">
            <v>3</v>
          </cell>
        </row>
        <row r="5132">
          <cell r="A5132" t="str">
            <v>MC</v>
          </cell>
          <cell r="B5132" t="str">
            <v>CA304</v>
          </cell>
          <cell r="C5132" t="str">
            <v>MC</v>
          </cell>
          <cell r="D5132" t="str">
            <v>HOLD</v>
          </cell>
          <cell r="E5132" t="str">
            <v>90 ELL</v>
          </cell>
          <cell r="F5132">
            <v>2</v>
          </cell>
          <cell r="G5132" t="str">
            <v>CB400100000100</v>
          </cell>
          <cell r="H5132">
            <v>1</v>
          </cell>
          <cell r="I5132" t="str">
            <v>--</v>
          </cell>
          <cell r="J5132">
            <v>2</v>
          </cell>
          <cell r="K5132">
            <v>2</v>
          </cell>
        </row>
        <row r="5133">
          <cell r="A5133" t="str">
            <v>MC</v>
          </cell>
          <cell r="B5133" t="str">
            <v>CA304</v>
          </cell>
          <cell r="C5133" t="str">
            <v>MC</v>
          </cell>
          <cell r="D5133" t="str">
            <v>2604</v>
          </cell>
          <cell r="E5133" t="str">
            <v>C SWG</v>
          </cell>
          <cell r="F5133">
            <v>2</v>
          </cell>
          <cell r="G5133" t="str">
            <v>CB16110808010T</v>
          </cell>
          <cell r="H5133">
            <v>1</v>
          </cell>
          <cell r="I5133">
            <v>0.75</v>
          </cell>
          <cell r="J5133">
            <v>2</v>
          </cell>
          <cell r="K5133">
            <v>2</v>
          </cell>
        </row>
        <row r="5134">
          <cell r="A5134" t="str">
            <v>MC</v>
          </cell>
          <cell r="B5134" t="str">
            <v>CA304</v>
          </cell>
          <cell r="C5134" t="str">
            <v>MC</v>
          </cell>
          <cell r="D5134" t="str">
            <v>2604</v>
          </cell>
          <cell r="E5134" t="str">
            <v>E SWG</v>
          </cell>
          <cell r="F5134">
            <v>2</v>
          </cell>
          <cell r="G5134" t="str">
            <v>CB16210808010T</v>
          </cell>
          <cell r="H5134">
            <v>1</v>
          </cell>
          <cell r="I5134">
            <v>0.75</v>
          </cell>
          <cell r="J5134">
            <v>2</v>
          </cell>
          <cell r="K5134">
            <v>2</v>
          </cell>
        </row>
        <row r="5135">
          <cell r="A5135" t="str">
            <v>MC</v>
          </cell>
          <cell r="B5135" t="str">
            <v>CA304</v>
          </cell>
          <cell r="C5135" t="str">
            <v>MC</v>
          </cell>
          <cell r="D5135" t="str">
            <v>HOLD</v>
          </cell>
          <cell r="E5135" t="str">
            <v>E SWG</v>
          </cell>
          <cell r="F5135">
            <v>2</v>
          </cell>
          <cell r="G5135" t="str">
            <v>CB16210808010T</v>
          </cell>
          <cell r="H5135">
            <v>1</v>
          </cell>
          <cell r="I5135">
            <v>0.75</v>
          </cell>
          <cell r="J5135">
            <v>2</v>
          </cell>
          <cell r="K5135">
            <v>2</v>
          </cell>
        </row>
        <row r="5136">
          <cell r="A5136" t="str">
            <v>MC</v>
          </cell>
          <cell r="B5136" t="str">
            <v>CA304</v>
          </cell>
          <cell r="C5136" t="str">
            <v>MC</v>
          </cell>
          <cell r="D5136" t="str">
            <v>2604</v>
          </cell>
          <cell r="E5136" t="str">
            <v>R TEE</v>
          </cell>
          <cell r="F5136">
            <v>2</v>
          </cell>
          <cell r="G5136" t="str">
            <v>CB40040000010T</v>
          </cell>
          <cell r="H5136">
            <v>1</v>
          </cell>
          <cell r="I5136">
            <v>0.75</v>
          </cell>
          <cell r="J5136">
            <v>4</v>
          </cell>
          <cell r="K5136">
            <v>4</v>
          </cell>
        </row>
        <row r="5137">
          <cell r="A5137" t="str">
            <v>MC</v>
          </cell>
          <cell r="B5137" t="str">
            <v>CA304</v>
          </cell>
          <cell r="C5137" t="str">
            <v>MC</v>
          </cell>
          <cell r="D5137" t="str">
            <v>HOLD</v>
          </cell>
          <cell r="E5137" t="str">
            <v>R TEE</v>
          </cell>
          <cell r="F5137">
            <v>2</v>
          </cell>
          <cell r="G5137" t="str">
            <v>CB40040000010T</v>
          </cell>
          <cell r="H5137">
            <v>1</v>
          </cell>
          <cell r="I5137">
            <v>0.75</v>
          </cell>
          <cell r="J5137">
            <v>2</v>
          </cell>
          <cell r="K5137">
            <v>2</v>
          </cell>
        </row>
        <row r="5138">
          <cell r="A5138" t="str">
            <v>MC</v>
          </cell>
          <cell r="B5138" t="str">
            <v>CA304</v>
          </cell>
          <cell r="C5138" t="str">
            <v>MC</v>
          </cell>
          <cell r="D5138" t="str">
            <v>HOLD</v>
          </cell>
          <cell r="E5138" t="str">
            <v>R TEE</v>
          </cell>
          <cell r="F5138">
            <v>2</v>
          </cell>
          <cell r="G5138" t="str">
            <v>CB40040000010T</v>
          </cell>
          <cell r="H5138">
            <v>1</v>
          </cell>
          <cell r="I5138">
            <v>0.75</v>
          </cell>
          <cell r="J5138">
            <v>2</v>
          </cell>
          <cell r="K5138">
            <v>2</v>
          </cell>
        </row>
        <row r="5139">
          <cell r="A5139" t="str">
            <v>MC</v>
          </cell>
          <cell r="B5139" t="str">
            <v>CA304</v>
          </cell>
          <cell r="C5139" t="str">
            <v>MC</v>
          </cell>
          <cell r="D5139" t="str">
            <v>2604</v>
          </cell>
          <cell r="E5139" t="str">
            <v>TEE</v>
          </cell>
          <cell r="F5139">
            <v>2</v>
          </cell>
          <cell r="G5139" t="str">
            <v>CB400300000100</v>
          </cell>
          <cell r="H5139">
            <v>1</v>
          </cell>
          <cell r="I5139" t="str">
            <v>--</v>
          </cell>
          <cell r="J5139">
            <v>1</v>
          </cell>
          <cell r="K5139">
            <v>1</v>
          </cell>
        </row>
        <row r="5140">
          <cell r="A5140" t="str">
            <v>MC</v>
          </cell>
          <cell r="B5140" t="str">
            <v>CA304</v>
          </cell>
          <cell r="C5140" t="str">
            <v>MC</v>
          </cell>
          <cell r="D5140" t="str">
            <v>HOLD</v>
          </cell>
          <cell r="E5140" t="str">
            <v>TEE</v>
          </cell>
          <cell r="F5140">
            <v>2</v>
          </cell>
          <cell r="G5140" t="str">
            <v>CB400300000100</v>
          </cell>
          <cell r="H5140">
            <v>1</v>
          </cell>
          <cell r="I5140" t="str">
            <v>--</v>
          </cell>
          <cell r="J5140">
            <v>5</v>
          </cell>
          <cell r="K5140">
            <v>5</v>
          </cell>
        </row>
        <row r="5141">
          <cell r="A5141" t="str">
            <v>MC</v>
          </cell>
          <cell r="B5141" t="str">
            <v>B2C</v>
          </cell>
          <cell r="C5141" t="str">
            <v>SH</v>
          </cell>
          <cell r="D5141" t="str">
            <v>HOLD</v>
          </cell>
          <cell r="E5141" t="str">
            <v>90 ELL</v>
          </cell>
          <cell r="F5141">
            <v>2</v>
          </cell>
          <cell r="G5141" t="str">
            <v>CB400100001H00</v>
          </cell>
          <cell r="H5141">
            <v>1.5</v>
          </cell>
          <cell r="I5141" t="str">
            <v>--</v>
          </cell>
          <cell r="J5141">
            <v>10</v>
          </cell>
          <cell r="K5141">
            <v>10</v>
          </cell>
        </row>
        <row r="5142">
          <cell r="A5142" t="str">
            <v>MC</v>
          </cell>
          <cell r="B5142" t="str">
            <v>CA304</v>
          </cell>
          <cell r="C5142" t="str">
            <v>MC</v>
          </cell>
          <cell r="D5142" t="str">
            <v>2505</v>
          </cell>
          <cell r="E5142" t="str">
            <v>90 ELL</v>
          </cell>
          <cell r="F5142">
            <v>2</v>
          </cell>
          <cell r="G5142" t="str">
            <v>CB400100001H00</v>
          </cell>
          <cell r="H5142">
            <v>1.5</v>
          </cell>
          <cell r="I5142" t="str">
            <v>--</v>
          </cell>
          <cell r="J5142">
            <v>5</v>
          </cell>
          <cell r="K5142">
            <v>5</v>
          </cell>
        </row>
        <row r="5143">
          <cell r="A5143" t="str">
            <v>MC</v>
          </cell>
          <cell r="B5143" t="str">
            <v>CA304</v>
          </cell>
          <cell r="C5143" t="str">
            <v>MC</v>
          </cell>
          <cell r="D5143" t="str">
            <v>2605</v>
          </cell>
          <cell r="E5143" t="str">
            <v>90 ELL</v>
          </cell>
          <cell r="F5143">
            <v>2</v>
          </cell>
          <cell r="G5143" t="str">
            <v>CB400100001H00</v>
          </cell>
          <cell r="H5143">
            <v>1.5</v>
          </cell>
          <cell r="I5143" t="str">
            <v>--</v>
          </cell>
          <cell r="J5143">
            <v>2</v>
          </cell>
          <cell r="K5143">
            <v>2</v>
          </cell>
        </row>
        <row r="5144">
          <cell r="A5144" t="str">
            <v>MC</v>
          </cell>
          <cell r="B5144" t="str">
            <v>CA304</v>
          </cell>
          <cell r="C5144" t="str">
            <v>MC</v>
          </cell>
          <cell r="D5144" t="str">
            <v>2608</v>
          </cell>
          <cell r="E5144" t="str">
            <v>90 ELL</v>
          </cell>
          <cell r="F5144">
            <v>2</v>
          </cell>
          <cell r="G5144" t="str">
            <v>CB400100001H00</v>
          </cell>
          <cell r="H5144">
            <v>1.5</v>
          </cell>
          <cell r="I5144" t="str">
            <v>--</v>
          </cell>
          <cell r="J5144">
            <v>5</v>
          </cell>
          <cell r="K5144">
            <v>5</v>
          </cell>
        </row>
        <row r="5145">
          <cell r="A5145" t="str">
            <v>MC</v>
          </cell>
          <cell r="B5145" t="str">
            <v>CA304</v>
          </cell>
          <cell r="C5145" t="str">
            <v>MC</v>
          </cell>
          <cell r="D5145" t="str">
            <v>2609</v>
          </cell>
          <cell r="E5145" t="str">
            <v>90 ELL</v>
          </cell>
          <cell r="F5145">
            <v>2</v>
          </cell>
          <cell r="G5145" t="str">
            <v>CB400100001H00</v>
          </cell>
          <cell r="H5145">
            <v>1.5</v>
          </cell>
          <cell r="I5145" t="str">
            <v>--</v>
          </cell>
          <cell r="J5145">
            <v>11</v>
          </cell>
          <cell r="K5145">
            <v>11</v>
          </cell>
        </row>
        <row r="5146">
          <cell r="A5146" t="str">
            <v>MC</v>
          </cell>
          <cell r="B5146" t="str">
            <v>CA304</v>
          </cell>
          <cell r="C5146" t="str">
            <v>MC</v>
          </cell>
          <cell r="D5146" t="str">
            <v>2609</v>
          </cell>
          <cell r="E5146" t="str">
            <v>90 ELL</v>
          </cell>
          <cell r="F5146">
            <v>2</v>
          </cell>
          <cell r="G5146" t="str">
            <v>CB400100001H00</v>
          </cell>
          <cell r="H5146">
            <v>1.5</v>
          </cell>
          <cell r="I5146" t="str">
            <v>--</v>
          </cell>
          <cell r="J5146">
            <v>5</v>
          </cell>
          <cell r="K5146">
            <v>5</v>
          </cell>
        </row>
        <row r="5147">
          <cell r="A5147" t="str">
            <v>MC</v>
          </cell>
          <cell r="B5147" t="str">
            <v>CA304</v>
          </cell>
          <cell r="C5147" t="str">
            <v>MC</v>
          </cell>
          <cell r="D5147" t="str">
            <v>2612</v>
          </cell>
          <cell r="E5147" t="str">
            <v>90 ELL</v>
          </cell>
          <cell r="F5147">
            <v>2</v>
          </cell>
          <cell r="G5147" t="str">
            <v>CB400100001H00</v>
          </cell>
          <cell r="H5147">
            <v>1.5</v>
          </cell>
          <cell r="I5147" t="str">
            <v>--</v>
          </cell>
          <cell r="J5147">
            <v>5</v>
          </cell>
          <cell r="K5147">
            <v>5</v>
          </cell>
        </row>
        <row r="5148">
          <cell r="A5148" t="str">
            <v>MC</v>
          </cell>
          <cell r="B5148" t="str">
            <v>BA305</v>
          </cell>
          <cell r="C5148" t="str">
            <v>MOH</v>
          </cell>
          <cell r="D5148" t="str">
            <v>2100</v>
          </cell>
          <cell r="E5148" t="str">
            <v>90 ELL</v>
          </cell>
          <cell r="F5148">
            <v>2</v>
          </cell>
          <cell r="G5148" t="str">
            <v>CB400100001H00</v>
          </cell>
          <cell r="H5148">
            <v>1.5</v>
          </cell>
          <cell r="I5148" t="str">
            <v>--</v>
          </cell>
          <cell r="J5148">
            <v>5</v>
          </cell>
          <cell r="K5148">
            <v>5</v>
          </cell>
        </row>
        <row r="5149">
          <cell r="A5149" t="str">
            <v>MC</v>
          </cell>
          <cell r="B5149" t="str">
            <v>CA304</v>
          </cell>
          <cell r="C5149" t="str">
            <v>N</v>
          </cell>
          <cell r="D5149" t="str">
            <v>HOLD</v>
          </cell>
          <cell r="E5149" t="str">
            <v>90 ELL</v>
          </cell>
          <cell r="F5149">
            <v>2</v>
          </cell>
          <cell r="G5149" t="str">
            <v>CB400100001H00</v>
          </cell>
          <cell r="H5149">
            <v>1.5</v>
          </cell>
          <cell r="I5149" t="str">
            <v>--</v>
          </cell>
          <cell r="J5149">
            <v>1</v>
          </cell>
          <cell r="K5149">
            <v>1</v>
          </cell>
        </row>
        <row r="5150">
          <cell r="A5150" t="str">
            <v>MC</v>
          </cell>
          <cell r="B5150" t="str">
            <v>CA304</v>
          </cell>
          <cell r="C5150" t="str">
            <v>N</v>
          </cell>
          <cell r="D5150" t="str">
            <v>HOLD</v>
          </cell>
          <cell r="E5150" t="str">
            <v>90 ELL</v>
          </cell>
          <cell r="F5150">
            <v>2</v>
          </cell>
          <cell r="G5150" t="str">
            <v>CB400100001H00</v>
          </cell>
          <cell r="H5150">
            <v>1.5</v>
          </cell>
          <cell r="I5150" t="str">
            <v>--</v>
          </cell>
          <cell r="J5150">
            <v>1</v>
          </cell>
          <cell r="K5150">
            <v>1</v>
          </cell>
        </row>
        <row r="5151">
          <cell r="A5151" t="str">
            <v>MC</v>
          </cell>
          <cell r="B5151" t="str">
            <v>BA305</v>
          </cell>
          <cell r="C5151" t="str">
            <v>VNC</v>
          </cell>
          <cell r="D5151" t="str">
            <v>2016</v>
          </cell>
          <cell r="E5151" t="str">
            <v>90 ELL</v>
          </cell>
          <cell r="F5151">
            <v>2</v>
          </cell>
          <cell r="G5151" t="str">
            <v>CB400100001H00</v>
          </cell>
          <cell r="H5151">
            <v>1.5</v>
          </cell>
          <cell r="I5151" t="str">
            <v>--</v>
          </cell>
          <cell r="J5151">
            <v>1</v>
          </cell>
          <cell r="K5151">
            <v>1</v>
          </cell>
        </row>
        <row r="5152">
          <cell r="A5152" t="str">
            <v>MC</v>
          </cell>
          <cell r="B5152" t="str">
            <v>BA312</v>
          </cell>
          <cell r="C5152" t="str">
            <v>SA98</v>
          </cell>
          <cell r="D5152" t="str">
            <v>2411</v>
          </cell>
          <cell r="E5152" t="str">
            <v>90 ELL</v>
          </cell>
          <cell r="F5152">
            <v>2</v>
          </cell>
          <cell r="G5152" t="str">
            <v>CB300108001H00</v>
          </cell>
          <cell r="H5152">
            <v>1.5</v>
          </cell>
          <cell r="I5152" t="str">
            <v>--</v>
          </cell>
          <cell r="J5152">
            <v>1</v>
          </cell>
          <cell r="K5152">
            <v>1</v>
          </cell>
        </row>
        <row r="5153">
          <cell r="A5153" t="str">
            <v>MC</v>
          </cell>
          <cell r="B5153" t="str">
            <v>CA304</v>
          </cell>
          <cell r="C5153" t="str">
            <v>VT</v>
          </cell>
          <cell r="D5153" t="str">
            <v>HOLD</v>
          </cell>
          <cell r="E5153" t="str">
            <v>90 ELL</v>
          </cell>
          <cell r="F5153">
            <v>2</v>
          </cell>
          <cell r="G5153" t="str">
            <v>CB400100001H00</v>
          </cell>
          <cell r="H5153">
            <v>1.5</v>
          </cell>
          <cell r="I5153" t="str">
            <v>--</v>
          </cell>
          <cell r="J5153">
            <v>3</v>
          </cell>
          <cell r="K5153">
            <v>3</v>
          </cell>
        </row>
        <row r="5154">
          <cell r="A5154" t="str">
            <v>MC</v>
          </cell>
          <cell r="B5154" t="str">
            <v>CA304</v>
          </cell>
          <cell r="C5154" t="str">
            <v>MC</v>
          </cell>
          <cell r="D5154" t="str">
            <v>2608</v>
          </cell>
          <cell r="E5154" t="str">
            <v>C SWG</v>
          </cell>
          <cell r="F5154">
            <v>2</v>
          </cell>
          <cell r="G5154" t="str">
            <v>CB161108081H01</v>
          </cell>
          <cell r="H5154">
            <v>1.5</v>
          </cell>
          <cell r="I5154">
            <v>1</v>
          </cell>
          <cell r="J5154">
            <v>2</v>
          </cell>
          <cell r="K5154">
            <v>2</v>
          </cell>
        </row>
        <row r="5155">
          <cell r="A5155" t="str">
            <v>MC</v>
          </cell>
          <cell r="B5155" t="str">
            <v>BA305</v>
          </cell>
          <cell r="C5155" t="str">
            <v>MOH</v>
          </cell>
          <cell r="D5155" t="str">
            <v>2100</v>
          </cell>
          <cell r="E5155" t="str">
            <v>C SWG</v>
          </cell>
          <cell r="F5155">
            <v>2</v>
          </cell>
          <cell r="G5155" t="str">
            <v>CB161108081H01</v>
          </cell>
          <cell r="H5155">
            <v>1.5</v>
          </cell>
          <cell r="I5155">
            <v>1</v>
          </cell>
          <cell r="J5155">
            <v>1</v>
          </cell>
          <cell r="K5155">
            <v>1</v>
          </cell>
        </row>
        <row r="5156">
          <cell r="A5156" t="str">
            <v>MC</v>
          </cell>
          <cell r="B5156" t="str">
            <v>CA304</v>
          </cell>
          <cell r="C5156" t="str">
            <v>MC</v>
          </cell>
          <cell r="D5156" t="str">
            <v>2609</v>
          </cell>
          <cell r="E5156" t="str">
            <v>C SWG</v>
          </cell>
          <cell r="F5156">
            <v>2</v>
          </cell>
          <cell r="G5156" t="str">
            <v>CB161108081H01</v>
          </cell>
          <cell r="H5156">
            <v>1.5</v>
          </cell>
          <cell r="I5156">
            <v>1</v>
          </cell>
          <cell r="J5156">
            <v>2</v>
          </cell>
          <cell r="K5156">
            <v>2</v>
          </cell>
        </row>
        <row r="5157">
          <cell r="A5157" t="str">
            <v>MC</v>
          </cell>
          <cell r="B5157" t="str">
            <v>BA312</v>
          </cell>
          <cell r="C5157" t="str">
            <v>SA98</v>
          </cell>
          <cell r="D5157" t="str">
            <v>2411</v>
          </cell>
          <cell r="E5157" t="str">
            <v>C SWG</v>
          </cell>
          <cell r="F5157">
            <v>2</v>
          </cell>
          <cell r="G5157" t="str">
            <v>CB161108081H01</v>
          </cell>
          <cell r="H5157">
            <v>1.5</v>
          </cell>
          <cell r="I5157">
            <v>1</v>
          </cell>
          <cell r="J5157">
            <v>1</v>
          </cell>
          <cell r="K5157">
            <v>1</v>
          </cell>
        </row>
        <row r="5158">
          <cell r="A5158" t="str">
            <v>MC</v>
          </cell>
          <cell r="B5158" t="str">
            <v>BA305</v>
          </cell>
          <cell r="C5158" t="str">
            <v>VNC</v>
          </cell>
          <cell r="D5158" t="str">
            <v>2016</v>
          </cell>
          <cell r="E5158" t="str">
            <v>C SWG</v>
          </cell>
          <cell r="F5158">
            <v>2</v>
          </cell>
          <cell r="G5158" t="str">
            <v>CB161108081H01</v>
          </cell>
          <cell r="H5158">
            <v>1.5</v>
          </cell>
          <cell r="I5158">
            <v>1</v>
          </cell>
          <cell r="J5158">
            <v>1</v>
          </cell>
          <cell r="K5158">
            <v>1</v>
          </cell>
        </row>
        <row r="5159">
          <cell r="A5159" t="str">
            <v>MC</v>
          </cell>
          <cell r="B5159" t="str">
            <v>CA304</v>
          </cell>
          <cell r="C5159" t="str">
            <v>MC</v>
          </cell>
          <cell r="D5159" t="str">
            <v>2605</v>
          </cell>
          <cell r="E5159" t="str">
            <v>C SWG</v>
          </cell>
          <cell r="F5159">
            <v>2</v>
          </cell>
          <cell r="G5159" t="str">
            <v>CB161108081H0T</v>
          </cell>
          <cell r="H5159">
            <v>1.5</v>
          </cell>
          <cell r="I5159">
            <v>0.75</v>
          </cell>
          <cell r="J5159">
            <v>1</v>
          </cell>
          <cell r="K5159">
            <v>1</v>
          </cell>
        </row>
        <row r="5160">
          <cell r="A5160" t="str">
            <v>MC</v>
          </cell>
          <cell r="B5160" t="str">
            <v>CA304</v>
          </cell>
          <cell r="C5160" t="str">
            <v>TRIM</v>
          </cell>
          <cell r="D5160" t="str">
            <v>V-1260A/B</v>
          </cell>
          <cell r="E5160" t="str">
            <v>C SWG</v>
          </cell>
          <cell r="F5160">
            <v>2</v>
          </cell>
          <cell r="G5160" t="str">
            <v>CB161108081H0T</v>
          </cell>
          <cell r="H5160">
            <v>1.5</v>
          </cell>
          <cell r="I5160">
            <v>0.75</v>
          </cell>
          <cell r="J5160">
            <v>1</v>
          </cell>
          <cell r="K5160">
            <v>1</v>
          </cell>
        </row>
        <row r="5161">
          <cell r="A5161" t="str">
            <v>MC</v>
          </cell>
          <cell r="B5161" t="str">
            <v>CA304</v>
          </cell>
          <cell r="C5161" t="str">
            <v>MC</v>
          </cell>
          <cell r="D5161" t="str">
            <v>2606</v>
          </cell>
          <cell r="E5161" t="str">
            <v>CPLG</v>
          </cell>
          <cell r="F5161">
            <v>2</v>
          </cell>
          <cell r="G5161" t="str">
            <v>CB400500001H00</v>
          </cell>
          <cell r="H5161">
            <v>1.5</v>
          </cell>
          <cell r="I5161" t="str">
            <v>--</v>
          </cell>
          <cell r="J5161">
            <v>2</v>
          </cell>
          <cell r="K5161">
            <v>2</v>
          </cell>
        </row>
        <row r="5162">
          <cell r="A5162" t="str">
            <v>MC</v>
          </cell>
          <cell r="B5162" t="str">
            <v>BA305</v>
          </cell>
          <cell r="C5162" t="str">
            <v>MOH</v>
          </cell>
          <cell r="D5162" t="str">
            <v>2100</v>
          </cell>
          <cell r="E5162" t="str">
            <v>CPLG</v>
          </cell>
          <cell r="F5162">
            <v>2</v>
          </cell>
          <cell r="G5162" t="str">
            <v>CB400500001H00</v>
          </cell>
          <cell r="H5162">
            <v>1.5</v>
          </cell>
          <cell r="I5162" t="str">
            <v>--</v>
          </cell>
          <cell r="J5162">
            <v>3</v>
          </cell>
          <cell r="K5162">
            <v>3</v>
          </cell>
        </row>
        <row r="5163">
          <cell r="A5163" t="str">
            <v>MC</v>
          </cell>
          <cell r="B5163" t="str">
            <v>BA305</v>
          </cell>
          <cell r="C5163" t="str">
            <v>MOH</v>
          </cell>
          <cell r="D5163" t="str">
            <v>2100</v>
          </cell>
          <cell r="E5163" t="str">
            <v>E SWG</v>
          </cell>
          <cell r="F5163">
            <v>2</v>
          </cell>
          <cell r="G5163" t="str">
            <v>CB162108081H01</v>
          </cell>
          <cell r="H5163">
            <v>1.5</v>
          </cell>
          <cell r="I5163">
            <v>1</v>
          </cell>
          <cell r="J5163">
            <v>3</v>
          </cell>
          <cell r="K5163">
            <v>3</v>
          </cell>
        </row>
        <row r="5164">
          <cell r="A5164" t="str">
            <v>MC</v>
          </cell>
          <cell r="B5164" t="str">
            <v>CA304</v>
          </cell>
          <cell r="C5164" t="str">
            <v>MC</v>
          </cell>
          <cell r="D5164" t="str">
            <v>2505</v>
          </cell>
          <cell r="E5164" t="str">
            <v>R TEE</v>
          </cell>
          <cell r="F5164">
            <v>2</v>
          </cell>
          <cell r="G5164" t="str">
            <v>CB400400001H0T</v>
          </cell>
          <cell r="H5164">
            <v>1.5</v>
          </cell>
          <cell r="I5164">
            <v>0.75</v>
          </cell>
          <cell r="J5164">
            <v>4</v>
          </cell>
          <cell r="K5164">
            <v>4</v>
          </cell>
        </row>
        <row r="5165">
          <cell r="A5165" t="str">
            <v>MC</v>
          </cell>
          <cell r="B5165" t="str">
            <v>CA304</v>
          </cell>
          <cell r="C5165" t="str">
            <v>MC</v>
          </cell>
          <cell r="D5165" t="str">
            <v>2505</v>
          </cell>
          <cell r="E5165" t="str">
            <v>R TEE</v>
          </cell>
          <cell r="F5165">
            <v>2</v>
          </cell>
          <cell r="G5165" t="str">
            <v>CB400400001H01</v>
          </cell>
          <cell r="H5165">
            <v>1.5</v>
          </cell>
          <cell r="I5165">
            <v>1</v>
          </cell>
          <cell r="J5165">
            <v>4</v>
          </cell>
          <cell r="K5165">
            <v>4</v>
          </cell>
        </row>
        <row r="5166">
          <cell r="A5166" t="str">
            <v>MC</v>
          </cell>
          <cell r="B5166" t="str">
            <v>CA304</v>
          </cell>
          <cell r="C5166" t="str">
            <v>MC</v>
          </cell>
          <cell r="D5166" t="str">
            <v>2612</v>
          </cell>
          <cell r="E5166" t="str">
            <v>R TEE</v>
          </cell>
          <cell r="F5166">
            <v>2</v>
          </cell>
          <cell r="G5166" t="str">
            <v>CB400400001H0T</v>
          </cell>
          <cell r="H5166">
            <v>1.5</v>
          </cell>
          <cell r="I5166">
            <v>0.75</v>
          </cell>
          <cell r="J5166">
            <v>2</v>
          </cell>
          <cell r="K5166">
            <v>2</v>
          </cell>
        </row>
        <row r="5167">
          <cell r="A5167" t="str">
            <v>MC</v>
          </cell>
          <cell r="B5167" t="str">
            <v>BA305</v>
          </cell>
          <cell r="C5167" t="str">
            <v>MOH</v>
          </cell>
          <cell r="D5167" t="str">
            <v>2100</v>
          </cell>
          <cell r="E5167" t="str">
            <v>R TEE</v>
          </cell>
          <cell r="F5167">
            <v>2</v>
          </cell>
          <cell r="G5167" t="str">
            <v>CB400400001H0T</v>
          </cell>
          <cell r="H5167">
            <v>1.5</v>
          </cell>
          <cell r="I5167">
            <v>0.75</v>
          </cell>
          <cell r="J5167">
            <v>1</v>
          </cell>
          <cell r="K5167">
            <v>1</v>
          </cell>
        </row>
        <row r="5168">
          <cell r="A5168" t="str">
            <v>MC</v>
          </cell>
          <cell r="B5168" t="str">
            <v>BA305</v>
          </cell>
          <cell r="C5168" t="str">
            <v>MOH</v>
          </cell>
          <cell r="D5168" t="str">
            <v>2100</v>
          </cell>
          <cell r="E5168" t="str">
            <v>R TEE</v>
          </cell>
          <cell r="F5168">
            <v>2</v>
          </cell>
          <cell r="G5168" t="str">
            <v>CB400400001H01</v>
          </cell>
          <cell r="H5168">
            <v>1.5</v>
          </cell>
          <cell r="I5168">
            <v>1</v>
          </cell>
          <cell r="J5168">
            <v>3</v>
          </cell>
          <cell r="K5168">
            <v>3</v>
          </cell>
        </row>
        <row r="5169">
          <cell r="A5169" t="str">
            <v>MC</v>
          </cell>
          <cell r="B5169" t="str">
            <v>CA304</v>
          </cell>
          <cell r="C5169" t="str">
            <v>MC</v>
          </cell>
          <cell r="D5169" t="str">
            <v>2505</v>
          </cell>
          <cell r="E5169" t="str">
            <v>TEE</v>
          </cell>
          <cell r="F5169">
            <v>2</v>
          </cell>
          <cell r="G5169" t="str">
            <v>CB400300001H00</v>
          </cell>
          <cell r="H5169">
            <v>1.5</v>
          </cell>
          <cell r="I5169" t="str">
            <v>--</v>
          </cell>
          <cell r="J5169">
            <v>1</v>
          </cell>
          <cell r="K5169">
            <v>1</v>
          </cell>
        </row>
        <row r="5170">
          <cell r="A5170" t="str">
            <v>MC</v>
          </cell>
          <cell r="B5170" t="str">
            <v>CA304</v>
          </cell>
          <cell r="C5170" t="str">
            <v>MC</v>
          </cell>
          <cell r="D5170" t="str">
            <v>2605</v>
          </cell>
          <cell r="E5170" t="str">
            <v>TEE</v>
          </cell>
          <cell r="F5170">
            <v>2</v>
          </cell>
          <cell r="G5170" t="str">
            <v>CB400300001H00</v>
          </cell>
          <cell r="H5170">
            <v>1.5</v>
          </cell>
          <cell r="I5170" t="str">
            <v>--</v>
          </cell>
          <cell r="J5170">
            <v>1</v>
          </cell>
          <cell r="K5170">
            <v>1</v>
          </cell>
        </row>
        <row r="5171">
          <cell r="A5171" t="str">
            <v>MC</v>
          </cell>
          <cell r="B5171" t="str">
            <v>CA304</v>
          </cell>
          <cell r="C5171" t="str">
            <v>MC</v>
          </cell>
          <cell r="D5171" t="str">
            <v>2608</v>
          </cell>
          <cell r="E5171" t="str">
            <v>TEE</v>
          </cell>
          <cell r="F5171">
            <v>2</v>
          </cell>
          <cell r="G5171" t="str">
            <v>CB400300001H00</v>
          </cell>
          <cell r="H5171">
            <v>1.5</v>
          </cell>
          <cell r="I5171" t="str">
            <v>--</v>
          </cell>
          <cell r="J5171">
            <v>5</v>
          </cell>
          <cell r="K5171">
            <v>5</v>
          </cell>
        </row>
        <row r="5172">
          <cell r="A5172" t="str">
            <v>MC</v>
          </cell>
          <cell r="B5172" t="str">
            <v>CA304</v>
          </cell>
          <cell r="C5172" t="str">
            <v>MC</v>
          </cell>
          <cell r="D5172" t="str">
            <v>2609</v>
          </cell>
          <cell r="E5172" t="str">
            <v>TEE</v>
          </cell>
          <cell r="F5172">
            <v>2</v>
          </cell>
          <cell r="G5172" t="str">
            <v>CB400300001H00</v>
          </cell>
          <cell r="H5172">
            <v>1.5</v>
          </cell>
          <cell r="I5172" t="str">
            <v>--</v>
          </cell>
          <cell r="J5172">
            <v>1</v>
          </cell>
          <cell r="K5172">
            <v>1</v>
          </cell>
        </row>
        <row r="5173">
          <cell r="A5173" t="str">
            <v>MC</v>
          </cell>
          <cell r="B5173" t="str">
            <v>CA304</v>
          </cell>
          <cell r="C5173" t="str">
            <v>MC</v>
          </cell>
          <cell r="D5173" t="str">
            <v>HOLD</v>
          </cell>
          <cell r="E5173" t="str">
            <v>90 ELL</v>
          </cell>
          <cell r="F5173">
            <v>2</v>
          </cell>
          <cell r="G5173" t="str">
            <v>CB400100001H00</v>
          </cell>
          <cell r="H5173">
            <v>1.5</v>
          </cell>
          <cell r="I5173" t="str">
            <v>--</v>
          </cell>
          <cell r="J5173">
            <v>2</v>
          </cell>
          <cell r="K5173">
            <v>2</v>
          </cell>
        </row>
        <row r="5174">
          <cell r="A5174" t="str">
            <v>MC</v>
          </cell>
          <cell r="B5174" t="str">
            <v>CA304</v>
          </cell>
          <cell r="C5174" t="str">
            <v>MC</v>
          </cell>
          <cell r="D5174" t="str">
            <v>2604</v>
          </cell>
          <cell r="E5174" t="str">
            <v>C SWG</v>
          </cell>
          <cell r="F5174">
            <v>2</v>
          </cell>
          <cell r="G5174" t="str">
            <v>CB161108081H01</v>
          </cell>
          <cell r="H5174">
            <v>1.5</v>
          </cell>
          <cell r="I5174">
            <v>1</v>
          </cell>
          <cell r="J5174">
            <v>1</v>
          </cell>
          <cell r="K5174">
            <v>1</v>
          </cell>
        </row>
        <row r="5175">
          <cell r="A5175" t="str">
            <v>MC</v>
          </cell>
          <cell r="B5175" t="str">
            <v>B2C</v>
          </cell>
          <cell r="C5175" t="str">
            <v>SH</v>
          </cell>
          <cell r="D5175" t="str">
            <v>1405</v>
          </cell>
          <cell r="E5175" t="str">
            <v>90 ELL</v>
          </cell>
          <cell r="F5175">
            <v>2</v>
          </cell>
          <cell r="G5175" t="str">
            <v>CB300108000200</v>
          </cell>
          <cell r="H5175">
            <v>2</v>
          </cell>
          <cell r="I5175" t="str">
            <v>--</v>
          </cell>
          <cell r="J5175">
            <v>7</v>
          </cell>
          <cell r="K5175">
            <v>8</v>
          </cell>
        </row>
        <row r="5176">
          <cell r="A5176" t="str">
            <v>MC</v>
          </cell>
          <cell r="B5176" t="str">
            <v>B2C</v>
          </cell>
          <cell r="C5176" t="str">
            <v>SH</v>
          </cell>
          <cell r="D5176" t="str">
            <v>HOLD</v>
          </cell>
          <cell r="E5176" t="str">
            <v>90 ELL</v>
          </cell>
          <cell r="F5176">
            <v>2</v>
          </cell>
          <cell r="G5176" t="str">
            <v>CB300108000200</v>
          </cell>
          <cell r="H5176">
            <v>2</v>
          </cell>
          <cell r="I5176" t="str">
            <v>--</v>
          </cell>
          <cell r="J5176">
            <v>1</v>
          </cell>
          <cell r="K5176">
            <v>2</v>
          </cell>
        </row>
        <row r="5177">
          <cell r="A5177" t="str">
            <v>MC</v>
          </cell>
          <cell r="B5177" t="str">
            <v>B2C</v>
          </cell>
          <cell r="C5177" t="str">
            <v>SH</v>
          </cell>
          <cell r="D5177" t="str">
            <v>1405</v>
          </cell>
          <cell r="E5177" t="str">
            <v>SOL</v>
          </cell>
          <cell r="F5177">
            <v>2</v>
          </cell>
          <cell r="G5177" t="str">
            <v>CB39020000020T</v>
          </cell>
          <cell r="H5177">
            <v>2</v>
          </cell>
          <cell r="I5177">
            <v>0.75</v>
          </cell>
          <cell r="J5177">
            <v>2</v>
          </cell>
          <cell r="K5177">
            <v>3</v>
          </cell>
        </row>
        <row r="5178">
          <cell r="A5178" t="str">
            <v>MC</v>
          </cell>
          <cell r="B5178" t="str">
            <v>A5C</v>
          </cell>
          <cell r="C5178" t="str">
            <v>P</v>
          </cell>
          <cell r="D5178" t="str">
            <v>23112</v>
          </cell>
          <cell r="E5178" t="str">
            <v>90 ELL</v>
          </cell>
          <cell r="F5178">
            <v>2</v>
          </cell>
          <cell r="G5178" t="str">
            <v>CB300108000200</v>
          </cell>
          <cell r="H5178">
            <v>2</v>
          </cell>
          <cell r="I5178" t="str">
            <v>--</v>
          </cell>
          <cell r="J5178">
            <v>3</v>
          </cell>
          <cell r="K5178">
            <v>4</v>
          </cell>
        </row>
        <row r="5179">
          <cell r="A5179" t="str">
            <v>MC</v>
          </cell>
          <cell r="B5179" t="str">
            <v>A5C</v>
          </cell>
          <cell r="C5179" t="str">
            <v>P</v>
          </cell>
          <cell r="D5179" t="str">
            <v>23116</v>
          </cell>
          <cell r="E5179" t="str">
            <v>90 ELL</v>
          </cell>
          <cell r="F5179">
            <v>2</v>
          </cell>
          <cell r="G5179" t="str">
            <v>CB300108000200</v>
          </cell>
          <cell r="H5179">
            <v>2</v>
          </cell>
          <cell r="I5179" t="str">
            <v>--</v>
          </cell>
          <cell r="J5179">
            <v>3</v>
          </cell>
          <cell r="K5179">
            <v>4</v>
          </cell>
        </row>
        <row r="5180">
          <cell r="A5180" t="str">
            <v>MC</v>
          </cell>
          <cell r="B5180" t="str">
            <v>A5C</v>
          </cell>
          <cell r="C5180" t="str">
            <v>P</v>
          </cell>
          <cell r="D5180" t="str">
            <v>23144</v>
          </cell>
          <cell r="E5180" t="str">
            <v>90 ELL</v>
          </cell>
          <cell r="F5180">
            <v>2</v>
          </cell>
          <cell r="G5180" t="str">
            <v>CB300108000200</v>
          </cell>
          <cell r="H5180">
            <v>2</v>
          </cell>
          <cell r="I5180" t="str">
            <v>--</v>
          </cell>
          <cell r="J5180">
            <v>3</v>
          </cell>
          <cell r="K5180">
            <v>4</v>
          </cell>
        </row>
        <row r="5181">
          <cell r="A5181" t="str">
            <v>MC</v>
          </cell>
          <cell r="B5181" t="str">
            <v>A5C</v>
          </cell>
          <cell r="C5181" t="str">
            <v>P</v>
          </cell>
          <cell r="D5181" t="str">
            <v>23148</v>
          </cell>
          <cell r="E5181" t="str">
            <v>90 ELL</v>
          </cell>
          <cell r="F5181">
            <v>2</v>
          </cell>
          <cell r="G5181" t="str">
            <v>CB300108000200</v>
          </cell>
          <cell r="H5181">
            <v>2</v>
          </cell>
          <cell r="I5181" t="str">
            <v>--</v>
          </cell>
          <cell r="J5181">
            <v>3</v>
          </cell>
          <cell r="K5181">
            <v>4</v>
          </cell>
        </row>
        <row r="5182">
          <cell r="A5182" t="str">
            <v>MC</v>
          </cell>
          <cell r="B5182" t="str">
            <v>A5C</v>
          </cell>
          <cell r="C5182" t="str">
            <v>P</v>
          </cell>
          <cell r="D5182" t="str">
            <v>23155</v>
          </cell>
          <cell r="E5182" t="str">
            <v>90 ELL</v>
          </cell>
          <cell r="F5182">
            <v>2</v>
          </cell>
          <cell r="G5182" t="str">
            <v>CB300108000200</v>
          </cell>
          <cell r="H5182">
            <v>2</v>
          </cell>
          <cell r="I5182" t="str">
            <v>--</v>
          </cell>
          <cell r="J5182">
            <v>3</v>
          </cell>
          <cell r="K5182">
            <v>4</v>
          </cell>
        </row>
        <row r="5183">
          <cell r="A5183" t="str">
            <v>MC</v>
          </cell>
          <cell r="B5183" t="str">
            <v>A5C</v>
          </cell>
          <cell r="C5183" t="str">
            <v>P</v>
          </cell>
          <cell r="D5183" t="str">
            <v>HOLD2</v>
          </cell>
          <cell r="E5183" t="str">
            <v>90 ELL</v>
          </cell>
          <cell r="F5183">
            <v>2</v>
          </cell>
          <cell r="G5183" t="str">
            <v>CB300108000200</v>
          </cell>
          <cell r="H5183">
            <v>2</v>
          </cell>
          <cell r="I5183" t="str">
            <v>--</v>
          </cell>
          <cell r="J5183">
            <v>18</v>
          </cell>
          <cell r="K5183">
            <v>20</v>
          </cell>
        </row>
        <row r="5184">
          <cell r="A5184" t="str">
            <v>MC</v>
          </cell>
          <cell r="B5184" t="str">
            <v>CA304</v>
          </cell>
          <cell r="C5184" t="str">
            <v>MC</v>
          </cell>
          <cell r="D5184" t="str">
            <v>2609</v>
          </cell>
          <cell r="E5184" t="str">
            <v>90 ELL</v>
          </cell>
          <cell r="F5184">
            <v>2</v>
          </cell>
          <cell r="G5184" t="str">
            <v>CB300105000200</v>
          </cell>
          <cell r="H5184">
            <v>2</v>
          </cell>
          <cell r="I5184" t="str">
            <v>--</v>
          </cell>
          <cell r="J5184">
            <v>2</v>
          </cell>
          <cell r="K5184">
            <v>3</v>
          </cell>
        </row>
        <row r="5185">
          <cell r="A5185" t="str">
            <v>MC</v>
          </cell>
          <cell r="B5185" t="str">
            <v>CA304</v>
          </cell>
          <cell r="C5185" t="str">
            <v>MC</v>
          </cell>
          <cell r="D5185" t="str">
            <v>2612</v>
          </cell>
          <cell r="E5185" t="str">
            <v>90 ELL</v>
          </cell>
          <cell r="F5185">
            <v>2</v>
          </cell>
          <cell r="G5185" t="str">
            <v>CB300105000200</v>
          </cell>
          <cell r="H5185">
            <v>2</v>
          </cell>
          <cell r="I5185" t="str">
            <v>--</v>
          </cell>
          <cell r="J5185">
            <v>1</v>
          </cell>
          <cell r="K5185">
            <v>2</v>
          </cell>
        </row>
        <row r="5186">
          <cell r="A5186" t="str">
            <v>MC</v>
          </cell>
          <cell r="B5186" t="str">
            <v>CA304</v>
          </cell>
          <cell r="C5186" t="str">
            <v>MC</v>
          </cell>
          <cell r="D5186" t="str">
            <v>2601</v>
          </cell>
          <cell r="E5186" t="str">
            <v>90 ELL</v>
          </cell>
          <cell r="F5186">
            <v>2</v>
          </cell>
          <cell r="G5186" t="str">
            <v>CB300105000200</v>
          </cell>
          <cell r="H5186">
            <v>2</v>
          </cell>
          <cell r="I5186" t="str">
            <v>--</v>
          </cell>
          <cell r="J5186">
            <v>8</v>
          </cell>
          <cell r="K5186">
            <v>9</v>
          </cell>
        </row>
        <row r="5187">
          <cell r="A5187" t="str">
            <v>MC</v>
          </cell>
          <cell r="B5187" t="str">
            <v>CA304</v>
          </cell>
          <cell r="C5187" t="str">
            <v>MC</v>
          </cell>
          <cell r="D5187" t="str">
            <v>2610</v>
          </cell>
          <cell r="E5187" t="str">
            <v>90 ELL</v>
          </cell>
          <cell r="F5187">
            <v>2</v>
          </cell>
          <cell r="G5187" t="str">
            <v>CB300105000200</v>
          </cell>
          <cell r="H5187">
            <v>2</v>
          </cell>
          <cell r="I5187" t="str">
            <v>--</v>
          </cell>
          <cell r="J5187">
            <v>3</v>
          </cell>
          <cell r="K5187">
            <v>4</v>
          </cell>
        </row>
        <row r="5188">
          <cell r="A5188" t="str">
            <v>MC</v>
          </cell>
          <cell r="B5188" t="str">
            <v>CA304</v>
          </cell>
          <cell r="C5188" t="str">
            <v>N</v>
          </cell>
          <cell r="D5188" t="str">
            <v>HOLD</v>
          </cell>
          <cell r="E5188" t="str">
            <v>90 ELL</v>
          </cell>
          <cell r="F5188">
            <v>2</v>
          </cell>
          <cell r="G5188" t="str">
            <v>CB300105000200</v>
          </cell>
          <cell r="H5188">
            <v>2</v>
          </cell>
          <cell r="I5188" t="str">
            <v>--</v>
          </cell>
          <cell r="J5188">
            <v>1</v>
          </cell>
          <cell r="K5188">
            <v>2</v>
          </cell>
        </row>
        <row r="5189">
          <cell r="A5189" t="str">
            <v>MC</v>
          </cell>
          <cell r="B5189" t="str">
            <v>A5C</v>
          </cell>
          <cell r="C5189" t="str">
            <v>P</v>
          </cell>
          <cell r="D5189" t="str">
            <v>23108</v>
          </cell>
          <cell r="E5189" t="str">
            <v>90 ELL</v>
          </cell>
          <cell r="F5189">
            <v>2</v>
          </cell>
          <cell r="G5189" t="str">
            <v>CB300108000200</v>
          </cell>
          <cell r="H5189">
            <v>2</v>
          </cell>
          <cell r="I5189" t="str">
            <v>--</v>
          </cell>
          <cell r="J5189">
            <v>3</v>
          </cell>
          <cell r="K5189">
            <v>4</v>
          </cell>
        </row>
        <row r="5190">
          <cell r="A5190" t="str">
            <v>MC</v>
          </cell>
          <cell r="B5190" t="str">
            <v>CA304</v>
          </cell>
          <cell r="C5190" t="str">
            <v>MC</v>
          </cell>
          <cell r="D5190" t="str">
            <v>2506</v>
          </cell>
          <cell r="E5190" t="str">
            <v>90 ELL</v>
          </cell>
          <cell r="F5190">
            <v>2</v>
          </cell>
          <cell r="G5190" t="str">
            <v>CB300105000200</v>
          </cell>
          <cell r="H5190">
            <v>2</v>
          </cell>
          <cell r="I5190" t="str">
            <v>--</v>
          </cell>
          <cell r="J5190">
            <v>7</v>
          </cell>
          <cell r="K5190">
            <v>8</v>
          </cell>
        </row>
        <row r="5191">
          <cell r="A5191" t="str">
            <v>MC</v>
          </cell>
          <cell r="B5191" t="str">
            <v>CA304</v>
          </cell>
          <cell r="C5191" t="str">
            <v>MC</v>
          </cell>
          <cell r="D5191" t="str">
            <v>2505</v>
          </cell>
          <cell r="E5191" t="str">
            <v>C SWG</v>
          </cell>
          <cell r="F5191">
            <v>2</v>
          </cell>
          <cell r="G5191" t="str">
            <v>CB1614050802IH</v>
          </cell>
          <cell r="H5191">
            <v>2</v>
          </cell>
          <cell r="I5191">
            <v>1.5</v>
          </cell>
          <cell r="J5191">
            <v>1</v>
          </cell>
          <cell r="K5191">
            <v>2</v>
          </cell>
        </row>
        <row r="5192">
          <cell r="A5192" t="str">
            <v>MC</v>
          </cell>
          <cell r="B5192" t="str">
            <v>CA304</v>
          </cell>
          <cell r="C5192" t="str">
            <v>MC</v>
          </cell>
          <cell r="D5192" t="str">
            <v>2607</v>
          </cell>
          <cell r="E5192" t="str">
            <v>C SWG</v>
          </cell>
          <cell r="F5192">
            <v>2</v>
          </cell>
          <cell r="G5192" t="str">
            <v>CB1614050802IH</v>
          </cell>
          <cell r="H5192">
            <v>2</v>
          </cell>
          <cell r="I5192">
            <v>1.5</v>
          </cell>
          <cell r="J5192">
            <v>1</v>
          </cell>
          <cell r="K5192">
            <v>2</v>
          </cell>
        </row>
        <row r="5193">
          <cell r="A5193" t="str">
            <v>MC</v>
          </cell>
          <cell r="B5193" t="str">
            <v>CA304</v>
          </cell>
          <cell r="C5193" t="str">
            <v>MC</v>
          </cell>
          <cell r="D5193" t="str">
            <v>2605</v>
          </cell>
          <cell r="E5193" t="str">
            <v>C SWG</v>
          </cell>
          <cell r="F5193">
            <v>2</v>
          </cell>
          <cell r="G5193" t="str">
            <v>CB161405080201</v>
          </cell>
          <cell r="H5193">
            <v>2</v>
          </cell>
          <cell r="I5193">
            <v>1</v>
          </cell>
          <cell r="J5193">
            <v>2</v>
          </cell>
          <cell r="K5193">
            <v>3</v>
          </cell>
        </row>
        <row r="5194">
          <cell r="A5194" t="str">
            <v>MC</v>
          </cell>
          <cell r="B5194" t="str">
            <v>CA304</v>
          </cell>
          <cell r="C5194" t="str">
            <v>MC</v>
          </cell>
          <cell r="D5194" t="str">
            <v>2608</v>
          </cell>
          <cell r="E5194" t="str">
            <v>C SWG</v>
          </cell>
          <cell r="F5194">
            <v>2</v>
          </cell>
          <cell r="G5194" t="str">
            <v>CB1614050802IH</v>
          </cell>
          <cell r="H5194">
            <v>2</v>
          </cell>
          <cell r="I5194">
            <v>1.5</v>
          </cell>
          <cell r="J5194">
            <v>2</v>
          </cell>
          <cell r="K5194">
            <v>3</v>
          </cell>
        </row>
        <row r="5195">
          <cell r="A5195" t="str">
            <v>MC</v>
          </cell>
          <cell r="B5195" t="str">
            <v>BA305</v>
          </cell>
          <cell r="C5195" t="str">
            <v>MOH</v>
          </cell>
          <cell r="D5195" t="str">
            <v>2002</v>
          </cell>
          <cell r="E5195" t="str">
            <v>C SWG</v>
          </cell>
          <cell r="F5195">
            <v>2</v>
          </cell>
          <cell r="G5195" t="str">
            <v>CB161405080201</v>
          </cell>
          <cell r="H5195">
            <v>2</v>
          </cell>
          <cell r="I5195">
            <v>1</v>
          </cell>
          <cell r="J5195">
            <v>2</v>
          </cell>
          <cell r="K5195">
            <v>3</v>
          </cell>
        </row>
        <row r="5196">
          <cell r="A5196" t="str">
            <v>MC</v>
          </cell>
          <cell r="B5196" t="str">
            <v>CA304</v>
          </cell>
          <cell r="C5196" t="str">
            <v>MC</v>
          </cell>
          <cell r="D5196" t="str">
            <v>2505</v>
          </cell>
          <cell r="E5196" t="str">
            <v>E SWG</v>
          </cell>
          <cell r="F5196">
            <v>2</v>
          </cell>
          <cell r="G5196" t="str">
            <v>CB1624050802IH</v>
          </cell>
          <cell r="H5196">
            <v>2</v>
          </cell>
          <cell r="I5196">
            <v>1.5</v>
          </cell>
          <cell r="J5196">
            <v>2</v>
          </cell>
          <cell r="K5196">
            <v>3</v>
          </cell>
        </row>
        <row r="5197">
          <cell r="A5197" t="str">
            <v>MC</v>
          </cell>
          <cell r="B5197" t="str">
            <v>CA304</v>
          </cell>
          <cell r="C5197" t="str">
            <v>MC</v>
          </cell>
          <cell r="D5197" t="str">
            <v>2506</v>
          </cell>
          <cell r="E5197" t="str">
            <v>SOL</v>
          </cell>
          <cell r="F5197">
            <v>2</v>
          </cell>
          <cell r="G5197" t="str">
            <v>CB39020000020T</v>
          </cell>
          <cell r="H5197">
            <v>2</v>
          </cell>
          <cell r="I5197">
            <v>0.75</v>
          </cell>
          <cell r="J5197">
            <v>1</v>
          </cell>
          <cell r="K5197">
            <v>2</v>
          </cell>
        </row>
        <row r="5198">
          <cell r="A5198" t="str">
            <v>MC</v>
          </cell>
          <cell r="B5198" t="str">
            <v>CA304</v>
          </cell>
          <cell r="C5198" t="str">
            <v>MC</v>
          </cell>
          <cell r="D5198" t="str">
            <v>2506</v>
          </cell>
          <cell r="E5198" t="str">
            <v>SOL</v>
          </cell>
          <cell r="F5198">
            <v>2</v>
          </cell>
          <cell r="G5198" t="str">
            <v>CB390200000201</v>
          </cell>
          <cell r="H5198">
            <v>2</v>
          </cell>
          <cell r="I5198">
            <v>1</v>
          </cell>
          <cell r="J5198">
            <v>1</v>
          </cell>
          <cell r="K5198">
            <v>2</v>
          </cell>
        </row>
        <row r="5199">
          <cell r="A5199" t="str">
            <v>MC</v>
          </cell>
          <cell r="B5199" t="str">
            <v>CA304</v>
          </cell>
          <cell r="C5199" t="str">
            <v>MC</v>
          </cell>
          <cell r="D5199" t="str">
            <v>2609</v>
          </cell>
          <cell r="E5199" t="str">
            <v>SOL</v>
          </cell>
          <cell r="F5199">
            <v>2</v>
          </cell>
          <cell r="G5199" t="str">
            <v>CB39020000020T</v>
          </cell>
          <cell r="H5199">
            <v>2</v>
          </cell>
          <cell r="I5199">
            <v>0.75</v>
          </cell>
          <cell r="J5199">
            <v>1</v>
          </cell>
          <cell r="K5199">
            <v>2</v>
          </cell>
        </row>
        <row r="5200">
          <cell r="A5200" t="str">
            <v>MC</v>
          </cell>
          <cell r="B5200" t="str">
            <v>CA304</v>
          </cell>
          <cell r="C5200" t="str">
            <v>MC</v>
          </cell>
          <cell r="D5200" t="str">
            <v>2601</v>
          </cell>
          <cell r="E5200" t="str">
            <v>SOL</v>
          </cell>
          <cell r="F5200">
            <v>2</v>
          </cell>
          <cell r="G5200" t="str">
            <v>CB390200000201</v>
          </cell>
          <cell r="H5200">
            <v>2</v>
          </cell>
          <cell r="I5200">
            <v>1</v>
          </cell>
          <cell r="J5200">
            <v>1</v>
          </cell>
          <cell r="K5200">
            <v>2</v>
          </cell>
        </row>
        <row r="5201">
          <cell r="A5201" t="str">
            <v>MC</v>
          </cell>
          <cell r="B5201" t="str">
            <v>CA304</v>
          </cell>
          <cell r="C5201" t="str">
            <v>MC</v>
          </cell>
          <cell r="D5201" t="str">
            <v>2601</v>
          </cell>
          <cell r="E5201" t="str">
            <v>SOL</v>
          </cell>
          <cell r="F5201">
            <v>2</v>
          </cell>
          <cell r="G5201" t="str">
            <v>CB39020000020T</v>
          </cell>
          <cell r="H5201">
            <v>2</v>
          </cell>
          <cell r="I5201">
            <v>0.75</v>
          </cell>
          <cell r="J5201">
            <v>1</v>
          </cell>
          <cell r="K5201">
            <v>2</v>
          </cell>
        </row>
        <row r="5202">
          <cell r="A5202" t="str">
            <v>MC</v>
          </cell>
          <cell r="B5202" t="str">
            <v>CA304</v>
          </cell>
          <cell r="C5202" t="str">
            <v>MC</v>
          </cell>
          <cell r="D5202" t="str">
            <v>2607</v>
          </cell>
          <cell r="E5202" t="str">
            <v>SOL</v>
          </cell>
          <cell r="F5202">
            <v>2</v>
          </cell>
          <cell r="G5202" t="str">
            <v>CB39020000020T</v>
          </cell>
          <cell r="H5202">
            <v>2</v>
          </cell>
          <cell r="I5202">
            <v>0.75</v>
          </cell>
          <cell r="J5202">
            <v>3</v>
          </cell>
          <cell r="K5202">
            <v>4</v>
          </cell>
        </row>
        <row r="5203">
          <cell r="A5203" t="str">
            <v>MC</v>
          </cell>
          <cell r="B5203" t="str">
            <v>A5C</v>
          </cell>
          <cell r="C5203" t="str">
            <v>P</v>
          </cell>
          <cell r="D5203" t="str">
            <v>HOLD2</v>
          </cell>
          <cell r="E5203" t="str">
            <v>TOL</v>
          </cell>
          <cell r="F5203">
            <v>2</v>
          </cell>
          <cell r="G5203" t="str">
            <v>CB39030000020T</v>
          </cell>
          <cell r="H5203">
            <v>2</v>
          </cell>
          <cell r="I5203">
            <v>0.75</v>
          </cell>
          <cell r="J5203">
            <v>6</v>
          </cell>
          <cell r="K5203">
            <v>7</v>
          </cell>
        </row>
        <row r="5204">
          <cell r="A5204" t="str">
            <v>MC</v>
          </cell>
          <cell r="B5204" t="str">
            <v>BA305</v>
          </cell>
          <cell r="C5204" t="str">
            <v>MOH</v>
          </cell>
          <cell r="D5204" t="str">
            <v>2000</v>
          </cell>
          <cell r="E5204" t="str">
            <v>90 ELL</v>
          </cell>
          <cell r="F5204">
            <v>2</v>
          </cell>
          <cell r="G5204" t="str">
            <v>CB300105000200</v>
          </cell>
          <cell r="H5204">
            <v>2</v>
          </cell>
          <cell r="I5204" t="str">
            <v>--</v>
          </cell>
          <cell r="J5204">
            <v>14</v>
          </cell>
          <cell r="K5204">
            <v>16</v>
          </cell>
        </row>
        <row r="5205">
          <cell r="A5205" t="str">
            <v>MC</v>
          </cell>
          <cell r="B5205" t="str">
            <v>BA305</v>
          </cell>
          <cell r="C5205" t="str">
            <v>MOH</v>
          </cell>
          <cell r="D5205" t="str">
            <v>2000</v>
          </cell>
          <cell r="E5205" t="str">
            <v>SOL</v>
          </cell>
          <cell r="F5205">
            <v>2</v>
          </cell>
          <cell r="G5205" t="str">
            <v>CB39020000020T</v>
          </cell>
          <cell r="H5205">
            <v>2</v>
          </cell>
          <cell r="I5205">
            <v>0.75</v>
          </cell>
          <cell r="J5205">
            <v>2</v>
          </cell>
          <cell r="K5205">
            <v>3</v>
          </cell>
        </row>
        <row r="5206">
          <cell r="A5206" t="str">
            <v>MC</v>
          </cell>
          <cell r="B5206" t="str">
            <v>BA305</v>
          </cell>
          <cell r="C5206" t="str">
            <v>MOH</v>
          </cell>
          <cell r="D5206" t="str">
            <v>2000</v>
          </cell>
          <cell r="E5206" t="str">
            <v>TEE</v>
          </cell>
          <cell r="F5206">
            <v>2</v>
          </cell>
          <cell r="G5206" t="str">
            <v>CB300305000200</v>
          </cell>
          <cell r="H5206">
            <v>2</v>
          </cell>
          <cell r="I5206" t="str">
            <v>--</v>
          </cell>
          <cell r="J5206">
            <v>1</v>
          </cell>
          <cell r="K5206">
            <v>2</v>
          </cell>
        </row>
        <row r="5207">
          <cell r="A5207" t="str">
            <v>MC</v>
          </cell>
          <cell r="B5207" t="str">
            <v>CA304</v>
          </cell>
          <cell r="C5207" t="str">
            <v>MC</v>
          </cell>
          <cell r="D5207" t="str">
            <v>2502</v>
          </cell>
          <cell r="E5207" t="str">
            <v>90 ELL</v>
          </cell>
          <cell r="F5207">
            <v>2</v>
          </cell>
          <cell r="G5207" t="str">
            <v>CB300105000200</v>
          </cell>
          <cell r="H5207">
            <v>2</v>
          </cell>
          <cell r="I5207" t="str">
            <v>--</v>
          </cell>
          <cell r="J5207">
            <v>4</v>
          </cell>
          <cell r="K5207">
            <v>5</v>
          </cell>
        </row>
        <row r="5208">
          <cell r="A5208" t="str">
            <v>MC</v>
          </cell>
          <cell r="B5208" t="str">
            <v>CA304</v>
          </cell>
          <cell r="C5208" t="str">
            <v>MC</v>
          </cell>
          <cell r="D5208" t="str">
            <v>2502</v>
          </cell>
          <cell r="E5208" t="str">
            <v>90 ELL</v>
          </cell>
          <cell r="F5208">
            <v>2</v>
          </cell>
          <cell r="G5208" t="str">
            <v>CB300105000200</v>
          </cell>
          <cell r="H5208">
            <v>2</v>
          </cell>
          <cell r="I5208" t="str">
            <v>--</v>
          </cell>
          <cell r="J5208">
            <v>4</v>
          </cell>
          <cell r="K5208">
            <v>5</v>
          </cell>
        </row>
        <row r="5209">
          <cell r="A5209" t="str">
            <v>MC</v>
          </cell>
          <cell r="B5209" t="str">
            <v>CA304</v>
          </cell>
          <cell r="C5209" t="str">
            <v>MC</v>
          </cell>
          <cell r="D5209" t="str">
            <v>HOLD</v>
          </cell>
          <cell r="E5209" t="str">
            <v>90 ELL</v>
          </cell>
          <cell r="F5209">
            <v>2</v>
          </cell>
          <cell r="G5209" t="str">
            <v>CB300105000200</v>
          </cell>
          <cell r="H5209">
            <v>2</v>
          </cell>
          <cell r="I5209" t="str">
            <v>--</v>
          </cell>
          <cell r="J5209">
            <v>7</v>
          </cell>
          <cell r="K5209">
            <v>8</v>
          </cell>
        </row>
        <row r="5210">
          <cell r="A5210" t="str">
            <v>MC</v>
          </cell>
          <cell r="B5210" t="str">
            <v>CA304</v>
          </cell>
          <cell r="C5210" t="str">
            <v>MC</v>
          </cell>
          <cell r="D5210" t="str">
            <v>HOLD</v>
          </cell>
          <cell r="E5210" t="str">
            <v>90 ELL</v>
          </cell>
          <cell r="F5210">
            <v>2</v>
          </cell>
          <cell r="G5210" t="str">
            <v>CB300105000200</v>
          </cell>
          <cell r="H5210">
            <v>2</v>
          </cell>
          <cell r="I5210" t="str">
            <v>--</v>
          </cell>
          <cell r="J5210">
            <v>4</v>
          </cell>
          <cell r="K5210">
            <v>5</v>
          </cell>
        </row>
        <row r="5211">
          <cell r="A5211" t="str">
            <v>MC</v>
          </cell>
          <cell r="B5211" t="str">
            <v>CA304</v>
          </cell>
          <cell r="C5211" t="str">
            <v>MC</v>
          </cell>
          <cell r="D5211" t="str">
            <v>HOLD</v>
          </cell>
          <cell r="E5211" t="str">
            <v>90 ELL</v>
          </cell>
          <cell r="F5211">
            <v>2</v>
          </cell>
          <cell r="G5211" t="str">
            <v>CB300105000200</v>
          </cell>
          <cell r="H5211">
            <v>2</v>
          </cell>
          <cell r="I5211" t="str">
            <v>--</v>
          </cell>
          <cell r="J5211">
            <v>4</v>
          </cell>
          <cell r="K5211">
            <v>5</v>
          </cell>
        </row>
        <row r="5212">
          <cell r="A5212" t="str">
            <v>MC</v>
          </cell>
          <cell r="B5212" t="str">
            <v>CA304</v>
          </cell>
          <cell r="C5212" t="str">
            <v>MC</v>
          </cell>
          <cell r="D5212" t="str">
            <v>2604</v>
          </cell>
          <cell r="E5212" t="str">
            <v>C SWG</v>
          </cell>
          <cell r="F5212">
            <v>2</v>
          </cell>
          <cell r="G5212" t="str">
            <v>CB161405080201</v>
          </cell>
          <cell r="H5212">
            <v>2</v>
          </cell>
          <cell r="I5212">
            <v>1</v>
          </cell>
          <cell r="J5212">
            <v>2</v>
          </cell>
          <cell r="K5212">
            <v>3</v>
          </cell>
        </row>
        <row r="5213">
          <cell r="A5213" t="str">
            <v>MC</v>
          </cell>
          <cell r="B5213" t="str">
            <v>CA304</v>
          </cell>
          <cell r="C5213" t="str">
            <v>MC</v>
          </cell>
          <cell r="D5213" t="str">
            <v>HOLD</v>
          </cell>
          <cell r="E5213" t="str">
            <v>E SWG</v>
          </cell>
          <cell r="F5213">
            <v>2</v>
          </cell>
          <cell r="G5213" t="str">
            <v>CB162405080201</v>
          </cell>
          <cell r="H5213">
            <v>2</v>
          </cell>
          <cell r="I5213">
            <v>1</v>
          </cell>
          <cell r="J5213">
            <v>1</v>
          </cell>
          <cell r="K5213">
            <v>2</v>
          </cell>
        </row>
        <row r="5214">
          <cell r="A5214" t="str">
            <v>MC</v>
          </cell>
          <cell r="B5214" t="str">
            <v>CA304</v>
          </cell>
          <cell r="C5214" t="str">
            <v>MC</v>
          </cell>
          <cell r="D5214" t="str">
            <v>HOLD</v>
          </cell>
          <cell r="E5214" t="str">
            <v>SOL</v>
          </cell>
          <cell r="F5214">
            <v>2</v>
          </cell>
          <cell r="G5214" t="str">
            <v>CB39020000020T</v>
          </cell>
          <cell r="H5214">
            <v>2</v>
          </cell>
          <cell r="I5214">
            <v>0.75</v>
          </cell>
          <cell r="J5214">
            <v>2</v>
          </cell>
          <cell r="K5214">
            <v>3</v>
          </cell>
        </row>
        <row r="5215">
          <cell r="A5215" t="str">
            <v>MC</v>
          </cell>
          <cell r="B5215" t="str">
            <v>CA304</v>
          </cell>
          <cell r="C5215" t="str">
            <v>MC</v>
          </cell>
          <cell r="D5215" t="str">
            <v>HOLD</v>
          </cell>
          <cell r="E5215" t="str">
            <v>SOL</v>
          </cell>
          <cell r="F5215">
            <v>2</v>
          </cell>
          <cell r="G5215" t="str">
            <v>CB3902000002IH</v>
          </cell>
          <cell r="H5215">
            <v>2</v>
          </cell>
          <cell r="I5215">
            <v>1.5</v>
          </cell>
          <cell r="J5215">
            <v>1</v>
          </cell>
          <cell r="K5215">
            <v>2</v>
          </cell>
        </row>
        <row r="5216">
          <cell r="A5216" t="str">
            <v>MC</v>
          </cell>
          <cell r="B5216" t="str">
            <v>CA304</v>
          </cell>
          <cell r="C5216" t="str">
            <v>MC</v>
          </cell>
          <cell r="D5216" t="str">
            <v>2502</v>
          </cell>
          <cell r="E5216" t="str">
            <v>TEE</v>
          </cell>
          <cell r="F5216">
            <v>2</v>
          </cell>
          <cell r="G5216" t="str">
            <v>CB300305000200</v>
          </cell>
          <cell r="H5216">
            <v>2</v>
          </cell>
          <cell r="I5216" t="str">
            <v>--</v>
          </cell>
          <cell r="J5216">
            <v>1</v>
          </cell>
          <cell r="K5216">
            <v>2</v>
          </cell>
        </row>
        <row r="5217">
          <cell r="A5217" t="str">
            <v>MC</v>
          </cell>
          <cell r="B5217" t="str">
            <v>CA304</v>
          </cell>
          <cell r="C5217" t="str">
            <v>MC</v>
          </cell>
          <cell r="D5217" t="str">
            <v>2502</v>
          </cell>
          <cell r="E5217" t="str">
            <v>TEE</v>
          </cell>
          <cell r="F5217">
            <v>2</v>
          </cell>
          <cell r="G5217" t="str">
            <v>CB300305000200</v>
          </cell>
          <cell r="H5217">
            <v>2</v>
          </cell>
          <cell r="I5217" t="str">
            <v>--</v>
          </cell>
          <cell r="J5217">
            <v>1</v>
          </cell>
          <cell r="K5217">
            <v>2</v>
          </cell>
        </row>
        <row r="5218">
          <cell r="A5218" t="str">
            <v>MC</v>
          </cell>
          <cell r="B5218" t="str">
            <v>CA304</v>
          </cell>
          <cell r="C5218" t="str">
            <v>MC</v>
          </cell>
          <cell r="D5218" t="str">
            <v>HOLD</v>
          </cell>
          <cell r="E5218" t="str">
            <v>TEE</v>
          </cell>
          <cell r="F5218">
            <v>2</v>
          </cell>
          <cell r="G5218" t="str">
            <v>CB300305000200</v>
          </cell>
          <cell r="H5218">
            <v>2</v>
          </cell>
          <cell r="I5218" t="str">
            <v>--</v>
          </cell>
          <cell r="J5218">
            <v>1</v>
          </cell>
          <cell r="K5218">
            <v>2</v>
          </cell>
        </row>
        <row r="5219">
          <cell r="A5219" t="str">
            <v>MC</v>
          </cell>
          <cell r="B5219" t="str">
            <v>B2C</v>
          </cell>
          <cell r="C5219" t="str">
            <v>SH</v>
          </cell>
          <cell r="D5219" t="str">
            <v>1260</v>
          </cell>
          <cell r="E5219" t="str">
            <v>90 ELL</v>
          </cell>
          <cell r="F5219">
            <v>2</v>
          </cell>
          <cell r="G5219" t="str">
            <v>CB300104000300</v>
          </cell>
          <cell r="H5219">
            <v>3</v>
          </cell>
          <cell r="I5219" t="str">
            <v>--</v>
          </cell>
          <cell r="J5219">
            <v>1</v>
          </cell>
          <cell r="K5219">
            <v>2</v>
          </cell>
        </row>
        <row r="5220">
          <cell r="A5220" t="str">
            <v>MC</v>
          </cell>
          <cell r="B5220" t="str">
            <v>CA304</v>
          </cell>
          <cell r="C5220" t="str">
            <v>CMC</v>
          </cell>
          <cell r="D5220" t="str">
            <v>HOLD</v>
          </cell>
          <cell r="E5220" t="str">
            <v>90 ELL</v>
          </cell>
          <cell r="F5220">
            <v>2</v>
          </cell>
          <cell r="G5220" t="str">
            <v>CB300105000300</v>
          </cell>
          <cell r="H5220">
            <v>3</v>
          </cell>
          <cell r="I5220" t="str">
            <v>--</v>
          </cell>
          <cell r="J5220">
            <v>2</v>
          </cell>
          <cell r="K5220">
            <v>3</v>
          </cell>
        </row>
        <row r="5221">
          <cell r="A5221" t="str">
            <v>MC</v>
          </cell>
          <cell r="B5221" t="str">
            <v>CA304</v>
          </cell>
          <cell r="C5221" t="str">
            <v>MC</v>
          </cell>
          <cell r="D5221" t="str">
            <v>2612</v>
          </cell>
          <cell r="E5221" t="str">
            <v>90 ELL</v>
          </cell>
          <cell r="F5221">
            <v>2</v>
          </cell>
          <cell r="G5221" t="str">
            <v>CB300105000300</v>
          </cell>
          <cell r="H5221">
            <v>3</v>
          </cell>
          <cell r="I5221" t="str">
            <v>--</v>
          </cell>
          <cell r="J5221">
            <v>3</v>
          </cell>
          <cell r="K5221">
            <v>4</v>
          </cell>
        </row>
        <row r="5222">
          <cell r="A5222" t="str">
            <v>MC</v>
          </cell>
          <cell r="B5222" t="str">
            <v>CA304</v>
          </cell>
          <cell r="C5222" t="str">
            <v>VT</v>
          </cell>
          <cell r="D5222" t="str">
            <v>HOLD</v>
          </cell>
          <cell r="E5222" t="str">
            <v>90 ELL</v>
          </cell>
          <cell r="F5222">
            <v>2</v>
          </cell>
          <cell r="G5222" t="str">
            <v>CB300105000300</v>
          </cell>
          <cell r="H5222">
            <v>3</v>
          </cell>
          <cell r="I5222" t="str">
            <v>--</v>
          </cell>
          <cell r="J5222">
            <v>4</v>
          </cell>
          <cell r="K5222">
            <v>5</v>
          </cell>
        </row>
        <row r="5223">
          <cell r="A5223" t="str">
            <v>MC</v>
          </cell>
          <cell r="B5223" t="str">
            <v>CA304</v>
          </cell>
          <cell r="C5223" t="str">
            <v>VT</v>
          </cell>
          <cell r="D5223" t="str">
            <v>HOLD</v>
          </cell>
          <cell r="E5223" t="str">
            <v>90 ELL</v>
          </cell>
          <cell r="F5223">
            <v>2</v>
          </cell>
          <cell r="G5223" t="str">
            <v>CB300105000300</v>
          </cell>
          <cell r="H5223">
            <v>3</v>
          </cell>
          <cell r="I5223" t="str">
            <v>--</v>
          </cell>
          <cell r="J5223">
            <v>6</v>
          </cell>
          <cell r="K5223">
            <v>7</v>
          </cell>
        </row>
        <row r="5224">
          <cell r="A5224" t="str">
            <v>MC</v>
          </cell>
          <cell r="B5224" t="str">
            <v>CA304</v>
          </cell>
          <cell r="C5224" t="str">
            <v>MC</v>
          </cell>
          <cell r="D5224" t="str">
            <v>2606</v>
          </cell>
          <cell r="E5224" t="str">
            <v>90 ELL</v>
          </cell>
          <cell r="F5224">
            <v>2</v>
          </cell>
          <cell r="G5224" t="str">
            <v>CB300105000300</v>
          </cell>
          <cell r="H5224">
            <v>3</v>
          </cell>
          <cell r="I5224" t="str">
            <v>--</v>
          </cell>
          <cell r="J5224">
            <v>3</v>
          </cell>
          <cell r="K5224">
            <v>4</v>
          </cell>
        </row>
        <row r="5225">
          <cell r="A5225" t="str">
            <v>MC</v>
          </cell>
          <cell r="B5225" t="str">
            <v>CA304</v>
          </cell>
          <cell r="C5225" t="str">
            <v>VT</v>
          </cell>
          <cell r="D5225" t="str">
            <v>HOLD</v>
          </cell>
          <cell r="E5225" t="str">
            <v>C RED</v>
          </cell>
          <cell r="F5225">
            <v>2</v>
          </cell>
          <cell r="G5225" t="str">
            <v>CB300505050302</v>
          </cell>
          <cell r="H5225">
            <v>3</v>
          </cell>
          <cell r="I5225">
            <v>2</v>
          </cell>
          <cell r="J5225">
            <v>1</v>
          </cell>
          <cell r="K5225">
            <v>2</v>
          </cell>
        </row>
        <row r="5226">
          <cell r="A5226" t="str">
            <v>MC</v>
          </cell>
          <cell r="B5226" t="str">
            <v>CA304</v>
          </cell>
          <cell r="C5226" t="str">
            <v>VT</v>
          </cell>
          <cell r="D5226" t="str">
            <v>HOLD</v>
          </cell>
          <cell r="E5226" t="str">
            <v>C RED</v>
          </cell>
          <cell r="F5226">
            <v>2</v>
          </cell>
          <cell r="G5226" t="str">
            <v>CB300505050302</v>
          </cell>
          <cell r="H5226">
            <v>3</v>
          </cell>
          <cell r="I5226">
            <v>2</v>
          </cell>
          <cell r="J5226">
            <v>4</v>
          </cell>
          <cell r="K5226">
            <v>5</v>
          </cell>
        </row>
        <row r="5227">
          <cell r="A5227" t="str">
            <v>MC</v>
          </cell>
          <cell r="B5227" t="str">
            <v>CA304</v>
          </cell>
          <cell r="C5227" t="str">
            <v>MC</v>
          </cell>
          <cell r="D5227" t="str">
            <v>2601</v>
          </cell>
          <cell r="E5227" t="str">
            <v>C RED</v>
          </cell>
          <cell r="F5227">
            <v>2</v>
          </cell>
          <cell r="G5227" t="str">
            <v>CB300505050302</v>
          </cell>
          <cell r="H5227">
            <v>3</v>
          </cell>
          <cell r="I5227">
            <v>2</v>
          </cell>
          <cell r="J5227">
            <v>2</v>
          </cell>
          <cell r="K5227">
            <v>3</v>
          </cell>
        </row>
        <row r="5228">
          <cell r="A5228" t="str">
            <v>MC</v>
          </cell>
          <cell r="B5228" t="str">
            <v>BA305</v>
          </cell>
          <cell r="C5228" t="str">
            <v>MOH</v>
          </cell>
          <cell r="D5228" t="str">
            <v>2002</v>
          </cell>
          <cell r="E5228" t="str">
            <v>C RED</v>
          </cell>
          <cell r="F5228">
            <v>2</v>
          </cell>
          <cell r="G5228" t="str">
            <v>CB300505050302</v>
          </cell>
          <cell r="H5228">
            <v>3</v>
          </cell>
          <cell r="I5228">
            <v>2</v>
          </cell>
          <cell r="J5228">
            <v>1</v>
          </cell>
          <cell r="K5228">
            <v>2</v>
          </cell>
        </row>
        <row r="5229">
          <cell r="A5229" t="str">
            <v>MC</v>
          </cell>
          <cell r="B5229" t="str">
            <v>CA304</v>
          </cell>
          <cell r="C5229" t="str">
            <v>MC</v>
          </cell>
          <cell r="D5229" t="str">
            <v>2605</v>
          </cell>
          <cell r="E5229" t="str">
            <v>C SWG</v>
          </cell>
          <cell r="F5229">
            <v>2</v>
          </cell>
          <cell r="G5229" t="str">
            <v>CB1614050803IH</v>
          </cell>
          <cell r="H5229">
            <v>3</v>
          </cell>
          <cell r="I5229">
            <v>1.5</v>
          </cell>
          <cell r="J5229">
            <v>2</v>
          </cell>
          <cell r="K5229">
            <v>3</v>
          </cell>
        </row>
        <row r="5230">
          <cell r="A5230" t="str">
            <v>MC</v>
          </cell>
          <cell r="B5230" t="str">
            <v>CA304</v>
          </cell>
          <cell r="C5230" t="str">
            <v>MC</v>
          </cell>
          <cell r="D5230" t="str">
            <v>2505</v>
          </cell>
          <cell r="E5230" t="str">
            <v>C SWG</v>
          </cell>
          <cell r="F5230">
            <v>2</v>
          </cell>
          <cell r="G5230" t="str">
            <v>CB1614050803IH</v>
          </cell>
          <cell r="H5230">
            <v>3</v>
          </cell>
          <cell r="I5230">
            <v>1.5</v>
          </cell>
          <cell r="J5230">
            <v>2</v>
          </cell>
          <cell r="K5230">
            <v>3</v>
          </cell>
        </row>
        <row r="5231">
          <cell r="A5231" t="str">
            <v>MC</v>
          </cell>
          <cell r="B5231" t="str">
            <v>CA304</v>
          </cell>
          <cell r="C5231" t="str">
            <v>MC</v>
          </cell>
          <cell r="D5231" t="str">
            <v>2606</v>
          </cell>
          <cell r="E5231" t="str">
            <v>C SWG</v>
          </cell>
          <cell r="F5231">
            <v>2</v>
          </cell>
          <cell r="G5231" t="str">
            <v>CB1614050803IH</v>
          </cell>
          <cell r="H5231">
            <v>3</v>
          </cell>
          <cell r="I5231">
            <v>1.5</v>
          </cell>
          <cell r="J5231">
            <v>2</v>
          </cell>
          <cell r="K5231">
            <v>3</v>
          </cell>
        </row>
        <row r="5232">
          <cell r="A5232" t="str">
            <v>MC</v>
          </cell>
          <cell r="B5232" t="str">
            <v>CA304</v>
          </cell>
          <cell r="C5232" t="str">
            <v>MC</v>
          </cell>
          <cell r="D5232" t="str">
            <v>2612</v>
          </cell>
          <cell r="E5232" t="str">
            <v>C SWG</v>
          </cell>
          <cell r="F5232">
            <v>2</v>
          </cell>
          <cell r="G5232" t="str">
            <v>CB1614050803IH</v>
          </cell>
          <cell r="H5232">
            <v>3</v>
          </cell>
          <cell r="I5232">
            <v>1.5</v>
          </cell>
          <cell r="J5232">
            <v>1</v>
          </cell>
          <cell r="K5232">
            <v>2</v>
          </cell>
        </row>
        <row r="5233">
          <cell r="A5233" t="str">
            <v>MC</v>
          </cell>
          <cell r="B5233" t="str">
            <v>CA304</v>
          </cell>
          <cell r="C5233" t="str">
            <v>MC</v>
          </cell>
          <cell r="D5233" t="str">
            <v>2506</v>
          </cell>
          <cell r="E5233" t="str">
            <v>E RED</v>
          </cell>
          <cell r="F5233">
            <v>2</v>
          </cell>
          <cell r="G5233" t="str">
            <v>CB300605050302</v>
          </cell>
          <cell r="H5233">
            <v>3</v>
          </cell>
          <cell r="I5233">
            <v>2</v>
          </cell>
          <cell r="J5233">
            <v>1</v>
          </cell>
          <cell r="K5233">
            <v>2</v>
          </cell>
        </row>
        <row r="5234">
          <cell r="A5234" t="str">
            <v>MC</v>
          </cell>
          <cell r="B5234" t="str">
            <v>CA304</v>
          </cell>
          <cell r="C5234" t="str">
            <v>MC</v>
          </cell>
          <cell r="D5234" t="str">
            <v>2606</v>
          </cell>
          <cell r="E5234" t="str">
            <v>E RED</v>
          </cell>
          <cell r="F5234">
            <v>2</v>
          </cell>
          <cell r="G5234" t="str">
            <v>CB300605050302</v>
          </cell>
          <cell r="H5234">
            <v>3</v>
          </cell>
          <cell r="I5234">
            <v>2</v>
          </cell>
          <cell r="J5234">
            <v>1</v>
          </cell>
          <cell r="K5234">
            <v>2</v>
          </cell>
        </row>
        <row r="5235">
          <cell r="A5235" t="str">
            <v>MC</v>
          </cell>
          <cell r="B5235" t="str">
            <v>CA304</v>
          </cell>
          <cell r="C5235" t="str">
            <v>MC</v>
          </cell>
          <cell r="D5235" t="str">
            <v>2612</v>
          </cell>
          <cell r="E5235" t="str">
            <v>E RED</v>
          </cell>
          <cell r="F5235">
            <v>2</v>
          </cell>
          <cell r="G5235" t="str">
            <v>CB300605050302</v>
          </cell>
          <cell r="H5235">
            <v>3</v>
          </cell>
          <cell r="I5235">
            <v>2</v>
          </cell>
          <cell r="J5235">
            <v>2</v>
          </cell>
          <cell r="K5235">
            <v>3</v>
          </cell>
        </row>
        <row r="5236">
          <cell r="A5236" t="str">
            <v>MC</v>
          </cell>
          <cell r="B5236" t="str">
            <v>CA304</v>
          </cell>
          <cell r="C5236" t="str">
            <v>MC</v>
          </cell>
          <cell r="D5236" t="str">
            <v>2612</v>
          </cell>
          <cell r="E5236" t="str">
            <v>E SWG</v>
          </cell>
          <cell r="F5236">
            <v>2</v>
          </cell>
          <cell r="G5236" t="str">
            <v>CB1624050803IH</v>
          </cell>
          <cell r="H5236">
            <v>3</v>
          </cell>
          <cell r="I5236">
            <v>1.5</v>
          </cell>
          <cell r="J5236">
            <v>2</v>
          </cell>
          <cell r="K5236">
            <v>3</v>
          </cell>
        </row>
        <row r="5237">
          <cell r="A5237" t="str">
            <v>MC</v>
          </cell>
          <cell r="B5237" t="str">
            <v>CA304</v>
          </cell>
          <cell r="C5237" t="str">
            <v>CMC</v>
          </cell>
          <cell r="D5237" t="str">
            <v>HOLD</v>
          </cell>
          <cell r="E5237" t="str">
            <v>SOL</v>
          </cell>
          <cell r="F5237">
            <v>2</v>
          </cell>
          <cell r="G5237" t="str">
            <v>CB39020000030T</v>
          </cell>
          <cell r="H5237">
            <v>3</v>
          </cell>
          <cell r="I5237">
            <v>0.75</v>
          </cell>
          <cell r="J5237">
            <v>2</v>
          </cell>
          <cell r="K5237">
            <v>3</v>
          </cell>
        </row>
        <row r="5238">
          <cell r="A5238" t="str">
            <v>MC</v>
          </cell>
          <cell r="B5238" t="str">
            <v>CA304</v>
          </cell>
          <cell r="C5238" t="str">
            <v>MC</v>
          </cell>
          <cell r="D5238" t="str">
            <v>2612</v>
          </cell>
          <cell r="E5238" t="str">
            <v>SOL</v>
          </cell>
          <cell r="F5238">
            <v>2</v>
          </cell>
          <cell r="G5238" t="str">
            <v>CB39020000030T</v>
          </cell>
          <cell r="H5238">
            <v>3</v>
          </cell>
          <cell r="I5238">
            <v>0.75</v>
          </cell>
          <cell r="J5238">
            <v>2</v>
          </cell>
          <cell r="K5238">
            <v>3</v>
          </cell>
        </row>
        <row r="5239">
          <cell r="A5239" t="str">
            <v>MC</v>
          </cell>
          <cell r="B5239" t="str">
            <v>CA304</v>
          </cell>
          <cell r="C5239" t="str">
            <v>MC</v>
          </cell>
          <cell r="D5239" t="str">
            <v>2606</v>
          </cell>
          <cell r="E5239" t="str">
            <v>SOL</v>
          </cell>
          <cell r="F5239">
            <v>2</v>
          </cell>
          <cell r="G5239" t="str">
            <v>CB39020000030T</v>
          </cell>
          <cell r="H5239">
            <v>3</v>
          </cell>
          <cell r="I5239">
            <v>0.75</v>
          </cell>
          <cell r="J5239">
            <v>2</v>
          </cell>
          <cell r="K5239">
            <v>3</v>
          </cell>
        </row>
        <row r="5240">
          <cell r="A5240" t="str">
            <v>MC</v>
          </cell>
          <cell r="B5240" t="str">
            <v>CA304</v>
          </cell>
          <cell r="C5240" t="str">
            <v>VT</v>
          </cell>
          <cell r="D5240" t="str">
            <v>HOLD</v>
          </cell>
          <cell r="E5240" t="str">
            <v>SOL</v>
          </cell>
          <cell r="F5240">
            <v>2</v>
          </cell>
          <cell r="G5240" t="str">
            <v>CB39020000030T</v>
          </cell>
          <cell r="H5240">
            <v>3</v>
          </cell>
          <cell r="I5240">
            <v>0.75</v>
          </cell>
          <cell r="J5240">
            <v>4</v>
          </cell>
          <cell r="K5240">
            <v>5</v>
          </cell>
        </row>
        <row r="5241">
          <cell r="A5241" t="str">
            <v>MC</v>
          </cell>
          <cell r="B5241" t="str">
            <v>CA304</v>
          </cell>
          <cell r="C5241" t="str">
            <v>MC</v>
          </cell>
          <cell r="D5241" t="str">
            <v>2606</v>
          </cell>
          <cell r="E5241" t="str">
            <v>TEE</v>
          </cell>
          <cell r="F5241">
            <v>2</v>
          </cell>
          <cell r="G5241" t="str">
            <v>CB300305000300</v>
          </cell>
          <cell r="H5241">
            <v>3</v>
          </cell>
          <cell r="I5241" t="str">
            <v>--</v>
          </cell>
          <cell r="J5241">
            <v>3</v>
          </cell>
          <cell r="K5241">
            <v>4</v>
          </cell>
        </row>
        <row r="5242">
          <cell r="A5242" t="str">
            <v>MC</v>
          </cell>
          <cell r="B5242" t="str">
            <v>CA304</v>
          </cell>
          <cell r="C5242" t="str">
            <v>MC</v>
          </cell>
          <cell r="D5242" t="str">
            <v>HOLD</v>
          </cell>
          <cell r="E5242" t="str">
            <v>90 ELL</v>
          </cell>
          <cell r="F5242">
            <v>2</v>
          </cell>
          <cell r="G5242" t="str">
            <v>CB300105000300</v>
          </cell>
          <cell r="H5242">
            <v>3</v>
          </cell>
          <cell r="I5242" t="str">
            <v>--</v>
          </cell>
          <cell r="J5242">
            <v>2</v>
          </cell>
          <cell r="K5242">
            <v>3</v>
          </cell>
        </row>
        <row r="5243">
          <cell r="A5243" t="str">
            <v>MC</v>
          </cell>
          <cell r="B5243" t="str">
            <v>CA304</v>
          </cell>
          <cell r="C5243" t="str">
            <v>MC</v>
          </cell>
          <cell r="D5243" t="str">
            <v>HOLD</v>
          </cell>
          <cell r="E5243" t="str">
            <v>90 ELL</v>
          </cell>
          <cell r="F5243">
            <v>2</v>
          </cell>
          <cell r="G5243" t="str">
            <v>CB300105000300</v>
          </cell>
          <cell r="H5243">
            <v>3</v>
          </cell>
          <cell r="I5243" t="str">
            <v>--</v>
          </cell>
          <cell r="J5243">
            <v>2</v>
          </cell>
          <cell r="K5243">
            <v>3</v>
          </cell>
        </row>
        <row r="5244">
          <cell r="A5244" t="str">
            <v>MC</v>
          </cell>
          <cell r="B5244" t="str">
            <v>CA304</v>
          </cell>
          <cell r="C5244" t="str">
            <v>MC</v>
          </cell>
          <cell r="D5244" t="str">
            <v>HOLD</v>
          </cell>
          <cell r="E5244" t="str">
            <v>90 ELL</v>
          </cell>
          <cell r="F5244">
            <v>2</v>
          </cell>
          <cell r="G5244" t="str">
            <v>CB300105000300</v>
          </cell>
          <cell r="H5244">
            <v>3</v>
          </cell>
          <cell r="I5244" t="str">
            <v>--</v>
          </cell>
          <cell r="J5244">
            <v>2</v>
          </cell>
          <cell r="K5244">
            <v>3</v>
          </cell>
        </row>
        <row r="5245">
          <cell r="A5245" t="str">
            <v>MC</v>
          </cell>
          <cell r="B5245" t="str">
            <v>CA304</v>
          </cell>
          <cell r="C5245" t="str">
            <v>MC</v>
          </cell>
          <cell r="D5245" t="str">
            <v>2502</v>
          </cell>
          <cell r="E5245" t="str">
            <v>SOL</v>
          </cell>
          <cell r="F5245">
            <v>2</v>
          </cell>
          <cell r="G5245" t="str">
            <v>CB39020000030T</v>
          </cell>
          <cell r="H5245">
            <v>3</v>
          </cell>
          <cell r="I5245">
            <v>0.75</v>
          </cell>
          <cell r="J5245">
            <v>1</v>
          </cell>
          <cell r="K5245">
            <v>2</v>
          </cell>
        </row>
        <row r="5246">
          <cell r="A5246" t="str">
            <v>MC</v>
          </cell>
          <cell r="B5246" t="str">
            <v>CA304</v>
          </cell>
          <cell r="C5246" t="str">
            <v>MC</v>
          </cell>
          <cell r="D5246" t="str">
            <v>2502</v>
          </cell>
          <cell r="E5246" t="str">
            <v>SOL</v>
          </cell>
          <cell r="F5246">
            <v>2</v>
          </cell>
          <cell r="G5246" t="str">
            <v>CB39020000030T</v>
          </cell>
          <cell r="H5246">
            <v>3</v>
          </cell>
          <cell r="I5246">
            <v>0.75</v>
          </cell>
          <cell r="J5246">
            <v>1</v>
          </cell>
          <cell r="K5246">
            <v>2</v>
          </cell>
        </row>
        <row r="5247">
          <cell r="A5247" t="str">
            <v>MC</v>
          </cell>
          <cell r="B5247" t="str">
            <v>B2C</v>
          </cell>
          <cell r="C5247" t="str">
            <v>SH</v>
          </cell>
          <cell r="D5247" t="str">
            <v>1260</v>
          </cell>
          <cell r="E5247" t="str">
            <v>90 ELL</v>
          </cell>
          <cell r="F5247">
            <v>2</v>
          </cell>
          <cell r="G5247" t="str">
            <v>CB300104000400</v>
          </cell>
          <cell r="H5247">
            <v>4</v>
          </cell>
          <cell r="I5247" t="str">
            <v>--</v>
          </cell>
          <cell r="J5247">
            <v>9</v>
          </cell>
          <cell r="K5247">
            <v>11</v>
          </cell>
        </row>
        <row r="5248">
          <cell r="A5248" t="str">
            <v>MC</v>
          </cell>
          <cell r="B5248" t="str">
            <v>B2C</v>
          </cell>
          <cell r="C5248" t="str">
            <v>SH</v>
          </cell>
          <cell r="D5248" t="str">
            <v>1260</v>
          </cell>
          <cell r="E5248" t="str">
            <v>E RED</v>
          </cell>
          <cell r="F5248">
            <v>2</v>
          </cell>
          <cell r="G5248" t="str">
            <v>CB300604040403</v>
          </cell>
          <cell r="H5248">
            <v>4</v>
          </cell>
          <cell r="I5248">
            <v>3</v>
          </cell>
          <cell r="J5248">
            <v>2</v>
          </cell>
          <cell r="K5248">
            <v>3</v>
          </cell>
        </row>
        <row r="5249">
          <cell r="A5249" t="str">
            <v>MC</v>
          </cell>
          <cell r="B5249" t="str">
            <v>B2C</v>
          </cell>
          <cell r="C5249" t="str">
            <v>SH</v>
          </cell>
          <cell r="D5249" t="str">
            <v>1260</v>
          </cell>
          <cell r="E5249" t="str">
            <v>SOL</v>
          </cell>
          <cell r="F5249">
            <v>2</v>
          </cell>
          <cell r="G5249" t="str">
            <v>CB39020000040T</v>
          </cell>
          <cell r="H5249">
            <v>4</v>
          </cell>
          <cell r="I5249">
            <v>0.75</v>
          </cell>
          <cell r="J5249">
            <v>3</v>
          </cell>
          <cell r="K5249">
            <v>4</v>
          </cell>
        </row>
        <row r="5250">
          <cell r="A5250" t="str">
            <v>MC</v>
          </cell>
          <cell r="B5250" t="str">
            <v>CA304</v>
          </cell>
          <cell r="C5250" t="str">
            <v>CMC</v>
          </cell>
          <cell r="D5250" t="str">
            <v>HOLD</v>
          </cell>
          <cell r="E5250" t="str">
            <v>45 ELL</v>
          </cell>
          <cell r="F5250">
            <v>2</v>
          </cell>
          <cell r="G5250" t="str">
            <v>CB300205000400</v>
          </cell>
          <cell r="H5250">
            <v>4</v>
          </cell>
          <cell r="I5250" t="str">
            <v>--</v>
          </cell>
          <cell r="J5250">
            <v>1</v>
          </cell>
          <cell r="K5250">
            <v>2</v>
          </cell>
        </row>
        <row r="5251">
          <cell r="A5251" t="str">
            <v>MC</v>
          </cell>
          <cell r="B5251" t="str">
            <v>CA307</v>
          </cell>
          <cell r="C5251" t="str">
            <v>P</v>
          </cell>
          <cell r="D5251" t="str">
            <v>HOLD1</v>
          </cell>
          <cell r="E5251" t="str">
            <v>90 ELL</v>
          </cell>
          <cell r="F5251">
            <v>2</v>
          </cell>
          <cell r="G5251" t="str">
            <v>CB300105000400</v>
          </cell>
          <cell r="H5251">
            <v>4</v>
          </cell>
          <cell r="I5251" t="str">
            <v>--</v>
          </cell>
          <cell r="J5251">
            <v>2</v>
          </cell>
          <cell r="K5251">
            <v>3</v>
          </cell>
        </row>
        <row r="5252">
          <cell r="A5252" t="str">
            <v>MC</v>
          </cell>
          <cell r="B5252" t="str">
            <v>CA304</v>
          </cell>
          <cell r="C5252" t="str">
            <v>CMC</v>
          </cell>
          <cell r="D5252" t="str">
            <v>HOLD</v>
          </cell>
          <cell r="E5252" t="str">
            <v>90 ELL</v>
          </cell>
          <cell r="F5252">
            <v>2</v>
          </cell>
          <cell r="G5252" t="str">
            <v>CB300105000400</v>
          </cell>
          <cell r="H5252">
            <v>4</v>
          </cell>
          <cell r="I5252" t="str">
            <v>--</v>
          </cell>
          <cell r="J5252">
            <v>2</v>
          </cell>
          <cell r="K5252">
            <v>3</v>
          </cell>
        </row>
        <row r="5253">
          <cell r="A5253" t="str">
            <v>MC</v>
          </cell>
          <cell r="B5253" t="str">
            <v>CA304</v>
          </cell>
          <cell r="C5253" t="str">
            <v>MC</v>
          </cell>
          <cell r="D5253" t="str">
            <v>2507</v>
          </cell>
          <cell r="E5253" t="str">
            <v>90 ELL</v>
          </cell>
          <cell r="F5253">
            <v>2</v>
          </cell>
          <cell r="G5253" t="str">
            <v>CB300105000400</v>
          </cell>
          <cell r="H5253">
            <v>4</v>
          </cell>
          <cell r="I5253" t="str">
            <v>--</v>
          </cell>
          <cell r="J5253">
            <v>3</v>
          </cell>
          <cell r="K5253">
            <v>4</v>
          </cell>
        </row>
        <row r="5254">
          <cell r="A5254" t="str">
            <v>MC</v>
          </cell>
          <cell r="B5254" t="str">
            <v>CA304</v>
          </cell>
          <cell r="C5254" t="str">
            <v>VT</v>
          </cell>
          <cell r="D5254" t="str">
            <v>HOLD</v>
          </cell>
          <cell r="E5254" t="str">
            <v>90 ELL</v>
          </cell>
          <cell r="F5254">
            <v>2</v>
          </cell>
          <cell r="G5254" t="str">
            <v>CB300105000400</v>
          </cell>
          <cell r="H5254">
            <v>4</v>
          </cell>
          <cell r="I5254" t="str">
            <v>--</v>
          </cell>
          <cell r="J5254">
            <v>3</v>
          </cell>
          <cell r="K5254">
            <v>4</v>
          </cell>
        </row>
        <row r="5255">
          <cell r="A5255" t="str">
            <v>MC</v>
          </cell>
          <cell r="B5255" t="str">
            <v>CA304</v>
          </cell>
          <cell r="C5255" t="str">
            <v>VT</v>
          </cell>
          <cell r="D5255" t="str">
            <v>HOLD</v>
          </cell>
          <cell r="E5255" t="str">
            <v>90 ELL</v>
          </cell>
          <cell r="F5255">
            <v>2</v>
          </cell>
          <cell r="G5255" t="str">
            <v>CB300105000400</v>
          </cell>
          <cell r="H5255">
            <v>4</v>
          </cell>
          <cell r="I5255" t="str">
            <v>--</v>
          </cell>
          <cell r="J5255">
            <v>4</v>
          </cell>
          <cell r="K5255">
            <v>5</v>
          </cell>
        </row>
        <row r="5256">
          <cell r="A5256" t="str">
            <v>MC</v>
          </cell>
          <cell r="B5256" t="str">
            <v>CA304</v>
          </cell>
          <cell r="C5256" t="str">
            <v>MC</v>
          </cell>
          <cell r="D5256" t="str">
            <v>2605</v>
          </cell>
          <cell r="E5256" t="str">
            <v>C RED</v>
          </cell>
          <cell r="F5256">
            <v>2</v>
          </cell>
          <cell r="G5256" t="str">
            <v>CB300505050402</v>
          </cell>
          <cell r="H5256">
            <v>4</v>
          </cell>
          <cell r="I5256">
            <v>2</v>
          </cell>
          <cell r="J5256">
            <v>2</v>
          </cell>
          <cell r="K5256">
            <v>3</v>
          </cell>
        </row>
        <row r="5257">
          <cell r="A5257" t="str">
            <v>MC</v>
          </cell>
          <cell r="B5257" t="str">
            <v>CA304</v>
          </cell>
          <cell r="C5257" t="str">
            <v>MC</v>
          </cell>
          <cell r="D5257" t="str">
            <v>2506</v>
          </cell>
          <cell r="E5257" t="str">
            <v>C RED</v>
          </cell>
          <cell r="F5257">
            <v>2</v>
          </cell>
          <cell r="G5257" t="str">
            <v>CB300505050402</v>
          </cell>
          <cell r="H5257">
            <v>4</v>
          </cell>
          <cell r="I5257">
            <v>2</v>
          </cell>
          <cell r="J5257">
            <v>2</v>
          </cell>
          <cell r="K5257">
            <v>3</v>
          </cell>
        </row>
        <row r="5258">
          <cell r="A5258" t="str">
            <v>MC</v>
          </cell>
          <cell r="B5258" t="str">
            <v>CA304</v>
          </cell>
          <cell r="C5258" t="str">
            <v>MC</v>
          </cell>
          <cell r="D5258" t="str">
            <v>2609</v>
          </cell>
          <cell r="E5258" t="str">
            <v>C SWG</v>
          </cell>
          <cell r="F5258">
            <v>2</v>
          </cell>
          <cell r="G5258" t="str">
            <v>CB1614050804IH</v>
          </cell>
          <cell r="H5258">
            <v>4</v>
          </cell>
          <cell r="I5258">
            <v>1.5</v>
          </cell>
          <cell r="J5258">
            <v>2</v>
          </cell>
          <cell r="K5258">
            <v>3</v>
          </cell>
        </row>
        <row r="5259">
          <cell r="A5259" t="str">
            <v>MC</v>
          </cell>
          <cell r="B5259" t="str">
            <v>CA304</v>
          </cell>
          <cell r="C5259" t="str">
            <v>MC</v>
          </cell>
          <cell r="D5259" t="str">
            <v>2505</v>
          </cell>
          <cell r="E5259" t="str">
            <v>E RED</v>
          </cell>
          <cell r="F5259">
            <v>2</v>
          </cell>
          <cell r="G5259" t="str">
            <v>CB300605050402</v>
          </cell>
          <cell r="H5259">
            <v>4</v>
          </cell>
          <cell r="I5259">
            <v>2</v>
          </cell>
          <cell r="J5259">
            <v>2</v>
          </cell>
          <cell r="K5259">
            <v>3</v>
          </cell>
        </row>
        <row r="5260">
          <cell r="A5260" t="str">
            <v>MC</v>
          </cell>
          <cell r="B5260" t="str">
            <v>CA304</v>
          </cell>
          <cell r="C5260" t="str">
            <v>CMC</v>
          </cell>
          <cell r="D5260" t="str">
            <v>HOLD</v>
          </cell>
          <cell r="E5260" t="str">
            <v>SOL</v>
          </cell>
          <cell r="F5260">
            <v>2</v>
          </cell>
          <cell r="G5260" t="str">
            <v>CB39020000040T</v>
          </cell>
          <cell r="H5260">
            <v>4</v>
          </cell>
          <cell r="I5260">
            <v>0.75</v>
          </cell>
          <cell r="J5260">
            <v>1</v>
          </cell>
          <cell r="K5260">
            <v>2</v>
          </cell>
        </row>
        <row r="5261">
          <cell r="A5261" t="str">
            <v>MC</v>
          </cell>
          <cell r="B5261" t="str">
            <v>CA304</v>
          </cell>
          <cell r="C5261" t="str">
            <v>CMC</v>
          </cell>
          <cell r="D5261" t="str">
            <v>HOLD</v>
          </cell>
          <cell r="E5261" t="str">
            <v>SOL</v>
          </cell>
          <cell r="F5261">
            <v>2</v>
          </cell>
          <cell r="G5261" t="str">
            <v>CB39020000040T</v>
          </cell>
          <cell r="H5261">
            <v>4</v>
          </cell>
          <cell r="I5261">
            <v>0.75</v>
          </cell>
          <cell r="J5261">
            <v>1</v>
          </cell>
          <cell r="K5261">
            <v>2</v>
          </cell>
        </row>
        <row r="5262">
          <cell r="A5262" t="str">
            <v>MC</v>
          </cell>
          <cell r="B5262" t="str">
            <v>CA304</v>
          </cell>
          <cell r="C5262" t="str">
            <v>CMC</v>
          </cell>
          <cell r="D5262" t="str">
            <v>HOLD</v>
          </cell>
          <cell r="E5262" t="str">
            <v>TEE</v>
          </cell>
          <cell r="F5262">
            <v>2</v>
          </cell>
          <cell r="G5262" t="str">
            <v>CB300305000400</v>
          </cell>
          <cell r="H5262">
            <v>4</v>
          </cell>
          <cell r="I5262" t="str">
            <v>--</v>
          </cell>
          <cell r="J5262">
            <v>1</v>
          </cell>
          <cell r="K5262">
            <v>2</v>
          </cell>
        </row>
        <row r="5263">
          <cell r="A5263" t="str">
            <v>MC</v>
          </cell>
          <cell r="B5263" t="str">
            <v>CA304</v>
          </cell>
          <cell r="C5263" t="str">
            <v>VT</v>
          </cell>
          <cell r="D5263" t="str">
            <v>HOLD</v>
          </cell>
          <cell r="E5263" t="str">
            <v>TEE</v>
          </cell>
          <cell r="F5263">
            <v>2</v>
          </cell>
          <cell r="G5263" t="str">
            <v>CB300305000400</v>
          </cell>
          <cell r="H5263">
            <v>4</v>
          </cell>
          <cell r="I5263" t="str">
            <v>--</v>
          </cell>
          <cell r="J5263">
            <v>1</v>
          </cell>
          <cell r="K5263">
            <v>2</v>
          </cell>
        </row>
        <row r="5264">
          <cell r="A5264" t="str">
            <v>MC</v>
          </cell>
          <cell r="B5264" t="str">
            <v>CA307</v>
          </cell>
          <cell r="C5264" t="str">
            <v>P</v>
          </cell>
          <cell r="D5264" t="str">
            <v>HOLD1</v>
          </cell>
          <cell r="E5264" t="str">
            <v>TOL</v>
          </cell>
          <cell r="F5264">
            <v>2</v>
          </cell>
          <cell r="G5264" t="str">
            <v>CB39030000040T</v>
          </cell>
          <cell r="H5264">
            <v>4</v>
          </cell>
          <cell r="I5264">
            <v>0.75</v>
          </cell>
          <cell r="J5264">
            <v>1</v>
          </cell>
          <cell r="K5264">
            <v>2</v>
          </cell>
        </row>
        <row r="5265">
          <cell r="A5265" t="str">
            <v>MC</v>
          </cell>
          <cell r="B5265" t="str">
            <v>CA304</v>
          </cell>
          <cell r="C5265" t="str">
            <v>MC</v>
          </cell>
          <cell r="D5265" t="str">
            <v>2502</v>
          </cell>
          <cell r="E5265" t="str">
            <v>90 ELL</v>
          </cell>
          <cell r="F5265">
            <v>2</v>
          </cell>
          <cell r="G5265" t="str">
            <v>CB300105000400</v>
          </cell>
          <cell r="H5265">
            <v>4</v>
          </cell>
          <cell r="I5265" t="str">
            <v>--</v>
          </cell>
          <cell r="J5265">
            <v>8</v>
          </cell>
          <cell r="K5265">
            <v>10</v>
          </cell>
        </row>
        <row r="5266">
          <cell r="A5266" t="str">
            <v>MC</v>
          </cell>
          <cell r="B5266" t="str">
            <v>CA304</v>
          </cell>
          <cell r="C5266" t="str">
            <v>MC</v>
          </cell>
          <cell r="D5266" t="str">
            <v>2502</v>
          </cell>
          <cell r="E5266" t="str">
            <v>90 ELL</v>
          </cell>
          <cell r="F5266">
            <v>2</v>
          </cell>
          <cell r="G5266" t="str">
            <v>CB300105000400</v>
          </cell>
          <cell r="H5266">
            <v>4</v>
          </cell>
          <cell r="I5266" t="str">
            <v>--</v>
          </cell>
          <cell r="J5266">
            <v>7</v>
          </cell>
          <cell r="K5266">
            <v>9</v>
          </cell>
        </row>
        <row r="5267">
          <cell r="A5267" t="str">
            <v>MC</v>
          </cell>
          <cell r="B5267" t="str">
            <v>CA304</v>
          </cell>
          <cell r="C5267" t="str">
            <v>MC</v>
          </cell>
          <cell r="D5267" t="str">
            <v>HOLD</v>
          </cell>
          <cell r="E5267" t="str">
            <v>90 ELL</v>
          </cell>
          <cell r="F5267">
            <v>2</v>
          </cell>
          <cell r="G5267" t="str">
            <v>CB300105000400</v>
          </cell>
          <cell r="H5267">
            <v>4</v>
          </cell>
          <cell r="I5267" t="str">
            <v>--</v>
          </cell>
          <cell r="J5267">
            <v>5</v>
          </cell>
          <cell r="K5267">
            <v>6</v>
          </cell>
        </row>
        <row r="5268">
          <cell r="A5268" t="str">
            <v>MC</v>
          </cell>
          <cell r="B5268" t="str">
            <v>CA304</v>
          </cell>
          <cell r="C5268" t="str">
            <v>MC</v>
          </cell>
          <cell r="D5268" t="str">
            <v>HOLD</v>
          </cell>
          <cell r="E5268" t="str">
            <v>90 ELL</v>
          </cell>
          <cell r="F5268">
            <v>2</v>
          </cell>
          <cell r="G5268" t="str">
            <v>CB300105000400</v>
          </cell>
          <cell r="H5268">
            <v>4</v>
          </cell>
          <cell r="I5268" t="str">
            <v>--</v>
          </cell>
          <cell r="J5268">
            <v>5</v>
          </cell>
          <cell r="K5268">
            <v>6</v>
          </cell>
        </row>
        <row r="5269">
          <cell r="A5269" t="str">
            <v>MC</v>
          </cell>
          <cell r="B5269" t="str">
            <v>CA304</v>
          </cell>
          <cell r="C5269" t="str">
            <v>MC</v>
          </cell>
          <cell r="D5269" t="str">
            <v>2503</v>
          </cell>
          <cell r="E5269" t="str">
            <v>90 ELL</v>
          </cell>
          <cell r="F5269">
            <v>2</v>
          </cell>
          <cell r="G5269" t="str">
            <v>CB300105000400</v>
          </cell>
          <cell r="H5269">
            <v>4</v>
          </cell>
          <cell r="I5269" t="str">
            <v>--</v>
          </cell>
          <cell r="J5269">
            <v>3</v>
          </cell>
          <cell r="K5269">
            <v>4</v>
          </cell>
        </row>
        <row r="5270">
          <cell r="A5270" t="str">
            <v>MC</v>
          </cell>
          <cell r="B5270" t="str">
            <v>CA304</v>
          </cell>
          <cell r="C5270" t="str">
            <v>MC</v>
          </cell>
          <cell r="D5270" t="str">
            <v>HOLD</v>
          </cell>
          <cell r="E5270" t="str">
            <v>90 ELL</v>
          </cell>
          <cell r="F5270">
            <v>2</v>
          </cell>
          <cell r="G5270" t="str">
            <v>CB300105000400</v>
          </cell>
          <cell r="H5270">
            <v>4</v>
          </cell>
          <cell r="I5270" t="str">
            <v>--</v>
          </cell>
          <cell r="J5270">
            <v>5</v>
          </cell>
          <cell r="K5270">
            <v>6</v>
          </cell>
        </row>
        <row r="5271">
          <cell r="A5271" t="str">
            <v>MC</v>
          </cell>
          <cell r="B5271" t="str">
            <v>CA304</v>
          </cell>
          <cell r="C5271" t="str">
            <v>MC</v>
          </cell>
          <cell r="D5271" t="str">
            <v>2604</v>
          </cell>
          <cell r="E5271" t="str">
            <v>C RED</v>
          </cell>
          <cell r="F5271">
            <v>2</v>
          </cell>
          <cell r="G5271" t="str">
            <v>CB300505050402</v>
          </cell>
          <cell r="H5271">
            <v>4</v>
          </cell>
          <cell r="I5271">
            <v>2</v>
          </cell>
          <cell r="J5271">
            <v>2</v>
          </cell>
          <cell r="K5271">
            <v>3</v>
          </cell>
        </row>
        <row r="5272">
          <cell r="A5272" t="str">
            <v>MC</v>
          </cell>
          <cell r="B5272" t="str">
            <v>CA304</v>
          </cell>
          <cell r="C5272" t="str">
            <v>MC</v>
          </cell>
          <cell r="D5272" t="str">
            <v>2502</v>
          </cell>
          <cell r="E5272" t="str">
            <v>E RED</v>
          </cell>
          <cell r="F5272">
            <v>2</v>
          </cell>
          <cell r="G5272" t="str">
            <v>CB300605050403</v>
          </cell>
          <cell r="H5272">
            <v>4</v>
          </cell>
          <cell r="I5272">
            <v>3</v>
          </cell>
          <cell r="J5272">
            <v>2</v>
          </cell>
          <cell r="K5272">
            <v>3</v>
          </cell>
        </row>
        <row r="5273">
          <cell r="A5273" t="str">
            <v>MC</v>
          </cell>
          <cell r="B5273" t="str">
            <v>CA304</v>
          </cell>
          <cell r="C5273" t="str">
            <v>MC</v>
          </cell>
          <cell r="D5273" t="str">
            <v>2502</v>
          </cell>
          <cell r="E5273" t="str">
            <v>E RED</v>
          </cell>
          <cell r="F5273">
            <v>2</v>
          </cell>
          <cell r="G5273" t="str">
            <v>CB300605050403</v>
          </cell>
          <cell r="H5273">
            <v>4</v>
          </cell>
          <cell r="I5273">
            <v>3</v>
          </cell>
          <cell r="J5273">
            <v>2</v>
          </cell>
          <cell r="K5273">
            <v>3</v>
          </cell>
        </row>
        <row r="5274">
          <cell r="A5274" t="str">
            <v>MC</v>
          </cell>
          <cell r="B5274" t="str">
            <v>CA304</v>
          </cell>
          <cell r="C5274" t="str">
            <v>MC</v>
          </cell>
          <cell r="D5274" t="str">
            <v>2502</v>
          </cell>
          <cell r="E5274" t="str">
            <v>SOL</v>
          </cell>
          <cell r="F5274">
            <v>2</v>
          </cell>
          <cell r="G5274" t="str">
            <v>CB39020000040T</v>
          </cell>
          <cell r="H5274">
            <v>4</v>
          </cell>
          <cell r="I5274">
            <v>0.75</v>
          </cell>
          <cell r="J5274">
            <v>1</v>
          </cell>
          <cell r="K5274">
            <v>2</v>
          </cell>
        </row>
        <row r="5275">
          <cell r="A5275" t="str">
            <v>MC</v>
          </cell>
          <cell r="B5275" t="str">
            <v>B2C</v>
          </cell>
          <cell r="C5275" t="str">
            <v>SH</v>
          </cell>
          <cell r="D5275" t="str">
            <v>1360</v>
          </cell>
          <cell r="E5275" t="str">
            <v>90 ELL</v>
          </cell>
          <cell r="F5275">
            <v>2</v>
          </cell>
          <cell r="G5275" t="str">
            <v>CB300104000600</v>
          </cell>
          <cell r="H5275">
            <v>6</v>
          </cell>
          <cell r="I5275" t="str">
            <v>--</v>
          </cell>
          <cell r="J5275">
            <v>2</v>
          </cell>
          <cell r="K5275">
            <v>3</v>
          </cell>
        </row>
        <row r="5276">
          <cell r="A5276" t="str">
            <v>MC</v>
          </cell>
          <cell r="B5276" t="str">
            <v>B2C</v>
          </cell>
          <cell r="C5276" t="str">
            <v>SH</v>
          </cell>
          <cell r="D5276" t="str">
            <v>1460</v>
          </cell>
          <cell r="E5276" t="str">
            <v>90 ELL</v>
          </cell>
          <cell r="F5276">
            <v>2</v>
          </cell>
          <cell r="G5276" t="str">
            <v>CB300104000600</v>
          </cell>
          <cell r="H5276">
            <v>6</v>
          </cell>
          <cell r="I5276" t="str">
            <v>--</v>
          </cell>
          <cell r="J5276">
            <v>7</v>
          </cell>
          <cell r="K5276">
            <v>9</v>
          </cell>
        </row>
        <row r="5277">
          <cell r="A5277" t="str">
            <v>MC</v>
          </cell>
          <cell r="B5277" t="str">
            <v>B2C</v>
          </cell>
          <cell r="C5277" t="str">
            <v>SH</v>
          </cell>
          <cell r="D5277" t="str">
            <v>1000</v>
          </cell>
          <cell r="E5277" t="str">
            <v>CAP</v>
          </cell>
          <cell r="F5277">
            <v>2</v>
          </cell>
          <cell r="G5277" t="str">
            <v>CB300704000600</v>
          </cell>
          <cell r="H5277">
            <v>6</v>
          </cell>
          <cell r="I5277" t="str">
            <v>--</v>
          </cell>
          <cell r="J5277">
            <v>2</v>
          </cell>
          <cell r="K5277">
            <v>3</v>
          </cell>
        </row>
        <row r="5278">
          <cell r="A5278" t="str">
            <v>MC</v>
          </cell>
          <cell r="B5278" t="str">
            <v>B2C</v>
          </cell>
          <cell r="C5278" t="str">
            <v>SH</v>
          </cell>
          <cell r="D5278" t="str">
            <v>1460</v>
          </cell>
          <cell r="E5278" t="str">
            <v>E RED</v>
          </cell>
          <cell r="F5278">
            <v>2</v>
          </cell>
          <cell r="G5278" t="str">
            <v>CB300604040604</v>
          </cell>
          <cell r="H5278">
            <v>6</v>
          </cell>
          <cell r="I5278">
            <v>4</v>
          </cell>
          <cell r="J5278">
            <v>2</v>
          </cell>
          <cell r="K5278">
            <v>3</v>
          </cell>
        </row>
        <row r="5279">
          <cell r="A5279" t="str">
            <v>MC</v>
          </cell>
          <cell r="B5279" t="str">
            <v>B2C</v>
          </cell>
          <cell r="C5279" t="str">
            <v>SH</v>
          </cell>
          <cell r="D5279" t="str">
            <v>1460</v>
          </cell>
          <cell r="E5279" t="str">
            <v>SOL</v>
          </cell>
          <cell r="F5279">
            <v>2</v>
          </cell>
          <cell r="G5279" t="str">
            <v>CB39020000060T</v>
          </cell>
          <cell r="H5279">
            <v>6</v>
          </cell>
          <cell r="I5279">
            <v>0.75</v>
          </cell>
          <cell r="J5279">
            <v>3</v>
          </cell>
          <cell r="K5279">
            <v>4</v>
          </cell>
        </row>
        <row r="5280">
          <cell r="A5280" t="str">
            <v>MC</v>
          </cell>
          <cell r="B5280" t="str">
            <v>B2C</v>
          </cell>
          <cell r="C5280" t="str">
            <v>SH</v>
          </cell>
          <cell r="D5280" t="str">
            <v>1000</v>
          </cell>
          <cell r="E5280" t="str">
            <v>SOL</v>
          </cell>
          <cell r="F5280">
            <v>2</v>
          </cell>
          <cell r="G5280" t="str">
            <v>CB39020000060T</v>
          </cell>
          <cell r="H5280">
            <v>6</v>
          </cell>
          <cell r="I5280">
            <v>0.75</v>
          </cell>
          <cell r="J5280">
            <v>4</v>
          </cell>
          <cell r="K5280">
            <v>5</v>
          </cell>
        </row>
        <row r="5281">
          <cell r="A5281" t="str">
            <v>MC</v>
          </cell>
          <cell r="B5281" t="str">
            <v>CA307</v>
          </cell>
          <cell r="C5281" t="str">
            <v>HCLG</v>
          </cell>
          <cell r="D5281" t="str">
            <v>1100</v>
          </cell>
          <cell r="E5281" t="str">
            <v>90 ELL</v>
          </cell>
          <cell r="F5281">
            <v>2</v>
          </cell>
          <cell r="G5281" t="str">
            <v>CB300105000600</v>
          </cell>
          <cell r="H5281">
            <v>6</v>
          </cell>
          <cell r="I5281" t="str">
            <v>--</v>
          </cell>
          <cell r="J5281">
            <v>2</v>
          </cell>
          <cell r="K5281">
            <v>3</v>
          </cell>
        </row>
        <row r="5282">
          <cell r="A5282" t="str">
            <v>MC</v>
          </cell>
          <cell r="B5282" t="str">
            <v>CA304</v>
          </cell>
          <cell r="C5282" t="str">
            <v>CMC</v>
          </cell>
          <cell r="D5282" t="str">
            <v>HOLD</v>
          </cell>
          <cell r="E5282" t="str">
            <v>90 ELL</v>
          </cell>
          <cell r="F5282">
            <v>2</v>
          </cell>
          <cell r="G5282" t="str">
            <v>CB300105000600</v>
          </cell>
          <cell r="H5282">
            <v>6</v>
          </cell>
          <cell r="I5282" t="str">
            <v>--</v>
          </cell>
          <cell r="J5282">
            <v>1</v>
          </cell>
          <cell r="K5282">
            <v>2</v>
          </cell>
        </row>
        <row r="5283">
          <cell r="A5283" t="str">
            <v>MC</v>
          </cell>
          <cell r="B5283" t="str">
            <v>CA304</v>
          </cell>
          <cell r="C5283" t="str">
            <v>CMC</v>
          </cell>
          <cell r="D5283" t="str">
            <v>HOLD</v>
          </cell>
          <cell r="E5283" t="str">
            <v>90 ELL</v>
          </cell>
          <cell r="F5283">
            <v>2</v>
          </cell>
          <cell r="G5283" t="str">
            <v>CB300105000600</v>
          </cell>
          <cell r="H5283">
            <v>6</v>
          </cell>
          <cell r="I5283" t="str">
            <v>--</v>
          </cell>
          <cell r="J5283">
            <v>4</v>
          </cell>
          <cell r="K5283">
            <v>5</v>
          </cell>
        </row>
        <row r="5284">
          <cell r="A5284" t="str">
            <v>MC</v>
          </cell>
          <cell r="B5284" t="str">
            <v>CA304</v>
          </cell>
          <cell r="C5284" t="str">
            <v>CMC</v>
          </cell>
          <cell r="D5284" t="str">
            <v>HOLD</v>
          </cell>
          <cell r="E5284" t="str">
            <v>90 ELL</v>
          </cell>
          <cell r="F5284">
            <v>2</v>
          </cell>
          <cell r="G5284" t="str">
            <v>CB300105000600</v>
          </cell>
          <cell r="H5284">
            <v>6</v>
          </cell>
          <cell r="I5284" t="str">
            <v>--</v>
          </cell>
          <cell r="J5284">
            <v>1</v>
          </cell>
          <cell r="K5284">
            <v>2</v>
          </cell>
        </row>
        <row r="5285">
          <cell r="A5285" t="str">
            <v>MC</v>
          </cell>
          <cell r="B5285" t="str">
            <v>CA307</v>
          </cell>
          <cell r="C5285" t="str">
            <v>HCL</v>
          </cell>
          <cell r="D5285" t="str">
            <v>1100</v>
          </cell>
          <cell r="E5285" t="str">
            <v>90 ELL</v>
          </cell>
          <cell r="F5285">
            <v>2</v>
          </cell>
          <cell r="G5285" t="str">
            <v>CB300105000600</v>
          </cell>
          <cell r="H5285">
            <v>6</v>
          </cell>
          <cell r="I5285" t="str">
            <v>--</v>
          </cell>
          <cell r="J5285">
            <v>13</v>
          </cell>
          <cell r="K5285">
            <v>15</v>
          </cell>
        </row>
        <row r="5286">
          <cell r="A5286" t="str">
            <v>MC</v>
          </cell>
          <cell r="B5286" t="str">
            <v>CA304</v>
          </cell>
          <cell r="C5286" t="str">
            <v>MC</v>
          </cell>
          <cell r="D5286" t="str">
            <v>2410</v>
          </cell>
          <cell r="E5286" t="str">
            <v>90 ELL</v>
          </cell>
          <cell r="F5286">
            <v>2</v>
          </cell>
          <cell r="G5286" t="str">
            <v>CB300105000600</v>
          </cell>
          <cell r="H5286">
            <v>6</v>
          </cell>
          <cell r="I5286" t="str">
            <v>--</v>
          </cell>
          <cell r="J5286">
            <v>3</v>
          </cell>
          <cell r="K5286">
            <v>4</v>
          </cell>
        </row>
        <row r="5287">
          <cell r="A5287" t="str">
            <v>MC</v>
          </cell>
          <cell r="B5287" t="str">
            <v>CA304</v>
          </cell>
          <cell r="C5287" t="str">
            <v>MC</v>
          </cell>
          <cell r="D5287" t="str">
            <v>2412</v>
          </cell>
          <cell r="E5287" t="str">
            <v>90 ELL</v>
          </cell>
          <cell r="F5287">
            <v>2</v>
          </cell>
          <cell r="G5287" t="str">
            <v>CB300105000600</v>
          </cell>
          <cell r="H5287">
            <v>6</v>
          </cell>
          <cell r="I5287" t="str">
            <v>--</v>
          </cell>
          <cell r="J5287">
            <v>4</v>
          </cell>
          <cell r="K5287">
            <v>5</v>
          </cell>
        </row>
        <row r="5288">
          <cell r="A5288" t="str">
            <v>MC</v>
          </cell>
          <cell r="B5288" t="str">
            <v>BA305</v>
          </cell>
          <cell r="C5288" t="str">
            <v>MOH</v>
          </cell>
          <cell r="D5288" t="str">
            <v>HOLD</v>
          </cell>
          <cell r="E5288" t="str">
            <v>90 ELL</v>
          </cell>
          <cell r="F5288">
            <v>2</v>
          </cell>
          <cell r="G5288" t="str">
            <v>CB300105000600</v>
          </cell>
          <cell r="H5288">
            <v>6</v>
          </cell>
          <cell r="I5288" t="str">
            <v>--</v>
          </cell>
          <cell r="J5288">
            <v>3</v>
          </cell>
          <cell r="K5288">
            <v>4</v>
          </cell>
        </row>
        <row r="5289">
          <cell r="A5289" t="str">
            <v>MC</v>
          </cell>
          <cell r="B5289" t="str">
            <v>CA304</v>
          </cell>
          <cell r="C5289" t="str">
            <v>MC</v>
          </cell>
          <cell r="D5289" t="str">
            <v>2613</v>
          </cell>
          <cell r="E5289" t="str">
            <v>90 ELL</v>
          </cell>
          <cell r="F5289">
            <v>2</v>
          </cell>
          <cell r="G5289" t="str">
            <v>CB300105000600</v>
          </cell>
          <cell r="H5289">
            <v>6</v>
          </cell>
          <cell r="I5289" t="str">
            <v>--</v>
          </cell>
          <cell r="J5289">
            <v>9</v>
          </cell>
          <cell r="K5289">
            <v>11</v>
          </cell>
        </row>
        <row r="5290">
          <cell r="A5290" t="str">
            <v>MC</v>
          </cell>
          <cell r="B5290" t="str">
            <v>CA307</v>
          </cell>
          <cell r="C5290" t="str">
            <v>HCL</v>
          </cell>
          <cell r="D5290" t="str">
            <v>1100</v>
          </cell>
          <cell r="E5290" t="str">
            <v>SOL</v>
          </cell>
          <cell r="F5290">
            <v>2</v>
          </cell>
          <cell r="G5290" t="str">
            <v>CB39020000060T</v>
          </cell>
          <cell r="H5290">
            <v>6</v>
          </cell>
          <cell r="I5290">
            <v>0.75</v>
          </cell>
          <cell r="J5290">
            <v>4</v>
          </cell>
          <cell r="K5290">
            <v>5</v>
          </cell>
        </row>
        <row r="5291">
          <cell r="A5291" t="str">
            <v>MC</v>
          </cell>
          <cell r="B5291" t="str">
            <v>CA304</v>
          </cell>
          <cell r="C5291" t="str">
            <v>MC</v>
          </cell>
          <cell r="D5291" t="str">
            <v>2410</v>
          </cell>
          <cell r="E5291" t="str">
            <v>SOL</v>
          </cell>
          <cell r="F5291">
            <v>2</v>
          </cell>
          <cell r="G5291" t="str">
            <v>CB39020000060T</v>
          </cell>
          <cell r="H5291">
            <v>6</v>
          </cell>
          <cell r="I5291">
            <v>0.75</v>
          </cell>
          <cell r="J5291">
            <v>3</v>
          </cell>
          <cell r="K5291">
            <v>4</v>
          </cell>
        </row>
        <row r="5292">
          <cell r="A5292" t="str">
            <v>MC</v>
          </cell>
          <cell r="B5292" t="str">
            <v>CA304</v>
          </cell>
          <cell r="C5292" t="str">
            <v>MC</v>
          </cell>
          <cell r="D5292" t="str">
            <v>2412</v>
          </cell>
          <cell r="E5292" t="str">
            <v>SOL</v>
          </cell>
          <cell r="F5292">
            <v>2</v>
          </cell>
          <cell r="G5292" t="str">
            <v>CB39020000060T</v>
          </cell>
          <cell r="H5292">
            <v>6</v>
          </cell>
          <cell r="I5292">
            <v>0.75</v>
          </cell>
          <cell r="J5292">
            <v>1</v>
          </cell>
          <cell r="K5292">
            <v>2</v>
          </cell>
        </row>
        <row r="5293">
          <cell r="A5293" t="str">
            <v>MC</v>
          </cell>
          <cell r="B5293" t="str">
            <v>CA304</v>
          </cell>
          <cell r="C5293" t="str">
            <v>CMC</v>
          </cell>
          <cell r="D5293" t="str">
            <v>HOLD</v>
          </cell>
          <cell r="E5293" t="str">
            <v>TEE</v>
          </cell>
          <cell r="F5293">
            <v>2</v>
          </cell>
          <cell r="G5293" t="str">
            <v>CB300305000600</v>
          </cell>
          <cell r="H5293">
            <v>6</v>
          </cell>
          <cell r="I5293" t="str">
            <v>--</v>
          </cell>
          <cell r="J5293">
            <v>1</v>
          </cell>
          <cell r="K5293">
            <v>2</v>
          </cell>
        </row>
        <row r="5294">
          <cell r="A5294" t="str">
            <v>MC</v>
          </cell>
          <cell r="B5294" t="str">
            <v>CA307</v>
          </cell>
          <cell r="C5294" t="str">
            <v>HCL</v>
          </cell>
          <cell r="D5294" t="str">
            <v>1100</v>
          </cell>
          <cell r="E5294" t="str">
            <v>TEE</v>
          </cell>
          <cell r="F5294">
            <v>2</v>
          </cell>
          <cell r="G5294" t="str">
            <v>CB300305000600</v>
          </cell>
          <cell r="H5294">
            <v>6</v>
          </cell>
          <cell r="I5294" t="str">
            <v>--</v>
          </cell>
          <cell r="J5294">
            <v>1</v>
          </cell>
          <cell r="K5294">
            <v>2</v>
          </cell>
        </row>
        <row r="5295">
          <cell r="A5295" t="str">
            <v>MC</v>
          </cell>
          <cell r="B5295" t="str">
            <v>CA307</v>
          </cell>
          <cell r="C5295" t="str">
            <v>HCLG</v>
          </cell>
          <cell r="D5295" t="str">
            <v>1100</v>
          </cell>
          <cell r="E5295" t="str">
            <v>TOL</v>
          </cell>
          <cell r="F5295">
            <v>2</v>
          </cell>
          <cell r="G5295" t="str">
            <v>CB39030000060T</v>
          </cell>
          <cell r="H5295">
            <v>6</v>
          </cell>
          <cell r="I5295">
            <v>0.75</v>
          </cell>
          <cell r="J5295">
            <v>1</v>
          </cell>
          <cell r="K5295">
            <v>2</v>
          </cell>
        </row>
        <row r="5296">
          <cell r="A5296" t="str">
            <v>MC</v>
          </cell>
          <cell r="B5296" t="str">
            <v>CA304</v>
          </cell>
          <cell r="C5296" t="str">
            <v>MC</v>
          </cell>
          <cell r="D5296" t="str">
            <v>2502</v>
          </cell>
          <cell r="E5296" t="str">
            <v>45 ELL</v>
          </cell>
          <cell r="F5296">
            <v>2</v>
          </cell>
          <cell r="G5296" t="str">
            <v>CB300205000600</v>
          </cell>
          <cell r="H5296">
            <v>6</v>
          </cell>
          <cell r="I5296" t="str">
            <v>--</v>
          </cell>
          <cell r="J5296">
            <v>1</v>
          </cell>
          <cell r="K5296">
            <v>2</v>
          </cell>
        </row>
        <row r="5297">
          <cell r="A5297" t="str">
            <v>MC</v>
          </cell>
          <cell r="B5297" t="str">
            <v>CA304</v>
          </cell>
          <cell r="C5297" t="str">
            <v>MC</v>
          </cell>
          <cell r="D5297" t="str">
            <v>2504</v>
          </cell>
          <cell r="E5297" t="str">
            <v>90 ELL</v>
          </cell>
          <cell r="F5297">
            <v>2</v>
          </cell>
          <cell r="G5297" t="str">
            <v>CB300105000600</v>
          </cell>
          <cell r="H5297">
            <v>6</v>
          </cell>
          <cell r="I5297" t="str">
            <v>--</v>
          </cell>
          <cell r="J5297">
            <v>7</v>
          </cell>
          <cell r="K5297">
            <v>9</v>
          </cell>
        </row>
        <row r="5298">
          <cell r="A5298" t="str">
            <v>MC</v>
          </cell>
          <cell r="B5298" t="str">
            <v>BA305</v>
          </cell>
          <cell r="C5298" t="str">
            <v>MOH</v>
          </cell>
          <cell r="D5298" t="str">
            <v>2103</v>
          </cell>
          <cell r="E5298" t="str">
            <v>90 ELL</v>
          </cell>
          <cell r="F5298">
            <v>2</v>
          </cell>
          <cell r="G5298" t="str">
            <v>CB300105000600</v>
          </cell>
          <cell r="H5298">
            <v>6</v>
          </cell>
          <cell r="I5298" t="str">
            <v>--</v>
          </cell>
          <cell r="J5298">
            <v>5</v>
          </cell>
          <cell r="K5298">
            <v>6</v>
          </cell>
        </row>
        <row r="5299">
          <cell r="A5299" t="str">
            <v>MC</v>
          </cell>
          <cell r="B5299" t="str">
            <v>CA304</v>
          </cell>
          <cell r="C5299" t="str">
            <v>MC</v>
          </cell>
          <cell r="D5299" t="str">
            <v>2502</v>
          </cell>
          <cell r="E5299" t="str">
            <v>90 ELL</v>
          </cell>
          <cell r="F5299">
            <v>2</v>
          </cell>
          <cell r="G5299" t="str">
            <v>CB300105000600</v>
          </cell>
          <cell r="H5299">
            <v>6</v>
          </cell>
          <cell r="I5299" t="str">
            <v>--</v>
          </cell>
          <cell r="J5299">
            <v>4</v>
          </cell>
          <cell r="K5299">
            <v>5</v>
          </cell>
        </row>
        <row r="5300">
          <cell r="A5300" t="str">
            <v>MC</v>
          </cell>
          <cell r="B5300" t="str">
            <v>CA304</v>
          </cell>
          <cell r="C5300" t="str">
            <v>MC</v>
          </cell>
          <cell r="D5300" t="str">
            <v>2502</v>
          </cell>
          <cell r="E5300" t="str">
            <v>90 ELL</v>
          </cell>
          <cell r="F5300">
            <v>2</v>
          </cell>
          <cell r="G5300" t="str">
            <v>CB300105000600</v>
          </cell>
          <cell r="H5300">
            <v>6</v>
          </cell>
          <cell r="I5300" t="str">
            <v>--</v>
          </cell>
          <cell r="J5300">
            <v>6</v>
          </cell>
          <cell r="K5300">
            <v>7</v>
          </cell>
        </row>
        <row r="5301">
          <cell r="A5301" t="str">
            <v>MC</v>
          </cell>
          <cell r="B5301" t="str">
            <v>BA305</v>
          </cell>
          <cell r="C5301" t="str">
            <v>MOH</v>
          </cell>
          <cell r="D5301" t="str">
            <v>2103</v>
          </cell>
          <cell r="E5301" t="str">
            <v>E RED</v>
          </cell>
          <cell r="F5301">
            <v>2</v>
          </cell>
          <cell r="G5301" t="str">
            <v>CB300605050604</v>
          </cell>
          <cell r="H5301">
            <v>6</v>
          </cell>
          <cell r="I5301">
            <v>4</v>
          </cell>
          <cell r="J5301">
            <v>2</v>
          </cell>
          <cell r="K5301">
            <v>3</v>
          </cell>
        </row>
        <row r="5302">
          <cell r="A5302" t="str">
            <v>MC</v>
          </cell>
          <cell r="B5302" t="str">
            <v>CA304</v>
          </cell>
          <cell r="C5302" t="str">
            <v>MC</v>
          </cell>
          <cell r="D5302" t="str">
            <v>2502</v>
          </cell>
          <cell r="E5302" t="str">
            <v>SOL</v>
          </cell>
          <cell r="F5302">
            <v>2</v>
          </cell>
          <cell r="G5302" t="str">
            <v>CB39020000060T</v>
          </cell>
          <cell r="H5302">
            <v>6</v>
          </cell>
          <cell r="I5302">
            <v>0.75</v>
          </cell>
          <cell r="J5302">
            <v>2</v>
          </cell>
          <cell r="K5302">
            <v>3</v>
          </cell>
        </row>
        <row r="5303">
          <cell r="A5303" t="str">
            <v>MC</v>
          </cell>
          <cell r="B5303" t="str">
            <v>CA304</v>
          </cell>
          <cell r="C5303" t="str">
            <v>MC</v>
          </cell>
          <cell r="D5303" t="str">
            <v>2502</v>
          </cell>
          <cell r="E5303" t="str">
            <v>SOL</v>
          </cell>
          <cell r="F5303">
            <v>2</v>
          </cell>
          <cell r="G5303" t="str">
            <v>CB39020000060T</v>
          </cell>
          <cell r="H5303">
            <v>6</v>
          </cell>
          <cell r="I5303">
            <v>0.75</v>
          </cell>
          <cell r="J5303">
            <v>1</v>
          </cell>
          <cell r="K5303">
            <v>2</v>
          </cell>
        </row>
        <row r="5304">
          <cell r="A5304" t="str">
            <v>MC</v>
          </cell>
          <cell r="B5304" t="str">
            <v>CA304</v>
          </cell>
          <cell r="C5304" t="str">
            <v>MC</v>
          </cell>
          <cell r="D5304" t="str">
            <v>2504</v>
          </cell>
          <cell r="E5304" t="str">
            <v>SOL</v>
          </cell>
          <cell r="F5304">
            <v>2</v>
          </cell>
          <cell r="G5304" t="str">
            <v>CB3902000006IH</v>
          </cell>
          <cell r="H5304">
            <v>6</v>
          </cell>
          <cell r="I5304">
            <v>1.5</v>
          </cell>
          <cell r="J5304">
            <v>2</v>
          </cell>
          <cell r="K5304">
            <v>3</v>
          </cell>
        </row>
        <row r="5305">
          <cell r="A5305" t="str">
            <v>MC</v>
          </cell>
          <cell r="B5305" t="str">
            <v>CA304</v>
          </cell>
          <cell r="C5305" t="str">
            <v>MC</v>
          </cell>
          <cell r="D5305" t="str">
            <v>2502</v>
          </cell>
          <cell r="E5305" t="str">
            <v>SOL</v>
          </cell>
          <cell r="F5305">
            <v>2</v>
          </cell>
          <cell r="G5305" t="str">
            <v>CB39020000060T</v>
          </cell>
          <cell r="H5305">
            <v>6</v>
          </cell>
          <cell r="I5305">
            <v>0.75</v>
          </cell>
          <cell r="J5305">
            <v>2</v>
          </cell>
          <cell r="K5305">
            <v>3</v>
          </cell>
        </row>
        <row r="5306">
          <cell r="A5306" t="str">
            <v>MC</v>
          </cell>
          <cell r="B5306" t="str">
            <v>CA304</v>
          </cell>
          <cell r="C5306" t="str">
            <v>MC</v>
          </cell>
          <cell r="D5306" t="str">
            <v>2504</v>
          </cell>
          <cell r="E5306" t="str">
            <v>SOL</v>
          </cell>
          <cell r="F5306">
            <v>2</v>
          </cell>
          <cell r="G5306" t="str">
            <v>CB39020000060T</v>
          </cell>
          <cell r="H5306">
            <v>6</v>
          </cell>
          <cell r="I5306">
            <v>0.75</v>
          </cell>
          <cell r="J5306">
            <v>3</v>
          </cell>
          <cell r="K5306">
            <v>4</v>
          </cell>
        </row>
        <row r="5307">
          <cell r="A5307" t="str">
            <v>MC</v>
          </cell>
          <cell r="B5307" t="str">
            <v>CA304</v>
          </cell>
          <cell r="C5307" t="str">
            <v>MC</v>
          </cell>
          <cell r="D5307" t="str">
            <v>2502</v>
          </cell>
          <cell r="E5307" t="str">
            <v>TEE</v>
          </cell>
          <cell r="F5307">
            <v>2</v>
          </cell>
          <cell r="G5307" t="str">
            <v>CB300305000600</v>
          </cell>
          <cell r="H5307">
            <v>6</v>
          </cell>
          <cell r="I5307" t="str">
            <v>--</v>
          </cell>
          <cell r="J5307">
            <v>1</v>
          </cell>
          <cell r="K5307">
            <v>2</v>
          </cell>
        </row>
        <row r="5308">
          <cell r="A5308" t="str">
            <v>MC</v>
          </cell>
          <cell r="B5308" t="str">
            <v>BA305</v>
          </cell>
          <cell r="C5308" t="str">
            <v>MOH</v>
          </cell>
          <cell r="D5308" t="str">
            <v>2103</v>
          </cell>
          <cell r="E5308" t="str">
            <v>TEE</v>
          </cell>
          <cell r="F5308">
            <v>2</v>
          </cell>
          <cell r="G5308" t="str">
            <v>CB300305000600</v>
          </cell>
          <cell r="H5308">
            <v>6</v>
          </cell>
          <cell r="I5308" t="str">
            <v>--</v>
          </cell>
          <cell r="J5308">
            <v>1</v>
          </cell>
          <cell r="K5308">
            <v>2</v>
          </cell>
        </row>
        <row r="5309">
          <cell r="A5309" t="str">
            <v>MC</v>
          </cell>
          <cell r="B5309" t="str">
            <v>B2C</v>
          </cell>
          <cell r="C5309" t="str">
            <v>SH</v>
          </cell>
          <cell r="D5309" t="str">
            <v>1360</v>
          </cell>
          <cell r="E5309" t="str">
            <v>90 ELL</v>
          </cell>
          <cell r="F5309">
            <v>2</v>
          </cell>
          <cell r="G5309" t="str">
            <v>CB300104000800</v>
          </cell>
          <cell r="H5309">
            <v>8</v>
          </cell>
          <cell r="I5309" t="str">
            <v>--</v>
          </cell>
          <cell r="J5309">
            <v>7</v>
          </cell>
          <cell r="K5309">
            <v>9</v>
          </cell>
        </row>
        <row r="5310">
          <cell r="A5310" t="str">
            <v>MC</v>
          </cell>
          <cell r="B5310" t="str">
            <v>B2C</v>
          </cell>
          <cell r="C5310" t="str">
            <v>SH</v>
          </cell>
          <cell r="D5310" t="str">
            <v>1360</v>
          </cell>
          <cell r="E5310" t="str">
            <v>E RED</v>
          </cell>
          <cell r="F5310">
            <v>2</v>
          </cell>
          <cell r="G5310" t="str">
            <v>CB300604040806</v>
          </cell>
          <cell r="H5310">
            <v>8</v>
          </cell>
          <cell r="I5310">
            <v>6</v>
          </cell>
          <cell r="J5310">
            <v>2</v>
          </cell>
          <cell r="K5310">
            <v>3</v>
          </cell>
        </row>
        <row r="5311">
          <cell r="A5311" t="str">
            <v>MC</v>
          </cell>
          <cell r="B5311" t="str">
            <v>B2C</v>
          </cell>
          <cell r="C5311" t="str">
            <v>SH</v>
          </cell>
          <cell r="D5311" t="str">
            <v>1360</v>
          </cell>
          <cell r="E5311" t="str">
            <v>SOL</v>
          </cell>
          <cell r="F5311">
            <v>2</v>
          </cell>
          <cell r="G5311" t="str">
            <v>CB39020000080T</v>
          </cell>
          <cell r="H5311">
            <v>8</v>
          </cell>
          <cell r="I5311">
            <v>0.75</v>
          </cell>
          <cell r="J5311">
            <v>2</v>
          </cell>
          <cell r="K5311">
            <v>3</v>
          </cell>
        </row>
        <row r="5312">
          <cell r="A5312" t="str">
            <v>MC</v>
          </cell>
          <cell r="B5312" t="str">
            <v>CA304</v>
          </cell>
          <cell r="C5312" t="str">
            <v>MC</v>
          </cell>
          <cell r="D5312" t="str">
            <v>2501</v>
          </cell>
          <cell r="E5312" t="str">
            <v>90 ELL</v>
          </cell>
          <cell r="F5312">
            <v>2</v>
          </cell>
          <cell r="G5312" t="str">
            <v>CB300105000800</v>
          </cell>
          <cell r="H5312">
            <v>8</v>
          </cell>
          <cell r="I5312" t="str">
            <v>--</v>
          </cell>
          <cell r="J5312">
            <v>3</v>
          </cell>
          <cell r="K5312">
            <v>4</v>
          </cell>
        </row>
        <row r="5313">
          <cell r="A5313" t="str">
            <v>MC</v>
          </cell>
          <cell r="B5313" t="str">
            <v>CA304</v>
          </cell>
          <cell r="C5313" t="str">
            <v>MC</v>
          </cell>
          <cell r="D5313" t="str">
            <v>2501</v>
          </cell>
          <cell r="E5313" t="str">
            <v>90 ELL</v>
          </cell>
          <cell r="F5313">
            <v>2</v>
          </cell>
          <cell r="G5313" t="str">
            <v>CB300105000800</v>
          </cell>
          <cell r="H5313">
            <v>8</v>
          </cell>
          <cell r="I5313" t="str">
            <v>--</v>
          </cell>
          <cell r="J5313">
            <v>3</v>
          </cell>
          <cell r="K5313">
            <v>4</v>
          </cell>
        </row>
        <row r="5314">
          <cell r="A5314" t="str">
            <v>MC</v>
          </cell>
          <cell r="B5314" t="str">
            <v>CA304</v>
          </cell>
          <cell r="C5314" t="str">
            <v>MC</v>
          </cell>
          <cell r="D5314" t="str">
            <v>2501</v>
          </cell>
          <cell r="E5314" t="str">
            <v>90 ELL</v>
          </cell>
          <cell r="F5314">
            <v>2</v>
          </cell>
          <cell r="G5314" t="str">
            <v>CB300105000800</v>
          </cell>
          <cell r="H5314">
            <v>8</v>
          </cell>
          <cell r="I5314" t="str">
            <v>--</v>
          </cell>
          <cell r="J5314">
            <v>4</v>
          </cell>
          <cell r="K5314">
            <v>5</v>
          </cell>
        </row>
        <row r="5315">
          <cell r="A5315" t="str">
            <v>MC</v>
          </cell>
          <cell r="B5315" t="str">
            <v>CA304</v>
          </cell>
          <cell r="C5315" t="str">
            <v>MC</v>
          </cell>
          <cell r="D5315" t="str">
            <v>2501</v>
          </cell>
          <cell r="E5315" t="str">
            <v>E RED</v>
          </cell>
          <cell r="F5315">
            <v>2</v>
          </cell>
          <cell r="G5315" t="str">
            <v>CB300605050806</v>
          </cell>
          <cell r="H5315">
            <v>8</v>
          </cell>
          <cell r="I5315">
            <v>6</v>
          </cell>
          <cell r="J5315">
            <v>1</v>
          </cell>
          <cell r="K5315">
            <v>2</v>
          </cell>
        </row>
        <row r="5316">
          <cell r="A5316" t="str">
            <v>MC</v>
          </cell>
          <cell r="B5316" t="str">
            <v>CA304</v>
          </cell>
          <cell r="C5316" t="str">
            <v>MC</v>
          </cell>
          <cell r="D5316" t="str">
            <v>2501</v>
          </cell>
          <cell r="E5316" t="str">
            <v>SOL</v>
          </cell>
          <cell r="F5316">
            <v>2</v>
          </cell>
          <cell r="G5316" t="str">
            <v>CB39020000080T</v>
          </cell>
          <cell r="H5316">
            <v>8</v>
          </cell>
          <cell r="I5316">
            <v>0.75</v>
          </cell>
          <cell r="J5316">
            <v>1</v>
          </cell>
          <cell r="K5316">
            <v>2</v>
          </cell>
        </row>
        <row r="5317">
          <cell r="A5317" t="str">
            <v>MC</v>
          </cell>
          <cell r="B5317" t="str">
            <v>CA304</v>
          </cell>
          <cell r="C5317" t="str">
            <v>MC</v>
          </cell>
          <cell r="D5317" t="str">
            <v>2501</v>
          </cell>
          <cell r="E5317" t="str">
            <v>SOL</v>
          </cell>
          <cell r="F5317">
            <v>2</v>
          </cell>
          <cell r="G5317" t="str">
            <v>CB39020000080T</v>
          </cell>
          <cell r="H5317">
            <v>8</v>
          </cell>
          <cell r="I5317">
            <v>0.75</v>
          </cell>
          <cell r="J5317">
            <v>3</v>
          </cell>
          <cell r="K5317">
            <v>4</v>
          </cell>
        </row>
        <row r="5318">
          <cell r="A5318" t="str">
            <v>MC</v>
          </cell>
          <cell r="B5318" t="str">
            <v>CA304</v>
          </cell>
          <cell r="C5318" t="str">
            <v>MC</v>
          </cell>
          <cell r="D5318" t="str">
            <v>2501</v>
          </cell>
          <cell r="E5318" t="str">
            <v>SOL</v>
          </cell>
          <cell r="F5318">
            <v>2</v>
          </cell>
          <cell r="G5318" t="str">
            <v>CB39020000080T</v>
          </cell>
          <cell r="H5318">
            <v>8</v>
          </cell>
          <cell r="I5318">
            <v>0.75</v>
          </cell>
          <cell r="J5318">
            <v>3</v>
          </cell>
          <cell r="K5318">
            <v>4</v>
          </cell>
        </row>
        <row r="5319">
          <cell r="A5319" t="str">
            <v>MC</v>
          </cell>
          <cell r="B5319" t="str">
            <v>CA304</v>
          </cell>
          <cell r="C5319" t="str">
            <v>MC</v>
          </cell>
          <cell r="D5319" t="str">
            <v>2501</v>
          </cell>
          <cell r="E5319" t="str">
            <v>TEE</v>
          </cell>
          <cell r="F5319">
            <v>2</v>
          </cell>
          <cell r="G5319" t="str">
            <v>CB300305000800</v>
          </cell>
          <cell r="H5319">
            <v>8</v>
          </cell>
          <cell r="I5319" t="str">
            <v>--</v>
          </cell>
          <cell r="J5319">
            <v>1</v>
          </cell>
          <cell r="K5319">
            <v>2</v>
          </cell>
        </row>
        <row r="5320">
          <cell r="A5320" t="str">
            <v>MC</v>
          </cell>
          <cell r="B5320" t="str">
            <v>B2C</v>
          </cell>
          <cell r="C5320" t="str">
            <v>SH</v>
          </cell>
          <cell r="D5320" t="str">
            <v>1000</v>
          </cell>
          <cell r="E5320" t="str">
            <v>90 ELL</v>
          </cell>
          <cell r="F5320">
            <v>2</v>
          </cell>
          <cell r="G5320" t="str">
            <v>CB300104001000</v>
          </cell>
          <cell r="H5320">
            <v>10</v>
          </cell>
          <cell r="I5320" t="str">
            <v>--</v>
          </cell>
          <cell r="J5320">
            <v>6</v>
          </cell>
          <cell r="K5320">
            <v>7</v>
          </cell>
        </row>
        <row r="5321">
          <cell r="A5321" t="str">
            <v>MC</v>
          </cell>
          <cell r="B5321" t="str">
            <v>B2C</v>
          </cell>
          <cell r="C5321" t="str">
            <v>SH</v>
          </cell>
          <cell r="D5321" t="str">
            <v>1000</v>
          </cell>
          <cell r="E5321" t="str">
            <v>SOL</v>
          </cell>
          <cell r="F5321">
            <v>2</v>
          </cell>
          <cell r="G5321" t="str">
            <v>CB3902000010IH</v>
          </cell>
          <cell r="H5321">
            <v>10</v>
          </cell>
          <cell r="I5321">
            <v>1.5</v>
          </cell>
          <cell r="J5321">
            <v>1</v>
          </cell>
          <cell r="K5321">
            <v>2</v>
          </cell>
        </row>
        <row r="5322">
          <cell r="A5322" t="str">
            <v>MC</v>
          </cell>
          <cell r="B5322" t="str">
            <v>B2C</v>
          </cell>
          <cell r="C5322" t="str">
            <v>SH</v>
          </cell>
          <cell r="D5322" t="str">
            <v>1000</v>
          </cell>
          <cell r="E5322" t="str">
            <v>SOL</v>
          </cell>
          <cell r="F5322">
            <v>2</v>
          </cell>
          <cell r="G5322" t="str">
            <v>CB39020000100T</v>
          </cell>
          <cell r="H5322">
            <v>10</v>
          </cell>
          <cell r="I5322">
            <v>0.75</v>
          </cell>
          <cell r="J5322">
            <v>1</v>
          </cell>
          <cell r="K5322">
            <v>2</v>
          </cell>
        </row>
        <row r="5323">
          <cell r="A5323" t="str">
            <v>MC</v>
          </cell>
          <cell r="B5323" t="str">
            <v>CA304</v>
          </cell>
          <cell r="C5323" t="str">
            <v>VT</v>
          </cell>
          <cell r="D5323" t="str">
            <v>HOLD</v>
          </cell>
          <cell r="E5323" t="str">
            <v>90 ELL</v>
          </cell>
          <cell r="F5323">
            <v>2</v>
          </cell>
          <cell r="G5323" t="str">
            <v>CB300105001000</v>
          </cell>
          <cell r="H5323">
            <v>10</v>
          </cell>
          <cell r="I5323" t="str">
            <v>--</v>
          </cell>
          <cell r="J5323">
            <v>3</v>
          </cell>
          <cell r="K5323">
            <v>4</v>
          </cell>
        </row>
        <row r="5324">
          <cell r="A5324" t="str">
            <v>MC</v>
          </cell>
          <cell r="B5324" t="str">
            <v>CA304</v>
          </cell>
          <cell r="C5324" t="str">
            <v>VT</v>
          </cell>
          <cell r="D5324" t="str">
            <v>HOLD</v>
          </cell>
          <cell r="E5324" t="str">
            <v>SOL</v>
          </cell>
          <cell r="F5324">
            <v>2</v>
          </cell>
          <cell r="G5324" t="str">
            <v>CB3902000010IH</v>
          </cell>
          <cell r="H5324">
            <v>10</v>
          </cell>
          <cell r="I5324">
            <v>1.5</v>
          </cell>
          <cell r="J5324">
            <v>1</v>
          </cell>
          <cell r="K5324">
            <v>2</v>
          </cell>
        </row>
        <row r="5325">
          <cell r="A5325" t="str">
            <v>MC</v>
          </cell>
          <cell r="B5325" t="str">
            <v>BA312</v>
          </cell>
          <cell r="C5325" t="str">
            <v>SA98</v>
          </cell>
          <cell r="D5325" t="str">
            <v>2411</v>
          </cell>
          <cell r="E5325" t="str">
            <v>WN FLG</v>
          </cell>
          <cell r="F5325">
            <v>3</v>
          </cell>
          <cell r="G5325" t="str">
            <v>CB200208000H00</v>
          </cell>
          <cell r="H5325">
            <v>0.5</v>
          </cell>
          <cell r="I5325" t="str">
            <v>--</v>
          </cell>
          <cell r="J5325">
            <v>2</v>
          </cell>
          <cell r="K5325">
            <v>2</v>
          </cell>
        </row>
        <row r="5326">
          <cell r="A5326" t="str">
            <v>MC</v>
          </cell>
          <cell r="B5326" t="str">
            <v>CA304</v>
          </cell>
          <cell r="C5326" t="str">
            <v>MC</v>
          </cell>
          <cell r="D5326" t="str">
            <v>HOLD</v>
          </cell>
          <cell r="E5326" t="str">
            <v>SW FLG</v>
          </cell>
          <cell r="F5326">
            <v>3</v>
          </cell>
          <cell r="G5326" t="str">
            <v>CB241208000H00</v>
          </cell>
          <cell r="H5326">
            <v>0.5</v>
          </cell>
          <cell r="I5326" t="str">
            <v>--</v>
          </cell>
          <cell r="J5326">
            <v>1</v>
          </cell>
          <cell r="K5326">
            <v>1</v>
          </cell>
        </row>
        <row r="5327">
          <cell r="A5327" t="str">
            <v>MC</v>
          </cell>
          <cell r="B5327" t="str">
            <v>BA305</v>
          </cell>
          <cell r="C5327" t="str">
            <v>MOH</v>
          </cell>
          <cell r="D5327" t="str">
            <v>2112</v>
          </cell>
          <cell r="E5327" t="str">
            <v>SW FLG</v>
          </cell>
          <cell r="F5327">
            <v>3</v>
          </cell>
          <cell r="G5327" t="str">
            <v>CB240208000T00</v>
          </cell>
          <cell r="H5327">
            <v>0.75</v>
          </cell>
          <cell r="I5327" t="str">
            <v>--</v>
          </cell>
          <cell r="J5327">
            <v>4</v>
          </cell>
          <cell r="K5327">
            <v>4</v>
          </cell>
        </row>
        <row r="5328">
          <cell r="A5328" t="str">
            <v>MC</v>
          </cell>
          <cell r="B5328" t="str">
            <v>BA302</v>
          </cell>
          <cell r="C5328" t="str">
            <v>SD20</v>
          </cell>
          <cell r="D5328" t="str">
            <v>2301</v>
          </cell>
          <cell r="E5328" t="str">
            <v>SW FLG</v>
          </cell>
          <cell r="F5328">
            <v>3</v>
          </cell>
          <cell r="G5328" t="str">
            <v>CB240208000T00</v>
          </cell>
          <cell r="H5328">
            <v>0.75</v>
          </cell>
          <cell r="I5328" t="str">
            <v>--</v>
          </cell>
          <cell r="J5328">
            <v>2</v>
          </cell>
          <cell r="K5328">
            <v>2</v>
          </cell>
        </row>
        <row r="5329">
          <cell r="A5329" t="str">
            <v>MC</v>
          </cell>
          <cell r="B5329" t="str">
            <v>CA304</v>
          </cell>
          <cell r="C5329" t="str">
            <v>TRIM</v>
          </cell>
          <cell r="D5329" t="str">
            <v>F-1251</v>
          </cell>
          <cell r="E5329" t="str">
            <v>SW FLG</v>
          </cell>
          <cell r="F5329">
            <v>3</v>
          </cell>
          <cell r="G5329" t="str">
            <v>CB241208000T00</v>
          </cell>
          <cell r="H5329">
            <v>0.75</v>
          </cell>
          <cell r="I5329" t="str">
            <v>--</v>
          </cell>
          <cell r="J5329">
            <v>2</v>
          </cell>
          <cell r="K5329">
            <v>2</v>
          </cell>
        </row>
        <row r="5330">
          <cell r="A5330" t="str">
            <v>MC</v>
          </cell>
          <cell r="B5330" t="str">
            <v>CA304</v>
          </cell>
          <cell r="C5330" t="str">
            <v>TRIM</v>
          </cell>
          <cell r="D5330" t="str">
            <v>E-1260</v>
          </cell>
          <cell r="E5330" t="str">
            <v>SW FLG</v>
          </cell>
          <cell r="F5330">
            <v>3</v>
          </cell>
          <cell r="G5330" t="str">
            <v>CB241208000T00</v>
          </cell>
          <cell r="H5330">
            <v>0.75</v>
          </cell>
          <cell r="I5330" t="str">
            <v>--</v>
          </cell>
          <cell r="J5330">
            <v>1</v>
          </cell>
          <cell r="K5330">
            <v>1</v>
          </cell>
        </row>
        <row r="5331">
          <cell r="A5331" t="str">
            <v>MC</v>
          </cell>
          <cell r="B5331" t="str">
            <v>CA304</v>
          </cell>
          <cell r="C5331" t="str">
            <v>TRIM</v>
          </cell>
          <cell r="D5331" t="str">
            <v>V-1260A/B</v>
          </cell>
          <cell r="E5331" t="str">
            <v>SW FLG</v>
          </cell>
          <cell r="F5331">
            <v>3</v>
          </cell>
          <cell r="G5331" t="str">
            <v>CB241208000T00</v>
          </cell>
          <cell r="H5331">
            <v>0.75</v>
          </cell>
          <cell r="I5331" t="str">
            <v>--</v>
          </cell>
          <cell r="J5331">
            <v>1</v>
          </cell>
          <cell r="K5331">
            <v>1</v>
          </cell>
        </row>
        <row r="5332">
          <cell r="A5332" t="str">
            <v>MC</v>
          </cell>
          <cell r="B5332" t="str">
            <v>BA305</v>
          </cell>
          <cell r="C5332" t="str">
            <v>VNC</v>
          </cell>
          <cell r="D5332" t="str">
            <v>2016</v>
          </cell>
          <cell r="E5332" t="str">
            <v>SW FLG</v>
          </cell>
          <cell r="F5332">
            <v>3</v>
          </cell>
          <cell r="G5332" t="str">
            <v>CB240208000T00</v>
          </cell>
          <cell r="H5332">
            <v>0.75</v>
          </cell>
          <cell r="I5332" t="str">
            <v>--</v>
          </cell>
          <cell r="J5332">
            <v>1</v>
          </cell>
          <cell r="K5332">
            <v>1</v>
          </cell>
        </row>
        <row r="5333">
          <cell r="A5333" t="str">
            <v>MC</v>
          </cell>
          <cell r="B5333" t="str">
            <v>BA305</v>
          </cell>
          <cell r="C5333" t="str">
            <v>MOH</v>
          </cell>
          <cell r="D5333" t="str">
            <v>2101</v>
          </cell>
          <cell r="E5333" t="str">
            <v>SW FLG</v>
          </cell>
          <cell r="F5333">
            <v>3</v>
          </cell>
          <cell r="G5333" t="str">
            <v>CB240208000T00</v>
          </cell>
          <cell r="H5333">
            <v>0.75</v>
          </cell>
          <cell r="I5333" t="str">
            <v>--</v>
          </cell>
          <cell r="J5333">
            <v>2</v>
          </cell>
          <cell r="K5333">
            <v>2</v>
          </cell>
        </row>
        <row r="5334">
          <cell r="A5334" t="str">
            <v>MC</v>
          </cell>
          <cell r="B5334" t="str">
            <v>CA304</v>
          </cell>
          <cell r="C5334" t="str">
            <v>TRIM</v>
          </cell>
          <cell r="D5334" t="str">
            <v>E-1261</v>
          </cell>
          <cell r="E5334" t="str">
            <v>SW FLG</v>
          </cell>
          <cell r="F5334">
            <v>3</v>
          </cell>
          <cell r="G5334" t="str">
            <v>CB241208000T00</v>
          </cell>
          <cell r="H5334">
            <v>0.75</v>
          </cell>
          <cell r="I5334" t="str">
            <v>--</v>
          </cell>
          <cell r="J5334">
            <v>2</v>
          </cell>
          <cell r="K5334">
            <v>2</v>
          </cell>
        </row>
        <row r="5335">
          <cell r="A5335" t="str">
            <v>MC</v>
          </cell>
          <cell r="B5335" t="str">
            <v>BA312</v>
          </cell>
          <cell r="C5335" t="str">
            <v>SA98</v>
          </cell>
          <cell r="D5335" t="str">
            <v>2411</v>
          </cell>
          <cell r="E5335" t="str">
            <v>WN FLG</v>
          </cell>
          <cell r="F5335">
            <v>3</v>
          </cell>
          <cell r="G5335" t="str">
            <v>CB200208000T00</v>
          </cell>
          <cell r="H5335">
            <v>0.75</v>
          </cell>
          <cell r="I5335" t="str">
            <v>--</v>
          </cell>
          <cell r="J5335">
            <v>4</v>
          </cell>
          <cell r="K5335">
            <v>4</v>
          </cell>
        </row>
        <row r="5336">
          <cell r="A5336" t="str">
            <v>MC</v>
          </cell>
          <cell r="B5336" t="str">
            <v>CA304</v>
          </cell>
          <cell r="C5336" t="str">
            <v>MC</v>
          </cell>
          <cell r="D5336" t="str">
            <v>2604</v>
          </cell>
          <cell r="E5336" t="str">
            <v>SW FLG</v>
          </cell>
          <cell r="F5336">
            <v>3</v>
          </cell>
          <cell r="G5336" t="str">
            <v>CB241208000T00</v>
          </cell>
          <cell r="H5336">
            <v>0.75</v>
          </cell>
          <cell r="I5336" t="str">
            <v>--</v>
          </cell>
          <cell r="J5336">
            <v>5</v>
          </cell>
          <cell r="K5336">
            <v>5</v>
          </cell>
        </row>
        <row r="5337">
          <cell r="A5337" t="str">
            <v>MC</v>
          </cell>
          <cell r="B5337" t="str">
            <v>CA304</v>
          </cell>
          <cell r="C5337" t="str">
            <v>MC</v>
          </cell>
          <cell r="D5337" t="str">
            <v>HOLD</v>
          </cell>
          <cell r="E5337" t="str">
            <v>SW FLG</v>
          </cell>
          <cell r="F5337">
            <v>3</v>
          </cell>
          <cell r="G5337" t="str">
            <v>CB241208000T00</v>
          </cell>
          <cell r="H5337">
            <v>0.75</v>
          </cell>
          <cell r="I5337" t="str">
            <v>--</v>
          </cell>
          <cell r="J5337">
            <v>3</v>
          </cell>
          <cell r="K5337">
            <v>3</v>
          </cell>
        </row>
        <row r="5338">
          <cell r="A5338" t="str">
            <v>MC</v>
          </cell>
          <cell r="B5338" t="str">
            <v>CA304</v>
          </cell>
          <cell r="C5338" t="str">
            <v>MC</v>
          </cell>
          <cell r="D5338" t="str">
            <v>2410</v>
          </cell>
          <cell r="E5338" t="str">
            <v>LWN FLG</v>
          </cell>
          <cell r="F5338">
            <v>3</v>
          </cell>
          <cell r="G5338" t="str">
            <v>CB2912000001WL</v>
          </cell>
          <cell r="H5338">
            <v>1</v>
          </cell>
          <cell r="I5338" t="str">
            <v>150mm</v>
          </cell>
          <cell r="J5338">
            <v>1</v>
          </cell>
          <cell r="K5338">
            <v>1</v>
          </cell>
        </row>
        <row r="5339">
          <cell r="A5339" t="str">
            <v>MC</v>
          </cell>
          <cell r="B5339" t="str">
            <v>CA304</v>
          </cell>
          <cell r="C5339" t="str">
            <v>MC</v>
          </cell>
          <cell r="D5339" t="str">
            <v>2412</v>
          </cell>
          <cell r="E5339" t="str">
            <v>LWN FLG</v>
          </cell>
          <cell r="F5339">
            <v>3</v>
          </cell>
          <cell r="G5339" t="str">
            <v>CB2912000001WL</v>
          </cell>
          <cell r="H5339">
            <v>1</v>
          </cell>
          <cell r="I5339" t="str">
            <v>150mm</v>
          </cell>
          <cell r="J5339">
            <v>1</v>
          </cell>
          <cell r="K5339">
            <v>1</v>
          </cell>
        </row>
        <row r="5340">
          <cell r="A5340" t="str">
            <v>MC</v>
          </cell>
          <cell r="B5340" t="str">
            <v>CA304</v>
          </cell>
          <cell r="C5340" t="str">
            <v>MC</v>
          </cell>
          <cell r="D5340" t="str">
            <v>2505</v>
          </cell>
          <cell r="E5340" t="str">
            <v>LWN FLG</v>
          </cell>
          <cell r="F5340">
            <v>3</v>
          </cell>
          <cell r="G5340" t="str">
            <v>CB2912000001WL</v>
          </cell>
          <cell r="H5340">
            <v>1</v>
          </cell>
          <cell r="I5340" t="str">
            <v>150mm</v>
          </cell>
          <cell r="J5340">
            <v>1</v>
          </cell>
          <cell r="K5340">
            <v>1</v>
          </cell>
        </row>
        <row r="5341">
          <cell r="A5341" t="str">
            <v>MC</v>
          </cell>
          <cell r="B5341" t="str">
            <v>CA304</v>
          </cell>
          <cell r="C5341" t="str">
            <v>MC</v>
          </cell>
          <cell r="D5341" t="str">
            <v>2506</v>
          </cell>
          <cell r="E5341" t="str">
            <v>LWN FLG</v>
          </cell>
          <cell r="F5341">
            <v>3</v>
          </cell>
          <cell r="G5341" t="str">
            <v>CB2912000001WL</v>
          </cell>
          <cell r="H5341">
            <v>1</v>
          </cell>
          <cell r="I5341" t="str">
            <v>150mm</v>
          </cell>
          <cell r="J5341">
            <v>1</v>
          </cell>
          <cell r="K5341">
            <v>1</v>
          </cell>
        </row>
        <row r="5342">
          <cell r="A5342" t="str">
            <v>MC</v>
          </cell>
          <cell r="B5342" t="str">
            <v>CA304</v>
          </cell>
          <cell r="C5342" t="str">
            <v>MC</v>
          </cell>
          <cell r="D5342" t="str">
            <v>2609</v>
          </cell>
          <cell r="E5342" t="str">
            <v>LWN FLG</v>
          </cell>
          <cell r="F5342">
            <v>3</v>
          </cell>
          <cell r="G5342" t="str">
            <v>CB2912000001WL</v>
          </cell>
          <cell r="H5342">
            <v>1</v>
          </cell>
          <cell r="I5342" t="str">
            <v>150mm</v>
          </cell>
          <cell r="J5342">
            <v>1</v>
          </cell>
          <cell r="K5342">
            <v>1</v>
          </cell>
        </row>
        <row r="5343">
          <cell r="A5343" t="str">
            <v>MC</v>
          </cell>
          <cell r="B5343" t="str">
            <v>CA304</v>
          </cell>
          <cell r="C5343" t="str">
            <v>MC</v>
          </cell>
          <cell r="D5343" t="str">
            <v>2501</v>
          </cell>
          <cell r="E5343" t="str">
            <v>LWN FLG</v>
          </cell>
          <cell r="F5343">
            <v>3</v>
          </cell>
          <cell r="G5343" t="str">
            <v>CB2912000001WL</v>
          </cell>
          <cell r="H5343">
            <v>1</v>
          </cell>
          <cell r="I5343" t="str">
            <v>150mm</v>
          </cell>
          <cell r="J5343">
            <v>1</v>
          </cell>
          <cell r="K5343">
            <v>1</v>
          </cell>
        </row>
        <row r="5344">
          <cell r="A5344" t="str">
            <v>MC</v>
          </cell>
          <cell r="B5344" t="str">
            <v>CA304</v>
          </cell>
          <cell r="C5344" t="str">
            <v>MC</v>
          </cell>
          <cell r="D5344" t="str">
            <v>2605</v>
          </cell>
          <cell r="E5344" t="str">
            <v>LWN FLG</v>
          </cell>
          <cell r="F5344">
            <v>3</v>
          </cell>
          <cell r="G5344" t="str">
            <v>CB2912000001WL</v>
          </cell>
          <cell r="H5344">
            <v>1</v>
          </cell>
          <cell r="I5344" t="str">
            <v>150mm</v>
          </cell>
          <cell r="J5344">
            <v>1</v>
          </cell>
          <cell r="K5344">
            <v>1</v>
          </cell>
        </row>
        <row r="5345">
          <cell r="A5345" t="str">
            <v>MC</v>
          </cell>
          <cell r="B5345" t="str">
            <v>CA304</v>
          </cell>
          <cell r="C5345" t="str">
            <v>MC</v>
          </cell>
          <cell r="D5345" t="str">
            <v>2608</v>
          </cell>
          <cell r="E5345" t="str">
            <v>SW FLG</v>
          </cell>
          <cell r="F5345">
            <v>3</v>
          </cell>
          <cell r="G5345" t="str">
            <v>CB241208000100</v>
          </cell>
          <cell r="H5345">
            <v>1</v>
          </cell>
          <cell r="I5345" t="str">
            <v>--</v>
          </cell>
          <cell r="J5345">
            <v>2</v>
          </cell>
          <cell r="K5345">
            <v>2</v>
          </cell>
        </row>
        <row r="5346">
          <cell r="A5346" t="str">
            <v>MC</v>
          </cell>
          <cell r="B5346" t="str">
            <v>BA305</v>
          </cell>
          <cell r="C5346" t="str">
            <v>MOH</v>
          </cell>
          <cell r="D5346" t="str">
            <v>2112</v>
          </cell>
          <cell r="E5346" t="str">
            <v>SW FLG</v>
          </cell>
          <cell r="F5346">
            <v>3</v>
          </cell>
          <cell r="G5346" t="str">
            <v>CB240208000100</v>
          </cell>
          <cell r="H5346">
            <v>1</v>
          </cell>
          <cell r="I5346" t="str">
            <v>--</v>
          </cell>
          <cell r="J5346">
            <v>1</v>
          </cell>
          <cell r="K5346">
            <v>1</v>
          </cell>
        </row>
        <row r="5347">
          <cell r="A5347" t="str">
            <v>MC</v>
          </cell>
          <cell r="B5347" t="str">
            <v>BA302</v>
          </cell>
          <cell r="C5347" t="str">
            <v>SD20</v>
          </cell>
          <cell r="D5347" t="str">
            <v>2301</v>
          </cell>
          <cell r="E5347" t="str">
            <v>SW FLG</v>
          </cell>
          <cell r="F5347">
            <v>3</v>
          </cell>
          <cell r="G5347" t="str">
            <v>CB240208000100</v>
          </cell>
          <cell r="H5347">
            <v>1</v>
          </cell>
          <cell r="I5347" t="str">
            <v>--</v>
          </cell>
          <cell r="J5347">
            <v>1</v>
          </cell>
          <cell r="K5347">
            <v>1</v>
          </cell>
        </row>
        <row r="5348">
          <cell r="A5348" t="str">
            <v>MC</v>
          </cell>
          <cell r="B5348" t="str">
            <v>BA305</v>
          </cell>
          <cell r="C5348" t="str">
            <v>VNC</v>
          </cell>
          <cell r="D5348" t="str">
            <v>2016</v>
          </cell>
          <cell r="E5348" t="str">
            <v>SW FLG</v>
          </cell>
          <cell r="F5348">
            <v>3</v>
          </cell>
          <cell r="G5348" t="str">
            <v>CB240208000100</v>
          </cell>
          <cell r="H5348">
            <v>1</v>
          </cell>
          <cell r="I5348" t="str">
            <v>--</v>
          </cell>
          <cell r="J5348">
            <v>2</v>
          </cell>
          <cell r="K5348">
            <v>2</v>
          </cell>
        </row>
        <row r="5349">
          <cell r="A5349" t="str">
            <v>MC</v>
          </cell>
          <cell r="B5349" t="str">
            <v>BA305</v>
          </cell>
          <cell r="C5349" t="str">
            <v>MOH</v>
          </cell>
          <cell r="D5349" t="str">
            <v>2100</v>
          </cell>
          <cell r="E5349" t="str">
            <v>SW FLG</v>
          </cell>
          <cell r="F5349">
            <v>3</v>
          </cell>
          <cell r="G5349" t="str">
            <v>CB240208000100</v>
          </cell>
          <cell r="H5349">
            <v>1</v>
          </cell>
          <cell r="I5349" t="str">
            <v>--</v>
          </cell>
          <cell r="J5349">
            <v>2</v>
          </cell>
          <cell r="K5349">
            <v>2</v>
          </cell>
        </row>
        <row r="5350">
          <cell r="A5350" t="str">
            <v>MC</v>
          </cell>
          <cell r="B5350" t="str">
            <v>BA305</v>
          </cell>
          <cell r="C5350" t="str">
            <v>MOH</v>
          </cell>
          <cell r="D5350" t="str">
            <v>2101</v>
          </cell>
          <cell r="E5350" t="str">
            <v>SW FLG</v>
          </cell>
          <cell r="F5350">
            <v>3</v>
          </cell>
          <cell r="G5350" t="str">
            <v>CB240208000100</v>
          </cell>
          <cell r="H5350">
            <v>1</v>
          </cell>
          <cell r="I5350" t="str">
            <v>--</v>
          </cell>
          <cell r="J5350">
            <v>1</v>
          </cell>
          <cell r="K5350">
            <v>1</v>
          </cell>
        </row>
        <row r="5351">
          <cell r="A5351" t="str">
            <v>MC</v>
          </cell>
          <cell r="B5351" t="str">
            <v>BA312</v>
          </cell>
          <cell r="C5351" t="str">
            <v>SA98</v>
          </cell>
          <cell r="D5351" t="str">
            <v>2411</v>
          </cell>
          <cell r="E5351" t="str">
            <v>WN FLG</v>
          </cell>
          <cell r="F5351">
            <v>3</v>
          </cell>
          <cell r="G5351" t="str">
            <v>CB200208000100</v>
          </cell>
          <cell r="H5351">
            <v>1</v>
          </cell>
          <cell r="I5351" t="str">
            <v>--</v>
          </cell>
          <cell r="J5351">
            <v>6</v>
          </cell>
          <cell r="K5351">
            <v>6</v>
          </cell>
        </row>
        <row r="5352">
          <cell r="A5352" t="str">
            <v>MC</v>
          </cell>
          <cell r="B5352" t="str">
            <v>CA304</v>
          </cell>
          <cell r="C5352" t="str">
            <v>MC</v>
          </cell>
          <cell r="D5352" t="str">
            <v>2502</v>
          </cell>
          <cell r="E5352" t="str">
            <v>LWN FLG</v>
          </cell>
          <cell r="F5352">
            <v>3</v>
          </cell>
          <cell r="G5352" t="str">
            <v>CB2912000001WL</v>
          </cell>
          <cell r="H5352">
            <v>1</v>
          </cell>
          <cell r="I5352" t="str">
            <v>150mm</v>
          </cell>
          <cell r="J5352">
            <v>1</v>
          </cell>
          <cell r="K5352">
            <v>1</v>
          </cell>
        </row>
        <row r="5353">
          <cell r="A5353" t="str">
            <v>MC</v>
          </cell>
          <cell r="B5353" t="str">
            <v>CA304</v>
          </cell>
          <cell r="C5353" t="str">
            <v>MC</v>
          </cell>
          <cell r="D5353" t="str">
            <v>2604</v>
          </cell>
          <cell r="E5353" t="str">
            <v>LWN FLG</v>
          </cell>
          <cell r="F5353">
            <v>3</v>
          </cell>
          <cell r="G5353" t="str">
            <v>CB2912000001WL</v>
          </cell>
          <cell r="H5353">
            <v>1</v>
          </cell>
          <cell r="I5353" t="str">
            <v>150mm</v>
          </cell>
          <cell r="J5353">
            <v>1</v>
          </cell>
          <cell r="K5353">
            <v>1</v>
          </cell>
        </row>
        <row r="5354">
          <cell r="A5354" t="str">
            <v>MC</v>
          </cell>
          <cell r="B5354" t="str">
            <v>CA304</v>
          </cell>
          <cell r="C5354" t="str">
            <v>MC</v>
          </cell>
          <cell r="D5354" t="str">
            <v>2604</v>
          </cell>
          <cell r="E5354" t="str">
            <v>SW FLG</v>
          </cell>
          <cell r="F5354">
            <v>3</v>
          </cell>
          <cell r="G5354" t="str">
            <v>CB241208000100</v>
          </cell>
          <cell r="H5354">
            <v>1</v>
          </cell>
          <cell r="I5354" t="str">
            <v>--</v>
          </cell>
          <cell r="J5354">
            <v>1</v>
          </cell>
          <cell r="K5354">
            <v>1</v>
          </cell>
        </row>
        <row r="5355">
          <cell r="A5355" t="str">
            <v>MC</v>
          </cell>
          <cell r="B5355" t="str">
            <v>CA304</v>
          </cell>
          <cell r="C5355" t="str">
            <v>MC</v>
          </cell>
          <cell r="D5355" t="str">
            <v>HOLD</v>
          </cell>
          <cell r="E5355" t="str">
            <v>SW FLG</v>
          </cell>
          <cell r="F5355">
            <v>3</v>
          </cell>
          <cell r="G5355" t="str">
            <v>CB241208000100</v>
          </cell>
          <cell r="H5355">
            <v>1</v>
          </cell>
          <cell r="I5355" t="str">
            <v>--</v>
          </cell>
          <cell r="J5355">
            <v>9</v>
          </cell>
          <cell r="K5355">
            <v>9</v>
          </cell>
        </row>
        <row r="5356">
          <cell r="A5356" t="str">
            <v>MC</v>
          </cell>
          <cell r="B5356" t="str">
            <v>B2C</v>
          </cell>
          <cell r="C5356" t="str">
            <v>SH</v>
          </cell>
          <cell r="D5356" t="str">
            <v>HOLD</v>
          </cell>
          <cell r="E5356" t="str">
            <v>SW FLG</v>
          </cell>
          <cell r="F5356">
            <v>3</v>
          </cell>
          <cell r="G5356" t="str">
            <v>CB240208001H00</v>
          </cell>
          <cell r="H5356">
            <v>1.5</v>
          </cell>
          <cell r="I5356" t="str">
            <v>--</v>
          </cell>
          <cell r="J5356">
            <v>1</v>
          </cell>
          <cell r="K5356">
            <v>1</v>
          </cell>
        </row>
        <row r="5357">
          <cell r="A5357" t="str">
            <v>MC</v>
          </cell>
          <cell r="B5357" t="str">
            <v>CA304</v>
          </cell>
          <cell r="C5357" t="str">
            <v>MC</v>
          </cell>
          <cell r="D5357" t="str">
            <v>2605</v>
          </cell>
          <cell r="E5357" t="str">
            <v>SW FLG</v>
          </cell>
          <cell r="F5357">
            <v>3</v>
          </cell>
          <cell r="G5357" t="str">
            <v>CB241208001H00</v>
          </cell>
          <cell r="H5357">
            <v>1.5</v>
          </cell>
          <cell r="I5357" t="str">
            <v>--</v>
          </cell>
          <cell r="J5357">
            <v>1</v>
          </cell>
          <cell r="K5357">
            <v>1</v>
          </cell>
        </row>
        <row r="5358">
          <cell r="A5358" t="str">
            <v>MC</v>
          </cell>
          <cell r="B5358" t="str">
            <v>CA304</v>
          </cell>
          <cell r="C5358" t="str">
            <v>MC</v>
          </cell>
          <cell r="D5358" t="str">
            <v>2608</v>
          </cell>
          <cell r="E5358" t="str">
            <v>SW FLG</v>
          </cell>
          <cell r="F5358">
            <v>3</v>
          </cell>
          <cell r="G5358" t="str">
            <v>CB241208001H00</v>
          </cell>
          <cell r="H5358">
            <v>1.5</v>
          </cell>
          <cell r="I5358" t="str">
            <v>--</v>
          </cell>
          <cell r="J5358">
            <v>6</v>
          </cell>
          <cell r="K5358">
            <v>6</v>
          </cell>
        </row>
        <row r="5359">
          <cell r="A5359" t="str">
            <v>MC</v>
          </cell>
          <cell r="B5359" t="str">
            <v>CA304</v>
          </cell>
          <cell r="C5359" t="str">
            <v>N</v>
          </cell>
          <cell r="D5359" t="str">
            <v>HOLD</v>
          </cell>
          <cell r="E5359" t="str">
            <v>SW FLG</v>
          </cell>
          <cell r="F5359">
            <v>3</v>
          </cell>
          <cell r="G5359" t="str">
            <v>CB241208001H00</v>
          </cell>
          <cell r="H5359">
            <v>1.5</v>
          </cell>
          <cell r="I5359" t="str">
            <v>--</v>
          </cell>
          <cell r="J5359">
            <v>1</v>
          </cell>
          <cell r="K5359">
            <v>1</v>
          </cell>
        </row>
        <row r="5360">
          <cell r="A5360" t="str">
            <v>MC</v>
          </cell>
          <cell r="B5360" t="str">
            <v>CA304</v>
          </cell>
          <cell r="C5360" t="str">
            <v>TRIM</v>
          </cell>
          <cell r="D5360" t="str">
            <v>V-1260A/B</v>
          </cell>
          <cell r="E5360" t="str">
            <v>SW FLG</v>
          </cell>
          <cell r="F5360">
            <v>3</v>
          </cell>
          <cell r="G5360" t="str">
            <v>CB241208001H00</v>
          </cell>
          <cell r="H5360">
            <v>1.5</v>
          </cell>
          <cell r="I5360" t="str">
            <v>--</v>
          </cell>
          <cell r="J5360">
            <v>12</v>
          </cell>
          <cell r="K5360">
            <v>12</v>
          </cell>
        </row>
        <row r="5361">
          <cell r="A5361" t="str">
            <v>MC</v>
          </cell>
          <cell r="B5361" t="str">
            <v>CA304</v>
          </cell>
          <cell r="C5361" t="str">
            <v>TRIM</v>
          </cell>
          <cell r="D5361" t="str">
            <v>E-1261</v>
          </cell>
          <cell r="E5361" t="str">
            <v>SW FLG</v>
          </cell>
          <cell r="F5361">
            <v>3</v>
          </cell>
          <cell r="G5361" t="str">
            <v>CB241208001H00</v>
          </cell>
          <cell r="H5361">
            <v>1.5</v>
          </cell>
          <cell r="I5361" t="str">
            <v>--</v>
          </cell>
          <cell r="J5361">
            <v>2</v>
          </cell>
          <cell r="K5361">
            <v>2</v>
          </cell>
        </row>
        <row r="5362">
          <cell r="A5362" t="str">
            <v>MC</v>
          </cell>
          <cell r="B5362" t="str">
            <v>CA304</v>
          </cell>
          <cell r="C5362" t="str">
            <v>MC</v>
          </cell>
          <cell r="D5362" t="str">
            <v>2505</v>
          </cell>
          <cell r="E5362" t="str">
            <v>SW FLG</v>
          </cell>
          <cell r="F5362">
            <v>3</v>
          </cell>
          <cell r="G5362" t="str">
            <v>CB241208001H00</v>
          </cell>
          <cell r="H5362">
            <v>1.5</v>
          </cell>
          <cell r="I5362" t="str">
            <v>--</v>
          </cell>
          <cell r="J5362">
            <v>6</v>
          </cell>
          <cell r="K5362">
            <v>6</v>
          </cell>
        </row>
        <row r="5363">
          <cell r="A5363" t="str">
            <v>MC</v>
          </cell>
          <cell r="B5363" t="str">
            <v>CA304</v>
          </cell>
          <cell r="C5363" t="str">
            <v>MC</v>
          </cell>
          <cell r="D5363" t="str">
            <v>2607</v>
          </cell>
          <cell r="E5363" t="str">
            <v>SW FLG</v>
          </cell>
          <cell r="F5363">
            <v>3</v>
          </cell>
          <cell r="G5363" t="str">
            <v>CB241208001H00</v>
          </cell>
          <cell r="H5363">
            <v>1.5</v>
          </cell>
          <cell r="I5363" t="str">
            <v>--</v>
          </cell>
          <cell r="J5363">
            <v>1</v>
          </cell>
          <cell r="K5363">
            <v>1</v>
          </cell>
        </row>
        <row r="5364">
          <cell r="A5364" t="str">
            <v>MC</v>
          </cell>
          <cell r="B5364" t="str">
            <v>CA304</v>
          </cell>
          <cell r="C5364" t="str">
            <v>MC</v>
          </cell>
          <cell r="D5364" t="str">
            <v>2609</v>
          </cell>
          <cell r="E5364" t="str">
            <v>SW FLG</v>
          </cell>
          <cell r="F5364">
            <v>3</v>
          </cell>
          <cell r="G5364" t="str">
            <v>CB241208001H00</v>
          </cell>
          <cell r="H5364">
            <v>1.5</v>
          </cell>
          <cell r="I5364" t="str">
            <v>--</v>
          </cell>
          <cell r="J5364">
            <v>2</v>
          </cell>
          <cell r="K5364">
            <v>2</v>
          </cell>
        </row>
        <row r="5365">
          <cell r="A5365" t="str">
            <v>MC</v>
          </cell>
          <cell r="B5365" t="str">
            <v>BA305</v>
          </cell>
          <cell r="C5365" t="str">
            <v>MOH</v>
          </cell>
          <cell r="D5365" t="str">
            <v>2100</v>
          </cell>
          <cell r="E5365" t="str">
            <v>SW FLG</v>
          </cell>
          <cell r="F5365">
            <v>3</v>
          </cell>
          <cell r="G5365" t="str">
            <v>CB240208001H00</v>
          </cell>
          <cell r="H5365">
            <v>1.5</v>
          </cell>
          <cell r="I5365" t="str">
            <v>--</v>
          </cell>
          <cell r="J5365">
            <v>1</v>
          </cell>
          <cell r="K5365">
            <v>1</v>
          </cell>
        </row>
        <row r="5366">
          <cell r="A5366" t="str">
            <v>MC</v>
          </cell>
          <cell r="B5366" t="str">
            <v>CA304</v>
          </cell>
          <cell r="C5366" t="str">
            <v>N</v>
          </cell>
          <cell r="D5366" t="str">
            <v>HOLD</v>
          </cell>
          <cell r="E5366" t="str">
            <v>SW FLG</v>
          </cell>
          <cell r="F5366">
            <v>3</v>
          </cell>
          <cell r="G5366" t="str">
            <v>CB241208001H00</v>
          </cell>
          <cell r="H5366">
            <v>1.5</v>
          </cell>
          <cell r="I5366" t="str">
            <v>--</v>
          </cell>
          <cell r="J5366">
            <v>1</v>
          </cell>
          <cell r="K5366">
            <v>1</v>
          </cell>
        </row>
        <row r="5367">
          <cell r="A5367" t="str">
            <v>MC</v>
          </cell>
          <cell r="B5367" t="str">
            <v>CA304</v>
          </cell>
          <cell r="C5367" t="str">
            <v>MC</v>
          </cell>
          <cell r="D5367" t="str">
            <v>2604</v>
          </cell>
          <cell r="E5367" t="str">
            <v>SW FLG</v>
          </cell>
          <cell r="F5367">
            <v>3</v>
          </cell>
          <cell r="G5367" t="str">
            <v>CB241208001H00</v>
          </cell>
          <cell r="H5367">
            <v>1.5</v>
          </cell>
          <cell r="I5367" t="str">
            <v>--</v>
          </cell>
          <cell r="J5367">
            <v>1</v>
          </cell>
          <cell r="K5367">
            <v>1</v>
          </cell>
        </row>
        <row r="5368">
          <cell r="A5368" t="str">
            <v>MC</v>
          </cell>
          <cell r="B5368" t="str">
            <v>CA304</v>
          </cell>
          <cell r="C5368" t="str">
            <v>MC</v>
          </cell>
          <cell r="D5368" t="str">
            <v>HOLD</v>
          </cell>
          <cell r="E5368" t="str">
            <v>SW FLG</v>
          </cell>
          <cell r="F5368">
            <v>3</v>
          </cell>
          <cell r="G5368" t="str">
            <v>CB241208001H00</v>
          </cell>
          <cell r="H5368">
            <v>1.5</v>
          </cell>
          <cell r="I5368" t="str">
            <v>--</v>
          </cell>
          <cell r="J5368">
            <v>5</v>
          </cell>
          <cell r="K5368">
            <v>5</v>
          </cell>
        </row>
        <row r="5369">
          <cell r="A5369" t="str">
            <v>MC</v>
          </cell>
          <cell r="B5369" t="str">
            <v>B2C</v>
          </cell>
          <cell r="C5369" t="str">
            <v>SH</v>
          </cell>
          <cell r="D5369" t="str">
            <v>1405</v>
          </cell>
          <cell r="E5369" t="str">
            <v>WN FLG</v>
          </cell>
          <cell r="F5369">
            <v>3</v>
          </cell>
          <cell r="G5369" t="str">
            <v>CB200208000200</v>
          </cell>
          <cell r="H5369">
            <v>2</v>
          </cell>
          <cell r="I5369" t="str">
            <v>--</v>
          </cell>
          <cell r="J5369">
            <v>7</v>
          </cell>
          <cell r="K5369">
            <v>8</v>
          </cell>
        </row>
        <row r="5370">
          <cell r="A5370" t="str">
            <v>MC</v>
          </cell>
          <cell r="B5370" t="str">
            <v>B2C</v>
          </cell>
          <cell r="C5370" t="str">
            <v>SH</v>
          </cell>
          <cell r="D5370" t="str">
            <v>HOLD</v>
          </cell>
          <cell r="E5370" t="str">
            <v>WN FLG</v>
          </cell>
          <cell r="F5370">
            <v>3</v>
          </cell>
          <cell r="G5370" t="str">
            <v>CB200208000200</v>
          </cell>
          <cell r="H5370">
            <v>2</v>
          </cell>
          <cell r="I5370" t="str">
            <v>--</v>
          </cell>
          <cell r="J5370">
            <v>4</v>
          </cell>
          <cell r="K5370">
            <v>5</v>
          </cell>
        </row>
        <row r="5371">
          <cell r="A5371" t="str">
            <v>MC</v>
          </cell>
          <cell r="B5371" t="str">
            <v>CA304</v>
          </cell>
          <cell r="C5371" t="str">
            <v>MC</v>
          </cell>
          <cell r="D5371" t="str">
            <v>2610</v>
          </cell>
          <cell r="E5371" t="str">
            <v>WN FLG</v>
          </cell>
          <cell r="F5371">
            <v>3</v>
          </cell>
          <cell r="G5371" t="str">
            <v>CB201205000200</v>
          </cell>
          <cell r="H5371">
            <v>2</v>
          </cell>
          <cell r="I5371" t="str">
            <v>--</v>
          </cell>
          <cell r="J5371">
            <v>4</v>
          </cell>
          <cell r="K5371">
            <v>5</v>
          </cell>
        </row>
        <row r="5372">
          <cell r="A5372" t="str">
            <v>MC</v>
          </cell>
          <cell r="B5372" t="str">
            <v>CA304</v>
          </cell>
          <cell r="C5372" t="str">
            <v>MC</v>
          </cell>
          <cell r="D5372" t="str">
            <v>2505</v>
          </cell>
          <cell r="E5372" t="str">
            <v>WN FLG</v>
          </cell>
          <cell r="F5372">
            <v>3</v>
          </cell>
          <cell r="G5372" t="str">
            <v>CB201205000200</v>
          </cell>
          <cell r="H5372">
            <v>2</v>
          </cell>
          <cell r="I5372" t="str">
            <v>--</v>
          </cell>
          <cell r="J5372">
            <v>1</v>
          </cell>
          <cell r="K5372">
            <v>2</v>
          </cell>
        </row>
        <row r="5373">
          <cell r="A5373" t="str">
            <v>MC</v>
          </cell>
          <cell r="B5373" t="str">
            <v>CA304</v>
          </cell>
          <cell r="C5373" t="str">
            <v>MC</v>
          </cell>
          <cell r="D5373" t="str">
            <v>2506</v>
          </cell>
          <cell r="E5373" t="str">
            <v>WN FLG</v>
          </cell>
          <cell r="F5373">
            <v>3</v>
          </cell>
          <cell r="G5373" t="str">
            <v>CB201205000200</v>
          </cell>
          <cell r="H5373">
            <v>2</v>
          </cell>
          <cell r="I5373" t="str">
            <v>--</v>
          </cell>
          <cell r="J5373">
            <v>1</v>
          </cell>
          <cell r="K5373">
            <v>2</v>
          </cell>
        </row>
        <row r="5374">
          <cell r="A5374" t="str">
            <v>MC</v>
          </cell>
          <cell r="B5374" t="str">
            <v>CA304</v>
          </cell>
          <cell r="C5374" t="str">
            <v>MC</v>
          </cell>
          <cell r="D5374" t="str">
            <v>2607</v>
          </cell>
          <cell r="E5374" t="str">
            <v>WN FLG</v>
          </cell>
          <cell r="F5374">
            <v>3</v>
          </cell>
          <cell r="G5374" t="str">
            <v>CB201205000200</v>
          </cell>
          <cell r="H5374">
            <v>2</v>
          </cell>
          <cell r="I5374" t="str">
            <v>--</v>
          </cell>
          <cell r="J5374">
            <v>4</v>
          </cell>
          <cell r="K5374">
            <v>5</v>
          </cell>
        </row>
        <row r="5375">
          <cell r="A5375" t="str">
            <v>MC</v>
          </cell>
          <cell r="B5375" t="str">
            <v>CA304</v>
          </cell>
          <cell r="C5375" t="str">
            <v>MC</v>
          </cell>
          <cell r="D5375" t="str">
            <v>2606</v>
          </cell>
          <cell r="E5375" t="str">
            <v>WN FLG</v>
          </cell>
          <cell r="F5375">
            <v>3</v>
          </cell>
          <cell r="G5375" t="str">
            <v>CB201205000200</v>
          </cell>
          <cell r="H5375">
            <v>2</v>
          </cell>
          <cell r="I5375" t="str">
            <v>--</v>
          </cell>
          <cell r="J5375">
            <v>1</v>
          </cell>
          <cell r="K5375">
            <v>2</v>
          </cell>
        </row>
        <row r="5376">
          <cell r="A5376" t="str">
            <v>MC</v>
          </cell>
          <cell r="B5376" t="str">
            <v>CA304</v>
          </cell>
          <cell r="C5376" t="str">
            <v>MC</v>
          </cell>
          <cell r="D5376" t="str">
            <v>2608</v>
          </cell>
          <cell r="E5376" t="str">
            <v>WN FLG</v>
          </cell>
          <cell r="F5376">
            <v>3</v>
          </cell>
          <cell r="G5376" t="str">
            <v>CB201205000200</v>
          </cell>
          <cell r="H5376">
            <v>2</v>
          </cell>
          <cell r="I5376" t="str">
            <v>--</v>
          </cell>
          <cell r="J5376">
            <v>2</v>
          </cell>
          <cell r="K5376">
            <v>3</v>
          </cell>
        </row>
        <row r="5377">
          <cell r="A5377" t="str">
            <v>MC</v>
          </cell>
          <cell r="B5377" t="str">
            <v>CA304</v>
          </cell>
          <cell r="C5377" t="str">
            <v>MC</v>
          </cell>
          <cell r="D5377" t="str">
            <v>2609</v>
          </cell>
          <cell r="E5377" t="str">
            <v>WN FLG</v>
          </cell>
          <cell r="F5377">
            <v>3</v>
          </cell>
          <cell r="G5377" t="str">
            <v>CB201205000200</v>
          </cell>
          <cell r="H5377">
            <v>2</v>
          </cell>
          <cell r="I5377" t="str">
            <v>--</v>
          </cell>
          <cell r="J5377">
            <v>2</v>
          </cell>
          <cell r="K5377">
            <v>3</v>
          </cell>
        </row>
        <row r="5378">
          <cell r="A5378" t="str">
            <v>MC</v>
          </cell>
          <cell r="B5378" t="str">
            <v>BA305</v>
          </cell>
          <cell r="C5378" t="str">
            <v>MOH</v>
          </cell>
          <cell r="D5378" t="str">
            <v>2002</v>
          </cell>
          <cell r="E5378" t="str">
            <v>WN FLG</v>
          </cell>
          <cell r="F5378">
            <v>3</v>
          </cell>
          <cell r="G5378" t="str">
            <v>CB200105000200</v>
          </cell>
          <cell r="H5378">
            <v>2</v>
          </cell>
          <cell r="I5378" t="str">
            <v>--</v>
          </cell>
          <cell r="J5378">
            <v>1</v>
          </cell>
          <cell r="K5378">
            <v>2</v>
          </cell>
        </row>
        <row r="5379">
          <cell r="A5379" t="str">
            <v>MC</v>
          </cell>
          <cell r="B5379" t="str">
            <v>CA304</v>
          </cell>
          <cell r="C5379" t="str">
            <v>N</v>
          </cell>
          <cell r="D5379" t="str">
            <v>HOLD</v>
          </cell>
          <cell r="E5379" t="str">
            <v>WN FLG</v>
          </cell>
          <cell r="F5379">
            <v>3</v>
          </cell>
          <cell r="G5379" t="str">
            <v>CB201205000200</v>
          </cell>
          <cell r="H5379">
            <v>2</v>
          </cell>
          <cell r="I5379" t="str">
            <v>--</v>
          </cell>
          <cell r="J5379">
            <v>1</v>
          </cell>
          <cell r="K5379">
            <v>2</v>
          </cell>
        </row>
        <row r="5380">
          <cell r="A5380" t="str">
            <v>MC</v>
          </cell>
          <cell r="B5380" t="str">
            <v>BA312</v>
          </cell>
          <cell r="C5380" t="str">
            <v>SA98</v>
          </cell>
          <cell r="D5380" t="str">
            <v>2411</v>
          </cell>
          <cell r="E5380" t="str">
            <v>WN FLG</v>
          </cell>
          <cell r="F5380">
            <v>3</v>
          </cell>
          <cell r="G5380" t="str">
            <v>CB200105000200</v>
          </cell>
          <cell r="H5380">
            <v>2</v>
          </cell>
          <cell r="I5380" t="str">
            <v>--</v>
          </cell>
          <cell r="J5380">
            <v>1</v>
          </cell>
          <cell r="K5380">
            <v>2</v>
          </cell>
        </row>
        <row r="5381">
          <cell r="A5381" t="str">
            <v>MC</v>
          </cell>
          <cell r="B5381" t="str">
            <v>CA304</v>
          </cell>
          <cell r="C5381" t="str">
            <v>TRIM</v>
          </cell>
          <cell r="D5381" t="str">
            <v>E-1261</v>
          </cell>
          <cell r="E5381" t="str">
            <v>WN FLG</v>
          </cell>
          <cell r="F5381">
            <v>3</v>
          </cell>
          <cell r="G5381" t="str">
            <v>CB201205000200</v>
          </cell>
          <cell r="H5381">
            <v>2</v>
          </cell>
          <cell r="I5381" t="str">
            <v>--</v>
          </cell>
          <cell r="J5381">
            <v>2</v>
          </cell>
          <cell r="K5381">
            <v>3</v>
          </cell>
        </row>
        <row r="5382">
          <cell r="A5382" t="str">
            <v>MC</v>
          </cell>
          <cell r="B5382" t="str">
            <v>CA304</v>
          </cell>
          <cell r="C5382" t="str">
            <v>VT</v>
          </cell>
          <cell r="D5382" t="str">
            <v>HOLD</v>
          </cell>
          <cell r="E5382" t="str">
            <v>WN FLG</v>
          </cell>
          <cell r="F5382">
            <v>3</v>
          </cell>
          <cell r="G5382" t="str">
            <v>CB201205000200</v>
          </cell>
          <cell r="H5382">
            <v>2</v>
          </cell>
          <cell r="I5382" t="str">
            <v>--</v>
          </cell>
          <cell r="J5382">
            <v>4</v>
          </cell>
          <cell r="K5382">
            <v>5</v>
          </cell>
        </row>
        <row r="5383">
          <cell r="A5383" t="str">
            <v>MC</v>
          </cell>
          <cell r="B5383" t="str">
            <v>CA304</v>
          </cell>
          <cell r="C5383" t="str">
            <v>VT</v>
          </cell>
          <cell r="D5383" t="str">
            <v>HOLD</v>
          </cell>
          <cell r="E5383" t="str">
            <v>WN FLG</v>
          </cell>
          <cell r="F5383">
            <v>3</v>
          </cell>
          <cell r="G5383" t="str">
            <v>CB201205000200</v>
          </cell>
          <cell r="H5383">
            <v>2</v>
          </cell>
          <cell r="I5383" t="str">
            <v>--</v>
          </cell>
          <cell r="J5383">
            <v>1</v>
          </cell>
          <cell r="K5383">
            <v>2</v>
          </cell>
        </row>
        <row r="5384">
          <cell r="A5384" t="str">
            <v>MC</v>
          </cell>
          <cell r="B5384" t="str">
            <v>BA305</v>
          </cell>
          <cell r="C5384" t="str">
            <v>MOH</v>
          </cell>
          <cell r="D5384" t="str">
            <v>2000</v>
          </cell>
          <cell r="E5384" t="str">
            <v>WN FLG</v>
          </cell>
          <cell r="F5384">
            <v>3</v>
          </cell>
          <cell r="G5384" t="str">
            <v>CB200105000200</v>
          </cell>
          <cell r="H5384">
            <v>2</v>
          </cell>
          <cell r="I5384" t="str">
            <v>--</v>
          </cell>
          <cell r="J5384">
            <v>4</v>
          </cell>
          <cell r="K5384">
            <v>5</v>
          </cell>
        </row>
        <row r="5385">
          <cell r="A5385" t="str">
            <v>MC</v>
          </cell>
          <cell r="B5385" t="str">
            <v>CA304</v>
          </cell>
          <cell r="C5385" t="str">
            <v>MC</v>
          </cell>
          <cell r="D5385" t="str">
            <v>2502</v>
          </cell>
          <cell r="E5385" t="str">
            <v>WN FLG</v>
          </cell>
          <cell r="F5385">
            <v>3</v>
          </cell>
          <cell r="G5385" t="str">
            <v>CB201205000200</v>
          </cell>
          <cell r="H5385">
            <v>2</v>
          </cell>
          <cell r="I5385" t="str">
            <v>--</v>
          </cell>
          <cell r="J5385">
            <v>4</v>
          </cell>
          <cell r="K5385">
            <v>5</v>
          </cell>
        </row>
        <row r="5386">
          <cell r="A5386" t="str">
            <v>MC</v>
          </cell>
          <cell r="B5386" t="str">
            <v>CA304</v>
          </cell>
          <cell r="C5386" t="str">
            <v>MC</v>
          </cell>
          <cell r="D5386" t="str">
            <v>2502</v>
          </cell>
          <cell r="E5386" t="str">
            <v>WN FLG</v>
          </cell>
          <cell r="F5386">
            <v>3</v>
          </cell>
          <cell r="G5386" t="str">
            <v>CB201205000200</v>
          </cell>
          <cell r="H5386">
            <v>2</v>
          </cell>
          <cell r="I5386" t="str">
            <v>--</v>
          </cell>
          <cell r="J5386">
            <v>4</v>
          </cell>
          <cell r="K5386">
            <v>5</v>
          </cell>
        </row>
        <row r="5387">
          <cell r="A5387" t="str">
            <v>MC</v>
          </cell>
          <cell r="B5387" t="str">
            <v>CA304</v>
          </cell>
          <cell r="C5387" t="str">
            <v>MC</v>
          </cell>
          <cell r="D5387" t="str">
            <v>HOLD</v>
          </cell>
          <cell r="E5387" t="str">
            <v>WN FLG</v>
          </cell>
          <cell r="F5387">
            <v>3</v>
          </cell>
          <cell r="G5387" t="str">
            <v>CB201205000200</v>
          </cell>
          <cell r="H5387">
            <v>2</v>
          </cell>
          <cell r="I5387" t="str">
            <v>--</v>
          </cell>
          <cell r="J5387">
            <v>2</v>
          </cell>
          <cell r="K5387">
            <v>3</v>
          </cell>
        </row>
        <row r="5388">
          <cell r="A5388" t="str">
            <v>MC</v>
          </cell>
          <cell r="B5388" t="str">
            <v>CA304</v>
          </cell>
          <cell r="C5388" t="str">
            <v>MC</v>
          </cell>
          <cell r="D5388" t="str">
            <v>HOLD</v>
          </cell>
          <cell r="E5388" t="str">
            <v>WN FLG</v>
          </cell>
          <cell r="F5388">
            <v>3</v>
          </cell>
          <cell r="G5388" t="str">
            <v>CB201205000200</v>
          </cell>
          <cell r="H5388">
            <v>2</v>
          </cell>
          <cell r="I5388" t="str">
            <v>--</v>
          </cell>
          <cell r="J5388">
            <v>2</v>
          </cell>
          <cell r="K5388">
            <v>3</v>
          </cell>
        </row>
        <row r="5389">
          <cell r="A5389" t="str">
            <v>MC</v>
          </cell>
          <cell r="B5389" t="str">
            <v>CA304</v>
          </cell>
          <cell r="C5389" t="str">
            <v>MC</v>
          </cell>
          <cell r="D5389" t="str">
            <v>HOLD</v>
          </cell>
          <cell r="E5389" t="str">
            <v>WN FLG</v>
          </cell>
          <cell r="F5389">
            <v>3</v>
          </cell>
          <cell r="G5389" t="str">
            <v>CB201205000200</v>
          </cell>
          <cell r="H5389">
            <v>2</v>
          </cell>
          <cell r="I5389" t="str">
            <v>--</v>
          </cell>
          <cell r="J5389">
            <v>9</v>
          </cell>
          <cell r="K5389">
            <v>10</v>
          </cell>
        </row>
        <row r="5390">
          <cell r="A5390" t="str">
            <v>MC</v>
          </cell>
          <cell r="B5390" t="str">
            <v>CA304</v>
          </cell>
          <cell r="C5390" t="str">
            <v>MC</v>
          </cell>
          <cell r="D5390" t="str">
            <v>HOLD</v>
          </cell>
          <cell r="E5390" t="str">
            <v>WN FLG</v>
          </cell>
          <cell r="F5390">
            <v>3</v>
          </cell>
          <cell r="G5390" t="str">
            <v>CB201205000200</v>
          </cell>
          <cell r="H5390">
            <v>2</v>
          </cell>
          <cell r="I5390" t="str">
            <v>--</v>
          </cell>
          <cell r="J5390">
            <v>5</v>
          </cell>
          <cell r="K5390">
            <v>6</v>
          </cell>
        </row>
        <row r="5391">
          <cell r="A5391" t="str">
            <v>MC</v>
          </cell>
          <cell r="B5391" t="str">
            <v>CA304</v>
          </cell>
          <cell r="C5391" t="str">
            <v>MC</v>
          </cell>
          <cell r="D5391" t="str">
            <v>HOLD</v>
          </cell>
          <cell r="E5391" t="str">
            <v>WN FLG</v>
          </cell>
          <cell r="F5391">
            <v>3</v>
          </cell>
          <cell r="G5391" t="str">
            <v>CB201205000200</v>
          </cell>
          <cell r="H5391">
            <v>2</v>
          </cell>
          <cell r="I5391" t="str">
            <v>--</v>
          </cell>
          <cell r="J5391">
            <v>2</v>
          </cell>
          <cell r="K5391">
            <v>3</v>
          </cell>
        </row>
        <row r="5392">
          <cell r="A5392" t="str">
            <v>MC</v>
          </cell>
          <cell r="B5392" t="str">
            <v>CA304</v>
          </cell>
          <cell r="C5392" t="str">
            <v>MC</v>
          </cell>
          <cell r="D5392" t="str">
            <v>HOLD</v>
          </cell>
          <cell r="E5392" t="str">
            <v>WN FLG</v>
          </cell>
          <cell r="F5392">
            <v>3</v>
          </cell>
          <cell r="G5392" t="str">
            <v>CB201205000200</v>
          </cell>
          <cell r="H5392">
            <v>2</v>
          </cell>
          <cell r="I5392" t="str">
            <v>--</v>
          </cell>
          <cell r="J5392">
            <v>2</v>
          </cell>
          <cell r="K5392">
            <v>3</v>
          </cell>
        </row>
        <row r="5393">
          <cell r="A5393" t="str">
            <v>MC</v>
          </cell>
          <cell r="B5393" t="str">
            <v>B2C</v>
          </cell>
          <cell r="C5393" t="str">
            <v>SH</v>
          </cell>
          <cell r="D5393" t="str">
            <v>1260</v>
          </cell>
          <cell r="E5393" t="str">
            <v>WN FLG</v>
          </cell>
          <cell r="F5393">
            <v>3</v>
          </cell>
          <cell r="G5393" t="str">
            <v>CB200204000300</v>
          </cell>
          <cell r="H5393">
            <v>3</v>
          </cell>
          <cell r="I5393" t="str">
            <v>--</v>
          </cell>
          <cell r="J5393">
            <v>4</v>
          </cell>
          <cell r="K5393">
            <v>5</v>
          </cell>
        </row>
        <row r="5394">
          <cell r="A5394" t="str">
            <v>MC</v>
          </cell>
          <cell r="B5394" t="str">
            <v>CA304</v>
          </cell>
          <cell r="C5394" t="str">
            <v>CMC</v>
          </cell>
          <cell r="D5394" t="str">
            <v>HOLD</v>
          </cell>
          <cell r="E5394" t="str">
            <v>WN FLG</v>
          </cell>
          <cell r="F5394">
            <v>3</v>
          </cell>
          <cell r="G5394" t="str">
            <v>CB201205000300</v>
          </cell>
          <cell r="H5394">
            <v>3</v>
          </cell>
          <cell r="I5394" t="str">
            <v>--</v>
          </cell>
          <cell r="J5394">
            <v>10</v>
          </cell>
          <cell r="K5394">
            <v>11</v>
          </cell>
        </row>
        <row r="5395">
          <cell r="A5395" t="str">
            <v>MC</v>
          </cell>
          <cell r="B5395" t="str">
            <v>CA304</v>
          </cell>
          <cell r="C5395" t="str">
            <v>MC</v>
          </cell>
          <cell r="D5395" t="str">
            <v>2505</v>
          </cell>
          <cell r="E5395" t="str">
            <v>WN FLG</v>
          </cell>
          <cell r="F5395">
            <v>3</v>
          </cell>
          <cell r="G5395" t="str">
            <v>CB201205000300</v>
          </cell>
          <cell r="H5395">
            <v>3</v>
          </cell>
          <cell r="I5395" t="str">
            <v>--</v>
          </cell>
          <cell r="J5395">
            <v>2</v>
          </cell>
          <cell r="K5395">
            <v>3</v>
          </cell>
        </row>
        <row r="5396">
          <cell r="A5396" t="str">
            <v>MC</v>
          </cell>
          <cell r="B5396" t="str">
            <v>CA304</v>
          </cell>
          <cell r="C5396" t="str">
            <v>MC</v>
          </cell>
          <cell r="D5396" t="str">
            <v>2605</v>
          </cell>
          <cell r="E5396" t="str">
            <v>WN FLG</v>
          </cell>
          <cell r="F5396">
            <v>3</v>
          </cell>
          <cell r="G5396" t="str">
            <v>CB201205000300</v>
          </cell>
          <cell r="H5396">
            <v>3</v>
          </cell>
          <cell r="I5396" t="str">
            <v>--</v>
          </cell>
          <cell r="J5396">
            <v>2</v>
          </cell>
          <cell r="K5396">
            <v>3</v>
          </cell>
        </row>
        <row r="5397">
          <cell r="A5397" t="str">
            <v>MC</v>
          </cell>
          <cell r="B5397" t="str">
            <v>CA304</v>
          </cell>
          <cell r="C5397" t="str">
            <v>MC</v>
          </cell>
          <cell r="D5397" t="str">
            <v>2506</v>
          </cell>
          <cell r="E5397" t="str">
            <v>WN FLG</v>
          </cell>
          <cell r="F5397">
            <v>3</v>
          </cell>
          <cell r="G5397" t="str">
            <v>CB201205000300</v>
          </cell>
          <cell r="H5397">
            <v>3</v>
          </cell>
          <cell r="I5397" t="str">
            <v>--</v>
          </cell>
          <cell r="J5397">
            <v>1</v>
          </cell>
          <cell r="K5397">
            <v>2</v>
          </cell>
        </row>
        <row r="5398">
          <cell r="A5398" t="str">
            <v>MC</v>
          </cell>
          <cell r="B5398" t="str">
            <v>BA305</v>
          </cell>
          <cell r="C5398" t="str">
            <v>MOH</v>
          </cell>
          <cell r="D5398" t="str">
            <v>2002</v>
          </cell>
          <cell r="E5398" t="str">
            <v>WN FLG</v>
          </cell>
          <cell r="F5398">
            <v>3</v>
          </cell>
          <cell r="G5398" t="str">
            <v>CB200105000300</v>
          </cell>
          <cell r="H5398">
            <v>3</v>
          </cell>
          <cell r="I5398" t="str">
            <v>--</v>
          </cell>
          <cell r="J5398">
            <v>1</v>
          </cell>
          <cell r="K5398">
            <v>2</v>
          </cell>
        </row>
        <row r="5399">
          <cell r="A5399" t="str">
            <v>MC</v>
          </cell>
          <cell r="B5399" t="str">
            <v>CA304</v>
          </cell>
          <cell r="C5399" t="str">
            <v>VT</v>
          </cell>
          <cell r="D5399" t="str">
            <v>HOLD</v>
          </cell>
          <cell r="E5399" t="str">
            <v>WN FLG</v>
          </cell>
          <cell r="F5399">
            <v>3</v>
          </cell>
          <cell r="G5399" t="str">
            <v>CB201205000300</v>
          </cell>
          <cell r="H5399">
            <v>3</v>
          </cell>
          <cell r="I5399" t="str">
            <v>--</v>
          </cell>
          <cell r="J5399">
            <v>1</v>
          </cell>
          <cell r="K5399">
            <v>2</v>
          </cell>
        </row>
        <row r="5400">
          <cell r="A5400" t="str">
            <v>MC</v>
          </cell>
          <cell r="B5400" t="str">
            <v>CA304</v>
          </cell>
          <cell r="C5400" t="str">
            <v>MC</v>
          </cell>
          <cell r="D5400" t="str">
            <v>2601</v>
          </cell>
          <cell r="E5400" t="str">
            <v>WN FLG</v>
          </cell>
          <cell r="F5400">
            <v>3</v>
          </cell>
          <cell r="G5400" t="str">
            <v>CB201205000300</v>
          </cell>
          <cell r="H5400">
            <v>3</v>
          </cell>
          <cell r="I5400" t="str">
            <v>--</v>
          </cell>
          <cell r="J5400">
            <v>2</v>
          </cell>
          <cell r="K5400">
            <v>3</v>
          </cell>
        </row>
        <row r="5401">
          <cell r="A5401" t="str">
            <v>MC</v>
          </cell>
          <cell r="B5401" t="str">
            <v>CA304</v>
          </cell>
          <cell r="C5401" t="str">
            <v>MC</v>
          </cell>
          <cell r="D5401" t="str">
            <v>2606</v>
          </cell>
          <cell r="E5401" t="str">
            <v>WN FLG</v>
          </cell>
          <cell r="F5401">
            <v>3</v>
          </cell>
          <cell r="G5401" t="str">
            <v>CB201205000300</v>
          </cell>
          <cell r="H5401">
            <v>3</v>
          </cell>
          <cell r="I5401" t="str">
            <v>--</v>
          </cell>
          <cell r="J5401">
            <v>8</v>
          </cell>
          <cell r="K5401">
            <v>9</v>
          </cell>
        </row>
        <row r="5402">
          <cell r="A5402" t="str">
            <v>MC</v>
          </cell>
          <cell r="B5402" t="str">
            <v>CA304</v>
          </cell>
          <cell r="C5402" t="str">
            <v>MC</v>
          </cell>
          <cell r="D5402" t="str">
            <v>2612</v>
          </cell>
          <cell r="E5402" t="str">
            <v>WN FLG</v>
          </cell>
          <cell r="F5402">
            <v>3</v>
          </cell>
          <cell r="G5402" t="str">
            <v>CB201205000300</v>
          </cell>
          <cell r="H5402">
            <v>3</v>
          </cell>
          <cell r="I5402" t="str">
            <v>--</v>
          </cell>
          <cell r="J5402">
            <v>7</v>
          </cell>
          <cell r="K5402">
            <v>8</v>
          </cell>
        </row>
        <row r="5403">
          <cell r="A5403" t="str">
            <v>MC</v>
          </cell>
          <cell r="B5403" t="str">
            <v>CA304</v>
          </cell>
          <cell r="C5403" t="str">
            <v>VT</v>
          </cell>
          <cell r="D5403" t="str">
            <v>HOLD</v>
          </cell>
          <cell r="E5403" t="str">
            <v>WN FLG</v>
          </cell>
          <cell r="F5403">
            <v>3</v>
          </cell>
          <cell r="G5403" t="str">
            <v>CB201205000300</v>
          </cell>
          <cell r="H5403">
            <v>3</v>
          </cell>
          <cell r="I5403" t="str">
            <v>--</v>
          </cell>
          <cell r="J5403">
            <v>16</v>
          </cell>
          <cell r="K5403">
            <v>18</v>
          </cell>
        </row>
        <row r="5404">
          <cell r="A5404" t="str">
            <v>MC</v>
          </cell>
          <cell r="B5404" t="str">
            <v>CA304</v>
          </cell>
          <cell r="C5404" t="str">
            <v>MC</v>
          </cell>
          <cell r="D5404" t="str">
            <v>2502</v>
          </cell>
          <cell r="E5404" t="str">
            <v>WN FLG</v>
          </cell>
          <cell r="F5404">
            <v>3</v>
          </cell>
          <cell r="G5404" t="str">
            <v>CB201205000300</v>
          </cell>
          <cell r="H5404">
            <v>3</v>
          </cell>
          <cell r="I5404" t="str">
            <v>--</v>
          </cell>
          <cell r="J5404">
            <v>2</v>
          </cell>
          <cell r="K5404">
            <v>3</v>
          </cell>
        </row>
        <row r="5405">
          <cell r="A5405" t="str">
            <v>MC</v>
          </cell>
          <cell r="B5405" t="str">
            <v>CA304</v>
          </cell>
          <cell r="C5405" t="str">
            <v>MC</v>
          </cell>
          <cell r="D5405" t="str">
            <v>2502</v>
          </cell>
          <cell r="E5405" t="str">
            <v>WN FLG</v>
          </cell>
          <cell r="F5405">
            <v>3</v>
          </cell>
          <cell r="G5405" t="str">
            <v>CB201205000300</v>
          </cell>
          <cell r="H5405">
            <v>3</v>
          </cell>
          <cell r="I5405" t="str">
            <v>--</v>
          </cell>
          <cell r="J5405">
            <v>2</v>
          </cell>
          <cell r="K5405">
            <v>3</v>
          </cell>
        </row>
        <row r="5406">
          <cell r="A5406" t="str">
            <v>MC</v>
          </cell>
          <cell r="B5406" t="str">
            <v>CA304</v>
          </cell>
          <cell r="C5406" t="str">
            <v>MC</v>
          </cell>
          <cell r="D5406" t="str">
            <v>HOLD</v>
          </cell>
          <cell r="E5406" t="str">
            <v>WN FLG</v>
          </cell>
          <cell r="F5406">
            <v>3</v>
          </cell>
          <cell r="G5406" t="str">
            <v>CB201205000300</v>
          </cell>
          <cell r="H5406">
            <v>3</v>
          </cell>
          <cell r="I5406" t="str">
            <v>--</v>
          </cell>
          <cell r="J5406">
            <v>9</v>
          </cell>
          <cell r="K5406">
            <v>10</v>
          </cell>
        </row>
        <row r="5407">
          <cell r="A5407" t="str">
            <v>MC</v>
          </cell>
          <cell r="B5407" t="str">
            <v>CA304</v>
          </cell>
          <cell r="C5407" t="str">
            <v>MC</v>
          </cell>
          <cell r="D5407" t="str">
            <v>HOLD</v>
          </cell>
          <cell r="E5407" t="str">
            <v>WN FLG</v>
          </cell>
          <cell r="F5407">
            <v>3</v>
          </cell>
          <cell r="G5407" t="str">
            <v>CB201205000300</v>
          </cell>
          <cell r="H5407">
            <v>3</v>
          </cell>
          <cell r="I5407" t="str">
            <v>--</v>
          </cell>
          <cell r="J5407">
            <v>9</v>
          </cell>
          <cell r="K5407">
            <v>10</v>
          </cell>
        </row>
        <row r="5408">
          <cell r="A5408" t="str">
            <v>MC</v>
          </cell>
          <cell r="B5408" t="str">
            <v>CA304</v>
          </cell>
          <cell r="C5408" t="str">
            <v>MC</v>
          </cell>
          <cell r="D5408" t="str">
            <v>HOLD</v>
          </cell>
          <cell r="E5408" t="str">
            <v>WN FLG</v>
          </cell>
          <cell r="F5408">
            <v>3</v>
          </cell>
          <cell r="G5408" t="str">
            <v>CB201205000300</v>
          </cell>
          <cell r="H5408">
            <v>3</v>
          </cell>
          <cell r="I5408" t="str">
            <v>--</v>
          </cell>
          <cell r="J5408">
            <v>9</v>
          </cell>
          <cell r="K5408">
            <v>10</v>
          </cell>
        </row>
        <row r="5409">
          <cell r="A5409" t="str">
            <v>MC</v>
          </cell>
          <cell r="B5409" t="str">
            <v>B2C</v>
          </cell>
          <cell r="C5409" t="str">
            <v>SH</v>
          </cell>
          <cell r="D5409" t="str">
            <v>1260</v>
          </cell>
          <cell r="E5409" t="str">
            <v>WN FLG</v>
          </cell>
          <cell r="F5409">
            <v>3</v>
          </cell>
          <cell r="G5409" t="str">
            <v>CB200204000400</v>
          </cell>
          <cell r="H5409">
            <v>4</v>
          </cell>
          <cell r="I5409" t="str">
            <v>--</v>
          </cell>
          <cell r="J5409">
            <v>9</v>
          </cell>
          <cell r="K5409">
            <v>11</v>
          </cell>
        </row>
        <row r="5410">
          <cell r="A5410" t="str">
            <v>MC</v>
          </cell>
          <cell r="B5410" t="str">
            <v>B2C</v>
          </cell>
          <cell r="C5410" t="str">
            <v>SH</v>
          </cell>
          <cell r="D5410" t="str">
            <v>1460</v>
          </cell>
          <cell r="E5410" t="str">
            <v>WN FLG</v>
          </cell>
          <cell r="F5410">
            <v>3</v>
          </cell>
          <cell r="G5410" t="str">
            <v>CB200204000400</v>
          </cell>
          <cell r="H5410">
            <v>4</v>
          </cell>
          <cell r="I5410" t="str">
            <v>--</v>
          </cell>
          <cell r="J5410">
            <v>4</v>
          </cell>
          <cell r="K5410">
            <v>5</v>
          </cell>
        </row>
        <row r="5411">
          <cell r="A5411" t="str">
            <v>MC</v>
          </cell>
          <cell r="B5411" t="str">
            <v>CA304</v>
          </cell>
          <cell r="C5411" t="str">
            <v>CMC</v>
          </cell>
          <cell r="D5411" t="str">
            <v>HOLD</v>
          </cell>
          <cell r="E5411" t="str">
            <v>WN FLG</v>
          </cell>
          <cell r="F5411">
            <v>3</v>
          </cell>
          <cell r="G5411" t="str">
            <v>CB201205000400</v>
          </cell>
          <cell r="H5411">
            <v>4</v>
          </cell>
          <cell r="I5411" t="str">
            <v>--</v>
          </cell>
          <cell r="J5411">
            <v>3</v>
          </cell>
          <cell r="K5411">
            <v>4</v>
          </cell>
        </row>
        <row r="5412">
          <cell r="A5412" t="str">
            <v>MC</v>
          </cell>
          <cell r="B5412" t="str">
            <v>CA304</v>
          </cell>
          <cell r="C5412" t="str">
            <v>CMC</v>
          </cell>
          <cell r="D5412" t="str">
            <v>HOLD</v>
          </cell>
          <cell r="E5412" t="str">
            <v>WN FLG</v>
          </cell>
          <cell r="F5412">
            <v>3</v>
          </cell>
          <cell r="G5412" t="str">
            <v>CB201205000400</v>
          </cell>
          <cell r="H5412">
            <v>4</v>
          </cell>
          <cell r="I5412" t="str">
            <v>--</v>
          </cell>
          <cell r="J5412">
            <v>3</v>
          </cell>
          <cell r="K5412">
            <v>4</v>
          </cell>
        </row>
        <row r="5413">
          <cell r="A5413" t="str">
            <v>MC</v>
          </cell>
          <cell r="B5413" t="str">
            <v>CA304</v>
          </cell>
          <cell r="C5413" t="str">
            <v>CMC</v>
          </cell>
          <cell r="D5413" t="str">
            <v>HOLD</v>
          </cell>
          <cell r="E5413" t="str">
            <v>WN FLG</v>
          </cell>
          <cell r="F5413">
            <v>3</v>
          </cell>
          <cell r="G5413" t="str">
            <v>CB201205000400</v>
          </cell>
          <cell r="H5413">
            <v>4</v>
          </cell>
          <cell r="I5413" t="str">
            <v>--</v>
          </cell>
          <cell r="J5413">
            <v>2</v>
          </cell>
          <cell r="K5413">
            <v>3</v>
          </cell>
        </row>
        <row r="5414">
          <cell r="A5414" t="str">
            <v>MC</v>
          </cell>
          <cell r="B5414" t="str">
            <v>CA304</v>
          </cell>
          <cell r="C5414" t="str">
            <v>MC</v>
          </cell>
          <cell r="D5414" t="str">
            <v>2507</v>
          </cell>
          <cell r="E5414" t="str">
            <v>WN FLG</v>
          </cell>
          <cell r="F5414">
            <v>3</v>
          </cell>
          <cell r="G5414" t="str">
            <v>CB201205000400</v>
          </cell>
          <cell r="H5414">
            <v>4</v>
          </cell>
          <cell r="I5414" t="str">
            <v>--</v>
          </cell>
          <cell r="J5414">
            <v>1</v>
          </cell>
          <cell r="K5414">
            <v>2</v>
          </cell>
        </row>
        <row r="5415">
          <cell r="A5415" t="str">
            <v>MC</v>
          </cell>
          <cell r="B5415" t="str">
            <v>CA304</v>
          </cell>
          <cell r="C5415" t="str">
            <v>VT</v>
          </cell>
          <cell r="D5415" t="str">
            <v>HOLD</v>
          </cell>
          <cell r="E5415" t="str">
            <v>WN FLG</v>
          </cell>
          <cell r="F5415">
            <v>3</v>
          </cell>
          <cell r="G5415" t="str">
            <v>CB201205000400</v>
          </cell>
          <cell r="H5415">
            <v>4</v>
          </cell>
          <cell r="I5415" t="str">
            <v>--</v>
          </cell>
          <cell r="J5415">
            <v>1</v>
          </cell>
          <cell r="K5415">
            <v>2</v>
          </cell>
        </row>
        <row r="5416">
          <cell r="A5416" t="str">
            <v>MC</v>
          </cell>
          <cell r="B5416" t="str">
            <v>CA304</v>
          </cell>
          <cell r="C5416" t="str">
            <v>VT</v>
          </cell>
          <cell r="D5416" t="str">
            <v>HOLD</v>
          </cell>
          <cell r="E5416" t="str">
            <v>WN FLG</v>
          </cell>
          <cell r="F5416">
            <v>3</v>
          </cell>
          <cell r="G5416" t="str">
            <v>CB201205000400</v>
          </cell>
          <cell r="H5416">
            <v>4</v>
          </cell>
          <cell r="I5416" t="str">
            <v>--</v>
          </cell>
          <cell r="J5416">
            <v>10</v>
          </cell>
          <cell r="K5416">
            <v>12</v>
          </cell>
        </row>
        <row r="5417">
          <cell r="A5417" t="str">
            <v>MC</v>
          </cell>
          <cell r="B5417" t="str">
            <v>CA304</v>
          </cell>
          <cell r="C5417" t="str">
            <v>MC</v>
          </cell>
          <cell r="D5417" t="str">
            <v>2503</v>
          </cell>
          <cell r="E5417" t="str">
            <v>WN FLG</v>
          </cell>
          <cell r="F5417">
            <v>3</v>
          </cell>
          <cell r="G5417" t="str">
            <v>CB201205000400</v>
          </cell>
          <cell r="H5417">
            <v>4</v>
          </cell>
          <cell r="I5417" t="str">
            <v>--</v>
          </cell>
          <cell r="J5417">
            <v>1</v>
          </cell>
          <cell r="K5417">
            <v>2</v>
          </cell>
        </row>
        <row r="5418">
          <cell r="A5418" t="str">
            <v>MC</v>
          </cell>
          <cell r="B5418" t="str">
            <v>CA304</v>
          </cell>
          <cell r="C5418" t="str">
            <v>MC</v>
          </cell>
          <cell r="D5418" t="str">
            <v>HOLD</v>
          </cell>
          <cell r="E5418" t="str">
            <v>WN FLG</v>
          </cell>
          <cell r="F5418">
            <v>3</v>
          </cell>
          <cell r="G5418" t="str">
            <v>CB201205000400</v>
          </cell>
          <cell r="H5418">
            <v>4</v>
          </cell>
          <cell r="I5418" t="str">
            <v>--</v>
          </cell>
          <cell r="J5418">
            <v>5</v>
          </cell>
          <cell r="K5418">
            <v>6</v>
          </cell>
        </row>
        <row r="5419">
          <cell r="A5419" t="str">
            <v>MC</v>
          </cell>
          <cell r="B5419" t="str">
            <v>CA304</v>
          </cell>
          <cell r="C5419" t="str">
            <v>MC</v>
          </cell>
          <cell r="D5419" t="str">
            <v>HOLD</v>
          </cell>
          <cell r="E5419" t="str">
            <v>WN FLG</v>
          </cell>
          <cell r="F5419">
            <v>3</v>
          </cell>
          <cell r="G5419" t="str">
            <v>CB201205000400</v>
          </cell>
          <cell r="H5419">
            <v>4</v>
          </cell>
          <cell r="I5419" t="str">
            <v>--</v>
          </cell>
          <cell r="J5419">
            <v>5</v>
          </cell>
          <cell r="K5419">
            <v>6</v>
          </cell>
        </row>
        <row r="5420">
          <cell r="A5420" t="str">
            <v>MC</v>
          </cell>
          <cell r="B5420" t="str">
            <v>CA304</v>
          </cell>
          <cell r="C5420" t="str">
            <v>MC</v>
          </cell>
          <cell r="D5420" t="str">
            <v>HOLD</v>
          </cell>
          <cell r="E5420" t="str">
            <v>WN FLG</v>
          </cell>
          <cell r="F5420">
            <v>3</v>
          </cell>
          <cell r="G5420" t="str">
            <v>CB201205000400</v>
          </cell>
          <cell r="H5420">
            <v>4</v>
          </cell>
          <cell r="I5420" t="str">
            <v>--</v>
          </cell>
          <cell r="J5420">
            <v>5</v>
          </cell>
          <cell r="K5420">
            <v>6</v>
          </cell>
        </row>
        <row r="5421">
          <cell r="A5421" t="str">
            <v>MC</v>
          </cell>
          <cell r="B5421" t="str">
            <v>BA305</v>
          </cell>
          <cell r="C5421" t="str">
            <v>MOH</v>
          </cell>
          <cell r="D5421" t="str">
            <v>2103</v>
          </cell>
          <cell r="E5421" t="str">
            <v>WN FLG</v>
          </cell>
          <cell r="F5421">
            <v>3</v>
          </cell>
          <cell r="G5421" t="str">
            <v>CB200205000400</v>
          </cell>
          <cell r="H5421">
            <v>4</v>
          </cell>
          <cell r="I5421" t="str">
            <v>--</v>
          </cell>
          <cell r="J5421">
            <v>2</v>
          </cell>
          <cell r="K5421">
            <v>3</v>
          </cell>
        </row>
        <row r="5422">
          <cell r="A5422" t="str">
            <v>MC</v>
          </cell>
          <cell r="B5422" t="str">
            <v>B2C</v>
          </cell>
          <cell r="C5422" t="str">
            <v>SH</v>
          </cell>
          <cell r="D5422" t="str">
            <v>1460</v>
          </cell>
          <cell r="E5422" t="str">
            <v>WN FLG</v>
          </cell>
          <cell r="F5422">
            <v>3</v>
          </cell>
          <cell r="G5422" t="str">
            <v>CB200204000600</v>
          </cell>
          <cell r="H5422">
            <v>6</v>
          </cell>
          <cell r="I5422" t="str">
            <v>--</v>
          </cell>
          <cell r="J5422">
            <v>9</v>
          </cell>
          <cell r="K5422">
            <v>11</v>
          </cell>
        </row>
        <row r="5423">
          <cell r="A5423" t="str">
            <v>MC</v>
          </cell>
          <cell r="B5423" t="str">
            <v>B2C</v>
          </cell>
          <cell r="C5423" t="str">
            <v>SH</v>
          </cell>
          <cell r="D5423" t="str">
            <v>1360</v>
          </cell>
          <cell r="E5423" t="str">
            <v>WN FLG</v>
          </cell>
          <cell r="F5423">
            <v>3</v>
          </cell>
          <cell r="G5423" t="str">
            <v>CB200204000600</v>
          </cell>
          <cell r="H5423">
            <v>6</v>
          </cell>
          <cell r="I5423" t="str">
            <v>--</v>
          </cell>
          <cell r="J5423">
            <v>4</v>
          </cell>
          <cell r="K5423">
            <v>5</v>
          </cell>
        </row>
        <row r="5424">
          <cell r="A5424" t="str">
            <v>MC</v>
          </cell>
          <cell r="B5424" t="str">
            <v>CA304</v>
          </cell>
          <cell r="C5424" t="str">
            <v>CMC</v>
          </cell>
          <cell r="D5424" t="str">
            <v>HOLD</v>
          </cell>
          <cell r="E5424" t="str">
            <v>WN FLG</v>
          </cell>
          <cell r="F5424">
            <v>3</v>
          </cell>
          <cell r="G5424" t="str">
            <v>CB201205000600</v>
          </cell>
          <cell r="H5424">
            <v>6</v>
          </cell>
          <cell r="I5424" t="str">
            <v>--</v>
          </cell>
          <cell r="J5424">
            <v>1</v>
          </cell>
          <cell r="K5424">
            <v>2</v>
          </cell>
        </row>
        <row r="5425">
          <cell r="A5425" t="str">
            <v>MC</v>
          </cell>
          <cell r="B5425" t="str">
            <v>CA304</v>
          </cell>
          <cell r="C5425" t="str">
            <v>CMC</v>
          </cell>
          <cell r="D5425" t="str">
            <v>HOLD</v>
          </cell>
          <cell r="E5425" t="str">
            <v>WN FLG</v>
          </cell>
          <cell r="F5425">
            <v>3</v>
          </cell>
          <cell r="G5425" t="str">
            <v>CB201205000600</v>
          </cell>
          <cell r="H5425">
            <v>6</v>
          </cell>
          <cell r="I5425" t="str">
            <v>--</v>
          </cell>
          <cell r="J5425">
            <v>1</v>
          </cell>
          <cell r="K5425">
            <v>2</v>
          </cell>
        </row>
        <row r="5426">
          <cell r="A5426" t="str">
            <v>MC</v>
          </cell>
          <cell r="B5426" t="str">
            <v>CA307</v>
          </cell>
          <cell r="C5426" t="str">
            <v>HCL</v>
          </cell>
          <cell r="D5426" t="str">
            <v>1100</v>
          </cell>
          <cell r="E5426" t="str">
            <v>WN FLG</v>
          </cell>
          <cell r="F5426">
            <v>3</v>
          </cell>
          <cell r="G5426" t="str">
            <v>CB203205000600</v>
          </cell>
          <cell r="H5426">
            <v>6</v>
          </cell>
          <cell r="I5426" t="str">
            <v>--</v>
          </cell>
          <cell r="J5426">
            <v>2</v>
          </cell>
          <cell r="K5426">
            <v>3</v>
          </cell>
        </row>
        <row r="5427">
          <cell r="A5427" t="str">
            <v>MC</v>
          </cell>
          <cell r="B5427" t="str">
            <v>CA304</v>
          </cell>
          <cell r="C5427" t="str">
            <v>MC</v>
          </cell>
          <cell r="D5427" t="str">
            <v>2410</v>
          </cell>
          <cell r="E5427" t="str">
            <v>WN FLG</v>
          </cell>
          <cell r="F5427">
            <v>3</v>
          </cell>
          <cell r="G5427" t="str">
            <v>CB201205000600</v>
          </cell>
          <cell r="H5427">
            <v>6</v>
          </cell>
          <cell r="I5427" t="str">
            <v>--</v>
          </cell>
          <cell r="J5427">
            <v>2</v>
          </cell>
          <cell r="K5427">
            <v>3</v>
          </cell>
        </row>
        <row r="5428">
          <cell r="A5428" t="str">
            <v>MC</v>
          </cell>
          <cell r="B5428" t="str">
            <v>CA304</v>
          </cell>
          <cell r="C5428" t="str">
            <v>MC</v>
          </cell>
          <cell r="D5428" t="str">
            <v>2412</v>
          </cell>
          <cell r="E5428" t="str">
            <v>WN FLG</v>
          </cell>
          <cell r="F5428">
            <v>3</v>
          </cell>
          <cell r="G5428" t="str">
            <v>CB201205000600</v>
          </cell>
          <cell r="H5428">
            <v>6</v>
          </cell>
          <cell r="I5428" t="str">
            <v>--</v>
          </cell>
          <cell r="J5428">
            <v>1</v>
          </cell>
          <cell r="K5428">
            <v>2</v>
          </cell>
        </row>
        <row r="5429">
          <cell r="A5429" t="str">
            <v>MC</v>
          </cell>
          <cell r="B5429" t="str">
            <v>BA305</v>
          </cell>
          <cell r="C5429" t="str">
            <v>MOH</v>
          </cell>
          <cell r="D5429" t="str">
            <v>HOLD</v>
          </cell>
          <cell r="E5429" t="str">
            <v>WN FLG</v>
          </cell>
          <cell r="F5429">
            <v>3</v>
          </cell>
          <cell r="G5429" t="str">
            <v>CB200105000600</v>
          </cell>
          <cell r="H5429">
            <v>6</v>
          </cell>
          <cell r="I5429" t="str">
            <v>--</v>
          </cell>
          <cell r="J5429">
            <v>2</v>
          </cell>
          <cell r="K5429">
            <v>3</v>
          </cell>
        </row>
        <row r="5430">
          <cell r="A5430" t="str">
            <v>MC</v>
          </cell>
          <cell r="B5430" t="str">
            <v>CA304</v>
          </cell>
          <cell r="C5430" t="str">
            <v>MC</v>
          </cell>
          <cell r="D5430" t="str">
            <v>2613</v>
          </cell>
          <cell r="E5430" t="str">
            <v>WN FLG</v>
          </cell>
          <cell r="F5430">
            <v>3</v>
          </cell>
          <cell r="G5430" t="str">
            <v>CB201205000600</v>
          </cell>
          <cell r="H5430">
            <v>6</v>
          </cell>
          <cell r="I5430" t="str">
            <v>--</v>
          </cell>
          <cell r="J5430">
            <v>2</v>
          </cell>
          <cell r="K5430">
            <v>3</v>
          </cell>
        </row>
        <row r="5431">
          <cell r="A5431" t="str">
            <v>MC</v>
          </cell>
          <cell r="B5431" t="str">
            <v>CA304</v>
          </cell>
          <cell r="C5431" t="str">
            <v>MC</v>
          </cell>
          <cell r="D5431" t="str">
            <v>2502</v>
          </cell>
          <cell r="E5431" t="str">
            <v>WN FLG</v>
          </cell>
          <cell r="F5431">
            <v>3</v>
          </cell>
          <cell r="G5431" t="str">
            <v>CB201205000600</v>
          </cell>
          <cell r="H5431">
            <v>6</v>
          </cell>
          <cell r="I5431" t="str">
            <v>--</v>
          </cell>
          <cell r="J5431">
            <v>5</v>
          </cell>
          <cell r="K5431">
            <v>6</v>
          </cell>
        </row>
        <row r="5432">
          <cell r="A5432" t="str">
            <v>MC</v>
          </cell>
          <cell r="B5432" t="str">
            <v>CA304</v>
          </cell>
          <cell r="C5432" t="str">
            <v>MC</v>
          </cell>
          <cell r="D5432" t="str">
            <v>2502</v>
          </cell>
          <cell r="E5432" t="str">
            <v>WN FLG</v>
          </cell>
          <cell r="F5432">
            <v>3</v>
          </cell>
          <cell r="G5432" t="str">
            <v>CB201205000600</v>
          </cell>
          <cell r="H5432">
            <v>6</v>
          </cell>
          <cell r="I5432" t="str">
            <v>--</v>
          </cell>
          <cell r="J5432">
            <v>5</v>
          </cell>
          <cell r="K5432">
            <v>6</v>
          </cell>
        </row>
        <row r="5433">
          <cell r="A5433" t="str">
            <v>MC</v>
          </cell>
          <cell r="B5433" t="str">
            <v>BA305</v>
          </cell>
          <cell r="C5433" t="str">
            <v>MOH</v>
          </cell>
          <cell r="D5433" t="str">
            <v>2103</v>
          </cell>
          <cell r="E5433" t="str">
            <v>WN FLG</v>
          </cell>
          <cell r="F5433">
            <v>3</v>
          </cell>
          <cell r="G5433" t="str">
            <v>CB200105000600</v>
          </cell>
          <cell r="H5433">
            <v>6</v>
          </cell>
          <cell r="I5433" t="str">
            <v>--</v>
          </cell>
          <cell r="J5433">
            <v>4</v>
          </cell>
          <cell r="K5433">
            <v>5</v>
          </cell>
        </row>
        <row r="5434">
          <cell r="A5434" t="str">
            <v>MC</v>
          </cell>
          <cell r="B5434" t="str">
            <v>CA304</v>
          </cell>
          <cell r="C5434" t="str">
            <v>MC</v>
          </cell>
          <cell r="D5434" t="str">
            <v>2504</v>
          </cell>
          <cell r="E5434" t="str">
            <v>WN FLG</v>
          </cell>
          <cell r="F5434">
            <v>3</v>
          </cell>
          <cell r="G5434" t="str">
            <v>CB201205000600</v>
          </cell>
          <cell r="H5434">
            <v>6</v>
          </cell>
          <cell r="I5434" t="str">
            <v>--</v>
          </cell>
          <cell r="J5434">
            <v>1</v>
          </cell>
          <cell r="K5434">
            <v>2</v>
          </cell>
        </row>
        <row r="5435">
          <cell r="A5435" t="str">
            <v>MC</v>
          </cell>
          <cell r="B5435" t="str">
            <v>B2C</v>
          </cell>
          <cell r="C5435" t="str">
            <v>SH</v>
          </cell>
          <cell r="D5435" t="str">
            <v>1360</v>
          </cell>
          <cell r="E5435" t="str">
            <v>WN FLG</v>
          </cell>
          <cell r="F5435">
            <v>3</v>
          </cell>
          <cell r="G5435" t="str">
            <v>CB200204000800</v>
          </cell>
          <cell r="H5435">
            <v>8</v>
          </cell>
          <cell r="I5435" t="str">
            <v>--</v>
          </cell>
          <cell r="J5435">
            <v>9</v>
          </cell>
          <cell r="K5435">
            <v>11</v>
          </cell>
        </row>
        <row r="5436">
          <cell r="A5436" t="str">
            <v>MC</v>
          </cell>
          <cell r="B5436" t="str">
            <v>CA304</v>
          </cell>
          <cell r="C5436" t="str">
            <v>MC</v>
          </cell>
          <cell r="D5436" t="str">
            <v>2501</v>
          </cell>
          <cell r="E5436" t="str">
            <v>WN FLG</v>
          </cell>
          <cell r="F5436">
            <v>3</v>
          </cell>
          <cell r="G5436" t="str">
            <v>CB201205000800</v>
          </cell>
          <cell r="H5436">
            <v>8</v>
          </cell>
          <cell r="I5436" t="str">
            <v>--</v>
          </cell>
          <cell r="J5436">
            <v>3</v>
          </cell>
          <cell r="K5436">
            <v>4</v>
          </cell>
        </row>
        <row r="5437">
          <cell r="A5437" t="str">
            <v>MC</v>
          </cell>
          <cell r="B5437" t="str">
            <v>CA304</v>
          </cell>
          <cell r="C5437" t="str">
            <v>MC</v>
          </cell>
          <cell r="D5437" t="str">
            <v>2501</v>
          </cell>
          <cell r="E5437" t="str">
            <v>WN FLG</v>
          </cell>
          <cell r="F5437">
            <v>3</v>
          </cell>
          <cell r="G5437" t="str">
            <v>CB201205000800</v>
          </cell>
          <cell r="H5437">
            <v>8</v>
          </cell>
          <cell r="I5437" t="str">
            <v>--</v>
          </cell>
          <cell r="J5437">
            <v>3</v>
          </cell>
          <cell r="K5437">
            <v>4</v>
          </cell>
        </row>
        <row r="5438">
          <cell r="A5438" t="str">
            <v>MC</v>
          </cell>
          <cell r="B5438" t="str">
            <v>B2C</v>
          </cell>
          <cell r="C5438" t="str">
            <v>SH</v>
          </cell>
          <cell r="D5438" t="str">
            <v>1000</v>
          </cell>
          <cell r="E5438" t="str">
            <v>WN FLG</v>
          </cell>
          <cell r="F5438">
            <v>3</v>
          </cell>
          <cell r="G5438" t="str">
            <v>CB200204001000</v>
          </cell>
          <cell r="H5438">
            <v>10</v>
          </cell>
          <cell r="I5438" t="str">
            <v>--</v>
          </cell>
          <cell r="J5438">
            <v>3</v>
          </cell>
          <cell r="K5438">
            <v>4</v>
          </cell>
        </row>
        <row r="5439">
          <cell r="A5439" t="str">
            <v>MC</v>
          </cell>
          <cell r="B5439" t="str">
            <v>CA304</v>
          </cell>
          <cell r="C5439" t="str">
            <v>VT</v>
          </cell>
          <cell r="D5439" t="str">
            <v>HOLD</v>
          </cell>
          <cell r="E5439" t="str">
            <v>WN FLG</v>
          </cell>
          <cell r="F5439">
            <v>3</v>
          </cell>
          <cell r="G5439" t="str">
            <v>CB201205001000</v>
          </cell>
          <cell r="H5439">
            <v>10</v>
          </cell>
          <cell r="I5439" t="str">
            <v>--</v>
          </cell>
          <cell r="J5439">
            <v>1</v>
          </cell>
          <cell r="K5439">
            <v>2</v>
          </cell>
        </row>
        <row r="5440">
          <cell r="A5440" t="str">
            <v>MC</v>
          </cell>
          <cell r="B5440" t="str">
            <v>B2C</v>
          </cell>
          <cell r="C5440" t="str">
            <v>SH</v>
          </cell>
          <cell r="D5440" t="str">
            <v>1000</v>
          </cell>
          <cell r="E5440" t="str">
            <v>GATE VA</v>
          </cell>
          <cell r="F5440">
            <v>6</v>
          </cell>
          <cell r="G5440" t="str">
            <v>VG8010400000H00</v>
          </cell>
          <cell r="H5440">
            <v>0.5</v>
          </cell>
          <cell r="I5440" t="str">
            <v>--</v>
          </cell>
          <cell r="J5440">
            <v>2</v>
          </cell>
          <cell r="K5440">
            <v>2</v>
          </cell>
        </row>
        <row r="5441">
          <cell r="A5441" t="str">
            <v>MC</v>
          </cell>
          <cell r="B5441" t="str">
            <v>B2C</v>
          </cell>
          <cell r="C5441" t="str">
            <v>SH</v>
          </cell>
          <cell r="D5441" t="str">
            <v>1260</v>
          </cell>
          <cell r="E5441" t="str">
            <v>GATE VA</v>
          </cell>
          <cell r="F5441">
            <v>6</v>
          </cell>
          <cell r="G5441" t="str">
            <v>VG8010400000H00</v>
          </cell>
          <cell r="H5441">
            <v>0.5</v>
          </cell>
          <cell r="I5441" t="str">
            <v>--</v>
          </cell>
          <cell r="J5441">
            <v>2</v>
          </cell>
          <cell r="K5441">
            <v>2</v>
          </cell>
        </row>
        <row r="5442">
          <cell r="A5442" t="str">
            <v>MC</v>
          </cell>
          <cell r="B5442" t="str">
            <v>B2C</v>
          </cell>
          <cell r="C5442" t="str">
            <v>SH</v>
          </cell>
          <cell r="D5442" t="str">
            <v>1360</v>
          </cell>
          <cell r="E5442" t="str">
            <v>GATE VA</v>
          </cell>
          <cell r="F5442">
            <v>6</v>
          </cell>
          <cell r="G5442" t="str">
            <v>VG8010400000H00</v>
          </cell>
          <cell r="H5442">
            <v>0.5</v>
          </cell>
          <cell r="I5442" t="str">
            <v>--</v>
          </cell>
          <cell r="J5442">
            <v>2</v>
          </cell>
          <cell r="K5442">
            <v>2</v>
          </cell>
        </row>
        <row r="5443">
          <cell r="A5443" t="str">
            <v>MC</v>
          </cell>
          <cell r="B5443" t="str">
            <v>B2C</v>
          </cell>
          <cell r="C5443" t="str">
            <v>SH</v>
          </cell>
          <cell r="D5443" t="str">
            <v>1405</v>
          </cell>
          <cell r="E5443" t="str">
            <v>GATE VA</v>
          </cell>
          <cell r="F5443">
            <v>6</v>
          </cell>
          <cell r="G5443" t="str">
            <v>VG8010400000H00</v>
          </cell>
          <cell r="H5443">
            <v>0.5</v>
          </cell>
          <cell r="I5443" t="str">
            <v>--</v>
          </cell>
          <cell r="J5443">
            <v>2</v>
          </cell>
          <cell r="K5443">
            <v>2</v>
          </cell>
        </row>
        <row r="5444">
          <cell r="A5444" t="str">
            <v>MC</v>
          </cell>
          <cell r="B5444" t="str">
            <v>B2C</v>
          </cell>
          <cell r="C5444" t="str">
            <v>SH</v>
          </cell>
          <cell r="D5444" t="str">
            <v>1460</v>
          </cell>
          <cell r="E5444" t="str">
            <v>GATE VA</v>
          </cell>
          <cell r="F5444">
            <v>6</v>
          </cell>
          <cell r="G5444" t="str">
            <v>VG8010400000H00</v>
          </cell>
          <cell r="H5444">
            <v>0.5</v>
          </cell>
          <cell r="I5444" t="str">
            <v>--</v>
          </cell>
          <cell r="J5444">
            <v>2</v>
          </cell>
          <cell r="K5444">
            <v>2</v>
          </cell>
        </row>
        <row r="5445">
          <cell r="A5445" t="str">
            <v>MC</v>
          </cell>
          <cell r="B5445" t="str">
            <v>CA304</v>
          </cell>
          <cell r="C5445" t="str">
            <v>MC</v>
          </cell>
          <cell r="D5445" t="str">
            <v>2505</v>
          </cell>
          <cell r="E5445" t="str">
            <v>BALL VA</v>
          </cell>
          <cell r="F5445">
            <v>6</v>
          </cell>
          <cell r="G5445" t="str">
            <v>VB8010100000H00</v>
          </cell>
          <cell r="H5445">
            <v>0.5</v>
          </cell>
          <cell r="I5445" t="str">
            <v>--</v>
          </cell>
          <cell r="J5445">
            <v>2</v>
          </cell>
          <cell r="K5445">
            <v>2</v>
          </cell>
        </row>
        <row r="5446">
          <cell r="A5446" t="str">
            <v>MC</v>
          </cell>
          <cell r="B5446" t="str">
            <v>CA304</v>
          </cell>
          <cell r="C5446" t="str">
            <v>MC</v>
          </cell>
          <cell r="D5446" t="str">
            <v>2501</v>
          </cell>
          <cell r="E5446" t="str">
            <v>BALL VA</v>
          </cell>
          <cell r="F5446">
            <v>6</v>
          </cell>
          <cell r="G5446" t="str">
            <v>VB8010100000H00</v>
          </cell>
          <cell r="H5446">
            <v>0.5</v>
          </cell>
          <cell r="I5446" t="str">
            <v>--</v>
          </cell>
          <cell r="J5446">
            <v>2</v>
          </cell>
          <cell r="K5446">
            <v>2</v>
          </cell>
        </row>
        <row r="5447">
          <cell r="A5447" t="str">
            <v>MC</v>
          </cell>
          <cell r="B5447" t="str">
            <v>BA305</v>
          </cell>
          <cell r="C5447" t="str">
            <v>MOH</v>
          </cell>
          <cell r="D5447" t="str">
            <v>2100</v>
          </cell>
          <cell r="E5447" t="str">
            <v>BALL VA</v>
          </cell>
          <cell r="F5447">
            <v>6</v>
          </cell>
          <cell r="G5447" t="str">
            <v>VB8010100000H00</v>
          </cell>
          <cell r="H5447">
            <v>0.5</v>
          </cell>
          <cell r="I5447" t="str">
            <v>--</v>
          </cell>
          <cell r="J5447">
            <v>2</v>
          </cell>
          <cell r="K5447">
            <v>2</v>
          </cell>
        </row>
        <row r="5448">
          <cell r="A5448" t="str">
            <v>MC</v>
          </cell>
          <cell r="B5448" t="str">
            <v>BA305</v>
          </cell>
          <cell r="C5448" t="str">
            <v>MOH</v>
          </cell>
          <cell r="D5448" t="str">
            <v>2101</v>
          </cell>
          <cell r="E5448" t="str">
            <v>BALL VA</v>
          </cell>
          <cell r="F5448">
            <v>6</v>
          </cell>
          <cell r="G5448" t="str">
            <v>VB8010100000H00</v>
          </cell>
          <cell r="H5448">
            <v>0.5</v>
          </cell>
          <cell r="I5448" t="str">
            <v>--</v>
          </cell>
          <cell r="J5448">
            <v>2</v>
          </cell>
          <cell r="K5448">
            <v>2</v>
          </cell>
        </row>
        <row r="5449">
          <cell r="A5449" t="str">
            <v>MC</v>
          </cell>
          <cell r="B5449" t="str">
            <v>CA304</v>
          </cell>
          <cell r="C5449" t="str">
            <v>MC</v>
          </cell>
          <cell r="D5449" t="str">
            <v>2610</v>
          </cell>
          <cell r="E5449" t="str">
            <v>BALL VA</v>
          </cell>
          <cell r="F5449">
            <v>6</v>
          </cell>
          <cell r="G5449" t="str">
            <v>VB8010100000H00</v>
          </cell>
          <cell r="H5449">
            <v>0.5</v>
          </cell>
          <cell r="I5449" t="str">
            <v>--</v>
          </cell>
          <cell r="J5449">
            <v>2</v>
          </cell>
          <cell r="K5449">
            <v>2</v>
          </cell>
        </row>
        <row r="5450">
          <cell r="A5450" t="str">
            <v>MC</v>
          </cell>
          <cell r="B5450" t="str">
            <v>BA312</v>
          </cell>
          <cell r="C5450" t="str">
            <v>SA98</v>
          </cell>
          <cell r="D5450" t="str">
            <v>2411</v>
          </cell>
          <cell r="E5450" t="str">
            <v>BALL VA</v>
          </cell>
          <cell r="F5450">
            <v>6</v>
          </cell>
          <cell r="G5450" t="str">
            <v>VB3110100000H00</v>
          </cell>
          <cell r="H5450">
            <v>0.5</v>
          </cell>
          <cell r="I5450" t="str">
            <v>--</v>
          </cell>
          <cell r="J5450">
            <v>2</v>
          </cell>
          <cell r="K5450">
            <v>2</v>
          </cell>
        </row>
        <row r="5451">
          <cell r="A5451" t="str">
            <v>MC</v>
          </cell>
          <cell r="B5451" t="str">
            <v>CA304</v>
          </cell>
          <cell r="C5451" t="str">
            <v>MC</v>
          </cell>
          <cell r="D5451" t="str">
            <v>2613</v>
          </cell>
          <cell r="E5451" t="str">
            <v>BALL VA</v>
          </cell>
          <cell r="F5451">
            <v>6</v>
          </cell>
          <cell r="G5451" t="str">
            <v>VB8010100000H00</v>
          </cell>
          <cell r="H5451">
            <v>0.5</v>
          </cell>
          <cell r="I5451" t="str">
            <v>--</v>
          </cell>
          <cell r="J5451">
            <v>2</v>
          </cell>
          <cell r="K5451">
            <v>2</v>
          </cell>
        </row>
        <row r="5452">
          <cell r="A5452" t="str">
            <v>MC</v>
          </cell>
          <cell r="B5452" t="str">
            <v>BA305</v>
          </cell>
          <cell r="C5452" t="str">
            <v>MOH</v>
          </cell>
          <cell r="D5452" t="str">
            <v>2112</v>
          </cell>
          <cell r="E5452" t="str">
            <v>BALL VA</v>
          </cell>
          <cell r="F5452">
            <v>6</v>
          </cell>
          <cell r="G5452" t="str">
            <v>VB8010100000H00</v>
          </cell>
          <cell r="H5452">
            <v>0.5</v>
          </cell>
          <cell r="I5452" t="str">
            <v>--</v>
          </cell>
          <cell r="J5452">
            <v>2</v>
          </cell>
          <cell r="K5452">
            <v>2</v>
          </cell>
        </row>
        <row r="5453">
          <cell r="A5453" t="str">
            <v>MC</v>
          </cell>
          <cell r="B5453" t="str">
            <v>CA304</v>
          </cell>
          <cell r="C5453" t="str">
            <v>SCC</v>
          </cell>
          <cell r="D5453" t="str">
            <v>HOLD</v>
          </cell>
          <cell r="E5453" t="str">
            <v>BALL VA</v>
          </cell>
          <cell r="F5453">
            <v>6</v>
          </cell>
          <cell r="G5453" t="str">
            <v>VB8010100000H00</v>
          </cell>
          <cell r="H5453">
            <v>0.5</v>
          </cell>
          <cell r="I5453" t="str">
            <v>--</v>
          </cell>
          <cell r="J5453">
            <v>2</v>
          </cell>
          <cell r="K5453">
            <v>2</v>
          </cell>
        </row>
        <row r="5454">
          <cell r="A5454" t="str">
            <v>MC</v>
          </cell>
          <cell r="B5454" t="str">
            <v>CA304</v>
          </cell>
          <cell r="C5454" t="str">
            <v>SCC</v>
          </cell>
          <cell r="D5454" t="str">
            <v>HOLD</v>
          </cell>
          <cell r="E5454" t="str">
            <v>BELLOWS VA</v>
          </cell>
          <cell r="F5454">
            <v>6</v>
          </cell>
          <cell r="G5454" t="str">
            <v>VBE8010100000H00</v>
          </cell>
          <cell r="H5454">
            <v>0.5</v>
          </cell>
          <cell r="I5454" t="str">
            <v>--</v>
          </cell>
          <cell r="J5454">
            <v>2</v>
          </cell>
          <cell r="K5454">
            <v>2</v>
          </cell>
        </row>
        <row r="5455">
          <cell r="A5455" t="str">
            <v>MC</v>
          </cell>
          <cell r="B5455" t="str">
            <v>CA307</v>
          </cell>
          <cell r="C5455" t="str">
            <v>HCL</v>
          </cell>
          <cell r="D5455" t="str">
            <v>1100</v>
          </cell>
          <cell r="E5455" t="str">
            <v>GATE VA</v>
          </cell>
          <cell r="F5455">
            <v>6</v>
          </cell>
          <cell r="G5455" t="str">
            <v>VG8010700000H00</v>
          </cell>
          <cell r="H5455">
            <v>0.5</v>
          </cell>
          <cell r="I5455" t="str">
            <v>--</v>
          </cell>
          <cell r="J5455">
            <v>2</v>
          </cell>
          <cell r="K5455">
            <v>2</v>
          </cell>
        </row>
        <row r="5456">
          <cell r="A5456" t="str">
            <v>MC</v>
          </cell>
          <cell r="B5456" t="str">
            <v>CA304</v>
          </cell>
          <cell r="C5456" t="str">
            <v>MC</v>
          </cell>
          <cell r="D5456" t="str">
            <v>2504</v>
          </cell>
          <cell r="E5456" t="str">
            <v>BALL VA</v>
          </cell>
          <cell r="F5456">
            <v>6</v>
          </cell>
          <cell r="G5456" t="str">
            <v>VB8010100000H00</v>
          </cell>
          <cell r="H5456">
            <v>0.5</v>
          </cell>
          <cell r="I5456" t="str">
            <v>--</v>
          </cell>
          <cell r="J5456">
            <v>2</v>
          </cell>
          <cell r="K5456">
            <v>2</v>
          </cell>
        </row>
        <row r="5457">
          <cell r="A5457" t="str">
            <v>MC</v>
          </cell>
          <cell r="B5457" t="str">
            <v>CA304</v>
          </cell>
          <cell r="C5457" t="str">
            <v>MC</v>
          </cell>
          <cell r="D5457" t="str">
            <v>2604</v>
          </cell>
          <cell r="E5457" t="str">
            <v>BALL VA</v>
          </cell>
          <cell r="F5457">
            <v>6</v>
          </cell>
          <cell r="G5457" t="str">
            <v>VB8010100000H00</v>
          </cell>
          <cell r="H5457">
            <v>0.5</v>
          </cell>
          <cell r="I5457" t="str">
            <v>--</v>
          </cell>
          <cell r="J5457">
            <v>2</v>
          </cell>
          <cell r="K5457">
            <v>2</v>
          </cell>
        </row>
        <row r="5458">
          <cell r="A5458" t="str">
            <v>MC</v>
          </cell>
          <cell r="B5458" t="str">
            <v>CA304</v>
          </cell>
          <cell r="C5458" t="str">
            <v>MC</v>
          </cell>
          <cell r="D5458" t="str">
            <v>HOLD</v>
          </cell>
          <cell r="E5458" t="str">
            <v>BALL VA</v>
          </cell>
          <cell r="F5458">
            <v>6</v>
          </cell>
          <cell r="G5458" t="str">
            <v>VB8010100000H00</v>
          </cell>
          <cell r="H5458">
            <v>0.5</v>
          </cell>
          <cell r="I5458" t="str">
            <v>--</v>
          </cell>
          <cell r="J5458">
            <v>1</v>
          </cell>
          <cell r="K5458">
            <v>1</v>
          </cell>
        </row>
        <row r="5459">
          <cell r="A5459" t="str">
            <v>MC</v>
          </cell>
          <cell r="B5459" t="str">
            <v>CA304</v>
          </cell>
          <cell r="C5459" t="str">
            <v>MC</v>
          </cell>
          <cell r="D5459" t="str">
            <v>HOLD</v>
          </cell>
          <cell r="E5459" t="str">
            <v>CHECK VA</v>
          </cell>
          <cell r="F5459">
            <v>6</v>
          </cell>
          <cell r="G5459" t="str">
            <v>VCB8010600000H00</v>
          </cell>
          <cell r="H5459">
            <v>0.5</v>
          </cell>
          <cell r="I5459" t="str">
            <v>--</v>
          </cell>
          <cell r="J5459">
            <v>1</v>
          </cell>
          <cell r="K5459">
            <v>1</v>
          </cell>
        </row>
        <row r="5460">
          <cell r="A5460" t="str">
            <v>MC</v>
          </cell>
          <cell r="B5460" t="str">
            <v>CA304</v>
          </cell>
          <cell r="C5460" t="str">
            <v>SC1</v>
          </cell>
          <cell r="D5460" t="str">
            <v>HOLD</v>
          </cell>
          <cell r="E5460" t="str">
            <v>BELLOWS VA</v>
          </cell>
          <cell r="F5460">
            <v>6</v>
          </cell>
          <cell r="G5460" t="str">
            <v>VBE8010100000H00</v>
          </cell>
          <cell r="H5460">
            <v>0.5</v>
          </cell>
          <cell r="I5460" t="str">
            <v>--</v>
          </cell>
          <cell r="J5460">
            <v>3</v>
          </cell>
          <cell r="K5460">
            <v>3</v>
          </cell>
        </row>
        <row r="5461">
          <cell r="A5461" t="str">
            <v>MC</v>
          </cell>
          <cell r="B5461" t="str">
            <v>B2C</v>
          </cell>
          <cell r="C5461" t="str">
            <v>SH</v>
          </cell>
          <cell r="D5461" t="str">
            <v>1000</v>
          </cell>
          <cell r="E5461" t="str">
            <v>GATE VA</v>
          </cell>
          <cell r="F5461">
            <v>6</v>
          </cell>
          <cell r="G5461" t="str">
            <v>VG8010100000T00</v>
          </cell>
          <cell r="H5461">
            <v>0.75</v>
          </cell>
          <cell r="I5461" t="str">
            <v>--</v>
          </cell>
          <cell r="J5461">
            <v>6</v>
          </cell>
          <cell r="K5461">
            <v>6</v>
          </cell>
        </row>
        <row r="5462">
          <cell r="A5462" t="str">
            <v>MC</v>
          </cell>
          <cell r="B5462" t="str">
            <v>B2C</v>
          </cell>
          <cell r="C5462" t="str">
            <v>SH</v>
          </cell>
          <cell r="D5462" t="str">
            <v>1260</v>
          </cell>
          <cell r="E5462" t="str">
            <v>GATE VA</v>
          </cell>
          <cell r="F5462">
            <v>6</v>
          </cell>
          <cell r="G5462" t="str">
            <v>VG8010400000T00</v>
          </cell>
          <cell r="H5462">
            <v>0.75</v>
          </cell>
          <cell r="I5462" t="str">
            <v>--</v>
          </cell>
          <cell r="J5462">
            <v>1</v>
          </cell>
          <cell r="K5462">
            <v>1</v>
          </cell>
        </row>
        <row r="5463">
          <cell r="A5463" t="str">
            <v>MC</v>
          </cell>
          <cell r="B5463" t="str">
            <v>B2C</v>
          </cell>
          <cell r="C5463" t="str">
            <v>SH</v>
          </cell>
          <cell r="D5463" t="str">
            <v>1260</v>
          </cell>
          <cell r="E5463" t="str">
            <v>GATE VA</v>
          </cell>
          <cell r="F5463">
            <v>6</v>
          </cell>
          <cell r="G5463" t="str">
            <v>VG8010100000T00</v>
          </cell>
          <cell r="H5463">
            <v>0.75</v>
          </cell>
          <cell r="I5463" t="str">
            <v>--</v>
          </cell>
          <cell r="J5463">
            <v>2</v>
          </cell>
          <cell r="K5463">
            <v>2</v>
          </cell>
        </row>
        <row r="5464">
          <cell r="A5464" t="str">
            <v>MC</v>
          </cell>
          <cell r="B5464" t="str">
            <v>B2C</v>
          </cell>
          <cell r="C5464" t="str">
            <v>SH</v>
          </cell>
          <cell r="D5464" t="str">
            <v>1360</v>
          </cell>
          <cell r="E5464" t="str">
            <v>GATE VA</v>
          </cell>
          <cell r="F5464">
            <v>6</v>
          </cell>
          <cell r="G5464" t="str">
            <v>VG8010400000T00</v>
          </cell>
          <cell r="H5464">
            <v>0.75</v>
          </cell>
          <cell r="I5464" t="str">
            <v>--</v>
          </cell>
          <cell r="J5464">
            <v>1</v>
          </cell>
          <cell r="K5464">
            <v>1</v>
          </cell>
        </row>
        <row r="5465">
          <cell r="A5465" t="str">
            <v>MC</v>
          </cell>
          <cell r="B5465" t="str">
            <v>B2C</v>
          </cell>
          <cell r="C5465" t="str">
            <v>SH</v>
          </cell>
          <cell r="D5465" t="str">
            <v>1360</v>
          </cell>
          <cell r="E5465" t="str">
            <v>GATE VA</v>
          </cell>
          <cell r="F5465">
            <v>6</v>
          </cell>
          <cell r="G5465" t="str">
            <v>VG8010100000T00</v>
          </cell>
          <cell r="H5465">
            <v>0.75</v>
          </cell>
          <cell r="I5465" t="str">
            <v>--</v>
          </cell>
          <cell r="J5465">
            <v>1</v>
          </cell>
          <cell r="K5465">
            <v>1</v>
          </cell>
        </row>
        <row r="5466">
          <cell r="A5466" t="str">
            <v>MC</v>
          </cell>
          <cell r="B5466" t="str">
            <v>B2C</v>
          </cell>
          <cell r="C5466" t="str">
            <v>SH</v>
          </cell>
          <cell r="D5466" t="str">
            <v>1460</v>
          </cell>
          <cell r="E5466" t="str">
            <v>GATE VA</v>
          </cell>
          <cell r="F5466">
            <v>6</v>
          </cell>
          <cell r="G5466" t="str">
            <v>VG8010100000T00</v>
          </cell>
          <cell r="H5466">
            <v>0.75</v>
          </cell>
          <cell r="I5466" t="str">
            <v>--</v>
          </cell>
          <cell r="J5466">
            <v>2</v>
          </cell>
          <cell r="K5466">
            <v>2</v>
          </cell>
        </row>
        <row r="5467">
          <cell r="A5467" t="str">
            <v>MC</v>
          </cell>
          <cell r="B5467" t="str">
            <v>B2C</v>
          </cell>
          <cell r="C5467" t="str">
            <v>SH</v>
          </cell>
          <cell r="D5467" t="str">
            <v>1405</v>
          </cell>
          <cell r="E5467" t="str">
            <v>GATE VA</v>
          </cell>
          <cell r="F5467">
            <v>6</v>
          </cell>
          <cell r="G5467" t="str">
            <v>VG8010100000T00</v>
          </cell>
          <cell r="H5467">
            <v>0.75</v>
          </cell>
          <cell r="I5467" t="str">
            <v>--</v>
          </cell>
          <cell r="J5467">
            <v>1</v>
          </cell>
          <cell r="K5467">
            <v>1</v>
          </cell>
        </row>
        <row r="5468">
          <cell r="A5468" t="str">
            <v>MC</v>
          </cell>
          <cell r="B5468" t="str">
            <v>B2C</v>
          </cell>
          <cell r="C5468" t="str">
            <v>SH</v>
          </cell>
          <cell r="D5468" t="str">
            <v>1405</v>
          </cell>
          <cell r="E5468" t="str">
            <v>GATE VA</v>
          </cell>
          <cell r="F5468">
            <v>6</v>
          </cell>
          <cell r="G5468" t="str">
            <v>VG8010400000T00</v>
          </cell>
          <cell r="H5468">
            <v>0.75</v>
          </cell>
          <cell r="I5468" t="str">
            <v>--</v>
          </cell>
          <cell r="J5468">
            <v>1</v>
          </cell>
          <cell r="K5468">
            <v>1</v>
          </cell>
        </row>
        <row r="5469">
          <cell r="A5469" t="str">
            <v>MC</v>
          </cell>
          <cell r="B5469" t="str">
            <v>B2C</v>
          </cell>
          <cell r="C5469" t="str">
            <v>SH</v>
          </cell>
          <cell r="D5469" t="str">
            <v>1460</v>
          </cell>
          <cell r="E5469" t="str">
            <v>GATE VA</v>
          </cell>
          <cell r="F5469">
            <v>6</v>
          </cell>
          <cell r="G5469" t="str">
            <v>VG8010400000T00</v>
          </cell>
          <cell r="H5469">
            <v>0.75</v>
          </cell>
          <cell r="I5469" t="str">
            <v>--</v>
          </cell>
          <cell r="J5469">
            <v>1</v>
          </cell>
          <cell r="K5469">
            <v>1</v>
          </cell>
        </row>
        <row r="5470">
          <cell r="A5470" t="str">
            <v>MC</v>
          </cell>
          <cell r="B5470" t="str">
            <v>CA304</v>
          </cell>
          <cell r="C5470" t="str">
            <v>CMC</v>
          </cell>
          <cell r="D5470" t="str">
            <v>HOLD</v>
          </cell>
          <cell r="E5470" t="str">
            <v>BALL VA</v>
          </cell>
          <cell r="F5470">
            <v>6</v>
          </cell>
          <cell r="G5470" t="str">
            <v>VB8010100000T00</v>
          </cell>
          <cell r="H5470">
            <v>0.75</v>
          </cell>
          <cell r="I5470" t="str">
            <v>--</v>
          </cell>
          <cell r="J5470">
            <v>1</v>
          </cell>
          <cell r="K5470">
            <v>1</v>
          </cell>
        </row>
        <row r="5471">
          <cell r="A5471" t="str">
            <v>MC</v>
          </cell>
          <cell r="B5471" t="str">
            <v>CA304</v>
          </cell>
          <cell r="C5471" t="str">
            <v>CMC</v>
          </cell>
          <cell r="D5471" t="str">
            <v>HOLD</v>
          </cell>
          <cell r="E5471" t="str">
            <v>BALL VA</v>
          </cell>
          <cell r="F5471">
            <v>6</v>
          </cell>
          <cell r="G5471" t="str">
            <v>VB8010100000T00</v>
          </cell>
          <cell r="H5471">
            <v>0.75</v>
          </cell>
          <cell r="I5471" t="str">
            <v>--</v>
          </cell>
          <cell r="J5471">
            <v>2</v>
          </cell>
          <cell r="K5471">
            <v>2</v>
          </cell>
        </row>
        <row r="5472">
          <cell r="A5472" t="str">
            <v>MC</v>
          </cell>
          <cell r="B5472" t="str">
            <v>CA304</v>
          </cell>
          <cell r="C5472" t="str">
            <v>CMC</v>
          </cell>
          <cell r="D5472" t="str">
            <v>HOLD</v>
          </cell>
          <cell r="E5472" t="str">
            <v>BALL VA</v>
          </cell>
          <cell r="F5472">
            <v>6</v>
          </cell>
          <cell r="G5472" t="str">
            <v>VB8010100000T00</v>
          </cell>
          <cell r="H5472">
            <v>0.75</v>
          </cell>
          <cell r="I5472" t="str">
            <v>--</v>
          </cell>
          <cell r="J5472">
            <v>2</v>
          </cell>
          <cell r="K5472">
            <v>2</v>
          </cell>
        </row>
        <row r="5473">
          <cell r="A5473" t="str">
            <v>MC</v>
          </cell>
          <cell r="B5473" t="str">
            <v>CA304</v>
          </cell>
          <cell r="C5473" t="str">
            <v>CMC</v>
          </cell>
          <cell r="D5473" t="str">
            <v>HOLD</v>
          </cell>
          <cell r="E5473" t="str">
            <v>BALL VA</v>
          </cell>
          <cell r="F5473">
            <v>6</v>
          </cell>
          <cell r="G5473" t="str">
            <v>VB8010100000T00</v>
          </cell>
          <cell r="H5473">
            <v>0.75</v>
          </cell>
          <cell r="I5473" t="str">
            <v>--</v>
          </cell>
          <cell r="J5473">
            <v>1</v>
          </cell>
          <cell r="K5473">
            <v>1</v>
          </cell>
        </row>
        <row r="5474">
          <cell r="A5474" t="str">
            <v>MC</v>
          </cell>
          <cell r="B5474" t="str">
            <v>CA304</v>
          </cell>
          <cell r="C5474" t="str">
            <v>CMC</v>
          </cell>
          <cell r="D5474" t="str">
            <v>HOLD</v>
          </cell>
          <cell r="E5474" t="str">
            <v>BALL VA</v>
          </cell>
          <cell r="F5474">
            <v>6</v>
          </cell>
          <cell r="G5474" t="str">
            <v>VB8010100000T00</v>
          </cell>
          <cell r="H5474">
            <v>0.75</v>
          </cell>
          <cell r="I5474" t="str">
            <v>--</v>
          </cell>
          <cell r="J5474">
            <v>2</v>
          </cell>
          <cell r="K5474">
            <v>2</v>
          </cell>
        </row>
        <row r="5475">
          <cell r="A5475" t="str">
            <v>MC</v>
          </cell>
          <cell r="B5475" t="str">
            <v>CA304</v>
          </cell>
          <cell r="C5475" t="str">
            <v>CMC</v>
          </cell>
          <cell r="D5475" t="str">
            <v>HOLD</v>
          </cell>
          <cell r="E5475" t="str">
            <v>BALL VA</v>
          </cell>
          <cell r="F5475">
            <v>6</v>
          </cell>
          <cell r="G5475" t="str">
            <v>VB8010100000T00</v>
          </cell>
          <cell r="H5475">
            <v>0.75</v>
          </cell>
          <cell r="I5475" t="str">
            <v>--</v>
          </cell>
          <cell r="J5475">
            <v>4</v>
          </cell>
          <cell r="K5475">
            <v>4</v>
          </cell>
        </row>
        <row r="5476">
          <cell r="A5476" t="str">
            <v>MC</v>
          </cell>
          <cell r="B5476" t="str">
            <v>CA304</v>
          </cell>
          <cell r="C5476" t="str">
            <v>MC</v>
          </cell>
          <cell r="D5476" t="str">
            <v>2410</v>
          </cell>
          <cell r="E5476" t="str">
            <v>BALL VA</v>
          </cell>
          <cell r="F5476">
            <v>6</v>
          </cell>
          <cell r="G5476" t="str">
            <v>VB8010100000T00</v>
          </cell>
          <cell r="H5476">
            <v>0.75</v>
          </cell>
          <cell r="I5476" t="str">
            <v>--</v>
          </cell>
          <cell r="J5476">
            <v>1</v>
          </cell>
          <cell r="K5476">
            <v>1</v>
          </cell>
        </row>
        <row r="5477">
          <cell r="A5477" t="str">
            <v>MC</v>
          </cell>
          <cell r="B5477" t="str">
            <v>CA304</v>
          </cell>
          <cell r="C5477" t="str">
            <v>MC</v>
          </cell>
          <cell r="D5477" t="str">
            <v>2410</v>
          </cell>
          <cell r="E5477" t="str">
            <v>BALL VA</v>
          </cell>
          <cell r="F5477">
            <v>6</v>
          </cell>
          <cell r="G5477" t="str">
            <v>VB8010100000T00</v>
          </cell>
          <cell r="H5477">
            <v>0.75</v>
          </cell>
          <cell r="I5477" t="str">
            <v>--</v>
          </cell>
          <cell r="J5477">
            <v>1</v>
          </cell>
          <cell r="K5477">
            <v>1</v>
          </cell>
        </row>
        <row r="5478">
          <cell r="A5478" t="str">
            <v>MC</v>
          </cell>
          <cell r="B5478" t="str">
            <v>CA304</v>
          </cell>
          <cell r="C5478" t="str">
            <v>MC</v>
          </cell>
          <cell r="D5478" t="str">
            <v>2505</v>
          </cell>
          <cell r="E5478" t="str">
            <v>BALL VA</v>
          </cell>
          <cell r="F5478">
            <v>6</v>
          </cell>
          <cell r="G5478" t="str">
            <v>VB8010100000T00</v>
          </cell>
          <cell r="H5478">
            <v>0.75</v>
          </cell>
          <cell r="I5478" t="str">
            <v>--</v>
          </cell>
          <cell r="J5478">
            <v>2</v>
          </cell>
          <cell r="K5478">
            <v>2</v>
          </cell>
        </row>
        <row r="5479">
          <cell r="A5479" t="str">
            <v>MC</v>
          </cell>
          <cell r="B5479" t="str">
            <v>CA304</v>
          </cell>
          <cell r="C5479" t="str">
            <v>MC</v>
          </cell>
          <cell r="D5479" t="str">
            <v>2601</v>
          </cell>
          <cell r="E5479" t="str">
            <v>BALL VA</v>
          </cell>
          <cell r="F5479">
            <v>6</v>
          </cell>
          <cell r="G5479" t="str">
            <v>VB8010100000T00</v>
          </cell>
          <cell r="H5479">
            <v>0.75</v>
          </cell>
          <cell r="I5479" t="str">
            <v>--</v>
          </cell>
          <cell r="J5479">
            <v>1</v>
          </cell>
          <cell r="K5479">
            <v>1</v>
          </cell>
        </row>
        <row r="5480">
          <cell r="A5480" t="str">
            <v>MC</v>
          </cell>
          <cell r="B5480" t="str">
            <v>CA304</v>
          </cell>
          <cell r="C5480" t="str">
            <v>MC</v>
          </cell>
          <cell r="D5480" t="str">
            <v>2607</v>
          </cell>
          <cell r="E5480" t="str">
            <v>BALL VA</v>
          </cell>
          <cell r="F5480">
            <v>6</v>
          </cell>
          <cell r="G5480" t="str">
            <v>VB8010100000T00</v>
          </cell>
          <cell r="H5480">
            <v>0.75</v>
          </cell>
          <cell r="I5480" t="str">
            <v>--</v>
          </cell>
          <cell r="J5480">
            <v>1</v>
          </cell>
          <cell r="K5480">
            <v>1</v>
          </cell>
        </row>
        <row r="5481">
          <cell r="A5481" t="str">
            <v>MC</v>
          </cell>
          <cell r="B5481" t="str">
            <v>CA304</v>
          </cell>
          <cell r="C5481" t="str">
            <v>MC</v>
          </cell>
          <cell r="D5481" t="str">
            <v>2609</v>
          </cell>
          <cell r="E5481" t="str">
            <v>BALL VA</v>
          </cell>
          <cell r="F5481">
            <v>6</v>
          </cell>
          <cell r="G5481" t="str">
            <v>VB8010100000T00</v>
          </cell>
          <cell r="H5481">
            <v>0.75</v>
          </cell>
          <cell r="I5481" t="str">
            <v>--</v>
          </cell>
          <cell r="J5481">
            <v>1</v>
          </cell>
          <cell r="K5481">
            <v>1</v>
          </cell>
        </row>
        <row r="5482">
          <cell r="A5482" t="str">
            <v>MC</v>
          </cell>
          <cell r="B5482" t="str">
            <v>CA304</v>
          </cell>
          <cell r="C5482" t="str">
            <v>MC</v>
          </cell>
          <cell r="D5482" t="str">
            <v>2412</v>
          </cell>
          <cell r="E5482" t="str">
            <v>BALL VA</v>
          </cell>
          <cell r="F5482">
            <v>6</v>
          </cell>
          <cell r="G5482" t="str">
            <v>VB8010100000T00</v>
          </cell>
          <cell r="H5482">
            <v>0.75</v>
          </cell>
          <cell r="I5482" t="str">
            <v>--</v>
          </cell>
          <cell r="J5482">
            <v>1</v>
          </cell>
          <cell r="K5482">
            <v>1</v>
          </cell>
        </row>
        <row r="5483">
          <cell r="A5483" t="str">
            <v>MC</v>
          </cell>
          <cell r="B5483" t="str">
            <v>CA304</v>
          </cell>
          <cell r="C5483" t="str">
            <v>MC</v>
          </cell>
          <cell r="D5483" t="str">
            <v>2501</v>
          </cell>
          <cell r="E5483" t="str">
            <v>BALL VA</v>
          </cell>
          <cell r="F5483">
            <v>6</v>
          </cell>
          <cell r="G5483" t="str">
            <v>VB8010100000T00</v>
          </cell>
          <cell r="H5483">
            <v>0.75</v>
          </cell>
          <cell r="I5483" t="str">
            <v>--</v>
          </cell>
          <cell r="J5483">
            <v>1</v>
          </cell>
          <cell r="K5483">
            <v>1</v>
          </cell>
        </row>
        <row r="5484">
          <cell r="A5484" t="str">
            <v>MC</v>
          </cell>
          <cell r="B5484" t="str">
            <v>CA304</v>
          </cell>
          <cell r="C5484" t="str">
            <v>MC</v>
          </cell>
          <cell r="D5484" t="str">
            <v>2501</v>
          </cell>
          <cell r="E5484" t="str">
            <v>BALL VA</v>
          </cell>
          <cell r="F5484">
            <v>6</v>
          </cell>
          <cell r="G5484" t="str">
            <v>VB8010100000T00</v>
          </cell>
          <cell r="H5484">
            <v>0.75</v>
          </cell>
          <cell r="I5484" t="str">
            <v>--</v>
          </cell>
          <cell r="J5484">
            <v>3</v>
          </cell>
          <cell r="K5484">
            <v>3</v>
          </cell>
        </row>
        <row r="5485">
          <cell r="A5485" t="str">
            <v>MC</v>
          </cell>
          <cell r="B5485" t="str">
            <v>CA304</v>
          </cell>
          <cell r="C5485" t="str">
            <v>MC</v>
          </cell>
          <cell r="D5485" t="str">
            <v>2501</v>
          </cell>
          <cell r="E5485" t="str">
            <v>BALL VA</v>
          </cell>
          <cell r="F5485">
            <v>6</v>
          </cell>
          <cell r="G5485" t="str">
            <v>VB8010100000T00</v>
          </cell>
          <cell r="H5485">
            <v>0.75</v>
          </cell>
          <cell r="I5485" t="str">
            <v>--</v>
          </cell>
          <cell r="J5485">
            <v>3</v>
          </cell>
          <cell r="K5485">
            <v>3</v>
          </cell>
        </row>
        <row r="5486">
          <cell r="A5486" t="str">
            <v>MC</v>
          </cell>
          <cell r="B5486" t="str">
            <v>CA304</v>
          </cell>
          <cell r="C5486" t="str">
            <v>MC</v>
          </cell>
          <cell r="D5486" t="str">
            <v>2612</v>
          </cell>
          <cell r="E5486" t="str">
            <v>BALL VA</v>
          </cell>
          <cell r="F5486">
            <v>6</v>
          </cell>
          <cell r="G5486" t="str">
            <v>VB8010100000T00</v>
          </cell>
          <cell r="H5486">
            <v>0.75</v>
          </cell>
          <cell r="I5486" t="str">
            <v>--</v>
          </cell>
          <cell r="J5486">
            <v>4</v>
          </cell>
          <cell r="K5486">
            <v>4</v>
          </cell>
        </row>
        <row r="5487">
          <cell r="A5487" t="str">
            <v>MC</v>
          </cell>
          <cell r="B5487" t="str">
            <v>BA305</v>
          </cell>
          <cell r="C5487" t="str">
            <v>MOH</v>
          </cell>
          <cell r="D5487" t="str">
            <v>2100</v>
          </cell>
          <cell r="E5487" t="str">
            <v>BALL VA</v>
          </cell>
          <cell r="F5487">
            <v>6</v>
          </cell>
          <cell r="G5487" t="str">
            <v>VB8010100000T00</v>
          </cell>
          <cell r="H5487">
            <v>0.75</v>
          </cell>
          <cell r="I5487" t="str">
            <v>--</v>
          </cell>
          <cell r="J5487">
            <v>1</v>
          </cell>
          <cell r="K5487">
            <v>1</v>
          </cell>
        </row>
        <row r="5488">
          <cell r="A5488" t="str">
            <v>MC</v>
          </cell>
          <cell r="B5488" t="str">
            <v>BA305</v>
          </cell>
          <cell r="C5488" t="str">
            <v>MOH</v>
          </cell>
          <cell r="D5488" t="str">
            <v>2101</v>
          </cell>
          <cell r="E5488" t="str">
            <v>BALL VA</v>
          </cell>
          <cell r="F5488">
            <v>6</v>
          </cell>
          <cell r="G5488" t="str">
            <v>VB8010100000T00</v>
          </cell>
          <cell r="H5488">
            <v>0.75</v>
          </cell>
          <cell r="I5488" t="str">
            <v>--</v>
          </cell>
          <cell r="J5488">
            <v>2</v>
          </cell>
          <cell r="K5488">
            <v>2</v>
          </cell>
        </row>
        <row r="5489">
          <cell r="A5489" t="str">
            <v>MC</v>
          </cell>
          <cell r="B5489" t="str">
            <v>BA312</v>
          </cell>
          <cell r="C5489" t="str">
            <v>SA98</v>
          </cell>
          <cell r="D5489" t="str">
            <v>2411</v>
          </cell>
          <cell r="E5489" t="str">
            <v>BALL VA</v>
          </cell>
          <cell r="F5489">
            <v>6</v>
          </cell>
          <cell r="G5489" t="str">
            <v>VB3110100000T00</v>
          </cell>
          <cell r="H5489">
            <v>0.75</v>
          </cell>
          <cell r="I5489" t="str">
            <v>--</v>
          </cell>
          <cell r="J5489">
            <v>2</v>
          </cell>
          <cell r="K5489">
            <v>2</v>
          </cell>
        </row>
        <row r="5490">
          <cell r="A5490" t="str">
            <v>MC</v>
          </cell>
          <cell r="B5490" t="str">
            <v>CA304</v>
          </cell>
          <cell r="C5490" t="str">
            <v>TRIM</v>
          </cell>
          <cell r="D5490" t="str">
            <v>V-1260A/B</v>
          </cell>
          <cell r="E5490" t="str">
            <v>BALL VA</v>
          </cell>
          <cell r="F5490">
            <v>6</v>
          </cell>
          <cell r="G5490" t="str">
            <v>VB8010100000T00</v>
          </cell>
          <cell r="H5490">
            <v>0.75</v>
          </cell>
          <cell r="I5490" t="str">
            <v>--</v>
          </cell>
          <cell r="J5490">
            <v>2</v>
          </cell>
          <cell r="K5490">
            <v>2</v>
          </cell>
        </row>
        <row r="5491">
          <cell r="A5491" t="str">
            <v>MC</v>
          </cell>
          <cell r="B5491" t="str">
            <v>BA302</v>
          </cell>
          <cell r="C5491" t="str">
            <v>SD20</v>
          </cell>
          <cell r="D5491" t="str">
            <v>2301</v>
          </cell>
          <cell r="E5491" t="str">
            <v>BALL VA</v>
          </cell>
          <cell r="F5491">
            <v>6</v>
          </cell>
          <cell r="G5491" t="str">
            <v>VB8010100000T00</v>
          </cell>
          <cell r="H5491">
            <v>0.75</v>
          </cell>
          <cell r="I5491" t="str">
            <v>--</v>
          </cell>
          <cell r="J5491">
            <v>2</v>
          </cell>
          <cell r="K5491">
            <v>2</v>
          </cell>
        </row>
        <row r="5492">
          <cell r="A5492" t="str">
            <v>MC</v>
          </cell>
          <cell r="B5492" t="str">
            <v>CA304</v>
          </cell>
          <cell r="C5492" t="str">
            <v>VT</v>
          </cell>
          <cell r="D5492" t="str">
            <v>HOLD</v>
          </cell>
          <cell r="E5492" t="str">
            <v>BALL VA</v>
          </cell>
          <cell r="F5492">
            <v>6</v>
          </cell>
          <cell r="G5492" t="str">
            <v>VB8010100000T00</v>
          </cell>
          <cell r="H5492">
            <v>0.75</v>
          </cell>
          <cell r="I5492" t="str">
            <v>--</v>
          </cell>
          <cell r="J5492">
            <v>8</v>
          </cell>
          <cell r="K5492">
            <v>8</v>
          </cell>
        </row>
        <row r="5493">
          <cell r="A5493" t="str">
            <v>MC</v>
          </cell>
          <cell r="B5493" t="str">
            <v>CA304</v>
          </cell>
          <cell r="C5493" t="str">
            <v>VT</v>
          </cell>
          <cell r="D5493" t="str">
            <v>HOLD</v>
          </cell>
          <cell r="E5493" t="str">
            <v>BALL VA</v>
          </cell>
          <cell r="F5493">
            <v>6</v>
          </cell>
          <cell r="G5493" t="str">
            <v>VB8010100000T00</v>
          </cell>
          <cell r="H5493">
            <v>0.75</v>
          </cell>
          <cell r="I5493" t="str">
            <v>--</v>
          </cell>
          <cell r="J5493">
            <v>4</v>
          </cell>
          <cell r="K5493">
            <v>4</v>
          </cell>
        </row>
        <row r="5494">
          <cell r="A5494" t="str">
            <v>MC</v>
          </cell>
          <cell r="B5494" t="str">
            <v>CA304</v>
          </cell>
          <cell r="C5494" t="str">
            <v>TRIM</v>
          </cell>
          <cell r="D5494" t="str">
            <v>E-1260</v>
          </cell>
          <cell r="E5494" t="str">
            <v>BALL VA</v>
          </cell>
          <cell r="F5494">
            <v>6</v>
          </cell>
          <cell r="G5494" t="str">
            <v>VB8010100000T00</v>
          </cell>
          <cell r="H5494">
            <v>0.75</v>
          </cell>
          <cell r="I5494" t="str">
            <v>--</v>
          </cell>
          <cell r="J5494">
            <v>1</v>
          </cell>
          <cell r="K5494">
            <v>1</v>
          </cell>
        </row>
        <row r="5495">
          <cell r="A5495" t="str">
            <v>MC</v>
          </cell>
          <cell r="B5495" t="str">
            <v>CA304</v>
          </cell>
          <cell r="C5495" t="str">
            <v>TRIM</v>
          </cell>
          <cell r="D5495" t="str">
            <v>F-1251</v>
          </cell>
          <cell r="E5495" t="str">
            <v>BALL VA</v>
          </cell>
          <cell r="F5495">
            <v>6</v>
          </cell>
          <cell r="G5495" t="str">
            <v>VB8010100000T00</v>
          </cell>
          <cell r="H5495">
            <v>0.75</v>
          </cell>
          <cell r="I5495" t="str">
            <v>--</v>
          </cell>
          <cell r="J5495">
            <v>2</v>
          </cell>
          <cell r="K5495">
            <v>2</v>
          </cell>
        </row>
        <row r="5496">
          <cell r="A5496" t="str">
            <v>MC</v>
          </cell>
          <cell r="B5496" t="str">
            <v>CA304</v>
          </cell>
          <cell r="C5496" t="str">
            <v>TRIM</v>
          </cell>
          <cell r="D5496" t="str">
            <v>V-1260A/B</v>
          </cell>
          <cell r="E5496" t="str">
            <v>BALL VA</v>
          </cell>
          <cell r="F5496">
            <v>6</v>
          </cell>
          <cell r="G5496" t="str">
            <v>VB8010100000T00</v>
          </cell>
          <cell r="H5496">
            <v>0.75</v>
          </cell>
          <cell r="I5496" t="str">
            <v>--</v>
          </cell>
          <cell r="J5496">
            <v>2</v>
          </cell>
          <cell r="K5496">
            <v>2</v>
          </cell>
        </row>
        <row r="5497">
          <cell r="A5497" t="str">
            <v>MC</v>
          </cell>
          <cell r="B5497" t="str">
            <v>CA304</v>
          </cell>
          <cell r="C5497" t="str">
            <v>MC</v>
          </cell>
          <cell r="D5497" t="str">
            <v>2506</v>
          </cell>
          <cell r="E5497" t="str">
            <v>BALL VA</v>
          </cell>
          <cell r="F5497">
            <v>6</v>
          </cell>
          <cell r="G5497" t="str">
            <v>VB8010100000T00</v>
          </cell>
          <cell r="H5497">
            <v>0.75</v>
          </cell>
          <cell r="I5497" t="str">
            <v>--</v>
          </cell>
          <cell r="J5497">
            <v>1</v>
          </cell>
          <cell r="K5497">
            <v>1</v>
          </cell>
        </row>
        <row r="5498">
          <cell r="A5498" t="str">
            <v>MC</v>
          </cell>
          <cell r="B5498" t="str">
            <v>CA304</v>
          </cell>
          <cell r="C5498" t="str">
            <v>MC</v>
          </cell>
          <cell r="D5498" t="str">
            <v>2607</v>
          </cell>
          <cell r="E5498" t="str">
            <v>BALL VA</v>
          </cell>
          <cell r="F5498">
            <v>6</v>
          </cell>
          <cell r="G5498" t="str">
            <v>VB8010100000T00</v>
          </cell>
          <cell r="H5498">
            <v>0.75</v>
          </cell>
          <cell r="I5498" t="str">
            <v>--</v>
          </cell>
          <cell r="J5498">
            <v>2</v>
          </cell>
          <cell r="K5498">
            <v>2</v>
          </cell>
        </row>
        <row r="5499">
          <cell r="A5499" t="str">
            <v>MC</v>
          </cell>
          <cell r="B5499" t="str">
            <v>BA305</v>
          </cell>
          <cell r="C5499" t="str">
            <v>MOH</v>
          </cell>
          <cell r="D5499" t="str">
            <v>2002</v>
          </cell>
          <cell r="E5499" t="str">
            <v>BALL VA</v>
          </cell>
          <cell r="F5499">
            <v>6</v>
          </cell>
          <cell r="G5499" t="str">
            <v>VB8010100000T00</v>
          </cell>
          <cell r="H5499">
            <v>0.75</v>
          </cell>
          <cell r="I5499" t="str">
            <v>--</v>
          </cell>
          <cell r="J5499">
            <v>1</v>
          </cell>
          <cell r="K5499">
            <v>1</v>
          </cell>
        </row>
        <row r="5500">
          <cell r="A5500" t="str">
            <v>MC</v>
          </cell>
          <cell r="B5500" t="str">
            <v>BA305</v>
          </cell>
          <cell r="C5500" t="str">
            <v>MOH</v>
          </cell>
          <cell r="D5500" t="str">
            <v>2112</v>
          </cell>
          <cell r="E5500" t="str">
            <v>BALL VA</v>
          </cell>
          <cell r="F5500">
            <v>6</v>
          </cell>
          <cell r="G5500" t="str">
            <v>VB8010100000T00</v>
          </cell>
          <cell r="H5500">
            <v>0.75</v>
          </cell>
          <cell r="I5500" t="str">
            <v>--</v>
          </cell>
          <cell r="J5500">
            <v>1</v>
          </cell>
          <cell r="K5500">
            <v>1</v>
          </cell>
        </row>
        <row r="5501">
          <cell r="A5501" t="str">
            <v>MC</v>
          </cell>
          <cell r="B5501" t="str">
            <v>CA304</v>
          </cell>
          <cell r="C5501" t="str">
            <v>SCC</v>
          </cell>
          <cell r="D5501" t="str">
            <v>HOLD</v>
          </cell>
          <cell r="E5501" t="str">
            <v>BALL VA</v>
          </cell>
          <cell r="F5501">
            <v>6</v>
          </cell>
          <cell r="G5501" t="str">
            <v>VB8010100000T00</v>
          </cell>
          <cell r="H5501">
            <v>0.75</v>
          </cell>
          <cell r="I5501" t="str">
            <v>--</v>
          </cell>
          <cell r="J5501">
            <v>6</v>
          </cell>
          <cell r="K5501">
            <v>6</v>
          </cell>
        </row>
        <row r="5502">
          <cell r="A5502" t="str">
            <v>MC</v>
          </cell>
          <cell r="B5502" t="str">
            <v>CA304</v>
          </cell>
          <cell r="C5502" t="str">
            <v>TRIM</v>
          </cell>
          <cell r="D5502" t="str">
            <v>E-1261</v>
          </cell>
          <cell r="E5502" t="str">
            <v>BALL VA</v>
          </cell>
          <cell r="F5502">
            <v>6</v>
          </cell>
          <cell r="G5502" t="str">
            <v>VB8010100000T00</v>
          </cell>
          <cell r="H5502">
            <v>0.75</v>
          </cell>
          <cell r="I5502" t="str">
            <v>--</v>
          </cell>
          <cell r="J5502">
            <v>9</v>
          </cell>
          <cell r="K5502">
            <v>9</v>
          </cell>
        </row>
        <row r="5503">
          <cell r="A5503" t="str">
            <v>MC</v>
          </cell>
          <cell r="B5503" t="str">
            <v>CA307</v>
          </cell>
          <cell r="C5503" t="str">
            <v>HCL</v>
          </cell>
          <cell r="D5503" t="str">
            <v>1100</v>
          </cell>
          <cell r="E5503" t="str">
            <v>GATE VA</v>
          </cell>
          <cell r="F5503">
            <v>6</v>
          </cell>
          <cell r="G5503" t="str">
            <v>VG8010700000T00</v>
          </cell>
          <cell r="H5503">
            <v>0.75</v>
          </cell>
          <cell r="I5503" t="str">
            <v>--</v>
          </cell>
          <cell r="J5503">
            <v>2</v>
          </cell>
          <cell r="K5503">
            <v>2</v>
          </cell>
        </row>
        <row r="5504">
          <cell r="A5504" t="str">
            <v>MC</v>
          </cell>
          <cell r="B5504" t="str">
            <v>CA307</v>
          </cell>
          <cell r="C5504" t="str">
            <v>HCL</v>
          </cell>
          <cell r="D5504" t="str">
            <v>1100</v>
          </cell>
          <cell r="E5504" t="str">
            <v>GATE VA</v>
          </cell>
          <cell r="F5504">
            <v>6</v>
          </cell>
          <cell r="G5504" t="str">
            <v>VG8010200000T00</v>
          </cell>
          <cell r="H5504">
            <v>0.75</v>
          </cell>
          <cell r="I5504" t="str">
            <v>--</v>
          </cell>
          <cell r="J5504">
            <v>2</v>
          </cell>
          <cell r="K5504">
            <v>2</v>
          </cell>
        </row>
        <row r="5505">
          <cell r="A5505" t="str">
            <v>MC</v>
          </cell>
          <cell r="B5505" t="str">
            <v>BA305</v>
          </cell>
          <cell r="C5505" t="str">
            <v>MOH</v>
          </cell>
          <cell r="D5505" t="str">
            <v>2112</v>
          </cell>
          <cell r="E5505" t="str">
            <v>GLOBE VA</v>
          </cell>
          <cell r="F5505">
            <v>6</v>
          </cell>
          <cell r="G5505" t="str">
            <v>VL8010700000T00</v>
          </cell>
          <cell r="H5505">
            <v>0.75</v>
          </cell>
          <cell r="I5505" t="str">
            <v>--</v>
          </cell>
          <cell r="J5505">
            <v>1</v>
          </cell>
          <cell r="K5505">
            <v>1</v>
          </cell>
        </row>
        <row r="5506">
          <cell r="A5506" t="str">
            <v>MC</v>
          </cell>
          <cell r="B5506" t="str">
            <v>BA305</v>
          </cell>
          <cell r="C5506" t="str">
            <v>MOH</v>
          </cell>
          <cell r="D5506" t="str">
            <v>2000</v>
          </cell>
          <cell r="E5506" t="str">
            <v>BALL VA</v>
          </cell>
          <cell r="F5506">
            <v>6</v>
          </cell>
          <cell r="G5506" t="str">
            <v>VB8010100000T00</v>
          </cell>
          <cell r="H5506">
            <v>0.75</v>
          </cell>
          <cell r="I5506" t="str">
            <v>--</v>
          </cell>
          <cell r="J5506">
            <v>2</v>
          </cell>
          <cell r="K5506">
            <v>2</v>
          </cell>
        </row>
        <row r="5507">
          <cell r="A5507" t="str">
            <v>MC</v>
          </cell>
          <cell r="B5507" t="str">
            <v>CA304</v>
          </cell>
          <cell r="C5507" t="str">
            <v>MC</v>
          </cell>
          <cell r="D5507" t="str">
            <v>2502</v>
          </cell>
          <cell r="E5507" t="str">
            <v>BALL VA</v>
          </cell>
          <cell r="F5507">
            <v>6</v>
          </cell>
          <cell r="G5507" t="str">
            <v>VB8010100000T00</v>
          </cell>
          <cell r="H5507">
            <v>0.75</v>
          </cell>
          <cell r="I5507" t="str">
            <v>--</v>
          </cell>
          <cell r="J5507">
            <v>2</v>
          </cell>
          <cell r="K5507">
            <v>2</v>
          </cell>
        </row>
        <row r="5508">
          <cell r="A5508" t="str">
            <v>MC</v>
          </cell>
          <cell r="B5508" t="str">
            <v>CA304</v>
          </cell>
          <cell r="C5508" t="str">
            <v>MC</v>
          </cell>
          <cell r="D5508" t="str">
            <v>2502</v>
          </cell>
          <cell r="E5508" t="str">
            <v>BALL VA</v>
          </cell>
          <cell r="F5508">
            <v>6</v>
          </cell>
          <cell r="G5508" t="str">
            <v>VB8010100000T00</v>
          </cell>
          <cell r="H5508">
            <v>0.75</v>
          </cell>
          <cell r="I5508" t="str">
            <v>--</v>
          </cell>
          <cell r="J5508">
            <v>2</v>
          </cell>
          <cell r="K5508">
            <v>2</v>
          </cell>
        </row>
        <row r="5509">
          <cell r="A5509" t="str">
            <v>MC</v>
          </cell>
          <cell r="B5509" t="str">
            <v>CA304</v>
          </cell>
          <cell r="C5509" t="str">
            <v>MC</v>
          </cell>
          <cell r="D5509" t="str">
            <v>2502</v>
          </cell>
          <cell r="E5509" t="str">
            <v>BALL VA</v>
          </cell>
          <cell r="F5509">
            <v>6</v>
          </cell>
          <cell r="G5509" t="str">
            <v>VB8010100000T00</v>
          </cell>
          <cell r="H5509">
            <v>0.75</v>
          </cell>
          <cell r="I5509" t="str">
            <v>--</v>
          </cell>
          <cell r="J5509">
            <v>2</v>
          </cell>
          <cell r="K5509">
            <v>2</v>
          </cell>
        </row>
        <row r="5510">
          <cell r="A5510" t="str">
            <v>MC</v>
          </cell>
          <cell r="B5510" t="str">
            <v>CA304</v>
          </cell>
          <cell r="C5510" t="str">
            <v>MC</v>
          </cell>
          <cell r="D5510" t="str">
            <v>2502</v>
          </cell>
          <cell r="E5510" t="str">
            <v>BALL VA</v>
          </cell>
          <cell r="F5510">
            <v>6</v>
          </cell>
          <cell r="G5510" t="str">
            <v>VB8010100000T00</v>
          </cell>
          <cell r="H5510">
            <v>0.75</v>
          </cell>
          <cell r="I5510" t="str">
            <v>--</v>
          </cell>
          <cell r="J5510">
            <v>1</v>
          </cell>
          <cell r="K5510">
            <v>1</v>
          </cell>
        </row>
        <row r="5511">
          <cell r="A5511" t="str">
            <v>MC</v>
          </cell>
          <cell r="B5511" t="str">
            <v>CA304</v>
          </cell>
          <cell r="C5511" t="str">
            <v>MC</v>
          </cell>
          <cell r="D5511" t="str">
            <v>2502</v>
          </cell>
          <cell r="E5511" t="str">
            <v>BALL VA</v>
          </cell>
          <cell r="F5511">
            <v>6</v>
          </cell>
          <cell r="G5511" t="str">
            <v>VB8010100000T00</v>
          </cell>
          <cell r="H5511">
            <v>0.75</v>
          </cell>
          <cell r="I5511" t="str">
            <v>--</v>
          </cell>
          <cell r="J5511">
            <v>2</v>
          </cell>
          <cell r="K5511">
            <v>2</v>
          </cell>
        </row>
        <row r="5512">
          <cell r="A5512" t="str">
            <v>MC</v>
          </cell>
          <cell r="B5512" t="str">
            <v>CA304</v>
          </cell>
          <cell r="C5512" t="str">
            <v>MC</v>
          </cell>
          <cell r="D5512" t="str">
            <v>2504</v>
          </cell>
          <cell r="E5512" t="str">
            <v>BALL VA</v>
          </cell>
          <cell r="F5512">
            <v>6</v>
          </cell>
          <cell r="G5512" t="str">
            <v>VB8010100000T00</v>
          </cell>
          <cell r="H5512">
            <v>0.75</v>
          </cell>
          <cell r="I5512" t="str">
            <v>--</v>
          </cell>
          <cell r="J5512">
            <v>2</v>
          </cell>
          <cell r="K5512">
            <v>2</v>
          </cell>
        </row>
        <row r="5513">
          <cell r="A5513" t="str">
            <v>MC</v>
          </cell>
          <cell r="B5513" t="str">
            <v>CA304</v>
          </cell>
          <cell r="C5513" t="str">
            <v>MC</v>
          </cell>
          <cell r="D5513" t="str">
            <v>HOLD</v>
          </cell>
          <cell r="E5513" t="str">
            <v>BALL VA</v>
          </cell>
          <cell r="F5513">
            <v>6</v>
          </cell>
          <cell r="G5513" t="str">
            <v>VB8010100000T00</v>
          </cell>
          <cell r="H5513">
            <v>0.75</v>
          </cell>
          <cell r="I5513" t="str">
            <v>--</v>
          </cell>
          <cell r="J5513">
            <v>4</v>
          </cell>
          <cell r="K5513">
            <v>4</v>
          </cell>
        </row>
        <row r="5514">
          <cell r="A5514" t="str">
            <v>MC</v>
          </cell>
          <cell r="B5514" t="str">
            <v>CA304</v>
          </cell>
          <cell r="C5514" t="str">
            <v>MC</v>
          </cell>
          <cell r="D5514" t="str">
            <v>HOLD</v>
          </cell>
          <cell r="E5514" t="str">
            <v>BALL VA</v>
          </cell>
          <cell r="F5514">
            <v>6</v>
          </cell>
          <cell r="G5514" t="str">
            <v>VB8010100000T00</v>
          </cell>
          <cell r="H5514">
            <v>0.75</v>
          </cell>
          <cell r="I5514" t="str">
            <v>--</v>
          </cell>
          <cell r="J5514">
            <v>2</v>
          </cell>
          <cell r="K5514">
            <v>2</v>
          </cell>
        </row>
        <row r="5515">
          <cell r="A5515" t="str">
            <v>MC</v>
          </cell>
          <cell r="B5515" t="str">
            <v>CA304</v>
          </cell>
          <cell r="C5515" t="str">
            <v>MC</v>
          </cell>
          <cell r="D5515" t="str">
            <v>HOLD</v>
          </cell>
          <cell r="E5515" t="str">
            <v>BALL VA</v>
          </cell>
          <cell r="F5515">
            <v>6</v>
          </cell>
          <cell r="G5515" t="str">
            <v>VB8010100000T00</v>
          </cell>
          <cell r="H5515">
            <v>0.75</v>
          </cell>
          <cell r="I5515" t="str">
            <v>--</v>
          </cell>
          <cell r="J5515">
            <v>4</v>
          </cell>
          <cell r="K5515">
            <v>4</v>
          </cell>
        </row>
        <row r="5516">
          <cell r="A5516" t="str">
            <v>MC</v>
          </cell>
          <cell r="B5516" t="str">
            <v>CA304</v>
          </cell>
          <cell r="C5516" t="str">
            <v>MC</v>
          </cell>
          <cell r="D5516" t="str">
            <v>HOLD</v>
          </cell>
          <cell r="E5516" t="str">
            <v>BALL VA</v>
          </cell>
          <cell r="F5516">
            <v>6</v>
          </cell>
          <cell r="G5516" t="str">
            <v>VB8010100000T00</v>
          </cell>
          <cell r="H5516">
            <v>0.75</v>
          </cell>
          <cell r="I5516" t="str">
            <v>--</v>
          </cell>
          <cell r="J5516">
            <v>2</v>
          </cell>
          <cell r="K5516">
            <v>2</v>
          </cell>
        </row>
        <row r="5517">
          <cell r="A5517" t="str">
            <v>MC</v>
          </cell>
          <cell r="B5517" t="str">
            <v>CA304</v>
          </cell>
          <cell r="C5517" t="str">
            <v>MC</v>
          </cell>
          <cell r="D5517" t="str">
            <v>HOLD</v>
          </cell>
          <cell r="E5517" t="str">
            <v>BALL VA</v>
          </cell>
          <cell r="F5517">
            <v>6</v>
          </cell>
          <cell r="G5517" t="str">
            <v>VB8010100000T00</v>
          </cell>
          <cell r="H5517">
            <v>0.75</v>
          </cell>
          <cell r="I5517" t="str">
            <v>--</v>
          </cell>
          <cell r="J5517">
            <v>4</v>
          </cell>
          <cell r="K5517">
            <v>4</v>
          </cell>
        </row>
        <row r="5518">
          <cell r="A5518" t="str">
            <v>MC</v>
          </cell>
          <cell r="B5518" t="str">
            <v>CA304</v>
          </cell>
          <cell r="C5518" t="str">
            <v>MC</v>
          </cell>
          <cell r="D5518" t="str">
            <v>HOLD</v>
          </cell>
          <cell r="E5518" t="str">
            <v>BALL VA</v>
          </cell>
          <cell r="F5518">
            <v>6</v>
          </cell>
          <cell r="G5518" t="str">
            <v>VB8010100000T00</v>
          </cell>
          <cell r="H5518">
            <v>0.75</v>
          </cell>
          <cell r="I5518" t="str">
            <v>--</v>
          </cell>
          <cell r="J5518">
            <v>9</v>
          </cell>
          <cell r="K5518">
            <v>9</v>
          </cell>
        </row>
        <row r="5519">
          <cell r="A5519" t="str">
            <v>MC</v>
          </cell>
          <cell r="B5519" t="str">
            <v>CA304</v>
          </cell>
          <cell r="C5519" t="str">
            <v>MC</v>
          </cell>
          <cell r="D5519" t="str">
            <v>HOLD</v>
          </cell>
          <cell r="E5519" t="str">
            <v>BALL VA</v>
          </cell>
          <cell r="F5519">
            <v>6</v>
          </cell>
          <cell r="G5519" t="str">
            <v>VB8010100000T00</v>
          </cell>
          <cell r="H5519">
            <v>0.75</v>
          </cell>
          <cell r="I5519" t="str">
            <v>--</v>
          </cell>
          <cell r="J5519">
            <v>2</v>
          </cell>
          <cell r="K5519">
            <v>2</v>
          </cell>
        </row>
        <row r="5520">
          <cell r="A5520" t="str">
            <v>MC</v>
          </cell>
          <cell r="B5520" t="str">
            <v>CA304</v>
          </cell>
          <cell r="C5520" t="str">
            <v>MC</v>
          </cell>
          <cell r="D5520" t="str">
            <v>HOLD</v>
          </cell>
          <cell r="E5520" t="str">
            <v>BALL VA</v>
          </cell>
          <cell r="F5520">
            <v>6</v>
          </cell>
          <cell r="G5520" t="str">
            <v>VB8010100000T00</v>
          </cell>
          <cell r="H5520">
            <v>0.75</v>
          </cell>
          <cell r="I5520" t="str">
            <v>--</v>
          </cell>
          <cell r="J5520">
            <v>4</v>
          </cell>
          <cell r="K5520">
            <v>4</v>
          </cell>
        </row>
        <row r="5521">
          <cell r="A5521" t="str">
            <v>MC</v>
          </cell>
          <cell r="B5521" t="str">
            <v>CA304</v>
          </cell>
          <cell r="C5521" t="str">
            <v>MC</v>
          </cell>
          <cell r="D5521" t="str">
            <v>2604</v>
          </cell>
          <cell r="E5521" t="str">
            <v>BALL VA</v>
          </cell>
          <cell r="F5521">
            <v>6</v>
          </cell>
          <cell r="G5521" t="str">
            <v>VB8010100000T00</v>
          </cell>
          <cell r="H5521">
            <v>0.75</v>
          </cell>
          <cell r="I5521" t="str">
            <v>--</v>
          </cell>
          <cell r="J5521">
            <v>2</v>
          </cell>
          <cell r="K5521">
            <v>2</v>
          </cell>
        </row>
        <row r="5522">
          <cell r="A5522" t="str">
            <v>MC</v>
          </cell>
          <cell r="B5522" t="str">
            <v>CA304</v>
          </cell>
          <cell r="C5522" t="str">
            <v>MC</v>
          </cell>
          <cell r="D5522" t="str">
            <v>HOLD</v>
          </cell>
          <cell r="E5522" t="str">
            <v>BALL VA</v>
          </cell>
          <cell r="F5522">
            <v>6</v>
          </cell>
          <cell r="G5522" t="str">
            <v>VB8010100000T00</v>
          </cell>
          <cell r="H5522">
            <v>0.75</v>
          </cell>
          <cell r="I5522" t="str">
            <v>--</v>
          </cell>
          <cell r="J5522">
            <v>2</v>
          </cell>
          <cell r="K5522">
            <v>2</v>
          </cell>
        </row>
        <row r="5523">
          <cell r="A5523" t="str">
            <v>MC</v>
          </cell>
          <cell r="B5523" t="str">
            <v>CA304</v>
          </cell>
          <cell r="C5523" t="str">
            <v>MC</v>
          </cell>
          <cell r="D5523" t="str">
            <v>HOLD</v>
          </cell>
          <cell r="E5523" t="str">
            <v>BALL VA</v>
          </cell>
          <cell r="F5523">
            <v>6</v>
          </cell>
          <cell r="G5523" t="str">
            <v>VB8010100000T00</v>
          </cell>
          <cell r="H5523">
            <v>0.75</v>
          </cell>
          <cell r="I5523" t="str">
            <v>--</v>
          </cell>
          <cell r="J5523">
            <v>2</v>
          </cell>
          <cell r="K5523">
            <v>2</v>
          </cell>
        </row>
        <row r="5524">
          <cell r="A5524" t="str">
            <v>MC</v>
          </cell>
          <cell r="B5524" t="str">
            <v>CA304</v>
          </cell>
          <cell r="C5524" t="str">
            <v>MC</v>
          </cell>
          <cell r="D5524" t="str">
            <v>2502</v>
          </cell>
          <cell r="E5524" t="str">
            <v>BELLOWS VA</v>
          </cell>
          <cell r="F5524">
            <v>6</v>
          </cell>
          <cell r="G5524" t="str">
            <v>VBE8010300000T00</v>
          </cell>
          <cell r="H5524">
            <v>0.75</v>
          </cell>
          <cell r="I5524" t="str">
            <v>--</v>
          </cell>
          <cell r="J5524">
            <v>1</v>
          </cell>
          <cell r="K5524">
            <v>1</v>
          </cell>
        </row>
        <row r="5525">
          <cell r="A5525" t="str">
            <v>MC</v>
          </cell>
          <cell r="B5525" t="str">
            <v>CA304</v>
          </cell>
          <cell r="C5525" t="str">
            <v>MC</v>
          </cell>
          <cell r="D5525" t="str">
            <v>2604</v>
          </cell>
          <cell r="E5525" t="str">
            <v>BELLOWS VA</v>
          </cell>
          <cell r="F5525">
            <v>6</v>
          </cell>
          <cell r="G5525" t="str">
            <v>VBE8010100000T00</v>
          </cell>
          <cell r="H5525">
            <v>0.75</v>
          </cell>
          <cell r="I5525" t="str">
            <v>--</v>
          </cell>
          <cell r="J5525">
            <v>1</v>
          </cell>
          <cell r="K5525">
            <v>1</v>
          </cell>
        </row>
        <row r="5526">
          <cell r="A5526" t="str">
            <v>MC</v>
          </cell>
          <cell r="B5526" t="str">
            <v>CA304</v>
          </cell>
          <cell r="C5526" t="str">
            <v>SC1</v>
          </cell>
          <cell r="D5526" t="str">
            <v>HOLD</v>
          </cell>
          <cell r="E5526" t="str">
            <v>BALL VA</v>
          </cell>
          <cell r="F5526">
            <v>6</v>
          </cell>
          <cell r="G5526" t="str">
            <v>VB8010100000T00</v>
          </cell>
          <cell r="H5526">
            <v>0.75</v>
          </cell>
          <cell r="I5526" t="str">
            <v>--</v>
          </cell>
          <cell r="J5526">
            <v>3</v>
          </cell>
          <cell r="K5526">
            <v>3</v>
          </cell>
        </row>
        <row r="5527">
          <cell r="A5527" t="str">
            <v>MC</v>
          </cell>
          <cell r="B5527" t="str">
            <v>BA305</v>
          </cell>
          <cell r="C5527" t="str">
            <v>MOH</v>
          </cell>
          <cell r="D5527" t="str">
            <v>2100</v>
          </cell>
          <cell r="E5527" t="str">
            <v>BALL VA</v>
          </cell>
          <cell r="F5527">
            <v>6</v>
          </cell>
          <cell r="G5527" t="str">
            <v>VB8010100000100</v>
          </cell>
          <cell r="H5527">
            <v>1</v>
          </cell>
          <cell r="I5527" t="str">
            <v>--</v>
          </cell>
          <cell r="J5527">
            <v>1</v>
          </cell>
          <cell r="K5527">
            <v>1</v>
          </cell>
        </row>
        <row r="5528">
          <cell r="A5528" t="str">
            <v>MC</v>
          </cell>
          <cell r="B5528" t="str">
            <v>BA305</v>
          </cell>
          <cell r="C5528" t="str">
            <v>MOH</v>
          </cell>
          <cell r="D5528" t="str">
            <v>2101</v>
          </cell>
          <cell r="E5528" t="str">
            <v>BALL VA</v>
          </cell>
          <cell r="F5528">
            <v>6</v>
          </cell>
          <cell r="G5528" t="str">
            <v>VB8010100000100</v>
          </cell>
          <cell r="H5528">
            <v>1</v>
          </cell>
          <cell r="I5528" t="str">
            <v>--</v>
          </cell>
          <cell r="J5528">
            <v>4</v>
          </cell>
          <cell r="K5528">
            <v>4</v>
          </cell>
        </row>
        <row r="5529">
          <cell r="A5529" t="str">
            <v>MC</v>
          </cell>
          <cell r="B5529" t="str">
            <v>CA304</v>
          </cell>
          <cell r="C5529" t="str">
            <v>N</v>
          </cell>
          <cell r="D5529" t="str">
            <v>HOLD</v>
          </cell>
          <cell r="E5529" t="str">
            <v>BALL VA</v>
          </cell>
          <cell r="F5529">
            <v>6</v>
          </cell>
          <cell r="G5529" t="str">
            <v>VB8010100000100</v>
          </cell>
          <cell r="H5529">
            <v>1</v>
          </cell>
          <cell r="I5529" t="str">
            <v>--</v>
          </cell>
          <cell r="J5529">
            <v>1</v>
          </cell>
          <cell r="K5529">
            <v>1</v>
          </cell>
        </row>
        <row r="5530">
          <cell r="A5530" t="str">
            <v>MC</v>
          </cell>
          <cell r="B5530" t="str">
            <v>BA312</v>
          </cell>
          <cell r="C5530" t="str">
            <v>SA98</v>
          </cell>
          <cell r="D5530" t="str">
            <v>2411</v>
          </cell>
          <cell r="E5530" t="str">
            <v>BALL VA</v>
          </cell>
          <cell r="F5530">
            <v>6</v>
          </cell>
          <cell r="G5530" t="str">
            <v>VB3110100000100</v>
          </cell>
          <cell r="H5530">
            <v>1</v>
          </cell>
          <cell r="I5530" t="str">
            <v>--</v>
          </cell>
          <cell r="J5530">
            <v>2</v>
          </cell>
          <cell r="K5530">
            <v>2</v>
          </cell>
        </row>
        <row r="5531">
          <cell r="A5531" t="str">
            <v>MC</v>
          </cell>
          <cell r="B5531" t="str">
            <v>BA302</v>
          </cell>
          <cell r="C5531" t="str">
            <v>SD20</v>
          </cell>
          <cell r="D5531" t="str">
            <v>2301</v>
          </cell>
          <cell r="E5531" t="str">
            <v>BALL VA</v>
          </cell>
          <cell r="F5531">
            <v>6</v>
          </cell>
          <cell r="G5531" t="str">
            <v>VB8010100000100</v>
          </cell>
          <cell r="H5531">
            <v>1</v>
          </cell>
          <cell r="I5531" t="str">
            <v>--</v>
          </cell>
          <cell r="J5531">
            <v>2</v>
          </cell>
          <cell r="K5531">
            <v>2</v>
          </cell>
        </row>
        <row r="5532">
          <cell r="A5532" t="str">
            <v>MC</v>
          </cell>
          <cell r="B5532" t="str">
            <v>BA305</v>
          </cell>
          <cell r="C5532" t="str">
            <v>MOH</v>
          </cell>
          <cell r="D5532" t="str">
            <v>2002</v>
          </cell>
          <cell r="E5532" t="str">
            <v>BALL VA</v>
          </cell>
          <cell r="F5532">
            <v>6</v>
          </cell>
          <cell r="G5532" t="str">
            <v>VB8010100000100</v>
          </cell>
          <cell r="H5532">
            <v>1</v>
          </cell>
          <cell r="I5532" t="str">
            <v>--</v>
          </cell>
          <cell r="J5532">
            <v>1</v>
          </cell>
          <cell r="K5532">
            <v>1</v>
          </cell>
        </row>
        <row r="5533">
          <cell r="A5533" t="str">
            <v>MC</v>
          </cell>
          <cell r="B5533" t="str">
            <v>BA305</v>
          </cell>
          <cell r="C5533" t="str">
            <v>MOH</v>
          </cell>
          <cell r="D5533" t="str">
            <v>2112</v>
          </cell>
          <cell r="E5533" t="str">
            <v>BALL VA</v>
          </cell>
          <cell r="F5533">
            <v>6</v>
          </cell>
          <cell r="G5533" t="str">
            <v>VB8010100000100</v>
          </cell>
          <cell r="H5533">
            <v>1</v>
          </cell>
          <cell r="I5533" t="str">
            <v>--</v>
          </cell>
          <cell r="J5533">
            <v>2</v>
          </cell>
          <cell r="K5533">
            <v>2</v>
          </cell>
        </row>
        <row r="5534">
          <cell r="A5534" t="str">
            <v>MC</v>
          </cell>
          <cell r="B5534" t="str">
            <v>BA305</v>
          </cell>
          <cell r="C5534" t="str">
            <v>VNC</v>
          </cell>
          <cell r="D5534" t="str">
            <v>2016</v>
          </cell>
          <cell r="E5534" t="str">
            <v>BALL VA</v>
          </cell>
          <cell r="F5534">
            <v>6</v>
          </cell>
          <cell r="G5534" t="str">
            <v>VB8010100000100</v>
          </cell>
          <cell r="H5534">
            <v>1</v>
          </cell>
          <cell r="I5534" t="str">
            <v>--</v>
          </cell>
          <cell r="J5534">
            <v>1</v>
          </cell>
          <cell r="K5534">
            <v>1</v>
          </cell>
        </row>
        <row r="5535">
          <cell r="A5535" t="str">
            <v>MC</v>
          </cell>
          <cell r="B5535" t="str">
            <v>BA305</v>
          </cell>
          <cell r="C5535" t="str">
            <v>MOH</v>
          </cell>
          <cell r="D5535" t="str">
            <v>2100</v>
          </cell>
          <cell r="E5535" t="str">
            <v>CHECK VA</v>
          </cell>
          <cell r="F5535">
            <v>6</v>
          </cell>
          <cell r="G5535" t="str">
            <v>VCB8010800000100</v>
          </cell>
          <cell r="H5535">
            <v>1</v>
          </cell>
          <cell r="I5535" t="str">
            <v>--</v>
          </cell>
          <cell r="J5535">
            <v>1</v>
          </cell>
          <cell r="K5535">
            <v>1</v>
          </cell>
        </row>
        <row r="5536">
          <cell r="A5536" t="str">
            <v>MC</v>
          </cell>
          <cell r="B5536" t="str">
            <v>BA305</v>
          </cell>
          <cell r="C5536" t="str">
            <v>MOH</v>
          </cell>
          <cell r="D5536" t="str">
            <v>2101</v>
          </cell>
          <cell r="E5536" t="str">
            <v>CHECK VA</v>
          </cell>
          <cell r="F5536">
            <v>6</v>
          </cell>
          <cell r="G5536" t="str">
            <v>VCB8010800000100</v>
          </cell>
          <cell r="H5536">
            <v>1</v>
          </cell>
          <cell r="I5536" t="str">
            <v>--</v>
          </cell>
          <cell r="J5536">
            <v>1</v>
          </cell>
          <cell r="K5536">
            <v>1</v>
          </cell>
        </row>
        <row r="5537">
          <cell r="A5537" t="str">
            <v>MC</v>
          </cell>
          <cell r="B5537" t="str">
            <v>CA304</v>
          </cell>
          <cell r="C5537" t="str">
            <v>N</v>
          </cell>
          <cell r="D5537" t="str">
            <v>HOLD</v>
          </cell>
          <cell r="E5537" t="str">
            <v>CHECK VA</v>
          </cell>
          <cell r="F5537">
            <v>6</v>
          </cell>
          <cell r="G5537" t="str">
            <v>VCB8010600000100</v>
          </cell>
          <cell r="H5537">
            <v>1</v>
          </cell>
          <cell r="I5537" t="str">
            <v>--</v>
          </cell>
          <cell r="J5537">
            <v>1</v>
          </cell>
          <cell r="K5537">
            <v>1</v>
          </cell>
        </row>
        <row r="5538">
          <cell r="A5538" t="str">
            <v>MC</v>
          </cell>
          <cell r="B5538" t="str">
            <v>BA305</v>
          </cell>
          <cell r="C5538" t="str">
            <v>MOH</v>
          </cell>
          <cell r="D5538" t="str">
            <v>2112</v>
          </cell>
          <cell r="E5538" t="str">
            <v>CHECK VA</v>
          </cell>
          <cell r="F5538">
            <v>6</v>
          </cell>
          <cell r="G5538" t="str">
            <v>VCB8010800000100</v>
          </cell>
          <cell r="H5538">
            <v>1</v>
          </cell>
          <cell r="I5538" t="str">
            <v>--</v>
          </cell>
          <cell r="J5538">
            <v>1</v>
          </cell>
          <cell r="K5538">
            <v>1</v>
          </cell>
        </row>
        <row r="5539">
          <cell r="A5539" t="str">
            <v>MC</v>
          </cell>
          <cell r="B5539" t="str">
            <v>BA305</v>
          </cell>
          <cell r="C5539" t="str">
            <v>MOH</v>
          </cell>
          <cell r="D5539" t="str">
            <v>2100</v>
          </cell>
          <cell r="E5539" t="str">
            <v>GLOBE VA</v>
          </cell>
          <cell r="F5539">
            <v>6</v>
          </cell>
          <cell r="G5539" t="str">
            <v>VL8010700000100</v>
          </cell>
          <cell r="H5539">
            <v>1</v>
          </cell>
          <cell r="I5539" t="str">
            <v>--</v>
          </cell>
          <cell r="J5539">
            <v>2</v>
          </cell>
          <cell r="K5539">
            <v>2</v>
          </cell>
        </row>
        <row r="5540">
          <cell r="A5540" t="str">
            <v>MC</v>
          </cell>
          <cell r="B5540" t="str">
            <v>BA305</v>
          </cell>
          <cell r="C5540" t="str">
            <v>MOH</v>
          </cell>
          <cell r="D5540" t="str">
            <v>2101</v>
          </cell>
          <cell r="E5540" t="str">
            <v>GLOBE VA</v>
          </cell>
          <cell r="F5540">
            <v>6</v>
          </cell>
          <cell r="G5540" t="str">
            <v>VL8010700000100</v>
          </cell>
          <cell r="H5540">
            <v>1</v>
          </cell>
          <cell r="I5540" t="str">
            <v>--</v>
          </cell>
          <cell r="J5540">
            <v>1</v>
          </cell>
          <cell r="K5540">
            <v>1</v>
          </cell>
        </row>
        <row r="5541">
          <cell r="A5541" t="str">
            <v>MC</v>
          </cell>
          <cell r="B5541" t="str">
            <v>BA312</v>
          </cell>
          <cell r="C5541" t="str">
            <v>SA98</v>
          </cell>
          <cell r="D5541" t="str">
            <v>2411</v>
          </cell>
          <cell r="E5541" t="str">
            <v>GLOBE VA</v>
          </cell>
          <cell r="F5541">
            <v>6</v>
          </cell>
          <cell r="G5541" t="str">
            <v>VL3110100000100</v>
          </cell>
          <cell r="H5541">
            <v>1</v>
          </cell>
          <cell r="I5541" t="str">
            <v>--</v>
          </cell>
          <cell r="J5541">
            <v>1</v>
          </cell>
          <cell r="K5541">
            <v>1</v>
          </cell>
        </row>
        <row r="5542">
          <cell r="A5542" t="str">
            <v>MC</v>
          </cell>
          <cell r="B5542" t="str">
            <v>BA302</v>
          </cell>
          <cell r="C5542" t="str">
            <v>SD20</v>
          </cell>
          <cell r="D5542" t="str">
            <v>2301</v>
          </cell>
          <cell r="E5542" t="str">
            <v>GLOBE VA</v>
          </cell>
          <cell r="F5542">
            <v>6</v>
          </cell>
          <cell r="G5542" t="str">
            <v>VL8010500000100</v>
          </cell>
          <cell r="H5542">
            <v>1</v>
          </cell>
          <cell r="I5542" t="str">
            <v>--</v>
          </cell>
          <cell r="J5542">
            <v>1</v>
          </cell>
          <cell r="K5542">
            <v>1</v>
          </cell>
        </row>
        <row r="5543">
          <cell r="A5543" t="str">
            <v>MC</v>
          </cell>
          <cell r="B5543" t="str">
            <v>CA304</v>
          </cell>
          <cell r="C5543" t="str">
            <v>MC</v>
          </cell>
          <cell r="D5543" t="str">
            <v>HOLD</v>
          </cell>
          <cell r="E5543" t="str">
            <v>BALL VA</v>
          </cell>
          <cell r="F5543">
            <v>6</v>
          </cell>
          <cell r="G5543" t="str">
            <v>VB8010100000100</v>
          </cell>
          <cell r="H5543">
            <v>1</v>
          </cell>
          <cell r="I5543" t="str">
            <v>--</v>
          </cell>
          <cell r="J5543">
            <v>4</v>
          </cell>
          <cell r="K5543">
            <v>4</v>
          </cell>
        </row>
        <row r="5544">
          <cell r="A5544" t="str">
            <v>MC</v>
          </cell>
          <cell r="B5544" t="str">
            <v>CA304</v>
          </cell>
          <cell r="C5544" t="str">
            <v>MC</v>
          </cell>
          <cell r="D5544" t="str">
            <v>2604</v>
          </cell>
          <cell r="E5544" t="str">
            <v>BALL VA</v>
          </cell>
          <cell r="F5544">
            <v>6</v>
          </cell>
          <cell r="G5544" t="str">
            <v>VB8010100000100</v>
          </cell>
          <cell r="H5544">
            <v>1</v>
          </cell>
          <cell r="I5544" t="str">
            <v>--</v>
          </cell>
          <cell r="J5544">
            <v>3</v>
          </cell>
          <cell r="K5544">
            <v>3</v>
          </cell>
        </row>
        <row r="5545">
          <cell r="A5545" t="str">
            <v>MC</v>
          </cell>
          <cell r="B5545" t="str">
            <v>B2C</v>
          </cell>
          <cell r="C5545" t="str">
            <v>SH</v>
          </cell>
          <cell r="D5545" t="str">
            <v>HOLD</v>
          </cell>
          <cell r="E5545" t="str">
            <v>GATE VA</v>
          </cell>
          <cell r="F5545">
            <v>6</v>
          </cell>
          <cell r="G5545" t="str">
            <v>VG8010100001H00</v>
          </cell>
          <cell r="H5545">
            <v>1.5</v>
          </cell>
          <cell r="I5545" t="str">
            <v>--</v>
          </cell>
          <cell r="J5545">
            <v>2</v>
          </cell>
          <cell r="K5545">
            <v>2</v>
          </cell>
        </row>
        <row r="5546">
          <cell r="A5546" t="str">
            <v>MC</v>
          </cell>
          <cell r="B5546" t="str">
            <v>CA304</v>
          </cell>
          <cell r="C5546" t="str">
            <v>MC</v>
          </cell>
          <cell r="D5546" t="str">
            <v>2505</v>
          </cell>
          <cell r="E5546" t="str">
            <v>BALL VA</v>
          </cell>
          <cell r="F5546">
            <v>6</v>
          </cell>
          <cell r="G5546" t="str">
            <v>VB8010100001H00</v>
          </cell>
          <cell r="H5546">
            <v>1.5</v>
          </cell>
          <cell r="I5546" t="str">
            <v>--</v>
          </cell>
          <cell r="J5546">
            <v>2</v>
          </cell>
          <cell r="K5546">
            <v>2</v>
          </cell>
        </row>
        <row r="5547">
          <cell r="A5547" t="str">
            <v>MC</v>
          </cell>
          <cell r="B5547" t="str">
            <v>CA304</v>
          </cell>
          <cell r="C5547" t="str">
            <v>MC</v>
          </cell>
          <cell r="D5547" t="str">
            <v>2605</v>
          </cell>
          <cell r="E5547" t="str">
            <v>BALL VA</v>
          </cell>
          <cell r="F5547">
            <v>6</v>
          </cell>
          <cell r="G5547" t="str">
            <v>VB8010100001H00</v>
          </cell>
          <cell r="H5547">
            <v>1.5</v>
          </cell>
          <cell r="I5547" t="str">
            <v>--</v>
          </cell>
          <cell r="J5547">
            <v>2</v>
          </cell>
          <cell r="K5547">
            <v>2</v>
          </cell>
        </row>
        <row r="5548">
          <cell r="A5548" t="str">
            <v>MC</v>
          </cell>
          <cell r="B5548" t="str">
            <v>CA304</v>
          </cell>
          <cell r="C5548" t="str">
            <v>MC</v>
          </cell>
          <cell r="D5548" t="str">
            <v>2609</v>
          </cell>
          <cell r="E5548" t="str">
            <v>BALL VA</v>
          </cell>
          <cell r="F5548">
            <v>6</v>
          </cell>
          <cell r="G5548" t="str">
            <v>VB8010100001H00</v>
          </cell>
          <cell r="H5548">
            <v>1.5</v>
          </cell>
          <cell r="I5548" t="str">
            <v>--</v>
          </cell>
          <cell r="J5548">
            <v>1</v>
          </cell>
          <cell r="K5548">
            <v>1</v>
          </cell>
        </row>
        <row r="5549">
          <cell r="A5549" t="str">
            <v>MC</v>
          </cell>
          <cell r="B5549" t="str">
            <v>CA304</v>
          </cell>
          <cell r="C5549" t="str">
            <v>MC</v>
          </cell>
          <cell r="D5549" t="str">
            <v>2612</v>
          </cell>
          <cell r="E5549" t="str">
            <v>BALL VA</v>
          </cell>
          <cell r="F5549">
            <v>6</v>
          </cell>
          <cell r="G5549" t="str">
            <v>VB8010100001H00</v>
          </cell>
          <cell r="H5549">
            <v>1.5</v>
          </cell>
          <cell r="I5549" t="str">
            <v>--</v>
          </cell>
          <cell r="J5549">
            <v>3</v>
          </cell>
          <cell r="K5549">
            <v>3</v>
          </cell>
        </row>
        <row r="5550">
          <cell r="A5550" t="str">
            <v>MC</v>
          </cell>
          <cell r="B5550" t="str">
            <v>BA305</v>
          </cell>
          <cell r="C5550" t="str">
            <v>MOH</v>
          </cell>
          <cell r="D5550" t="str">
            <v>2100</v>
          </cell>
          <cell r="E5550" t="str">
            <v>BALL VA</v>
          </cell>
          <cell r="F5550">
            <v>6</v>
          </cell>
          <cell r="G5550" t="str">
            <v>VB8010100001H00</v>
          </cell>
          <cell r="H5550">
            <v>1.5</v>
          </cell>
          <cell r="I5550" t="str">
            <v>--</v>
          </cell>
          <cell r="J5550">
            <v>2</v>
          </cell>
          <cell r="K5550">
            <v>2</v>
          </cell>
        </row>
        <row r="5551">
          <cell r="A5551" t="str">
            <v>MC</v>
          </cell>
          <cell r="B5551" t="str">
            <v>CA304</v>
          </cell>
          <cell r="C5551" t="str">
            <v>MC</v>
          </cell>
          <cell r="D5551" t="str">
            <v>2609</v>
          </cell>
          <cell r="E5551" t="str">
            <v>BALL VA</v>
          </cell>
          <cell r="F5551">
            <v>6</v>
          </cell>
          <cell r="G5551" t="str">
            <v>VB8010100001H00</v>
          </cell>
          <cell r="H5551">
            <v>1.5</v>
          </cell>
          <cell r="I5551" t="str">
            <v>--</v>
          </cell>
          <cell r="J5551">
            <v>1</v>
          </cell>
          <cell r="K5551">
            <v>1</v>
          </cell>
        </row>
        <row r="5552">
          <cell r="A5552" t="str">
            <v>MC</v>
          </cell>
          <cell r="B5552" t="str">
            <v>CA304</v>
          </cell>
          <cell r="C5552" t="str">
            <v>N</v>
          </cell>
          <cell r="D5552" t="str">
            <v>HOLD</v>
          </cell>
          <cell r="E5552" t="str">
            <v>BALL VA</v>
          </cell>
          <cell r="F5552">
            <v>6</v>
          </cell>
          <cell r="G5552" t="str">
            <v>VB8010100001H00</v>
          </cell>
          <cell r="H5552">
            <v>1.5</v>
          </cell>
          <cell r="I5552" t="str">
            <v>--</v>
          </cell>
          <cell r="J5552">
            <v>1</v>
          </cell>
          <cell r="K5552">
            <v>1</v>
          </cell>
        </row>
        <row r="5553">
          <cell r="A5553" t="str">
            <v>MC</v>
          </cell>
          <cell r="B5553" t="str">
            <v>CA304</v>
          </cell>
          <cell r="C5553" t="str">
            <v>N</v>
          </cell>
          <cell r="D5553" t="str">
            <v>HOLD</v>
          </cell>
          <cell r="E5553" t="str">
            <v>BALL VA</v>
          </cell>
          <cell r="F5553">
            <v>6</v>
          </cell>
          <cell r="G5553" t="str">
            <v>VB8010100001H00</v>
          </cell>
          <cell r="H5553">
            <v>1.5</v>
          </cell>
          <cell r="I5553" t="str">
            <v>--</v>
          </cell>
          <cell r="J5553">
            <v>1</v>
          </cell>
          <cell r="K5553">
            <v>1</v>
          </cell>
        </row>
        <row r="5554">
          <cell r="A5554" t="str">
            <v>MC</v>
          </cell>
          <cell r="B5554" t="str">
            <v>CA304</v>
          </cell>
          <cell r="C5554" t="str">
            <v>TRIM</v>
          </cell>
          <cell r="D5554" t="str">
            <v>V-1260A/B</v>
          </cell>
          <cell r="E5554" t="str">
            <v>BALL VA</v>
          </cell>
          <cell r="F5554">
            <v>6</v>
          </cell>
          <cell r="G5554" t="str">
            <v>VB8010100001H00</v>
          </cell>
          <cell r="H5554">
            <v>1.5</v>
          </cell>
          <cell r="I5554" t="str">
            <v>--</v>
          </cell>
          <cell r="J5554">
            <v>8</v>
          </cell>
          <cell r="K5554">
            <v>8</v>
          </cell>
        </row>
        <row r="5555">
          <cell r="A5555" t="str">
            <v>MC</v>
          </cell>
          <cell r="B5555" t="str">
            <v>CA304</v>
          </cell>
          <cell r="C5555" t="str">
            <v>MC</v>
          </cell>
          <cell r="D5555" t="str">
            <v>2608</v>
          </cell>
          <cell r="E5555" t="str">
            <v>BALL VA</v>
          </cell>
          <cell r="F5555">
            <v>6</v>
          </cell>
          <cell r="G5555" t="str">
            <v>VB8010100001H00</v>
          </cell>
          <cell r="H5555">
            <v>1.5</v>
          </cell>
          <cell r="I5555" t="str">
            <v>--</v>
          </cell>
          <cell r="J5555">
            <v>2</v>
          </cell>
          <cell r="K5555">
            <v>2</v>
          </cell>
        </row>
        <row r="5556">
          <cell r="A5556" t="str">
            <v>MC</v>
          </cell>
          <cell r="B5556" t="str">
            <v>CA304</v>
          </cell>
          <cell r="C5556" t="str">
            <v>MC</v>
          </cell>
          <cell r="D5556" t="str">
            <v>2609</v>
          </cell>
          <cell r="E5556" t="str">
            <v>BALL VA</v>
          </cell>
          <cell r="F5556">
            <v>6</v>
          </cell>
          <cell r="G5556" t="str">
            <v>VB8010100001H00</v>
          </cell>
          <cell r="H5556">
            <v>1.5</v>
          </cell>
          <cell r="I5556" t="str">
            <v>--</v>
          </cell>
          <cell r="J5556">
            <v>2</v>
          </cell>
          <cell r="K5556">
            <v>2</v>
          </cell>
        </row>
        <row r="5557">
          <cell r="A5557" t="str">
            <v>MC</v>
          </cell>
          <cell r="B5557" t="str">
            <v>CA304</v>
          </cell>
          <cell r="C5557" t="str">
            <v>TRIM</v>
          </cell>
          <cell r="D5557" t="str">
            <v>E-1261</v>
          </cell>
          <cell r="E5557" t="str">
            <v>BALL VA</v>
          </cell>
          <cell r="F5557">
            <v>6</v>
          </cell>
          <cell r="G5557" t="str">
            <v>VB8010100001H00</v>
          </cell>
          <cell r="H5557">
            <v>1.5</v>
          </cell>
          <cell r="I5557" t="str">
            <v>--</v>
          </cell>
          <cell r="J5557">
            <v>2</v>
          </cell>
          <cell r="K5557">
            <v>2</v>
          </cell>
        </row>
        <row r="5558">
          <cell r="A5558" t="str">
            <v>MC</v>
          </cell>
          <cell r="B5558" t="str">
            <v>CA304</v>
          </cell>
          <cell r="C5558" t="str">
            <v>MC</v>
          </cell>
          <cell r="D5558" t="str">
            <v>2608</v>
          </cell>
          <cell r="E5558" t="str">
            <v>BELLOWS VA</v>
          </cell>
          <cell r="F5558">
            <v>6</v>
          </cell>
          <cell r="G5558" t="str">
            <v>VBE8010100001H00</v>
          </cell>
          <cell r="H5558">
            <v>1.5</v>
          </cell>
          <cell r="I5558" t="str">
            <v>--</v>
          </cell>
          <cell r="J5558">
            <v>2</v>
          </cell>
          <cell r="K5558">
            <v>2</v>
          </cell>
        </row>
        <row r="5559">
          <cell r="A5559" t="str">
            <v>MC</v>
          </cell>
          <cell r="B5559" t="str">
            <v>CA304</v>
          </cell>
          <cell r="C5559" t="str">
            <v>N</v>
          </cell>
          <cell r="D5559" t="str">
            <v>HOLD</v>
          </cell>
          <cell r="E5559" t="str">
            <v>CHECK VA</v>
          </cell>
          <cell r="F5559">
            <v>6</v>
          </cell>
          <cell r="G5559" t="str">
            <v>VCB8010600001H00</v>
          </cell>
          <cell r="H5559">
            <v>1.5</v>
          </cell>
          <cell r="I5559" t="str">
            <v>--</v>
          </cell>
          <cell r="J5559">
            <v>1</v>
          </cell>
          <cell r="K5559">
            <v>1</v>
          </cell>
        </row>
        <row r="5560">
          <cell r="A5560" t="str">
            <v>MC</v>
          </cell>
          <cell r="B5560" t="str">
            <v>CA304</v>
          </cell>
          <cell r="C5560" t="str">
            <v>N</v>
          </cell>
          <cell r="D5560" t="str">
            <v>HOLD</v>
          </cell>
          <cell r="E5560" t="str">
            <v>CHECK VA</v>
          </cell>
          <cell r="F5560">
            <v>6</v>
          </cell>
          <cell r="G5560" t="str">
            <v>VCB8010600001H00</v>
          </cell>
          <cell r="H5560">
            <v>1.5</v>
          </cell>
          <cell r="I5560" t="str">
            <v>--</v>
          </cell>
          <cell r="J5560">
            <v>1</v>
          </cell>
          <cell r="K5560">
            <v>1</v>
          </cell>
        </row>
        <row r="5561">
          <cell r="A5561" t="str">
            <v>MC</v>
          </cell>
          <cell r="B5561" t="str">
            <v>CA304</v>
          </cell>
          <cell r="C5561" t="str">
            <v>MC</v>
          </cell>
          <cell r="D5561" t="str">
            <v>2604</v>
          </cell>
          <cell r="E5561" t="str">
            <v>BALL VA</v>
          </cell>
          <cell r="F5561">
            <v>6</v>
          </cell>
          <cell r="G5561" t="str">
            <v>VB8010100001H00</v>
          </cell>
          <cell r="H5561">
            <v>1.5</v>
          </cell>
          <cell r="I5561" t="str">
            <v>--</v>
          </cell>
          <cell r="J5561">
            <v>1</v>
          </cell>
          <cell r="K5561">
            <v>1</v>
          </cell>
        </row>
        <row r="5562">
          <cell r="A5562" t="str">
            <v>UT</v>
          </cell>
          <cell r="B5562" t="str">
            <v>A5C</v>
          </cell>
          <cell r="C5562" t="str">
            <v>WW</v>
          </cell>
          <cell r="D5562" t="str">
            <v>002</v>
          </cell>
          <cell r="E5562" t="str">
            <v>PIPE</v>
          </cell>
          <cell r="F5562">
            <v>1</v>
          </cell>
          <cell r="G5562" t="str">
            <v>CB100404000600</v>
          </cell>
          <cell r="H5562">
            <v>6</v>
          </cell>
          <cell r="I5562" t="str">
            <v>--</v>
          </cell>
          <cell r="J5562">
            <v>10</v>
          </cell>
          <cell r="K5562" t="str">
            <v>-</v>
          </cell>
        </row>
        <row r="5563">
          <cell r="A5563" t="str">
            <v>UT</v>
          </cell>
          <cell r="B5563" t="str">
            <v>A5C</v>
          </cell>
          <cell r="C5563" t="str">
            <v>WW</v>
          </cell>
          <cell r="D5563" t="str">
            <v>002</v>
          </cell>
          <cell r="E5563" t="str">
            <v>PIPE</v>
          </cell>
          <cell r="F5563">
            <v>1</v>
          </cell>
          <cell r="G5563" t="str">
            <v>CB100404000800</v>
          </cell>
          <cell r="H5563">
            <v>8</v>
          </cell>
          <cell r="I5563" t="str">
            <v>--</v>
          </cell>
          <cell r="J5563">
            <v>20</v>
          </cell>
          <cell r="K5563" t="str">
            <v>-</v>
          </cell>
        </row>
        <row r="5564">
          <cell r="A5564" t="str">
            <v>UT</v>
          </cell>
          <cell r="B5564" t="str">
            <v>B2C</v>
          </cell>
          <cell r="C5564" t="str">
            <v>SCL</v>
          </cell>
          <cell r="D5564" t="str">
            <v>002</v>
          </cell>
          <cell r="E5564" t="str">
            <v>PIPE</v>
          </cell>
          <cell r="F5564">
            <v>1</v>
          </cell>
          <cell r="G5564" t="str">
            <v>CB100508000T00</v>
          </cell>
          <cell r="H5564">
            <v>0.75</v>
          </cell>
          <cell r="I5564" t="str">
            <v>--</v>
          </cell>
          <cell r="J5564">
            <v>33</v>
          </cell>
          <cell r="K5564" t="str">
            <v>-</v>
          </cell>
        </row>
        <row r="5565">
          <cell r="A5565" t="str">
            <v>UT</v>
          </cell>
          <cell r="B5565" t="str">
            <v>B2C</v>
          </cell>
          <cell r="C5565" t="str">
            <v>SH</v>
          </cell>
          <cell r="D5565" t="str">
            <v>001</v>
          </cell>
          <cell r="E5565" t="str">
            <v>PIPE</v>
          </cell>
          <cell r="F5565">
            <v>1</v>
          </cell>
          <cell r="G5565" t="str">
            <v>CB100404000300</v>
          </cell>
          <cell r="H5565">
            <v>3</v>
          </cell>
          <cell r="I5565" t="str">
            <v>--</v>
          </cell>
          <cell r="J5565">
            <v>40</v>
          </cell>
          <cell r="K5565" t="str">
            <v>-</v>
          </cell>
        </row>
        <row r="5566">
          <cell r="A5566" t="str">
            <v>UT</v>
          </cell>
          <cell r="B5566" t="str">
            <v>CA307</v>
          </cell>
          <cell r="C5566" t="str">
            <v>P</v>
          </cell>
          <cell r="D5566" t="str">
            <v>HOLD7</v>
          </cell>
          <cell r="E5566" t="str">
            <v>PIPE</v>
          </cell>
          <cell r="F5566">
            <v>1</v>
          </cell>
          <cell r="G5566" t="str">
            <v>CB100405000400</v>
          </cell>
          <cell r="H5566">
            <v>4</v>
          </cell>
          <cell r="I5566" t="str">
            <v>--</v>
          </cell>
          <cell r="J5566">
            <v>43</v>
          </cell>
          <cell r="K5566" t="str">
            <v>-</v>
          </cell>
        </row>
        <row r="5567">
          <cell r="A5567" t="str">
            <v>UT</v>
          </cell>
          <cell r="B5567" t="str">
            <v>B2C</v>
          </cell>
          <cell r="C5567" t="str">
            <v>SH</v>
          </cell>
          <cell r="D5567" t="str">
            <v>001</v>
          </cell>
          <cell r="E5567" t="str">
            <v>PIPE</v>
          </cell>
          <cell r="F5567">
            <v>1</v>
          </cell>
          <cell r="G5567" t="str">
            <v>CB100404000400</v>
          </cell>
          <cell r="H5567">
            <v>4</v>
          </cell>
          <cell r="I5567" t="str">
            <v>--</v>
          </cell>
          <cell r="J5567">
            <v>43.5</v>
          </cell>
          <cell r="K5567" t="str">
            <v>-</v>
          </cell>
        </row>
        <row r="5568">
          <cell r="A5568" t="str">
            <v>UT</v>
          </cell>
          <cell r="B5568" t="str">
            <v>A5C</v>
          </cell>
          <cell r="C5568" t="str">
            <v>P</v>
          </cell>
          <cell r="D5568" t="str">
            <v>23116</v>
          </cell>
          <cell r="E5568" t="str">
            <v>PIPE</v>
          </cell>
          <cell r="F5568">
            <v>1</v>
          </cell>
          <cell r="G5568" t="str">
            <v>CB100408000200</v>
          </cell>
          <cell r="H5568">
            <v>2</v>
          </cell>
          <cell r="I5568" t="str">
            <v>--</v>
          </cell>
          <cell r="J5568">
            <v>55.8</v>
          </cell>
          <cell r="K5568" t="str">
            <v>-</v>
          </cell>
        </row>
        <row r="5569">
          <cell r="A5569" t="str">
            <v>UT</v>
          </cell>
          <cell r="B5569" t="str">
            <v>A5C</v>
          </cell>
          <cell r="C5569" t="str">
            <v>P</v>
          </cell>
          <cell r="D5569" t="str">
            <v>23112</v>
          </cell>
          <cell r="E5569" t="str">
            <v>PIPE</v>
          </cell>
          <cell r="F5569">
            <v>1</v>
          </cell>
          <cell r="G5569" t="str">
            <v>CB100408000200</v>
          </cell>
          <cell r="H5569">
            <v>2</v>
          </cell>
          <cell r="I5569" t="str">
            <v>--</v>
          </cell>
          <cell r="J5569">
            <v>57</v>
          </cell>
          <cell r="K5569" t="str">
            <v>-</v>
          </cell>
        </row>
        <row r="5570">
          <cell r="A5570" t="str">
            <v>UT</v>
          </cell>
          <cell r="B5570" t="str">
            <v>CA304</v>
          </cell>
          <cell r="C5570" t="str">
            <v>MC</v>
          </cell>
          <cell r="D5570" t="str">
            <v>12014</v>
          </cell>
          <cell r="E5570" t="str">
            <v>PIPE</v>
          </cell>
          <cell r="F5570">
            <v>1</v>
          </cell>
          <cell r="G5570" t="str">
            <v>CB100405000200</v>
          </cell>
          <cell r="H5570">
            <v>2</v>
          </cell>
          <cell r="I5570" t="str">
            <v>--</v>
          </cell>
          <cell r="J5570">
            <v>58.5</v>
          </cell>
          <cell r="K5570" t="str">
            <v>-</v>
          </cell>
        </row>
        <row r="5571">
          <cell r="A5571" t="str">
            <v>UT</v>
          </cell>
          <cell r="B5571" t="str">
            <v>A5C</v>
          </cell>
          <cell r="C5571" t="str">
            <v>P</v>
          </cell>
          <cell r="D5571" t="str">
            <v>23148</v>
          </cell>
          <cell r="E5571" t="str">
            <v>PIPE</v>
          </cell>
          <cell r="F5571">
            <v>1</v>
          </cell>
          <cell r="G5571" t="str">
            <v>CB100408000200</v>
          </cell>
          <cell r="H5571">
            <v>2</v>
          </cell>
          <cell r="I5571" t="str">
            <v>--</v>
          </cell>
          <cell r="J5571">
            <v>59.6</v>
          </cell>
          <cell r="K5571" t="str">
            <v>-</v>
          </cell>
        </row>
        <row r="5572">
          <cell r="A5572" t="str">
            <v>UT</v>
          </cell>
          <cell r="B5572" t="str">
            <v>A5C</v>
          </cell>
          <cell r="C5572" t="str">
            <v>P</v>
          </cell>
          <cell r="D5572" t="str">
            <v>23155</v>
          </cell>
          <cell r="E5572" t="str">
            <v>PIPE</v>
          </cell>
          <cell r="F5572">
            <v>1</v>
          </cell>
          <cell r="G5572" t="str">
            <v>CB100408000200</v>
          </cell>
          <cell r="H5572">
            <v>2</v>
          </cell>
          <cell r="I5572" t="str">
            <v>--</v>
          </cell>
          <cell r="J5572">
            <v>60.5</v>
          </cell>
          <cell r="K5572" t="str">
            <v>-</v>
          </cell>
        </row>
        <row r="5573">
          <cell r="A5573" t="str">
            <v>UT</v>
          </cell>
          <cell r="B5573" t="str">
            <v>A5C</v>
          </cell>
          <cell r="C5573" t="str">
            <v>P</v>
          </cell>
          <cell r="D5573" t="str">
            <v>23144</v>
          </cell>
          <cell r="E5573" t="str">
            <v>PIPE</v>
          </cell>
          <cell r="F5573">
            <v>1</v>
          </cell>
          <cell r="G5573" t="str">
            <v>CB100408000200</v>
          </cell>
          <cell r="H5573">
            <v>2</v>
          </cell>
          <cell r="I5573" t="str">
            <v>--</v>
          </cell>
          <cell r="J5573">
            <v>62.5</v>
          </cell>
          <cell r="K5573" t="str">
            <v>-</v>
          </cell>
        </row>
        <row r="5574">
          <cell r="A5574" t="str">
            <v>UT</v>
          </cell>
          <cell r="B5574" t="str">
            <v>A5C</v>
          </cell>
          <cell r="C5574" t="str">
            <v>P</v>
          </cell>
          <cell r="D5574" t="str">
            <v>23108</v>
          </cell>
          <cell r="E5574" t="str">
            <v>PIPE</v>
          </cell>
          <cell r="F5574">
            <v>1</v>
          </cell>
          <cell r="G5574" t="str">
            <v>CB100408000200</v>
          </cell>
          <cell r="H5574">
            <v>2</v>
          </cell>
          <cell r="I5574" t="str">
            <v>--</v>
          </cell>
          <cell r="J5574">
            <v>64</v>
          </cell>
          <cell r="K5574" t="str">
            <v>-</v>
          </cell>
        </row>
        <row r="5575">
          <cell r="A5575" t="str">
            <v>UT</v>
          </cell>
          <cell r="B5575" t="str">
            <v>A5C</v>
          </cell>
          <cell r="C5575" t="str">
            <v>P</v>
          </cell>
          <cell r="D5575" t="str">
            <v>HOLD4</v>
          </cell>
          <cell r="E5575" t="str">
            <v>PIPE</v>
          </cell>
          <cell r="F5575">
            <v>1</v>
          </cell>
          <cell r="G5575" t="str">
            <v>CB100408000200</v>
          </cell>
          <cell r="H5575">
            <v>2</v>
          </cell>
          <cell r="I5575" t="str">
            <v>--</v>
          </cell>
          <cell r="J5575">
            <v>82</v>
          </cell>
          <cell r="K5575" t="str">
            <v>-</v>
          </cell>
        </row>
        <row r="5576">
          <cell r="A5576" t="str">
            <v>UT</v>
          </cell>
          <cell r="B5576" t="str">
            <v>A5C</v>
          </cell>
          <cell r="C5576" t="str">
            <v>P</v>
          </cell>
          <cell r="D5576" t="str">
            <v>HOLD6</v>
          </cell>
          <cell r="E5576" t="str">
            <v>PIPE</v>
          </cell>
          <cell r="F5576">
            <v>1</v>
          </cell>
          <cell r="G5576" t="str">
            <v>CB100404000400</v>
          </cell>
          <cell r="H5576">
            <v>4</v>
          </cell>
          <cell r="I5576" t="str">
            <v>--</v>
          </cell>
          <cell r="J5576">
            <v>83</v>
          </cell>
          <cell r="K5576" t="str">
            <v>-</v>
          </cell>
        </row>
        <row r="5577">
          <cell r="A5577" t="str">
            <v>UT</v>
          </cell>
          <cell r="B5577" t="str">
            <v>A5C</v>
          </cell>
          <cell r="C5577" t="str">
            <v>P</v>
          </cell>
          <cell r="D5577" t="str">
            <v>HOLD3</v>
          </cell>
          <cell r="E5577" t="str">
            <v>PIPE</v>
          </cell>
          <cell r="F5577">
            <v>1</v>
          </cell>
          <cell r="G5577" t="str">
            <v>CB100408000200</v>
          </cell>
          <cell r="H5577">
            <v>2</v>
          </cell>
          <cell r="I5577" t="str">
            <v>--</v>
          </cell>
          <cell r="J5577">
            <v>85</v>
          </cell>
          <cell r="K5577" t="str">
            <v>-</v>
          </cell>
        </row>
        <row r="5578">
          <cell r="A5578" t="str">
            <v>UT</v>
          </cell>
          <cell r="B5578" t="str">
            <v>CA307</v>
          </cell>
          <cell r="C5578" t="str">
            <v>HCLG</v>
          </cell>
          <cell r="D5578" t="str">
            <v>1100</v>
          </cell>
          <cell r="E5578" t="str">
            <v>PIPE</v>
          </cell>
          <cell r="F5578">
            <v>1</v>
          </cell>
          <cell r="G5578" t="str">
            <v>CB100405000600</v>
          </cell>
          <cell r="H5578">
            <v>6</v>
          </cell>
          <cell r="I5578" t="str">
            <v>--</v>
          </cell>
          <cell r="J5578">
            <v>97</v>
          </cell>
          <cell r="K5578" t="str">
            <v>-</v>
          </cell>
        </row>
        <row r="5579">
          <cell r="A5579" t="str">
            <v>UT</v>
          </cell>
          <cell r="B5579" t="str">
            <v>A5C</v>
          </cell>
          <cell r="C5579" t="str">
            <v>P</v>
          </cell>
          <cell r="D5579" t="str">
            <v>HOLD1</v>
          </cell>
          <cell r="E5579" t="str">
            <v>PIPE</v>
          </cell>
          <cell r="F5579">
            <v>1</v>
          </cell>
          <cell r="G5579" t="str">
            <v>CB100408000200</v>
          </cell>
          <cell r="H5579">
            <v>2</v>
          </cell>
          <cell r="I5579" t="str">
            <v>--</v>
          </cell>
          <cell r="J5579">
            <v>142</v>
          </cell>
          <cell r="K5579" t="str">
            <v>-</v>
          </cell>
        </row>
        <row r="5580">
          <cell r="A5580" t="str">
            <v>UT</v>
          </cell>
          <cell r="B5580" t="str">
            <v>A5C</v>
          </cell>
          <cell r="C5580" t="str">
            <v>WW</v>
          </cell>
          <cell r="D5580" t="str">
            <v>003</v>
          </cell>
          <cell r="E5580" t="str">
            <v>PIPE</v>
          </cell>
          <cell r="F5580">
            <v>1</v>
          </cell>
          <cell r="G5580" t="str">
            <v>CB100404000300</v>
          </cell>
          <cell r="H5580">
            <v>3</v>
          </cell>
          <cell r="I5580" t="str">
            <v>--</v>
          </cell>
          <cell r="J5580">
            <v>144</v>
          </cell>
          <cell r="K5580" t="str">
            <v>-</v>
          </cell>
        </row>
        <row r="5581">
          <cell r="A5581" t="str">
            <v>UT</v>
          </cell>
          <cell r="B5581" t="str">
            <v>A5C</v>
          </cell>
          <cell r="C5581" t="str">
            <v>P</v>
          </cell>
          <cell r="D5581" t="str">
            <v>HOLD5</v>
          </cell>
          <cell r="E5581" t="str">
            <v>PIPE</v>
          </cell>
          <cell r="F5581">
            <v>1</v>
          </cell>
          <cell r="G5581" t="str">
            <v>CB100404000400</v>
          </cell>
          <cell r="H5581">
            <v>4</v>
          </cell>
          <cell r="I5581" t="str">
            <v>--</v>
          </cell>
          <cell r="J5581">
            <v>228</v>
          </cell>
          <cell r="K5581" t="str">
            <v>-</v>
          </cell>
        </row>
        <row r="5582">
          <cell r="A5582" t="str">
            <v>UT</v>
          </cell>
          <cell r="B5582" t="str">
            <v>B2C</v>
          </cell>
          <cell r="C5582" t="str">
            <v>SH</v>
          </cell>
          <cell r="D5582" t="str">
            <v>001</v>
          </cell>
          <cell r="E5582" t="str">
            <v>PIPE</v>
          </cell>
          <cell r="F5582">
            <v>1</v>
          </cell>
          <cell r="G5582" t="str">
            <v>CB100404000800</v>
          </cell>
          <cell r="H5582">
            <v>8</v>
          </cell>
          <cell r="I5582" t="str">
            <v>--</v>
          </cell>
          <cell r="J5582">
            <v>240</v>
          </cell>
          <cell r="K5582" t="str">
            <v>-</v>
          </cell>
        </row>
        <row r="5583">
          <cell r="A5583" t="str">
            <v>UT</v>
          </cell>
          <cell r="B5583" t="str">
            <v>A5C</v>
          </cell>
          <cell r="C5583" t="str">
            <v>P</v>
          </cell>
          <cell r="D5583" t="str">
            <v>HOLD2</v>
          </cell>
          <cell r="E5583" t="str">
            <v>PIPE</v>
          </cell>
          <cell r="F5583">
            <v>1</v>
          </cell>
          <cell r="G5583" t="str">
            <v>CB100408000200</v>
          </cell>
          <cell r="H5583">
            <v>2</v>
          </cell>
          <cell r="I5583" t="str">
            <v>--</v>
          </cell>
          <cell r="J5583">
            <v>312</v>
          </cell>
          <cell r="K5583" t="str">
            <v>-</v>
          </cell>
        </row>
        <row r="5584">
          <cell r="A5584" t="str">
            <v>UT</v>
          </cell>
          <cell r="B5584" t="str">
            <v>A5C</v>
          </cell>
          <cell r="C5584" t="str">
            <v>WW</v>
          </cell>
          <cell r="D5584" t="str">
            <v>002</v>
          </cell>
          <cell r="E5584" t="str">
            <v>PIPE</v>
          </cell>
          <cell r="F5584">
            <v>1</v>
          </cell>
          <cell r="G5584" t="str">
            <v>CB100404001200</v>
          </cell>
          <cell r="H5584">
            <v>12</v>
          </cell>
          <cell r="I5584" t="str">
            <v>--</v>
          </cell>
          <cell r="J5584">
            <v>358</v>
          </cell>
          <cell r="K5584" t="str">
            <v>-</v>
          </cell>
        </row>
        <row r="5585">
          <cell r="A5585" t="str">
            <v>UT</v>
          </cell>
          <cell r="B5585" t="str">
            <v>B2C</v>
          </cell>
          <cell r="C5585" t="str">
            <v>SCL</v>
          </cell>
          <cell r="D5585" t="str">
            <v>002</v>
          </cell>
          <cell r="E5585" t="str">
            <v>PIPE</v>
          </cell>
          <cell r="F5585">
            <v>1</v>
          </cell>
          <cell r="G5585" t="str">
            <v>CB100508000T00</v>
          </cell>
          <cell r="H5585">
            <v>0.75</v>
          </cell>
          <cell r="I5585" t="str">
            <v>--</v>
          </cell>
          <cell r="J5585" t="str">
            <v>-</v>
          </cell>
          <cell r="K5585">
            <v>33</v>
          </cell>
        </row>
        <row r="5586">
          <cell r="A5586" t="str">
            <v>UT</v>
          </cell>
          <cell r="B5586" t="str">
            <v>A5C</v>
          </cell>
          <cell r="C5586" t="str">
            <v>P</v>
          </cell>
          <cell r="D5586" t="str">
            <v>23116</v>
          </cell>
          <cell r="E5586" t="str">
            <v>PIPE</v>
          </cell>
          <cell r="F5586">
            <v>1</v>
          </cell>
          <cell r="G5586" t="str">
            <v>CB100408000200</v>
          </cell>
          <cell r="H5586">
            <v>2</v>
          </cell>
          <cell r="I5586" t="str">
            <v>--</v>
          </cell>
          <cell r="J5586" t="str">
            <v>-</v>
          </cell>
          <cell r="K5586">
            <v>55.8</v>
          </cell>
        </row>
        <row r="5587">
          <cell r="A5587" t="str">
            <v>UT</v>
          </cell>
          <cell r="B5587" t="str">
            <v>A5C</v>
          </cell>
          <cell r="C5587" t="str">
            <v>P</v>
          </cell>
          <cell r="D5587" t="str">
            <v>23112</v>
          </cell>
          <cell r="E5587" t="str">
            <v>PIPE</v>
          </cell>
          <cell r="F5587">
            <v>1</v>
          </cell>
          <cell r="G5587" t="str">
            <v>CB100408000200</v>
          </cell>
          <cell r="H5587">
            <v>2</v>
          </cell>
          <cell r="I5587" t="str">
            <v>--</v>
          </cell>
          <cell r="J5587" t="str">
            <v>-</v>
          </cell>
          <cell r="K5587">
            <v>57</v>
          </cell>
        </row>
        <row r="5588">
          <cell r="A5588" t="str">
            <v>UT</v>
          </cell>
          <cell r="B5588" t="str">
            <v>CA304</v>
          </cell>
          <cell r="C5588" t="str">
            <v>MC</v>
          </cell>
          <cell r="D5588" t="str">
            <v>12014</v>
          </cell>
          <cell r="E5588" t="str">
            <v>PIPE</v>
          </cell>
          <cell r="F5588">
            <v>1</v>
          </cell>
          <cell r="G5588" t="str">
            <v>CB100405000200</v>
          </cell>
          <cell r="H5588">
            <v>2</v>
          </cell>
          <cell r="I5588" t="str">
            <v>--</v>
          </cell>
          <cell r="J5588" t="str">
            <v>-</v>
          </cell>
          <cell r="K5588">
            <v>58.5</v>
          </cell>
        </row>
        <row r="5589">
          <cell r="A5589" t="str">
            <v>UT</v>
          </cell>
          <cell r="B5589" t="str">
            <v>A5C</v>
          </cell>
          <cell r="C5589" t="str">
            <v>P</v>
          </cell>
          <cell r="D5589" t="str">
            <v>23148</v>
          </cell>
          <cell r="E5589" t="str">
            <v>PIPE</v>
          </cell>
          <cell r="F5589">
            <v>1</v>
          </cell>
          <cell r="G5589" t="str">
            <v>CB100408000200</v>
          </cell>
          <cell r="H5589">
            <v>2</v>
          </cell>
          <cell r="I5589" t="str">
            <v>--</v>
          </cell>
          <cell r="J5589" t="str">
            <v>-</v>
          </cell>
          <cell r="K5589">
            <v>59.6</v>
          </cell>
        </row>
        <row r="5590">
          <cell r="A5590" t="str">
            <v>UT</v>
          </cell>
          <cell r="B5590" t="str">
            <v>A5C</v>
          </cell>
          <cell r="C5590" t="str">
            <v>P</v>
          </cell>
          <cell r="D5590" t="str">
            <v>23155</v>
          </cell>
          <cell r="E5590" t="str">
            <v>PIPE</v>
          </cell>
          <cell r="F5590">
            <v>1</v>
          </cell>
          <cell r="G5590" t="str">
            <v>CB100408000200</v>
          </cell>
          <cell r="H5590">
            <v>2</v>
          </cell>
          <cell r="I5590" t="str">
            <v>--</v>
          </cell>
          <cell r="J5590" t="str">
            <v>-</v>
          </cell>
          <cell r="K5590">
            <v>60.5</v>
          </cell>
        </row>
        <row r="5591">
          <cell r="A5591" t="str">
            <v>UT</v>
          </cell>
          <cell r="B5591" t="str">
            <v>A5C</v>
          </cell>
          <cell r="C5591" t="str">
            <v>P</v>
          </cell>
          <cell r="D5591" t="str">
            <v>23144</v>
          </cell>
          <cell r="E5591" t="str">
            <v>PIPE</v>
          </cell>
          <cell r="F5591">
            <v>1</v>
          </cell>
          <cell r="G5591" t="str">
            <v>CB100408000200</v>
          </cell>
          <cell r="H5591">
            <v>2</v>
          </cell>
          <cell r="I5591" t="str">
            <v>--</v>
          </cell>
          <cell r="J5591" t="str">
            <v>-</v>
          </cell>
          <cell r="K5591">
            <v>62.5</v>
          </cell>
        </row>
        <row r="5592">
          <cell r="A5592" t="str">
            <v>UT</v>
          </cell>
          <cell r="B5592" t="str">
            <v>A5C</v>
          </cell>
          <cell r="C5592" t="str">
            <v>P</v>
          </cell>
          <cell r="D5592" t="str">
            <v>23108</v>
          </cell>
          <cell r="E5592" t="str">
            <v>PIPE</v>
          </cell>
          <cell r="F5592">
            <v>1</v>
          </cell>
          <cell r="G5592" t="str">
            <v>CB100408000200</v>
          </cell>
          <cell r="H5592">
            <v>2</v>
          </cell>
          <cell r="I5592" t="str">
            <v>--</v>
          </cell>
          <cell r="J5592" t="str">
            <v>-</v>
          </cell>
          <cell r="K5592">
            <v>64</v>
          </cell>
        </row>
        <row r="5593">
          <cell r="A5593" t="str">
            <v>UT</v>
          </cell>
          <cell r="B5593" t="str">
            <v>A5C</v>
          </cell>
          <cell r="C5593" t="str">
            <v>P</v>
          </cell>
          <cell r="D5593" t="str">
            <v>HOLD4</v>
          </cell>
          <cell r="E5593" t="str">
            <v>PIPE</v>
          </cell>
          <cell r="F5593">
            <v>1</v>
          </cell>
          <cell r="G5593" t="str">
            <v>CB100408000200</v>
          </cell>
          <cell r="H5593">
            <v>2</v>
          </cell>
          <cell r="I5593" t="str">
            <v>--</v>
          </cell>
          <cell r="J5593" t="str">
            <v>-</v>
          </cell>
          <cell r="K5593">
            <v>82</v>
          </cell>
        </row>
        <row r="5594">
          <cell r="A5594" t="str">
            <v>UT</v>
          </cell>
          <cell r="B5594" t="str">
            <v>A5C</v>
          </cell>
          <cell r="C5594" t="str">
            <v>P</v>
          </cell>
          <cell r="D5594" t="str">
            <v>HOLD3</v>
          </cell>
          <cell r="E5594" t="str">
            <v>PIPE</v>
          </cell>
          <cell r="F5594">
            <v>1</v>
          </cell>
          <cell r="G5594" t="str">
            <v>CB100408000200</v>
          </cell>
          <cell r="H5594">
            <v>2</v>
          </cell>
          <cell r="I5594" t="str">
            <v>--</v>
          </cell>
          <cell r="J5594" t="str">
            <v>-</v>
          </cell>
          <cell r="K5594">
            <v>85</v>
          </cell>
        </row>
        <row r="5595">
          <cell r="A5595" t="str">
            <v>UT</v>
          </cell>
          <cell r="B5595" t="str">
            <v>A5C</v>
          </cell>
          <cell r="C5595" t="str">
            <v>P</v>
          </cell>
          <cell r="D5595" t="str">
            <v>HOLD1</v>
          </cell>
          <cell r="E5595" t="str">
            <v>PIPE</v>
          </cell>
          <cell r="F5595">
            <v>1</v>
          </cell>
          <cell r="G5595" t="str">
            <v>CB100408000200</v>
          </cell>
          <cell r="H5595">
            <v>2</v>
          </cell>
          <cell r="I5595" t="str">
            <v>--</v>
          </cell>
          <cell r="J5595" t="str">
            <v>-</v>
          </cell>
          <cell r="K5595">
            <v>142</v>
          </cell>
        </row>
        <row r="5596">
          <cell r="A5596" t="str">
            <v>UT</v>
          </cell>
          <cell r="B5596" t="str">
            <v>A5C</v>
          </cell>
          <cell r="C5596" t="str">
            <v>P</v>
          </cell>
          <cell r="D5596" t="str">
            <v>HOLD2</v>
          </cell>
          <cell r="E5596" t="str">
            <v>PIPE</v>
          </cell>
          <cell r="F5596">
            <v>1</v>
          </cell>
          <cell r="G5596" t="str">
            <v>CB100408000200</v>
          </cell>
          <cell r="H5596">
            <v>2</v>
          </cell>
          <cell r="I5596" t="str">
            <v>--</v>
          </cell>
          <cell r="J5596" t="str">
            <v>-</v>
          </cell>
          <cell r="K5596">
            <v>312</v>
          </cell>
        </row>
        <row r="5597">
          <cell r="A5597" t="str">
            <v>UT</v>
          </cell>
          <cell r="B5597" t="str">
            <v>B2C</v>
          </cell>
          <cell r="C5597" t="str">
            <v>SH</v>
          </cell>
          <cell r="D5597" t="str">
            <v>001</v>
          </cell>
          <cell r="E5597" t="str">
            <v>PIPE</v>
          </cell>
          <cell r="F5597">
            <v>1</v>
          </cell>
          <cell r="G5597" t="str">
            <v>CB100404000300</v>
          </cell>
          <cell r="H5597">
            <v>3</v>
          </cell>
          <cell r="I5597" t="str">
            <v>--</v>
          </cell>
          <cell r="J5597" t="str">
            <v>-</v>
          </cell>
          <cell r="K5597">
            <v>40</v>
          </cell>
        </row>
        <row r="5598">
          <cell r="A5598" t="str">
            <v>UT</v>
          </cell>
          <cell r="B5598" t="str">
            <v>B2C</v>
          </cell>
          <cell r="C5598" t="str">
            <v>SH</v>
          </cell>
          <cell r="D5598" t="str">
            <v>001</v>
          </cell>
          <cell r="E5598" t="str">
            <v>PIPE</v>
          </cell>
          <cell r="F5598">
            <v>1</v>
          </cell>
          <cell r="G5598" t="str">
            <v>CB100404001200</v>
          </cell>
          <cell r="H5598">
            <v>12</v>
          </cell>
          <cell r="I5598" t="str">
            <v>--</v>
          </cell>
          <cell r="J5598" t="str">
            <v>-</v>
          </cell>
          <cell r="K5598">
            <v>230</v>
          </cell>
        </row>
        <row r="5599">
          <cell r="A5599" t="str">
            <v>UT</v>
          </cell>
          <cell r="B5599" t="str">
            <v>A5C</v>
          </cell>
          <cell r="C5599" t="str">
            <v>WW</v>
          </cell>
          <cell r="D5599" t="str">
            <v>002</v>
          </cell>
          <cell r="E5599" t="str">
            <v>PIPE</v>
          </cell>
          <cell r="F5599">
            <v>1</v>
          </cell>
          <cell r="G5599" t="str">
            <v>CB100404001200</v>
          </cell>
          <cell r="H5599">
            <v>12</v>
          </cell>
          <cell r="I5599" t="str">
            <v>--</v>
          </cell>
          <cell r="J5599" t="str">
            <v>-</v>
          </cell>
          <cell r="K5599">
            <v>10</v>
          </cell>
        </row>
        <row r="5600">
          <cell r="A5600" t="str">
            <v>UT</v>
          </cell>
          <cell r="B5600" t="str">
            <v>A5C</v>
          </cell>
          <cell r="C5600" t="str">
            <v>WW</v>
          </cell>
          <cell r="D5600" t="str">
            <v>002</v>
          </cell>
          <cell r="E5600" t="str">
            <v>PIPE</v>
          </cell>
          <cell r="F5600">
            <v>1</v>
          </cell>
          <cell r="G5600" t="str">
            <v>CB100404002000</v>
          </cell>
          <cell r="H5600">
            <v>20</v>
          </cell>
          <cell r="I5600" t="str">
            <v>--</v>
          </cell>
          <cell r="J5600" t="str">
            <v>-</v>
          </cell>
          <cell r="K5600">
            <v>348</v>
          </cell>
        </row>
        <row r="5601">
          <cell r="A5601" t="str">
            <v>UT</v>
          </cell>
          <cell r="B5601" t="str">
            <v>B2C</v>
          </cell>
          <cell r="C5601" t="str">
            <v>SH</v>
          </cell>
          <cell r="D5601" t="str">
            <v>001</v>
          </cell>
          <cell r="E5601" t="str">
            <v>PIPE</v>
          </cell>
          <cell r="F5601">
            <v>1</v>
          </cell>
          <cell r="G5601" t="str">
            <v>CB100404000400</v>
          </cell>
          <cell r="H5601">
            <v>4</v>
          </cell>
          <cell r="I5601" t="str">
            <v>--</v>
          </cell>
          <cell r="J5601" t="str">
            <v>-</v>
          </cell>
          <cell r="K5601">
            <v>41.5</v>
          </cell>
        </row>
        <row r="5602">
          <cell r="A5602" t="str">
            <v>UT</v>
          </cell>
          <cell r="B5602" t="str">
            <v>CA307</v>
          </cell>
          <cell r="C5602" t="str">
            <v>P</v>
          </cell>
          <cell r="D5602" t="str">
            <v>HOLD7</v>
          </cell>
          <cell r="E5602" t="str">
            <v>PIPE</v>
          </cell>
          <cell r="F5602">
            <v>1</v>
          </cell>
          <cell r="G5602" t="str">
            <v>CB100405000400</v>
          </cell>
          <cell r="H5602">
            <v>4</v>
          </cell>
          <cell r="I5602" t="str">
            <v>--</v>
          </cell>
          <cell r="J5602" t="str">
            <v>-</v>
          </cell>
          <cell r="K5602">
            <v>43</v>
          </cell>
        </row>
        <row r="5603">
          <cell r="A5603" t="str">
            <v>UT</v>
          </cell>
          <cell r="B5603" t="str">
            <v>A5C</v>
          </cell>
          <cell r="C5603" t="str">
            <v>P</v>
          </cell>
          <cell r="D5603" t="str">
            <v>HOLD6</v>
          </cell>
          <cell r="E5603" t="str">
            <v>PIPE</v>
          </cell>
          <cell r="F5603">
            <v>1</v>
          </cell>
          <cell r="G5603" t="str">
            <v>CB100404000400</v>
          </cell>
          <cell r="H5603">
            <v>4</v>
          </cell>
          <cell r="I5603" t="str">
            <v>--</v>
          </cell>
          <cell r="J5603" t="str">
            <v>-</v>
          </cell>
          <cell r="K5603">
            <v>83</v>
          </cell>
        </row>
        <row r="5604">
          <cell r="A5604" t="str">
            <v>UT</v>
          </cell>
          <cell r="B5604" t="str">
            <v>A5C</v>
          </cell>
          <cell r="C5604" t="str">
            <v>P</v>
          </cell>
          <cell r="D5604" t="str">
            <v>HOLD5</v>
          </cell>
          <cell r="E5604" t="str">
            <v>PIPE</v>
          </cell>
          <cell r="F5604">
            <v>1</v>
          </cell>
          <cell r="G5604" t="str">
            <v>CB100404000400</v>
          </cell>
          <cell r="H5604">
            <v>4</v>
          </cell>
          <cell r="I5604" t="str">
            <v>--</v>
          </cell>
          <cell r="J5604" t="str">
            <v>-</v>
          </cell>
          <cell r="K5604">
            <v>228</v>
          </cell>
        </row>
        <row r="5605">
          <cell r="A5605" t="str">
            <v>UT</v>
          </cell>
          <cell r="B5605" t="str">
            <v>A5C</v>
          </cell>
          <cell r="C5605" t="str">
            <v>WW</v>
          </cell>
          <cell r="D5605" t="str">
            <v>003</v>
          </cell>
          <cell r="E5605" t="str">
            <v>PIPE</v>
          </cell>
          <cell r="F5605">
            <v>1</v>
          </cell>
          <cell r="G5605" t="str">
            <v>CB100404000400</v>
          </cell>
          <cell r="H5605">
            <v>4</v>
          </cell>
          <cell r="I5605" t="str">
            <v>--</v>
          </cell>
          <cell r="J5605" t="str">
            <v>-</v>
          </cell>
          <cell r="K5605">
            <v>144</v>
          </cell>
        </row>
        <row r="5606">
          <cell r="A5606" t="str">
            <v>UT</v>
          </cell>
          <cell r="B5606" t="str">
            <v>B2C</v>
          </cell>
          <cell r="C5606" t="str">
            <v>SH</v>
          </cell>
          <cell r="D5606" t="str">
            <v>001</v>
          </cell>
          <cell r="E5606" t="str">
            <v>PIPE</v>
          </cell>
          <cell r="F5606">
            <v>1</v>
          </cell>
          <cell r="G5606" t="str">
            <v>CB100404000600</v>
          </cell>
          <cell r="H5606">
            <v>6</v>
          </cell>
          <cell r="I5606" t="str">
            <v>--</v>
          </cell>
          <cell r="J5606" t="str">
            <v>-</v>
          </cell>
          <cell r="K5606">
            <v>2</v>
          </cell>
        </row>
        <row r="5607">
          <cell r="A5607" t="str">
            <v>UT</v>
          </cell>
          <cell r="B5607" t="str">
            <v>CA307</v>
          </cell>
          <cell r="C5607" t="str">
            <v>HCLG</v>
          </cell>
          <cell r="D5607" t="str">
            <v>1100</v>
          </cell>
          <cell r="E5607" t="str">
            <v>PIPE</v>
          </cell>
          <cell r="F5607">
            <v>1</v>
          </cell>
          <cell r="G5607" t="str">
            <v>CB100405000600</v>
          </cell>
          <cell r="H5607">
            <v>6</v>
          </cell>
          <cell r="I5607" t="str">
            <v>--</v>
          </cell>
          <cell r="J5607" t="str">
            <v>-</v>
          </cell>
          <cell r="K5607">
            <v>97</v>
          </cell>
        </row>
        <row r="5608">
          <cell r="A5608" t="str">
            <v>UT</v>
          </cell>
          <cell r="B5608" t="str">
            <v>A5C</v>
          </cell>
          <cell r="C5608" t="str">
            <v>WW</v>
          </cell>
          <cell r="D5608" t="str">
            <v>002</v>
          </cell>
          <cell r="E5608" t="str">
            <v>PIPE</v>
          </cell>
          <cell r="F5608">
            <v>1</v>
          </cell>
          <cell r="G5608" t="str">
            <v>CB100404000600</v>
          </cell>
          <cell r="H5608">
            <v>6</v>
          </cell>
          <cell r="I5608" t="str">
            <v>--</v>
          </cell>
          <cell r="J5608" t="str">
            <v>-</v>
          </cell>
          <cell r="K5608">
            <v>10</v>
          </cell>
        </row>
        <row r="5609">
          <cell r="A5609" t="str">
            <v>UT</v>
          </cell>
          <cell r="B5609" t="str">
            <v>B2C</v>
          </cell>
          <cell r="C5609" t="str">
            <v>SH</v>
          </cell>
          <cell r="D5609" t="str">
            <v>001</v>
          </cell>
          <cell r="E5609" t="str">
            <v>PIPE</v>
          </cell>
          <cell r="F5609">
            <v>1</v>
          </cell>
          <cell r="G5609" t="str">
            <v>CB100404000800</v>
          </cell>
          <cell r="H5609">
            <v>8</v>
          </cell>
          <cell r="I5609" t="str">
            <v>--</v>
          </cell>
          <cell r="J5609" t="str">
            <v>-</v>
          </cell>
          <cell r="K5609">
            <v>10</v>
          </cell>
        </row>
        <row r="5610">
          <cell r="A5610" t="str">
            <v>UT</v>
          </cell>
          <cell r="B5610" t="str">
            <v>A5C</v>
          </cell>
          <cell r="C5610" t="str">
            <v>WW</v>
          </cell>
          <cell r="D5610" t="str">
            <v>002</v>
          </cell>
          <cell r="E5610" t="str">
            <v>PIPE</v>
          </cell>
          <cell r="F5610">
            <v>1</v>
          </cell>
          <cell r="G5610" t="str">
            <v>CB100404000800</v>
          </cell>
          <cell r="H5610">
            <v>8</v>
          </cell>
          <cell r="I5610" t="str">
            <v>--</v>
          </cell>
          <cell r="J5610" t="str">
            <v>-</v>
          </cell>
          <cell r="K5610">
            <v>20</v>
          </cell>
        </row>
        <row r="5611">
          <cell r="A5611" t="str">
            <v>UT</v>
          </cell>
          <cell r="B5611" t="str">
            <v>B2C</v>
          </cell>
          <cell r="C5611" t="str">
            <v>SCL</v>
          </cell>
          <cell r="D5611" t="str">
            <v>002</v>
          </cell>
          <cell r="E5611" t="str">
            <v>NPL</v>
          </cell>
          <cell r="F5611">
            <v>2</v>
          </cell>
          <cell r="G5611" t="str">
            <v>CB132308000TVR</v>
          </cell>
          <cell r="H5611">
            <v>0.75</v>
          </cell>
          <cell r="I5611" t="str">
            <v>75mm</v>
          </cell>
          <cell r="J5611" t="str">
            <v>-</v>
          </cell>
          <cell r="K5611">
            <v>3</v>
          </cell>
        </row>
        <row r="5612">
          <cell r="A5612" t="str">
            <v>UT</v>
          </cell>
          <cell r="B5612" t="str">
            <v>B2C</v>
          </cell>
          <cell r="C5612" t="str">
            <v>SCL</v>
          </cell>
          <cell r="D5612" t="str">
            <v>002</v>
          </cell>
          <cell r="E5612" t="str">
            <v>TEE</v>
          </cell>
          <cell r="F5612">
            <v>2</v>
          </cell>
          <cell r="G5612" t="str">
            <v>CB400300000T00</v>
          </cell>
          <cell r="H5612">
            <v>0.75</v>
          </cell>
          <cell r="I5612" t="str">
            <v>--</v>
          </cell>
          <cell r="J5612" t="str">
            <v>-</v>
          </cell>
          <cell r="K5612">
            <v>6</v>
          </cell>
        </row>
        <row r="5613">
          <cell r="A5613" t="str">
            <v>UT</v>
          </cell>
          <cell r="B5613" t="str">
            <v>B2C</v>
          </cell>
          <cell r="C5613" t="str">
            <v>SCL</v>
          </cell>
          <cell r="D5613" t="str">
            <v>002</v>
          </cell>
          <cell r="E5613" t="str">
            <v>90 ELL</v>
          </cell>
          <cell r="F5613">
            <v>2</v>
          </cell>
          <cell r="G5613" t="str">
            <v>CB400100000T00</v>
          </cell>
          <cell r="H5613">
            <v>0.75</v>
          </cell>
          <cell r="I5613" t="str">
            <v>--</v>
          </cell>
          <cell r="J5613" t="str">
            <v>-</v>
          </cell>
          <cell r="K5613">
            <v>8</v>
          </cell>
        </row>
        <row r="5614">
          <cell r="A5614" t="str">
            <v>UT</v>
          </cell>
          <cell r="B5614" t="str">
            <v>B2C</v>
          </cell>
          <cell r="C5614" t="str">
            <v>SH</v>
          </cell>
          <cell r="D5614" t="str">
            <v>001</v>
          </cell>
          <cell r="E5614" t="str">
            <v>NPL</v>
          </cell>
          <cell r="F5614">
            <v>2</v>
          </cell>
          <cell r="G5614" t="str">
            <v>CB132308000TVR</v>
          </cell>
          <cell r="H5614">
            <v>0.75</v>
          </cell>
          <cell r="I5614" t="str">
            <v>75mm</v>
          </cell>
          <cell r="J5614" t="str">
            <v>-</v>
          </cell>
          <cell r="K5614">
            <v>12</v>
          </cell>
        </row>
        <row r="5615">
          <cell r="A5615" t="str">
            <v>UT</v>
          </cell>
          <cell r="B5615" t="str">
            <v>B2C</v>
          </cell>
          <cell r="C5615" t="str">
            <v>SCL</v>
          </cell>
          <cell r="D5615" t="str">
            <v>002</v>
          </cell>
          <cell r="E5615" t="str">
            <v>90 ELL</v>
          </cell>
          <cell r="F5615">
            <v>2</v>
          </cell>
          <cell r="G5615" t="str">
            <v>CB400100000T00</v>
          </cell>
          <cell r="H5615">
            <v>0.75</v>
          </cell>
          <cell r="I5615" t="str">
            <v>--</v>
          </cell>
          <cell r="J5615">
            <v>8</v>
          </cell>
          <cell r="K5615" t="str">
            <v>-</v>
          </cell>
        </row>
        <row r="5616">
          <cell r="A5616" t="str">
            <v>UT</v>
          </cell>
          <cell r="B5616" t="str">
            <v>B2C</v>
          </cell>
          <cell r="C5616" t="str">
            <v>SCL</v>
          </cell>
          <cell r="D5616" t="str">
            <v>002</v>
          </cell>
          <cell r="E5616" t="str">
            <v>NPL</v>
          </cell>
          <cell r="F5616">
            <v>2</v>
          </cell>
          <cell r="G5616" t="str">
            <v>CB132308000TVR</v>
          </cell>
          <cell r="H5616">
            <v>0.75</v>
          </cell>
          <cell r="I5616" t="str">
            <v>75mm</v>
          </cell>
          <cell r="J5616">
            <v>3</v>
          </cell>
          <cell r="K5616" t="str">
            <v>-</v>
          </cell>
        </row>
        <row r="5617">
          <cell r="A5617" t="str">
            <v>UT</v>
          </cell>
          <cell r="B5617" t="str">
            <v>B2C</v>
          </cell>
          <cell r="C5617" t="str">
            <v>SH</v>
          </cell>
          <cell r="D5617" t="str">
            <v>001</v>
          </cell>
          <cell r="E5617" t="str">
            <v>NPL</v>
          </cell>
          <cell r="F5617">
            <v>2</v>
          </cell>
          <cell r="G5617" t="str">
            <v>CB132308000TVR</v>
          </cell>
          <cell r="H5617">
            <v>0.75</v>
          </cell>
          <cell r="I5617" t="str">
            <v>75mm</v>
          </cell>
          <cell r="J5617">
            <v>12</v>
          </cell>
          <cell r="K5617" t="str">
            <v>-</v>
          </cell>
        </row>
        <row r="5618">
          <cell r="A5618" t="str">
            <v>UT</v>
          </cell>
          <cell r="B5618" t="str">
            <v>B2C</v>
          </cell>
          <cell r="C5618" t="str">
            <v>SCL</v>
          </cell>
          <cell r="D5618" t="str">
            <v>002</v>
          </cell>
          <cell r="E5618" t="str">
            <v>TEE</v>
          </cell>
          <cell r="F5618">
            <v>2</v>
          </cell>
          <cell r="G5618" t="str">
            <v>CB400300000T00</v>
          </cell>
          <cell r="H5618">
            <v>0.75</v>
          </cell>
          <cell r="I5618" t="str">
            <v>--</v>
          </cell>
          <cell r="J5618">
            <v>6</v>
          </cell>
          <cell r="K5618" t="str">
            <v>-</v>
          </cell>
        </row>
        <row r="5619">
          <cell r="A5619" t="str">
            <v>UT</v>
          </cell>
          <cell r="B5619" t="str">
            <v>CA307</v>
          </cell>
          <cell r="C5619" t="str">
            <v>P</v>
          </cell>
          <cell r="D5619" t="str">
            <v>HOLD7</v>
          </cell>
          <cell r="E5619" t="str">
            <v>CAP</v>
          </cell>
          <cell r="F5619">
            <v>2</v>
          </cell>
          <cell r="G5619" t="str">
            <v>CB520700000T00</v>
          </cell>
          <cell r="H5619">
            <v>0.75</v>
          </cell>
          <cell r="I5619" t="str">
            <v>--</v>
          </cell>
          <cell r="K5619">
            <v>1</v>
          </cell>
        </row>
        <row r="5620">
          <cell r="A5620" t="str">
            <v>UT</v>
          </cell>
          <cell r="B5620" t="str">
            <v>CA307</v>
          </cell>
          <cell r="C5620" t="str">
            <v>P</v>
          </cell>
          <cell r="D5620" t="str">
            <v>HOLD7</v>
          </cell>
          <cell r="E5620" t="str">
            <v>CAP</v>
          </cell>
          <cell r="F5620">
            <v>2</v>
          </cell>
          <cell r="G5620" t="str">
            <v>CB520700000T00</v>
          </cell>
          <cell r="H5620">
            <v>0.75</v>
          </cell>
          <cell r="I5620" t="str">
            <v>--</v>
          </cell>
          <cell r="J5620">
            <v>1</v>
          </cell>
          <cell r="K5620" t="str">
            <v>-</v>
          </cell>
        </row>
        <row r="5621">
          <cell r="A5621" t="str">
            <v>UT</v>
          </cell>
          <cell r="B5621" t="str">
            <v>CA307</v>
          </cell>
          <cell r="C5621" t="str">
            <v>HCLG</v>
          </cell>
          <cell r="D5621" t="str">
            <v>1100</v>
          </cell>
          <cell r="E5621" t="str">
            <v>CAP</v>
          </cell>
          <cell r="F5621">
            <v>2</v>
          </cell>
          <cell r="G5621" t="str">
            <v>CB520700000T00</v>
          </cell>
          <cell r="H5621">
            <v>0.75</v>
          </cell>
          <cell r="I5621" t="str">
            <v>--</v>
          </cell>
          <cell r="J5621" t="str">
            <v>-</v>
          </cell>
          <cell r="K5621">
            <v>1</v>
          </cell>
        </row>
        <row r="5622">
          <cell r="A5622" t="str">
            <v>UT</v>
          </cell>
          <cell r="B5622" t="str">
            <v>A5C</v>
          </cell>
          <cell r="C5622" t="str">
            <v>P</v>
          </cell>
          <cell r="D5622" t="str">
            <v>HOLD4</v>
          </cell>
          <cell r="E5622" t="str">
            <v>CAP</v>
          </cell>
          <cell r="F5622">
            <v>2</v>
          </cell>
          <cell r="G5622" t="str">
            <v>CB520700000T00</v>
          </cell>
          <cell r="H5622">
            <v>0.75</v>
          </cell>
          <cell r="I5622" t="str">
            <v>--</v>
          </cell>
          <cell r="J5622" t="str">
            <v>-</v>
          </cell>
          <cell r="K5622">
            <v>1</v>
          </cell>
        </row>
        <row r="5623">
          <cell r="A5623" t="str">
            <v>UT</v>
          </cell>
          <cell r="B5623" t="str">
            <v>A5C</v>
          </cell>
          <cell r="C5623" t="str">
            <v>P</v>
          </cell>
          <cell r="D5623" t="str">
            <v>HOLD6</v>
          </cell>
          <cell r="E5623" t="str">
            <v>CAP</v>
          </cell>
          <cell r="F5623">
            <v>2</v>
          </cell>
          <cell r="G5623" t="str">
            <v>CB520700000T00</v>
          </cell>
          <cell r="H5623">
            <v>0.75</v>
          </cell>
          <cell r="I5623" t="str">
            <v>--</v>
          </cell>
          <cell r="J5623" t="str">
            <v>-</v>
          </cell>
          <cell r="K5623">
            <v>1</v>
          </cell>
        </row>
        <row r="5624">
          <cell r="A5624" t="str">
            <v>UT</v>
          </cell>
          <cell r="B5624" t="str">
            <v>A5C</v>
          </cell>
          <cell r="C5624" t="str">
            <v>P</v>
          </cell>
          <cell r="D5624" t="str">
            <v>HOLD1</v>
          </cell>
          <cell r="E5624" t="str">
            <v>CAP</v>
          </cell>
          <cell r="F5624">
            <v>2</v>
          </cell>
          <cell r="G5624" t="str">
            <v>CB520700000T00</v>
          </cell>
          <cell r="H5624">
            <v>0.75</v>
          </cell>
          <cell r="I5624" t="str">
            <v>--</v>
          </cell>
          <cell r="J5624" t="str">
            <v>-</v>
          </cell>
          <cell r="K5624">
            <v>2</v>
          </cell>
        </row>
        <row r="5625">
          <cell r="A5625" t="str">
            <v>UT</v>
          </cell>
          <cell r="B5625" t="str">
            <v>A5C</v>
          </cell>
          <cell r="C5625" t="str">
            <v>P</v>
          </cell>
          <cell r="D5625" t="str">
            <v>HOLD3</v>
          </cell>
          <cell r="E5625" t="str">
            <v>CAP</v>
          </cell>
          <cell r="F5625">
            <v>2</v>
          </cell>
          <cell r="G5625" t="str">
            <v>CB520700000T00</v>
          </cell>
          <cell r="H5625">
            <v>0.75</v>
          </cell>
          <cell r="I5625" t="str">
            <v>--</v>
          </cell>
          <cell r="J5625" t="str">
            <v>-</v>
          </cell>
          <cell r="K5625">
            <v>2</v>
          </cell>
        </row>
        <row r="5626">
          <cell r="A5626" t="str">
            <v>UT</v>
          </cell>
          <cell r="B5626" t="str">
            <v>A5C</v>
          </cell>
          <cell r="C5626" t="str">
            <v>P</v>
          </cell>
          <cell r="D5626" t="str">
            <v>HOLD2</v>
          </cell>
          <cell r="E5626" t="str">
            <v>CAP</v>
          </cell>
          <cell r="F5626">
            <v>2</v>
          </cell>
          <cell r="G5626" t="str">
            <v>CB520700000T00</v>
          </cell>
          <cell r="H5626">
            <v>0.75</v>
          </cell>
          <cell r="I5626" t="str">
            <v>--</v>
          </cell>
          <cell r="J5626" t="str">
            <v>-</v>
          </cell>
          <cell r="K5626">
            <v>4</v>
          </cell>
        </row>
        <row r="5627">
          <cell r="A5627" t="str">
            <v>UT</v>
          </cell>
          <cell r="B5627" t="str">
            <v>A5C</v>
          </cell>
          <cell r="C5627" t="str">
            <v>P</v>
          </cell>
          <cell r="D5627" t="str">
            <v>HOLD5</v>
          </cell>
          <cell r="E5627" t="str">
            <v>CAP</v>
          </cell>
          <cell r="F5627">
            <v>2</v>
          </cell>
          <cell r="G5627" t="str">
            <v>CB520700000T00</v>
          </cell>
          <cell r="H5627">
            <v>0.75</v>
          </cell>
          <cell r="I5627" t="str">
            <v>--</v>
          </cell>
          <cell r="J5627" t="str">
            <v>-</v>
          </cell>
          <cell r="K5627">
            <v>4</v>
          </cell>
        </row>
        <row r="5628">
          <cell r="A5628" t="str">
            <v>UT</v>
          </cell>
          <cell r="B5628" t="str">
            <v>CA307</v>
          </cell>
          <cell r="C5628" t="str">
            <v>HCLG</v>
          </cell>
          <cell r="D5628" t="str">
            <v>1100</v>
          </cell>
          <cell r="E5628" t="str">
            <v>CAP</v>
          </cell>
          <cell r="F5628">
            <v>2</v>
          </cell>
          <cell r="G5628" t="str">
            <v>CB520700000T00</v>
          </cell>
          <cell r="H5628">
            <v>0.75</v>
          </cell>
          <cell r="I5628" t="str">
            <v>--</v>
          </cell>
          <cell r="J5628">
            <v>1</v>
          </cell>
          <cell r="K5628" t="str">
            <v>-</v>
          </cell>
        </row>
        <row r="5629">
          <cell r="A5629" t="str">
            <v>UT</v>
          </cell>
          <cell r="B5629" t="str">
            <v>A5C</v>
          </cell>
          <cell r="C5629" t="str">
            <v>P</v>
          </cell>
          <cell r="D5629" t="str">
            <v>HOLD1</v>
          </cell>
          <cell r="E5629" t="str">
            <v>CAP</v>
          </cell>
          <cell r="F5629">
            <v>2</v>
          </cell>
          <cell r="G5629" t="str">
            <v>CB520700000T00</v>
          </cell>
          <cell r="H5629">
            <v>0.75</v>
          </cell>
          <cell r="I5629" t="str">
            <v>--</v>
          </cell>
          <cell r="J5629">
            <v>2</v>
          </cell>
          <cell r="K5629" t="str">
            <v>-</v>
          </cell>
        </row>
        <row r="5630">
          <cell r="A5630" t="str">
            <v>UT</v>
          </cell>
          <cell r="B5630" t="str">
            <v>A5C</v>
          </cell>
          <cell r="C5630" t="str">
            <v>P</v>
          </cell>
          <cell r="D5630" t="str">
            <v>HOLD2</v>
          </cell>
          <cell r="E5630" t="str">
            <v>CAP</v>
          </cell>
          <cell r="F5630">
            <v>2</v>
          </cell>
          <cell r="G5630" t="str">
            <v>CB520700000T00</v>
          </cell>
          <cell r="H5630">
            <v>0.75</v>
          </cell>
          <cell r="I5630" t="str">
            <v>--</v>
          </cell>
          <cell r="J5630">
            <v>4</v>
          </cell>
          <cell r="K5630" t="str">
            <v>-</v>
          </cell>
        </row>
        <row r="5631">
          <cell r="A5631" t="str">
            <v>UT</v>
          </cell>
          <cell r="B5631" t="str">
            <v>A5C</v>
          </cell>
          <cell r="C5631" t="str">
            <v>P</v>
          </cell>
          <cell r="D5631" t="str">
            <v>HOLD3</v>
          </cell>
          <cell r="E5631" t="str">
            <v>CAP</v>
          </cell>
          <cell r="F5631">
            <v>2</v>
          </cell>
          <cell r="G5631" t="str">
            <v>CB520700000T00</v>
          </cell>
          <cell r="H5631">
            <v>0.75</v>
          </cell>
          <cell r="I5631" t="str">
            <v>--</v>
          </cell>
          <cell r="J5631">
            <v>2</v>
          </cell>
          <cell r="K5631" t="str">
            <v>-</v>
          </cell>
        </row>
        <row r="5632">
          <cell r="A5632" t="str">
            <v>UT</v>
          </cell>
          <cell r="B5632" t="str">
            <v>A5C</v>
          </cell>
          <cell r="C5632" t="str">
            <v>P</v>
          </cell>
          <cell r="D5632" t="str">
            <v>HOLD4</v>
          </cell>
          <cell r="E5632" t="str">
            <v>CAP</v>
          </cell>
          <cell r="F5632">
            <v>2</v>
          </cell>
          <cell r="G5632" t="str">
            <v>CB520700000T00</v>
          </cell>
          <cell r="H5632">
            <v>0.75</v>
          </cell>
          <cell r="I5632" t="str">
            <v>--</v>
          </cell>
          <cell r="J5632">
            <v>1</v>
          </cell>
          <cell r="K5632" t="str">
            <v>-</v>
          </cell>
        </row>
        <row r="5633">
          <cell r="A5633" t="str">
            <v>UT</v>
          </cell>
          <cell r="B5633" t="str">
            <v>A5C</v>
          </cell>
          <cell r="C5633" t="str">
            <v>P</v>
          </cell>
          <cell r="D5633" t="str">
            <v>HOLD5</v>
          </cell>
          <cell r="E5633" t="str">
            <v>CAP</v>
          </cell>
          <cell r="F5633">
            <v>2</v>
          </cell>
          <cell r="G5633" t="str">
            <v>CB520700000T00</v>
          </cell>
          <cell r="H5633">
            <v>0.75</v>
          </cell>
          <cell r="I5633" t="str">
            <v>--</v>
          </cell>
          <cell r="J5633">
            <v>4</v>
          </cell>
          <cell r="K5633" t="str">
            <v>-</v>
          </cell>
        </row>
        <row r="5634">
          <cell r="A5634" t="str">
            <v>UT</v>
          </cell>
          <cell r="B5634" t="str">
            <v>A5C</v>
          </cell>
          <cell r="C5634" t="str">
            <v>P</v>
          </cell>
          <cell r="D5634" t="str">
            <v>HOLD6</v>
          </cell>
          <cell r="E5634" t="str">
            <v>CAP</v>
          </cell>
          <cell r="F5634">
            <v>2</v>
          </cell>
          <cell r="G5634" t="str">
            <v>CB520700000T00</v>
          </cell>
          <cell r="H5634">
            <v>0.75</v>
          </cell>
          <cell r="I5634" t="str">
            <v>--</v>
          </cell>
          <cell r="J5634">
            <v>1</v>
          </cell>
          <cell r="K5634" t="str">
            <v>-</v>
          </cell>
        </row>
        <row r="5635">
          <cell r="A5635" t="str">
            <v>UT</v>
          </cell>
          <cell r="B5635" t="str">
            <v>A5C</v>
          </cell>
          <cell r="C5635" t="str">
            <v>WW</v>
          </cell>
          <cell r="D5635" t="str">
            <v>003</v>
          </cell>
          <cell r="E5635" t="str">
            <v>NPL</v>
          </cell>
          <cell r="F5635">
            <v>2</v>
          </cell>
          <cell r="G5635" t="str">
            <v>CB132308000TVR</v>
          </cell>
          <cell r="H5635">
            <v>0.75</v>
          </cell>
          <cell r="I5635" t="str">
            <v>75mm</v>
          </cell>
          <cell r="J5635" t="str">
            <v>-</v>
          </cell>
          <cell r="K5635">
            <v>1</v>
          </cell>
        </row>
        <row r="5636">
          <cell r="A5636" t="str">
            <v>UT</v>
          </cell>
          <cell r="B5636" t="str">
            <v>A5C</v>
          </cell>
          <cell r="C5636" t="str">
            <v>WW</v>
          </cell>
          <cell r="D5636" t="str">
            <v>002</v>
          </cell>
          <cell r="E5636" t="str">
            <v>NPL</v>
          </cell>
          <cell r="F5636">
            <v>2</v>
          </cell>
          <cell r="G5636" t="str">
            <v>CB132108000TVR</v>
          </cell>
          <cell r="H5636">
            <v>0.75</v>
          </cell>
          <cell r="I5636" t="str">
            <v>75mm</v>
          </cell>
          <cell r="J5636" t="str">
            <v>-</v>
          </cell>
          <cell r="K5636">
            <v>4</v>
          </cell>
        </row>
        <row r="5637">
          <cell r="A5637" t="str">
            <v>UT</v>
          </cell>
          <cell r="B5637" t="str">
            <v>A5C</v>
          </cell>
          <cell r="C5637" t="str">
            <v>WW</v>
          </cell>
          <cell r="D5637" t="str">
            <v>002</v>
          </cell>
          <cell r="E5637" t="str">
            <v>NPL</v>
          </cell>
          <cell r="F5637">
            <v>2</v>
          </cell>
          <cell r="G5637" t="str">
            <v>CB132108000TVR</v>
          </cell>
          <cell r="H5637">
            <v>0.75</v>
          </cell>
          <cell r="I5637" t="str">
            <v>75mm</v>
          </cell>
          <cell r="J5637">
            <v>4</v>
          </cell>
          <cell r="K5637" t="str">
            <v>-</v>
          </cell>
        </row>
        <row r="5638">
          <cell r="A5638" t="str">
            <v>UT</v>
          </cell>
          <cell r="B5638" t="str">
            <v>A5C</v>
          </cell>
          <cell r="C5638" t="str">
            <v>WW</v>
          </cell>
          <cell r="D5638" t="str">
            <v>003</v>
          </cell>
          <cell r="E5638" t="str">
            <v>NPL</v>
          </cell>
          <cell r="F5638">
            <v>2</v>
          </cell>
          <cell r="G5638" t="str">
            <v>CB132308000TVR</v>
          </cell>
          <cell r="H5638">
            <v>0.75</v>
          </cell>
          <cell r="I5638" t="str">
            <v>75mm</v>
          </cell>
          <cell r="J5638">
            <v>1</v>
          </cell>
          <cell r="K5638" t="str">
            <v>-</v>
          </cell>
        </row>
        <row r="5639">
          <cell r="A5639" t="str">
            <v>UT</v>
          </cell>
          <cell r="B5639" t="str">
            <v>A5C</v>
          </cell>
          <cell r="C5639" t="str">
            <v>P</v>
          </cell>
          <cell r="D5639" t="str">
            <v>HOLD4</v>
          </cell>
          <cell r="E5639" t="str">
            <v>SOL</v>
          </cell>
          <cell r="F5639">
            <v>2</v>
          </cell>
          <cell r="G5639" t="str">
            <v>CB39020000020T</v>
          </cell>
          <cell r="H5639">
            <v>2</v>
          </cell>
          <cell r="I5639">
            <v>0.75</v>
          </cell>
          <cell r="J5639" t="str">
            <v>-</v>
          </cell>
          <cell r="K5639">
            <v>1</v>
          </cell>
        </row>
        <row r="5640">
          <cell r="A5640" t="str">
            <v>UT</v>
          </cell>
          <cell r="B5640" t="str">
            <v>CA304</v>
          </cell>
          <cell r="C5640" t="str">
            <v>MC</v>
          </cell>
          <cell r="D5640" t="str">
            <v>12014</v>
          </cell>
          <cell r="E5640" t="str">
            <v>TOL</v>
          </cell>
          <cell r="F5640">
            <v>2</v>
          </cell>
          <cell r="G5640" t="str">
            <v>CB39030000020T</v>
          </cell>
          <cell r="H5640">
            <v>2</v>
          </cell>
          <cell r="I5640">
            <v>0.75</v>
          </cell>
          <cell r="J5640" t="str">
            <v>-</v>
          </cell>
          <cell r="K5640">
            <v>1</v>
          </cell>
        </row>
        <row r="5641">
          <cell r="A5641" t="str">
            <v>UT</v>
          </cell>
          <cell r="B5641" t="str">
            <v>A5C</v>
          </cell>
          <cell r="C5641" t="str">
            <v>P</v>
          </cell>
          <cell r="D5641" t="str">
            <v>23108</v>
          </cell>
          <cell r="E5641" t="str">
            <v>TOL</v>
          </cell>
          <cell r="F5641">
            <v>2</v>
          </cell>
          <cell r="G5641" t="str">
            <v>CB39030000020T</v>
          </cell>
          <cell r="H5641">
            <v>2</v>
          </cell>
          <cell r="I5641">
            <v>0.75</v>
          </cell>
          <cell r="J5641" t="str">
            <v>-</v>
          </cell>
          <cell r="K5641">
            <v>1</v>
          </cell>
        </row>
        <row r="5642">
          <cell r="A5642" t="str">
            <v>UT</v>
          </cell>
          <cell r="B5642" t="str">
            <v>A5C</v>
          </cell>
          <cell r="C5642" t="str">
            <v>P</v>
          </cell>
          <cell r="D5642" t="str">
            <v>23112</v>
          </cell>
          <cell r="E5642" t="str">
            <v>TOL</v>
          </cell>
          <cell r="F5642">
            <v>2</v>
          </cell>
          <cell r="G5642" t="str">
            <v>CB39030000020T</v>
          </cell>
          <cell r="H5642">
            <v>2</v>
          </cell>
          <cell r="I5642">
            <v>0.75</v>
          </cell>
          <cell r="J5642" t="str">
            <v>-</v>
          </cell>
          <cell r="K5642">
            <v>1</v>
          </cell>
        </row>
        <row r="5643">
          <cell r="A5643" t="str">
            <v>UT</v>
          </cell>
          <cell r="B5643" t="str">
            <v>A5C</v>
          </cell>
          <cell r="C5643" t="str">
            <v>P</v>
          </cell>
          <cell r="D5643" t="str">
            <v>23116</v>
          </cell>
          <cell r="E5643" t="str">
            <v>TOL</v>
          </cell>
          <cell r="F5643">
            <v>2</v>
          </cell>
          <cell r="G5643" t="str">
            <v>CB39030000020T</v>
          </cell>
          <cell r="H5643">
            <v>2</v>
          </cell>
          <cell r="I5643">
            <v>0.75</v>
          </cell>
          <cell r="J5643" t="str">
            <v>-</v>
          </cell>
          <cell r="K5643">
            <v>1</v>
          </cell>
        </row>
        <row r="5644">
          <cell r="A5644" t="str">
            <v>UT</v>
          </cell>
          <cell r="B5644" t="str">
            <v>A5C</v>
          </cell>
          <cell r="C5644" t="str">
            <v>P</v>
          </cell>
          <cell r="D5644" t="str">
            <v>23144</v>
          </cell>
          <cell r="E5644" t="str">
            <v>TOL</v>
          </cell>
          <cell r="F5644">
            <v>2</v>
          </cell>
          <cell r="G5644" t="str">
            <v>CB39030000020T</v>
          </cell>
          <cell r="H5644">
            <v>2</v>
          </cell>
          <cell r="I5644">
            <v>0.75</v>
          </cell>
          <cell r="J5644" t="str">
            <v>-</v>
          </cell>
          <cell r="K5644">
            <v>1</v>
          </cell>
        </row>
        <row r="5645">
          <cell r="A5645" t="str">
            <v>UT</v>
          </cell>
          <cell r="B5645" t="str">
            <v>A5C</v>
          </cell>
          <cell r="C5645" t="str">
            <v>P</v>
          </cell>
          <cell r="D5645" t="str">
            <v>23148</v>
          </cell>
          <cell r="E5645" t="str">
            <v>TOL</v>
          </cell>
          <cell r="F5645">
            <v>2</v>
          </cell>
          <cell r="G5645" t="str">
            <v>CB39030000020T</v>
          </cell>
          <cell r="H5645">
            <v>2</v>
          </cell>
          <cell r="I5645">
            <v>0.75</v>
          </cell>
          <cell r="J5645" t="str">
            <v>-</v>
          </cell>
          <cell r="K5645">
            <v>1</v>
          </cell>
        </row>
        <row r="5646">
          <cell r="A5646" t="str">
            <v>UT</v>
          </cell>
          <cell r="B5646" t="str">
            <v>A5C</v>
          </cell>
          <cell r="C5646" t="str">
            <v>P</v>
          </cell>
          <cell r="D5646" t="str">
            <v>23155</v>
          </cell>
          <cell r="E5646" t="str">
            <v>TOL</v>
          </cell>
          <cell r="F5646">
            <v>2</v>
          </cell>
          <cell r="G5646" t="str">
            <v>CB39030000020T</v>
          </cell>
          <cell r="H5646">
            <v>2</v>
          </cell>
          <cell r="I5646">
            <v>0.75</v>
          </cell>
          <cell r="J5646" t="str">
            <v>-</v>
          </cell>
          <cell r="K5646">
            <v>1</v>
          </cell>
        </row>
        <row r="5647">
          <cell r="A5647" t="str">
            <v>UT</v>
          </cell>
          <cell r="B5647" t="str">
            <v>A5C</v>
          </cell>
          <cell r="C5647" t="str">
            <v>P</v>
          </cell>
          <cell r="D5647" t="str">
            <v>HOLD4</v>
          </cell>
          <cell r="E5647" t="str">
            <v>TOL</v>
          </cell>
          <cell r="F5647">
            <v>2</v>
          </cell>
          <cell r="G5647" t="str">
            <v>CB39030000020T</v>
          </cell>
          <cell r="H5647">
            <v>2</v>
          </cell>
          <cell r="I5647">
            <v>0.75</v>
          </cell>
          <cell r="J5647" t="str">
            <v>-</v>
          </cell>
          <cell r="K5647">
            <v>1</v>
          </cell>
        </row>
        <row r="5648">
          <cell r="A5648" t="str">
            <v>UT</v>
          </cell>
          <cell r="B5648" t="str">
            <v>A5C</v>
          </cell>
          <cell r="C5648" t="str">
            <v>P</v>
          </cell>
          <cell r="D5648" t="str">
            <v>HOLD1</v>
          </cell>
          <cell r="E5648" t="str">
            <v>SOL</v>
          </cell>
          <cell r="F5648">
            <v>2</v>
          </cell>
          <cell r="G5648" t="str">
            <v>CB39020000020T</v>
          </cell>
          <cell r="H5648">
            <v>2</v>
          </cell>
          <cell r="I5648">
            <v>0.75</v>
          </cell>
          <cell r="J5648" t="str">
            <v>-</v>
          </cell>
          <cell r="K5648">
            <v>2</v>
          </cell>
        </row>
        <row r="5649">
          <cell r="A5649" t="str">
            <v>UT</v>
          </cell>
          <cell r="B5649" t="str">
            <v>A5C</v>
          </cell>
          <cell r="C5649" t="str">
            <v>P</v>
          </cell>
          <cell r="D5649" t="str">
            <v>HOLD3</v>
          </cell>
          <cell r="E5649" t="str">
            <v>SOL</v>
          </cell>
          <cell r="F5649">
            <v>2</v>
          </cell>
          <cell r="G5649" t="str">
            <v>CB39020000020T</v>
          </cell>
          <cell r="H5649">
            <v>2</v>
          </cell>
          <cell r="I5649">
            <v>0.75</v>
          </cell>
          <cell r="J5649" t="str">
            <v>-</v>
          </cell>
          <cell r="K5649">
            <v>2</v>
          </cell>
        </row>
        <row r="5650">
          <cell r="A5650" t="str">
            <v>UT</v>
          </cell>
          <cell r="B5650" t="str">
            <v>A5C</v>
          </cell>
          <cell r="C5650" t="str">
            <v>P</v>
          </cell>
          <cell r="D5650" t="str">
            <v>HOLD3</v>
          </cell>
          <cell r="E5650" t="str">
            <v>TOL</v>
          </cell>
          <cell r="F5650">
            <v>2</v>
          </cell>
          <cell r="G5650" t="str">
            <v>CB39030000020T</v>
          </cell>
          <cell r="H5650">
            <v>2</v>
          </cell>
          <cell r="I5650">
            <v>0.75</v>
          </cell>
          <cell r="J5650" t="str">
            <v>-</v>
          </cell>
          <cell r="K5650">
            <v>2</v>
          </cell>
        </row>
        <row r="5651">
          <cell r="A5651" t="str">
            <v>UT</v>
          </cell>
          <cell r="B5651" t="str">
            <v>CA304</v>
          </cell>
          <cell r="C5651" t="str">
            <v>MC</v>
          </cell>
          <cell r="D5651" t="str">
            <v>12014</v>
          </cell>
          <cell r="E5651" t="str">
            <v>90 ELL</v>
          </cell>
          <cell r="F5651">
            <v>2</v>
          </cell>
          <cell r="G5651" t="str">
            <v>CB300105000200</v>
          </cell>
          <cell r="H5651">
            <v>2</v>
          </cell>
          <cell r="I5651" t="str">
            <v>--</v>
          </cell>
          <cell r="J5651" t="str">
            <v>-</v>
          </cell>
          <cell r="K5651">
            <v>4</v>
          </cell>
        </row>
        <row r="5652">
          <cell r="A5652" t="str">
            <v>UT</v>
          </cell>
          <cell r="B5652" t="str">
            <v>A5C</v>
          </cell>
          <cell r="C5652" t="str">
            <v>P</v>
          </cell>
          <cell r="D5652" t="str">
            <v>23108</v>
          </cell>
          <cell r="E5652" t="str">
            <v>90 ELL</v>
          </cell>
          <cell r="F5652">
            <v>2</v>
          </cell>
          <cell r="G5652" t="str">
            <v>CB300108000200</v>
          </cell>
          <cell r="H5652">
            <v>2</v>
          </cell>
          <cell r="I5652" t="str">
            <v>--</v>
          </cell>
          <cell r="J5652" t="str">
            <v>-</v>
          </cell>
          <cell r="K5652">
            <v>4</v>
          </cell>
        </row>
        <row r="5653">
          <cell r="A5653" t="str">
            <v>UT</v>
          </cell>
          <cell r="B5653" t="str">
            <v>A5C</v>
          </cell>
          <cell r="C5653" t="str">
            <v>P</v>
          </cell>
          <cell r="D5653" t="str">
            <v>23112</v>
          </cell>
          <cell r="E5653" t="str">
            <v>90 ELL</v>
          </cell>
          <cell r="F5653">
            <v>2</v>
          </cell>
          <cell r="G5653" t="str">
            <v>CB300108000200</v>
          </cell>
          <cell r="H5653">
            <v>2</v>
          </cell>
          <cell r="I5653" t="str">
            <v>--</v>
          </cell>
          <cell r="J5653" t="str">
            <v>-</v>
          </cell>
          <cell r="K5653">
            <v>4</v>
          </cell>
        </row>
        <row r="5654">
          <cell r="A5654" t="str">
            <v>UT</v>
          </cell>
          <cell r="B5654" t="str">
            <v>A5C</v>
          </cell>
          <cell r="C5654" t="str">
            <v>P</v>
          </cell>
          <cell r="D5654" t="str">
            <v>23116</v>
          </cell>
          <cell r="E5654" t="str">
            <v>90 ELL</v>
          </cell>
          <cell r="F5654">
            <v>2</v>
          </cell>
          <cell r="G5654" t="str">
            <v>CB300108000200</v>
          </cell>
          <cell r="H5654">
            <v>2</v>
          </cell>
          <cell r="I5654" t="str">
            <v>--</v>
          </cell>
          <cell r="J5654" t="str">
            <v>-</v>
          </cell>
          <cell r="K5654">
            <v>4</v>
          </cell>
        </row>
        <row r="5655">
          <cell r="A5655" t="str">
            <v>UT</v>
          </cell>
          <cell r="B5655" t="str">
            <v>A5C</v>
          </cell>
          <cell r="C5655" t="str">
            <v>P</v>
          </cell>
          <cell r="D5655" t="str">
            <v>23144</v>
          </cell>
          <cell r="E5655" t="str">
            <v>90 ELL</v>
          </cell>
          <cell r="F5655">
            <v>2</v>
          </cell>
          <cell r="G5655" t="str">
            <v>CB300108000200</v>
          </cell>
          <cell r="H5655">
            <v>2</v>
          </cell>
          <cell r="I5655" t="str">
            <v>--</v>
          </cell>
          <cell r="J5655" t="str">
            <v>-</v>
          </cell>
          <cell r="K5655">
            <v>4</v>
          </cell>
        </row>
        <row r="5656">
          <cell r="A5656" t="str">
            <v>UT</v>
          </cell>
          <cell r="B5656" t="str">
            <v>A5C</v>
          </cell>
          <cell r="C5656" t="str">
            <v>P</v>
          </cell>
          <cell r="D5656" t="str">
            <v>23148</v>
          </cell>
          <cell r="E5656" t="str">
            <v>90 ELL</v>
          </cell>
          <cell r="F5656">
            <v>2</v>
          </cell>
          <cell r="G5656" t="str">
            <v>CB300108000200</v>
          </cell>
          <cell r="H5656">
            <v>2</v>
          </cell>
          <cell r="I5656" t="str">
            <v>--</v>
          </cell>
          <cell r="J5656" t="str">
            <v>-</v>
          </cell>
          <cell r="K5656">
            <v>4</v>
          </cell>
        </row>
        <row r="5657">
          <cell r="A5657" t="str">
            <v>UT</v>
          </cell>
          <cell r="B5657" t="str">
            <v>A5C</v>
          </cell>
          <cell r="C5657" t="str">
            <v>P</v>
          </cell>
          <cell r="D5657" t="str">
            <v>23155</v>
          </cell>
          <cell r="E5657" t="str">
            <v>90 ELL</v>
          </cell>
          <cell r="F5657">
            <v>2</v>
          </cell>
          <cell r="G5657" t="str">
            <v>CB300108000200</v>
          </cell>
          <cell r="H5657">
            <v>2</v>
          </cell>
          <cell r="I5657" t="str">
            <v>--</v>
          </cell>
          <cell r="J5657" t="str">
            <v>-</v>
          </cell>
          <cell r="K5657">
            <v>4</v>
          </cell>
        </row>
        <row r="5658">
          <cell r="A5658" t="str">
            <v>UT</v>
          </cell>
          <cell r="B5658" t="str">
            <v>A5C</v>
          </cell>
          <cell r="C5658" t="str">
            <v>P</v>
          </cell>
          <cell r="D5658" t="str">
            <v>HOLD2</v>
          </cell>
          <cell r="E5658" t="str">
            <v>SOL</v>
          </cell>
          <cell r="F5658">
            <v>2</v>
          </cell>
          <cell r="G5658" t="str">
            <v>CB39020000020T</v>
          </cell>
          <cell r="H5658">
            <v>2</v>
          </cell>
          <cell r="I5658">
            <v>0.75</v>
          </cell>
          <cell r="J5658" t="str">
            <v>-</v>
          </cell>
          <cell r="K5658">
            <v>4</v>
          </cell>
        </row>
        <row r="5659">
          <cell r="A5659" t="str">
            <v>UT</v>
          </cell>
          <cell r="B5659" t="str">
            <v>A5C</v>
          </cell>
          <cell r="C5659" t="str">
            <v>P</v>
          </cell>
          <cell r="D5659" t="str">
            <v>HOLD1</v>
          </cell>
          <cell r="E5659" t="str">
            <v>TOL</v>
          </cell>
          <cell r="F5659">
            <v>2</v>
          </cell>
          <cell r="G5659" t="str">
            <v>CB39030000020T</v>
          </cell>
          <cell r="H5659">
            <v>2</v>
          </cell>
          <cell r="I5659">
            <v>0.75</v>
          </cell>
          <cell r="J5659" t="str">
            <v>-</v>
          </cell>
          <cell r="K5659">
            <v>4</v>
          </cell>
        </row>
        <row r="5660">
          <cell r="A5660" t="str">
            <v>UT</v>
          </cell>
          <cell r="B5660" t="str">
            <v>A5C</v>
          </cell>
          <cell r="C5660" t="str">
            <v>P</v>
          </cell>
          <cell r="D5660" t="str">
            <v>HOLD2</v>
          </cell>
          <cell r="E5660" t="str">
            <v>TOL</v>
          </cell>
          <cell r="F5660">
            <v>2</v>
          </cell>
          <cell r="G5660" t="str">
            <v>CB39030000020T</v>
          </cell>
          <cell r="H5660">
            <v>2</v>
          </cell>
          <cell r="I5660">
            <v>0.75</v>
          </cell>
          <cell r="J5660" t="str">
            <v>-</v>
          </cell>
          <cell r="K5660">
            <v>4</v>
          </cell>
        </row>
        <row r="5661">
          <cell r="A5661" t="str">
            <v>UT</v>
          </cell>
          <cell r="B5661" t="str">
            <v>A5C</v>
          </cell>
          <cell r="C5661" t="str">
            <v>P</v>
          </cell>
          <cell r="D5661" t="str">
            <v>HOLD4</v>
          </cell>
          <cell r="E5661" t="str">
            <v>90 ELL</v>
          </cell>
          <cell r="F5661">
            <v>2</v>
          </cell>
          <cell r="G5661" t="str">
            <v>CB300108000200</v>
          </cell>
          <cell r="H5661">
            <v>2</v>
          </cell>
          <cell r="I5661" t="str">
            <v>--</v>
          </cell>
          <cell r="J5661" t="str">
            <v>-</v>
          </cell>
          <cell r="K5661">
            <v>6</v>
          </cell>
        </row>
        <row r="5662">
          <cell r="A5662" t="str">
            <v>UT</v>
          </cell>
          <cell r="B5662" t="str">
            <v>A5C</v>
          </cell>
          <cell r="C5662" t="str">
            <v>P</v>
          </cell>
          <cell r="D5662" t="str">
            <v>HOLD3</v>
          </cell>
          <cell r="E5662" t="str">
            <v>90 ELL</v>
          </cell>
          <cell r="F5662">
            <v>2</v>
          </cell>
          <cell r="G5662" t="str">
            <v>CB300108000200</v>
          </cell>
          <cell r="H5662">
            <v>2</v>
          </cell>
          <cell r="I5662" t="str">
            <v>--</v>
          </cell>
          <cell r="J5662" t="str">
            <v>-</v>
          </cell>
          <cell r="K5662">
            <v>12</v>
          </cell>
        </row>
        <row r="5663">
          <cell r="A5663" t="str">
            <v>UT</v>
          </cell>
          <cell r="B5663" t="str">
            <v>A5C</v>
          </cell>
          <cell r="C5663" t="str">
            <v>P</v>
          </cell>
          <cell r="D5663" t="str">
            <v>HOLD1</v>
          </cell>
          <cell r="E5663" t="str">
            <v>90 ELL</v>
          </cell>
          <cell r="F5663">
            <v>2</v>
          </cell>
          <cell r="G5663" t="str">
            <v>CB300108000200</v>
          </cell>
          <cell r="H5663">
            <v>2</v>
          </cell>
          <cell r="I5663" t="str">
            <v>--</v>
          </cell>
          <cell r="J5663" t="str">
            <v>-</v>
          </cell>
          <cell r="K5663">
            <v>16</v>
          </cell>
        </row>
        <row r="5664">
          <cell r="A5664" t="str">
            <v>UT</v>
          </cell>
          <cell r="B5664" t="str">
            <v>A5C</v>
          </cell>
          <cell r="C5664" t="str">
            <v>P</v>
          </cell>
          <cell r="D5664" t="str">
            <v>HOLD2</v>
          </cell>
          <cell r="E5664" t="str">
            <v>90 ELL</v>
          </cell>
          <cell r="F5664">
            <v>2</v>
          </cell>
          <cell r="G5664" t="str">
            <v>CB300108000200</v>
          </cell>
          <cell r="H5664">
            <v>2</v>
          </cell>
          <cell r="I5664" t="str">
            <v>--</v>
          </cell>
          <cell r="J5664" t="str">
            <v>-</v>
          </cell>
          <cell r="K5664">
            <v>24</v>
          </cell>
        </row>
        <row r="5665">
          <cell r="A5665" t="str">
            <v>UT</v>
          </cell>
          <cell r="B5665" t="str">
            <v>CA304</v>
          </cell>
          <cell r="C5665" t="str">
            <v>MC</v>
          </cell>
          <cell r="D5665" t="str">
            <v>12014</v>
          </cell>
          <cell r="E5665" t="str">
            <v>90 ELL</v>
          </cell>
          <cell r="F5665">
            <v>2</v>
          </cell>
          <cell r="G5665" t="str">
            <v>CB300105000200</v>
          </cell>
          <cell r="H5665">
            <v>2</v>
          </cell>
          <cell r="I5665" t="str">
            <v>--</v>
          </cell>
          <cell r="J5665">
            <v>4</v>
          </cell>
          <cell r="K5665" t="str">
            <v>-</v>
          </cell>
        </row>
        <row r="5666">
          <cell r="A5666" t="str">
            <v>UT</v>
          </cell>
          <cell r="B5666" t="str">
            <v>A5C</v>
          </cell>
          <cell r="C5666" t="str">
            <v>P</v>
          </cell>
          <cell r="D5666" t="str">
            <v>23108</v>
          </cell>
          <cell r="E5666" t="str">
            <v>90 ELL</v>
          </cell>
          <cell r="F5666">
            <v>2</v>
          </cell>
          <cell r="G5666" t="str">
            <v>CB300108000200</v>
          </cell>
          <cell r="H5666">
            <v>2</v>
          </cell>
          <cell r="I5666" t="str">
            <v>--</v>
          </cell>
          <cell r="J5666">
            <v>4</v>
          </cell>
          <cell r="K5666" t="str">
            <v>-</v>
          </cell>
        </row>
        <row r="5667">
          <cell r="A5667" t="str">
            <v>UT</v>
          </cell>
          <cell r="B5667" t="str">
            <v>A5C</v>
          </cell>
          <cell r="C5667" t="str">
            <v>P</v>
          </cell>
          <cell r="D5667" t="str">
            <v>23112</v>
          </cell>
          <cell r="E5667" t="str">
            <v>90 ELL</v>
          </cell>
          <cell r="F5667">
            <v>2</v>
          </cell>
          <cell r="G5667" t="str">
            <v>CB300108000200</v>
          </cell>
          <cell r="H5667">
            <v>2</v>
          </cell>
          <cell r="I5667" t="str">
            <v>--</v>
          </cell>
          <cell r="J5667">
            <v>4</v>
          </cell>
          <cell r="K5667" t="str">
            <v>-</v>
          </cell>
        </row>
        <row r="5668">
          <cell r="A5668" t="str">
            <v>UT</v>
          </cell>
          <cell r="B5668" t="str">
            <v>A5C</v>
          </cell>
          <cell r="C5668" t="str">
            <v>P</v>
          </cell>
          <cell r="D5668" t="str">
            <v>23116</v>
          </cell>
          <cell r="E5668" t="str">
            <v>90 ELL</v>
          </cell>
          <cell r="F5668">
            <v>2</v>
          </cell>
          <cell r="G5668" t="str">
            <v>CB300108000200</v>
          </cell>
          <cell r="H5668">
            <v>2</v>
          </cell>
          <cell r="I5668" t="str">
            <v>--</v>
          </cell>
          <cell r="J5668">
            <v>4</v>
          </cell>
          <cell r="K5668" t="str">
            <v>-</v>
          </cell>
        </row>
        <row r="5669">
          <cell r="A5669" t="str">
            <v>UT</v>
          </cell>
          <cell r="B5669" t="str">
            <v>A5C</v>
          </cell>
          <cell r="C5669" t="str">
            <v>P</v>
          </cell>
          <cell r="D5669" t="str">
            <v>23144</v>
          </cell>
          <cell r="E5669" t="str">
            <v>90 ELL</v>
          </cell>
          <cell r="F5669">
            <v>2</v>
          </cell>
          <cell r="G5669" t="str">
            <v>CB300108000200</v>
          </cell>
          <cell r="H5669">
            <v>2</v>
          </cell>
          <cell r="I5669" t="str">
            <v>--</v>
          </cell>
          <cell r="J5669">
            <v>4</v>
          </cell>
          <cell r="K5669" t="str">
            <v>-</v>
          </cell>
        </row>
        <row r="5670">
          <cell r="A5670" t="str">
            <v>UT</v>
          </cell>
          <cell r="B5670" t="str">
            <v>A5C</v>
          </cell>
          <cell r="C5670" t="str">
            <v>P</v>
          </cell>
          <cell r="D5670" t="str">
            <v>23148</v>
          </cell>
          <cell r="E5670" t="str">
            <v>90 ELL</v>
          </cell>
          <cell r="F5670">
            <v>2</v>
          </cell>
          <cell r="G5670" t="str">
            <v>CB300108000200</v>
          </cell>
          <cell r="H5670">
            <v>2</v>
          </cell>
          <cell r="I5670" t="str">
            <v>--</v>
          </cell>
          <cell r="J5670">
            <v>4</v>
          </cell>
          <cell r="K5670" t="str">
            <v>-</v>
          </cell>
        </row>
        <row r="5671">
          <cell r="A5671" t="str">
            <v>UT</v>
          </cell>
          <cell r="B5671" t="str">
            <v>A5C</v>
          </cell>
          <cell r="C5671" t="str">
            <v>P</v>
          </cell>
          <cell r="D5671" t="str">
            <v>23155</v>
          </cell>
          <cell r="E5671" t="str">
            <v>90 ELL</v>
          </cell>
          <cell r="F5671">
            <v>2</v>
          </cell>
          <cell r="G5671" t="str">
            <v>CB300108000200</v>
          </cell>
          <cell r="H5671">
            <v>2</v>
          </cell>
          <cell r="I5671" t="str">
            <v>--</v>
          </cell>
          <cell r="J5671">
            <v>4</v>
          </cell>
          <cell r="K5671" t="str">
            <v>-</v>
          </cell>
        </row>
        <row r="5672">
          <cell r="A5672" t="str">
            <v>UT</v>
          </cell>
          <cell r="B5672" t="str">
            <v>A5C</v>
          </cell>
          <cell r="C5672" t="str">
            <v>P</v>
          </cell>
          <cell r="D5672" t="str">
            <v>HOLD1</v>
          </cell>
          <cell r="E5672" t="str">
            <v>90 ELL</v>
          </cell>
          <cell r="F5672">
            <v>2</v>
          </cell>
          <cell r="G5672" t="str">
            <v>CB300108000200</v>
          </cell>
          <cell r="H5672">
            <v>2</v>
          </cell>
          <cell r="I5672" t="str">
            <v>--</v>
          </cell>
          <cell r="J5672">
            <v>16</v>
          </cell>
          <cell r="K5672" t="str">
            <v>-</v>
          </cell>
        </row>
        <row r="5673">
          <cell r="A5673" t="str">
            <v>UT</v>
          </cell>
          <cell r="B5673" t="str">
            <v>A5C</v>
          </cell>
          <cell r="C5673" t="str">
            <v>P</v>
          </cell>
          <cell r="D5673" t="str">
            <v>HOLD2</v>
          </cell>
          <cell r="E5673" t="str">
            <v>90 ELL</v>
          </cell>
          <cell r="F5673">
            <v>2</v>
          </cell>
          <cell r="G5673" t="str">
            <v>CB300108000200</v>
          </cell>
          <cell r="H5673">
            <v>2</v>
          </cell>
          <cell r="I5673" t="str">
            <v>--</v>
          </cell>
          <cell r="J5673">
            <v>24</v>
          </cell>
          <cell r="K5673" t="str">
            <v>-</v>
          </cell>
        </row>
        <row r="5674">
          <cell r="A5674" t="str">
            <v>UT</v>
          </cell>
          <cell r="B5674" t="str">
            <v>A5C</v>
          </cell>
          <cell r="C5674" t="str">
            <v>P</v>
          </cell>
          <cell r="D5674" t="str">
            <v>HOLD3</v>
          </cell>
          <cell r="E5674" t="str">
            <v>90 ELL</v>
          </cell>
          <cell r="F5674">
            <v>2</v>
          </cell>
          <cell r="G5674" t="str">
            <v>CB300108000200</v>
          </cell>
          <cell r="H5674">
            <v>2</v>
          </cell>
          <cell r="I5674" t="str">
            <v>--</v>
          </cell>
          <cell r="J5674">
            <v>12</v>
          </cell>
          <cell r="K5674" t="str">
            <v>-</v>
          </cell>
        </row>
        <row r="5675">
          <cell r="A5675" t="str">
            <v>UT</v>
          </cell>
          <cell r="B5675" t="str">
            <v>A5C</v>
          </cell>
          <cell r="C5675" t="str">
            <v>P</v>
          </cell>
          <cell r="D5675" t="str">
            <v>HOLD4</v>
          </cell>
          <cell r="E5675" t="str">
            <v>90 ELL</v>
          </cell>
          <cell r="F5675">
            <v>2</v>
          </cell>
          <cell r="G5675" t="str">
            <v>CB300108000200</v>
          </cell>
          <cell r="H5675">
            <v>2</v>
          </cell>
          <cell r="I5675" t="str">
            <v>--</v>
          </cell>
          <cell r="J5675">
            <v>6</v>
          </cell>
          <cell r="K5675" t="str">
            <v>-</v>
          </cell>
        </row>
        <row r="5676">
          <cell r="A5676" t="str">
            <v>UT</v>
          </cell>
          <cell r="B5676" t="str">
            <v>A5C</v>
          </cell>
          <cell r="C5676" t="str">
            <v>P</v>
          </cell>
          <cell r="D5676" t="str">
            <v>HOLD1</v>
          </cell>
          <cell r="E5676" t="str">
            <v>SOL</v>
          </cell>
          <cell r="F5676">
            <v>2</v>
          </cell>
          <cell r="G5676" t="str">
            <v>CB39020000020T</v>
          </cell>
          <cell r="H5676">
            <v>2</v>
          </cell>
          <cell r="I5676">
            <v>0.75</v>
          </cell>
          <cell r="J5676">
            <v>2</v>
          </cell>
          <cell r="K5676" t="str">
            <v>-</v>
          </cell>
        </row>
        <row r="5677">
          <cell r="A5677" t="str">
            <v>UT</v>
          </cell>
          <cell r="B5677" t="str">
            <v>A5C</v>
          </cell>
          <cell r="C5677" t="str">
            <v>P</v>
          </cell>
          <cell r="D5677" t="str">
            <v>HOLD2</v>
          </cell>
          <cell r="E5677" t="str">
            <v>SOL</v>
          </cell>
          <cell r="F5677">
            <v>2</v>
          </cell>
          <cell r="G5677" t="str">
            <v>CB39020000020T</v>
          </cell>
          <cell r="H5677">
            <v>2</v>
          </cell>
          <cell r="I5677">
            <v>0.75</v>
          </cell>
          <cell r="J5677">
            <v>4</v>
          </cell>
          <cell r="K5677" t="str">
            <v>-</v>
          </cell>
        </row>
        <row r="5678">
          <cell r="A5678" t="str">
            <v>UT</v>
          </cell>
          <cell r="B5678" t="str">
            <v>A5C</v>
          </cell>
          <cell r="C5678" t="str">
            <v>P</v>
          </cell>
          <cell r="D5678" t="str">
            <v>HOLD3</v>
          </cell>
          <cell r="E5678" t="str">
            <v>SOL</v>
          </cell>
          <cell r="F5678">
            <v>2</v>
          </cell>
          <cell r="G5678" t="str">
            <v>CB39020000020T</v>
          </cell>
          <cell r="H5678">
            <v>2</v>
          </cell>
          <cell r="I5678">
            <v>0.75</v>
          </cell>
          <cell r="J5678">
            <v>2</v>
          </cell>
          <cell r="K5678" t="str">
            <v>-</v>
          </cell>
        </row>
        <row r="5679">
          <cell r="A5679" t="str">
            <v>UT</v>
          </cell>
          <cell r="B5679" t="str">
            <v>A5C</v>
          </cell>
          <cell r="C5679" t="str">
            <v>P</v>
          </cell>
          <cell r="D5679" t="str">
            <v>HOLD4</v>
          </cell>
          <cell r="E5679" t="str">
            <v>SOL</v>
          </cell>
          <cell r="F5679">
            <v>2</v>
          </cell>
          <cell r="G5679" t="str">
            <v>CB39020000020T</v>
          </cell>
          <cell r="H5679">
            <v>2</v>
          </cell>
          <cell r="I5679">
            <v>0.75</v>
          </cell>
          <cell r="J5679">
            <v>1</v>
          </cell>
          <cell r="K5679" t="str">
            <v>-</v>
          </cell>
        </row>
        <row r="5680">
          <cell r="A5680" t="str">
            <v>UT</v>
          </cell>
          <cell r="B5680" t="str">
            <v>CA304</v>
          </cell>
          <cell r="C5680" t="str">
            <v>MC</v>
          </cell>
          <cell r="D5680" t="str">
            <v>12014</v>
          </cell>
          <cell r="E5680" t="str">
            <v>TOL</v>
          </cell>
          <cell r="F5680">
            <v>2</v>
          </cell>
          <cell r="G5680" t="str">
            <v>CB39030000020T</v>
          </cell>
          <cell r="H5680">
            <v>2</v>
          </cell>
          <cell r="I5680">
            <v>0.75</v>
          </cell>
          <cell r="J5680">
            <v>1</v>
          </cell>
          <cell r="K5680" t="str">
            <v>-</v>
          </cell>
        </row>
        <row r="5681">
          <cell r="A5681" t="str">
            <v>UT</v>
          </cell>
          <cell r="B5681" t="str">
            <v>A5C</v>
          </cell>
          <cell r="C5681" t="str">
            <v>P</v>
          </cell>
          <cell r="D5681" t="str">
            <v>23108</v>
          </cell>
          <cell r="E5681" t="str">
            <v>TOL</v>
          </cell>
          <cell r="F5681">
            <v>2</v>
          </cell>
          <cell r="G5681" t="str">
            <v>CB39030000020T</v>
          </cell>
          <cell r="H5681">
            <v>2</v>
          </cell>
          <cell r="I5681">
            <v>0.75</v>
          </cell>
          <cell r="J5681">
            <v>1</v>
          </cell>
          <cell r="K5681" t="str">
            <v>-</v>
          </cell>
        </row>
        <row r="5682">
          <cell r="A5682" t="str">
            <v>UT</v>
          </cell>
          <cell r="B5682" t="str">
            <v>A5C</v>
          </cell>
          <cell r="C5682" t="str">
            <v>P</v>
          </cell>
          <cell r="D5682" t="str">
            <v>23112</v>
          </cell>
          <cell r="E5682" t="str">
            <v>TOL</v>
          </cell>
          <cell r="F5682">
            <v>2</v>
          </cell>
          <cell r="G5682" t="str">
            <v>CB39030000020T</v>
          </cell>
          <cell r="H5682">
            <v>2</v>
          </cell>
          <cell r="I5682">
            <v>0.75</v>
          </cell>
          <cell r="J5682">
            <v>1</v>
          </cell>
          <cell r="K5682" t="str">
            <v>-</v>
          </cell>
        </row>
        <row r="5683">
          <cell r="A5683" t="str">
            <v>UT</v>
          </cell>
          <cell r="B5683" t="str">
            <v>A5C</v>
          </cell>
          <cell r="C5683" t="str">
            <v>P</v>
          </cell>
          <cell r="D5683" t="str">
            <v>23116</v>
          </cell>
          <cell r="E5683" t="str">
            <v>TOL</v>
          </cell>
          <cell r="F5683">
            <v>2</v>
          </cell>
          <cell r="G5683" t="str">
            <v>CB39030000020T</v>
          </cell>
          <cell r="H5683">
            <v>2</v>
          </cell>
          <cell r="I5683">
            <v>0.75</v>
          </cell>
          <cell r="J5683">
            <v>1</v>
          </cell>
          <cell r="K5683" t="str">
            <v>-</v>
          </cell>
        </row>
        <row r="5684">
          <cell r="A5684" t="str">
            <v>UT</v>
          </cell>
          <cell r="B5684" t="str">
            <v>A5C</v>
          </cell>
          <cell r="C5684" t="str">
            <v>P</v>
          </cell>
          <cell r="D5684" t="str">
            <v>23144</v>
          </cell>
          <cell r="E5684" t="str">
            <v>TOL</v>
          </cell>
          <cell r="F5684">
            <v>2</v>
          </cell>
          <cell r="G5684" t="str">
            <v>CB39030000020T</v>
          </cell>
          <cell r="H5684">
            <v>2</v>
          </cell>
          <cell r="I5684">
            <v>0.75</v>
          </cell>
          <cell r="J5684">
            <v>1</v>
          </cell>
          <cell r="K5684" t="str">
            <v>-</v>
          </cell>
        </row>
        <row r="5685">
          <cell r="A5685" t="str">
            <v>UT</v>
          </cell>
          <cell r="B5685" t="str">
            <v>A5C</v>
          </cell>
          <cell r="C5685" t="str">
            <v>P</v>
          </cell>
          <cell r="D5685" t="str">
            <v>23148</v>
          </cell>
          <cell r="E5685" t="str">
            <v>TOL</v>
          </cell>
          <cell r="F5685">
            <v>2</v>
          </cell>
          <cell r="G5685" t="str">
            <v>CB39030000020T</v>
          </cell>
          <cell r="H5685">
            <v>2</v>
          </cell>
          <cell r="I5685">
            <v>0.75</v>
          </cell>
          <cell r="J5685">
            <v>1</v>
          </cell>
          <cell r="K5685" t="str">
            <v>-</v>
          </cell>
        </row>
        <row r="5686">
          <cell r="A5686" t="str">
            <v>UT</v>
          </cell>
          <cell r="B5686" t="str">
            <v>A5C</v>
          </cell>
          <cell r="C5686" t="str">
            <v>P</v>
          </cell>
          <cell r="D5686" t="str">
            <v>23155</v>
          </cell>
          <cell r="E5686" t="str">
            <v>TOL</v>
          </cell>
          <cell r="F5686">
            <v>2</v>
          </cell>
          <cell r="G5686" t="str">
            <v>CB39030000020T</v>
          </cell>
          <cell r="H5686">
            <v>2</v>
          </cell>
          <cell r="I5686">
            <v>0.75</v>
          </cell>
          <cell r="J5686">
            <v>1</v>
          </cell>
          <cell r="K5686" t="str">
            <v>-</v>
          </cell>
        </row>
        <row r="5687">
          <cell r="A5687" t="str">
            <v>UT</v>
          </cell>
          <cell r="B5687" t="str">
            <v>A5C</v>
          </cell>
          <cell r="C5687" t="str">
            <v>P</v>
          </cell>
          <cell r="D5687" t="str">
            <v>HOLD1</v>
          </cell>
          <cell r="E5687" t="str">
            <v>TOL</v>
          </cell>
          <cell r="F5687">
            <v>2</v>
          </cell>
          <cell r="G5687" t="str">
            <v>CB39030000020T</v>
          </cell>
          <cell r="H5687">
            <v>2</v>
          </cell>
          <cell r="I5687">
            <v>0.75</v>
          </cell>
          <cell r="J5687">
            <v>4</v>
          </cell>
          <cell r="K5687" t="str">
            <v>-</v>
          </cell>
        </row>
        <row r="5688">
          <cell r="A5688" t="str">
            <v>UT</v>
          </cell>
          <cell r="B5688" t="str">
            <v>A5C</v>
          </cell>
          <cell r="C5688" t="str">
            <v>P</v>
          </cell>
          <cell r="D5688" t="str">
            <v>HOLD2</v>
          </cell>
          <cell r="E5688" t="str">
            <v>TOL</v>
          </cell>
          <cell r="F5688">
            <v>2</v>
          </cell>
          <cell r="G5688" t="str">
            <v>CB39030000020T</v>
          </cell>
          <cell r="H5688">
            <v>2</v>
          </cell>
          <cell r="I5688">
            <v>0.75</v>
          </cell>
          <cell r="J5688">
            <v>4</v>
          </cell>
          <cell r="K5688" t="str">
            <v>-</v>
          </cell>
        </row>
        <row r="5689">
          <cell r="A5689" t="str">
            <v>UT</v>
          </cell>
          <cell r="B5689" t="str">
            <v>A5C</v>
          </cell>
          <cell r="C5689" t="str">
            <v>P</v>
          </cell>
          <cell r="D5689" t="str">
            <v>HOLD3</v>
          </cell>
          <cell r="E5689" t="str">
            <v>TOL</v>
          </cell>
          <cell r="F5689">
            <v>2</v>
          </cell>
          <cell r="G5689" t="str">
            <v>CB39030000020T</v>
          </cell>
          <cell r="H5689">
            <v>2</v>
          </cell>
          <cell r="I5689">
            <v>0.75</v>
          </cell>
          <cell r="J5689">
            <v>2</v>
          </cell>
          <cell r="K5689" t="str">
            <v>-</v>
          </cell>
        </row>
        <row r="5690">
          <cell r="A5690" t="str">
            <v>UT</v>
          </cell>
          <cell r="B5690" t="str">
            <v>A5C</v>
          </cell>
          <cell r="C5690" t="str">
            <v>P</v>
          </cell>
          <cell r="D5690" t="str">
            <v>HOLD4</v>
          </cell>
          <cell r="E5690" t="str">
            <v>TOL</v>
          </cell>
          <cell r="F5690">
            <v>2</v>
          </cell>
          <cell r="G5690" t="str">
            <v>CB39030000020T</v>
          </cell>
          <cell r="H5690">
            <v>2</v>
          </cell>
          <cell r="I5690">
            <v>0.75</v>
          </cell>
          <cell r="J5690">
            <v>1</v>
          </cell>
          <cell r="K5690" t="str">
            <v>-</v>
          </cell>
        </row>
        <row r="5691">
          <cell r="A5691" t="str">
            <v>UT</v>
          </cell>
          <cell r="B5691" t="str">
            <v>B2C</v>
          </cell>
          <cell r="C5691" t="str">
            <v>SH</v>
          </cell>
          <cell r="D5691" t="str">
            <v>001</v>
          </cell>
          <cell r="E5691" t="str">
            <v>SOL</v>
          </cell>
          <cell r="F5691">
            <v>2</v>
          </cell>
          <cell r="G5691" t="str">
            <v>CB39020000030T</v>
          </cell>
          <cell r="H5691">
            <v>3</v>
          </cell>
          <cell r="I5691">
            <v>0.75</v>
          </cell>
          <cell r="J5691" t="str">
            <v>-</v>
          </cell>
          <cell r="K5691">
            <v>2</v>
          </cell>
        </row>
        <row r="5692">
          <cell r="A5692" t="str">
            <v>UT</v>
          </cell>
          <cell r="B5692" t="str">
            <v>B2C</v>
          </cell>
          <cell r="C5692" t="str">
            <v>SH</v>
          </cell>
          <cell r="D5692" t="str">
            <v>001</v>
          </cell>
          <cell r="E5692" t="str">
            <v>TOL</v>
          </cell>
          <cell r="F5692">
            <v>2</v>
          </cell>
          <cell r="G5692" t="str">
            <v>CB39030000030T</v>
          </cell>
          <cell r="H5692">
            <v>3</v>
          </cell>
          <cell r="I5692">
            <v>0.75</v>
          </cell>
          <cell r="J5692" t="str">
            <v>-</v>
          </cell>
          <cell r="K5692">
            <v>2</v>
          </cell>
        </row>
        <row r="5693">
          <cell r="A5693" t="str">
            <v>UT</v>
          </cell>
          <cell r="B5693" t="str">
            <v>B2C</v>
          </cell>
          <cell r="C5693" t="str">
            <v>SH</v>
          </cell>
          <cell r="D5693" t="str">
            <v>001</v>
          </cell>
          <cell r="E5693" t="str">
            <v>90 ELL</v>
          </cell>
          <cell r="F5693">
            <v>2</v>
          </cell>
          <cell r="G5693" t="str">
            <v>CB300104000300</v>
          </cell>
          <cell r="H5693">
            <v>3</v>
          </cell>
          <cell r="I5693" t="str">
            <v>--</v>
          </cell>
          <cell r="J5693" t="str">
            <v>-</v>
          </cell>
          <cell r="K5693">
            <v>6</v>
          </cell>
        </row>
        <row r="5694">
          <cell r="A5694" t="str">
            <v>UT</v>
          </cell>
          <cell r="B5694" t="str">
            <v>B2C</v>
          </cell>
          <cell r="C5694" t="str">
            <v>SH</v>
          </cell>
          <cell r="D5694" t="str">
            <v>001</v>
          </cell>
          <cell r="E5694" t="str">
            <v>90 ELL</v>
          </cell>
          <cell r="F5694">
            <v>2</v>
          </cell>
          <cell r="G5694" t="str">
            <v>CB300104000300</v>
          </cell>
          <cell r="H5694">
            <v>3</v>
          </cell>
          <cell r="I5694" t="str">
            <v>--</v>
          </cell>
          <cell r="J5694">
            <v>6</v>
          </cell>
          <cell r="K5694" t="str">
            <v>-</v>
          </cell>
        </row>
        <row r="5695">
          <cell r="A5695" t="str">
            <v>UT</v>
          </cell>
          <cell r="B5695" t="str">
            <v>B2C</v>
          </cell>
          <cell r="C5695" t="str">
            <v>SH</v>
          </cell>
          <cell r="D5695" t="str">
            <v>001</v>
          </cell>
          <cell r="E5695" t="str">
            <v>SOL</v>
          </cell>
          <cell r="F5695">
            <v>2</v>
          </cell>
          <cell r="G5695" t="str">
            <v>CB39020000030T</v>
          </cell>
          <cell r="H5695">
            <v>3</v>
          </cell>
          <cell r="I5695">
            <v>0.75</v>
          </cell>
          <cell r="J5695">
            <v>2</v>
          </cell>
          <cell r="K5695" t="str">
            <v>-</v>
          </cell>
        </row>
        <row r="5696">
          <cell r="A5696" t="str">
            <v>UT</v>
          </cell>
          <cell r="B5696" t="str">
            <v>B2C</v>
          </cell>
          <cell r="C5696" t="str">
            <v>SH</v>
          </cell>
          <cell r="D5696" t="str">
            <v>001</v>
          </cell>
          <cell r="E5696" t="str">
            <v>TOL</v>
          </cell>
          <cell r="F5696">
            <v>2</v>
          </cell>
          <cell r="G5696" t="str">
            <v>CB39030000030T</v>
          </cell>
          <cell r="H5696">
            <v>3</v>
          </cell>
          <cell r="I5696">
            <v>0.75</v>
          </cell>
          <cell r="J5696">
            <v>2</v>
          </cell>
          <cell r="K5696" t="str">
            <v>-</v>
          </cell>
        </row>
        <row r="5697">
          <cell r="A5697" t="str">
            <v>UT</v>
          </cell>
          <cell r="B5697" t="str">
            <v>A5C</v>
          </cell>
          <cell r="C5697" t="str">
            <v>WW</v>
          </cell>
          <cell r="D5697" t="str">
            <v>003</v>
          </cell>
          <cell r="E5697" t="str">
            <v>90 ELL</v>
          </cell>
          <cell r="F5697">
            <v>2</v>
          </cell>
          <cell r="G5697" t="str">
            <v>CB300104000300</v>
          </cell>
          <cell r="H5697">
            <v>3</v>
          </cell>
          <cell r="I5697" t="str">
            <v>--</v>
          </cell>
          <cell r="J5697">
            <v>4</v>
          </cell>
          <cell r="K5697" t="str">
            <v>-</v>
          </cell>
        </row>
        <row r="5698">
          <cell r="A5698" t="str">
            <v>UT</v>
          </cell>
          <cell r="B5698" t="str">
            <v>A5C</v>
          </cell>
          <cell r="C5698" t="str">
            <v>WW</v>
          </cell>
          <cell r="D5698" t="str">
            <v>003</v>
          </cell>
          <cell r="E5698" t="str">
            <v>SOL</v>
          </cell>
          <cell r="F5698">
            <v>2</v>
          </cell>
          <cell r="G5698" t="str">
            <v>CB39020000030T</v>
          </cell>
          <cell r="H5698">
            <v>3</v>
          </cell>
          <cell r="I5698">
            <v>0.75</v>
          </cell>
          <cell r="J5698">
            <v>1</v>
          </cell>
          <cell r="K5698" t="str">
            <v>-</v>
          </cell>
        </row>
        <row r="5699">
          <cell r="A5699" t="str">
            <v>UT</v>
          </cell>
          <cell r="B5699" t="str">
            <v>A5C</v>
          </cell>
          <cell r="C5699" t="str">
            <v>WW</v>
          </cell>
          <cell r="D5699" t="str">
            <v>003</v>
          </cell>
          <cell r="E5699" t="str">
            <v>TOL</v>
          </cell>
          <cell r="F5699">
            <v>2</v>
          </cell>
          <cell r="G5699" t="str">
            <v>CB39030000030T</v>
          </cell>
          <cell r="H5699">
            <v>3</v>
          </cell>
          <cell r="I5699">
            <v>0.75</v>
          </cell>
          <cell r="J5699">
            <v>1</v>
          </cell>
          <cell r="K5699" t="str">
            <v>-</v>
          </cell>
        </row>
        <row r="5700">
          <cell r="A5700" t="str">
            <v>UT</v>
          </cell>
          <cell r="B5700" t="str">
            <v>B2C</v>
          </cell>
          <cell r="C5700" t="str">
            <v>SH</v>
          </cell>
          <cell r="D5700" t="str">
            <v>001</v>
          </cell>
          <cell r="E5700" t="str">
            <v>90 ELL</v>
          </cell>
          <cell r="F5700">
            <v>2</v>
          </cell>
          <cell r="G5700" t="str">
            <v>CB300104000400</v>
          </cell>
          <cell r="H5700">
            <v>4</v>
          </cell>
          <cell r="I5700" t="str">
            <v>--</v>
          </cell>
          <cell r="J5700">
            <v>9</v>
          </cell>
          <cell r="K5700" t="str">
            <v>-</v>
          </cell>
        </row>
        <row r="5701">
          <cell r="A5701" t="str">
            <v>UT</v>
          </cell>
          <cell r="B5701" t="str">
            <v>B2C</v>
          </cell>
          <cell r="C5701" t="str">
            <v>SH</v>
          </cell>
          <cell r="D5701" t="str">
            <v>001</v>
          </cell>
          <cell r="E5701" t="str">
            <v>CAP</v>
          </cell>
          <cell r="F5701">
            <v>2</v>
          </cell>
          <cell r="G5701" t="str">
            <v>CB300704000400</v>
          </cell>
          <cell r="H5701">
            <v>4</v>
          </cell>
          <cell r="I5701" t="str">
            <v>--</v>
          </cell>
          <cell r="J5701">
            <v>3</v>
          </cell>
          <cell r="K5701" t="str">
            <v>-</v>
          </cell>
        </row>
        <row r="5702">
          <cell r="A5702" t="str">
            <v>UT</v>
          </cell>
          <cell r="B5702" t="str">
            <v>B2C</v>
          </cell>
          <cell r="C5702" t="str">
            <v>SH</v>
          </cell>
          <cell r="D5702" t="str">
            <v>001</v>
          </cell>
          <cell r="E5702" t="str">
            <v>SOL</v>
          </cell>
          <cell r="F5702">
            <v>2</v>
          </cell>
          <cell r="G5702" t="str">
            <v>CB39020000040T</v>
          </cell>
          <cell r="H5702">
            <v>4</v>
          </cell>
          <cell r="I5702">
            <v>0.75</v>
          </cell>
          <cell r="J5702">
            <v>9</v>
          </cell>
          <cell r="K5702" t="str">
            <v>-</v>
          </cell>
        </row>
        <row r="5703">
          <cell r="A5703" t="str">
            <v>UT</v>
          </cell>
          <cell r="B5703" t="str">
            <v>B2C</v>
          </cell>
          <cell r="C5703" t="str">
            <v>SH</v>
          </cell>
          <cell r="D5703" t="str">
            <v>001</v>
          </cell>
          <cell r="E5703" t="str">
            <v>TOL</v>
          </cell>
          <cell r="F5703">
            <v>2</v>
          </cell>
          <cell r="G5703" t="str">
            <v>CB39030000040T</v>
          </cell>
          <cell r="H5703">
            <v>4</v>
          </cell>
          <cell r="I5703">
            <v>0.75</v>
          </cell>
          <cell r="J5703">
            <v>3</v>
          </cell>
          <cell r="K5703" t="str">
            <v>-</v>
          </cell>
        </row>
        <row r="5704">
          <cell r="A5704" t="str">
            <v>UT</v>
          </cell>
          <cell r="B5704" t="str">
            <v>CA307</v>
          </cell>
          <cell r="C5704" t="str">
            <v>P</v>
          </cell>
          <cell r="D5704" t="str">
            <v>HOLD7</v>
          </cell>
          <cell r="E5704" t="str">
            <v>90 ELL</v>
          </cell>
          <cell r="F5704">
            <v>2</v>
          </cell>
          <cell r="G5704" t="str">
            <v>CB300105000400</v>
          </cell>
          <cell r="H5704">
            <v>4</v>
          </cell>
          <cell r="I5704" t="str">
            <v>--</v>
          </cell>
          <cell r="J5704">
            <v>6</v>
          </cell>
          <cell r="K5704" t="str">
            <v>-</v>
          </cell>
        </row>
        <row r="5705">
          <cell r="A5705" t="str">
            <v>UT</v>
          </cell>
          <cell r="B5705" t="str">
            <v>CA307</v>
          </cell>
          <cell r="C5705" t="str">
            <v>P</v>
          </cell>
          <cell r="D5705" t="str">
            <v>HOLD7</v>
          </cell>
          <cell r="E5705" t="str">
            <v>SOL</v>
          </cell>
          <cell r="F5705">
            <v>2</v>
          </cell>
          <cell r="G5705" t="str">
            <v>CB39020000040T</v>
          </cell>
          <cell r="H5705">
            <v>4</v>
          </cell>
          <cell r="I5705">
            <v>0.75</v>
          </cell>
          <cell r="J5705">
            <v>1</v>
          </cell>
          <cell r="K5705" t="str">
            <v>-</v>
          </cell>
        </row>
        <row r="5706">
          <cell r="A5706" t="str">
            <v>UT</v>
          </cell>
          <cell r="B5706" t="str">
            <v>CA307</v>
          </cell>
          <cell r="C5706" t="str">
            <v>P</v>
          </cell>
          <cell r="D5706" t="str">
            <v>HOLD7</v>
          </cell>
          <cell r="E5706" t="str">
            <v>TOL</v>
          </cell>
          <cell r="F5706">
            <v>2</v>
          </cell>
          <cell r="G5706" t="str">
            <v>CB39030000040T</v>
          </cell>
          <cell r="H5706">
            <v>4</v>
          </cell>
          <cell r="I5706">
            <v>0.75</v>
          </cell>
          <cell r="J5706">
            <v>1</v>
          </cell>
          <cell r="K5706" t="str">
            <v>-</v>
          </cell>
        </row>
        <row r="5707">
          <cell r="A5707" t="str">
            <v>UT</v>
          </cell>
          <cell r="B5707" t="str">
            <v>A5C</v>
          </cell>
          <cell r="C5707" t="str">
            <v>P</v>
          </cell>
          <cell r="D5707" t="str">
            <v>HOLD5</v>
          </cell>
          <cell r="E5707" t="str">
            <v>90 ELL</v>
          </cell>
          <cell r="F5707">
            <v>2</v>
          </cell>
          <cell r="G5707" t="str">
            <v>CB300104000400</v>
          </cell>
          <cell r="H5707">
            <v>4</v>
          </cell>
          <cell r="I5707" t="str">
            <v>--</v>
          </cell>
          <cell r="J5707">
            <v>24</v>
          </cell>
          <cell r="K5707" t="str">
            <v>-</v>
          </cell>
        </row>
        <row r="5708">
          <cell r="A5708" t="str">
            <v>UT</v>
          </cell>
          <cell r="B5708" t="str">
            <v>A5C</v>
          </cell>
          <cell r="C5708" t="str">
            <v>P</v>
          </cell>
          <cell r="D5708" t="str">
            <v>HOLD6</v>
          </cell>
          <cell r="E5708" t="str">
            <v>90 ELL</v>
          </cell>
          <cell r="F5708">
            <v>2</v>
          </cell>
          <cell r="G5708" t="str">
            <v>CB300104000400</v>
          </cell>
          <cell r="H5708">
            <v>4</v>
          </cell>
          <cell r="I5708" t="str">
            <v>--</v>
          </cell>
          <cell r="J5708">
            <v>6</v>
          </cell>
          <cell r="K5708" t="str">
            <v>-</v>
          </cell>
        </row>
        <row r="5709">
          <cell r="A5709" t="str">
            <v>UT</v>
          </cell>
          <cell r="B5709" t="str">
            <v>A5C</v>
          </cell>
          <cell r="C5709" t="str">
            <v>P</v>
          </cell>
          <cell r="D5709" t="str">
            <v>HOLD5</v>
          </cell>
          <cell r="E5709" t="str">
            <v>SOL</v>
          </cell>
          <cell r="F5709">
            <v>2</v>
          </cell>
          <cell r="G5709" t="str">
            <v>CB39020000040T</v>
          </cell>
          <cell r="H5709">
            <v>4</v>
          </cell>
          <cell r="I5709">
            <v>0.75</v>
          </cell>
          <cell r="J5709">
            <v>4</v>
          </cell>
          <cell r="K5709" t="str">
            <v>-</v>
          </cell>
        </row>
        <row r="5710">
          <cell r="A5710" t="str">
            <v>UT</v>
          </cell>
          <cell r="B5710" t="str">
            <v>A5C</v>
          </cell>
          <cell r="C5710" t="str">
            <v>P</v>
          </cell>
          <cell r="D5710" t="str">
            <v>HOLD6</v>
          </cell>
          <cell r="E5710" t="str">
            <v>SOL</v>
          </cell>
          <cell r="F5710">
            <v>2</v>
          </cell>
          <cell r="G5710" t="str">
            <v>CB39020000040T</v>
          </cell>
          <cell r="H5710">
            <v>4</v>
          </cell>
          <cell r="I5710">
            <v>0.75</v>
          </cell>
          <cell r="J5710">
            <v>1</v>
          </cell>
          <cell r="K5710" t="str">
            <v>-</v>
          </cell>
        </row>
        <row r="5711">
          <cell r="A5711" t="str">
            <v>UT</v>
          </cell>
          <cell r="B5711" t="str">
            <v>A5C</v>
          </cell>
          <cell r="C5711" t="str">
            <v>P</v>
          </cell>
          <cell r="D5711" t="str">
            <v>HOLD5</v>
          </cell>
          <cell r="E5711" t="str">
            <v>TOL</v>
          </cell>
          <cell r="F5711">
            <v>2</v>
          </cell>
          <cell r="G5711" t="str">
            <v>CB39030000040T</v>
          </cell>
          <cell r="H5711">
            <v>4</v>
          </cell>
          <cell r="I5711">
            <v>0.75</v>
          </cell>
          <cell r="J5711">
            <v>4</v>
          </cell>
          <cell r="K5711" t="str">
            <v>-</v>
          </cell>
        </row>
        <row r="5712">
          <cell r="A5712" t="str">
            <v>UT</v>
          </cell>
          <cell r="B5712" t="str">
            <v>A5C</v>
          </cell>
          <cell r="C5712" t="str">
            <v>P</v>
          </cell>
          <cell r="D5712" t="str">
            <v>HOLD6</v>
          </cell>
          <cell r="E5712" t="str">
            <v>TOL</v>
          </cell>
          <cell r="F5712">
            <v>2</v>
          </cell>
          <cell r="G5712" t="str">
            <v>CB39030000040T</v>
          </cell>
          <cell r="H5712">
            <v>4</v>
          </cell>
          <cell r="I5712">
            <v>0.75</v>
          </cell>
          <cell r="J5712">
            <v>1</v>
          </cell>
          <cell r="K5712" t="str">
            <v>-</v>
          </cell>
        </row>
        <row r="5713">
          <cell r="A5713" t="str">
            <v>UT</v>
          </cell>
          <cell r="B5713" t="str">
            <v>B2C</v>
          </cell>
          <cell r="C5713" t="str">
            <v>SH</v>
          </cell>
          <cell r="D5713" t="str">
            <v>001</v>
          </cell>
          <cell r="E5713" t="str">
            <v>SOL</v>
          </cell>
          <cell r="F5713">
            <v>2</v>
          </cell>
          <cell r="G5713" t="str">
            <v>CB39020000060T</v>
          </cell>
          <cell r="H5713">
            <v>6</v>
          </cell>
          <cell r="I5713">
            <v>0.75</v>
          </cell>
          <cell r="J5713">
            <v>6</v>
          </cell>
          <cell r="K5713" t="str">
            <v>-</v>
          </cell>
        </row>
        <row r="5714">
          <cell r="A5714" t="str">
            <v>UT</v>
          </cell>
          <cell r="B5714" t="str">
            <v>CA307</v>
          </cell>
          <cell r="C5714" t="str">
            <v>HCLG</v>
          </cell>
          <cell r="D5714" t="str">
            <v>1100</v>
          </cell>
          <cell r="E5714" t="str">
            <v>90 ELL</v>
          </cell>
          <cell r="F5714">
            <v>2</v>
          </cell>
          <cell r="G5714" t="str">
            <v>CB300105000600</v>
          </cell>
          <cell r="H5714">
            <v>6</v>
          </cell>
          <cell r="I5714" t="str">
            <v>--</v>
          </cell>
          <cell r="J5714">
            <v>9</v>
          </cell>
          <cell r="K5714" t="str">
            <v>-</v>
          </cell>
        </row>
        <row r="5715">
          <cell r="A5715" t="str">
            <v>UT</v>
          </cell>
          <cell r="B5715" t="str">
            <v>CA307</v>
          </cell>
          <cell r="C5715" t="str">
            <v>HCLG</v>
          </cell>
          <cell r="D5715" t="str">
            <v>1100</v>
          </cell>
          <cell r="E5715" t="str">
            <v>SOL</v>
          </cell>
          <cell r="F5715">
            <v>2</v>
          </cell>
          <cell r="G5715" t="str">
            <v>CB39020000060T</v>
          </cell>
          <cell r="H5715">
            <v>6</v>
          </cell>
          <cell r="I5715">
            <v>0.75</v>
          </cell>
          <cell r="J5715">
            <v>1</v>
          </cell>
          <cell r="K5715" t="str">
            <v>-</v>
          </cell>
        </row>
        <row r="5716">
          <cell r="A5716" t="str">
            <v>UT</v>
          </cell>
          <cell r="B5716" t="str">
            <v>CA307</v>
          </cell>
          <cell r="C5716" t="str">
            <v>HCLG</v>
          </cell>
          <cell r="D5716" t="str">
            <v>1100</v>
          </cell>
          <cell r="E5716" t="str">
            <v>TEE</v>
          </cell>
          <cell r="F5716">
            <v>2</v>
          </cell>
          <cell r="G5716" t="str">
            <v>CB300305000600</v>
          </cell>
          <cell r="H5716">
            <v>6</v>
          </cell>
          <cell r="I5716" t="str">
            <v>--</v>
          </cell>
          <cell r="J5716">
            <v>1</v>
          </cell>
          <cell r="K5716" t="str">
            <v>-</v>
          </cell>
        </row>
        <row r="5717">
          <cell r="A5717" t="str">
            <v>UT</v>
          </cell>
          <cell r="B5717" t="str">
            <v>CA307</v>
          </cell>
          <cell r="C5717" t="str">
            <v>HCLG</v>
          </cell>
          <cell r="D5717" t="str">
            <v>1100</v>
          </cell>
          <cell r="E5717" t="str">
            <v>TOL</v>
          </cell>
          <cell r="F5717">
            <v>2</v>
          </cell>
          <cell r="G5717" t="str">
            <v>CB39030000060T</v>
          </cell>
          <cell r="H5717">
            <v>6</v>
          </cell>
          <cell r="I5717">
            <v>0.75</v>
          </cell>
          <cell r="J5717">
            <v>2</v>
          </cell>
          <cell r="K5717" t="str">
            <v>-</v>
          </cell>
        </row>
        <row r="5718">
          <cell r="A5718" t="str">
            <v>UT</v>
          </cell>
          <cell r="B5718" t="str">
            <v>A5C</v>
          </cell>
          <cell r="C5718" t="str">
            <v>WW</v>
          </cell>
          <cell r="D5718" t="str">
            <v>002</v>
          </cell>
          <cell r="E5718" t="str">
            <v>90 ELL</v>
          </cell>
          <cell r="F5718">
            <v>2</v>
          </cell>
          <cell r="G5718" t="str">
            <v>CB300104000600</v>
          </cell>
          <cell r="H5718">
            <v>6</v>
          </cell>
          <cell r="I5718" t="str">
            <v>--</v>
          </cell>
          <cell r="J5718">
            <v>1</v>
          </cell>
          <cell r="K5718" t="str">
            <v>-</v>
          </cell>
        </row>
        <row r="5719">
          <cell r="A5719" t="str">
            <v>UT</v>
          </cell>
          <cell r="B5719" t="str">
            <v>A5C</v>
          </cell>
          <cell r="C5719" t="str">
            <v>WW</v>
          </cell>
          <cell r="D5719" t="str">
            <v>002</v>
          </cell>
          <cell r="E5719" t="str">
            <v>SOL</v>
          </cell>
          <cell r="F5719">
            <v>2</v>
          </cell>
          <cell r="G5719" t="str">
            <v>CB39020000060T</v>
          </cell>
          <cell r="H5719">
            <v>6</v>
          </cell>
          <cell r="I5719">
            <v>0.75</v>
          </cell>
          <cell r="J5719">
            <v>1</v>
          </cell>
          <cell r="K5719" t="str">
            <v>-</v>
          </cell>
        </row>
        <row r="5720">
          <cell r="A5720" t="str">
            <v>UT</v>
          </cell>
          <cell r="B5720" t="str">
            <v>B2C</v>
          </cell>
          <cell r="C5720" t="str">
            <v>SH</v>
          </cell>
          <cell r="D5720" t="str">
            <v>001</v>
          </cell>
          <cell r="E5720" t="str">
            <v>90 ELL</v>
          </cell>
          <cell r="F5720">
            <v>2</v>
          </cell>
          <cell r="G5720" t="str">
            <v>CB300104000800</v>
          </cell>
          <cell r="H5720">
            <v>8</v>
          </cell>
          <cell r="I5720" t="str">
            <v>--</v>
          </cell>
          <cell r="J5720">
            <v>21</v>
          </cell>
          <cell r="K5720" t="str">
            <v>-</v>
          </cell>
        </row>
        <row r="5721">
          <cell r="A5721" t="str">
            <v>UT</v>
          </cell>
          <cell r="B5721" t="str">
            <v>B2C</v>
          </cell>
          <cell r="C5721" t="str">
            <v>SH</v>
          </cell>
          <cell r="D5721" t="str">
            <v>001</v>
          </cell>
          <cell r="E5721" t="str">
            <v>SOL</v>
          </cell>
          <cell r="F5721">
            <v>2</v>
          </cell>
          <cell r="G5721" t="str">
            <v>CB39020000080T</v>
          </cell>
          <cell r="H5721">
            <v>8</v>
          </cell>
          <cell r="I5721">
            <v>0.75</v>
          </cell>
          <cell r="J5721">
            <v>1</v>
          </cell>
          <cell r="K5721" t="str">
            <v>-</v>
          </cell>
        </row>
        <row r="5722">
          <cell r="A5722" t="str">
            <v>UT</v>
          </cell>
          <cell r="B5722" t="str">
            <v>B2C</v>
          </cell>
          <cell r="C5722" t="str">
            <v>SH</v>
          </cell>
          <cell r="D5722" t="str">
            <v>001</v>
          </cell>
          <cell r="E5722" t="str">
            <v>TOL</v>
          </cell>
          <cell r="F5722">
            <v>2</v>
          </cell>
          <cell r="G5722" t="str">
            <v>CB39030000080T</v>
          </cell>
          <cell r="H5722">
            <v>8</v>
          </cell>
          <cell r="I5722">
            <v>0.75</v>
          </cell>
          <cell r="J5722">
            <v>3</v>
          </cell>
          <cell r="K5722" t="str">
            <v>-</v>
          </cell>
        </row>
        <row r="5723">
          <cell r="A5723" t="str">
            <v>UT</v>
          </cell>
          <cell r="B5723" t="str">
            <v>A5C</v>
          </cell>
          <cell r="C5723" t="str">
            <v>WW</v>
          </cell>
          <cell r="D5723" t="str">
            <v>002</v>
          </cell>
          <cell r="E5723" t="str">
            <v>90 ELL</v>
          </cell>
          <cell r="F5723">
            <v>2</v>
          </cell>
          <cell r="G5723" t="str">
            <v>CB300104000800</v>
          </cell>
          <cell r="H5723">
            <v>8</v>
          </cell>
          <cell r="I5723" t="str">
            <v>--</v>
          </cell>
          <cell r="J5723">
            <v>3</v>
          </cell>
          <cell r="K5723" t="str">
            <v>-</v>
          </cell>
        </row>
        <row r="5724">
          <cell r="A5724" t="str">
            <v>UT</v>
          </cell>
          <cell r="B5724" t="str">
            <v>A5C</v>
          </cell>
          <cell r="C5724" t="str">
            <v>WW</v>
          </cell>
          <cell r="D5724" t="str">
            <v>002</v>
          </cell>
          <cell r="E5724" t="str">
            <v>SOL</v>
          </cell>
          <cell r="F5724">
            <v>2</v>
          </cell>
          <cell r="G5724" t="str">
            <v>CB39020000080T</v>
          </cell>
          <cell r="H5724">
            <v>8</v>
          </cell>
          <cell r="I5724">
            <v>0.75</v>
          </cell>
          <cell r="J5724">
            <v>1</v>
          </cell>
          <cell r="K5724" t="str">
            <v>-</v>
          </cell>
        </row>
        <row r="5725">
          <cell r="A5725" t="str">
            <v>UT</v>
          </cell>
          <cell r="B5725" t="str">
            <v>A5C</v>
          </cell>
          <cell r="C5725" t="str">
            <v>WW</v>
          </cell>
          <cell r="D5725" t="str">
            <v>002</v>
          </cell>
          <cell r="E5725" t="str">
            <v>TOL</v>
          </cell>
          <cell r="F5725">
            <v>2</v>
          </cell>
          <cell r="G5725" t="str">
            <v>CB39030000080T</v>
          </cell>
          <cell r="H5725">
            <v>8</v>
          </cell>
          <cell r="I5725">
            <v>0.75</v>
          </cell>
          <cell r="J5725">
            <v>1</v>
          </cell>
          <cell r="K5725" t="str">
            <v>-</v>
          </cell>
        </row>
        <row r="5726">
          <cell r="A5726" t="str">
            <v>UT</v>
          </cell>
          <cell r="B5726" t="str">
            <v>A5C</v>
          </cell>
          <cell r="C5726" t="str">
            <v>WW</v>
          </cell>
          <cell r="D5726" t="str">
            <v>002</v>
          </cell>
          <cell r="E5726" t="str">
            <v>90 ELL</v>
          </cell>
          <cell r="F5726">
            <v>2</v>
          </cell>
          <cell r="G5726" t="str">
            <v>CB300104001200</v>
          </cell>
          <cell r="H5726">
            <v>12</v>
          </cell>
          <cell r="I5726" t="str">
            <v>--</v>
          </cell>
          <cell r="J5726">
            <v>7</v>
          </cell>
          <cell r="K5726" t="str">
            <v>-</v>
          </cell>
        </row>
        <row r="5727">
          <cell r="A5727" t="str">
            <v>UT</v>
          </cell>
          <cell r="B5727" t="str">
            <v>A5C</v>
          </cell>
          <cell r="C5727" t="str">
            <v>WW</v>
          </cell>
          <cell r="D5727" t="str">
            <v>002</v>
          </cell>
          <cell r="E5727" t="str">
            <v>SOL</v>
          </cell>
          <cell r="F5727">
            <v>2</v>
          </cell>
          <cell r="G5727" t="str">
            <v>CB39020000120T</v>
          </cell>
          <cell r="H5727">
            <v>12</v>
          </cell>
          <cell r="I5727">
            <v>0.75</v>
          </cell>
          <cell r="J5727">
            <v>2</v>
          </cell>
          <cell r="K5727" t="str">
            <v>-</v>
          </cell>
        </row>
        <row r="5728">
          <cell r="A5728" t="str">
            <v>UT</v>
          </cell>
          <cell r="B5728" t="str">
            <v>A5C</v>
          </cell>
          <cell r="C5728" t="str">
            <v>WW</v>
          </cell>
          <cell r="D5728" t="str">
            <v>002</v>
          </cell>
          <cell r="E5728" t="str">
            <v>TOL</v>
          </cell>
          <cell r="F5728">
            <v>2</v>
          </cell>
          <cell r="G5728" t="str">
            <v>CB39030000120T</v>
          </cell>
          <cell r="H5728">
            <v>12</v>
          </cell>
          <cell r="I5728">
            <v>0.75</v>
          </cell>
          <cell r="J5728">
            <v>1</v>
          </cell>
          <cell r="K5728" t="str">
            <v>-</v>
          </cell>
        </row>
        <row r="5729">
          <cell r="A5729" t="str">
            <v>UT</v>
          </cell>
          <cell r="B5729" t="str">
            <v>B2C</v>
          </cell>
          <cell r="C5729" t="str">
            <v>SH</v>
          </cell>
          <cell r="D5729" t="str">
            <v>001</v>
          </cell>
          <cell r="E5729" t="str">
            <v>TOL</v>
          </cell>
          <cell r="F5729">
            <v>2</v>
          </cell>
          <cell r="G5729" t="str">
            <v>CB39030000120T</v>
          </cell>
          <cell r="H5729">
            <v>12</v>
          </cell>
          <cell r="I5729">
            <v>0.75</v>
          </cell>
          <cell r="J5729" t="str">
            <v>-</v>
          </cell>
          <cell r="K5729">
            <v>2</v>
          </cell>
        </row>
        <row r="5730">
          <cell r="A5730" t="str">
            <v>UT</v>
          </cell>
          <cell r="B5730" t="str">
            <v>B2C</v>
          </cell>
          <cell r="C5730" t="str">
            <v>SH</v>
          </cell>
          <cell r="D5730" t="str">
            <v>001</v>
          </cell>
          <cell r="E5730" t="str">
            <v>90 ELL</v>
          </cell>
          <cell r="F5730">
            <v>2</v>
          </cell>
          <cell r="G5730" t="str">
            <v>CB300104001200</v>
          </cell>
          <cell r="H5730">
            <v>12</v>
          </cell>
          <cell r="I5730" t="str">
            <v>--</v>
          </cell>
          <cell r="J5730" t="str">
            <v>-</v>
          </cell>
          <cell r="K5730">
            <v>18</v>
          </cell>
        </row>
        <row r="5731">
          <cell r="A5731" t="str">
            <v>UT</v>
          </cell>
          <cell r="B5731" t="str">
            <v>A5C</v>
          </cell>
          <cell r="C5731" t="str">
            <v>WW</v>
          </cell>
          <cell r="D5731" t="str">
            <v>002</v>
          </cell>
          <cell r="E5731" t="str">
            <v>SOL</v>
          </cell>
          <cell r="F5731">
            <v>2</v>
          </cell>
          <cell r="G5731" t="str">
            <v>CB39020000120T</v>
          </cell>
          <cell r="H5731">
            <v>12</v>
          </cell>
          <cell r="I5731">
            <v>0.75</v>
          </cell>
          <cell r="J5731" t="str">
            <v>-</v>
          </cell>
          <cell r="K5731">
            <v>1</v>
          </cell>
        </row>
        <row r="5732">
          <cell r="A5732" t="str">
            <v>UT</v>
          </cell>
          <cell r="B5732" t="str">
            <v>A5C</v>
          </cell>
          <cell r="C5732" t="str">
            <v>WW</v>
          </cell>
          <cell r="D5732" t="str">
            <v>002</v>
          </cell>
          <cell r="E5732" t="str">
            <v>TOL</v>
          </cell>
          <cell r="F5732">
            <v>2</v>
          </cell>
          <cell r="G5732" t="str">
            <v>CB39030000120T</v>
          </cell>
          <cell r="H5732">
            <v>12</v>
          </cell>
          <cell r="I5732">
            <v>0.75</v>
          </cell>
          <cell r="J5732" t="str">
            <v>-</v>
          </cell>
          <cell r="K5732">
            <v>1</v>
          </cell>
        </row>
        <row r="5733">
          <cell r="A5733" t="str">
            <v>UT</v>
          </cell>
          <cell r="B5733" t="str">
            <v>A5C</v>
          </cell>
          <cell r="C5733" t="str">
            <v>WW</v>
          </cell>
          <cell r="D5733" t="str">
            <v>002</v>
          </cell>
          <cell r="E5733" t="str">
            <v>90 ELL</v>
          </cell>
          <cell r="F5733">
            <v>2</v>
          </cell>
          <cell r="G5733" t="str">
            <v>CB300104001200</v>
          </cell>
          <cell r="H5733">
            <v>12</v>
          </cell>
          <cell r="I5733" t="str">
            <v>--</v>
          </cell>
          <cell r="J5733" t="str">
            <v>-</v>
          </cell>
          <cell r="K5733">
            <v>3</v>
          </cell>
        </row>
        <row r="5734">
          <cell r="A5734" t="str">
            <v>UT</v>
          </cell>
          <cell r="B5734" t="str">
            <v>A5C</v>
          </cell>
          <cell r="C5734" t="str">
            <v>WW</v>
          </cell>
          <cell r="D5734" t="str">
            <v>002</v>
          </cell>
          <cell r="E5734" t="str">
            <v>SOL</v>
          </cell>
          <cell r="F5734">
            <v>2</v>
          </cell>
          <cell r="G5734" t="str">
            <v>CB39020000200T</v>
          </cell>
          <cell r="H5734">
            <v>20</v>
          </cell>
          <cell r="I5734">
            <v>0.75</v>
          </cell>
          <cell r="J5734" t="str">
            <v>-</v>
          </cell>
          <cell r="K5734">
            <v>1</v>
          </cell>
        </row>
        <row r="5735">
          <cell r="A5735" t="str">
            <v>UT</v>
          </cell>
          <cell r="B5735" t="str">
            <v>A5C</v>
          </cell>
          <cell r="C5735" t="str">
            <v>WW</v>
          </cell>
          <cell r="D5735" t="str">
            <v>002</v>
          </cell>
          <cell r="E5735" t="str">
            <v>90 ELL</v>
          </cell>
          <cell r="F5735">
            <v>2</v>
          </cell>
          <cell r="G5735" t="str">
            <v>CB300104002000</v>
          </cell>
          <cell r="H5735">
            <v>20</v>
          </cell>
          <cell r="I5735" t="str">
            <v>--</v>
          </cell>
          <cell r="J5735" t="str">
            <v>-</v>
          </cell>
          <cell r="K5735">
            <v>4</v>
          </cell>
        </row>
        <row r="5736">
          <cell r="A5736" t="str">
            <v>UT</v>
          </cell>
          <cell r="B5736" t="str">
            <v>B2C</v>
          </cell>
          <cell r="C5736" t="str">
            <v>SH</v>
          </cell>
          <cell r="D5736" t="str">
            <v>001</v>
          </cell>
          <cell r="E5736" t="str">
            <v>SOL</v>
          </cell>
          <cell r="F5736">
            <v>2</v>
          </cell>
          <cell r="G5736" t="str">
            <v>CB39020000040T</v>
          </cell>
          <cell r="H5736">
            <v>4</v>
          </cell>
          <cell r="I5736">
            <v>0.75</v>
          </cell>
          <cell r="J5736" t="str">
            <v>-</v>
          </cell>
          <cell r="K5736">
            <v>3</v>
          </cell>
        </row>
        <row r="5737">
          <cell r="A5737" t="str">
            <v>UT</v>
          </cell>
          <cell r="B5737" t="str">
            <v>B2C</v>
          </cell>
          <cell r="C5737" t="str">
            <v>SH</v>
          </cell>
          <cell r="D5737" t="str">
            <v>001</v>
          </cell>
          <cell r="E5737" t="str">
            <v>TOL</v>
          </cell>
          <cell r="F5737">
            <v>2</v>
          </cell>
          <cell r="G5737" t="str">
            <v>CB39030000040T</v>
          </cell>
          <cell r="H5737">
            <v>4</v>
          </cell>
          <cell r="I5737">
            <v>0.75</v>
          </cell>
          <cell r="J5737" t="str">
            <v>-</v>
          </cell>
          <cell r="K5737">
            <v>3</v>
          </cell>
        </row>
        <row r="5738">
          <cell r="A5738" t="str">
            <v>UT</v>
          </cell>
          <cell r="B5738" t="str">
            <v>B2C</v>
          </cell>
          <cell r="C5738" t="str">
            <v>SH</v>
          </cell>
          <cell r="D5738" t="str">
            <v>001</v>
          </cell>
          <cell r="E5738" t="str">
            <v>90 ELL</v>
          </cell>
          <cell r="F5738">
            <v>2</v>
          </cell>
          <cell r="G5738" t="str">
            <v>CB300104000400</v>
          </cell>
          <cell r="H5738">
            <v>4</v>
          </cell>
          <cell r="I5738" t="str">
            <v>--</v>
          </cell>
          <cell r="J5738" t="str">
            <v>-</v>
          </cell>
          <cell r="K5738">
            <v>9</v>
          </cell>
        </row>
        <row r="5739">
          <cell r="A5739" t="str">
            <v>UT</v>
          </cell>
          <cell r="B5739" t="str">
            <v>CA307</v>
          </cell>
          <cell r="C5739" t="str">
            <v>P</v>
          </cell>
          <cell r="D5739" t="str">
            <v>HOLD7</v>
          </cell>
          <cell r="E5739" t="str">
            <v>SOL</v>
          </cell>
          <cell r="F5739">
            <v>2</v>
          </cell>
          <cell r="G5739" t="str">
            <v>CB39020000040T</v>
          </cell>
          <cell r="H5739">
            <v>4</v>
          </cell>
          <cell r="I5739">
            <v>0.75</v>
          </cell>
          <cell r="J5739" t="str">
            <v>-</v>
          </cell>
          <cell r="K5739">
            <v>1</v>
          </cell>
        </row>
        <row r="5740">
          <cell r="A5740" t="str">
            <v>UT</v>
          </cell>
          <cell r="B5740" t="str">
            <v>CA307</v>
          </cell>
          <cell r="C5740" t="str">
            <v>P</v>
          </cell>
          <cell r="D5740" t="str">
            <v>HOLD7</v>
          </cell>
          <cell r="E5740" t="str">
            <v>TOL</v>
          </cell>
          <cell r="F5740">
            <v>2</v>
          </cell>
          <cell r="G5740" t="str">
            <v>CB39030000040T</v>
          </cell>
          <cell r="H5740">
            <v>4</v>
          </cell>
          <cell r="I5740">
            <v>0.75</v>
          </cell>
          <cell r="J5740" t="str">
            <v>-</v>
          </cell>
          <cell r="K5740">
            <v>1</v>
          </cell>
        </row>
        <row r="5741">
          <cell r="A5741" t="str">
            <v>UT</v>
          </cell>
          <cell r="B5741" t="str">
            <v>CA307</v>
          </cell>
          <cell r="C5741" t="str">
            <v>P</v>
          </cell>
          <cell r="D5741" t="str">
            <v>HOLD7</v>
          </cell>
          <cell r="E5741" t="str">
            <v>90 ELL</v>
          </cell>
          <cell r="F5741">
            <v>2</v>
          </cell>
          <cell r="G5741" t="str">
            <v>CB300105000400</v>
          </cell>
          <cell r="H5741">
            <v>4</v>
          </cell>
          <cell r="I5741" t="str">
            <v>--</v>
          </cell>
          <cell r="J5741" t="str">
            <v>-</v>
          </cell>
          <cell r="K5741">
            <v>6</v>
          </cell>
        </row>
        <row r="5742">
          <cell r="A5742" t="str">
            <v>UT</v>
          </cell>
          <cell r="B5742" t="str">
            <v>A5C</v>
          </cell>
          <cell r="C5742" t="str">
            <v>P</v>
          </cell>
          <cell r="D5742" t="str">
            <v>HOLD6</v>
          </cell>
          <cell r="E5742" t="str">
            <v>SOL</v>
          </cell>
          <cell r="F5742">
            <v>2</v>
          </cell>
          <cell r="G5742" t="str">
            <v>CB39020000040T</v>
          </cell>
          <cell r="H5742">
            <v>4</v>
          </cell>
          <cell r="I5742">
            <v>0.75</v>
          </cell>
          <cell r="J5742" t="str">
            <v>-</v>
          </cell>
          <cell r="K5742">
            <v>1</v>
          </cell>
        </row>
        <row r="5743">
          <cell r="A5743" t="str">
            <v>UT</v>
          </cell>
          <cell r="B5743" t="str">
            <v>A5C</v>
          </cell>
          <cell r="C5743" t="str">
            <v>P</v>
          </cell>
          <cell r="D5743" t="str">
            <v>HOLD6</v>
          </cell>
          <cell r="E5743" t="str">
            <v>TOL</v>
          </cell>
          <cell r="F5743">
            <v>2</v>
          </cell>
          <cell r="G5743" t="str">
            <v>CB39030000040T</v>
          </cell>
          <cell r="H5743">
            <v>4</v>
          </cell>
          <cell r="I5743">
            <v>0.75</v>
          </cell>
          <cell r="J5743" t="str">
            <v>-</v>
          </cell>
          <cell r="K5743">
            <v>1</v>
          </cell>
        </row>
        <row r="5744">
          <cell r="A5744" t="str">
            <v>UT</v>
          </cell>
          <cell r="B5744" t="str">
            <v>A5C</v>
          </cell>
          <cell r="C5744" t="str">
            <v>P</v>
          </cell>
          <cell r="D5744" t="str">
            <v>HOLD5</v>
          </cell>
          <cell r="E5744" t="str">
            <v>SOL</v>
          </cell>
          <cell r="F5744">
            <v>2</v>
          </cell>
          <cell r="G5744" t="str">
            <v>CB39020000040T</v>
          </cell>
          <cell r="H5744">
            <v>4</v>
          </cell>
          <cell r="I5744">
            <v>0.75</v>
          </cell>
          <cell r="J5744" t="str">
            <v>-</v>
          </cell>
          <cell r="K5744">
            <v>4</v>
          </cell>
        </row>
        <row r="5745">
          <cell r="A5745" t="str">
            <v>UT</v>
          </cell>
          <cell r="B5745" t="str">
            <v>A5C</v>
          </cell>
          <cell r="C5745" t="str">
            <v>P</v>
          </cell>
          <cell r="D5745" t="str">
            <v>HOLD5</v>
          </cell>
          <cell r="E5745" t="str">
            <v>TOL</v>
          </cell>
          <cell r="F5745">
            <v>2</v>
          </cell>
          <cell r="G5745" t="str">
            <v>CB39030000040T</v>
          </cell>
          <cell r="H5745">
            <v>4</v>
          </cell>
          <cell r="I5745">
            <v>0.75</v>
          </cell>
          <cell r="J5745" t="str">
            <v>-</v>
          </cell>
          <cell r="K5745">
            <v>4</v>
          </cell>
        </row>
        <row r="5746">
          <cell r="A5746" t="str">
            <v>UT</v>
          </cell>
          <cell r="B5746" t="str">
            <v>A5C</v>
          </cell>
          <cell r="C5746" t="str">
            <v>P</v>
          </cell>
          <cell r="D5746" t="str">
            <v>HOLD6</v>
          </cell>
          <cell r="E5746" t="str">
            <v>90 ELL</v>
          </cell>
          <cell r="F5746">
            <v>2</v>
          </cell>
          <cell r="G5746" t="str">
            <v>CB300104000400</v>
          </cell>
          <cell r="H5746">
            <v>4</v>
          </cell>
          <cell r="I5746" t="str">
            <v>--</v>
          </cell>
          <cell r="J5746" t="str">
            <v>-</v>
          </cell>
          <cell r="K5746">
            <v>6</v>
          </cell>
        </row>
        <row r="5747">
          <cell r="A5747" t="str">
            <v>UT</v>
          </cell>
          <cell r="B5747" t="str">
            <v>A5C</v>
          </cell>
          <cell r="C5747" t="str">
            <v>P</v>
          </cell>
          <cell r="D5747" t="str">
            <v>HOLD5</v>
          </cell>
          <cell r="E5747" t="str">
            <v>90 ELL</v>
          </cell>
          <cell r="F5747">
            <v>2</v>
          </cell>
          <cell r="G5747" t="str">
            <v>CB300104000400</v>
          </cell>
          <cell r="H5747">
            <v>4</v>
          </cell>
          <cell r="I5747" t="str">
            <v>--</v>
          </cell>
          <cell r="J5747" t="str">
            <v>-</v>
          </cell>
          <cell r="K5747">
            <v>24</v>
          </cell>
        </row>
        <row r="5748">
          <cell r="A5748" t="str">
            <v>UT</v>
          </cell>
          <cell r="B5748" t="str">
            <v>A5C</v>
          </cell>
          <cell r="C5748" t="str">
            <v>WW</v>
          </cell>
          <cell r="D5748" t="str">
            <v>003</v>
          </cell>
          <cell r="E5748" t="str">
            <v>SOL</v>
          </cell>
          <cell r="F5748">
            <v>2</v>
          </cell>
          <cell r="G5748" t="str">
            <v>CB39020000040T</v>
          </cell>
          <cell r="H5748">
            <v>4</v>
          </cell>
          <cell r="I5748">
            <v>0.75</v>
          </cell>
          <cell r="J5748" t="str">
            <v>-</v>
          </cell>
          <cell r="K5748">
            <v>1</v>
          </cell>
        </row>
        <row r="5749">
          <cell r="A5749" t="str">
            <v>UT</v>
          </cell>
          <cell r="B5749" t="str">
            <v>A5C</v>
          </cell>
          <cell r="C5749" t="str">
            <v>WW</v>
          </cell>
          <cell r="D5749" t="str">
            <v>003</v>
          </cell>
          <cell r="E5749" t="str">
            <v>TOL</v>
          </cell>
          <cell r="F5749">
            <v>2</v>
          </cell>
          <cell r="G5749" t="str">
            <v>CB39030000040T</v>
          </cell>
          <cell r="H5749">
            <v>4</v>
          </cell>
          <cell r="I5749">
            <v>0.75</v>
          </cell>
          <cell r="J5749" t="str">
            <v>-</v>
          </cell>
          <cell r="K5749">
            <v>1</v>
          </cell>
        </row>
        <row r="5750">
          <cell r="A5750" t="str">
            <v>UT</v>
          </cell>
          <cell r="B5750" t="str">
            <v>A5C</v>
          </cell>
          <cell r="C5750" t="str">
            <v>WW</v>
          </cell>
          <cell r="D5750" t="str">
            <v>003</v>
          </cell>
          <cell r="E5750" t="str">
            <v>90 ELL</v>
          </cell>
          <cell r="F5750">
            <v>2</v>
          </cell>
          <cell r="G5750" t="str">
            <v>CB300104000400</v>
          </cell>
          <cell r="H5750">
            <v>4</v>
          </cell>
          <cell r="I5750" t="str">
            <v>--</v>
          </cell>
          <cell r="J5750" t="str">
            <v>-</v>
          </cell>
          <cell r="K5750">
            <v>4</v>
          </cell>
        </row>
        <row r="5751">
          <cell r="A5751" t="str">
            <v>UT</v>
          </cell>
          <cell r="B5751" t="str">
            <v>B2C</v>
          </cell>
          <cell r="C5751" t="str">
            <v>SH</v>
          </cell>
          <cell r="D5751" t="str">
            <v>001</v>
          </cell>
          <cell r="E5751" t="str">
            <v>CAP</v>
          </cell>
          <cell r="F5751">
            <v>2</v>
          </cell>
          <cell r="G5751" t="str">
            <v>CB300704000600</v>
          </cell>
          <cell r="H5751">
            <v>6</v>
          </cell>
          <cell r="I5751" t="str">
            <v>--</v>
          </cell>
          <cell r="J5751" t="str">
            <v>-</v>
          </cell>
          <cell r="K5751">
            <v>3</v>
          </cell>
        </row>
        <row r="5752">
          <cell r="A5752" t="str">
            <v>UT</v>
          </cell>
          <cell r="B5752" t="str">
            <v>B2C</v>
          </cell>
          <cell r="C5752" t="str">
            <v>SH</v>
          </cell>
          <cell r="D5752" t="str">
            <v>001</v>
          </cell>
          <cell r="E5752" t="str">
            <v>SOL</v>
          </cell>
          <cell r="F5752">
            <v>2</v>
          </cell>
          <cell r="G5752" t="str">
            <v>CB39020000060T</v>
          </cell>
          <cell r="H5752">
            <v>6</v>
          </cell>
          <cell r="I5752">
            <v>0.75</v>
          </cell>
          <cell r="J5752" t="str">
            <v>-</v>
          </cell>
          <cell r="K5752">
            <v>6</v>
          </cell>
        </row>
        <row r="5753">
          <cell r="A5753" t="str">
            <v>UT</v>
          </cell>
          <cell r="B5753" t="str">
            <v>CA307</v>
          </cell>
          <cell r="C5753" t="str">
            <v>HCLG</v>
          </cell>
          <cell r="D5753" t="str">
            <v>1100</v>
          </cell>
          <cell r="E5753" t="str">
            <v>SOL</v>
          </cell>
          <cell r="F5753">
            <v>2</v>
          </cell>
          <cell r="G5753" t="str">
            <v>CB39020000060T</v>
          </cell>
          <cell r="H5753">
            <v>6</v>
          </cell>
          <cell r="I5753">
            <v>0.75</v>
          </cell>
          <cell r="J5753" t="str">
            <v>-</v>
          </cell>
          <cell r="K5753">
            <v>1</v>
          </cell>
        </row>
        <row r="5754">
          <cell r="A5754" t="str">
            <v>UT</v>
          </cell>
          <cell r="B5754" t="str">
            <v>CA307</v>
          </cell>
          <cell r="C5754" t="str">
            <v>HCLG</v>
          </cell>
          <cell r="D5754" t="str">
            <v>1100</v>
          </cell>
          <cell r="E5754" t="str">
            <v>TEE</v>
          </cell>
          <cell r="F5754">
            <v>2</v>
          </cell>
          <cell r="G5754" t="str">
            <v>CB300305000600</v>
          </cell>
          <cell r="H5754">
            <v>6</v>
          </cell>
          <cell r="I5754" t="str">
            <v>--</v>
          </cell>
          <cell r="J5754" t="str">
            <v>-</v>
          </cell>
          <cell r="K5754">
            <v>1</v>
          </cell>
        </row>
        <row r="5755">
          <cell r="A5755" t="str">
            <v>UT</v>
          </cell>
          <cell r="B5755" t="str">
            <v>CA307</v>
          </cell>
          <cell r="C5755" t="str">
            <v>HCLG</v>
          </cell>
          <cell r="D5755" t="str">
            <v>1100</v>
          </cell>
          <cell r="E5755" t="str">
            <v>TOL</v>
          </cell>
          <cell r="F5755">
            <v>2</v>
          </cell>
          <cell r="G5755" t="str">
            <v>CB39030000060T</v>
          </cell>
          <cell r="H5755">
            <v>6</v>
          </cell>
          <cell r="I5755">
            <v>0.75</v>
          </cell>
          <cell r="J5755" t="str">
            <v>-</v>
          </cell>
          <cell r="K5755">
            <v>2</v>
          </cell>
        </row>
        <row r="5756">
          <cell r="A5756" t="str">
            <v>UT</v>
          </cell>
          <cell r="B5756" t="str">
            <v>CA307</v>
          </cell>
          <cell r="C5756" t="str">
            <v>HCLG</v>
          </cell>
          <cell r="D5756" t="str">
            <v>1100</v>
          </cell>
          <cell r="E5756" t="str">
            <v>90 ELL</v>
          </cell>
          <cell r="F5756">
            <v>2</v>
          </cell>
          <cell r="G5756" t="str">
            <v>CB300105000600</v>
          </cell>
          <cell r="H5756">
            <v>6</v>
          </cell>
          <cell r="I5756" t="str">
            <v>--</v>
          </cell>
          <cell r="J5756" t="str">
            <v>-</v>
          </cell>
          <cell r="K5756">
            <v>9</v>
          </cell>
        </row>
        <row r="5757">
          <cell r="A5757" t="str">
            <v>UT</v>
          </cell>
          <cell r="B5757" t="str">
            <v>A5C</v>
          </cell>
          <cell r="C5757" t="str">
            <v>WW</v>
          </cell>
          <cell r="D5757" t="str">
            <v>002</v>
          </cell>
          <cell r="E5757" t="str">
            <v>90 ELL</v>
          </cell>
          <cell r="F5757">
            <v>2</v>
          </cell>
          <cell r="G5757" t="str">
            <v>CB300104000600</v>
          </cell>
          <cell r="H5757">
            <v>6</v>
          </cell>
          <cell r="I5757" t="str">
            <v>--</v>
          </cell>
          <cell r="J5757" t="str">
            <v>-</v>
          </cell>
          <cell r="K5757">
            <v>1</v>
          </cell>
        </row>
        <row r="5758">
          <cell r="A5758" t="str">
            <v>UT</v>
          </cell>
          <cell r="B5758" t="str">
            <v>A5C</v>
          </cell>
          <cell r="C5758" t="str">
            <v>WW</v>
          </cell>
          <cell r="D5758" t="str">
            <v>002</v>
          </cell>
          <cell r="E5758" t="str">
            <v>SOL</v>
          </cell>
          <cell r="F5758">
            <v>2</v>
          </cell>
          <cell r="G5758" t="str">
            <v>CB39020000060T</v>
          </cell>
          <cell r="H5758">
            <v>6</v>
          </cell>
          <cell r="I5758">
            <v>0.75</v>
          </cell>
          <cell r="J5758" t="str">
            <v>-</v>
          </cell>
          <cell r="K5758">
            <v>1</v>
          </cell>
        </row>
        <row r="5759">
          <cell r="A5759" t="str">
            <v>UT</v>
          </cell>
          <cell r="B5759" t="str">
            <v>B2C</v>
          </cell>
          <cell r="C5759" t="str">
            <v>SH</v>
          </cell>
          <cell r="D5759" t="str">
            <v>001</v>
          </cell>
          <cell r="E5759" t="str">
            <v>SOL</v>
          </cell>
          <cell r="F5759">
            <v>2</v>
          </cell>
          <cell r="G5759" t="str">
            <v>CB39020000080T</v>
          </cell>
          <cell r="H5759">
            <v>8</v>
          </cell>
          <cell r="I5759">
            <v>0.75</v>
          </cell>
          <cell r="J5759" t="str">
            <v>-</v>
          </cell>
          <cell r="K5759">
            <v>1</v>
          </cell>
        </row>
        <row r="5760">
          <cell r="A5760" t="str">
            <v>UT</v>
          </cell>
          <cell r="B5760" t="str">
            <v>B2C</v>
          </cell>
          <cell r="C5760" t="str">
            <v>SH</v>
          </cell>
          <cell r="D5760" t="str">
            <v>001</v>
          </cell>
          <cell r="E5760" t="str">
            <v>TOL</v>
          </cell>
          <cell r="F5760">
            <v>2</v>
          </cell>
          <cell r="G5760" t="str">
            <v>CB39030000080T</v>
          </cell>
          <cell r="H5760">
            <v>8</v>
          </cell>
          <cell r="I5760">
            <v>0.75</v>
          </cell>
          <cell r="J5760" t="str">
            <v>-</v>
          </cell>
          <cell r="K5760">
            <v>1</v>
          </cell>
        </row>
        <row r="5761">
          <cell r="A5761" t="str">
            <v>UT</v>
          </cell>
          <cell r="B5761" t="str">
            <v>B2C</v>
          </cell>
          <cell r="C5761" t="str">
            <v>SH</v>
          </cell>
          <cell r="D5761" t="str">
            <v>001</v>
          </cell>
          <cell r="E5761" t="str">
            <v>90 ELL</v>
          </cell>
          <cell r="F5761">
            <v>2</v>
          </cell>
          <cell r="G5761" t="str">
            <v>CB300104000800</v>
          </cell>
          <cell r="H5761">
            <v>8</v>
          </cell>
          <cell r="I5761" t="str">
            <v>--</v>
          </cell>
          <cell r="J5761" t="str">
            <v>-</v>
          </cell>
          <cell r="K5761">
            <v>3</v>
          </cell>
        </row>
        <row r="5762">
          <cell r="A5762" t="str">
            <v>UT</v>
          </cell>
          <cell r="B5762" t="str">
            <v>A5C</v>
          </cell>
          <cell r="C5762" t="str">
            <v>WW</v>
          </cell>
          <cell r="D5762" t="str">
            <v>002</v>
          </cell>
          <cell r="E5762" t="str">
            <v>SOL</v>
          </cell>
          <cell r="F5762">
            <v>2</v>
          </cell>
          <cell r="G5762" t="str">
            <v>CB39020000080T</v>
          </cell>
          <cell r="H5762">
            <v>8</v>
          </cell>
          <cell r="I5762">
            <v>0.75</v>
          </cell>
          <cell r="J5762" t="str">
            <v>-</v>
          </cell>
          <cell r="K5762">
            <v>1</v>
          </cell>
        </row>
        <row r="5763">
          <cell r="A5763" t="str">
            <v>UT</v>
          </cell>
          <cell r="B5763" t="str">
            <v>A5C</v>
          </cell>
          <cell r="C5763" t="str">
            <v>WW</v>
          </cell>
          <cell r="D5763" t="str">
            <v>002</v>
          </cell>
          <cell r="E5763" t="str">
            <v>TOL</v>
          </cell>
          <cell r="F5763">
            <v>2</v>
          </cell>
          <cell r="G5763" t="str">
            <v>CB39030000080T</v>
          </cell>
          <cell r="H5763">
            <v>8</v>
          </cell>
          <cell r="I5763">
            <v>0.75</v>
          </cell>
          <cell r="J5763" t="str">
            <v>-</v>
          </cell>
          <cell r="K5763">
            <v>1</v>
          </cell>
        </row>
        <row r="5764">
          <cell r="A5764" t="str">
            <v>UT</v>
          </cell>
          <cell r="B5764" t="str">
            <v>A5C</v>
          </cell>
          <cell r="C5764" t="str">
            <v>WW</v>
          </cell>
          <cell r="D5764" t="str">
            <v>002</v>
          </cell>
          <cell r="E5764" t="str">
            <v>90 ELL</v>
          </cell>
          <cell r="F5764">
            <v>2</v>
          </cell>
          <cell r="G5764" t="str">
            <v>CB300104000800</v>
          </cell>
          <cell r="H5764">
            <v>8</v>
          </cell>
          <cell r="I5764" t="str">
            <v>--</v>
          </cell>
          <cell r="J5764" t="str">
            <v>-</v>
          </cell>
          <cell r="K5764">
            <v>3</v>
          </cell>
        </row>
        <row r="5765">
          <cell r="A5765" t="str">
            <v>UT</v>
          </cell>
          <cell r="B5765" t="str">
            <v>B2C</v>
          </cell>
          <cell r="C5765" t="str">
            <v>SCL</v>
          </cell>
          <cell r="D5765" t="str">
            <v>002</v>
          </cell>
          <cell r="E5765" t="str">
            <v>SW FLG</v>
          </cell>
          <cell r="F5765">
            <v>3</v>
          </cell>
          <cell r="G5765" t="str">
            <v>CB240208000T00</v>
          </cell>
          <cell r="H5765">
            <v>0.75</v>
          </cell>
          <cell r="I5765" t="str">
            <v>--</v>
          </cell>
          <cell r="J5765" t="str">
            <v>-</v>
          </cell>
          <cell r="K5765">
            <v>6</v>
          </cell>
        </row>
        <row r="5766">
          <cell r="A5766" t="str">
            <v>UT</v>
          </cell>
          <cell r="B5766" t="str">
            <v>B2C</v>
          </cell>
          <cell r="C5766" t="str">
            <v>SCL</v>
          </cell>
          <cell r="D5766" t="str">
            <v>002</v>
          </cell>
          <cell r="E5766" t="str">
            <v>SW FLG</v>
          </cell>
          <cell r="F5766">
            <v>3</v>
          </cell>
          <cell r="G5766" t="str">
            <v>CB240208000T00</v>
          </cell>
          <cell r="H5766">
            <v>0.75</v>
          </cell>
          <cell r="I5766" t="str">
            <v>--</v>
          </cell>
          <cell r="J5766">
            <v>6</v>
          </cell>
          <cell r="K5766" t="str">
            <v>-</v>
          </cell>
        </row>
        <row r="5767">
          <cell r="A5767" t="str">
            <v>UT</v>
          </cell>
          <cell r="B5767" t="str">
            <v>B2C</v>
          </cell>
          <cell r="C5767" t="str">
            <v>SH</v>
          </cell>
          <cell r="D5767" t="str">
            <v>001</v>
          </cell>
          <cell r="E5767" t="str">
            <v>WN FLG</v>
          </cell>
          <cell r="F5767">
            <v>3</v>
          </cell>
          <cell r="G5767" t="str">
            <v>CB200204000300</v>
          </cell>
          <cell r="H5767">
            <v>3</v>
          </cell>
          <cell r="I5767" t="str">
            <v>--</v>
          </cell>
          <cell r="J5767" t="str">
            <v>-</v>
          </cell>
          <cell r="K5767">
            <v>2</v>
          </cell>
        </row>
        <row r="5768">
          <cell r="A5768" t="str">
            <v>UT</v>
          </cell>
          <cell r="B5768" t="str">
            <v>B2C</v>
          </cell>
          <cell r="C5768" t="str">
            <v>SH</v>
          </cell>
          <cell r="D5768" t="str">
            <v>001</v>
          </cell>
          <cell r="E5768" t="str">
            <v>WN FLG</v>
          </cell>
          <cell r="F5768">
            <v>3</v>
          </cell>
          <cell r="G5768" t="str">
            <v>CB200204000300</v>
          </cell>
          <cell r="H5768">
            <v>3</v>
          </cell>
          <cell r="I5768" t="str">
            <v>--</v>
          </cell>
          <cell r="J5768">
            <v>2</v>
          </cell>
          <cell r="K5768" t="str">
            <v>-</v>
          </cell>
        </row>
        <row r="5769">
          <cell r="A5769" t="str">
            <v>UT</v>
          </cell>
          <cell r="B5769" t="str">
            <v>A5C</v>
          </cell>
          <cell r="C5769" t="str">
            <v>WW</v>
          </cell>
          <cell r="D5769" t="str">
            <v>003</v>
          </cell>
          <cell r="E5769" t="str">
            <v>WN FLG</v>
          </cell>
          <cell r="F5769">
            <v>3</v>
          </cell>
          <cell r="G5769" t="str">
            <v>CB200104000300</v>
          </cell>
          <cell r="H5769">
            <v>3</v>
          </cell>
          <cell r="I5769" t="str">
            <v>--</v>
          </cell>
          <cell r="J5769">
            <v>1</v>
          </cell>
          <cell r="K5769" t="str">
            <v>-</v>
          </cell>
        </row>
        <row r="5770">
          <cell r="A5770" t="str">
            <v>UT</v>
          </cell>
          <cell r="B5770" t="str">
            <v>B2C</v>
          </cell>
          <cell r="C5770" t="str">
            <v>SH</v>
          </cell>
          <cell r="D5770" t="str">
            <v>001</v>
          </cell>
          <cell r="E5770" t="str">
            <v>WN FLG</v>
          </cell>
          <cell r="F5770">
            <v>3</v>
          </cell>
          <cell r="G5770" t="str">
            <v>CB200204000400</v>
          </cell>
          <cell r="H5770">
            <v>4</v>
          </cell>
          <cell r="I5770" t="str">
            <v>--</v>
          </cell>
          <cell r="J5770">
            <v>3</v>
          </cell>
          <cell r="K5770" t="str">
            <v>-</v>
          </cell>
        </row>
        <row r="5771">
          <cell r="A5771" t="str">
            <v>UT</v>
          </cell>
          <cell r="B5771" t="str">
            <v>A5C</v>
          </cell>
          <cell r="C5771" t="str">
            <v>WW</v>
          </cell>
          <cell r="D5771" t="str">
            <v>002</v>
          </cell>
          <cell r="E5771" t="str">
            <v>WN FLG</v>
          </cell>
          <cell r="F5771">
            <v>3</v>
          </cell>
          <cell r="G5771" t="str">
            <v>CB200104000600</v>
          </cell>
          <cell r="H5771">
            <v>6</v>
          </cell>
          <cell r="I5771" t="str">
            <v>--</v>
          </cell>
          <cell r="J5771">
            <v>1</v>
          </cell>
          <cell r="K5771" t="str">
            <v>-</v>
          </cell>
        </row>
        <row r="5772">
          <cell r="A5772" t="str">
            <v>UT</v>
          </cell>
          <cell r="B5772" t="str">
            <v>B2C</v>
          </cell>
          <cell r="C5772" t="str">
            <v>SH</v>
          </cell>
          <cell r="D5772" t="str">
            <v>001</v>
          </cell>
          <cell r="E5772" t="str">
            <v>WN FLG</v>
          </cell>
          <cell r="F5772">
            <v>3</v>
          </cell>
          <cell r="G5772" t="str">
            <v>CB200204000800</v>
          </cell>
          <cell r="H5772">
            <v>8</v>
          </cell>
          <cell r="I5772" t="str">
            <v>--</v>
          </cell>
          <cell r="J5772">
            <v>2</v>
          </cell>
          <cell r="K5772" t="str">
            <v>-</v>
          </cell>
        </row>
        <row r="5773">
          <cell r="A5773" t="str">
            <v>UT</v>
          </cell>
          <cell r="B5773" t="str">
            <v>A5C</v>
          </cell>
          <cell r="C5773" t="str">
            <v>WW</v>
          </cell>
          <cell r="D5773" t="str">
            <v>002</v>
          </cell>
          <cell r="E5773" t="str">
            <v>WN FLG</v>
          </cell>
          <cell r="F5773">
            <v>3</v>
          </cell>
          <cell r="G5773" t="str">
            <v>CB200104000800</v>
          </cell>
          <cell r="H5773">
            <v>8</v>
          </cell>
          <cell r="I5773" t="str">
            <v>--</v>
          </cell>
          <cell r="J5773">
            <v>1</v>
          </cell>
          <cell r="K5773" t="str">
            <v>-</v>
          </cell>
        </row>
        <row r="5774">
          <cell r="A5774" t="str">
            <v>UT</v>
          </cell>
          <cell r="B5774" t="str">
            <v>A5C</v>
          </cell>
          <cell r="C5774" t="str">
            <v>WW</v>
          </cell>
          <cell r="D5774" t="str">
            <v>002</v>
          </cell>
          <cell r="E5774" t="str">
            <v>WN FLG</v>
          </cell>
          <cell r="F5774">
            <v>3</v>
          </cell>
          <cell r="G5774" t="str">
            <v>CB200104001200</v>
          </cell>
          <cell r="H5774">
            <v>12</v>
          </cell>
          <cell r="I5774" t="str">
            <v>--</v>
          </cell>
          <cell r="J5774">
            <v>2</v>
          </cell>
          <cell r="K5774" t="str">
            <v>-</v>
          </cell>
        </row>
        <row r="5775">
          <cell r="A5775" t="str">
            <v>UT</v>
          </cell>
          <cell r="B5775" t="str">
            <v>B2C</v>
          </cell>
          <cell r="C5775" t="str">
            <v>SH</v>
          </cell>
          <cell r="D5775" t="str">
            <v>001</v>
          </cell>
          <cell r="E5775" t="str">
            <v>WN FLG</v>
          </cell>
          <cell r="F5775">
            <v>3</v>
          </cell>
          <cell r="G5775" t="str">
            <v>CB200204001200</v>
          </cell>
          <cell r="H5775">
            <v>12</v>
          </cell>
          <cell r="I5775" t="str">
            <v>--</v>
          </cell>
          <cell r="J5775" t="str">
            <v>-</v>
          </cell>
          <cell r="K5775">
            <v>1</v>
          </cell>
        </row>
        <row r="5776">
          <cell r="A5776" t="str">
            <v>UT</v>
          </cell>
          <cell r="B5776" t="str">
            <v>A5C</v>
          </cell>
          <cell r="C5776" t="str">
            <v>WW</v>
          </cell>
          <cell r="D5776" t="str">
            <v>002</v>
          </cell>
          <cell r="E5776" t="str">
            <v>WN FLG</v>
          </cell>
          <cell r="F5776">
            <v>3</v>
          </cell>
          <cell r="G5776" t="str">
            <v>CB200104001200</v>
          </cell>
          <cell r="H5776">
            <v>12</v>
          </cell>
          <cell r="I5776" t="str">
            <v>--</v>
          </cell>
          <cell r="J5776" t="str">
            <v>-</v>
          </cell>
          <cell r="K5776">
            <v>1</v>
          </cell>
        </row>
        <row r="5777">
          <cell r="A5777" t="str">
            <v>UT</v>
          </cell>
          <cell r="B5777" t="str">
            <v>A5C</v>
          </cell>
          <cell r="C5777" t="str">
            <v>WW</v>
          </cell>
          <cell r="D5777" t="str">
            <v>002</v>
          </cell>
          <cell r="E5777" t="str">
            <v>WN FLG</v>
          </cell>
          <cell r="F5777">
            <v>3</v>
          </cell>
          <cell r="G5777" t="str">
            <v>CB200104002000</v>
          </cell>
          <cell r="H5777">
            <v>20</v>
          </cell>
          <cell r="I5777" t="str">
            <v>--</v>
          </cell>
          <cell r="J5777" t="str">
            <v>-</v>
          </cell>
          <cell r="K5777">
            <v>1</v>
          </cell>
        </row>
        <row r="5778">
          <cell r="A5778" t="str">
            <v>UT</v>
          </cell>
          <cell r="B5778" t="str">
            <v>B2C</v>
          </cell>
          <cell r="C5778" t="str">
            <v>SH</v>
          </cell>
          <cell r="D5778" t="str">
            <v>001</v>
          </cell>
          <cell r="E5778" t="str">
            <v>WN FLG</v>
          </cell>
          <cell r="F5778">
            <v>3</v>
          </cell>
          <cell r="G5778" t="str">
            <v>CB200204000400</v>
          </cell>
          <cell r="H5778">
            <v>4</v>
          </cell>
          <cell r="I5778" t="str">
            <v>--</v>
          </cell>
          <cell r="J5778" t="str">
            <v>-</v>
          </cell>
          <cell r="K5778">
            <v>3</v>
          </cell>
        </row>
        <row r="5779">
          <cell r="A5779" t="str">
            <v>UT</v>
          </cell>
          <cell r="B5779" t="str">
            <v>A5C</v>
          </cell>
          <cell r="C5779" t="str">
            <v>WW</v>
          </cell>
          <cell r="D5779" t="str">
            <v>003</v>
          </cell>
          <cell r="E5779" t="str">
            <v>WN FLG</v>
          </cell>
          <cell r="F5779">
            <v>3</v>
          </cell>
          <cell r="G5779" t="str">
            <v>CB200104000400</v>
          </cell>
          <cell r="H5779">
            <v>4</v>
          </cell>
          <cell r="I5779" t="str">
            <v>--</v>
          </cell>
          <cell r="J5779" t="str">
            <v>-</v>
          </cell>
          <cell r="K5779">
            <v>1</v>
          </cell>
        </row>
        <row r="5780">
          <cell r="A5780" t="str">
            <v>UT</v>
          </cell>
          <cell r="B5780" t="str">
            <v>A5C</v>
          </cell>
          <cell r="C5780" t="str">
            <v>WW</v>
          </cell>
          <cell r="D5780" t="str">
            <v>002</v>
          </cell>
          <cell r="E5780" t="str">
            <v>WN FLG</v>
          </cell>
          <cell r="F5780">
            <v>3</v>
          </cell>
          <cell r="G5780" t="str">
            <v>CB200104000600</v>
          </cell>
          <cell r="H5780">
            <v>6</v>
          </cell>
          <cell r="I5780" t="str">
            <v>--</v>
          </cell>
          <cell r="J5780" t="str">
            <v>-</v>
          </cell>
          <cell r="K5780">
            <v>1</v>
          </cell>
        </row>
        <row r="5781">
          <cell r="A5781" t="str">
            <v>UT</v>
          </cell>
          <cell r="B5781" t="str">
            <v>B2C</v>
          </cell>
          <cell r="C5781" t="str">
            <v>SH</v>
          </cell>
          <cell r="D5781" t="str">
            <v>001</v>
          </cell>
          <cell r="E5781" t="str">
            <v>WN FLG</v>
          </cell>
          <cell r="F5781">
            <v>3</v>
          </cell>
          <cell r="G5781" t="str">
            <v>CB200204000800</v>
          </cell>
          <cell r="H5781">
            <v>8</v>
          </cell>
          <cell r="I5781" t="str">
            <v>--</v>
          </cell>
          <cell r="J5781" t="str">
            <v>-</v>
          </cell>
          <cell r="K5781">
            <v>1</v>
          </cell>
        </row>
        <row r="5782">
          <cell r="A5782" t="str">
            <v>UT</v>
          </cell>
          <cell r="B5782" t="str">
            <v>A5C</v>
          </cell>
          <cell r="C5782" t="str">
            <v>WW</v>
          </cell>
          <cell r="D5782" t="str">
            <v>002</v>
          </cell>
          <cell r="E5782" t="str">
            <v>WN FLG</v>
          </cell>
          <cell r="F5782">
            <v>3</v>
          </cell>
          <cell r="G5782" t="str">
            <v>CB200104000800</v>
          </cell>
          <cell r="H5782">
            <v>8</v>
          </cell>
          <cell r="I5782" t="str">
            <v>--</v>
          </cell>
          <cell r="J5782" t="str">
            <v>-</v>
          </cell>
          <cell r="K5782">
            <v>1</v>
          </cell>
        </row>
        <row r="5783">
          <cell r="A5783" t="str">
            <v>UT</v>
          </cell>
          <cell r="B5783" t="str">
            <v>B2C</v>
          </cell>
          <cell r="C5783" t="str">
            <v>SCL</v>
          </cell>
          <cell r="D5783" t="str">
            <v>002</v>
          </cell>
          <cell r="E5783" t="str">
            <v>GATE VA</v>
          </cell>
          <cell r="F5783">
            <v>6</v>
          </cell>
          <cell r="G5783" t="str">
            <v>VG8010100000T00</v>
          </cell>
          <cell r="H5783">
            <v>0.75</v>
          </cell>
          <cell r="I5783" t="str">
            <v>--</v>
          </cell>
          <cell r="J5783" t="str">
            <v>-</v>
          </cell>
          <cell r="K5783">
            <v>3</v>
          </cell>
        </row>
        <row r="5784">
          <cell r="A5784" t="str">
            <v>UT</v>
          </cell>
          <cell r="B5784" t="str">
            <v>B2C</v>
          </cell>
          <cell r="C5784" t="str">
            <v>SCL</v>
          </cell>
          <cell r="D5784" t="str">
            <v>002</v>
          </cell>
          <cell r="E5784" t="str">
            <v>GATE VA</v>
          </cell>
          <cell r="F5784">
            <v>6</v>
          </cell>
          <cell r="G5784" t="str">
            <v>VG8010400000T00</v>
          </cell>
          <cell r="H5784">
            <v>0.75</v>
          </cell>
          <cell r="I5784" t="str">
            <v>--</v>
          </cell>
          <cell r="J5784" t="str">
            <v>-</v>
          </cell>
          <cell r="K5784">
            <v>3</v>
          </cell>
        </row>
        <row r="5785">
          <cell r="A5785" t="str">
            <v>UT</v>
          </cell>
          <cell r="B5785" t="str">
            <v>B2C</v>
          </cell>
          <cell r="C5785" t="str">
            <v>SH</v>
          </cell>
          <cell r="D5785" t="str">
            <v>001</v>
          </cell>
          <cell r="E5785" t="str">
            <v>GATE VA</v>
          </cell>
          <cell r="F5785">
            <v>6</v>
          </cell>
          <cell r="G5785" t="str">
            <v>VG8010100000T00</v>
          </cell>
          <cell r="H5785">
            <v>0.75</v>
          </cell>
          <cell r="I5785" t="str">
            <v>--</v>
          </cell>
          <cell r="J5785" t="str">
            <v>-</v>
          </cell>
          <cell r="K5785">
            <v>3</v>
          </cell>
        </row>
        <row r="5786">
          <cell r="A5786" t="str">
            <v>UT</v>
          </cell>
          <cell r="B5786" t="str">
            <v>B2C</v>
          </cell>
          <cell r="C5786" t="str">
            <v>SCL</v>
          </cell>
          <cell r="D5786" t="str">
            <v>002</v>
          </cell>
          <cell r="E5786" t="str">
            <v>GLOBE VA</v>
          </cell>
          <cell r="F5786">
            <v>6</v>
          </cell>
          <cell r="G5786" t="str">
            <v>VL8010100000T00</v>
          </cell>
          <cell r="H5786">
            <v>0.75</v>
          </cell>
          <cell r="I5786" t="str">
            <v>--</v>
          </cell>
          <cell r="J5786" t="str">
            <v>-</v>
          </cell>
          <cell r="K5786">
            <v>3</v>
          </cell>
        </row>
        <row r="5787">
          <cell r="A5787" t="str">
            <v>UT</v>
          </cell>
          <cell r="B5787" t="str">
            <v>B2C</v>
          </cell>
          <cell r="C5787" t="str">
            <v>SCL</v>
          </cell>
          <cell r="D5787" t="str">
            <v>002</v>
          </cell>
          <cell r="E5787" t="str">
            <v>GATE VA</v>
          </cell>
          <cell r="F5787">
            <v>6</v>
          </cell>
          <cell r="G5787" t="str">
            <v>VG8010400000T00</v>
          </cell>
          <cell r="H5787">
            <v>0.75</v>
          </cell>
          <cell r="I5787" t="str">
            <v>--</v>
          </cell>
          <cell r="J5787">
            <v>3</v>
          </cell>
          <cell r="K5787" t="str">
            <v>-</v>
          </cell>
        </row>
        <row r="5788">
          <cell r="A5788" t="str">
            <v>UT</v>
          </cell>
          <cell r="B5788" t="str">
            <v>B2C</v>
          </cell>
          <cell r="C5788" t="str">
            <v>SCL</v>
          </cell>
          <cell r="D5788" t="str">
            <v>002</v>
          </cell>
          <cell r="E5788" t="str">
            <v>GATE VA</v>
          </cell>
          <cell r="F5788">
            <v>6</v>
          </cell>
          <cell r="G5788" t="str">
            <v>VG8010100000T00</v>
          </cell>
          <cell r="H5788">
            <v>0.75</v>
          </cell>
          <cell r="I5788" t="str">
            <v>--</v>
          </cell>
          <cell r="J5788">
            <v>3</v>
          </cell>
          <cell r="K5788" t="str">
            <v>-</v>
          </cell>
        </row>
        <row r="5789">
          <cell r="A5789" t="str">
            <v>UT</v>
          </cell>
          <cell r="B5789" t="str">
            <v>B2C</v>
          </cell>
          <cell r="C5789" t="str">
            <v>SH</v>
          </cell>
          <cell r="D5789" t="str">
            <v>001</v>
          </cell>
          <cell r="E5789" t="str">
            <v>GATE VA</v>
          </cell>
          <cell r="F5789">
            <v>6</v>
          </cell>
          <cell r="G5789" t="str">
            <v>VG8010100000T00</v>
          </cell>
          <cell r="H5789">
            <v>0.75</v>
          </cell>
          <cell r="I5789" t="str">
            <v>--</v>
          </cell>
          <cell r="J5789">
            <v>3</v>
          </cell>
          <cell r="K5789" t="str">
            <v>-</v>
          </cell>
        </row>
        <row r="5790">
          <cell r="A5790" t="str">
            <v>UT</v>
          </cell>
          <cell r="B5790" t="str">
            <v>B2C</v>
          </cell>
          <cell r="C5790" t="str">
            <v>SH</v>
          </cell>
          <cell r="D5790" t="str">
            <v>001</v>
          </cell>
          <cell r="E5790" t="str">
            <v>GATE VA</v>
          </cell>
          <cell r="F5790">
            <v>6</v>
          </cell>
          <cell r="G5790" t="str">
            <v>VG8010400000T00</v>
          </cell>
          <cell r="H5790">
            <v>0.75</v>
          </cell>
          <cell r="I5790" t="str">
            <v>--</v>
          </cell>
          <cell r="J5790" t="str">
            <v>-</v>
          </cell>
          <cell r="K5790">
            <v>9</v>
          </cell>
        </row>
        <row r="5791">
          <cell r="A5791" t="str">
            <v>UT</v>
          </cell>
          <cell r="B5791" t="str">
            <v>B2C</v>
          </cell>
          <cell r="C5791" t="str">
            <v>SH</v>
          </cell>
          <cell r="D5791" t="str">
            <v>001</v>
          </cell>
          <cell r="E5791" t="str">
            <v>GATE VA</v>
          </cell>
          <cell r="F5791">
            <v>6</v>
          </cell>
          <cell r="G5791" t="str">
            <v>VG8010400000T00</v>
          </cell>
          <cell r="H5791">
            <v>0.75</v>
          </cell>
          <cell r="I5791" t="str">
            <v>--</v>
          </cell>
          <cell r="J5791">
            <v>9</v>
          </cell>
          <cell r="K5791" t="str">
            <v>-</v>
          </cell>
        </row>
        <row r="5792">
          <cell r="A5792" t="str">
            <v>UT</v>
          </cell>
          <cell r="B5792" t="str">
            <v>B2C</v>
          </cell>
          <cell r="C5792" t="str">
            <v>SCL</v>
          </cell>
          <cell r="D5792" t="str">
            <v>002</v>
          </cell>
          <cell r="E5792" t="str">
            <v>GLOBE VA</v>
          </cell>
          <cell r="F5792">
            <v>6</v>
          </cell>
          <cell r="G5792" t="str">
            <v>VL8010100000T00</v>
          </cell>
          <cell r="H5792">
            <v>0.75</v>
          </cell>
          <cell r="I5792" t="str">
            <v>--</v>
          </cell>
          <cell r="J5792">
            <v>3</v>
          </cell>
          <cell r="K5792" t="str">
            <v>-</v>
          </cell>
        </row>
        <row r="5793">
          <cell r="A5793" t="str">
            <v>UT</v>
          </cell>
          <cell r="B5793" t="str">
            <v>CA307</v>
          </cell>
          <cell r="C5793" t="str">
            <v>P</v>
          </cell>
          <cell r="D5793" t="str">
            <v>HOLD7</v>
          </cell>
          <cell r="E5793" t="str">
            <v>BELLOWS VA</v>
          </cell>
          <cell r="F5793">
            <v>6</v>
          </cell>
          <cell r="G5793" t="str">
            <v>VBE8010500000T00</v>
          </cell>
          <cell r="H5793">
            <v>0.75</v>
          </cell>
          <cell r="I5793" t="str">
            <v>--</v>
          </cell>
          <cell r="J5793" t="str">
            <v>-</v>
          </cell>
          <cell r="K5793">
            <v>1</v>
          </cell>
        </row>
        <row r="5794">
          <cell r="A5794" t="str">
            <v>UT</v>
          </cell>
          <cell r="B5794" t="str">
            <v>CA307</v>
          </cell>
          <cell r="C5794" t="str">
            <v>P</v>
          </cell>
          <cell r="D5794" t="str">
            <v>HOLD7</v>
          </cell>
          <cell r="E5794" t="str">
            <v>BELLOWS VA</v>
          </cell>
          <cell r="F5794">
            <v>6</v>
          </cell>
          <cell r="G5794" t="str">
            <v>VBE8010500000T00</v>
          </cell>
          <cell r="H5794">
            <v>0.75</v>
          </cell>
          <cell r="I5794" t="str">
            <v>--</v>
          </cell>
          <cell r="J5794">
            <v>1</v>
          </cell>
          <cell r="K5794" t="str">
            <v>-</v>
          </cell>
        </row>
        <row r="5795">
          <cell r="A5795" t="str">
            <v>UT</v>
          </cell>
          <cell r="B5795" t="str">
            <v>A5C</v>
          </cell>
          <cell r="C5795" t="str">
            <v>P</v>
          </cell>
          <cell r="D5795" t="str">
            <v>HOLD4</v>
          </cell>
          <cell r="E5795" t="str">
            <v>BALL VA</v>
          </cell>
          <cell r="F5795">
            <v>6</v>
          </cell>
          <cell r="G5795" t="str">
            <v>VB8010600000T00</v>
          </cell>
          <cell r="H5795">
            <v>0.75</v>
          </cell>
          <cell r="I5795" t="str">
            <v>--</v>
          </cell>
          <cell r="J5795" t="str">
            <v>-</v>
          </cell>
          <cell r="K5795">
            <v>1</v>
          </cell>
        </row>
        <row r="5796">
          <cell r="A5796" t="str">
            <v>UT</v>
          </cell>
          <cell r="B5796" t="str">
            <v>A5C</v>
          </cell>
          <cell r="C5796" t="str">
            <v>P</v>
          </cell>
          <cell r="D5796" t="str">
            <v>HOLD6</v>
          </cell>
          <cell r="E5796" t="str">
            <v>BALL VA</v>
          </cell>
          <cell r="F5796">
            <v>6</v>
          </cell>
          <cell r="G5796" t="str">
            <v>VB8010600000T00</v>
          </cell>
          <cell r="H5796">
            <v>0.75</v>
          </cell>
          <cell r="I5796" t="str">
            <v>--</v>
          </cell>
          <cell r="J5796" t="str">
            <v>-</v>
          </cell>
          <cell r="K5796">
            <v>1</v>
          </cell>
        </row>
        <row r="5797">
          <cell r="A5797" t="str">
            <v>UT</v>
          </cell>
          <cell r="B5797" t="str">
            <v>CA307</v>
          </cell>
          <cell r="C5797" t="str">
            <v>HCLG</v>
          </cell>
          <cell r="D5797" t="str">
            <v>1100</v>
          </cell>
          <cell r="E5797" t="str">
            <v>BELLOWS VA</v>
          </cell>
          <cell r="F5797">
            <v>6</v>
          </cell>
          <cell r="G5797" t="str">
            <v>VBE8010500000T00</v>
          </cell>
          <cell r="H5797">
            <v>0.75</v>
          </cell>
          <cell r="I5797" t="str">
            <v>--</v>
          </cell>
          <cell r="J5797" t="str">
            <v>-</v>
          </cell>
          <cell r="K5797">
            <v>1</v>
          </cell>
        </row>
        <row r="5798">
          <cell r="A5798" t="str">
            <v>UT</v>
          </cell>
          <cell r="B5798" t="str">
            <v>A5C</v>
          </cell>
          <cell r="C5798" t="str">
            <v>P</v>
          </cell>
          <cell r="D5798" t="str">
            <v>HOLD1</v>
          </cell>
          <cell r="E5798" t="str">
            <v>BALL VA</v>
          </cell>
          <cell r="F5798">
            <v>6</v>
          </cell>
          <cell r="G5798" t="str">
            <v>VB8010600000T00</v>
          </cell>
          <cell r="H5798">
            <v>0.75</v>
          </cell>
          <cell r="I5798" t="str">
            <v>--</v>
          </cell>
          <cell r="J5798" t="str">
            <v>-</v>
          </cell>
          <cell r="K5798">
            <v>2</v>
          </cell>
        </row>
        <row r="5799">
          <cell r="A5799" t="str">
            <v>UT</v>
          </cell>
          <cell r="B5799" t="str">
            <v>A5C</v>
          </cell>
          <cell r="C5799" t="str">
            <v>P</v>
          </cell>
          <cell r="D5799" t="str">
            <v>HOLD3</v>
          </cell>
          <cell r="E5799" t="str">
            <v>BALL VA</v>
          </cell>
          <cell r="F5799">
            <v>6</v>
          </cell>
          <cell r="G5799" t="str">
            <v>VB8010600000T00</v>
          </cell>
          <cell r="H5799">
            <v>0.75</v>
          </cell>
          <cell r="I5799" t="str">
            <v>--</v>
          </cell>
          <cell r="J5799" t="str">
            <v>-</v>
          </cell>
          <cell r="K5799">
            <v>2</v>
          </cell>
        </row>
        <row r="5800">
          <cell r="A5800" t="str">
            <v>UT</v>
          </cell>
          <cell r="B5800" t="str">
            <v>A5C</v>
          </cell>
          <cell r="C5800" t="str">
            <v>P</v>
          </cell>
          <cell r="D5800" t="str">
            <v>HOLD2</v>
          </cell>
          <cell r="E5800" t="str">
            <v>BALL VA</v>
          </cell>
          <cell r="F5800">
            <v>6</v>
          </cell>
          <cell r="G5800" t="str">
            <v>VB8010600000T00</v>
          </cell>
          <cell r="H5800">
            <v>0.75</v>
          </cell>
          <cell r="I5800" t="str">
            <v>--</v>
          </cell>
          <cell r="J5800" t="str">
            <v>-</v>
          </cell>
          <cell r="K5800">
            <v>4</v>
          </cell>
        </row>
        <row r="5801">
          <cell r="A5801" t="str">
            <v>UT</v>
          </cell>
          <cell r="B5801" t="str">
            <v>A5C</v>
          </cell>
          <cell r="C5801" t="str">
            <v>P</v>
          </cell>
          <cell r="D5801" t="str">
            <v>HOLD5</v>
          </cell>
          <cell r="E5801" t="str">
            <v>BALL VA</v>
          </cell>
          <cell r="F5801">
            <v>6</v>
          </cell>
          <cell r="G5801" t="str">
            <v>VB8010600000T00</v>
          </cell>
          <cell r="H5801">
            <v>0.75</v>
          </cell>
          <cell r="I5801" t="str">
            <v>--</v>
          </cell>
          <cell r="J5801" t="str">
            <v>-</v>
          </cell>
          <cell r="K5801">
            <v>4</v>
          </cell>
        </row>
        <row r="5802">
          <cell r="A5802" t="str">
            <v>UT</v>
          </cell>
          <cell r="B5802" t="str">
            <v>A5C</v>
          </cell>
          <cell r="C5802" t="str">
            <v>P</v>
          </cell>
          <cell r="D5802" t="str">
            <v>HOLD1</v>
          </cell>
          <cell r="E5802" t="str">
            <v>BALL VA</v>
          </cell>
          <cell r="F5802">
            <v>6</v>
          </cell>
          <cell r="G5802" t="str">
            <v>VB8010600000T00</v>
          </cell>
          <cell r="H5802">
            <v>0.75</v>
          </cell>
          <cell r="I5802" t="str">
            <v>--</v>
          </cell>
          <cell r="J5802">
            <v>2</v>
          </cell>
          <cell r="K5802" t="str">
            <v>-</v>
          </cell>
        </row>
        <row r="5803">
          <cell r="A5803" t="str">
            <v>UT</v>
          </cell>
          <cell r="B5803" t="str">
            <v>A5C</v>
          </cell>
          <cell r="C5803" t="str">
            <v>P</v>
          </cell>
          <cell r="D5803" t="str">
            <v>HOLD2</v>
          </cell>
          <cell r="E5803" t="str">
            <v>BALL VA</v>
          </cell>
          <cell r="F5803">
            <v>6</v>
          </cell>
          <cell r="G5803" t="str">
            <v>VB8010600000T00</v>
          </cell>
          <cell r="H5803">
            <v>0.75</v>
          </cell>
          <cell r="I5803" t="str">
            <v>--</v>
          </cell>
          <cell r="J5803">
            <v>4</v>
          </cell>
          <cell r="K5803" t="str">
            <v>-</v>
          </cell>
        </row>
        <row r="5804">
          <cell r="A5804" t="str">
            <v>UT</v>
          </cell>
          <cell r="B5804" t="str">
            <v>A5C</v>
          </cell>
          <cell r="C5804" t="str">
            <v>P</v>
          </cell>
          <cell r="D5804" t="str">
            <v>HOLD3</v>
          </cell>
          <cell r="E5804" t="str">
            <v>BALL VA</v>
          </cell>
          <cell r="F5804">
            <v>6</v>
          </cell>
          <cell r="G5804" t="str">
            <v>VB8010600000T00</v>
          </cell>
          <cell r="H5804">
            <v>0.75</v>
          </cell>
          <cell r="I5804" t="str">
            <v>--</v>
          </cell>
          <cell r="J5804">
            <v>2</v>
          </cell>
          <cell r="K5804" t="str">
            <v>-</v>
          </cell>
        </row>
        <row r="5805">
          <cell r="A5805" t="str">
            <v>UT</v>
          </cell>
          <cell r="B5805" t="str">
            <v>A5C</v>
          </cell>
          <cell r="C5805" t="str">
            <v>P</v>
          </cell>
          <cell r="D5805" t="str">
            <v>HOLD4</v>
          </cell>
          <cell r="E5805" t="str">
            <v>BALL VA</v>
          </cell>
          <cell r="F5805">
            <v>6</v>
          </cell>
          <cell r="G5805" t="str">
            <v>VB8010600000T00</v>
          </cell>
          <cell r="H5805">
            <v>0.75</v>
          </cell>
          <cell r="I5805" t="str">
            <v>--</v>
          </cell>
          <cell r="J5805">
            <v>1</v>
          </cell>
          <cell r="K5805" t="str">
            <v>-</v>
          </cell>
        </row>
        <row r="5806">
          <cell r="A5806" t="str">
            <v>UT</v>
          </cell>
          <cell r="B5806" t="str">
            <v>A5C</v>
          </cell>
          <cell r="C5806" t="str">
            <v>P</v>
          </cell>
          <cell r="D5806" t="str">
            <v>HOLD5</v>
          </cell>
          <cell r="E5806" t="str">
            <v>BALL VA</v>
          </cell>
          <cell r="F5806">
            <v>6</v>
          </cell>
          <cell r="G5806" t="str">
            <v>VB8010600000T00</v>
          </cell>
          <cell r="H5806">
            <v>0.75</v>
          </cell>
          <cell r="I5806" t="str">
            <v>--</v>
          </cell>
          <cell r="J5806">
            <v>4</v>
          </cell>
          <cell r="K5806" t="str">
            <v>-</v>
          </cell>
        </row>
        <row r="5807">
          <cell r="A5807" t="str">
            <v>UT</v>
          </cell>
          <cell r="B5807" t="str">
            <v>A5C</v>
          </cell>
          <cell r="C5807" t="str">
            <v>P</v>
          </cell>
          <cell r="D5807" t="str">
            <v>HOLD6</v>
          </cell>
          <cell r="E5807" t="str">
            <v>BALL VA</v>
          </cell>
          <cell r="F5807">
            <v>6</v>
          </cell>
          <cell r="G5807" t="str">
            <v>VB8010600000T00</v>
          </cell>
          <cell r="H5807">
            <v>0.75</v>
          </cell>
          <cell r="I5807" t="str">
            <v>--</v>
          </cell>
          <cell r="J5807">
            <v>1</v>
          </cell>
          <cell r="K5807" t="str">
            <v>-</v>
          </cell>
        </row>
        <row r="5808">
          <cell r="A5808" t="str">
            <v>UT</v>
          </cell>
          <cell r="B5808" t="str">
            <v>CA307</v>
          </cell>
          <cell r="C5808" t="str">
            <v>HCLG</v>
          </cell>
          <cell r="D5808" t="str">
            <v>1100</v>
          </cell>
          <cell r="E5808" t="str">
            <v>BELLOWS VA</v>
          </cell>
          <cell r="F5808">
            <v>6</v>
          </cell>
          <cell r="G5808" t="str">
            <v>VBE8010500000T00</v>
          </cell>
          <cell r="H5808">
            <v>0.75</v>
          </cell>
          <cell r="I5808" t="str">
            <v>--</v>
          </cell>
          <cell r="J5808">
            <v>1</v>
          </cell>
          <cell r="K5808" t="str">
            <v>-</v>
          </cell>
        </row>
        <row r="5809">
          <cell r="A5809" t="str">
            <v>UT</v>
          </cell>
          <cell r="B5809" t="str">
            <v>A5C</v>
          </cell>
          <cell r="C5809" t="str">
            <v>WW</v>
          </cell>
          <cell r="D5809" t="str">
            <v>003</v>
          </cell>
          <cell r="E5809" t="str">
            <v>GATE VA</v>
          </cell>
          <cell r="F5809">
            <v>6</v>
          </cell>
          <cell r="G5809" t="str">
            <v>VG8010100000T00</v>
          </cell>
          <cell r="H5809">
            <v>0.75</v>
          </cell>
          <cell r="I5809" t="str">
            <v>--</v>
          </cell>
          <cell r="J5809" t="str">
            <v>-</v>
          </cell>
          <cell r="K5809">
            <v>1</v>
          </cell>
        </row>
        <row r="5810">
          <cell r="A5810" t="str">
            <v>UT</v>
          </cell>
          <cell r="B5810" t="str">
            <v>A5C</v>
          </cell>
          <cell r="C5810" t="str">
            <v>WW</v>
          </cell>
          <cell r="D5810" t="str">
            <v>003</v>
          </cell>
          <cell r="E5810" t="str">
            <v>GATE VA</v>
          </cell>
          <cell r="F5810">
            <v>6</v>
          </cell>
          <cell r="G5810" t="str">
            <v>VG8010100000T00</v>
          </cell>
          <cell r="H5810">
            <v>0.75</v>
          </cell>
          <cell r="I5810" t="str">
            <v>--</v>
          </cell>
          <cell r="J5810">
            <v>1</v>
          </cell>
          <cell r="K5810" t="str">
            <v>-</v>
          </cell>
        </row>
        <row r="5811">
          <cell r="A5811" t="str">
            <v>UT</v>
          </cell>
          <cell r="B5811" t="str">
            <v>A5C</v>
          </cell>
          <cell r="C5811" t="str">
            <v>WW</v>
          </cell>
          <cell r="D5811" t="str">
            <v>002</v>
          </cell>
          <cell r="E5811" t="str">
            <v>GATE VA</v>
          </cell>
          <cell r="F5811">
            <v>6</v>
          </cell>
          <cell r="G5811" t="str">
            <v>VG8010400000T00</v>
          </cell>
          <cell r="H5811">
            <v>0.75</v>
          </cell>
          <cell r="I5811" t="str">
            <v>--</v>
          </cell>
          <cell r="J5811" t="str">
            <v>-</v>
          </cell>
          <cell r="K5811">
            <v>4</v>
          </cell>
        </row>
        <row r="5812">
          <cell r="A5812" t="str">
            <v>UT</v>
          </cell>
          <cell r="B5812" t="str">
            <v>A5C</v>
          </cell>
          <cell r="C5812" t="str">
            <v>WW</v>
          </cell>
          <cell r="D5812" t="str">
            <v>002</v>
          </cell>
          <cell r="E5812" t="str">
            <v>GATE VA</v>
          </cell>
          <cell r="F5812">
            <v>6</v>
          </cell>
          <cell r="G5812" t="str">
            <v>VG8010400000T00</v>
          </cell>
          <cell r="H5812">
            <v>0.75</v>
          </cell>
          <cell r="I5812" t="str">
            <v>--</v>
          </cell>
          <cell r="J5812">
            <v>4</v>
          </cell>
          <cell r="K5812" t="str">
            <v>-</v>
          </cell>
        </row>
        <row r="5813">
          <cell r="A5813" t="str">
            <v>UT</v>
          </cell>
          <cell r="B5813" t="str">
            <v>B2C</v>
          </cell>
          <cell r="C5813" t="str">
            <v>SCL</v>
          </cell>
          <cell r="D5813" t="str">
            <v>002</v>
          </cell>
          <cell r="E5813" t="str">
            <v>STEAM TRAP</v>
          </cell>
          <cell r="F5813">
            <v>7</v>
          </cell>
          <cell r="G5813" t="str">
            <v>SP-05-100000T00</v>
          </cell>
          <cell r="H5813">
            <v>0.75</v>
          </cell>
          <cell r="I5813" t="str">
            <v>--</v>
          </cell>
          <cell r="J5813" t="str">
            <v>-</v>
          </cell>
          <cell r="K5813">
            <v>3</v>
          </cell>
        </row>
        <row r="5814">
          <cell r="A5814" t="str">
            <v>UT</v>
          </cell>
          <cell r="B5814" t="str">
            <v>B2C</v>
          </cell>
          <cell r="C5814" t="str">
            <v>SCL</v>
          </cell>
          <cell r="D5814" t="str">
            <v>002</v>
          </cell>
          <cell r="E5814" t="str">
            <v>STEAM TRAP</v>
          </cell>
          <cell r="F5814">
            <v>7</v>
          </cell>
          <cell r="G5814" t="str">
            <v>SP-05-100000T00</v>
          </cell>
          <cell r="H5814">
            <v>0.75</v>
          </cell>
          <cell r="I5814" t="str">
            <v>--</v>
          </cell>
          <cell r="J5814">
            <v>3</v>
          </cell>
          <cell r="K5814" t="str">
            <v>-</v>
          </cell>
        </row>
        <row r="5815">
          <cell r="A5815" t="str">
            <v>M1</v>
          </cell>
          <cell r="B5815" t="str">
            <v>A5C</v>
          </cell>
          <cell r="C5815" t="str">
            <v>SCD</v>
          </cell>
          <cell r="D5815" t="str">
            <v>HOLD1</v>
          </cell>
          <cell r="E5815" t="str">
            <v>C SWG</v>
          </cell>
          <cell r="F5815">
            <v>2</v>
          </cell>
          <cell r="G5815" t="str">
            <v>CB161308080H0Q</v>
          </cell>
          <cell r="H5815">
            <v>0.25</v>
          </cell>
          <cell r="I5815" t="str">
            <v>-</v>
          </cell>
          <cell r="J5815">
            <v>2</v>
          </cell>
          <cell r="K5815">
            <v>2</v>
          </cell>
        </row>
        <row r="5816">
          <cell r="A5816" t="str">
            <v>M1</v>
          </cell>
          <cell r="B5816" t="str">
            <v>A5C</v>
          </cell>
          <cell r="C5816" t="str">
            <v>SCC</v>
          </cell>
          <cell r="D5816" t="str">
            <v>HOLD1</v>
          </cell>
          <cell r="E5816" t="str">
            <v>C SWG</v>
          </cell>
          <cell r="F5816">
            <v>2</v>
          </cell>
          <cell r="G5816" t="str">
            <v>CB161308080H0Q</v>
          </cell>
          <cell r="H5816">
            <v>0.25</v>
          </cell>
          <cell r="I5816" t="str">
            <v>-</v>
          </cell>
          <cell r="J5816">
            <v>3</v>
          </cell>
          <cell r="K5816">
            <v>3</v>
          </cell>
        </row>
        <row r="5817">
          <cell r="A5817" t="str">
            <v>M1</v>
          </cell>
          <cell r="B5817" t="str">
            <v>A5C</v>
          </cell>
          <cell r="C5817" t="str">
            <v>P</v>
          </cell>
          <cell r="D5817" t="str">
            <v>22065</v>
          </cell>
          <cell r="E5817" t="str">
            <v>C SWG</v>
          </cell>
          <cell r="F5817">
            <v>2</v>
          </cell>
          <cell r="G5817" t="str">
            <v>CB161108080T0H</v>
          </cell>
          <cell r="H5817">
            <v>0.5</v>
          </cell>
          <cell r="I5817" t="str">
            <v>-</v>
          </cell>
          <cell r="J5817">
            <v>1</v>
          </cell>
          <cell r="K5817">
            <v>1</v>
          </cell>
        </row>
        <row r="5818">
          <cell r="A5818" t="str">
            <v>M1</v>
          </cell>
          <cell r="B5818" t="str">
            <v>A5C</v>
          </cell>
          <cell r="C5818" t="str">
            <v>SCD</v>
          </cell>
          <cell r="D5818" t="str">
            <v>HOLD1</v>
          </cell>
          <cell r="E5818" t="str">
            <v>C SWG</v>
          </cell>
          <cell r="F5818">
            <v>2</v>
          </cell>
          <cell r="G5818" t="str">
            <v>CB161308080T0Q</v>
          </cell>
          <cell r="H5818">
            <v>0.25</v>
          </cell>
          <cell r="I5818" t="str">
            <v>-</v>
          </cell>
          <cell r="J5818">
            <v>2</v>
          </cell>
          <cell r="K5818">
            <v>2</v>
          </cell>
        </row>
        <row r="5819">
          <cell r="A5819" t="str">
            <v>M1</v>
          </cell>
          <cell r="B5819" t="str">
            <v>A5C</v>
          </cell>
          <cell r="C5819" t="str">
            <v>SCD</v>
          </cell>
          <cell r="D5819" t="str">
            <v>HOLD1</v>
          </cell>
          <cell r="E5819" t="str">
            <v>C SWG</v>
          </cell>
          <cell r="F5819">
            <v>2</v>
          </cell>
          <cell r="G5819" t="str">
            <v>CB161108080T0H</v>
          </cell>
          <cell r="H5819">
            <v>0.5</v>
          </cell>
          <cell r="I5819" t="str">
            <v>-</v>
          </cell>
          <cell r="J5819">
            <v>2</v>
          </cell>
          <cell r="K5819">
            <v>2</v>
          </cell>
        </row>
        <row r="5820">
          <cell r="A5820" t="str">
            <v>M1</v>
          </cell>
          <cell r="B5820" t="str">
            <v>A5C</v>
          </cell>
          <cell r="C5820" t="str">
            <v>SCC</v>
          </cell>
          <cell r="D5820" t="str">
            <v>HOLD1</v>
          </cell>
          <cell r="E5820" t="str">
            <v>C SWG</v>
          </cell>
          <cell r="F5820">
            <v>2</v>
          </cell>
          <cell r="G5820" t="str">
            <v>CB161308080T0Q</v>
          </cell>
          <cell r="H5820">
            <v>0.25</v>
          </cell>
          <cell r="I5820" t="str">
            <v>-</v>
          </cell>
          <cell r="J5820">
            <v>3</v>
          </cell>
          <cell r="K5820">
            <v>3</v>
          </cell>
        </row>
        <row r="5821">
          <cell r="A5821" t="str">
            <v>M1</v>
          </cell>
          <cell r="B5821" t="str">
            <v>A5C</v>
          </cell>
          <cell r="C5821" t="str">
            <v>SCC</v>
          </cell>
          <cell r="D5821" t="str">
            <v>HOLD1</v>
          </cell>
          <cell r="E5821" t="str">
            <v>C SWG</v>
          </cell>
          <cell r="F5821">
            <v>2</v>
          </cell>
          <cell r="G5821" t="str">
            <v>CB161108080T0H</v>
          </cell>
          <cell r="H5821">
            <v>0.5</v>
          </cell>
          <cell r="I5821" t="str">
            <v>-</v>
          </cell>
          <cell r="J5821">
            <v>3</v>
          </cell>
          <cell r="K5821">
            <v>3</v>
          </cell>
        </row>
        <row r="5822">
          <cell r="A5822" t="str">
            <v>M1</v>
          </cell>
          <cell r="B5822" t="str">
            <v>A5C</v>
          </cell>
          <cell r="C5822" t="str">
            <v>P</v>
          </cell>
          <cell r="D5822" t="str">
            <v>22065</v>
          </cell>
          <cell r="E5822" t="str">
            <v>R TEE</v>
          </cell>
          <cell r="F5822">
            <v>2</v>
          </cell>
          <cell r="G5822" t="str">
            <v>CB400400000T0H</v>
          </cell>
          <cell r="H5822">
            <v>0.5</v>
          </cell>
          <cell r="I5822" t="str">
            <v>-</v>
          </cell>
          <cell r="J5822">
            <v>1</v>
          </cell>
          <cell r="K5822">
            <v>1</v>
          </cell>
        </row>
        <row r="5823">
          <cell r="A5823" t="str">
            <v>M1</v>
          </cell>
          <cell r="B5823" t="str">
            <v>A5C</v>
          </cell>
          <cell r="C5823" t="str">
            <v>SCC</v>
          </cell>
          <cell r="D5823" t="str">
            <v>HOLD1</v>
          </cell>
          <cell r="E5823" t="str">
            <v>R TEE</v>
          </cell>
          <cell r="F5823">
            <v>2</v>
          </cell>
          <cell r="G5823" t="str">
            <v>CB400400000T0H</v>
          </cell>
          <cell r="H5823">
            <v>0.5</v>
          </cell>
          <cell r="I5823" t="str">
            <v>-</v>
          </cell>
          <cell r="J5823">
            <v>3</v>
          </cell>
          <cell r="K5823">
            <v>3</v>
          </cell>
        </row>
        <row r="5824">
          <cell r="A5824" t="str">
            <v>M1</v>
          </cell>
          <cell r="B5824" t="str">
            <v>A5C</v>
          </cell>
          <cell r="C5824" t="str">
            <v>SCD</v>
          </cell>
          <cell r="D5824" t="str">
            <v>HOLD1</v>
          </cell>
          <cell r="E5824" t="str">
            <v>R TEE</v>
          </cell>
          <cell r="F5824">
            <v>2</v>
          </cell>
          <cell r="G5824" t="str">
            <v>CB400400000T0H</v>
          </cell>
          <cell r="H5824">
            <v>0.5</v>
          </cell>
          <cell r="I5824" t="str">
            <v>-</v>
          </cell>
          <cell r="J5824">
            <v>2</v>
          </cell>
          <cell r="K5824">
            <v>2</v>
          </cell>
        </row>
        <row r="5825">
          <cell r="A5825" t="str">
            <v>M1</v>
          </cell>
          <cell r="B5825" t="str">
            <v>A6C</v>
          </cell>
          <cell r="C5825" t="str">
            <v>HOR</v>
          </cell>
          <cell r="D5825" t="str">
            <v>65620</v>
          </cell>
          <cell r="E5825" t="str">
            <v>C SWG</v>
          </cell>
          <cell r="F5825">
            <v>2</v>
          </cell>
          <cell r="G5825" t="str">
            <v>CB161308080T0Q</v>
          </cell>
          <cell r="H5825">
            <v>0.25</v>
          </cell>
          <cell r="I5825" t="str">
            <v>-</v>
          </cell>
          <cell r="J5825">
            <v>1</v>
          </cell>
          <cell r="K5825">
            <v>1</v>
          </cell>
        </row>
        <row r="5826">
          <cell r="A5826" t="str">
            <v>M1</v>
          </cell>
          <cell r="B5826" t="str">
            <v>A5C</v>
          </cell>
          <cell r="C5826" t="str">
            <v>N</v>
          </cell>
          <cell r="D5826" t="str">
            <v>22670</v>
          </cell>
          <cell r="E5826" t="str">
            <v>C SWG</v>
          </cell>
          <cell r="F5826">
            <v>2</v>
          </cell>
          <cell r="G5826" t="str">
            <v>CB16110808010T</v>
          </cell>
          <cell r="H5826">
            <v>0.75</v>
          </cell>
          <cell r="I5826" t="str">
            <v>-</v>
          </cell>
          <cell r="J5826">
            <v>1</v>
          </cell>
          <cell r="K5826">
            <v>1</v>
          </cell>
        </row>
        <row r="5827">
          <cell r="A5827" t="str">
            <v>M1</v>
          </cell>
          <cell r="B5827" t="str">
            <v>A5C</v>
          </cell>
          <cell r="C5827" t="str">
            <v>P</v>
          </cell>
          <cell r="D5827" t="str">
            <v>24029</v>
          </cell>
          <cell r="E5827" t="str">
            <v>C SWG</v>
          </cell>
          <cell r="F5827">
            <v>2</v>
          </cell>
          <cell r="G5827" t="str">
            <v>CB16110808010T</v>
          </cell>
          <cell r="H5827">
            <v>0.75</v>
          </cell>
          <cell r="I5827" t="str">
            <v>-</v>
          </cell>
          <cell r="J5827">
            <v>1</v>
          </cell>
          <cell r="K5827">
            <v>1</v>
          </cell>
        </row>
        <row r="5828">
          <cell r="A5828" t="str">
            <v>M1</v>
          </cell>
          <cell r="B5828" t="str">
            <v>A5C</v>
          </cell>
          <cell r="C5828" t="str">
            <v>TRIM</v>
          </cell>
          <cell r="D5828" t="str">
            <v>V-2206</v>
          </cell>
          <cell r="E5828" t="str">
            <v>C SWG</v>
          </cell>
          <cell r="F5828">
            <v>2</v>
          </cell>
          <cell r="G5828" t="str">
            <v>CB16110808010T</v>
          </cell>
          <cell r="H5828">
            <v>0.75</v>
          </cell>
          <cell r="I5828" t="str">
            <v>-</v>
          </cell>
          <cell r="J5828">
            <v>1</v>
          </cell>
          <cell r="K5828">
            <v>1</v>
          </cell>
        </row>
        <row r="5829">
          <cell r="A5829" t="str">
            <v>M1</v>
          </cell>
          <cell r="B5829" t="str">
            <v>A5C</v>
          </cell>
          <cell r="C5829" t="str">
            <v>N</v>
          </cell>
          <cell r="D5829" t="str">
            <v>22670</v>
          </cell>
          <cell r="E5829" t="str">
            <v>C SWG</v>
          </cell>
          <cell r="F5829">
            <v>2</v>
          </cell>
          <cell r="G5829" t="str">
            <v>CB16110808010H</v>
          </cell>
          <cell r="H5829">
            <v>0.5</v>
          </cell>
          <cell r="I5829" t="str">
            <v>-</v>
          </cell>
          <cell r="J5829">
            <v>4</v>
          </cell>
          <cell r="K5829">
            <v>4</v>
          </cell>
        </row>
        <row r="5830">
          <cell r="A5830" t="str">
            <v>M1</v>
          </cell>
          <cell r="B5830" t="str">
            <v>A5C</v>
          </cell>
          <cell r="C5830" t="str">
            <v>P</v>
          </cell>
          <cell r="D5830" t="str">
            <v>22103</v>
          </cell>
          <cell r="E5830" t="str">
            <v>R TEE</v>
          </cell>
          <cell r="F5830">
            <v>2</v>
          </cell>
          <cell r="G5830" t="str">
            <v>CB40040000010T</v>
          </cell>
          <cell r="H5830">
            <v>0.75</v>
          </cell>
          <cell r="I5830" t="str">
            <v>-</v>
          </cell>
          <cell r="J5830">
            <v>1</v>
          </cell>
          <cell r="K5830">
            <v>1</v>
          </cell>
        </row>
        <row r="5831">
          <cell r="A5831" t="str">
            <v>M1</v>
          </cell>
          <cell r="B5831" t="str">
            <v>A5C</v>
          </cell>
          <cell r="C5831" t="str">
            <v>P</v>
          </cell>
          <cell r="D5831" t="str">
            <v>22106</v>
          </cell>
          <cell r="E5831" t="str">
            <v>R TEE</v>
          </cell>
          <cell r="F5831">
            <v>2</v>
          </cell>
          <cell r="G5831" t="str">
            <v>CB40040000010H</v>
          </cell>
          <cell r="H5831">
            <v>0.5</v>
          </cell>
          <cell r="I5831" t="str">
            <v>-</v>
          </cell>
          <cell r="J5831">
            <v>4</v>
          </cell>
          <cell r="K5831">
            <v>4</v>
          </cell>
        </row>
        <row r="5832">
          <cell r="A5832" t="str">
            <v>M1</v>
          </cell>
          <cell r="B5832" t="str">
            <v>A5C</v>
          </cell>
          <cell r="C5832" t="str">
            <v>P</v>
          </cell>
          <cell r="D5832" t="str">
            <v>22106</v>
          </cell>
          <cell r="E5832" t="str">
            <v>R TEE</v>
          </cell>
          <cell r="F5832">
            <v>2</v>
          </cell>
          <cell r="G5832" t="str">
            <v>CB40040000010T</v>
          </cell>
          <cell r="H5832">
            <v>0.75</v>
          </cell>
          <cell r="I5832" t="str">
            <v>-</v>
          </cell>
          <cell r="J5832">
            <v>2</v>
          </cell>
          <cell r="K5832">
            <v>2</v>
          </cell>
        </row>
        <row r="5833">
          <cell r="A5833" t="str">
            <v>M1</v>
          </cell>
          <cell r="B5833" t="str">
            <v>A5C</v>
          </cell>
          <cell r="C5833" t="str">
            <v>TRIM</v>
          </cell>
          <cell r="D5833" t="str">
            <v>V-2206</v>
          </cell>
          <cell r="E5833" t="str">
            <v>R TEE</v>
          </cell>
          <cell r="F5833">
            <v>2</v>
          </cell>
          <cell r="G5833" t="str">
            <v>CB40040000010T</v>
          </cell>
          <cell r="H5833">
            <v>0.75</v>
          </cell>
          <cell r="I5833" t="str">
            <v>-</v>
          </cell>
          <cell r="J5833">
            <v>1</v>
          </cell>
          <cell r="K5833">
            <v>1</v>
          </cell>
        </row>
        <row r="5834">
          <cell r="A5834" t="str">
            <v>M1</v>
          </cell>
          <cell r="B5834" t="str">
            <v>A6C</v>
          </cell>
          <cell r="C5834" t="str">
            <v>HOR</v>
          </cell>
          <cell r="D5834" t="str">
            <v>65612</v>
          </cell>
          <cell r="E5834" t="str">
            <v>R TEE</v>
          </cell>
          <cell r="F5834">
            <v>2</v>
          </cell>
          <cell r="G5834" t="str">
            <v>CB40040000010T</v>
          </cell>
          <cell r="H5834">
            <v>0.75</v>
          </cell>
          <cell r="I5834" t="str">
            <v>-</v>
          </cell>
          <cell r="J5834">
            <v>4</v>
          </cell>
          <cell r="K5834">
            <v>4</v>
          </cell>
        </row>
        <row r="5835">
          <cell r="A5835" t="str">
            <v>M1</v>
          </cell>
          <cell r="B5835" t="str">
            <v>A5C</v>
          </cell>
          <cell r="C5835" t="str">
            <v>TRIM</v>
          </cell>
          <cell r="D5835" t="str">
            <v>V-2208</v>
          </cell>
          <cell r="E5835" t="str">
            <v>C SWG</v>
          </cell>
          <cell r="F5835">
            <v>2</v>
          </cell>
          <cell r="G5835" t="str">
            <v>CB16110808010T</v>
          </cell>
          <cell r="H5835">
            <v>0.75</v>
          </cell>
          <cell r="I5835" t="str">
            <v>-</v>
          </cell>
          <cell r="J5835">
            <v>1</v>
          </cell>
          <cell r="K5835">
            <v>1</v>
          </cell>
        </row>
        <row r="5836">
          <cell r="A5836" t="str">
            <v>M1</v>
          </cell>
          <cell r="B5836" t="str">
            <v>A6C</v>
          </cell>
          <cell r="C5836" t="str">
            <v>HOR</v>
          </cell>
          <cell r="D5836" t="str">
            <v>65622</v>
          </cell>
          <cell r="E5836" t="str">
            <v>C SWG</v>
          </cell>
          <cell r="F5836">
            <v>2</v>
          </cell>
          <cell r="G5836" t="str">
            <v>CB16110808010T</v>
          </cell>
          <cell r="H5836">
            <v>0.75</v>
          </cell>
          <cell r="I5836" t="str">
            <v>-</v>
          </cell>
          <cell r="J5836">
            <v>4</v>
          </cell>
          <cell r="K5836">
            <v>4</v>
          </cell>
        </row>
        <row r="5837">
          <cell r="A5837" t="str">
            <v>M1</v>
          </cell>
          <cell r="B5837" t="str">
            <v>A5C</v>
          </cell>
          <cell r="C5837" t="str">
            <v>TRIM</v>
          </cell>
          <cell r="D5837" t="str">
            <v>V-2209</v>
          </cell>
          <cell r="E5837" t="str">
            <v>C SWG</v>
          </cell>
          <cell r="F5837">
            <v>2</v>
          </cell>
          <cell r="G5837" t="str">
            <v>CB16110808010T</v>
          </cell>
          <cell r="H5837">
            <v>0.75</v>
          </cell>
          <cell r="I5837" t="str">
            <v>-</v>
          </cell>
          <cell r="J5837">
            <v>1</v>
          </cell>
          <cell r="K5837">
            <v>1</v>
          </cell>
        </row>
        <row r="5838">
          <cell r="A5838" t="str">
            <v>M1</v>
          </cell>
          <cell r="B5838" t="str">
            <v>A5C</v>
          </cell>
          <cell r="C5838" t="str">
            <v>P</v>
          </cell>
          <cell r="D5838" t="str">
            <v>22087</v>
          </cell>
          <cell r="E5838" t="str">
            <v>R TEE</v>
          </cell>
          <cell r="F5838">
            <v>2</v>
          </cell>
          <cell r="G5838" t="str">
            <v>CB400400001H01</v>
          </cell>
          <cell r="H5838">
            <v>1</v>
          </cell>
          <cell r="I5838" t="str">
            <v>-</v>
          </cell>
          <cell r="J5838">
            <v>1</v>
          </cell>
          <cell r="K5838">
            <v>1</v>
          </cell>
        </row>
        <row r="5839">
          <cell r="A5839" t="str">
            <v>M1</v>
          </cell>
          <cell r="B5839" t="str">
            <v>A5C</v>
          </cell>
          <cell r="C5839" t="str">
            <v>P</v>
          </cell>
          <cell r="D5839" t="str">
            <v>22040</v>
          </cell>
          <cell r="E5839" t="str">
            <v>C SWG</v>
          </cell>
          <cell r="F5839">
            <v>2</v>
          </cell>
          <cell r="G5839" t="str">
            <v>CB161108081H01</v>
          </cell>
          <cell r="H5839">
            <v>1</v>
          </cell>
          <cell r="I5839" t="str">
            <v>-</v>
          </cell>
          <cell r="J5839">
            <v>1</v>
          </cell>
          <cell r="K5839">
            <v>1</v>
          </cell>
        </row>
        <row r="5840">
          <cell r="A5840" t="str">
            <v>M1</v>
          </cell>
          <cell r="B5840" t="str">
            <v>A5C</v>
          </cell>
          <cell r="C5840" t="str">
            <v>P</v>
          </cell>
          <cell r="D5840" t="str">
            <v>22041</v>
          </cell>
          <cell r="E5840" t="str">
            <v>C SWG</v>
          </cell>
          <cell r="F5840">
            <v>2</v>
          </cell>
          <cell r="G5840" t="str">
            <v>CB161108081H01</v>
          </cell>
          <cell r="H5840">
            <v>1</v>
          </cell>
          <cell r="I5840" t="str">
            <v>-</v>
          </cell>
          <cell r="J5840">
            <v>1</v>
          </cell>
          <cell r="K5840">
            <v>1</v>
          </cell>
        </row>
        <row r="5841">
          <cell r="A5841" t="str">
            <v>M1</v>
          </cell>
          <cell r="B5841" t="str">
            <v>A5C</v>
          </cell>
          <cell r="C5841" t="str">
            <v>P</v>
          </cell>
          <cell r="D5841" t="str">
            <v>22071</v>
          </cell>
          <cell r="E5841" t="str">
            <v>R TEE</v>
          </cell>
          <cell r="F5841">
            <v>2</v>
          </cell>
          <cell r="G5841" t="str">
            <v>CB400400001H0T</v>
          </cell>
          <cell r="H5841">
            <v>0.75</v>
          </cell>
          <cell r="I5841" t="str">
            <v>-</v>
          </cell>
          <cell r="J5841">
            <v>1</v>
          </cell>
          <cell r="K5841">
            <v>1</v>
          </cell>
        </row>
        <row r="5842">
          <cell r="A5842" t="str">
            <v>M1</v>
          </cell>
          <cell r="B5842" t="str">
            <v>A5C</v>
          </cell>
          <cell r="C5842" t="str">
            <v>P</v>
          </cell>
          <cell r="D5842" t="str">
            <v>22071</v>
          </cell>
          <cell r="E5842" t="str">
            <v>R TEE</v>
          </cell>
          <cell r="F5842">
            <v>2</v>
          </cell>
          <cell r="G5842" t="str">
            <v>CB400400001H0T</v>
          </cell>
          <cell r="H5842">
            <v>0.75</v>
          </cell>
          <cell r="I5842" t="str">
            <v>-</v>
          </cell>
          <cell r="J5842">
            <v>4</v>
          </cell>
          <cell r="K5842">
            <v>4</v>
          </cell>
        </row>
        <row r="5843">
          <cell r="A5843" t="str">
            <v>M1</v>
          </cell>
          <cell r="B5843" t="str">
            <v>A5C</v>
          </cell>
          <cell r="C5843" t="str">
            <v>P</v>
          </cell>
          <cell r="D5843" t="str">
            <v>22039</v>
          </cell>
          <cell r="E5843" t="str">
            <v>C SWG</v>
          </cell>
          <cell r="F5843">
            <v>2</v>
          </cell>
          <cell r="G5843" t="str">
            <v>CB161108081H01</v>
          </cell>
          <cell r="H5843">
            <v>1</v>
          </cell>
          <cell r="I5843" t="str">
            <v>-</v>
          </cell>
          <cell r="J5843">
            <v>1</v>
          </cell>
          <cell r="K5843">
            <v>1</v>
          </cell>
        </row>
        <row r="5844">
          <cell r="A5844" t="str">
            <v>M1</v>
          </cell>
          <cell r="B5844" t="str">
            <v>A5C</v>
          </cell>
          <cell r="C5844" t="str">
            <v>P</v>
          </cell>
          <cell r="D5844" t="str">
            <v>22071</v>
          </cell>
          <cell r="E5844" t="str">
            <v>R TEE</v>
          </cell>
          <cell r="F5844">
            <v>2</v>
          </cell>
          <cell r="G5844" t="str">
            <v>CB400400001H0T</v>
          </cell>
          <cell r="H5844">
            <v>0.75</v>
          </cell>
          <cell r="I5844" t="str">
            <v>-</v>
          </cell>
          <cell r="J5844">
            <v>4</v>
          </cell>
          <cell r="K5844">
            <v>4</v>
          </cell>
        </row>
        <row r="5845">
          <cell r="A5845" t="str">
            <v>M1</v>
          </cell>
          <cell r="B5845" t="str">
            <v>A5C</v>
          </cell>
          <cell r="C5845" t="str">
            <v>P</v>
          </cell>
          <cell r="D5845" t="str">
            <v>22102</v>
          </cell>
          <cell r="E5845" t="str">
            <v>R TEE</v>
          </cell>
          <cell r="F5845">
            <v>2</v>
          </cell>
          <cell r="G5845" t="str">
            <v>CB400400001H0T</v>
          </cell>
          <cell r="H5845">
            <v>0.75</v>
          </cell>
          <cell r="I5845" t="str">
            <v>-</v>
          </cell>
          <cell r="J5845">
            <v>5</v>
          </cell>
          <cell r="K5845">
            <v>5</v>
          </cell>
        </row>
        <row r="5846">
          <cell r="A5846" t="str">
            <v>M1</v>
          </cell>
          <cell r="B5846" t="str">
            <v>B2C</v>
          </cell>
          <cell r="C5846" t="str">
            <v>SH</v>
          </cell>
          <cell r="D5846" t="str">
            <v>22614</v>
          </cell>
          <cell r="E5846" t="str">
            <v>SOL</v>
          </cell>
          <cell r="F5846">
            <v>2</v>
          </cell>
          <cell r="G5846" t="str">
            <v>CB390200000201</v>
          </cell>
          <cell r="H5846">
            <v>1</v>
          </cell>
          <cell r="I5846" t="str">
            <v>-</v>
          </cell>
          <cell r="J5846">
            <v>1</v>
          </cell>
          <cell r="K5846">
            <v>2</v>
          </cell>
        </row>
        <row r="5847">
          <cell r="A5847" t="str">
            <v>M1</v>
          </cell>
          <cell r="B5847" t="str">
            <v>A5C</v>
          </cell>
          <cell r="C5847" t="str">
            <v>P</v>
          </cell>
          <cell r="D5847" t="str">
            <v>22104</v>
          </cell>
          <cell r="E5847" t="str">
            <v>R TEE</v>
          </cell>
          <cell r="F5847">
            <v>2</v>
          </cell>
          <cell r="G5847" t="str">
            <v>CB400400001H0T</v>
          </cell>
          <cell r="H5847">
            <v>0.75</v>
          </cell>
          <cell r="I5847" t="str">
            <v>-</v>
          </cell>
          <cell r="J5847">
            <v>1</v>
          </cell>
          <cell r="K5847">
            <v>1</v>
          </cell>
        </row>
        <row r="5848">
          <cell r="A5848" t="str">
            <v>M1</v>
          </cell>
          <cell r="B5848" t="str">
            <v>A5C</v>
          </cell>
          <cell r="C5848" t="str">
            <v>N</v>
          </cell>
          <cell r="D5848" t="str">
            <v>25611</v>
          </cell>
          <cell r="E5848" t="str">
            <v>SOL</v>
          </cell>
          <cell r="F5848">
            <v>2</v>
          </cell>
          <cell r="G5848" t="str">
            <v>CB390200000201</v>
          </cell>
          <cell r="H5848">
            <v>1</v>
          </cell>
          <cell r="I5848" t="str">
            <v>-</v>
          </cell>
          <cell r="J5848">
            <v>1</v>
          </cell>
          <cell r="K5848">
            <v>2</v>
          </cell>
        </row>
        <row r="5849">
          <cell r="A5849" t="str">
            <v>M1</v>
          </cell>
          <cell r="B5849" t="str">
            <v>A5C</v>
          </cell>
          <cell r="C5849" t="str">
            <v>P</v>
          </cell>
          <cell r="D5849" t="str">
            <v>22090</v>
          </cell>
          <cell r="E5849" t="str">
            <v>SOL</v>
          </cell>
          <cell r="F5849">
            <v>2</v>
          </cell>
          <cell r="G5849" t="str">
            <v>CB390200000301</v>
          </cell>
          <cell r="H5849">
            <v>1</v>
          </cell>
          <cell r="I5849" t="str">
            <v>-</v>
          </cell>
          <cell r="J5849">
            <v>1</v>
          </cell>
          <cell r="K5849">
            <v>2</v>
          </cell>
        </row>
        <row r="5850">
          <cell r="A5850" t="str">
            <v>M1</v>
          </cell>
          <cell r="B5850" t="str">
            <v>A5C</v>
          </cell>
          <cell r="C5850" t="str">
            <v>P</v>
          </cell>
          <cell r="D5850" t="str">
            <v>22157</v>
          </cell>
          <cell r="E5850" t="str">
            <v>R TEE</v>
          </cell>
          <cell r="F5850">
            <v>2</v>
          </cell>
          <cell r="G5850" t="str">
            <v>CB400400001H0H</v>
          </cell>
          <cell r="H5850">
            <v>0.5</v>
          </cell>
          <cell r="I5850" t="str">
            <v>-</v>
          </cell>
          <cell r="J5850">
            <v>1</v>
          </cell>
          <cell r="K5850">
            <v>1</v>
          </cell>
        </row>
        <row r="5851">
          <cell r="A5851" t="str">
            <v>M1</v>
          </cell>
          <cell r="B5851" t="str">
            <v>A5C</v>
          </cell>
          <cell r="C5851" t="str">
            <v>P</v>
          </cell>
          <cell r="D5851" t="str">
            <v>22158</v>
          </cell>
          <cell r="E5851" t="str">
            <v>R TEE</v>
          </cell>
          <cell r="F5851">
            <v>2</v>
          </cell>
          <cell r="G5851" t="str">
            <v>CB400400001H0H</v>
          </cell>
          <cell r="H5851">
            <v>0.5</v>
          </cell>
          <cell r="I5851" t="str">
            <v>-</v>
          </cell>
          <cell r="J5851">
            <v>1</v>
          </cell>
          <cell r="K5851">
            <v>1</v>
          </cell>
        </row>
        <row r="5852">
          <cell r="A5852" t="str">
            <v>M1</v>
          </cell>
          <cell r="B5852" t="str">
            <v>A5C</v>
          </cell>
          <cell r="C5852" t="str">
            <v>P</v>
          </cell>
          <cell r="D5852" t="str">
            <v>22078</v>
          </cell>
          <cell r="E5852" t="str">
            <v>R TEE</v>
          </cell>
          <cell r="F5852">
            <v>2</v>
          </cell>
          <cell r="G5852" t="str">
            <v>CB400400001H0T</v>
          </cell>
          <cell r="H5852">
            <v>0.75</v>
          </cell>
          <cell r="I5852" t="str">
            <v>-</v>
          </cell>
          <cell r="J5852">
            <v>1</v>
          </cell>
          <cell r="K5852">
            <v>1</v>
          </cell>
        </row>
        <row r="5853">
          <cell r="A5853" t="str">
            <v>M1</v>
          </cell>
          <cell r="B5853" t="str">
            <v>A5C</v>
          </cell>
          <cell r="C5853" t="str">
            <v>P</v>
          </cell>
          <cell r="D5853" t="str">
            <v>22087</v>
          </cell>
          <cell r="E5853" t="str">
            <v>R TEE</v>
          </cell>
          <cell r="F5853">
            <v>2</v>
          </cell>
          <cell r="G5853" t="str">
            <v>CB400400001H0T</v>
          </cell>
          <cell r="H5853">
            <v>0.75</v>
          </cell>
          <cell r="I5853" t="str">
            <v>-</v>
          </cell>
          <cell r="J5853">
            <v>1</v>
          </cell>
          <cell r="K5853">
            <v>1</v>
          </cell>
        </row>
        <row r="5854">
          <cell r="A5854" t="str">
            <v>M1</v>
          </cell>
          <cell r="B5854" t="str">
            <v>A5C</v>
          </cell>
          <cell r="C5854" t="str">
            <v>P</v>
          </cell>
          <cell r="D5854" t="str">
            <v>22091</v>
          </cell>
          <cell r="E5854" t="str">
            <v>SOL</v>
          </cell>
          <cell r="F5854">
            <v>2</v>
          </cell>
          <cell r="G5854" t="str">
            <v>CB390200000301</v>
          </cell>
          <cell r="H5854">
            <v>1</v>
          </cell>
          <cell r="I5854" t="str">
            <v>-</v>
          </cell>
          <cell r="J5854">
            <v>1</v>
          </cell>
          <cell r="K5854">
            <v>2</v>
          </cell>
        </row>
        <row r="5855">
          <cell r="A5855" t="str">
            <v>M1</v>
          </cell>
          <cell r="B5855" t="str">
            <v>A5C</v>
          </cell>
          <cell r="C5855" t="str">
            <v>P</v>
          </cell>
          <cell r="D5855" t="str">
            <v>22092</v>
          </cell>
          <cell r="E5855" t="str">
            <v>SOL</v>
          </cell>
          <cell r="F5855">
            <v>2</v>
          </cell>
          <cell r="G5855" t="str">
            <v>CB390200000301</v>
          </cell>
          <cell r="H5855">
            <v>1</v>
          </cell>
          <cell r="I5855" t="str">
            <v>-</v>
          </cell>
          <cell r="J5855">
            <v>1</v>
          </cell>
          <cell r="K5855">
            <v>2</v>
          </cell>
        </row>
        <row r="5856">
          <cell r="A5856" t="str">
            <v>M1</v>
          </cell>
          <cell r="B5856" t="str">
            <v>A5C</v>
          </cell>
          <cell r="C5856" t="str">
            <v>P</v>
          </cell>
          <cell r="D5856" t="str">
            <v>22102</v>
          </cell>
          <cell r="E5856" t="str">
            <v>R TEE</v>
          </cell>
          <cell r="F5856">
            <v>2</v>
          </cell>
          <cell r="G5856" t="str">
            <v>CB400400001H0T</v>
          </cell>
          <cell r="H5856">
            <v>0.75</v>
          </cell>
          <cell r="I5856" t="str">
            <v>-</v>
          </cell>
          <cell r="J5856">
            <v>2</v>
          </cell>
          <cell r="K5856">
            <v>2</v>
          </cell>
        </row>
        <row r="5857">
          <cell r="A5857" t="str">
            <v>M1</v>
          </cell>
          <cell r="B5857" t="str">
            <v>A5C</v>
          </cell>
          <cell r="C5857" t="str">
            <v>P</v>
          </cell>
          <cell r="D5857" t="str">
            <v>22113</v>
          </cell>
          <cell r="E5857" t="str">
            <v>R TEE</v>
          </cell>
          <cell r="F5857">
            <v>2</v>
          </cell>
          <cell r="G5857" t="str">
            <v>CB400400001H0T</v>
          </cell>
          <cell r="H5857">
            <v>0.75</v>
          </cell>
          <cell r="I5857" t="str">
            <v>-</v>
          </cell>
          <cell r="J5857">
            <v>1</v>
          </cell>
          <cell r="K5857">
            <v>1</v>
          </cell>
        </row>
        <row r="5858">
          <cell r="A5858" t="str">
            <v>M1</v>
          </cell>
          <cell r="B5858" t="str">
            <v>A5C</v>
          </cell>
          <cell r="C5858" t="str">
            <v>P</v>
          </cell>
          <cell r="D5858" t="str">
            <v>22114</v>
          </cell>
          <cell r="E5858" t="str">
            <v>R TEE</v>
          </cell>
          <cell r="F5858">
            <v>2</v>
          </cell>
          <cell r="G5858" t="str">
            <v>CB400400001H0T</v>
          </cell>
          <cell r="H5858">
            <v>0.75</v>
          </cell>
          <cell r="I5858" t="str">
            <v>-</v>
          </cell>
          <cell r="J5858">
            <v>1</v>
          </cell>
          <cell r="K5858">
            <v>1</v>
          </cell>
        </row>
        <row r="5859">
          <cell r="A5859" t="str">
            <v>M1</v>
          </cell>
          <cell r="B5859" t="str">
            <v>A5C</v>
          </cell>
          <cell r="C5859" t="str">
            <v>P</v>
          </cell>
          <cell r="D5859" t="str">
            <v>22093</v>
          </cell>
          <cell r="E5859" t="str">
            <v>SOL</v>
          </cell>
          <cell r="F5859">
            <v>2</v>
          </cell>
          <cell r="G5859" t="str">
            <v>CB390200000301</v>
          </cell>
          <cell r="H5859">
            <v>1</v>
          </cell>
          <cell r="I5859" t="str">
            <v>-</v>
          </cell>
          <cell r="J5859">
            <v>1</v>
          </cell>
          <cell r="K5859">
            <v>2</v>
          </cell>
        </row>
        <row r="5860">
          <cell r="A5860" t="str">
            <v>M1</v>
          </cell>
          <cell r="B5860" t="str">
            <v>A5C</v>
          </cell>
          <cell r="C5860" t="str">
            <v>P</v>
          </cell>
          <cell r="D5860" t="str">
            <v>22003</v>
          </cell>
          <cell r="E5860" t="str">
            <v>SOL</v>
          </cell>
          <cell r="F5860">
            <v>2</v>
          </cell>
          <cell r="G5860" t="str">
            <v>CB390200000301</v>
          </cell>
          <cell r="H5860">
            <v>1</v>
          </cell>
          <cell r="I5860" t="str">
            <v>-</v>
          </cell>
          <cell r="J5860">
            <v>1</v>
          </cell>
          <cell r="K5860">
            <v>2</v>
          </cell>
        </row>
        <row r="5861">
          <cell r="A5861" t="str">
            <v>M1</v>
          </cell>
          <cell r="B5861" t="str">
            <v>A5C</v>
          </cell>
          <cell r="C5861" t="str">
            <v>P</v>
          </cell>
          <cell r="D5861" t="str">
            <v>22001</v>
          </cell>
          <cell r="E5861" t="str">
            <v>SOL</v>
          </cell>
          <cell r="F5861">
            <v>2</v>
          </cell>
          <cell r="G5861" t="str">
            <v>CB390200000301</v>
          </cell>
          <cell r="H5861">
            <v>1</v>
          </cell>
          <cell r="I5861" t="str">
            <v>-</v>
          </cell>
          <cell r="J5861">
            <v>1</v>
          </cell>
          <cell r="K5861">
            <v>2</v>
          </cell>
        </row>
        <row r="5862">
          <cell r="A5862" t="str">
            <v>M1</v>
          </cell>
          <cell r="B5862" t="str">
            <v>A5C</v>
          </cell>
          <cell r="C5862" t="str">
            <v>P</v>
          </cell>
          <cell r="D5862" t="str">
            <v>22069</v>
          </cell>
          <cell r="E5862" t="str">
            <v>SOL</v>
          </cell>
          <cell r="F5862">
            <v>2</v>
          </cell>
          <cell r="G5862" t="str">
            <v>CB390200000401</v>
          </cell>
          <cell r="H5862">
            <v>1</v>
          </cell>
          <cell r="I5862" t="str">
            <v>-</v>
          </cell>
          <cell r="J5862">
            <v>1</v>
          </cell>
          <cell r="K5862">
            <v>2</v>
          </cell>
        </row>
        <row r="5863">
          <cell r="A5863" t="str">
            <v>M1</v>
          </cell>
          <cell r="B5863" t="str">
            <v>A5C</v>
          </cell>
          <cell r="C5863" t="str">
            <v>P</v>
          </cell>
          <cell r="D5863" t="str">
            <v>22039</v>
          </cell>
          <cell r="E5863" t="str">
            <v>R TEE</v>
          </cell>
          <cell r="F5863">
            <v>2</v>
          </cell>
          <cell r="G5863" t="str">
            <v>CB400400001H0H</v>
          </cell>
          <cell r="H5863">
            <v>0.5</v>
          </cell>
          <cell r="I5863" t="str">
            <v>-</v>
          </cell>
          <cell r="J5863">
            <v>1</v>
          </cell>
          <cell r="K5863">
            <v>1</v>
          </cell>
        </row>
        <row r="5864">
          <cell r="A5864" t="str">
            <v>M1</v>
          </cell>
          <cell r="B5864" t="str">
            <v>A5C</v>
          </cell>
          <cell r="C5864" t="str">
            <v>P</v>
          </cell>
          <cell r="D5864" t="str">
            <v>22041</v>
          </cell>
          <cell r="E5864" t="str">
            <v>R TEE</v>
          </cell>
          <cell r="F5864">
            <v>2</v>
          </cell>
          <cell r="G5864" t="str">
            <v>CB400400001H0H</v>
          </cell>
          <cell r="H5864">
            <v>0.5</v>
          </cell>
          <cell r="I5864" t="str">
            <v>-</v>
          </cell>
          <cell r="J5864">
            <v>1</v>
          </cell>
          <cell r="K5864">
            <v>1</v>
          </cell>
        </row>
        <row r="5865">
          <cell r="A5865" t="str">
            <v>M1</v>
          </cell>
          <cell r="B5865" t="str">
            <v>A6C</v>
          </cell>
          <cell r="C5865" t="str">
            <v>HOR</v>
          </cell>
          <cell r="D5865" t="str">
            <v>65612</v>
          </cell>
          <cell r="E5865" t="str">
            <v>R TEE</v>
          </cell>
          <cell r="F5865">
            <v>2</v>
          </cell>
          <cell r="G5865" t="str">
            <v>CB400400001H0T</v>
          </cell>
          <cell r="H5865">
            <v>0.75</v>
          </cell>
          <cell r="I5865" t="str">
            <v>-</v>
          </cell>
          <cell r="J5865">
            <v>2</v>
          </cell>
          <cell r="K5865">
            <v>2</v>
          </cell>
        </row>
        <row r="5866">
          <cell r="A5866" t="str">
            <v>M1</v>
          </cell>
          <cell r="B5866" t="str">
            <v>A6C</v>
          </cell>
          <cell r="C5866" t="str">
            <v>HOS</v>
          </cell>
          <cell r="D5866" t="str">
            <v>65624</v>
          </cell>
          <cell r="E5866" t="str">
            <v>SOL</v>
          </cell>
          <cell r="F5866">
            <v>2</v>
          </cell>
          <cell r="G5866" t="str">
            <v>CB390200000801</v>
          </cell>
          <cell r="H5866">
            <v>1</v>
          </cell>
          <cell r="I5866" t="str">
            <v>-</v>
          </cell>
          <cell r="J5866">
            <v>1</v>
          </cell>
          <cell r="K5866">
            <v>2</v>
          </cell>
        </row>
        <row r="5867">
          <cell r="A5867" t="str">
            <v>M1</v>
          </cell>
          <cell r="B5867" t="str">
            <v>A5C</v>
          </cell>
          <cell r="C5867" t="str">
            <v>P</v>
          </cell>
          <cell r="D5867" t="str">
            <v>22040</v>
          </cell>
          <cell r="E5867" t="str">
            <v>R TEE</v>
          </cell>
          <cell r="F5867">
            <v>2</v>
          </cell>
          <cell r="G5867" t="str">
            <v>CB400400001H0H</v>
          </cell>
          <cell r="H5867">
            <v>0.5</v>
          </cell>
          <cell r="I5867" t="str">
            <v>-</v>
          </cell>
          <cell r="J5867">
            <v>1</v>
          </cell>
          <cell r="K5867">
            <v>1</v>
          </cell>
        </row>
        <row r="5868">
          <cell r="A5868" t="str">
            <v>M1</v>
          </cell>
          <cell r="B5868" t="str">
            <v>A6C</v>
          </cell>
          <cell r="C5868" t="str">
            <v>HOS</v>
          </cell>
          <cell r="D5868" t="str">
            <v>65633</v>
          </cell>
          <cell r="E5868" t="str">
            <v>C SWG</v>
          </cell>
          <cell r="F5868">
            <v>2</v>
          </cell>
          <cell r="G5868" t="str">
            <v>CB161108081H0T</v>
          </cell>
          <cell r="H5868">
            <v>0.75</v>
          </cell>
          <cell r="I5868" t="str">
            <v>-</v>
          </cell>
          <cell r="J5868">
            <v>1</v>
          </cell>
          <cell r="K5868">
            <v>1</v>
          </cell>
        </row>
        <row r="5869">
          <cell r="A5869" t="str">
            <v>M1</v>
          </cell>
          <cell r="B5869" t="str">
            <v>A6C</v>
          </cell>
          <cell r="C5869" t="str">
            <v>HOS</v>
          </cell>
          <cell r="D5869" t="str">
            <v>65625</v>
          </cell>
          <cell r="E5869" t="str">
            <v>SOL</v>
          </cell>
          <cell r="F5869">
            <v>2</v>
          </cell>
          <cell r="G5869" t="str">
            <v>CB390200000801</v>
          </cell>
          <cell r="H5869">
            <v>1</v>
          </cell>
          <cell r="I5869" t="str">
            <v>-</v>
          </cell>
          <cell r="J5869">
            <v>1</v>
          </cell>
          <cell r="K5869">
            <v>2</v>
          </cell>
        </row>
        <row r="5870">
          <cell r="A5870" t="str">
            <v>M1</v>
          </cell>
          <cell r="B5870" t="str">
            <v>A6C</v>
          </cell>
          <cell r="C5870" t="str">
            <v>HOS</v>
          </cell>
          <cell r="D5870" t="str">
            <v>65633</v>
          </cell>
          <cell r="E5870" t="str">
            <v>R TEE</v>
          </cell>
          <cell r="F5870">
            <v>2</v>
          </cell>
          <cell r="G5870" t="str">
            <v>CB400400001H0T</v>
          </cell>
          <cell r="H5870">
            <v>0.75</v>
          </cell>
          <cell r="I5870" t="str">
            <v>-</v>
          </cell>
          <cell r="J5870">
            <v>1</v>
          </cell>
          <cell r="K5870">
            <v>1</v>
          </cell>
        </row>
        <row r="5871">
          <cell r="A5871" t="str">
            <v>M1</v>
          </cell>
          <cell r="B5871" t="str">
            <v>A5C</v>
          </cell>
          <cell r="C5871" t="str">
            <v>P</v>
          </cell>
          <cell r="D5871" t="str">
            <v>22002</v>
          </cell>
          <cell r="E5871" t="str">
            <v>R TEE</v>
          </cell>
          <cell r="F5871">
            <v>2</v>
          </cell>
          <cell r="G5871" t="str">
            <v>CB400400001H0T</v>
          </cell>
          <cell r="H5871">
            <v>0.75</v>
          </cell>
          <cell r="I5871" t="str">
            <v>-</v>
          </cell>
          <cell r="J5871">
            <v>2</v>
          </cell>
          <cell r="K5871">
            <v>2</v>
          </cell>
        </row>
        <row r="5872">
          <cell r="A5872" t="str">
            <v>M1</v>
          </cell>
          <cell r="B5872" t="str">
            <v>A5C</v>
          </cell>
          <cell r="C5872" t="str">
            <v>P</v>
          </cell>
          <cell r="D5872" t="str">
            <v>22111</v>
          </cell>
          <cell r="E5872" t="str">
            <v>R TEE</v>
          </cell>
          <cell r="F5872">
            <v>2</v>
          </cell>
          <cell r="G5872" t="str">
            <v>CB400400001H0T</v>
          </cell>
          <cell r="H5872">
            <v>0.75</v>
          </cell>
          <cell r="I5872" t="str">
            <v>-</v>
          </cell>
          <cell r="J5872">
            <v>6</v>
          </cell>
          <cell r="K5872">
            <v>6</v>
          </cell>
        </row>
        <row r="5873">
          <cell r="A5873" t="str">
            <v>M1</v>
          </cell>
          <cell r="B5873" t="str">
            <v>A4C</v>
          </cell>
          <cell r="C5873" t="str">
            <v>P</v>
          </cell>
          <cell r="D5873" t="str">
            <v>22031</v>
          </cell>
          <cell r="E5873" t="str">
            <v>C SWG</v>
          </cell>
          <cell r="F5873">
            <v>2</v>
          </cell>
          <cell r="G5873" t="str">
            <v>CB161108081H0H</v>
          </cell>
          <cell r="H5873">
            <v>0.5</v>
          </cell>
          <cell r="I5873" t="str">
            <v>-</v>
          </cell>
          <cell r="J5873">
            <v>6</v>
          </cell>
          <cell r="K5873">
            <v>6</v>
          </cell>
        </row>
        <row r="5874">
          <cell r="A5874" t="str">
            <v>M1</v>
          </cell>
          <cell r="B5874" t="str">
            <v>A4C</v>
          </cell>
          <cell r="C5874" t="str">
            <v>P</v>
          </cell>
          <cell r="D5874" t="str">
            <v>22031</v>
          </cell>
          <cell r="E5874" t="str">
            <v>R TEE</v>
          </cell>
          <cell r="F5874">
            <v>2</v>
          </cell>
          <cell r="G5874" t="str">
            <v>CB400400001H0T</v>
          </cell>
          <cell r="H5874">
            <v>0.75</v>
          </cell>
          <cell r="I5874" t="str">
            <v>-</v>
          </cell>
          <cell r="J5874">
            <v>1</v>
          </cell>
          <cell r="K5874">
            <v>1</v>
          </cell>
        </row>
        <row r="5875">
          <cell r="A5875" t="str">
            <v>M1</v>
          </cell>
          <cell r="B5875" t="str">
            <v>B2C</v>
          </cell>
          <cell r="C5875" t="str">
            <v>SH</v>
          </cell>
          <cell r="D5875" t="str">
            <v>22614</v>
          </cell>
          <cell r="E5875" t="str">
            <v>E SWG</v>
          </cell>
          <cell r="F5875">
            <v>2</v>
          </cell>
          <cell r="G5875" t="str">
            <v>CB1624080802IH</v>
          </cell>
          <cell r="H5875">
            <v>1.5</v>
          </cell>
          <cell r="I5875" t="str">
            <v>-</v>
          </cell>
          <cell r="J5875">
            <v>2</v>
          </cell>
          <cell r="K5875">
            <v>3</v>
          </cell>
        </row>
        <row r="5876">
          <cell r="A5876" t="str">
            <v>M1</v>
          </cell>
          <cell r="B5876" t="str">
            <v>A6C</v>
          </cell>
          <cell r="C5876" t="str">
            <v>HOS</v>
          </cell>
          <cell r="D5876" t="str">
            <v>65613</v>
          </cell>
          <cell r="E5876" t="str">
            <v>SOL</v>
          </cell>
          <cell r="F5876">
            <v>2</v>
          </cell>
          <cell r="G5876" t="str">
            <v>CB390200000801</v>
          </cell>
          <cell r="H5876">
            <v>1</v>
          </cell>
          <cell r="I5876" t="str">
            <v>-</v>
          </cell>
          <cell r="J5876">
            <v>1</v>
          </cell>
          <cell r="K5876">
            <v>2</v>
          </cell>
        </row>
        <row r="5877">
          <cell r="A5877" t="str">
            <v>M1</v>
          </cell>
          <cell r="B5877" t="str">
            <v>B2C</v>
          </cell>
          <cell r="C5877" t="str">
            <v>SH</v>
          </cell>
          <cell r="D5877" t="str">
            <v>22613</v>
          </cell>
          <cell r="E5877" t="str">
            <v>E SWG</v>
          </cell>
          <cell r="F5877">
            <v>2</v>
          </cell>
          <cell r="G5877" t="str">
            <v>CB1624080802IH</v>
          </cell>
          <cell r="H5877">
            <v>1.5</v>
          </cell>
          <cell r="I5877" t="str">
            <v>-</v>
          </cell>
          <cell r="J5877">
            <v>2</v>
          </cell>
          <cell r="K5877">
            <v>3</v>
          </cell>
        </row>
        <row r="5878">
          <cell r="A5878" t="str">
            <v>M1</v>
          </cell>
          <cell r="B5878" t="str">
            <v>B2C</v>
          </cell>
          <cell r="C5878" t="str">
            <v>SH</v>
          </cell>
          <cell r="D5878" t="str">
            <v>22612</v>
          </cell>
          <cell r="E5878" t="str">
            <v>SOL</v>
          </cell>
          <cell r="F5878">
            <v>2</v>
          </cell>
          <cell r="G5878" t="str">
            <v>CB39020000020T</v>
          </cell>
          <cell r="H5878">
            <v>0.75</v>
          </cell>
          <cell r="I5878" t="str">
            <v>-</v>
          </cell>
          <cell r="J5878">
            <v>2</v>
          </cell>
          <cell r="K5878">
            <v>3</v>
          </cell>
        </row>
        <row r="5879">
          <cell r="A5879" t="str">
            <v>M1</v>
          </cell>
          <cell r="B5879" t="str">
            <v>B2C</v>
          </cell>
          <cell r="C5879" t="str">
            <v>SH</v>
          </cell>
          <cell r="D5879" t="str">
            <v>22611</v>
          </cell>
          <cell r="E5879" t="str">
            <v>SOL</v>
          </cell>
          <cell r="F5879">
            <v>2</v>
          </cell>
          <cell r="G5879" t="str">
            <v>CB39020000020T</v>
          </cell>
          <cell r="H5879">
            <v>0.75</v>
          </cell>
          <cell r="I5879" t="str">
            <v>-</v>
          </cell>
          <cell r="J5879">
            <v>1</v>
          </cell>
          <cell r="K5879">
            <v>2</v>
          </cell>
        </row>
        <row r="5880">
          <cell r="A5880" t="str">
            <v>M1</v>
          </cell>
          <cell r="B5880" t="str">
            <v>B2C</v>
          </cell>
          <cell r="C5880" t="str">
            <v>SH</v>
          </cell>
          <cell r="D5880" t="str">
            <v>22614</v>
          </cell>
          <cell r="E5880" t="str">
            <v>SOL</v>
          </cell>
          <cell r="F5880">
            <v>2</v>
          </cell>
          <cell r="G5880" t="str">
            <v>CB39020000020T</v>
          </cell>
          <cell r="H5880">
            <v>0.75</v>
          </cell>
          <cell r="I5880" t="str">
            <v>-</v>
          </cell>
          <cell r="J5880">
            <v>2</v>
          </cell>
          <cell r="K5880">
            <v>3</v>
          </cell>
        </row>
        <row r="5881">
          <cell r="A5881" t="str">
            <v>M1</v>
          </cell>
          <cell r="B5881" t="str">
            <v>A6C</v>
          </cell>
          <cell r="C5881" t="str">
            <v>HOS</v>
          </cell>
          <cell r="D5881" t="str">
            <v>65613</v>
          </cell>
          <cell r="E5881" t="str">
            <v>SOL</v>
          </cell>
          <cell r="F5881">
            <v>2</v>
          </cell>
          <cell r="G5881" t="str">
            <v>CB390200000801</v>
          </cell>
          <cell r="H5881">
            <v>1</v>
          </cell>
          <cell r="I5881" t="str">
            <v>-</v>
          </cell>
          <cell r="J5881">
            <v>1</v>
          </cell>
          <cell r="K5881">
            <v>2</v>
          </cell>
        </row>
        <row r="5882">
          <cell r="A5882" t="str">
            <v>M1</v>
          </cell>
          <cell r="B5882" t="str">
            <v>B2C</v>
          </cell>
          <cell r="C5882" t="str">
            <v>SH</v>
          </cell>
          <cell r="D5882" t="str">
            <v>22613</v>
          </cell>
          <cell r="E5882" t="str">
            <v>SOL</v>
          </cell>
          <cell r="F5882">
            <v>2</v>
          </cell>
          <cell r="G5882" t="str">
            <v>CB39020000020T</v>
          </cell>
          <cell r="H5882">
            <v>0.75</v>
          </cell>
          <cell r="I5882" t="str">
            <v>-</v>
          </cell>
          <cell r="J5882">
            <v>2</v>
          </cell>
          <cell r="K5882">
            <v>3</v>
          </cell>
        </row>
        <row r="5883">
          <cell r="A5883" t="str">
            <v>M1</v>
          </cell>
          <cell r="B5883" t="str">
            <v>A5C</v>
          </cell>
          <cell r="C5883" t="str">
            <v>P</v>
          </cell>
          <cell r="D5883" t="str">
            <v>22117</v>
          </cell>
          <cell r="E5883" t="str">
            <v>C SWG</v>
          </cell>
          <cell r="F5883">
            <v>2</v>
          </cell>
          <cell r="G5883" t="str">
            <v>CB1614080802IH</v>
          </cell>
          <cell r="H5883">
            <v>1.5</v>
          </cell>
          <cell r="I5883" t="str">
            <v>-</v>
          </cell>
          <cell r="J5883">
            <v>1</v>
          </cell>
          <cell r="K5883">
            <v>2</v>
          </cell>
        </row>
        <row r="5884">
          <cell r="A5884" t="str">
            <v>M1</v>
          </cell>
          <cell r="B5884" t="str">
            <v>B2C</v>
          </cell>
          <cell r="C5884" t="str">
            <v>SH</v>
          </cell>
          <cell r="D5884" t="str">
            <v>22611</v>
          </cell>
          <cell r="E5884" t="str">
            <v>E SWG</v>
          </cell>
          <cell r="F5884">
            <v>2</v>
          </cell>
          <cell r="G5884" t="str">
            <v>CB162408080201</v>
          </cell>
          <cell r="H5884">
            <v>1</v>
          </cell>
          <cell r="I5884" t="str">
            <v>-</v>
          </cell>
          <cell r="J5884">
            <v>2</v>
          </cell>
          <cell r="K5884">
            <v>3</v>
          </cell>
        </row>
        <row r="5885">
          <cell r="A5885" t="str">
            <v>M1</v>
          </cell>
          <cell r="B5885" t="str">
            <v>A5C</v>
          </cell>
          <cell r="C5885" t="str">
            <v>P</v>
          </cell>
          <cell r="D5885" t="str">
            <v>22130</v>
          </cell>
          <cell r="E5885" t="str">
            <v>C SWG</v>
          </cell>
          <cell r="F5885">
            <v>2</v>
          </cell>
          <cell r="G5885" t="str">
            <v>CB161408080201</v>
          </cell>
          <cell r="H5885">
            <v>1</v>
          </cell>
          <cell r="I5885" t="str">
            <v>-</v>
          </cell>
          <cell r="J5885">
            <v>2</v>
          </cell>
          <cell r="K5885">
            <v>3</v>
          </cell>
        </row>
        <row r="5886">
          <cell r="A5886" t="str">
            <v>M1</v>
          </cell>
          <cell r="B5886" t="str">
            <v>A5C</v>
          </cell>
          <cell r="C5886" t="str">
            <v>P</v>
          </cell>
          <cell r="D5886" t="str">
            <v>22140</v>
          </cell>
          <cell r="E5886" t="str">
            <v>C SWG</v>
          </cell>
          <cell r="F5886">
            <v>2</v>
          </cell>
          <cell r="G5886" t="str">
            <v>CB161408080201</v>
          </cell>
          <cell r="H5886">
            <v>1</v>
          </cell>
          <cell r="I5886" t="str">
            <v>-</v>
          </cell>
          <cell r="J5886">
            <v>2</v>
          </cell>
          <cell r="K5886">
            <v>3</v>
          </cell>
        </row>
        <row r="5887">
          <cell r="A5887" t="str">
            <v>M1</v>
          </cell>
          <cell r="B5887" t="str">
            <v>A5C</v>
          </cell>
          <cell r="C5887" t="str">
            <v>P</v>
          </cell>
          <cell r="D5887" t="str">
            <v>22101</v>
          </cell>
          <cell r="E5887" t="str">
            <v>E SWG</v>
          </cell>
          <cell r="F5887">
            <v>2</v>
          </cell>
          <cell r="G5887" t="str">
            <v>CB1624080802IH</v>
          </cell>
          <cell r="H5887">
            <v>1.5</v>
          </cell>
          <cell r="I5887" t="str">
            <v>-</v>
          </cell>
          <cell r="J5887">
            <v>1</v>
          </cell>
          <cell r="K5887">
            <v>2</v>
          </cell>
        </row>
        <row r="5888">
          <cell r="A5888" t="str">
            <v>M1</v>
          </cell>
          <cell r="B5888" t="str">
            <v>A5C</v>
          </cell>
          <cell r="C5888" t="str">
            <v>P</v>
          </cell>
          <cell r="D5888" t="str">
            <v>22109</v>
          </cell>
          <cell r="E5888" t="str">
            <v>E SWG</v>
          </cell>
          <cell r="F5888">
            <v>2</v>
          </cell>
          <cell r="G5888" t="str">
            <v>CB1624080802IH</v>
          </cell>
          <cell r="H5888">
            <v>1.5</v>
          </cell>
          <cell r="I5888" t="str">
            <v>-</v>
          </cell>
          <cell r="J5888">
            <v>2</v>
          </cell>
          <cell r="K5888">
            <v>3</v>
          </cell>
        </row>
        <row r="5889">
          <cell r="A5889" t="str">
            <v>M1</v>
          </cell>
          <cell r="B5889" t="str">
            <v>A5C</v>
          </cell>
          <cell r="C5889" t="str">
            <v>P</v>
          </cell>
          <cell r="D5889" t="str">
            <v>22066</v>
          </cell>
          <cell r="E5889" t="str">
            <v>E SWG</v>
          </cell>
          <cell r="F5889">
            <v>2</v>
          </cell>
          <cell r="G5889" t="str">
            <v>CB162408080201</v>
          </cell>
          <cell r="H5889">
            <v>1</v>
          </cell>
          <cell r="I5889" t="str">
            <v>-</v>
          </cell>
          <cell r="J5889">
            <v>2</v>
          </cell>
          <cell r="K5889">
            <v>3</v>
          </cell>
        </row>
        <row r="5890">
          <cell r="A5890" t="str">
            <v>M1</v>
          </cell>
          <cell r="B5890" t="str">
            <v>A5C</v>
          </cell>
          <cell r="C5890" t="str">
            <v>N</v>
          </cell>
          <cell r="D5890" t="str">
            <v>25611</v>
          </cell>
          <cell r="E5890" t="str">
            <v>SOL</v>
          </cell>
          <cell r="F5890">
            <v>2</v>
          </cell>
          <cell r="G5890" t="str">
            <v>CB39020000020T</v>
          </cell>
          <cell r="H5890">
            <v>0.75</v>
          </cell>
          <cell r="I5890" t="str">
            <v>-</v>
          </cell>
          <cell r="J5890">
            <v>2</v>
          </cell>
          <cell r="K5890">
            <v>3</v>
          </cell>
        </row>
        <row r="5891">
          <cell r="A5891" t="str">
            <v>M1</v>
          </cell>
          <cell r="B5891" t="str">
            <v>A5C</v>
          </cell>
          <cell r="C5891" t="str">
            <v>P</v>
          </cell>
          <cell r="D5891" t="str">
            <v>22068</v>
          </cell>
          <cell r="E5891" t="str">
            <v>SOL</v>
          </cell>
          <cell r="F5891">
            <v>2</v>
          </cell>
          <cell r="G5891" t="str">
            <v>CB39020000020T</v>
          </cell>
          <cell r="H5891">
            <v>0.75</v>
          </cell>
          <cell r="I5891" t="str">
            <v>-</v>
          </cell>
          <cell r="J5891">
            <v>2</v>
          </cell>
          <cell r="K5891">
            <v>3</v>
          </cell>
        </row>
        <row r="5892">
          <cell r="A5892" t="str">
            <v>M1</v>
          </cell>
          <cell r="B5892" t="str">
            <v>A5C</v>
          </cell>
          <cell r="C5892" t="str">
            <v>P</v>
          </cell>
          <cell r="D5892" t="str">
            <v>22140</v>
          </cell>
          <cell r="E5892" t="str">
            <v>SOL</v>
          </cell>
          <cell r="F5892">
            <v>2</v>
          </cell>
          <cell r="G5892" t="str">
            <v>CB39020000020T</v>
          </cell>
          <cell r="H5892">
            <v>0.75</v>
          </cell>
          <cell r="I5892" t="str">
            <v>-</v>
          </cell>
          <cell r="J5892">
            <v>2</v>
          </cell>
          <cell r="K5892">
            <v>3</v>
          </cell>
        </row>
        <row r="5893">
          <cell r="A5893" t="str">
            <v>M1</v>
          </cell>
          <cell r="B5893" t="str">
            <v>A5C</v>
          </cell>
          <cell r="C5893" t="str">
            <v>P</v>
          </cell>
          <cell r="D5893" t="str">
            <v>22130</v>
          </cell>
          <cell r="E5893" t="str">
            <v>SOL</v>
          </cell>
          <cell r="F5893">
            <v>2</v>
          </cell>
          <cell r="G5893" t="str">
            <v>CB39020000020T</v>
          </cell>
          <cell r="H5893">
            <v>0.75</v>
          </cell>
          <cell r="I5893" t="str">
            <v>-</v>
          </cell>
          <cell r="J5893">
            <v>2</v>
          </cell>
          <cell r="K5893">
            <v>3</v>
          </cell>
        </row>
        <row r="5894">
          <cell r="A5894" t="str">
            <v>M1</v>
          </cell>
          <cell r="B5894" t="str">
            <v>A5C</v>
          </cell>
          <cell r="C5894" t="str">
            <v>P</v>
          </cell>
          <cell r="D5894" t="str">
            <v>22100</v>
          </cell>
          <cell r="E5894" t="str">
            <v>C SWG</v>
          </cell>
          <cell r="F5894">
            <v>2</v>
          </cell>
          <cell r="G5894" t="str">
            <v>CB1614080802IH</v>
          </cell>
          <cell r="H5894">
            <v>1.5</v>
          </cell>
          <cell r="I5894" t="str">
            <v>-</v>
          </cell>
          <cell r="J5894">
            <v>2</v>
          </cell>
          <cell r="K5894">
            <v>3</v>
          </cell>
        </row>
        <row r="5895">
          <cell r="A5895" t="str">
            <v>M1</v>
          </cell>
          <cell r="B5895" t="str">
            <v>A5C</v>
          </cell>
          <cell r="C5895" t="str">
            <v>P</v>
          </cell>
          <cell r="D5895" t="str">
            <v>22100</v>
          </cell>
          <cell r="E5895" t="str">
            <v>SOL</v>
          </cell>
          <cell r="F5895">
            <v>2</v>
          </cell>
          <cell r="G5895" t="str">
            <v>CB39020000020T</v>
          </cell>
          <cell r="H5895">
            <v>0.75</v>
          </cell>
          <cell r="I5895" t="str">
            <v>-</v>
          </cell>
          <cell r="J5895">
            <v>2</v>
          </cell>
          <cell r="K5895">
            <v>3</v>
          </cell>
        </row>
        <row r="5896">
          <cell r="A5896" t="str">
            <v>M1</v>
          </cell>
          <cell r="B5896" t="str">
            <v>A5C</v>
          </cell>
          <cell r="C5896" t="str">
            <v>P</v>
          </cell>
          <cell r="D5896" t="str">
            <v>22034</v>
          </cell>
          <cell r="E5896" t="str">
            <v>SOL</v>
          </cell>
          <cell r="F5896">
            <v>2</v>
          </cell>
          <cell r="G5896" t="str">
            <v>CB3902000006010601</v>
          </cell>
          <cell r="H5896">
            <v>1</v>
          </cell>
          <cell r="I5896" t="str">
            <v>-</v>
          </cell>
          <cell r="J5896">
            <v>2</v>
          </cell>
          <cell r="K5896">
            <v>3</v>
          </cell>
        </row>
        <row r="5897">
          <cell r="A5897" t="str">
            <v>M1</v>
          </cell>
          <cell r="B5897" t="str">
            <v>A5C</v>
          </cell>
          <cell r="C5897" t="str">
            <v>P</v>
          </cell>
          <cell r="D5897" t="str">
            <v>22004</v>
          </cell>
          <cell r="E5897" t="str">
            <v>SOL</v>
          </cell>
          <cell r="F5897">
            <v>2</v>
          </cell>
          <cell r="G5897" t="str">
            <v>CB39020000020T</v>
          </cell>
          <cell r="H5897">
            <v>0.75</v>
          </cell>
          <cell r="I5897" t="str">
            <v>-</v>
          </cell>
          <cell r="J5897">
            <v>1</v>
          </cell>
          <cell r="K5897">
            <v>2</v>
          </cell>
        </row>
        <row r="5898">
          <cell r="A5898" t="str">
            <v>M1</v>
          </cell>
          <cell r="B5898" t="str">
            <v>A5C</v>
          </cell>
          <cell r="C5898" t="str">
            <v>P</v>
          </cell>
          <cell r="D5898" t="str">
            <v>22004</v>
          </cell>
          <cell r="E5898" t="str">
            <v>SOL</v>
          </cell>
          <cell r="F5898">
            <v>2</v>
          </cell>
          <cell r="G5898" t="str">
            <v>CB39020000020T</v>
          </cell>
          <cell r="H5898">
            <v>0.75</v>
          </cell>
          <cell r="I5898" t="str">
            <v>-</v>
          </cell>
          <cell r="J5898">
            <v>1</v>
          </cell>
          <cell r="K5898">
            <v>2</v>
          </cell>
        </row>
        <row r="5899">
          <cell r="A5899" t="str">
            <v>M1</v>
          </cell>
          <cell r="B5899" t="str">
            <v>A4C</v>
          </cell>
          <cell r="C5899" t="str">
            <v>P</v>
          </cell>
          <cell r="D5899" t="str">
            <v>22031</v>
          </cell>
          <cell r="E5899" t="str">
            <v>C SWG</v>
          </cell>
          <cell r="F5899">
            <v>2</v>
          </cell>
          <cell r="G5899" t="str">
            <v>CB1614080802IH</v>
          </cell>
          <cell r="H5899">
            <v>1.5</v>
          </cell>
          <cell r="I5899" t="str">
            <v>-</v>
          </cell>
          <cell r="J5899">
            <v>1</v>
          </cell>
          <cell r="K5899">
            <v>2</v>
          </cell>
        </row>
        <row r="5900">
          <cell r="A5900" t="str">
            <v>M1</v>
          </cell>
          <cell r="B5900" t="str">
            <v>A4C</v>
          </cell>
          <cell r="C5900" t="str">
            <v>P</v>
          </cell>
          <cell r="D5900" t="str">
            <v>22031</v>
          </cell>
          <cell r="E5900" t="str">
            <v>C SWG</v>
          </cell>
          <cell r="F5900">
            <v>2</v>
          </cell>
          <cell r="G5900" t="str">
            <v>CB1614080802IH</v>
          </cell>
          <cell r="H5900">
            <v>1.5</v>
          </cell>
          <cell r="I5900" t="str">
            <v>-</v>
          </cell>
          <cell r="J5900">
            <v>5</v>
          </cell>
          <cell r="K5900">
            <v>6</v>
          </cell>
        </row>
        <row r="5901">
          <cell r="A5901" t="str">
            <v>M1</v>
          </cell>
          <cell r="B5901" t="str">
            <v>A5C</v>
          </cell>
          <cell r="C5901" t="str">
            <v>P</v>
          </cell>
          <cell r="D5901" t="str">
            <v>22062</v>
          </cell>
          <cell r="E5901" t="str">
            <v>SOL</v>
          </cell>
          <cell r="F5901">
            <v>2</v>
          </cell>
          <cell r="G5901" t="str">
            <v>CB390200001001</v>
          </cell>
          <cell r="H5901">
            <v>1</v>
          </cell>
          <cell r="I5901" t="str">
            <v>-</v>
          </cell>
          <cell r="J5901">
            <v>2</v>
          </cell>
          <cell r="K5901">
            <v>3</v>
          </cell>
        </row>
        <row r="5902">
          <cell r="A5902" t="str">
            <v>M1</v>
          </cell>
          <cell r="B5902" t="str">
            <v>B2C</v>
          </cell>
          <cell r="C5902" t="str">
            <v>SH</v>
          </cell>
          <cell r="D5902" t="str">
            <v>22612</v>
          </cell>
          <cell r="E5902" t="str">
            <v>E RED</v>
          </cell>
          <cell r="F5902">
            <v>2</v>
          </cell>
          <cell r="G5902" t="str">
            <v>CB300604080302</v>
          </cell>
          <cell r="H5902">
            <v>2</v>
          </cell>
          <cell r="I5902" t="str">
            <v>-</v>
          </cell>
          <cell r="J5902">
            <v>1</v>
          </cell>
          <cell r="K5902">
            <v>2</v>
          </cell>
        </row>
        <row r="5903">
          <cell r="A5903" t="str">
            <v>M1</v>
          </cell>
          <cell r="B5903" t="str">
            <v>B2C</v>
          </cell>
          <cell r="C5903" t="str">
            <v>SH</v>
          </cell>
          <cell r="D5903" t="str">
            <v>22625</v>
          </cell>
          <cell r="E5903" t="str">
            <v>E RED</v>
          </cell>
          <cell r="F5903">
            <v>2</v>
          </cell>
          <cell r="G5903" t="str">
            <v>CB300604080302</v>
          </cell>
          <cell r="H5903">
            <v>2</v>
          </cell>
          <cell r="I5903" t="str">
            <v>-</v>
          </cell>
          <cell r="J5903">
            <v>1</v>
          </cell>
          <cell r="K5903">
            <v>2</v>
          </cell>
        </row>
        <row r="5904">
          <cell r="A5904" t="str">
            <v>M1</v>
          </cell>
          <cell r="B5904" t="str">
            <v>B2C</v>
          </cell>
          <cell r="C5904" t="str">
            <v>SH</v>
          </cell>
          <cell r="D5904" t="str">
            <v>22601</v>
          </cell>
          <cell r="E5904" t="str">
            <v>SOL</v>
          </cell>
          <cell r="F5904">
            <v>2</v>
          </cell>
          <cell r="G5904" t="str">
            <v>CB39020000030T</v>
          </cell>
          <cell r="H5904">
            <v>0.75</v>
          </cell>
          <cell r="I5904" t="str">
            <v>-</v>
          </cell>
          <cell r="J5904">
            <v>2</v>
          </cell>
          <cell r="K5904">
            <v>3</v>
          </cell>
        </row>
        <row r="5905">
          <cell r="A5905" t="str">
            <v>M1</v>
          </cell>
          <cell r="B5905" t="str">
            <v>B2C</v>
          </cell>
          <cell r="C5905" t="str">
            <v>TRIM</v>
          </cell>
          <cell r="D5905" t="str">
            <v>V-2218</v>
          </cell>
          <cell r="E5905" t="str">
            <v>SOL</v>
          </cell>
          <cell r="F5905">
            <v>2</v>
          </cell>
          <cell r="G5905" t="str">
            <v>CB39020000030T</v>
          </cell>
          <cell r="H5905">
            <v>0.75</v>
          </cell>
          <cell r="I5905" t="str">
            <v>-</v>
          </cell>
          <cell r="J5905">
            <v>6</v>
          </cell>
          <cell r="K5905">
            <v>7</v>
          </cell>
        </row>
        <row r="5906">
          <cell r="A5906" t="str">
            <v>M1</v>
          </cell>
          <cell r="B5906" t="str">
            <v>A5C</v>
          </cell>
          <cell r="C5906" t="str">
            <v>P</v>
          </cell>
          <cell r="D5906" t="str">
            <v>22066</v>
          </cell>
          <cell r="E5906" t="str">
            <v>E RED</v>
          </cell>
          <cell r="F5906">
            <v>2</v>
          </cell>
          <cell r="G5906" t="str">
            <v>CB300604080302</v>
          </cell>
          <cell r="H5906">
            <v>2</v>
          </cell>
          <cell r="I5906" t="str">
            <v>-</v>
          </cell>
          <cell r="J5906">
            <v>1</v>
          </cell>
          <cell r="K5906">
            <v>2</v>
          </cell>
        </row>
        <row r="5907">
          <cell r="A5907" t="str">
            <v>M1</v>
          </cell>
          <cell r="B5907" t="str">
            <v>A5C</v>
          </cell>
          <cell r="C5907" t="str">
            <v>P</v>
          </cell>
          <cell r="D5907" t="str">
            <v>22130</v>
          </cell>
          <cell r="E5907" t="str">
            <v>E RED</v>
          </cell>
          <cell r="F5907">
            <v>2</v>
          </cell>
          <cell r="G5907" t="str">
            <v>CB300604080302</v>
          </cell>
          <cell r="H5907">
            <v>2</v>
          </cell>
          <cell r="I5907" t="str">
            <v>-</v>
          </cell>
          <cell r="J5907">
            <v>2</v>
          </cell>
          <cell r="K5907">
            <v>3</v>
          </cell>
        </row>
        <row r="5908">
          <cell r="A5908" t="str">
            <v>M1</v>
          </cell>
          <cell r="B5908" t="str">
            <v>A5C</v>
          </cell>
          <cell r="C5908" t="str">
            <v>P</v>
          </cell>
          <cell r="D5908" t="str">
            <v>22140</v>
          </cell>
          <cell r="E5908" t="str">
            <v>E RED</v>
          </cell>
          <cell r="F5908">
            <v>2</v>
          </cell>
          <cell r="G5908" t="str">
            <v>CB300604080302</v>
          </cell>
          <cell r="H5908">
            <v>2</v>
          </cell>
          <cell r="I5908" t="str">
            <v>-</v>
          </cell>
          <cell r="J5908">
            <v>2</v>
          </cell>
          <cell r="K5908">
            <v>3</v>
          </cell>
        </row>
        <row r="5909">
          <cell r="A5909" t="str">
            <v>M1</v>
          </cell>
          <cell r="B5909" t="str">
            <v>A5C</v>
          </cell>
          <cell r="C5909" t="str">
            <v>P</v>
          </cell>
          <cell r="D5909" t="str">
            <v>22081</v>
          </cell>
          <cell r="E5909" t="str">
            <v>E RED</v>
          </cell>
          <cell r="F5909">
            <v>2</v>
          </cell>
          <cell r="G5909" t="str">
            <v>CB300604080302</v>
          </cell>
          <cell r="H5909">
            <v>2</v>
          </cell>
          <cell r="I5909" t="str">
            <v>-</v>
          </cell>
          <cell r="J5909">
            <v>2</v>
          </cell>
          <cell r="K5909">
            <v>3</v>
          </cell>
        </row>
        <row r="5910">
          <cell r="A5910" t="str">
            <v>M1</v>
          </cell>
          <cell r="B5910" t="str">
            <v>A5C</v>
          </cell>
          <cell r="C5910" t="str">
            <v>P</v>
          </cell>
          <cell r="D5910" t="str">
            <v>22153</v>
          </cell>
          <cell r="E5910" t="str">
            <v>SOL</v>
          </cell>
          <cell r="F5910">
            <v>2</v>
          </cell>
          <cell r="G5910" t="str">
            <v>CB39020000030T</v>
          </cell>
          <cell r="H5910">
            <v>0.75</v>
          </cell>
          <cell r="I5910" t="str">
            <v>-</v>
          </cell>
          <cell r="J5910">
            <v>4</v>
          </cell>
          <cell r="K5910">
            <v>5</v>
          </cell>
        </row>
        <row r="5911">
          <cell r="A5911" t="str">
            <v>M1</v>
          </cell>
          <cell r="B5911" t="str">
            <v>A5C</v>
          </cell>
          <cell r="C5911" t="str">
            <v>TRIM</v>
          </cell>
          <cell r="D5911" t="str">
            <v>V-2211</v>
          </cell>
          <cell r="E5911" t="str">
            <v>SOL</v>
          </cell>
          <cell r="F5911">
            <v>2</v>
          </cell>
          <cell r="G5911" t="str">
            <v>CB39020000030T</v>
          </cell>
          <cell r="H5911">
            <v>0.75</v>
          </cell>
          <cell r="I5911" t="str">
            <v>-</v>
          </cell>
          <cell r="J5911">
            <v>5</v>
          </cell>
          <cell r="K5911">
            <v>6</v>
          </cell>
        </row>
        <row r="5912">
          <cell r="A5912" t="str">
            <v>M1</v>
          </cell>
          <cell r="B5912" t="str">
            <v>A5C</v>
          </cell>
          <cell r="C5912" t="str">
            <v>P</v>
          </cell>
          <cell r="D5912" t="str">
            <v>22081</v>
          </cell>
          <cell r="E5912" t="str">
            <v>SOL</v>
          </cell>
          <cell r="F5912">
            <v>2</v>
          </cell>
          <cell r="G5912" t="str">
            <v>CB39020000030T</v>
          </cell>
          <cell r="H5912">
            <v>0.75</v>
          </cell>
          <cell r="I5912" t="str">
            <v>-</v>
          </cell>
          <cell r="J5912">
            <v>3</v>
          </cell>
          <cell r="K5912">
            <v>4</v>
          </cell>
        </row>
        <row r="5913">
          <cell r="A5913" t="str">
            <v>M1</v>
          </cell>
          <cell r="B5913" t="str">
            <v>A5C</v>
          </cell>
          <cell r="C5913" t="str">
            <v>P</v>
          </cell>
          <cell r="D5913" t="str">
            <v>22094</v>
          </cell>
          <cell r="E5913" t="str">
            <v>C SWG</v>
          </cell>
          <cell r="F5913">
            <v>2</v>
          </cell>
          <cell r="G5913" t="str">
            <v>CB1614040803IH</v>
          </cell>
          <cell r="H5913">
            <v>1.5</v>
          </cell>
          <cell r="I5913" t="str">
            <v>-</v>
          </cell>
          <cell r="J5913">
            <v>2</v>
          </cell>
          <cell r="K5913">
            <v>3</v>
          </cell>
        </row>
        <row r="5914">
          <cell r="A5914" t="str">
            <v>M1</v>
          </cell>
          <cell r="B5914" t="str">
            <v>A5C</v>
          </cell>
          <cell r="C5914" t="str">
            <v>P</v>
          </cell>
          <cell r="D5914" t="str">
            <v>22095</v>
          </cell>
          <cell r="E5914" t="str">
            <v>C SWG</v>
          </cell>
          <cell r="F5914">
            <v>2</v>
          </cell>
          <cell r="G5914" t="str">
            <v>CB1614040803IH</v>
          </cell>
          <cell r="H5914">
            <v>1.5</v>
          </cell>
          <cell r="I5914" t="str">
            <v>-</v>
          </cell>
          <cell r="J5914">
            <v>2</v>
          </cell>
          <cell r="K5914">
            <v>3</v>
          </cell>
        </row>
        <row r="5915">
          <cell r="A5915" t="str">
            <v>M1</v>
          </cell>
          <cell r="B5915" t="str">
            <v>A5C</v>
          </cell>
          <cell r="C5915" t="str">
            <v>P</v>
          </cell>
          <cell r="D5915" t="str">
            <v>22073</v>
          </cell>
          <cell r="E5915" t="str">
            <v>SOL</v>
          </cell>
          <cell r="F5915">
            <v>2</v>
          </cell>
          <cell r="G5915" t="str">
            <v>CB390200001001</v>
          </cell>
          <cell r="H5915">
            <v>1</v>
          </cell>
          <cell r="I5915" t="str">
            <v>-</v>
          </cell>
          <cell r="J5915">
            <v>2</v>
          </cell>
          <cell r="K5915">
            <v>3</v>
          </cell>
        </row>
        <row r="5916">
          <cell r="A5916" t="str">
            <v>M1</v>
          </cell>
          <cell r="B5916" t="str">
            <v>A4C</v>
          </cell>
          <cell r="C5916" t="str">
            <v>P</v>
          </cell>
          <cell r="D5916" t="str">
            <v>22008</v>
          </cell>
          <cell r="E5916" t="str">
            <v>SOL</v>
          </cell>
          <cell r="F5916">
            <v>2</v>
          </cell>
          <cell r="G5916" t="str">
            <v>CB390200001001</v>
          </cell>
          <cell r="H5916">
            <v>1</v>
          </cell>
          <cell r="I5916" t="str">
            <v>-</v>
          </cell>
          <cell r="J5916">
            <v>2</v>
          </cell>
          <cell r="K5916">
            <v>3</v>
          </cell>
        </row>
        <row r="5917">
          <cell r="A5917" t="str">
            <v>M1</v>
          </cell>
          <cell r="B5917" t="str">
            <v>A4C</v>
          </cell>
          <cell r="C5917" t="str">
            <v>P</v>
          </cell>
          <cell r="D5917" t="str">
            <v>22008</v>
          </cell>
          <cell r="E5917" t="str">
            <v>SOL</v>
          </cell>
          <cell r="F5917">
            <v>2</v>
          </cell>
          <cell r="G5917" t="str">
            <v>CB390200001001</v>
          </cell>
          <cell r="H5917">
            <v>1</v>
          </cell>
          <cell r="I5917" t="str">
            <v>-</v>
          </cell>
          <cell r="J5917">
            <v>2</v>
          </cell>
          <cell r="K5917">
            <v>3</v>
          </cell>
        </row>
        <row r="5918">
          <cell r="A5918" t="str">
            <v>M1</v>
          </cell>
          <cell r="B5918" t="str">
            <v>A5C</v>
          </cell>
          <cell r="C5918" t="str">
            <v>P</v>
          </cell>
          <cell r="D5918" t="str">
            <v>22092</v>
          </cell>
          <cell r="E5918" t="str">
            <v>SOL</v>
          </cell>
          <cell r="F5918">
            <v>2</v>
          </cell>
          <cell r="G5918" t="str">
            <v>CB39020000030T</v>
          </cell>
          <cell r="H5918">
            <v>0.75</v>
          </cell>
          <cell r="I5918" t="str">
            <v>-</v>
          </cell>
          <cell r="J5918">
            <v>1</v>
          </cell>
          <cell r="K5918">
            <v>2</v>
          </cell>
        </row>
        <row r="5919">
          <cell r="A5919" t="str">
            <v>M1</v>
          </cell>
          <cell r="B5919" t="str">
            <v>A5C</v>
          </cell>
          <cell r="C5919" t="str">
            <v>P</v>
          </cell>
          <cell r="D5919" t="str">
            <v>22095</v>
          </cell>
          <cell r="E5919" t="str">
            <v>SOL</v>
          </cell>
          <cell r="F5919">
            <v>2</v>
          </cell>
          <cell r="G5919" t="str">
            <v>CB39020000030T</v>
          </cell>
          <cell r="H5919">
            <v>0.75</v>
          </cell>
          <cell r="I5919" t="str">
            <v>-</v>
          </cell>
          <cell r="J5919">
            <v>5</v>
          </cell>
          <cell r="K5919">
            <v>6</v>
          </cell>
        </row>
        <row r="5920">
          <cell r="A5920" t="str">
            <v>M1</v>
          </cell>
          <cell r="B5920" t="str">
            <v>A5C</v>
          </cell>
          <cell r="C5920" t="str">
            <v>P</v>
          </cell>
          <cell r="D5920" t="str">
            <v>22090</v>
          </cell>
          <cell r="E5920" t="str">
            <v>SOL</v>
          </cell>
          <cell r="F5920">
            <v>2</v>
          </cell>
          <cell r="G5920" t="str">
            <v>CB39020000030T</v>
          </cell>
          <cell r="H5920">
            <v>0.75</v>
          </cell>
          <cell r="I5920" t="str">
            <v>-</v>
          </cell>
          <cell r="J5920">
            <v>1</v>
          </cell>
          <cell r="K5920">
            <v>2</v>
          </cell>
        </row>
        <row r="5921">
          <cell r="A5921" t="str">
            <v>M1</v>
          </cell>
          <cell r="B5921" t="str">
            <v>A5C</v>
          </cell>
          <cell r="C5921" t="str">
            <v>P</v>
          </cell>
          <cell r="D5921" t="str">
            <v>22093</v>
          </cell>
          <cell r="E5921" t="str">
            <v>SOL</v>
          </cell>
          <cell r="F5921">
            <v>2</v>
          </cell>
          <cell r="G5921" t="str">
            <v>CB39020000030T</v>
          </cell>
          <cell r="H5921">
            <v>0.75</v>
          </cell>
          <cell r="I5921" t="str">
            <v>-</v>
          </cell>
          <cell r="J5921">
            <v>1</v>
          </cell>
          <cell r="K5921">
            <v>2</v>
          </cell>
        </row>
        <row r="5922">
          <cell r="A5922" t="str">
            <v>M1</v>
          </cell>
          <cell r="B5922" t="str">
            <v>A5C</v>
          </cell>
          <cell r="C5922" t="str">
            <v>P</v>
          </cell>
          <cell r="D5922" t="str">
            <v>22001</v>
          </cell>
          <cell r="E5922" t="str">
            <v>NPL</v>
          </cell>
          <cell r="F5922">
            <v>2</v>
          </cell>
          <cell r="G5922" t="str">
            <v>CB1321080001VR</v>
          </cell>
          <cell r="H5922">
            <v>1</v>
          </cell>
          <cell r="I5922" t="str">
            <v>75mm</v>
          </cell>
          <cell r="J5922">
            <v>2</v>
          </cell>
          <cell r="K5922">
            <v>2</v>
          </cell>
        </row>
        <row r="5923">
          <cell r="A5923" t="str">
            <v>M1</v>
          </cell>
          <cell r="B5923" t="str">
            <v>A5C</v>
          </cell>
          <cell r="C5923" t="str">
            <v>P</v>
          </cell>
          <cell r="D5923" t="str">
            <v>22094</v>
          </cell>
          <cell r="E5923" t="str">
            <v>SOL</v>
          </cell>
          <cell r="F5923">
            <v>2</v>
          </cell>
          <cell r="G5923" t="str">
            <v>CB39020000030T</v>
          </cell>
          <cell r="H5923">
            <v>0.75</v>
          </cell>
          <cell r="I5923" t="str">
            <v>-</v>
          </cell>
          <cell r="J5923">
            <v>5</v>
          </cell>
          <cell r="K5923">
            <v>6</v>
          </cell>
        </row>
        <row r="5924">
          <cell r="A5924" t="str">
            <v>M1</v>
          </cell>
          <cell r="B5924" t="str">
            <v>A5C</v>
          </cell>
          <cell r="C5924" t="str">
            <v>P</v>
          </cell>
          <cell r="D5924" t="str">
            <v>22004</v>
          </cell>
          <cell r="E5924" t="str">
            <v>C RED</v>
          </cell>
          <cell r="F5924">
            <v>2</v>
          </cell>
          <cell r="G5924" t="str">
            <v>CB300504080302</v>
          </cell>
          <cell r="H5924">
            <v>2</v>
          </cell>
          <cell r="I5924" t="str">
            <v>-</v>
          </cell>
          <cell r="J5924">
            <v>1</v>
          </cell>
          <cell r="K5924">
            <v>2</v>
          </cell>
        </row>
        <row r="5925">
          <cell r="A5925" t="str">
            <v>M1</v>
          </cell>
          <cell r="B5925" t="str">
            <v>A5C</v>
          </cell>
          <cell r="C5925" t="str">
            <v>P</v>
          </cell>
          <cell r="D5925" t="str">
            <v>22004</v>
          </cell>
          <cell r="E5925" t="str">
            <v>C RED</v>
          </cell>
          <cell r="F5925">
            <v>2</v>
          </cell>
          <cell r="G5925" t="str">
            <v>CB300504080302</v>
          </cell>
          <cell r="H5925">
            <v>2</v>
          </cell>
          <cell r="I5925" t="str">
            <v>-</v>
          </cell>
          <cell r="J5925">
            <v>1</v>
          </cell>
          <cell r="K5925">
            <v>2</v>
          </cell>
        </row>
        <row r="5926">
          <cell r="A5926" t="str">
            <v>M1</v>
          </cell>
          <cell r="B5926" t="str">
            <v>A5C</v>
          </cell>
          <cell r="C5926" t="str">
            <v>P</v>
          </cell>
          <cell r="D5926" t="str">
            <v>22003</v>
          </cell>
          <cell r="E5926" t="str">
            <v>SOL</v>
          </cell>
          <cell r="F5926">
            <v>2</v>
          </cell>
          <cell r="G5926" t="str">
            <v>CB39020000030T</v>
          </cell>
          <cell r="H5926">
            <v>0.75</v>
          </cell>
          <cell r="I5926" t="str">
            <v>-</v>
          </cell>
          <cell r="J5926">
            <v>2</v>
          </cell>
          <cell r="K5926">
            <v>3</v>
          </cell>
        </row>
        <row r="5927">
          <cell r="A5927" t="str">
            <v>M1</v>
          </cell>
          <cell r="B5927" t="str">
            <v>A5C</v>
          </cell>
          <cell r="C5927" t="str">
            <v>P</v>
          </cell>
          <cell r="D5927" t="str">
            <v>22096</v>
          </cell>
          <cell r="E5927" t="str">
            <v>SOL</v>
          </cell>
          <cell r="F5927">
            <v>2</v>
          </cell>
          <cell r="G5927" t="str">
            <v>CB390200000201</v>
          </cell>
          <cell r="H5927">
            <v>1</v>
          </cell>
          <cell r="I5927" t="str">
            <v>-</v>
          </cell>
          <cell r="J5927">
            <v>1</v>
          </cell>
          <cell r="K5927">
            <v>2</v>
          </cell>
        </row>
        <row r="5928">
          <cell r="A5928" t="str">
            <v>M1</v>
          </cell>
          <cell r="B5928" t="str">
            <v>A5C</v>
          </cell>
          <cell r="C5928" t="str">
            <v>P</v>
          </cell>
          <cell r="D5928" t="str">
            <v>22004</v>
          </cell>
          <cell r="E5928" t="str">
            <v>SOL</v>
          </cell>
          <cell r="F5928">
            <v>2</v>
          </cell>
          <cell r="G5928" t="str">
            <v>CB39020000030T</v>
          </cell>
          <cell r="H5928">
            <v>0.75</v>
          </cell>
          <cell r="I5928" t="str">
            <v>-</v>
          </cell>
          <cell r="J5928">
            <v>1</v>
          </cell>
          <cell r="K5928">
            <v>2</v>
          </cell>
        </row>
        <row r="5929">
          <cell r="A5929" t="str">
            <v>M1</v>
          </cell>
          <cell r="B5929" t="str">
            <v>A5C</v>
          </cell>
          <cell r="C5929" t="str">
            <v>P</v>
          </cell>
          <cell r="D5929" t="str">
            <v>22004</v>
          </cell>
          <cell r="E5929" t="str">
            <v>SOL</v>
          </cell>
          <cell r="F5929">
            <v>2</v>
          </cell>
          <cell r="G5929" t="str">
            <v>CB3902000003IH</v>
          </cell>
          <cell r="H5929">
            <v>1.5</v>
          </cell>
          <cell r="I5929" t="str">
            <v>-</v>
          </cell>
          <cell r="J5929">
            <v>1</v>
          </cell>
          <cell r="K5929">
            <v>2</v>
          </cell>
        </row>
        <row r="5930">
          <cell r="A5930" t="str">
            <v>M1</v>
          </cell>
          <cell r="B5930" t="str">
            <v>A5C</v>
          </cell>
          <cell r="C5930" t="str">
            <v>P</v>
          </cell>
          <cell r="D5930" t="str">
            <v>22005</v>
          </cell>
          <cell r="E5930" t="str">
            <v>SOL</v>
          </cell>
          <cell r="F5930">
            <v>2</v>
          </cell>
          <cell r="G5930" t="str">
            <v>CB39020000030T</v>
          </cell>
          <cell r="H5930">
            <v>0.75</v>
          </cell>
          <cell r="I5930" t="str">
            <v>-</v>
          </cell>
          <cell r="J5930">
            <v>1</v>
          </cell>
          <cell r="K5930">
            <v>2</v>
          </cell>
        </row>
        <row r="5931">
          <cell r="A5931" t="str">
            <v>M1</v>
          </cell>
          <cell r="B5931" t="str">
            <v>A5C</v>
          </cell>
          <cell r="C5931" t="str">
            <v>P</v>
          </cell>
          <cell r="D5931" t="str">
            <v>22001</v>
          </cell>
          <cell r="E5931" t="str">
            <v>SOL</v>
          </cell>
          <cell r="F5931">
            <v>2</v>
          </cell>
          <cell r="G5931" t="str">
            <v>CB39020000030T</v>
          </cell>
          <cell r="H5931">
            <v>0.75</v>
          </cell>
          <cell r="I5931" t="str">
            <v>-</v>
          </cell>
          <cell r="J5931">
            <v>3</v>
          </cell>
          <cell r="K5931">
            <v>4</v>
          </cell>
        </row>
        <row r="5932">
          <cell r="A5932" t="str">
            <v>M1</v>
          </cell>
          <cell r="B5932" t="str">
            <v>A5C</v>
          </cell>
          <cell r="C5932" t="str">
            <v>N</v>
          </cell>
          <cell r="D5932" t="str">
            <v>22681</v>
          </cell>
          <cell r="E5932" t="str">
            <v>90 ELL</v>
          </cell>
          <cell r="F5932">
            <v>2</v>
          </cell>
          <cell r="G5932" t="str">
            <v>CB400100001000</v>
          </cell>
          <cell r="H5932">
            <v>1</v>
          </cell>
          <cell r="I5932" t="str">
            <v>--</v>
          </cell>
          <cell r="J5932">
            <v>1</v>
          </cell>
          <cell r="K5932">
            <v>1</v>
          </cell>
        </row>
        <row r="5933">
          <cell r="A5933" t="str">
            <v>M1</v>
          </cell>
          <cell r="B5933" t="str">
            <v>A5C</v>
          </cell>
          <cell r="C5933" t="str">
            <v>P</v>
          </cell>
          <cell r="D5933" t="str">
            <v>22001</v>
          </cell>
          <cell r="E5933" t="str">
            <v>SOL</v>
          </cell>
          <cell r="F5933">
            <v>2</v>
          </cell>
          <cell r="G5933" t="str">
            <v>CB3902000003IH</v>
          </cell>
          <cell r="H5933">
            <v>1.5</v>
          </cell>
          <cell r="I5933" t="str">
            <v>-</v>
          </cell>
          <cell r="J5933">
            <v>1</v>
          </cell>
          <cell r="K5933">
            <v>2</v>
          </cell>
        </row>
        <row r="5934">
          <cell r="A5934" t="str">
            <v>M1</v>
          </cell>
          <cell r="B5934" t="str">
            <v>A5C</v>
          </cell>
          <cell r="C5934" t="str">
            <v>TRIM</v>
          </cell>
          <cell r="D5934" t="str">
            <v>V-2213</v>
          </cell>
          <cell r="E5934" t="str">
            <v>SOL</v>
          </cell>
          <cell r="F5934">
            <v>2</v>
          </cell>
          <cell r="G5934" t="str">
            <v>CB39020000030T</v>
          </cell>
          <cell r="H5934">
            <v>0.75</v>
          </cell>
          <cell r="I5934" t="str">
            <v>-</v>
          </cell>
          <cell r="J5934">
            <v>1</v>
          </cell>
          <cell r="K5934">
            <v>2</v>
          </cell>
        </row>
        <row r="5935">
          <cell r="A5935" t="str">
            <v>M1</v>
          </cell>
          <cell r="B5935" t="str">
            <v>A4C</v>
          </cell>
          <cell r="C5935" t="str">
            <v>P</v>
          </cell>
          <cell r="D5935" t="str">
            <v>22031</v>
          </cell>
          <cell r="E5935" t="str">
            <v>C RED</v>
          </cell>
          <cell r="F5935">
            <v>2</v>
          </cell>
          <cell r="G5935" t="str">
            <v>CB300504080302</v>
          </cell>
          <cell r="H5935">
            <v>2</v>
          </cell>
          <cell r="I5935" t="str">
            <v>-</v>
          </cell>
          <cell r="J5935">
            <v>5</v>
          </cell>
          <cell r="K5935">
            <v>6</v>
          </cell>
        </row>
        <row r="5936">
          <cell r="A5936" t="str">
            <v>M1</v>
          </cell>
          <cell r="B5936" t="str">
            <v>A4C</v>
          </cell>
          <cell r="C5936" t="str">
            <v>P</v>
          </cell>
          <cell r="D5936" t="str">
            <v>22031</v>
          </cell>
          <cell r="E5936" t="str">
            <v>C RED</v>
          </cell>
          <cell r="F5936">
            <v>2</v>
          </cell>
          <cell r="G5936" t="str">
            <v>CB300504080302</v>
          </cell>
          <cell r="H5936">
            <v>2</v>
          </cell>
          <cell r="I5936" t="str">
            <v>-</v>
          </cell>
          <cell r="J5936">
            <v>1</v>
          </cell>
          <cell r="K5936">
            <v>2</v>
          </cell>
        </row>
        <row r="5937">
          <cell r="A5937" t="str">
            <v>M1</v>
          </cell>
          <cell r="B5937" t="str">
            <v>A5C</v>
          </cell>
          <cell r="C5937" t="str">
            <v>P</v>
          </cell>
          <cell r="D5937" t="str">
            <v>22096</v>
          </cell>
          <cell r="E5937" t="str">
            <v>E RED</v>
          </cell>
          <cell r="F5937">
            <v>2</v>
          </cell>
          <cell r="G5937" t="str">
            <v>CB300604080302</v>
          </cell>
          <cell r="H5937">
            <v>2</v>
          </cell>
          <cell r="I5937" t="str">
            <v>-</v>
          </cell>
          <cell r="J5937">
            <v>1</v>
          </cell>
          <cell r="K5937">
            <v>2</v>
          </cell>
        </row>
        <row r="5938">
          <cell r="A5938" t="str">
            <v>M1</v>
          </cell>
          <cell r="B5938" t="str">
            <v>A5C</v>
          </cell>
          <cell r="C5938" t="str">
            <v>TRIM</v>
          </cell>
          <cell r="D5938" t="str">
            <v>C-2201</v>
          </cell>
          <cell r="E5938" t="str">
            <v>SOL</v>
          </cell>
          <cell r="F5938">
            <v>2</v>
          </cell>
          <cell r="G5938" t="str">
            <v>CB39020000030T</v>
          </cell>
          <cell r="H5938">
            <v>0.75</v>
          </cell>
          <cell r="I5938" t="str">
            <v>-</v>
          </cell>
          <cell r="J5938">
            <v>4</v>
          </cell>
          <cell r="K5938">
            <v>5</v>
          </cell>
        </row>
        <row r="5939">
          <cell r="A5939" t="str">
            <v>M1</v>
          </cell>
          <cell r="B5939" t="str">
            <v>A6C</v>
          </cell>
          <cell r="C5939" t="str">
            <v>TRIM</v>
          </cell>
          <cell r="D5939" t="str">
            <v>V-6501</v>
          </cell>
          <cell r="E5939" t="str">
            <v>SOL</v>
          </cell>
          <cell r="F5939">
            <v>2</v>
          </cell>
          <cell r="G5939" t="str">
            <v>CB39020000030T</v>
          </cell>
          <cell r="H5939">
            <v>0.75</v>
          </cell>
          <cell r="I5939" t="str">
            <v>-</v>
          </cell>
          <cell r="J5939">
            <v>6</v>
          </cell>
          <cell r="K5939">
            <v>7</v>
          </cell>
        </row>
        <row r="5940">
          <cell r="A5940" t="str">
            <v>M1</v>
          </cell>
          <cell r="B5940" t="str">
            <v>A5C</v>
          </cell>
          <cell r="C5940" t="str">
            <v>P</v>
          </cell>
          <cell r="D5940" t="str">
            <v>22088</v>
          </cell>
          <cell r="E5940" t="str">
            <v>SOL</v>
          </cell>
          <cell r="F5940">
            <v>2</v>
          </cell>
          <cell r="G5940" t="str">
            <v>CB39020000030T</v>
          </cell>
          <cell r="H5940">
            <v>0.75</v>
          </cell>
          <cell r="I5940" t="str">
            <v>-</v>
          </cell>
          <cell r="J5940">
            <v>3</v>
          </cell>
          <cell r="K5940">
            <v>4</v>
          </cell>
        </row>
        <row r="5941">
          <cell r="A5941" t="str">
            <v>M1</v>
          </cell>
          <cell r="B5941" t="str">
            <v>A5C</v>
          </cell>
          <cell r="C5941" t="str">
            <v>P</v>
          </cell>
          <cell r="D5941" t="str">
            <v>22089</v>
          </cell>
          <cell r="E5941" t="str">
            <v>SOL</v>
          </cell>
          <cell r="F5941">
            <v>2</v>
          </cell>
          <cell r="G5941" t="str">
            <v>CB39020000030T</v>
          </cell>
          <cell r="H5941">
            <v>0.75</v>
          </cell>
          <cell r="I5941" t="str">
            <v>-</v>
          </cell>
          <cell r="J5941">
            <v>1</v>
          </cell>
          <cell r="K5941">
            <v>2</v>
          </cell>
        </row>
        <row r="5942">
          <cell r="A5942" t="str">
            <v>M1</v>
          </cell>
          <cell r="B5942" t="str">
            <v>A5C</v>
          </cell>
          <cell r="C5942" t="str">
            <v>P</v>
          </cell>
          <cell r="D5942" t="str">
            <v>22069</v>
          </cell>
          <cell r="E5942" t="str">
            <v>C RED</v>
          </cell>
          <cell r="F5942">
            <v>2</v>
          </cell>
          <cell r="G5942" t="str">
            <v>CB300504080402</v>
          </cell>
          <cell r="H5942">
            <v>2</v>
          </cell>
          <cell r="I5942" t="str">
            <v>-</v>
          </cell>
          <cell r="J5942">
            <v>1</v>
          </cell>
          <cell r="K5942">
            <v>2</v>
          </cell>
        </row>
        <row r="5943">
          <cell r="A5943" t="str">
            <v>M1</v>
          </cell>
          <cell r="B5943" t="str">
            <v>A5C</v>
          </cell>
          <cell r="C5943" t="str">
            <v>P</v>
          </cell>
          <cell r="D5943" t="str">
            <v>22118</v>
          </cell>
          <cell r="E5943" t="str">
            <v>C RED</v>
          </cell>
          <cell r="F5943">
            <v>2</v>
          </cell>
          <cell r="G5943" t="str">
            <v>CB300504040403</v>
          </cell>
          <cell r="H5943">
            <v>3</v>
          </cell>
          <cell r="I5943" t="str">
            <v>-</v>
          </cell>
          <cell r="J5943">
            <v>1</v>
          </cell>
          <cell r="K5943">
            <v>2</v>
          </cell>
        </row>
        <row r="5944">
          <cell r="A5944" t="str">
            <v>M1</v>
          </cell>
          <cell r="B5944" t="str">
            <v>A5C</v>
          </cell>
          <cell r="C5944" t="str">
            <v>TRIM</v>
          </cell>
          <cell r="D5944" t="str">
            <v>V-2211</v>
          </cell>
          <cell r="E5944" t="str">
            <v>C RED</v>
          </cell>
          <cell r="F5944">
            <v>2</v>
          </cell>
          <cell r="G5944" t="str">
            <v>CB300504040403</v>
          </cell>
          <cell r="H5944">
            <v>3</v>
          </cell>
          <cell r="I5944" t="str">
            <v>-</v>
          </cell>
          <cell r="J5944">
            <v>1</v>
          </cell>
          <cell r="K5944">
            <v>2</v>
          </cell>
        </row>
        <row r="5945">
          <cell r="A5945" t="str">
            <v>M1</v>
          </cell>
          <cell r="B5945" t="str">
            <v>A5C</v>
          </cell>
          <cell r="C5945" t="str">
            <v>COMP</v>
          </cell>
          <cell r="D5945" t="str">
            <v>005</v>
          </cell>
          <cell r="E5945" t="str">
            <v>E RED</v>
          </cell>
          <cell r="F5945">
            <v>2</v>
          </cell>
          <cell r="G5945" t="str">
            <v>CB300604080402</v>
          </cell>
          <cell r="H5945">
            <v>2</v>
          </cell>
          <cell r="I5945" t="str">
            <v>-</v>
          </cell>
          <cell r="J5945">
            <v>1</v>
          </cell>
          <cell r="K5945">
            <v>2</v>
          </cell>
        </row>
        <row r="5946">
          <cell r="A5946" t="str">
            <v>M1</v>
          </cell>
          <cell r="B5946" t="str">
            <v>A5C</v>
          </cell>
          <cell r="C5946" t="str">
            <v>P</v>
          </cell>
          <cell r="D5946" t="str">
            <v>22109</v>
          </cell>
          <cell r="E5946" t="str">
            <v>E RED</v>
          </cell>
          <cell r="F5946">
            <v>2</v>
          </cell>
          <cell r="G5946" t="str">
            <v>CB300604080402</v>
          </cell>
          <cell r="H5946">
            <v>2</v>
          </cell>
          <cell r="I5946" t="str">
            <v>-</v>
          </cell>
          <cell r="J5946">
            <v>2</v>
          </cell>
          <cell r="K5946">
            <v>3</v>
          </cell>
        </row>
        <row r="5947">
          <cell r="A5947" t="str">
            <v>M1</v>
          </cell>
          <cell r="B5947" t="str">
            <v>A5C</v>
          </cell>
          <cell r="C5947" t="str">
            <v>P</v>
          </cell>
          <cell r="D5947" t="str">
            <v>22021</v>
          </cell>
          <cell r="E5947" t="str">
            <v>SOL</v>
          </cell>
          <cell r="F5947">
            <v>2</v>
          </cell>
          <cell r="G5947" t="str">
            <v>CB39020000040T</v>
          </cell>
          <cell r="H5947">
            <v>0.75</v>
          </cell>
          <cell r="I5947" t="str">
            <v>-</v>
          </cell>
          <cell r="J5947">
            <v>1</v>
          </cell>
          <cell r="K5947">
            <v>2</v>
          </cell>
        </row>
        <row r="5948">
          <cell r="A5948" t="str">
            <v>M1</v>
          </cell>
          <cell r="B5948" t="str">
            <v>A5C</v>
          </cell>
          <cell r="C5948" t="str">
            <v>P</v>
          </cell>
          <cell r="D5948" t="str">
            <v>22024</v>
          </cell>
          <cell r="E5948" t="str">
            <v>SOL</v>
          </cell>
          <cell r="F5948">
            <v>2</v>
          </cell>
          <cell r="G5948" t="str">
            <v>CB39020000040T</v>
          </cell>
          <cell r="H5948">
            <v>0.75</v>
          </cell>
          <cell r="I5948" t="str">
            <v>-</v>
          </cell>
          <cell r="J5948">
            <v>1</v>
          </cell>
          <cell r="K5948">
            <v>2</v>
          </cell>
        </row>
        <row r="5949">
          <cell r="A5949" t="str">
            <v>M1</v>
          </cell>
          <cell r="B5949" t="str">
            <v>A5C</v>
          </cell>
          <cell r="C5949" t="str">
            <v>P</v>
          </cell>
          <cell r="D5949" t="str">
            <v>22069</v>
          </cell>
          <cell r="E5949" t="str">
            <v>SOL</v>
          </cell>
          <cell r="F5949">
            <v>2</v>
          </cell>
          <cell r="G5949" t="str">
            <v>CB39020000040T</v>
          </cell>
          <cell r="H5949">
            <v>0.75</v>
          </cell>
          <cell r="I5949" t="str">
            <v>-</v>
          </cell>
          <cell r="J5949">
            <v>4</v>
          </cell>
          <cell r="K5949">
            <v>5</v>
          </cell>
        </row>
        <row r="5950">
          <cell r="A5950" t="str">
            <v>M1</v>
          </cell>
          <cell r="B5950" t="str">
            <v>A5C</v>
          </cell>
          <cell r="C5950" t="str">
            <v>P</v>
          </cell>
          <cell r="D5950" t="str">
            <v>22069</v>
          </cell>
          <cell r="E5950" t="str">
            <v>SOL</v>
          </cell>
          <cell r="F5950">
            <v>2</v>
          </cell>
          <cell r="G5950" t="str">
            <v>CB3902000004IH</v>
          </cell>
          <cell r="H5950">
            <v>1.5</v>
          </cell>
          <cell r="I5950" t="str">
            <v>-</v>
          </cell>
          <cell r="J5950">
            <v>1</v>
          </cell>
          <cell r="K5950">
            <v>2</v>
          </cell>
        </row>
        <row r="5951">
          <cell r="A5951" t="str">
            <v>M1</v>
          </cell>
          <cell r="B5951" t="str">
            <v>A5C</v>
          </cell>
          <cell r="C5951" t="str">
            <v>TRIM</v>
          </cell>
          <cell r="D5951" t="str">
            <v>V-2202</v>
          </cell>
          <cell r="E5951" t="str">
            <v>90 ELL</v>
          </cell>
          <cell r="F5951">
            <v>2</v>
          </cell>
          <cell r="G5951" t="str">
            <v>CB400100001000</v>
          </cell>
          <cell r="H5951">
            <v>1</v>
          </cell>
          <cell r="I5951" t="str">
            <v>--</v>
          </cell>
          <cell r="J5951">
            <v>1</v>
          </cell>
          <cell r="K5951">
            <v>1</v>
          </cell>
        </row>
        <row r="5952">
          <cell r="A5952" t="str">
            <v>M1</v>
          </cell>
          <cell r="B5952" t="str">
            <v>A5C</v>
          </cell>
          <cell r="C5952" t="str">
            <v>P</v>
          </cell>
          <cell r="D5952" t="str">
            <v>22069</v>
          </cell>
          <cell r="E5952" t="str">
            <v>SOL</v>
          </cell>
          <cell r="F5952">
            <v>2</v>
          </cell>
          <cell r="G5952" t="str">
            <v>CB39020000040T</v>
          </cell>
          <cell r="H5952">
            <v>0.75</v>
          </cell>
          <cell r="I5952" t="str">
            <v>-</v>
          </cell>
          <cell r="J5952">
            <v>1</v>
          </cell>
          <cell r="K5952">
            <v>2</v>
          </cell>
        </row>
        <row r="5953">
          <cell r="A5953" t="str">
            <v>M1</v>
          </cell>
          <cell r="B5953" t="str">
            <v>A5C</v>
          </cell>
          <cell r="C5953" t="str">
            <v>P</v>
          </cell>
          <cell r="D5953" t="str">
            <v>22082</v>
          </cell>
          <cell r="E5953" t="str">
            <v>SOL</v>
          </cell>
          <cell r="F5953">
            <v>2</v>
          </cell>
          <cell r="G5953" t="str">
            <v>CB39020000040T</v>
          </cell>
          <cell r="H5953">
            <v>0.75</v>
          </cell>
          <cell r="I5953" t="str">
            <v>-</v>
          </cell>
          <cell r="J5953">
            <v>2</v>
          </cell>
          <cell r="K5953">
            <v>3</v>
          </cell>
        </row>
        <row r="5954">
          <cell r="A5954" t="str">
            <v>M1</v>
          </cell>
          <cell r="B5954" t="str">
            <v>A5C</v>
          </cell>
          <cell r="C5954" t="str">
            <v>P</v>
          </cell>
          <cell r="D5954" t="str">
            <v>22139</v>
          </cell>
          <cell r="E5954" t="str">
            <v>SOL</v>
          </cell>
          <cell r="F5954">
            <v>2</v>
          </cell>
          <cell r="G5954" t="str">
            <v>CB39020000040T</v>
          </cell>
          <cell r="H5954">
            <v>0.75</v>
          </cell>
          <cell r="I5954" t="str">
            <v>-</v>
          </cell>
          <cell r="J5954">
            <v>2</v>
          </cell>
          <cell r="K5954">
            <v>3</v>
          </cell>
        </row>
        <row r="5955">
          <cell r="A5955" t="str">
            <v>M1</v>
          </cell>
          <cell r="B5955" t="str">
            <v>A5C</v>
          </cell>
          <cell r="C5955" t="str">
            <v>TRIM</v>
          </cell>
          <cell r="D5955" t="str">
            <v>V-2211</v>
          </cell>
          <cell r="E5955" t="str">
            <v>SOL</v>
          </cell>
          <cell r="F5955">
            <v>2</v>
          </cell>
          <cell r="G5955" t="str">
            <v>CB39020000040T</v>
          </cell>
          <cell r="H5955">
            <v>0.75</v>
          </cell>
          <cell r="I5955" t="str">
            <v>-</v>
          </cell>
          <cell r="J5955">
            <v>1</v>
          </cell>
          <cell r="K5955">
            <v>2</v>
          </cell>
        </row>
        <row r="5956">
          <cell r="A5956" t="str">
            <v>M1</v>
          </cell>
          <cell r="B5956" t="str">
            <v>A5C</v>
          </cell>
          <cell r="C5956" t="str">
            <v>P</v>
          </cell>
          <cell r="D5956" t="str">
            <v>22102</v>
          </cell>
          <cell r="E5956" t="str">
            <v>SOL</v>
          </cell>
          <cell r="F5956">
            <v>2</v>
          </cell>
          <cell r="G5956" t="str">
            <v>CB3902000004IH</v>
          </cell>
          <cell r="H5956">
            <v>1.5</v>
          </cell>
          <cell r="I5956" t="str">
            <v>-</v>
          </cell>
          <cell r="J5956">
            <v>2</v>
          </cell>
          <cell r="K5956">
            <v>3</v>
          </cell>
        </row>
        <row r="5957">
          <cell r="A5957" t="str">
            <v>M1</v>
          </cell>
          <cell r="B5957" t="str">
            <v>A5C</v>
          </cell>
          <cell r="C5957" t="str">
            <v>P</v>
          </cell>
          <cell r="D5957" t="str">
            <v>22094</v>
          </cell>
          <cell r="E5957" t="str">
            <v>E RED</v>
          </cell>
          <cell r="F5957">
            <v>2</v>
          </cell>
          <cell r="G5957" t="str">
            <v>CB300604040403</v>
          </cell>
          <cell r="H5957">
            <v>3</v>
          </cell>
          <cell r="I5957" t="str">
            <v>-</v>
          </cell>
          <cell r="J5957">
            <v>2</v>
          </cell>
          <cell r="K5957">
            <v>3</v>
          </cell>
        </row>
        <row r="5958">
          <cell r="A5958" t="str">
            <v>M1</v>
          </cell>
          <cell r="B5958" t="str">
            <v>A5C</v>
          </cell>
          <cell r="C5958" t="str">
            <v>P</v>
          </cell>
          <cell r="D5958" t="str">
            <v>22095</v>
          </cell>
          <cell r="E5958" t="str">
            <v>E RED</v>
          </cell>
          <cell r="F5958">
            <v>2</v>
          </cell>
          <cell r="G5958" t="str">
            <v>CB300604040403</v>
          </cell>
          <cell r="H5958">
            <v>3</v>
          </cell>
          <cell r="I5958" t="str">
            <v>-</v>
          </cell>
          <cell r="J5958">
            <v>2</v>
          </cell>
          <cell r="K5958">
            <v>3</v>
          </cell>
        </row>
        <row r="5959">
          <cell r="A5959" t="str">
            <v>M1</v>
          </cell>
          <cell r="B5959" t="str">
            <v>A5C</v>
          </cell>
          <cell r="C5959" t="str">
            <v>P</v>
          </cell>
          <cell r="D5959" t="str">
            <v>22099</v>
          </cell>
          <cell r="E5959" t="str">
            <v>SOL</v>
          </cell>
          <cell r="F5959">
            <v>2</v>
          </cell>
          <cell r="G5959" t="str">
            <v>CB39020000040T</v>
          </cell>
          <cell r="H5959">
            <v>0.75</v>
          </cell>
          <cell r="I5959" t="str">
            <v>-</v>
          </cell>
          <cell r="J5959">
            <v>2</v>
          </cell>
          <cell r="K5959">
            <v>3</v>
          </cell>
        </row>
        <row r="5960">
          <cell r="A5960" t="str">
            <v>M1</v>
          </cell>
          <cell r="B5960" t="str">
            <v>A5C</v>
          </cell>
          <cell r="C5960" t="str">
            <v>P</v>
          </cell>
          <cell r="D5960" t="str">
            <v>22099</v>
          </cell>
          <cell r="E5960" t="str">
            <v>SOL</v>
          </cell>
          <cell r="F5960">
            <v>2</v>
          </cell>
          <cell r="G5960" t="str">
            <v>CB3902000004IH</v>
          </cell>
          <cell r="H5960">
            <v>1.5</v>
          </cell>
          <cell r="I5960" t="str">
            <v>-</v>
          </cell>
          <cell r="J5960">
            <v>1</v>
          </cell>
          <cell r="K5960">
            <v>2</v>
          </cell>
        </row>
        <row r="5961">
          <cell r="A5961" t="str">
            <v>M1</v>
          </cell>
          <cell r="B5961" t="str">
            <v>A5C</v>
          </cell>
          <cell r="C5961" t="str">
            <v>P</v>
          </cell>
          <cell r="D5961" t="str">
            <v>22003</v>
          </cell>
          <cell r="E5961" t="str">
            <v>E RED</v>
          </cell>
          <cell r="F5961">
            <v>2</v>
          </cell>
          <cell r="G5961" t="str">
            <v>CB300604040403</v>
          </cell>
          <cell r="H5961">
            <v>3</v>
          </cell>
          <cell r="I5961" t="str">
            <v>-</v>
          </cell>
          <cell r="J5961">
            <v>2</v>
          </cell>
          <cell r="K5961">
            <v>3</v>
          </cell>
        </row>
        <row r="5962">
          <cell r="A5962" t="str">
            <v>M1</v>
          </cell>
          <cell r="B5962" t="str">
            <v>A5C</v>
          </cell>
          <cell r="C5962" t="str">
            <v>WW</v>
          </cell>
          <cell r="D5962" t="str">
            <v>22601</v>
          </cell>
          <cell r="E5962" t="str">
            <v>E RED</v>
          </cell>
          <cell r="F5962">
            <v>2</v>
          </cell>
          <cell r="G5962" t="str">
            <v>CB300604040403</v>
          </cell>
          <cell r="H5962">
            <v>3</v>
          </cell>
          <cell r="I5962" t="str">
            <v>-</v>
          </cell>
          <cell r="J5962">
            <v>2</v>
          </cell>
          <cell r="K5962">
            <v>3</v>
          </cell>
        </row>
        <row r="5963">
          <cell r="A5963" t="str">
            <v>M1</v>
          </cell>
          <cell r="B5963" t="str">
            <v>A5C</v>
          </cell>
          <cell r="C5963" t="str">
            <v>WW</v>
          </cell>
          <cell r="D5963" t="str">
            <v>22601</v>
          </cell>
          <cell r="E5963" t="str">
            <v>SOL</v>
          </cell>
          <cell r="F5963">
            <v>2</v>
          </cell>
          <cell r="G5963" t="str">
            <v>CB39020000040T</v>
          </cell>
          <cell r="H5963">
            <v>0.75</v>
          </cell>
          <cell r="I5963" t="str">
            <v>-</v>
          </cell>
          <cell r="J5963">
            <v>4</v>
          </cell>
          <cell r="K5963">
            <v>5</v>
          </cell>
        </row>
        <row r="5964">
          <cell r="A5964" t="str">
            <v>M1</v>
          </cell>
          <cell r="B5964" t="str">
            <v>A5C</v>
          </cell>
          <cell r="C5964" t="str">
            <v>TRIM</v>
          </cell>
          <cell r="D5964" t="str">
            <v>V-2216A</v>
          </cell>
          <cell r="E5964" t="str">
            <v>C RED</v>
          </cell>
          <cell r="F5964">
            <v>2</v>
          </cell>
          <cell r="G5964" t="str">
            <v>CB300504040403</v>
          </cell>
          <cell r="H5964">
            <v>3</v>
          </cell>
          <cell r="I5964" t="str">
            <v>-</v>
          </cell>
          <cell r="J5964">
            <v>1</v>
          </cell>
          <cell r="K5964">
            <v>2</v>
          </cell>
        </row>
        <row r="5965">
          <cell r="A5965" t="str">
            <v>M1</v>
          </cell>
          <cell r="B5965" t="str">
            <v>A5C</v>
          </cell>
          <cell r="C5965" t="str">
            <v>TRIM</v>
          </cell>
          <cell r="D5965" t="str">
            <v>V-2216B</v>
          </cell>
          <cell r="E5965" t="str">
            <v>C RED</v>
          </cell>
          <cell r="F5965">
            <v>2</v>
          </cell>
          <cell r="G5965" t="str">
            <v>CB300504040403</v>
          </cell>
          <cell r="H5965">
            <v>3</v>
          </cell>
          <cell r="I5965" t="str">
            <v>-</v>
          </cell>
          <cell r="J5965">
            <v>1</v>
          </cell>
          <cell r="K5965">
            <v>2</v>
          </cell>
        </row>
        <row r="5966">
          <cell r="A5966" t="str">
            <v>M1</v>
          </cell>
          <cell r="B5966" t="str">
            <v>A6C</v>
          </cell>
          <cell r="C5966" t="str">
            <v>HOR</v>
          </cell>
          <cell r="D5966" t="str">
            <v>65619</v>
          </cell>
          <cell r="E5966" t="str">
            <v>E RED</v>
          </cell>
          <cell r="F5966">
            <v>2</v>
          </cell>
          <cell r="G5966" t="str">
            <v>CB300604040403</v>
          </cell>
          <cell r="H5966">
            <v>3</v>
          </cell>
          <cell r="I5966" t="str">
            <v>-</v>
          </cell>
          <cell r="J5966">
            <v>1</v>
          </cell>
          <cell r="K5966">
            <v>2</v>
          </cell>
        </row>
        <row r="5967">
          <cell r="A5967" t="str">
            <v>M1</v>
          </cell>
          <cell r="B5967" t="str">
            <v>A6C</v>
          </cell>
          <cell r="C5967" t="str">
            <v>HOS</v>
          </cell>
          <cell r="D5967" t="str">
            <v>65634</v>
          </cell>
          <cell r="E5967" t="str">
            <v>SOL</v>
          </cell>
          <cell r="F5967">
            <v>2</v>
          </cell>
          <cell r="G5967" t="str">
            <v>CB39020000040T</v>
          </cell>
          <cell r="H5967">
            <v>0.75</v>
          </cell>
          <cell r="I5967" t="str">
            <v>-</v>
          </cell>
          <cell r="J5967">
            <v>1</v>
          </cell>
          <cell r="K5967">
            <v>2</v>
          </cell>
        </row>
        <row r="5968">
          <cell r="A5968" t="str">
            <v>M1</v>
          </cell>
          <cell r="B5968" t="str">
            <v>A4C</v>
          </cell>
          <cell r="C5968" t="str">
            <v>P</v>
          </cell>
          <cell r="D5968" t="str">
            <v>22009</v>
          </cell>
          <cell r="E5968" t="str">
            <v>SOL</v>
          </cell>
          <cell r="F5968">
            <v>2</v>
          </cell>
          <cell r="G5968" t="str">
            <v>CB39020000040T</v>
          </cell>
          <cell r="H5968">
            <v>0.75</v>
          </cell>
          <cell r="I5968" t="str">
            <v>-</v>
          </cell>
          <cell r="J5968">
            <v>2</v>
          </cell>
          <cell r="K5968">
            <v>3</v>
          </cell>
        </row>
        <row r="5969">
          <cell r="A5969" t="str">
            <v>M1</v>
          </cell>
          <cell r="B5969" t="str">
            <v>A5C</v>
          </cell>
          <cell r="C5969" t="str">
            <v>P</v>
          </cell>
          <cell r="D5969" t="str">
            <v>22098</v>
          </cell>
          <cell r="E5969" t="str">
            <v>SOL</v>
          </cell>
          <cell r="F5969">
            <v>2</v>
          </cell>
          <cell r="G5969" t="str">
            <v>CB39020000040T</v>
          </cell>
          <cell r="H5969">
            <v>0.75</v>
          </cell>
          <cell r="I5969" t="str">
            <v>-</v>
          </cell>
          <cell r="J5969">
            <v>1</v>
          </cell>
          <cell r="K5969">
            <v>2</v>
          </cell>
        </row>
        <row r="5970">
          <cell r="A5970" t="str">
            <v>M1</v>
          </cell>
          <cell r="B5970" t="str">
            <v>A6C</v>
          </cell>
          <cell r="C5970" t="str">
            <v>HOR</v>
          </cell>
          <cell r="D5970" t="str">
            <v>65813</v>
          </cell>
          <cell r="E5970" t="str">
            <v>SOL</v>
          </cell>
          <cell r="F5970">
            <v>2</v>
          </cell>
          <cell r="G5970" t="str">
            <v>CB39020000040T</v>
          </cell>
          <cell r="H5970">
            <v>0.75</v>
          </cell>
          <cell r="I5970" t="str">
            <v>-</v>
          </cell>
          <cell r="J5970">
            <v>1</v>
          </cell>
          <cell r="K5970">
            <v>2</v>
          </cell>
        </row>
        <row r="5971">
          <cell r="A5971" t="str">
            <v>M1</v>
          </cell>
          <cell r="B5971" t="str">
            <v>A6C</v>
          </cell>
          <cell r="C5971" t="str">
            <v>HOS</v>
          </cell>
          <cell r="D5971" t="str">
            <v>65628</v>
          </cell>
          <cell r="E5971" t="str">
            <v>SOL</v>
          </cell>
          <cell r="F5971">
            <v>2</v>
          </cell>
          <cell r="G5971" t="str">
            <v>CB39020000040T</v>
          </cell>
          <cell r="H5971">
            <v>0.75</v>
          </cell>
          <cell r="I5971" t="str">
            <v>-</v>
          </cell>
          <cell r="J5971">
            <v>1</v>
          </cell>
          <cell r="K5971">
            <v>2</v>
          </cell>
        </row>
        <row r="5972">
          <cell r="A5972" t="str">
            <v>M1</v>
          </cell>
          <cell r="B5972" t="str">
            <v>B1C</v>
          </cell>
          <cell r="C5972" t="str">
            <v>P</v>
          </cell>
          <cell r="D5972" t="str">
            <v>22029</v>
          </cell>
          <cell r="E5972" t="str">
            <v>SOL</v>
          </cell>
          <cell r="F5972">
            <v>2</v>
          </cell>
          <cell r="G5972" t="str">
            <v>CB39020000040T</v>
          </cell>
          <cell r="H5972">
            <v>0.75</v>
          </cell>
          <cell r="I5972" t="str">
            <v>-</v>
          </cell>
          <cell r="J5972">
            <v>5</v>
          </cell>
          <cell r="K5972">
            <v>6</v>
          </cell>
        </row>
        <row r="5973">
          <cell r="A5973" t="str">
            <v>M1</v>
          </cell>
          <cell r="B5973" t="str">
            <v>A5C</v>
          </cell>
          <cell r="C5973" t="str">
            <v>P</v>
          </cell>
          <cell r="D5973" t="str">
            <v>22065</v>
          </cell>
          <cell r="E5973" t="str">
            <v>E RED</v>
          </cell>
          <cell r="F5973">
            <v>2</v>
          </cell>
          <cell r="G5973" t="str">
            <v>CB300604040604</v>
          </cell>
          <cell r="H5973">
            <v>4</v>
          </cell>
          <cell r="I5973" t="str">
            <v>-</v>
          </cell>
          <cell r="J5973">
            <v>2</v>
          </cell>
          <cell r="K5973">
            <v>3</v>
          </cell>
        </row>
        <row r="5974">
          <cell r="A5974" t="str">
            <v>M1</v>
          </cell>
          <cell r="B5974" t="str">
            <v>A5C</v>
          </cell>
          <cell r="C5974" t="str">
            <v>P</v>
          </cell>
          <cell r="D5974" t="str">
            <v>22066</v>
          </cell>
          <cell r="E5974" t="str">
            <v>E RED</v>
          </cell>
          <cell r="F5974">
            <v>2</v>
          </cell>
          <cell r="G5974" t="str">
            <v>CB300604040603</v>
          </cell>
          <cell r="H5974">
            <v>3</v>
          </cell>
          <cell r="I5974" t="str">
            <v>-</v>
          </cell>
          <cell r="J5974">
            <v>1</v>
          </cell>
          <cell r="K5974">
            <v>2</v>
          </cell>
        </row>
        <row r="5975">
          <cell r="A5975" t="str">
            <v>M1</v>
          </cell>
          <cell r="B5975" t="str">
            <v>A5C</v>
          </cell>
          <cell r="C5975" t="str">
            <v>P</v>
          </cell>
          <cell r="D5975" t="str">
            <v>22028</v>
          </cell>
          <cell r="E5975" t="str">
            <v>SOL</v>
          </cell>
          <cell r="F5975">
            <v>2</v>
          </cell>
          <cell r="G5975" t="str">
            <v>CB39020000060T</v>
          </cell>
          <cell r="H5975">
            <v>0.75</v>
          </cell>
          <cell r="I5975" t="str">
            <v>-</v>
          </cell>
          <cell r="J5975">
            <v>1</v>
          </cell>
          <cell r="K5975">
            <v>2</v>
          </cell>
        </row>
        <row r="5976">
          <cell r="A5976" t="str">
            <v>M1</v>
          </cell>
          <cell r="B5976" t="str">
            <v>A5C</v>
          </cell>
          <cell r="C5976" t="str">
            <v>P</v>
          </cell>
          <cell r="D5976" t="str">
            <v>22022</v>
          </cell>
          <cell r="E5976" t="str">
            <v>SOL</v>
          </cell>
          <cell r="F5976">
            <v>2</v>
          </cell>
          <cell r="G5976" t="str">
            <v>CB39020000060H</v>
          </cell>
          <cell r="H5976">
            <v>0.5</v>
          </cell>
          <cell r="I5976" t="str">
            <v>-</v>
          </cell>
          <cell r="J5976">
            <v>1</v>
          </cell>
          <cell r="K5976">
            <v>2</v>
          </cell>
        </row>
        <row r="5977">
          <cell r="A5977" t="str">
            <v>M1</v>
          </cell>
          <cell r="B5977" t="str">
            <v>A5C</v>
          </cell>
          <cell r="C5977" t="str">
            <v>P</v>
          </cell>
          <cell r="D5977" t="str">
            <v>22065</v>
          </cell>
          <cell r="E5977" t="str">
            <v>SOL</v>
          </cell>
          <cell r="F5977">
            <v>2</v>
          </cell>
          <cell r="G5977" t="str">
            <v>CB39020000060T</v>
          </cell>
          <cell r="H5977">
            <v>0.75</v>
          </cell>
          <cell r="I5977" t="str">
            <v>-</v>
          </cell>
          <cell r="J5977">
            <v>1</v>
          </cell>
          <cell r="K5977">
            <v>2</v>
          </cell>
        </row>
        <row r="5978">
          <cell r="A5978" t="str">
            <v>M1</v>
          </cell>
          <cell r="B5978" t="str">
            <v>A5C</v>
          </cell>
          <cell r="C5978" t="str">
            <v>TRIM</v>
          </cell>
          <cell r="D5978" t="str">
            <v>V-2214</v>
          </cell>
          <cell r="E5978" t="str">
            <v>CPLG</v>
          </cell>
          <cell r="F5978">
            <v>2</v>
          </cell>
          <cell r="G5978" t="str">
            <v>CB400500000100</v>
          </cell>
          <cell r="H5978">
            <v>1</v>
          </cell>
          <cell r="I5978" t="str">
            <v>--</v>
          </cell>
          <cell r="J5978">
            <v>1</v>
          </cell>
          <cell r="K5978">
            <v>1</v>
          </cell>
        </row>
        <row r="5979">
          <cell r="A5979" t="str">
            <v>M1</v>
          </cell>
          <cell r="B5979" t="str">
            <v>A5C</v>
          </cell>
          <cell r="C5979" t="str">
            <v>WW</v>
          </cell>
          <cell r="D5979" t="str">
            <v>22601</v>
          </cell>
          <cell r="E5979" t="str">
            <v>E RED</v>
          </cell>
          <cell r="F5979">
            <v>2</v>
          </cell>
          <cell r="G5979" t="str">
            <v>CB300604040604</v>
          </cell>
          <cell r="H5979">
            <v>4</v>
          </cell>
          <cell r="I5979" t="str">
            <v>-</v>
          </cell>
          <cell r="J5979">
            <v>2</v>
          </cell>
          <cell r="K5979">
            <v>3</v>
          </cell>
        </row>
        <row r="5980">
          <cell r="A5980" t="str">
            <v>M1</v>
          </cell>
          <cell r="B5980" t="str">
            <v>A6C</v>
          </cell>
          <cell r="C5980" t="str">
            <v>HOS</v>
          </cell>
          <cell r="D5980" t="str">
            <v>65624</v>
          </cell>
          <cell r="E5980" t="str">
            <v>SOL</v>
          </cell>
          <cell r="F5980">
            <v>2</v>
          </cell>
          <cell r="G5980" t="str">
            <v>CB39020000060T</v>
          </cell>
          <cell r="H5980">
            <v>0.75</v>
          </cell>
          <cell r="I5980" t="str">
            <v>-</v>
          </cell>
          <cell r="J5980">
            <v>1</v>
          </cell>
          <cell r="K5980">
            <v>2</v>
          </cell>
        </row>
        <row r="5981">
          <cell r="A5981" t="str">
            <v>M1</v>
          </cell>
          <cell r="B5981" t="str">
            <v>A6C</v>
          </cell>
          <cell r="C5981" t="str">
            <v>HOS</v>
          </cell>
          <cell r="D5981" t="str">
            <v>65624</v>
          </cell>
          <cell r="E5981" t="str">
            <v>SOL</v>
          </cell>
          <cell r="F5981">
            <v>2</v>
          </cell>
          <cell r="G5981" t="str">
            <v>CB39020000060T</v>
          </cell>
          <cell r="H5981">
            <v>0.75</v>
          </cell>
          <cell r="I5981" t="str">
            <v>-</v>
          </cell>
          <cell r="J5981">
            <v>1</v>
          </cell>
          <cell r="K5981">
            <v>2</v>
          </cell>
        </row>
        <row r="5982">
          <cell r="A5982" t="str">
            <v>M1</v>
          </cell>
          <cell r="B5982" t="str">
            <v>A6C</v>
          </cell>
          <cell r="C5982" t="str">
            <v>HOR</v>
          </cell>
          <cell r="D5982" t="str">
            <v>65611</v>
          </cell>
          <cell r="E5982" t="str">
            <v>SOL</v>
          </cell>
          <cell r="F5982">
            <v>2</v>
          </cell>
          <cell r="G5982" t="str">
            <v>CB39020000060T</v>
          </cell>
          <cell r="H5982">
            <v>0.75</v>
          </cell>
          <cell r="I5982" t="str">
            <v>-</v>
          </cell>
          <cell r="J5982">
            <v>1</v>
          </cell>
          <cell r="K5982">
            <v>2</v>
          </cell>
        </row>
        <row r="5983">
          <cell r="A5983" t="str">
            <v>M1</v>
          </cell>
          <cell r="B5983" t="str">
            <v>A6C</v>
          </cell>
          <cell r="C5983" t="str">
            <v>HOR</v>
          </cell>
          <cell r="D5983" t="str">
            <v>65611</v>
          </cell>
          <cell r="E5983" t="str">
            <v>SOL</v>
          </cell>
          <cell r="F5983">
            <v>2</v>
          </cell>
          <cell r="G5983" t="str">
            <v>CB39020000060T</v>
          </cell>
          <cell r="H5983">
            <v>0.75</v>
          </cell>
          <cell r="I5983" t="str">
            <v>-</v>
          </cell>
          <cell r="J5983">
            <v>1</v>
          </cell>
          <cell r="K5983">
            <v>2</v>
          </cell>
        </row>
        <row r="5984">
          <cell r="A5984" t="str">
            <v>M1</v>
          </cell>
          <cell r="B5984" t="str">
            <v>A5C</v>
          </cell>
          <cell r="C5984" t="str">
            <v>P</v>
          </cell>
          <cell r="D5984" t="str">
            <v>22118</v>
          </cell>
          <cell r="E5984" t="str">
            <v>C RED</v>
          </cell>
          <cell r="F5984">
            <v>2</v>
          </cell>
          <cell r="G5984" t="str">
            <v>CB300504040804</v>
          </cell>
          <cell r="H5984">
            <v>4</v>
          </cell>
          <cell r="I5984" t="str">
            <v>-</v>
          </cell>
          <cell r="J5984">
            <v>1</v>
          </cell>
          <cell r="K5984">
            <v>2</v>
          </cell>
        </row>
        <row r="5985">
          <cell r="A5985" t="str">
            <v>M1</v>
          </cell>
          <cell r="B5985" t="str">
            <v>A5C</v>
          </cell>
          <cell r="C5985" t="str">
            <v>P</v>
          </cell>
          <cell r="D5985" t="str">
            <v>22011</v>
          </cell>
          <cell r="E5985" t="str">
            <v>SOL</v>
          </cell>
          <cell r="F5985">
            <v>2</v>
          </cell>
          <cell r="G5985" t="str">
            <v>CB39020000080T</v>
          </cell>
          <cell r="H5985">
            <v>0.75</v>
          </cell>
          <cell r="I5985" t="str">
            <v>-</v>
          </cell>
          <cell r="J5985">
            <v>1</v>
          </cell>
          <cell r="K5985">
            <v>2</v>
          </cell>
        </row>
        <row r="5986">
          <cell r="A5986" t="str">
            <v>M1</v>
          </cell>
          <cell r="B5986" t="str">
            <v>A5C</v>
          </cell>
          <cell r="C5986" t="str">
            <v>P</v>
          </cell>
          <cell r="D5986" t="str">
            <v>22074</v>
          </cell>
          <cell r="E5986" t="str">
            <v>SOL</v>
          </cell>
          <cell r="F5986">
            <v>2</v>
          </cell>
          <cell r="G5986" t="str">
            <v>CB39020000080T</v>
          </cell>
          <cell r="H5986">
            <v>0.75</v>
          </cell>
          <cell r="I5986" t="str">
            <v>-</v>
          </cell>
          <cell r="J5986">
            <v>3</v>
          </cell>
          <cell r="K5986">
            <v>4</v>
          </cell>
        </row>
        <row r="5987">
          <cell r="A5987" t="str">
            <v>M1</v>
          </cell>
          <cell r="B5987" t="str">
            <v>A6C</v>
          </cell>
          <cell r="C5987" t="str">
            <v>HOS</v>
          </cell>
          <cell r="D5987" t="str">
            <v>65613</v>
          </cell>
          <cell r="E5987" t="str">
            <v>C RED</v>
          </cell>
          <cell r="F5987">
            <v>2</v>
          </cell>
          <cell r="G5987" t="str">
            <v>CB300504040806</v>
          </cell>
          <cell r="H5987">
            <v>6</v>
          </cell>
          <cell r="I5987" t="str">
            <v>-</v>
          </cell>
          <cell r="J5987">
            <v>2</v>
          </cell>
          <cell r="K5987">
            <v>3</v>
          </cell>
        </row>
        <row r="5988">
          <cell r="A5988" t="str">
            <v>M1</v>
          </cell>
          <cell r="B5988" t="str">
            <v>A6C</v>
          </cell>
          <cell r="C5988" t="str">
            <v>HOS</v>
          </cell>
          <cell r="D5988" t="str">
            <v>65624</v>
          </cell>
          <cell r="E5988" t="str">
            <v>C RED</v>
          </cell>
          <cell r="F5988">
            <v>2</v>
          </cell>
          <cell r="G5988" t="str">
            <v>CB300504040804</v>
          </cell>
          <cell r="H5988">
            <v>4</v>
          </cell>
          <cell r="I5988" t="str">
            <v>-</v>
          </cell>
          <cell r="J5988">
            <v>1</v>
          </cell>
          <cell r="K5988">
            <v>2</v>
          </cell>
        </row>
        <row r="5989">
          <cell r="A5989" t="str">
            <v>M1</v>
          </cell>
          <cell r="B5989" t="str">
            <v>A6C</v>
          </cell>
          <cell r="C5989" t="str">
            <v>HOS</v>
          </cell>
          <cell r="D5989" t="str">
            <v>65624</v>
          </cell>
          <cell r="E5989" t="str">
            <v>C RED</v>
          </cell>
          <cell r="F5989">
            <v>2</v>
          </cell>
          <cell r="G5989" t="str">
            <v>CB300504040806</v>
          </cell>
          <cell r="H5989">
            <v>6</v>
          </cell>
          <cell r="I5989" t="str">
            <v>-</v>
          </cell>
          <cell r="J5989">
            <v>1</v>
          </cell>
          <cell r="K5989">
            <v>2</v>
          </cell>
        </row>
        <row r="5990">
          <cell r="A5990" t="str">
            <v>M1</v>
          </cell>
          <cell r="B5990" t="str">
            <v>A6C</v>
          </cell>
          <cell r="C5990" t="str">
            <v>HOS</v>
          </cell>
          <cell r="D5990" t="str">
            <v>65624</v>
          </cell>
          <cell r="E5990" t="str">
            <v>C RED</v>
          </cell>
          <cell r="F5990">
            <v>2</v>
          </cell>
          <cell r="G5990" t="str">
            <v>CB300504040806</v>
          </cell>
          <cell r="H5990">
            <v>6</v>
          </cell>
          <cell r="I5990" t="str">
            <v>-</v>
          </cell>
          <cell r="J5990">
            <v>1</v>
          </cell>
          <cell r="K5990">
            <v>2</v>
          </cell>
        </row>
        <row r="5991">
          <cell r="A5991" t="str">
            <v>M1</v>
          </cell>
          <cell r="B5991" t="str">
            <v>A6C</v>
          </cell>
          <cell r="C5991" t="str">
            <v>HOR</v>
          </cell>
          <cell r="D5991" t="str">
            <v>65611</v>
          </cell>
          <cell r="E5991" t="str">
            <v>C RED</v>
          </cell>
          <cell r="F5991">
            <v>2</v>
          </cell>
          <cell r="G5991" t="str">
            <v>CB300504040806</v>
          </cell>
          <cell r="H5991">
            <v>6</v>
          </cell>
          <cell r="I5991" t="str">
            <v>-</v>
          </cell>
          <cell r="J5991">
            <v>1</v>
          </cell>
          <cell r="K5991">
            <v>2</v>
          </cell>
        </row>
        <row r="5992">
          <cell r="A5992" t="str">
            <v>M1</v>
          </cell>
          <cell r="B5992" t="str">
            <v>A6C</v>
          </cell>
          <cell r="C5992" t="str">
            <v>HOR</v>
          </cell>
          <cell r="D5992" t="str">
            <v>65611</v>
          </cell>
          <cell r="E5992" t="str">
            <v>C RED</v>
          </cell>
          <cell r="F5992">
            <v>2</v>
          </cell>
          <cell r="G5992" t="str">
            <v>CB300504040806</v>
          </cell>
          <cell r="H5992">
            <v>6</v>
          </cell>
          <cell r="I5992" t="str">
            <v>-</v>
          </cell>
          <cell r="J5992">
            <v>1</v>
          </cell>
          <cell r="K5992">
            <v>2</v>
          </cell>
        </row>
        <row r="5993">
          <cell r="A5993" t="str">
            <v>M1</v>
          </cell>
          <cell r="B5993" t="str">
            <v>A6C</v>
          </cell>
          <cell r="C5993" t="str">
            <v>HOR</v>
          </cell>
          <cell r="D5993" t="str">
            <v>65619</v>
          </cell>
          <cell r="E5993" t="str">
            <v>E RED</v>
          </cell>
          <cell r="F5993">
            <v>2</v>
          </cell>
          <cell r="G5993" t="str">
            <v>CB300604040806</v>
          </cell>
          <cell r="H5993">
            <v>6</v>
          </cell>
          <cell r="I5993" t="str">
            <v>-</v>
          </cell>
          <cell r="J5993">
            <v>2</v>
          </cell>
          <cell r="K5993">
            <v>3</v>
          </cell>
        </row>
        <row r="5994">
          <cell r="A5994" t="str">
            <v>M1</v>
          </cell>
          <cell r="B5994" t="str">
            <v>A6C</v>
          </cell>
          <cell r="C5994" t="str">
            <v>HOR</v>
          </cell>
          <cell r="D5994" t="str">
            <v>65619</v>
          </cell>
          <cell r="E5994" t="str">
            <v>E RED</v>
          </cell>
          <cell r="F5994">
            <v>2</v>
          </cell>
          <cell r="G5994" t="str">
            <v>CB300604040804</v>
          </cell>
          <cell r="H5994">
            <v>4</v>
          </cell>
          <cell r="I5994" t="str">
            <v>-</v>
          </cell>
          <cell r="J5994">
            <v>1</v>
          </cell>
          <cell r="K5994">
            <v>2</v>
          </cell>
        </row>
        <row r="5995">
          <cell r="A5995" t="str">
            <v>M1</v>
          </cell>
          <cell r="B5995" t="str">
            <v>A6C</v>
          </cell>
          <cell r="C5995" t="str">
            <v>HOS</v>
          </cell>
          <cell r="D5995" t="str">
            <v>65613</v>
          </cell>
          <cell r="E5995" t="str">
            <v>SOL</v>
          </cell>
          <cell r="F5995">
            <v>2</v>
          </cell>
          <cell r="G5995" t="str">
            <v>CB39020000080T</v>
          </cell>
          <cell r="H5995">
            <v>0.75</v>
          </cell>
          <cell r="I5995" t="str">
            <v>-</v>
          </cell>
          <cell r="J5995">
            <v>3</v>
          </cell>
          <cell r="K5995">
            <v>4</v>
          </cell>
        </row>
        <row r="5996">
          <cell r="A5996" t="str">
            <v>M1</v>
          </cell>
          <cell r="B5996" t="str">
            <v>A6C</v>
          </cell>
          <cell r="C5996" t="str">
            <v>HOS</v>
          </cell>
          <cell r="D5996" t="str">
            <v>65613</v>
          </cell>
          <cell r="E5996" t="str">
            <v>SOL</v>
          </cell>
          <cell r="F5996">
            <v>2</v>
          </cell>
          <cell r="G5996" t="str">
            <v>CB3902000008IH</v>
          </cell>
          <cell r="H5996">
            <v>1.5</v>
          </cell>
          <cell r="I5996" t="str">
            <v>-</v>
          </cell>
          <cell r="J5996">
            <v>1</v>
          </cell>
          <cell r="K5996">
            <v>2</v>
          </cell>
        </row>
        <row r="5997">
          <cell r="A5997" t="str">
            <v>M1</v>
          </cell>
          <cell r="B5997" t="str">
            <v>A6C</v>
          </cell>
          <cell r="C5997" t="str">
            <v>HOS</v>
          </cell>
          <cell r="D5997" t="str">
            <v>65619</v>
          </cell>
          <cell r="E5997" t="str">
            <v>SOL</v>
          </cell>
          <cell r="F5997">
            <v>2</v>
          </cell>
          <cell r="G5997" t="str">
            <v>CB39020000080T</v>
          </cell>
          <cell r="H5997">
            <v>0.75</v>
          </cell>
          <cell r="I5997" t="str">
            <v>-</v>
          </cell>
          <cell r="J5997">
            <v>1</v>
          </cell>
          <cell r="K5997">
            <v>2</v>
          </cell>
        </row>
        <row r="5998">
          <cell r="A5998" t="str">
            <v>M1</v>
          </cell>
          <cell r="B5998" t="str">
            <v>A6C</v>
          </cell>
          <cell r="C5998" t="str">
            <v>HOS</v>
          </cell>
          <cell r="D5998" t="str">
            <v>65627</v>
          </cell>
          <cell r="E5998" t="str">
            <v>SOL</v>
          </cell>
          <cell r="F5998">
            <v>2</v>
          </cell>
          <cell r="G5998" t="str">
            <v>CB39020000080T</v>
          </cell>
          <cell r="H5998">
            <v>0.75</v>
          </cell>
          <cell r="I5998" t="str">
            <v>-</v>
          </cell>
          <cell r="J5998">
            <v>1</v>
          </cell>
          <cell r="K5998">
            <v>2</v>
          </cell>
        </row>
        <row r="5999">
          <cell r="A5999" t="str">
            <v>M1</v>
          </cell>
          <cell r="B5999" t="str">
            <v>A5C</v>
          </cell>
          <cell r="C5999" t="str">
            <v>TRIM</v>
          </cell>
          <cell r="D5999" t="str">
            <v>V-2209</v>
          </cell>
          <cell r="E5999" t="str">
            <v>CPLG</v>
          </cell>
          <cell r="F5999">
            <v>2</v>
          </cell>
          <cell r="G5999" t="str">
            <v>CB400500000100</v>
          </cell>
          <cell r="H5999">
            <v>1</v>
          </cell>
          <cell r="I5999" t="str">
            <v>--</v>
          </cell>
          <cell r="J5999">
            <v>1</v>
          </cell>
          <cell r="K5999">
            <v>1</v>
          </cell>
        </row>
        <row r="6000">
          <cell r="A6000" t="str">
            <v>M1</v>
          </cell>
          <cell r="B6000" t="str">
            <v>A6C</v>
          </cell>
          <cell r="C6000" t="str">
            <v>HOS</v>
          </cell>
          <cell r="D6000" t="str">
            <v>65624</v>
          </cell>
          <cell r="E6000" t="str">
            <v>SOL</v>
          </cell>
          <cell r="F6000">
            <v>2</v>
          </cell>
          <cell r="G6000" t="str">
            <v>CB39020000080T</v>
          </cell>
          <cell r="H6000">
            <v>0.75</v>
          </cell>
          <cell r="I6000" t="str">
            <v>-</v>
          </cell>
          <cell r="J6000">
            <v>4</v>
          </cell>
          <cell r="K6000">
            <v>5</v>
          </cell>
        </row>
        <row r="6001">
          <cell r="A6001" t="str">
            <v>M1</v>
          </cell>
          <cell r="B6001" t="str">
            <v>A5C</v>
          </cell>
          <cell r="C6001" t="str">
            <v>P</v>
          </cell>
          <cell r="D6001" t="str">
            <v>22106</v>
          </cell>
          <cell r="E6001" t="str">
            <v>TEE</v>
          </cell>
          <cell r="F6001">
            <v>2</v>
          </cell>
          <cell r="G6001" t="str">
            <v>CB400300000100</v>
          </cell>
          <cell r="H6001">
            <v>1</v>
          </cell>
          <cell r="I6001" t="str">
            <v>--</v>
          </cell>
          <cell r="J6001">
            <v>1</v>
          </cell>
          <cell r="K6001">
            <v>1</v>
          </cell>
        </row>
        <row r="6002">
          <cell r="A6002" t="str">
            <v>M1</v>
          </cell>
          <cell r="B6002" t="str">
            <v>A6C</v>
          </cell>
          <cell r="C6002" t="str">
            <v>HOR</v>
          </cell>
          <cell r="D6002" t="str">
            <v>65611</v>
          </cell>
          <cell r="E6002" t="str">
            <v>SOL</v>
          </cell>
          <cell r="F6002">
            <v>2</v>
          </cell>
          <cell r="G6002" t="str">
            <v>CB39020000080T</v>
          </cell>
          <cell r="H6002">
            <v>0.75</v>
          </cell>
          <cell r="I6002" t="str">
            <v>-</v>
          </cell>
          <cell r="J6002">
            <v>1</v>
          </cell>
          <cell r="K6002">
            <v>2</v>
          </cell>
        </row>
        <row r="6003">
          <cell r="A6003" t="str">
            <v>M1</v>
          </cell>
          <cell r="B6003" t="str">
            <v>A5C</v>
          </cell>
          <cell r="C6003" t="str">
            <v>N</v>
          </cell>
          <cell r="D6003" t="str">
            <v>22630</v>
          </cell>
          <cell r="E6003" t="str">
            <v>90 ELL</v>
          </cell>
          <cell r="F6003">
            <v>2</v>
          </cell>
          <cell r="G6003" t="str">
            <v>CB400100000100</v>
          </cell>
          <cell r="H6003">
            <v>1</v>
          </cell>
          <cell r="I6003" t="str">
            <v>--</v>
          </cell>
          <cell r="J6003">
            <v>1</v>
          </cell>
          <cell r="K6003">
            <v>1</v>
          </cell>
        </row>
        <row r="6004">
          <cell r="A6004" t="str">
            <v>M1</v>
          </cell>
          <cell r="B6004" t="str">
            <v>A6C</v>
          </cell>
          <cell r="C6004" t="str">
            <v>HOS</v>
          </cell>
          <cell r="D6004" t="str">
            <v>65613</v>
          </cell>
          <cell r="E6004" t="str">
            <v>SOL</v>
          </cell>
          <cell r="F6004">
            <v>2</v>
          </cell>
          <cell r="G6004" t="str">
            <v>CB3902000008IH</v>
          </cell>
          <cell r="H6004">
            <v>1.5</v>
          </cell>
          <cell r="I6004" t="str">
            <v>-</v>
          </cell>
          <cell r="J6004">
            <v>1</v>
          </cell>
          <cell r="K6004">
            <v>2</v>
          </cell>
        </row>
        <row r="6005">
          <cell r="A6005" t="str">
            <v>M1</v>
          </cell>
          <cell r="B6005" t="str">
            <v>A5C</v>
          </cell>
          <cell r="C6005" t="str">
            <v>P</v>
          </cell>
          <cell r="D6005" t="str">
            <v>22041</v>
          </cell>
          <cell r="E6005" t="str">
            <v>90 ELL</v>
          </cell>
          <cell r="F6005">
            <v>2</v>
          </cell>
          <cell r="G6005" t="str">
            <v>CB400100001000</v>
          </cell>
          <cell r="H6005">
            <v>1</v>
          </cell>
          <cell r="I6005" t="str">
            <v>--</v>
          </cell>
          <cell r="J6005">
            <v>1</v>
          </cell>
          <cell r="K6005">
            <v>1</v>
          </cell>
        </row>
        <row r="6006">
          <cell r="A6006" t="str">
            <v>M1</v>
          </cell>
          <cell r="B6006" t="str">
            <v>A6C</v>
          </cell>
          <cell r="C6006" t="str">
            <v>HOR</v>
          </cell>
          <cell r="D6006" t="str">
            <v>65619</v>
          </cell>
          <cell r="E6006" t="str">
            <v>SOL</v>
          </cell>
          <cell r="F6006">
            <v>2</v>
          </cell>
          <cell r="G6006" t="str">
            <v>CB39020000080T</v>
          </cell>
          <cell r="H6006">
            <v>0.75</v>
          </cell>
          <cell r="I6006" t="str">
            <v>-</v>
          </cell>
          <cell r="J6006">
            <v>1</v>
          </cell>
          <cell r="K6006">
            <v>2</v>
          </cell>
        </row>
        <row r="6007">
          <cell r="A6007" t="str">
            <v>M1</v>
          </cell>
          <cell r="B6007" t="str">
            <v>A6C</v>
          </cell>
          <cell r="C6007" t="str">
            <v>HOR</v>
          </cell>
          <cell r="D6007" t="str">
            <v>65619</v>
          </cell>
          <cell r="E6007" t="str">
            <v>SOL</v>
          </cell>
          <cell r="F6007">
            <v>2</v>
          </cell>
          <cell r="G6007" t="str">
            <v>CB39020000080T</v>
          </cell>
          <cell r="H6007">
            <v>0.75</v>
          </cell>
          <cell r="I6007" t="str">
            <v>-</v>
          </cell>
          <cell r="J6007">
            <v>2</v>
          </cell>
          <cell r="K6007">
            <v>3</v>
          </cell>
        </row>
        <row r="6008">
          <cell r="A6008" t="str">
            <v>M1</v>
          </cell>
          <cell r="B6008" t="str">
            <v>A5C</v>
          </cell>
          <cell r="C6008" t="str">
            <v>P</v>
          </cell>
          <cell r="D6008" t="str">
            <v>22040</v>
          </cell>
          <cell r="E6008" t="str">
            <v>CPLG</v>
          </cell>
          <cell r="F6008">
            <v>2</v>
          </cell>
          <cell r="G6008" t="str">
            <v>CB400500000100</v>
          </cell>
          <cell r="H6008">
            <v>1</v>
          </cell>
          <cell r="I6008" t="str">
            <v>--</v>
          </cell>
          <cell r="J6008">
            <v>1</v>
          </cell>
          <cell r="K6008">
            <v>1</v>
          </cell>
        </row>
        <row r="6009">
          <cell r="A6009" t="str">
            <v>M1</v>
          </cell>
          <cell r="B6009" t="str">
            <v>A5C</v>
          </cell>
          <cell r="C6009" t="str">
            <v>P</v>
          </cell>
          <cell r="D6009" t="str">
            <v>22078</v>
          </cell>
          <cell r="E6009" t="str">
            <v>SOL</v>
          </cell>
          <cell r="F6009">
            <v>2</v>
          </cell>
          <cell r="G6009" t="str">
            <v>CB3902000010IH</v>
          </cell>
          <cell r="H6009">
            <v>1.5</v>
          </cell>
          <cell r="I6009" t="str">
            <v>-</v>
          </cell>
          <cell r="J6009">
            <v>1</v>
          </cell>
          <cell r="K6009">
            <v>2</v>
          </cell>
        </row>
        <row r="6010">
          <cell r="A6010" t="str">
            <v>M1</v>
          </cell>
          <cell r="B6010" t="str">
            <v>A5C</v>
          </cell>
          <cell r="C6010" t="str">
            <v>P</v>
          </cell>
          <cell r="D6010" t="str">
            <v>22062</v>
          </cell>
          <cell r="E6010" t="str">
            <v>C RED</v>
          </cell>
          <cell r="F6010">
            <v>2</v>
          </cell>
          <cell r="G6010" t="str">
            <v>CB300504041004</v>
          </cell>
          <cell r="H6010">
            <v>4</v>
          </cell>
          <cell r="I6010" t="str">
            <v>-</v>
          </cell>
          <cell r="J6010">
            <v>1</v>
          </cell>
          <cell r="K6010">
            <v>2</v>
          </cell>
        </row>
        <row r="6011">
          <cell r="A6011" t="str">
            <v>M1</v>
          </cell>
          <cell r="B6011" t="str">
            <v>A5C</v>
          </cell>
          <cell r="C6011" t="str">
            <v>P</v>
          </cell>
          <cell r="D6011" t="str">
            <v>22077</v>
          </cell>
          <cell r="E6011" t="str">
            <v>E RED</v>
          </cell>
          <cell r="F6011">
            <v>2</v>
          </cell>
          <cell r="G6011" t="str">
            <v>CB300604041008</v>
          </cell>
          <cell r="H6011">
            <v>8</v>
          </cell>
          <cell r="I6011" t="str">
            <v>-</v>
          </cell>
          <cell r="J6011">
            <v>2</v>
          </cell>
          <cell r="K6011">
            <v>3</v>
          </cell>
        </row>
        <row r="6012">
          <cell r="A6012" t="str">
            <v>M1</v>
          </cell>
          <cell r="B6012" t="str">
            <v>A5C</v>
          </cell>
          <cell r="C6012" t="str">
            <v>P</v>
          </cell>
          <cell r="D6012" t="str">
            <v>22060</v>
          </cell>
          <cell r="E6012" t="str">
            <v>SOL</v>
          </cell>
          <cell r="F6012">
            <v>2</v>
          </cell>
          <cell r="G6012" t="str">
            <v>CB39020000100T</v>
          </cell>
          <cell r="H6012">
            <v>0.75</v>
          </cell>
          <cell r="I6012" t="str">
            <v>-</v>
          </cell>
          <cell r="J6012">
            <v>1</v>
          </cell>
          <cell r="K6012">
            <v>2</v>
          </cell>
        </row>
        <row r="6013">
          <cell r="A6013" t="str">
            <v>M1</v>
          </cell>
          <cell r="B6013" t="str">
            <v>A5C</v>
          </cell>
          <cell r="C6013" t="str">
            <v>P</v>
          </cell>
          <cell r="D6013" t="str">
            <v>22062</v>
          </cell>
          <cell r="E6013" t="str">
            <v>SOL</v>
          </cell>
          <cell r="F6013">
            <v>2</v>
          </cell>
          <cell r="G6013" t="str">
            <v>CB39020000100T</v>
          </cell>
          <cell r="H6013">
            <v>0.75</v>
          </cell>
          <cell r="I6013" t="str">
            <v>-</v>
          </cell>
          <cell r="J6013">
            <v>2</v>
          </cell>
          <cell r="K6013">
            <v>3</v>
          </cell>
        </row>
        <row r="6014">
          <cell r="A6014" t="str">
            <v>M1</v>
          </cell>
          <cell r="B6014" t="str">
            <v>A5C</v>
          </cell>
          <cell r="C6014" t="str">
            <v>P</v>
          </cell>
          <cell r="D6014" t="str">
            <v>22071</v>
          </cell>
          <cell r="E6014" t="str">
            <v>R TEE</v>
          </cell>
          <cell r="F6014">
            <v>2</v>
          </cell>
          <cell r="G6014" t="str">
            <v>CB400400001H01</v>
          </cell>
          <cell r="H6014">
            <v>1</v>
          </cell>
          <cell r="I6014" t="str">
            <v>-</v>
          </cell>
          <cell r="J6014">
            <v>1</v>
          </cell>
          <cell r="K6014">
            <v>1</v>
          </cell>
        </row>
        <row r="6015">
          <cell r="A6015" t="str">
            <v>M1</v>
          </cell>
          <cell r="B6015" t="str">
            <v>A5C</v>
          </cell>
          <cell r="C6015" t="str">
            <v>P</v>
          </cell>
          <cell r="D6015" t="str">
            <v>22062</v>
          </cell>
          <cell r="E6015" t="str">
            <v>SOL</v>
          </cell>
          <cell r="F6015">
            <v>2</v>
          </cell>
          <cell r="G6015" t="str">
            <v>CB39020000100T</v>
          </cell>
          <cell r="H6015">
            <v>0.75</v>
          </cell>
          <cell r="I6015" t="str">
            <v>-</v>
          </cell>
          <cell r="J6015">
            <v>1</v>
          </cell>
          <cell r="K6015">
            <v>2</v>
          </cell>
        </row>
        <row r="6016">
          <cell r="A6016" t="str">
            <v>M1</v>
          </cell>
          <cell r="B6016" t="str">
            <v>A5C</v>
          </cell>
          <cell r="C6016" t="str">
            <v>P</v>
          </cell>
          <cell r="D6016" t="str">
            <v>22077</v>
          </cell>
          <cell r="E6016" t="str">
            <v>SOL</v>
          </cell>
          <cell r="F6016">
            <v>2</v>
          </cell>
          <cell r="G6016" t="str">
            <v>CB39020000100T</v>
          </cell>
          <cell r="H6016">
            <v>0.75</v>
          </cell>
          <cell r="I6016" t="str">
            <v>-</v>
          </cell>
          <cell r="J6016">
            <v>1</v>
          </cell>
          <cell r="K6016">
            <v>2</v>
          </cell>
        </row>
        <row r="6017">
          <cell r="A6017" t="str">
            <v>M1</v>
          </cell>
          <cell r="B6017" t="str">
            <v>A5C</v>
          </cell>
          <cell r="C6017" t="str">
            <v>P</v>
          </cell>
          <cell r="D6017" t="str">
            <v>22109</v>
          </cell>
          <cell r="E6017" t="str">
            <v>CAP</v>
          </cell>
          <cell r="F6017">
            <v>2</v>
          </cell>
          <cell r="G6017" t="str">
            <v>CB520700000100</v>
          </cell>
          <cell r="H6017">
            <v>1</v>
          </cell>
          <cell r="I6017" t="str">
            <v>--</v>
          </cell>
          <cell r="J6017">
            <v>1</v>
          </cell>
          <cell r="K6017">
            <v>1</v>
          </cell>
        </row>
        <row r="6018">
          <cell r="A6018" t="str">
            <v>M1</v>
          </cell>
          <cell r="B6018" t="str">
            <v>A5C</v>
          </cell>
          <cell r="C6018" t="str">
            <v>P</v>
          </cell>
          <cell r="D6018" t="str">
            <v>22077</v>
          </cell>
          <cell r="E6018" t="str">
            <v>SOL</v>
          </cell>
          <cell r="F6018">
            <v>2</v>
          </cell>
          <cell r="G6018" t="str">
            <v>CB39020000100T</v>
          </cell>
          <cell r="H6018">
            <v>0.75</v>
          </cell>
          <cell r="I6018" t="str">
            <v>-</v>
          </cell>
          <cell r="J6018">
            <v>1</v>
          </cell>
          <cell r="K6018">
            <v>2</v>
          </cell>
        </row>
        <row r="6019">
          <cell r="A6019" t="str">
            <v>M1</v>
          </cell>
          <cell r="B6019" t="str">
            <v>A5C</v>
          </cell>
          <cell r="C6019" t="str">
            <v>P</v>
          </cell>
          <cell r="D6019" t="str">
            <v>22077</v>
          </cell>
          <cell r="E6019" t="str">
            <v>SOL</v>
          </cell>
          <cell r="F6019">
            <v>2</v>
          </cell>
          <cell r="G6019" t="str">
            <v>CB3902000010IH</v>
          </cell>
          <cell r="H6019">
            <v>1.5</v>
          </cell>
          <cell r="I6019" t="str">
            <v>-</v>
          </cell>
          <cell r="J6019">
            <v>1</v>
          </cell>
          <cell r="K6019">
            <v>2</v>
          </cell>
        </row>
        <row r="6020">
          <cell r="A6020" t="str">
            <v>M1</v>
          </cell>
          <cell r="B6020" t="str">
            <v>A5C</v>
          </cell>
          <cell r="C6020" t="str">
            <v>P</v>
          </cell>
          <cell r="D6020" t="str">
            <v>22073</v>
          </cell>
          <cell r="E6020" t="str">
            <v>SOL</v>
          </cell>
          <cell r="F6020">
            <v>2</v>
          </cell>
          <cell r="G6020" t="str">
            <v>CB39020000100T</v>
          </cell>
          <cell r="H6020">
            <v>0.75</v>
          </cell>
          <cell r="I6020" t="str">
            <v>-</v>
          </cell>
          <cell r="J6020">
            <v>2</v>
          </cell>
          <cell r="K6020">
            <v>3</v>
          </cell>
        </row>
        <row r="6021">
          <cell r="A6021" t="str">
            <v>M1</v>
          </cell>
          <cell r="B6021" t="str">
            <v>A4C</v>
          </cell>
          <cell r="C6021" t="str">
            <v>P</v>
          </cell>
          <cell r="D6021" t="str">
            <v>22008</v>
          </cell>
          <cell r="E6021" t="str">
            <v>SOL</v>
          </cell>
          <cell r="F6021">
            <v>2</v>
          </cell>
          <cell r="G6021" t="str">
            <v>CB39020000100T</v>
          </cell>
          <cell r="H6021">
            <v>0.75</v>
          </cell>
          <cell r="I6021" t="str">
            <v>-</v>
          </cell>
          <cell r="J6021">
            <v>1</v>
          </cell>
          <cell r="K6021">
            <v>2</v>
          </cell>
        </row>
        <row r="6022">
          <cell r="A6022" t="str">
            <v>M1</v>
          </cell>
          <cell r="B6022" t="str">
            <v>A5C</v>
          </cell>
          <cell r="C6022" t="str">
            <v>P</v>
          </cell>
          <cell r="D6022" t="str">
            <v>22102</v>
          </cell>
          <cell r="E6022" t="str">
            <v>R TEE</v>
          </cell>
          <cell r="F6022">
            <v>2</v>
          </cell>
          <cell r="G6022" t="str">
            <v>CB400400001H01</v>
          </cell>
          <cell r="H6022">
            <v>1</v>
          </cell>
          <cell r="I6022" t="str">
            <v>-</v>
          </cell>
          <cell r="J6022">
            <v>1</v>
          </cell>
          <cell r="K6022">
            <v>1</v>
          </cell>
        </row>
        <row r="6023">
          <cell r="A6023" t="str">
            <v>M1</v>
          </cell>
          <cell r="B6023" t="str">
            <v>A4C</v>
          </cell>
          <cell r="C6023" t="str">
            <v>P</v>
          </cell>
          <cell r="D6023" t="str">
            <v>22008</v>
          </cell>
          <cell r="E6023" t="str">
            <v>SOL</v>
          </cell>
          <cell r="F6023">
            <v>2</v>
          </cell>
          <cell r="G6023" t="str">
            <v>CB39020000100T</v>
          </cell>
          <cell r="H6023">
            <v>0.75</v>
          </cell>
          <cell r="I6023" t="str">
            <v>-</v>
          </cell>
          <cell r="J6023">
            <v>1</v>
          </cell>
          <cell r="K6023">
            <v>2</v>
          </cell>
        </row>
        <row r="6024">
          <cell r="A6024" t="str">
            <v>M1</v>
          </cell>
          <cell r="B6024" t="str">
            <v>A4C</v>
          </cell>
          <cell r="C6024" t="str">
            <v>P</v>
          </cell>
          <cell r="D6024" t="str">
            <v>22008</v>
          </cell>
          <cell r="E6024" t="str">
            <v>SOL</v>
          </cell>
          <cell r="F6024">
            <v>2</v>
          </cell>
          <cell r="G6024" t="str">
            <v>CB3902000010IH</v>
          </cell>
          <cell r="H6024">
            <v>1.5</v>
          </cell>
          <cell r="I6024" t="str">
            <v>-</v>
          </cell>
          <cell r="J6024">
            <v>2</v>
          </cell>
          <cell r="K6024">
            <v>3</v>
          </cell>
        </row>
        <row r="6025">
          <cell r="A6025" t="str">
            <v>M1</v>
          </cell>
          <cell r="B6025" t="str">
            <v>A4C</v>
          </cell>
          <cell r="C6025" t="str">
            <v>P</v>
          </cell>
          <cell r="D6025" t="str">
            <v>22008</v>
          </cell>
          <cell r="E6025" t="str">
            <v>SOL</v>
          </cell>
          <cell r="F6025">
            <v>2</v>
          </cell>
          <cell r="G6025" t="str">
            <v>CB39020000100T</v>
          </cell>
          <cell r="H6025">
            <v>0.75</v>
          </cell>
          <cell r="I6025" t="str">
            <v>-</v>
          </cell>
          <cell r="J6025">
            <v>2</v>
          </cell>
          <cell r="K6025">
            <v>3</v>
          </cell>
        </row>
        <row r="6026">
          <cell r="A6026" t="str">
            <v>M1</v>
          </cell>
          <cell r="B6026" t="str">
            <v>A5C</v>
          </cell>
          <cell r="C6026" t="str">
            <v>P</v>
          </cell>
          <cell r="D6026" t="str">
            <v>22111</v>
          </cell>
          <cell r="E6026" t="str">
            <v>C SWG</v>
          </cell>
          <cell r="F6026">
            <v>2</v>
          </cell>
          <cell r="G6026" t="str">
            <v>CB161108081H01</v>
          </cell>
          <cell r="H6026">
            <v>1</v>
          </cell>
          <cell r="I6026" t="str">
            <v>-</v>
          </cell>
          <cell r="J6026">
            <v>1</v>
          </cell>
          <cell r="K6026">
            <v>1</v>
          </cell>
        </row>
        <row r="6027">
          <cell r="A6027" t="str">
            <v>M1</v>
          </cell>
          <cell r="B6027" t="str">
            <v>B1X</v>
          </cell>
          <cell r="C6027" t="str">
            <v>P</v>
          </cell>
          <cell r="D6027" t="str">
            <v>22042</v>
          </cell>
          <cell r="E6027" t="str">
            <v>SOL</v>
          </cell>
          <cell r="F6027">
            <v>2</v>
          </cell>
          <cell r="G6027" t="str">
            <v>CB39020000120T</v>
          </cell>
          <cell r="H6027">
            <v>0.75</v>
          </cell>
          <cell r="I6027" t="str">
            <v>-</v>
          </cell>
          <cell r="J6027">
            <v>2</v>
          </cell>
          <cell r="K6027">
            <v>3</v>
          </cell>
        </row>
        <row r="6028">
          <cell r="A6028" t="str">
            <v>M1</v>
          </cell>
          <cell r="B6028" t="str">
            <v>A5C</v>
          </cell>
          <cell r="C6028" t="str">
            <v>P</v>
          </cell>
          <cell r="D6028" t="str">
            <v>22058</v>
          </cell>
          <cell r="E6028" t="str">
            <v>SOL</v>
          </cell>
          <cell r="F6028">
            <v>2</v>
          </cell>
          <cell r="G6028" t="str">
            <v>CB39020000140T</v>
          </cell>
          <cell r="H6028">
            <v>0.75</v>
          </cell>
          <cell r="I6028" t="str">
            <v>-</v>
          </cell>
          <cell r="J6028">
            <v>1</v>
          </cell>
          <cell r="K6028">
            <v>1</v>
          </cell>
        </row>
        <row r="6029">
          <cell r="A6029" t="str">
            <v>M1</v>
          </cell>
          <cell r="B6029" t="str">
            <v>B1C</v>
          </cell>
          <cell r="C6029" t="str">
            <v>P</v>
          </cell>
          <cell r="D6029" t="str">
            <v>22027</v>
          </cell>
          <cell r="E6029" t="str">
            <v>SOL</v>
          </cell>
          <cell r="F6029">
            <v>2</v>
          </cell>
          <cell r="G6029" t="str">
            <v>CB39020000140T</v>
          </cell>
          <cell r="H6029">
            <v>0.75</v>
          </cell>
          <cell r="I6029" t="str">
            <v>-</v>
          </cell>
          <cell r="J6029">
            <v>1</v>
          </cell>
          <cell r="K6029">
            <v>1</v>
          </cell>
        </row>
        <row r="6030">
          <cell r="A6030" t="str">
            <v>M2</v>
          </cell>
          <cell r="B6030" t="str">
            <v>A5C</v>
          </cell>
          <cell r="C6030" t="str">
            <v>P</v>
          </cell>
          <cell r="D6030" t="str">
            <v>23063</v>
          </cell>
          <cell r="E6030" t="str">
            <v>E SWG</v>
          </cell>
          <cell r="F6030">
            <v>2</v>
          </cell>
          <cell r="G6030" t="str">
            <v>CB162108080T0H</v>
          </cell>
          <cell r="H6030">
            <v>0.5</v>
          </cell>
          <cell r="I6030" t="str">
            <v>-</v>
          </cell>
          <cell r="J6030">
            <v>2</v>
          </cell>
          <cell r="K6030">
            <v>2</v>
          </cell>
        </row>
        <row r="6031">
          <cell r="A6031" t="str">
            <v>M2</v>
          </cell>
          <cell r="B6031" t="str">
            <v>A5C</v>
          </cell>
          <cell r="C6031" t="str">
            <v>P</v>
          </cell>
          <cell r="D6031" t="str">
            <v>23078</v>
          </cell>
          <cell r="E6031" t="str">
            <v>E SWG</v>
          </cell>
          <cell r="F6031">
            <v>2</v>
          </cell>
          <cell r="G6031" t="str">
            <v>CB162108080T0H</v>
          </cell>
          <cell r="H6031">
            <v>0.5</v>
          </cell>
          <cell r="I6031" t="str">
            <v>-</v>
          </cell>
          <cell r="J6031">
            <v>2</v>
          </cell>
          <cell r="K6031">
            <v>2</v>
          </cell>
        </row>
        <row r="6032">
          <cell r="A6032" t="str">
            <v>M2</v>
          </cell>
          <cell r="B6032" t="str">
            <v>A5C</v>
          </cell>
          <cell r="C6032" t="str">
            <v>P</v>
          </cell>
          <cell r="D6032" t="str">
            <v>23094</v>
          </cell>
          <cell r="E6032" t="str">
            <v>E SWG</v>
          </cell>
          <cell r="F6032">
            <v>2</v>
          </cell>
          <cell r="G6032" t="str">
            <v>CB162108080T0H</v>
          </cell>
          <cell r="H6032">
            <v>0.5</v>
          </cell>
          <cell r="I6032" t="str">
            <v>-</v>
          </cell>
          <cell r="J6032">
            <v>2</v>
          </cell>
          <cell r="K6032">
            <v>2</v>
          </cell>
        </row>
        <row r="6033">
          <cell r="A6033" t="str">
            <v>M2</v>
          </cell>
          <cell r="B6033" t="str">
            <v>A5C</v>
          </cell>
          <cell r="C6033" t="str">
            <v>P</v>
          </cell>
          <cell r="D6033" t="str">
            <v>23113</v>
          </cell>
          <cell r="E6033" t="str">
            <v>E SWG</v>
          </cell>
          <cell r="F6033">
            <v>2</v>
          </cell>
          <cell r="G6033" t="str">
            <v>CB162108080T0H</v>
          </cell>
          <cell r="H6033">
            <v>0.5</v>
          </cell>
          <cell r="I6033" t="str">
            <v>-</v>
          </cell>
          <cell r="J6033">
            <v>2</v>
          </cell>
          <cell r="K6033">
            <v>2</v>
          </cell>
        </row>
        <row r="6034">
          <cell r="A6034" t="str">
            <v>M2</v>
          </cell>
          <cell r="B6034" t="str">
            <v>A5C</v>
          </cell>
          <cell r="C6034" t="str">
            <v>P</v>
          </cell>
          <cell r="D6034" t="str">
            <v>23188</v>
          </cell>
          <cell r="E6034" t="str">
            <v>E SWG</v>
          </cell>
          <cell r="F6034">
            <v>2</v>
          </cell>
          <cell r="G6034" t="str">
            <v>CB162108080T0H</v>
          </cell>
          <cell r="H6034">
            <v>0.5</v>
          </cell>
          <cell r="I6034" t="str">
            <v>-</v>
          </cell>
          <cell r="J6034">
            <v>1</v>
          </cell>
          <cell r="K6034">
            <v>1</v>
          </cell>
        </row>
        <row r="6035">
          <cell r="A6035" t="str">
            <v>M2</v>
          </cell>
          <cell r="B6035" t="str">
            <v>A5C</v>
          </cell>
          <cell r="C6035" t="str">
            <v>P</v>
          </cell>
          <cell r="D6035" t="str">
            <v>23094</v>
          </cell>
          <cell r="E6035" t="str">
            <v>R TEE</v>
          </cell>
          <cell r="F6035">
            <v>2</v>
          </cell>
          <cell r="G6035" t="str">
            <v>CB400400000T0H</v>
          </cell>
          <cell r="H6035">
            <v>0.5</v>
          </cell>
          <cell r="I6035" t="str">
            <v>-</v>
          </cell>
          <cell r="J6035">
            <v>2</v>
          </cell>
          <cell r="K6035">
            <v>2</v>
          </cell>
        </row>
        <row r="6036">
          <cell r="A6036" t="str">
            <v>M2</v>
          </cell>
          <cell r="B6036" t="str">
            <v>A5C</v>
          </cell>
          <cell r="C6036" t="str">
            <v>P</v>
          </cell>
          <cell r="D6036" t="str">
            <v>23113</v>
          </cell>
          <cell r="E6036" t="str">
            <v>R TEE</v>
          </cell>
          <cell r="F6036">
            <v>2</v>
          </cell>
          <cell r="G6036" t="str">
            <v>CB400400000T0H</v>
          </cell>
          <cell r="H6036">
            <v>0.5</v>
          </cell>
          <cell r="I6036" t="str">
            <v>-</v>
          </cell>
          <cell r="J6036">
            <v>2</v>
          </cell>
          <cell r="K6036">
            <v>2</v>
          </cell>
        </row>
        <row r="6037">
          <cell r="A6037" t="str">
            <v>M2</v>
          </cell>
          <cell r="B6037" t="str">
            <v>B2C</v>
          </cell>
          <cell r="C6037" t="str">
            <v>SH</v>
          </cell>
          <cell r="D6037" t="str">
            <v>24612</v>
          </cell>
          <cell r="E6037" t="str">
            <v>C SWG</v>
          </cell>
          <cell r="F6037">
            <v>2</v>
          </cell>
          <cell r="G6037" t="str">
            <v>CB16110808010T</v>
          </cell>
          <cell r="H6037">
            <v>0.75</v>
          </cell>
          <cell r="I6037" t="str">
            <v>-</v>
          </cell>
          <cell r="J6037">
            <v>1</v>
          </cell>
          <cell r="K6037">
            <v>1</v>
          </cell>
        </row>
        <row r="6038">
          <cell r="A6038" t="str">
            <v>M2</v>
          </cell>
          <cell r="B6038" t="str">
            <v>A5C</v>
          </cell>
          <cell r="C6038" t="str">
            <v>P</v>
          </cell>
          <cell r="D6038" t="str">
            <v>23081</v>
          </cell>
          <cell r="E6038" t="str">
            <v>C SWG</v>
          </cell>
          <cell r="F6038">
            <v>2</v>
          </cell>
          <cell r="G6038" t="str">
            <v>CB16110808010T</v>
          </cell>
          <cell r="H6038">
            <v>0.75</v>
          </cell>
          <cell r="I6038" t="str">
            <v>-</v>
          </cell>
          <cell r="J6038">
            <v>1</v>
          </cell>
          <cell r="K6038">
            <v>1</v>
          </cell>
        </row>
        <row r="6039">
          <cell r="A6039" t="str">
            <v>M2</v>
          </cell>
          <cell r="B6039" t="str">
            <v>A5C</v>
          </cell>
          <cell r="C6039" t="str">
            <v>P</v>
          </cell>
          <cell r="D6039" t="str">
            <v>23101</v>
          </cell>
          <cell r="E6039" t="str">
            <v>C SWG</v>
          </cell>
          <cell r="F6039">
            <v>2</v>
          </cell>
          <cell r="G6039" t="str">
            <v>CB16110808010T</v>
          </cell>
          <cell r="H6039">
            <v>0.75</v>
          </cell>
          <cell r="I6039" t="str">
            <v>-</v>
          </cell>
          <cell r="J6039">
            <v>1</v>
          </cell>
          <cell r="K6039">
            <v>1</v>
          </cell>
        </row>
        <row r="6040">
          <cell r="A6040" t="str">
            <v>M2</v>
          </cell>
          <cell r="B6040" t="str">
            <v>A5C</v>
          </cell>
          <cell r="C6040" t="str">
            <v>P</v>
          </cell>
          <cell r="D6040" t="str">
            <v>23104</v>
          </cell>
          <cell r="E6040" t="str">
            <v>C SWG</v>
          </cell>
          <cell r="F6040">
            <v>2</v>
          </cell>
          <cell r="G6040" t="str">
            <v>CB16110808010T</v>
          </cell>
          <cell r="H6040">
            <v>0.75</v>
          </cell>
          <cell r="I6040" t="str">
            <v>-</v>
          </cell>
          <cell r="J6040">
            <v>3</v>
          </cell>
          <cell r="K6040">
            <v>3</v>
          </cell>
        </row>
        <row r="6041">
          <cell r="A6041" t="str">
            <v>M2</v>
          </cell>
          <cell r="B6041" t="str">
            <v>A5C</v>
          </cell>
          <cell r="C6041" t="str">
            <v>P</v>
          </cell>
          <cell r="D6041" t="str">
            <v>23104</v>
          </cell>
          <cell r="E6041" t="str">
            <v>C SWG</v>
          </cell>
          <cell r="F6041">
            <v>2</v>
          </cell>
          <cell r="G6041" t="str">
            <v>CB16110808010T</v>
          </cell>
          <cell r="H6041">
            <v>0.75</v>
          </cell>
          <cell r="I6041" t="str">
            <v>-</v>
          </cell>
          <cell r="J6041">
            <v>3</v>
          </cell>
          <cell r="K6041">
            <v>3</v>
          </cell>
        </row>
        <row r="6042">
          <cell r="A6042" t="str">
            <v>M2</v>
          </cell>
          <cell r="B6042" t="str">
            <v>A5C</v>
          </cell>
          <cell r="C6042" t="str">
            <v>P</v>
          </cell>
          <cell r="D6042" t="str">
            <v>23105</v>
          </cell>
          <cell r="E6042" t="str">
            <v>C SWG</v>
          </cell>
          <cell r="F6042">
            <v>2</v>
          </cell>
          <cell r="G6042" t="str">
            <v>CB16110808010T</v>
          </cell>
          <cell r="H6042">
            <v>0.75</v>
          </cell>
          <cell r="I6042" t="str">
            <v>-</v>
          </cell>
          <cell r="J6042">
            <v>1</v>
          </cell>
          <cell r="K6042">
            <v>1</v>
          </cell>
        </row>
        <row r="6043">
          <cell r="A6043" t="str">
            <v>M2</v>
          </cell>
          <cell r="B6043" t="str">
            <v>A5C</v>
          </cell>
          <cell r="C6043" t="str">
            <v>P</v>
          </cell>
          <cell r="D6043" t="str">
            <v>23112</v>
          </cell>
          <cell r="E6043" t="str">
            <v>C SWG</v>
          </cell>
          <cell r="F6043">
            <v>2</v>
          </cell>
          <cell r="G6043" t="str">
            <v>CB16110808010T</v>
          </cell>
          <cell r="H6043">
            <v>0.75</v>
          </cell>
          <cell r="I6043" t="str">
            <v>-</v>
          </cell>
          <cell r="J6043">
            <v>3</v>
          </cell>
          <cell r="K6043">
            <v>3</v>
          </cell>
        </row>
        <row r="6044">
          <cell r="A6044" t="str">
            <v>M2</v>
          </cell>
          <cell r="B6044" t="str">
            <v>A5C</v>
          </cell>
          <cell r="C6044" t="str">
            <v>P</v>
          </cell>
          <cell r="D6044" t="str">
            <v>23113</v>
          </cell>
          <cell r="E6044" t="str">
            <v>C SWG</v>
          </cell>
          <cell r="F6044">
            <v>2</v>
          </cell>
          <cell r="G6044" t="str">
            <v>CB16110808010T</v>
          </cell>
          <cell r="H6044">
            <v>0.75</v>
          </cell>
          <cell r="I6044" t="str">
            <v>-</v>
          </cell>
          <cell r="J6044">
            <v>1</v>
          </cell>
          <cell r="K6044">
            <v>1</v>
          </cell>
        </row>
        <row r="6045">
          <cell r="A6045" t="str">
            <v>M2</v>
          </cell>
          <cell r="B6045" t="str">
            <v>A5C</v>
          </cell>
          <cell r="C6045" t="str">
            <v>P</v>
          </cell>
          <cell r="D6045" t="str">
            <v>23144</v>
          </cell>
          <cell r="E6045" t="str">
            <v>C SWG</v>
          </cell>
          <cell r="F6045">
            <v>2</v>
          </cell>
          <cell r="G6045" t="str">
            <v>CB16110808010T</v>
          </cell>
          <cell r="H6045">
            <v>0.75</v>
          </cell>
          <cell r="I6045" t="str">
            <v>-</v>
          </cell>
          <cell r="J6045">
            <v>2</v>
          </cell>
          <cell r="K6045">
            <v>2</v>
          </cell>
        </row>
        <row r="6046">
          <cell r="A6046" t="str">
            <v>M2</v>
          </cell>
          <cell r="B6046" t="str">
            <v>A5C</v>
          </cell>
          <cell r="C6046" t="str">
            <v>P</v>
          </cell>
          <cell r="D6046" t="str">
            <v>23145</v>
          </cell>
          <cell r="E6046" t="str">
            <v>C SWG</v>
          </cell>
          <cell r="F6046">
            <v>2</v>
          </cell>
          <cell r="G6046" t="str">
            <v>CB16110808010T</v>
          </cell>
          <cell r="H6046">
            <v>0.75</v>
          </cell>
          <cell r="I6046" t="str">
            <v>-</v>
          </cell>
          <cell r="J6046">
            <v>1</v>
          </cell>
          <cell r="K6046">
            <v>1</v>
          </cell>
        </row>
        <row r="6047">
          <cell r="A6047" t="str">
            <v>M2</v>
          </cell>
          <cell r="B6047" t="str">
            <v>A5C</v>
          </cell>
          <cell r="C6047" t="str">
            <v>P</v>
          </cell>
          <cell r="D6047" t="str">
            <v>23164</v>
          </cell>
          <cell r="E6047" t="str">
            <v>C SWG</v>
          </cell>
          <cell r="F6047">
            <v>2</v>
          </cell>
          <cell r="G6047" t="str">
            <v>CB16110808010T</v>
          </cell>
          <cell r="H6047">
            <v>0.75</v>
          </cell>
          <cell r="I6047" t="str">
            <v>-</v>
          </cell>
          <cell r="J6047">
            <v>2</v>
          </cell>
          <cell r="K6047">
            <v>2</v>
          </cell>
        </row>
        <row r="6048">
          <cell r="A6048" t="str">
            <v>M2</v>
          </cell>
          <cell r="B6048" t="str">
            <v>A5C</v>
          </cell>
          <cell r="C6048" t="str">
            <v>P</v>
          </cell>
          <cell r="D6048" t="str">
            <v>23225</v>
          </cell>
          <cell r="E6048" t="str">
            <v>C SWG</v>
          </cell>
          <cell r="F6048">
            <v>2</v>
          </cell>
          <cell r="G6048" t="str">
            <v>CB16110808010T</v>
          </cell>
          <cell r="H6048">
            <v>0.75</v>
          </cell>
          <cell r="I6048" t="str">
            <v>-</v>
          </cell>
          <cell r="J6048">
            <v>1</v>
          </cell>
          <cell r="K6048">
            <v>1</v>
          </cell>
        </row>
        <row r="6049">
          <cell r="A6049" t="str">
            <v>M2</v>
          </cell>
          <cell r="B6049" t="str">
            <v>A5C</v>
          </cell>
          <cell r="C6049" t="str">
            <v>P</v>
          </cell>
          <cell r="D6049" t="str">
            <v>23234</v>
          </cell>
          <cell r="E6049" t="str">
            <v>C SWG</v>
          </cell>
          <cell r="F6049">
            <v>2</v>
          </cell>
          <cell r="G6049" t="str">
            <v>CB16110808010T</v>
          </cell>
          <cell r="H6049">
            <v>0.75</v>
          </cell>
          <cell r="I6049" t="str">
            <v>-</v>
          </cell>
          <cell r="J6049">
            <v>1</v>
          </cell>
          <cell r="K6049">
            <v>1</v>
          </cell>
        </row>
        <row r="6050">
          <cell r="A6050" t="str">
            <v>M2</v>
          </cell>
          <cell r="B6050" t="str">
            <v>A5C</v>
          </cell>
          <cell r="C6050" t="str">
            <v>P</v>
          </cell>
          <cell r="D6050" t="str">
            <v>23238</v>
          </cell>
          <cell r="E6050" t="str">
            <v>C SWG</v>
          </cell>
          <cell r="F6050">
            <v>2</v>
          </cell>
          <cell r="G6050" t="str">
            <v>CB16110808010T</v>
          </cell>
          <cell r="H6050">
            <v>0.75</v>
          </cell>
          <cell r="I6050" t="str">
            <v>-</v>
          </cell>
          <cell r="J6050">
            <v>1</v>
          </cell>
          <cell r="K6050">
            <v>1</v>
          </cell>
        </row>
        <row r="6051">
          <cell r="A6051" t="str">
            <v>M2</v>
          </cell>
          <cell r="B6051" t="str">
            <v>A5C</v>
          </cell>
          <cell r="C6051" t="str">
            <v>P</v>
          </cell>
          <cell r="D6051" t="str">
            <v>23247</v>
          </cell>
          <cell r="E6051" t="str">
            <v>C SWG</v>
          </cell>
          <cell r="F6051">
            <v>2</v>
          </cell>
          <cell r="G6051" t="str">
            <v>CB16110808010T</v>
          </cell>
          <cell r="H6051">
            <v>0.75</v>
          </cell>
          <cell r="I6051" t="str">
            <v>-</v>
          </cell>
          <cell r="J6051">
            <v>1</v>
          </cell>
          <cell r="K6051">
            <v>1</v>
          </cell>
        </row>
        <row r="6052">
          <cell r="A6052" t="str">
            <v>M2</v>
          </cell>
          <cell r="B6052" t="str">
            <v>A5C</v>
          </cell>
          <cell r="C6052" t="str">
            <v>P</v>
          </cell>
          <cell r="D6052" t="str">
            <v>24024</v>
          </cell>
          <cell r="E6052" t="str">
            <v>C SWG</v>
          </cell>
          <cell r="F6052">
            <v>2</v>
          </cell>
          <cell r="G6052" t="str">
            <v>CB16110808010T</v>
          </cell>
          <cell r="H6052">
            <v>0.75</v>
          </cell>
          <cell r="I6052" t="str">
            <v>-</v>
          </cell>
          <cell r="J6052">
            <v>1</v>
          </cell>
          <cell r="K6052">
            <v>1</v>
          </cell>
        </row>
        <row r="6053">
          <cell r="A6053" t="str">
            <v>M2</v>
          </cell>
          <cell r="B6053" t="str">
            <v>A5C</v>
          </cell>
          <cell r="C6053" t="str">
            <v>TRIM</v>
          </cell>
          <cell r="D6053" t="str">
            <v>V-2316</v>
          </cell>
          <cell r="E6053" t="str">
            <v>C SWG</v>
          </cell>
          <cell r="F6053">
            <v>2</v>
          </cell>
          <cell r="G6053" t="str">
            <v>CB16110808010T</v>
          </cell>
          <cell r="H6053">
            <v>0.75</v>
          </cell>
          <cell r="I6053" t="str">
            <v>-</v>
          </cell>
          <cell r="J6053">
            <v>1</v>
          </cell>
          <cell r="K6053">
            <v>1</v>
          </cell>
        </row>
        <row r="6054">
          <cell r="A6054" t="str">
            <v>M2</v>
          </cell>
          <cell r="B6054" t="str">
            <v>A5C</v>
          </cell>
          <cell r="C6054" t="str">
            <v>P</v>
          </cell>
          <cell r="D6054" t="str">
            <v>23094</v>
          </cell>
          <cell r="E6054" t="str">
            <v>C SWG</v>
          </cell>
          <cell r="F6054">
            <v>2</v>
          </cell>
          <cell r="G6054" t="str">
            <v>CB16110808010T</v>
          </cell>
          <cell r="H6054">
            <v>0.75</v>
          </cell>
          <cell r="I6054" t="str">
            <v>-</v>
          </cell>
          <cell r="J6054">
            <v>1</v>
          </cell>
          <cell r="K6054">
            <v>1</v>
          </cell>
        </row>
        <row r="6055">
          <cell r="A6055" t="str">
            <v>M2</v>
          </cell>
          <cell r="B6055" t="str">
            <v>A5C</v>
          </cell>
          <cell r="C6055" t="str">
            <v>P</v>
          </cell>
          <cell r="D6055" t="str">
            <v>23108</v>
          </cell>
          <cell r="E6055" t="str">
            <v>C SWG</v>
          </cell>
          <cell r="F6055">
            <v>2</v>
          </cell>
          <cell r="G6055" t="str">
            <v>CB16110808010T</v>
          </cell>
          <cell r="H6055">
            <v>0.75</v>
          </cell>
          <cell r="I6055" t="str">
            <v>-</v>
          </cell>
          <cell r="J6055">
            <v>3</v>
          </cell>
          <cell r="K6055">
            <v>3</v>
          </cell>
        </row>
        <row r="6056">
          <cell r="A6056" t="str">
            <v>M2</v>
          </cell>
          <cell r="B6056" t="str">
            <v>A5C</v>
          </cell>
          <cell r="C6056" t="str">
            <v>P</v>
          </cell>
          <cell r="D6056" t="str">
            <v>23108</v>
          </cell>
          <cell r="E6056" t="str">
            <v>C SWG</v>
          </cell>
          <cell r="F6056">
            <v>2</v>
          </cell>
          <cell r="G6056" t="str">
            <v>CB16110808010T</v>
          </cell>
          <cell r="H6056">
            <v>0.75</v>
          </cell>
          <cell r="I6056" t="str">
            <v>-</v>
          </cell>
          <cell r="J6056">
            <v>3</v>
          </cell>
          <cell r="K6056">
            <v>3</v>
          </cell>
        </row>
        <row r="6057">
          <cell r="A6057" t="str">
            <v>M2</v>
          </cell>
          <cell r="B6057" t="str">
            <v>A5C</v>
          </cell>
          <cell r="C6057" t="str">
            <v>P</v>
          </cell>
          <cell r="D6057" t="str">
            <v>23109</v>
          </cell>
          <cell r="E6057" t="str">
            <v>C SWG</v>
          </cell>
          <cell r="F6057">
            <v>2</v>
          </cell>
          <cell r="G6057" t="str">
            <v>CB16110808010T</v>
          </cell>
          <cell r="H6057">
            <v>0.75</v>
          </cell>
          <cell r="I6057" t="str">
            <v>-</v>
          </cell>
          <cell r="J6057">
            <v>1</v>
          </cell>
          <cell r="K6057">
            <v>1</v>
          </cell>
        </row>
        <row r="6058">
          <cell r="A6058" t="str">
            <v>M2</v>
          </cell>
          <cell r="B6058" t="str">
            <v>A5C</v>
          </cell>
          <cell r="C6058" t="str">
            <v>P</v>
          </cell>
          <cell r="D6058" t="str">
            <v>23112</v>
          </cell>
          <cell r="E6058" t="str">
            <v>C SWG</v>
          </cell>
          <cell r="F6058">
            <v>2</v>
          </cell>
          <cell r="G6058" t="str">
            <v>CB16110808010T</v>
          </cell>
          <cell r="H6058">
            <v>0.75</v>
          </cell>
          <cell r="I6058" t="str">
            <v>-</v>
          </cell>
          <cell r="J6058">
            <v>3</v>
          </cell>
          <cell r="K6058">
            <v>3</v>
          </cell>
        </row>
        <row r="6059">
          <cell r="A6059" t="str">
            <v>M2</v>
          </cell>
          <cell r="B6059" t="str">
            <v>A5C</v>
          </cell>
          <cell r="C6059" t="str">
            <v>P</v>
          </cell>
          <cell r="D6059" t="str">
            <v>23133</v>
          </cell>
          <cell r="E6059" t="str">
            <v>C SWG</v>
          </cell>
          <cell r="F6059">
            <v>2</v>
          </cell>
          <cell r="G6059" t="str">
            <v>CB16110808010T</v>
          </cell>
          <cell r="H6059">
            <v>0.75</v>
          </cell>
          <cell r="I6059" t="str">
            <v>-</v>
          </cell>
          <cell r="J6059">
            <v>1</v>
          </cell>
          <cell r="K6059">
            <v>1</v>
          </cell>
        </row>
        <row r="6060">
          <cell r="A6060" t="str">
            <v>M2</v>
          </cell>
          <cell r="B6060" t="str">
            <v>A5C</v>
          </cell>
          <cell r="C6060" t="str">
            <v>P</v>
          </cell>
          <cell r="D6060" t="str">
            <v>23141</v>
          </cell>
          <cell r="E6060" t="str">
            <v>C SWG</v>
          </cell>
          <cell r="F6060">
            <v>2</v>
          </cell>
          <cell r="G6060" t="str">
            <v>CB16110808010T</v>
          </cell>
          <cell r="H6060">
            <v>0.75</v>
          </cell>
          <cell r="I6060" t="str">
            <v>-</v>
          </cell>
          <cell r="J6060">
            <v>1</v>
          </cell>
          <cell r="K6060">
            <v>1</v>
          </cell>
        </row>
        <row r="6061">
          <cell r="A6061" t="str">
            <v>M2</v>
          </cell>
          <cell r="B6061" t="str">
            <v>A5C</v>
          </cell>
          <cell r="C6061" t="str">
            <v>P</v>
          </cell>
          <cell r="D6061" t="str">
            <v>23148</v>
          </cell>
          <cell r="E6061" t="str">
            <v>C SWG</v>
          </cell>
          <cell r="F6061">
            <v>2</v>
          </cell>
          <cell r="G6061" t="str">
            <v>CB16110808010T</v>
          </cell>
          <cell r="H6061">
            <v>0.75</v>
          </cell>
          <cell r="I6061" t="str">
            <v>-</v>
          </cell>
          <cell r="J6061">
            <v>2</v>
          </cell>
          <cell r="K6061">
            <v>2</v>
          </cell>
        </row>
        <row r="6062">
          <cell r="A6062" t="str">
            <v>M2</v>
          </cell>
          <cell r="B6062" t="str">
            <v>A5C</v>
          </cell>
          <cell r="C6062" t="str">
            <v>N</v>
          </cell>
          <cell r="D6062" t="str">
            <v>23613</v>
          </cell>
          <cell r="E6062" t="str">
            <v>E SWG</v>
          </cell>
          <cell r="F6062">
            <v>2</v>
          </cell>
          <cell r="G6062" t="str">
            <v>CB16210808010T</v>
          </cell>
          <cell r="H6062">
            <v>0.75</v>
          </cell>
          <cell r="I6062" t="str">
            <v>-</v>
          </cell>
          <cell r="J6062">
            <v>1</v>
          </cell>
          <cell r="K6062">
            <v>1</v>
          </cell>
        </row>
        <row r="6063">
          <cell r="A6063" t="str">
            <v>M2</v>
          </cell>
          <cell r="B6063" t="str">
            <v>A5C</v>
          </cell>
          <cell r="C6063" t="str">
            <v>P</v>
          </cell>
          <cell r="D6063" t="str">
            <v>23052</v>
          </cell>
          <cell r="E6063" t="str">
            <v>E SWG</v>
          </cell>
          <cell r="F6063">
            <v>2</v>
          </cell>
          <cell r="G6063" t="str">
            <v>CB16210808010T</v>
          </cell>
          <cell r="H6063">
            <v>0.75</v>
          </cell>
          <cell r="I6063" t="str">
            <v>-</v>
          </cell>
          <cell r="J6063">
            <v>2</v>
          </cell>
          <cell r="K6063">
            <v>2</v>
          </cell>
        </row>
        <row r="6064">
          <cell r="A6064" t="str">
            <v>M2</v>
          </cell>
          <cell r="B6064" t="str">
            <v>A5C</v>
          </cell>
          <cell r="C6064" t="str">
            <v>P</v>
          </cell>
          <cell r="D6064" t="str">
            <v>23037</v>
          </cell>
          <cell r="E6064" t="str">
            <v>E SWG</v>
          </cell>
          <cell r="F6064">
            <v>2</v>
          </cell>
          <cell r="G6064" t="str">
            <v>CB16210808010T</v>
          </cell>
          <cell r="H6064">
            <v>0.75</v>
          </cell>
          <cell r="I6064" t="str">
            <v>-</v>
          </cell>
          <cell r="J6064">
            <v>2</v>
          </cell>
          <cell r="K6064">
            <v>2</v>
          </cell>
        </row>
        <row r="6065">
          <cell r="A6065" t="str">
            <v>M2</v>
          </cell>
          <cell r="B6065" t="str">
            <v>A5C</v>
          </cell>
          <cell r="C6065" t="str">
            <v>P</v>
          </cell>
          <cell r="D6065" t="str">
            <v>23149</v>
          </cell>
          <cell r="E6065" t="str">
            <v>E SWG</v>
          </cell>
          <cell r="F6065">
            <v>2</v>
          </cell>
          <cell r="G6065" t="str">
            <v>CB16210808010T</v>
          </cell>
          <cell r="H6065">
            <v>0.75</v>
          </cell>
          <cell r="I6065" t="str">
            <v>-</v>
          </cell>
          <cell r="J6065">
            <v>2</v>
          </cell>
          <cell r="K6065">
            <v>2</v>
          </cell>
        </row>
        <row r="6066">
          <cell r="A6066" t="str">
            <v>M2</v>
          </cell>
          <cell r="B6066" t="str">
            <v>A5C</v>
          </cell>
          <cell r="C6066" t="str">
            <v>N</v>
          </cell>
          <cell r="D6066" t="str">
            <v>23632</v>
          </cell>
          <cell r="E6066" t="str">
            <v>R TEE</v>
          </cell>
          <cell r="F6066">
            <v>2</v>
          </cell>
          <cell r="G6066" t="str">
            <v>CB40040000010T</v>
          </cell>
          <cell r="H6066">
            <v>0.75</v>
          </cell>
          <cell r="I6066" t="str">
            <v>-</v>
          </cell>
          <cell r="J6066">
            <v>1</v>
          </cell>
          <cell r="K6066">
            <v>1</v>
          </cell>
        </row>
        <row r="6067">
          <cell r="A6067" t="str">
            <v>M2</v>
          </cell>
          <cell r="B6067" t="str">
            <v>A5C</v>
          </cell>
          <cell r="C6067" t="str">
            <v>N</v>
          </cell>
          <cell r="D6067" t="str">
            <v>23634</v>
          </cell>
          <cell r="E6067" t="str">
            <v>R TEE</v>
          </cell>
          <cell r="F6067">
            <v>2</v>
          </cell>
          <cell r="G6067" t="str">
            <v>CB40040000010T</v>
          </cell>
          <cell r="H6067">
            <v>0.75</v>
          </cell>
          <cell r="I6067" t="str">
            <v>-</v>
          </cell>
          <cell r="J6067">
            <v>1</v>
          </cell>
          <cell r="K6067">
            <v>1</v>
          </cell>
        </row>
        <row r="6068">
          <cell r="A6068" t="str">
            <v>M2</v>
          </cell>
          <cell r="B6068" t="str">
            <v>A5C</v>
          </cell>
          <cell r="C6068" t="str">
            <v>N</v>
          </cell>
          <cell r="D6068" t="str">
            <v>23638</v>
          </cell>
          <cell r="E6068" t="str">
            <v>R TEE</v>
          </cell>
          <cell r="F6068">
            <v>2</v>
          </cell>
          <cell r="G6068" t="str">
            <v>CB40040000010T</v>
          </cell>
          <cell r="H6068">
            <v>0.75</v>
          </cell>
          <cell r="I6068" t="str">
            <v>-</v>
          </cell>
          <cell r="J6068">
            <v>1</v>
          </cell>
          <cell r="K6068">
            <v>1</v>
          </cell>
        </row>
        <row r="6069">
          <cell r="A6069" t="str">
            <v>M2</v>
          </cell>
          <cell r="B6069" t="str">
            <v>A5C</v>
          </cell>
          <cell r="C6069" t="str">
            <v>N</v>
          </cell>
          <cell r="D6069" t="str">
            <v>23640</v>
          </cell>
          <cell r="E6069" t="str">
            <v>R TEE</v>
          </cell>
          <cell r="F6069">
            <v>2</v>
          </cell>
          <cell r="G6069" t="str">
            <v>CB40040000010T</v>
          </cell>
          <cell r="H6069">
            <v>0.75</v>
          </cell>
          <cell r="I6069" t="str">
            <v>-</v>
          </cell>
          <cell r="J6069">
            <v>1</v>
          </cell>
          <cell r="K6069">
            <v>1</v>
          </cell>
        </row>
        <row r="6070">
          <cell r="A6070" t="str">
            <v>M2</v>
          </cell>
          <cell r="B6070" t="str">
            <v>A5C</v>
          </cell>
          <cell r="C6070" t="str">
            <v>P</v>
          </cell>
          <cell r="D6070" t="str">
            <v>23052</v>
          </cell>
          <cell r="E6070" t="str">
            <v>R TEE</v>
          </cell>
          <cell r="F6070">
            <v>2</v>
          </cell>
          <cell r="G6070" t="str">
            <v>CB40040000010T</v>
          </cell>
          <cell r="H6070">
            <v>0.75</v>
          </cell>
          <cell r="I6070" t="str">
            <v>-</v>
          </cell>
          <cell r="J6070">
            <v>4</v>
          </cell>
          <cell r="K6070">
            <v>4</v>
          </cell>
        </row>
        <row r="6071">
          <cell r="A6071" t="str">
            <v>M2</v>
          </cell>
          <cell r="B6071" t="str">
            <v>A5C</v>
          </cell>
          <cell r="C6071" t="str">
            <v>P</v>
          </cell>
          <cell r="D6071" t="str">
            <v>23063</v>
          </cell>
          <cell r="E6071" t="str">
            <v>R TEE</v>
          </cell>
          <cell r="F6071">
            <v>2</v>
          </cell>
          <cell r="G6071" t="str">
            <v>CB40040000010T</v>
          </cell>
          <cell r="H6071">
            <v>0.75</v>
          </cell>
          <cell r="I6071" t="str">
            <v>-</v>
          </cell>
          <cell r="J6071">
            <v>2</v>
          </cell>
          <cell r="K6071">
            <v>2</v>
          </cell>
        </row>
        <row r="6072">
          <cell r="A6072" t="str">
            <v>M2</v>
          </cell>
          <cell r="B6072" t="str">
            <v>A5C</v>
          </cell>
          <cell r="C6072" t="str">
            <v>P</v>
          </cell>
          <cell r="D6072" t="str">
            <v>23078</v>
          </cell>
          <cell r="E6072" t="str">
            <v>R TEE</v>
          </cell>
          <cell r="F6072">
            <v>2</v>
          </cell>
          <cell r="G6072" t="str">
            <v>CB40040000010T</v>
          </cell>
          <cell r="H6072">
            <v>0.75</v>
          </cell>
          <cell r="I6072" t="str">
            <v>-</v>
          </cell>
          <cell r="J6072">
            <v>2</v>
          </cell>
          <cell r="K6072">
            <v>2</v>
          </cell>
        </row>
        <row r="6073">
          <cell r="A6073" t="str">
            <v>M2</v>
          </cell>
          <cell r="B6073" t="str">
            <v>A5C</v>
          </cell>
          <cell r="C6073" t="str">
            <v>P</v>
          </cell>
          <cell r="D6073" t="str">
            <v>23083</v>
          </cell>
          <cell r="E6073" t="str">
            <v>R TEE</v>
          </cell>
          <cell r="F6073">
            <v>2</v>
          </cell>
          <cell r="G6073" t="str">
            <v>CB40040000010T</v>
          </cell>
          <cell r="H6073">
            <v>0.75</v>
          </cell>
          <cell r="I6073" t="str">
            <v>-</v>
          </cell>
          <cell r="J6073">
            <v>2</v>
          </cell>
          <cell r="K6073">
            <v>2</v>
          </cell>
        </row>
        <row r="6074">
          <cell r="A6074" t="str">
            <v>M2</v>
          </cell>
          <cell r="B6074" t="str">
            <v>A5C</v>
          </cell>
          <cell r="C6074" t="str">
            <v>P</v>
          </cell>
          <cell r="D6074" t="str">
            <v>23122</v>
          </cell>
          <cell r="E6074" t="str">
            <v>R TEE</v>
          </cell>
          <cell r="F6074">
            <v>2</v>
          </cell>
          <cell r="G6074" t="str">
            <v>CB40040000010T</v>
          </cell>
          <cell r="H6074">
            <v>0.75</v>
          </cell>
          <cell r="I6074" t="str">
            <v>-</v>
          </cell>
          <cell r="J6074">
            <v>2</v>
          </cell>
          <cell r="K6074">
            <v>2</v>
          </cell>
        </row>
        <row r="6075">
          <cell r="A6075" t="str">
            <v>M2</v>
          </cell>
          <cell r="B6075" t="str">
            <v>A5C</v>
          </cell>
          <cell r="C6075" t="str">
            <v>P</v>
          </cell>
          <cell r="D6075" t="str">
            <v>23144</v>
          </cell>
          <cell r="E6075" t="str">
            <v>R TEE</v>
          </cell>
          <cell r="F6075">
            <v>2</v>
          </cell>
          <cell r="G6075" t="str">
            <v>CB40040000010T</v>
          </cell>
          <cell r="H6075">
            <v>0.75</v>
          </cell>
          <cell r="I6075" t="str">
            <v>-</v>
          </cell>
          <cell r="J6075">
            <v>4</v>
          </cell>
          <cell r="K6075">
            <v>4</v>
          </cell>
        </row>
        <row r="6076">
          <cell r="A6076" t="str">
            <v>M2</v>
          </cell>
          <cell r="B6076" t="str">
            <v>A5C</v>
          </cell>
          <cell r="C6076" t="str">
            <v>P</v>
          </cell>
          <cell r="D6076" t="str">
            <v>23148</v>
          </cell>
          <cell r="E6076" t="str">
            <v>R TEE</v>
          </cell>
          <cell r="F6076">
            <v>2</v>
          </cell>
          <cell r="G6076" t="str">
            <v>CB40040000010T</v>
          </cell>
          <cell r="H6076">
            <v>0.75</v>
          </cell>
          <cell r="I6076" t="str">
            <v>-</v>
          </cell>
          <cell r="J6076">
            <v>4</v>
          </cell>
          <cell r="K6076">
            <v>4</v>
          </cell>
        </row>
        <row r="6077">
          <cell r="A6077" t="str">
            <v>M2</v>
          </cell>
          <cell r="B6077" t="str">
            <v>A5C</v>
          </cell>
          <cell r="C6077" t="str">
            <v>P</v>
          </cell>
          <cell r="D6077" t="str">
            <v>23149</v>
          </cell>
          <cell r="E6077" t="str">
            <v>R TEE</v>
          </cell>
          <cell r="F6077">
            <v>2</v>
          </cell>
          <cell r="G6077" t="str">
            <v>CB40040000010T</v>
          </cell>
          <cell r="H6077">
            <v>0.75</v>
          </cell>
          <cell r="I6077" t="str">
            <v>-</v>
          </cell>
          <cell r="J6077">
            <v>5</v>
          </cell>
          <cell r="K6077">
            <v>5</v>
          </cell>
        </row>
        <row r="6078">
          <cell r="A6078" t="str">
            <v>M2</v>
          </cell>
          <cell r="B6078" t="str">
            <v>A5C</v>
          </cell>
          <cell r="C6078" t="str">
            <v>P</v>
          </cell>
          <cell r="D6078" t="str">
            <v>23164</v>
          </cell>
          <cell r="E6078" t="str">
            <v>R TEE</v>
          </cell>
          <cell r="F6078">
            <v>2</v>
          </cell>
          <cell r="G6078" t="str">
            <v>CB40040000010T</v>
          </cell>
          <cell r="H6078">
            <v>0.75</v>
          </cell>
          <cell r="I6078" t="str">
            <v>-</v>
          </cell>
          <cell r="J6078">
            <v>2</v>
          </cell>
          <cell r="K6078">
            <v>2</v>
          </cell>
        </row>
        <row r="6079">
          <cell r="A6079" t="str">
            <v>M2</v>
          </cell>
          <cell r="B6079" t="str">
            <v>A5C</v>
          </cell>
          <cell r="C6079" t="str">
            <v>P</v>
          </cell>
          <cell r="D6079" t="str">
            <v>23205</v>
          </cell>
          <cell r="E6079" t="str">
            <v>R TEE</v>
          </cell>
          <cell r="F6079">
            <v>2</v>
          </cell>
          <cell r="G6079" t="str">
            <v>CB40040000010T</v>
          </cell>
          <cell r="H6079">
            <v>0.75</v>
          </cell>
          <cell r="I6079" t="str">
            <v>-</v>
          </cell>
          <cell r="J6079">
            <v>2</v>
          </cell>
          <cell r="K6079">
            <v>2</v>
          </cell>
        </row>
        <row r="6080">
          <cell r="A6080" t="str">
            <v>M2</v>
          </cell>
          <cell r="B6080" t="str">
            <v>A5C</v>
          </cell>
          <cell r="C6080" t="str">
            <v>P</v>
          </cell>
          <cell r="D6080" t="str">
            <v>23214</v>
          </cell>
          <cell r="E6080" t="str">
            <v>R TEE</v>
          </cell>
          <cell r="F6080">
            <v>2</v>
          </cell>
          <cell r="G6080" t="str">
            <v>CB40040000010T</v>
          </cell>
          <cell r="H6080">
            <v>0.75</v>
          </cell>
          <cell r="I6080" t="str">
            <v>-</v>
          </cell>
          <cell r="J6080">
            <v>3</v>
          </cell>
          <cell r="K6080">
            <v>3</v>
          </cell>
        </row>
        <row r="6081">
          <cell r="A6081" t="str">
            <v>M2</v>
          </cell>
          <cell r="B6081" t="str">
            <v>A5C</v>
          </cell>
          <cell r="C6081" t="str">
            <v>P</v>
          </cell>
          <cell r="D6081" t="str">
            <v>23207</v>
          </cell>
          <cell r="E6081" t="str">
            <v>R TEE</v>
          </cell>
          <cell r="F6081">
            <v>2</v>
          </cell>
          <cell r="G6081" t="str">
            <v>CB40040000010T</v>
          </cell>
          <cell r="H6081">
            <v>0.75</v>
          </cell>
          <cell r="I6081" t="str">
            <v>-</v>
          </cell>
          <cell r="J6081">
            <v>2</v>
          </cell>
          <cell r="K6081">
            <v>2</v>
          </cell>
        </row>
        <row r="6082">
          <cell r="A6082" t="str">
            <v>M2</v>
          </cell>
          <cell r="B6082" t="str">
            <v>A5C</v>
          </cell>
          <cell r="C6082" t="str">
            <v>P</v>
          </cell>
          <cell r="D6082" t="str">
            <v>23208</v>
          </cell>
          <cell r="E6082" t="str">
            <v>R TEE</v>
          </cell>
          <cell r="F6082">
            <v>2</v>
          </cell>
          <cell r="G6082" t="str">
            <v>CB40040000010T</v>
          </cell>
          <cell r="H6082">
            <v>0.75</v>
          </cell>
          <cell r="I6082" t="str">
            <v>-</v>
          </cell>
          <cell r="J6082">
            <v>2</v>
          </cell>
          <cell r="K6082">
            <v>2</v>
          </cell>
        </row>
        <row r="6083">
          <cell r="A6083" t="str">
            <v>M2</v>
          </cell>
          <cell r="B6083" t="str">
            <v>A5C</v>
          </cell>
          <cell r="C6083" t="str">
            <v>P</v>
          </cell>
          <cell r="D6083" t="str">
            <v>23212</v>
          </cell>
          <cell r="E6083" t="str">
            <v>R TEE</v>
          </cell>
          <cell r="F6083">
            <v>2</v>
          </cell>
          <cell r="G6083" t="str">
            <v>CB40040000010T</v>
          </cell>
          <cell r="H6083">
            <v>0.75</v>
          </cell>
          <cell r="I6083" t="str">
            <v>-</v>
          </cell>
          <cell r="J6083">
            <v>3</v>
          </cell>
          <cell r="K6083">
            <v>3</v>
          </cell>
        </row>
        <row r="6084">
          <cell r="A6084" t="str">
            <v>M2</v>
          </cell>
          <cell r="B6084" t="str">
            <v>A5C</v>
          </cell>
          <cell r="C6084" t="str">
            <v>P</v>
          </cell>
          <cell r="D6084" t="str">
            <v>23213</v>
          </cell>
          <cell r="E6084" t="str">
            <v>R TEE</v>
          </cell>
          <cell r="F6084">
            <v>2</v>
          </cell>
          <cell r="G6084" t="str">
            <v>CB40040000010T</v>
          </cell>
          <cell r="H6084">
            <v>0.75</v>
          </cell>
          <cell r="I6084" t="str">
            <v>-</v>
          </cell>
          <cell r="J6084">
            <v>3</v>
          </cell>
          <cell r="K6084">
            <v>3</v>
          </cell>
        </row>
        <row r="6085">
          <cell r="A6085" t="str">
            <v>M2</v>
          </cell>
          <cell r="B6085" t="str">
            <v>A5C</v>
          </cell>
          <cell r="C6085" t="str">
            <v>P</v>
          </cell>
          <cell r="D6085" t="str">
            <v>23230</v>
          </cell>
          <cell r="E6085" t="str">
            <v>R TEE</v>
          </cell>
          <cell r="F6085">
            <v>2</v>
          </cell>
          <cell r="G6085" t="str">
            <v>CB40040000010T</v>
          </cell>
          <cell r="H6085">
            <v>0.75</v>
          </cell>
          <cell r="I6085" t="str">
            <v>-</v>
          </cell>
          <cell r="J6085">
            <v>3</v>
          </cell>
          <cell r="K6085">
            <v>3</v>
          </cell>
        </row>
        <row r="6086">
          <cell r="A6086" t="str">
            <v>M2</v>
          </cell>
          <cell r="B6086" t="str">
            <v>A5C</v>
          </cell>
          <cell r="C6086" t="str">
            <v>P</v>
          </cell>
          <cell r="D6086" t="str">
            <v>23239</v>
          </cell>
          <cell r="E6086" t="str">
            <v>R TEE</v>
          </cell>
          <cell r="F6086">
            <v>2</v>
          </cell>
          <cell r="G6086" t="str">
            <v>CB40040000010T</v>
          </cell>
          <cell r="H6086">
            <v>0.75</v>
          </cell>
          <cell r="I6086" t="str">
            <v>-</v>
          </cell>
          <cell r="J6086">
            <v>2</v>
          </cell>
          <cell r="K6086">
            <v>2</v>
          </cell>
        </row>
        <row r="6087">
          <cell r="A6087" t="str">
            <v>M2</v>
          </cell>
          <cell r="B6087" t="str">
            <v>A5C</v>
          </cell>
          <cell r="C6087" t="str">
            <v>P</v>
          </cell>
          <cell r="D6087" t="str">
            <v>23252</v>
          </cell>
          <cell r="E6087" t="str">
            <v>R TEE</v>
          </cell>
          <cell r="F6087">
            <v>2</v>
          </cell>
          <cell r="G6087" t="str">
            <v>CB40040000010T</v>
          </cell>
          <cell r="H6087">
            <v>0.75</v>
          </cell>
          <cell r="I6087" t="str">
            <v>-</v>
          </cell>
          <cell r="J6087">
            <v>3</v>
          </cell>
          <cell r="K6087">
            <v>3</v>
          </cell>
        </row>
        <row r="6088">
          <cell r="A6088" t="str">
            <v>M2</v>
          </cell>
          <cell r="B6088" t="str">
            <v>A5C</v>
          </cell>
          <cell r="C6088" t="str">
            <v>P</v>
          </cell>
          <cell r="D6088" t="str">
            <v>24007</v>
          </cell>
          <cell r="E6088" t="str">
            <v>R TEE</v>
          </cell>
          <cell r="F6088">
            <v>2</v>
          </cell>
          <cell r="G6088" t="str">
            <v>CB40040000010T</v>
          </cell>
          <cell r="H6088">
            <v>0.75</v>
          </cell>
          <cell r="I6088" t="str">
            <v>-</v>
          </cell>
          <cell r="J6088">
            <v>1</v>
          </cell>
          <cell r="K6088">
            <v>1</v>
          </cell>
        </row>
        <row r="6089">
          <cell r="A6089" t="str">
            <v>M2</v>
          </cell>
          <cell r="B6089" t="str">
            <v>A5C</v>
          </cell>
          <cell r="C6089" t="str">
            <v>P</v>
          </cell>
          <cell r="D6089" t="str">
            <v>24008</v>
          </cell>
          <cell r="E6089" t="str">
            <v>R TEE</v>
          </cell>
          <cell r="F6089">
            <v>2</v>
          </cell>
          <cell r="G6089" t="str">
            <v>CB40040000010T</v>
          </cell>
          <cell r="H6089">
            <v>0.75</v>
          </cell>
          <cell r="I6089" t="str">
            <v>-</v>
          </cell>
          <cell r="J6089">
            <v>3</v>
          </cell>
          <cell r="K6089">
            <v>3</v>
          </cell>
        </row>
        <row r="6090">
          <cell r="A6090" t="str">
            <v>M2</v>
          </cell>
          <cell r="B6090" t="str">
            <v>A5C</v>
          </cell>
          <cell r="C6090" t="str">
            <v>P</v>
          </cell>
          <cell r="D6090" t="str">
            <v>24020</v>
          </cell>
          <cell r="E6090" t="str">
            <v>R TEE</v>
          </cell>
          <cell r="F6090">
            <v>2</v>
          </cell>
          <cell r="G6090" t="str">
            <v>CB40040000010T</v>
          </cell>
          <cell r="H6090">
            <v>0.75</v>
          </cell>
          <cell r="I6090" t="str">
            <v>-</v>
          </cell>
          <cell r="J6090">
            <v>2</v>
          </cell>
          <cell r="K6090">
            <v>2</v>
          </cell>
        </row>
        <row r="6091">
          <cell r="A6091" t="str">
            <v>M2</v>
          </cell>
          <cell r="B6091" t="str">
            <v>A5C</v>
          </cell>
          <cell r="C6091" t="str">
            <v>N</v>
          </cell>
          <cell r="D6091" t="str">
            <v>23636</v>
          </cell>
          <cell r="E6091" t="str">
            <v>R TEE</v>
          </cell>
          <cell r="F6091">
            <v>2</v>
          </cell>
          <cell r="G6091" t="str">
            <v>CB40040000010T</v>
          </cell>
          <cell r="H6091">
            <v>0.75</v>
          </cell>
          <cell r="I6091" t="str">
            <v>-</v>
          </cell>
          <cell r="J6091">
            <v>1</v>
          </cell>
          <cell r="K6091">
            <v>1</v>
          </cell>
        </row>
        <row r="6092">
          <cell r="A6092" t="str">
            <v>M2</v>
          </cell>
          <cell r="B6092" t="str">
            <v>A5C</v>
          </cell>
          <cell r="C6092" t="str">
            <v>N</v>
          </cell>
          <cell r="D6092" t="str">
            <v>23637</v>
          </cell>
          <cell r="E6092" t="str">
            <v>R TEE</v>
          </cell>
          <cell r="F6092">
            <v>2</v>
          </cell>
          <cell r="G6092" t="str">
            <v>CB40040000010T</v>
          </cell>
          <cell r="H6092">
            <v>0.75</v>
          </cell>
          <cell r="I6092" t="str">
            <v>-</v>
          </cell>
          <cell r="J6092">
            <v>1</v>
          </cell>
          <cell r="K6092">
            <v>1</v>
          </cell>
        </row>
        <row r="6093">
          <cell r="A6093" t="str">
            <v>M2</v>
          </cell>
          <cell r="B6093" t="str">
            <v>A5C</v>
          </cell>
          <cell r="C6093" t="str">
            <v>N</v>
          </cell>
          <cell r="D6093" t="str">
            <v>23639</v>
          </cell>
          <cell r="E6093" t="str">
            <v>R TEE</v>
          </cell>
          <cell r="F6093">
            <v>2</v>
          </cell>
          <cell r="G6093" t="str">
            <v>CB40040000010T</v>
          </cell>
          <cell r="H6093">
            <v>0.75</v>
          </cell>
          <cell r="I6093" t="str">
            <v>-</v>
          </cell>
          <cell r="J6093">
            <v>1</v>
          </cell>
          <cell r="K6093">
            <v>1</v>
          </cell>
        </row>
        <row r="6094">
          <cell r="A6094" t="str">
            <v>M2</v>
          </cell>
          <cell r="B6094" t="str">
            <v>A5C</v>
          </cell>
          <cell r="C6094" t="str">
            <v>P</v>
          </cell>
          <cell r="D6094" t="str">
            <v>23037</v>
          </cell>
          <cell r="E6094" t="str">
            <v>R TEE</v>
          </cell>
          <cell r="F6094">
            <v>2</v>
          </cell>
          <cell r="G6094" t="str">
            <v>CB40040000010T</v>
          </cell>
          <cell r="H6094">
            <v>0.75</v>
          </cell>
          <cell r="I6094" t="str">
            <v>-</v>
          </cell>
          <cell r="J6094">
            <v>5</v>
          </cell>
          <cell r="K6094">
            <v>5</v>
          </cell>
        </row>
        <row r="6095">
          <cell r="A6095" t="str">
            <v>M2</v>
          </cell>
          <cell r="B6095" t="str">
            <v>A5C</v>
          </cell>
          <cell r="C6095" t="str">
            <v>P</v>
          </cell>
          <cell r="D6095" t="str">
            <v>23204</v>
          </cell>
          <cell r="E6095" t="str">
            <v>R TEE</v>
          </cell>
          <cell r="F6095">
            <v>2</v>
          </cell>
          <cell r="G6095" t="str">
            <v>CB40040000010T</v>
          </cell>
          <cell r="H6095">
            <v>0.75</v>
          </cell>
          <cell r="I6095" t="str">
            <v>-</v>
          </cell>
          <cell r="J6095">
            <v>2</v>
          </cell>
          <cell r="K6095">
            <v>2</v>
          </cell>
        </row>
        <row r="6096">
          <cell r="A6096" t="str">
            <v>M2</v>
          </cell>
          <cell r="B6096" t="str">
            <v>A5C</v>
          </cell>
          <cell r="C6096" t="str">
            <v>P</v>
          </cell>
          <cell r="D6096" t="str">
            <v>23206</v>
          </cell>
          <cell r="E6096" t="str">
            <v>R TEE</v>
          </cell>
          <cell r="F6096">
            <v>2</v>
          </cell>
          <cell r="G6096" t="str">
            <v>CB40040000010T</v>
          </cell>
          <cell r="H6096">
            <v>0.75</v>
          </cell>
          <cell r="I6096" t="str">
            <v>-</v>
          </cell>
          <cell r="J6096">
            <v>2</v>
          </cell>
          <cell r="K6096">
            <v>2</v>
          </cell>
        </row>
        <row r="6097">
          <cell r="A6097" t="str">
            <v>M2</v>
          </cell>
          <cell r="B6097" t="str">
            <v>A5C</v>
          </cell>
          <cell r="C6097" t="str">
            <v>P</v>
          </cell>
          <cell r="D6097" t="str">
            <v>23235</v>
          </cell>
          <cell r="E6097" t="str">
            <v>R TEE</v>
          </cell>
          <cell r="F6097">
            <v>2</v>
          </cell>
          <cell r="G6097" t="str">
            <v>CB40040000010T</v>
          </cell>
          <cell r="H6097">
            <v>0.75</v>
          </cell>
          <cell r="I6097" t="str">
            <v>-</v>
          </cell>
          <cell r="J6097">
            <v>2</v>
          </cell>
          <cell r="K6097">
            <v>2</v>
          </cell>
        </row>
        <row r="6098">
          <cell r="A6098" t="str">
            <v>M2</v>
          </cell>
          <cell r="B6098" t="str">
            <v>A5C</v>
          </cell>
          <cell r="C6098" t="str">
            <v>P</v>
          </cell>
          <cell r="D6098" t="str">
            <v>23245</v>
          </cell>
          <cell r="E6098" t="str">
            <v>R TEE</v>
          </cell>
          <cell r="F6098">
            <v>2</v>
          </cell>
          <cell r="G6098" t="str">
            <v>CB40040000010T</v>
          </cell>
          <cell r="H6098">
            <v>0.75</v>
          </cell>
          <cell r="I6098" t="str">
            <v>-</v>
          </cell>
          <cell r="J6098">
            <v>3</v>
          </cell>
          <cell r="K6098">
            <v>3</v>
          </cell>
        </row>
        <row r="6099">
          <cell r="A6099" t="str">
            <v>M2</v>
          </cell>
          <cell r="B6099" t="str">
            <v>A5C</v>
          </cell>
          <cell r="C6099" t="str">
            <v>P</v>
          </cell>
          <cell r="D6099" t="str">
            <v>24013</v>
          </cell>
          <cell r="E6099" t="str">
            <v>R TEE</v>
          </cell>
          <cell r="F6099">
            <v>2</v>
          </cell>
          <cell r="G6099" t="str">
            <v>CB40040000010T</v>
          </cell>
          <cell r="H6099">
            <v>0.75</v>
          </cell>
          <cell r="I6099" t="str">
            <v>-</v>
          </cell>
          <cell r="J6099">
            <v>3</v>
          </cell>
          <cell r="K6099">
            <v>3</v>
          </cell>
        </row>
        <row r="6100">
          <cell r="A6100" t="str">
            <v>M2</v>
          </cell>
          <cell r="B6100" t="str">
            <v>A5C</v>
          </cell>
          <cell r="C6100" t="str">
            <v>P</v>
          </cell>
          <cell r="D6100" t="str">
            <v>23059</v>
          </cell>
          <cell r="E6100" t="str">
            <v>C SWG</v>
          </cell>
          <cell r="F6100">
            <v>2</v>
          </cell>
          <cell r="G6100" t="str">
            <v>CB16110808010T</v>
          </cell>
          <cell r="H6100">
            <v>0.75</v>
          </cell>
          <cell r="I6100" t="str">
            <v>-</v>
          </cell>
          <cell r="J6100">
            <v>2</v>
          </cell>
          <cell r="K6100">
            <v>2</v>
          </cell>
        </row>
        <row r="6101">
          <cell r="A6101" t="str">
            <v>M2</v>
          </cell>
          <cell r="B6101" t="str">
            <v>A5C</v>
          </cell>
          <cell r="C6101" t="str">
            <v>P</v>
          </cell>
          <cell r="D6101" t="str">
            <v>23059</v>
          </cell>
          <cell r="E6101" t="str">
            <v>C SWG</v>
          </cell>
          <cell r="F6101">
            <v>2</v>
          </cell>
          <cell r="G6101" t="str">
            <v>CB16110808010T</v>
          </cell>
          <cell r="H6101">
            <v>0.75</v>
          </cell>
          <cell r="I6101" t="str">
            <v>-</v>
          </cell>
          <cell r="J6101">
            <v>1</v>
          </cell>
          <cell r="K6101">
            <v>1</v>
          </cell>
        </row>
        <row r="6102">
          <cell r="A6102" t="str">
            <v>M2</v>
          </cell>
          <cell r="B6102" t="str">
            <v>A5C</v>
          </cell>
          <cell r="C6102" t="str">
            <v>P</v>
          </cell>
          <cell r="D6102" t="str">
            <v>23183</v>
          </cell>
          <cell r="E6102" t="str">
            <v>C SWG</v>
          </cell>
          <cell r="F6102">
            <v>2</v>
          </cell>
          <cell r="G6102" t="str">
            <v>CB16110808010T</v>
          </cell>
          <cell r="H6102">
            <v>0.75</v>
          </cell>
          <cell r="I6102" t="str">
            <v>-</v>
          </cell>
          <cell r="J6102">
            <v>1</v>
          </cell>
          <cell r="K6102">
            <v>1</v>
          </cell>
        </row>
        <row r="6103">
          <cell r="A6103" t="str">
            <v>M2</v>
          </cell>
          <cell r="B6103" t="str">
            <v>A5C</v>
          </cell>
          <cell r="C6103" t="str">
            <v>TRIM</v>
          </cell>
          <cell r="D6103" t="str">
            <v>V-2352</v>
          </cell>
          <cell r="E6103" t="str">
            <v>C SWG</v>
          </cell>
          <cell r="F6103">
            <v>2</v>
          </cell>
          <cell r="G6103" t="str">
            <v>CB16110808010T</v>
          </cell>
          <cell r="H6103">
            <v>0.75</v>
          </cell>
          <cell r="I6103" t="str">
            <v>-</v>
          </cell>
          <cell r="J6103">
            <v>1</v>
          </cell>
          <cell r="K6103">
            <v>1</v>
          </cell>
        </row>
        <row r="6104">
          <cell r="A6104" t="str">
            <v>M2</v>
          </cell>
          <cell r="B6104" t="str">
            <v>A5C</v>
          </cell>
          <cell r="C6104" t="str">
            <v>P</v>
          </cell>
          <cell r="D6104" t="str">
            <v>23059</v>
          </cell>
          <cell r="E6104" t="str">
            <v>R TEE</v>
          </cell>
          <cell r="F6104">
            <v>2</v>
          </cell>
          <cell r="G6104" t="str">
            <v>CB40040000010T</v>
          </cell>
          <cell r="H6104">
            <v>0.75</v>
          </cell>
          <cell r="I6104" t="str">
            <v>-</v>
          </cell>
          <cell r="J6104">
            <v>3</v>
          </cell>
          <cell r="K6104">
            <v>3</v>
          </cell>
        </row>
        <row r="6105">
          <cell r="A6105" t="str">
            <v>M2</v>
          </cell>
          <cell r="B6105" t="str">
            <v>A5C</v>
          </cell>
          <cell r="C6105" t="str">
            <v>P</v>
          </cell>
          <cell r="D6105" t="str">
            <v>23048</v>
          </cell>
          <cell r="E6105" t="str">
            <v>C SWG</v>
          </cell>
          <cell r="F6105">
            <v>2</v>
          </cell>
          <cell r="G6105" t="str">
            <v>CB16110808010T</v>
          </cell>
          <cell r="H6105">
            <v>0.75</v>
          </cell>
          <cell r="I6105" t="str">
            <v>-</v>
          </cell>
          <cell r="J6105">
            <v>2</v>
          </cell>
          <cell r="K6105">
            <v>2</v>
          </cell>
        </row>
        <row r="6106">
          <cell r="A6106" t="str">
            <v>M2</v>
          </cell>
          <cell r="B6106" t="str">
            <v>A5C</v>
          </cell>
          <cell r="C6106" t="str">
            <v>P</v>
          </cell>
          <cell r="D6106" t="str">
            <v>23074</v>
          </cell>
          <cell r="E6106" t="str">
            <v>C SWG</v>
          </cell>
          <cell r="F6106">
            <v>2</v>
          </cell>
          <cell r="G6106" t="str">
            <v>CB16110808010T</v>
          </cell>
          <cell r="H6106">
            <v>0.75</v>
          </cell>
          <cell r="I6106" t="str">
            <v>-</v>
          </cell>
          <cell r="J6106">
            <v>2</v>
          </cell>
          <cell r="K6106">
            <v>2</v>
          </cell>
        </row>
        <row r="6107">
          <cell r="A6107" t="str">
            <v>M2</v>
          </cell>
          <cell r="B6107" t="str">
            <v>A5C</v>
          </cell>
          <cell r="C6107" t="str">
            <v>P</v>
          </cell>
          <cell r="D6107" t="str">
            <v>23079</v>
          </cell>
          <cell r="E6107" t="str">
            <v>C SWG</v>
          </cell>
          <cell r="F6107">
            <v>2</v>
          </cell>
          <cell r="G6107" t="str">
            <v>CB16110808010T</v>
          </cell>
          <cell r="H6107">
            <v>0.75</v>
          </cell>
          <cell r="I6107" t="str">
            <v>-</v>
          </cell>
          <cell r="J6107">
            <v>2</v>
          </cell>
          <cell r="K6107">
            <v>2</v>
          </cell>
        </row>
        <row r="6108">
          <cell r="A6108" t="str">
            <v>M2</v>
          </cell>
          <cell r="B6108" t="str">
            <v>A5C</v>
          </cell>
          <cell r="C6108" t="str">
            <v>P</v>
          </cell>
          <cell r="D6108" t="str">
            <v>23219</v>
          </cell>
          <cell r="E6108" t="str">
            <v>C SWG</v>
          </cell>
          <cell r="F6108">
            <v>2</v>
          </cell>
          <cell r="G6108" t="str">
            <v>CB16110808010T</v>
          </cell>
          <cell r="H6108">
            <v>0.75</v>
          </cell>
          <cell r="I6108" t="str">
            <v>-</v>
          </cell>
          <cell r="J6108">
            <v>1</v>
          </cell>
          <cell r="K6108">
            <v>1</v>
          </cell>
        </row>
        <row r="6109">
          <cell r="A6109" t="str">
            <v>M2</v>
          </cell>
          <cell r="B6109" t="str">
            <v>A5C</v>
          </cell>
          <cell r="C6109" t="str">
            <v>P</v>
          </cell>
          <cell r="D6109" t="str">
            <v>24016</v>
          </cell>
          <cell r="E6109" t="str">
            <v>C SWG</v>
          </cell>
          <cell r="F6109">
            <v>2</v>
          </cell>
          <cell r="G6109" t="str">
            <v>CB16110808010T</v>
          </cell>
          <cell r="H6109">
            <v>0.75</v>
          </cell>
          <cell r="I6109" t="str">
            <v>-</v>
          </cell>
          <cell r="J6109">
            <v>2</v>
          </cell>
          <cell r="K6109">
            <v>2</v>
          </cell>
        </row>
        <row r="6110">
          <cell r="A6110" t="str">
            <v>M2</v>
          </cell>
          <cell r="B6110" t="str">
            <v>A5C</v>
          </cell>
          <cell r="C6110" t="str">
            <v>P</v>
          </cell>
          <cell r="D6110" t="str">
            <v>24017</v>
          </cell>
          <cell r="E6110" t="str">
            <v>C SWG</v>
          </cell>
          <cell r="F6110">
            <v>2</v>
          </cell>
          <cell r="G6110" t="str">
            <v>CB16110808010T</v>
          </cell>
          <cell r="H6110">
            <v>0.75</v>
          </cell>
          <cell r="I6110" t="str">
            <v>-</v>
          </cell>
          <cell r="J6110">
            <v>1</v>
          </cell>
          <cell r="K6110">
            <v>1</v>
          </cell>
        </row>
        <row r="6111">
          <cell r="A6111" t="str">
            <v>M2</v>
          </cell>
          <cell r="B6111" t="str">
            <v>A5C</v>
          </cell>
          <cell r="C6111" t="str">
            <v>P</v>
          </cell>
          <cell r="D6111" t="str">
            <v>24018</v>
          </cell>
          <cell r="E6111" t="str">
            <v>C SWG</v>
          </cell>
          <cell r="F6111">
            <v>2</v>
          </cell>
          <cell r="G6111" t="str">
            <v>CB16110808010T</v>
          </cell>
          <cell r="H6111">
            <v>0.75</v>
          </cell>
          <cell r="I6111" t="str">
            <v>-</v>
          </cell>
          <cell r="J6111">
            <v>1</v>
          </cell>
          <cell r="K6111">
            <v>1</v>
          </cell>
        </row>
        <row r="6112">
          <cell r="A6112" t="str">
            <v>M2</v>
          </cell>
          <cell r="B6112" t="str">
            <v>A5C</v>
          </cell>
          <cell r="C6112" t="str">
            <v>TRIM</v>
          </cell>
          <cell r="D6112" t="str">
            <v>C-2302</v>
          </cell>
          <cell r="E6112" t="str">
            <v>C SWG</v>
          </cell>
          <cell r="F6112">
            <v>2</v>
          </cell>
          <cell r="G6112" t="str">
            <v>CB16110808010T</v>
          </cell>
          <cell r="H6112">
            <v>0.75</v>
          </cell>
          <cell r="I6112" t="str">
            <v>-</v>
          </cell>
          <cell r="J6112">
            <v>1</v>
          </cell>
          <cell r="K6112">
            <v>1</v>
          </cell>
        </row>
        <row r="6113">
          <cell r="A6113" t="str">
            <v>M2</v>
          </cell>
          <cell r="B6113" t="str">
            <v>A5C</v>
          </cell>
          <cell r="C6113" t="str">
            <v>TRIM</v>
          </cell>
          <cell r="D6113" t="str">
            <v>C-2303</v>
          </cell>
          <cell r="E6113" t="str">
            <v>C SWG</v>
          </cell>
          <cell r="F6113">
            <v>2</v>
          </cell>
          <cell r="G6113" t="str">
            <v>CB16110808010T</v>
          </cell>
          <cell r="H6113">
            <v>0.75</v>
          </cell>
          <cell r="I6113" t="str">
            <v>-</v>
          </cell>
          <cell r="J6113">
            <v>1</v>
          </cell>
          <cell r="K6113">
            <v>1</v>
          </cell>
        </row>
        <row r="6114">
          <cell r="A6114" t="str">
            <v>M2</v>
          </cell>
          <cell r="B6114" t="str">
            <v>A5C</v>
          </cell>
          <cell r="C6114" t="str">
            <v>TRIM</v>
          </cell>
          <cell r="D6114" t="str">
            <v>C-2304</v>
          </cell>
          <cell r="E6114" t="str">
            <v>C SWG</v>
          </cell>
          <cell r="F6114">
            <v>2</v>
          </cell>
          <cell r="G6114" t="str">
            <v>CB16110808010T</v>
          </cell>
          <cell r="H6114">
            <v>0.75</v>
          </cell>
          <cell r="I6114" t="str">
            <v>-</v>
          </cell>
          <cell r="J6114">
            <v>1</v>
          </cell>
          <cell r="K6114">
            <v>1</v>
          </cell>
        </row>
        <row r="6115">
          <cell r="A6115" t="str">
            <v>M2</v>
          </cell>
          <cell r="B6115" t="str">
            <v>A5C</v>
          </cell>
          <cell r="C6115" t="str">
            <v>TRIM</v>
          </cell>
          <cell r="D6115" t="str">
            <v>C-2305</v>
          </cell>
          <cell r="E6115" t="str">
            <v>C SWG</v>
          </cell>
          <cell r="F6115">
            <v>2</v>
          </cell>
          <cell r="G6115" t="str">
            <v>CB16110808010T</v>
          </cell>
          <cell r="H6115">
            <v>0.75</v>
          </cell>
          <cell r="I6115" t="str">
            <v>-</v>
          </cell>
          <cell r="J6115">
            <v>1</v>
          </cell>
          <cell r="K6115">
            <v>1</v>
          </cell>
        </row>
        <row r="6116">
          <cell r="A6116" t="str">
            <v>M2</v>
          </cell>
          <cell r="B6116" t="str">
            <v>A5C</v>
          </cell>
          <cell r="C6116" t="str">
            <v>TRIM</v>
          </cell>
          <cell r="D6116" t="str">
            <v>C-2306</v>
          </cell>
          <cell r="E6116" t="str">
            <v>C SWG</v>
          </cell>
          <cell r="F6116">
            <v>2</v>
          </cell>
          <cell r="G6116" t="str">
            <v>CB16110808010T</v>
          </cell>
          <cell r="H6116">
            <v>0.75</v>
          </cell>
          <cell r="I6116" t="str">
            <v>-</v>
          </cell>
          <cell r="J6116">
            <v>1</v>
          </cell>
          <cell r="K6116">
            <v>1</v>
          </cell>
        </row>
        <row r="6117">
          <cell r="A6117" t="str">
            <v>M2</v>
          </cell>
          <cell r="B6117" t="str">
            <v>A5C</v>
          </cell>
          <cell r="C6117" t="str">
            <v>TRIM</v>
          </cell>
          <cell r="D6117" t="str">
            <v>V-2325</v>
          </cell>
          <cell r="E6117" t="str">
            <v>C SWG</v>
          </cell>
          <cell r="F6117">
            <v>2</v>
          </cell>
          <cell r="G6117" t="str">
            <v>CB16110808010T</v>
          </cell>
          <cell r="H6117">
            <v>0.75</v>
          </cell>
          <cell r="I6117" t="str">
            <v>-</v>
          </cell>
          <cell r="J6117">
            <v>1</v>
          </cell>
          <cell r="K6117">
            <v>1</v>
          </cell>
        </row>
        <row r="6118">
          <cell r="A6118" t="str">
            <v>M2</v>
          </cell>
          <cell r="B6118" t="str">
            <v>A5C</v>
          </cell>
          <cell r="C6118" t="str">
            <v>P</v>
          </cell>
          <cell r="D6118" t="str">
            <v>23079</v>
          </cell>
          <cell r="E6118" t="str">
            <v>C SWG</v>
          </cell>
          <cell r="F6118">
            <v>2</v>
          </cell>
          <cell r="G6118" t="str">
            <v>CB16110808010T</v>
          </cell>
          <cell r="H6118">
            <v>0.75</v>
          </cell>
          <cell r="I6118" t="str">
            <v>-</v>
          </cell>
          <cell r="J6118">
            <v>1</v>
          </cell>
          <cell r="K6118">
            <v>1</v>
          </cell>
        </row>
        <row r="6119">
          <cell r="A6119" t="str">
            <v>M2</v>
          </cell>
          <cell r="B6119" t="str">
            <v>A5C</v>
          </cell>
          <cell r="C6119" t="str">
            <v>P</v>
          </cell>
          <cell r="D6119" t="str">
            <v>23018</v>
          </cell>
          <cell r="E6119" t="str">
            <v>E SWG</v>
          </cell>
          <cell r="F6119">
            <v>2</v>
          </cell>
          <cell r="G6119" t="str">
            <v>CB16210808010T</v>
          </cell>
          <cell r="H6119">
            <v>0.75</v>
          </cell>
          <cell r="I6119" t="str">
            <v>-</v>
          </cell>
          <cell r="J6119">
            <v>2</v>
          </cell>
          <cell r="K6119">
            <v>2</v>
          </cell>
        </row>
        <row r="6120">
          <cell r="A6120" t="str">
            <v>M2</v>
          </cell>
          <cell r="B6120" t="str">
            <v>A5C</v>
          </cell>
          <cell r="C6120" t="str">
            <v>P</v>
          </cell>
          <cell r="D6120" t="str">
            <v>23027</v>
          </cell>
          <cell r="E6120" t="str">
            <v>E SWG</v>
          </cell>
          <cell r="F6120">
            <v>2</v>
          </cell>
          <cell r="G6120" t="str">
            <v>CB16210808010T</v>
          </cell>
          <cell r="H6120">
            <v>0.75</v>
          </cell>
          <cell r="I6120" t="str">
            <v>-</v>
          </cell>
          <cell r="J6120">
            <v>2</v>
          </cell>
          <cell r="K6120">
            <v>2</v>
          </cell>
        </row>
        <row r="6121">
          <cell r="A6121" t="str">
            <v>M2</v>
          </cell>
          <cell r="B6121" t="str">
            <v>A5C</v>
          </cell>
          <cell r="C6121" t="str">
            <v>P</v>
          </cell>
          <cell r="D6121" t="str">
            <v>23018</v>
          </cell>
          <cell r="E6121" t="str">
            <v>R TEE</v>
          </cell>
          <cell r="F6121">
            <v>2</v>
          </cell>
          <cell r="G6121" t="str">
            <v>CB40040000010T</v>
          </cell>
          <cell r="H6121">
            <v>0.75</v>
          </cell>
          <cell r="I6121" t="str">
            <v>-</v>
          </cell>
          <cell r="J6121">
            <v>2</v>
          </cell>
          <cell r="K6121">
            <v>2</v>
          </cell>
        </row>
        <row r="6122">
          <cell r="A6122" t="str">
            <v>M2</v>
          </cell>
          <cell r="B6122" t="str">
            <v>A5C</v>
          </cell>
          <cell r="C6122" t="str">
            <v>P</v>
          </cell>
          <cell r="D6122" t="str">
            <v>23018</v>
          </cell>
          <cell r="E6122" t="str">
            <v>R TEE</v>
          </cell>
          <cell r="F6122">
            <v>2</v>
          </cell>
          <cell r="G6122" t="str">
            <v>CB40040000010T</v>
          </cell>
          <cell r="H6122">
            <v>0.75</v>
          </cell>
          <cell r="I6122" t="str">
            <v>-</v>
          </cell>
          <cell r="J6122">
            <v>3</v>
          </cell>
          <cell r="K6122">
            <v>3</v>
          </cell>
        </row>
        <row r="6123">
          <cell r="A6123" t="str">
            <v>M2</v>
          </cell>
          <cell r="B6123" t="str">
            <v>A5C</v>
          </cell>
          <cell r="C6123" t="str">
            <v>P</v>
          </cell>
          <cell r="D6123" t="str">
            <v>23027</v>
          </cell>
          <cell r="E6123" t="str">
            <v>R TEE</v>
          </cell>
          <cell r="F6123">
            <v>2</v>
          </cell>
          <cell r="G6123" t="str">
            <v>CB40040000010T</v>
          </cell>
          <cell r="H6123">
            <v>0.75</v>
          </cell>
          <cell r="I6123" t="str">
            <v>-</v>
          </cell>
          <cell r="J6123">
            <v>2</v>
          </cell>
          <cell r="K6123">
            <v>2</v>
          </cell>
        </row>
        <row r="6124">
          <cell r="A6124" t="str">
            <v>M2</v>
          </cell>
          <cell r="B6124" t="str">
            <v>A5C</v>
          </cell>
          <cell r="C6124" t="str">
            <v>P</v>
          </cell>
          <cell r="D6124" t="str">
            <v>23048</v>
          </cell>
          <cell r="E6124" t="str">
            <v>R TEE</v>
          </cell>
          <cell r="F6124">
            <v>2</v>
          </cell>
          <cell r="G6124" t="str">
            <v>CB40040000010T</v>
          </cell>
          <cell r="H6124">
            <v>0.75</v>
          </cell>
          <cell r="I6124" t="str">
            <v>-</v>
          </cell>
          <cell r="J6124">
            <v>6</v>
          </cell>
          <cell r="K6124">
            <v>6</v>
          </cell>
        </row>
        <row r="6125">
          <cell r="A6125" t="str">
            <v>M2</v>
          </cell>
          <cell r="B6125" t="str">
            <v>A5C</v>
          </cell>
          <cell r="C6125" t="str">
            <v>P</v>
          </cell>
          <cell r="D6125" t="str">
            <v>23074</v>
          </cell>
          <cell r="E6125" t="str">
            <v>R TEE</v>
          </cell>
          <cell r="F6125">
            <v>2</v>
          </cell>
          <cell r="G6125" t="str">
            <v>CB40040000010T</v>
          </cell>
          <cell r="H6125">
            <v>0.75</v>
          </cell>
          <cell r="I6125" t="str">
            <v>-</v>
          </cell>
          <cell r="J6125">
            <v>2</v>
          </cell>
          <cell r="K6125">
            <v>2</v>
          </cell>
        </row>
        <row r="6126">
          <cell r="A6126" t="str">
            <v>M2</v>
          </cell>
          <cell r="B6126" t="str">
            <v>A5C</v>
          </cell>
          <cell r="C6126" t="str">
            <v>P</v>
          </cell>
          <cell r="D6126" t="str">
            <v>23223</v>
          </cell>
          <cell r="E6126" t="str">
            <v>R TEE</v>
          </cell>
          <cell r="F6126">
            <v>2</v>
          </cell>
          <cell r="G6126" t="str">
            <v>CB40040000010T</v>
          </cell>
          <cell r="H6126">
            <v>0.75</v>
          </cell>
          <cell r="I6126" t="str">
            <v>-</v>
          </cell>
          <cell r="J6126">
            <v>3</v>
          </cell>
          <cell r="K6126">
            <v>3</v>
          </cell>
        </row>
        <row r="6127">
          <cell r="A6127" t="str">
            <v>M2</v>
          </cell>
          <cell r="B6127" t="str">
            <v>A5C</v>
          </cell>
          <cell r="C6127" t="str">
            <v>P</v>
          </cell>
          <cell r="D6127" t="str">
            <v>23079</v>
          </cell>
          <cell r="E6127" t="str">
            <v>R TEE</v>
          </cell>
          <cell r="F6127">
            <v>2</v>
          </cell>
          <cell r="G6127" t="str">
            <v>CB40040000010T</v>
          </cell>
          <cell r="H6127">
            <v>0.75</v>
          </cell>
          <cell r="I6127" t="str">
            <v>-</v>
          </cell>
          <cell r="J6127">
            <v>2</v>
          </cell>
          <cell r="K6127">
            <v>2</v>
          </cell>
        </row>
        <row r="6128">
          <cell r="A6128" t="str">
            <v>M2</v>
          </cell>
          <cell r="B6128" t="str">
            <v>A5C</v>
          </cell>
          <cell r="C6128" t="str">
            <v>P</v>
          </cell>
          <cell r="D6128" t="str">
            <v>23013</v>
          </cell>
          <cell r="E6128" t="str">
            <v>C SWG</v>
          </cell>
          <cell r="F6128">
            <v>2</v>
          </cell>
          <cell r="G6128" t="str">
            <v>CB16110808010T</v>
          </cell>
          <cell r="H6128">
            <v>0.75</v>
          </cell>
          <cell r="I6128" t="str">
            <v>-</v>
          </cell>
          <cell r="J6128">
            <v>3</v>
          </cell>
          <cell r="K6128">
            <v>3</v>
          </cell>
        </row>
        <row r="6129">
          <cell r="A6129" t="str">
            <v>M2</v>
          </cell>
          <cell r="B6129" t="str">
            <v>A5C</v>
          </cell>
          <cell r="C6129" t="str">
            <v>P</v>
          </cell>
          <cell r="D6129" t="str">
            <v>23156</v>
          </cell>
          <cell r="E6129" t="str">
            <v>C SWG</v>
          </cell>
          <cell r="F6129">
            <v>2</v>
          </cell>
          <cell r="G6129" t="str">
            <v>CB16110808010T</v>
          </cell>
          <cell r="H6129">
            <v>0.75</v>
          </cell>
          <cell r="I6129" t="str">
            <v>-</v>
          </cell>
          <cell r="J6129">
            <v>1</v>
          </cell>
          <cell r="K6129">
            <v>1</v>
          </cell>
        </row>
        <row r="6130">
          <cell r="A6130" t="str">
            <v>M2</v>
          </cell>
          <cell r="B6130" t="str">
            <v>A5C</v>
          </cell>
          <cell r="C6130" t="str">
            <v>P</v>
          </cell>
          <cell r="D6130" t="str">
            <v>24004</v>
          </cell>
          <cell r="E6130" t="str">
            <v>C SWG</v>
          </cell>
          <cell r="F6130">
            <v>2</v>
          </cell>
          <cell r="G6130" t="str">
            <v>CB16110808010T</v>
          </cell>
          <cell r="H6130">
            <v>0.75</v>
          </cell>
          <cell r="I6130" t="str">
            <v>-</v>
          </cell>
          <cell r="J6130">
            <v>2</v>
          </cell>
          <cell r="K6130">
            <v>2</v>
          </cell>
        </row>
        <row r="6131">
          <cell r="A6131" t="str">
            <v>M2</v>
          </cell>
          <cell r="B6131" t="str">
            <v>A5C</v>
          </cell>
          <cell r="C6131" t="str">
            <v>P</v>
          </cell>
          <cell r="D6131" t="str">
            <v>24029</v>
          </cell>
          <cell r="E6131" t="str">
            <v>C SWG</v>
          </cell>
          <cell r="F6131">
            <v>2</v>
          </cell>
          <cell r="G6131" t="str">
            <v>CB16110808010T</v>
          </cell>
          <cell r="H6131">
            <v>0.75</v>
          </cell>
          <cell r="I6131" t="str">
            <v>-</v>
          </cell>
          <cell r="J6131">
            <v>1</v>
          </cell>
          <cell r="K6131">
            <v>1</v>
          </cell>
        </row>
        <row r="6132">
          <cell r="A6132" t="str">
            <v>M2</v>
          </cell>
          <cell r="B6132" t="str">
            <v>A5C</v>
          </cell>
          <cell r="C6132" t="str">
            <v>P</v>
          </cell>
          <cell r="D6132" t="str">
            <v>24031</v>
          </cell>
          <cell r="E6132" t="str">
            <v>C SWG</v>
          </cell>
          <cell r="F6132">
            <v>2</v>
          </cell>
          <cell r="G6132" t="str">
            <v>CB16110808010T</v>
          </cell>
          <cell r="H6132">
            <v>0.75</v>
          </cell>
          <cell r="I6132" t="str">
            <v>-</v>
          </cell>
          <cell r="J6132">
            <v>1</v>
          </cell>
          <cell r="K6132">
            <v>1</v>
          </cell>
        </row>
        <row r="6133">
          <cell r="A6133" t="str">
            <v>M2</v>
          </cell>
          <cell r="B6133" t="str">
            <v>A5C</v>
          </cell>
          <cell r="C6133" t="str">
            <v>P</v>
          </cell>
          <cell r="D6133" t="str">
            <v>24033</v>
          </cell>
          <cell r="E6133" t="str">
            <v>C SWG</v>
          </cell>
          <cell r="F6133">
            <v>2</v>
          </cell>
          <cell r="G6133" t="str">
            <v>CB16110808010T</v>
          </cell>
          <cell r="H6133">
            <v>0.75</v>
          </cell>
          <cell r="I6133" t="str">
            <v>-</v>
          </cell>
          <cell r="J6133">
            <v>1</v>
          </cell>
          <cell r="K6133">
            <v>1</v>
          </cell>
        </row>
        <row r="6134">
          <cell r="A6134" t="str">
            <v>M2</v>
          </cell>
          <cell r="B6134" t="str">
            <v>A5C</v>
          </cell>
          <cell r="C6134" t="str">
            <v>TRIM</v>
          </cell>
          <cell r="D6134" t="str">
            <v>C-2301</v>
          </cell>
          <cell r="E6134" t="str">
            <v>C SWG</v>
          </cell>
          <cell r="F6134">
            <v>2</v>
          </cell>
          <cell r="G6134" t="str">
            <v>CB16110808010T</v>
          </cell>
          <cell r="H6134">
            <v>0.75</v>
          </cell>
          <cell r="I6134" t="str">
            <v>-</v>
          </cell>
          <cell r="J6134">
            <v>1</v>
          </cell>
          <cell r="K6134">
            <v>1</v>
          </cell>
        </row>
        <row r="6135">
          <cell r="A6135" t="str">
            <v>M2</v>
          </cell>
          <cell r="B6135" t="str">
            <v>A5C</v>
          </cell>
          <cell r="C6135" t="str">
            <v>TRIM</v>
          </cell>
          <cell r="D6135" t="str">
            <v>R-2401</v>
          </cell>
          <cell r="E6135" t="str">
            <v>C SWG</v>
          </cell>
          <cell r="F6135">
            <v>2</v>
          </cell>
          <cell r="G6135" t="str">
            <v>CB16110808010T</v>
          </cell>
          <cell r="H6135">
            <v>0.75</v>
          </cell>
          <cell r="I6135" t="str">
            <v>-</v>
          </cell>
          <cell r="J6135">
            <v>1</v>
          </cell>
          <cell r="K6135">
            <v>1</v>
          </cell>
        </row>
        <row r="6136">
          <cell r="A6136" t="str">
            <v>M2</v>
          </cell>
          <cell r="B6136" t="str">
            <v>A5C</v>
          </cell>
          <cell r="C6136" t="str">
            <v>P</v>
          </cell>
          <cell r="D6136" t="str">
            <v>99004</v>
          </cell>
          <cell r="E6136" t="str">
            <v>E SWG</v>
          </cell>
          <cell r="F6136">
            <v>2</v>
          </cell>
          <cell r="G6136" t="str">
            <v>CB16210808010T</v>
          </cell>
          <cell r="H6136">
            <v>0.75</v>
          </cell>
          <cell r="I6136" t="str">
            <v>-</v>
          </cell>
          <cell r="J6136">
            <v>1</v>
          </cell>
          <cell r="K6136">
            <v>1</v>
          </cell>
        </row>
        <row r="6137">
          <cell r="A6137" t="str">
            <v>M2</v>
          </cell>
          <cell r="B6137" t="str">
            <v>A5C</v>
          </cell>
          <cell r="C6137" t="str">
            <v>P</v>
          </cell>
          <cell r="D6137" t="str">
            <v>23013</v>
          </cell>
          <cell r="E6137" t="str">
            <v>R TEE</v>
          </cell>
          <cell r="F6137">
            <v>2</v>
          </cell>
          <cell r="G6137" t="str">
            <v>CB40040000010T</v>
          </cell>
          <cell r="H6137">
            <v>0.75</v>
          </cell>
          <cell r="I6137" t="str">
            <v>-</v>
          </cell>
          <cell r="J6137">
            <v>4</v>
          </cell>
          <cell r="K6137">
            <v>4</v>
          </cell>
        </row>
        <row r="6138">
          <cell r="A6138" t="str">
            <v>M2</v>
          </cell>
          <cell r="B6138" t="str">
            <v>A5C</v>
          </cell>
          <cell r="C6138" t="str">
            <v>P</v>
          </cell>
          <cell r="D6138" t="str">
            <v>24004</v>
          </cell>
          <cell r="E6138" t="str">
            <v>R TEE</v>
          </cell>
          <cell r="F6138">
            <v>2</v>
          </cell>
          <cell r="G6138" t="str">
            <v>CB40040000010T</v>
          </cell>
          <cell r="H6138">
            <v>0.75</v>
          </cell>
          <cell r="I6138" t="str">
            <v>-</v>
          </cell>
          <cell r="J6138">
            <v>5</v>
          </cell>
          <cell r="K6138">
            <v>5</v>
          </cell>
        </row>
        <row r="6139">
          <cell r="A6139" t="str">
            <v>M2</v>
          </cell>
          <cell r="B6139" t="str">
            <v>A5C</v>
          </cell>
          <cell r="C6139" t="str">
            <v>P</v>
          </cell>
          <cell r="D6139" t="str">
            <v>24025</v>
          </cell>
          <cell r="E6139" t="str">
            <v>R TEE</v>
          </cell>
          <cell r="F6139">
            <v>2</v>
          </cell>
          <cell r="G6139" t="str">
            <v>CB40040000010T</v>
          </cell>
          <cell r="H6139">
            <v>0.75</v>
          </cell>
          <cell r="I6139" t="str">
            <v>-</v>
          </cell>
          <cell r="J6139">
            <v>2</v>
          </cell>
          <cell r="K6139">
            <v>2</v>
          </cell>
        </row>
        <row r="6140">
          <cell r="A6140" t="str">
            <v>M2</v>
          </cell>
          <cell r="B6140" t="str">
            <v>A5C</v>
          </cell>
          <cell r="C6140" t="str">
            <v>P</v>
          </cell>
          <cell r="D6140" t="str">
            <v>24026</v>
          </cell>
          <cell r="E6140" t="str">
            <v>R TEE</v>
          </cell>
          <cell r="F6140">
            <v>2</v>
          </cell>
          <cell r="G6140" t="str">
            <v>CB40040000010T</v>
          </cell>
          <cell r="H6140">
            <v>0.75</v>
          </cell>
          <cell r="I6140" t="str">
            <v>-</v>
          </cell>
          <cell r="J6140">
            <v>2</v>
          </cell>
          <cell r="K6140">
            <v>2</v>
          </cell>
        </row>
        <row r="6141">
          <cell r="A6141" t="str">
            <v>M2</v>
          </cell>
          <cell r="B6141" t="str">
            <v>A5C</v>
          </cell>
          <cell r="C6141" t="str">
            <v>P</v>
          </cell>
          <cell r="D6141" t="str">
            <v>24002</v>
          </cell>
          <cell r="E6141" t="str">
            <v>R TEE</v>
          </cell>
          <cell r="F6141">
            <v>2</v>
          </cell>
          <cell r="G6141" t="str">
            <v>CB40040000010T</v>
          </cell>
          <cell r="H6141">
            <v>0.75</v>
          </cell>
          <cell r="I6141" t="str">
            <v>-</v>
          </cell>
          <cell r="J6141">
            <v>2</v>
          </cell>
          <cell r="K6141">
            <v>2</v>
          </cell>
        </row>
        <row r="6142">
          <cell r="A6142" t="str">
            <v>M2</v>
          </cell>
          <cell r="B6142" t="str">
            <v>A5C</v>
          </cell>
          <cell r="C6142" t="str">
            <v>P</v>
          </cell>
          <cell r="D6142" t="str">
            <v>23006</v>
          </cell>
          <cell r="E6142" t="str">
            <v>C SWG</v>
          </cell>
          <cell r="F6142">
            <v>2</v>
          </cell>
          <cell r="G6142" t="str">
            <v>CB161108081H01</v>
          </cell>
          <cell r="H6142">
            <v>1</v>
          </cell>
          <cell r="I6142" t="str">
            <v>-</v>
          </cell>
          <cell r="J6142">
            <v>2</v>
          </cell>
          <cell r="K6142">
            <v>2</v>
          </cell>
        </row>
        <row r="6143">
          <cell r="A6143" t="str">
            <v>M2</v>
          </cell>
          <cell r="B6143" t="str">
            <v>A5C</v>
          </cell>
          <cell r="C6143" t="str">
            <v>P</v>
          </cell>
          <cell r="D6143" t="str">
            <v>23038</v>
          </cell>
          <cell r="E6143" t="str">
            <v>C SWG</v>
          </cell>
          <cell r="F6143">
            <v>2</v>
          </cell>
          <cell r="G6143" t="str">
            <v>CB161108081H01</v>
          </cell>
          <cell r="H6143">
            <v>1</v>
          </cell>
          <cell r="I6143" t="str">
            <v>-</v>
          </cell>
          <cell r="J6143">
            <v>2</v>
          </cell>
          <cell r="K6143">
            <v>2</v>
          </cell>
        </row>
        <row r="6144">
          <cell r="A6144" t="str">
            <v>M2</v>
          </cell>
          <cell r="B6144" t="str">
            <v>A5C</v>
          </cell>
          <cell r="C6144" t="str">
            <v>P</v>
          </cell>
          <cell r="D6144" t="str">
            <v>23116</v>
          </cell>
          <cell r="E6144" t="str">
            <v>C SWG</v>
          </cell>
          <cell r="F6144">
            <v>2</v>
          </cell>
          <cell r="G6144" t="str">
            <v>CB161108081H01</v>
          </cell>
          <cell r="H6144">
            <v>1</v>
          </cell>
          <cell r="I6144" t="str">
            <v>-</v>
          </cell>
          <cell r="J6144">
            <v>2</v>
          </cell>
          <cell r="K6144">
            <v>2</v>
          </cell>
        </row>
        <row r="6145">
          <cell r="A6145" t="str">
            <v>M2</v>
          </cell>
          <cell r="B6145" t="str">
            <v>A5C</v>
          </cell>
          <cell r="C6145" t="str">
            <v>P</v>
          </cell>
          <cell r="D6145" t="str">
            <v>23116</v>
          </cell>
          <cell r="E6145" t="str">
            <v>C SWG</v>
          </cell>
          <cell r="F6145">
            <v>2</v>
          </cell>
          <cell r="G6145" t="str">
            <v>CB161108081H0T</v>
          </cell>
          <cell r="H6145">
            <v>0.75</v>
          </cell>
          <cell r="I6145" t="str">
            <v>-</v>
          </cell>
          <cell r="J6145">
            <v>4</v>
          </cell>
          <cell r="K6145">
            <v>4</v>
          </cell>
        </row>
        <row r="6146">
          <cell r="A6146" t="str">
            <v>M2</v>
          </cell>
          <cell r="B6146" t="str">
            <v>A5C</v>
          </cell>
          <cell r="C6146" t="str">
            <v>P</v>
          </cell>
          <cell r="D6146" t="str">
            <v>23117</v>
          </cell>
          <cell r="E6146" t="str">
            <v>C SWG</v>
          </cell>
          <cell r="F6146">
            <v>2</v>
          </cell>
          <cell r="G6146" t="str">
            <v>CB161108081H01</v>
          </cell>
          <cell r="H6146">
            <v>1</v>
          </cell>
          <cell r="I6146" t="str">
            <v>-</v>
          </cell>
          <cell r="J6146">
            <v>2</v>
          </cell>
          <cell r="K6146">
            <v>2</v>
          </cell>
        </row>
        <row r="6147">
          <cell r="A6147" t="str">
            <v>M2</v>
          </cell>
          <cell r="B6147" t="str">
            <v>A5C</v>
          </cell>
          <cell r="C6147" t="str">
            <v>P</v>
          </cell>
          <cell r="D6147" t="str">
            <v>23185</v>
          </cell>
          <cell r="E6147" t="str">
            <v>C SWG</v>
          </cell>
          <cell r="F6147">
            <v>2</v>
          </cell>
          <cell r="G6147" t="str">
            <v>CB161108081H01</v>
          </cell>
          <cell r="H6147">
            <v>1</v>
          </cell>
          <cell r="I6147" t="str">
            <v>-</v>
          </cell>
          <cell r="J6147">
            <v>2</v>
          </cell>
          <cell r="K6147">
            <v>2</v>
          </cell>
        </row>
        <row r="6148">
          <cell r="A6148" t="str">
            <v>M2</v>
          </cell>
          <cell r="B6148" t="str">
            <v>A5C</v>
          </cell>
          <cell r="C6148" t="str">
            <v>P</v>
          </cell>
          <cell r="D6148" t="str">
            <v>23196</v>
          </cell>
          <cell r="E6148" t="str">
            <v>C SWG</v>
          </cell>
          <cell r="F6148">
            <v>2</v>
          </cell>
          <cell r="G6148" t="str">
            <v>CB161108081H01</v>
          </cell>
          <cell r="H6148">
            <v>1</v>
          </cell>
          <cell r="I6148" t="str">
            <v>-</v>
          </cell>
          <cell r="J6148">
            <v>2</v>
          </cell>
          <cell r="K6148">
            <v>2</v>
          </cell>
        </row>
        <row r="6149">
          <cell r="A6149" t="str">
            <v>M2</v>
          </cell>
          <cell r="B6149" t="str">
            <v>A5C</v>
          </cell>
          <cell r="C6149" t="str">
            <v>P</v>
          </cell>
          <cell r="D6149" t="str">
            <v>23157</v>
          </cell>
          <cell r="E6149" t="str">
            <v>C SWG</v>
          </cell>
          <cell r="F6149">
            <v>2</v>
          </cell>
          <cell r="G6149" t="str">
            <v>CB161108081H01</v>
          </cell>
          <cell r="H6149">
            <v>1</v>
          </cell>
          <cell r="I6149" t="str">
            <v>-</v>
          </cell>
          <cell r="J6149">
            <v>2</v>
          </cell>
          <cell r="K6149">
            <v>2</v>
          </cell>
        </row>
        <row r="6150">
          <cell r="A6150" t="str">
            <v>M2</v>
          </cell>
          <cell r="B6150" t="str">
            <v>A5C</v>
          </cell>
          <cell r="C6150" t="str">
            <v>P</v>
          </cell>
          <cell r="D6150" t="str">
            <v>23006</v>
          </cell>
          <cell r="E6150" t="str">
            <v>E SWG</v>
          </cell>
          <cell r="F6150">
            <v>2</v>
          </cell>
          <cell r="G6150" t="str">
            <v>CB162108081H01</v>
          </cell>
          <cell r="H6150">
            <v>1</v>
          </cell>
          <cell r="I6150" t="str">
            <v>-</v>
          </cell>
          <cell r="J6150">
            <v>2</v>
          </cell>
          <cell r="K6150">
            <v>2</v>
          </cell>
        </row>
        <row r="6151">
          <cell r="A6151" t="str">
            <v>M2</v>
          </cell>
          <cell r="B6151" t="str">
            <v>A5C</v>
          </cell>
          <cell r="C6151" t="str">
            <v>P</v>
          </cell>
          <cell r="D6151" t="str">
            <v>23052</v>
          </cell>
          <cell r="E6151" t="str">
            <v>E SWG</v>
          </cell>
          <cell r="F6151">
            <v>2</v>
          </cell>
          <cell r="G6151" t="str">
            <v>CB162108081H01</v>
          </cell>
          <cell r="H6151">
            <v>1</v>
          </cell>
          <cell r="I6151" t="str">
            <v>-</v>
          </cell>
          <cell r="J6151">
            <v>1</v>
          </cell>
          <cell r="K6151">
            <v>1</v>
          </cell>
        </row>
        <row r="6152">
          <cell r="A6152" t="str">
            <v>M2</v>
          </cell>
          <cell r="B6152" t="str">
            <v>A5C</v>
          </cell>
          <cell r="C6152" t="str">
            <v>P</v>
          </cell>
          <cell r="D6152" t="str">
            <v>23063</v>
          </cell>
          <cell r="E6152" t="str">
            <v>E SWG</v>
          </cell>
          <cell r="F6152">
            <v>2</v>
          </cell>
          <cell r="G6152" t="str">
            <v>CB162108081H01</v>
          </cell>
          <cell r="H6152">
            <v>1</v>
          </cell>
          <cell r="I6152" t="str">
            <v>-</v>
          </cell>
          <cell r="J6152">
            <v>1</v>
          </cell>
          <cell r="K6152">
            <v>1</v>
          </cell>
        </row>
        <row r="6153">
          <cell r="A6153" t="str">
            <v>M2</v>
          </cell>
          <cell r="B6153" t="str">
            <v>A5C</v>
          </cell>
          <cell r="C6153" t="str">
            <v>P</v>
          </cell>
          <cell r="D6153" t="str">
            <v>23070</v>
          </cell>
          <cell r="E6153" t="str">
            <v>E SWG</v>
          </cell>
          <cell r="F6153">
            <v>2</v>
          </cell>
          <cell r="G6153" t="str">
            <v>CB162108081H01</v>
          </cell>
          <cell r="H6153">
            <v>1</v>
          </cell>
          <cell r="I6153" t="str">
            <v>-</v>
          </cell>
          <cell r="J6153">
            <v>2</v>
          </cell>
          <cell r="K6153">
            <v>2</v>
          </cell>
        </row>
        <row r="6154">
          <cell r="A6154" t="str">
            <v>M2</v>
          </cell>
          <cell r="B6154" t="str">
            <v>A5C</v>
          </cell>
          <cell r="C6154" t="str">
            <v>P</v>
          </cell>
          <cell r="D6154" t="str">
            <v>23078</v>
          </cell>
          <cell r="E6154" t="str">
            <v>E SWG</v>
          </cell>
          <cell r="F6154">
            <v>2</v>
          </cell>
          <cell r="G6154" t="str">
            <v>CB162108081H01</v>
          </cell>
          <cell r="H6154">
            <v>1</v>
          </cell>
          <cell r="I6154" t="str">
            <v>-</v>
          </cell>
          <cell r="J6154">
            <v>1</v>
          </cell>
          <cell r="K6154">
            <v>1</v>
          </cell>
        </row>
        <row r="6155">
          <cell r="A6155" t="str">
            <v>M2</v>
          </cell>
          <cell r="B6155" t="str">
            <v>A5C</v>
          </cell>
          <cell r="C6155" t="str">
            <v>P</v>
          </cell>
          <cell r="D6155" t="str">
            <v>23103</v>
          </cell>
          <cell r="E6155" t="str">
            <v>E SWG</v>
          </cell>
          <cell r="F6155">
            <v>2</v>
          </cell>
          <cell r="G6155" t="str">
            <v>CB162108081H01</v>
          </cell>
          <cell r="H6155">
            <v>1</v>
          </cell>
          <cell r="I6155" t="str">
            <v>-</v>
          </cell>
          <cell r="J6155">
            <v>2</v>
          </cell>
          <cell r="K6155">
            <v>2</v>
          </cell>
        </row>
        <row r="6156">
          <cell r="A6156" t="str">
            <v>M2</v>
          </cell>
          <cell r="B6156" t="str">
            <v>A5C</v>
          </cell>
          <cell r="C6156" t="str">
            <v>P</v>
          </cell>
          <cell r="D6156" t="str">
            <v>23111</v>
          </cell>
          <cell r="E6156" t="str">
            <v>E SWG</v>
          </cell>
          <cell r="F6156">
            <v>2</v>
          </cell>
          <cell r="G6156" t="str">
            <v>CB162108081H01</v>
          </cell>
          <cell r="H6156">
            <v>1</v>
          </cell>
          <cell r="I6156" t="str">
            <v>-</v>
          </cell>
          <cell r="J6156">
            <v>2</v>
          </cell>
          <cell r="K6156">
            <v>2</v>
          </cell>
        </row>
        <row r="6157">
          <cell r="A6157" t="str">
            <v>M2</v>
          </cell>
          <cell r="B6157" t="str">
            <v>A5C</v>
          </cell>
          <cell r="C6157" t="str">
            <v>P</v>
          </cell>
          <cell r="D6157" t="str">
            <v>23143</v>
          </cell>
          <cell r="E6157" t="str">
            <v>E SWG</v>
          </cell>
          <cell r="F6157">
            <v>2</v>
          </cell>
          <cell r="G6157" t="str">
            <v>CB162108081H01</v>
          </cell>
          <cell r="H6157">
            <v>1</v>
          </cell>
          <cell r="I6157" t="str">
            <v>-</v>
          </cell>
          <cell r="J6157">
            <v>2</v>
          </cell>
          <cell r="K6157">
            <v>2</v>
          </cell>
        </row>
        <row r="6158">
          <cell r="A6158" t="str">
            <v>M2</v>
          </cell>
          <cell r="B6158" t="str">
            <v>A5C</v>
          </cell>
          <cell r="C6158" t="str">
            <v>P</v>
          </cell>
          <cell r="D6158" t="str">
            <v>23147</v>
          </cell>
          <cell r="E6158" t="str">
            <v>E SWG</v>
          </cell>
          <cell r="F6158">
            <v>2</v>
          </cell>
          <cell r="G6158" t="str">
            <v>CB162108081H01</v>
          </cell>
          <cell r="H6158">
            <v>1</v>
          </cell>
          <cell r="I6158" t="str">
            <v>-</v>
          </cell>
          <cell r="J6158">
            <v>2</v>
          </cell>
          <cell r="K6158">
            <v>2</v>
          </cell>
        </row>
        <row r="6159">
          <cell r="A6159" t="str">
            <v>M2</v>
          </cell>
          <cell r="B6159" t="str">
            <v>A5C</v>
          </cell>
          <cell r="C6159" t="str">
            <v>P</v>
          </cell>
          <cell r="D6159" t="str">
            <v>23164</v>
          </cell>
          <cell r="E6159" t="str">
            <v>E SWG</v>
          </cell>
          <cell r="F6159">
            <v>2</v>
          </cell>
          <cell r="G6159" t="str">
            <v>CB162108081H01</v>
          </cell>
          <cell r="H6159">
            <v>1</v>
          </cell>
          <cell r="I6159" t="str">
            <v>-</v>
          </cell>
          <cell r="J6159">
            <v>2</v>
          </cell>
          <cell r="K6159">
            <v>2</v>
          </cell>
        </row>
        <row r="6160">
          <cell r="A6160" t="str">
            <v>M2</v>
          </cell>
          <cell r="B6160" t="str">
            <v>A5C</v>
          </cell>
          <cell r="C6160" t="str">
            <v>P</v>
          </cell>
          <cell r="D6160" t="str">
            <v>99003</v>
          </cell>
          <cell r="E6160" t="str">
            <v>E SWG</v>
          </cell>
          <cell r="F6160">
            <v>2</v>
          </cell>
          <cell r="G6160" t="str">
            <v>CB162108081H01</v>
          </cell>
          <cell r="H6160">
            <v>1</v>
          </cell>
          <cell r="I6160" t="str">
            <v>-</v>
          </cell>
          <cell r="J6160">
            <v>2</v>
          </cell>
          <cell r="K6160">
            <v>2</v>
          </cell>
        </row>
        <row r="6161">
          <cell r="A6161" t="str">
            <v>M2</v>
          </cell>
          <cell r="B6161" t="str">
            <v>A5C</v>
          </cell>
          <cell r="C6161" t="str">
            <v>P</v>
          </cell>
          <cell r="D6161" t="str">
            <v>23035</v>
          </cell>
          <cell r="E6161" t="str">
            <v>E SWG</v>
          </cell>
          <cell r="F6161">
            <v>2</v>
          </cell>
          <cell r="G6161" t="str">
            <v>CB162108081H01</v>
          </cell>
          <cell r="H6161">
            <v>1</v>
          </cell>
          <cell r="I6161" t="str">
            <v>-</v>
          </cell>
          <cell r="J6161">
            <v>2</v>
          </cell>
          <cell r="K6161">
            <v>2</v>
          </cell>
        </row>
        <row r="6162">
          <cell r="A6162" t="str">
            <v>M2</v>
          </cell>
          <cell r="B6162" t="str">
            <v>A5C</v>
          </cell>
          <cell r="C6162" t="str">
            <v>P</v>
          </cell>
          <cell r="D6162" t="str">
            <v>23037</v>
          </cell>
          <cell r="E6162" t="str">
            <v>E SWG</v>
          </cell>
          <cell r="F6162">
            <v>2</v>
          </cell>
          <cell r="G6162" t="str">
            <v>CB162108081H01</v>
          </cell>
          <cell r="H6162">
            <v>1</v>
          </cell>
          <cell r="I6162" t="str">
            <v>-</v>
          </cell>
          <cell r="J6162">
            <v>1</v>
          </cell>
          <cell r="K6162">
            <v>1</v>
          </cell>
        </row>
        <row r="6163">
          <cell r="A6163" t="str">
            <v>M2</v>
          </cell>
          <cell r="B6163" t="str">
            <v>A5C</v>
          </cell>
          <cell r="C6163" t="str">
            <v>P</v>
          </cell>
          <cell r="D6163" t="str">
            <v>23107</v>
          </cell>
          <cell r="E6163" t="str">
            <v>E SWG</v>
          </cell>
          <cell r="F6163">
            <v>2</v>
          </cell>
          <cell r="G6163" t="str">
            <v>CB162108081H01</v>
          </cell>
          <cell r="H6163">
            <v>1</v>
          </cell>
          <cell r="I6163" t="str">
            <v>-</v>
          </cell>
          <cell r="J6163">
            <v>2</v>
          </cell>
          <cell r="K6163">
            <v>2</v>
          </cell>
        </row>
        <row r="6164">
          <cell r="A6164" t="str">
            <v>M2</v>
          </cell>
          <cell r="B6164" t="str">
            <v>A5C</v>
          </cell>
          <cell r="C6164" t="str">
            <v>P</v>
          </cell>
          <cell r="D6164" t="str">
            <v>23006</v>
          </cell>
          <cell r="E6164" t="str">
            <v>R TEE</v>
          </cell>
          <cell r="F6164">
            <v>2</v>
          </cell>
          <cell r="G6164" t="str">
            <v>CB400400001H0T</v>
          </cell>
          <cell r="H6164">
            <v>0.75</v>
          </cell>
          <cell r="I6164" t="str">
            <v>-</v>
          </cell>
          <cell r="J6164">
            <v>4</v>
          </cell>
          <cell r="K6164">
            <v>4</v>
          </cell>
        </row>
        <row r="6165">
          <cell r="A6165" t="str">
            <v>M2</v>
          </cell>
          <cell r="B6165" t="str">
            <v>A5C</v>
          </cell>
          <cell r="C6165" t="str">
            <v>P</v>
          </cell>
          <cell r="D6165" t="str">
            <v>23006</v>
          </cell>
          <cell r="E6165" t="str">
            <v>R TEE</v>
          </cell>
          <cell r="F6165">
            <v>2</v>
          </cell>
          <cell r="G6165" t="str">
            <v>CB400400001H01</v>
          </cell>
          <cell r="H6165">
            <v>1</v>
          </cell>
          <cell r="I6165" t="str">
            <v>-</v>
          </cell>
          <cell r="J6165">
            <v>2</v>
          </cell>
          <cell r="K6165">
            <v>2</v>
          </cell>
        </row>
        <row r="6166">
          <cell r="A6166" t="str">
            <v>M2</v>
          </cell>
          <cell r="B6166" t="str">
            <v>A5C</v>
          </cell>
          <cell r="C6166" t="str">
            <v>P</v>
          </cell>
          <cell r="D6166" t="str">
            <v>23006</v>
          </cell>
          <cell r="E6166" t="str">
            <v>R TEE</v>
          </cell>
          <cell r="F6166">
            <v>2</v>
          </cell>
          <cell r="G6166" t="str">
            <v>CB400400001H0T</v>
          </cell>
          <cell r="H6166">
            <v>0.75</v>
          </cell>
          <cell r="I6166" t="str">
            <v>-</v>
          </cell>
          <cell r="J6166">
            <v>2</v>
          </cell>
          <cell r="K6166">
            <v>2</v>
          </cell>
        </row>
        <row r="6167">
          <cell r="A6167" t="str">
            <v>M2</v>
          </cell>
          <cell r="B6167" t="str">
            <v>A5C</v>
          </cell>
          <cell r="C6167" t="str">
            <v>P</v>
          </cell>
          <cell r="D6167" t="str">
            <v>23035</v>
          </cell>
          <cell r="E6167" t="str">
            <v>R TEE</v>
          </cell>
          <cell r="F6167">
            <v>2</v>
          </cell>
          <cell r="G6167" t="str">
            <v>CB400400001H0T</v>
          </cell>
          <cell r="H6167">
            <v>0.75</v>
          </cell>
          <cell r="I6167" t="str">
            <v>-</v>
          </cell>
          <cell r="J6167">
            <v>3</v>
          </cell>
          <cell r="K6167">
            <v>3</v>
          </cell>
        </row>
        <row r="6168">
          <cell r="A6168" t="str">
            <v>M2</v>
          </cell>
          <cell r="B6168" t="str">
            <v>A5C</v>
          </cell>
          <cell r="C6168" t="str">
            <v>P</v>
          </cell>
          <cell r="D6168" t="str">
            <v>23035</v>
          </cell>
          <cell r="E6168" t="str">
            <v>R TEE</v>
          </cell>
          <cell r="F6168">
            <v>2</v>
          </cell>
          <cell r="G6168" t="str">
            <v>CB400400001H01</v>
          </cell>
          <cell r="H6168">
            <v>1</v>
          </cell>
          <cell r="I6168" t="str">
            <v>-</v>
          </cell>
          <cell r="J6168">
            <v>2</v>
          </cell>
          <cell r="K6168">
            <v>2</v>
          </cell>
        </row>
        <row r="6169">
          <cell r="A6169" t="str">
            <v>M2</v>
          </cell>
          <cell r="B6169" t="str">
            <v>A5C</v>
          </cell>
          <cell r="C6169" t="str">
            <v>P</v>
          </cell>
          <cell r="D6169" t="str">
            <v>23035</v>
          </cell>
          <cell r="E6169" t="str">
            <v>R TEE</v>
          </cell>
          <cell r="F6169">
            <v>2</v>
          </cell>
          <cell r="G6169" t="str">
            <v>CB400400001H0T</v>
          </cell>
          <cell r="H6169">
            <v>0.75</v>
          </cell>
          <cell r="I6169" t="str">
            <v>-</v>
          </cell>
          <cell r="J6169">
            <v>1</v>
          </cell>
          <cell r="K6169">
            <v>1</v>
          </cell>
        </row>
        <row r="6170">
          <cell r="A6170" t="str">
            <v>M2</v>
          </cell>
          <cell r="B6170" t="str">
            <v>A5C</v>
          </cell>
          <cell r="C6170" t="str">
            <v>P</v>
          </cell>
          <cell r="D6170" t="str">
            <v>23038</v>
          </cell>
          <cell r="E6170" t="str">
            <v>R TEE</v>
          </cell>
          <cell r="F6170">
            <v>2</v>
          </cell>
          <cell r="G6170" t="str">
            <v>CB400400001H0T</v>
          </cell>
          <cell r="H6170">
            <v>0.75</v>
          </cell>
          <cell r="I6170" t="str">
            <v>-</v>
          </cell>
          <cell r="J6170">
            <v>2</v>
          </cell>
          <cell r="K6170">
            <v>2</v>
          </cell>
        </row>
        <row r="6171">
          <cell r="A6171" t="str">
            <v>M2</v>
          </cell>
          <cell r="B6171" t="str">
            <v>A5C</v>
          </cell>
          <cell r="C6171" t="str">
            <v>P</v>
          </cell>
          <cell r="D6171" t="str">
            <v>23052</v>
          </cell>
          <cell r="E6171" t="str">
            <v>R TEE</v>
          </cell>
          <cell r="F6171">
            <v>2</v>
          </cell>
          <cell r="G6171" t="str">
            <v>CB400400001H01</v>
          </cell>
          <cell r="H6171">
            <v>1</v>
          </cell>
          <cell r="I6171" t="str">
            <v>-</v>
          </cell>
          <cell r="J6171">
            <v>1</v>
          </cell>
          <cell r="K6171">
            <v>1</v>
          </cell>
        </row>
        <row r="6172">
          <cell r="A6172" t="str">
            <v>M2</v>
          </cell>
          <cell r="B6172" t="str">
            <v>A5C</v>
          </cell>
          <cell r="C6172" t="str">
            <v>P</v>
          </cell>
          <cell r="D6172" t="str">
            <v>23052</v>
          </cell>
          <cell r="E6172" t="str">
            <v>R TEE</v>
          </cell>
          <cell r="F6172">
            <v>2</v>
          </cell>
          <cell r="G6172" t="str">
            <v>CB400400001H0T</v>
          </cell>
          <cell r="H6172">
            <v>0.75</v>
          </cell>
          <cell r="I6172" t="str">
            <v>-</v>
          </cell>
          <cell r="J6172">
            <v>1</v>
          </cell>
          <cell r="K6172">
            <v>1</v>
          </cell>
        </row>
        <row r="6173">
          <cell r="A6173" t="str">
            <v>M2</v>
          </cell>
          <cell r="B6173" t="str">
            <v>A5C</v>
          </cell>
          <cell r="C6173" t="str">
            <v>P</v>
          </cell>
          <cell r="D6173" t="str">
            <v>23063</v>
          </cell>
          <cell r="E6173" t="str">
            <v>R TEE</v>
          </cell>
          <cell r="F6173">
            <v>2</v>
          </cell>
          <cell r="G6173" t="str">
            <v>CB400400001H0T</v>
          </cell>
          <cell r="H6173">
            <v>0.75</v>
          </cell>
          <cell r="I6173" t="str">
            <v>-</v>
          </cell>
          <cell r="J6173">
            <v>1</v>
          </cell>
          <cell r="K6173">
            <v>1</v>
          </cell>
        </row>
        <row r="6174">
          <cell r="A6174" t="str">
            <v>M2</v>
          </cell>
          <cell r="B6174" t="str">
            <v>A5C</v>
          </cell>
          <cell r="C6174" t="str">
            <v>P</v>
          </cell>
          <cell r="D6174" t="str">
            <v>23063</v>
          </cell>
          <cell r="E6174" t="str">
            <v>R TEE</v>
          </cell>
          <cell r="F6174">
            <v>2</v>
          </cell>
          <cell r="G6174" t="str">
            <v>CB400400001H01</v>
          </cell>
          <cell r="H6174">
            <v>1</v>
          </cell>
          <cell r="I6174" t="str">
            <v>-</v>
          </cell>
          <cell r="J6174">
            <v>1</v>
          </cell>
          <cell r="K6174">
            <v>1</v>
          </cell>
        </row>
        <row r="6175">
          <cell r="A6175" t="str">
            <v>M2</v>
          </cell>
          <cell r="B6175" t="str">
            <v>A5C</v>
          </cell>
          <cell r="C6175" t="str">
            <v>P</v>
          </cell>
          <cell r="D6175" t="str">
            <v>23078</v>
          </cell>
          <cell r="E6175" t="str">
            <v>R TEE</v>
          </cell>
          <cell r="F6175">
            <v>2</v>
          </cell>
          <cell r="G6175" t="str">
            <v>CB400400001H0T</v>
          </cell>
          <cell r="H6175">
            <v>0.75</v>
          </cell>
          <cell r="I6175" t="str">
            <v>-</v>
          </cell>
          <cell r="J6175">
            <v>1</v>
          </cell>
          <cell r="K6175">
            <v>1</v>
          </cell>
        </row>
        <row r="6176">
          <cell r="A6176" t="str">
            <v>M2</v>
          </cell>
          <cell r="B6176" t="str">
            <v>A5C</v>
          </cell>
          <cell r="C6176" t="str">
            <v>P</v>
          </cell>
          <cell r="D6176" t="str">
            <v>23078</v>
          </cell>
          <cell r="E6176" t="str">
            <v>R TEE</v>
          </cell>
          <cell r="F6176">
            <v>2</v>
          </cell>
          <cell r="G6176" t="str">
            <v>CB400400001H01</v>
          </cell>
          <cell r="H6176">
            <v>1</v>
          </cell>
          <cell r="I6176" t="str">
            <v>-</v>
          </cell>
          <cell r="J6176">
            <v>1</v>
          </cell>
          <cell r="K6176">
            <v>1</v>
          </cell>
        </row>
        <row r="6177">
          <cell r="A6177" t="str">
            <v>M2</v>
          </cell>
          <cell r="B6177" t="str">
            <v>A5C</v>
          </cell>
          <cell r="C6177" t="str">
            <v>P</v>
          </cell>
          <cell r="D6177" t="str">
            <v>23107</v>
          </cell>
          <cell r="E6177" t="str">
            <v>R TEE</v>
          </cell>
          <cell r="F6177">
            <v>2</v>
          </cell>
          <cell r="G6177" t="str">
            <v>CB400400001H0T</v>
          </cell>
          <cell r="H6177">
            <v>0.75</v>
          </cell>
          <cell r="I6177" t="str">
            <v>-</v>
          </cell>
          <cell r="J6177">
            <v>2</v>
          </cell>
          <cell r="K6177">
            <v>2</v>
          </cell>
        </row>
        <row r="6178">
          <cell r="A6178" t="str">
            <v>M2</v>
          </cell>
          <cell r="B6178" t="str">
            <v>A5C</v>
          </cell>
          <cell r="C6178" t="str">
            <v>P</v>
          </cell>
          <cell r="D6178" t="str">
            <v>23111</v>
          </cell>
          <cell r="E6178" t="str">
            <v>R TEE</v>
          </cell>
          <cell r="F6178">
            <v>2</v>
          </cell>
          <cell r="G6178" t="str">
            <v>CB400400001H0T</v>
          </cell>
          <cell r="H6178">
            <v>0.75</v>
          </cell>
          <cell r="I6178" t="str">
            <v>-</v>
          </cell>
          <cell r="J6178">
            <v>2</v>
          </cell>
          <cell r="K6178">
            <v>2</v>
          </cell>
        </row>
        <row r="6179">
          <cell r="A6179" t="str">
            <v>M2</v>
          </cell>
          <cell r="B6179" t="str">
            <v>A5C</v>
          </cell>
          <cell r="C6179" t="str">
            <v>P</v>
          </cell>
          <cell r="D6179" t="str">
            <v>23117</v>
          </cell>
          <cell r="E6179" t="str">
            <v>R TEE</v>
          </cell>
          <cell r="F6179">
            <v>2</v>
          </cell>
          <cell r="G6179" t="str">
            <v>CB400400001H0T</v>
          </cell>
          <cell r="H6179">
            <v>0.75</v>
          </cell>
          <cell r="I6179" t="str">
            <v>-</v>
          </cell>
          <cell r="J6179">
            <v>2</v>
          </cell>
          <cell r="K6179">
            <v>2</v>
          </cell>
        </row>
        <row r="6180">
          <cell r="A6180" t="str">
            <v>M2</v>
          </cell>
          <cell r="B6180" t="str">
            <v>A5C</v>
          </cell>
          <cell r="C6180" t="str">
            <v>P</v>
          </cell>
          <cell r="D6180" t="str">
            <v>23143</v>
          </cell>
          <cell r="E6180" t="str">
            <v>R TEE</v>
          </cell>
          <cell r="F6180">
            <v>2</v>
          </cell>
          <cell r="G6180" t="str">
            <v>CB400400001H0T</v>
          </cell>
          <cell r="H6180">
            <v>0.75</v>
          </cell>
          <cell r="I6180" t="str">
            <v>-</v>
          </cell>
          <cell r="J6180">
            <v>2</v>
          </cell>
          <cell r="K6180">
            <v>2</v>
          </cell>
        </row>
        <row r="6181">
          <cell r="A6181" t="str">
            <v>M2</v>
          </cell>
          <cell r="B6181" t="str">
            <v>A5C</v>
          </cell>
          <cell r="C6181" t="str">
            <v>P</v>
          </cell>
          <cell r="D6181" t="str">
            <v>23147</v>
          </cell>
          <cell r="E6181" t="str">
            <v>R TEE</v>
          </cell>
          <cell r="F6181">
            <v>2</v>
          </cell>
          <cell r="G6181" t="str">
            <v>CB400400001H0T</v>
          </cell>
          <cell r="H6181">
            <v>0.75</v>
          </cell>
          <cell r="I6181" t="str">
            <v>-</v>
          </cell>
          <cell r="J6181">
            <v>2</v>
          </cell>
          <cell r="K6181">
            <v>2</v>
          </cell>
        </row>
        <row r="6182">
          <cell r="A6182" t="str">
            <v>M2</v>
          </cell>
          <cell r="B6182" t="str">
            <v>A5C</v>
          </cell>
          <cell r="C6182" t="str">
            <v>P</v>
          </cell>
          <cell r="D6182" t="str">
            <v>23157</v>
          </cell>
          <cell r="E6182" t="str">
            <v>R TEE</v>
          </cell>
          <cell r="F6182">
            <v>2</v>
          </cell>
          <cell r="G6182" t="str">
            <v>CB400400001H0T</v>
          </cell>
          <cell r="H6182">
            <v>0.75</v>
          </cell>
          <cell r="I6182" t="str">
            <v>-</v>
          </cell>
          <cell r="J6182">
            <v>2</v>
          </cell>
          <cell r="K6182">
            <v>2</v>
          </cell>
        </row>
        <row r="6183">
          <cell r="A6183" t="str">
            <v>M2</v>
          </cell>
          <cell r="B6183" t="str">
            <v>A5C</v>
          </cell>
          <cell r="C6183" t="str">
            <v>P</v>
          </cell>
          <cell r="D6183" t="str">
            <v>23196</v>
          </cell>
          <cell r="E6183" t="str">
            <v>R TEE</v>
          </cell>
          <cell r="F6183">
            <v>2</v>
          </cell>
          <cell r="G6183" t="str">
            <v>CB400400001H0T</v>
          </cell>
          <cell r="H6183">
            <v>0.75</v>
          </cell>
          <cell r="I6183" t="str">
            <v>-</v>
          </cell>
          <cell r="J6183">
            <v>2</v>
          </cell>
          <cell r="K6183">
            <v>2</v>
          </cell>
        </row>
        <row r="6184">
          <cell r="A6184" t="str">
            <v>M2</v>
          </cell>
          <cell r="B6184" t="str">
            <v>A5C</v>
          </cell>
          <cell r="C6184" t="str">
            <v>P</v>
          </cell>
          <cell r="D6184" t="str">
            <v>23231</v>
          </cell>
          <cell r="E6184" t="str">
            <v>R TEE</v>
          </cell>
          <cell r="F6184">
            <v>2</v>
          </cell>
          <cell r="G6184" t="str">
            <v>CB400400001H0T</v>
          </cell>
          <cell r="H6184">
            <v>0.75</v>
          </cell>
          <cell r="I6184" t="str">
            <v>-</v>
          </cell>
          <cell r="J6184">
            <v>1</v>
          </cell>
          <cell r="K6184">
            <v>1</v>
          </cell>
        </row>
        <row r="6185">
          <cell r="A6185" t="str">
            <v>M2</v>
          </cell>
          <cell r="B6185" t="str">
            <v>A5C</v>
          </cell>
          <cell r="C6185" t="str">
            <v>P</v>
          </cell>
          <cell r="D6185" t="str">
            <v>23226</v>
          </cell>
          <cell r="E6185" t="str">
            <v>R TEE</v>
          </cell>
          <cell r="F6185">
            <v>2</v>
          </cell>
          <cell r="G6185" t="str">
            <v>CB400400001H0T</v>
          </cell>
          <cell r="H6185">
            <v>0.75</v>
          </cell>
          <cell r="I6185" t="str">
            <v>-</v>
          </cell>
          <cell r="J6185">
            <v>1</v>
          </cell>
          <cell r="K6185">
            <v>1</v>
          </cell>
        </row>
        <row r="6186">
          <cell r="A6186" t="str">
            <v>M2</v>
          </cell>
          <cell r="B6186" t="str">
            <v>A5C</v>
          </cell>
          <cell r="C6186" t="str">
            <v>P</v>
          </cell>
          <cell r="D6186" t="str">
            <v>23248</v>
          </cell>
          <cell r="E6186" t="str">
            <v>R TEE</v>
          </cell>
          <cell r="F6186">
            <v>2</v>
          </cell>
          <cell r="G6186" t="str">
            <v>CB400400001H0T</v>
          </cell>
          <cell r="H6186">
            <v>0.75</v>
          </cell>
          <cell r="I6186" t="str">
            <v>-</v>
          </cell>
          <cell r="J6186">
            <v>1</v>
          </cell>
          <cell r="K6186">
            <v>1</v>
          </cell>
        </row>
        <row r="6187">
          <cell r="A6187" t="str">
            <v>M2</v>
          </cell>
          <cell r="B6187" t="str">
            <v>A5C</v>
          </cell>
          <cell r="C6187" t="str">
            <v>P</v>
          </cell>
          <cell r="D6187" t="str">
            <v>23259</v>
          </cell>
          <cell r="E6187" t="str">
            <v>R TEE</v>
          </cell>
          <cell r="F6187">
            <v>2</v>
          </cell>
          <cell r="G6187" t="str">
            <v>CB400400001H0T</v>
          </cell>
          <cell r="H6187">
            <v>0.75</v>
          </cell>
          <cell r="I6187" t="str">
            <v>-</v>
          </cell>
          <cell r="J6187">
            <v>2</v>
          </cell>
          <cell r="K6187">
            <v>2</v>
          </cell>
        </row>
        <row r="6188">
          <cell r="A6188" t="str">
            <v>M2</v>
          </cell>
          <cell r="B6188" t="str">
            <v>A5C</v>
          </cell>
          <cell r="C6188" t="str">
            <v>P</v>
          </cell>
          <cell r="D6188" t="str">
            <v>99003</v>
          </cell>
          <cell r="E6188" t="str">
            <v>R TEE</v>
          </cell>
          <cell r="F6188">
            <v>2</v>
          </cell>
          <cell r="G6188" t="str">
            <v>CB400400001H0T</v>
          </cell>
          <cell r="H6188">
            <v>0.75</v>
          </cell>
          <cell r="I6188" t="str">
            <v>-</v>
          </cell>
          <cell r="J6188">
            <v>2</v>
          </cell>
          <cell r="K6188">
            <v>2</v>
          </cell>
        </row>
        <row r="6189">
          <cell r="A6189" t="str">
            <v>M2</v>
          </cell>
          <cell r="B6189" t="str">
            <v>A5C</v>
          </cell>
          <cell r="C6189" t="str">
            <v>P</v>
          </cell>
          <cell r="D6189" t="str">
            <v>99003</v>
          </cell>
          <cell r="E6189" t="str">
            <v>R TEE</v>
          </cell>
          <cell r="F6189">
            <v>2</v>
          </cell>
          <cell r="G6189" t="str">
            <v>CB400400001H0T</v>
          </cell>
          <cell r="H6189">
            <v>0.75</v>
          </cell>
          <cell r="I6189" t="str">
            <v>-</v>
          </cell>
          <cell r="J6189">
            <v>1</v>
          </cell>
          <cell r="K6189">
            <v>1</v>
          </cell>
        </row>
        <row r="6190">
          <cell r="A6190" t="str">
            <v>M2</v>
          </cell>
          <cell r="B6190" t="str">
            <v>A5C</v>
          </cell>
          <cell r="C6190" t="str">
            <v>P</v>
          </cell>
          <cell r="D6190" t="str">
            <v>99003</v>
          </cell>
          <cell r="E6190" t="str">
            <v>R TEE</v>
          </cell>
          <cell r="F6190">
            <v>2</v>
          </cell>
          <cell r="G6190" t="str">
            <v>CB400400001H01</v>
          </cell>
          <cell r="H6190">
            <v>1</v>
          </cell>
          <cell r="I6190" t="str">
            <v>-</v>
          </cell>
          <cell r="J6190">
            <v>2</v>
          </cell>
          <cell r="K6190">
            <v>2</v>
          </cell>
        </row>
        <row r="6191">
          <cell r="A6191" t="str">
            <v>M2</v>
          </cell>
          <cell r="B6191" t="str">
            <v>A5C</v>
          </cell>
          <cell r="C6191" t="str">
            <v>P</v>
          </cell>
          <cell r="D6191" t="str">
            <v>23103</v>
          </cell>
          <cell r="E6191" t="str">
            <v>R TEE</v>
          </cell>
          <cell r="F6191">
            <v>2</v>
          </cell>
          <cell r="G6191" t="str">
            <v>CB400400001H0T</v>
          </cell>
          <cell r="H6191">
            <v>0.75</v>
          </cell>
          <cell r="I6191" t="str">
            <v>-</v>
          </cell>
          <cell r="J6191">
            <v>2</v>
          </cell>
          <cell r="K6191">
            <v>2</v>
          </cell>
        </row>
        <row r="6192">
          <cell r="A6192" t="str">
            <v>M2</v>
          </cell>
          <cell r="B6192" t="str">
            <v>A5C</v>
          </cell>
          <cell r="C6192" t="str">
            <v>P</v>
          </cell>
          <cell r="D6192" t="str">
            <v>23185</v>
          </cell>
          <cell r="E6192" t="str">
            <v>R TEE</v>
          </cell>
          <cell r="F6192">
            <v>2</v>
          </cell>
          <cell r="G6192" t="str">
            <v>CB400400001H0T</v>
          </cell>
          <cell r="H6192">
            <v>0.75</v>
          </cell>
          <cell r="I6192" t="str">
            <v>-</v>
          </cell>
          <cell r="J6192">
            <v>2</v>
          </cell>
          <cell r="K6192">
            <v>2</v>
          </cell>
        </row>
        <row r="6193">
          <cell r="A6193" t="str">
            <v>M2</v>
          </cell>
          <cell r="B6193" t="str">
            <v>A5C</v>
          </cell>
          <cell r="C6193" t="str">
            <v>P</v>
          </cell>
          <cell r="D6193" t="str">
            <v>23253</v>
          </cell>
          <cell r="E6193" t="str">
            <v>R TEE</v>
          </cell>
          <cell r="F6193">
            <v>2</v>
          </cell>
          <cell r="G6193" t="str">
            <v>CB400400001H0T</v>
          </cell>
          <cell r="H6193">
            <v>0.75</v>
          </cell>
          <cell r="I6193" t="str">
            <v>-</v>
          </cell>
          <cell r="J6193">
            <v>1</v>
          </cell>
          <cell r="K6193">
            <v>1</v>
          </cell>
        </row>
        <row r="6194">
          <cell r="A6194" t="str">
            <v>M2</v>
          </cell>
          <cell r="B6194" t="str">
            <v>A5C</v>
          </cell>
          <cell r="C6194" t="str">
            <v>P</v>
          </cell>
          <cell r="D6194" t="str">
            <v>23055</v>
          </cell>
          <cell r="E6194" t="str">
            <v>E SWG</v>
          </cell>
          <cell r="F6194">
            <v>2</v>
          </cell>
          <cell r="G6194" t="str">
            <v>CB162108081H01</v>
          </cell>
          <cell r="H6194">
            <v>1</v>
          </cell>
          <cell r="I6194" t="str">
            <v>-</v>
          </cell>
          <cell r="J6194">
            <v>2</v>
          </cell>
          <cell r="K6194">
            <v>2</v>
          </cell>
        </row>
        <row r="6195">
          <cell r="A6195" t="str">
            <v>M2</v>
          </cell>
          <cell r="B6195" t="str">
            <v>A5C</v>
          </cell>
          <cell r="C6195" t="str">
            <v>P</v>
          </cell>
          <cell r="D6195" t="str">
            <v>23019</v>
          </cell>
          <cell r="E6195" t="str">
            <v>C SWG</v>
          </cell>
          <cell r="F6195">
            <v>2</v>
          </cell>
          <cell r="G6195" t="str">
            <v>CB161108081H01</v>
          </cell>
          <cell r="H6195">
            <v>1</v>
          </cell>
          <cell r="I6195" t="str">
            <v>-</v>
          </cell>
          <cell r="J6195">
            <v>1</v>
          </cell>
          <cell r="K6195">
            <v>1</v>
          </cell>
        </row>
        <row r="6196">
          <cell r="A6196" t="str">
            <v>M2</v>
          </cell>
          <cell r="B6196" t="str">
            <v>A5C</v>
          </cell>
          <cell r="C6196" t="str">
            <v>P</v>
          </cell>
          <cell r="D6196" t="str">
            <v>23039</v>
          </cell>
          <cell r="E6196" t="str">
            <v>C SWG</v>
          </cell>
          <cell r="F6196">
            <v>2</v>
          </cell>
          <cell r="G6196" t="str">
            <v>CB161108081H01</v>
          </cell>
          <cell r="H6196">
            <v>1</v>
          </cell>
          <cell r="I6196" t="str">
            <v>-</v>
          </cell>
          <cell r="J6196">
            <v>2</v>
          </cell>
          <cell r="K6196">
            <v>2</v>
          </cell>
        </row>
        <row r="6197">
          <cell r="A6197" t="str">
            <v>M2</v>
          </cell>
          <cell r="B6197" t="str">
            <v>A5C</v>
          </cell>
          <cell r="C6197" t="str">
            <v>P</v>
          </cell>
          <cell r="D6197" t="str">
            <v>23044</v>
          </cell>
          <cell r="E6197" t="str">
            <v>C SWG</v>
          </cell>
          <cell r="F6197">
            <v>2</v>
          </cell>
          <cell r="G6197" t="str">
            <v>CB161108081H01</v>
          </cell>
          <cell r="H6197">
            <v>1</v>
          </cell>
          <cell r="I6197" t="str">
            <v>-</v>
          </cell>
          <cell r="J6197">
            <v>2</v>
          </cell>
          <cell r="K6197">
            <v>2</v>
          </cell>
        </row>
        <row r="6198">
          <cell r="A6198" t="str">
            <v>M2</v>
          </cell>
          <cell r="B6198" t="str">
            <v>A5C</v>
          </cell>
          <cell r="C6198" t="str">
            <v>P</v>
          </cell>
          <cell r="D6198" t="str">
            <v>23033</v>
          </cell>
          <cell r="E6198" t="str">
            <v>C SWG</v>
          </cell>
          <cell r="F6198">
            <v>2</v>
          </cell>
          <cell r="G6198" t="str">
            <v>CB161108081H01</v>
          </cell>
          <cell r="H6198">
            <v>1</v>
          </cell>
          <cell r="I6198" t="str">
            <v>-</v>
          </cell>
          <cell r="J6198">
            <v>2</v>
          </cell>
          <cell r="K6198">
            <v>2</v>
          </cell>
        </row>
        <row r="6199">
          <cell r="A6199" t="str">
            <v>M2</v>
          </cell>
          <cell r="B6199" t="str">
            <v>A5C</v>
          </cell>
          <cell r="C6199" t="str">
            <v>P</v>
          </cell>
          <cell r="D6199" t="str">
            <v>23019</v>
          </cell>
          <cell r="E6199" t="str">
            <v>E SWG</v>
          </cell>
          <cell r="F6199">
            <v>2</v>
          </cell>
          <cell r="G6199" t="str">
            <v>CB162108081H01</v>
          </cell>
          <cell r="H6199">
            <v>1</v>
          </cell>
          <cell r="I6199" t="str">
            <v>-</v>
          </cell>
          <cell r="J6199">
            <v>2</v>
          </cell>
          <cell r="K6199">
            <v>2</v>
          </cell>
        </row>
        <row r="6200">
          <cell r="A6200" t="str">
            <v>M2</v>
          </cell>
          <cell r="B6200" t="str">
            <v>A5C</v>
          </cell>
          <cell r="C6200" t="str">
            <v>P</v>
          </cell>
          <cell r="D6200" t="str">
            <v>23039</v>
          </cell>
          <cell r="E6200" t="str">
            <v>E SWG</v>
          </cell>
          <cell r="F6200">
            <v>2</v>
          </cell>
          <cell r="G6200" t="str">
            <v>CB162108081H01</v>
          </cell>
          <cell r="H6200">
            <v>1</v>
          </cell>
          <cell r="I6200" t="str">
            <v>-</v>
          </cell>
          <cell r="J6200">
            <v>2</v>
          </cell>
          <cell r="K6200">
            <v>2</v>
          </cell>
        </row>
        <row r="6201">
          <cell r="A6201" t="str">
            <v>M2</v>
          </cell>
          <cell r="B6201" t="str">
            <v>A5C</v>
          </cell>
          <cell r="C6201" t="str">
            <v>P</v>
          </cell>
          <cell r="D6201" t="str">
            <v>23027</v>
          </cell>
          <cell r="E6201" t="str">
            <v>E SWG</v>
          </cell>
          <cell r="F6201">
            <v>2</v>
          </cell>
          <cell r="G6201" t="str">
            <v>CB162108081H01</v>
          </cell>
          <cell r="H6201">
            <v>1</v>
          </cell>
          <cell r="I6201" t="str">
            <v>-</v>
          </cell>
          <cell r="J6201">
            <v>1</v>
          </cell>
          <cell r="K6201">
            <v>1</v>
          </cell>
        </row>
        <row r="6202">
          <cell r="A6202" t="str">
            <v>M2</v>
          </cell>
          <cell r="B6202" t="str">
            <v>A5C</v>
          </cell>
          <cell r="C6202" t="str">
            <v>P</v>
          </cell>
          <cell r="D6202" t="str">
            <v>23077</v>
          </cell>
          <cell r="E6202" t="str">
            <v>E SWG</v>
          </cell>
          <cell r="F6202">
            <v>2</v>
          </cell>
          <cell r="G6202" t="str">
            <v>CB162108081H01</v>
          </cell>
          <cell r="H6202">
            <v>1</v>
          </cell>
          <cell r="I6202" t="str">
            <v>-</v>
          </cell>
          <cell r="J6202">
            <v>2</v>
          </cell>
          <cell r="K6202">
            <v>2</v>
          </cell>
        </row>
        <row r="6203">
          <cell r="A6203" t="str">
            <v>M2</v>
          </cell>
          <cell r="B6203" t="str">
            <v>A5C</v>
          </cell>
          <cell r="C6203" t="str">
            <v>P</v>
          </cell>
          <cell r="D6203" t="str">
            <v>23019</v>
          </cell>
          <cell r="E6203" t="str">
            <v>R TEE</v>
          </cell>
          <cell r="F6203">
            <v>2</v>
          </cell>
          <cell r="G6203" t="str">
            <v>CB400400001H01</v>
          </cell>
          <cell r="H6203">
            <v>1</v>
          </cell>
          <cell r="I6203" t="str">
            <v>-</v>
          </cell>
          <cell r="J6203">
            <v>1</v>
          </cell>
          <cell r="K6203">
            <v>1</v>
          </cell>
        </row>
        <row r="6204">
          <cell r="A6204" t="str">
            <v>M2</v>
          </cell>
          <cell r="B6204" t="str">
            <v>A5C</v>
          </cell>
          <cell r="C6204" t="str">
            <v>P</v>
          </cell>
          <cell r="D6204" t="str">
            <v>23019</v>
          </cell>
          <cell r="E6204" t="str">
            <v>R TEE</v>
          </cell>
          <cell r="F6204">
            <v>2</v>
          </cell>
          <cell r="G6204" t="str">
            <v>CB400400001H0T</v>
          </cell>
          <cell r="H6204">
            <v>0.75</v>
          </cell>
          <cell r="I6204" t="str">
            <v>-</v>
          </cell>
          <cell r="J6204">
            <v>1</v>
          </cell>
          <cell r="K6204">
            <v>1</v>
          </cell>
        </row>
        <row r="6205">
          <cell r="A6205" t="str">
            <v>M2</v>
          </cell>
          <cell r="B6205" t="str">
            <v>A5C</v>
          </cell>
          <cell r="C6205" t="str">
            <v>P</v>
          </cell>
          <cell r="D6205" t="str">
            <v>23027</v>
          </cell>
          <cell r="E6205" t="str">
            <v>R TEE</v>
          </cell>
          <cell r="F6205">
            <v>2</v>
          </cell>
          <cell r="G6205" t="str">
            <v>CB400400001H01</v>
          </cell>
          <cell r="H6205">
            <v>1</v>
          </cell>
          <cell r="I6205" t="str">
            <v>-</v>
          </cell>
          <cell r="J6205">
            <v>1</v>
          </cell>
          <cell r="K6205">
            <v>1</v>
          </cell>
        </row>
        <row r="6206">
          <cell r="A6206" t="str">
            <v>M2</v>
          </cell>
          <cell r="B6206" t="str">
            <v>A5C</v>
          </cell>
          <cell r="C6206" t="str">
            <v>P</v>
          </cell>
          <cell r="D6206" t="str">
            <v>23027</v>
          </cell>
          <cell r="E6206" t="str">
            <v>R TEE</v>
          </cell>
          <cell r="F6206">
            <v>2</v>
          </cell>
          <cell r="G6206" t="str">
            <v>CB400400001H0T</v>
          </cell>
          <cell r="H6206">
            <v>0.75</v>
          </cell>
          <cell r="I6206" t="str">
            <v>-</v>
          </cell>
          <cell r="J6206">
            <v>1</v>
          </cell>
          <cell r="K6206">
            <v>1</v>
          </cell>
        </row>
        <row r="6207">
          <cell r="A6207" t="str">
            <v>M2</v>
          </cell>
          <cell r="B6207" t="str">
            <v>A5C</v>
          </cell>
          <cell r="C6207" t="str">
            <v>P</v>
          </cell>
          <cell r="D6207" t="str">
            <v>23033</v>
          </cell>
          <cell r="E6207" t="str">
            <v>R TEE</v>
          </cell>
          <cell r="F6207">
            <v>2</v>
          </cell>
          <cell r="G6207" t="str">
            <v>CB400400001H0T</v>
          </cell>
          <cell r="H6207">
            <v>0.75</v>
          </cell>
          <cell r="I6207" t="str">
            <v>-</v>
          </cell>
          <cell r="J6207">
            <v>4</v>
          </cell>
          <cell r="K6207">
            <v>4</v>
          </cell>
        </row>
        <row r="6208">
          <cell r="A6208" t="str">
            <v>M2</v>
          </cell>
          <cell r="B6208" t="str">
            <v>A5C</v>
          </cell>
          <cell r="C6208" t="str">
            <v>P</v>
          </cell>
          <cell r="D6208" t="str">
            <v>23039</v>
          </cell>
          <cell r="E6208" t="str">
            <v>R TEE</v>
          </cell>
          <cell r="F6208">
            <v>2</v>
          </cell>
          <cell r="G6208" t="str">
            <v>CB400400001H0T</v>
          </cell>
          <cell r="H6208">
            <v>0.75</v>
          </cell>
          <cell r="I6208" t="str">
            <v>-</v>
          </cell>
          <cell r="J6208">
            <v>4</v>
          </cell>
          <cell r="K6208">
            <v>4</v>
          </cell>
        </row>
        <row r="6209">
          <cell r="A6209" t="str">
            <v>M2</v>
          </cell>
          <cell r="B6209" t="str">
            <v>A5C</v>
          </cell>
          <cell r="C6209" t="str">
            <v>P</v>
          </cell>
          <cell r="D6209" t="str">
            <v>23039</v>
          </cell>
          <cell r="E6209" t="str">
            <v>R TEE</v>
          </cell>
          <cell r="F6209">
            <v>2</v>
          </cell>
          <cell r="G6209" t="str">
            <v>CB400400001H0T</v>
          </cell>
          <cell r="H6209">
            <v>0.75</v>
          </cell>
          <cell r="I6209" t="str">
            <v>-</v>
          </cell>
          <cell r="J6209">
            <v>1</v>
          </cell>
          <cell r="K6209">
            <v>1</v>
          </cell>
        </row>
        <row r="6210">
          <cell r="A6210" t="str">
            <v>M2</v>
          </cell>
          <cell r="B6210" t="str">
            <v>A5C</v>
          </cell>
          <cell r="C6210" t="str">
            <v>P</v>
          </cell>
          <cell r="D6210" t="str">
            <v>23039</v>
          </cell>
          <cell r="E6210" t="str">
            <v>R TEE</v>
          </cell>
          <cell r="F6210">
            <v>2</v>
          </cell>
          <cell r="G6210" t="str">
            <v>CB400400001H01</v>
          </cell>
          <cell r="H6210">
            <v>1</v>
          </cell>
          <cell r="I6210" t="str">
            <v>-</v>
          </cell>
          <cell r="J6210">
            <v>2</v>
          </cell>
          <cell r="K6210">
            <v>2</v>
          </cell>
        </row>
        <row r="6211">
          <cell r="A6211" t="str">
            <v>M2</v>
          </cell>
          <cell r="B6211" t="str">
            <v>A5C</v>
          </cell>
          <cell r="C6211" t="str">
            <v>P</v>
          </cell>
          <cell r="D6211" t="str">
            <v>24001</v>
          </cell>
          <cell r="E6211" t="str">
            <v>C SWG</v>
          </cell>
          <cell r="F6211">
            <v>2</v>
          </cell>
          <cell r="G6211" t="str">
            <v>CB161108081H01</v>
          </cell>
          <cell r="H6211">
            <v>1</v>
          </cell>
          <cell r="I6211" t="str">
            <v>-</v>
          </cell>
          <cell r="J6211">
            <v>2</v>
          </cell>
          <cell r="K6211">
            <v>2</v>
          </cell>
        </row>
        <row r="6212">
          <cell r="A6212" t="str">
            <v>M2</v>
          </cell>
          <cell r="B6212" t="str">
            <v>A5C</v>
          </cell>
          <cell r="C6212" t="str">
            <v>P</v>
          </cell>
          <cell r="D6212" t="str">
            <v>23009</v>
          </cell>
          <cell r="E6212" t="str">
            <v>E SWG</v>
          </cell>
          <cell r="F6212">
            <v>2</v>
          </cell>
          <cell r="G6212" t="str">
            <v>CB162108081H01</v>
          </cell>
          <cell r="H6212">
            <v>1</v>
          </cell>
          <cell r="I6212" t="str">
            <v>-</v>
          </cell>
          <cell r="J6212">
            <v>2</v>
          </cell>
          <cell r="K6212">
            <v>2</v>
          </cell>
        </row>
        <row r="6213">
          <cell r="A6213" t="str">
            <v>M2</v>
          </cell>
          <cell r="B6213" t="str">
            <v>A5C</v>
          </cell>
          <cell r="C6213" t="str">
            <v>P</v>
          </cell>
          <cell r="D6213" t="str">
            <v>24001</v>
          </cell>
          <cell r="E6213" t="str">
            <v>R TEE</v>
          </cell>
          <cell r="F6213">
            <v>2</v>
          </cell>
          <cell r="G6213" t="str">
            <v>CB400400001H0T</v>
          </cell>
          <cell r="H6213">
            <v>0.75</v>
          </cell>
          <cell r="I6213" t="str">
            <v>-</v>
          </cell>
          <cell r="J6213">
            <v>2</v>
          </cell>
          <cell r="K6213">
            <v>2</v>
          </cell>
        </row>
        <row r="6214">
          <cell r="A6214" t="str">
            <v>M2</v>
          </cell>
          <cell r="B6214" t="str">
            <v>A5C</v>
          </cell>
          <cell r="C6214" t="str">
            <v>P</v>
          </cell>
          <cell r="D6214" t="str">
            <v>23073</v>
          </cell>
          <cell r="E6214" t="str">
            <v>C SWG</v>
          </cell>
          <cell r="F6214">
            <v>2</v>
          </cell>
          <cell r="G6214" t="str">
            <v>CB1614080802IH</v>
          </cell>
          <cell r="H6214">
            <v>1.5</v>
          </cell>
          <cell r="I6214" t="str">
            <v>-</v>
          </cell>
          <cell r="J6214">
            <v>2</v>
          </cell>
          <cell r="K6214">
            <v>3</v>
          </cell>
        </row>
        <row r="6215">
          <cell r="A6215" t="str">
            <v>M2</v>
          </cell>
          <cell r="B6215" t="str">
            <v>A5C</v>
          </cell>
          <cell r="C6215" t="str">
            <v>P</v>
          </cell>
          <cell r="D6215" t="str">
            <v>23085</v>
          </cell>
          <cell r="E6215" t="str">
            <v>C SWG</v>
          </cell>
          <cell r="F6215">
            <v>2</v>
          </cell>
          <cell r="G6215" t="str">
            <v>CB1614080802IH</v>
          </cell>
          <cell r="H6215">
            <v>1.5</v>
          </cell>
          <cell r="I6215" t="str">
            <v>-</v>
          </cell>
          <cell r="J6215">
            <v>2</v>
          </cell>
          <cell r="K6215">
            <v>3</v>
          </cell>
        </row>
        <row r="6216">
          <cell r="A6216" t="str">
            <v>M2</v>
          </cell>
          <cell r="B6216" t="str">
            <v>A5C</v>
          </cell>
          <cell r="C6216" t="str">
            <v>P</v>
          </cell>
          <cell r="D6216" t="str">
            <v>23096</v>
          </cell>
          <cell r="E6216" t="str">
            <v>C SWG</v>
          </cell>
          <cell r="F6216">
            <v>2</v>
          </cell>
          <cell r="G6216" t="str">
            <v>CB1614080802IH</v>
          </cell>
          <cell r="H6216">
            <v>1.5</v>
          </cell>
          <cell r="I6216" t="str">
            <v>-</v>
          </cell>
          <cell r="J6216">
            <v>2</v>
          </cell>
          <cell r="K6216">
            <v>3</v>
          </cell>
        </row>
        <row r="6217">
          <cell r="A6217" t="str">
            <v>M2</v>
          </cell>
          <cell r="B6217" t="str">
            <v>A5C</v>
          </cell>
          <cell r="C6217" t="str">
            <v>P</v>
          </cell>
          <cell r="D6217" t="str">
            <v>23135</v>
          </cell>
          <cell r="E6217" t="str">
            <v>C SWG</v>
          </cell>
          <cell r="F6217">
            <v>2</v>
          </cell>
          <cell r="G6217" t="str">
            <v>CB1614080802IH</v>
          </cell>
          <cell r="H6217">
            <v>1.5</v>
          </cell>
          <cell r="I6217" t="str">
            <v>-</v>
          </cell>
          <cell r="J6217">
            <v>2</v>
          </cell>
          <cell r="K6217">
            <v>3</v>
          </cell>
        </row>
        <row r="6218">
          <cell r="A6218" t="str">
            <v>M2</v>
          </cell>
          <cell r="B6218" t="str">
            <v>A5C</v>
          </cell>
          <cell r="C6218" t="str">
            <v>P</v>
          </cell>
          <cell r="D6218" t="str">
            <v>23230</v>
          </cell>
          <cell r="E6218" t="str">
            <v>C SWG</v>
          </cell>
          <cell r="F6218">
            <v>2</v>
          </cell>
          <cell r="G6218" t="str">
            <v>CB161408080201</v>
          </cell>
          <cell r="H6218">
            <v>1</v>
          </cell>
          <cell r="I6218" t="str">
            <v>-</v>
          </cell>
          <cell r="J6218">
            <v>2</v>
          </cell>
          <cell r="K6218">
            <v>3</v>
          </cell>
        </row>
        <row r="6219">
          <cell r="A6219" t="str">
            <v>M2</v>
          </cell>
          <cell r="B6219" t="str">
            <v>A5C</v>
          </cell>
          <cell r="C6219" t="str">
            <v>P</v>
          </cell>
          <cell r="D6219" t="str">
            <v>23252</v>
          </cell>
          <cell r="E6219" t="str">
            <v>C SWG</v>
          </cell>
          <cell r="F6219">
            <v>2</v>
          </cell>
          <cell r="G6219" t="str">
            <v>CB161408080201</v>
          </cell>
          <cell r="H6219">
            <v>1</v>
          </cell>
          <cell r="I6219" t="str">
            <v>-</v>
          </cell>
          <cell r="J6219">
            <v>2</v>
          </cell>
          <cell r="K6219">
            <v>3</v>
          </cell>
        </row>
        <row r="6220">
          <cell r="A6220" t="str">
            <v>M2</v>
          </cell>
          <cell r="B6220" t="str">
            <v>A5C</v>
          </cell>
          <cell r="C6220" t="str">
            <v>P</v>
          </cell>
          <cell r="D6220" t="str">
            <v>23261</v>
          </cell>
          <cell r="E6220" t="str">
            <v>C SWG</v>
          </cell>
          <cell r="F6220">
            <v>2</v>
          </cell>
          <cell r="G6220" t="str">
            <v>CB161408080201</v>
          </cell>
          <cell r="H6220">
            <v>1</v>
          </cell>
          <cell r="I6220" t="str">
            <v>-</v>
          </cell>
          <cell r="J6220">
            <v>1</v>
          </cell>
          <cell r="K6220">
            <v>2</v>
          </cell>
        </row>
        <row r="6221">
          <cell r="A6221" t="str">
            <v>M2</v>
          </cell>
          <cell r="B6221" t="str">
            <v>A5C</v>
          </cell>
          <cell r="C6221" t="str">
            <v>P</v>
          </cell>
          <cell r="D6221" t="str">
            <v>24021</v>
          </cell>
          <cell r="E6221" t="str">
            <v>C SWG</v>
          </cell>
          <cell r="F6221">
            <v>2</v>
          </cell>
          <cell r="G6221" t="str">
            <v>CB1614080802IH</v>
          </cell>
          <cell r="H6221">
            <v>1.5</v>
          </cell>
          <cell r="I6221" t="str">
            <v>-</v>
          </cell>
          <cell r="J6221">
            <v>2</v>
          </cell>
          <cell r="K6221">
            <v>3</v>
          </cell>
        </row>
        <row r="6222">
          <cell r="A6222" t="str">
            <v>M2</v>
          </cell>
          <cell r="B6222" t="str">
            <v>A5C</v>
          </cell>
          <cell r="C6222" t="str">
            <v>P</v>
          </cell>
          <cell r="D6222" t="str">
            <v>23102</v>
          </cell>
          <cell r="E6222" t="str">
            <v>C SWG</v>
          </cell>
          <cell r="F6222">
            <v>2</v>
          </cell>
          <cell r="G6222" t="str">
            <v>CB1614080802IH</v>
          </cell>
          <cell r="H6222">
            <v>1.5</v>
          </cell>
          <cell r="I6222" t="str">
            <v>-</v>
          </cell>
          <cell r="J6222">
            <v>2</v>
          </cell>
          <cell r="K6222">
            <v>3</v>
          </cell>
        </row>
        <row r="6223">
          <cell r="A6223" t="str">
            <v>M2</v>
          </cell>
          <cell r="B6223" t="str">
            <v>A5C</v>
          </cell>
          <cell r="C6223" t="str">
            <v>P</v>
          </cell>
          <cell r="D6223" t="str">
            <v>24007</v>
          </cell>
          <cell r="E6223" t="str">
            <v>C SWG</v>
          </cell>
          <cell r="F6223">
            <v>2</v>
          </cell>
          <cell r="G6223" t="str">
            <v>CB161408080201</v>
          </cell>
          <cell r="H6223">
            <v>1</v>
          </cell>
          <cell r="I6223" t="str">
            <v>-</v>
          </cell>
          <cell r="J6223">
            <v>1</v>
          </cell>
          <cell r="K6223">
            <v>2</v>
          </cell>
        </row>
        <row r="6224">
          <cell r="A6224" t="str">
            <v>M2</v>
          </cell>
          <cell r="B6224" t="str">
            <v>A5C</v>
          </cell>
          <cell r="C6224" t="str">
            <v>P</v>
          </cell>
          <cell r="D6224" t="str">
            <v>24013</v>
          </cell>
          <cell r="E6224" t="str">
            <v>C SWG</v>
          </cell>
          <cell r="F6224">
            <v>2</v>
          </cell>
          <cell r="G6224" t="str">
            <v>CB161408080201</v>
          </cell>
          <cell r="H6224">
            <v>1</v>
          </cell>
          <cell r="I6224" t="str">
            <v>-</v>
          </cell>
          <cell r="J6224">
            <v>2</v>
          </cell>
          <cell r="K6224">
            <v>3</v>
          </cell>
        </row>
        <row r="6225">
          <cell r="A6225" t="str">
            <v>M2</v>
          </cell>
          <cell r="B6225" t="str">
            <v>A5C</v>
          </cell>
          <cell r="C6225" t="str">
            <v>P</v>
          </cell>
          <cell r="D6225" t="str">
            <v>23115</v>
          </cell>
          <cell r="E6225" t="str">
            <v>E SWG</v>
          </cell>
          <cell r="F6225">
            <v>2</v>
          </cell>
          <cell r="G6225" t="str">
            <v>CB1624080802IH</v>
          </cell>
          <cell r="H6225">
            <v>1.5</v>
          </cell>
          <cell r="I6225" t="str">
            <v>-</v>
          </cell>
          <cell r="J6225">
            <v>2</v>
          </cell>
          <cell r="K6225">
            <v>3</v>
          </cell>
        </row>
        <row r="6226">
          <cell r="A6226" t="str">
            <v>M2</v>
          </cell>
          <cell r="B6226" t="str">
            <v>A5C</v>
          </cell>
          <cell r="C6226" t="str">
            <v>P</v>
          </cell>
          <cell r="D6226" t="str">
            <v>23188</v>
          </cell>
          <cell r="E6226" t="str">
            <v>E SWG</v>
          </cell>
          <cell r="F6226">
            <v>2</v>
          </cell>
          <cell r="G6226" t="str">
            <v>CB16240808020T</v>
          </cell>
          <cell r="H6226">
            <v>0.75</v>
          </cell>
          <cell r="I6226" t="str">
            <v>-</v>
          </cell>
          <cell r="J6226">
            <v>2</v>
          </cell>
          <cell r="K6226">
            <v>3</v>
          </cell>
        </row>
        <row r="6227">
          <cell r="A6227" t="str">
            <v>M2</v>
          </cell>
          <cell r="B6227" t="str">
            <v>A5C</v>
          </cell>
          <cell r="C6227" t="str">
            <v>P</v>
          </cell>
          <cell r="D6227" t="str">
            <v>23192</v>
          </cell>
          <cell r="E6227" t="str">
            <v>E SWG</v>
          </cell>
          <cell r="F6227">
            <v>2</v>
          </cell>
          <cell r="G6227" t="str">
            <v>CB1624080802IH</v>
          </cell>
          <cell r="H6227">
            <v>1.5</v>
          </cell>
          <cell r="I6227" t="str">
            <v>-</v>
          </cell>
          <cell r="J6227">
            <v>2</v>
          </cell>
          <cell r="K6227">
            <v>3</v>
          </cell>
        </row>
        <row r="6228">
          <cell r="A6228" t="str">
            <v>M2</v>
          </cell>
          <cell r="B6228" t="str">
            <v>A5C</v>
          </cell>
          <cell r="C6228" t="str">
            <v>P</v>
          </cell>
          <cell r="D6228" t="str">
            <v>23001</v>
          </cell>
          <cell r="E6228" t="str">
            <v>E SWG</v>
          </cell>
          <cell r="F6228">
            <v>2</v>
          </cell>
          <cell r="G6228" t="str">
            <v>CB1624080802IH</v>
          </cell>
          <cell r="H6228">
            <v>1.5</v>
          </cell>
          <cell r="I6228" t="str">
            <v>-</v>
          </cell>
          <cell r="J6228">
            <v>2</v>
          </cell>
          <cell r="K6228">
            <v>3</v>
          </cell>
        </row>
        <row r="6229">
          <cell r="A6229" t="str">
            <v>M2</v>
          </cell>
          <cell r="B6229" t="str">
            <v>A5C</v>
          </cell>
          <cell r="C6229" t="str">
            <v>P</v>
          </cell>
          <cell r="D6229" t="str">
            <v>23035</v>
          </cell>
          <cell r="E6229" t="str">
            <v>E SWG</v>
          </cell>
          <cell r="F6229">
            <v>2</v>
          </cell>
          <cell r="G6229" t="str">
            <v>CB1624080802IH</v>
          </cell>
          <cell r="H6229">
            <v>1.5</v>
          </cell>
          <cell r="I6229" t="str">
            <v>-</v>
          </cell>
          <cell r="J6229">
            <v>2</v>
          </cell>
          <cell r="K6229">
            <v>3</v>
          </cell>
        </row>
        <row r="6230">
          <cell r="A6230" t="str">
            <v>M2</v>
          </cell>
          <cell r="B6230" t="str">
            <v>A5C</v>
          </cell>
          <cell r="C6230" t="str">
            <v>P</v>
          </cell>
          <cell r="D6230" t="str">
            <v>23073</v>
          </cell>
          <cell r="E6230" t="str">
            <v>SOL</v>
          </cell>
          <cell r="F6230">
            <v>2</v>
          </cell>
          <cell r="G6230" t="str">
            <v>CB39020000020T</v>
          </cell>
          <cell r="H6230">
            <v>0.75</v>
          </cell>
          <cell r="I6230" t="str">
            <v>-</v>
          </cell>
          <cell r="J6230">
            <v>2</v>
          </cell>
          <cell r="K6230">
            <v>3</v>
          </cell>
        </row>
        <row r="6231">
          <cell r="A6231" t="str">
            <v>M2</v>
          </cell>
          <cell r="B6231" t="str">
            <v>A5C</v>
          </cell>
          <cell r="C6231" t="str">
            <v>P</v>
          </cell>
          <cell r="D6231" t="str">
            <v>23085</v>
          </cell>
          <cell r="E6231" t="str">
            <v>SOL</v>
          </cell>
          <cell r="F6231">
            <v>2</v>
          </cell>
          <cell r="G6231" t="str">
            <v>CB39020000020T</v>
          </cell>
          <cell r="H6231">
            <v>0.75</v>
          </cell>
          <cell r="I6231" t="str">
            <v>-</v>
          </cell>
          <cell r="J6231">
            <v>3</v>
          </cell>
          <cell r="K6231">
            <v>4</v>
          </cell>
        </row>
        <row r="6232">
          <cell r="A6232" t="str">
            <v>M2</v>
          </cell>
          <cell r="B6232" t="str">
            <v>A5C</v>
          </cell>
          <cell r="C6232" t="str">
            <v>P</v>
          </cell>
          <cell r="D6232" t="str">
            <v>23102</v>
          </cell>
          <cell r="E6232" t="str">
            <v>SOL</v>
          </cell>
          <cell r="F6232">
            <v>2</v>
          </cell>
          <cell r="G6232" t="str">
            <v>CB390200000201</v>
          </cell>
          <cell r="H6232">
            <v>1</v>
          </cell>
          <cell r="I6232" t="str">
            <v>-</v>
          </cell>
          <cell r="J6232">
            <v>1</v>
          </cell>
          <cell r="K6232">
            <v>2</v>
          </cell>
        </row>
        <row r="6233">
          <cell r="A6233" t="str">
            <v>M2</v>
          </cell>
          <cell r="B6233" t="str">
            <v>A5C</v>
          </cell>
          <cell r="C6233" t="str">
            <v>P</v>
          </cell>
          <cell r="D6233" t="str">
            <v>23192</v>
          </cell>
          <cell r="E6233" t="str">
            <v>SOL</v>
          </cell>
          <cell r="F6233">
            <v>2</v>
          </cell>
          <cell r="G6233" t="str">
            <v>CB39020000020T</v>
          </cell>
          <cell r="H6233">
            <v>0.75</v>
          </cell>
          <cell r="I6233" t="str">
            <v>-</v>
          </cell>
          <cell r="J6233">
            <v>3</v>
          </cell>
          <cell r="K6233">
            <v>4</v>
          </cell>
        </row>
        <row r="6234">
          <cell r="A6234" t="str">
            <v>M2</v>
          </cell>
          <cell r="B6234" t="str">
            <v>A5C</v>
          </cell>
          <cell r="C6234" t="str">
            <v>P</v>
          </cell>
          <cell r="D6234" t="str">
            <v>23192</v>
          </cell>
          <cell r="E6234" t="str">
            <v>SOL</v>
          </cell>
          <cell r="F6234">
            <v>2</v>
          </cell>
          <cell r="G6234" t="str">
            <v>CB3902000002IH</v>
          </cell>
          <cell r="H6234">
            <v>1.5</v>
          </cell>
          <cell r="I6234" t="str">
            <v>-</v>
          </cell>
          <cell r="J6234">
            <v>2</v>
          </cell>
          <cell r="K6234">
            <v>3</v>
          </cell>
        </row>
        <row r="6235">
          <cell r="A6235" t="str">
            <v>M2</v>
          </cell>
          <cell r="B6235" t="str">
            <v>A5C</v>
          </cell>
          <cell r="C6235" t="str">
            <v>P</v>
          </cell>
          <cell r="D6235" t="str">
            <v>23229</v>
          </cell>
          <cell r="E6235" t="str">
            <v>SOL</v>
          </cell>
          <cell r="F6235">
            <v>2</v>
          </cell>
          <cell r="G6235" t="str">
            <v>CB39020000020T</v>
          </cell>
          <cell r="H6235">
            <v>0.75</v>
          </cell>
          <cell r="I6235" t="str">
            <v>-</v>
          </cell>
          <cell r="J6235">
            <v>1</v>
          </cell>
          <cell r="K6235">
            <v>2</v>
          </cell>
        </row>
        <row r="6236">
          <cell r="A6236" t="str">
            <v>M2</v>
          </cell>
          <cell r="B6236" t="str">
            <v>A5C</v>
          </cell>
          <cell r="C6236" t="str">
            <v>P</v>
          </cell>
          <cell r="D6236" t="str">
            <v>23251</v>
          </cell>
          <cell r="E6236" t="str">
            <v>SOL</v>
          </cell>
          <cell r="F6236">
            <v>2</v>
          </cell>
          <cell r="G6236" t="str">
            <v>CB39020000020T</v>
          </cell>
          <cell r="H6236">
            <v>0.75</v>
          </cell>
          <cell r="I6236" t="str">
            <v>-</v>
          </cell>
          <cell r="J6236">
            <v>1</v>
          </cell>
          <cell r="K6236">
            <v>2</v>
          </cell>
        </row>
        <row r="6237">
          <cell r="A6237" t="str">
            <v>M2</v>
          </cell>
          <cell r="B6237" t="str">
            <v>A5C</v>
          </cell>
          <cell r="C6237" t="str">
            <v>P</v>
          </cell>
          <cell r="D6237" t="str">
            <v>23253</v>
          </cell>
          <cell r="E6237" t="str">
            <v>SOL</v>
          </cell>
          <cell r="F6237">
            <v>2</v>
          </cell>
          <cell r="G6237" t="str">
            <v>CB3902000002IH</v>
          </cell>
          <cell r="H6237">
            <v>1.5</v>
          </cell>
          <cell r="I6237" t="str">
            <v>-</v>
          </cell>
          <cell r="J6237">
            <v>1</v>
          </cell>
          <cell r="K6237">
            <v>2</v>
          </cell>
        </row>
        <row r="6238">
          <cell r="A6238" t="str">
            <v>M2</v>
          </cell>
          <cell r="B6238" t="str">
            <v>A5C</v>
          </cell>
          <cell r="C6238" t="str">
            <v>P</v>
          </cell>
          <cell r="D6238" t="str">
            <v>23261</v>
          </cell>
          <cell r="E6238" t="str">
            <v>SOL</v>
          </cell>
          <cell r="F6238">
            <v>2</v>
          </cell>
          <cell r="G6238" t="str">
            <v>CB390200000201</v>
          </cell>
          <cell r="H6238">
            <v>1</v>
          </cell>
          <cell r="I6238" t="str">
            <v>-</v>
          </cell>
          <cell r="J6238">
            <v>1</v>
          </cell>
          <cell r="K6238">
            <v>2</v>
          </cell>
        </row>
        <row r="6239">
          <cell r="A6239" t="str">
            <v>M2</v>
          </cell>
          <cell r="B6239" t="str">
            <v>A5C</v>
          </cell>
          <cell r="C6239" t="str">
            <v>P</v>
          </cell>
          <cell r="D6239" t="str">
            <v>24006</v>
          </cell>
          <cell r="E6239" t="str">
            <v>SOL</v>
          </cell>
          <cell r="F6239">
            <v>2</v>
          </cell>
          <cell r="G6239" t="str">
            <v>CB39020000020T</v>
          </cell>
          <cell r="H6239">
            <v>0.75</v>
          </cell>
          <cell r="I6239" t="str">
            <v>-</v>
          </cell>
          <cell r="J6239">
            <v>1</v>
          </cell>
          <cell r="K6239">
            <v>2</v>
          </cell>
        </row>
        <row r="6240">
          <cell r="A6240" t="str">
            <v>M2</v>
          </cell>
          <cell r="B6240" t="str">
            <v>A5C</v>
          </cell>
          <cell r="C6240" t="str">
            <v>P</v>
          </cell>
          <cell r="D6240" t="str">
            <v>24021</v>
          </cell>
          <cell r="E6240" t="str">
            <v>SOL</v>
          </cell>
          <cell r="F6240">
            <v>2</v>
          </cell>
          <cell r="G6240" t="str">
            <v>CB39020000020T</v>
          </cell>
          <cell r="H6240">
            <v>0.75</v>
          </cell>
          <cell r="I6240" t="str">
            <v>-</v>
          </cell>
          <cell r="J6240">
            <v>2</v>
          </cell>
          <cell r="K6240">
            <v>3</v>
          </cell>
        </row>
        <row r="6241">
          <cell r="A6241" t="str">
            <v>M2</v>
          </cell>
          <cell r="B6241" t="str">
            <v>A5C</v>
          </cell>
          <cell r="C6241" t="str">
            <v>P</v>
          </cell>
          <cell r="D6241" t="str">
            <v>24020</v>
          </cell>
          <cell r="E6241" t="str">
            <v>SOL</v>
          </cell>
          <cell r="F6241">
            <v>2</v>
          </cell>
          <cell r="G6241" t="str">
            <v>CB390200000201</v>
          </cell>
          <cell r="H6241">
            <v>1</v>
          </cell>
          <cell r="I6241" t="str">
            <v>-</v>
          </cell>
          <cell r="J6241">
            <v>1</v>
          </cell>
          <cell r="K6241">
            <v>2</v>
          </cell>
        </row>
        <row r="6242">
          <cell r="A6242" t="str">
            <v>M2</v>
          </cell>
          <cell r="B6242" t="str">
            <v>A5C</v>
          </cell>
          <cell r="C6242" t="str">
            <v>P</v>
          </cell>
          <cell r="D6242" t="str">
            <v>23096</v>
          </cell>
          <cell r="E6242" t="str">
            <v>SOL</v>
          </cell>
          <cell r="F6242">
            <v>2</v>
          </cell>
          <cell r="G6242" t="str">
            <v>CB39020000020T</v>
          </cell>
          <cell r="H6242">
            <v>0.75</v>
          </cell>
          <cell r="I6242" t="str">
            <v>-</v>
          </cell>
          <cell r="J6242">
            <v>4</v>
          </cell>
          <cell r="K6242">
            <v>5</v>
          </cell>
        </row>
        <row r="6243">
          <cell r="A6243" t="str">
            <v>M2</v>
          </cell>
          <cell r="B6243" t="str">
            <v>A5C</v>
          </cell>
          <cell r="C6243" t="str">
            <v>P</v>
          </cell>
          <cell r="D6243" t="str">
            <v>23102</v>
          </cell>
          <cell r="E6243" t="str">
            <v>SOL</v>
          </cell>
          <cell r="F6243">
            <v>2</v>
          </cell>
          <cell r="G6243" t="str">
            <v>CB39020000020T</v>
          </cell>
          <cell r="H6243">
            <v>0.75</v>
          </cell>
          <cell r="I6243" t="str">
            <v>-</v>
          </cell>
          <cell r="J6243">
            <v>2</v>
          </cell>
          <cell r="K6243">
            <v>3</v>
          </cell>
        </row>
        <row r="6244">
          <cell r="A6244" t="str">
            <v>M2</v>
          </cell>
          <cell r="B6244" t="str">
            <v>A5C</v>
          </cell>
          <cell r="C6244" t="str">
            <v>P</v>
          </cell>
          <cell r="D6244" t="str">
            <v>23135</v>
          </cell>
          <cell r="E6244" t="str">
            <v>SOL</v>
          </cell>
          <cell r="F6244">
            <v>2</v>
          </cell>
          <cell r="G6244" t="str">
            <v>CB39020000020T</v>
          </cell>
          <cell r="H6244">
            <v>0.75</v>
          </cell>
          <cell r="I6244" t="str">
            <v>-</v>
          </cell>
          <cell r="J6244">
            <v>4</v>
          </cell>
          <cell r="K6244">
            <v>5</v>
          </cell>
        </row>
        <row r="6245">
          <cell r="A6245" t="str">
            <v>M2</v>
          </cell>
          <cell r="B6245" t="str">
            <v>A5C</v>
          </cell>
          <cell r="C6245" t="str">
            <v>P</v>
          </cell>
          <cell r="D6245" t="str">
            <v>23192</v>
          </cell>
          <cell r="E6245" t="str">
            <v>SOL</v>
          </cell>
          <cell r="F6245">
            <v>2</v>
          </cell>
          <cell r="G6245" t="str">
            <v>CB39020000020T</v>
          </cell>
          <cell r="H6245">
            <v>0.75</v>
          </cell>
          <cell r="I6245" t="str">
            <v>-</v>
          </cell>
          <cell r="J6245">
            <v>1</v>
          </cell>
          <cell r="K6245">
            <v>2</v>
          </cell>
        </row>
        <row r="6246">
          <cell r="A6246" t="str">
            <v>M2</v>
          </cell>
          <cell r="B6246" t="str">
            <v>A5C</v>
          </cell>
          <cell r="C6246" t="str">
            <v>P</v>
          </cell>
          <cell r="D6246" t="str">
            <v>23231</v>
          </cell>
          <cell r="E6246" t="str">
            <v>SOL</v>
          </cell>
          <cell r="F6246">
            <v>2</v>
          </cell>
          <cell r="G6246" t="str">
            <v>CB3902000002IH</v>
          </cell>
          <cell r="H6246">
            <v>1.5</v>
          </cell>
          <cell r="I6246" t="str">
            <v>-</v>
          </cell>
          <cell r="J6246">
            <v>1</v>
          </cell>
          <cell r="K6246">
            <v>2</v>
          </cell>
        </row>
        <row r="6247">
          <cell r="A6247" t="str">
            <v>M2</v>
          </cell>
          <cell r="B6247" t="str">
            <v>A5C</v>
          </cell>
          <cell r="C6247" t="str">
            <v>P</v>
          </cell>
          <cell r="D6247" t="str">
            <v>23264</v>
          </cell>
          <cell r="E6247" t="str">
            <v>SOL</v>
          </cell>
          <cell r="F6247">
            <v>2</v>
          </cell>
          <cell r="G6247" t="str">
            <v>CB39020000020T</v>
          </cell>
          <cell r="H6247">
            <v>0.75</v>
          </cell>
          <cell r="I6247" t="str">
            <v>-</v>
          </cell>
          <cell r="J6247">
            <v>2</v>
          </cell>
          <cell r="K6247">
            <v>3</v>
          </cell>
        </row>
        <row r="6248">
          <cell r="A6248" t="str">
            <v>M2</v>
          </cell>
          <cell r="B6248" t="str">
            <v>A5C</v>
          </cell>
          <cell r="C6248" t="str">
            <v>TRIM</v>
          </cell>
          <cell r="D6248" t="str">
            <v>V-2352</v>
          </cell>
          <cell r="E6248" t="str">
            <v>SOL</v>
          </cell>
          <cell r="F6248">
            <v>2</v>
          </cell>
          <cell r="G6248" t="str">
            <v>CB39020000020T</v>
          </cell>
          <cell r="H6248">
            <v>0.75</v>
          </cell>
          <cell r="I6248" t="str">
            <v>-</v>
          </cell>
          <cell r="J6248">
            <v>5</v>
          </cell>
          <cell r="K6248">
            <v>6</v>
          </cell>
        </row>
        <row r="6249">
          <cell r="A6249" t="str">
            <v>M2</v>
          </cell>
          <cell r="B6249" t="str">
            <v>A5C</v>
          </cell>
          <cell r="C6249" t="str">
            <v>P</v>
          </cell>
          <cell r="D6249" t="str">
            <v>23019</v>
          </cell>
          <cell r="E6249" t="str">
            <v>C SWG</v>
          </cell>
          <cell r="F6249">
            <v>2</v>
          </cell>
          <cell r="G6249" t="str">
            <v>CB1614080802IH</v>
          </cell>
          <cell r="H6249">
            <v>1.5</v>
          </cell>
          <cell r="I6249" t="str">
            <v>-</v>
          </cell>
          <cell r="J6249">
            <v>2</v>
          </cell>
          <cell r="K6249">
            <v>3</v>
          </cell>
        </row>
        <row r="6250">
          <cell r="A6250" t="str">
            <v>M2</v>
          </cell>
          <cell r="B6250" t="str">
            <v>A5C</v>
          </cell>
          <cell r="C6250" t="str">
            <v>P</v>
          </cell>
          <cell r="D6250" t="str">
            <v>23053</v>
          </cell>
          <cell r="E6250" t="str">
            <v>C SWG</v>
          </cell>
          <cell r="F6250">
            <v>2</v>
          </cell>
          <cell r="G6250" t="str">
            <v>CB1614080802IH</v>
          </cell>
          <cell r="H6250">
            <v>1.5</v>
          </cell>
          <cell r="I6250" t="str">
            <v>-</v>
          </cell>
          <cell r="J6250">
            <v>2</v>
          </cell>
          <cell r="K6250">
            <v>3</v>
          </cell>
        </row>
        <row r="6251">
          <cell r="A6251" t="str">
            <v>M2</v>
          </cell>
          <cell r="B6251" t="str">
            <v>A5C</v>
          </cell>
          <cell r="C6251" t="str">
            <v>P</v>
          </cell>
          <cell r="D6251" t="str">
            <v>23224</v>
          </cell>
          <cell r="E6251" t="str">
            <v>C SWG</v>
          </cell>
          <cell r="F6251">
            <v>2</v>
          </cell>
          <cell r="G6251" t="str">
            <v>CB1614080802IH</v>
          </cell>
          <cell r="H6251">
            <v>1.5</v>
          </cell>
          <cell r="I6251" t="str">
            <v>-</v>
          </cell>
          <cell r="J6251">
            <v>2</v>
          </cell>
          <cell r="K6251">
            <v>3</v>
          </cell>
        </row>
        <row r="6252">
          <cell r="A6252" t="str">
            <v>M2</v>
          </cell>
          <cell r="B6252" t="str">
            <v>A5C</v>
          </cell>
          <cell r="C6252" t="str">
            <v>P</v>
          </cell>
          <cell r="D6252" t="str">
            <v>24016</v>
          </cell>
          <cell r="E6252" t="str">
            <v>C SWG</v>
          </cell>
          <cell r="F6252">
            <v>2</v>
          </cell>
          <cell r="G6252" t="str">
            <v>CB16140808020T</v>
          </cell>
          <cell r="H6252">
            <v>0.75</v>
          </cell>
          <cell r="I6252" t="str">
            <v>-</v>
          </cell>
          <cell r="J6252">
            <v>2</v>
          </cell>
          <cell r="K6252">
            <v>3</v>
          </cell>
        </row>
        <row r="6253">
          <cell r="A6253" t="str">
            <v>M2</v>
          </cell>
          <cell r="B6253" t="str">
            <v>A5C</v>
          </cell>
          <cell r="C6253" t="str">
            <v>P</v>
          </cell>
          <cell r="D6253" t="str">
            <v>23020</v>
          </cell>
          <cell r="E6253" t="str">
            <v>E SWG</v>
          </cell>
          <cell r="F6253">
            <v>2</v>
          </cell>
          <cell r="G6253" t="str">
            <v>CB1624080802IH</v>
          </cell>
          <cell r="H6253">
            <v>1.5</v>
          </cell>
          <cell r="I6253" t="str">
            <v>-</v>
          </cell>
          <cell r="J6253">
            <v>2</v>
          </cell>
          <cell r="K6253">
            <v>3</v>
          </cell>
        </row>
        <row r="6254">
          <cell r="A6254" t="str">
            <v>M2</v>
          </cell>
          <cell r="B6254" t="str">
            <v>A5C</v>
          </cell>
          <cell r="C6254" t="str">
            <v>P</v>
          </cell>
          <cell r="D6254" t="str">
            <v>23030</v>
          </cell>
          <cell r="E6254" t="str">
            <v>E SWG</v>
          </cell>
          <cell r="F6254">
            <v>2</v>
          </cell>
          <cell r="G6254" t="str">
            <v>CB1624080802IH</v>
          </cell>
          <cell r="H6254">
            <v>1.5</v>
          </cell>
          <cell r="I6254" t="str">
            <v>-</v>
          </cell>
          <cell r="J6254">
            <v>2</v>
          </cell>
          <cell r="K6254">
            <v>3</v>
          </cell>
        </row>
        <row r="6255">
          <cell r="A6255" t="str">
            <v>M2</v>
          </cell>
          <cell r="B6255" t="str">
            <v>A5C</v>
          </cell>
          <cell r="C6255" t="str">
            <v>P</v>
          </cell>
          <cell r="D6255" t="str">
            <v>23054</v>
          </cell>
          <cell r="E6255" t="str">
            <v>E SWG</v>
          </cell>
          <cell r="F6255">
            <v>2</v>
          </cell>
          <cell r="G6255" t="str">
            <v>CB1624080802IH</v>
          </cell>
          <cell r="H6255">
            <v>1.5</v>
          </cell>
          <cell r="I6255" t="str">
            <v>-</v>
          </cell>
          <cell r="J6255">
            <v>2</v>
          </cell>
          <cell r="K6255">
            <v>3</v>
          </cell>
        </row>
        <row r="6256">
          <cell r="A6256" t="str">
            <v>M2</v>
          </cell>
          <cell r="B6256" t="str">
            <v>A5C</v>
          </cell>
          <cell r="C6256" t="str">
            <v>P</v>
          </cell>
          <cell r="D6256" t="str">
            <v>24018</v>
          </cell>
          <cell r="E6256" t="str">
            <v>E SWG</v>
          </cell>
          <cell r="F6256">
            <v>2</v>
          </cell>
          <cell r="G6256" t="str">
            <v>CB16240808020T</v>
          </cell>
          <cell r="H6256">
            <v>0.75</v>
          </cell>
          <cell r="I6256" t="str">
            <v>-</v>
          </cell>
          <cell r="J6256">
            <v>2</v>
          </cell>
          <cell r="K6256">
            <v>3</v>
          </cell>
        </row>
        <row r="6257">
          <cell r="A6257" t="str">
            <v>M2</v>
          </cell>
          <cell r="B6257" t="str">
            <v>A5C</v>
          </cell>
          <cell r="C6257" t="str">
            <v>P</v>
          </cell>
          <cell r="D6257" t="str">
            <v>23036</v>
          </cell>
          <cell r="E6257" t="str">
            <v>E SWG</v>
          </cell>
          <cell r="F6257">
            <v>2</v>
          </cell>
          <cell r="G6257" t="str">
            <v>CB1624080802IH</v>
          </cell>
          <cell r="H6257">
            <v>1.5</v>
          </cell>
          <cell r="I6257" t="str">
            <v>-</v>
          </cell>
          <cell r="J6257">
            <v>2</v>
          </cell>
          <cell r="K6257">
            <v>3</v>
          </cell>
        </row>
        <row r="6258">
          <cell r="A6258" t="str">
            <v>M2</v>
          </cell>
          <cell r="B6258" t="str">
            <v>A5C</v>
          </cell>
          <cell r="C6258" t="str">
            <v>P</v>
          </cell>
          <cell r="D6258" t="str">
            <v>23020</v>
          </cell>
          <cell r="E6258" t="str">
            <v>SOL</v>
          </cell>
          <cell r="F6258">
            <v>2</v>
          </cell>
          <cell r="G6258" t="str">
            <v>CB39020000020T</v>
          </cell>
          <cell r="H6258">
            <v>0.75</v>
          </cell>
          <cell r="I6258" t="str">
            <v>-</v>
          </cell>
          <cell r="J6258">
            <v>1</v>
          </cell>
          <cell r="K6258">
            <v>2</v>
          </cell>
        </row>
        <row r="6259">
          <cell r="A6259" t="str">
            <v>M2</v>
          </cell>
          <cell r="B6259" t="str">
            <v>A5C</v>
          </cell>
          <cell r="C6259" t="str">
            <v>P</v>
          </cell>
          <cell r="D6259" t="str">
            <v>23020</v>
          </cell>
          <cell r="E6259" t="str">
            <v>SOL</v>
          </cell>
          <cell r="F6259">
            <v>2</v>
          </cell>
          <cell r="G6259" t="str">
            <v>CB3902000002IH</v>
          </cell>
          <cell r="H6259">
            <v>1.5</v>
          </cell>
          <cell r="I6259" t="str">
            <v>-</v>
          </cell>
          <cell r="J6259">
            <v>2</v>
          </cell>
          <cell r="K6259">
            <v>3</v>
          </cell>
        </row>
        <row r="6260">
          <cell r="A6260" t="str">
            <v>M2</v>
          </cell>
          <cell r="B6260" t="str">
            <v>A5C</v>
          </cell>
          <cell r="C6260" t="str">
            <v>P</v>
          </cell>
          <cell r="D6260" t="str">
            <v>23054</v>
          </cell>
          <cell r="E6260" t="str">
            <v>SOL</v>
          </cell>
          <cell r="F6260">
            <v>2</v>
          </cell>
          <cell r="G6260" t="str">
            <v>CB39020000020T</v>
          </cell>
          <cell r="H6260">
            <v>0.75</v>
          </cell>
          <cell r="I6260" t="str">
            <v>-</v>
          </cell>
          <cell r="J6260">
            <v>1</v>
          </cell>
          <cell r="K6260">
            <v>2</v>
          </cell>
        </row>
        <row r="6261">
          <cell r="A6261" t="str">
            <v>M2</v>
          </cell>
          <cell r="B6261" t="str">
            <v>A5C</v>
          </cell>
          <cell r="C6261" t="str">
            <v>P</v>
          </cell>
          <cell r="D6261" t="str">
            <v>23054</v>
          </cell>
          <cell r="E6261" t="str">
            <v>SOL</v>
          </cell>
          <cell r="F6261">
            <v>2</v>
          </cell>
          <cell r="G6261" t="str">
            <v>CB3902000002IH</v>
          </cell>
          <cell r="H6261">
            <v>1.5</v>
          </cell>
          <cell r="I6261" t="str">
            <v>-</v>
          </cell>
          <cell r="J6261">
            <v>2</v>
          </cell>
          <cell r="K6261">
            <v>3</v>
          </cell>
        </row>
        <row r="6262">
          <cell r="A6262" t="str">
            <v>M2</v>
          </cell>
          <cell r="B6262" t="str">
            <v>A5C</v>
          </cell>
          <cell r="C6262" t="str">
            <v>P</v>
          </cell>
          <cell r="D6262" t="str">
            <v>23053</v>
          </cell>
          <cell r="E6262" t="str">
            <v>SOL</v>
          </cell>
          <cell r="F6262">
            <v>2</v>
          </cell>
          <cell r="G6262" t="str">
            <v>CB39020000020T</v>
          </cell>
          <cell r="H6262">
            <v>0.75</v>
          </cell>
          <cell r="I6262" t="str">
            <v>-</v>
          </cell>
          <cell r="J6262">
            <v>5</v>
          </cell>
          <cell r="K6262">
            <v>6</v>
          </cell>
        </row>
        <row r="6263">
          <cell r="A6263" t="str">
            <v>M2</v>
          </cell>
          <cell r="B6263" t="str">
            <v>A5C</v>
          </cell>
          <cell r="C6263" t="str">
            <v>P</v>
          </cell>
          <cell r="D6263" t="str">
            <v>23019</v>
          </cell>
          <cell r="E6263" t="str">
            <v>SOL</v>
          </cell>
          <cell r="F6263">
            <v>2</v>
          </cell>
          <cell r="G6263" t="str">
            <v>CB3902000002IH</v>
          </cell>
          <cell r="H6263">
            <v>1.5</v>
          </cell>
          <cell r="I6263" t="str">
            <v>-</v>
          </cell>
          <cell r="J6263">
            <v>1</v>
          </cell>
          <cell r="K6263">
            <v>2</v>
          </cell>
        </row>
        <row r="6264">
          <cell r="A6264" t="str">
            <v>M2</v>
          </cell>
          <cell r="B6264" t="str">
            <v>A5C</v>
          </cell>
          <cell r="C6264" t="str">
            <v>P</v>
          </cell>
          <cell r="D6264" t="str">
            <v>23019</v>
          </cell>
          <cell r="E6264" t="str">
            <v>SOL</v>
          </cell>
          <cell r="F6264">
            <v>2</v>
          </cell>
          <cell r="G6264" t="str">
            <v>CB39020000020T</v>
          </cell>
          <cell r="H6264">
            <v>0.75</v>
          </cell>
          <cell r="I6264" t="str">
            <v>-</v>
          </cell>
          <cell r="J6264">
            <v>4</v>
          </cell>
          <cell r="K6264">
            <v>5</v>
          </cell>
        </row>
        <row r="6265">
          <cell r="A6265" t="str">
            <v>M2</v>
          </cell>
          <cell r="B6265" t="str">
            <v>A5C</v>
          </cell>
          <cell r="C6265" t="str">
            <v>P</v>
          </cell>
          <cell r="D6265" t="str">
            <v>23224</v>
          </cell>
          <cell r="E6265" t="str">
            <v>SOL</v>
          </cell>
          <cell r="F6265">
            <v>2</v>
          </cell>
          <cell r="G6265" t="str">
            <v>CB39020000020T</v>
          </cell>
          <cell r="H6265">
            <v>0.75</v>
          </cell>
          <cell r="I6265" t="str">
            <v>-</v>
          </cell>
          <cell r="J6265">
            <v>2</v>
          </cell>
          <cell r="K6265">
            <v>3</v>
          </cell>
        </row>
        <row r="6266">
          <cell r="A6266" t="str">
            <v>M2</v>
          </cell>
          <cell r="B6266" t="str">
            <v>A5C</v>
          </cell>
          <cell r="C6266" t="str">
            <v>P</v>
          </cell>
          <cell r="D6266" t="str">
            <v>23224</v>
          </cell>
          <cell r="E6266" t="str">
            <v>SOL</v>
          </cell>
          <cell r="F6266">
            <v>2</v>
          </cell>
          <cell r="G6266" t="str">
            <v>CB390200000201</v>
          </cell>
          <cell r="H6266">
            <v>1</v>
          </cell>
          <cell r="I6266" t="str">
            <v>-</v>
          </cell>
          <cell r="J6266">
            <v>1</v>
          </cell>
          <cell r="K6266">
            <v>2</v>
          </cell>
        </row>
        <row r="6267">
          <cell r="A6267" t="str">
            <v>M2</v>
          </cell>
          <cell r="B6267" t="str">
            <v>B2C</v>
          </cell>
          <cell r="C6267" t="str">
            <v>SH</v>
          </cell>
          <cell r="D6267" t="str">
            <v>23612</v>
          </cell>
          <cell r="E6267" t="str">
            <v>E RED</v>
          </cell>
          <cell r="F6267">
            <v>2</v>
          </cell>
          <cell r="G6267" t="str">
            <v>CB300604080302</v>
          </cell>
          <cell r="H6267">
            <v>2</v>
          </cell>
          <cell r="I6267" t="str">
            <v>-</v>
          </cell>
          <cell r="J6267">
            <v>2</v>
          </cell>
          <cell r="K6267">
            <v>3</v>
          </cell>
        </row>
        <row r="6268">
          <cell r="A6268" t="str">
            <v>M2</v>
          </cell>
          <cell r="B6268" t="str">
            <v>B2C</v>
          </cell>
          <cell r="C6268" t="str">
            <v>SH</v>
          </cell>
          <cell r="D6268" t="str">
            <v>23601</v>
          </cell>
          <cell r="E6268" t="str">
            <v>SOL</v>
          </cell>
          <cell r="F6268">
            <v>2</v>
          </cell>
          <cell r="G6268" t="str">
            <v>CB390200000301</v>
          </cell>
          <cell r="H6268">
            <v>1</v>
          </cell>
          <cell r="I6268" t="str">
            <v>-</v>
          </cell>
          <cell r="J6268">
            <v>1</v>
          </cell>
          <cell r="K6268">
            <v>2</v>
          </cell>
        </row>
        <row r="6269">
          <cell r="A6269" t="str">
            <v>M2</v>
          </cell>
          <cell r="B6269" t="str">
            <v>B2C</v>
          </cell>
          <cell r="C6269" t="str">
            <v>SH</v>
          </cell>
          <cell r="D6269" t="str">
            <v>23601</v>
          </cell>
          <cell r="E6269" t="str">
            <v>SOL</v>
          </cell>
          <cell r="F6269">
            <v>2</v>
          </cell>
          <cell r="G6269" t="str">
            <v>CB39020000030T</v>
          </cell>
          <cell r="H6269">
            <v>0.75</v>
          </cell>
          <cell r="I6269" t="str">
            <v>-</v>
          </cell>
          <cell r="J6269">
            <v>5</v>
          </cell>
          <cell r="K6269">
            <v>6</v>
          </cell>
        </row>
        <row r="6270">
          <cell r="A6270" t="str">
            <v>M2</v>
          </cell>
          <cell r="B6270" t="str">
            <v>B2C</v>
          </cell>
          <cell r="C6270" t="str">
            <v>SH</v>
          </cell>
          <cell r="D6270" t="str">
            <v>23612</v>
          </cell>
          <cell r="E6270" t="str">
            <v>SOL</v>
          </cell>
          <cell r="F6270">
            <v>2</v>
          </cell>
          <cell r="G6270" t="str">
            <v>CB390200000301</v>
          </cell>
          <cell r="H6270">
            <v>1</v>
          </cell>
          <cell r="I6270" t="str">
            <v>-</v>
          </cell>
          <cell r="J6270">
            <v>1</v>
          </cell>
          <cell r="K6270">
            <v>2</v>
          </cell>
        </row>
        <row r="6271">
          <cell r="A6271" t="str">
            <v>M2</v>
          </cell>
          <cell r="B6271" t="str">
            <v>B2C</v>
          </cell>
          <cell r="C6271" t="str">
            <v>SH</v>
          </cell>
          <cell r="D6271" t="str">
            <v>23612</v>
          </cell>
          <cell r="E6271" t="str">
            <v>SOL</v>
          </cell>
          <cell r="F6271">
            <v>2</v>
          </cell>
          <cell r="G6271" t="str">
            <v>CB39020000030T</v>
          </cell>
          <cell r="H6271">
            <v>0.75</v>
          </cell>
          <cell r="I6271" t="str">
            <v>-</v>
          </cell>
          <cell r="J6271">
            <v>2</v>
          </cell>
          <cell r="K6271">
            <v>3</v>
          </cell>
        </row>
        <row r="6272">
          <cell r="A6272" t="str">
            <v>M2</v>
          </cell>
          <cell r="B6272" t="str">
            <v>A5C</v>
          </cell>
          <cell r="C6272" t="str">
            <v>P</v>
          </cell>
          <cell r="D6272" t="str">
            <v>23047</v>
          </cell>
          <cell r="E6272" t="str">
            <v>C RED</v>
          </cell>
          <cell r="F6272">
            <v>2</v>
          </cell>
          <cell r="G6272" t="str">
            <v>CB300504080302</v>
          </cell>
          <cell r="H6272">
            <v>2</v>
          </cell>
          <cell r="I6272" t="str">
            <v>-</v>
          </cell>
          <cell r="J6272">
            <v>2</v>
          </cell>
          <cell r="K6272">
            <v>3</v>
          </cell>
        </row>
        <row r="6273">
          <cell r="A6273" t="str">
            <v>M2</v>
          </cell>
          <cell r="B6273" t="str">
            <v>A5C</v>
          </cell>
          <cell r="C6273" t="str">
            <v>P</v>
          </cell>
          <cell r="D6273" t="str">
            <v>23142</v>
          </cell>
          <cell r="E6273" t="str">
            <v>C RED</v>
          </cell>
          <cell r="F6273">
            <v>2</v>
          </cell>
          <cell r="G6273" t="str">
            <v>CB300504080302</v>
          </cell>
          <cell r="H6273">
            <v>2</v>
          </cell>
          <cell r="I6273" t="str">
            <v>-</v>
          </cell>
          <cell r="J6273">
            <v>2</v>
          </cell>
          <cell r="K6273">
            <v>3</v>
          </cell>
        </row>
        <row r="6274">
          <cell r="A6274" t="str">
            <v>M2</v>
          </cell>
          <cell r="B6274" t="str">
            <v>A5C</v>
          </cell>
          <cell r="C6274" t="str">
            <v>P</v>
          </cell>
          <cell r="D6274" t="str">
            <v>23236</v>
          </cell>
          <cell r="E6274" t="str">
            <v>C RED</v>
          </cell>
          <cell r="F6274">
            <v>2</v>
          </cell>
          <cell r="G6274" t="str">
            <v>CB300504080302</v>
          </cell>
          <cell r="H6274">
            <v>2</v>
          </cell>
          <cell r="I6274" t="str">
            <v>-</v>
          </cell>
          <cell r="J6274">
            <v>2</v>
          </cell>
          <cell r="K6274">
            <v>3</v>
          </cell>
        </row>
        <row r="6275">
          <cell r="A6275" t="str">
            <v>M2</v>
          </cell>
          <cell r="B6275" t="str">
            <v>A5C</v>
          </cell>
          <cell r="C6275" t="str">
            <v>P</v>
          </cell>
          <cell r="D6275" t="str">
            <v>23240</v>
          </cell>
          <cell r="E6275" t="str">
            <v>C RED</v>
          </cell>
          <cell r="F6275">
            <v>2</v>
          </cell>
          <cell r="G6275" t="str">
            <v>CB300504080302</v>
          </cell>
          <cell r="H6275">
            <v>2</v>
          </cell>
          <cell r="I6275" t="str">
            <v>-</v>
          </cell>
          <cell r="J6275">
            <v>2</v>
          </cell>
          <cell r="K6275">
            <v>3</v>
          </cell>
        </row>
        <row r="6276">
          <cell r="A6276" t="str">
            <v>M2</v>
          </cell>
          <cell r="B6276" t="str">
            <v>A5C</v>
          </cell>
          <cell r="C6276" t="str">
            <v>P</v>
          </cell>
          <cell r="D6276" t="str">
            <v>23124</v>
          </cell>
          <cell r="E6276" t="str">
            <v>C RED</v>
          </cell>
          <cell r="F6276">
            <v>2</v>
          </cell>
          <cell r="G6276" t="str">
            <v>CB300504080302</v>
          </cell>
          <cell r="H6276">
            <v>2</v>
          </cell>
          <cell r="I6276" t="str">
            <v>-</v>
          </cell>
          <cell r="J6276">
            <v>2</v>
          </cell>
          <cell r="K6276">
            <v>3</v>
          </cell>
        </row>
        <row r="6277">
          <cell r="A6277" t="str">
            <v>M2</v>
          </cell>
          <cell r="B6277" t="str">
            <v>A5C</v>
          </cell>
          <cell r="C6277" t="str">
            <v>P</v>
          </cell>
          <cell r="D6277" t="str">
            <v>23106</v>
          </cell>
          <cell r="E6277" t="str">
            <v>C SWG</v>
          </cell>
          <cell r="F6277">
            <v>2</v>
          </cell>
          <cell r="G6277" t="str">
            <v>CB1614040803IH</v>
          </cell>
          <cell r="H6277">
            <v>1.5</v>
          </cell>
          <cell r="I6277" t="str">
            <v>-</v>
          </cell>
          <cell r="J6277">
            <v>2</v>
          </cell>
          <cell r="K6277">
            <v>3</v>
          </cell>
        </row>
        <row r="6278">
          <cell r="A6278" t="str">
            <v>M2</v>
          </cell>
          <cell r="B6278" t="str">
            <v>A5C</v>
          </cell>
          <cell r="C6278" t="str">
            <v>P</v>
          </cell>
          <cell r="D6278" t="str">
            <v>23005</v>
          </cell>
          <cell r="E6278" t="str">
            <v>C SWG</v>
          </cell>
          <cell r="F6278">
            <v>2</v>
          </cell>
          <cell r="G6278" t="str">
            <v>CB1614040803IH</v>
          </cell>
          <cell r="H6278">
            <v>1.5</v>
          </cell>
          <cell r="I6278" t="str">
            <v>-</v>
          </cell>
          <cell r="J6278">
            <v>2</v>
          </cell>
          <cell r="K6278">
            <v>3</v>
          </cell>
        </row>
        <row r="6279">
          <cell r="A6279" t="str">
            <v>M2</v>
          </cell>
          <cell r="B6279" t="str">
            <v>A5C</v>
          </cell>
          <cell r="C6279" t="str">
            <v>P</v>
          </cell>
          <cell r="D6279" t="str">
            <v>23246</v>
          </cell>
          <cell r="E6279" t="str">
            <v>C SWG</v>
          </cell>
          <cell r="F6279">
            <v>2</v>
          </cell>
          <cell r="G6279" t="str">
            <v>CB1614040803IH</v>
          </cell>
          <cell r="H6279">
            <v>1.5</v>
          </cell>
          <cell r="I6279" t="str">
            <v>-</v>
          </cell>
          <cell r="J6279">
            <v>2</v>
          </cell>
          <cell r="K6279">
            <v>3</v>
          </cell>
        </row>
        <row r="6280">
          <cell r="A6280" t="str">
            <v>M2</v>
          </cell>
          <cell r="B6280" t="str">
            <v>A5C</v>
          </cell>
          <cell r="C6280" t="str">
            <v>P</v>
          </cell>
          <cell r="D6280" t="str">
            <v>23082</v>
          </cell>
          <cell r="E6280" t="str">
            <v>E RED</v>
          </cell>
          <cell r="F6280">
            <v>2</v>
          </cell>
          <cell r="G6280" t="str">
            <v>CB300604080302</v>
          </cell>
          <cell r="H6280">
            <v>2</v>
          </cell>
          <cell r="I6280" t="str">
            <v>-</v>
          </cell>
          <cell r="J6280">
            <v>2</v>
          </cell>
          <cell r="K6280">
            <v>3</v>
          </cell>
        </row>
        <row r="6281">
          <cell r="A6281" t="str">
            <v>M2</v>
          </cell>
          <cell r="B6281" t="str">
            <v>A5C</v>
          </cell>
          <cell r="C6281" t="str">
            <v>P</v>
          </cell>
          <cell r="D6281" t="str">
            <v>23232</v>
          </cell>
          <cell r="E6281" t="str">
            <v>E RED</v>
          </cell>
          <cell r="F6281">
            <v>2</v>
          </cell>
          <cell r="G6281" t="str">
            <v>CB300604080302</v>
          </cell>
          <cell r="H6281">
            <v>2</v>
          </cell>
          <cell r="I6281" t="str">
            <v>-</v>
          </cell>
          <cell r="J6281">
            <v>2</v>
          </cell>
          <cell r="K6281">
            <v>3</v>
          </cell>
        </row>
        <row r="6282">
          <cell r="A6282" t="str">
            <v>M2</v>
          </cell>
          <cell r="B6282" t="str">
            <v>A5C</v>
          </cell>
          <cell r="C6282" t="str">
            <v>P</v>
          </cell>
          <cell r="D6282" t="str">
            <v>23254</v>
          </cell>
          <cell r="E6282" t="str">
            <v>E RED</v>
          </cell>
          <cell r="F6282">
            <v>2</v>
          </cell>
          <cell r="G6282" t="str">
            <v>CB300604080302</v>
          </cell>
          <cell r="H6282">
            <v>2</v>
          </cell>
          <cell r="I6282" t="str">
            <v>-</v>
          </cell>
          <cell r="J6282">
            <v>2</v>
          </cell>
          <cell r="K6282">
            <v>3</v>
          </cell>
        </row>
        <row r="6283">
          <cell r="A6283" t="str">
            <v>M2</v>
          </cell>
          <cell r="B6283" t="str">
            <v>A5C</v>
          </cell>
          <cell r="C6283" t="str">
            <v>P</v>
          </cell>
          <cell r="D6283" t="str">
            <v>23005</v>
          </cell>
          <cell r="E6283" t="str">
            <v>SOL</v>
          </cell>
          <cell r="F6283">
            <v>2</v>
          </cell>
          <cell r="G6283" t="str">
            <v>CB39020000030H</v>
          </cell>
          <cell r="H6283">
            <v>0.5</v>
          </cell>
          <cell r="I6283" t="str">
            <v>-</v>
          </cell>
          <cell r="J6283">
            <v>2</v>
          </cell>
          <cell r="K6283">
            <v>3</v>
          </cell>
        </row>
        <row r="6284">
          <cell r="A6284" t="str">
            <v>M2</v>
          </cell>
          <cell r="B6284" t="str">
            <v>A5C</v>
          </cell>
          <cell r="C6284" t="str">
            <v>P</v>
          </cell>
          <cell r="D6284" t="str">
            <v>23005</v>
          </cell>
          <cell r="E6284" t="str">
            <v>SOL</v>
          </cell>
          <cell r="F6284">
            <v>2</v>
          </cell>
          <cell r="G6284" t="str">
            <v>CB390200000301</v>
          </cell>
          <cell r="H6284">
            <v>1</v>
          </cell>
          <cell r="I6284" t="str">
            <v>-</v>
          </cell>
          <cell r="J6284">
            <v>1</v>
          </cell>
          <cell r="K6284">
            <v>2</v>
          </cell>
        </row>
        <row r="6285">
          <cell r="A6285" t="str">
            <v>M2</v>
          </cell>
          <cell r="B6285" t="str">
            <v>A5C</v>
          </cell>
          <cell r="C6285" t="str">
            <v>P</v>
          </cell>
          <cell r="D6285" t="str">
            <v>23047</v>
          </cell>
          <cell r="E6285" t="str">
            <v>SOL</v>
          </cell>
          <cell r="F6285">
            <v>2</v>
          </cell>
          <cell r="G6285" t="str">
            <v>CB39020000030T</v>
          </cell>
          <cell r="H6285">
            <v>0.75</v>
          </cell>
          <cell r="I6285" t="str">
            <v>-</v>
          </cell>
          <cell r="J6285">
            <v>2</v>
          </cell>
          <cell r="K6285">
            <v>3</v>
          </cell>
        </row>
        <row r="6286">
          <cell r="A6286" t="str">
            <v>M2</v>
          </cell>
          <cell r="B6286" t="str">
            <v>A5C</v>
          </cell>
          <cell r="C6286" t="str">
            <v>P</v>
          </cell>
          <cell r="D6286" t="str">
            <v>23083</v>
          </cell>
          <cell r="E6286" t="str">
            <v>SOL</v>
          </cell>
          <cell r="F6286">
            <v>2</v>
          </cell>
          <cell r="G6286" t="str">
            <v>CB390200000301</v>
          </cell>
          <cell r="H6286">
            <v>1</v>
          </cell>
          <cell r="I6286" t="str">
            <v>-</v>
          </cell>
          <cell r="J6286">
            <v>1</v>
          </cell>
          <cell r="K6286">
            <v>2</v>
          </cell>
        </row>
        <row r="6287">
          <cell r="A6287" t="str">
            <v>M2</v>
          </cell>
          <cell r="B6287" t="str">
            <v>A5C</v>
          </cell>
          <cell r="C6287" t="str">
            <v>P</v>
          </cell>
          <cell r="D6287" t="str">
            <v>23094</v>
          </cell>
          <cell r="E6287" t="str">
            <v>SOL</v>
          </cell>
          <cell r="F6287">
            <v>2</v>
          </cell>
          <cell r="G6287" t="str">
            <v>CB39020000030T</v>
          </cell>
          <cell r="H6287">
            <v>0.75</v>
          </cell>
          <cell r="I6287" t="str">
            <v>-</v>
          </cell>
          <cell r="J6287">
            <v>4</v>
          </cell>
          <cell r="K6287">
            <v>5</v>
          </cell>
        </row>
        <row r="6288">
          <cell r="A6288" t="str">
            <v>M2</v>
          </cell>
          <cell r="B6288" t="str">
            <v>A5C</v>
          </cell>
          <cell r="C6288" t="str">
            <v>P</v>
          </cell>
          <cell r="D6288" t="str">
            <v>23101</v>
          </cell>
          <cell r="E6288" t="str">
            <v>SOL</v>
          </cell>
          <cell r="F6288">
            <v>2</v>
          </cell>
          <cell r="G6288" t="str">
            <v>CB39020000030T</v>
          </cell>
          <cell r="H6288">
            <v>0.75</v>
          </cell>
          <cell r="I6288" t="str">
            <v>-</v>
          </cell>
          <cell r="J6288">
            <v>4</v>
          </cell>
          <cell r="K6288">
            <v>5</v>
          </cell>
        </row>
        <row r="6289">
          <cell r="A6289" t="str">
            <v>M2</v>
          </cell>
          <cell r="B6289" t="str">
            <v>A5C</v>
          </cell>
          <cell r="C6289" t="str">
            <v>P</v>
          </cell>
          <cell r="D6289" t="str">
            <v>23106</v>
          </cell>
          <cell r="E6289" t="str">
            <v>SOL</v>
          </cell>
          <cell r="F6289">
            <v>2</v>
          </cell>
          <cell r="G6289" t="str">
            <v>CB390200000301</v>
          </cell>
          <cell r="H6289">
            <v>1</v>
          </cell>
          <cell r="I6289" t="str">
            <v>-</v>
          </cell>
          <cell r="J6289">
            <v>1</v>
          </cell>
          <cell r="K6289">
            <v>2</v>
          </cell>
        </row>
        <row r="6290">
          <cell r="A6290" t="str">
            <v>M2</v>
          </cell>
          <cell r="B6290" t="str">
            <v>A5C</v>
          </cell>
          <cell r="C6290" t="str">
            <v>P</v>
          </cell>
          <cell r="D6290" t="str">
            <v>23106</v>
          </cell>
          <cell r="E6290" t="str">
            <v>SOL</v>
          </cell>
          <cell r="F6290">
            <v>2</v>
          </cell>
          <cell r="G6290" t="str">
            <v>CB39020000030T</v>
          </cell>
          <cell r="H6290">
            <v>0.75</v>
          </cell>
          <cell r="I6290" t="str">
            <v>-</v>
          </cell>
          <cell r="J6290">
            <v>2</v>
          </cell>
          <cell r="K6290">
            <v>3</v>
          </cell>
        </row>
        <row r="6291">
          <cell r="A6291" t="str">
            <v>M2</v>
          </cell>
          <cell r="B6291" t="str">
            <v>A5C</v>
          </cell>
          <cell r="C6291" t="str">
            <v>P</v>
          </cell>
          <cell r="D6291" t="str">
            <v>23109</v>
          </cell>
          <cell r="E6291" t="str">
            <v>SOL</v>
          </cell>
          <cell r="F6291">
            <v>2</v>
          </cell>
          <cell r="G6291" t="str">
            <v>CB39020000030T</v>
          </cell>
          <cell r="H6291">
            <v>0.75</v>
          </cell>
          <cell r="I6291" t="str">
            <v>-</v>
          </cell>
          <cell r="J6291">
            <v>4</v>
          </cell>
          <cell r="K6291">
            <v>5</v>
          </cell>
        </row>
        <row r="6292">
          <cell r="A6292" t="str">
            <v>M2</v>
          </cell>
          <cell r="B6292" t="str">
            <v>A5C</v>
          </cell>
          <cell r="C6292" t="str">
            <v>P</v>
          </cell>
          <cell r="D6292" t="str">
            <v>23142</v>
          </cell>
          <cell r="E6292" t="str">
            <v>SOL</v>
          </cell>
          <cell r="F6292">
            <v>2</v>
          </cell>
          <cell r="G6292" t="str">
            <v>CB390200000301</v>
          </cell>
          <cell r="H6292">
            <v>1</v>
          </cell>
          <cell r="I6292" t="str">
            <v>-</v>
          </cell>
          <cell r="J6292">
            <v>1</v>
          </cell>
          <cell r="K6292">
            <v>2</v>
          </cell>
        </row>
        <row r="6293">
          <cell r="A6293" t="str">
            <v>M2</v>
          </cell>
          <cell r="B6293" t="str">
            <v>A5C</v>
          </cell>
          <cell r="C6293" t="str">
            <v>P</v>
          </cell>
          <cell r="D6293" t="str">
            <v>23142</v>
          </cell>
          <cell r="E6293" t="str">
            <v>SOL</v>
          </cell>
          <cell r="F6293">
            <v>2</v>
          </cell>
          <cell r="G6293" t="str">
            <v>CB39020000030T</v>
          </cell>
          <cell r="H6293">
            <v>0.75</v>
          </cell>
          <cell r="I6293" t="str">
            <v>-</v>
          </cell>
          <cell r="J6293">
            <v>2</v>
          </cell>
          <cell r="K6293">
            <v>3</v>
          </cell>
        </row>
        <row r="6294">
          <cell r="A6294" t="str">
            <v>M2</v>
          </cell>
          <cell r="B6294" t="str">
            <v>A5C</v>
          </cell>
          <cell r="C6294" t="str">
            <v>P</v>
          </cell>
          <cell r="D6294" t="str">
            <v>23230</v>
          </cell>
          <cell r="E6294" t="str">
            <v>SOL</v>
          </cell>
          <cell r="F6294">
            <v>2</v>
          </cell>
          <cell r="G6294" t="str">
            <v>CB390200000301</v>
          </cell>
          <cell r="H6294">
            <v>1</v>
          </cell>
          <cell r="I6294" t="str">
            <v>-</v>
          </cell>
          <cell r="J6294">
            <v>1</v>
          </cell>
          <cell r="K6294">
            <v>2</v>
          </cell>
        </row>
        <row r="6295">
          <cell r="A6295" t="str">
            <v>M2</v>
          </cell>
          <cell r="B6295" t="str">
            <v>A5C</v>
          </cell>
          <cell r="C6295" t="str">
            <v>P</v>
          </cell>
          <cell r="D6295" t="str">
            <v>23236</v>
          </cell>
          <cell r="E6295" t="str">
            <v>SOL</v>
          </cell>
          <cell r="F6295">
            <v>2</v>
          </cell>
          <cell r="G6295" t="str">
            <v>CB39020000030T</v>
          </cell>
          <cell r="H6295">
            <v>0.75</v>
          </cell>
          <cell r="I6295" t="str">
            <v>-</v>
          </cell>
          <cell r="J6295">
            <v>2</v>
          </cell>
          <cell r="K6295">
            <v>3</v>
          </cell>
        </row>
      </sheetData>
      <sheetData sheetId="1">
        <row r="1">
          <cell r="A1" t="str">
            <v>AREA</v>
          </cell>
        </row>
      </sheetData>
      <sheetData sheetId="2">
        <row r="1">
          <cell r="A1" t="str">
            <v>AREA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안서"/>
      <sheetName val="기본입력"/>
      <sheetName val="Sheet1"/>
      <sheetName val="웅진교-S2"/>
      <sheetName val="2000년1차"/>
    </sheetNames>
    <sheetDataSet>
      <sheetData sheetId="0"/>
      <sheetData sheetId="1" refreshError="1">
        <row r="18">
          <cell r="G18">
            <v>406</v>
          </cell>
        </row>
        <row r="19">
          <cell r="G19">
            <v>3096</v>
          </cell>
        </row>
        <row r="38">
          <cell r="E38">
            <v>9500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pldt"/>
      <sheetName val="Note"/>
      <sheetName val="조명"/>
      <sheetName val="보일러"/>
      <sheetName val="ESCO-Calculation"/>
      <sheetName val="수주보고서"/>
      <sheetName val="Yearly-Analysis"/>
      <sheetName val="Yearly-Profit"/>
    </sheetNames>
    <sheetDataSet>
      <sheetData sheetId="0">
        <row r="25">
          <cell r="F25">
            <v>10724.6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Note"/>
      <sheetName val="조명"/>
      <sheetName val="보일러"/>
      <sheetName val="ESCO-Calculation"/>
      <sheetName val="수주보고서"/>
      <sheetName val="Yearly-Analysis"/>
      <sheetName val="Yearly-Profit"/>
      <sheetName val="퍼스트"/>
      <sheetName val="b_balju"/>
      <sheetName val="(수주)esco월금융"/>
      <sheetName val="전체"/>
      <sheetName val="자재단가비교표"/>
      <sheetName val="Sheet1"/>
      <sheetName val="일위대가목록"/>
      <sheetName val="WING3"/>
      <sheetName val="용산3(영광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전동기"/>
      <sheetName val="ESCO"/>
      <sheetName val="견적원가품의서"/>
    </sheetNames>
    <sheetDataSet>
      <sheetData sheetId="0" refreshError="1"/>
      <sheetData sheetId="1" refreshError="1"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5261-3C90-415C-AF61-C0706B4E4041}">
  <sheetPr filterMode="1">
    <outlinePr summaryBelow="0" summaryRight="0"/>
  </sheetPr>
  <dimension ref="A1:AT2225"/>
  <sheetViews>
    <sheetView tabSelected="1" zoomScale="70" zoomScaleNormal="70" workbookViewId="0">
      <pane xSplit="3" ySplit="7" topLeftCell="T8" activePane="bottomRight" state="frozen"/>
      <selection pane="topRight" activeCell="D1" sqref="D1"/>
      <selection pane="bottomLeft" activeCell="A8" sqref="A8"/>
      <selection pane="bottomRight" activeCell="AF1895" sqref="AF1895"/>
    </sheetView>
  </sheetViews>
  <sheetFormatPr defaultColWidth="9" defaultRowHeight="12.75" outlineLevelCol="1"/>
  <cols>
    <col min="1" max="1" width="9.75" style="1" customWidth="1"/>
    <col min="2" max="3" width="9.75" style="1" customWidth="1" outlineLevel="1"/>
    <col min="4" max="4" width="25.875" style="1" customWidth="1" outlineLevel="1"/>
    <col min="5" max="6" width="17.625" style="1" customWidth="1"/>
    <col min="7" max="7" width="15.625" style="1" customWidth="1"/>
    <col min="8" max="8" width="25.625" style="1" customWidth="1"/>
    <col min="9" max="9" width="15.625" style="1" customWidth="1"/>
    <col min="10" max="10" width="15.625" style="1" hidden="1" customWidth="1"/>
    <col min="11" max="11" width="10.625" style="34" customWidth="1"/>
    <col min="12" max="12" width="25.625" style="34" customWidth="1"/>
    <col min="13" max="14" width="30.625" style="34" hidden="1" customWidth="1"/>
    <col min="15" max="15" width="20.625" style="34" hidden="1" customWidth="1"/>
    <col min="16" max="18" width="10.625" style="34" hidden="1" customWidth="1"/>
    <col min="19" max="19" width="15.625" style="34" hidden="1" customWidth="1"/>
    <col min="20" max="20" width="15.625" style="34" customWidth="1"/>
    <col min="21" max="21" width="20.625" style="34" customWidth="1"/>
    <col min="22" max="22" width="55.625" style="34" customWidth="1"/>
    <col min="23" max="23" width="45.625" style="34" customWidth="1"/>
    <col min="24" max="24" width="15.625" style="34" customWidth="1"/>
    <col min="25" max="25" width="18.625" style="34" customWidth="1"/>
    <col min="26" max="26" width="50.625" style="34" customWidth="1"/>
    <col min="27" max="27" width="45.625" style="34" customWidth="1"/>
    <col min="28" max="28" width="15.625" style="34" customWidth="1"/>
    <col min="29" max="29" width="130.625" style="1" customWidth="1"/>
    <col min="30" max="30" width="30.625" style="34" customWidth="1"/>
    <col min="31" max="31" width="9" style="34"/>
    <col min="32" max="32" width="16.375" style="1" customWidth="1"/>
    <col min="33" max="33" width="9" style="1"/>
    <col min="34" max="34" width="11.25" style="1" customWidth="1"/>
    <col min="35" max="37" width="9" style="1"/>
    <col min="38" max="38" width="15.625" style="1" customWidth="1"/>
    <col min="39" max="39" width="9" style="1"/>
    <col min="40" max="40" width="9" style="34"/>
    <col min="41" max="41" width="15.625" style="34" customWidth="1"/>
    <col min="42" max="42" width="9" style="34"/>
    <col min="43" max="44" width="9" style="1"/>
    <col min="45" max="45" width="15.875" style="1" customWidth="1"/>
    <col min="46" max="16384" width="9" style="1"/>
  </cols>
  <sheetData>
    <row r="1" spans="1:45" ht="15">
      <c r="K1" s="2"/>
      <c r="L1" s="2"/>
      <c r="M1" s="2"/>
      <c r="N1" s="2"/>
      <c r="O1" s="2"/>
      <c r="P1" s="3"/>
      <c r="Q1" s="3"/>
      <c r="R1" s="3"/>
      <c r="S1" s="38"/>
      <c r="T1" s="2"/>
      <c r="U1" s="2"/>
      <c r="V1" s="2"/>
      <c r="W1" s="2"/>
      <c r="X1" s="96"/>
      <c r="Y1" s="2"/>
      <c r="Z1" s="2"/>
      <c r="AA1" s="2"/>
      <c r="AC1" s="4"/>
      <c r="AD1" s="2"/>
    </row>
    <row r="2" spans="1:45" s="5" customFormat="1" ht="30" customHeight="1">
      <c r="D2" s="124" t="s">
        <v>9451</v>
      </c>
      <c r="H2" s="124" t="s">
        <v>9563</v>
      </c>
      <c r="I2" s="124" t="s">
        <v>9121</v>
      </c>
      <c r="K2" s="258" t="s">
        <v>0</v>
      </c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9"/>
      <c r="Y2" s="260"/>
      <c r="Z2" s="258"/>
      <c r="AA2" s="258"/>
      <c r="AB2" s="259"/>
      <c r="AC2" s="261"/>
      <c r="AD2" s="258"/>
      <c r="AE2" s="110"/>
      <c r="AN2" s="110"/>
      <c r="AO2" s="110"/>
      <c r="AP2" s="110"/>
    </row>
    <row r="3" spans="1:45" s="5" customFormat="1" ht="16.149999999999999" customHeight="1">
      <c r="D3" s="124"/>
      <c r="I3" s="124" t="s">
        <v>9400</v>
      </c>
      <c r="K3" s="6"/>
      <c r="L3" s="7"/>
      <c r="M3" s="8"/>
      <c r="N3" s="8"/>
      <c r="O3" s="8"/>
      <c r="P3" s="8"/>
      <c r="Q3" s="7"/>
      <c r="R3" s="7"/>
      <c r="S3" s="38">
        <f>SUBTOTAL(9,S8:S2200)</f>
        <v>480</v>
      </c>
      <c r="T3" s="8">
        <v>5510</v>
      </c>
      <c r="U3" s="240">
        <f>S3-T3</f>
        <v>-5030</v>
      </c>
      <c r="V3" s="8"/>
      <c r="W3" s="8"/>
      <c r="X3" s="9"/>
      <c r="Y3" s="35"/>
      <c r="Z3" s="10"/>
      <c r="AA3" s="10"/>
      <c r="AB3" s="9"/>
      <c r="AC3" s="11"/>
      <c r="AD3" s="12" t="s">
        <v>1</v>
      </c>
      <c r="AE3" s="38">
        <f>SUBTOTAL(9,AE8:AE4047)</f>
        <v>8</v>
      </c>
      <c r="AK3" s="38">
        <f>SUBTOTAL(9,AK8:AK4047)</f>
        <v>0</v>
      </c>
      <c r="AN3" s="38">
        <f>SUBTOTAL(9,AN8:AN4047)</f>
        <v>0</v>
      </c>
      <c r="AO3" s="110"/>
      <c r="AP3" s="110"/>
      <c r="AR3" s="38">
        <f>SUBTOTAL(9,AR8:AR4047)/3</f>
        <v>0</v>
      </c>
    </row>
    <row r="4" spans="1:45" s="5" customFormat="1" ht="16.149999999999999" customHeight="1" thickBot="1">
      <c r="K4" s="13" t="s">
        <v>2</v>
      </c>
      <c r="L4" s="7"/>
      <c r="M4" s="8"/>
      <c r="N4" s="8"/>
      <c r="O4" s="8"/>
      <c r="P4" s="8"/>
      <c r="Q4" s="7"/>
      <c r="R4" s="14"/>
      <c r="S4" s="14"/>
      <c r="T4" s="14"/>
      <c r="U4" s="9"/>
      <c r="V4" s="8"/>
      <c r="W4" s="8"/>
      <c r="X4" s="9"/>
      <c r="Y4" s="35"/>
      <c r="Z4" s="10"/>
      <c r="AA4" s="10"/>
      <c r="AB4" s="97"/>
      <c r="AC4" s="15" t="s">
        <v>3</v>
      </c>
      <c r="AD4" s="12" t="s">
        <v>9550</v>
      </c>
      <c r="AE4" s="110"/>
      <c r="AN4" s="110"/>
      <c r="AO4" s="110"/>
      <c r="AP4" s="110"/>
    </row>
    <row r="5" spans="1:45" s="16" customFormat="1" ht="30" customHeight="1">
      <c r="B5" s="16" t="s">
        <v>4</v>
      </c>
      <c r="D5" s="124" t="s">
        <v>9446</v>
      </c>
      <c r="E5" s="138" t="s">
        <v>9126</v>
      </c>
      <c r="F5" s="39" t="s">
        <v>8677</v>
      </c>
      <c r="G5" s="16" t="s">
        <v>5</v>
      </c>
      <c r="H5" s="138" t="s">
        <v>9119</v>
      </c>
      <c r="I5" s="139" t="s">
        <v>9120</v>
      </c>
      <c r="K5" s="262" t="s">
        <v>6</v>
      </c>
      <c r="L5" s="264" t="s">
        <v>7</v>
      </c>
      <c r="M5" s="265"/>
      <c r="N5" s="266"/>
      <c r="O5" s="256" t="s">
        <v>8016</v>
      </c>
      <c r="P5" s="36" t="s">
        <v>8</v>
      </c>
      <c r="Q5" s="17" t="s">
        <v>9</v>
      </c>
      <c r="R5" s="267" t="s">
        <v>10</v>
      </c>
      <c r="S5" s="18" t="s">
        <v>11</v>
      </c>
      <c r="T5" s="267" t="s">
        <v>12</v>
      </c>
      <c r="U5" s="269" t="s">
        <v>13</v>
      </c>
      <c r="V5" s="270"/>
      <c r="W5" s="270"/>
      <c r="X5" s="271"/>
      <c r="Y5" s="269" t="s">
        <v>14</v>
      </c>
      <c r="Z5" s="270"/>
      <c r="AA5" s="272"/>
      <c r="AB5" s="98"/>
      <c r="AC5" s="273" t="s">
        <v>15</v>
      </c>
      <c r="AD5" s="275" t="s">
        <v>16</v>
      </c>
      <c r="AE5" s="254" t="s">
        <v>8724</v>
      </c>
      <c r="AF5" s="255"/>
      <c r="AG5" s="255"/>
      <c r="AH5" s="105" t="s">
        <v>8926</v>
      </c>
      <c r="AK5" s="251" t="s">
        <v>9574</v>
      </c>
      <c r="AL5" s="252"/>
      <c r="AM5" s="253"/>
      <c r="AN5" s="251" t="s">
        <v>9575</v>
      </c>
      <c r="AO5" s="252"/>
      <c r="AP5" s="253"/>
      <c r="AR5" s="251" t="s">
        <v>9586</v>
      </c>
      <c r="AS5" s="252"/>
    </row>
    <row r="6" spans="1:45" s="19" customFormat="1" ht="30" customHeight="1" thickBot="1">
      <c r="K6" s="263"/>
      <c r="L6" s="20" t="s">
        <v>19</v>
      </c>
      <c r="M6" s="21" t="s">
        <v>20</v>
      </c>
      <c r="N6" s="21" t="s">
        <v>21</v>
      </c>
      <c r="O6" s="257"/>
      <c r="P6" s="21" t="s">
        <v>22</v>
      </c>
      <c r="Q6" s="20" t="s">
        <v>23</v>
      </c>
      <c r="R6" s="268"/>
      <c r="S6" s="21" t="s">
        <v>24</v>
      </c>
      <c r="T6" s="268"/>
      <c r="U6" s="22" t="s">
        <v>25</v>
      </c>
      <c r="V6" s="23" t="s">
        <v>26</v>
      </c>
      <c r="W6" s="23" t="s">
        <v>27</v>
      </c>
      <c r="X6" s="22" t="s">
        <v>28</v>
      </c>
      <c r="Y6" s="22" t="s">
        <v>25</v>
      </c>
      <c r="Z6" s="23" t="s">
        <v>29</v>
      </c>
      <c r="AA6" s="23" t="s">
        <v>30</v>
      </c>
      <c r="AB6" s="22" t="s">
        <v>28</v>
      </c>
      <c r="AC6" s="274"/>
      <c r="AD6" s="276"/>
      <c r="AE6" s="193" t="s">
        <v>8723</v>
      </c>
      <c r="AF6" s="88" t="s">
        <v>9585</v>
      </c>
      <c r="AG6" s="88" t="s">
        <v>8933</v>
      </c>
      <c r="AH6" s="106" t="s">
        <v>8927</v>
      </c>
      <c r="AK6" s="193" t="s">
        <v>8723</v>
      </c>
      <c r="AL6" s="88" t="s">
        <v>9585</v>
      </c>
      <c r="AM6" s="88" t="s">
        <v>9573</v>
      </c>
      <c r="AN6" s="193" t="s">
        <v>8723</v>
      </c>
      <c r="AO6" s="88" t="s">
        <v>9585</v>
      </c>
      <c r="AP6" s="88" t="s">
        <v>9573</v>
      </c>
      <c r="AR6" s="193" t="s">
        <v>8723</v>
      </c>
      <c r="AS6" s="88" t="s">
        <v>9585</v>
      </c>
    </row>
    <row r="7" spans="1:45" s="19" customFormat="1" ht="20.100000000000001" customHeight="1" thickTop="1">
      <c r="A7" s="24" t="s">
        <v>31</v>
      </c>
      <c r="B7" s="19" t="s">
        <v>31</v>
      </c>
      <c r="C7" s="19" t="s">
        <v>31</v>
      </c>
      <c r="G7" s="19" t="s">
        <v>31</v>
      </c>
      <c r="K7" s="25" t="s">
        <v>31</v>
      </c>
      <c r="L7" s="26" t="s">
        <v>31</v>
      </c>
      <c r="M7" s="27" t="s">
        <v>31</v>
      </c>
      <c r="N7" s="27" t="s">
        <v>31</v>
      </c>
      <c r="O7" s="27"/>
      <c r="P7" s="27" t="s">
        <v>31</v>
      </c>
      <c r="Q7" s="26" t="s">
        <v>31</v>
      </c>
      <c r="R7" s="26" t="s">
        <v>31</v>
      </c>
      <c r="S7" s="27" t="s">
        <v>31</v>
      </c>
      <c r="T7" s="27" t="s">
        <v>31</v>
      </c>
      <c r="U7" s="26" t="s">
        <v>31</v>
      </c>
      <c r="V7" s="27" t="s">
        <v>31</v>
      </c>
      <c r="W7" s="27" t="s">
        <v>31</v>
      </c>
      <c r="X7" s="26" t="s">
        <v>31</v>
      </c>
      <c r="Y7" s="26" t="s">
        <v>31</v>
      </c>
      <c r="Z7" s="27" t="s">
        <v>31</v>
      </c>
      <c r="AA7" s="27" t="s">
        <v>31</v>
      </c>
      <c r="AB7" s="26" t="s">
        <v>31</v>
      </c>
      <c r="AC7" s="28"/>
      <c r="AD7" s="160" t="s">
        <v>31</v>
      </c>
      <c r="AE7" s="194"/>
      <c r="AF7" s="99"/>
      <c r="AG7" s="107"/>
      <c r="AH7" s="107"/>
      <c r="AN7" s="33"/>
      <c r="AO7" s="33"/>
      <c r="AP7" s="33"/>
    </row>
    <row r="8" spans="1:45" s="29" customFormat="1" ht="69.95" hidden="1" customHeight="1">
      <c r="A8" s="29" t="s">
        <v>3927</v>
      </c>
      <c r="B8" s="29" t="s">
        <v>3769</v>
      </c>
      <c r="C8" s="40" t="s">
        <v>32</v>
      </c>
      <c r="D8" s="40"/>
      <c r="E8" s="41" t="s">
        <v>9122</v>
      </c>
      <c r="F8" s="41" t="s">
        <v>9122</v>
      </c>
      <c r="G8" s="29" t="s">
        <v>402</v>
      </c>
      <c r="I8" s="124" t="s">
        <v>9121</v>
      </c>
      <c r="J8" s="29">
        <f t="shared" ref="J8:J71" si="0">COUNTIF(L:L,L8)</f>
        <v>1</v>
      </c>
      <c r="K8" s="42">
        <v>1</v>
      </c>
      <c r="L8" s="152" t="s">
        <v>403</v>
      </c>
      <c r="M8" s="44" t="s">
        <v>34</v>
      </c>
      <c r="N8" s="44" t="s">
        <v>56</v>
      </c>
      <c r="O8" s="101" t="str">
        <f t="shared" ref="O8:O41" si="1">F8</f>
        <v>PE-L1-1C185-01</v>
      </c>
      <c r="P8" s="45">
        <v>292</v>
      </c>
      <c r="Q8" s="44">
        <v>400</v>
      </c>
      <c r="R8" s="44" t="s">
        <v>49</v>
      </c>
      <c r="S8" s="101">
        <v>110</v>
      </c>
      <c r="T8" s="46" t="s">
        <v>3926</v>
      </c>
      <c r="U8" s="46" t="s">
        <v>3927</v>
      </c>
      <c r="V8" s="46" t="s">
        <v>3928</v>
      </c>
      <c r="W8" s="46" t="s">
        <v>335</v>
      </c>
      <c r="X8" s="47" t="s">
        <v>35</v>
      </c>
      <c r="Y8" s="46" t="s">
        <v>9497</v>
      </c>
      <c r="Z8" s="46" t="s">
        <v>9496</v>
      </c>
      <c r="AA8" s="46" t="s">
        <v>3931</v>
      </c>
      <c r="AB8" s="47" t="s">
        <v>44</v>
      </c>
      <c r="AC8" s="48" t="s">
        <v>3932</v>
      </c>
      <c r="AD8" s="30"/>
      <c r="AE8" s="195">
        <v>1</v>
      </c>
      <c r="AF8" s="112" t="s">
        <v>8822</v>
      </c>
      <c r="AG8" s="112" t="s">
        <v>8932</v>
      </c>
      <c r="AH8" s="112">
        <v>23</v>
      </c>
    </row>
    <row r="9" spans="1:45" s="29" customFormat="1" ht="69.95" hidden="1" customHeight="1">
      <c r="A9" s="49" t="s">
        <v>3927</v>
      </c>
      <c r="B9" s="49" t="s">
        <v>3769</v>
      </c>
      <c r="C9" s="50" t="s">
        <v>36</v>
      </c>
      <c r="D9" s="50"/>
      <c r="E9" s="41" t="s">
        <v>33</v>
      </c>
      <c r="F9" s="41" t="s">
        <v>33</v>
      </c>
      <c r="I9" s="124" t="s">
        <v>9121</v>
      </c>
      <c r="J9" s="29">
        <f t="shared" si="0"/>
        <v>1</v>
      </c>
      <c r="K9" s="42">
        <v>2</v>
      </c>
      <c r="L9" s="152" t="s">
        <v>404</v>
      </c>
      <c r="M9" s="43" t="s">
        <v>405</v>
      </c>
      <c r="N9" s="43" t="s">
        <v>56</v>
      </c>
      <c r="O9" s="101" t="str">
        <f t="shared" si="1"/>
        <v>PE-L1-1C185-01</v>
      </c>
      <c r="P9" s="51">
        <v>292</v>
      </c>
      <c r="Q9" s="43">
        <v>400</v>
      </c>
      <c r="R9" s="43" t="s">
        <v>49</v>
      </c>
      <c r="S9" s="101">
        <v>110</v>
      </c>
      <c r="T9" s="44" t="s">
        <v>3926</v>
      </c>
      <c r="U9" s="44" t="s">
        <v>3927</v>
      </c>
      <c r="V9" s="43" t="s">
        <v>3928</v>
      </c>
      <c r="W9" s="43" t="s">
        <v>335</v>
      </c>
      <c r="X9" s="47" t="s">
        <v>37</v>
      </c>
      <c r="Y9" s="43" t="s">
        <v>3929</v>
      </c>
      <c r="Z9" s="43" t="s">
        <v>3930</v>
      </c>
      <c r="AA9" s="43" t="s">
        <v>3931</v>
      </c>
      <c r="AB9" s="47" t="s">
        <v>45</v>
      </c>
      <c r="AC9" s="52" t="s">
        <v>3932</v>
      </c>
      <c r="AD9" s="30"/>
      <c r="AE9" s="195">
        <v>1</v>
      </c>
      <c r="AF9" s="112" t="s">
        <v>8822</v>
      </c>
      <c r="AG9" s="112" t="s">
        <v>8932</v>
      </c>
      <c r="AH9" s="112">
        <v>23</v>
      </c>
    </row>
    <row r="10" spans="1:45" s="29" customFormat="1" ht="69.95" hidden="1" customHeight="1">
      <c r="A10" s="49" t="s">
        <v>3927</v>
      </c>
      <c r="B10" s="49" t="s">
        <v>3769</v>
      </c>
      <c r="C10" s="50" t="s">
        <v>38</v>
      </c>
      <c r="D10" s="50"/>
      <c r="E10" s="41" t="s">
        <v>33</v>
      </c>
      <c r="F10" s="41" t="s">
        <v>33</v>
      </c>
      <c r="I10" s="124" t="s">
        <v>9121</v>
      </c>
      <c r="J10" s="29">
        <f t="shared" si="0"/>
        <v>1</v>
      </c>
      <c r="K10" s="42">
        <v>3</v>
      </c>
      <c r="L10" s="152" t="s">
        <v>406</v>
      </c>
      <c r="M10" s="43" t="s">
        <v>405</v>
      </c>
      <c r="N10" s="43" t="s">
        <v>56</v>
      </c>
      <c r="O10" s="101" t="str">
        <f t="shared" si="1"/>
        <v>PE-L1-1C185-01</v>
      </c>
      <c r="P10" s="51">
        <v>292</v>
      </c>
      <c r="Q10" s="43">
        <v>400</v>
      </c>
      <c r="R10" s="43" t="s">
        <v>49</v>
      </c>
      <c r="S10" s="152">
        <v>110</v>
      </c>
      <c r="T10" s="43" t="s">
        <v>3926</v>
      </c>
      <c r="U10" s="43" t="s">
        <v>3927</v>
      </c>
      <c r="V10" s="43" t="s">
        <v>3928</v>
      </c>
      <c r="W10" s="43" t="s">
        <v>335</v>
      </c>
      <c r="X10" s="47" t="s">
        <v>39</v>
      </c>
      <c r="Y10" s="43" t="s">
        <v>3929</v>
      </c>
      <c r="Z10" s="43" t="s">
        <v>9496</v>
      </c>
      <c r="AA10" s="43" t="s">
        <v>3931</v>
      </c>
      <c r="AB10" s="47" t="s">
        <v>46</v>
      </c>
      <c r="AC10" s="52" t="s">
        <v>3932</v>
      </c>
      <c r="AD10" s="30"/>
      <c r="AE10" s="195">
        <v>1</v>
      </c>
      <c r="AF10" s="112" t="s">
        <v>8822</v>
      </c>
      <c r="AG10" s="112" t="s">
        <v>8932</v>
      </c>
      <c r="AH10" s="112">
        <v>23</v>
      </c>
    </row>
    <row r="11" spans="1:45" s="29" customFormat="1" ht="69.95" hidden="1" customHeight="1">
      <c r="A11" s="49" t="s">
        <v>3927</v>
      </c>
      <c r="B11" s="49" t="s">
        <v>3769</v>
      </c>
      <c r="C11" s="50" t="s">
        <v>40</v>
      </c>
      <c r="D11" s="50"/>
      <c r="E11" s="41" t="s">
        <v>33</v>
      </c>
      <c r="F11" s="41" t="s">
        <v>33</v>
      </c>
      <c r="I11" s="124" t="s">
        <v>9121</v>
      </c>
      <c r="J11" s="29">
        <f t="shared" si="0"/>
        <v>1</v>
      </c>
      <c r="K11" s="42">
        <v>4</v>
      </c>
      <c r="L11" s="152" t="s">
        <v>407</v>
      </c>
      <c r="M11" s="43" t="s">
        <v>405</v>
      </c>
      <c r="N11" s="43" t="s">
        <v>56</v>
      </c>
      <c r="O11" s="101" t="str">
        <f t="shared" si="1"/>
        <v>PE-L1-1C185-01</v>
      </c>
      <c r="P11" s="51">
        <v>292</v>
      </c>
      <c r="Q11" s="43">
        <v>400</v>
      </c>
      <c r="R11" s="43" t="s">
        <v>49</v>
      </c>
      <c r="S11" s="101">
        <v>110</v>
      </c>
      <c r="T11" s="43" t="s">
        <v>3926</v>
      </c>
      <c r="U11" s="43" t="s">
        <v>3927</v>
      </c>
      <c r="V11" s="43" t="s">
        <v>3928</v>
      </c>
      <c r="W11" s="43" t="s">
        <v>335</v>
      </c>
      <c r="X11" s="47" t="s">
        <v>35</v>
      </c>
      <c r="Y11" s="43" t="s">
        <v>3929</v>
      </c>
      <c r="Z11" s="43" t="s">
        <v>3930</v>
      </c>
      <c r="AA11" s="43" t="s">
        <v>3931</v>
      </c>
      <c r="AB11" s="47" t="s">
        <v>44</v>
      </c>
      <c r="AC11" s="48" t="s">
        <v>3932</v>
      </c>
      <c r="AD11" s="30"/>
      <c r="AE11" s="195">
        <v>1</v>
      </c>
      <c r="AF11" s="112" t="s">
        <v>8822</v>
      </c>
      <c r="AG11" s="112" t="s">
        <v>8932</v>
      </c>
      <c r="AH11" s="112">
        <v>23</v>
      </c>
    </row>
    <row r="12" spans="1:45" s="29" customFormat="1" ht="69.95" hidden="1" customHeight="1">
      <c r="A12" s="49" t="s">
        <v>3927</v>
      </c>
      <c r="B12" s="49" t="s">
        <v>3769</v>
      </c>
      <c r="C12" s="50" t="s">
        <v>41</v>
      </c>
      <c r="D12" s="50"/>
      <c r="E12" s="41" t="s">
        <v>33</v>
      </c>
      <c r="F12" s="41" t="s">
        <v>33</v>
      </c>
      <c r="I12" s="124" t="s">
        <v>9121</v>
      </c>
      <c r="J12" s="29">
        <f t="shared" si="0"/>
        <v>1</v>
      </c>
      <c r="K12" s="42">
        <v>5</v>
      </c>
      <c r="L12" s="152" t="s">
        <v>408</v>
      </c>
      <c r="M12" s="43" t="s">
        <v>405</v>
      </c>
      <c r="N12" s="43" t="s">
        <v>56</v>
      </c>
      <c r="O12" s="101" t="str">
        <f t="shared" si="1"/>
        <v>PE-L1-1C185-01</v>
      </c>
      <c r="P12" s="51">
        <v>292</v>
      </c>
      <c r="Q12" s="43">
        <v>400</v>
      </c>
      <c r="R12" s="43" t="s">
        <v>49</v>
      </c>
      <c r="S12" s="152">
        <v>110</v>
      </c>
      <c r="T12" s="43" t="s">
        <v>3926</v>
      </c>
      <c r="U12" s="43" t="s">
        <v>3927</v>
      </c>
      <c r="V12" s="43" t="s">
        <v>3928</v>
      </c>
      <c r="W12" s="43" t="s">
        <v>335</v>
      </c>
      <c r="X12" s="47" t="s">
        <v>37</v>
      </c>
      <c r="Y12" s="43" t="s">
        <v>3929</v>
      </c>
      <c r="Z12" s="43" t="s">
        <v>3930</v>
      </c>
      <c r="AA12" s="43" t="s">
        <v>3931</v>
      </c>
      <c r="AB12" s="47" t="s">
        <v>45</v>
      </c>
      <c r="AC12" s="52" t="s">
        <v>3932</v>
      </c>
      <c r="AD12" s="30"/>
      <c r="AE12" s="195">
        <v>1</v>
      </c>
      <c r="AF12" s="112" t="s">
        <v>8822</v>
      </c>
      <c r="AG12" s="112" t="s">
        <v>8932</v>
      </c>
      <c r="AH12" s="112">
        <v>23</v>
      </c>
    </row>
    <row r="13" spans="1:45" s="29" customFormat="1" ht="69.95" hidden="1" customHeight="1">
      <c r="A13" s="49" t="s">
        <v>3927</v>
      </c>
      <c r="B13" s="49" t="s">
        <v>3769</v>
      </c>
      <c r="C13" s="50" t="s">
        <v>42</v>
      </c>
      <c r="D13" s="50"/>
      <c r="E13" s="41" t="s">
        <v>33</v>
      </c>
      <c r="F13" s="41" t="s">
        <v>33</v>
      </c>
      <c r="I13" s="124" t="s">
        <v>9121</v>
      </c>
      <c r="J13" s="29">
        <f t="shared" si="0"/>
        <v>1</v>
      </c>
      <c r="K13" s="42">
        <v>6</v>
      </c>
      <c r="L13" s="152" t="s">
        <v>409</v>
      </c>
      <c r="M13" s="43" t="s">
        <v>405</v>
      </c>
      <c r="N13" s="43" t="s">
        <v>56</v>
      </c>
      <c r="O13" s="101" t="str">
        <f t="shared" si="1"/>
        <v>PE-L1-1C185-01</v>
      </c>
      <c r="P13" s="51">
        <v>292</v>
      </c>
      <c r="Q13" s="43">
        <v>400</v>
      </c>
      <c r="R13" s="43" t="s">
        <v>49</v>
      </c>
      <c r="S13" s="152">
        <v>110</v>
      </c>
      <c r="T13" s="43" t="s">
        <v>3926</v>
      </c>
      <c r="U13" s="43" t="s">
        <v>3927</v>
      </c>
      <c r="V13" s="43" t="s">
        <v>3928</v>
      </c>
      <c r="W13" s="43" t="s">
        <v>335</v>
      </c>
      <c r="X13" s="47" t="s">
        <v>39</v>
      </c>
      <c r="Y13" s="43" t="s">
        <v>3929</v>
      </c>
      <c r="Z13" s="43" t="s">
        <v>3930</v>
      </c>
      <c r="AA13" s="43" t="s">
        <v>3931</v>
      </c>
      <c r="AB13" s="47" t="s">
        <v>46</v>
      </c>
      <c r="AC13" s="52" t="s">
        <v>3932</v>
      </c>
      <c r="AD13" s="30"/>
      <c r="AE13" s="195">
        <v>1</v>
      </c>
      <c r="AF13" s="112" t="s">
        <v>8822</v>
      </c>
      <c r="AG13" s="112" t="s">
        <v>8932</v>
      </c>
      <c r="AH13" s="112">
        <v>23</v>
      </c>
    </row>
    <row r="14" spans="1:45" s="29" customFormat="1" ht="69.95" hidden="1" customHeight="1">
      <c r="A14" s="49" t="s">
        <v>3927</v>
      </c>
      <c r="B14" s="49" t="s">
        <v>3769</v>
      </c>
      <c r="C14" s="50" t="s">
        <v>43</v>
      </c>
      <c r="D14" s="140"/>
      <c r="E14" s="41" t="s">
        <v>33</v>
      </c>
      <c r="F14" s="41" t="s">
        <v>33</v>
      </c>
      <c r="I14" s="124" t="s">
        <v>9121</v>
      </c>
      <c r="J14" s="29">
        <f t="shared" si="0"/>
        <v>1</v>
      </c>
      <c r="K14" s="42">
        <v>7</v>
      </c>
      <c r="L14" s="152" t="s">
        <v>410</v>
      </c>
      <c r="M14" s="43" t="s">
        <v>405</v>
      </c>
      <c r="N14" s="43" t="s">
        <v>56</v>
      </c>
      <c r="O14" s="101" t="str">
        <f t="shared" si="1"/>
        <v>PE-L1-1C185-01</v>
      </c>
      <c r="P14" s="51">
        <v>292</v>
      </c>
      <c r="Q14" s="43">
        <v>400</v>
      </c>
      <c r="R14" s="43" t="s">
        <v>49</v>
      </c>
      <c r="S14" s="152">
        <v>110</v>
      </c>
      <c r="T14" s="43" t="s">
        <v>3926</v>
      </c>
      <c r="U14" s="43" t="s">
        <v>3927</v>
      </c>
      <c r="V14" s="43" t="s">
        <v>3928</v>
      </c>
      <c r="W14" s="53" t="s">
        <v>335</v>
      </c>
      <c r="X14" s="47" t="s">
        <v>17</v>
      </c>
      <c r="Y14" s="43" t="s">
        <v>3929</v>
      </c>
      <c r="Z14" s="43" t="s">
        <v>3930</v>
      </c>
      <c r="AA14" s="43" t="s">
        <v>3931</v>
      </c>
      <c r="AB14" s="47" t="s">
        <v>49</v>
      </c>
      <c r="AC14" s="54" t="s">
        <v>3932</v>
      </c>
      <c r="AD14" s="30"/>
      <c r="AE14" s="195">
        <v>1</v>
      </c>
      <c r="AF14" s="112" t="s">
        <v>8822</v>
      </c>
      <c r="AG14" s="112" t="s">
        <v>8932</v>
      </c>
      <c r="AH14" s="112">
        <v>23</v>
      </c>
    </row>
    <row r="15" spans="1:45" s="29" customFormat="1" ht="69.95" hidden="1" customHeight="1">
      <c r="A15" s="29" t="s">
        <v>3933</v>
      </c>
      <c r="B15" s="29" t="s">
        <v>3769</v>
      </c>
      <c r="C15" s="40" t="s">
        <v>32</v>
      </c>
      <c r="D15" s="40"/>
      <c r="E15" s="41" t="s">
        <v>33</v>
      </c>
      <c r="F15" s="41" t="s">
        <v>33</v>
      </c>
      <c r="G15" s="29" t="s">
        <v>411</v>
      </c>
      <c r="J15" s="29">
        <f t="shared" si="0"/>
        <v>1</v>
      </c>
      <c r="K15" s="42">
        <v>8</v>
      </c>
      <c r="L15" s="43" t="s">
        <v>9493</v>
      </c>
      <c r="M15" s="44" t="s">
        <v>405</v>
      </c>
      <c r="N15" s="44" t="s">
        <v>56</v>
      </c>
      <c r="O15" s="44" t="str">
        <f t="shared" si="1"/>
        <v>PE-L1-1C185-01</v>
      </c>
      <c r="P15" s="45">
        <v>146</v>
      </c>
      <c r="Q15" s="44">
        <v>400</v>
      </c>
      <c r="R15" s="44" t="s">
        <v>412</v>
      </c>
      <c r="S15" s="44">
        <v>130</v>
      </c>
      <c r="T15" s="46" t="s">
        <v>3926</v>
      </c>
      <c r="U15" s="46" t="s">
        <v>3933</v>
      </c>
      <c r="V15" s="46" t="s">
        <v>3934</v>
      </c>
      <c r="W15" s="46" t="s">
        <v>335</v>
      </c>
      <c r="X15" s="47" t="s">
        <v>44</v>
      </c>
      <c r="Y15" s="46" t="s">
        <v>3935</v>
      </c>
      <c r="Z15" s="46" t="s">
        <v>8564</v>
      </c>
      <c r="AA15" s="46" t="s">
        <v>3931</v>
      </c>
      <c r="AB15" s="47" t="s">
        <v>44</v>
      </c>
      <c r="AC15" s="48" t="s">
        <v>3937</v>
      </c>
      <c r="AD15" s="30"/>
      <c r="AE15" s="195">
        <v>1</v>
      </c>
      <c r="AF15" s="112" t="s">
        <v>8822</v>
      </c>
      <c r="AG15" s="112" t="s">
        <v>8932</v>
      </c>
      <c r="AH15" s="112">
        <v>23</v>
      </c>
    </row>
    <row r="16" spans="1:45" s="29" customFormat="1" ht="69.95" hidden="1" customHeight="1">
      <c r="A16" s="49" t="s">
        <v>3933</v>
      </c>
      <c r="B16" s="49" t="s">
        <v>3769</v>
      </c>
      <c r="C16" s="50" t="s">
        <v>36</v>
      </c>
      <c r="D16" s="50"/>
      <c r="E16" s="41" t="s">
        <v>33</v>
      </c>
      <c r="F16" s="41" t="s">
        <v>33</v>
      </c>
      <c r="I16" s="124" t="s">
        <v>9121</v>
      </c>
      <c r="J16" s="29">
        <f t="shared" si="0"/>
        <v>1</v>
      </c>
      <c r="K16" s="42">
        <v>9</v>
      </c>
      <c r="L16" s="152" t="s">
        <v>9494</v>
      </c>
      <c r="M16" s="43" t="s">
        <v>405</v>
      </c>
      <c r="N16" s="43" t="s">
        <v>56</v>
      </c>
      <c r="O16" s="101" t="str">
        <f t="shared" si="1"/>
        <v>PE-L1-1C185-01</v>
      </c>
      <c r="P16" s="51">
        <v>146</v>
      </c>
      <c r="Q16" s="43">
        <v>400</v>
      </c>
      <c r="R16" s="43" t="s">
        <v>412</v>
      </c>
      <c r="S16" s="152">
        <v>130</v>
      </c>
      <c r="T16" s="43" t="s">
        <v>3926</v>
      </c>
      <c r="U16" s="43" t="s">
        <v>3933</v>
      </c>
      <c r="V16" s="43" t="s">
        <v>3934</v>
      </c>
      <c r="W16" s="43" t="s">
        <v>335</v>
      </c>
      <c r="X16" s="47" t="s">
        <v>45</v>
      </c>
      <c r="Y16" s="43" t="s">
        <v>3935</v>
      </c>
      <c r="Z16" s="43" t="s">
        <v>8564</v>
      </c>
      <c r="AA16" s="43" t="s">
        <v>3931</v>
      </c>
      <c r="AB16" s="47" t="s">
        <v>45</v>
      </c>
      <c r="AC16" s="52" t="s">
        <v>3937</v>
      </c>
      <c r="AD16" s="30"/>
      <c r="AE16" s="195">
        <v>1</v>
      </c>
      <c r="AF16" s="112" t="s">
        <v>8822</v>
      </c>
      <c r="AG16" s="112" t="s">
        <v>8932</v>
      </c>
      <c r="AH16" s="112">
        <v>23</v>
      </c>
    </row>
    <row r="17" spans="1:45" s="29" customFormat="1" ht="69.95" hidden="1" customHeight="1">
      <c r="A17" s="49" t="s">
        <v>3933</v>
      </c>
      <c r="B17" s="49" t="s">
        <v>3769</v>
      </c>
      <c r="C17" s="50" t="s">
        <v>38</v>
      </c>
      <c r="D17" s="50"/>
      <c r="E17" s="55" t="s">
        <v>33</v>
      </c>
      <c r="F17" s="55" t="s">
        <v>33</v>
      </c>
      <c r="I17" s="124" t="s">
        <v>9121</v>
      </c>
      <c r="J17" s="29">
        <f t="shared" si="0"/>
        <v>1</v>
      </c>
      <c r="K17" s="42">
        <v>10</v>
      </c>
      <c r="L17" s="152" t="s">
        <v>413</v>
      </c>
      <c r="M17" s="43" t="s">
        <v>405</v>
      </c>
      <c r="N17" s="43" t="s">
        <v>56</v>
      </c>
      <c r="O17" s="101" t="str">
        <f t="shared" si="1"/>
        <v>PE-L1-1C185-01</v>
      </c>
      <c r="P17" s="51">
        <v>146</v>
      </c>
      <c r="Q17" s="43">
        <v>400</v>
      </c>
      <c r="R17" s="43" t="s">
        <v>412</v>
      </c>
      <c r="S17" s="152">
        <v>130</v>
      </c>
      <c r="T17" s="43" t="s">
        <v>3926</v>
      </c>
      <c r="U17" s="43" t="s">
        <v>3933</v>
      </c>
      <c r="V17" s="43" t="s">
        <v>3934</v>
      </c>
      <c r="W17" s="43" t="s">
        <v>335</v>
      </c>
      <c r="X17" s="47" t="s">
        <v>46</v>
      </c>
      <c r="Y17" s="43" t="s">
        <v>3935</v>
      </c>
      <c r="Z17" s="43" t="s">
        <v>3936</v>
      </c>
      <c r="AA17" s="43" t="s">
        <v>3931</v>
      </c>
      <c r="AB17" s="47" t="s">
        <v>46</v>
      </c>
      <c r="AC17" s="52" t="s">
        <v>3937</v>
      </c>
      <c r="AD17" s="30"/>
      <c r="AE17" s="195">
        <v>1</v>
      </c>
      <c r="AF17" s="112" t="s">
        <v>8822</v>
      </c>
      <c r="AG17" s="112" t="s">
        <v>8932</v>
      </c>
      <c r="AH17" s="112">
        <v>23</v>
      </c>
    </row>
    <row r="18" spans="1:45" s="29" customFormat="1" ht="69.95" hidden="1" customHeight="1">
      <c r="A18" s="49" t="s">
        <v>3933</v>
      </c>
      <c r="B18" s="49" t="s">
        <v>3769</v>
      </c>
      <c r="C18" s="50" t="s">
        <v>40</v>
      </c>
      <c r="D18" s="50"/>
      <c r="E18" s="56" t="s">
        <v>47</v>
      </c>
      <c r="F18" s="56" t="s">
        <v>47</v>
      </c>
      <c r="I18" s="124" t="s">
        <v>9121</v>
      </c>
      <c r="J18" s="29">
        <f t="shared" si="0"/>
        <v>1</v>
      </c>
      <c r="K18" s="42">
        <v>11</v>
      </c>
      <c r="L18" s="152" t="s">
        <v>414</v>
      </c>
      <c r="M18" s="43" t="s">
        <v>405</v>
      </c>
      <c r="N18" s="43" t="s">
        <v>48</v>
      </c>
      <c r="O18" s="101" t="str">
        <f t="shared" si="1"/>
        <v>PE-L1-1C95-01</v>
      </c>
      <c r="P18" s="51">
        <v>146</v>
      </c>
      <c r="Q18" s="43">
        <v>400</v>
      </c>
      <c r="R18" s="43" t="s">
        <v>412</v>
      </c>
      <c r="S18" s="152">
        <v>130</v>
      </c>
      <c r="T18" s="43" t="s">
        <v>3926</v>
      </c>
      <c r="U18" s="43" t="s">
        <v>3933</v>
      </c>
      <c r="V18" s="43" t="s">
        <v>3934</v>
      </c>
      <c r="W18" s="53" t="s">
        <v>335</v>
      </c>
      <c r="X18" s="47" t="s">
        <v>49</v>
      </c>
      <c r="Y18" s="43" t="s">
        <v>3935</v>
      </c>
      <c r="Z18" s="43" t="s">
        <v>3936</v>
      </c>
      <c r="AA18" s="43" t="s">
        <v>3931</v>
      </c>
      <c r="AB18" s="47" t="s">
        <v>49</v>
      </c>
      <c r="AC18" s="54" t="s">
        <v>3937</v>
      </c>
      <c r="AD18" s="30"/>
      <c r="AE18" s="195">
        <v>1</v>
      </c>
      <c r="AF18" s="112" t="s">
        <v>8722</v>
      </c>
      <c r="AG18" s="112" t="s">
        <v>8925</v>
      </c>
      <c r="AH18" s="114">
        <v>17.5</v>
      </c>
    </row>
    <row r="19" spans="1:45" s="29" customFormat="1" ht="69.95" hidden="1" customHeight="1">
      <c r="A19" s="29" t="s">
        <v>3938</v>
      </c>
      <c r="B19" s="29" t="s">
        <v>8652</v>
      </c>
      <c r="C19" s="40" t="s">
        <v>32</v>
      </c>
      <c r="D19" s="40"/>
      <c r="E19" s="57" t="s">
        <v>50</v>
      </c>
      <c r="F19" s="57" t="s">
        <v>50</v>
      </c>
      <c r="G19" s="29" t="s">
        <v>415</v>
      </c>
      <c r="I19" s="124" t="s">
        <v>9121</v>
      </c>
      <c r="J19" s="29">
        <f t="shared" si="0"/>
        <v>1</v>
      </c>
      <c r="K19" s="42">
        <v>12</v>
      </c>
      <c r="L19" s="152" t="s">
        <v>416</v>
      </c>
      <c r="M19" s="44" t="s">
        <v>417</v>
      </c>
      <c r="N19" s="44" t="s">
        <v>418</v>
      </c>
      <c r="O19" s="101" t="str">
        <f t="shared" si="1"/>
        <v>PE-M1-3C120-01</v>
      </c>
      <c r="P19" s="45">
        <v>2900</v>
      </c>
      <c r="Q19" s="44">
        <v>10000</v>
      </c>
      <c r="R19" s="44" t="s">
        <v>49</v>
      </c>
      <c r="S19" s="101">
        <v>110</v>
      </c>
      <c r="T19" s="46" t="s">
        <v>3926</v>
      </c>
      <c r="U19" s="46" t="s">
        <v>3938</v>
      </c>
      <c r="V19" s="46" t="s">
        <v>334</v>
      </c>
      <c r="W19" s="46" t="s">
        <v>335</v>
      </c>
      <c r="X19" s="47" t="s">
        <v>51</v>
      </c>
      <c r="Y19" s="46" t="s">
        <v>3939</v>
      </c>
      <c r="Z19" s="46" t="s">
        <v>3940</v>
      </c>
      <c r="AA19" s="46" t="s">
        <v>3931</v>
      </c>
      <c r="AB19" s="47" t="s">
        <v>3941</v>
      </c>
      <c r="AC19" s="48" t="s">
        <v>3942</v>
      </c>
      <c r="AD19" s="30"/>
      <c r="AE19" s="196"/>
      <c r="AF19" s="104"/>
      <c r="AH19" s="47">
        <v>55</v>
      </c>
      <c r="AR19" s="241">
        <v>2</v>
      </c>
      <c r="AS19" s="241" t="s">
        <v>9587</v>
      </c>
    </row>
    <row r="20" spans="1:45" s="29" customFormat="1" ht="69.95" hidden="1" customHeight="1">
      <c r="A20" s="29" t="s">
        <v>3938</v>
      </c>
      <c r="B20" s="29" t="s">
        <v>8652</v>
      </c>
      <c r="C20" s="40" t="s">
        <v>36</v>
      </c>
      <c r="D20" s="40"/>
      <c r="E20" s="57" t="s">
        <v>52</v>
      </c>
      <c r="F20" s="57" t="s">
        <v>52</v>
      </c>
      <c r="G20" s="29" t="s">
        <v>419</v>
      </c>
      <c r="I20" s="124" t="s">
        <v>9121</v>
      </c>
      <c r="J20" s="29">
        <f t="shared" si="0"/>
        <v>1</v>
      </c>
      <c r="K20" s="42">
        <v>13</v>
      </c>
      <c r="L20" s="152" t="s">
        <v>420</v>
      </c>
      <c r="M20" s="44" t="s">
        <v>417</v>
      </c>
      <c r="N20" s="44" t="s">
        <v>418</v>
      </c>
      <c r="O20" s="101" t="str">
        <f t="shared" si="1"/>
        <v>PE-M1-3C120-01</v>
      </c>
      <c r="P20" s="45">
        <v>1230</v>
      </c>
      <c r="Q20" s="44">
        <v>10000</v>
      </c>
      <c r="R20" s="44" t="s">
        <v>49</v>
      </c>
      <c r="S20" s="101">
        <v>120</v>
      </c>
      <c r="T20" s="46" t="s">
        <v>3926</v>
      </c>
      <c r="U20" s="46" t="s">
        <v>7982</v>
      </c>
      <c r="V20" s="46" t="s">
        <v>7983</v>
      </c>
      <c r="W20" s="46" t="s">
        <v>335</v>
      </c>
      <c r="X20" s="47" t="s">
        <v>51</v>
      </c>
      <c r="Y20" s="46" t="s">
        <v>3943</v>
      </c>
      <c r="Z20" s="46" t="s">
        <v>7977</v>
      </c>
      <c r="AA20" s="46" t="s">
        <v>3931</v>
      </c>
      <c r="AB20" s="47" t="s">
        <v>3941</v>
      </c>
      <c r="AC20" s="48" t="s">
        <v>3944</v>
      </c>
      <c r="AD20" s="30"/>
      <c r="AE20" s="197"/>
      <c r="AF20" s="47"/>
      <c r="AH20" s="47">
        <v>55</v>
      </c>
      <c r="AM20" s="29">
        <v>1</v>
      </c>
      <c r="AR20" s="241">
        <v>2</v>
      </c>
      <c r="AS20" s="241" t="s">
        <v>9587</v>
      </c>
    </row>
    <row r="21" spans="1:45" s="29" customFormat="1" ht="69.95" hidden="1" customHeight="1">
      <c r="A21" s="29" t="s">
        <v>3938</v>
      </c>
      <c r="B21" s="29" t="s">
        <v>8652</v>
      </c>
      <c r="C21" s="40" t="s">
        <v>38</v>
      </c>
      <c r="D21" s="40"/>
      <c r="E21" s="57" t="s">
        <v>50</v>
      </c>
      <c r="F21" s="57" t="s">
        <v>50</v>
      </c>
      <c r="G21" s="29" t="s">
        <v>421</v>
      </c>
      <c r="I21" s="124" t="s">
        <v>9121</v>
      </c>
      <c r="J21" s="29">
        <f t="shared" si="0"/>
        <v>1</v>
      </c>
      <c r="K21" s="42">
        <v>14</v>
      </c>
      <c r="L21" s="152" t="s">
        <v>422</v>
      </c>
      <c r="M21" s="44" t="s">
        <v>417</v>
      </c>
      <c r="N21" s="44" t="s">
        <v>418</v>
      </c>
      <c r="O21" s="101" t="str">
        <f t="shared" si="1"/>
        <v>PE-M1-3C120-01</v>
      </c>
      <c r="P21" s="45">
        <v>500</v>
      </c>
      <c r="Q21" s="44">
        <v>10000</v>
      </c>
      <c r="R21" s="44" t="s">
        <v>49</v>
      </c>
      <c r="S21" s="101">
        <v>130</v>
      </c>
      <c r="T21" s="46" t="s">
        <v>3926</v>
      </c>
      <c r="U21" s="46" t="s">
        <v>3938</v>
      </c>
      <c r="V21" s="46" t="s">
        <v>334</v>
      </c>
      <c r="W21" s="46" t="s">
        <v>335</v>
      </c>
      <c r="X21" s="47" t="s">
        <v>51</v>
      </c>
      <c r="Y21" s="46" t="s">
        <v>3945</v>
      </c>
      <c r="Z21" s="46" t="s">
        <v>3946</v>
      </c>
      <c r="AA21" s="46" t="s">
        <v>3931</v>
      </c>
      <c r="AB21" s="47" t="s">
        <v>3941</v>
      </c>
      <c r="AC21" s="48" t="s">
        <v>3947</v>
      </c>
      <c r="AD21" s="30"/>
      <c r="AE21" s="197"/>
      <c r="AF21" s="47"/>
      <c r="AH21" s="47">
        <v>55</v>
      </c>
      <c r="AR21" s="241">
        <v>2</v>
      </c>
      <c r="AS21" s="241" t="s">
        <v>9587</v>
      </c>
    </row>
    <row r="22" spans="1:45" s="29" customFormat="1" ht="69.95" hidden="1" customHeight="1">
      <c r="A22" s="29" t="s">
        <v>3938</v>
      </c>
      <c r="B22" s="29" t="s">
        <v>3769</v>
      </c>
      <c r="C22" s="40" t="s">
        <v>32</v>
      </c>
      <c r="D22" s="40"/>
      <c r="E22" s="56" t="s">
        <v>8017</v>
      </c>
      <c r="F22" s="57" t="s">
        <v>8017</v>
      </c>
      <c r="G22" s="29" t="s">
        <v>424</v>
      </c>
      <c r="J22" s="29">
        <f t="shared" si="0"/>
        <v>1</v>
      </c>
      <c r="K22" s="187">
        <v>15</v>
      </c>
      <c r="L22" s="43" t="s">
        <v>425</v>
      </c>
      <c r="M22" s="44" t="s">
        <v>405</v>
      </c>
      <c r="N22" s="44" t="s">
        <v>426</v>
      </c>
      <c r="O22" s="44" t="str">
        <f t="shared" si="1"/>
        <v>PE-L1-3C4-01</v>
      </c>
      <c r="P22" s="45">
        <v>0.315</v>
      </c>
      <c r="Q22" s="44">
        <v>230</v>
      </c>
      <c r="R22" s="44" t="s">
        <v>49</v>
      </c>
      <c r="S22" s="44">
        <v>140</v>
      </c>
      <c r="T22" s="46" t="s">
        <v>3926</v>
      </c>
      <c r="U22" s="46" t="s">
        <v>3938</v>
      </c>
      <c r="V22" s="46" t="s">
        <v>334</v>
      </c>
      <c r="W22" s="46" t="s">
        <v>335</v>
      </c>
      <c r="X22" s="172" t="s">
        <v>9167</v>
      </c>
      <c r="Y22" s="46" t="s">
        <v>3950</v>
      </c>
      <c r="Z22" s="46" t="s">
        <v>3951</v>
      </c>
      <c r="AA22" s="46" t="s">
        <v>3931</v>
      </c>
      <c r="AB22" s="172" t="s">
        <v>9167</v>
      </c>
      <c r="AC22" s="186" t="s">
        <v>3952</v>
      </c>
      <c r="AD22" s="203"/>
      <c r="AE22" s="197"/>
      <c r="AF22" s="47"/>
      <c r="AH22" s="47">
        <v>13</v>
      </c>
    </row>
    <row r="23" spans="1:45" s="29" customFormat="1" ht="69.95" hidden="1" customHeight="1">
      <c r="A23" s="29" t="s">
        <v>3953</v>
      </c>
      <c r="B23" s="29" t="s">
        <v>3769</v>
      </c>
      <c r="C23" s="40" t="s">
        <v>32</v>
      </c>
      <c r="D23" s="173" t="s">
        <v>9133</v>
      </c>
      <c r="E23" s="57" t="s">
        <v>54</v>
      </c>
      <c r="F23" s="121" t="s">
        <v>189</v>
      </c>
      <c r="G23" s="29" t="s">
        <v>427</v>
      </c>
      <c r="J23" s="29">
        <f t="shared" si="0"/>
        <v>1</v>
      </c>
      <c r="K23" s="42">
        <v>16</v>
      </c>
      <c r="L23" s="43" t="s">
        <v>9134</v>
      </c>
      <c r="M23" s="44" t="s">
        <v>405</v>
      </c>
      <c r="N23" s="44" t="s">
        <v>426</v>
      </c>
      <c r="O23" s="121" t="str">
        <f t="shared" si="1"/>
        <v>PE-L1-3C4-13</v>
      </c>
      <c r="P23" s="45">
        <v>1.19</v>
      </c>
      <c r="Q23" s="44">
        <v>230</v>
      </c>
      <c r="R23" s="44" t="s">
        <v>428</v>
      </c>
      <c r="S23" s="44">
        <v>30</v>
      </c>
      <c r="T23" s="46" t="s">
        <v>3926</v>
      </c>
      <c r="U23" s="46" t="s">
        <v>3953</v>
      </c>
      <c r="V23" s="46" t="s">
        <v>3954</v>
      </c>
      <c r="W23" s="46" t="s">
        <v>55</v>
      </c>
      <c r="X23" s="172" t="s">
        <v>9167</v>
      </c>
      <c r="Y23" s="46" t="s">
        <v>3955</v>
      </c>
      <c r="Z23" s="46" t="s">
        <v>3956</v>
      </c>
      <c r="AA23" s="46" t="s">
        <v>3957</v>
      </c>
      <c r="AB23" s="172" t="s">
        <v>9167</v>
      </c>
      <c r="AC23" s="48" t="s">
        <v>3958</v>
      </c>
      <c r="AD23" s="30"/>
      <c r="AE23" s="197"/>
      <c r="AF23" s="47"/>
      <c r="AH23" s="47">
        <v>13</v>
      </c>
    </row>
    <row r="24" spans="1:45" s="29" customFormat="1" ht="69.95" hidden="1" customHeight="1">
      <c r="A24" s="29" t="s">
        <v>3959</v>
      </c>
      <c r="B24" s="29" t="s">
        <v>3769</v>
      </c>
      <c r="C24" s="40" t="s">
        <v>32</v>
      </c>
      <c r="D24" s="40"/>
      <c r="E24" s="58" t="s">
        <v>54</v>
      </c>
      <c r="F24" s="57" t="s">
        <v>54</v>
      </c>
      <c r="G24" s="29" t="s">
        <v>429</v>
      </c>
      <c r="J24" s="29">
        <f t="shared" si="0"/>
        <v>1</v>
      </c>
      <c r="K24" s="42">
        <v>17</v>
      </c>
      <c r="L24" s="43" t="s">
        <v>430</v>
      </c>
      <c r="M24" s="44" t="s">
        <v>405</v>
      </c>
      <c r="N24" s="44" t="s">
        <v>426</v>
      </c>
      <c r="O24" s="44" t="str">
        <f t="shared" si="1"/>
        <v>PE-L1-3C4-01</v>
      </c>
      <c r="P24" s="45">
        <v>0.7</v>
      </c>
      <c r="Q24" s="44">
        <v>230</v>
      </c>
      <c r="R24" s="44" t="s">
        <v>428</v>
      </c>
      <c r="S24" s="44">
        <v>120</v>
      </c>
      <c r="T24" s="46" t="s">
        <v>3926</v>
      </c>
      <c r="U24" s="46" t="s">
        <v>3959</v>
      </c>
      <c r="V24" s="46" t="s">
        <v>3960</v>
      </c>
      <c r="W24" s="46" t="s">
        <v>335</v>
      </c>
      <c r="X24" s="172" t="s">
        <v>9167</v>
      </c>
      <c r="Y24" s="46" t="s">
        <v>3961</v>
      </c>
      <c r="Z24" s="46" t="s">
        <v>3962</v>
      </c>
      <c r="AA24" s="46" t="s">
        <v>3931</v>
      </c>
      <c r="AB24" s="172" t="s">
        <v>9167</v>
      </c>
      <c r="AC24" s="48" t="s">
        <v>3963</v>
      </c>
      <c r="AD24" s="30"/>
      <c r="AE24" s="198"/>
      <c r="AF24" s="102"/>
      <c r="AH24" s="47">
        <v>13</v>
      </c>
    </row>
    <row r="25" spans="1:45" s="29" customFormat="1" ht="69.95" hidden="1" customHeight="1">
      <c r="A25" s="29" t="s">
        <v>3964</v>
      </c>
      <c r="B25" s="29" t="s">
        <v>3769</v>
      </c>
      <c r="C25" s="40" t="s">
        <v>32</v>
      </c>
      <c r="D25" s="40"/>
      <c r="E25" s="72" t="s">
        <v>8566</v>
      </c>
      <c r="F25" s="72" t="s">
        <v>8566</v>
      </c>
      <c r="G25" s="29" t="s">
        <v>431</v>
      </c>
      <c r="I25" s="124" t="s">
        <v>9121</v>
      </c>
      <c r="J25" s="29">
        <f t="shared" si="0"/>
        <v>1</v>
      </c>
      <c r="K25" s="189">
        <v>18</v>
      </c>
      <c r="L25" s="152" t="s">
        <v>432</v>
      </c>
      <c r="M25" s="44" t="s">
        <v>405</v>
      </c>
      <c r="N25" s="188" t="s">
        <v>8565</v>
      </c>
      <c r="O25" s="101" t="str">
        <f t="shared" si="1"/>
        <v>PE-L1-1C240-07</v>
      </c>
      <c r="P25" s="45">
        <v>292</v>
      </c>
      <c r="Q25" s="44">
        <v>400</v>
      </c>
      <c r="R25" s="44" t="s">
        <v>49</v>
      </c>
      <c r="S25" s="101">
        <v>210</v>
      </c>
      <c r="T25" s="46" t="s">
        <v>3926</v>
      </c>
      <c r="U25" s="46" t="s">
        <v>3964</v>
      </c>
      <c r="V25" s="46" t="s">
        <v>3965</v>
      </c>
      <c r="W25" s="46" t="s">
        <v>335</v>
      </c>
      <c r="X25" s="47" t="s">
        <v>35</v>
      </c>
      <c r="Y25" s="46" t="s">
        <v>3966</v>
      </c>
      <c r="Z25" s="46" t="s">
        <v>8569</v>
      </c>
      <c r="AA25" s="46" t="s">
        <v>3968</v>
      </c>
      <c r="AB25" s="47" t="s">
        <v>44</v>
      </c>
      <c r="AC25" s="48" t="s">
        <v>3969</v>
      </c>
      <c r="AD25" s="30"/>
      <c r="AE25" s="195">
        <v>1</v>
      </c>
      <c r="AF25" s="112" t="s">
        <v>8822</v>
      </c>
      <c r="AG25" s="112" t="s">
        <v>8932</v>
      </c>
      <c r="AH25" s="114">
        <v>25.5</v>
      </c>
      <c r="AK25" s="47" t="s">
        <v>9579</v>
      </c>
      <c r="AL25" s="47"/>
      <c r="AM25" s="47"/>
      <c r="AN25" s="47">
        <v>1</v>
      </c>
      <c r="AO25" s="47" t="s">
        <v>9576</v>
      </c>
      <c r="AP25" s="47">
        <v>1</v>
      </c>
    </row>
    <row r="26" spans="1:45" s="29" customFormat="1" ht="69.95" hidden="1" customHeight="1">
      <c r="A26" s="49" t="s">
        <v>3964</v>
      </c>
      <c r="B26" s="49" t="s">
        <v>3769</v>
      </c>
      <c r="C26" s="50" t="s">
        <v>36</v>
      </c>
      <c r="D26" s="50"/>
      <c r="E26" s="72" t="s">
        <v>8566</v>
      </c>
      <c r="F26" s="72" t="s">
        <v>8566</v>
      </c>
      <c r="I26" s="124" t="s">
        <v>9121</v>
      </c>
      <c r="J26" s="29">
        <f t="shared" si="0"/>
        <v>1</v>
      </c>
      <c r="K26" s="189">
        <v>19</v>
      </c>
      <c r="L26" s="152" t="s">
        <v>434</v>
      </c>
      <c r="M26" s="43" t="s">
        <v>405</v>
      </c>
      <c r="N26" s="188" t="s">
        <v>8565</v>
      </c>
      <c r="O26" s="101" t="str">
        <f t="shared" si="1"/>
        <v>PE-L1-1C240-07</v>
      </c>
      <c r="P26" s="51">
        <v>292</v>
      </c>
      <c r="Q26" s="43">
        <v>400</v>
      </c>
      <c r="R26" s="43" t="s">
        <v>49</v>
      </c>
      <c r="S26" s="152">
        <v>210</v>
      </c>
      <c r="T26" s="43" t="s">
        <v>3926</v>
      </c>
      <c r="U26" s="43" t="s">
        <v>3964</v>
      </c>
      <c r="V26" s="43" t="s">
        <v>3965</v>
      </c>
      <c r="W26" s="43" t="s">
        <v>335</v>
      </c>
      <c r="X26" s="47" t="s">
        <v>37</v>
      </c>
      <c r="Y26" s="43" t="s">
        <v>3966</v>
      </c>
      <c r="Z26" s="43" t="s">
        <v>3967</v>
      </c>
      <c r="AA26" s="43" t="s">
        <v>3968</v>
      </c>
      <c r="AB26" s="47" t="s">
        <v>45</v>
      </c>
      <c r="AC26" s="52" t="s">
        <v>3969</v>
      </c>
      <c r="AD26" s="30"/>
      <c r="AE26" s="195">
        <v>1</v>
      </c>
      <c r="AF26" s="112" t="s">
        <v>8822</v>
      </c>
      <c r="AG26" s="112" t="s">
        <v>8932</v>
      </c>
      <c r="AH26" s="114">
        <v>25.5</v>
      </c>
      <c r="AK26" s="47" t="s">
        <v>9579</v>
      </c>
      <c r="AL26" s="47"/>
      <c r="AM26" s="47"/>
      <c r="AN26" s="47">
        <v>1</v>
      </c>
      <c r="AO26" s="47" t="s">
        <v>9576</v>
      </c>
      <c r="AP26" s="47">
        <v>1</v>
      </c>
    </row>
    <row r="27" spans="1:45" s="29" customFormat="1" ht="69.95" hidden="1" customHeight="1">
      <c r="A27" s="49" t="s">
        <v>3964</v>
      </c>
      <c r="B27" s="49" t="s">
        <v>3769</v>
      </c>
      <c r="C27" s="50" t="s">
        <v>38</v>
      </c>
      <c r="D27" s="50"/>
      <c r="E27" s="72" t="s">
        <v>8566</v>
      </c>
      <c r="F27" s="72" t="s">
        <v>8566</v>
      </c>
      <c r="I27" s="124" t="s">
        <v>9121</v>
      </c>
      <c r="J27" s="29">
        <f t="shared" si="0"/>
        <v>1</v>
      </c>
      <c r="K27" s="189">
        <v>20</v>
      </c>
      <c r="L27" s="152" t="s">
        <v>435</v>
      </c>
      <c r="M27" s="43" t="s">
        <v>405</v>
      </c>
      <c r="N27" s="188" t="s">
        <v>8565</v>
      </c>
      <c r="O27" s="101" t="str">
        <f t="shared" si="1"/>
        <v>PE-L1-1C240-07</v>
      </c>
      <c r="P27" s="51">
        <v>292</v>
      </c>
      <c r="Q27" s="43">
        <v>400</v>
      </c>
      <c r="R27" s="43" t="s">
        <v>49</v>
      </c>
      <c r="S27" s="152">
        <v>210</v>
      </c>
      <c r="T27" s="43" t="s">
        <v>3926</v>
      </c>
      <c r="U27" s="43" t="s">
        <v>3964</v>
      </c>
      <c r="V27" s="43" t="s">
        <v>3965</v>
      </c>
      <c r="W27" s="43" t="s">
        <v>335</v>
      </c>
      <c r="X27" s="47" t="s">
        <v>39</v>
      </c>
      <c r="Y27" s="43" t="s">
        <v>3966</v>
      </c>
      <c r="Z27" s="43" t="s">
        <v>3967</v>
      </c>
      <c r="AA27" s="43" t="s">
        <v>3968</v>
      </c>
      <c r="AB27" s="47" t="s">
        <v>46</v>
      </c>
      <c r="AC27" s="52" t="s">
        <v>3969</v>
      </c>
      <c r="AD27" s="30"/>
      <c r="AE27" s="195">
        <v>1</v>
      </c>
      <c r="AF27" s="112" t="s">
        <v>8822</v>
      </c>
      <c r="AG27" s="112" t="s">
        <v>8932</v>
      </c>
      <c r="AH27" s="114">
        <v>25.5</v>
      </c>
      <c r="AK27" s="47" t="s">
        <v>9579</v>
      </c>
      <c r="AL27" s="47"/>
      <c r="AM27" s="47"/>
      <c r="AN27" s="47">
        <v>1</v>
      </c>
      <c r="AO27" s="47" t="s">
        <v>9576</v>
      </c>
      <c r="AP27" s="47">
        <v>1</v>
      </c>
    </row>
    <row r="28" spans="1:45" s="29" customFormat="1" ht="69.95" hidden="1" customHeight="1">
      <c r="A28" s="49" t="s">
        <v>3964</v>
      </c>
      <c r="B28" s="49" t="s">
        <v>3769</v>
      </c>
      <c r="C28" s="50" t="s">
        <v>40</v>
      </c>
      <c r="D28" s="50"/>
      <c r="E28" s="72" t="s">
        <v>8566</v>
      </c>
      <c r="F28" s="72" t="s">
        <v>8566</v>
      </c>
      <c r="I28" s="124" t="s">
        <v>9121</v>
      </c>
      <c r="J28" s="29">
        <f t="shared" si="0"/>
        <v>1</v>
      </c>
      <c r="K28" s="189">
        <v>21</v>
      </c>
      <c r="L28" s="152" t="s">
        <v>436</v>
      </c>
      <c r="M28" s="43" t="s">
        <v>405</v>
      </c>
      <c r="N28" s="188" t="s">
        <v>8565</v>
      </c>
      <c r="O28" s="101" t="str">
        <f t="shared" si="1"/>
        <v>PE-L1-1C240-07</v>
      </c>
      <c r="P28" s="51">
        <v>292</v>
      </c>
      <c r="Q28" s="43">
        <v>400</v>
      </c>
      <c r="R28" s="43" t="s">
        <v>49</v>
      </c>
      <c r="S28" s="152">
        <v>210</v>
      </c>
      <c r="T28" s="43" t="s">
        <v>3926</v>
      </c>
      <c r="U28" s="43" t="s">
        <v>3964</v>
      </c>
      <c r="V28" s="43" t="s">
        <v>3965</v>
      </c>
      <c r="W28" s="43" t="s">
        <v>335</v>
      </c>
      <c r="X28" s="47" t="s">
        <v>35</v>
      </c>
      <c r="Y28" s="43" t="s">
        <v>3966</v>
      </c>
      <c r="Z28" s="43" t="s">
        <v>3967</v>
      </c>
      <c r="AA28" s="43" t="s">
        <v>3968</v>
      </c>
      <c r="AB28" s="47" t="s">
        <v>44</v>
      </c>
      <c r="AC28" s="48" t="s">
        <v>3969</v>
      </c>
      <c r="AD28" s="30"/>
      <c r="AE28" s="195">
        <v>1</v>
      </c>
      <c r="AF28" s="112" t="s">
        <v>8822</v>
      </c>
      <c r="AG28" s="112" t="s">
        <v>8932</v>
      </c>
      <c r="AH28" s="114">
        <v>25.5</v>
      </c>
      <c r="AK28" s="47" t="s">
        <v>9579</v>
      </c>
      <c r="AL28" s="47"/>
      <c r="AM28" s="47"/>
      <c r="AN28" s="47">
        <v>1</v>
      </c>
      <c r="AO28" s="47" t="s">
        <v>9576</v>
      </c>
      <c r="AP28" s="47">
        <v>1</v>
      </c>
    </row>
    <row r="29" spans="1:45" s="29" customFormat="1" ht="69.95" hidden="1" customHeight="1">
      <c r="A29" s="49" t="s">
        <v>3964</v>
      </c>
      <c r="B29" s="49" t="s">
        <v>3769</v>
      </c>
      <c r="C29" s="50" t="s">
        <v>41</v>
      </c>
      <c r="D29" s="50"/>
      <c r="E29" s="72" t="s">
        <v>8566</v>
      </c>
      <c r="F29" s="72" t="s">
        <v>8566</v>
      </c>
      <c r="I29" s="124" t="s">
        <v>9121</v>
      </c>
      <c r="J29" s="29">
        <f t="shared" si="0"/>
        <v>1</v>
      </c>
      <c r="K29" s="189">
        <v>22</v>
      </c>
      <c r="L29" s="152" t="s">
        <v>437</v>
      </c>
      <c r="M29" s="43" t="s">
        <v>405</v>
      </c>
      <c r="N29" s="188" t="s">
        <v>8565</v>
      </c>
      <c r="O29" s="101" t="str">
        <f t="shared" si="1"/>
        <v>PE-L1-1C240-07</v>
      </c>
      <c r="P29" s="51">
        <v>292</v>
      </c>
      <c r="Q29" s="43">
        <v>400</v>
      </c>
      <c r="R29" s="43" t="s">
        <v>49</v>
      </c>
      <c r="S29" s="152">
        <v>210</v>
      </c>
      <c r="T29" s="43" t="s">
        <v>3926</v>
      </c>
      <c r="U29" s="43" t="s">
        <v>3964</v>
      </c>
      <c r="V29" s="43" t="s">
        <v>3965</v>
      </c>
      <c r="W29" s="43" t="s">
        <v>335</v>
      </c>
      <c r="X29" s="47" t="s">
        <v>37</v>
      </c>
      <c r="Y29" s="43" t="s">
        <v>3966</v>
      </c>
      <c r="Z29" s="43" t="s">
        <v>3967</v>
      </c>
      <c r="AA29" s="43" t="s">
        <v>3968</v>
      </c>
      <c r="AB29" s="47" t="s">
        <v>45</v>
      </c>
      <c r="AC29" s="52" t="s">
        <v>3969</v>
      </c>
      <c r="AD29" s="30"/>
      <c r="AE29" s="195">
        <v>1</v>
      </c>
      <c r="AF29" s="112" t="s">
        <v>8822</v>
      </c>
      <c r="AG29" s="112" t="s">
        <v>8932</v>
      </c>
      <c r="AH29" s="114">
        <v>25.5</v>
      </c>
      <c r="AK29" s="47" t="s">
        <v>9579</v>
      </c>
      <c r="AL29" s="47"/>
      <c r="AM29" s="47"/>
      <c r="AN29" s="47">
        <v>1</v>
      </c>
      <c r="AO29" s="47" t="s">
        <v>9576</v>
      </c>
      <c r="AP29" s="47">
        <v>1</v>
      </c>
    </row>
    <row r="30" spans="1:45" s="29" customFormat="1" ht="69.95" hidden="1" customHeight="1">
      <c r="A30" s="49" t="s">
        <v>3964</v>
      </c>
      <c r="B30" s="49" t="s">
        <v>3769</v>
      </c>
      <c r="C30" s="50" t="s">
        <v>42</v>
      </c>
      <c r="D30" s="50"/>
      <c r="E30" s="72" t="s">
        <v>8567</v>
      </c>
      <c r="F30" s="72" t="s">
        <v>8567</v>
      </c>
      <c r="I30" s="124" t="s">
        <v>9121</v>
      </c>
      <c r="J30" s="29">
        <f t="shared" si="0"/>
        <v>1</v>
      </c>
      <c r="K30" s="189">
        <v>23</v>
      </c>
      <c r="L30" s="152" t="s">
        <v>438</v>
      </c>
      <c r="M30" s="43" t="s">
        <v>405</v>
      </c>
      <c r="N30" s="188" t="s">
        <v>8565</v>
      </c>
      <c r="O30" s="101" t="str">
        <f t="shared" si="1"/>
        <v>PE-L1-1C240-08</v>
      </c>
      <c r="P30" s="51">
        <v>292</v>
      </c>
      <c r="Q30" s="43">
        <v>400</v>
      </c>
      <c r="R30" s="43" t="s">
        <v>49</v>
      </c>
      <c r="S30" s="152">
        <v>210</v>
      </c>
      <c r="T30" s="43" t="s">
        <v>3926</v>
      </c>
      <c r="U30" s="43" t="s">
        <v>3964</v>
      </c>
      <c r="V30" s="43" t="s">
        <v>3965</v>
      </c>
      <c r="W30" s="43" t="s">
        <v>335</v>
      </c>
      <c r="X30" s="47" t="s">
        <v>39</v>
      </c>
      <c r="Y30" s="43" t="s">
        <v>3966</v>
      </c>
      <c r="Z30" s="43" t="s">
        <v>3967</v>
      </c>
      <c r="AA30" s="43" t="s">
        <v>3968</v>
      </c>
      <c r="AB30" s="47" t="s">
        <v>46</v>
      </c>
      <c r="AC30" s="52" t="s">
        <v>3969</v>
      </c>
      <c r="AD30" s="30"/>
      <c r="AE30" s="195">
        <v>1</v>
      </c>
      <c r="AF30" s="112" t="s">
        <v>8822</v>
      </c>
      <c r="AG30" s="112" t="s">
        <v>8932</v>
      </c>
      <c r="AH30" s="114">
        <v>25.5</v>
      </c>
      <c r="AK30" s="47" t="s">
        <v>9579</v>
      </c>
      <c r="AL30" s="47"/>
      <c r="AM30" s="47"/>
      <c r="AN30" s="47">
        <v>1</v>
      </c>
      <c r="AO30" s="47" t="s">
        <v>9576</v>
      </c>
      <c r="AP30" s="47">
        <v>1</v>
      </c>
    </row>
    <row r="31" spans="1:45" s="29" customFormat="1" ht="69.95" hidden="1" customHeight="1">
      <c r="A31" s="49" t="s">
        <v>3964</v>
      </c>
      <c r="B31" s="49" t="s">
        <v>3769</v>
      </c>
      <c r="C31" s="50" t="s">
        <v>43</v>
      </c>
      <c r="D31" s="140"/>
      <c r="E31" s="72" t="s">
        <v>8567</v>
      </c>
      <c r="F31" s="72" t="s">
        <v>8567</v>
      </c>
      <c r="I31" s="124" t="s">
        <v>9121</v>
      </c>
      <c r="J31" s="29">
        <f t="shared" si="0"/>
        <v>1</v>
      </c>
      <c r="K31" s="189">
        <v>24</v>
      </c>
      <c r="L31" s="152" t="s">
        <v>439</v>
      </c>
      <c r="M31" s="43" t="s">
        <v>405</v>
      </c>
      <c r="N31" s="188" t="s">
        <v>8565</v>
      </c>
      <c r="O31" s="101" t="str">
        <f t="shared" si="1"/>
        <v>PE-L1-1C240-08</v>
      </c>
      <c r="P31" s="51">
        <v>292</v>
      </c>
      <c r="Q31" s="43">
        <v>400</v>
      </c>
      <c r="R31" s="43" t="s">
        <v>49</v>
      </c>
      <c r="S31" s="152">
        <v>210</v>
      </c>
      <c r="T31" s="43" t="s">
        <v>3926</v>
      </c>
      <c r="U31" s="43" t="s">
        <v>3964</v>
      </c>
      <c r="V31" s="43" t="s">
        <v>3965</v>
      </c>
      <c r="W31" s="53" t="s">
        <v>335</v>
      </c>
      <c r="X31" s="47" t="s">
        <v>17</v>
      </c>
      <c r="Y31" s="43" t="s">
        <v>3966</v>
      </c>
      <c r="Z31" s="43" t="s">
        <v>8569</v>
      </c>
      <c r="AA31" s="43" t="s">
        <v>3968</v>
      </c>
      <c r="AB31" s="47" t="s">
        <v>49</v>
      </c>
      <c r="AC31" s="48" t="s">
        <v>3969</v>
      </c>
      <c r="AD31" s="30"/>
      <c r="AE31" s="195">
        <v>1</v>
      </c>
      <c r="AF31" s="112" t="s">
        <v>8822</v>
      </c>
      <c r="AG31" s="112" t="s">
        <v>8932</v>
      </c>
      <c r="AH31" s="114">
        <v>25.5</v>
      </c>
      <c r="AK31" s="47" t="s">
        <v>9579</v>
      </c>
      <c r="AL31" s="47"/>
      <c r="AM31" s="47"/>
      <c r="AN31" s="47">
        <v>1</v>
      </c>
      <c r="AO31" s="47" t="s">
        <v>9576</v>
      </c>
      <c r="AP31" s="47">
        <v>1</v>
      </c>
    </row>
    <row r="32" spans="1:45" s="29" customFormat="1" ht="69.95" hidden="1" customHeight="1">
      <c r="A32" s="29" t="s">
        <v>3970</v>
      </c>
      <c r="B32" s="29" t="s">
        <v>3769</v>
      </c>
      <c r="C32" s="40" t="s">
        <v>32</v>
      </c>
      <c r="D32" s="40"/>
      <c r="E32" s="72" t="s">
        <v>8568</v>
      </c>
      <c r="F32" s="72" t="s">
        <v>8568</v>
      </c>
      <c r="G32" s="29" t="s">
        <v>440</v>
      </c>
      <c r="I32" s="124" t="s">
        <v>9121</v>
      </c>
      <c r="J32" s="29">
        <f t="shared" si="0"/>
        <v>1</v>
      </c>
      <c r="K32" s="189">
        <v>25</v>
      </c>
      <c r="L32" s="152" t="s">
        <v>441</v>
      </c>
      <c r="M32" s="44" t="s">
        <v>405</v>
      </c>
      <c r="N32" s="188" t="s">
        <v>8565</v>
      </c>
      <c r="O32" s="101" t="str">
        <f t="shared" si="1"/>
        <v>PE-L1-1C240-09</v>
      </c>
      <c r="P32" s="45">
        <v>146</v>
      </c>
      <c r="Q32" s="44">
        <v>400</v>
      </c>
      <c r="R32" s="44" t="s">
        <v>412</v>
      </c>
      <c r="S32" s="101">
        <v>220</v>
      </c>
      <c r="T32" s="46" t="s">
        <v>3926</v>
      </c>
      <c r="U32" s="46" t="s">
        <v>3970</v>
      </c>
      <c r="V32" s="46" t="s">
        <v>3971</v>
      </c>
      <c r="W32" s="46" t="s">
        <v>335</v>
      </c>
      <c r="X32" s="47" t="s">
        <v>44</v>
      </c>
      <c r="Y32" s="46" t="s">
        <v>3972</v>
      </c>
      <c r="Z32" s="46" t="s">
        <v>3973</v>
      </c>
      <c r="AA32" s="46" t="s">
        <v>3968</v>
      </c>
      <c r="AB32" s="47" t="s">
        <v>44</v>
      </c>
      <c r="AC32" s="48" t="s">
        <v>3974</v>
      </c>
      <c r="AD32" s="30"/>
      <c r="AE32" s="195">
        <v>1</v>
      </c>
      <c r="AF32" s="112" t="s">
        <v>8822</v>
      </c>
      <c r="AG32" s="112" t="s">
        <v>8932</v>
      </c>
      <c r="AH32" s="114">
        <v>25.5</v>
      </c>
      <c r="AK32" s="47" t="s">
        <v>9579</v>
      </c>
      <c r="AL32" s="47"/>
      <c r="AM32" s="47"/>
      <c r="AN32" s="47">
        <v>1</v>
      </c>
      <c r="AO32" s="47" t="s">
        <v>9576</v>
      </c>
      <c r="AP32" s="47">
        <v>1</v>
      </c>
    </row>
    <row r="33" spans="1:45" s="29" customFormat="1" ht="69.95" hidden="1" customHeight="1">
      <c r="A33" s="49" t="s">
        <v>3970</v>
      </c>
      <c r="B33" s="49" t="s">
        <v>3769</v>
      </c>
      <c r="C33" s="50" t="s">
        <v>36</v>
      </c>
      <c r="D33" s="50"/>
      <c r="E33" s="72" t="s">
        <v>8568</v>
      </c>
      <c r="F33" s="72" t="s">
        <v>8568</v>
      </c>
      <c r="I33" s="124" t="s">
        <v>9121</v>
      </c>
      <c r="J33" s="29">
        <f t="shared" si="0"/>
        <v>1</v>
      </c>
      <c r="K33" s="189">
        <v>26</v>
      </c>
      <c r="L33" s="152" t="s">
        <v>442</v>
      </c>
      <c r="M33" s="43" t="s">
        <v>405</v>
      </c>
      <c r="N33" s="188" t="s">
        <v>8565</v>
      </c>
      <c r="O33" s="101" t="str">
        <f t="shared" si="1"/>
        <v>PE-L1-1C240-09</v>
      </c>
      <c r="P33" s="51">
        <v>146</v>
      </c>
      <c r="Q33" s="43">
        <v>400</v>
      </c>
      <c r="R33" s="43" t="s">
        <v>412</v>
      </c>
      <c r="S33" s="152">
        <v>220</v>
      </c>
      <c r="T33" s="43" t="s">
        <v>3926</v>
      </c>
      <c r="U33" s="43" t="s">
        <v>3970</v>
      </c>
      <c r="V33" s="43" t="s">
        <v>3971</v>
      </c>
      <c r="W33" s="43" t="s">
        <v>335</v>
      </c>
      <c r="X33" s="47" t="s">
        <v>45</v>
      </c>
      <c r="Y33" s="43" t="s">
        <v>3972</v>
      </c>
      <c r="Z33" s="43" t="s">
        <v>3973</v>
      </c>
      <c r="AA33" s="43" t="s">
        <v>3968</v>
      </c>
      <c r="AB33" s="47" t="s">
        <v>45</v>
      </c>
      <c r="AC33" s="52" t="s">
        <v>3974</v>
      </c>
      <c r="AD33" s="30"/>
      <c r="AE33" s="195">
        <v>1</v>
      </c>
      <c r="AF33" s="112" t="s">
        <v>8822</v>
      </c>
      <c r="AG33" s="112" t="s">
        <v>8932</v>
      </c>
      <c r="AH33" s="114">
        <v>25.5</v>
      </c>
      <c r="AK33" s="47" t="s">
        <v>9579</v>
      </c>
      <c r="AL33" s="47"/>
      <c r="AM33" s="47"/>
      <c r="AN33" s="47">
        <v>1</v>
      </c>
      <c r="AO33" s="47" t="s">
        <v>9576</v>
      </c>
      <c r="AP33" s="47">
        <v>1</v>
      </c>
    </row>
    <row r="34" spans="1:45" s="29" customFormat="1" ht="69.95" hidden="1" customHeight="1">
      <c r="A34" s="49" t="s">
        <v>3970</v>
      </c>
      <c r="B34" s="49" t="s">
        <v>3769</v>
      </c>
      <c r="C34" s="50" t="s">
        <v>38</v>
      </c>
      <c r="D34" s="50"/>
      <c r="E34" s="72" t="s">
        <v>8568</v>
      </c>
      <c r="F34" s="72" t="s">
        <v>8568</v>
      </c>
      <c r="I34" s="124" t="s">
        <v>9121</v>
      </c>
      <c r="J34" s="29">
        <f t="shared" si="0"/>
        <v>1</v>
      </c>
      <c r="K34" s="189">
        <v>27</v>
      </c>
      <c r="L34" s="152" t="s">
        <v>443</v>
      </c>
      <c r="M34" s="43" t="s">
        <v>405</v>
      </c>
      <c r="N34" s="188" t="s">
        <v>8565</v>
      </c>
      <c r="O34" s="101" t="str">
        <f t="shared" si="1"/>
        <v>PE-L1-1C240-09</v>
      </c>
      <c r="P34" s="51">
        <v>146</v>
      </c>
      <c r="Q34" s="43">
        <v>400</v>
      </c>
      <c r="R34" s="43" t="s">
        <v>412</v>
      </c>
      <c r="S34" s="152">
        <v>220</v>
      </c>
      <c r="T34" s="43" t="s">
        <v>3926</v>
      </c>
      <c r="U34" s="43" t="s">
        <v>3970</v>
      </c>
      <c r="V34" s="43" t="s">
        <v>3971</v>
      </c>
      <c r="W34" s="43" t="s">
        <v>335</v>
      </c>
      <c r="X34" s="47" t="s">
        <v>46</v>
      </c>
      <c r="Y34" s="43" t="s">
        <v>3972</v>
      </c>
      <c r="Z34" s="43" t="s">
        <v>3973</v>
      </c>
      <c r="AA34" s="43" t="s">
        <v>3968</v>
      </c>
      <c r="AB34" s="47" t="s">
        <v>46</v>
      </c>
      <c r="AC34" s="52" t="s">
        <v>3974</v>
      </c>
      <c r="AD34" s="30"/>
      <c r="AE34" s="195">
        <v>1</v>
      </c>
      <c r="AF34" s="112" t="s">
        <v>8822</v>
      </c>
      <c r="AG34" s="112" t="s">
        <v>8932</v>
      </c>
      <c r="AH34" s="114">
        <v>25.5</v>
      </c>
      <c r="AK34" s="47" t="s">
        <v>9579</v>
      </c>
      <c r="AL34" s="47"/>
      <c r="AM34" s="47"/>
      <c r="AN34" s="47">
        <v>1</v>
      </c>
      <c r="AO34" s="47" t="s">
        <v>9576</v>
      </c>
      <c r="AP34" s="47">
        <v>1</v>
      </c>
    </row>
    <row r="35" spans="1:45" s="29" customFormat="1" ht="69.95" hidden="1" customHeight="1">
      <c r="A35" s="49" t="s">
        <v>3970</v>
      </c>
      <c r="B35" s="49" t="s">
        <v>3769</v>
      </c>
      <c r="C35" s="50" t="s">
        <v>40</v>
      </c>
      <c r="D35" s="50"/>
      <c r="E35" s="55" t="s">
        <v>33</v>
      </c>
      <c r="F35" s="55" t="s">
        <v>33</v>
      </c>
      <c r="I35" s="124" t="s">
        <v>9121</v>
      </c>
      <c r="J35" s="29">
        <f t="shared" si="0"/>
        <v>1</v>
      </c>
      <c r="K35" s="42">
        <v>28</v>
      </c>
      <c r="L35" s="152" t="s">
        <v>9502</v>
      </c>
      <c r="M35" s="43" t="s">
        <v>405</v>
      </c>
      <c r="N35" s="43" t="s">
        <v>56</v>
      </c>
      <c r="O35" s="101" t="str">
        <f t="shared" si="1"/>
        <v>PE-L1-1C185-01</v>
      </c>
      <c r="P35" s="51">
        <v>146</v>
      </c>
      <c r="Q35" s="43">
        <v>400</v>
      </c>
      <c r="R35" s="43" t="s">
        <v>412</v>
      </c>
      <c r="S35" s="152">
        <v>220</v>
      </c>
      <c r="T35" s="43" t="s">
        <v>3926</v>
      </c>
      <c r="U35" s="43" t="s">
        <v>3970</v>
      </c>
      <c r="V35" s="43" t="s">
        <v>3971</v>
      </c>
      <c r="W35" s="53" t="s">
        <v>335</v>
      </c>
      <c r="X35" s="47" t="s">
        <v>49</v>
      </c>
      <c r="Y35" s="43" t="s">
        <v>3972</v>
      </c>
      <c r="Z35" s="43" t="s">
        <v>3973</v>
      </c>
      <c r="AA35" s="43" t="s">
        <v>3968</v>
      </c>
      <c r="AB35" s="47" t="s">
        <v>49</v>
      </c>
      <c r="AC35" s="48" t="s">
        <v>3974</v>
      </c>
      <c r="AD35" s="30"/>
      <c r="AE35" s="195">
        <v>1</v>
      </c>
      <c r="AF35" s="112" t="s">
        <v>8822</v>
      </c>
      <c r="AG35" s="112" t="s">
        <v>8932</v>
      </c>
      <c r="AH35" s="112">
        <v>23</v>
      </c>
    </row>
    <row r="36" spans="1:45" s="29" customFormat="1" ht="69.95" hidden="1" customHeight="1">
      <c r="A36" s="29" t="s">
        <v>3975</v>
      </c>
      <c r="B36" s="29" t="s">
        <v>8652</v>
      </c>
      <c r="C36" s="40" t="s">
        <v>32</v>
      </c>
      <c r="D36" s="40"/>
      <c r="E36" s="57" t="s">
        <v>57</v>
      </c>
      <c r="F36" s="57" t="s">
        <v>57</v>
      </c>
      <c r="G36" s="29" t="s">
        <v>444</v>
      </c>
      <c r="I36" s="124" t="s">
        <v>9121</v>
      </c>
      <c r="J36" s="29">
        <f t="shared" si="0"/>
        <v>1</v>
      </c>
      <c r="K36" s="42">
        <v>29</v>
      </c>
      <c r="L36" s="152" t="s">
        <v>445</v>
      </c>
      <c r="M36" s="44" t="s">
        <v>417</v>
      </c>
      <c r="N36" s="44" t="s">
        <v>418</v>
      </c>
      <c r="O36" s="101" t="str">
        <f t="shared" si="1"/>
        <v>PE-M1-3C120-02</v>
      </c>
      <c r="P36" s="45">
        <v>2900</v>
      </c>
      <c r="Q36" s="44">
        <v>10000</v>
      </c>
      <c r="R36" s="44" t="s">
        <v>49</v>
      </c>
      <c r="S36" s="101">
        <v>190</v>
      </c>
      <c r="T36" s="46" t="s">
        <v>3926</v>
      </c>
      <c r="U36" s="46" t="s">
        <v>3975</v>
      </c>
      <c r="V36" s="46" t="s">
        <v>342</v>
      </c>
      <c r="W36" s="46" t="s">
        <v>335</v>
      </c>
      <c r="X36" s="47" t="s">
        <v>51</v>
      </c>
      <c r="Y36" s="46" t="s">
        <v>3976</v>
      </c>
      <c r="Z36" s="46" t="s">
        <v>3977</v>
      </c>
      <c r="AA36" s="46" t="s">
        <v>3968</v>
      </c>
      <c r="AB36" s="47" t="s">
        <v>3941</v>
      </c>
      <c r="AC36" s="48" t="s">
        <v>3978</v>
      </c>
      <c r="AD36" s="30"/>
      <c r="AE36" s="197"/>
      <c r="AF36" s="47"/>
      <c r="AH36" s="47">
        <v>55</v>
      </c>
      <c r="AR36" s="241">
        <v>2</v>
      </c>
      <c r="AS36" s="241" t="s">
        <v>9587</v>
      </c>
    </row>
    <row r="37" spans="1:45" s="29" customFormat="1" ht="69.95" hidden="1" customHeight="1">
      <c r="A37" s="29" t="s">
        <v>3975</v>
      </c>
      <c r="B37" s="29" t="s">
        <v>8652</v>
      </c>
      <c r="C37" s="40" t="s">
        <v>36</v>
      </c>
      <c r="D37" s="40"/>
      <c r="E37" s="57" t="s">
        <v>57</v>
      </c>
      <c r="F37" s="57" t="s">
        <v>57</v>
      </c>
      <c r="G37" s="29" t="s">
        <v>446</v>
      </c>
      <c r="I37" s="124" t="s">
        <v>9121</v>
      </c>
      <c r="J37" s="29">
        <f t="shared" si="0"/>
        <v>1</v>
      </c>
      <c r="K37" s="42">
        <v>30</v>
      </c>
      <c r="L37" s="152" t="s">
        <v>447</v>
      </c>
      <c r="M37" s="44" t="s">
        <v>417</v>
      </c>
      <c r="N37" s="44" t="s">
        <v>418</v>
      </c>
      <c r="O37" s="101" t="str">
        <f t="shared" si="1"/>
        <v>PE-M1-3C120-02</v>
      </c>
      <c r="P37" s="45">
        <v>1230</v>
      </c>
      <c r="Q37" s="44">
        <v>10000</v>
      </c>
      <c r="R37" s="44" t="s">
        <v>49</v>
      </c>
      <c r="S37" s="101">
        <v>170</v>
      </c>
      <c r="T37" s="46" t="s">
        <v>3926</v>
      </c>
      <c r="U37" s="46" t="s">
        <v>3975</v>
      </c>
      <c r="V37" s="46" t="s">
        <v>342</v>
      </c>
      <c r="W37" s="46" t="s">
        <v>335</v>
      </c>
      <c r="X37" s="47" t="s">
        <v>51</v>
      </c>
      <c r="Y37" s="46" t="s">
        <v>3979</v>
      </c>
      <c r="Z37" s="46" t="s">
        <v>3980</v>
      </c>
      <c r="AA37" s="46" t="s">
        <v>3968</v>
      </c>
      <c r="AB37" s="47" t="s">
        <v>3941</v>
      </c>
      <c r="AC37" s="48" t="s">
        <v>3981</v>
      </c>
      <c r="AD37" s="30"/>
      <c r="AE37" s="197"/>
      <c r="AF37" s="47"/>
      <c r="AH37" s="47">
        <v>55</v>
      </c>
      <c r="AR37" s="241">
        <v>2</v>
      </c>
      <c r="AS37" s="241" t="s">
        <v>9587</v>
      </c>
    </row>
    <row r="38" spans="1:45" s="29" customFormat="1" ht="69.95" hidden="1" customHeight="1">
      <c r="A38" s="29" t="s">
        <v>3975</v>
      </c>
      <c r="B38" s="29" t="s">
        <v>8652</v>
      </c>
      <c r="C38" s="40" t="s">
        <v>38</v>
      </c>
      <c r="D38" s="40"/>
      <c r="E38" s="57" t="s">
        <v>58</v>
      </c>
      <c r="F38" s="57" t="s">
        <v>58</v>
      </c>
      <c r="G38" s="29" t="s">
        <v>448</v>
      </c>
      <c r="I38" s="124" t="s">
        <v>9121</v>
      </c>
      <c r="J38" s="29">
        <f t="shared" si="0"/>
        <v>1</v>
      </c>
      <c r="K38" s="42">
        <v>31</v>
      </c>
      <c r="L38" s="152" t="s">
        <v>449</v>
      </c>
      <c r="M38" s="44" t="s">
        <v>417</v>
      </c>
      <c r="N38" s="44" t="s">
        <v>418</v>
      </c>
      <c r="O38" s="101" t="str">
        <f t="shared" si="1"/>
        <v>PE-M1-3C120-03</v>
      </c>
      <c r="P38" s="45">
        <v>500</v>
      </c>
      <c r="Q38" s="44">
        <v>10000</v>
      </c>
      <c r="R38" s="44" t="s">
        <v>49</v>
      </c>
      <c r="S38" s="101">
        <v>200</v>
      </c>
      <c r="T38" s="46" t="s">
        <v>3926</v>
      </c>
      <c r="U38" s="46" t="s">
        <v>3975</v>
      </c>
      <c r="V38" s="46" t="s">
        <v>342</v>
      </c>
      <c r="W38" s="46" t="s">
        <v>335</v>
      </c>
      <c r="X38" s="47" t="s">
        <v>51</v>
      </c>
      <c r="Y38" s="46" t="s">
        <v>3982</v>
      </c>
      <c r="Z38" s="46" t="s">
        <v>3983</v>
      </c>
      <c r="AA38" s="46" t="s">
        <v>3968</v>
      </c>
      <c r="AB38" s="47" t="s">
        <v>3941</v>
      </c>
      <c r="AC38" s="48" t="s">
        <v>3984</v>
      </c>
      <c r="AD38" s="30"/>
      <c r="AE38" s="197"/>
      <c r="AF38" s="47"/>
      <c r="AH38" s="47">
        <v>55</v>
      </c>
      <c r="AR38" s="241">
        <v>2</v>
      </c>
      <c r="AS38" s="241" t="s">
        <v>9587</v>
      </c>
    </row>
    <row r="39" spans="1:45" s="29" customFormat="1" ht="69.95" hidden="1" customHeight="1">
      <c r="A39" s="29" t="s">
        <v>3975</v>
      </c>
      <c r="B39" s="29" t="s">
        <v>3769</v>
      </c>
      <c r="C39" s="40" t="s">
        <v>32</v>
      </c>
      <c r="D39" s="40"/>
      <c r="E39" s="57" t="s">
        <v>54</v>
      </c>
      <c r="F39" s="57" t="s">
        <v>54</v>
      </c>
      <c r="G39" s="29" t="s">
        <v>450</v>
      </c>
      <c r="I39" s="124" t="s">
        <v>9121</v>
      </c>
      <c r="J39" s="29">
        <f t="shared" si="0"/>
        <v>1</v>
      </c>
      <c r="K39" s="42">
        <v>32</v>
      </c>
      <c r="L39" s="152" t="s">
        <v>451</v>
      </c>
      <c r="M39" s="44" t="s">
        <v>405</v>
      </c>
      <c r="N39" s="44" t="s">
        <v>426</v>
      </c>
      <c r="O39" s="101" t="str">
        <f t="shared" si="1"/>
        <v>PE-L1-3C4-01</v>
      </c>
      <c r="P39" s="45">
        <v>0.315</v>
      </c>
      <c r="Q39" s="44">
        <v>230</v>
      </c>
      <c r="R39" s="44" t="s">
        <v>49</v>
      </c>
      <c r="S39" s="101">
        <v>230</v>
      </c>
      <c r="T39" s="46" t="s">
        <v>3926</v>
      </c>
      <c r="U39" s="46" t="s">
        <v>3975</v>
      </c>
      <c r="V39" s="46" t="s">
        <v>342</v>
      </c>
      <c r="W39" s="46" t="s">
        <v>335</v>
      </c>
      <c r="X39" s="172" t="s">
        <v>9167</v>
      </c>
      <c r="Y39" s="46" t="s">
        <v>3987</v>
      </c>
      <c r="Z39" s="46" t="s">
        <v>3988</v>
      </c>
      <c r="AA39" s="46" t="s">
        <v>3968</v>
      </c>
      <c r="AB39" s="172" t="s">
        <v>9167</v>
      </c>
      <c r="AC39" s="48" t="s">
        <v>3989</v>
      </c>
      <c r="AD39" s="30"/>
      <c r="AE39" s="197"/>
      <c r="AF39" s="47"/>
      <c r="AH39" s="47">
        <v>13</v>
      </c>
    </row>
    <row r="40" spans="1:45" s="29" customFormat="1" ht="69.95" hidden="1" customHeight="1">
      <c r="A40" s="29" t="s">
        <v>3990</v>
      </c>
      <c r="B40" s="29" t="s">
        <v>3769</v>
      </c>
      <c r="C40" s="40" t="s">
        <v>32</v>
      </c>
      <c r="D40" s="40"/>
      <c r="E40" s="57" t="s">
        <v>54</v>
      </c>
      <c r="F40" s="57" t="s">
        <v>54</v>
      </c>
      <c r="G40" s="29" t="s">
        <v>452</v>
      </c>
      <c r="J40" s="29">
        <f t="shared" si="0"/>
        <v>1</v>
      </c>
      <c r="K40" s="42">
        <v>33</v>
      </c>
      <c r="L40" s="43" t="s">
        <v>453</v>
      </c>
      <c r="M40" s="44" t="s">
        <v>405</v>
      </c>
      <c r="N40" s="44" t="s">
        <v>426</v>
      </c>
      <c r="O40" s="44" t="str">
        <f t="shared" si="1"/>
        <v>PE-L1-3C4-01</v>
      </c>
      <c r="P40" s="45">
        <v>1.19</v>
      </c>
      <c r="Q40" s="44">
        <v>230</v>
      </c>
      <c r="R40" s="44" t="s">
        <v>428</v>
      </c>
      <c r="S40" s="44">
        <v>30</v>
      </c>
      <c r="T40" s="46" t="s">
        <v>3926</v>
      </c>
      <c r="U40" s="46" t="s">
        <v>3990</v>
      </c>
      <c r="V40" s="46" t="s">
        <v>3991</v>
      </c>
      <c r="W40" s="46" t="s">
        <v>55</v>
      </c>
      <c r="X40" s="172" t="s">
        <v>9167</v>
      </c>
      <c r="Y40" s="46" t="s">
        <v>3992</v>
      </c>
      <c r="Z40" s="46" t="s">
        <v>3993</v>
      </c>
      <c r="AA40" s="46" t="s">
        <v>3957</v>
      </c>
      <c r="AB40" s="172" t="s">
        <v>9167</v>
      </c>
      <c r="AC40" s="48" t="s">
        <v>3958</v>
      </c>
      <c r="AD40" s="30"/>
      <c r="AE40" s="197"/>
      <c r="AF40" s="47"/>
      <c r="AH40" s="47">
        <v>13</v>
      </c>
    </row>
    <row r="41" spans="1:45" s="29" customFormat="1" ht="69.95" hidden="1" customHeight="1">
      <c r="A41" s="29" t="s">
        <v>3994</v>
      </c>
      <c r="B41" s="29" t="s">
        <v>3769</v>
      </c>
      <c r="C41" s="40" t="s">
        <v>32</v>
      </c>
      <c r="D41" s="40"/>
      <c r="E41" s="57" t="s">
        <v>60</v>
      </c>
      <c r="F41" s="57" t="s">
        <v>60</v>
      </c>
      <c r="G41" s="29" t="s">
        <v>454</v>
      </c>
      <c r="I41" s="124" t="s">
        <v>9121</v>
      </c>
      <c r="J41" s="29">
        <f t="shared" si="0"/>
        <v>1</v>
      </c>
      <c r="K41" s="42">
        <v>34</v>
      </c>
      <c r="L41" s="152" t="s">
        <v>455</v>
      </c>
      <c r="M41" s="44" t="s">
        <v>405</v>
      </c>
      <c r="N41" s="44" t="s">
        <v>456</v>
      </c>
      <c r="O41" s="101" t="str">
        <f t="shared" si="1"/>
        <v>PE-L1-3C6-03</v>
      </c>
      <c r="P41" s="45">
        <v>0.7</v>
      </c>
      <c r="Q41" s="44">
        <v>230</v>
      </c>
      <c r="R41" s="44" t="s">
        <v>428</v>
      </c>
      <c r="S41" s="101">
        <v>220</v>
      </c>
      <c r="T41" s="46" t="s">
        <v>3926</v>
      </c>
      <c r="U41" s="46" t="s">
        <v>3994</v>
      </c>
      <c r="V41" s="46" t="s">
        <v>3995</v>
      </c>
      <c r="W41" s="46" t="s">
        <v>335</v>
      </c>
      <c r="X41" s="172" t="s">
        <v>9167</v>
      </c>
      <c r="Y41" s="46" t="s">
        <v>3996</v>
      </c>
      <c r="Z41" s="46" t="s">
        <v>3997</v>
      </c>
      <c r="AA41" s="46" t="s">
        <v>3968</v>
      </c>
      <c r="AB41" s="172" t="s">
        <v>9167</v>
      </c>
      <c r="AC41" s="48" t="s">
        <v>3998</v>
      </c>
      <c r="AD41" s="30"/>
      <c r="AE41" s="197"/>
      <c r="AF41" s="47"/>
      <c r="AH41" s="113">
        <v>14.5</v>
      </c>
    </row>
    <row r="42" spans="1:45" s="29" customFormat="1" ht="69.95" hidden="1" customHeight="1">
      <c r="A42" s="29" t="s">
        <v>3999</v>
      </c>
      <c r="B42" s="29" t="s">
        <v>3769</v>
      </c>
      <c r="C42" s="40" t="s">
        <v>32</v>
      </c>
      <c r="D42" s="40"/>
      <c r="E42" s="72" t="s">
        <v>8567</v>
      </c>
      <c r="F42" s="72" t="s">
        <v>8567</v>
      </c>
      <c r="G42" s="29" t="s">
        <v>457</v>
      </c>
      <c r="J42" s="29">
        <f t="shared" si="0"/>
        <v>1</v>
      </c>
      <c r="K42" s="189">
        <v>35</v>
      </c>
      <c r="L42" s="43" t="s">
        <v>458</v>
      </c>
      <c r="M42" s="44" t="s">
        <v>405</v>
      </c>
      <c r="N42" s="188" t="s">
        <v>8565</v>
      </c>
      <c r="O42" s="44" t="str">
        <f t="shared" ref="O42:O55" si="2">F42</f>
        <v>PE-L1-1C240-08</v>
      </c>
      <c r="P42" s="45">
        <v>292</v>
      </c>
      <c r="Q42" s="44">
        <v>400</v>
      </c>
      <c r="R42" s="44" t="s">
        <v>49</v>
      </c>
      <c r="S42" s="44">
        <v>180</v>
      </c>
      <c r="T42" s="46" t="s">
        <v>3926</v>
      </c>
      <c r="U42" s="46" t="s">
        <v>3999</v>
      </c>
      <c r="V42" s="46" t="s">
        <v>4000</v>
      </c>
      <c r="W42" s="46" t="s">
        <v>347</v>
      </c>
      <c r="X42" s="47" t="s">
        <v>35</v>
      </c>
      <c r="Y42" s="46" t="s">
        <v>4001</v>
      </c>
      <c r="Z42" s="46" t="s">
        <v>4002</v>
      </c>
      <c r="AA42" s="46" t="s">
        <v>4003</v>
      </c>
      <c r="AB42" s="47" t="s">
        <v>44</v>
      </c>
      <c r="AC42" s="48" t="s">
        <v>4004</v>
      </c>
      <c r="AD42" s="30"/>
      <c r="AE42" s="195">
        <v>1</v>
      </c>
      <c r="AF42" s="112" t="s">
        <v>8822</v>
      </c>
      <c r="AG42" s="112" t="s">
        <v>8932</v>
      </c>
      <c r="AH42" s="114">
        <v>25.5</v>
      </c>
      <c r="AK42" s="47" t="s">
        <v>9579</v>
      </c>
      <c r="AL42" s="47"/>
      <c r="AM42" s="47"/>
      <c r="AN42" s="47">
        <v>1</v>
      </c>
      <c r="AO42" s="47" t="s">
        <v>9576</v>
      </c>
      <c r="AP42" s="47">
        <v>1</v>
      </c>
    </row>
    <row r="43" spans="1:45" s="29" customFormat="1" ht="69.95" hidden="1" customHeight="1">
      <c r="A43" s="49" t="s">
        <v>3999</v>
      </c>
      <c r="B43" s="49" t="s">
        <v>3769</v>
      </c>
      <c r="C43" s="50" t="s">
        <v>36</v>
      </c>
      <c r="D43" s="50"/>
      <c r="E43" s="72" t="s">
        <v>8567</v>
      </c>
      <c r="F43" s="72" t="s">
        <v>8567</v>
      </c>
      <c r="J43" s="29">
        <f t="shared" si="0"/>
        <v>1</v>
      </c>
      <c r="K43" s="189">
        <v>36</v>
      </c>
      <c r="L43" s="43" t="s">
        <v>459</v>
      </c>
      <c r="M43" s="43" t="s">
        <v>405</v>
      </c>
      <c r="N43" s="188" t="s">
        <v>8565</v>
      </c>
      <c r="O43" s="44" t="str">
        <f t="shared" si="2"/>
        <v>PE-L1-1C240-08</v>
      </c>
      <c r="P43" s="51">
        <v>292</v>
      </c>
      <c r="Q43" s="43">
        <v>400</v>
      </c>
      <c r="R43" s="43" t="s">
        <v>49</v>
      </c>
      <c r="S43" s="43">
        <v>180</v>
      </c>
      <c r="T43" s="43" t="s">
        <v>3926</v>
      </c>
      <c r="U43" s="43" t="s">
        <v>3999</v>
      </c>
      <c r="V43" s="43" t="s">
        <v>4000</v>
      </c>
      <c r="W43" s="43" t="s">
        <v>347</v>
      </c>
      <c r="X43" s="47" t="s">
        <v>37</v>
      </c>
      <c r="Y43" s="43" t="s">
        <v>4001</v>
      </c>
      <c r="Z43" s="43" t="s">
        <v>4002</v>
      </c>
      <c r="AA43" s="43" t="s">
        <v>4003</v>
      </c>
      <c r="AB43" s="47" t="s">
        <v>45</v>
      </c>
      <c r="AC43" s="52" t="s">
        <v>4004</v>
      </c>
      <c r="AD43" s="30"/>
      <c r="AE43" s="195">
        <v>1</v>
      </c>
      <c r="AF43" s="112" t="s">
        <v>8822</v>
      </c>
      <c r="AG43" s="112" t="s">
        <v>8932</v>
      </c>
      <c r="AH43" s="114">
        <v>25.5</v>
      </c>
      <c r="AK43" s="47" t="s">
        <v>9579</v>
      </c>
      <c r="AL43" s="47"/>
      <c r="AM43" s="47"/>
      <c r="AN43" s="47">
        <v>1</v>
      </c>
      <c r="AO43" s="47" t="s">
        <v>9576</v>
      </c>
      <c r="AP43" s="47">
        <v>1</v>
      </c>
    </row>
    <row r="44" spans="1:45" s="29" customFormat="1" ht="69.95" hidden="1" customHeight="1">
      <c r="A44" s="49" t="s">
        <v>3999</v>
      </c>
      <c r="B44" s="49" t="s">
        <v>3769</v>
      </c>
      <c r="C44" s="50" t="s">
        <v>38</v>
      </c>
      <c r="D44" s="50"/>
      <c r="E44" s="72" t="s">
        <v>8567</v>
      </c>
      <c r="F44" s="72" t="s">
        <v>8567</v>
      </c>
      <c r="J44" s="29">
        <f t="shared" si="0"/>
        <v>1</v>
      </c>
      <c r="K44" s="189">
        <v>37</v>
      </c>
      <c r="L44" s="43" t="s">
        <v>460</v>
      </c>
      <c r="M44" s="43" t="s">
        <v>405</v>
      </c>
      <c r="N44" s="188" t="s">
        <v>8565</v>
      </c>
      <c r="O44" s="44" t="str">
        <f t="shared" si="2"/>
        <v>PE-L1-1C240-08</v>
      </c>
      <c r="P44" s="51">
        <v>292</v>
      </c>
      <c r="Q44" s="43">
        <v>400</v>
      </c>
      <c r="R44" s="43" t="s">
        <v>49</v>
      </c>
      <c r="S44" s="43">
        <v>180</v>
      </c>
      <c r="T44" s="43" t="s">
        <v>3926</v>
      </c>
      <c r="U44" s="43" t="s">
        <v>3999</v>
      </c>
      <c r="V44" s="43" t="s">
        <v>4000</v>
      </c>
      <c r="W44" s="43" t="s">
        <v>347</v>
      </c>
      <c r="X44" s="47" t="s">
        <v>39</v>
      </c>
      <c r="Y44" s="43" t="s">
        <v>4001</v>
      </c>
      <c r="Z44" s="43" t="s">
        <v>4002</v>
      </c>
      <c r="AA44" s="43" t="s">
        <v>4003</v>
      </c>
      <c r="AB44" s="47" t="s">
        <v>46</v>
      </c>
      <c r="AC44" s="52" t="s">
        <v>4004</v>
      </c>
      <c r="AD44" s="30"/>
      <c r="AE44" s="195">
        <v>1</v>
      </c>
      <c r="AF44" s="112" t="s">
        <v>8822</v>
      </c>
      <c r="AG44" s="112" t="s">
        <v>8932</v>
      </c>
      <c r="AH44" s="114">
        <v>25.5</v>
      </c>
      <c r="AK44" s="47" t="s">
        <v>9579</v>
      </c>
      <c r="AL44" s="47"/>
      <c r="AM44" s="47"/>
      <c r="AN44" s="47">
        <v>1</v>
      </c>
      <c r="AO44" s="47" t="s">
        <v>9576</v>
      </c>
      <c r="AP44" s="47">
        <v>1</v>
      </c>
    </row>
    <row r="45" spans="1:45" s="29" customFormat="1" ht="69.95" hidden="1" customHeight="1">
      <c r="A45" s="49" t="s">
        <v>3999</v>
      </c>
      <c r="B45" s="49" t="s">
        <v>3769</v>
      </c>
      <c r="C45" s="50" t="s">
        <v>40</v>
      </c>
      <c r="D45" s="50"/>
      <c r="E45" s="72" t="s">
        <v>8567</v>
      </c>
      <c r="F45" s="72" t="s">
        <v>8567</v>
      </c>
      <c r="J45" s="29">
        <f t="shared" si="0"/>
        <v>1</v>
      </c>
      <c r="K45" s="189">
        <v>38</v>
      </c>
      <c r="L45" s="43" t="s">
        <v>461</v>
      </c>
      <c r="M45" s="43" t="s">
        <v>405</v>
      </c>
      <c r="N45" s="188" t="s">
        <v>8565</v>
      </c>
      <c r="O45" s="44" t="str">
        <f t="shared" si="2"/>
        <v>PE-L1-1C240-08</v>
      </c>
      <c r="P45" s="51">
        <v>292</v>
      </c>
      <c r="Q45" s="43">
        <v>400</v>
      </c>
      <c r="R45" s="43" t="s">
        <v>49</v>
      </c>
      <c r="S45" s="43">
        <v>180</v>
      </c>
      <c r="T45" s="43" t="s">
        <v>3926</v>
      </c>
      <c r="U45" s="43" t="s">
        <v>3999</v>
      </c>
      <c r="V45" s="43" t="s">
        <v>4000</v>
      </c>
      <c r="W45" s="43" t="s">
        <v>347</v>
      </c>
      <c r="X45" s="47" t="s">
        <v>35</v>
      </c>
      <c r="Y45" s="43" t="s">
        <v>4001</v>
      </c>
      <c r="Z45" s="43" t="s">
        <v>4002</v>
      </c>
      <c r="AA45" s="43" t="s">
        <v>4003</v>
      </c>
      <c r="AB45" s="47" t="s">
        <v>44</v>
      </c>
      <c r="AC45" s="48" t="s">
        <v>4004</v>
      </c>
      <c r="AD45" s="30"/>
      <c r="AE45" s="195">
        <v>1</v>
      </c>
      <c r="AF45" s="112" t="s">
        <v>8822</v>
      </c>
      <c r="AG45" s="112" t="s">
        <v>8932</v>
      </c>
      <c r="AH45" s="114">
        <v>25.5</v>
      </c>
      <c r="AK45" s="47" t="s">
        <v>9579</v>
      </c>
      <c r="AL45" s="47"/>
      <c r="AM45" s="47"/>
      <c r="AN45" s="47">
        <v>1</v>
      </c>
      <c r="AO45" s="47" t="s">
        <v>9576</v>
      </c>
      <c r="AP45" s="47">
        <v>1</v>
      </c>
    </row>
    <row r="46" spans="1:45" s="29" customFormat="1" ht="69.95" hidden="1" customHeight="1">
      <c r="A46" s="49" t="s">
        <v>3999</v>
      </c>
      <c r="B46" s="49" t="s">
        <v>3769</v>
      </c>
      <c r="C46" s="50" t="s">
        <v>41</v>
      </c>
      <c r="D46" s="50"/>
      <c r="E46" s="72" t="s">
        <v>8568</v>
      </c>
      <c r="F46" s="72" t="s">
        <v>8568</v>
      </c>
      <c r="J46" s="29">
        <f t="shared" si="0"/>
        <v>1</v>
      </c>
      <c r="K46" s="189">
        <v>39</v>
      </c>
      <c r="L46" s="43" t="s">
        <v>462</v>
      </c>
      <c r="M46" s="43" t="s">
        <v>405</v>
      </c>
      <c r="N46" s="188" t="s">
        <v>8565</v>
      </c>
      <c r="O46" s="44" t="str">
        <f t="shared" si="2"/>
        <v>PE-L1-1C240-09</v>
      </c>
      <c r="P46" s="51">
        <v>292</v>
      </c>
      <c r="Q46" s="43">
        <v>400</v>
      </c>
      <c r="R46" s="43" t="s">
        <v>49</v>
      </c>
      <c r="S46" s="43">
        <v>180</v>
      </c>
      <c r="T46" s="43" t="s">
        <v>3926</v>
      </c>
      <c r="U46" s="43" t="s">
        <v>3999</v>
      </c>
      <c r="V46" s="43" t="s">
        <v>4000</v>
      </c>
      <c r="W46" s="43" t="s">
        <v>347</v>
      </c>
      <c r="X46" s="47" t="s">
        <v>37</v>
      </c>
      <c r="Y46" s="43" t="s">
        <v>4001</v>
      </c>
      <c r="Z46" s="43" t="s">
        <v>4002</v>
      </c>
      <c r="AA46" s="43" t="s">
        <v>4003</v>
      </c>
      <c r="AB46" s="47" t="s">
        <v>45</v>
      </c>
      <c r="AC46" s="52" t="s">
        <v>4004</v>
      </c>
      <c r="AD46" s="30"/>
      <c r="AE46" s="195">
        <v>1</v>
      </c>
      <c r="AF46" s="112" t="s">
        <v>8822</v>
      </c>
      <c r="AG46" s="112" t="s">
        <v>8932</v>
      </c>
      <c r="AH46" s="114">
        <v>25.5</v>
      </c>
      <c r="AK46" s="47" t="s">
        <v>9579</v>
      </c>
      <c r="AL46" s="47"/>
      <c r="AM46" s="47"/>
      <c r="AN46" s="47">
        <v>1</v>
      </c>
      <c r="AO46" s="47" t="s">
        <v>9576</v>
      </c>
      <c r="AP46" s="47">
        <v>1</v>
      </c>
    </row>
    <row r="47" spans="1:45" s="29" customFormat="1" ht="69.95" hidden="1" customHeight="1">
      <c r="A47" s="49" t="s">
        <v>3999</v>
      </c>
      <c r="B47" s="49" t="s">
        <v>3769</v>
      </c>
      <c r="C47" s="50" t="s">
        <v>42</v>
      </c>
      <c r="D47" s="50"/>
      <c r="E47" s="72" t="s">
        <v>8568</v>
      </c>
      <c r="F47" s="72" t="s">
        <v>8568</v>
      </c>
      <c r="J47" s="29">
        <f t="shared" si="0"/>
        <v>1</v>
      </c>
      <c r="K47" s="189">
        <v>40</v>
      </c>
      <c r="L47" s="43" t="s">
        <v>463</v>
      </c>
      <c r="M47" s="43" t="s">
        <v>405</v>
      </c>
      <c r="N47" s="188" t="s">
        <v>8565</v>
      </c>
      <c r="O47" s="44" t="str">
        <f t="shared" si="2"/>
        <v>PE-L1-1C240-09</v>
      </c>
      <c r="P47" s="51">
        <v>292</v>
      </c>
      <c r="Q47" s="43">
        <v>400</v>
      </c>
      <c r="R47" s="43" t="s">
        <v>49</v>
      </c>
      <c r="S47" s="43">
        <v>180</v>
      </c>
      <c r="T47" s="43" t="s">
        <v>3926</v>
      </c>
      <c r="U47" s="43" t="s">
        <v>3999</v>
      </c>
      <c r="V47" s="43" t="s">
        <v>4000</v>
      </c>
      <c r="W47" s="43" t="s">
        <v>347</v>
      </c>
      <c r="X47" s="47" t="s">
        <v>39</v>
      </c>
      <c r="Y47" s="43" t="s">
        <v>4001</v>
      </c>
      <c r="Z47" s="43" t="s">
        <v>4002</v>
      </c>
      <c r="AA47" s="43" t="s">
        <v>4003</v>
      </c>
      <c r="AB47" s="47" t="s">
        <v>46</v>
      </c>
      <c r="AC47" s="52" t="s">
        <v>4004</v>
      </c>
      <c r="AD47" s="30"/>
      <c r="AE47" s="195">
        <v>1</v>
      </c>
      <c r="AF47" s="112" t="s">
        <v>8822</v>
      </c>
      <c r="AG47" s="112" t="s">
        <v>8932</v>
      </c>
      <c r="AH47" s="114">
        <v>25.5</v>
      </c>
      <c r="AK47" s="47" t="s">
        <v>9579</v>
      </c>
      <c r="AL47" s="47"/>
      <c r="AM47" s="47"/>
      <c r="AN47" s="47">
        <v>1</v>
      </c>
      <c r="AO47" s="47" t="s">
        <v>9576</v>
      </c>
      <c r="AP47" s="47">
        <v>1</v>
      </c>
    </row>
    <row r="48" spans="1:45" s="29" customFormat="1" ht="69.95" hidden="1" customHeight="1">
      <c r="A48" s="49" t="s">
        <v>3999</v>
      </c>
      <c r="B48" s="49" t="s">
        <v>3769</v>
      </c>
      <c r="C48" s="50" t="s">
        <v>43</v>
      </c>
      <c r="D48" s="140"/>
      <c r="E48" s="72" t="s">
        <v>8568</v>
      </c>
      <c r="F48" s="72" t="s">
        <v>8568</v>
      </c>
      <c r="J48" s="29">
        <f t="shared" si="0"/>
        <v>1</v>
      </c>
      <c r="K48" s="189">
        <v>41</v>
      </c>
      <c r="L48" s="43" t="s">
        <v>464</v>
      </c>
      <c r="M48" s="43" t="s">
        <v>405</v>
      </c>
      <c r="N48" s="188" t="s">
        <v>8565</v>
      </c>
      <c r="O48" s="44" t="str">
        <f t="shared" si="2"/>
        <v>PE-L1-1C240-09</v>
      </c>
      <c r="P48" s="51">
        <v>292</v>
      </c>
      <c r="Q48" s="43">
        <v>400</v>
      </c>
      <c r="R48" s="43" t="s">
        <v>49</v>
      </c>
      <c r="S48" s="43">
        <v>180</v>
      </c>
      <c r="T48" s="43" t="s">
        <v>3926</v>
      </c>
      <c r="U48" s="43" t="s">
        <v>3999</v>
      </c>
      <c r="V48" s="43" t="s">
        <v>4000</v>
      </c>
      <c r="W48" s="53" t="s">
        <v>347</v>
      </c>
      <c r="X48" s="47" t="s">
        <v>17</v>
      </c>
      <c r="Y48" s="43" t="s">
        <v>4001</v>
      </c>
      <c r="Z48" s="43" t="s">
        <v>4002</v>
      </c>
      <c r="AA48" s="43" t="s">
        <v>4003</v>
      </c>
      <c r="AB48" s="47" t="s">
        <v>49</v>
      </c>
      <c r="AC48" s="48" t="s">
        <v>4004</v>
      </c>
      <c r="AD48" s="30"/>
      <c r="AE48" s="195">
        <v>1</v>
      </c>
      <c r="AF48" s="112" t="s">
        <v>8822</v>
      </c>
      <c r="AG48" s="112" t="s">
        <v>8932</v>
      </c>
      <c r="AH48" s="114">
        <v>25.5</v>
      </c>
      <c r="AK48" s="47" t="s">
        <v>9579</v>
      </c>
      <c r="AL48" s="47"/>
      <c r="AM48" s="47"/>
      <c r="AN48" s="47">
        <v>1</v>
      </c>
      <c r="AO48" s="47" t="s">
        <v>9576</v>
      </c>
      <c r="AP48" s="47">
        <v>1</v>
      </c>
    </row>
    <row r="49" spans="1:45" s="29" customFormat="1" ht="69.95" hidden="1" customHeight="1">
      <c r="A49" s="29" t="s">
        <v>4005</v>
      </c>
      <c r="B49" s="29" t="s">
        <v>3769</v>
      </c>
      <c r="C49" s="40" t="s">
        <v>32</v>
      </c>
      <c r="D49" s="40"/>
      <c r="E49" s="72" t="s">
        <v>8570</v>
      </c>
      <c r="F49" s="72" t="s">
        <v>8570</v>
      </c>
      <c r="G49" s="29" t="s">
        <v>465</v>
      </c>
      <c r="J49" s="29">
        <f t="shared" si="0"/>
        <v>1</v>
      </c>
      <c r="K49" s="189">
        <v>42</v>
      </c>
      <c r="L49" s="43" t="s">
        <v>466</v>
      </c>
      <c r="M49" s="44" t="s">
        <v>405</v>
      </c>
      <c r="N49" s="188" t="s">
        <v>8565</v>
      </c>
      <c r="O49" s="44" t="str">
        <f t="shared" si="2"/>
        <v>PE-L1-1C240-10</v>
      </c>
      <c r="P49" s="45">
        <v>146</v>
      </c>
      <c r="Q49" s="44">
        <v>400</v>
      </c>
      <c r="R49" s="44" t="s">
        <v>412</v>
      </c>
      <c r="S49" s="44">
        <v>170</v>
      </c>
      <c r="T49" s="46" t="s">
        <v>3926</v>
      </c>
      <c r="U49" s="46" t="s">
        <v>4005</v>
      </c>
      <c r="V49" s="46" t="s">
        <v>4006</v>
      </c>
      <c r="W49" s="46" t="s">
        <v>347</v>
      </c>
      <c r="X49" s="47" t="s">
        <v>44</v>
      </c>
      <c r="Y49" s="46" t="s">
        <v>4007</v>
      </c>
      <c r="Z49" s="46" t="s">
        <v>4008</v>
      </c>
      <c r="AA49" s="46" t="s">
        <v>4003</v>
      </c>
      <c r="AB49" s="47" t="s">
        <v>44</v>
      </c>
      <c r="AC49" s="48" t="s">
        <v>4009</v>
      </c>
      <c r="AD49" s="30"/>
      <c r="AE49" s="195">
        <v>1</v>
      </c>
      <c r="AF49" s="112" t="s">
        <v>8822</v>
      </c>
      <c r="AG49" s="112" t="s">
        <v>8932</v>
      </c>
      <c r="AH49" s="114">
        <v>25.5</v>
      </c>
      <c r="AK49" s="47" t="s">
        <v>9579</v>
      </c>
      <c r="AL49" s="47"/>
      <c r="AM49" s="47"/>
      <c r="AN49" s="47">
        <v>1</v>
      </c>
      <c r="AO49" s="47" t="s">
        <v>9576</v>
      </c>
      <c r="AP49" s="47">
        <v>1</v>
      </c>
    </row>
    <row r="50" spans="1:45" s="29" customFormat="1" ht="69.95" hidden="1" customHeight="1">
      <c r="A50" s="49" t="s">
        <v>4005</v>
      </c>
      <c r="B50" s="49" t="s">
        <v>3769</v>
      </c>
      <c r="C50" s="50" t="s">
        <v>36</v>
      </c>
      <c r="D50" s="50"/>
      <c r="E50" s="72" t="s">
        <v>8570</v>
      </c>
      <c r="F50" s="72" t="s">
        <v>8570</v>
      </c>
      <c r="J50" s="29">
        <f t="shared" si="0"/>
        <v>1</v>
      </c>
      <c r="K50" s="189">
        <v>43</v>
      </c>
      <c r="L50" s="43" t="s">
        <v>467</v>
      </c>
      <c r="M50" s="43" t="s">
        <v>405</v>
      </c>
      <c r="N50" s="188" t="s">
        <v>8565</v>
      </c>
      <c r="O50" s="44" t="str">
        <f t="shared" si="2"/>
        <v>PE-L1-1C240-10</v>
      </c>
      <c r="P50" s="51">
        <v>146</v>
      </c>
      <c r="Q50" s="43">
        <v>400</v>
      </c>
      <c r="R50" s="43" t="s">
        <v>412</v>
      </c>
      <c r="S50" s="43">
        <v>170</v>
      </c>
      <c r="T50" s="43" t="s">
        <v>3926</v>
      </c>
      <c r="U50" s="43" t="s">
        <v>4005</v>
      </c>
      <c r="V50" s="43" t="s">
        <v>4006</v>
      </c>
      <c r="W50" s="43" t="s">
        <v>347</v>
      </c>
      <c r="X50" s="47" t="s">
        <v>45</v>
      </c>
      <c r="Y50" s="43" t="s">
        <v>4007</v>
      </c>
      <c r="Z50" s="43" t="s">
        <v>4008</v>
      </c>
      <c r="AA50" s="43" t="s">
        <v>4003</v>
      </c>
      <c r="AB50" s="47" t="s">
        <v>45</v>
      </c>
      <c r="AC50" s="52" t="s">
        <v>4009</v>
      </c>
      <c r="AD50" s="30"/>
      <c r="AE50" s="195">
        <v>1</v>
      </c>
      <c r="AF50" s="112" t="s">
        <v>8822</v>
      </c>
      <c r="AG50" s="112" t="s">
        <v>8932</v>
      </c>
      <c r="AH50" s="114">
        <v>25.5</v>
      </c>
      <c r="AK50" s="47" t="s">
        <v>9579</v>
      </c>
      <c r="AL50" s="47"/>
      <c r="AM50" s="47"/>
      <c r="AN50" s="47">
        <v>1</v>
      </c>
      <c r="AO50" s="47" t="s">
        <v>9576</v>
      </c>
      <c r="AP50" s="47">
        <v>1</v>
      </c>
    </row>
    <row r="51" spans="1:45" s="29" customFormat="1" ht="69.95" hidden="1" customHeight="1">
      <c r="A51" s="49" t="s">
        <v>4005</v>
      </c>
      <c r="B51" s="49" t="s">
        <v>3769</v>
      </c>
      <c r="C51" s="50" t="s">
        <v>38</v>
      </c>
      <c r="D51" s="50"/>
      <c r="E51" s="72" t="s">
        <v>8570</v>
      </c>
      <c r="F51" s="72" t="s">
        <v>8570</v>
      </c>
      <c r="H51" s="124" t="s">
        <v>9567</v>
      </c>
      <c r="I51" s="124" t="s">
        <v>9566</v>
      </c>
      <c r="J51" s="29">
        <f t="shared" si="0"/>
        <v>1</v>
      </c>
      <c r="K51" s="189">
        <v>44</v>
      </c>
      <c r="L51" s="152" t="s">
        <v>9515</v>
      </c>
      <c r="M51" s="43" t="s">
        <v>405</v>
      </c>
      <c r="N51" s="188" t="s">
        <v>8565</v>
      </c>
      <c r="O51" s="44" t="str">
        <f t="shared" si="2"/>
        <v>PE-L1-1C240-10</v>
      </c>
      <c r="P51" s="51">
        <v>146</v>
      </c>
      <c r="Q51" s="43">
        <v>400</v>
      </c>
      <c r="R51" s="43" t="s">
        <v>412</v>
      </c>
      <c r="S51" s="152">
        <v>170</v>
      </c>
      <c r="T51" s="43" t="s">
        <v>3926</v>
      </c>
      <c r="U51" s="43" t="s">
        <v>4005</v>
      </c>
      <c r="V51" s="43" t="s">
        <v>4006</v>
      </c>
      <c r="W51" s="43" t="s">
        <v>347</v>
      </c>
      <c r="X51" s="47" t="s">
        <v>46</v>
      </c>
      <c r="Y51" s="43" t="s">
        <v>4007</v>
      </c>
      <c r="Z51" s="43" t="s">
        <v>4008</v>
      </c>
      <c r="AA51" s="43" t="s">
        <v>4003</v>
      </c>
      <c r="AB51" s="47" t="s">
        <v>46</v>
      </c>
      <c r="AC51" s="52" t="s">
        <v>4009</v>
      </c>
      <c r="AD51" s="30"/>
      <c r="AE51" s="195">
        <v>1</v>
      </c>
      <c r="AF51" s="112" t="s">
        <v>8822</v>
      </c>
      <c r="AG51" s="112" t="s">
        <v>8932</v>
      </c>
      <c r="AH51" s="114">
        <v>25.5</v>
      </c>
      <c r="AK51" s="47" t="s">
        <v>9579</v>
      </c>
      <c r="AL51" s="47"/>
      <c r="AM51" s="47"/>
      <c r="AN51" s="47">
        <v>1</v>
      </c>
      <c r="AO51" s="47" t="s">
        <v>9576</v>
      </c>
      <c r="AP51" s="47">
        <v>1</v>
      </c>
    </row>
    <row r="52" spans="1:45" s="29" customFormat="1" ht="69.95" hidden="1" customHeight="1">
      <c r="A52" s="49" t="s">
        <v>4005</v>
      </c>
      <c r="B52" s="49" t="s">
        <v>3769</v>
      </c>
      <c r="C52" s="50" t="s">
        <v>40</v>
      </c>
      <c r="D52" s="50"/>
      <c r="E52" s="57" t="s">
        <v>64</v>
      </c>
      <c r="F52" s="57" t="s">
        <v>64</v>
      </c>
      <c r="J52" s="29">
        <f t="shared" si="0"/>
        <v>1</v>
      </c>
      <c r="K52" s="42">
        <v>45</v>
      </c>
      <c r="L52" s="43" t="s">
        <v>468</v>
      </c>
      <c r="M52" s="43" t="s">
        <v>405</v>
      </c>
      <c r="N52" s="43" t="s">
        <v>56</v>
      </c>
      <c r="O52" s="44" t="str">
        <f t="shared" si="2"/>
        <v>PE-L1-1C185-02</v>
      </c>
      <c r="P52" s="51">
        <v>146</v>
      </c>
      <c r="Q52" s="43">
        <v>400</v>
      </c>
      <c r="R52" s="43" t="s">
        <v>412</v>
      </c>
      <c r="S52" s="43">
        <v>170</v>
      </c>
      <c r="T52" s="43" t="s">
        <v>3926</v>
      </c>
      <c r="U52" s="43" t="s">
        <v>4005</v>
      </c>
      <c r="V52" s="43" t="s">
        <v>4006</v>
      </c>
      <c r="W52" s="53" t="s">
        <v>347</v>
      </c>
      <c r="X52" s="47" t="s">
        <v>49</v>
      </c>
      <c r="Y52" s="43" t="s">
        <v>4007</v>
      </c>
      <c r="Z52" s="43" t="s">
        <v>4008</v>
      </c>
      <c r="AA52" s="43" t="s">
        <v>4003</v>
      </c>
      <c r="AB52" s="47" t="s">
        <v>49</v>
      </c>
      <c r="AC52" s="48" t="s">
        <v>4009</v>
      </c>
      <c r="AD52" s="30"/>
      <c r="AE52" s="195">
        <v>1</v>
      </c>
      <c r="AF52" s="112" t="s">
        <v>8822</v>
      </c>
      <c r="AG52" s="112" t="s">
        <v>8932</v>
      </c>
      <c r="AH52" s="112">
        <v>23</v>
      </c>
    </row>
    <row r="53" spans="1:45" s="29" customFormat="1" ht="69.95" hidden="1" customHeight="1">
      <c r="A53" s="29" t="s">
        <v>4010</v>
      </c>
      <c r="B53" s="29" t="s">
        <v>8652</v>
      </c>
      <c r="C53" s="40" t="s">
        <v>32</v>
      </c>
      <c r="D53" s="40"/>
      <c r="E53" s="57" t="s">
        <v>61</v>
      </c>
      <c r="F53" s="57" t="s">
        <v>61</v>
      </c>
      <c r="G53" s="29" t="s">
        <v>469</v>
      </c>
      <c r="J53" s="29">
        <f t="shared" si="0"/>
        <v>1</v>
      </c>
      <c r="K53" s="42">
        <v>46</v>
      </c>
      <c r="L53" s="43" t="s">
        <v>470</v>
      </c>
      <c r="M53" s="44" t="s">
        <v>417</v>
      </c>
      <c r="N53" s="44" t="s">
        <v>418</v>
      </c>
      <c r="O53" s="44" t="str">
        <f t="shared" si="2"/>
        <v>PE-M1-3C120-18</v>
      </c>
      <c r="P53" s="45">
        <v>2900</v>
      </c>
      <c r="Q53" s="44">
        <v>10000</v>
      </c>
      <c r="R53" s="44" t="s">
        <v>49</v>
      </c>
      <c r="S53" s="44">
        <v>200</v>
      </c>
      <c r="T53" s="46" t="s">
        <v>3926</v>
      </c>
      <c r="U53" s="46" t="s">
        <v>4010</v>
      </c>
      <c r="V53" s="46" t="s">
        <v>346</v>
      </c>
      <c r="W53" s="46" t="s">
        <v>347</v>
      </c>
      <c r="X53" s="47" t="s">
        <v>51</v>
      </c>
      <c r="Y53" s="46" t="s">
        <v>4011</v>
      </c>
      <c r="Z53" s="46" t="s">
        <v>4012</v>
      </c>
      <c r="AA53" s="46" t="s">
        <v>4003</v>
      </c>
      <c r="AB53" s="47" t="s">
        <v>3941</v>
      </c>
      <c r="AC53" s="48" t="s">
        <v>4013</v>
      </c>
      <c r="AD53" s="30"/>
      <c r="AE53" s="197"/>
      <c r="AF53" s="47"/>
      <c r="AH53" s="47">
        <v>55</v>
      </c>
      <c r="AR53" s="241">
        <v>2</v>
      </c>
      <c r="AS53" s="241" t="s">
        <v>9587</v>
      </c>
    </row>
    <row r="54" spans="1:45" s="29" customFormat="1" ht="69.95" hidden="1" customHeight="1">
      <c r="A54" s="29" t="s">
        <v>4010</v>
      </c>
      <c r="B54" s="29" t="s">
        <v>8652</v>
      </c>
      <c r="C54" s="40" t="s">
        <v>36</v>
      </c>
      <c r="D54" s="40"/>
      <c r="E54" s="57" t="s">
        <v>61</v>
      </c>
      <c r="F54" s="57" t="s">
        <v>61</v>
      </c>
      <c r="G54" s="29" t="s">
        <v>471</v>
      </c>
      <c r="J54" s="29">
        <f t="shared" si="0"/>
        <v>1</v>
      </c>
      <c r="K54" s="42">
        <v>47</v>
      </c>
      <c r="L54" s="43" t="s">
        <v>472</v>
      </c>
      <c r="M54" s="44" t="s">
        <v>417</v>
      </c>
      <c r="N54" s="44" t="s">
        <v>418</v>
      </c>
      <c r="O54" s="44" t="str">
        <f t="shared" si="2"/>
        <v>PE-M1-3C120-18</v>
      </c>
      <c r="P54" s="45">
        <v>1230</v>
      </c>
      <c r="Q54" s="44">
        <v>10000</v>
      </c>
      <c r="R54" s="44" t="s">
        <v>49</v>
      </c>
      <c r="S54" s="44">
        <v>190</v>
      </c>
      <c r="T54" s="46" t="s">
        <v>3926</v>
      </c>
      <c r="U54" s="46" t="s">
        <v>4010</v>
      </c>
      <c r="V54" s="46" t="s">
        <v>346</v>
      </c>
      <c r="W54" s="46" t="s">
        <v>347</v>
      </c>
      <c r="X54" s="47" t="s">
        <v>51</v>
      </c>
      <c r="Y54" s="46" t="s">
        <v>4014</v>
      </c>
      <c r="Z54" s="46" t="s">
        <v>4015</v>
      </c>
      <c r="AA54" s="46" t="s">
        <v>4003</v>
      </c>
      <c r="AB54" s="47" t="s">
        <v>3941</v>
      </c>
      <c r="AC54" s="48" t="s">
        <v>4016</v>
      </c>
      <c r="AD54" s="30"/>
      <c r="AE54" s="197"/>
      <c r="AF54" s="47"/>
      <c r="AH54" s="47">
        <v>55</v>
      </c>
      <c r="AR54" s="241">
        <v>2</v>
      </c>
      <c r="AS54" s="241" t="s">
        <v>9587</v>
      </c>
    </row>
    <row r="55" spans="1:45" s="29" customFormat="1" ht="69.95" hidden="1" customHeight="1">
      <c r="A55" s="29" t="s">
        <v>4010</v>
      </c>
      <c r="B55" s="29" t="s">
        <v>8652</v>
      </c>
      <c r="C55" s="40" t="s">
        <v>38</v>
      </c>
      <c r="D55" s="40"/>
      <c r="E55" s="57" t="s">
        <v>62</v>
      </c>
      <c r="F55" s="57" t="s">
        <v>62</v>
      </c>
      <c r="G55" s="29" t="s">
        <v>473</v>
      </c>
      <c r="J55" s="29">
        <f t="shared" si="0"/>
        <v>1</v>
      </c>
      <c r="K55" s="42">
        <v>48</v>
      </c>
      <c r="L55" s="43" t="s">
        <v>474</v>
      </c>
      <c r="M55" s="44" t="s">
        <v>417</v>
      </c>
      <c r="N55" s="44" t="s">
        <v>418</v>
      </c>
      <c r="O55" s="44" t="str">
        <f t="shared" si="2"/>
        <v>PE-M1-3C120-19</v>
      </c>
      <c r="P55" s="45">
        <v>500</v>
      </c>
      <c r="Q55" s="44">
        <v>10000</v>
      </c>
      <c r="R55" s="44" t="s">
        <v>49</v>
      </c>
      <c r="S55" s="44">
        <v>230</v>
      </c>
      <c r="T55" s="46" t="s">
        <v>3926</v>
      </c>
      <c r="U55" s="46" t="s">
        <v>4010</v>
      </c>
      <c r="V55" s="46" t="s">
        <v>346</v>
      </c>
      <c r="W55" s="46" t="s">
        <v>347</v>
      </c>
      <c r="X55" s="47" t="s">
        <v>51</v>
      </c>
      <c r="Y55" s="46" t="s">
        <v>4017</v>
      </c>
      <c r="Z55" s="46" t="s">
        <v>4018</v>
      </c>
      <c r="AA55" s="46" t="s">
        <v>4003</v>
      </c>
      <c r="AB55" s="47" t="s">
        <v>3941</v>
      </c>
      <c r="AC55" s="48" t="s">
        <v>4019</v>
      </c>
      <c r="AD55" s="30"/>
      <c r="AE55" s="197"/>
      <c r="AF55" s="47"/>
      <c r="AH55" s="47">
        <v>55</v>
      </c>
      <c r="AR55" s="241">
        <v>2</v>
      </c>
      <c r="AS55" s="241" t="s">
        <v>9587</v>
      </c>
    </row>
    <row r="56" spans="1:45" s="29" customFormat="1" ht="69.95" hidden="1" customHeight="1">
      <c r="A56" s="29" t="s">
        <v>4010</v>
      </c>
      <c r="B56" s="29" t="s">
        <v>3769</v>
      </c>
      <c r="C56" s="40" t="s">
        <v>32</v>
      </c>
      <c r="D56" s="40"/>
      <c r="E56" s="93" t="s">
        <v>8755</v>
      </c>
      <c r="F56" s="93" t="s">
        <v>8755</v>
      </c>
      <c r="G56" s="29" t="s">
        <v>475</v>
      </c>
      <c r="J56" s="29">
        <f t="shared" si="0"/>
        <v>1</v>
      </c>
      <c r="K56" s="42">
        <v>49</v>
      </c>
      <c r="L56" s="43" t="s">
        <v>476</v>
      </c>
      <c r="M56" s="44" t="s">
        <v>405</v>
      </c>
      <c r="N56" s="44" t="s">
        <v>426</v>
      </c>
      <c r="O56" s="90" t="str">
        <f>F56</f>
        <v>PE-L1-3C4-29</v>
      </c>
      <c r="P56" s="45">
        <v>0.315</v>
      </c>
      <c r="Q56" s="44">
        <v>230</v>
      </c>
      <c r="R56" s="44" t="s">
        <v>49</v>
      </c>
      <c r="S56" s="44">
        <v>210</v>
      </c>
      <c r="T56" s="46" t="s">
        <v>3926</v>
      </c>
      <c r="U56" s="46" t="s">
        <v>4010</v>
      </c>
      <c r="V56" s="46" t="s">
        <v>346</v>
      </c>
      <c r="W56" s="46" t="s">
        <v>347</v>
      </c>
      <c r="X56" s="172" t="s">
        <v>9167</v>
      </c>
      <c r="Y56" s="46" t="s">
        <v>4022</v>
      </c>
      <c r="Z56" s="46" t="s">
        <v>4023</v>
      </c>
      <c r="AA56" s="46" t="s">
        <v>4003</v>
      </c>
      <c r="AB56" s="172" t="s">
        <v>9167</v>
      </c>
      <c r="AC56" s="48" t="s">
        <v>4024</v>
      </c>
      <c r="AD56" s="30"/>
      <c r="AE56" s="197"/>
      <c r="AF56" s="47"/>
      <c r="AH56" s="47">
        <v>13</v>
      </c>
    </row>
    <row r="57" spans="1:45" s="29" customFormat="1" ht="69.95" hidden="1" customHeight="1">
      <c r="A57" s="29" t="s">
        <v>4025</v>
      </c>
      <c r="B57" s="29" t="s">
        <v>3769</v>
      </c>
      <c r="C57" s="40" t="s">
        <v>36</v>
      </c>
      <c r="D57" s="40"/>
      <c r="E57" s="93" t="s">
        <v>8755</v>
      </c>
      <c r="F57" s="93" t="s">
        <v>8755</v>
      </c>
      <c r="G57" s="29" t="s">
        <v>477</v>
      </c>
      <c r="J57" s="29">
        <f t="shared" si="0"/>
        <v>1</v>
      </c>
      <c r="K57" s="42">
        <v>50</v>
      </c>
      <c r="L57" s="43" t="s">
        <v>478</v>
      </c>
      <c r="M57" s="44" t="s">
        <v>405</v>
      </c>
      <c r="N57" s="44" t="s">
        <v>426</v>
      </c>
      <c r="O57" s="90" t="str">
        <f>F57</f>
        <v>PE-L1-3C4-29</v>
      </c>
      <c r="P57" s="45">
        <v>1.19</v>
      </c>
      <c r="Q57" s="44">
        <v>230</v>
      </c>
      <c r="R57" s="44" t="s">
        <v>428</v>
      </c>
      <c r="S57" s="44">
        <v>20</v>
      </c>
      <c r="T57" s="46" t="s">
        <v>3926</v>
      </c>
      <c r="U57" s="46" t="s">
        <v>4025</v>
      </c>
      <c r="V57" s="46" t="s">
        <v>4026</v>
      </c>
      <c r="W57" s="46" t="s">
        <v>55</v>
      </c>
      <c r="X57" s="172" t="s">
        <v>9167</v>
      </c>
      <c r="Y57" s="46" t="s">
        <v>4027</v>
      </c>
      <c r="Z57" s="46" t="s">
        <v>4028</v>
      </c>
      <c r="AA57" s="46" t="s">
        <v>3957</v>
      </c>
      <c r="AB57" s="172" t="s">
        <v>9167</v>
      </c>
      <c r="AC57" s="48" t="s">
        <v>4029</v>
      </c>
      <c r="AD57" s="30"/>
      <c r="AE57" s="197"/>
      <c r="AF57" s="47"/>
      <c r="AH57" s="47">
        <v>13</v>
      </c>
    </row>
    <row r="58" spans="1:45" s="29" customFormat="1" ht="69.95" hidden="1" customHeight="1">
      <c r="A58" s="29" t="s">
        <v>4030</v>
      </c>
      <c r="B58" s="29" t="s">
        <v>3769</v>
      </c>
      <c r="C58" s="40" t="s">
        <v>32</v>
      </c>
      <c r="D58" s="40"/>
      <c r="E58" s="57" t="s">
        <v>63</v>
      </c>
      <c r="F58" s="57" t="s">
        <v>63</v>
      </c>
      <c r="G58" s="29" t="s">
        <v>479</v>
      </c>
      <c r="J58" s="29">
        <f t="shared" si="0"/>
        <v>1</v>
      </c>
      <c r="K58" s="42">
        <v>51</v>
      </c>
      <c r="L58" s="43" t="s">
        <v>480</v>
      </c>
      <c r="M58" s="44" t="s">
        <v>405</v>
      </c>
      <c r="N58" s="44" t="s">
        <v>456</v>
      </c>
      <c r="O58" s="44" t="str">
        <f t="shared" ref="O58:O68" si="3">F58</f>
        <v>PE-L1-3C6-05</v>
      </c>
      <c r="P58" s="45">
        <v>0.7</v>
      </c>
      <c r="Q58" s="44">
        <v>230</v>
      </c>
      <c r="R58" s="44" t="s">
        <v>428</v>
      </c>
      <c r="S58" s="44">
        <v>190</v>
      </c>
      <c r="T58" s="46" t="s">
        <v>3926</v>
      </c>
      <c r="U58" s="46" t="s">
        <v>4030</v>
      </c>
      <c r="V58" s="46" t="s">
        <v>4031</v>
      </c>
      <c r="W58" s="46" t="s">
        <v>347</v>
      </c>
      <c r="X58" s="172" t="s">
        <v>9167</v>
      </c>
      <c r="Y58" s="46" t="s">
        <v>4032</v>
      </c>
      <c r="Z58" s="46" t="s">
        <v>4033</v>
      </c>
      <c r="AA58" s="46" t="s">
        <v>4003</v>
      </c>
      <c r="AB58" s="172" t="s">
        <v>9167</v>
      </c>
      <c r="AC58" s="48" t="s">
        <v>4034</v>
      </c>
      <c r="AD58" s="30"/>
      <c r="AE58" s="197"/>
      <c r="AF58" s="47"/>
      <c r="AH58" s="113">
        <v>14.5</v>
      </c>
    </row>
    <row r="59" spans="1:45" s="29" customFormat="1" ht="69.95" hidden="1" customHeight="1">
      <c r="A59" s="29" t="s">
        <v>4035</v>
      </c>
      <c r="B59" s="29" t="s">
        <v>3769</v>
      </c>
      <c r="C59" s="40" t="s">
        <v>32</v>
      </c>
      <c r="D59" s="40"/>
      <c r="E59" s="55" t="s">
        <v>33</v>
      </c>
      <c r="F59" s="55" t="s">
        <v>33</v>
      </c>
      <c r="G59" s="29" t="s">
        <v>481</v>
      </c>
      <c r="J59" s="29">
        <f t="shared" si="0"/>
        <v>1</v>
      </c>
      <c r="K59" s="42">
        <v>52</v>
      </c>
      <c r="L59" s="43" t="s">
        <v>482</v>
      </c>
      <c r="M59" s="44" t="s">
        <v>405</v>
      </c>
      <c r="N59" s="44" t="s">
        <v>56</v>
      </c>
      <c r="O59" s="44" t="str">
        <f t="shared" si="3"/>
        <v>PE-L1-1C185-01</v>
      </c>
      <c r="P59" s="45">
        <v>292</v>
      </c>
      <c r="Q59" s="44">
        <v>400</v>
      </c>
      <c r="R59" s="44" t="s">
        <v>49</v>
      </c>
      <c r="S59" s="44">
        <v>110</v>
      </c>
      <c r="T59" s="46" t="s">
        <v>3926</v>
      </c>
      <c r="U59" s="46" t="s">
        <v>4035</v>
      </c>
      <c r="V59" s="46" t="s">
        <v>4036</v>
      </c>
      <c r="W59" s="46" t="s">
        <v>347</v>
      </c>
      <c r="X59" s="47" t="s">
        <v>44</v>
      </c>
      <c r="Y59" s="46" t="s">
        <v>4037</v>
      </c>
      <c r="Z59" s="46" t="s">
        <v>4038</v>
      </c>
      <c r="AA59" s="46" t="s">
        <v>401</v>
      </c>
      <c r="AB59" s="47" t="s">
        <v>44</v>
      </c>
      <c r="AC59" s="48" t="s">
        <v>4039</v>
      </c>
      <c r="AD59" s="30"/>
      <c r="AE59" s="195">
        <v>1</v>
      </c>
      <c r="AF59" s="112" t="s">
        <v>8822</v>
      </c>
      <c r="AG59" s="112" t="s">
        <v>8932</v>
      </c>
      <c r="AH59" s="112">
        <v>23</v>
      </c>
    </row>
    <row r="60" spans="1:45" s="29" customFormat="1" ht="69.95" hidden="1" customHeight="1">
      <c r="A60" s="49" t="s">
        <v>4035</v>
      </c>
      <c r="B60" s="49" t="s">
        <v>3769</v>
      </c>
      <c r="C60" s="50" t="s">
        <v>36</v>
      </c>
      <c r="D60" s="50"/>
      <c r="E60" s="57" t="s">
        <v>64</v>
      </c>
      <c r="F60" s="57" t="s">
        <v>64</v>
      </c>
      <c r="J60" s="29">
        <f t="shared" si="0"/>
        <v>1</v>
      </c>
      <c r="K60" s="42">
        <v>53</v>
      </c>
      <c r="L60" s="43" t="s">
        <v>483</v>
      </c>
      <c r="M60" s="43" t="s">
        <v>405</v>
      </c>
      <c r="N60" s="43" t="s">
        <v>56</v>
      </c>
      <c r="O60" s="44" t="str">
        <f t="shared" si="3"/>
        <v>PE-L1-1C185-02</v>
      </c>
      <c r="P60" s="51">
        <v>292</v>
      </c>
      <c r="Q60" s="43">
        <v>400</v>
      </c>
      <c r="R60" s="43" t="s">
        <v>49</v>
      </c>
      <c r="S60" s="43">
        <v>110</v>
      </c>
      <c r="T60" s="43" t="s">
        <v>3926</v>
      </c>
      <c r="U60" s="43" t="s">
        <v>4035</v>
      </c>
      <c r="V60" s="43" t="s">
        <v>4036</v>
      </c>
      <c r="W60" s="43" t="s">
        <v>347</v>
      </c>
      <c r="X60" s="47" t="s">
        <v>45</v>
      </c>
      <c r="Y60" s="43" t="s">
        <v>4037</v>
      </c>
      <c r="Z60" s="43" t="s">
        <v>4038</v>
      </c>
      <c r="AA60" s="43" t="s">
        <v>401</v>
      </c>
      <c r="AB60" s="47" t="s">
        <v>45</v>
      </c>
      <c r="AC60" s="52" t="s">
        <v>4039</v>
      </c>
      <c r="AD60" s="30"/>
      <c r="AE60" s="195">
        <v>1</v>
      </c>
      <c r="AF60" s="112" t="s">
        <v>8822</v>
      </c>
      <c r="AG60" s="112" t="s">
        <v>8932</v>
      </c>
      <c r="AH60" s="112">
        <v>23</v>
      </c>
    </row>
    <row r="61" spans="1:45" s="29" customFormat="1" ht="69.95" hidden="1" customHeight="1">
      <c r="A61" s="49" t="s">
        <v>4035</v>
      </c>
      <c r="B61" s="49" t="s">
        <v>3769</v>
      </c>
      <c r="C61" s="50" t="s">
        <v>38</v>
      </c>
      <c r="D61" s="50"/>
      <c r="E61" s="57" t="s">
        <v>64</v>
      </c>
      <c r="F61" s="57" t="s">
        <v>64</v>
      </c>
      <c r="J61" s="29">
        <f t="shared" si="0"/>
        <v>1</v>
      </c>
      <c r="K61" s="42">
        <v>54</v>
      </c>
      <c r="L61" s="43" t="s">
        <v>484</v>
      </c>
      <c r="M61" s="43" t="s">
        <v>405</v>
      </c>
      <c r="N61" s="43" t="s">
        <v>56</v>
      </c>
      <c r="O61" s="44" t="str">
        <f t="shared" si="3"/>
        <v>PE-L1-1C185-02</v>
      </c>
      <c r="P61" s="51">
        <v>292</v>
      </c>
      <c r="Q61" s="43">
        <v>400</v>
      </c>
      <c r="R61" s="43" t="s">
        <v>49</v>
      </c>
      <c r="S61" s="43">
        <v>110</v>
      </c>
      <c r="T61" s="43" t="s">
        <v>3926</v>
      </c>
      <c r="U61" s="43" t="s">
        <v>4035</v>
      </c>
      <c r="V61" s="43" t="s">
        <v>4036</v>
      </c>
      <c r="W61" s="43" t="s">
        <v>347</v>
      </c>
      <c r="X61" s="47" t="s">
        <v>46</v>
      </c>
      <c r="Y61" s="43" t="s">
        <v>4037</v>
      </c>
      <c r="Z61" s="43" t="s">
        <v>4038</v>
      </c>
      <c r="AA61" s="43" t="s">
        <v>401</v>
      </c>
      <c r="AB61" s="47" t="s">
        <v>46</v>
      </c>
      <c r="AC61" s="52" t="s">
        <v>4039</v>
      </c>
      <c r="AD61" s="30"/>
      <c r="AE61" s="195">
        <v>1</v>
      </c>
      <c r="AF61" s="112" t="s">
        <v>8822</v>
      </c>
      <c r="AG61" s="112" t="s">
        <v>8932</v>
      </c>
      <c r="AH61" s="112">
        <v>23</v>
      </c>
    </row>
    <row r="62" spans="1:45" s="29" customFormat="1" ht="69.95" hidden="1" customHeight="1">
      <c r="A62" s="49" t="s">
        <v>4035</v>
      </c>
      <c r="B62" s="49" t="s">
        <v>3769</v>
      </c>
      <c r="C62" s="50" t="s">
        <v>40</v>
      </c>
      <c r="D62" s="50"/>
      <c r="E62" s="57" t="s">
        <v>64</v>
      </c>
      <c r="F62" s="57" t="s">
        <v>64</v>
      </c>
      <c r="J62" s="29">
        <f t="shared" si="0"/>
        <v>1</v>
      </c>
      <c r="K62" s="42">
        <v>55</v>
      </c>
      <c r="L62" s="43" t="s">
        <v>485</v>
      </c>
      <c r="M62" s="43" t="s">
        <v>405</v>
      </c>
      <c r="N62" s="43" t="s">
        <v>56</v>
      </c>
      <c r="O62" s="44" t="str">
        <f t="shared" si="3"/>
        <v>PE-L1-1C185-02</v>
      </c>
      <c r="P62" s="51">
        <v>292</v>
      </c>
      <c r="Q62" s="43">
        <v>400</v>
      </c>
      <c r="R62" s="43" t="s">
        <v>49</v>
      </c>
      <c r="S62" s="43">
        <v>110</v>
      </c>
      <c r="T62" s="43" t="s">
        <v>3926</v>
      </c>
      <c r="U62" s="43" t="s">
        <v>4035</v>
      </c>
      <c r="V62" s="43" t="s">
        <v>4036</v>
      </c>
      <c r="W62" s="43" t="s">
        <v>347</v>
      </c>
      <c r="X62" s="47" t="s">
        <v>44</v>
      </c>
      <c r="Y62" s="43" t="s">
        <v>4037</v>
      </c>
      <c r="Z62" s="43" t="s">
        <v>4038</v>
      </c>
      <c r="AA62" s="43" t="s">
        <v>401</v>
      </c>
      <c r="AB62" s="47" t="s">
        <v>44</v>
      </c>
      <c r="AC62" s="48" t="s">
        <v>4039</v>
      </c>
      <c r="AD62" s="30"/>
      <c r="AE62" s="195">
        <v>1</v>
      </c>
      <c r="AF62" s="112" t="s">
        <v>8822</v>
      </c>
      <c r="AG62" s="112" t="s">
        <v>8932</v>
      </c>
      <c r="AH62" s="112">
        <v>23</v>
      </c>
    </row>
    <row r="63" spans="1:45" s="29" customFormat="1" ht="69.95" hidden="1" customHeight="1">
      <c r="A63" s="49" t="s">
        <v>4035</v>
      </c>
      <c r="B63" s="49" t="s">
        <v>3769</v>
      </c>
      <c r="C63" s="50" t="s">
        <v>41</v>
      </c>
      <c r="D63" s="50"/>
      <c r="E63" s="57" t="s">
        <v>64</v>
      </c>
      <c r="F63" s="57" t="s">
        <v>64</v>
      </c>
      <c r="J63" s="29">
        <f t="shared" si="0"/>
        <v>1</v>
      </c>
      <c r="K63" s="42">
        <v>56</v>
      </c>
      <c r="L63" s="43" t="s">
        <v>486</v>
      </c>
      <c r="M63" s="43" t="s">
        <v>405</v>
      </c>
      <c r="N63" s="43" t="s">
        <v>56</v>
      </c>
      <c r="O63" s="44" t="str">
        <f t="shared" si="3"/>
        <v>PE-L1-1C185-02</v>
      </c>
      <c r="P63" s="51">
        <v>292</v>
      </c>
      <c r="Q63" s="43">
        <v>400</v>
      </c>
      <c r="R63" s="43" t="s">
        <v>49</v>
      </c>
      <c r="S63" s="43">
        <v>110</v>
      </c>
      <c r="T63" s="43" t="s">
        <v>3926</v>
      </c>
      <c r="U63" s="43" t="s">
        <v>4035</v>
      </c>
      <c r="V63" s="43" t="s">
        <v>4036</v>
      </c>
      <c r="W63" s="43" t="s">
        <v>347</v>
      </c>
      <c r="X63" s="47" t="s">
        <v>45</v>
      </c>
      <c r="Y63" s="43" t="s">
        <v>4037</v>
      </c>
      <c r="Z63" s="43" t="s">
        <v>4038</v>
      </c>
      <c r="AA63" s="43" t="s">
        <v>401</v>
      </c>
      <c r="AB63" s="47" t="s">
        <v>45</v>
      </c>
      <c r="AC63" s="52" t="s">
        <v>4039</v>
      </c>
      <c r="AD63" s="30"/>
      <c r="AE63" s="195">
        <v>1</v>
      </c>
      <c r="AF63" s="112" t="s">
        <v>8822</v>
      </c>
      <c r="AG63" s="112" t="s">
        <v>8932</v>
      </c>
      <c r="AH63" s="112">
        <v>23</v>
      </c>
    </row>
    <row r="64" spans="1:45" s="29" customFormat="1" ht="69.95" hidden="1" customHeight="1">
      <c r="A64" s="49" t="s">
        <v>4035</v>
      </c>
      <c r="B64" s="49" t="s">
        <v>3769</v>
      </c>
      <c r="C64" s="50" t="s">
        <v>42</v>
      </c>
      <c r="D64" s="50"/>
      <c r="E64" s="57" t="s">
        <v>64</v>
      </c>
      <c r="F64" s="57" t="s">
        <v>64</v>
      </c>
      <c r="J64" s="29">
        <f t="shared" si="0"/>
        <v>1</v>
      </c>
      <c r="K64" s="42">
        <v>57</v>
      </c>
      <c r="L64" s="43" t="s">
        <v>487</v>
      </c>
      <c r="M64" s="43" t="s">
        <v>405</v>
      </c>
      <c r="N64" s="43" t="s">
        <v>56</v>
      </c>
      <c r="O64" s="44" t="str">
        <f t="shared" si="3"/>
        <v>PE-L1-1C185-02</v>
      </c>
      <c r="P64" s="51">
        <v>292</v>
      </c>
      <c r="Q64" s="43">
        <v>400</v>
      </c>
      <c r="R64" s="43" t="s">
        <v>49</v>
      </c>
      <c r="S64" s="43">
        <v>110</v>
      </c>
      <c r="T64" s="43" t="s">
        <v>3926</v>
      </c>
      <c r="U64" s="43" t="s">
        <v>4035</v>
      </c>
      <c r="V64" s="43" t="s">
        <v>4036</v>
      </c>
      <c r="W64" s="43" t="s">
        <v>347</v>
      </c>
      <c r="X64" s="47" t="s">
        <v>46</v>
      </c>
      <c r="Y64" s="43" t="s">
        <v>4037</v>
      </c>
      <c r="Z64" s="43" t="s">
        <v>4038</v>
      </c>
      <c r="AA64" s="43" t="s">
        <v>401</v>
      </c>
      <c r="AB64" s="47" t="s">
        <v>46</v>
      </c>
      <c r="AC64" s="52" t="s">
        <v>4039</v>
      </c>
      <c r="AD64" s="30"/>
      <c r="AE64" s="195">
        <v>1</v>
      </c>
      <c r="AF64" s="112" t="s">
        <v>8822</v>
      </c>
      <c r="AG64" s="112" t="s">
        <v>8932</v>
      </c>
      <c r="AH64" s="112">
        <v>23</v>
      </c>
    </row>
    <row r="65" spans="1:45" s="29" customFormat="1" ht="69.95" hidden="1" customHeight="1">
      <c r="A65" s="49" t="s">
        <v>4035</v>
      </c>
      <c r="B65" s="49" t="s">
        <v>3769</v>
      </c>
      <c r="C65" s="50" t="s">
        <v>43</v>
      </c>
      <c r="D65" s="140"/>
      <c r="E65" s="57" t="s">
        <v>8356</v>
      </c>
      <c r="F65" s="57" t="s">
        <v>8616</v>
      </c>
      <c r="J65" s="29">
        <f t="shared" si="0"/>
        <v>1</v>
      </c>
      <c r="K65" s="42">
        <v>58</v>
      </c>
      <c r="L65" s="43" t="s">
        <v>488</v>
      </c>
      <c r="M65" s="43" t="s">
        <v>405</v>
      </c>
      <c r="N65" s="43" t="s">
        <v>56</v>
      </c>
      <c r="O65" s="44" t="str">
        <f t="shared" si="3"/>
        <v>PE-L1-1C185-03</v>
      </c>
      <c r="P65" s="51">
        <v>292</v>
      </c>
      <c r="Q65" s="43">
        <v>400</v>
      </c>
      <c r="R65" s="43" t="s">
        <v>49</v>
      </c>
      <c r="S65" s="43">
        <v>110</v>
      </c>
      <c r="T65" s="43" t="s">
        <v>3926</v>
      </c>
      <c r="U65" s="43" t="s">
        <v>4035</v>
      </c>
      <c r="V65" s="43" t="s">
        <v>4036</v>
      </c>
      <c r="W65" s="53" t="s">
        <v>347</v>
      </c>
      <c r="X65" s="47" t="s">
        <v>49</v>
      </c>
      <c r="Y65" s="43" t="s">
        <v>4037</v>
      </c>
      <c r="Z65" s="43" t="s">
        <v>4038</v>
      </c>
      <c r="AA65" s="43" t="s">
        <v>401</v>
      </c>
      <c r="AB65" s="47" t="s">
        <v>49</v>
      </c>
      <c r="AC65" s="48" t="s">
        <v>4039</v>
      </c>
      <c r="AD65" s="30"/>
      <c r="AE65" s="195">
        <v>1</v>
      </c>
      <c r="AF65" s="112" t="s">
        <v>8822</v>
      </c>
      <c r="AG65" s="112" t="s">
        <v>8932</v>
      </c>
      <c r="AH65" s="112">
        <v>23</v>
      </c>
    </row>
    <row r="66" spans="1:45" s="29" customFormat="1" ht="69.95" hidden="1" customHeight="1">
      <c r="A66" s="29" t="s">
        <v>4040</v>
      </c>
      <c r="B66" s="29" t="s">
        <v>3769</v>
      </c>
      <c r="C66" s="40" t="s">
        <v>32</v>
      </c>
      <c r="D66" s="40"/>
      <c r="E66" s="57" t="s">
        <v>8356</v>
      </c>
      <c r="F66" s="57" t="s">
        <v>8616</v>
      </c>
      <c r="G66" s="29" t="s">
        <v>489</v>
      </c>
      <c r="J66" s="29">
        <f t="shared" si="0"/>
        <v>1</v>
      </c>
      <c r="K66" s="127">
        <v>59</v>
      </c>
      <c r="L66" s="43" t="s">
        <v>490</v>
      </c>
      <c r="M66" s="44" t="s">
        <v>405</v>
      </c>
      <c r="N66" s="44" t="s">
        <v>56</v>
      </c>
      <c r="O66" s="44" t="str">
        <f t="shared" si="3"/>
        <v>PE-L1-1C185-03</v>
      </c>
      <c r="P66" s="45">
        <v>146</v>
      </c>
      <c r="Q66" s="44">
        <v>400</v>
      </c>
      <c r="R66" s="44" t="s">
        <v>412</v>
      </c>
      <c r="S66" s="44">
        <v>110</v>
      </c>
      <c r="T66" s="46" t="s">
        <v>3926</v>
      </c>
      <c r="U66" s="46" t="s">
        <v>4040</v>
      </c>
      <c r="V66" s="46" t="s">
        <v>4041</v>
      </c>
      <c r="W66" s="46" t="s">
        <v>347</v>
      </c>
      <c r="X66" s="47" t="s">
        <v>44</v>
      </c>
      <c r="Y66" s="46" t="s">
        <v>4042</v>
      </c>
      <c r="Z66" s="46" t="s">
        <v>4043</v>
      </c>
      <c r="AA66" s="46" t="s">
        <v>401</v>
      </c>
      <c r="AB66" s="47" t="s">
        <v>44</v>
      </c>
      <c r="AC66" s="76" t="s">
        <v>9172</v>
      </c>
      <c r="AD66" s="30"/>
      <c r="AE66" s="195">
        <v>1</v>
      </c>
      <c r="AF66" s="112" t="s">
        <v>8822</v>
      </c>
      <c r="AG66" s="112" t="s">
        <v>8932</v>
      </c>
      <c r="AH66" s="112">
        <v>23</v>
      </c>
    </row>
    <row r="67" spans="1:45" s="29" customFormat="1" ht="69.95" hidden="1" customHeight="1">
      <c r="A67" s="49" t="s">
        <v>4040</v>
      </c>
      <c r="B67" s="49" t="s">
        <v>3769</v>
      </c>
      <c r="C67" s="50" t="s">
        <v>36</v>
      </c>
      <c r="D67" s="50"/>
      <c r="E67" s="57" t="s">
        <v>8356</v>
      </c>
      <c r="F67" s="57" t="s">
        <v>8616</v>
      </c>
      <c r="J67" s="29">
        <f t="shared" si="0"/>
        <v>1</v>
      </c>
      <c r="K67" s="127">
        <v>60</v>
      </c>
      <c r="L67" s="43" t="s">
        <v>491</v>
      </c>
      <c r="M67" s="43" t="s">
        <v>405</v>
      </c>
      <c r="N67" s="43" t="s">
        <v>56</v>
      </c>
      <c r="O67" s="44" t="str">
        <f t="shared" si="3"/>
        <v>PE-L1-1C185-03</v>
      </c>
      <c r="P67" s="51">
        <v>146</v>
      </c>
      <c r="Q67" s="43">
        <v>400</v>
      </c>
      <c r="R67" s="43" t="s">
        <v>412</v>
      </c>
      <c r="S67" s="43">
        <v>110</v>
      </c>
      <c r="T67" s="43" t="s">
        <v>3926</v>
      </c>
      <c r="U67" s="43" t="s">
        <v>4040</v>
      </c>
      <c r="V67" s="43" t="s">
        <v>4041</v>
      </c>
      <c r="W67" s="43" t="s">
        <v>347</v>
      </c>
      <c r="X67" s="47" t="s">
        <v>45</v>
      </c>
      <c r="Y67" s="43" t="s">
        <v>4042</v>
      </c>
      <c r="Z67" s="43" t="s">
        <v>4043</v>
      </c>
      <c r="AA67" s="43" t="s">
        <v>401</v>
      </c>
      <c r="AB67" s="47" t="s">
        <v>45</v>
      </c>
      <c r="AC67" s="146" t="s">
        <v>9172</v>
      </c>
      <c r="AD67" s="30"/>
      <c r="AE67" s="195">
        <v>1</v>
      </c>
      <c r="AF67" s="112" t="s">
        <v>8822</v>
      </c>
      <c r="AG67" s="112" t="s">
        <v>8932</v>
      </c>
      <c r="AH67" s="112">
        <v>23</v>
      </c>
    </row>
    <row r="68" spans="1:45" s="29" customFormat="1" ht="69.95" hidden="1" customHeight="1">
      <c r="A68" s="49" t="s">
        <v>4040</v>
      </c>
      <c r="B68" s="49" t="s">
        <v>3769</v>
      </c>
      <c r="C68" s="50" t="s">
        <v>38</v>
      </c>
      <c r="D68" s="50"/>
      <c r="E68" s="57" t="s">
        <v>8356</v>
      </c>
      <c r="F68" s="57" t="s">
        <v>8616</v>
      </c>
      <c r="J68" s="29">
        <f t="shared" si="0"/>
        <v>1</v>
      </c>
      <c r="K68" s="127">
        <v>61</v>
      </c>
      <c r="L68" s="43" t="s">
        <v>492</v>
      </c>
      <c r="M68" s="43" t="s">
        <v>405</v>
      </c>
      <c r="N68" s="43" t="s">
        <v>56</v>
      </c>
      <c r="O68" s="44" t="str">
        <f t="shared" si="3"/>
        <v>PE-L1-1C185-03</v>
      </c>
      <c r="P68" s="51">
        <v>146</v>
      </c>
      <c r="Q68" s="43">
        <v>400</v>
      </c>
      <c r="R68" s="43" t="s">
        <v>412</v>
      </c>
      <c r="S68" s="43">
        <v>110</v>
      </c>
      <c r="T68" s="43" t="s">
        <v>3926</v>
      </c>
      <c r="U68" s="43" t="s">
        <v>4040</v>
      </c>
      <c r="V68" s="43" t="s">
        <v>4041</v>
      </c>
      <c r="W68" s="43" t="s">
        <v>347</v>
      </c>
      <c r="X68" s="47" t="s">
        <v>46</v>
      </c>
      <c r="Y68" s="43" t="s">
        <v>4042</v>
      </c>
      <c r="Z68" s="43" t="s">
        <v>4043</v>
      </c>
      <c r="AA68" s="43" t="s">
        <v>401</v>
      </c>
      <c r="AB68" s="47" t="s">
        <v>46</v>
      </c>
      <c r="AC68" s="146" t="s">
        <v>9172</v>
      </c>
      <c r="AD68" s="30"/>
      <c r="AE68" s="195">
        <v>1</v>
      </c>
      <c r="AF68" s="112" t="s">
        <v>8822</v>
      </c>
      <c r="AG68" s="112" t="s">
        <v>8932</v>
      </c>
      <c r="AH68" s="112">
        <v>23</v>
      </c>
    </row>
    <row r="69" spans="1:45" s="29" customFormat="1" ht="69.95" hidden="1" customHeight="1">
      <c r="A69" s="49" t="s">
        <v>4040</v>
      </c>
      <c r="B69" s="49" t="s">
        <v>3769</v>
      </c>
      <c r="C69" s="50" t="s">
        <v>40</v>
      </c>
      <c r="D69" s="50"/>
      <c r="E69" s="117" t="s">
        <v>65</v>
      </c>
      <c r="F69" s="117" t="s">
        <v>65</v>
      </c>
      <c r="J69" s="29">
        <f t="shared" si="0"/>
        <v>1</v>
      </c>
      <c r="K69" s="127">
        <v>62</v>
      </c>
      <c r="L69" s="43" t="s">
        <v>493</v>
      </c>
      <c r="M69" s="43" t="s">
        <v>405</v>
      </c>
      <c r="N69" s="128" t="s">
        <v>56</v>
      </c>
      <c r="O69" s="121" t="str">
        <f>F69</f>
        <v>PE-L1-1C185-04</v>
      </c>
      <c r="P69" s="51">
        <v>146</v>
      </c>
      <c r="Q69" s="43">
        <v>400</v>
      </c>
      <c r="R69" s="43" t="s">
        <v>412</v>
      </c>
      <c r="S69" s="43">
        <v>110</v>
      </c>
      <c r="T69" s="43" t="s">
        <v>3926</v>
      </c>
      <c r="U69" s="43" t="s">
        <v>4040</v>
      </c>
      <c r="V69" s="43" t="s">
        <v>4041</v>
      </c>
      <c r="W69" s="53" t="s">
        <v>347</v>
      </c>
      <c r="X69" s="47" t="s">
        <v>49</v>
      </c>
      <c r="Y69" s="43" t="s">
        <v>4042</v>
      </c>
      <c r="Z69" s="43" t="s">
        <v>4043</v>
      </c>
      <c r="AA69" s="43" t="s">
        <v>401</v>
      </c>
      <c r="AB69" s="47" t="s">
        <v>49</v>
      </c>
      <c r="AC69" s="76" t="s">
        <v>9172</v>
      </c>
      <c r="AD69" s="30"/>
      <c r="AE69" s="195">
        <v>1</v>
      </c>
      <c r="AF69" s="112" t="s">
        <v>8722</v>
      </c>
      <c r="AG69" s="112" t="s">
        <v>8925</v>
      </c>
      <c r="AH69" s="114">
        <v>17.5</v>
      </c>
    </row>
    <row r="70" spans="1:45" s="29" customFormat="1" ht="69.95" hidden="1" customHeight="1">
      <c r="A70" s="29" t="s">
        <v>4044</v>
      </c>
      <c r="B70" s="29" t="s">
        <v>8652</v>
      </c>
      <c r="C70" s="40" t="s">
        <v>32</v>
      </c>
      <c r="D70" s="40"/>
      <c r="E70" s="57" t="s">
        <v>62</v>
      </c>
      <c r="F70" s="57" t="s">
        <v>62</v>
      </c>
      <c r="G70" s="29" t="s">
        <v>494</v>
      </c>
      <c r="J70" s="29">
        <f t="shared" si="0"/>
        <v>1</v>
      </c>
      <c r="K70" s="42">
        <v>63</v>
      </c>
      <c r="L70" s="43" t="s">
        <v>495</v>
      </c>
      <c r="M70" s="44" t="s">
        <v>417</v>
      </c>
      <c r="N70" s="44" t="s">
        <v>418</v>
      </c>
      <c r="O70" s="44" t="str">
        <f t="shared" ref="O70:O72" si="4">F70</f>
        <v>PE-M1-3C120-19</v>
      </c>
      <c r="P70" s="45">
        <v>2900</v>
      </c>
      <c r="Q70" s="44">
        <v>10000</v>
      </c>
      <c r="R70" s="44" t="s">
        <v>49</v>
      </c>
      <c r="S70" s="44">
        <v>120</v>
      </c>
      <c r="T70" s="46" t="s">
        <v>3926</v>
      </c>
      <c r="U70" s="46" t="s">
        <v>4044</v>
      </c>
      <c r="V70" s="46" t="s">
        <v>358</v>
      </c>
      <c r="W70" s="46" t="s">
        <v>347</v>
      </c>
      <c r="X70" s="47" t="s">
        <v>51</v>
      </c>
      <c r="Y70" s="46" t="s">
        <v>4045</v>
      </c>
      <c r="Z70" s="46" t="s">
        <v>4046</v>
      </c>
      <c r="AA70" s="46" t="s">
        <v>401</v>
      </c>
      <c r="AB70" s="47" t="s">
        <v>3941</v>
      </c>
      <c r="AC70" s="48" t="s">
        <v>4047</v>
      </c>
      <c r="AD70" s="30"/>
      <c r="AE70" s="197"/>
      <c r="AF70" s="47"/>
      <c r="AH70" s="47">
        <v>55</v>
      </c>
      <c r="AR70" s="241">
        <v>2</v>
      </c>
      <c r="AS70" s="241" t="s">
        <v>9587</v>
      </c>
    </row>
    <row r="71" spans="1:45" s="29" customFormat="1" ht="69.95" hidden="1" customHeight="1">
      <c r="A71" s="29" t="s">
        <v>4044</v>
      </c>
      <c r="B71" s="29" t="s">
        <v>8652</v>
      </c>
      <c r="C71" s="40" t="s">
        <v>36</v>
      </c>
      <c r="D71" s="40"/>
      <c r="E71" s="57" t="s">
        <v>61</v>
      </c>
      <c r="F71" s="57" t="s">
        <v>61</v>
      </c>
      <c r="G71" s="29" t="s">
        <v>496</v>
      </c>
      <c r="J71" s="29">
        <f t="shared" si="0"/>
        <v>1</v>
      </c>
      <c r="K71" s="42">
        <v>64</v>
      </c>
      <c r="L71" s="43" t="s">
        <v>497</v>
      </c>
      <c r="M71" s="44" t="s">
        <v>417</v>
      </c>
      <c r="N71" s="44" t="s">
        <v>418</v>
      </c>
      <c r="O71" s="44" t="str">
        <f t="shared" si="4"/>
        <v>PE-M1-3C120-18</v>
      </c>
      <c r="P71" s="45">
        <v>1230</v>
      </c>
      <c r="Q71" s="44">
        <v>10000</v>
      </c>
      <c r="R71" s="44" t="s">
        <v>49</v>
      </c>
      <c r="S71" s="44">
        <v>100</v>
      </c>
      <c r="T71" s="46" t="s">
        <v>3926</v>
      </c>
      <c r="U71" s="46" t="s">
        <v>4044</v>
      </c>
      <c r="V71" s="46" t="s">
        <v>358</v>
      </c>
      <c r="W71" s="46" t="s">
        <v>347</v>
      </c>
      <c r="X71" s="47" t="s">
        <v>51</v>
      </c>
      <c r="Y71" s="46" t="s">
        <v>4048</v>
      </c>
      <c r="Z71" s="46" t="s">
        <v>4049</v>
      </c>
      <c r="AA71" s="46" t="s">
        <v>401</v>
      </c>
      <c r="AB71" s="47" t="s">
        <v>3941</v>
      </c>
      <c r="AC71" s="48" t="s">
        <v>4050</v>
      </c>
      <c r="AD71" s="30"/>
      <c r="AE71" s="197"/>
      <c r="AF71" s="47"/>
      <c r="AH71" s="47">
        <v>55</v>
      </c>
      <c r="AR71" s="241">
        <v>2</v>
      </c>
      <c r="AS71" s="241" t="s">
        <v>9587</v>
      </c>
    </row>
    <row r="72" spans="1:45" s="29" customFormat="1" ht="69.95" hidden="1" customHeight="1">
      <c r="A72" s="29" t="s">
        <v>4044</v>
      </c>
      <c r="B72" s="29" t="s">
        <v>8652</v>
      </c>
      <c r="C72" s="40" t="s">
        <v>38</v>
      </c>
      <c r="D72" s="40"/>
      <c r="E72" s="57" t="s">
        <v>62</v>
      </c>
      <c r="F72" s="57" t="s">
        <v>62</v>
      </c>
      <c r="G72" s="29" t="s">
        <v>498</v>
      </c>
      <c r="J72" s="29">
        <f t="shared" ref="J72:J135" si="5">COUNTIF(L:L,L72)</f>
        <v>1</v>
      </c>
      <c r="K72" s="42">
        <v>65</v>
      </c>
      <c r="L72" s="43" t="s">
        <v>499</v>
      </c>
      <c r="M72" s="44" t="s">
        <v>417</v>
      </c>
      <c r="N72" s="44" t="s">
        <v>418</v>
      </c>
      <c r="O72" s="44" t="str">
        <f t="shared" si="4"/>
        <v>PE-M1-3C120-19</v>
      </c>
      <c r="P72" s="45">
        <v>500</v>
      </c>
      <c r="Q72" s="44">
        <v>10000</v>
      </c>
      <c r="R72" s="44" t="s">
        <v>49</v>
      </c>
      <c r="S72" s="44">
        <v>130</v>
      </c>
      <c r="T72" s="46" t="s">
        <v>3926</v>
      </c>
      <c r="U72" s="46" t="s">
        <v>4044</v>
      </c>
      <c r="V72" s="46" t="s">
        <v>358</v>
      </c>
      <c r="W72" s="46" t="s">
        <v>347</v>
      </c>
      <c r="X72" s="47" t="s">
        <v>51</v>
      </c>
      <c r="Y72" s="46" t="s">
        <v>4051</v>
      </c>
      <c r="Z72" s="46" t="s">
        <v>4052</v>
      </c>
      <c r="AA72" s="46" t="s">
        <v>401</v>
      </c>
      <c r="AB72" s="47" t="s">
        <v>3941</v>
      </c>
      <c r="AC72" s="48" t="s">
        <v>4053</v>
      </c>
      <c r="AD72" s="30"/>
      <c r="AE72" s="197"/>
      <c r="AF72" s="47"/>
      <c r="AH72" s="47">
        <v>55</v>
      </c>
      <c r="AR72" s="241">
        <v>2</v>
      </c>
      <c r="AS72" s="241" t="s">
        <v>9587</v>
      </c>
    </row>
    <row r="73" spans="1:45" s="29" customFormat="1" ht="69.95" hidden="1" customHeight="1">
      <c r="A73" s="29" t="s">
        <v>4044</v>
      </c>
      <c r="B73" s="29" t="s">
        <v>3769</v>
      </c>
      <c r="C73" s="40" t="s">
        <v>32</v>
      </c>
      <c r="D73" s="40"/>
      <c r="E73" s="93" t="s">
        <v>8755</v>
      </c>
      <c r="F73" s="93" t="s">
        <v>8755</v>
      </c>
      <c r="G73" s="29" t="s">
        <v>500</v>
      </c>
      <c r="J73" s="29">
        <f t="shared" si="5"/>
        <v>1</v>
      </c>
      <c r="K73" s="42">
        <v>66</v>
      </c>
      <c r="L73" s="43" t="s">
        <v>501</v>
      </c>
      <c r="M73" s="44" t="s">
        <v>405</v>
      </c>
      <c r="N73" s="44" t="s">
        <v>426</v>
      </c>
      <c r="O73" s="90" t="str">
        <f>F73</f>
        <v>PE-L1-3C4-29</v>
      </c>
      <c r="P73" s="45">
        <v>0.315</v>
      </c>
      <c r="Q73" s="44">
        <v>230</v>
      </c>
      <c r="R73" s="44" t="s">
        <v>49</v>
      </c>
      <c r="S73" s="44">
        <v>140</v>
      </c>
      <c r="T73" s="46" t="s">
        <v>3926</v>
      </c>
      <c r="U73" s="46" t="s">
        <v>4044</v>
      </c>
      <c r="V73" s="46" t="s">
        <v>358</v>
      </c>
      <c r="W73" s="46" t="s">
        <v>347</v>
      </c>
      <c r="X73" s="172" t="s">
        <v>9167</v>
      </c>
      <c r="Y73" s="46" t="s">
        <v>4056</v>
      </c>
      <c r="Z73" s="46" t="s">
        <v>4057</v>
      </c>
      <c r="AA73" s="46" t="s">
        <v>401</v>
      </c>
      <c r="AB73" s="172" t="s">
        <v>9167</v>
      </c>
      <c r="AC73" s="48" t="s">
        <v>4058</v>
      </c>
      <c r="AD73" s="30"/>
      <c r="AE73" s="197"/>
      <c r="AF73" s="47"/>
      <c r="AH73" s="47">
        <v>13</v>
      </c>
    </row>
    <row r="74" spans="1:45" s="29" customFormat="1" ht="69.95" hidden="1" customHeight="1">
      <c r="A74" s="29" t="s">
        <v>4059</v>
      </c>
      <c r="B74" s="29" t="s">
        <v>3769</v>
      </c>
      <c r="C74" s="40" t="s">
        <v>36</v>
      </c>
      <c r="D74" s="40"/>
      <c r="E74" s="93" t="s">
        <v>8755</v>
      </c>
      <c r="F74" s="93" t="s">
        <v>8755</v>
      </c>
      <c r="G74" s="29" t="s">
        <v>502</v>
      </c>
      <c r="J74" s="29">
        <f t="shared" si="5"/>
        <v>1</v>
      </c>
      <c r="K74" s="42">
        <v>67</v>
      </c>
      <c r="L74" s="43" t="s">
        <v>503</v>
      </c>
      <c r="M74" s="44" t="s">
        <v>405</v>
      </c>
      <c r="N74" s="44" t="s">
        <v>426</v>
      </c>
      <c r="O74" s="90" t="str">
        <f>F74</f>
        <v>PE-L1-3C4-29</v>
      </c>
      <c r="P74" s="45">
        <v>1.19</v>
      </c>
      <c r="Q74" s="44">
        <v>230</v>
      </c>
      <c r="R74" s="44" t="s">
        <v>428</v>
      </c>
      <c r="S74" s="44">
        <v>20</v>
      </c>
      <c r="T74" s="46" t="s">
        <v>3926</v>
      </c>
      <c r="U74" s="46" t="s">
        <v>4059</v>
      </c>
      <c r="V74" s="46" t="s">
        <v>4060</v>
      </c>
      <c r="W74" s="46" t="s">
        <v>55</v>
      </c>
      <c r="X74" s="172" t="s">
        <v>9167</v>
      </c>
      <c r="Y74" s="46" t="s">
        <v>4061</v>
      </c>
      <c r="Z74" s="46" t="s">
        <v>4062</v>
      </c>
      <c r="AA74" s="46" t="s">
        <v>3957</v>
      </c>
      <c r="AB74" s="172" t="s">
        <v>9167</v>
      </c>
      <c r="AC74" s="48" t="s">
        <v>4029</v>
      </c>
      <c r="AD74" s="30"/>
      <c r="AE74" s="197"/>
      <c r="AF74" s="47"/>
      <c r="AH74" s="47">
        <v>13</v>
      </c>
    </row>
    <row r="75" spans="1:45" s="29" customFormat="1" ht="69.95" hidden="1" customHeight="1">
      <c r="A75" s="29" t="s">
        <v>4063</v>
      </c>
      <c r="B75" s="29" t="s">
        <v>3769</v>
      </c>
      <c r="C75" s="40" t="s">
        <v>32</v>
      </c>
      <c r="D75" s="40"/>
      <c r="E75" s="57" t="s">
        <v>63</v>
      </c>
      <c r="F75" s="57" t="s">
        <v>63</v>
      </c>
      <c r="G75" s="29" t="s">
        <v>504</v>
      </c>
      <c r="J75" s="29">
        <f t="shared" si="5"/>
        <v>1</v>
      </c>
      <c r="K75" s="42">
        <v>68</v>
      </c>
      <c r="L75" s="43" t="s">
        <v>505</v>
      </c>
      <c r="M75" s="44" t="s">
        <v>405</v>
      </c>
      <c r="N75" s="44" t="s">
        <v>456</v>
      </c>
      <c r="O75" s="44" t="str">
        <f t="shared" ref="O75:O80" si="6">F75</f>
        <v>PE-L1-3C6-05</v>
      </c>
      <c r="P75" s="45">
        <v>0.7</v>
      </c>
      <c r="Q75" s="44">
        <v>230</v>
      </c>
      <c r="R75" s="44" t="s">
        <v>428</v>
      </c>
      <c r="S75" s="44">
        <v>130</v>
      </c>
      <c r="T75" s="46" t="s">
        <v>3926</v>
      </c>
      <c r="U75" s="46" t="s">
        <v>4063</v>
      </c>
      <c r="V75" s="46" t="s">
        <v>4064</v>
      </c>
      <c r="W75" s="46" t="s">
        <v>347</v>
      </c>
      <c r="X75" s="172" t="s">
        <v>9167</v>
      </c>
      <c r="Y75" s="46" t="s">
        <v>4065</v>
      </c>
      <c r="Z75" s="46" t="s">
        <v>4066</v>
      </c>
      <c r="AA75" s="46" t="s">
        <v>401</v>
      </c>
      <c r="AB75" s="172" t="s">
        <v>9167</v>
      </c>
      <c r="AC75" s="48" t="s">
        <v>4067</v>
      </c>
      <c r="AD75" s="30"/>
      <c r="AE75" s="197"/>
      <c r="AF75" s="47"/>
      <c r="AH75" s="113">
        <v>14.5</v>
      </c>
    </row>
    <row r="76" spans="1:45" s="29" customFormat="1" ht="69.95" hidden="1" customHeight="1">
      <c r="A76" s="29" t="s">
        <v>4069</v>
      </c>
      <c r="B76" s="29" t="s">
        <v>3769</v>
      </c>
      <c r="C76" s="40" t="s">
        <v>32</v>
      </c>
      <c r="D76" s="40"/>
      <c r="E76" s="57" t="s">
        <v>8294</v>
      </c>
      <c r="F76" s="57" t="s">
        <v>8294</v>
      </c>
      <c r="G76" s="29" t="s">
        <v>506</v>
      </c>
      <c r="J76" s="29">
        <f t="shared" si="5"/>
        <v>1</v>
      </c>
      <c r="K76" s="42">
        <v>69</v>
      </c>
      <c r="L76" s="43" t="s">
        <v>507</v>
      </c>
      <c r="M76" s="44" t="s">
        <v>405</v>
      </c>
      <c r="N76" s="44" t="s">
        <v>508</v>
      </c>
      <c r="O76" s="44" t="str">
        <f t="shared" si="6"/>
        <v>PE-L1-2C25-01</v>
      </c>
      <c r="P76" s="45">
        <v>11</v>
      </c>
      <c r="Q76" s="44">
        <v>220</v>
      </c>
      <c r="R76" s="44" t="s">
        <v>509</v>
      </c>
      <c r="S76" s="44">
        <v>30</v>
      </c>
      <c r="T76" s="46" t="s">
        <v>4068</v>
      </c>
      <c r="U76" s="46" t="s">
        <v>4069</v>
      </c>
      <c r="V76" s="46" t="s">
        <v>4070</v>
      </c>
      <c r="W76" s="46" t="s">
        <v>391</v>
      </c>
      <c r="X76" s="172" t="s">
        <v>8942</v>
      </c>
      <c r="Y76" s="46" t="s">
        <v>4071</v>
      </c>
      <c r="Z76" s="46" t="s">
        <v>4072</v>
      </c>
      <c r="AA76" s="46" t="s">
        <v>391</v>
      </c>
      <c r="AB76" s="172" t="s">
        <v>8942</v>
      </c>
      <c r="AC76" s="48" t="s">
        <v>4074</v>
      </c>
      <c r="AD76" s="30"/>
      <c r="AE76" s="197"/>
      <c r="AF76" s="47"/>
    </row>
    <row r="77" spans="1:45" s="29" customFormat="1" ht="69.95" hidden="1" customHeight="1">
      <c r="A77" s="29" t="s">
        <v>4075</v>
      </c>
      <c r="B77" s="29" t="s">
        <v>3769</v>
      </c>
      <c r="C77" s="40" t="s">
        <v>32</v>
      </c>
      <c r="D77" s="40"/>
      <c r="E77" s="57" t="s">
        <v>8294</v>
      </c>
      <c r="F77" s="57" t="s">
        <v>8294</v>
      </c>
      <c r="G77" s="29" t="s">
        <v>510</v>
      </c>
      <c r="J77" s="29">
        <f t="shared" si="5"/>
        <v>1</v>
      </c>
      <c r="K77" s="42">
        <v>70</v>
      </c>
      <c r="L77" s="43" t="s">
        <v>511</v>
      </c>
      <c r="M77" s="44" t="s">
        <v>405</v>
      </c>
      <c r="N77" s="44" t="s">
        <v>508</v>
      </c>
      <c r="O77" s="44" t="str">
        <f t="shared" si="6"/>
        <v>PE-L1-2C25-01</v>
      </c>
      <c r="P77" s="45">
        <v>11</v>
      </c>
      <c r="Q77" s="44">
        <v>220</v>
      </c>
      <c r="R77" s="44" t="s">
        <v>509</v>
      </c>
      <c r="S77" s="44">
        <v>40</v>
      </c>
      <c r="T77" s="46" t="s">
        <v>4068</v>
      </c>
      <c r="U77" s="46" t="s">
        <v>4075</v>
      </c>
      <c r="V77" s="46" t="s">
        <v>4076</v>
      </c>
      <c r="W77" s="46" t="s">
        <v>391</v>
      </c>
      <c r="X77" s="172" t="s">
        <v>8942</v>
      </c>
      <c r="Y77" s="46" t="s">
        <v>4071</v>
      </c>
      <c r="Z77" s="46" t="s">
        <v>4077</v>
      </c>
      <c r="AA77" s="46" t="s">
        <v>391</v>
      </c>
      <c r="AB77" s="172" t="s">
        <v>8942</v>
      </c>
      <c r="AC77" s="48" t="s">
        <v>4078</v>
      </c>
      <c r="AD77" s="30"/>
      <c r="AE77" s="197"/>
      <c r="AF77" s="47"/>
    </row>
    <row r="78" spans="1:45" s="29" customFormat="1" ht="69.95" hidden="1" customHeight="1">
      <c r="A78" s="29" t="s">
        <v>4079</v>
      </c>
      <c r="B78" s="29" t="s">
        <v>3769</v>
      </c>
      <c r="C78" s="40" t="s">
        <v>32</v>
      </c>
      <c r="D78" s="40"/>
      <c r="E78" s="57" t="s">
        <v>8296</v>
      </c>
      <c r="F78" s="57" t="s">
        <v>8296</v>
      </c>
      <c r="G78" s="29" t="s">
        <v>512</v>
      </c>
      <c r="J78" s="29">
        <f t="shared" si="5"/>
        <v>1</v>
      </c>
      <c r="K78" s="42">
        <v>71</v>
      </c>
      <c r="L78" s="43" t="s">
        <v>513</v>
      </c>
      <c r="M78" s="44" t="s">
        <v>405</v>
      </c>
      <c r="N78" s="44" t="s">
        <v>426</v>
      </c>
      <c r="O78" s="44" t="str">
        <f t="shared" si="6"/>
        <v>PE-L1-3C4-23</v>
      </c>
      <c r="P78" s="45">
        <v>2</v>
      </c>
      <c r="Q78" s="44">
        <v>230</v>
      </c>
      <c r="R78" s="44" t="s">
        <v>49</v>
      </c>
      <c r="S78" s="44">
        <v>30</v>
      </c>
      <c r="T78" s="46" t="s">
        <v>4068</v>
      </c>
      <c r="U78" s="46" t="s">
        <v>4079</v>
      </c>
      <c r="V78" s="46" t="s">
        <v>4080</v>
      </c>
      <c r="W78" s="46" t="s">
        <v>391</v>
      </c>
      <c r="X78" s="172" t="s">
        <v>9167</v>
      </c>
      <c r="Y78" s="46" t="s">
        <v>4071</v>
      </c>
      <c r="Z78" s="46" t="s">
        <v>4081</v>
      </c>
      <c r="AA78" s="46" t="s">
        <v>4073</v>
      </c>
      <c r="AB78" s="172" t="s">
        <v>9167</v>
      </c>
      <c r="AC78" s="48" t="s">
        <v>4082</v>
      </c>
      <c r="AD78" s="30"/>
      <c r="AE78" s="197"/>
      <c r="AF78" s="47"/>
    </row>
    <row r="79" spans="1:45" s="29" customFormat="1" ht="69.95" hidden="1" customHeight="1">
      <c r="A79" s="29" t="s">
        <v>4084</v>
      </c>
      <c r="B79" s="29" t="s">
        <v>3769</v>
      </c>
      <c r="C79" s="40" t="s">
        <v>32</v>
      </c>
      <c r="D79" s="40"/>
      <c r="E79" s="73" t="s">
        <v>8649</v>
      </c>
      <c r="F79" s="73" t="s">
        <v>8649</v>
      </c>
      <c r="G79" s="29" t="s">
        <v>514</v>
      </c>
      <c r="H79" s="124" t="s">
        <v>9563</v>
      </c>
      <c r="I79" s="124" t="s">
        <v>9121</v>
      </c>
      <c r="J79" s="29">
        <f t="shared" si="5"/>
        <v>1</v>
      </c>
      <c r="K79" s="42">
        <v>72</v>
      </c>
      <c r="L79" s="152" t="s">
        <v>515</v>
      </c>
      <c r="M79" s="44" t="s">
        <v>405</v>
      </c>
      <c r="N79" s="44" t="s">
        <v>8364</v>
      </c>
      <c r="O79" s="101" t="str">
        <f t="shared" si="6"/>
        <v>PE-L1-5C120/70-04</v>
      </c>
      <c r="P79" s="45">
        <v>45</v>
      </c>
      <c r="Q79" s="44">
        <v>400</v>
      </c>
      <c r="R79" s="44" t="s">
        <v>412</v>
      </c>
      <c r="S79" s="101">
        <v>370</v>
      </c>
      <c r="T79" s="46" t="s">
        <v>4083</v>
      </c>
      <c r="U79" s="46" t="s">
        <v>4084</v>
      </c>
      <c r="V79" s="46" t="s">
        <v>4085</v>
      </c>
      <c r="W79" s="46" t="s">
        <v>335</v>
      </c>
      <c r="X79" s="47" t="s">
        <v>9310</v>
      </c>
      <c r="Y79" s="46" t="s">
        <v>4086</v>
      </c>
      <c r="Z79" s="46" t="s">
        <v>8367</v>
      </c>
      <c r="AA79" s="46" t="s">
        <v>4073</v>
      </c>
      <c r="AB79" s="47" t="s">
        <v>9310</v>
      </c>
      <c r="AC79" s="48" t="s">
        <v>4088</v>
      </c>
      <c r="AD79" s="30"/>
      <c r="AE79" s="197"/>
      <c r="AF79" s="47"/>
    </row>
    <row r="80" spans="1:45" s="29" customFormat="1" ht="69.95" hidden="1" customHeight="1">
      <c r="A80" s="29" t="s">
        <v>4079</v>
      </c>
      <c r="B80" s="29" t="s">
        <v>3769</v>
      </c>
      <c r="C80" s="40" t="s">
        <v>36</v>
      </c>
      <c r="D80" s="40"/>
      <c r="E80" s="57" t="s">
        <v>54</v>
      </c>
      <c r="F80" s="57" t="s">
        <v>54</v>
      </c>
      <c r="G80" s="29" t="s">
        <v>517</v>
      </c>
      <c r="J80" s="29">
        <f t="shared" si="5"/>
        <v>1</v>
      </c>
      <c r="K80" s="42">
        <v>73</v>
      </c>
      <c r="L80" s="43" t="s">
        <v>518</v>
      </c>
      <c r="M80" s="44" t="s">
        <v>405</v>
      </c>
      <c r="N80" s="44" t="s">
        <v>426</v>
      </c>
      <c r="O80" s="44" t="str">
        <f t="shared" si="6"/>
        <v>PE-L1-3C4-01</v>
      </c>
      <c r="P80" s="45">
        <v>2</v>
      </c>
      <c r="Q80" s="44">
        <v>230</v>
      </c>
      <c r="R80" s="44" t="s">
        <v>49</v>
      </c>
      <c r="S80" s="44">
        <v>30</v>
      </c>
      <c r="T80" s="46" t="s">
        <v>4083</v>
      </c>
      <c r="U80" s="46" t="s">
        <v>4079</v>
      </c>
      <c r="V80" s="46" t="s">
        <v>4080</v>
      </c>
      <c r="W80" s="46" t="s">
        <v>391</v>
      </c>
      <c r="X80" s="172" t="s">
        <v>9167</v>
      </c>
      <c r="Y80" s="46" t="s">
        <v>4086</v>
      </c>
      <c r="Z80" s="46" t="s">
        <v>4089</v>
      </c>
      <c r="AA80" s="46" t="s">
        <v>4073</v>
      </c>
      <c r="AB80" s="172" t="s">
        <v>9167</v>
      </c>
      <c r="AC80" s="48" t="s">
        <v>4082</v>
      </c>
      <c r="AD80" s="30"/>
      <c r="AE80" s="197"/>
      <c r="AF80" s="47"/>
    </row>
    <row r="81" spans="1:32" s="29" customFormat="1" ht="69.95" hidden="1" customHeight="1">
      <c r="A81" s="29" t="s">
        <v>4084</v>
      </c>
      <c r="B81" s="29" t="s">
        <v>3769</v>
      </c>
      <c r="C81" s="40" t="s">
        <v>36</v>
      </c>
      <c r="D81" s="40"/>
      <c r="E81" s="58" t="s">
        <v>158</v>
      </c>
      <c r="F81" s="58" t="s">
        <v>158</v>
      </c>
      <c r="G81" s="29" t="s">
        <v>519</v>
      </c>
      <c r="H81" s="124" t="s">
        <v>9154</v>
      </c>
      <c r="I81" s="124" t="s">
        <v>9121</v>
      </c>
      <c r="J81" s="29">
        <f t="shared" si="5"/>
        <v>1</v>
      </c>
      <c r="K81" s="42">
        <v>74</v>
      </c>
      <c r="L81" s="152" t="s">
        <v>520</v>
      </c>
      <c r="M81" s="44" t="s">
        <v>405</v>
      </c>
      <c r="N81" s="44" t="s">
        <v>521</v>
      </c>
      <c r="O81" s="101" t="str">
        <f>F81</f>
        <v>PE-L1-4C70/35-01</v>
      </c>
      <c r="P81" s="45">
        <v>37</v>
      </c>
      <c r="Q81" s="44">
        <v>400</v>
      </c>
      <c r="R81" s="44" t="s">
        <v>412</v>
      </c>
      <c r="S81" s="101">
        <v>410</v>
      </c>
      <c r="T81" s="46" t="s">
        <v>4068</v>
      </c>
      <c r="U81" s="46" t="s">
        <v>4084</v>
      </c>
      <c r="V81" s="46" t="s">
        <v>4085</v>
      </c>
      <c r="W81" s="46" t="s">
        <v>335</v>
      </c>
      <c r="X81" s="47" t="s">
        <v>9305</v>
      </c>
      <c r="Y81" s="46" t="s">
        <v>4090</v>
      </c>
      <c r="Z81" s="46" t="s">
        <v>4091</v>
      </c>
      <c r="AA81" s="46" t="s">
        <v>4073</v>
      </c>
      <c r="AB81" s="47" t="s">
        <v>9305</v>
      </c>
      <c r="AC81" s="48" t="s">
        <v>4092</v>
      </c>
      <c r="AD81" s="30"/>
      <c r="AE81" s="197"/>
      <c r="AF81" s="47"/>
    </row>
    <row r="82" spans="1:32" s="29" customFormat="1" ht="69.95" hidden="1" customHeight="1">
      <c r="A82" s="29" t="s">
        <v>4093</v>
      </c>
      <c r="B82" s="29" t="s">
        <v>3769</v>
      </c>
      <c r="C82" s="40" t="s">
        <v>32</v>
      </c>
      <c r="D82" s="40"/>
      <c r="E82" s="58" t="s">
        <v>158</v>
      </c>
      <c r="F82" s="58" t="s">
        <v>158</v>
      </c>
      <c r="G82" s="29" t="s">
        <v>522</v>
      </c>
      <c r="H82" s="124" t="s">
        <v>9154</v>
      </c>
      <c r="I82" s="124" t="s">
        <v>9121</v>
      </c>
      <c r="J82" s="29">
        <f t="shared" si="5"/>
        <v>1</v>
      </c>
      <c r="K82" s="42">
        <v>75</v>
      </c>
      <c r="L82" s="152" t="s">
        <v>523</v>
      </c>
      <c r="M82" s="44" t="s">
        <v>405</v>
      </c>
      <c r="N82" s="44" t="s">
        <v>521</v>
      </c>
      <c r="O82" s="101" t="str">
        <f>F82</f>
        <v>PE-L1-4C70/35-01</v>
      </c>
      <c r="P82" s="45">
        <v>37</v>
      </c>
      <c r="Q82" s="44">
        <v>400</v>
      </c>
      <c r="R82" s="44" t="s">
        <v>412</v>
      </c>
      <c r="S82" s="101">
        <v>410</v>
      </c>
      <c r="T82" s="46" t="s">
        <v>4068</v>
      </c>
      <c r="U82" s="46" t="s">
        <v>4093</v>
      </c>
      <c r="V82" s="46" t="s">
        <v>4094</v>
      </c>
      <c r="W82" s="46" t="s">
        <v>335</v>
      </c>
      <c r="X82" s="47" t="s">
        <v>9305</v>
      </c>
      <c r="Y82" s="46" t="s">
        <v>4095</v>
      </c>
      <c r="Z82" s="46" t="s">
        <v>4096</v>
      </c>
      <c r="AA82" s="46" t="s">
        <v>4073</v>
      </c>
      <c r="AB82" s="47" t="s">
        <v>9305</v>
      </c>
      <c r="AC82" s="48" t="s">
        <v>4097</v>
      </c>
      <c r="AD82" s="30"/>
      <c r="AE82" s="197"/>
      <c r="AF82" s="47"/>
    </row>
    <row r="83" spans="1:32" s="29" customFormat="1" ht="69.95" hidden="1" customHeight="1">
      <c r="A83" s="29" t="s">
        <v>4084</v>
      </c>
      <c r="B83" s="29" t="s">
        <v>3769</v>
      </c>
      <c r="C83" s="40" t="s">
        <v>38</v>
      </c>
      <c r="D83" s="40"/>
      <c r="E83" s="57" t="s">
        <v>8162</v>
      </c>
      <c r="F83" s="57" t="s">
        <v>8295</v>
      </c>
      <c r="G83" s="29" t="s">
        <v>524</v>
      </c>
      <c r="H83" s="124" t="s">
        <v>9154</v>
      </c>
      <c r="I83" s="124" t="s">
        <v>9121</v>
      </c>
      <c r="J83" s="29">
        <f t="shared" si="5"/>
        <v>1</v>
      </c>
      <c r="K83" s="42">
        <v>76</v>
      </c>
      <c r="L83" s="152" t="s">
        <v>525</v>
      </c>
      <c r="M83" s="44" t="s">
        <v>405</v>
      </c>
      <c r="N83" s="44" t="s">
        <v>426</v>
      </c>
      <c r="O83" s="101" t="str">
        <f>F83</f>
        <v>PE-L1-3C4-22</v>
      </c>
      <c r="P83" s="45">
        <v>0.2</v>
      </c>
      <c r="Q83" s="44">
        <v>230</v>
      </c>
      <c r="R83" s="44" t="s">
        <v>412</v>
      </c>
      <c r="S83" s="101">
        <v>410</v>
      </c>
      <c r="T83" s="46" t="s">
        <v>4068</v>
      </c>
      <c r="U83" s="46" t="s">
        <v>4084</v>
      </c>
      <c r="V83" s="46" t="s">
        <v>4085</v>
      </c>
      <c r="W83" s="46" t="s">
        <v>335</v>
      </c>
      <c r="X83" s="172" t="s">
        <v>9167</v>
      </c>
      <c r="Y83" s="46" t="s">
        <v>4098</v>
      </c>
      <c r="Z83" s="46" t="s">
        <v>4099</v>
      </c>
      <c r="AA83" s="46" t="s">
        <v>4073</v>
      </c>
      <c r="AB83" s="172" t="s">
        <v>9167</v>
      </c>
      <c r="AC83" s="48" t="s">
        <v>4100</v>
      </c>
      <c r="AD83" s="30"/>
      <c r="AE83" s="197"/>
      <c r="AF83" s="47"/>
    </row>
    <row r="84" spans="1:32" s="29" customFormat="1" ht="69.95" hidden="1" customHeight="1">
      <c r="A84" s="29" t="s">
        <v>4093</v>
      </c>
      <c r="B84" s="29" t="s">
        <v>3769</v>
      </c>
      <c r="C84" s="40" t="s">
        <v>36</v>
      </c>
      <c r="D84" s="40"/>
      <c r="E84" s="57" t="s">
        <v>8296</v>
      </c>
      <c r="F84" s="57" t="s">
        <v>8296</v>
      </c>
      <c r="G84" s="29" t="s">
        <v>526</v>
      </c>
      <c r="H84" s="124" t="s">
        <v>9154</v>
      </c>
      <c r="I84" s="124" t="s">
        <v>9121</v>
      </c>
      <c r="J84" s="29">
        <f t="shared" si="5"/>
        <v>1</v>
      </c>
      <c r="K84" s="42">
        <v>77</v>
      </c>
      <c r="L84" s="152" t="s">
        <v>527</v>
      </c>
      <c r="M84" s="44" t="s">
        <v>405</v>
      </c>
      <c r="N84" s="44" t="s">
        <v>426</v>
      </c>
      <c r="O84" s="101" t="str">
        <f>F84</f>
        <v>PE-L1-3C4-23</v>
      </c>
      <c r="P84" s="45">
        <v>0.2</v>
      </c>
      <c r="Q84" s="44">
        <v>230</v>
      </c>
      <c r="R84" s="44" t="s">
        <v>412</v>
      </c>
      <c r="S84" s="101">
        <v>410</v>
      </c>
      <c r="T84" s="46" t="s">
        <v>4068</v>
      </c>
      <c r="U84" s="46" t="s">
        <v>4093</v>
      </c>
      <c r="V84" s="46" t="s">
        <v>4094</v>
      </c>
      <c r="W84" s="46" t="s">
        <v>335</v>
      </c>
      <c r="X84" s="172" t="s">
        <v>9167</v>
      </c>
      <c r="Y84" s="46" t="s">
        <v>4101</v>
      </c>
      <c r="Z84" s="46" t="s">
        <v>4102</v>
      </c>
      <c r="AA84" s="46" t="s">
        <v>4073</v>
      </c>
      <c r="AB84" s="172" t="s">
        <v>9167</v>
      </c>
      <c r="AC84" s="48" t="s">
        <v>4103</v>
      </c>
      <c r="AD84" s="30"/>
      <c r="AE84" s="197"/>
      <c r="AF84" s="47"/>
    </row>
    <row r="85" spans="1:32" s="29" customFormat="1" ht="69.95" hidden="1" customHeight="1">
      <c r="A85" s="29" t="s">
        <v>4093</v>
      </c>
      <c r="B85" s="29" t="s">
        <v>3769</v>
      </c>
      <c r="C85" s="40" t="s">
        <v>38</v>
      </c>
      <c r="D85" s="40"/>
      <c r="E85" s="58" t="s">
        <v>157</v>
      </c>
      <c r="F85" s="58" t="s">
        <v>157</v>
      </c>
      <c r="G85" s="29" t="s">
        <v>528</v>
      </c>
      <c r="H85" s="124" t="s">
        <v>9445</v>
      </c>
      <c r="I85" s="124" t="s">
        <v>9121</v>
      </c>
      <c r="J85" s="29">
        <f t="shared" si="5"/>
        <v>1</v>
      </c>
      <c r="K85" s="42">
        <v>78</v>
      </c>
      <c r="L85" s="152" t="s">
        <v>529</v>
      </c>
      <c r="M85" s="44" t="s">
        <v>405</v>
      </c>
      <c r="N85" s="44" t="s">
        <v>521</v>
      </c>
      <c r="O85" s="101" t="str">
        <f t="shared" ref="O85:O86" si="7">F85</f>
        <v>PE-L1-4C70/35-02</v>
      </c>
      <c r="P85" s="45">
        <v>30</v>
      </c>
      <c r="Q85" s="44">
        <v>400</v>
      </c>
      <c r="R85" s="44" t="s">
        <v>412</v>
      </c>
      <c r="S85" s="101">
        <v>400</v>
      </c>
      <c r="T85" s="46" t="s">
        <v>4068</v>
      </c>
      <c r="U85" s="46" t="s">
        <v>4093</v>
      </c>
      <c r="V85" s="46" t="s">
        <v>4094</v>
      </c>
      <c r="W85" s="46" t="s">
        <v>335</v>
      </c>
      <c r="X85" s="47" t="s">
        <v>9305</v>
      </c>
      <c r="Y85" s="46" t="s">
        <v>4104</v>
      </c>
      <c r="Z85" s="46" t="s">
        <v>4105</v>
      </c>
      <c r="AA85" s="46" t="s">
        <v>4073</v>
      </c>
      <c r="AB85" s="47" t="s">
        <v>9305</v>
      </c>
      <c r="AC85" s="48" t="s">
        <v>4106</v>
      </c>
      <c r="AD85" s="30"/>
      <c r="AE85" s="197"/>
      <c r="AF85" s="47"/>
    </row>
    <row r="86" spans="1:32" s="29" customFormat="1" ht="69.95" hidden="1" customHeight="1">
      <c r="A86" s="29" t="s">
        <v>4084</v>
      </c>
      <c r="B86" s="29" t="s">
        <v>3769</v>
      </c>
      <c r="C86" s="40" t="s">
        <v>40</v>
      </c>
      <c r="D86" s="40"/>
      <c r="E86" s="58" t="s">
        <v>157</v>
      </c>
      <c r="F86" s="58" t="s">
        <v>157</v>
      </c>
      <c r="G86" s="29" t="s">
        <v>530</v>
      </c>
      <c r="H86" s="124" t="s">
        <v>9445</v>
      </c>
      <c r="I86" s="124" t="s">
        <v>9121</v>
      </c>
      <c r="J86" s="29">
        <f t="shared" si="5"/>
        <v>1</v>
      </c>
      <c r="K86" s="42">
        <v>79</v>
      </c>
      <c r="L86" s="152" t="s">
        <v>531</v>
      </c>
      <c r="M86" s="44" t="s">
        <v>405</v>
      </c>
      <c r="N86" s="44" t="s">
        <v>521</v>
      </c>
      <c r="O86" s="101" t="str">
        <f t="shared" si="7"/>
        <v>PE-L1-4C70/35-02</v>
      </c>
      <c r="P86" s="45">
        <v>30</v>
      </c>
      <c r="Q86" s="44">
        <v>400</v>
      </c>
      <c r="R86" s="44" t="s">
        <v>412</v>
      </c>
      <c r="S86" s="101">
        <v>410</v>
      </c>
      <c r="T86" s="46" t="s">
        <v>4068</v>
      </c>
      <c r="U86" s="46" t="s">
        <v>4084</v>
      </c>
      <c r="V86" s="46" t="s">
        <v>4085</v>
      </c>
      <c r="W86" s="46" t="s">
        <v>335</v>
      </c>
      <c r="X86" s="47" t="s">
        <v>9305</v>
      </c>
      <c r="Y86" s="46" t="s">
        <v>4107</v>
      </c>
      <c r="Z86" s="46" t="s">
        <v>4108</v>
      </c>
      <c r="AA86" s="46" t="s">
        <v>4073</v>
      </c>
      <c r="AB86" s="47" t="s">
        <v>9305</v>
      </c>
      <c r="AC86" s="48" t="s">
        <v>4109</v>
      </c>
      <c r="AD86" s="30"/>
      <c r="AE86" s="197"/>
      <c r="AF86" s="47"/>
    </row>
    <row r="87" spans="1:32" s="29" customFormat="1" ht="69.95" hidden="1" customHeight="1">
      <c r="A87" s="29" t="s">
        <v>4093</v>
      </c>
      <c r="B87" s="29" t="s">
        <v>3769</v>
      </c>
      <c r="C87" s="40" t="s">
        <v>40</v>
      </c>
      <c r="D87" s="40"/>
      <c r="E87" s="57" t="s">
        <v>8296</v>
      </c>
      <c r="F87" s="57" t="s">
        <v>8296</v>
      </c>
      <c r="G87" s="29" t="s">
        <v>532</v>
      </c>
      <c r="H87" s="124" t="s">
        <v>9154</v>
      </c>
      <c r="I87" s="124" t="s">
        <v>9121</v>
      </c>
      <c r="J87" s="29">
        <f t="shared" si="5"/>
        <v>1</v>
      </c>
      <c r="K87" s="42">
        <v>80</v>
      </c>
      <c r="L87" s="152" t="s">
        <v>533</v>
      </c>
      <c r="M87" s="44" t="s">
        <v>405</v>
      </c>
      <c r="N87" s="44" t="s">
        <v>426</v>
      </c>
      <c r="O87" s="101" t="str">
        <f>F87</f>
        <v>PE-L1-3C4-23</v>
      </c>
      <c r="P87" s="45">
        <v>0.2</v>
      </c>
      <c r="Q87" s="44">
        <v>230</v>
      </c>
      <c r="R87" s="44" t="s">
        <v>412</v>
      </c>
      <c r="S87" s="101">
        <v>410</v>
      </c>
      <c r="T87" s="46" t="s">
        <v>4068</v>
      </c>
      <c r="U87" s="46" t="s">
        <v>4093</v>
      </c>
      <c r="V87" s="46" t="s">
        <v>4094</v>
      </c>
      <c r="W87" s="46" t="s">
        <v>335</v>
      </c>
      <c r="X87" s="172" t="s">
        <v>9167</v>
      </c>
      <c r="Y87" s="46" t="s">
        <v>4104</v>
      </c>
      <c r="Z87" s="46" t="s">
        <v>4110</v>
      </c>
      <c r="AA87" s="46" t="s">
        <v>4073</v>
      </c>
      <c r="AB87" s="172" t="s">
        <v>9167</v>
      </c>
      <c r="AC87" s="48" t="s">
        <v>4111</v>
      </c>
      <c r="AD87" s="30"/>
      <c r="AE87" s="197"/>
      <c r="AF87" s="47"/>
    </row>
    <row r="88" spans="1:32" s="29" customFormat="1" ht="69.95" hidden="1" customHeight="1">
      <c r="A88" s="29" t="s">
        <v>4084</v>
      </c>
      <c r="B88" s="29" t="s">
        <v>3769</v>
      </c>
      <c r="C88" s="40" t="s">
        <v>41</v>
      </c>
      <c r="D88" s="40"/>
      <c r="E88" s="56" t="s">
        <v>8296</v>
      </c>
      <c r="F88" s="56" t="s">
        <v>8296</v>
      </c>
      <c r="G88" s="29" t="s">
        <v>534</v>
      </c>
      <c r="H88" s="124" t="s">
        <v>9154</v>
      </c>
      <c r="I88" s="124" t="s">
        <v>9121</v>
      </c>
      <c r="J88" s="29">
        <f t="shared" si="5"/>
        <v>1</v>
      </c>
      <c r="K88" s="42">
        <v>81</v>
      </c>
      <c r="L88" s="152" t="s">
        <v>535</v>
      </c>
      <c r="M88" s="44" t="s">
        <v>405</v>
      </c>
      <c r="N88" s="44" t="s">
        <v>426</v>
      </c>
      <c r="O88" s="101" t="str">
        <f>F88</f>
        <v>PE-L1-3C4-23</v>
      </c>
      <c r="P88" s="45">
        <v>0.2</v>
      </c>
      <c r="Q88" s="44">
        <v>230</v>
      </c>
      <c r="R88" s="44" t="s">
        <v>412</v>
      </c>
      <c r="S88" s="101">
        <v>410</v>
      </c>
      <c r="T88" s="46" t="s">
        <v>4068</v>
      </c>
      <c r="U88" s="46" t="s">
        <v>4084</v>
      </c>
      <c r="V88" s="46" t="s">
        <v>4085</v>
      </c>
      <c r="W88" s="46" t="s">
        <v>335</v>
      </c>
      <c r="X88" s="172" t="s">
        <v>9167</v>
      </c>
      <c r="Y88" s="46" t="s">
        <v>4107</v>
      </c>
      <c r="Z88" s="46" t="s">
        <v>4112</v>
      </c>
      <c r="AA88" s="46" t="s">
        <v>4073</v>
      </c>
      <c r="AB88" s="172" t="s">
        <v>9167</v>
      </c>
      <c r="AC88" s="48" t="s">
        <v>4109</v>
      </c>
      <c r="AD88" s="30"/>
      <c r="AE88" s="197"/>
      <c r="AF88" s="47"/>
    </row>
    <row r="89" spans="1:32" s="29" customFormat="1" ht="69.95" hidden="1" customHeight="1">
      <c r="A89" s="29" t="s">
        <v>389</v>
      </c>
      <c r="B89" s="29" t="s">
        <v>3769</v>
      </c>
      <c r="C89" s="40" t="s">
        <v>32</v>
      </c>
      <c r="D89" s="40"/>
      <c r="E89" s="57" t="s">
        <v>8165</v>
      </c>
      <c r="F89" s="57" t="s">
        <v>8326</v>
      </c>
      <c r="G89" s="29" t="s">
        <v>9147</v>
      </c>
      <c r="H89" s="43"/>
      <c r="J89" s="29">
        <f t="shared" si="5"/>
        <v>1</v>
      </c>
      <c r="K89" s="42">
        <v>82</v>
      </c>
      <c r="L89" s="43" t="s">
        <v>9143</v>
      </c>
      <c r="M89" s="44" t="s">
        <v>405</v>
      </c>
      <c r="N89" s="44" t="s">
        <v>536</v>
      </c>
      <c r="O89" s="44" t="str">
        <f t="shared" ref="O89:O122" si="8">F89</f>
        <v>PE-L1-4C4-24</v>
      </c>
      <c r="P89" s="45">
        <v>5</v>
      </c>
      <c r="Q89" s="44">
        <v>400</v>
      </c>
      <c r="R89" s="44" t="s">
        <v>49</v>
      </c>
      <c r="S89" s="44">
        <v>60</v>
      </c>
      <c r="T89" s="46" t="s">
        <v>4068</v>
      </c>
      <c r="U89" s="46" t="s">
        <v>389</v>
      </c>
      <c r="V89" s="46" t="s">
        <v>390</v>
      </c>
      <c r="W89" s="46" t="s">
        <v>391</v>
      </c>
      <c r="X89" s="47" t="s">
        <v>9305</v>
      </c>
      <c r="Y89" s="46" t="s">
        <v>4113</v>
      </c>
      <c r="Z89" s="46" t="s">
        <v>4114</v>
      </c>
      <c r="AA89" s="46" t="s">
        <v>4073</v>
      </c>
      <c r="AB89" s="47" t="s">
        <v>9305</v>
      </c>
      <c r="AC89" s="48" t="s">
        <v>4115</v>
      </c>
      <c r="AD89" s="30"/>
      <c r="AE89" s="197"/>
      <c r="AF89" s="47"/>
    </row>
    <row r="90" spans="1:32" s="29" customFormat="1" ht="69.95" hidden="1" customHeight="1">
      <c r="A90" s="29" t="s">
        <v>393</v>
      </c>
      <c r="B90" s="29" t="s">
        <v>3769</v>
      </c>
      <c r="C90" s="40" t="s">
        <v>32</v>
      </c>
      <c r="D90" s="40"/>
      <c r="E90" s="57" t="s">
        <v>8165</v>
      </c>
      <c r="F90" s="57" t="s">
        <v>8326</v>
      </c>
      <c r="G90" s="29" t="s">
        <v>537</v>
      </c>
      <c r="J90" s="29">
        <f t="shared" si="5"/>
        <v>1</v>
      </c>
      <c r="K90" s="42">
        <v>83</v>
      </c>
      <c r="L90" s="43" t="s">
        <v>538</v>
      </c>
      <c r="M90" s="44" t="s">
        <v>405</v>
      </c>
      <c r="N90" s="44" t="s">
        <v>536</v>
      </c>
      <c r="O90" s="44" t="str">
        <f t="shared" si="8"/>
        <v>PE-L1-4C4-24</v>
      </c>
      <c r="P90" s="45">
        <v>5.5</v>
      </c>
      <c r="Q90" s="44">
        <v>400</v>
      </c>
      <c r="R90" s="44" t="s">
        <v>49</v>
      </c>
      <c r="S90" s="44">
        <v>90</v>
      </c>
      <c r="T90" s="46" t="s">
        <v>4068</v>
      </c>
      <c r="U90" s="46" t="s">
        <v>393</v>
      </c>
      <c r="V90" s="46" t="s">
        <v>394</v>
      </c>
      <c r="W90" s="46" t="s">
        <v>391</v>
      </c>
      <c r="X90" s="47" t="s">
        <v>9305</v>
      </c>
      <c r="Y90" s="46" t="s">
        <v>4116</v>
      </c>
      <c r="Z90" s="46" t="s">
        <v>4117</v>
      </c>
      <c r="AA90" s="46" t="s">
        <v>4073</v>
      </c>
      <c r="AB90" s="47" t="s">
        <v>9305</v>
      </c>
      <c r="AC90" s="48" t="s">
        <v>4118</v>
      </c>
      <c r="AD90" s="30"/>
      <c r="AE90" s="197"/>
      <c r="AF90" s="47"/>
    </row>
    <row r="91" spans="1:32" s="29" customFormat="1" ht="69.95" hidden="1" customHeight="1">
      <c r="A91" s="29" t="s">
        <v>389</v>
      </c>
      <c r="B91" s="29" t="s">
        <v>3769</v>
      </c>
      <c r="C91" s="40" t="s">
        <v>36</v>
      </c>
      <c r="D91" s="40"/>
      <c r="E91" s="57" t="s">
        <v>8165</v>
      </c>
      <c r="F91" s="57" t="s">
        <v>8326</v>
      </c>
      <c r="G91" s="29" t="s">
        <v>539</v>
      </c>
      <c r="J91" s="29">
        <f t="shared" si="5"/>
        <v>1</v>
      </c>
      <c r="K91" s="42">
        <v>84</v>
      </c>
      <c r="L91" s="43" t="s">
        <v>540</v>
      </c>
      <c r="M91" s="44" t="s">
        <v>405</v>
      </c>
      <c r="N91" s="44" t="s">
        <v>536</v>
      </c>
      <c r="O91" s="44" t="str">
        <f t="shared" si="8"/>
        <v>PE-L1-4C4-24</v>
      </c>
      <c r="P91" s="45">
        <v>5.5</v>
      </c>
      <c r="Q91" s="44">
        <v>400</v>
      </c>
      <c r="R91" s="44" t="s">
        <v>49</v>
      </c>
      <c r="S91" s="44">
        <v>80</v>
      </c>
      <c r="T91" s="46" t="s">
        <v>4068</v>
      </c>
      <c r="U91" s="46" t="s">
        <v>389</v>
      </c>
      <c r="V91" s="46" t="s">
        <v>390</v>
      </c>
      <c r="W91" s="46" t="s">
        <v>391</v>
      </c>
      <c r="X91" s="47" t="s">
        <v>9305</v>
      </c>
      <c r="Y91" s="46" t="s">
        <v>4119</v>
      </c>
      <c r="Z91" s="46" t="s">
        <v>4120</v>
      </c>
      <c r="AA91" s="46" t="s">
        <v>4073</v>
      </c>
      <c r="AB91" s="47" t="s">
        <v>9305</v>
      </c>
      <c r="AC91" s="48" t="s">
        <v>4121</v>
      </c>
      <c r="AD91" s="30"/>
      <c r="AE91" s="197"/>
      <c r="AF91" s="47"/>
    </row>
    <row r="92" spans="1:32" s="29" customFormat="1" ht="69.95" hidden="1" customHeight="1">
      <c r="A92" s="29" t="s">
        <v>393</v>
      </c>
      <c r="B92" s="29" t="s">
        <v>3769</v>
      </c>
      <c r="C92" s="40" t="s">
        <v>36</v>
      </c>
      <c r="D92" s="40"/>
      <c r="E92" s="58" t="s">
        <v>68</v>
      </c>
      <c r="F92" s="58" t="s">
        <v>68</v>
      </c>
      <c r="G92" s="29" t="s">
        <v>541</v>
      </c>
      <c r="J92" s="29">
        <f t="shared" si="5"/>
        <v>1</v>
      </c>
      <c r="K92" s="42">
        <v>85</v>
      </c>
      <c r="L92" s="43" t="s">
        <v>542</v>
      </c>
      <c r="M92" s="44" t="s">
        <v>405</v>
      </c>
      <c r="N92" s="44" t="s">
        <v>8630</v>
      </c>
      <c r="O92" s="44" t="str">
        <f t="shared" si="8"/>
        <v>PE-L1-4C10-01</v>
      </c>
      <c r="P92" s="45">
        <v>17.02</v>
      </c>
      <c r="Q92" s="44">
        <v>400</v>
      </c>
      <c r="R92" s="44" t="s">
        <v>49</v>
      </c>
      <c r="S92" s="44">
        <v>90</v>
      </c>
      <c r="T92" s="46" t="s">
        <v>4122</v>
      </c>
      <c r="U92" s="46" t="s">
        <v>393</v>
      </c>
      <c r="V92" s="46" t="s">
        <v>394</v>
      </c>
      <c r="W92" s="46" t="s">
        <v>391</v>
      </c>
      <c r="X92" s="47" t="s">
        <v>9305</v>
      </c>
      <c r="Y92" s="46" t="s">
        <v>4123</v>
      </c>
      <c r="Z92" s="46" t="s">
        <v>4124</v>
      </c>
      <c r="AA92" s="46" t="s">
        <v>4073</v>
      </c>
      <c r="AB92" s="47" t="s">
        <v>9305</v>
      </c>
      <c r="AC92" s="48" t="s">
        <v>4125</v>
      </c>
      <c r="AD92" s="30"/>
      <c r="AE92" s="197"/>
      <c r="AF92" s="47"/>
    </row>
    <row r="93" spans="1:32" s="29" customFormat="1" ht="69.95" hidden="1" customHeight="1">
      <c r="A93" s="29" t="s">
        <v>389</v>
      </c>
      <c r="B93" s="29" t="s">
        <v>3769</v>
      </c>
      <c r="C93" s="40" t="s">
        <v>38</v>
      </c>
      <c r="D93" s="40"/>
      <c r="E93" s="56" t="s">
        <v>69</v>
      </c>
      <c r="F93" s="56" t="s">
        <v>69</v>
      </c>
      <c r="G93" s="29" t="s">
        <v>544</v>
      </c>
      <c r="J93" s="29">
        <f t="shared" si="5"/>
        <v>1</v>
      </c>
      <c r="K93" s="42">
        <v>86</v>
      </c>
      <c r="L93" s="43" t="s">
        <v>545</v>
      </c>
      <c r="M93" s="44" t="s">
        <v>405</v>
      </c>
      <c r="N93" s="44" t="s">
        <v>546</v>
      </c>
      <c r="O93" s="44" t="str">
        <f t="shared" si="8"/>
        <v>PE-L1-4C6-01</v>
      </c>
      <c r="P93" s="45">
        <v>17.02</v>
      </c>
      <c r="Q93" s="44">
        <v>400</v>
      </c>
      <c r="R93" s="44" t="s">
        <v>49</v>
      </c>
      <c r="S93" s="44">
        <v>90</v>
      </c>
      <c r="T93" s="46" t="s">
        <v>4122</v>
      </c>
      <c r="U93" s="46" t="s">
        <v>389</v>
      </c>
      <c r="V93" s="46" t="s">
        <v>390</v>
      </c>
      <c r="W93" s="46" t="s">
        <v>391</v>
      </c>
      <c r="X93" s="47" t="s">
        <v>9305</v>
      </c>
      <c r="Y93" s="46" t="s">
        <v>4126</v>
      </c>
      <c r="Z93" s="46" t="s">
        <v>4127</v>
      </c>
      <c r="AA93" s="46" t="s">
        <v>4073</v>
      </c>
      <c r="AB93" s="47" t="s">
        <v>9305</v>
      </c>
      <c r="AC93" s="48" t="s">
        <v>4128</v>
      </c>
      <c r="AD93" s="30"/>
      <c r="AE93" s="197"/>
      <c r="AF93" s="47"/>
    </row>
    <row r="94" spans="1:32" s="29" customFormat="1" ht="69.95" hidden="1" customHeight="1">
      <c r="A94" s="29" t="s">
        <v>4079</v>
      </c>
      <c r="B94" s="29" t="s">
        <v>3769</v>
      </c>
      <c r="C94" s="40" t="s">
        <v>38</v>
      </c>
      <c r="D94" s="40"/>
      <c r="E94" s="57" t="s">
        <v>70</v>
      </c>
      <c r="F94" s="57" t="s">
        <v>70</v>
      </c>
      <c r="G94" s="29" t="s">
        <v>547</v>
      </c>
      <c r="J94" s="29">
        <f t="shared" si="5"/>
        <v>1</v>
      </c>
      <c r="K94" s="42">
        <v>87</v>
      </c>
      <c r="L94" s="43" t="s">
        <v>548</v>
      </c>
      <c r="M94" s="44" t="s">
        <v>405</v>
      </c>
      <c r="N94" s="44" t="s">
        <v>8624</v>
      </c>
      <c r="O94" s="44" t="str">
        <f t="shared" si="8"/>
        <v>PE-L1-3C10-01</v>
      </c>
      <c r="P94" s="45">
        <v>3</v>
      </c>
      <c r="Q94" s="44">
        <v>230</v>
      </c>
      <c r="R94" s="44" t="s">
        <v>49</v>
      </c>
      <c r="S94" s="44">
        <v>90</v>
      </c>
      <c r="T94" s="46" t="s">
        <v>4122</v>
      </c>
      <c r="U94" s="46" t="s">
        <v>4079</v>
      </c>
      <c r="V94" s="46" t="s">
        <v>4080</v>
      </c>
      <c r="W94" s="46" t="s">
        <v>391</v>
      </c>
      <c r="X94" s="172" t="s">
        <v>9167</v>
      </c>
      <c r="Y94" s="46" t="s">
        <v>4129</v>
      </c>
      <c r="Z94" s="46" t="s">
        <v>4130</v>
      </c>
      <c r="AA94" s="46" t="s">
        <v>4073</v>
      </c>
      <c r="AB94" s="172" t="s">
        <v>9167</v>
      </c>
      <c r="AC94" s="48" t="s">
        <v>4131</v>
      </c>
      <c r="AD94" s="30"/>
      <c r="AE94" s="197"/>
      <c r="AF94" s="47"/>
    </row>
    <row r="95" spans="1:32" s="29" customFormat="1" ht="69.95" hidden="1" customHeight="1">
      <c r="A95" s="29" t="s">
        <v>4079</v>
      </c>
      <c r="B95" s="29" t="s">
        <v>3769</v>
      </c>
      <c r="C95" s="40" t="s">
        <v>40</v>
      </c>
      <c r="D95" s="40"/>
      <c r="E95" s="56" t="s">
        <v>70</v>
      </c>
      <c r="F95" s="56" t="s">
        <v>70</v>
      </c>
      <c r="G95" s="29" t="s">
        <v>550</v>
      </c>
      <c r="J95" s="29">
        <f t="shared" si="5"/>
        <v>1</v>
      </c>
      <c r="K95" s="42">
        <v>88</v>
      </c>
      <c r="L95" s="43" t="s">
        <v>551</v>
      </c>
      <c r="M95" s="44" t="s">
        <v>405</v>
      </c>
      <c r="N95" s="44" t="s">
        <v>549</v>
      </c>
      <c r="O95" s="44" t="str">
        <f t="shared" si="8"/>
        <v>PE-L1-3C10-01</v>
      </c>
      <c r="P95" s="45">
        <v>3</v>
      </c>
      <c r="Q95" s="44">
        <v>230</v>
      </c>
      <c r="R95" s="44" t="s">
        <v>49</v>
      </c>
      <c r="S95" s="44">
        <v>90</v>
      </c>
      <c r="T95" s="46" t="s">
        <v>4122</v>
      </c>
      <c r="U95" s="46" t="s">
        <v>4079</v>
      </c>
      <c r="V95" s="46" t="s">
        <v>4080</v>
      </c>
      <c r="W95" s="46" t="s">
        <v>391</v>
      </c>
      <c r="X95" s="172" t="s">
        <v>9167</v>
      </c>
      <c r="Y95" s="46" t="s">
        <v>4132</v>
      </c>
      <c r="Z95" s="46" t="s">
        <v>4133</v>
      </c>
      <c r="AA95" s="46" t="s">
        <v>4073</v>
      </c>
      <c r="AB95" s="172" t="s">
        <v>9167</v>
      </c>
      <c r="AC95" s="48" t="s">
        <v>4134</v>
      </c>
      <c r="AD95" s="30"/>
      <c r="AE95" s="197"/>
      <c r="AF95" s="47"/>
    </row>
    <row r="96" spans="1:32" s="29" customFormat="1" ht="69.95" hidden="1" customHeight="1">
      <c r="A96" s="29" t="s">
        <v>393</v>
      </c>
      <c r="B96" s="29" t="s">
        <v>3769</v>
      </c>
      <c r="C96" s="40" t="s">
        <v>38</v>
      </c>
      <c r="D96" s="40"/>
      <c r="E96" s="57" t="s">
        <v>8574</v>
      </c>
      <c r="F96" s="57" t="s">
        <v>8610</v>
      </c>
      <c r="G96" s="29" t="s">
        <v>552</v>
      </c>
      <c r="J96" s="29">
        <f t="shared" si="5"/>
        <v>1</v>
      </c>
      <c r="K96" s="127">
        <v>89</v>
      </c>
      <c r="L96" s="43" t="s">
        <v>553</v>
      </c>
      <c r="M96" s="44" t="s">
        <v>405</v>
      </c>
      <c r="N96" s="44" t="s">
        <v>536</v>
      </c>
      <c r="O96" s="44" t="str">
        <f t="shared" si="8"/>
        <v>PE-L1-4C4-25</v>
      </c>
      <c r="P96" s="45">
        <v>6.9</v>
      </c>
      <c r="Q96" s="44">
        <v>400</v>
      </c>
      <c r="R96" s="44" t="s">
        <v>49</v>
      </c>
      <c r="S96" s="44">
        <v>100</v>
      </c>
      <c r="T96" s="46" t="s">
        <v>4083</v>
      </c>
      <c r="U96" s="46" t="s">
        <v>393</v>
      </c>
      <c r="V96" s="46" t="s">
        <v>394</v>
      </c>
      <c r="W96" s="46" t="s">
        <v>391</v>
      </c>
      <c r="X96" s="47" t="s">
        <v>9305</v>
      </c>
      <c r="Y96" s="46" t="s">
        <v>4135</v>
      </c>
      <c r="Z96" s="46" t="s">
        <v>4136</v>
      </c>
      <c r="AA96" s="46" t="s">
        <v>4073</v>
      </c>
      <c r="AB96" s="47" t="s">
        <v>9305</v>
      </c>
      <c r="AC96" s="76" t="s">
        <v>9176</v>
      </c>
      <c r="AD96" s="30"/>
      <c r="AE96" s="197"/>
      <c r="AF96" s="47"/>
    </row>
    <row r="97" spans="1:32" s="29" customFormat="1" ht="69.95" hidden="1" customHeight="1">
      <c r="A97" s="29" t="s">
        <v>389</v>
      </c>
      <c r="B97" s="29" t="s">
        <v>3769</v>
      </c>
      <c r="C97" s="40" t="s">
        <v>40</v>
      </c>
      <c r="D97" s="40"/>
      <c r="E97" s="57" t="s">
        <v>71</v>
      </c>
      <c r="F97" s="57" t="s">
        <v>71</v>
      </c>
      <c r="G97" s="29" t="s">
        <v>554</v>
      </c>
      <c r="J97" s="29">
        <f t="shared" si="5"/>
        <v>1</v>
      </c>
      <c r="K97" s="127">
        <v>90</v>
      </c>
      <c r="L97" s="43" t="s">
        <v>555</v>
      </c>
      <c r="M97" s="44" t="s">
        <v>405</v>
      </c>
      <c r="N97" s="44" t="s">
        <v>536</v>
      </c>
      <c r="O97" s="44" t="str">
        <f t="shared" si="8"/>
        <v>PE-L1-4C4-01</v>
      </c>
      <c r="P97" s="45">
        <v>6.9</v>
      </c>
      <c r="Q97" s="44">
        <v>400</v>
      </c>
      <c r="R97" s="44" t="s">
        <v>49</v>
      </c>
      <c r="S97" s="44">
        <v>100</v>
      </c>
      <c r="T97" s="46" t="s">
        <v>4083</v>
      </c>
      <c r="U97" s="46" t="s">
        <v>389</v>
      </c>
      <c r="V97" s="46" t="s">
        <v>390</v>
      </c>
      <c r="W97" s="46" t="s">
        <v>391</v>
      </c>
      <c r="X97" s="47" t="s">
        <v>9305</v>
      </c>
      <c r="Y97" s="46" t="s">
        <v>4137</v>
      </c>
      <c r="Z97" s="46" t="s">
        <v>4138</v>
      </c>
      <c r="AA97" s="46" t="s">
        <v>4073</v>
      </c>
      <c r="AB97" s="47" t="s">
        <v>9305</v>
      </c>
      <c r="AC97" s="76" t="s">
        <v>9177</v>
      </c>
      <c r="AD97" s="30"/>
      <c r="AE97" s="197"/>
      <c r="AF97" s="47"/>
    </row>
    <row r="98" spans="1:32" s="29" customFormat="1" ht="69.95" hidden="1" customHeight="1">
      <c r="A98" s="29" t="s">
        <v>389</v>
      </c>
      <c r="B98" s="29" t="s">
        <v>3769</v>
      </c>
      <c r="C98" s="40" t="s">
        <v>41</v>
      </c>
      <c r="D98" s="40"/>
      <c r="E98" s="57" t="s">
        <v>8165</v>
      </c>
      <c r="F98" s="57" t="s">
        <v>8326</v>
      </c>
      <c r="G98" s="29" t="s">
        <v>556</v>
      </c>
      <c r="J98" s="29">
        <f t="shared" si="5"/>
        <v>1</v>
      </c>
      <c r="K98" s="42">
        <v>91</v>
      </c>
      <c r="L98" s="43" t="s">
        <v>557</v>
      </c>
      <c r="M98" s="44" t="s">
        <v>405</v>
      </c>
      <c r="N98" s="44" t="s">
        <v>536</v>
      </c>
      <c r="O98" s="44" t="str">
        <f t="shared" si="8"/>
        <v>PE-L1-4C4-24</v>
      </c>
      <c r="P98" s="45">
        <v>0.37</v>
      </c>
      <c r="Q98" s="44">
        <v>400</v>
      </c>
      <c r="R98" s="44" t="s">
        <v>49</v>
      </c>
      <c r="S98" s="44">
        <v>90</v>
      </c>
      <c r="T98" s="46" t="s">
        <v>4068</v>
      </c>
      <c r="U98" s="46" t="s">
        <v>389</v>
      </c>
      <c r="V98" s="46" t="s">
        <v>390</v>
      </c>
      <c r="W98" s="46" t="s">
        <v>391</v>
      </c>
      <c r="X98" s="47" t="s">
        <v>9305</v>
      </c>
      <c r="Y98" s="46" t="s">
        <v>4139</v>
      </c>
      <c r="Z98" s="46" t="s">
        <v>4140</v>
      </c>
      <c r="AA98" s="46" t="s">
        <v>4073</v>
      </c>
      <c r="AB98" s="47" t="s">
        <v>9305</v>
      </c>
      <c r="AC98" s="48" t="s">
        <v>4141</v>
      </c>
      <c r="AD98" s="30"/>
      <c r="AE98" s="197"/>
      <c r="AF98" s="47"/>
    </row>
    <row r="99" spans="1:32" s="29" customFormat="1" ht="69.95" hidden="1" customHeight="1">
      <c r="A99" s="29" t="s">
        <v>393</v>
      </c>
      <c r="B99" s="29" t="s">
        <v>3769</v>
      </c>
      <c r="C99" s="40" t="s">
        <v>40</v>
      </c>
      <c r="D99" s="40"/>
      <c r="E99" s="57" t="s">
        <v>8165</v>
      </c>
      <c r="F99" s="57" t="s">
        <v>8326</v>
      </c>
      <c r="G99" s="29" t="s">
        <v>558</v>
      </c>
      <c r="J99" s="29">
        <f t="shared" si="5"/>
        <v>1</v>
      </c>
      <c r="K99" s="42">
        <v>92</v>
      </c>
      <c r="L99" s="43" t="s">
        <v>559</v>
      </c>
      <c r="M99" s="44" t="s">
        <v>405</v>
      </c>
      <c r="N99" s="44" t="s">
        <v>536</v>
      </c>
      <c r="O99" s="44" t="str">
        <f t="shared" si="8"/>
        <v>PE-L1-4C4-24</v>
      </c>
      <c r="P99" s="45">
        <v>0.37</v>
      </c>
      <c r="Q99" s="44">
        <v>400</v>
      </c>
      <c r="R99" s="44" t="s">
        <v>49</v>
      </c>
      <c r="S99" s="44">
        <v>100</v>
      </c>
      <c r="T99" s="46" t="s">
        <v>4068</v>
      </c>
      <c r="U99" s="46" t="s">
        <v>393</v>
      </c>
      <c r="V99" s="46" t="s">
        <v>394</v>
      </c>
      <c r="W99" s="46" t="s">
        <v>391</v>
      </c>
      <c r="X99" s="47" t="s">
        <v>9305</v>
      </c>
      <c r="Y99" s="46" t="s">
        <v>4142</v>
      </c>
      <c r="Z99" s="46" t="s">
        <v>4143</v>
      </c>
      <c r="AA99" s="46" t="s">
        <v>4073</v>
      </c>
      <c r="AB99" s="47" t="s">
        <v>9305</v>
      </c>
      <c r="AC99" s="48" t="s">
        <v>4144</v>
      </c>
      <c r="AD99" s="30"/>
      <c r="AE99" s="197"/>
      <c r="AF99" s="47"/>
    </row>
    <row r="100" spans="1:32" s="29" customFormat="1" ht="69.95" hidden="1" customHeight="1">
      <c r="A100" s="29" t="s">
        <v>393</v>
      </c>
      <c r="B100" s="29" t="s">
        <v>3769</v>
      </c>
      <c r="C100" s="40" t="s">
        <v>41</v>
      </c>
      <c r="D100" s="40"/>
      <c r="E100" s="56" t="s">
        <v>69</v>
      </c>
      <c r="F100" s="56" t="s">
        <v>69</v>
      </c>
      <c r="G100" s="29" t="s">
        <v>560</v>
      </c>
      <c r="J100" s="29">
        <f t="shared" si="5"/>
        <v>1</v>
      </c>
      <c r="K100" s="42">
        <v>93</v>
      </c>
      <c r="L100" s="43" t="s">
        <v>561</v>
      </c>
      <c r="M100" s="44" t="s">
        <v>405</v>
      </c>
      <c r="N100" s="44" t="s">
        <v>546</v>
      </c>
      <c r="O100" s="44" t="str">
        <f t="shared" si="8"/>
        <v>PE-L1-4C6-01</v>
      </c>
      <c r="P100" s="45">
        <v>11</v>
      </c>
      <c r="Q100" s="44">
        <v>400</v>
      </c>
      <c r="R100" s="44" t="s">
        <v>49</v>
      </c>
      <c r="S100" s="44">
        <v>130</v>
      </c>
      <c r="T100" s="46" t="s">
        <v>4083</v>
      </c>
      <c r="U100" s="46" t="s">
        <v>393</v>
      </c>
      <c r="V100" s="46" t="s">
        <v>394</v>
      </c>
      <c r="W100" s="46" t="s">
        <v>391</v>
      </c>
      <c r="X100" s="47" t="s">
        <v>9305</v>
      </c>
      <c r="Y100" s="46" t="s">
        <v>4145</v>
      </c>
      <c r="Z100" s="46" t="s">
        <v>4146</v>
      </c>
      <c r="AA100" s="46" t="s">
        <v>4147</v>
      </c>
      <c r="AB100" s="47" t="s">
        <v>9305</v>
      </c>
      <c r="AC100" s="48" t="s">
        <v>4148</v>
      </c>
      <c r="AD100" s="30"/>
      <c r="AE100" s="197"/>
      <c r="AF100" s="47"/>
    </row>
    <row r="101" spans="1:32" s="29" customFormat="1" ht="69.95" hidden="1" customHeight="1">
      <c r="A101" s="29" t="s">
        <v>389</v>
      </c>
      <c r="B101" s="29" t="s">
        <v>3769</v>
      </c>
      <c r="C101" s="40" t="s">
        <v>42</v>
      </c>
      <c r="D101" s="40"/>
      <c r="E101" s="56" t="s">
        <v>69</v>
      </c>
      <c r="F101" s="56" t="s">
        <v>69</v>
      </c>
      <c r="G101" s="29" t="s">
        <v>562</v>
      </c>
      <c r="J101" s="29">
        <f t="shared" si="5"/>
        <v>1</v>
      </c>
      <c r="K101" s="42">
        <v>94</v>
      </c>
      <c r="L101" s="43" t="s">
        <v>563</v>
      </c>
      <c r="M101" s="44" t="s">
        <v>405</v>
      </c>
      <c r="N101" s="44" t="s">
        <v>8628</v>
      </c>
      <c r="O101" s="44" t="str">
        <f t="shared" si="8"/>
        <v>PE-L1-4C6-01</v>
      </c>
      <c r="P101" s="45">
        <v>11</v>
      </c>
      <c r="Q101" s="44">
        <v>400</v>
      </c>
      <c r="R101" s="44" t="s">
        <v>49</v>
      </c>
      <c r="S101" s="44">
        <v>130</v>
      </c>
      <c r="T101" s="46" t="s">
        <v>4083</v>
      </c>
      <c r="U101" s="46" t="s">
        <v>389</v>
      </c>
      <c r="V101" s="46" t="s">
        <v>390</v>
      </c>
      <c r="W101" s="46" t="s">
        <v>391</v>
      </c>
      <c r="X101" s="47" t="s">
        <v>9305</v>
      </c>
      <c r="Y101" s="46" t="s">
        <v>4149</v>
      </c>
      <c r="Z101" s="46" t="s">
        <v>4150</v>
      </c>
      <c r="AA101" s="46" t="s">
        <v>4147</v>
      </c>
      <c r="AB101" s="47" t="s">
        <v>9305</v>
      </c>
      <c r="AC101" s="48" t="s">
        <v>4151</v>
      </c>
      <c r="AD101" s="30"/>
      <c r="AE101" s="197"/>
      <c r="AF101" s="47"/>
    </row>
    <row r="102" spans="1:32" s="29" customFormat="1" ht="69.95" hidden="1" customHeight="1">
      <c r="A102" s="29" t="s">
        <v>393</v>
      </c>
      <c r="B102" s="29" t="s">
        <v>3769</v>
      </c>
      <c r="C102" s="40" t="s">
        <v>42</v>
      </c>
      <c r="D102" s="40"/>
      <c r="E102" s="57" t="s">
        <v>72</v>
      </c>
      <c r="F102" s="57" t="s">
        <v>72</v>
      </c>
      <c r="G102" s="29" t="s">
        <v>564</v>
      </c>
      <c r="J102" s="29">
        <f t="shared" si="5"/>
        <v>1</v>
      </c>
      <c r="K102" s="42">
        <v>95</v>
      </c>
      <c r="L102" s="43" t="s">
        <v>565</v>
      </c>
      <c r="M102" s="44" t="s">
        <v>405</v>
      </c>
      <c r="N102" s="44" t="s">
        <v>8638</v>
      </c>
      <c r="O102" s="44" t="str">
        <f t="shared" si="8"/>
        <v>PE-L1-5C4-01</v>
      </c>
      <c r="P102" s="45">
        <v>3.5</v>
      </c>
      <c r="Q102" s="44">
        <v>400</v>
      </c>
      <c r="R102" s="44" t="s">
        <v>49</v>
      </c>
      <c r="S102" s="44">
        <v>90</v>
      </c>
      <c r="T102" s="46" t="s">
        <v>4083</v>
      </c>
      <c r="U102" s="46" t="s">
        <v>393</v>
      </c>
      <c r="V102" s="46" t="s">
        <v>394</v>
      </c>
      <c r="W102" s="46" t="s">
        <v>391</v>
      </c>
      <c r="X102" s="47" t="s">
        <v>9310</v>
      </c>
      <c r="Y102" s="46" t="s">
        <v>4152</v>
      </c>
      <c r="Z102" s="46" t="s">
        <v>4153</v>
      </c>
      <c r="AA102" s="46" t="s">
        <v>4073</v>
      </c>
      <c r="AB102" s="47" t="s">
        <v>9310</v>
      </c>
      <c r="AC102" s="48" t="s">
        <v>4154</v>
      </c>
      <c r="AD102" s="30"/>
      <c r="AE102" s="197"/>
      <c r="AF102" s="47"/>
    </row>
    <row r="103" spans="1:32" s="29" customFormat="1" ht="69.95" hidden="1" customHeight="1">
      <c r="A103" s="29" t="s">
        <v>4079</v>
      </c>
      <c r="B103" s="29" t="s">
        <v>3769</v>
      </c>
      <c r="C103" s="40" t="s">
        <v>41</v>
      </c>
      <c r="D103" s="40"/>
      <c r="E103" s="58" t="s">
        <v>54</v>
      </c>
      <c r="F103" s="58" t="s">
        <v>54</v>
      </c>
      <c r="G103" s="29" t="s">
        <v>567</v>
      </c>
      <c r="J103" s="29">
        <f t="shared" si="5"/>
        <v>1</v>
      </c>
      <c r="K103" s="42">
        <v>96</v>
      </c>
      <c r="L103" s="43" t="s">
        <v>568</v>
      </c>
      <c r="M103" s="44" t="s">
        <v>405</v>
      </c>
      <c r="N103" s="44" t="s">
        <v>426</v>
      </c>
      <c r="O103" s="44" t="str">
        <f t="shared" si="8"/>
        <v>PE-L1-3C4-01</v>
      </c>
      <c r="P103" s="45">
        <v>2</v>
      </c>
      <c r="Q103" s="44">
        <v>230</v>
      </c>
      <c r="R103" s="44" t="s">
        <v>49</v>
      </c>
      <c r="S103" s="44">
        <v>80</v>
      </c>
      <c r="T103" s="46" t="s">
        <v>4083</v>
      </c>
      <c r="U103" s="46" t="s">
        <v>4079</v>
      </c>
      <c r="V103" s="46" t="s">
        <v>4080</v>
      </c>
      <c r="W103" s="46" t="s">
        <v>391</v>
      </c>
      <c r="X103" s="172" t="s">
        <v>9167</v>
      </c>
      <c r="Y103" s="46" t="s">
        <v>4155</v>
      </c>
      <c r="Z103" s="46" t="s">
        <v>4156</v>
      </c>
      <c r="AA103" s="46" t="s">
        <v>4073</v>
      </c>
      <c r="AB103" s="172" t="s">
        <v>9167</v>
      </c>
      <c r="AC103" s="48" t="s">
        <v>4157</v>
      </c>
      <c r="AD103" s="30"/>
      <c r="AE103" s="197"/>
      <c r="AF103" s="47"/>
    </row>
    <row r="104" spans="1:32" s="29" customFormat="1" ht="69.95" hidden="1" customHeight="1">
      <c r="A104" s="29" t="s">
        <v>4158</v>
      </c>
      <c r="B104" s="29" t="s">
        <v>3769</v>
      </c>
      <c r="C104" s="40" t="s">
        <v>32</v>
      </c>
      <c r="D104" s="40"/>
      <c r="E104" s="57" t="s">
        <v>54</v>
      </c>
      <c r="F104" s="57" t="s">
        <v>54</v>
      </c>
      <c r="G104" s="29" t="s">
        <v>569</v>
      </c>
      <c r="J104" s="29">
        <f t="shared" si="5"/>
        <v>1</v>
      </c>
      <c r="K104" s="42">
        <v>97</v>
      </c>
      <c r="L104" s="43" t="s">
        <v>570</v>
      </c>
      <c r="M104" s="44" t="s">
        <v>405</v>
      </c>
      <c r="N104" s="44" t="s">
        <v>426</v>
      </c>
      <c r="O104" s="44" t="str">
        <f t="shared" si="8"/>
        <v>PE-L1-3C4-01</v>
      </c>
      <c r="P104" s="45">
        <v>2</v>
      </c>
      <c r="Q104" s="44">
        <v>230</v>
      </c>
      <c r="R104" s="44" t="s">
        <v>49</v>
      </c>
      <c r="S104" s="44">
        <v>80</v>
      </c>
      <c r="T104" s="46" t="s">
        <v>4083</v>
      </c>
      <c r="U104" s="46" t="s">
        <v>4158</v>
      </c>
      <c r="V104" s="46" t="s">
        <v>4159</v>
      </c>
      <c r="W104" s="46" t="s">
        <v>391</v>
      </c>
      <c r="X104" s="172" t="s">
        <v>9167</v>
      </c>
      <c r="Y104" s="46" t="s">
        <v>4160</v>
      </c>
      <c r="Z104" s="46" t="s">
        <v>4161</v>
      </c>
      <c r="AA104" s="46" t="s">
        <v>4073</v>
      </c>
      <c r="AB104" s="172" t="s">
        <v>9167</v>
      </c>
      <c r="AC104" s="48" t="s">
        <v>4162</v>
      </c>
      <c r="AD104" s="30"/>
      <c r="AE104" s="197"/>
      <c r="AF104" s="47"/>
    </row>
    <row r="105" spans="1:32" s="29" customFormat="1" ht="69.95" hidden="1" customHeight="1">
      <c r="A105" s="29" t="s">
        <v>389</v>
      </c>
      <c r="B105" s="29" t="s">
        <v>3769</v>
      </c>
      <c r="C105" s="40" t="s">
        <v>43</v>
      </c>
      <c r="D105" s="40"/>
      <c r="E105" s="57" t="s">
        <v>93</v>
      </c>
      <c r="F105" s="57" t="s">
        <v>93</v>
      </c>
      <c r="G105" s="29" t="s">
        <v>571</v>
      </c>
      <c r="J105" s="29">
        <f t="shared" si="5"/>
        <v>1</v>
      </c>
      <c r="K105" s="42">
        <v>98</v>
      </c>
      <c r="L105" s="43" t="s">
        <v>572</v>
      </c>
      <c r="M105" s="44" t="s">
        <v>405</v>
      </c>
      <c r="N105" s="44" t="s">
        <v>8631</v>
      </c>
      <c r="O105" s="44" t="str">
        <f t="shared" si="8"/>
        <v>PE-L1-4C16-01</v>
      </c>
      <c r="P105" s="45">
        <v>25</v>
      </c>
      <c r="Q105" s="44">
        <v>400</v>
      </c>
      <c r="R105" s="44" t="s">
        <v>49</v>
      </c>
      <c r="S105" s="44">
        <v>80</v>
      </c>
      <c r="T105" s="46" t="s">
        <v>4068</v>
      </c>
      <c r="U105" s="46" t="s">
        <v>389</v>
      </c>
      <c r="V105" s="46" t="s">
        <v>390</v>
      </c>
      <c r="W105" s="46" t="s">
        <v>391</v>
      </c>
      <c r="X105" s="47" t="s">
        <v>9305</v>
      </c>
      <c r="Y105" s="46" t="s">
        <v>4163</v>
      </c>
      <c r="Z105" s="46" t="s">
        <v>4164</v>
      </c>
      <c r="AA105" s="46" t="s">
        <v>4073</v>
      </c>
      <c r="AB105" s="47" t="s">
        <v>9305</v>
      </c>
      <c r="AC105" s="48" t="s">
        <v>4165</v>
      </c>
      <c r="AD105" s="30"/>
      <c r="AE105" s="197"/>
      <c r="AF105" s="47"/>
    </row>
    <row r="106" spans="1:32" s="29" customFormat="1" ht="69.95" hidden="1" customHeight="1">
      <c r="A106" s="29" t="s">
        <v>393</v>
      </c>
      <c r="B106" s="29" t="s">
        <v>3769</v>
      </c>
      <c r="C106" s="40" t="s">
        <v>43</v>
      </c>
      <c r="D106" s="40"/>
      <c r="E106" s="57" t="s">
        <v>93</v>
      </c>
      <c r="F106" s="57" t="s">
        <v>93</v>
      </c>
      <c r="G106" s="29" t="s">
        <v>574</v>
      </c>
      <c r="J106" s="29">
        <f t="shared" si="5"/>
        <v>1</v>
      </c>
      <c r="K106" s="42">
        <v>99</v>
      </c>
      <c r="L106" s="43" t="s">
        <v>575</v>
      </c>
      <c r="M106" s="44" t="s">
        <v>405</v>
      </c>
      <c r="N106" s="44" t="s">
        <v>573</v>
      </c>
      <c r="O106" s="44" t="str">
        <f t="shared" si="8"/>
        <v>PE-L1-4C16-01</v>
      </c>
      <c r="P106" s="45">
        <v>25</v>
      </c>
      <c r="Q106" s="44">
        <v>400</v>
      </c>
      <c r="R106" s="44" t="s">
        <v>49</v>
      </c>
      <c r="S106" s="44">
        <v>90</v>
      </c>
      <c r="T106" s="46" t="s">
        <v>4068</v>
      </c>
      <c r="U106" s="46" t="s">
        <v>393</v>
      </c>
      <c r="V106" s="46" t="s">
        <v>394</v>
      </c>
      <c r="W106" s="46" t="s">
        <v>391</v>
      </c>
      <c r="X106" s="47" t="s">
        <v>9305</v>
      </c>
      <c r="Y106" s="46" t="s">
        <v>4166</v>
      </c>
      <c r="Z106" s="46" t="s">
        <v>4167</v>
      </c>
      <c r="AA106" s="46" t="s">
        <v>4073</v>
      </c>
      <c r="AB106" s="47" t="s">
        <v>9305</v>
      </c>
      <c r="AC106" s="48" t="s">
        <v>4168</v>
      </c>
      <c r="AD106" s="30"/>
      <c r="AE106" s="197"/>
      <c r="AF106" s="47"/>
    </row>
    <row r="107" spans="1:32" s="29" customFormat="1" ht="69.95" hidden="1" customHeight="1">
      <c r="A107" s="29" t="s">
        <v>4075</v>
      </c>
      <c r="B107" s="29" t="s">
        <v>3769</v>
      </c>
      <c r="C107" s="40" t="s">
        <v>36</v>
      </c>
      <c r="D107" s="40"/>
      <c r="E107" s="57" t="s">
        <v>8580</v>
      </c>
      <c r="F107" s="57" t="s">
        <v>8580</v>
      </c>
      <c r="G107" s="29" t="s">
        <v>576</v>
      </c>
      <c r="J107" s="29">
        <f t="shared" si="5"/>
        <v>1</v>
      </c>
      <c r="K107" s="42">
        <v>100</v>
      </c>
      <c r="L107" s="43" t="s">
        <v>577</v>
      </c>
      <c r="M107" s="44" t="s">
        <v>405</v>
      </c>
      <c r="N107" s="44" t="s">
        <v>578</v>
      </c>
      <c r="O107" s="44" t="str">
        <f t="shared" si="8"/>
        <v>PE-L1-2C4-06</v>
      </c>
      <c r="P107" s="45">
        <v>0.5</v>
      </c>
      <c r="Q107" s="44">
        <v>220</v>
      </c>
      <c r="R107" s="44" t="s">
        <v>509</v>
      </c>
      <c r="S107" s="44">
        <v>110</v>
      </c>
      <c r="T107" s="46" t="s">
        <v>4083</v>
      </c>
      <c r="U107" s="46" t="s">
        <v>4075</v>
      </c>
      <c r="V107" s="46" t="s">
        <v>4076</v>
      </c>
      <c r="W107" s="46" t="s">
        <v>391</v>
      </c>
      <c r="X107" s="172" t="s">
        <v>8942</v>
      </c>
      <c r="Y107" s="46" t="s">
        <v>4169</v>
      </c>
      <c r="Z107" s="46" t="s">
        <v>4170</v>
      </c>
      <c r="AA107" s="46" t="s">
        <v>4073</v>
      </c>
      <c r="AB107" s="172" t="s">
        <v>8942</v>
      </c>
      <c r="AC107" s="48" t="s">
        <v>4171</v>
      </c>
      <c r="AD107" s="30"/>
      <c r="AE107" s="197"/>
      <c r="AF107" s="47"/>
    </row>
    <row r="108" spans="1:32" s="29" customFormat="1" ht="69.95" hidden="1" customHeight="1">
      <c r="A108" s="29" t="s">
        <v>4069</v>
      </c>
      <c r="B108" s="29" t="s">
        <v>3769</v>
      </c>
      <c r="C108" s="40" t="s">
        <v>36</v>
      </c>
      <c r="D108" s="40"/>
      <c r="E108" s="57" t="s">
        <v>8578</v>
      </c>
      <c r="F108" s="57" t="s">
        <v>8579</v>
      </c>
      <c r="G108" s="29" t="s">
        <v>579</v>
      </c>
      <c r="J108" s="29">
        <f t="shared" si="5"/>
        <v>1</v>
      </c>
      <c r="K108" s="42">
        <v>101</v>
      </c>
      <c r="L108" s="43" t="s">
        <v>580</v>
      </c>
      <c r="M108" s="44" t="s">
        <v>405</v>
      </c>
      <c r="N108" s="44" t="s">
        <v>578</v>
      </c>
      <c r="O108" s="44" t="str">
        <f t="shared" si="8"/>
        <v>PE-L1-2C4-03</v>
      </c>
      <c r="P108" s="45">
        <v>0.5</v>
      </c>
      <c r="Q108" s="44">
        <v>220</v>
      </c>
      <c r="R108" s="44" t="s">
        <v>509</v>
      </c>
      <c r="S108" s="44">
        <v>120</v>
      </c>
      <c r="T108" s="46" t="s">
        <v>4083</v>
      </c>
      <c r="U108" s="46" t="s">
        <v>4069</v>
      </c>
      <c r="V108" s="46" t="s">
        <v>4070</v>
      </c>
      <c r="W108" s="46" t="s">
        <v>391</v>
      </c>
      <c r="X108" s="172" t="s">
        <v>8942</v>
      </c>
      <c r="Y108" s="46" t="s">
        <v>4169</v>
      </c>
      <c r="Z108" s="46" t="s">
        <v>4172</v>
      </c>
      <c r="AA108" s="46" t="s">
        <v>4073</v>
      </c>
      <c r="AB108" s="172" t="s">
        <v>8942</v>
      </c>
      <c r="AC108" s="48" t="s">
        <v>4173</v>
      </c>
      <c r="AD108" s="30"/>
      <c r="AE108" s="197"/>
      <c r="AF108" s="47"/>
    </row>
    <row r="109" spans="1:32" s="29" customFormat="1" ht="69.95" hidden="1" customHeight="1">
      <c r="A109" s="29" t="s">
        <v>4158</v>
      </c>
      <c r="B109" s="29" t="s">
        <v>3769</v>
      </c>
      <c r="C109" s="40" t="s">
        <v>36</v>
      </c>
      <c r="D109" s="40"/>
      <c r="E109" s="57" t="s">
        <v>60</v>
      </c>
      <c r="F109" s="57" t="s">
        <v>60</v>
      </c>
      <c r="G109" s="29" t="s">
        <v>581</v>
      </c>
      <c r="J109" s="29">
        <f t="shared" si="5"/>
        <v>1</v>
      </c>
      <c r="K109" s="42">
        <v>102</v>
      </c>
      <c r="L109" s="43" t="s">
        <v>582</v>
      </c>
      <c r="M109" s="44" t="s">
        <v>405</v>
      </c>
      <c r="N109" s="44" t="s">
        <v>456</v>
      </c>
      <c r="O109" s="44" t="str">
        <f t="shared" si="8"/>
        <v>PE-L1-3C6-03</v>
      </c>
      <c r="P109" s="45">
        <v>2</v>
      </c>
      <c r="Q109" s="44">
        <v>230</v>
      </c>
      <c r="R109" s="44" t="s">
        <v>49</v>
      </c>
      <c r="S109" s="44">
        <v>120</v>
      </c>
      <c r="T109" s="46" t="s">
        <v>4083</v>
      </c>
      <c r="U109" s="46" t="s">
        <v>4158</v>
      </c>
      <c r="V109" s="46" t="s">
        <v>4159</v>
      </c>
      <c r="W109" s="46" t="s">
        <v>391</v>
      </c>
      <c r="X109" s="172" t="s">
        <v>9167</v>
      </c>
      <c r="Y109" s="46" t="s">
        <v>4169</v>
      </c>
      <c r="Z109" s="46" t="s">
        <v>4174</v>
      </c>
      <c r="AA109" s="46" t="s">
        <v>4073</v>
      </c>
      <c r="AB109" s="172" t="s">
        <v>9167</v>
      </c>
      <c r="AC109" s="48" t="s">
        <v>4175</v>
      </c>
      <c r="AD109" s="30"/>
      <c r="AE109" s="197"/>
      <c r="AF109" s="47"/>
    </row>
    <row r="110" spans="1:32" s="29" customFormat="1" ht="69.95" hidden="1" customHeight="1">
      <c r="A110" s="29" t="s">
        <v>389</v>
      </c>
      <c r="B110" s="29" t="s">
        <v>3769</v>
      </c>
      <c r="C110" s="40" t="s">
        <v>73</v>
      </c>
      <c r="D110" s="40"/>
      <c r="E110" s="57" t="s">
        <v>74</v>
      </c>
      <c r="F110" s="57" t="s">
        <v>74</v>
      </c>
      <c r="G110" s="29" t="s">
        <v>583</v>
      </c>
      <c r="J110" s="29">
        <f t="shared" si="5"/>
        <v>1</v>
      </c>
      <c r="K110" s="42">
        <v>103</v>
      </c>
      <c r="L110" s="43" t="s">
        <v>584</v>
      </c>
      <c r="M110" s="44" t="s">
        <v>405</v>
      </c>
      <c r="N110" s="44" t="s">
        <v>536</v>
      </c>
      <c r="O110" s="44" t="str">
        <f t="shared" si="8"/>
        <v>PE-L1-4C4-05</v>
      </c>
      <c r="P110" s="45">
        <v>1.5</v>
      </c>
      <c r="Q110" s="44">
        <v>400</v>
      </c>
      <c r="R110" s="44" t="s">
        <v>49</v>
      </c>
      <c r="S110" s="44">
        <v>120</v>
      </c>
      <c r="T110" s="46" t="s">
        <v>4083</v>
      </c>
      <c r="U110" s="46" t="s">
        <v>389</v>
      </c>
      <c r="V110" s="46" t="s">
        <v>390</v>
      </c>
      <c r="W110" s="46" t="s">
        <v>391</v>
      </c>
      <c r="X110" s="47" t="s">
        <v>9305</v>
      </c>
      <c r="Y110" s="46" t="s">
        <v>4176</v>
      </c>
      <c r="Z110" s="46" t="s">
        <v>4177</v>
      </c>
      <c r="AA110" s="46" t="s">
        <v>4073</v>
      </c>
      <c r="AB110" s="47" t="s">
        <v>9305</v>
      </c>
      <c r="AC110" s="48" t="s">
        <v>4178</v>
      </c>
      <c r="AD110" s="30"/>
      <c r="AE110" s="197"/>
      <c r="AF110" s="47"/>
    </row>
    <row r="111" spans="1:32" s="29" customFormat="1" ht="69.95" hidden="1" customHeight="1">
      <c r="A111" s="29" t="s">
        <v>393</v>
      </c>
      <c r="B111" s="29" t="s">
        <v>3769</v>
      </c>
      <c r="C111" s="40" t="s">
        <v>73</v>
      </c>
      <c r="D111" s="40"/>
      <c r="E111" s="57" t="s">
        <v>71</v>
      </c>
      <c r="F111" s="57" t="s">
        <v>71</v>
      </c>
      <c r="G111" s="29" t="s">
        <v>585</v>
      </c>
      <c r="J111" s="29">
        <f t="shared" si="5"/>
        <v>1</v>
      </c>
      <c r="K111" s="42">
        <v>104</v>
      </c>
      <c r="L111" s="43" t="s">
        <v>586</v>
      </c>
      <c r="M111" s="44" t="s">
        <v>405</v>
      </c>
      <c r="N111" s="44" t="s">
        <v>536</v>
      </c>
      <c r="O111" s="44" t="str">
        <f t="shared" si="8"/>
        <v>PE-L1-4C4-01</v>
      </c>
      <c r="P111" s="45">
        <v>1.5</v>
      </c>
      <c r="Q111" s="44">
        <v>400</v>
      </c>
      <c r="R111" s="44" t="s">
        <v>49</v>
      </c>
      <c r="S111" s="44">
        <v>130</v>
      </c>
      <c r="T111" s="46" t="s">
        <v>4083</v>
      </c>
      <c r="U111" s="46" t="s">
        <v>393</v>
      </c>
      <c r="V111" s="46" t="s">
        <v>394</v>
      </c>
      <c r="W111" s="46" t="s">
        <v>391</v>
      </c>
      <c r="X111" s="47" t="s">
        <v>9305</v>
      </c>
      <c r="Y111" s="46" t="s">
        <v>4179</v>
      </c>
      <c r="Z111" s="46" t="s">
        <v>4180</v>
      </c>
      <c r="AA111" s="46" t="s">
        <v>4073</v>
      </c>
      <c r="AB111" s="47" t="s">
        <v>9305</v>
      </c>
      <c r="AC111" s="48" t="s">
        <v>4181</v>
      </c>
      <c r="AD111" s="30"/>
      <c r="AE111" s="197"/>
      <c r="AF111" s="47"/>
    </row>
    <row r="112" spans="1:32" s="29" customFormat="1" ht="69.95" hidden="1" customHeight="1">
      <c r="A112" s="29" t="s">
        <v>389</v>
      </c>
      <c r="B112" s="29" t="s">
        <v>3769</v>
      </c>
      <c r="C112" s="40" t="s">
        <v>75</v>
      </c>
      <c r="D112" s="40"/>
      <c r="E112" s="57" t="s">
        <v>71</v>
      </c>
      <c r="F112" s="57" t="s">
        <v>71</v>
      </c>
      <c r="G112" s="29" t="s">
        <v>587</v>
      </c>
      <c r="J112" s="29">
        <f t="shared" si="5"/>
        <v>1</v>
      </c>
      <c r="K112" s="42">
        <v>105</v>
      </c>
      <c r="L112" s="43" t="s">
        <v>588</v>
      </c>
      <c r="M112" s="44" t="s">
        <v>405</v>
      </c>
      <c r="N112" s="44" t="s">
        <v>536</v>
      </c>
      <c r="O112" s="44" t="str">
        <f t="shared" si="8"/>
        <v>PE-L1-4C4-01</v>
      </c>
      <c r="P112" s="45">
        <v>1.5</v>
      </c>
      <c r="Q112" s="44">
        <v>400</v>
      </c>
      <c r="R112" s="44" t="s">
        <v>49</v>
      </c>
      <c r="S112" s="44">
        <v>120</v>
      </c>
      <c r="T112" s="46" t="s">
        <v>4083</v>
      </c>
      <c r="U112" s="46" t="s">
        <v>389</v>
      </c>
      <c r="V112" s="46" t="s">
        <v>390</v>
      </c>
      <c r="W112" s="46" t="s">
        <v>391</v>
      </c>
      <c r="X112" s="47" t="s">
        <v>9305</v>
      </c>
      <c r="Y112" s="46" t="s">
        <v>4182</v>
      </c>
      <c r="Z112" s="46" t="s">
        <v>4183</v>
      </c>
      <c r="AA112" s="46" t="s">
        <v>4073</v>
      </c>
      <c r="AB112" s="47" t="s">
        <v>9305</v>
      </c>
      <c r="AC112" s="48" t="s">
        <v>4184</v>
      </c>
      <c r="AD112" s="30"/>
      <c r="AE112" s="197"/>
      <c r="AF112" s="47"/>
    </row>
    <row r="113" spans="1:32" s="29" customFormat="1" ht="69.95" hidden="1" customHeight="1">
      <c r="A113" s="29" t="s">
        <v>393</v>
      </c>
      <c r="B113" s="29" t="s">
        <v>3769</v>
      </c>
      <c r="C113" s="40" t="s">
        <v>75</v>
      </c>
      <c r="D113" s="40"/>
      <c r="E113" s="57" t="s">
        <v>71</v>
      </c>
      <c r="F113" s="57" t="s">
        <v>71</v>
      </c>
      <c r="G113" s="29" t="s">
        <v>589</v>
      </c>
      <c r="J113" s="29">
        <f t="shared" si="5"/>
        <v>1</v>
      </c>
      <c r="K113" s="42">
        <v>106</v>
      </c>
      <c r="L113" s="43" t="s">
        <v>590</v>
      </c>
      <c r="M113" s="44" t="s">
        <v>405</v>
      </c>
      <c r="N113" s="44" t="s">
        <v>536</v>
      </c>
      <c r="O113" s="44" t="str">
        <f t="shared" si="8"/>
        <v>PE-L1-4C4-01</v>
      </c>
      <c r="P113" s="45">
        <v>1.5</v>
      </c>
      <c r="Q113" s="44">
        <v>400</v>
      </c>
      <c r="R113" s="44" t="s">
        <v>49</v>
      </c>
      <c r="S113" s="44">
        <v>130</v>
      </c>
      <c r="T113" s="46" t="s">
        <v>4083</v>
      </c>
      <c r="U113" s="46" t="s">
        <v>393</v>
      </c>
      <c r="V113" s="46" t="s">
        <v>394</v>
      </c>
      <c r="W113" s="46" t="s">
        <v>391</v>
      </c>
      <c r="X113" s="47" t="s">
        <v>9305</v>
      </c>
      <c r="Y113" s="46" t="s">
        <v>4185</v>
      </c>
      <c r="Z113" s="46" t="s">
        <v>4186</v>
      </c>
      <c r="AA113" s="46" t="s">
        <v>4073</v>
      </c>
      <c r="AB113" s="47" t="s">
        <v>9305</v>
      </c>
      <c r="AC113" s="48" t="s">
        <v>4187</v>
      </c>
      <c r="AD113" s="30"/>
      <c r="AE113" s="197"/>
      <c r="AF113" s="47"/>
    </row>
    <row r="114" spans="1:32" s="29" customFormat="1" ht="69.95" hidden="1" customHeight="1">
      <c r="A114" s="29" t="s">
        <v>389</v>
      </c>
      <c r="B114" s="29" t="s">
        <v>3769</v>
      </c>
      <c r="C114" s="40">
        <v>10</v>
      </c>
      <c r="D114" s="40"/>
      <c r="E114" s="57" t="s">
        <v>8574</v>
      </c>
      <c r="F114" s="57" t="s">
        <v>8610</v>
      </c>
      <c r="G114" s="29" t="s">
        <v>591</v>
      </c>
      <c r="J114" s="29">
        <f t="shared" si="5"/>
        <v>1</v>
      </c>
      <c r="K114" s="42">
        <v>107</v>
      </c>
      <c r="L114" s="43" t="s">
        <v>592</v>
      </c>
      <c r="M114" s="44" t="s">
        <v>405</v>
      </c>
      <c r="N114" s="44" t="s">
        <v>536</v>
      </c>
      <c r="O114" s="44" t="str">
        <f t="shared" si="8"/>
        <v>PE-L1-4C4-25</v>
      </c>
      <c r="P114" s="45">
        <v>1.5</v>
      </c>
      <c r="Q114" s="44">
        <v>400</v>
      </c>
      <c r="R114" s="44" t="s">
        <v>49</v>
      </c>
      <c r="S114" s="44">
        <v>120</v>
      </c>
      <c r="T114" s="46" t="s">
        <v>4083</v>
      </c>
      <c r="U114" s="46" t="s">
        <v>389</v>
      </c>
      <c r="V114" s="46" t="s">
        <v>390</v>
      </c>
      <c r="W114" s="46" t="s">
        <v>391</v>
      </c>
      <c r="X114" s="47" t="s">
        <v>9305</v>
      </c>
      <c r="Y114" s="46" t="s">
        <v>4188</v>
      </c>
      <c r="Z114" s="46" t="s">
        <v>4189</v>
      </c>
      <c r="AA114" s="46" t="s">
        <v>4073</v>
      </c>
      <c r="AB114" s="47" t="s">
        <v>9305</v>
      </c>
      <c r="AC114" s="48" t="s">
        <v>4190</v>
      </c>
      <c r="AD114" s="30"/>
      <c r="AE114" s="197"/>
      <c r="AF114" s="47"/>
    </row>
    <row r="115" spans="1:32" s="29" customFormat="1" ht="69.95" hidden="1" customHeight="1">
      <c r="A115" s="29" t="s">
        <v>393</v>
      </c>
      <c r="B115" s="29" t="s">
        <v>3769</v>
      </c>
      <c r="C115" s="40">
        <v>10</v>
      </c>
      <c r="D115" s="40"/>
      <c r="E115" s="57" t="s">
        <v>8574</v>
      </c>
      <c r="F115" s="57" t="s">
        <v>8610</v>
      </c>
      <c r="G115" s="29" t="s">
        <v>593</v>
      </c>
      <c r="J115" s="29">
        <f t="shared" si="5"/>
        <v>1</v>
      </c>
      <c r="K115" s="42">
        <v>108</v>
      </c>
      <c r="L115" s="43" t="s">
        <v>594</v>
      </c>
      <c r="M115" s="44" t="s">
        <v>405</v>
      </c>
      <c r="N115" s="44" t="s">
        <v>536</v>
      </c>
      <c r="O115" s="44" t="str">
        <f t="shared" si="8"/>
        <v>PE-L1-4C4-25</v>
      </c>
      <c r="P115" s="45">
        <v>1.5</v>
      </c>
      <c r="Q115" s="44">
        <v>400</v>
      </c>
      <c r="R115" s="44" t="s">
        <v>49</v>
      </c>
      <c r="S115" s="44">
        <v>130</v>
      </c>
      <c r="T115" s="46" t="s">
        <v>4083</v>
      </c>
      <c r="U115" s="46" t="s">
        <v>393</v>
      </c>
      <c r="V115" s="46" t="s">
        <v>394</v>
      </c>
      <c r="W115" s="46" t="s">
        <v>391</v>
      </c>
      <c r="X115" s="47" t="s">
        <v>9305</v>
      </c>
      <c r="Y115" s="46" t="s">
        <v>4191</v>
      </c>
      <c r="Z115" s="46" t="s">
        <v>4192</v>
      </c>
      <c r="AA115" s="46" t="s">
        <v>4073</v>
      </c>
      <c r="AB115" s="47" t="s">
        <v>9305</v>
      </c>
      <c r="AC115" s="48" t="s">
        <v>4193</v>
      </c>
      <c r="AD115" s="30"/>
      <c r="AE115" s="197"/>
      <c r="AF115" s="47"/>
    </row>
    <row r="116" spans="1:32" s="29" customFormat="1" ht="69.95" hidden="1" customHeight="1">
      <c r="A116" s="29" t="s">
        <v>389</v>
      </c>
      <c r="B116" s="29" t="s">
        <v>3769</v>
      </c>
      <c r="C116" s="40">
        <v>11</v>
      </c>
      <c r="D116" s="40"/>
      <c r="E116" s="57" t="s">
        <v>8574</v>
      </c>
      <c r="F116" s="57" t="s">
        <v>8610</v>
      </c>
      <c r="G116" s="29" t="s">
        <v>595</v>
      </c>
      <c r="J116" s="29">
        <f t="shared" si="5"/>
        <v>1</v>
      </c>
      <c r="K116" s="42">
        <v>109</v>
      </c>
      <c r="L116" s="43" t="s">
        <v>596</v>
      </c>
      <c r="M116" s="44" t="s">
        <v>405</v>
      </c>
      <c r="N116" s="44" t="s">
        <v>536</v>
      </c>
      <c r="O116" s="44" t="str">
        <f t="shared" si="8"/>
        <v>PE-L1-4C4-25</v>
      </c>
      <c r="P116" s="45">
        <v>1.5</v>
      </c>
      <c r="Q116" s="44">
        <v>400</v>
      </c>
      <c r="R116" s="44" t="s">
        <v>49</v>
      </c>
      <c r="S116" s="44">
        <v>120</v>
      </c>
      <c r="T116" s="46" t="s">
        <v>4083</v>
      </c>
      <c r="U116" s="46" t="s">
        <v>389</v>
      </c>
      <c r="V116" s="46" t="s">
        <v>390</v>
      </c>
      <c r="W116" s="46" t="s">
        <v>391</v>
      </c>
      <c r="X116" s="47" t="s">
        <v>9305</v>
      </c>
      <c r="Y116" s="46" t="s">
        <v>4194</v>
      </c>
      <c r="Z116" s="46" t="s">
        <v>4195</v>
      </c>
      <c r="AA116" s="46" t="s">
        <v>4073</v>
      </c>
      <c r="AB116" s="47" t="s">
        <v>9305</v>
      </c>
      <c r="AC116" s="48" t="s">
        <v>4196</v>
      </c>
      <c r="AD116" s="30"/>
      <c r="AE116" s="197"/>
      <c r="AF116" s="47"/>
    </row>
    <row r="117" spans="1:32" s="29" customFormat="1" ht="69.95" hidden="1" customHeight="1">
      <c r="A117" s="29" t="s">
        <v>393</v>
      </c>
      <c r="B117" s="29" t="s">
        <v>3769</v>
      </c>
      <c r="C117" s="40">
        <v>11</v>
      </c>
      <c r="D117" s="40"/>
      <c r="E117" s="57" t="s">
        <v>8574</v>
      </c>
      <c r="F117" s="57" t="s">
        <v>8610</v>
      </c>
      <c r="G117" s="29" t="s">
        <v>597</v>
      </c>
      <c r="J117" s="29">
        <f t="shared" si="5"/>
        <v>1</v>
      </c>
      <c r="K117" s="42">
        <v>110</v>
      </c>
      <c r="L117" s="43" t="s">
        <v>598</v>
      </c>
      <c r="M117" s="44" t="s">
        <v>405</v>
      </c>
      <c r="N117" s="44" t="s">
        <v>536</v>
      </c>
      <c r="O117" s="44" t="str">
        <f t="shared" si="8"/>
        <v>PE-L1-4C4-25</v>
      </c>
      <c r="P117" s="45">
        <v>1.5</v>
      </c>
      <c r="Q117" s="44">
        <v>400</v>
      </c>
      <c r="R117" s="44" t="s">
        <v>49</v>
      </c>
      <c r="S117" s="44">
        <v>130</v>
      </c>
      <c r="T117" s="46" t="s">
        <v>4083</v>
      </c>
      <c r="U117" s="46" t="s">
        <v>393</v>
      </c>
      <c r="V117" s="46" t="s">
        <v>394</v>
      </c>
      <c r="W117" s="46" t="s">
        <v>391</v>
      </c>
      <c r="X117" s="47" t="s">
        <v>9305</v>
      </c>
      <c r="Y117" s="46" t="s">
        <v>4197</v>
      </c>
      <c r="Z117" s="46" t="s">
        <v>4198</v>
      </c>
      <c r="AA117" s="46" t="s">
        <v>4073</v>
      </c>
      <c r="AB117" s="47" t="s">
        <v>9305</v>
      </c>
      <c r="AC117" s="48" t="s">
        <v>4199</v>
      </c>
      <c r="AD117" s="30"/>
      <c r="AE117" s="197"/>
      <c r="AF117" s="47"/>
    </row>
    <row r="118" spans="1:32" s="29" customFormat="1" ht="69.95" hidden="1" customHeight="1">
      <c r="A118" s="29" t="s">
        <v>393</v>
      </c>
      <c r="B118" s="29" t="s">
        <v>3769</v>
      </c>
      <c r="C118" s="40">
        <v>12</v>
      </c>
      <c r="D118" s="40"/>
      <c r="E118" s="57" t="s">
        <v>8574</v>
      </c>
      <c r="F118" s="57" t="s">
        <v>8610</v>
      </c>
      <c r="G118" s="29" t="s">
        <v>599</v>
      </c>
      <c r="J118" s="29">
        <f t="shared" si="5"/>
        <v>1</v>
      </c>
      <c r="K118" s="42">
        <v>111</v>
      </c>
      <c r="L118" s="43" t="s">
        <v>600</v>
      </c>
      <c r="M118" s="44" t="s">
        <v>405</v>
      </c>
      <c r="N118" s="44" t="s">
        <v>536</v>
      </c>
      <c r="O118" s="44" t="str">
        <f t="shared" si="8"/>
        <v>PE-L1-4C4-25</v>
      </c>
      <c r="P118" s="45">
        <v>1.5</v>
      </c>
      <c r="Q118" s="44">
        <v>400</v>
      </c>
      <c r="R118" s="44" t="s">
        <v>49</v>
      </c>
      <c r="S118" s="44">
        <v>110</v>
      </c>
      <c r="T118" s="46" t="s">
        <v>4083</v>
      </c>
      <c r="U118" s="46" t="s">
        <v>393</v>
      </c>
      <c r="V118" s="46" t="s">
        <v>394</v>
      </c>
      <c r="W118" s="46" t="s">
        <v>391</v>
      </c>
      <c r="X118" s="47" t="s">
        <v>9305</v>
      </c>
      <c r="Y118" s="46" t="s">
        <v>4200</v>
      </c>
      <c r="Z118" s="46" t="s">
        <v>4201</v>
      </c>
      <c r="AA118" s="46" t="s">
        <v>4073</v>
      </c>
      <c r="AB118" s="47" t="s">
        <v>9305</v>
      </c>
      <c r="AC118" s="48" t="s">
        <v>4202</v>
      </c>
      <c r="AD118" s="30"/>
      <c r="AE118" s="197"/>
      <c r="AF118" s="47"/>
    </row>
    <row r="119" spans="1:32" s="29" customFormat="1" ht="69.95" hidden="1" customHeight="1">
      <c r="A119" s="29" t="s">
        <v>393</v>
      </c>
      <c r="B119" s="29" t="s">
        <v>3769</v>
      </c>
      <c r="C119" s="40">
        <v>13</v>
      </c>
      <c r="D119" s="40"/>
      <c r="E119" s="57" t="s">
        <v>8574</v>
      </c>
      <c r="F119" s="57" t="s">
        <v>8610</v>
      </c>
      <c r="G119" s="29" t="s">
        <v>601</v>
      </c>
      <c r="J119" s="29">
        <f t="shared" si="5"/>
        <v>1</v>
      </c>
      <c r="K119" s="42">
        <v>112</v>
      </c>
      <c r="L119" s="43" t="s">
        <v>602</v>
      </c>
      <c r="M119" s="44" t="s">
        <v>405</v>
      </c>
      <c r="N119" s="44" t="s">
        <v>536</v>
      </c>
      <c r="O119" s="44" t="str">
        <f t="shared" si="8"/>
        <v>PE-L1-4C4-25</v>
      </c>
      <c r="P119" s="45">
        <v>1.5</v>
      </c>
      <c r="Q119" s="44">
        <v>400</v>
      </c>
      <c r="R119" s="44" t="s">
        <v>49</v>
      </c>
      <c r="S119" s="44">
        <v>130</v>
      </c>
      <c r="T119" s="46" t="s">
        <v>4083</v>
      </c>
      <c r="U119" s="46" t="s">
        <v>393</v>
      </c>
      <c r="V119" s="46" t="s">
        <v>394</v>
      </c>
      <c r="W119" s="46" t="s">
        <v>391</v>
      </c>
      <c r="X119" s="47" t="s">
        <v>9305</v>
      </c>
      <c r="Y119" s="46" t="s">
        <v>4203</v>
      </c>
      <c r="Z119" s="46" t="s">
        <v>4204</v>
      </c>
      <c r="AA119" s="46" t="s">
        <v>4073</v>
      </c>
      <c r="AB119" s="47" t="s">
        <v>9305</v>
      </c>
      <c r="AC119" s="48" t="s">
        <v>4205</v>
      </c>
      <c r="AD119" s="30"/>
      <c r="AE119" s="197"/>
      <c r="AF119" s="47"/>
    </row>
    <row r="120" spans="1:32" s="29" customFormat="1" ht="69.95" hidden="1" customHeight="1">
      <c r="A120" s="29" t="s">
        <v>389</v>
      </c>
      <c r="B120" s="29" t="s">
        <v>3769</v>
      </c>
      <c r="C120" s="40">
        <v>12</v>
      </c>
      <c r="D120" s="40"/>
      <c r="E120" s="57" t="s">
        <v>8574</v>
      </c>
      <c r="F120" s="57" t="s">
        <v>8610</v>
      </c>
      <c r="G120" s="29" t="s">
        <v>603</v>
      </c>
      <c r="J120" s="29">
        <f t="shared" si="5"/>
        <v>1</v>
      </c>
      <c r="K120" s="42">
        <v>113</v>
      </c>
      <c r="L120" s="43" t="s">
        <v>604</v>
      </c>
      <c r="M120" s="44" t="s">
        <v>405</v>
      </c>
      <c r="N120" s="44" t="s">
        <v>536</v>
      </c>
      <c r="O120" s="44" t="str">
        <f t="shared" si="8"/>
        <v>PE-L1-4C4-25</v>
      </c>
      <c r="P120" s="45">
        <v>1.5</v>
      </c>
      <c r="Q120" s="44">
        <v>400</v>
      </c>
      <c r="R120" s="44" t="s">
        <v>49</v>
      </c>
      <c r="S120" s="44">
        <v>130</v>
      </c>
      <c r="T120" s="46" t="s">
        <v>4083</v>
      </c>
      <c r="U120" s="46" t="s">
        <v>389</v>
      </c>
      <c r="V120" s="46" t="s">
        <v>390</v>
      </c>
      <c r="W120" s="46" t="s">
        <v>391</v>
      </c>
      <c r="X120" s="47" t="s">
        <v>9305</v>
      </c>
      <c r="Y120" s="46" t="s">
        <v>4206</v>
      </c>
      <c r="Z120" s="46" t="s">
        <v>4207</v>
      </c>
      <c r="AA120" s="46" t="s">
        <v>4073</v>
      </c>
      <c r="AB120" s="47" t="s">
        <v>9305</v>
      </c>
      <c r="AC120" s="48" t="s">
        <v>4208</v>
      </c>
      <c r="AD120" s="30"/>
      <c r="AE120" s="197"/>
      <c r="AF120" s="47"/>
    </row>
    <row r="121" spans="1:32" s="29" customFormat="1" ht="69.95" hidden="1" customHeight="1">
      <c r="A121" s="29" t="s">
        <v>389</v>
      </c>
      <c r="B121" s="29" t="s">
        <v>3769</v>
      </c>
      <c r="C121" s="40">
        <v>13</v>
      </c>
      <c r="D121" s="40"/>
      <c r="E121" s="57" t="s">
        <v>8574</v>
      </c>
      <c r="F121" s="57" t="s">
        <v>8610</v>
      </c>
      <c r="G121" s="29" t="s">
        <v>605</v>
      </c>
      <c r="J121" s="29">
        <f t="shared" si="5"/>
        <v>1</v>
      </c>
      <c r="K121" s="42">
        <v>114</v>
      </c>
      <c r="L121" s="43" t="s">
        <v>606</v>
      </c>
      <c r="M121" s="44" t="s">
        <v>405</v>
      </c>
      <c r="N121" s="44" t="s">
        <v>536</v>
      </c>
      <c r="O121" s="44" t="str">
        <f t="shared" si="8"/>
        <v>PE-L1-4C4-25</v>
      </c>
      <c r="P121" s="45">
        <v>1.5</v>
      </c>
      <c r="Q121" s="44">
        <v>400</v>
      </c>
      <c r="R121" s="44" t="s">
        <v>49</v>
      </c>
      <c r="S121" s="44">
        <v>100</v>
      </c>
      <c r="T121" s="46" t="s">
        <v>4083</v>
      </c>
      <c r="U121" s="46" t="s">
        <v>389</v>
      </c>
      <c r="V121" s="46" t="s">
        <v>390</v>
      </c>
      <c r="W121" s="46" t="s">
        <v>391</v>
      </c>
      <c r="X121" s="47" t="s">
        <v>9305</v>
      </c>
      <c r="Y121" s="46" t="s">
        <v>4209</v>
      </c>
      <c r="Z121" s="46" t="s">
        <v>4210</v>
      </c>
      <c r="AA121" s="46" t="s">
        <v>4073</v>
      </c>
      <c r="AB121" s="47" t="s">
        <v>9305</v>
      </c>
      <c r="AC121" s="48" t="s">
        <v>4211</v>
      </c>
      <c r="AD121" s="30"/>
      <c r="AE121" s="197"/>
      <c r="AF121" s="47"/>
    </row>
    <row r="122" spans="1:32" s="29" customFormat="1" ht="69.95" hidden="1" customHeight="1">
      <c r="A122" s="29" t="s">
        <v>389</v>
      </c>
      <c r="B122" s="29" t="s">
        <v>3769</v>
      </c>
      <c r="C122" s="40">
        <v>14</v>
      </c>
      <c r="D122" s="40"/>
      <c r="E122" s="56" t="s">
        <v>76</v>
      </c>
      <c r="F122" s="57" t="s">
        <v>76</v>
      </c>
      <c r="G122" s="29" t="s">
        <v>607</v>
      </c>
      <c r="J122" s="29">
        <f t="shared" si="5"/>
        <v>1</v>
      </c>
      <c r="K122" s="42">
        <v>115</v>
      </c>
      <c r="L122" s="43" t="s">
        <v>608</v>
      </c>
      <c r="M122" s="44" t="s">
        <v>405</v>
      </c>
      <c r="N122" s="44" t="s">
        <v>536</v>
      </c>
      <c r="O122" s="44" t="str">
        <f t="shared" si="8"/>
        <v>PE-L1-4C4-02</v>
      </c>
      <c r="P122" s="45">
        <v>1.5</v>
      </c>
      <c r="Q122" s="44">
        <v>400</v>
      </c>
      <c r="R122" s="44" t="s">
        <v>49</v>
      </c>
      <c r="S122" s="44">
        <v>130</v>
      </c>
      <c r="T122" s="46" t="s">
        <v>4083</v>
      </c>
      <c r="U122" s="46" t="s">
        <v>389</v>
      </c>
      <c r="V122" s="46" t="s">
        <v>390</v>
      </c>
      <c r="W122" s="46" t="s">
        <v>391</v>
      </c>
      <c r="X122" s="47" t="s">
        <v>9305</v>
      </c>
      <c r="Y122" s="46" t="s">
        <v>4212</v>
      </c>
      <c r="Z122" s="46" t="s">
        <v>4213</v>
      </c>
      <c r="AA122" s="46" t="s">
        <v>4073</v>
      </c>
      <c r="AB122" s="47" t="s">
        <v>9305</v>
      </c>
      <c r="AC122" s="48" t="s">
        <v>4214</v>
      </c>
      <c r="AD122" s="30"/>
      <c r="AE122" s="197"/>
      <c r="AF122" s="47"/>
    </row>
    <row r="123" spans="1:32" s="29" customFormat="1" ht="69.95" hidden="1" customHeight="1">
      <c r="A123" s="29" t="s">
        <v>393</v>
      </c>
      <c r="B123" s="29" t="s">
        <v>3769</v>
      </c>
      <c r="C123" s="40">
        <v>14</v>
      </c>
      <c r="D123" s="173" t="s">
        <v>9131</v>
      </c>
      <c r="E123" s="57" t="s">
        <v>76</v>
      </c>
      <c r="F123" s="121" t="s">
        <v>88</v>
      </c>
      <c r="G123" s="29" t="s">
        <v>609</v>
      </c>
      <c r="J123" s="29">
        <f t="shared" si="5"/>
        <v>1</v>
      </c>
      <c r="K123" s="42">
        <v>116</v>
      </c>
      <c r="L123" s="43" t="s">
        <v>610</v>
      </c>
      <c r="M123" s="44" t="s">
        <v>405</v>
      </c>
      <c r="N123" s="44" t="s">
        <v>536</v>
      </c>
      <c r="O123" s="121" t="str">
        <f>F123</f>
        <v>PE-L1-4C4-01</v>
      </c>
      <c r="P123" s="45">
        <v>1.5</v>
      </c>
      <c r="Q123" s="44">
        <v>400</v>
      </c>
      <c r="R123" s="44" t="s">
        <v>49</v>
      </c>
      <c r="S123" s="44">
        <v>130</v>
      </c>
      <c r="T123" s="46" t="s">
        <v>4083</v>
      </c>
      <c r="U123" s="46" t="s">
        <v>393</v>
      </c>
      <c r="V123" s="46" t="s">
        <v>394</v>
      </c>
      <c r="W123" s="46" t="s">
        <v>391</v>
      </c>
      <c r="X123" s="47" t="s">
        <v>9305</v>
      </c>
      <c r="Y123" s="46" t="s">
        <v>4215</v>
      </c>
      <c r="Z123" s="46" t="s">
        <v>4216</v>
      </c>
      <c r="AA123" s="46" t="s">
        <v>4073</v>
      </c>
      <c r="AB123" s="47" t="s">
        <v>9305</v>
      </c>
      <c r="AC123" s="48" t="s">
        <v>4217</v>
      </c>
      <c r="AD123" s="30"/>
      <c r="AE123" s="197"/>
      <c r="AF123" s="47"/>
    </row>
    <row r="124" spans="1:32" s="29" customFormat="1" ht="69.95" hidden="1" customHeight="1">
      <c r="A124" s="29" t="s">
        <v>4075</v>
      </c>
      <c r="B124" s="29" t="s">
        <v>3769</v>
      </c>
      <c r="C124" s="40" t="s">
        <v>38</v>
      </c>
      <c r="D124" s="40"/>
      <c r="E124" s="58" t="s">
        <v>77</v>
      </c>
      <c r="F124" s="58" t="s">
        <v>77</v>
      </c>
      <c r="G124" s="29" t="s">
        <v>611</v>
      </c>
      <c r="J124" s="29">
        <f t="shared" si="5"/>
        <v>1</v>
      </c>
      <c r="K124" s="42">
        <v>117</v>
      </c>
      <c r="L124" s="43" t="s">
        <v>612</v>
      </c>
      <c r="M124" s="44" t="s">
        <v>405</v>
      </c>
      <c r="N124" s="44" t="s">
        <v>613</v>
      </c>
      <c r="O124" s="44" t="str">
        <f t="shared" ref="O124:O166" si="9">F124</f>
        <v>PE-L1-2C6-01</v>
      </c>
      <c r="P124" s="45">
        <v>2</v>
      </c>
      <c r="Q124" s="44">
        <v>220</v>
      </c>
      <c r="R124" s="44" t="s">
        <v>509</v>
      </c>
      <c r="S124" s="44">
        <v>30</v>
      </c>
      <c r="T124" s="46" t="s">
        <v>4083</v>
      </c>
      <c r="U124" s="46" t="s">
        <v>4075</v>
      </c>
      <c r="V124" s="46" t="s">
        <v>4076</v>
      </c>
      <c r="W124" s="46" t="s">
        <v>391</v>
      </c>
      <c r="X124" s="131" t="s">
        <v>8942</v>
      </c>
      <c r="Y124" s="46" t="s">
        <v>4218</v>
      </c>
      <c r="Z124" s="46" t="s">
        <v>4219</v>
      </c>
      <c r="AA124" s="46" t="s">
        <v>391</v>
      </c>
      <c r="AB124" s="131" t="s">
        <v>8942</v>
      </c>
      <c r="AC124" s="48" t="s">
        <v>4220</v>
      </c>
      <c r="AD124" s="30"/>
      <c r="AE124" s="197"/>
      <c r="AF124" s="47"/>
    </row>
    <row r="125" spans="1:32" s="29" customFormat="1" ht="69.95" hidden="1" customHeight="1">
      <c r="A125" s="29" t="s">
        <v>4221</v>
      </c>
      <c r="B125" s="29" t="s">
        <v>3769</v>
      </c>
      <c r="C125" s="40" t="s">
        <v>32</v>
      </c>
      <c r="D125" s="40"/>
      <c r="E125" s="57" t="s">
        <v>60</v>
      </c>
      <c r="F125" s="57" t="s">
        <v>60</v>
      </c>
      <c r="G125" s="29" t="s">
        <v>614</v>
      </c>
      <c r="J125" s="29">
        <f t="shared" si="5"/>
        <v>1</v>
      </c>
      <c r="K125" s="42">
        <v>118</v>
      </c>
      <c r="L125" s="43" t="s">
        <v>615</v>
      </c>
      <c r="M125" s="44" t="s">
        <v>405</v>
      </c>
      <c r="N125" s="44" t="s">
        <v>456</v>
      </c>
      <c r="O125" s="44" t="str">
        <f t="shared" si="9"/>
        <v>PE-L1-3C6-03</v>
      </c>
      <c r="P125" s="45">
        <v>2</v>
      </c>
      <c r="Q125" s="44">
        <v>230</v>
      </c>
      <c r="R125" s="44" t="s">
        <v>428</v>
      </c>
      <c r="S125" s="44">
        <v>60</v>
      </c>
      <c r="T125" s="46" t="s">
        <v>4083</v>
      </c>
      <c r="U125" s="46" t="s">
        <v>4221</v>
      </c>
      <c r="V125" s="46" t="s">
        <v>4222</v>
      </c>
      <c r="W125" s="46" t="s">
        <v>391</v>
      </c>
      <c r="X125" s="172" t="s">
        <v>9167</v>
      </c>
      <c r="Y125" s="46" t="s">
        <v>4218</v>
      </c>
      <c r="Z125" s="46" t="s">
        <v>4223</v>
      </c>
      <c r="AA125" s="46" t="s">
        <v>391</v>
      </c>
      <c r="AB125" s="172" t="s">
        <v>9167</v>
      </c>
      <c r="AC125" s="48" t="s">
        <v>4224</v>
      </c>
      <c r="AD125" s="30"/>
      <c r="AE125" s="197"/>
      <c r="AF125" s="47"/>
    </row>
    <row r="126" spans="1:32" s="29" customFormat="1" ht="69.95" hidden="1" customHeight="1">
      <c r="A126" s="29" t="s">
        <v>4079</v>
      </c>
      <c r="B126" s="29" t="s">
        <v>3769</v>
      </c>
      <c r="C126" s="40" t="s">
        <v>42</v>
      </c>
      <c r="D126" s="40"/>
      <c r="E126" s="57" t="s">
        <v>54</v>
      </c>
      <c r="F126" s="57" t="s">
        <v>54</v>
      </c>
      <c r="G126" s="29" t="s">
        <v>616</v>
      </c>
      <c r="J126" s="29">
        <f t="shared" si="5"/>
        <v>1</v>
      </c>
      <c r="K126" s="42">
        <v>119</v>
      </c>
      <c r="L126" s="43" t="s">
        <v>617</v>
      </c>
      <c r="M126" s="44" t="s">
        <v>405</v>
      </c>
      <c r="N126" s="44" t="s">
        <v>426</v>
      </c>
      <c r="O126" s="44" t="str">
        <f t="shared" si="9"/>
        <v>PE-L1-3C4-01</v>
      </c>
      <c r="P126" s="45">
        <v>0.2</v>
      </c>
      <c r="Q126" s="44">
        <v>230</v>
      </c>
      <c r="R126" s="44" t="s">
        <v>49</v>
      </c>
      <c r="S126" s="44">
        <v>60</v>
      </c>
      <c r="T126" s="46" t="s">
        <v>4083</v>
      </c>
      <c r="U126" s="46" t="s">
        <v>4079</v>
      </c>
      <c r="V126" s="46" t="s">
        <v>4080</v>
      </c>
      <c r="W126" s="46" t="s">
        <v>391</v>
      </c>
      <c r="X126" s="172" t="s">
        <v>9167</v>
      </c>
      <c r="Y126" s="46" t="s">
        <v>4218</v>
      </c>
      <c r="Z126" s="46" t="s">
        <v>4225</v>
      </c>
      <c r="AA126" s="46" t="s">
        <v>391</v>
      </c>
      <c r="AB126" s="172" t="s">
        <v>9167</v>
      </c>
      <c r="AC126" s="48" t="s">
        <v>4226</v>
      </c>
      <c r="AD126" s="30"/>
      <c r="AE126" s="197"/>
      <c r="AF126" s="47"/>
    </row>
    <row r="127" spans="1:32" s="29" customFormat="1" ht="69.95" hidden="1" customHeight="1">
      <c r="A127" s="29" t="s">
        <v>4069</v>
      </c>
      <c r="B127" s="29" t="s">
        <v>3769</v>
      </c>
      <c r="C127" s="40" t="s">
        <v>38</v>
      </c>
      <c r="D127" s="40"/>
      <c r="E127" s="57" t="s">
        <v>8578</v>
      </c>
      <c r="F127" s="57" t="s">
        <v>8579</v>
      </c>
      <c r="G127" s="29" t="s">
        <v>618</v>
      </c>
      <c r="J127" s="29">
        <f t="shared" si="5"/>
        <v>1</v>
      </c>
      <c r="K127" s="42">
        <v>120</v>
      </c>
      <c r="L127" s="43" t="s">
        <v>619</v>
      </c>
      <c r="M127" s="44" t="s">
        <v>405</v>
      </c>
      <c r="N127" s="44" t="s">
        <v>578</v>
      </c>
      <c r="O127" s="44" t="str">
        <f t="shared" si="9"/>
        <v>PE-L1-2C4-03</v>
      </c>
      <c r="P127" s="45">
        <v>0.7</v>
      </c>
      <c r="Q127" s="44">
        <v>220</v>
      </c>
      <c r="R127" s="44" t="s">
        <v>509</v>
      </c>
      <c r="S127" s="44">
        <v>40</v>
      </c>
      <c r="T127" s="46" t="s">
        <v>4083</v>
      </c>
      <c r="U127" s="46" t="s">
        <v>4069</v>
      </c>
      <c r="V127" s="46" t="s">
        <v>4070</v>
      </c>
      <c r="W127" s="46" t="s">
        <v>391</v>
      </c>
      <c r="X127" s="172" t="s">
        <v>8942</v>
      </c>
      <c r="Y127" s="46" t="s">
        <v>4227</v>
      </c>
      <c r="Z127" s="46" t="s">
        <v>4228</v>
      </c>
      <c r="AA127" s="46" t="s">
        <v>4229</v>
      </c>
      <c r="AB127" s="172" t="s">
        <v>8942</v>
      </c>
      <c r="AC127" s="48" t="s">
        <v>4230</v>
      </c>
      <c r="AD127" s="30"/>
      <c r="AE127" s="197"/>
      <c r="AF127" s="47"/>
    </row>
    <row r="128" spans="1:32" s="29" customFormat="1" ht="69.95" hidden="1" customHeight="1">
      <c r="A128" s="29" t="s">
        <v>4221</v>
      </c>
      <c r="B128" s="29" t="s">
        <v>3769</v>
      </c>
      <c r="C128" s="40" t="s">
        <v>36</v>
      </c>
      <c r="D128" s="40"/>
      <c r="E128" s="57" t="s">
        <v>54</v>
      </c>
      <c r="F128" s="57" t="s">
        <v>54</v>
      </c>
      <c r="G128" s="29" t="s">
        <v>620</v>
      </c>
      <c r="J128" s="29">
        <f t="shared" si="5"/>
        <v>1</v>
      </c>
      <c r="K128" s="42">
        <v>121</v>
      </c>
      <c r="L128" s="43" t="s">
        <v>621</v>
      </c>
      <c r="M128" s="44" t="s">
        <v>405</v>
      </c>
      <c r="N128" s="44" t="s">
        <v>426</v>
      </c>
      <c r="O128" s="44" t="str">
        <f t="shared" si="9"/>
        <v>PE-L1-3C4-01</v>
      </c>
      <c r="P128" s="45">
        <v>0.7</v>
      </c>
      <c r="Q128" s="44">
        <v>230</v>
      </c>
      <c r="R128" s="44" t="s">
        <v>428</v>
      </c>
      <c r="S128" s="44">
        <v>60</v>
      </c>
      <c r="T128" s="46" t="s">
        <v>4083</v>
      </c>
      <c r="U128" s="46" t="s">
        <v>4221</v>
      </c>
      <c r="V128" s="46" t="s">
        <v>4222</v>
      </c>
      <c r="W128" s="46" t="s">
        <v>391</v>
      </c>
      <c r="X128" s="172" t="s">
        <v>9167</v>
      </c>
      <c r="Y128" s="46" t="s">
        <v>4227</v>
      </c>
      <c r="Z128" s="46" t="s">
        <v>4231</v>
      </c>
      <c r="AA128" s="46" t="s">
        <v>4229</v>
      </c>
      <c r="AB128" s="172" t="s">
        <v>9167</v>
      </c>
      <c r="AC128" s="48" t="s">
        <v>4232</v>
      </c>
      <c r="AD128" s="30"/>
      <c r="AE128" s="197"/>
      <c r="AF128" s="47"/>
    </row>
    <row r="129" spans="1:32" s="29" customFormat="1" ht="69.95" hidden="1" customHeight="1">
      <c r="A129" s="29" t="s">
        <v>4158</v>
      </c>
      <c r="B129" s="29" t="s">
        <v>3769</v>
      </c>
      <c r="C129" s="40" t="s">
        <v>38</v>
      </c>
      <c r="D129" s="40"/>
      <c r="E129" s="57" t="s">
        <v>54</v>
      </c>
      <c r="F129" s="57" t="s">
        <v>54</v>
      </c>
      <c r="G129" s="29" t="s">
        <v>622</v>
      </c>
      <c r="J129" s="29">
        <f t="shared" si="5"/>
        <v>1</v>
      </c>
      <c r="K129" s="42">
        <v>122</v>
      </c>
      <c r="L129" s="43" t="s">
        <v>623</v>
      </c>
      <c r="M129" s="44" t="s">
        <v>405</v>
      </c>
      <c r="N129" s="44" t="s">
        <v>426</v>
      </c>
      <c r="O129" s="44" t="str">
        <f t="shared" si="9"/>
        <v>PE-L1-3C4-01</v>
      </c>
      <c r="P129" s="45">
        <v>1</v>
      </c>
      <c r="Q129" s="44">
        <v>230</v>
      </c>
      <c r="R129" s="44" t="s">
        <v>49</v>
      </c>
      <c r="S129" s="44">
        <v>40</v>
      </c>
      <c r="T129" s="46" t="s">
        <v>4083</v>
      </c>
      <c r="U129" s="46" t="s">
        <v>4158</v>
      </c>
      <c r="V129" s="46" t="s">
        <v>4159</v>
      </c>
      <c r="W129" s="46" t="s">
        <v>391</v>
      </c>
      <c r="X129" s="172" t="s">
        <v>9167</v>
      </c>
      <c r="Y129" s="46" t="s">
        <v>4227</v>
      </c>
      <c r="Z129" s="46" t="s">
        <v>4233</v>
      </c>
      <c r="AA129" s="46" t="s">
        <v>4229</v>
      </c>
      <c r="AB129" s="172" t="s">
        <v>9167</v>
      </c>
      <c r="AC129" s="48" t="s">
        <v>4234</v>
      </c>
      <c r="AD129" s="30"/>
      <c r="AE129" s="197"/>
      <c r="AF129" s="47"/>
    </row>
    <row r="130" spans="1:32" s="29" customFormat="1" ht="69.95" hidden="1" customHeight="1">
      <c r="A130" s="29" t="s">
        <v>4069</v>
      </c>
      <c r="B130" s="29" t="s">
        <v>3769</v>
      </c>
      <c r="C130" s="40" t="s">
        <v>40</v>
      </c>
      <c r="D130" s="40"/>
      <c r="E130" s="57" t="s">
        <v>8578</v>
      </c>
      <c r="F130" s="57" t="s">
        <v>8579</v>
      </c>
      <c r="G130" s="29" t="s">
        <v>624</v>
      </c>
      <c r="J130" s="29">
        <f t="shared" si="5"/>
        <v>1</v>
      </c>
      <c r="K130" s="42">
        <v>123</v>
      </c>
      <c r="L130" s="43" t="s">
        <v>625</v>
      </c>
      <c r="M130" s="44" t="s">
        <v>405</v>
      </c>
      <c r="N130" s="44" t="s">
        <v>578</v>
      </c>
      <c r="O130" s="44" t="str">
        <f t="shared" si="9"/>
        <v>PE-L1-2C4-03</v>
      </c>
      <c r="P130" s="45">
        <v>0.6</v>
      </c>
      <c r="Q130" s="44">
        <v>220</v>
      </c>
      <c r="R130" s="44" t="s">
        <v>509</v>
      </c>
      <c r="S130" s="44">
        <v>40</v>
      </c>
      <c r="T130" s="46" t="s">
        <v>4083</v>
      </c>
      <c r="U130" s="46" t="s">
        <v>4069</v>
      </c>
      <c r="V130" s="46" t="s">
        <v>4070</v>
      </c>
      <c r="W130" s="46" t="s">
        <v>391</v>
      </c>
      <c r="X130" s="172" t="s">
        <v>8942</v>
      </c>
      <c r="Y130" s="46" t="s">
        <v>4235</v>
      </c>
      <c r="Z130" s="46" t="s">
        <v>4236</v>
      </c>
      <c r="AA130" s="46" t="s">
        <v>391</v>
      </c>
      <c r="AB130" s="172" t="s">
        <v>8942</v>
      </c>
      <c r="AC130" s="48" t="s">
        <v>4230</v>
      </c>
      <c r="AD130" s="30"/>
      <c r="AE130" s="197"/>
      <c r="AF130" s="47"/>
    </row>
    <row r="131" spans="1:32" s="29" customFormat="1" ht="69.95" hidden="1" customHeight="1">
      <c r="A131" s="29" t="s">
        <v>4237</v>
      </c>
      <c r="B131" s="29" t="s">
        <v>3769</v>
      </c>
      <c r="C131" s="40" t="s">
        <v>32</v>
      </c>
      <c r="D131" s="40"/>
      <c r="E131" s="57" t="s">
        <v>54</v>
      </c>
      <c r="F131" s="57" t="s">
        <v>54</v>
      </c>
      <c r="G131" s="29" t="s">
        <v>626</v>
      </c>
      <c r="J131" s="29">
        <f t="shared" si="5"/>
        <v>1</v>
      </c>
      <c r="K131" s="42">
        <v>124</v>
      </c>
      <c r="L131" s="43" t="s">
        <v>627</v>
      </c>
      <c r="M131" s="44" t="s">
        <v>405</v>
      </c>
      <c r="N131" s="44" t="s">
        <v>426</v>
      </c>
      <c r="O131" s="44" t="str">
        <f t="shared" si="9"/>
        <v>PE-L1-3C4-01</v>
      </c>
      <c r="P131" s="45">
        <v>0.6</v>
      </c>
      <c r="Q131" s="44">
        <v>230</v>
      </c>
      <c r="R131" s="44" t="s">
        <v>428</v>
      </c>
      <c r="S131" s="44">
        <v>60</v>
      </c>
      <c r="T131" s="46" t="s">
        <v>4083</v>
      </c>
      <c r="U131" s="46" t="s">
        <v>4237</v>
      </c>
      <c r="V131" s="46" t="s">
        <v>4238</v>
      </c>
      <c r="W131" s="46" t="s">
        <v>391</v>
      </c>
      <c r="X131" s="172" t="s">
        <v>9167</v>
      </c>
      <c r="Y131" s="46" t="s">
        <v>4235</v>
      </c>
      <c r="Z131" s="46" t="s">
        <v>4239</v>
      </c>
      <c r="AA131" s="46" t="s">
        <v>391</v>
      </c>
      <c r="AB131" s="172" t="s">
        <v>9167</v>
      </c>
      <c r="AC131" s="48" t="s">
        <v>4232</v>
      </c>
      <c r="AD131" s="30"/>
      <c r="AE131" s="197"/>
      <c r="AF131" s="47"/>
    </row>
    <row r="132" spans="1:32" s="29" customFormat="1" ht="69.95" hidden="1" customHeight="1">
      <c r="A132" s="29" t="s">
        <v>4079</v>
      </c>
      <c r="B132" s="29" t="s">
        <v>3769</v>
      </c>
      <c r="C132" s="40" t="s">
        <v>43</v>
      </c>
      <c r="D132" s="40"/>
      <c r="E132" s="57" t="s">
        <v>54</v>
      </c>
      <c r="F132" s="57" t="s">
        <v>54</v>
      </c>
      <c r="G132" s="29" t="s">
        <v>628</v>
      </c>
      <c r="J132" s="29">
        <f t="shared" si="5"/>
        <v>1</v>
      </c>
      <c r="K132" s="42">
        <v>125</v>
      </c>
      <c r="L132" s="43" t="s">
        <v>629</v>
      </c>
      <c r="M132" s="44" t="s">
        <v>405</v>
      </c>
      <c r="N132" s="44" t="s">
        <v>426</v>
      </c>
      <c r="O132" s="44" t="str">
        <f t="shared" si="9"/>
        <v>PE-L1-3C4-01</v>
      </c>
      <c r="P132" s="45">
        <v>0.6</v>
      </c>
      <c r="Q132" s="44">
        <v>230</v>
      </c>
      <c r="R132" s="44" t="s">
        <v>49</v>
      </c>
      <c r="S132" s="44">
        <v>60</v>
      </c>
      <c r="T132" s="46" t="s">
        <v>4083</v>
      </c>
      <c r="U132" s="46" t="s">
        <v>4079</v>
      </c>
      <c r="V132" s="46" t="s">
        <v>4080</v>
      </c>
      <c r="W132" s="46" t="s">
        <v>391</v>
      </c>
      <c r="X132" s="172" t="s">
        <v>9167</v>
      </c>
      <c r="Y132" s="46" t="s">
        <v>4235</v>
      </c>
      <c r="Z132" s="46" t="s">
        <v>4240</v>
      </c>
      <c r="AA132" s="46" t="s">
        <v>391</v>
      </c>
      <c r="AB132" s="172" t="s">
        <v>9167</v>
      </c>
      <c r="AC132" s="48" t="s">
        <v>4232</v>
      </c>
      <c r="AD132" s="30"/>
      <c r="AE132" s="197"/>
      <c r="AF132" s="47"/>
    </row>
    <row r="133" spans="1:32" s="29" customFormat="1" ht="69.95" hidden="1" customHeight="1">
      <c r="A133" s="29" t="s">
        <v>4069</v>
      </c>
      <c r="B133" s="29" t="s">
        <v>3769</v>
      </c>
      <c r="C133" s="40" t="s">
        <v>41</v>
      </c>
      <c r="D133" s="40"/>
      <c r="E133" s="57" t="s">
        <v>8578</v>
      </c>
      <c r="F133" s="57" t="s">
        <v>8579</v>
      </c>
      <c r="G133" s="29" t="s">
        <v>630</v>
      </c>
      <c r="J133" s="29">
        <f t="shared" si="5"/>
        <v>1</v>
      </c>
      <c r="K133" s="42">
        <v>126</v>
      </c>
      <c r="L133" s="43" t="s">
        <v>631</v>
      </c>
      <c r="M133" s="44" t="s">
        <v>405</v>
      </c>
      <c r="N133" s="44" t="s">
        <v>578</v>
      </c>
      <c r="O133" s="44" t="str">
        <f t="shared" si="9"/>
        <v>PE-L1-2C4-03</v>
      </c>
      <c r="P133" s="45">
        <v>0.5</v>
      </c>
      <c r="Q133" s="44">
        <v>220</v>
      </c>
      <c r="R133" s="44" t="s">
        <v>509</v>
      </c>
      <c r="S133" s="44">
        <v>30</v>
      </c>
      <c r="T133" s="46" t="s">
        <v>4083</v>
      </c>
      <c r="U133" s="46" t="s">
        <v>4069</v>
      </c>
      <c r="V133" s="46" t="s">
        <v>4070</v>
      </c>
      <c r="W133" s="46" t="s">
        <v>391</v>
      </c>
      <c r="X133" s="172" t="s">
        <v>8942</v>
      </c>
      <c r="Y133" s="46" t="s">
        <v>4241</v>
      </c>
      <c r="Z133" s="46" t="s">
        <v>4242</v>
      </c>
      <c r="AA133" s="46" t="s">
        <v>391</v>
      </c>
      <c r="AB133" s="172" t="s">
        <v>8942</v>
      </c>
      <c r="AC133" s="48" t="s">
        <v>4220</v>
      </c>
      <c r="AD133" s="30"/>
      <c r="AE133" s="197"/>
      <c r="AF133" s="47"/>
    </row>
    <row r="134" spans="1:32" s="29" customFormat="1" ht="69.95" hidden="1" customHeight="1">
      <c r="A134" s="29" t="s">
        <v>4075</v>
      </c>
      <c r="B134" s="29" t="s">
        <v>3769</v>
      </c>
      <c r="C134" s="40" t="s">
        <v>40</v>
      </c>
      <c r="D134" s="40"/>
      <c r="E134" s="57" t="s">
        <v>8578</v>
      </c>
      <c r="F134" s="57" t="s">
        <v>8579</v>
      </c>
      <c r="G134" s="29" t="s">
        <v>632</v>
      </c>
      <c r="J134" s="29">
        <f t="shared" si="5"/>
        <v>1</v>
      </c>
      <c r="K134" s="42">
        <v>127</v>
      </c>
      <c r="L134" s="43" t="s">
        <v>633</v>
      </c>
      <c r="M134" s="44" t="s">
        <v>405</v>
      </c>
      <c r="N134" s="44" t="s">
        <v>578</v>
      </c>
      <c r="O134" s="44" t="str">
        <f t="shared" si="9"/>
        <v>PE-L1-2C4-03</v>
      </c>
      <c r="P134" s="45">
        <v>0.5</v>
      </c>
      <c r="Q134" s="44">
        <v>220</v>
      </c>
      <c r="R134" s="44" t="s">
        <v>509</v>
      </c>
      <c r="S134" s="44">
        <v>40</v>
      </c>
      <c r="T134" s="46" t="s">
        <v>4083</v>
      </c>
      <c r="U134" s="46" t="s">
        <v>4075</v>
      </c>
      <c r="V134" s="46" t="s">
        <v>4076</v>
      </c>
      <c r="W134" s="46" t="s">
        <v>391</v>
      </c>
      <c r="X134" s="172" t="s">
        <v>8942</v>
      </c>
      <c r="Y134" s="46" t="s">
        <v>4241</v>
      </c>
      <c r="Z134" s="46" t="s">
        <v>4243</v>
      </c>
      <c r="AA134" s="46" t="s">
        <v>391</v>
      </c>
      <c r="AB134" s="172" t="s">
        <v>8942</v>
      </c>
      <c r="AC134" s="48" t="s">
        <v>4244</v>
      </c>
      <c r="AD134" s="30"/>
      <c r="AE134" s="197"/>
      <c r="AF134" s="47"/>
    </row>
    <row r="135" spans="1:32" s="29" customFormat="1" ht="69.95" hidden="1" customHeight="1">
      <c r="A135" s="29" t="s">
        <v>4158</v>
      </c>
      <c r="B135" s="29" t="s">
        <v>3769</v>
      </c>
      <c r="C135" s="40" t="s">
        <v>40</v>
      </c>
      <c r="D135" s="40"/>
      <c r="E135" s="57" t="s">
        <v>54</v>
      </c>
      <c r="F135" s="57" t="s">
        <v>54</v>
      </c>
      <c r="G135" s="29" t="s">
        <v>634</v>
      </c>
      <c r="J135" s="29">
        <f t="shared" si="5"/>
        <v>1</v>
      </c>
      <c r="K135" s="42">
        <v>128</v>
      </c>
      <c r="L135" s="43" t="s">
        <v>635</v>
      </c>
      <c r="M135" s="44" t="s">
        <v>405</v>
      </c>
      <c r="N135" s="44" t="s">
        <v>426</v>
      </c>
      <c r="O135" s="44" t="str">
        <f t="shared" si="9"/>
        <v>PE-L1-3C4-01</v>
      </c>
      <c r="P135" s="45">
        <v>2</v>
      </c>
      <c r="Q135" s="44">
        <v>230</v>
      </c>
      <c r="R135" s="44" t="s">
        <v>49</v>
      </c>
      <c r="S135" s="44">
        <v>40</v>
      </c>
      <c r="T135" s="46" t="s">
        <v>4083</v>
      </c>
      <c r="U135" s="46" t="s">
        <v>4158</v>
      </c>
      <c r="V135" s="46" t="s">
        <v>4159</v>
      </c>
      <c r="W135" s="46" t="s">
        <v>391</v>
      </c>
      <c r="X135" s="172" t="s">
        <v>9167</v>
      </c>
      <c r="Y135" s="46" t="s">
        <v>4241</v>
      </c>
      <c r="Z135" s="46" t="s">
        <v>4245</v>
      </c>
      <c r="AA135" s="46" t="s">
        <v>391</v>
      </c>
      <c r="AB135" s="172" t="s">
        <v>9167</v>
      </c>
      <c r="AC135" s="48" t="s">
        <v>4246</v>
      </c>
      <c r="AD135" s="30"/>
      <c r="AE135" s="197"/>
      <c r="AF135" s="47"/>
    </row>
    <row r="136" spans="1:32" s="29" customFormat="1" ht="69.95" hidden="1" customHeight="1">
      <c r="A136" s="29" t="s">
        <v>4075</v>
      </c>
      <c r="B136" s="29" t="s">
        <v>3769</v>
      </c>
      <c r="C136" s="40" t="s">
        <v>41</v>
      </c>
      <c r="D136" s="40"/>
      <c r="E136" s="57" t="s">
        <v>8578</v>
      </c>
      <c r="F136" s="57" t="s">
        <v>8579</v>
      </c>
      <c r="G136" s="29" t="s">
        <v>636</v>
      </c>
      <c r="J136" s="29">
        <f t="shared" ref="J136:J199" si="10">COUNTIF(L:L,L136)</f>
        <v>1</v>
      </c>
      <c r="K136" s="42">
        <v>129</v>
      </c>
      <c r="L136" s="43" t="s">
        <v>637</v>
      </c>
      <c r="M136" s="44" t="s">
        <v>405</v>
      </c>
      <c r="N136" s="44" t="s">
        <v>578</v>
      </c>
      <c r="O136" s="44" t="str">
        <f t="shared" si="9"/>
        <v>PE-L1-2C4-03</v>
      </c>
      <c r="P136" s="45">
        <v>0.5</v>
      </c>
      <c r="Q136" s="44">
        <v>220</v>
      </c>
      <c r="R136" s="44" t="s">
        <v>509</v>
      </c>
      <c r="S136" s="44">
        <v>30</v>
      </c>
      <c r="T136" s="46" t="s">
        <v>4083</v>
      </c>
      <c r="U136" s="46" t="s">
        <v>4075</v>
      </c>
      <c r="V136" s="46" t="s">
        <v>4076</v>
      </c>
      <c r="W136" s="46" t="s">
        <v>391</v>
      </c>
      <c r="X136" s="172" t="s">
        <v>8942</v>
      </c>
      <c r="Y136" s="46" t="s">
        <v>4247</v>
      </c>
      <c r="Z136" s="46" t="s">
        <v>4248</v>
      </c>
      <c r="AA136" s="46" t="s">
        <v>391</v>
      </c>
      <c r="AB136" s="172" t="s">
        <v>8942</v>
      </c>
      <c r="AC136" s="48" t="s">
        <v>4220</v>
      </c>
      <c r="AD136" s="30"/>
      <c r="AE136" s="197"/>
      <c r="AF136" s="47"/>
    </row>
    <row r="137" spans="1:32" s="29" customFormat="1" ht="69.95" hidden="1" customHeight="1">
      <c r="A137" s="29" t="s">
        <v>4069</v>
      </c>
      <c r="B137" s="29" t="s">
        <v>3769</v>
      </c>
      <c r="C137" s="40" t="s">
        <v>42</v>
      </c>
      <c r="D137" s="40"/>
      <c r="E137" s="57" t="s">
        <v>8580</v>
      </c>
      <c r="F137" s="57" t="s">
        <v>8580</v>
      </c>
      <c r="G137" s="29" t="s">
        <v>638</v>
      </c>
      <c r="J137" s="29">
        <f t="shared" si="10"/>
        <v>1</v>
      </c>
      <c r="K137" s="42">
        <v>130</v>
      </c>
      <c r="L137" s="43" t="s">
        <v>639</v>
      </c>
      <c r="M137" s="44" t="s">
        <v>405</v>
      </c>
      <c r="N137" s="44" t="s">
        <v>578</v>
      </c>
      <c r="O137" s="44" t="str">
        <f t="shared" si="9"/>
        <v>PE-L1-2C4-06</v>
      </c>
      <c r="P137" s="45">
        <v>0.5</v>
      </c>
      <c r="Q137" s="44">
        <v>220</v>
      </c>
      <c r="R137" s="44" t="s">
        <v>509</v>
      </c>
      <c r="S137" s="44">
        <v>40</v>
      </c>
      <c r="T137" s="46" t="s">
        <v>4083</v>
      </c>
      <c r="U137" s="46" t="s">
        <v>4069</v>
      </c>
      <c r="V137" s="46" t="s">
        <v>4070</v>
      </c>
      <c r="W137" s="46" t="s">
        <v>391</v>
      </c>
      <c r="X137" s="172" t="s">
        <v>8942</v>
      </c>
      <c r="Y137" s="46" t="s">
        <v>4247</v>
      </c>
      <c r="Z137" s="46" t="s">
        <v>4249</v>
      </c>
      <c r="AA137" s="46" t="s">
        <v>391</v>
      </c>
      <c r="AB137" s="172" t="s">
        <v>8942</v>
      </c>
      <c r="AC137" s="48" t="s">
        <v>4244</v>
      </c>
      <c r="AD137" s="30"/>
      <c r="AE137" s="197"/>
      <c r="AF137" s="47"/>
    </row>
    <row r="138" spans="1:32" s="29" customFormat="1" ht="69.95" hidden="1" customHeight="1">
      <c r="A138" s="29" t="s">
        <v>4079</v>
      </c>
      <c r="B138" s="29" t="s">
        <v>3769</v>
      </c>
      <c r="C138" s="40" t="s">
        <v>73</v>
      </c>
      <c r="D138" s="40"/>
      <c r="E138" s="57" t="s">
        <v>54</v>
      </c>
      <c r="F138" s="57" t="s">
        <v>54</v>
      </c>
      <c r="G138" s="29" t="s">
        <v>640</v>
      </c>
      <c r="J138" s="29">
        <f t="shared" si="10"/>
        <v>1</v>
      </c>
      <c r="K138" s="42">
        <v>131</v>
      </c>
      <c r="L138" s="43" t="s">
        <v>641</v>
      </c>
      <c r="M138" s="44" t="s">
        <v>405</v>
      </c>
      <c r="N138" s="44" t="s">
        <v>426</v>
      </c>
      <c r="O138" s="44" t="str">
        <f t="shared" si="9"/>
        <v>PE-L1-3C4-01</v>
      </c>
      <c r="P138" s="45">
        <v>2</v>
      </c>
      <c r="Q138" s="44">
        <v>230</v>
      </c>
      <c r="R138" s="44" t="s">
        <v>49</v>
      </c>
      <c r="S138" s="101">
        <v>60</v>
      </c>
      <c r="T138" s="46" t="s">
        <v>4083</v>
      </c>
      <c r="U138" s="46" t="s">
        <v>4079</v>
      </c>
      <c r="V138" s="46" t="s">
        <v>4080</v>
      </c>
      <c r="W138" s="46" t="s">
        <v>391</v>
      </c>
      <c r="X138" s="172" t="s">
        <v>9167</v>
      </c>
      <c r="Y138" s="46" t="s">
        <v>4247</v>
      </c>
      <c r="Z138" s="46" t="s">
        <v>4250</v>
      </c>
      <c r="AA138" s="46" t="s">
        <v>391</v>
      </c>
      <c r="AB138" s="172" t="s">
        <v>9167</v>
      </c>
      <c r="AC138" s="48" t="s">
        <v>4226</v>
      </c>
      <c r="AD138" s="30"/>
      <c r="AE138" s="197"/>
      <c r="AF138" s="47"/>
    </row>
    <row r="139" spans="1:32" s="29" customFormat="1" ht="69.95" hidden="1" customHeight="1">
      <c r="A139" s="29" t="s">
        <v>4075</v>
      </c>
      <c r="B139" s="29" t="s">
        <v>3769</v>
      </c>
      <c r="C139" s="40" t="s">
        <v>42</v>
      </c>
      <c r="D139" s="40"/>
      <c r="E139" s="57" t="s">
        <v>8580</v>
      </c>
      <c r="F139" s="57" t="s">
        <v>8580</v>
      </c>
      <c r="G139" s="29" t="s">
        <v>642</v>
      </c>
      <c r="J139" s="29">
        <f t="shared" si="10"/>
        <v>1</v>
      </c>
      <c r="K139" s="42">
        <v>132</v>
      </c>
      <c r="L139" s="43" t="s">
        <v>643</v>
      </c>
      <c r="M139" s="44" t="s">
        <v>405</v>
      </c>
      <c r="N139" s="44" t="s">
        <v>578</v>
      </c>
      <c r="O139" s="44" t="str">
        <f t="shared" si="9"/>
        <v>PE-L1-2C4-06</v>
      </c>
      <c r="P139" s="45">
        <v>0.5</v>
      </c>
      <c r="Q139" s="44">
        <v>220</v>
      </c>
      <c r="R139" s="44" t="s">
        <v>509</v>
      </c>
      <c r="S139" s="101">
        <v>50</v>
      </c>
      <c r="T139" s="46" t="s">
        <v>4083</v>
      </c>
      <c r="U139" s="46" t="s">
        <v>4075</v>
      </c>
      <c r="V139" s="46" t="s">
        <v>4076</v>
      </c>
      <c r="W139" s="46" t="s">
        <v>391</v>
      </c>
      <c r="X139" s="172" t="s">
        <v>8942</v>
      </c>
      <c r="Y139" s="46" t="s">
        <v>4251</v>
      </c>
      <c r="Z139" s="46" t="s">
        <v>4252</v>
      </c>
      <c r="AA139" s="46" t="s">
        <v>4229</v>
      </c>
      <c r="AB139" s="172" t="s">
        <v>8942</v>
      </c>
      <c r="AC139" s="48" t="s">
        <v>4253</v>
      </c>
      <c r="AD139" s="30"/>
      <c r="AE139" s="197"/>
      <c r="AF139" s="47"/>
    </row>
    <row r="140" spans="1:32" s="29" customFormat="1" ht="69.95" hidden="1" customHeight="1">
      <c r="A140" s="29" t="s">
        <v>4069</v>
      </c>
      <c r="B140" s="29" t="s">
        <v>3769</v>
      </c>
      <c r="C140" s="40" t="s">
        <v>43</v>
      </c>
      <c r="D140" s="40"/>
      <c r="E140" s="56" t="s">
        <v>8580</v>
      </c>
      <c r="F140" s="56" t="s">
        <v>8580</v>
      </c>
      <c r="G140" s="29" t="s">
        <v>644</v>
      </c>
      <c r="J140" s="29">
        <f t="shared" si="10"/>
        <v>1</v>
      </c>
      <c r="K140" s="42">
        <v>133</v>
      </c>
      <c r="L140" s="43" t="s">
        <v>645</v>
      </c>
      <c r="M140" s="44" t="s">
        <v>405</v>
      </c>
      <c r="N140" s="44" t="s">
        <v>578</v>
      </c>
      <c r="O140" s="44" t="str">
        <f t="shared" si="9"/>
        <v>PE-L1-2C4-06</v>
      </c>
      <c r="P140" s="45">
        <v>0.5</v>
      </c>
      <c r="Q140" s="44">
        <v>220</v>
      </c>
      <c r="R140" s="44" t="s">
        <v>509</v>
      </c>
      <c r="S140" s="101">
        <v>50</v>
      </c>
      <c r="T140" s="46" t="s">
        <v>4083</v>
      </c>
      <c r="U140" s="46" t="s">
        <v>4069</v>
      </c>
      <c r="V140" s="46" t="s">
        <v>4070</v>
      </c>
      <c r="W140" s="46" t="s">
        <v>391</v>
      </c>
      <c r="X140" s="172" t="s">
        <v>8942</v>
      </c>
      <c r="Y140" s="46" t="s">
        <v>4251</v>
      </c>
      <c r="Z140" s="46" t="s">
        <v>4254</v>
      </c>
      <c r="AA140" s="46" t="s">
        <v>4229</v>
      </c>
      <c r="AB140" s="172" t="s">
        <v>8942</v>
      </c>
      <c r="AC140" s="48" t="s">
        <v>4255</v>
      </c>
      <c r="AD140" s="30"/>
      <c r="AE140" s="197"/>
      <c r="AF140" s="47"/>
    </row>
    <row r="141" spans="1:32" s="29" customFormat="1" ht="69.95" hidden="1" customHeight="1">
      <c r="A141" s="29" t="s">
        <v>393</v>
      </c>
      <c r="B141" s="29" t="s">
        <v>3769</v>
      </c>
      <c r="C141" s="40">
        <v>15</v>
      </c>
      <c r="D141" s="40"/>
      <c r="E141" s="57" t="s">
        <v>8018</v>
      </c>
      <c r="F141" s="57" t="s">
        <v>8018</v>
      </c>
      <c r="G141" s="29" t="s">
        <v>646</v>
      </c>
      <c r="J141" s="29">
        <f t="shared" si="10"/>
        <v>1</v>
      </c>
      <c r="K141" s="42">
        <v>134</v>
      </c>
      <c r="L141" s="43" t="s">
        <v>647</v>
      </c>
      <c r="M141" s="44" t="s">
        <v>405</v>
      </c>
      <c r="N141" s="44" t="s">
        <v>566</v>
      </c>
      <c r="O141" s="44" t="str">
        <f t="shared" si="9"/>
        <v>PE-L1-5C4-01</v>
      </c>
      <c r="P141" s="45">
        <v>2</v>
      </c>
      <c r="Q141" s="44">
        <v>400</v>
      </c>
      <c r="R141" s="44" t="s">
        <v>49</v>
      </c>
      <c r="S141" s="101">
        <v>40</v>
      </c>
      <c r="T141" s="46" t="s">
        <v>4083</v>
      </c>
      <c r="U141" s="46" t="s">
        <v>393</v>
      </c>
      <c r="V141" s="46" t="s">
        <v>394</v>
      </c>
      <c r="W141" s="46" t="s">
        <v>391</v>
      </c>
      <c r="X141" s="47" t="s">
        <v>9310</v>
      </c>
      <c r="Y141" s="46" t="s">
        <v>4251</v>
      </c>
      <c r="Z141" s="46" t="s">
        <v>4256</v>
      </c>
      <c r="AA141" s="46" t="s">
        <v>4229</v>
      </c>
      <c r="AB141" s="47" t="s">
        <v>9310</v>
      </c>
      <c r="AC141" s="48" t="s">
        <v>4257</v>
      </c>
      <c r="AD141" s="30"/>
      <c r="AE141" s="197"/>
      <c r="AF141" s="47"/>
    </row>
    <row r="142" spans="1:32" s="29" customFormat="1" ht="69.95" hidden="1" customHeight="1">
      <c r="A142" s="29" t="s">
        <v>4079</v>
      </c>
      <c r="B142" s="29" t="s">
        <v>3769</v>
      </c>
      <c r="C142" s="40" t="s">
        <v>75</v>
      </c>
      <c r="D142" s="40"/>
      <c r="E142" s="57" t="s">
        <v>78</v>
      </c>
      <c r="F142" s="57" t="s">
        <v>78</v>
      </c>
      <c r="G142" s="29" t="s">
        <v>648</v>
      </c>
      <c r="J142" s="29">
        <f t="shared" si="10"/>
        <v>1</v>
      </c>
      <c r="K142" s="42">
        <v>135</v>
      </c>
      <c r="L142" s="43" t="s">
        <v>649</v>
      </c>
      <c r="M142" s="44" t="s">
        <v>405</v>
      </c>
      <c r="N142" s="44" t="s">
        <v>456</v>
      </c>
      <c r="O142" s="44" t="str">
        <f t="shared" si="9"/>
        <v>PE-L1-3C6-01</v>
      </c>
      <c r="P142" s="45">
        <v>2</v>
      </c>
      <c r="Q142" s="44">
        <v>230</v>
      </c>
      <c r="R142" s="44" t="s">
        <v>49</v>
      </c>
      <c r="S142" s="101">
        <v>110</v>
      </c>
      <c r="T142" s="46" t="s">
        <v>4083</v>
      </c>
      <c r="U142" s="46" t="s">
        <v>4079</v>
      </c>
      <c r="V142" s="46" t="s">
        <v>4080</v>
      </c>
      <c r="W142" s="46" t="s">
        <v>391</v>
      </c>
      <c r="X142" s="172" t="s">
        <v>9167</v>
      </c>
      <c r="Y142" s="46" t="s">
        <v>4258</v>
      </c>
      <c r="Z142" s="46" t="s">
        <v>4259</v>
      </c>
      <c r="AA142" s="46" t="s">
        <v>4260</v>
      </c>
      <c r="AB142" s="172" t="s">
        <v>9167</v>
      </c>
      <c r="AC142" s="48" t="s">
        <v>4261</v>
      </c>
      <c r="AD142" s="30"/>
      <c r="AE142" s="197"/>
      <c r="AF142" s="47"/>
    </row>
    <row r="143" spans="1:32" s="29" customFormat="1" ht="69.95" hidden="1" customHeight="1">
      <c r="A143" s="29" t="s">
        <v>4237</v>
      </c>
      <c r="B143" s="29" t="s">
        <v>3769</v>
      </c>
      <c r="C143" s="40" t="s">
        <v>36</v>
      </c>
      <c r="D143" s="40"/>
      <c r="E143" s="57" t="s">
        <v>60</v>
      </c>
      <c r="F143" s="57" t="s">
        <v>60</v>
      </c>
      <c r="G143" s="29" t="s">
        <v>650</v>
      </c>
      <c r="J143" s="29">
        <f t="shared" si="10"/>
        <v>1</v>
      </c>
      <c r="K143" s="42">
        <v>136</v>
      </c>
      <c r="L143" s="43" t="s">
        <v>651</v>
      </c>
      <c r="M143" s="44" t="s">
        <v>405</v>
      </c>
      <c r="N143" s="44" t="s">
        <v>456</v>
      </c>
      <c r="O143" s="44" t="str">
        <f t="shared" si="9"/>
        <v>PE-L1-3C6-03</v>
      </c>
      <c r="P143" s="45">
        <v>2</v>
      </c>
      <c r="Q143" s="44">
        <v>230</v>
      </c>
      <c r="R143" s="44" t="s">
        <v>428</v>
      </c>
      <c r="S143" s="101">
        <v>120</v>
      </c>
      <c r="T143" s="46" t="s">
        <v>4083</v>
      </c>
      <c r="U143" s="46" t="s">
        <v>4237</v>
      </c>
      <c r="V143" s="46" t="s">
        <v>4238</v>
      </c>
      <c r="W143" s="46" t="s">
        <v>391</v>
      </c>
      <c r="X143" s="172" t="s">
        <v>9167</v>
      </c>
      <c r="Y143" s="46" t="s">
        <v>4258</v>
      </c>
      <c r="Z143" s="46" t="s">
        <v>4262</v>
      </c>
      <c r="AA143" s="46" t="s">
        <v>4260</v>
      </c>
      <c r="AB143" s="172" t="s">
        <v>9167</v>
      </c>
      <c r="AC143" s="48" t="s">
        <v>4263</v>
      </c>
      <c r="AD143" s="30"/>
      <c r="AE143" s="197"/>
      <c r="AF143" s="47"/>
    </row>
    <row r="144" spans="1:32" s="29" customFormat="1" ht="69.95" hidden="1" customHeight="1">
      <c r="A144" s="29" t="s">
        <v>3953</v>
      </c>
      <c r="B144" s="29" t="s">
        <v>3769</v>
      </c>
      <c r="C144" s="40" t="s">
        <v>36</v>
      </c>
      <c r="D144" s="40"/>
      <c r="E144" s="57" t="s">
        <v>63</v>
      </c>
      <c r="F144" s="57" t="s">
        <v>63</v>
      </c>
      <c r="G144" s="29" t="s">
        <v>652</v>
      </c>
      <c r="J144" s="29">
        <f t="shared" si="10"/>
        <v>1</v>
      </c>
      <c r="K144" s="42">
        <v>137</v>
      </c>
      <c r="L144" s="43" t="s">
        <v>653</v>
      </c>
      <c r="M144" s="44" t="s">
        <v>405</v>
      </c>
      <c r="N144" s="44" t="s">
        <v>456</v>
      </c>
      <c r="O144" s="44" t="str">
        <f t="shared" si="9"/>
        <v>PE-L1-3C6-05</v>
      </c>
      <c r="P144" s="45" t="s">
        <v>654</v>
      </c>
      <c r="Q144" s="44">
        <v>230</v>
      </c>
      <c r="R144" s="44" t="s">
        <v>428</v>
      </c>
      <c r="S144" s="101">
        <v>30</v>
      </c>
      <c r="T144" s="46" t="s">
        <v>4083</v>
      </c>
      <c r="U144" s="46" t="s">
        <v>3953</v>
      </c>
      <c r="V144" s="46" t="s">
        <v>3954</v>
      </c>
      <c r="W144" s="46" t="s">
        <v>55</v>
      </c>
      <c r="X144" s="172" t="s">
        <v>9167</v>
      </c>
      <c r="Y144" s="46" t="s">
        <v>4264</v>
      </c>
      <c r="Z144" s="46" t="s">
        <v>4265</v>
      </c>
      <c r="AA144" s="46" t="s">
        <v>3957</v>
      </c>
      <c r="AB144" s="172" t="s">
        <v>9167</v>
      </c>
      <c r="AC144" s="48" t="s">
        <v>4266</v>
      </c>
      <c r="AD144" s="30"/>
      <c r="AE144" s="197"/>
      <c r="AF144" s="47"/>
    </row>
    <row r="145" spans="1:32" s="29" customFormat="1" ht="69.95" hidden="1" customHeight="1">
      <c r="A145" s="29" t="s">
        <v>3990</v>
      </c>
      <c r="B145" s="29" t="s">
        <v>3769</v>
      </c>
      <c r="C145" s="40" t="s">
        <v>36</v>
      </c>
      <c r="D145" s="40"/>
      <c r="E145" s="57" t="s">
        <v>63</v>
      </c>
      <c r="F145" s="57" t="s">
        <v>63</v>
      </c>
      <c r="G145" s="29" t="s">
        <v>655</v>
      </c>
      <c r="J145" s="29">
        <f t="shared" si="10"/>
        <v>1</v>
      </c>
      <c r="K145" s="42">
        <v>138</v>
      </c>
      <c r="L145" s="43" t="s">
        <v>656</v>
      </c>
      <c r="M145" s="44" t="s">
        <v>405</v>
      </c>
      <c r="N145" s="44" t="s">
        <v>456</v>
      </c>
      <c r="O145" s="44" t="str">
        <f t="shared" si="9"/>
        <v>PE-L1-3C6-05</v>
      </c>
      <c r="P145" s="45" t="s">
        <v>654</v>
      </c>
      <c r="Q145" s="44">
        <v>230</v>
      </c>
      <c r="R145" s="44" t="s">
        <v>428</v>
      </c>
      <c r="S145" s="101">
        <v>30</v>
      </c>
      <c r="T145" s="46" t="s">
        <v>4083</v>
      </c>
      <c r="U145" s="46" t="s">
        <v>3990</v>
      </c>
      <c r="V145" s="46" t="s">
        <v>3991</v>
      </c>
      <c r="W145" s="46" t="s">
        <v>55</v>
      </c>
      <c r="X145" s="172" t="s">
        <v>9167</v>
      </c>
      <c r="Y145" s="46" t="s">
        <v>4264</v>
      </c>
      <c r="Z145" s="46" t="s">
        <v>4267</v>
      </c>
      <c r="AA145" s="46" t="s">
        <v>3957</v>
      </c>
      <c r="AB145" s="172" t="s">
        <v>9167</v>
      </c>
      <c r="AC145" s="48" t="s">
        <v>3958</v>
      </c>
      <c r="AD145" s="30"/>
      <c r="AE145" s="197"/>
      <c r="AF145" s="47"/>
    </row>
    <row r="146" spans="1:32" s="29" customFormat="1" ht="69.95" hidden="1" customHeight="1">
      <c r="A146" s="29" t="s">
        <v>3953</v>
      </c>
      <c r="B146" s="29" t="s">
        <v>3769</v>
      </c>
      <c r="C146" s="40" t="s">
        <v>38</v>
      </c>
      <c r="D146" s="40"/>
      <c r="E146" s="57" t="s">
        <v>8572</v>
      </c>
      <c r="F146" s="57" t="s">
        <v>8572</v>
      </c>
      <c r="G146" s="29" t="s">
        <v>657</v>
      </c>
      <c r="J146" s="29">
        <f t="shared" si="10"/>
        <v>1</v>
      </c>
      <c r="K146" s="42">
        <v>139</v>
      </c>
      <c r="L146" s="43" t="s">
        <v>658</v>
      </c>
      <c r="M146" s="44" t="s">
        <v>405</v>
      </c>
      <c r="N146" s="44" t="s">
        <v>426</v>
      </c>
      <c r="O146" s="44" t="str">
        <f t="shared" si="9"/>
        <v>PE-L1-3C4-26</v>
      </c>
      <c r="P146" s="45">
        <v>0.5</v>
      </c>
      <c r="Q146" s="44">
        <v>230</v>
      </c>
      <c r="R146" s="44" t="s">
        <v>428</v>
      </c>
      <c r="S146" s="101">
        <v>70</v>
      </c>
      <c r="T146" s="46" t="s">
        <v>4083</v>
      </c>
      <c r="U146" s="46" t="s">
        <v>3953</v>
      </c>
      <c r="V146" s="46" t="s">
        <v>3954</v>
      </c>
      <c r="W146" s="46" t="s">
        <v>55</v>
      </c>
      <c r="X146" s="172" t="s">
        <v>9167</v>
      </c>
      <c r="Y146" s="46" t="s">
        <v>4268</v>
      </c>
      <c r="Z146" s="46" t="s">
        <v>8571</v>
      </c>
      <c r="AA146" s="46" t="s">
        <v>3957</v>
      </c>
      <c r="AB146" s="172" t="s">
        <v>9167</v>
      </c>
      <c r="AC146" s="48" t="s">
        <v>53</v>
      </c>
      <c r="AD146" s="30"/>
      <c r="AE146" s="197"/>
      <c r="AF146" s="47"/>
    </row>
    <row r="147" spans="1:32" s="29" customFormat="1" ht="69.95" hidden="1" customHeight="1">
      <c r="A147" s="29" t="s">
        <v>3990</v>
      </c>
      <c r="B147" s="29" t="s">
        <v>3769</v>
      </c>
      <c r="C147" s="40" t="s">
        <v>38</v>
      </c>
      <c r="D147" s="40"/>
      <c r="E147" s="57" t="s">
        <v>8572</v>
      </c>
      <c r="F147" s="57" t="s">
        <v>8572</v>
      </c>
      <c r="G147" s="29" t="s">
        <v>659</v>
      </c>
      <c r="J147" s="29">
        <f t="shared" si="10"/>
        <v>1</v>
      </c>
      <c r="K147" s="42">
        <v>140</v>
      </c>
      <c r="L147" s="43" t="s">
        <v>660</v>
      </c>
      <c r="M147" s="44" t="s">
        <v>405</v>
      </c>
      <c r="N147" s="44" t="s">
        <v>426</v>
      </c>
      <c r="O147" s="44" t="str">
        <f t="shared" si="9"/>
        <v>PE-L1-3C4-26</v>
      </c>
      <c r="P147" s="45">
        <v>2</v>
      </c>
      <c r="Q147" s="44">
        <v>230</v>
      </c>
      <c r="R147" s="44" t="s">
        <v>428</v>
      </c>
      <c r="S147" s="101">
        <v>70</v>
      </c>
      <c r="T147" s="46" t="s">
        <v>4083</v>
      </c>
      <c r="U147" s="46" t="s">
        <v>3990</v>
      </c>
      <c r="V147" s="46" t="s">
        <v>3991</v>
      </c>
      <c r="W147" s="46" t="s">
        <v>55</v>
      </c>
      <c r="X147" s="172" t="s">
        <v>9167</v>
      </c>
      <c r="Y147" s="46" t="s">
        <v>4270</v>
      </c>
      <c r="Z147" s="46" t="s">
        <v>8587</v>
      </c>
      <c r="AA147" s="46" t="s">
        <v>3957</v>
      </c>
      <c r="AB147" s="172" t="s">
        <v>9167</v>
      </c>
      <c r="AC147" s="48" t="s">
        <v>53</v>
      </c>
      <c r="AD147" s="30"/>
      <c r="AE147" s="197"/>
      <c r="AF147" s="47"/>
    </row>
    <row r="148" spans="1:32" s="29" customFormat="1" ht="69.95" hidden="1" customHeight="1">
      <c r="A148" s="29" t="s">
        <v>4075</v>
      </c>
      <c r="B148" s="29" t="s">
        <v>3769</v>
      </c>
      <c r="C148" s="40" t="s">
        <v>43</v>
      </c>
      <c r="D148" s="40"/>
      <c r="E148" s="56" t="s">
        <v>77</v>
      </c>
      <c r="F148" s="56" t="s">
        <v>77</v>
      </c>
      <c r="G148" s="29" t="s">
        <v>661</v>
      </c>
      <c r="J148" s="29">
        <f t="shared" si="10"/>
        <v>1</v>
      </c>
      <c r="K148" s="42">
        <v>141</v>
      </c>
      <c r="L148" s="43" t="s">
        <v>662</v>
      </c>
      <c r="M148" s="44" t="s">
        <v>405</v>
      </c>
      <c r="N148" s="44" t="s">
        <v>613</v>
      </c>
      <c r="O148" s="44" t="str">
        <f t="shared" si="9"/>
        <v>PE-L1-2C6-01</v>
      </c>
      <c r="P148" s="45">
        <v>1</v>
      </c>
      <c r="Q148" s="44">
        <v>220</v>
      </c>
      <c r="R148" s="44" t="s">
        <v>509</v>
      </c>
      <c r="S148" s="101">
        <v>100</v>
      </c>
      <c r="T148" s="46" t="s">
        <v>4083</v>
      </c>
      <c r="U148" s="46" t="s">
        <v>4075</v>
      </c>
      <c r="V148" s="46" t="s">
        <v>4076</v>
      </c>
      <c r="W148" s="46" t="s">
        <v>391</v>
      </c>
      <c r="X148" s="131" t="s">
        <v>8942</v>
      </c>
      <c r="Y148" s="46" t="s">
        <v>4272</v>
      </c>
      <c r="Z148" s="46" t="s">
        <v>4273</v>
      </c>
      <c r="AA148" s="46" t="s">
        <v>4073</v>
      </c>
      <c r="AB148" s="131" t="s">
        <v>8942</v>
      </c>
      <c r="AC148" s="48" t="s">
        <v>4274</v>
      </c>
      <c r="AD148" s="30"/>
      <c r="AE148" s="197"/>
      <c r="AF148" s="47"/>
    </row>
    <row r="149" spans="1:32" s="29" customFormat="1" ht="69.95" hidden="1" customHeight="1">
      <c r="A149" s="29" t="s">
        <v>4079</v>
      </c>
      <c r="B149" s="29" t="s">
        <v>3769</v>
      </c>
      <c r="C149" s="40">
        <v>10</v>
      </c>
      <c r="D149" s="40"/>
      <c r="E149" s="57" t="s">
        <v>54</v>
      </c>
      <c r="F149" s="57" t="s">
        <v>54</v>
      </c>
      <c r="G149" s="29" t="s">
        <v>663</v>
      </c>
      <c r="J149" s="29">
        <f t="shared" si="10"/>
        <v>1</v>
      </c>
      <c r="K149" s="42">
        <v>142</v>
      </c>
      <c r="L149" s="43" t="s">
        <v>664</v>
      </c>
      <c r="M149" s="44" t="s">
        <v>405</v>
      </c>
      <c r="N149" s="44" t="s">
        <v>426</v>
      </c>
      <c r="O149" s="44" t="str">
        <f t="shared" si="9"/>
        <v>PE-L1-3C4-01</v>
      </c>
      <c r="P149" s="45">
        <v>1</v>
      </c>
      <c r="Q149" s="44">
        <v>230</v>
      </c>
      <c r="R149" s="44" t="s">
        <v>49</v>
      </c>
      <c r="S149" s="101">
        <v>80</v>
      </c>
      <c r="T149" s="46" t="s">
        <v>4083</v>
      </c>
      <c r="U149" s="46" t="s">
        <v>4079</v>
      </c>
      <c r="V149" s="46" t="s">
        <v>4080</v>
      </c>
      <c r="W149" s="46" t="s">
        <v>391</v>
      </c>
      <c r="X149" s="172" t="s">
        <v>9167</v>
      </c>
      <c r="Y149" s="46" t="s">
        <v>4275</v>
      </c>
      <c r="Z149" s="46" t="s">
        <v>4276</v>
      </c>
      <c r="AA149" s="46" t="s">
        <v>4073</v>
      </c>
      <c r="AB149" s="172" t="s">
        <v>9167</v>
      </c>
      <c r="AC149" s="48" t="s">
        <v>4277</v>
      </c>
      <c r="AD149" s="30"/>
      <c r="AE149" s="197"/>
      <c r="AF149" s="47"/>
    </row>
    <row r="150" spans="1:32" s="29" customFormat="1" ht="69.95" hidden="1" customHeight="1">
      <c r="A150" s="29" t="s">
        <v>4278</v>
      </c>
      <c r="B150" s="29" t="s">
        <v>3769</v>
      </c>
      <c r="C150" s="40" t="s">
        <v>32</v>
      </c>
      <c r="D150" s="40"/>
      <c r="E150" s="57" t="s">
        <v>8294</v>
      </c>
      <c r="F150" s="57" t="s">
        <v>8294</v>
      </c>
      <c r="G150" s="29" t="s">
        <v>665</v>
      </c>
      <c r="J150" s="29">
        <f t="shared" si="10"/>
        <v>1</v>
      </c>
      <c r="K150" s="42">
        <v>143</v>
      </c>
      <c r="L150" s="43" t="s">
        <v>666</v>
      </c>
      <c r="M150" s="44" t="s">
        <v>405</v>
      </c>
      <c r="N150" s="44" t="s">
        <v>508</v>
      </c>
      <c r="O150" s="44" t="str">
        <f t="shared" si="9"/>
        <v>PE-L1-2C25-01</v>
      </c>
      <c r="P150" s="45">
        <v>11</v>
      </c>
      <c r="Q150" s="44">
        <v>220</v>
      </c>
      <c r="R150" s="44" t="s">
        <v>509</v>
      </c>
      <c r="S150" s="101">
        <v>30</v>
      </c>
      <c r="T150" s="46" t="s">
        <v>4068</v>
      </c>
      <c r="U150" s="46" t="s">
        <v>4278</v>
      </c>
      <c r="V150" s="46" t="s">
        <v>4279</v>
      </c>
      <c r="W150" s="46" t="s">
        <v>397</v>
      </c>
      <c r="X150" s="172" t="s">
        <v>8942</v>
      </c>
      <c r="Y150" s="46" t="s">
        <v>4280</v>
      </c>
      <c r="Z150" s="46" t="s">
        <v>4072</v>
      </c>
      <c r="AA150" s="46" t="s">
        <v>397</v>
      </c>
      <c r="AB150" s="172" t="s">
        <v>8942</v>
      </c>
      <c r="AC150" s="48" t="s">
        <v>4282</v>
      </c>
      <c r="AD150" s="30"/>
      <c r="AE150" s="197"/>
      <c r="AF150" s="47"/>
    </row>
    <row r="151" spans="1:32" s="29" customFormat="1" ht="69.95" hidden="1" customHeight="1">
      <c r="A151" s="29" t="s">
        <v>4283</v>
      </c>
      <c r="B151" s="29" t="s">
        <v>3769</v>
      </c>
      <c r="C151" s="40" t="s">
        <v>32</v>
      </c>
      <c r="D151" s="40"/>
      <c r="E151" s="57" t="s">
        <v>8294</v>
      </c>
      <c r="F151" s="57" t="s">
        <v>8294</v>
      </c>
      <c r="G151" s="29" t="s">
        <v>667</v>
      </c>
      <c r="J151" s="29">
        <f t="shared" si="10"/>
        <v>1</v>
      </c>
      <c r="K151" s="42">
        <v>144</v>
      </c>
      <c r="L151" s="43" t="s">
        <v>668</v>
      </c>
      <c r="M151" s="44" t="s">
        <v>405</v>
      </c>
      <c r="N151" s="44" t="s">
        <v>508</v>
      </c>
      <c r="O151" s="44" t="str">
        <f t="shared" si="9"/>
        <v>PE-L1-2C25-01</v>
      </c>
      <c r="P151" s="45">
        <v>11</v>
      </c>
      <c r="Q151" s="44">
        <v>220</v>
      </c>
      <c r="R151" s="44" t="s">
        <v>509</v>
      </c>
      <c r="S151" s="101">
        <v>40</v>
      </c>
      <c r="T151" s="46" t="s">
        <v>4068</v>
      </c>
      <c r="U151" s="46" t="s">
        <v>4283</v>
      </c>
      <c r="V151" s="46" t="s">
        <v>4284</v>
      </c>
      <c r="W151" s="46" t="s">
        <v>397</v>
      </c>
      <c r="X151" s="172" t="s">
        <v>8942</v>
      </c>
      <c r="Y151" s="46" t="s">
        <v>4280</v>
      </c>
      <c r="Z151" s="46" t="s">
        <v>4077</v>
      </c>
      <c r="AA151" s="46" t="s">
        <v>397</v>
      </c>
      <c r="AB151" s="172" t="s">
        <v>8942</v>
      </c>
      <c r="AC151" s="48" t="s">
        <v>4285</v>
      </c>
      <c r="AD151" s="30"/>
      <c r="AE151" s="197"/>
      <c r="AF151" s="47"/>
    </row>
    <row r="152" spans="1:32" s="29" customFormat="1" ht="69.95" hidden="1" customHeight="1">
      <c r="A152" s="29" t="s">
        <v>4286</v>
      </c>
      <c r="B152" s="29" t="s">
        <v>3769</v>
      </c>
      <c r="C152" s="40" t="s">
        <v>32</v>
      </c>
      <c r="D152" s="40"/>
      <c r="E152" s="57" t="s">
        <v>8296</v>
      </c>
      <c r="F152" s="57" t="s">
        <v>8296</v>
      </c>
      <c r="G152" s="29" t="s">
        <v>669</v>
      </c>
      <c r="J152" s="29">
        <f t="shared" si="10"/>
        <v>1</v>
      </c>
      <c r="K152" s="42">
        <v>145</v>
      </c>
      <c r="L152" s="43" t="s">
        <v>670</v>
      </c>
      <c r="M152" s="44" t="s">
        <v>405</v>
      </c>
      <c r="N152" s="44" t="s">
        <v>426</v>
      </c>
      <c r="O152" s="44" t="str">
        <f t="shared" si="9"/>
        <v>PE-L1-3C4-23</v>
      </c>
      <c r="P152" s="45">
        <v>2</v>
      </c>
      <c r="Q152" s="44">
        <v>230</v>
      </c>
      <c r="R152" s="44" t="s">
        <v>49</v>
      </c>
      <c r="S152" s="101">
        <v>20</v>
      </c>
      <c r="T152" s="46" t="s">
        <v>4068</v>
      </c>
      <c r="U152" s="46" t="s">
        <v>4286</v>
      </c>
      <c r="V152" s="46" t="s">
        <v>4287</v>
      </c>
      <c r="W152" s="46" t="s">
        <v>397</v>
      </c>
      <c r="X152" s="172" t="s">
        <v>9167</v>
      </c>
      <c r="Y152" s="46" t="s">
        <v>4280</v>
      </c>
      <c r="Z152" s="46" t="s">
        <v>4081</v>
      </c>
      <c r="AA152" s="46" t="s">
        <v>4281</v>
      </c>
      <c r="AB152" s="172" t="s">
        <v>9167</v>
      </c>
      <c r="AC152" s="48" t="s">
        <v>4288</v>
      </c>
      <c r="AD152" s="30"/>
      <c r="AE152" s="197"/>
      <c r="AF152" s="47"/>
    </row>
    <row r="153" spans="1:32" s="29" customFormat="1" ht="69.95" hidden="1" customHeight="1">
      <c r="A153" s="29" t="s">
        <v>4289</v>
      </c>
      <c r="B153" s="29" t="s">
        <v>3769</v>
      </c>
      <c r="C153" s="40" t="s">
        <v>32</v>
      </c>
      <c r="D153" s="40"/>
      <c r="E153" s="58" t="s">
        <v>8644</v>
      </c>
      <c r="F153" s="58" t="s">
        <v>8644</v>
      </c>
      <c r="G153" s="29" t="s">
        <v>671</v>
      </c>
      <c r="J153" s="29">
        <f t="shared" si="10"/>
        <v>1</v>
      </c>
      <c r="K153" s="42">
        <v>146</v>
      </c>
      <c r="L153" s="43" t="s">
        <v>672</v>
      </c>
      <c r="M153" s="44" t="s">
        <v>405</v>
      </c>
      <c r="N153" s="44" t="s">
        <v>8647</v>
      </c>
      <c r="O153" s="44" t="str">
        <f t="shared" si="9"/>
        <v>PE-L1-5C95/50-03</v>
      </c>
      <c r="P153" s="45">
        <v>45</v>
      </c>
      <c r="Q153" s="44">
        <v>400</v>
      </c>
      <c r="R153" s="44" t="s">
        <v>412</v>
      </c>
      <c r="S153" s="101">
        <v>240</v>
      </c>
      <c r="T153" s="46" t="s">
        <v>4083</v>
      </c>
      <c r="U153" s="46" t="s">
        <v>4289</v>
      </c>
      <c r="V153" s="46" t="s">
        <v>4290</v>
      </c>
      <c r="W153" s="46" t="s">
        <v>347</v>
      </c>
      <c r="X153" s="47" t="s">
        <v>9310</v>
      </c>
      <c r="Y153" s="46" t="s">
        <v>4291</v>
      </c>
      <c r="Z153" s="46" t="s">
        <v>4087</v>
      </c>
      <c r="AA153" s="46" t="s">
        <v>4281</v>
      </c>
      <c r="AB153" s="47" t="s">
        <v>9310</v>
      </c>
      <c r="AC153" s="48" t="s">
        <v>4292</v>
      </c>
      <c r="AD153" s="30"/>
      <c r="AE153" s="197"/>
      <c r="AF153" s="47"/>
    </row>
    <row r="154" spans="1:32" s="29" customFormat="1" ht="69.95" hidden="1" customHeight="1">
      <c r="A154" s="29" t="s">
        <v>4286</v>
      </c>
      <c r="B154" s="29" t="s">
        <v>3769</v>
      </c>
      <c r="C154" s="40" t="s">
        <v>36</v>
      </c>
      <c r="D154" s="40"/>
      <c r="E154" s="57" t="s">
        <v>235</v>
      </c>
      <c r="F154" s="57" t="s">
        <v>235</v>
      </c>
      <c r="G154" s="29" t="s">
        <v>674</v>
      </c>
      <c r="J154" s="29">
        <f t="shared" si="10"/>
        <v>1</v>
      </c>
      <c r="K154" s="42">
        <v>147</v>
      </c>
      <c r="L154" s="43" t="s">
        <v>675</v>
      </c>
      <c r="M154" s="44" t="s">
        <v>405</v>
      </c>
      <c r="N154" s="44" t="s">
        <v>426</v>
      </c>
      <c r="O154" s="44" t="str">
        <f t="shared" si="9"/>
        <v>PE-L1-3C4-19</v>
      </c>
      <c r="P154" s="45">
        <v>2</v>
      </c>
      <c r="Q154" s="44">
        <v>230</v>
      </c>
      <c r="R154" s="44" t="s">
        <v>49</v>
      </c>
      <c r="S154" s="101">
        <v>20</v>
      </c>
      <c r="T154" s="46" t="s">
        <v>4083</v>
      </c>
      <c r="U154" s="46" t="s">
        <v>4286</v>
      </c>
      <c r="V154" s="46" t="s">
        <v>4287</v>
      </c>
      <c r="W154" s="46" t="s">
        <v>397</v>
      </c>
      <c r="X154" s="172" t="s">
        <v>9167</v>
      </c>
      <c r="Y154" s="46" t="s">
        <v>4291</v>
      </c>
      <c r="Z154" s="46" t="s">
        <v>4089</v>
      </c>
      <c r="AA154" s="46" t="s">
        <v>4281</v>
      </c>
      <c r="AB154" s="172" t="s">
        <v>9167</v>
      </c>
      <c r="AC154" s="48" t="s">
        <v>4288</v>
      </c>
      <c r="AD154" s="30"/>
      <c r="AE154" s="197"/>
      <c r="AF154" s="47"/>
    </row>
    <row r="155" spans="1:32" s="29" customFormat="1" ht="69.95" hidden="1" customHeight="1">
      <c r="A155" s="29" t="s">
        <v>4289</v>
      </c>
      <c r="B155" s="29" t="s">
        <v>3769</v>
      </c>
      <c r="C155" s="40" t="s">
        <v>36</v>
      </c>
      <c r="D155" s="40"/>
      <c r="E155" s="58" t="s">
        <v>186</v>
      </c>
      <c r="F155" s="58" t="s">
        <v>186</v>
      </c>
      <c r="G155" s="29" t="s">
        <v>676</v>
      </c>
      <c r="J155" s="29">
        <f t="shared" si="10"/>
        <v>1</v>
      </c>
      <c r="K155" s="42">
        <v>148</v>
      </c>
      <c r="L155" s="43" t="s">
        <v>677</v>
      </c>
      <c r="M155" s="44" t="s">
        <v>405</v>
      </c>
      <c r="N155" s="44" t="s">
        <v>521</v>
      </c>
      <c r="O155" s="44" t="str">
        <f t="shared" si="9"/>
        <v>PE-L1-4C70/35-03</v>
      </c>
      <c r="P155" s="45">
        <v>37</v>
      </c>
      <c r="Q155" s="44">
        <v>400</v>
      </c>
      <c r="R155" s="44" t="s">
        <v>412</v>
      </c>
      <c r="S155" s="101">
        <v>260</v>
      </c>
      <c r="T155" s="46" t="s">
        <v>4068</v>
      </c>
      <c r="U155" s="46" t="s">
        <v>4289</v>
      </c>
      <c r="V155" s="46" t="s">
        <v>4290</v>
      </c>
      <c r="W155" s="46" t="s">
        <v>347</v>
      </c>
      <c r="X155" s="47" t="s">
        <v>9305</v>
      </c>
      <c r="Y155" s="46" t="s">
        <v>4293</v>
      </c>
      <c r="Z155" s="46" t="s">
        <v>4091</v>
      </c>
      <c r="AA155" s="46" t="s">
        <v>4281</v>
      </c>
      <c r="AB155" s="47" t="s">
        <v>9305</v>
      </c>
      <c r="AC155" s="48" t="s">
        <v>4294</v>
      </c>
      <c r="AD155" s="30"/>
      <c r="AE155" s="197"/>
      <c r="AF155" s="47"/>
    </row>
    <row r="156" spans="1:32" s="29" customFormat="1" ht="72.75" hidden="1" customHeight="1">
      <c r="A156" s="29" t="s">
        <v>4295</v>
      </c>
      <c r="B156" s="29" t="s">
        <v>3769</v>
      </c>
      <c r="C156" s="40" t="s">
        <v>32</v>
      </c>
      <c r="D156" s="40"/>
      <c r="E156" s="58" t="s">
        <v>186</v>
      </c>
      <c r="F156" s="58" t="s">
        <v>186</v>
      </c>
      <c r="G156" s="29" t="s">
        <v>678</v>
      </c>
      <c r="J156" s="29">
        <f t="shared" si="10"/>
        <v>1</v>
      </c>
      <c r="K156" s="42">
        <v>149</v>
      </c>
      <c r="L156" s="43" t="s">
        <v>679</v>
      </c>
      <c r="M156" s="44" t="s">
        <v>405</v>
      </c>
      <c r="N156" s="44" t="s">
        <v>521</v>
      </c>
      <c r="O156" s="44" t="str">
        <f t="shared" si="9"/>
        <v>PE-L1-4C70/35-03</v>
      </c>
      <c r="P156" s="45">
        <v>37</v>
      </c>
      <c r="Q156" s="44">
        <v>400</v>
      </c>
      <c r="R156" s="44" t="s">
        <v>412</v>
      </c>
      <c r="S156" s="101">
        <v>290</v>
      </c>
      <c r="T156" s="46" t="s">
        <v>4068</v>
      </c>
      <c r="U156" s="46" t="s">
        <v>4295</v>
      </c>
      <c r="V156" s="46" t="s">
        <v>4296</v>
      </c>
      <c r="W156" s="46" t="s">
        <v>347</v>
      </c>
      <c r="X156" s="47" t="s">
        <v>9305</v>
      </c>
      <c r="Y156" s="46" t="s">
        <v>4297</v>
      </c>
      <c r="Z156" s="46" t="s">
        <v>4096</v>
      </c>
      <c r="AA156" s="46" t="s">
        <v>4281</v>
      </c>
      <c r="AB156" s="47" t="s">
        <v>9305</v>
      </c>
      <c r="AC156" s="48" t="s">
        <v>4298</v>
      </c>
      <c r="AD156" s="30"/>
      <c r="AE156" s="197"/>
      <c r="AF156" s="47"/>
    </row>
    <row r="157" spans="1:32" s="29" customFormat="1" ht="69.95" hidden="1" customHeight="1">
      <c r="A157" s="29" t="s">
        <v>4289</v>
      </c>
      <c r="B157" s="29" t="s">
        <v>3769</v>
      </c>
      <c r="C157" s="40" t="s">
        <v>38</v>
      </c>
      <c r="D157" s="40"/>
      <c r="E157" s="57" t="s">
        <v>8296</v>
      </c>
      <c r="F157" s="57" t="s">
        <v>8296</v>
      </c>
      <c r="G157" s="29" t="s">
        <v>680</v>
      </c>
      <c r="J157" s="29">
        <f t="shared" si="10"/>
        <v>1</v>
      </c>
      <c r="K157" s="42">
        <v>150</v>
      </c>
      <c r="L157" s="43" t="s">
        <v>681</v>
      </c>
      <c r="M157" s="44" t="s">
        <v>405</v>
      </c>
      <c r="N157" s="44" t="s">
        <v>426</v>
      </c>
      <c r="O157" s="44" t="str">
        <f t="shared" si="9"/>
        <v>PE-L1-3C4-23</v>
      </c>
      <c r="P157" s="45">
        <v>0.2</v>
      </c>
      <c r="Q157" s="44">
        <v>230</v>
      </c>
      <c r="R157" s="44" t="s">
        <v>412</v>
      </c>
      <c r="S157" s="101">
        <v>290</v>
      </c>
      <c r="T157" s="46" t="s">
        <v>4068</v>
      </c>
      <c r="U157" s="46" t="s">
        <v>4289</v>
      </c>
      <c r="V157" s="46" t="s">
        <v>4290</v>
      </c>
      <c r="W157" s="46" t="s">
        <v>347</v>
      </c>
      <c r="X157" s="172" t="s">
        <v>9167</v>
      </c>
      <c r="Y157" s="46" t="s">
        <v>4293</v>
      </c>
      <c r="Z157" s="46" t="s">
        <v>4099</v>
      </c>
      <c r="AA157" s="46" t="s">
        <v>4281</v>
      </c>
      <c r="AB157" s="172" t="s">
        <v>9167</v>
      </c>
      <c r="AC157" s="48" t="s">
        <v>4299</v>
      </c>
      <c r="AD157" s="30"/>
      <c r="AE157" s="197"/>
      <c r="AF157" s="47"/>
    </row>
    <row r="158" spans="1:32" s="29" customFormat="1" ht="69.95" hidden="1" customHeight="1">
      <c r="A158" s="29" t="s">
        <v>4295</v>
      </c>
      <c r="B158" s="29" t="s">
        <v>3769</v>
      </c>
      <c r="C158" s="40" t="s">
        <v>36</v>
      </c>
      <c r="D158" s="40"/>
      <c r="E158" s="57" t="s">
        <v>8296</v>
      </c>
      <c r="F158" s="57" t="s">
        <v>8296</v>
      </c>
      <c r="G158" s="29" t="s">
        <v>682</v>
      </c>
      <c r="J158" s="29">
        <f t="shared" si="10"/>
        <v>1</v>
      </c>
      <c r="K158" s="42">
        <v>151</v>
      </c>
      <c r="L158" s="43" t="s">
        <v>683</v>
      </c>
      <c r="M158" s="44" t="s">
        <v>405</v>
      </c>
      <c r="N158" s="44" t="s">
        <v>426</v>
      </c>
      <c r="O158" s="44" t="str">
        <f t="shared" si="9"/>
        <v>PE-L1-3C4-23</v>
      </c>
      <c r="P158" s="45">
        <v>0.2</v>
      </c>
      <c r="Q158" s="44">
        <v>230</v>
      </c>
      <c r="R158" s="44" t="s">
        <v>412</v>
      </c>
      <c r="S158" s="44">
        <v>290</v>
      </c>
      <c r="T158" s="46" t="s">
        <v>4068</v>
      </c>
      <c r="U158" s="46" t="s">
        <v>4295</v>
      </c>
      <c r="V158" s="46" t="s">
        <v>4296</v>
      </c>
      <c r="W158" s="46" t="s">
        <v>347</v>
      </c>
      <c r="X158" s="172" t="s">
        <v>9167</v>
      </c>
      <c r="Y158" s="46" t="s">
        <v>4297</v>
      </c>
      <c r="Z158" s="46" t="s">
        <v>4102</v>
      </c>
      <c r="AA158" s="46" t="s">
        <v>4281</v>
      </c>
      <c r="AB158" s="172" t="s">
        <v>9167</v>
      </c>
      <c r="AC158" s="48" t="s">
        <v>4298</v>
      </c>
      <c r="AD158" s="30"/>
      <c r="AE158" s="197"/>
      <c r="AF158" s="47"/>
    </row>
    <row r="159" spans="1:32" s="29" customFormat="1" ht="69.95" hidden="1" customHeight="1">
      <c r="A159" s="29" t="s">
        <v>4295</v>
      </c>
      <c r="B159" s="29" t="s">
        <v>3769</v>
      </c>
      <c r="C159" s="40" t="s">
        <v>38</v>
      </c>
      <c r="D159" s="40"/>
      <c r="E159" s="57" t="s">
        <v>8298</v>
      </c>
      <c r="F159" s="57" t="s">
        <v>8298</v>
      </c>
      <c r="G159" s="29" t="s">
        <v>684</v>
      </c>
      <c r="J159" s="29">
        <f t="shared" si="10"/>
        <v>1</v>
      </c>
      <c r="K159" s="42">
        <v>152</v>
      </c>
      <c r="L159" s="43" t="s">
        <v>685</v>
      </c>
      <c r="M159" s="44" t="s">
        <v>405</v>
      </c>
      <c r="N159" s="44" t="s">
        <v>8605</v>
      </c>
      <c r="O159" s="44" t="str">
        <f t="shared" si="9"/>
        <v>PE-L1-4C50/25-03</v>
      </c>
      <c r="P159" s="45">
        <v>30</v>
      </c>
      <c r="Q159" s="44">
        <v>400</v>
      </c>
      <c r="R159" s="44" t="s">
        <v>412</v>
      </c>
      <c r="S159" s="44">
        <v>260</v>
      </c>
      <c r="T159" s="46" t="s">
        <v>4068</v>
      </c>
      <c r="U159" s="46" t="s">
        <v>4295</v>
      </c>
      <c r="V159" s="46" t="s">
        <v>4296</v>
      </c>
      <c r="W159" s="46" t="s">
        <v>347</v>
      </c>
      <c r="X159" s="47" t="s">
        <v>9305</v>
      </c>
      <c r="Y159" s="46" t="s">
        <v>4300</v>
      </c>
      <c r="Z159" s="46" t="s">
        <v>8606</v>
      </c>
      <c r="AA159" s="46" t="s">
        <v>4281</v>
      </c>
      <c r="AB159" s="47" t="s">
        <v>9305</v>
      </c>
      <c r="AC159" s="48" t="s">
        <v>4301</v>
      </c>
      <c r="AD159" s="30"/>
      <c r="AE159" s="197"/>
      <c r="AF159" s="47"/>
    </row>
    <row r="160" spans="1:32" s="29" customFormat="1" ht="69.95" hidden="1" customHeight="1">
      <c r="A160" s="29" t="s">
        <v>4289</v>
      </c>
      <c r="B160" s="29" t="s">
        <v>3769</v>
      </c>
      <c r="C160" s="40" t="s">
        <v>40</v>
      </c>
      <c r="D160" s="40"/>
      <c r="E160" s="57" t="s">
        <v>8298</v>
      </c>
      <c r="F160" s="57" t="s">
        <v>8298</v>
      </c>
      <c r="G160" s="29" t="s">
        <v>687</v>
      </c>
      <c r="J160" s="29">
        <f t="shared" si="10"/>
        <v>1</v>
      </c>
      <c r="K160" s="42">
        <v>153</v>
      </c>
      <c r="L160" s="43" t="s">
        <v>688</v>
      </c>
      <c r="M160" s="44" t="s">
        <v>405</v>
      </c>
      <c r="N160" s="44" t="s">
        <v>686</v>
      </c>
      <c r="O160" s="44" t="str">
        <f t="shared" si="9"/>
        <v>PE-L1-4C50/25-03</v>
      </c>
      <c r="P160" s="45">
        <v>30</v>
      </c>
      <c r="Q160" s="44">
        <v>400</v>
      </c>
      <c r="R160" s="44" t="s">
        <v>412</v>
      </c>
      <c r="S160" s="44">
        <v>290</v>
      </c>
      <c r="T160" s="46" t="s">
        <v>4068</v>
      </c>
      <c r="U160" s="46" t="s">
        <v>4289</v>
      </c>
      <c r="V160" s="46" t="s">
        <v>4290</v>
      </c>
      <c r="W160" s="46" t="s">
        <v>347</v>
      </c>
      <c r="X160" s="47" t="s">
        <v>9305</v>
      </c>
      <c r="Y160" s="46" t="s">
        <v>4302</v>
      </c>
      <c r="Z160" s="46" t="s">
        <v>4108</v>
      </c>
      <c r="AA160" s="46" t="s">
        <v>4281</v>
      </c>
      <c r="AB160" s="47" t="s">
        <v>9305</v>
      </c>
      <c r="AC160" s="48" t="s">
        <v>4303</v>
      </c>
      <c r="AD160" s="30"/>
      <c r="AE160" s="197"/>
      <c r="AF160" s="47"/>
    </row>
    <row r="161" spans="1:32" s="29" customFormat="1" ht="69.95" hidden="1" customHeight="1">
      <c r="A161" s="29" t="s">
        <v>4295</v>
      </c>
      <c r="B161" s="29" t="s">
        <v>3769</v>
      </c>
      <c r="C161" s="40" t="s">
        <v>40</v>
      </c>
      <c r="D161" s="40"/>
      <c r="E161" s="57" t="s">
        <v>8297</v>
      </c>
      <c r="F161" s="57" t="s">
        <v>8297</v>
      </c>
      <c r="G161" s="29" t="s">
        <v>689</v>
      </c>
      <c r="J161" s="29">
        <f t="shared" si="10"/>
        <v>1</v>
      </c>
      <c r="K161" s="42">
        <v>154</v>
      </c>
      <c r="L161" s="43" t="s">
        <v>690</v>
      </c>
      <c r="M161" s="44" t="s">
        <v>405</v>
      </c>
      <c r="N161" s="44" t="s">
        <v>426</v>
      </c>
      <c r="O161" s="44" t="str">
        <f t="shared" si="9"/>
        <v>PE-L1-3C4-24</v>
      </c>
      <c r="P161" s="45">
        <v>0.2</v>
      </c>
      <c r="Q161" s="44">
        <v>230</v>
      </c>
      <c r="R161" s="44" t="s">
        <v>412</v>
      </c>
      <c r="S161" s="44">
        <v>260</v>
      </c>
      <c r="T161" s="46" t="s">
        <v>4068</v>
      </c>
      <c r="U161" s="46" t="s">
        <v>4295</v>
      </c>
      <c r="V161" s="46" t="s">
        <v>4296</v>
      </c>
      <c r="W161" s="46" t="s">
        <v>347</v>
      </c>
      <c r="X161" s="172" t="s">
        <v>9167</v>
      </c>
      <c r="Y161" s="46" t="s">
        <v>4300</v>
      </c>
      <c r="Z161" s="46" t="s">
        <v>4110</v>
      </c>
      <c r="AA161" s="46" t="s">
        <v>4281</v>
      </c>
      <c r="AB161" s="172" t="s">
        <v>9167</v>
      </c>
      <c r="AC161" s="48" t="s">
        <v>4304</v>
      </c>
      <c r="AD161" s="30"/>
      <c r="AE161" s="197"/>
      <c r="AF161" s="47"/>
    </row>
    <row r="162" spans="1:32" s="29" customFormat="1" ht="69.95" hidden="1" customHeight="1">
      <c r="A162" s="29" t="s">
        <v>4289</v>
      </c>
      <c r="B162" s="29" t="s">
        <v>3769</v>
      </c>
      <c r="C162" s="40" t="s">
        <v>41</v>
      </c>
      <c r="D162" s="40"/>
      <c r="E162" s="56" t="s">
        <v>8297</v>
      </c>
      <c r="F162" s="56" t="s">
        <v>8297</v>
      </c>
      <c r="G162" s="29" t="s">
        <v>691</v>
      </c>
      <c r="J162" s="29">
        <f t="shared" si="10"/>
        <v>1</v>
      </c>
      <c r="K162" s="42">
        <v>155</v>
      </c>
      <c r="L162" s="43" t="s">
        <v>692</v>
      </c>
      <c r="M162" s="44" t="s">
        <v>405</v>
      </c>
      <c r="N162" s="44" t="s">
        <v>426</v>
      </c>
      <c r="O162" s="44" t="str">
        <f t="shared" si="9"/>
        <v>PE-L1-3C4-24</v>
      </c>
      <c r="P162" s="45">
        <v>0.2</v>
      </c>
      <c r="Q162" s="44">
        <v>230</v>
      </c>
      <c r="R162" s="44" t="s">
        <v>412</v>
      </c>
      <c r="S162" s="44">
        <v>260</v>
      </c>
      <c r="T162" s="46" t="s">
        <v>4068</v>
      </c>
      <c r="U162" s="46" t="s">
        <v>4289</v>
      </c>
      <c r="V162" s="46" t="s">
        <v>4290</v>
      </c>
      <c r="W162" s="46" t="s">
        <v>347</v>
      </c>
      <c r="X162" s="172" t="s">
        <v>9167</v>
      </c>
      <c r="Y162" s="46" t="s">
        <v>4302</v>
      </c>
      <c r="Z162" s="46" t="s">
        <v>4112</v>
      </c>
      <c r="AA162" s="46" t="s">
        <v>4281</v>
      </c>
      <c r="AB162" s="172" t="s">
        <v>9167</v>
      </c>
      <c r="AC162" s="48" t="s">
        <v>4305</v>
      </c>
      <c r="AD162" s="30"/>
      <c r="AE162" s="197"/>
      <c r="AF162" s="47"/>
    </row>
    <row r="163" spans="1:32" s="29" customFormat="1" ht="69.95" hidden="1" customHeight="1">
      <c r="A163" s="29" t="s">
        <v>395</v>
      </c>
      <c r="B163" s="29" t="s">
        <v>3769</v>
      </c>
      <c r="C163" s="40" t="s">
        <v>32</v>
      </c>
      <c r="D163" s="40"/>
      <c r="E163" s="57" t="s">
        <v>8165</v>
      </c>
      <c r="F163" s="57" t="s">
        <v>8326</v>
      </c>
      <c r="G163" s="29" t="s">
        <v>693</v>
      </c>
      <c r="J163" s="29">
        <f t="shared" si="10"/>
        <v>1</v>
      </c>
      <c r="K163" s="42">
        <v>156</v>
      </c>
      <c r="L163" s="43" t="s">
        <v>694</v>
      </c>
      <c r="M163" s="44" t="s">
        <v>405</v>
      </c>
      <c r="N163" s="44" t="s">
        <v>536</v>
      </c>
      <c r="O163" s="44" t="str">
        <f t="shared" si="9"/>
        <v>PE-L1-4C4-24</v>
      </c>
      <c r="P163" s="45">
        <v>5</v>
      </c>
      <c r="Q163" s="44">
        <v>400</v>
      </c>
      <c r="R163" s="44" t="s">
        <v>49</v>
      </c>
      <c r="S163" s="44">
        <v>60</v>
      </c>
      <c r="T163" s="46" t="s">
        <v>4068</v>
      </c>
      <c r="U163" s="46" t="s">
        <v>395</v>
      </c>
      <c r="V163" s="46" t="s">
        <v>396</v>
      </c>
      <c r="W163" s="46" t="s">
        <v>397</v>
      </c>
      <c r="X163" s="47" t="s">
        <v>9305</v>
      </c>
      <c r="Y163" s="46" t="s">
        <v>4306</v>
      </c>
      <c r="Z163" s="46" t="s">
        <v>4114</v>
      </c>
      <c r="AA163" s="46" t="s">
        <v>4281</v>
      </c>
      <c r="AB163" s="47" t="s">
        <v>9305</v>
      </c>
      <c r="AC163" s="48" t="s">
        <v>4307</v>
      </c>
      <c r="AD163" s="30"/>
      <c r="AE163" s="197"/>
      <c r="AF163" s="47"/>
    </row>
    <row r="164" spans="1:32" s="29" customFormat="1" ht="69.95" hidden="1" customHeight="1">
      <c r="A164" s="29" t="s">
        <v>395</v>
      </c>
      <c r="B164" s="29" t="s">
        <v>3769</v>
      </c>
      <c r="C164" s="40" t="s">
        <v>36</v>
      </c>
      <c r="D164" s="124" t="s">
        <v>9045</v>
      </c>
      <c r="E164" s="57" t="s">
        <v>8165</v>
      </c>
      <c r="F164" s="57" t="s">
        <v>8326</v>
      </c>
      <c r="G164" s="131" t="s">
        <v>9041</v>
      </c>
      <c r="H164" s="43" t="s">
        <v>9060</v>
      </c>
      <c r="J164" s="29">
        <f t="shared" si="10"/>
        <v>1</v>
      </c>
      <c r="K164" s="127">
        <v>157</v>
      </c>
      <c r="L164" s="123" t="s">
        <v>9043</v>
      </c>
      <c r="M164" s="44" t="s">
        <v>405</v>
      </c>
      <c r="N164" s="44" t="s">
        <v>536</v>
      </c>
      <c r="O164" s="44" t="str">
        <f t="shared" si="9"/>
        <v>PE-L1-4C4-24</v>
      </c>
      <c r="P164" s="45">
        <v>5.5</v>
      </c>
      <c r="Q164" s="44">
        <v>400</v>
      </c>
      <c r="R164" s="44" t="s">
        <v>49</v>
      </c>
      <c r="S164" s="44">
        <v>80</v>
      </c>
      <c r="T164" s="46" t="s">
        <v>4068</v>
      </c>
      <c r="U164" s="122" t="s">
        <v>398</v>
      </c>
      <c r="V164" s="122" t="s">
        <v>9042</v>
      </c>
      <c r="W164" s="46" t="s">
        <v>397</v>
      </c>
      <c r="X164" s="47" t="s">
        <v>9305</v>
      </c>
      <c r="Y164" s="46" t="s">
        <v>4308</v>
      </c>
      <c r="Z164" s="46" t="s">
        <v>4117</v>
      </c>
      <c r="AA164" s="46" t="s">
        <v>4281</v>
      </c>
      <c r="AB164" s="47" t="s">
        <v>9305</v>
      </c>
      <c r="AC164" s="76" t="s">
        <v>9015</v>
      </c>
      <c r="AD164" s="30"/>
      <c r="AE164" s="197"/>
      <c r="AF164" s="47"/>
    </row>
    <row r="165" spans="1:32" s="29" customFormat="1" ht="69.95" hidden="1" customHeight="1">
      <c r="A165" s="29" t="s">
        <v>398</v>
      </c>
      <c r="B165" s="29" t="s">
        <v>3769</v>
      </c>
      <c r="C165" s="40" t="s">
        <v>32</v>
      </c>
      <c r="D165" s="124" t="s">
        <v>9045</v>
      </c>
      <c r="E165" s="57" t="s">
        <v>8165</v>
      </c>
      <c r="F165" s="57" t="s">
        <v>8326</v>
      </c>
      <c r="G165" s="131" t="s">
        <v>9059</v>
      </c>
      <c r="H165" s="43" t="s">
        <v>9061</v>
      </c>
      <c r="J165" s="29">
        <f t="shared" si="10"/>
        <v>1</v>
      </c>
      <c r="K165" s="127">
        <v>158</v>
      </c>
      <c r="L165" s="123" t="s">
        <v>695</v>
      </c>
      <c r="M165" s="44" t="s">
        <v>405</v>
      </c>
      <c r="N165" s="44" t="s">
        <v>536</v>
      </c>
      <c r="O165" s="44" t="str">
        <f t="shared" si="9"/>
        <v>PE-L1-4C4-24</v>
      </c>
      <c r="P165" s="45">
        <v>5.5</v>
      </c>
      <c r="Q165" s="44">
        <v>400</v>
      </c>
      <c r="R165" s="44" t="s">
        <v>49</v>
      </c>
      <c r="S165" s="44">
        <v>80</v>
      </c>
      <c r="T165" s="46" t="s">
        <v>4068</v>
      </c>
      <c r="U165" s="122" t="s">
        <v>395</v>
      </c>
      <c r="V165" s="122" t="s">
        <v>9044</v>
      </c>
      <c r="W165" s="46" t="s">
        <v>397</v>
      </c>
      <c r="X165" s="47" t="s">
        <v>9305</v>
      </c>
      <c r="Y165" s="46" t="s">
        <v>4309</v>
      </c>
      <c r="Z165" s="46" t="s">
        <v>4120</v>
      </c>
      <c r="AA165" s="46" t="s">
        <v>4281</v>
      </c>
      <c r="AB165" s="47" t="s">
        <v>9305</v>
      </c>
      <c r="AC165" s="76" t="s">
        <v>9016</v>
      </c>
      <c r="AD165" s="30"/>
      <c r="AE165" s="197"/>
      <c r="AF165" s="47"/>
    </row>
    <row r="166" spans="1:32" s="29" customFormat="1" ht="69.95" hidden="1" customHeight="1">
      <c r="A166" s="29" t="s">
        <v>398</v>
      </c>
      <c r="B166" s="29" t="s">
        <v>3769</v>
      </c>
      <c r="C166" s="40" t="s">
        <v>36</v>
      </c>
      <c r="D166" s="40"/>
      <c r="E166" s="57" t="s">
        <v>8302</v>
      </c>
      <c r="F166" s="57" t="s">
        <v>8302</v>
      </c>
      <c r="G166" s="29" t="s">
        <v>696</v>
      </c>
      <c r="J166" s="29">
        <f t="shared" si="10"/>
        <v>1</v>
      </c>
      <c r="K166" s="42">
        <v>159</v>
      </c>
      <c r="L166" s="43" t="s">
        <v>697</v>
      </c>
      <c r="M166" s="44" t="s">
        <v>405</v>
      </c>
      <c r="N166" s="44" t="s">
        <v>546</v>
      </c>
      <c r="O166" s="44" t="str">
        <f t="shared" si="9"/>
        <v>PE-L1-4C6-02</v>
      </c>
      <c r="P166" s="45">
        <v>17.02</v>
      </c>
      <c r="Q166" s="44">
        <v>400</v>
      </c>
      <c r="R166" s="44" t="s">
        <v>49</v>
      </c>
      <c r="S166" s="44">
        <v>90</v>
      </c>
      <c r="T166" s="46" t="s">
        <v>4122</v>
      </c>
      <c r="U166" s="46" t="s">
        <v>398</v>
      </c>
      <c r="V166" s="46" t="s">
        <v>399</v>
      </c>
      <c r="W166" s="46" t="s">
        <v>397</v>
      </c>
      <c r="X166" s="47" t="s">
        <v>9305</v>
      </c>
      <c r="Y166" s="46" t="s">
        <v>4310</v>
      </c>
      <c r="Z166" s="46" t="s">
        <v>4124</v>
      </c>
      <c r="AA166" s="46" t="s">
        <v>4281</v>
      </c>
      <c r="AB166" s="47" t="s">
        <v>9305</v>
      </c>
      <c r="AC166" s="48" t="s">
        <v>4311</v>
      </c>
      <c r="AD166" s="30"/>
      <c r="AE166" s="197"/>
      <c r="AF166" s="47"/>
    </row>
    <row r="167" spans="1:32" s="29" customFormat="1" ht="69.95" hidden="1" customHeight="1">
      <c r="A167" s="29" t="s">
        <v>395</v>
      </c>
      <c r="B167" s="29" t="s">
        <v>3769</v>
      </c>
      <c r="C167" s="40" t="s">
        <v>38</v>
      </c>
      <c r="D167" s="40"/>
      <c r="E167" s="56" t="s">
        <v>8839</v>
      </c>
      <c r="F167" s="56" t="s">
        <v>8839</v>
      </c>
      <c r="G167" s="29" t="s">
        <v>698</v>
      </c>
      <c r="J167" s="29">
        <f t="shared" si="10"/>
        <v>1</v>
      </c>
      <c r="K167" s="42">
        <v>160</v>
      </c>
      <c r="L167" s="43" t="s">
        <v>699</v>
      </c>
      <c r="M167" s="44" t="s">
        <v>405</v>
      </c>
      <c r="N167" s="44" t="s">
        <v>8628</v>
      </c>
      <c r="O167" s="90" t="str">
        <f>F167</f>
        <v>PE-L1-4C6-03</v>
      </c>
      <c r="P167" s="45">
        <v>17.02</v>
      </c>
      <c r="Q167" s="44">
        <v>400</v>
      </c>
      <c r="R167" s="44" t="s">
        <v>49</v>
      </c>
      <c r="S167" s="44">
        <v>90</v>
      </c>
      <c r="T167" s="46" t="s">
        <v>4122</v>
      </c>
      <c r="U167" s="46" t="s">
        <v>395</v>
      </c>
      <c r="V167" s="46" t="s">
        <v>396</v>
      </c>
      <c r="W167" s="46" t="s">
        <v>397</v>
      </c>
      <c r="X167" s="47" t="s">
        <v>9305</v>
      </c>
      <c r="Y167" s="46" t="s">
        <v>4312</v>
      </c>
      <c r="Z167" s="46" t="s">
        <v>4127</v>
      </c>
      <c r="AA167" s="46" t="s">
        <v>4281</v>
      </c>
      <c r="AB167" s="47" t="s">
        <v>9305</v>
      </c>
      <c r="AC167" s="48" t="s">
        <v>4313</v>
      </c>
      <c r="AD167" s="30"/>
      <c r="AE167" s="197"/>
      <c r="AF167" s="47"/>
    </row>
    <row r="168" spans="1:32" s="29" customFormat="1" ht="69.95" hidden="1" customHeight="1">
      <c r="A168" s="29" t="s">
        <v>4286</v>
      </c>
      <c r="B168" s="29" t="s">
        <v>3769</v>
      </c>
      <c r="C168" s="40" t="s">
        <v>38</v>
      </c>
      <c r="D168" s="124" t="s">
        <v>9045</v>
      </c>
      <c r="E168" s="57" t="s">
        <v>80</v>
      </c>
      <c r="F168" s="57" t="s">
        <v>80</v>
      </c>
      <c r="G168" s="116" t="s">
        <v>700</v>
      </c>
      <c r="J168" s="29">
        <f t="shared" si="10"/>
        <v>1</v>
      </c>
      <c r="K168" s="42">
        <v>161</v>
      </c>
      <c r="L168" s="43" t="s">
        <v>701</v>
      </c>
      <c r="M168" s="44" t="s">
        <v>405</v>
      </c>
      <c r="N168" s="44" t="s">
        <v>549</v>
      </c>
      <c r="O168" s="44" t="str">
        <f t="shared" ref="O168:O175" si="11">F168</f>
        <v>PE-L1-3C10-02</v>
      </c>
      <c r="P168" s="45">
        <v>3</v>
      </c>
      <c r="Q168" s="44">
        <v>230</v>
      </c>
      <c r="R168" s="44" t="s">
        <v>49</v>
      </c>
      <c r="S168" s="44">
        <v>90</v>
      </c>
      <c r="T168" s="46" t="s">
        <v>4122</v>
      </c>
      <c r="U168" s="46" t="s">
        <v>4286</v>
      </c>
      <c r="V168" s="46" t="s">
        <v>4287</v>
      </c>
      <c r="W168" s="46" t="s">
        <v>397</v>
      </c>
      <c r="X168" s="172" t="s">
        <v>9167</v>
      </c>
      <c r="Y168" s="46" t="s">
        <v>4314</v>
      </c>
      <c r="Z168" s="46" t="s">
        <v>4130</v>
      </c>
      <c r="AA168" s="46" t="s">
        <v>4281</v>
      </c>
      <c r="AB168" s="172" t="s">
        <v>9167</v>
      </c>
      <c r="AC168" s="48" t="s">
        <v>4315</v>
      </c>
      <c r="AD168" s="30"/>
      <c r="AE168" s="197"/>
      <c r="AF168" s="47"/>
    </row>
    <row r="169" spans="1:32" s="29" customFormat="1" ht="69.95" hidden="1" customHeight="1">
      <c r="A169" s="29" t="s">
        <v>4286</v>
      </c>
      <c r="B169" s="29" t="s">
        <v>3769</v>
      </c>
      <c r="C169" s="40" t="s">
        <v>40</v>
      </c>
      <c r="D169" s="124" t="s">
        <v>9045</v>
      </c>
      <c r="E169" s="56" t="s">
        <v>80</v>
      </c>
      <c r="F169" s="56" t="s">
        <v>80</v>
      </c>
      <c r="G169" s="116" t="s">
        <v>702</v>
      </c>
      <c r="J169" s="29">
        <f t="shared" si="10"/>
        <v>1</v>
      </c>
      <c r="K169" s="42">
        <v>162</v>
      </c>
      <c r="L169" s="43" t="s">
        <v>703</v>
      </c>
      <c r="M169" s="44" t="s">
        <v>405</v>
      </c>
      <c r="N169" s="44" t="s">
        <v>549</v>
      </c>
      <c r="O169" s="44" t="str">
        <f t="shared" si="11"/>
        <v>PE-L1-3C10-02</v>
      </c>
      <c r="P169" s="45">
        <v>3</v>
      </c>
      <c r="Q169" s="44">
        <v>230</v>
      </c>
      <c r="R169" s="44" t="s">
        <v>49</v>
      </c>
      <c r="S169" s="44">
        <v>90</v>
      </c>
      <c r="T169" s="46" t="s">
        <v>4122</v>
      </c>
      <c r="U169" s="46" t="s">
        <v>4286</v>
      </c>
      <c r="V169" s="46" t="s">
        <v>4287</v>
      </c>
      <c r="W169" s="46" t="s">
        <v>397</v>
      </c>
      <c r="X169" s="172" t="s">
        <v>9167</v>
      </c>
      <c r="Y169" s="46" t="s">
        <v>4316</v>
      </c>
      <c r="Z169" s="46" t="s">
        <v>4133</v>
      </c>
      <c r="AA169" s="46" t="s">
        <v>4281</v>
      </c>
      <c r="AB169" s="172" t="s">
        <v>9167</v>
      </c>
      <c r="AC169" s="48" t="s">
        <v>4315</v>
      </c>
      <c r="AD169" s="30"/>
      <c r="AE169" s="197"/>
      <c r="AF169" s="47"/>
    </row>
    <row r="170" spans="1:32" s="29" customFormat="1" ht="69.95" hidden="1" customHeight="1">
      <c r="A170" s="29" t="s">
        <v>398</v>
      </c>
      <c r="B170" s="29" t="s">
        <v>3769</v>
      </c>
      <c r="C170" s="40" t="s">
        <v>38</v>
      </c>
      <c r="D170" s="40"/>
      <c r="E170" s="57" t="s">
        <v>8574</v>
      </c>
      <c r="F170" s="57" t="s">
        <v>8574</v>
      </c>
      <c r="G170" s="29" t="s">
        <v>704</v>
      </c>
      <c r="J170" s="29">
        <f t="shared" si="10"/>
        <v>1</v>
      </c>
      <c r="K170" s="127">
        <v>163</v>
      </c>
      <c r="L170" s="43" t="s">
        <v>705</v>
      </c>
      <c r="M170" s="44" t="s">
        <v>405</v>
      </c>
      <c r="N170" s="44" t="s">
        <v>536</v>
      </c>
      <c r="O170" s="44" t="str">
        <f t="shared" si="11"/>
        <v>PE-L1-4C4-25</v>
      </c>
      <c r="P170" s="45">
        <v>6.9</v>
      </c>
      <c r="Q170" s="44">
        <v>400</v>
      </c>
      <c r="R170" s="44" t="s">
        <v>49</v>
      </c>
      <c r="S170" s="126">
        <v>100</v>
      </c>
      <c r="T170" s="46" t="s">
        <v>4083</v>
      </c>
      <c r="U170" s="46" t="s">
        <v>398</v>
      </c>
      <c r="V170" s="46" t="s">
        <v>399</v>
      </c>
      <c r="W170" s="46" t="s">
        <v>397</v>
      </c>
      <c r="X170" s="47" t="s">
        <v>9305</v>
      </c>
      <c r="Y170" s="46" t="s">
        <v>4317</v>
      </c>
      <c r="Z170" s="46" t="s">
        <v>8573</v>
      </c>
      <c r="AA170" s="46" t="s">
        <v>4281</v>
      </c>
      <c r="AB170" s="47" t="s">
        <v>9305</v>
      </c>
      <c r="AC170" s="76" t="s">
        <v>9180</v>
      </c>
      <c r="AD170" s="30"/>
      <c r="AE170" s="197"/>
      <c r="AF170" s="47"/>
    </row>
    <row r="171" spans="1:32" s="29" customFormat="1" ht="69.95" hidden="1" customHeight="1">
      <c r="A171" s="29" t="s">
        <v>395</v>
      </c>
      <c r="B171" s="29" t="s">
        <v>3769</v>
      </c>
      <c r="C171" s="40" t="s">
        <v>40</v>
      </c>
      <c r="D171" s="40"/>
      <c r="E171" s="57" t="s">
        <v>8574</v>
      </c>
      <c r="F171" s="57" t="s">
        <v>8574</v>
      </c>
      <c r="G171" s="29" t="s">
        <v>706</v>
      </c>
      <c r="J171" s="29">
        <f t="shared" si="10"/>
        <v>1</v>
      </c>
      <c r="K171" s="127">
        <v>164</v>
      </c>
      <c r="L171" s="43" t="s">
        <v>707</v>
      </c>
      <c r="M171" s="44" t="s">
        <v>405</v>
      </c>
      <c r="N171" s="44" t="s">
        <v>536</v>
      </c>
      <c r="O171" s="44" t="str">
        <f t="shared" si="11"/>
        <v>PE-L1-4C4-25</v>
      </c>
      <c r="P171" s="45">
        <v>6.9</v>
      </c>
      <c r="Q171" s="44">
        <v>400</v>
      </c>
      <c r="R171" s="44" t="s">
        <v>49</v>
      </c>
      <c r="S171" s="126">
        <v>100</v>
      </c>
      <c r="T171" s="46" t="s">
        <v>4083</v>
      </c>
      <c r="U171" s="46" t="s">
        <v>395</v>
      </c>
      <c r="V171" s="46" t="s">
        <v>396</v>
      </c>
      <c r="W171" s="46" t="s">
        <v>397</v>
      </c>
      <c r="X171" s="47" t="s">
        <v>9305</v>
      </c>
      <c r="Y171" s="46" t="s">
        <v>4318</v>
      </c>
      <c r="Z171" s="46" t="s">
        <v>4138</v>
      </c>
      <c r="AA171" s="46" t="s">
        <v>4281</v>
      </c>
      <c r="AB171" s="47" t="s">
        <v>9305</v>
      </c>
      <c r="AC171" s="76" t="s">
        <v>9181</v>
      </c>
      <c r="AD171" s="30"/>
      <c r="AE171" s="197"/>
      <c r="AF171" s="47"/>
    </row>
    <row r="172" spans="1:32" s="29" customFormat="1" ht="69.95" hidden="1" customHeight="1">
      <c r="A172" s="29" t="s">
        <v>395</v>
      </c>
      <c r="B172" s="29" t="s">
        <v>3769</v>
      </c>
      <c r="C172" s="40" t="s">
        <v>41</v>
      </c>
      <c r="D172" s="40"/>
      <c r="E172" s="57" t="s">
        <v>8165</v>
      </c>
      <c r="F172" s="57" t="s">
        <v>8326</v>
      </c>
      <c r="G172" s="29" t="s">
        <v>708</v>
      </c>
      <c r="J172" s="29">
        <f t="shared" si="10"/>
        <v>1</v>
      </c>
      <c r="K172" s="42">
        <v>165</v>
      </c>
      <c r="L172" s="43" t="s">
        <v>709</v>
      </c>
      <c r="M172" s="44" t="s">
        <v>405</v>
      </c>
      <c r="N172" s="44" t="s">
        <v>536</v>
      </c>
      <c r="O172" s="44" t="str">
        <f t="shared" si="11"/>
        <v>PE-L1-4C4-24</v>
      </c>
      <c r="P172" s="45">
        <v>0.37</v>
      </c>
      <c r="Q172" s="44">
        <v>400</v>
      </c>
      <c r="R172" s="44" t="s">
        <v>49</v>
      </c>
      <c r="S172" s="44">
        <v>80</v>
      </c>
      <c r="T172" s="46" t="s">
        <v>4068</v>
      </c>
      <c r="U172" s="46" t="s">
        <v>395</v>
      </c>
      <c r="V172" s="46" t="s">
        <v>396</v>
      </c>
      <c r="W172" s="46" t="s">
        <v>397</v>
      </c>
      <c r="X172" s="47" t="s">
        <v>9305</v>
      </c>
      <c r="Y172" s="46" t="s">
        <v>4319</v>
      </c>
      <c r="Z172" s="46" t="s">
        <v>4140</v>
      </c>
      <c r="AA172" s="46" t="s">
        <v>4281</v>
      </c>
      <c r="AB172" s="47" t="s">
        <v>9305</v>
      </c>
      <c r="AC172" s="48" t="s">
        <v>4320</v>
      </c>
      <c r="AD172" s="30"/>
      <c r="AE172" s="197"/>
      <c r="AF172" s="47"/>
    </row>
    <row r="173" spans="1:32" s="29" customFormat="1" ht="69.95" hidden="1" customHeight="1">
      <c r="A173" s="29" t="s">
        <v>398</v>
      </c>
      <c r="B173" s="29" t="s">
        <v>3769</v>
      </c>
      <c r="C173" s="40" t="s">
        <v>40</v>
      </c>
      <c r="D173" s="40"/>
      <c r="E173" s="57" t="s">
        <v>8165</v>
      </c>
      <c r="F173" s="57" t="s">
        <v>8326</v>
      </c>
      <c r="G173" s="29" t="s">
        <v>710</v>
      </c>
      <c r="J173" s="29">
        <f t="shared" si="10"/>
        <v>1</v>
      </c>
      <c r="K173" s="42">
        <v>166</v>
      </c>
      <c r="L173" s="43" t="s">
        <v>711</v>
      </c>
      <c r="M173" s="44" t="s">
        <v>405</v>
      </c>
      <c r="N173" s="44" t="s">
        <v>536</v>
      </c>
      <c r="O173" s="44" t="str">
        <f t="shared" si="11"/>
        <v>PE-L1-4C4-24</v>
      </c>
      <c r="P173" s="45">
        <v>0.37</v>
      </c>
      <c r="Q173" s="44">
        <v>400</v>
      </c>
      <c r="R173" s="44" t="s">
        <v>49</v>
      </c>
      <c r="S173" s="44">
        <v>80</v>
      </c>
      <c r="T173" s="46" t="s">
        <v>4068</v>
      </c>
      <c r="U173" s="46" t="s">
        <v>398</v>
      </c>
      <c r="V173" s="46" t="s">
        <v>399</v>
      </c>
      <c r="W173" s="46" t="s">
        <v>397</v>
      </c>
      <c r="X173" s="47" t="s">
        <v>9305</v>
      </c>
      <c r="Y173" s="46" t="s">
        <v>4321</v>
      </c>
      <c r="Z173" s="46" t="s">
        <v>4143</v>
      </c>
      <c r="AA173" s="46" t="s">
        <v>4281</v>
      </c>
      <c r="AB173" s="47" t="s">
        <v>9305</v>
      </c>
      <c r="AC173" s="48" t="s">
        <v>4322</v>
      </c>
      <c r="AD173" s="30"/>
      <c r="AE173" s="197"/>
      <c r="AF173" s="47"/>
    </row>
    <row r="174" spans="1:32" s="29" customFormat="1" ht="69.95" hidden="1" customHeight="1">
      <c r="A174" s="29" t="s">
        <v>398</v>
      </c>
      <c r="B174" s="29" t="s">
        <v>3769</v>
      </c>
      <c r="C174" s="40" t="s">
        <v>41</v>
      </c>
      <c r="D174" s="40"/>
      <c r="E174" s="57" t="s">
        <v>8302</v>
      </c>
      <c r="F174" s="57" t="s">
        <v>8302</v>
      </c>
      <c r="G174" s="29" t="s">
        <v>712</v>
      </c>
      <c r="J174" s="29">
        <f t="shared" si="10"/>
        <v>1</v>
      </c>
      <c r="K174" s="42">
        <v>167</v>
      </c>
      <c r="L174" s="43" t="s">
        <v>713</v>
      </c>
      <c r="M174" s="44" t="s">
        <v>405</v>
      </c>
      <c r="N174" s="44" t="s">
        <v>546</v>
      </c>
      <c r="O174" s="44" t="str">
        <f t="shared" si="11"/>
        <v>PE-L1-4C6-02</v>
      </c>
      <c r="P174" s="45">
        <v>11</v>
      </c>
      <c r="Q174" s="44">
        <v>400</v>
      </c>
      <c r="R174" s="44" t="s">
        <v>49</v>
      </c>
      <c r="S174" s="44">
        <v>130</v>
      </c>
      <c r="T174" s="46" t="s">
        <v>4083</v>
      </c>
      <c r="U174" s="46" t="s">
        <v>398</v>
      </c>
      <c r="V174" s="46" t="s">
        <v>399</v>
      </c>
      <c r="W174" s="46" t="s">
        <v>397</v>
      </c>
      <c r="X174" s="47" t="s">
        <v>9305</v>
      </c>
      <c r="Y174" s="46" t="s">
        <v>4323</v>
      </c>
      <c r="Z174" s="46" t="s">
        <v>4146</v>
      </c>
      <c r="AA174" s="46" t="s">
        <v>4147</v>
      </c>
      <c r="AB174" s="47" t="s">
        <v>9305</v>
      </c>
      <c r="AC174" s="48" t="s">
        <v>4324</v>
      </c>
      <c r="AD174" s="30"/>
      <c r="AE174" s="197"/>
      <c r="AF174" s="47"/>
    </row>
    <row r="175" spans="1:32" s="29" customFormat="1" ht="69.95" hidden="1" customHeight="1">
      <c r="A175" s="29" t="s">
        <v>395</v>
      </c>
      <c r="B175" s="29" t="s">
        <v>3769</v>
      </c>
      <c r="C175" s="40" t="s">
        <v>42</v>
      </c>
      <c r="D175" s="40"/>
      <c r="E175" s="56" t="s">
        <v>69</v>
      </c>
      <c r="F175" s="56" t="s">
        <v>69</v>
      </c>
      <c r="G175" s="29" t="s">
        <v>714</v>
      </c>
      <c r="J175" s="29">
        <f t="shared" si="10"/>
        <v>1</v>
      </c>
      <c r="K175" s="42">
        <v>168</v>
      </c>
      <c r="L175" s="43" t="s">
        <v>715</v>
      </c>
      <c r="M175" s="44" t="s">
        <v>405</v>
      </c>
      <c r="N175" s="44" t="s">
        <v>546</v>
      </c>
      <c r="O175" s="44" t="str">
        <f t="shared" si="11"/>
        <v>PE-L1-4C6-01</v>
      </c>
      <c r="P175" s="45">
        <v>11</v>
      </c>
      <c r="Q175" s="44">
        <v>400</v>
      </c>
      <c r="R175" s="44" t="s">
        <v>49</v>
      </c>
      <c r="S175" s="44">
        <v>140</v>
      </c>
      <c r="T175" s="46" t="s">
        <v>4083</v>
      </c>
      <c r="U175" s="46" t="s">
        <v>395</v>
      </c>
      <c r="V175" s="46" t="s">
        <v>396</v>
      </c>
      <c r="W175" s="46" t="s">
        <v>397</v>
      </c>
      <c r="X175" s="47" t="s">
        <v>9305</v>
      </c>
      <c r="Y175" s="46" t="s">
        <v>4325</v>
      </c>
      <c r="Z175" s="46" t="s">
        <v>4150</v>
      </c>
      <c r="AA175" s="46" t="s">
        <v>4147</v>
      </c>
      <c r="AB175" s="47" t="s">
        <v>9305</v>
      </c>
      <c r="AC175" s="48" t="s">
        <v>4326</v>
      </c>
      <c r="AD175" s="30"/>
      <c r="AE175" s="197"/>
      <c r="AF175" s="47"/>
    </row>
    <row r="176" spans="1:32" s="29" customFormat="1" ht="69.95" hidden="1" customHeight="1">
      <c r="A176" s="29" t="s">
        <v>398</v>
      </c>
      <c r="B176" s="29" t="s">
        <v>3769</v>
      </c>
      <c r="C176" s="40" t="s">
        <v>42</v>
      </c>
      <c r="D176" s="40"/>
      <c r="E176" s="94" t="s">
        <v>8756</v>
      </c>
      <c r="F176" s="94" t="s">
        <v>8756</v>
      </c>
      <c r="G176" s="29" t="s">
        <v>716</v>
      </c>
      <c r="J176" s="29">
        <f t="shared" si="10"/>
        <v>1</v>
      </c>
      <c r="K176" s="42">
        <v>169</v>
      </c>
      <c r="L176" s="43" t="s">
        <v>717</v>
      </c>
      <c r="M176" s="44" t="s">
        <v>405</v>
      </c>
      <c r="N176" s="44" t="s">
        <v>566</v>
      </c>
      <c r="O176" s="90" t="str">
        <f>F176</f>
        <v>PE-L1-5C4-03</v>
      </c>
      <c r="P176" s="45">
        <v>3.5</v>
      </c>
      <c r="Q176" s="44">
        <v>400</v>
      </c>
      <c r="R176" s="44" t="s">
        <v>49</v>
      </c>
      <c r="S176" s="44">
        <v>80</v>
      </c>
      <c r="T176" s="46" t="s">
        <v>4083</v>
      </c>
      <c r="U176" s="46" t="s">
        <v>398</v>
      </c>
      <c r="V176" s="46" t="s">
        <v>399</v>
      </c>
      <c r="W176" s="46" t="s">
        <v>397</v>
      </c>
      <c r="X176" s="47" t="s">
        <v>9310</v>
      </c>
      <c r="Y176" s="46" t="s">
        <v>4327</v>
      </c>
      <c r="Z176" s="46" t="s">
        <v>4153</v>
      </c>
      <c r="AA176" s="46" t="s">
        <v>4281</v>
      </c>
      <c r="AB176" s="47" t="s">
        <v>9310</v>
      </c>
      <c r="AC176" s="48" t="s">
        <v>4328</v>
      </c>
      <c r="AD176" s="30"/>
      <c r="AE176" s="197"/>
      <c r="AF176" s="47"/>
    </row>
    <row r="177" spans="1:32" s="29" customFormat="1" ht="69.95" hidden="1" customHeight="1">
      <c r="A177" s="29" t="s">
        <v>4286</v>
      </c>
      <c r="B177" s="29" t="s">
        <v>3769</v>
      </c>
      <c r="C177" s="40" t="s">
        <v>41</v>
      </c>
      <c r="D177" s="40"/>
      <c r="E177" s="93" t="s">
        <v>8755</v>
      </c>
      <c r="F177" s="93" t="s">
        <v>8755</v>
      </c>
      <c r="G177" s="29" t="s">
        <v>718</v>
      </c>
      <c r="J177" s="29">
        <f t="shared" si="10"/>
        <v>1</v>
      </c>
      <c r="K177" s="42">
        <v>170</v>
      </c>
      <c r="L177" s="43" t="s">
        <v>719</v>
      </c>
      <c r="M177" s="44" t="s">
        <v>405</v>
      </c>
      <c r="N177" s="44" t="s">
        <v>426</v>
      </c>
      <c r="O177" s="90" t="str">
        <f>F177</f>
        <v>PE-L1-3C4-29</v>
      </c>
      <c r="P177" s="45">
        <v>2</v>
      </c>
      <c r="Q177" s="44">
        <v>230</v>
      </c>
      <c r="R177" s="44" t="s">
        <v>49</v>
      </c>
      <c r="S177" s="44">
        <v>80</v>
      </c>
      <c r="T177" s="46" t="s">
        <v>4083</v>
      </c>
      <c r="U177" s="46" t="s">
        <v>4286</v>
      </c>
      <c r="V177" s="46" t="s">
        <v>4287</v>
      </c>
      <c r="W177" s="46" t="s">
        <v>397</v>
      </c>
      <c r="X177" s="172" t="s">
        <v>9167</v>
      </c>
      <c r="Y177" s="46" t="s">
        <v>4329</v>
      </c>
      <c r="Z177" s="46" t="s">
        <v>4156</v>
      </c>
      <c r="AA177" s="46" t="s">
        <v>4281</v>
      </c>
      <c r="AB177" s="172" t="s">
        <v>9167</v>
      </c>
      <c r="AC177" s="48" t="s">
        <v>4330</v>
      </c>
      <c r="AD177" s="30"/>
      <c r="AE177" s="197"/>
      <c r="AF177" s="47"/>
    </row>
    <row r="178" spans="1:32" s="29" customFormat="1" ht="69.95" hidden="1" customHeight="1">
      <c r="A178" s="29" t="s">
        <v>4331</v>
      </c>
      <c r="B178" s="29" t="s">
        <v>3769</v>
      </c>
      <c r="C178" s="40" t="s">
        <v>32</v>
      </c>
      <c r="D178" s="40"/>
      <c r="E178" s="57" t="s">
        <v>235</v>
      </c>
      <c r="F178" s="57" t="s">
        <v>235</v>
      </c>
      <c r="G178" s="29" t="s">
        <v>720</v>
      </c>
      <c r="J178" s="29">
        <f t="shared" si="10"/>
        <v>1</v>
      </c>
      <c r="K178" s="42">
        <v>171</v>
      </c>
      <c r="L178" s="43" t="s">
        <v>721</v>
      </c>
      <c r="M178" s="44" t="s">
        <v>405</v>
      </c>
      <c r="N178" s="44" t="s">
        <v>426</v>
      </c>
      <c r="O178" s="44" t="str">
        <f t="shared" ref="O178:O201" si="12">F178</f>
        <v>PE-L1-3C4-19</v>
      </c>
      <c r="P178" s="45">
        <v>2</v>
      </c>
      <c r="Q178" s="44">
        <v>230</v>
      </c>
      <c r="R178" s="44" t="s">
        <v>49</v>
      </c>
      <c r="S178" s="44">
        <v>70</v>
      </c>
      <c r="T178" s="46" t="s">
        <v>4083</v>
      </c>
      <c r="U178" s="46" t="s">
        <v>4331</v>
      </c>
      <c r="V178" s="46" t="s">
        <v>4332</v>
      </c>
      <c r="W178" s="46" t="s">
        <v>397</v>
      </c>
      <c r="X178" s="172" t="s">
        <v>9167</v>
      </c>
      <c r="Y178" s="46" t="s">
        <v>4333</v>
      </c>
      <c r="Z178" s="46" t="s">
        <v>4161</v>
      </c>
      <c r="AA178" s="46" t="s">
        <v>4281</v>
      </c>
      <c r="AB178" s="172" t="s">
        <v>9167</v>
      </c>
      <c r="AC178" s="48" t="s">
        <v>4334</v>
      </c>
      <c r="AD178" s="30"/>
      <c r="AE178" s="197"/>
      <c r="AF178" s="47"/>
    </row>
    <row r="179" spans="1:32" s="29" customFormat="1" ht="69.95" hidden="1" customHeight="1">
      <c r="A179" s="29" t="s">
        <v>395</v>
      </c>
      <c r="B179" s="29" t="s">
        <v>3769</v>
      </c>
      <c r="C179" s="40" t="s">
        <v>43</v>
      </c>
      <c r="D179" s="40"/>
      <c r="E179" s="57" t="s">
        <v>93</v>
      </c>
      <c r="F179" s="57" t="s">
        <v>93</v>
      </c>
      <c r="G179" s="29" t="s">
        <v>722</v>
      </c>
      <c r="J179" s="29">
        <f t="shared" si="10"/>
        <v>1</v>
      </c>
      <c r="K179" s="42">
        <v>172</v>
      </c>
      <c r="L179" s="43" t="s">
        <v>723</v>
      </c>
      <c r="M179" s="44" t="s">
        <v>405</v>
      </c>
      <c r="N179" s="44" t="s">
        <v>573</v>
      </c>
      <c r="O179" s="44" t="str">
        <f t="shared" si="12"/>
        <v>PE-L1-4C16-01</v>
      </c>
      <c r="P179" s="45">
        <v>25</v>
      </c>
      <c r="Q179" s="44">
        <v>400</v>
      </c>
      <c r="R179" s="44" t="s">
        <v>49</v>
      </c>
      <c r="S179" s="44">
        <v>80</v>
      </c>
      <c r="T179" s="46" t="s">
        <v>4068</v>
      </c>
      <c r="U179" s="46" t="s">
        <v>395</v>
      </c>
      <c r="V179" s="46" t="s">
        <v>396</v>
      </c>
      <c r="W179" s="46" t="s">
        <v>397</v>
      </c>
      <c r="X179" s="47" t="s">
        <v>9305</v>
      </c>
      <c r="Y179" s="46" t="s">
        <v>4335</v>
      </c>
      <c r="Z179" s="46" t="s">
        <v>4164</v>
      </c>
      <c r="AA179" s="46" t="s">
        <v>4281</v>
      </c>
      <c r="AB179" s="47" t="s">
        <v>9305</v>
      </c>
      <c r="AC179" s="48" t="s">
        <v>4336</v>
      </c>
      <c r="AD179" s="30"/>
      <c r="AE179" s="197"/>
      <c r="AF179" s="47"/>
    </row>
    <row r="180" spans="1:32" s="29" customFormat="1" ht="69.95" hidden="1" customHeight="1">
      <c r="A180" s="29" t="s">
        <v>398</v>
      </c>
      <c r="B180" s="29" t="s">
        <v>3769</v>
      </c>
      <c r="C180" s="40" t="s">
        <v>43</v>
      </c>
      <c r="D180" s="40"/>
      <c r="E180" s="58" t="s">
        <v>8315</v>
      </c>
      <c r="F180" s="58" t="s">
        <v>8315</v>
      </c>
      <c r="G180" s="29" t="s">
        <v>724</v>
      </c>
      <c r="J180" s="29">
        <f t="shared" si="10"/>
        <v>1</v>
      </c>
      <c r="K180" s="42">
        <v>173</v>
      </c>
      <c r="L180" s="43" t="s">
        <v>725</v>
      </c>
      <c r="M180" s="44" t="s">
        <v>405</v>
      </c>
      <c r="N180" s="44" t="s">
        <v>573</v>
      </c>
      <c r="O180" s="44" t="str">
        <f t="shared" si="12"/>
        <v>PE-L1-4C16-02</v>
      </c>
      <c r="P180" s="45">
        <v>25</v>
      </c>
      <c r="Q180" s="44">
        <v>400</v>
      </c>
      <c r="R180" s="44" t="s">
        <v>49</v>
      </c>
      <c r="S180" s="44">
        <v>80</v>
      </c>
      <c r="T180" s="46" t="s">
        <v>4068</v>
      </c>
      <c r="U180" s="46" t="s">
        <v>398</v>
      </c>
      <c r="V180" s="46" t="s">
        <v>399</v>
      </c>
      <c r="W180" s="46" t="s">
        <v>397</v>
      </c>
      <c r="X180" s="47" t="s">
        <v>9305</v>
      </c>
      <c r="Y180" s="46" t="s">
        <v>4337</v>
      </c>
      <c r="Z180" s="46" t="s">
        <v>4167</v>
      </c>
      <c r="AA180" s="46" t="s">
        <v>4281</v>
      </c>
      <c r="AB180" s="47" t="s">
        <v>9305</v>
      </c>
      <c r="AC180" s="48" t="s">
        <v>4338</v>
      </c>
      <c r="AD180" s="30"/>
      <c r="AE180" s="197"/>
      <c r="AF180" s="47"/>
    </row>
    <row r="181" spans="1:32" s="29" customFormat="1" ht="69.95" hidden="1" customHeight="1">
      <c r="A181" s="29" t="s">
        <v>4283</v>
      </c>
      <c r="B181" s="29" t="s">
        <v>3769</v>
      </c>
      <c r="C181" s="40" t="s">
        <v>36</v>
      </c>
      <c r="D181" s="40"/>
      <c r="E181" s="57" t="s">
        <v>81</v>
      </c>
      <c r="F181" s="57" t="s">
        <v>81</v>
      </c>
      <c r="G181" s="29" t="s">
        <v>726</v>
      </c>
      <c r="J181" s="29">
        <f t="shared" si="10"/>
        <v>1</v>
      </c>
      <c r="K181" s="42">
        <v>174</v>
      </c>
      <c r="L181" s="43" t="s">
        <v>727</v>
      </c>
      <c r="M181" s="44" t="s">
        <v>405</v>
      </c>
      <c r="N181" s="44" t="s">
        <v>578</v>
      </c>
      <c r="O181" s="44" t="str">
        <f t="shared" si="12"/>
        <v>PE-L1-2C4-04</v>
      </c>
      <c r="P181" s="45">
        <v>0.5</v>
      </c>
      <c r="Q181" s="44">
        <v>220</v>
      </c>
      <c r="R181" s="44" t="s">
        <v>509</v>
      </c>
      <c r="S181" s="44">
        <v>100</v>
      </c>
      <c r="T181" s="46" t="s">
        <v>4083</v>
      </c>
      <c r="U181" s="46" t="s">
        <v>4283</v>
      </c>
      <c r="V181" s="46" t="s">
        <v>4284</v>
      </c>
      <c r="W181" s="46" t="s">
        <v>397</v>
      </c>
      <c r="X181" s="172" t="s">
        <v>8942</v>
      </c>
      <c r="Y181" s="46" t="s">
        <v>4339</v>
      </c>
      <c r="Z181" s="46" t="s">
        <v>4170</v>
      </c>
      <c r="AA181" s="46" t="s">
        <v>4281</v>
      </c>
      <c r="AB181" s="172" t="s">
        <v>8942</v>
      </c>
      <c r="AC181" s="48" t="s">
        <v>4340</v>
      </c>
      <c r="AD181" s="30"/>
      <c r="AE181" s="197"/>
      <c r="AF181" s="47"/>
    </row>
    <row r="182" spans="1:32" s="29" customFormat="1" ht="69.95" hidden="1" customHeight="1">
      <c r="A182" s="29" t="s">
        <v>4278</v>
      </c>
      <c r="B182" s="29" t="s">
        <v>3769</v>
      </c>
      <c r="C182" s="40" t="s">
        <v>36</v>
      </c>
      <c r="D182" s="40"/>
      <c r="E182" s="57" t="s">
        <v>81</v>
      </c>
      <c r="F182" s="57" t="s">
        <v>81</v>
      </c>
      <c r="G182" s="29" t="s">
        <v>728</v>
      </c>
      <c r="J182" s="29">
        <f t="shared" si="10"/>
        <v>1</v>
      </c>
      <c r="K182" s="42">
        <v>175</v>
      </c>
      <c r="L182" s="43" t="s">
        <v>729</v>
      </c>
      <c r="M182" s="44" t="s">
        <v>405</v>
      </c>
      <c r="N182" s="44" t="s">
        <v>578</v>
      </c>
      <c r="O182" s="44" t="str">
        <f t="shared" si="12"/>
        <v>PE-L1-2C4-04</v>
      </c>
      <c r="P182" s="45">
        <v>0.5</v>
      </c>
      <c r="Q182" s="44">
        <v>220</v>
      </c>
      <c r="R182" s="44" t="s">
        <v>509</v>
      </c>
      <c r="S182" s="44">
        <v>120</v>
      </c>
      <c r="T182" s="46" t="s">
        <v>4083</v>
      </c>
      <c r="U182" s="46" t="s">
        <v>4278</v>
      </c>
      <c r="V182" s="46" t="s">
        <v>4279</v>
      </c>
      <c r="W182" s="46" t="s">
        <v>397</v>
      </c>
      <c r="X182" s="172" t="s">
        <v>8942</v>
      </c>
      <c r="Y182" s="46" t="s">
        <v>4339</v>
      </c>
      <c r="Z182" s="46" t="s">
        <v>4172</v>
      </c>
      <c r="AA182" s="46" t="s">
        <v>4281</v>
      </c>
      <c r="AB182" s="172" t="s">
        <v>8942</v>
      </c>
      <c r="AC182" s="48" t="s">
        <v>4341</v>
      </c>
      <c r="AD182" s="30"/>
      <c r="AE182" s="197"/>
      <c r="AF182" s="47"/>
    </row>
    <row r="183" spans="1:32" s="29" customFormat="1" ht="69.95" hidden="1" customHeight="1">
      <c r="A183" s="29" t="s">
        <v>4331</v>
      </c>
      <c r="B183" s="29" t="s">
        <v>3769</v>
      </c>
      <c r="C183" s="40" t="s">
        <v>36</v>
      </c>
      <c r="D183" s="40"/>
      <c r="E183" s="57" t="s">
        <v>63</v>
      </c>
      <c r="F183" s="57" t="s">
        <v>63</v>
      </c>
      <c r="G183" s="29" t="s">
        <v>730</v>
      </c>
      <c r="J183" s="29">
        <f t="shared" si="10"/>
        <v>1</v>
      </c>
      <c r="K183" s="42">
        <v>176</v>
      </c>
      <c r="L183" s="43" t="s">
        <v>731</v>
      </c>
      <c r="M183" s="44" t="s">
        <v>405</v>
      </c>
      <c r="N183" s="44" t="s">
        <v>456</v>
      </c>
      <c r="O183" s="44" t="str">
        <f t="shared" si="12"/>
        <v>PE-L1-3C6-05</v>
      </c>
      <c r="P183" s="45">
        <v>2</v>
      </c>
      <c r="Q183" s="44">
        <v>230</v>
      </c>
      <c r="R183" s="44" t="s">
        <v>49</v>
      </c>
      <c r="S183" s="44">
        <v>110</v>
      </c>
      <c r="T183" s="46" t="s">
        <v>4083</v>
      </c>
      <c r="U183" s="46" t="s">
        <v>4331</v>
      </c>
      <c r="V183" s="46" t="s">
        <v>4332</v>
      </c>
      <c r="W183" s="46" t="s">
        <v>397</v>
      </c>
      <c r="X183" s="172" t="s">
        <v>9167</v>
      </c>
      <c r="Y183" s="46" t="s">
        <v>4339</v>
      </c>
      <c r="Z183" s="46" t="s">
        <v>4174</v>
      </c>
      <c r="AA183" s="46" t="s">
        <v>4281</v>
      </c>
      <c r="AB183" s="172" t="s">
        <v>9167</v>
      </c>
      <c r="AC183" s="48" t="s">
        <v>4342</v>
      </c>
      <c r="AD183" s="30"/>
      <c r="AE183" s="197"/>
      <c r="AF183" s="47"/>
    </row>
    <row r="184" spans="1:32" s="29" customFormat="1" ht="69.95" hidden="1" customHeight="1">
      <c r="A184" s="29" t="s">
        <v>395</v>
      </c>
      <c r="B184" s="29" t="s">
        <v>3769</v>
      </c>
      <c r="C184" s="40" t="s">
        <v>73</v>
      </c>
      <c r="D184" s="40"/>
      <c r="E184" s="57" t="s">
        <v>82</v>
      </c>
      <c r="F184" s="57" t="s">
        <v>82</v>
      </c>
      <c r="G184" s="29" t="s">
        <v>732</v>
      </c>
      <c r="J184" s="29">
        <f t="shared" si="10"/>
        <v>1</v>
      </c>
      <c r="K184" s="42">
        <v>177</v>
      </c>
      <c r="L184" s="43" t="s">
        <v>733</v>
      </c>
      <c r="M184" s="44" t="s">
        <v>405</v>
      </c>
      <c r="N184" s="44" t="s">
        <v>536</v>
      </c>
      <c r="O184" s="44" t="str">
        <f t="shared" si="12"/>
        <v>PE-L1-4C4-18</v>
      </c>
      <c r="P184" s="45">
        <v>1.5</v>
      </c>
      <c r="Q184" s="44">
        <v>400</v>
      </c>
      <c r="R184" s="44" t="s">
        <v>49</v>
      </c>
      <c r="S184" s="44">
        <v>130</v>
      </c>
      <c r="T184" s="46" t="s">
        <v>4083</v>
      </c>
      <c r="U184" s="46" t="s">
        <v>395</v>
      </c>
      <c r="V184" s="46" t="s">
        <v>396</v>
      </c>
      <c r="W184" s="46" t="s">
        <v>397</v>
      </c>
      <c r="X184" s="47" t="s">
        <v>9305</v>
      </c>
      <c r="Y184" s="46" t="s">
        <v>4343</v>
      </c>
      <c r="Z184" s="46" t="s">
        <v>4177</v>
      </c>
      <c r="AA184" s="46" t="s">
        <v>4281</v>
      </c>
      <c r="AB184" s="47" t="s">
        <v>9305</v>
      </c>
      <c r="AC184" s="48" t="s">
        <v>4344</v>
      </c>
      <c r="AD184" s="30"/>
      <c r="AE184" s="197"/>
      <c r="AF184" s="47"/>
    </row>
    <row r="185" spans="1:32" s="29" customFormat="1" ht="69.95" hidden="1" customHeight="1">
      <c r="A185" s="29" t="s">
        <v>398</v>
      </c>
      <c r="B185" s="29" t="s">
        <v>3769</v>
      </c>
      <c r="C185" s="40" t="s">
        <v>73</v>
      </c>
      <c r="D185" s="40"/>
      <c r="E185" s="57" t="s">
        <v>82</v>
      </c>
      <c r="F185" s="57" t="s">
        <v>82</v>
      </c>
      <c r="G185" s="29" t="s">
        <v>734</v>
      </c>
      <c r="J185" s="29">
        <f t="shared" si="10"/>
        <v>1</v>
      </c>
      <c r="K185" s="42">
        <v>178</v>
      </c>
      <c r="L185" s="43" t="s">
        <v>735</v>
      </c>
      <c r="M185" s="44" t="s">
        <v>405</v>
      </c>
      <c r="N185" s="44" t="s">
        <v>536</v>
      </c>
      <c r="O185" s="44" t="str">
        <f t="shared" si="12"/>
        <v>PE-L1-4C4-18</v>
      </c>
      <c r="P185" s="45">
        <v>1.5</v>
      </c>
      <c r="Q185" s="44">
        <v>400</v>
      </c>
      <c r="R185" s="44" t="s">
        <v>49</v>
      </c>
      <c r="S185" s="44">
        <v>130</v>
      </c>
      <c r="T185" s="46" t="s">
        <v>4083</v>
      </c>
      <c r="U185" s="46" t="s">
        <v>398</v>
      </c>
      <c r="V185" s="46" t="s">
        <v>399</v>
      </c>
      <c r="W185" s="46" t="s">
        <v>397</v>
      </c>
      <c r="X185" s="47" t="s">
        <v>9305</v>
      </c>
      <c r="Y185" s="46" t="s">
        <v>4345</v>
      </c>
      <c r="Z185" s="46" t="s">
        <v>4180</v>
      </c>
      <c r="AA185" s="46" t="s">
        <v>4281</v>
      </c>
      <c r="AB185" s="47" t="s">
        <v>9305</v>
      </c>
      <c r="AC185" s="48" t="s">
        <v>4346</v>
      </c>
      <c r="AD185" s="30"/>
      <c r="AE185" s="197"/>
      <c r="AF185" s="47"/>
    </row>
    <row r="186" spans="1:32" s="29" customFormat="1" ht="69.95" hidden="1" customHeight="1">
      <c r="A186" s="29" t="s">
        <v>395</v>
      </c>
      <c r="B186" s="29" t="s">
        <v>3769</v>
      </c>
      <c r="C186" s="40" t="s">
        <v>75</v>
      </c>
      <c r="D186" s="40"/>
      <c r="E186" s="57" t="s">
        <v>82</v>
      </c>
      <c r="F186" s="57" t="s">
        <v>82</v>
      </c>
      <c r="G186" s="29" t="s">
        <v>736</v>
      </c>
      <c r="J186" s="29">
        <f t="shared" si="10"/>
        <v>1</v>
      </c>
      <c r="K186" s="42">
        <v>179</v>
      </c>
      <c r="L186" s="43" t="s">
        <v>737</v>
      </c>
      <c r="M186" s="44" t="s">
        <v>405</v>
      </c>
      <c r="N186" s="44" t="s">
        <v>536</v>
      </c>
      <c r="O186" s="44" t="str">
        <f t="shared" si="12"/>
        <v>PE-L1-4C4-18</v>
      </c>
      <c r="P186" s="45">
        <v>1.5</v>
      </c>
      <c r="Q186" s="44">
        <v>400</v>
      </c>
      <c r="R186" s="44" t="s">
        <v>49</v>
      </c>
      <c r="S186" s="44">
        <v>130</v>
      </c>
      <c r="T186" s="46" t="s">
        <v>4083</v>
      </c>
      <c r="U186" s="46" t="s">
        <v>395</v>
      </c>
      <c r="V186" s="46" t="s">
        <v>396</v>
      </c>
      <c r="W186" s="46" t="s">
        <v>397</v>
      </c>
      <c r="X186" s="47" t="s">
        <v>9305</v>
      </c>
      <c r="Y186" s="46" t="s">
        <v>4347</v>
      </c>
      <c r="Z186" s="46" t="s">
        <v>4183</v>
      </c>
      <c r="AA186" s="46" t="s">
        <v>4281</v>
      </c>
      <c r="AB186" s="47" t="s">
        <v>9305</v>
      </c>
      <c r="AC186" s="48" t="s">
        <v>4348</v>
      </c>
      <c r="AD186" s="30"/>
      <c r="AE186" s="197"/>
      <c r="AF186" s="47"/>
    </row>
    <row r="187" spans="1:32" s="29" customFormat="1" ht="69.95" hidden="1" customHeight="1">
      <c r="A187" s="29" t="s">
        <v>398</v>
      </c>
      <c r="B187" s="29" t="s">
        <v>3769</v>
      </c>
      <c r="C187" s="40" t="s">
        <v>75</v>
      </c>
      <c r="D187" s="40"/>
      <c r="E187" s="57" t="s">
        <v>82</v>
      </c>
      <c r="F187" s="57" t="s">
        <v>82</v>
      </c>
      <c r="G187" s="29" t="s">
        <v>738</v>
      </c>
      <c r="J187" s="29">
        <f t="shared" si="10"/>
        <v>1</v>
      </c>
      <c r="K187" s="42">
        <v>180</v>
      </c>
      <c r="L187" s="43" t="s">
        <v>739</v>
      </c>
      <c r="M187" s="44" t="s">
        <v>405</v>
      </c>
      <c r="N187" s="44" t="s">
        <v>536</v>
      </c>
      <c r="O187" s="44" t="str">
        <f t="shared" si="12"/>
        <v>PE-L1-4C4-18</v>
      </c>
      <c r="P187" s="45">
        <v>1.5</v>
      </c>
      <c r="Q187" s="44">
        <v>400</v>
      </c>
      <c r="R187" s="44" t="s">
        <v>49</v>
      </c>
      <c r="S187" s="44">
        <v>130</v>
      </c>
      <c r="T187" s="46" t="s">
        <v>4083</v>
      </c>
      <c r="U187" s="46" t="s">
        <v>398</v>
      </c>
      <c r="V187" s="46" t="s">
        <v>399</v>
      </c>
      <c r="W187" s="46" t="s">
        <v>397</v>
      </c>
      <c r="X187" s="47" t="s">
        <v>9305</v>
      </c>
      <c r="Y187" s="46" t="s">
        <v>4349</v>
      </c>
      <c r="Z187" s="46" t="s">
        <v>4186</v>
      </c>
      <c r="AA187" s="46" t="s">
        <v>4281</v>
      </c>
      <c r="AB187" s="47" t="s">
        <v>9305</v>
      </c>
      <c r="AC187" s="48" t="s">
        <v>4350</v>
      </c>
      <c r="AD187" s="30"/>
      <c r="AE187" s="197"/>
      <c r="AF187" s="47"/>
    </row>
    <row r="188" spans="1:32" s="29" customFormat="1" ht="69.95" hidden="1" customHeight="1">
      <c r="A188" s="29" t="s">
        <v>395</v>
      </c>
      <c r="B188" s="29" t="s">
        <v>3769</v>
      </c>
      <c r="C188" s="40">
        <v>10</v>
      </c>
      <c r="D188" s="40"/>
      <c r="E188" s="57" t="s">
        <v>82</v>
      </c>
      <c r="F188" s="57" t="s">
        <v>82</v>
      </c>
      <c r="G188" s="29" t="s">
        <v>740</v>
      </c>
      <c r="J188" s="29">
        <f t="shared" si="10"/>
        <v>1</v>
      </c>
      <c r="K188" s="42">
        <v>181</v>
      </c>
      <c r="L188" s="43" t="s">
        <v>741</v>
      </c>
      <c r="M188" s="44" t="s">
        <v>405</v>
      </c>
      <c r="N188" s="44" t="s">
        <v>536</v>
      </c>
      <c r="O188" s="44" t="str">
        <f t="shared" si="12"/>
        <v>PE-L1-4C4-18</v>
      </c>
      <c r="P188" s="45">
        <v>1.5</v>
      </c>
      <c r="Q188" s="44">
        <v>400</v>
      </c>
      <c r="R188" s="44" t="s">
        <v>49</v>
      </c>
      <c r="S188" s="44">
        <v>130</v>
      </c>
      <c r="T188" s="46" t="s">
        <v>4083</v>
      </c>
      <c r="U188" s="46" t="s">
        <v>395</v>
      </c>
      <c r="V188" s="46" t="s">
        <v>396</v>
      </c>
      <c r="W188" s="46" t="s">
        <v>397</v>
      </c>
      <c r="X188" s="47" t="s">
        <v>9305</v>
      </c>
      <c r="Y188" s="46" t="s">
        <v>4351</v>
      </c>
      <c r="Z188" s="46" t="s">
        <v>4189</v>
      </c>
      <c r="AA188" s="46" t="s">
        <v>4281</v>
      </c>
      <c r="AB188" s="47" t="s">
        <v>9305</v>
      </c>
      <c r="AC188" s="48" t="s">
        <v>4352</v>
      </c>
      <c r="AD188" s="30"/>
      <c r="AE188" s="197"/>
      <c r="AF188" s="47"/>
    </row>
    <row r="189" spans="1:32" s="29" customFormat="1" ht="69.95" hidden="1" customHeight="1">
      <c r="A189" s="29" t="s">
        <v>398</v>
      </c>
      <c r="B189" s="29" t="s">
        <v>3769</v>
      </c>
      <c r="C189" s="40">
        <v>10</v>
      </c>
      <c r="D189" s="40"/>
      <c r="E189" s="57" t="s">
        <v>82</v>
      </c>
      <c r="F189" s="57" t="s">
        <v>82</v>
      </c>
      <c r="G189" s="29" t="s">
        <v>742</v>
      </c>
      <c r="J189" s="29">
        <f t="shared" si="10"/>
        <v>1</v>
      </c>
      <c r="K189" s="42">
        <v>182</v>
      </c>
      <c r="L189" s="43" t="s">
        <v>743</v>
      </c>
      <c r="M189" s="44" t="s">
        <v>405</v>
      </c>
      <c r="N189" s="44" t="s">
        <v>536</v>
      </c>
      <c r="O189" s="44" t="str">
        <f t="shared" si="12"/>
        <v>PE-L1-4C4-18</v>
      </c>
      <c r="P189" s="45">
        <v>1.5</v>
      </c>
      <c r="Q189" s="44">
        <v>400</v>
      </c>
      <c r="R189" s="44" t="s">
        <v>49</v>
      </c>
      <c r="S189" s="44">
        <v>130</v>
      </c>
      <c r="T189" s="46" t="s">
        <v>4083</v>
      </c>
      <c r="U189" s="46" t="s">
        <v>398</v>
      </c>
      <c r="V189" s="46" t="s">
        <v>399</v>
      </c>
      <c r="W189" s="46" t="s">
        <v>397</v>
      </c>
      <c r="X189" s="47" t="s">
        <v>9305</v>
      </c>
      <c r="Y189" s="46" t="s">
        <v>4353</v>
      </c>
      <c r="Z189" s="46" t="s">
        <v>4192</v>
      </c>
      <c r="AA189" s="46" t="s">
        <v>4281</v>
      </c>
      <c r="AB189" s="47" t="s">
        <v>9305</v>
      </c>
      <c r="AC189" s="48" t="s">
        <v>4354</v>
      </c>
      <c r="AD189" s="30"/>
      <c r="AE189" s="197"/>
      <c r="AF189" s="47"/>
    </row>
    <row r="190" spans="1:32" s="29" customFormat="1" ht="69.95" hidden="1" customHeight="1">
      <c r="A190" s="29" t="s">
        <v>395</v>
      </c>
      <c r="B190" s="29" t="s">
        <v>3769</v>
      </c>
      <c r="C190" s="40">
        <v>11</v>
      </c>
      <c r="D190" s="40"/>
      <c r="E190" s="57" t="s">
        <v>8574</v>
      </c>
      <c r="F190" s="57" t="s">
        <v>8610</v>
      </c>
      <c r="G190" s="29" t="s">
        <v>744</v>
      </c>
      <c r="J190" s="29">
        <f t="shared" si="10"/>
        <v>1</v>
      </c>
      <c r="K190" s="42">
        <v>183</v>
      </c>
      <c r="L190" s="43" t="s">
        <v>745</v>
      </c>
      <c r="M190" s="44" t="s">
        <v>405</v>
      </c>
      <c r="N190" s="44" t="s">
        <v>8608</v>
      </c>
      <c r="O190" s="44" t="str">
        <f t="shared" si="12"/>
        <v>PE-L1-4C4-25</v>
      </c>
      <c r="P190" s="45">
        <v>1.5</v>
      </c>
      <c r="Q190" s="44">
        <v>400</v>
      </c>
      <c r="R190" s="44" t="s">
        <v>49</v>
      </c>
      <c r="S190" s="44">
        <v>110</v>
      </c>
      <c r="T190" s="46" t="s">
        <v>4083</v>
      </c>
      <c r="U190" s="46" t="s">
        <v>395</v>
      </c>
      <c r="V190" s="46" t="s">
        <v>396</v>
      </c>
      <c r="W190" s="46" t="s">
        <v>397</v>
      </c>
      <c r="X190" s="47" t="s">
        <v>9305</v>
      </c>
      <c r="Y190" s="46" t="s">
        <v>4355</v>
      </c>
      <c r="Z190" s="46" t="s">
        <v>4195</v>
      </c>
      <c r="AA190" s="46" t="s">
        <v>4281</v>
      </c>
      <c r="AB190" s="47" t="s">
        <v>9305</v>
      </c>
      <c r="AC190" s="48" t="s">
        <v>4356</v>
      </c>
      <c r="AD190" s="30"/>
      <c r="AE190" s="197"/>
      <c r="AF190" s="47"/>
    </row>
    <row r="191" spans="1:32" s="29" customFormat="1" ht="69.95" hidden="1" customHeight="1">
      <c r="A191" s="29" t="s">
        <v>398</v>
      </c>
      <c r="B191" s="29" t="s">
        <v>3769</v>
      </c>
      <c r="C191" s="40">
        <v>11</v>
      </c>
      <c r="D191" s="40"/>
      <c r="E191" s="57" t="s">
        <v>8574</v>
      </c>
      <c r="F191" s="57" t="s">
        <v>8610</v>
      </c>
      <c r="G191" s="29" t="s">
        <v>746</v>
      </c>
      <c r="J191" s="29">
        <f t="shared" si="10"/>
        <v>1</v>
      </c>
      <c r="K191" s="42">
        <v>184</v>
      </c>
      <c r="L191" s="43" t="s">
        <v>747</v>
      </c>
      <c r="M191" s="44" t="s">
        <v>405</v>
      </c>
      <c r="N191" s="44" t="s">
        <v>536</v>
      </c>
      <c r="O191" s="44" t="str">
        <f t="shared" si="12"/>
        <v>PE-L1-4C4-25</v>
      </c>
      <c r="P191" s="45">
        <v>1.5</v>
      </c>
      <c r="Q191" s="44">
        <v>400</v>
      </c>
      <c r="R191" s="44" t="s">
        <v>49</v>
      </c>
      <c r="S191" s="44">
        <v>120</v>
      </c>
      <c r="T191" s="46" t="s">
        <v>4083</v>
      </c>
      <c r="U191" s="46" t="s">
        <v>398</v>
      </c>
      <c r="V191" s="46" t="s">
        <v>399</v>
      </c>
      <c r="W191" s="46" t="s">
        <v>397</v>
      </c>
      <c r="X191" s="47" t="s">
        <v>9305</v>
      </c>
      <c r="Y191" s="46" t="s">
        <v>4357</v>
      </c>
      <c r="Z191" s="46" t="s">
        <v>4198</v>
      </c>
      <c r="AA191" s="46" t="s">
        <v>4281</v>
      </c>
      <c r="AB191" s="47" t="s">
        <v>9305</v>
      </c>
      <c r="AC191" s="48" t="s">
        <v>4358</v>
      </c>
      <c r="AD191" s="30"/>
      <c r="AE191" s="197"/>
      <c r="AF191" s="47"/>
    </row>
    <row r="192" spans="1:32" s="29" customFormat="1" ht="69.95" hidden="1" customHeight="1">
      <c r="A192" s="29" t="s">
        <v>398</v>
      </c>
      <c r="B192" s="29" t="s">
        <v>3769</v>
      </c>
      <c r="C192" s="40">
        <v>12</v>
      </c>
      <c r="D192" s="40"/>
      <c r="E192" s="57" t="s">
        <v>8574</v>
      </c>
      <c r="F192" s="57" t="s">
        <v>8610</v>
      </c>
      <c r="G192" s="29" t="s">
        <v>748</v>
      </c>
      <c r="J192" s="29">
        <f t="shared" si="10"/>
        <v>1</v>
      </c>
      <c r="K192" s="42">
        <v>185</v>
      </c>
      <c r="L192" s="43" t="s">
        <v>749</v>
      </c>
      <c r="M192" s="44" t="s">
        <v>405</v>
      </c>
      <c r="N192" s="44" t="s">
        <v>536</v>
      </c>
      <c r="O192" s="44" t="str">
        <f t="shared" si="12"/>
        <v>PE-L1-4C4-25</v>
      </c>
      <c r="P192" s="45">
        <v>1.5</v>
      </c>
      <c r="Q192" s="44">
        <v>400</v>
      </c>
      <c r="R192" s="44" t="s">
        <v>49</v>
      </c>
      <c r="S192" s="44">
        <v>110</v>
      </c>
      <c r="T192" s="46" t="s">
        <v>4083</v>
      </c>
      <c r="U192" s="46" t="s">
        <v>398</v>
      </c>
      <c r="V192" s="46" t="s">
        <v>399</v>
      </c>
      <c r="W192" s="46" t="s">
        <v>397</v>
      </c>
      <c r="X192" s="47" t="s">
        <v>9305</v>
      </c>
      <c r="Y192" s="46" t="s">
        <v>4359</v>
      </c>
      <c r="Z192" s="46" t="s">
        <v>4201</v>
      </c>
      <c r="AA192" s="46" t="s">
        <v>4281</v>
      </c>
      <c r="AB192" s="47" t="s">
        <v>9305</v>
      </c>
      <c r="AC192" s="48" t="s">
        <v>4360</v>
      </c>
      <c r="AD192" s="30"/>
      <c r="AE192" s="197"/>
      <c r="AF192" s="47"/>
    </row>
    <row r="193" spans="1:32" s="29" customFormat="1" ht="69.95" hidden="1" customHeight="1">
      <c r="A193" s="29" t="s">
        <v>398</v>
      </c>
      <c r="B193" s="29" t="s">
        <v>3769</v>
      </c>
      <c r="C193" s="40">
        <v>13</v>
      </c>
      <c r="D193" s="40"/>
      <c r="E193" s="57" t="s">
        <v>82</v>
      </c>
      <c r="F193" s="57" t="s">
        <v>82</v>
      </c>
      <c r="G193" s="29" t="s">
        <v>750</v>
      </c>
      <c r="J193" s="29">
        <f t="shared" si="10"/>
        <v>1</v>
      </c>
      <c r="K193" s="42">
        <v>186</v>
      </c>
      <c r="L193" s="43" t="s">
        <v>751</v>
      </c>
      <c r="M193" s="44" t="s">
        <v>405</v>
      </c>
      <c r="N193" s="44" t="s">
        <v>536</v>
      </c>
      <c r="O193" s="44" t="str">
        <f t="shared" si="12"/>
        <v>PE-L1-4C4-18</v>
      </c>
      <c r="P193" s="45">
        <v>1.5</v>
      </c>
      <c r="Q193" s="44">
        <v>400</v>
      </c>
      <c r="R193" s="44" t="s">
        <v>49</v>
      </c>
      <c r="S193" s="44">
        <v>130</v>
      </c>
      <c r="T193" s="46" t="s">
        <v>4083</v>
      </c>
      <c r="U193" s="46" t="s">
        <v>398</v>
      </c>
      <c r="V193" s="46" t="s">
        <v>399</v>
      </c>
      <c r="W193" s="46" t="s">
        <v>397</v>
      </c>
      <c r="X193" s="47" t="s">
        <v>9305</v>
      </c>
      <c r="Y193" s="46" t="s">
        <v>4361</v>
      </c>
      <c r="Z193" s="46" t="s">
        <v>4204</v>
      </c>
      <c r="AA193" s="46" t="s">
        <v>4281</v>
      </c>
      <c r="AB193" s="47" t="s">
        <v>9305</v>
      </c>
      <c r="AC193" s="48" t="s">
        <v>4362</v>
      </c>
      <c r="AD193" s="30"/>
      <c r="AE193" s="197"/>
      <c r="AF193" s="47"/>
    </row>
    <row r="194" spans="1:32" s="29" customFormat="1" ht="69.95" hidden="1" customHeight="1">
      <c r="A194" s="29" t="s">
        <v>395</v>
      </c>
      <c r="B194" s="29" t="s">
        <v>3769</v>
      </c>
      <c r="C194" s="40">
        <v>12</v>
      </c>
      <c r="D194" s="40"/>
      <c r="E194" s="57" t="s">
        <v>8574</v>
      </c>
      <c r="F194" s="57" t="s">
        <v>8610</v>
      </c>
      <c r="G194" s="29" t="s">
        <v>752</v>
      </c>
      <c r="J194" s="29">
        <f t="shared" si="10"/>
        <v>1</v>
      </c>
      <c r="K194" s="42">
        <v>187</v>
      </c>
      <c r="L194" s="43" t="s">
        <v>753</v>
      </c>
      <c r="M194" s="44" t="s">
        <v>405</v>
      </c>
      <c r="N194" s="44" t="s">
        <v>536</v>
      </c>
      <c r="O194" s="44" t="str">
        <f t="shared" si="12"/>
        <v>PE-L1-4C4-25</v>
      </c>
      <c r="P194" s="45">
        <v>1.5</v>
      </c>
      <c r="Q194" s="44">
        <v>400</v>
      </c>
      <c r="R194" s="44" t="s">
        <v>49</v>
      </c>
      <c r="S194" s="44">
        <v>130</v>
      </c>
      <c r="T194" s="46" t="s">
        <v>4083</v>
      </c>
      <c r="U194" s="46" t="s">
        <v>395</v>
      </c>
      <c r="V194" s="46" t="s">
        <v>396</v>
      </c>
      <c r="W194" s="46" t="s">
        <v>397</v>
      </c>
      <c r="X194" s="47" t="s">
        <v>9305</v>
      </c>
      <c r="Y194" s="46" t="s">
        <v>4363</v>
      </c>
      <c r="Z194" s="46" t="s">
        <v>4207</v>
      </c>
      <c r="AA194" s="46" t="s">
        <v>4281</v>
      </c>
      <c r="AB194" s="47" t="s">
        <v>9305</v>
      </c>
      <c r="AC194" s="48" t="s">
        <v>4364</v>
      </c>
      <c r="AD194" s="30"/>
      <c r="AE194" s="197"/>
      <c r="AF194" s="47"/>
    </row>
    <row r="195" spans="1:32" s="29" customFormat="1" ht="69.95" hidden="1" customHeight="1">
      <c r="A195" s="29" t="s">
        <v>395</v>
      </c>
      <c r="B195" s="29" t="s">
        <v>3769</v>
      </c>
      <c r="C195" s="40">
        <v>13</v>
      </c>
      <c r="D195" s="40"/>
      <c r="E195" s="57" t="s">
        <v>8574</v>
      </c>
      <c r="F195" s="57" t="s">
        <v>8610</v>
      </c>
      <c r="G195" s="29" t="s">
        <v>754</v>
      </c>
      <c r="J195" s="29">
        <f t="shared" si="10"/>
        <v>1</v>
      </c>
      <c r="K195" s="42">
        <v>188</v>
      </c>
      <c r="L195" s="43" t="s">
        <v>755</v>
      </c>
      <c r="M195" s="44" t="s">
        <v>405</v>
      </c>
      <c r="N195" s="44" t="s">
        <v>536</v>
      </c>
      <c r="O195" s="44" t="str">
        <f t="shared" si="12"/>
        <v>PE-L1-4C4-25</v>
      </c>
      <c r="P195" s="45">
        <v>1.5</v>
      </c>
      <c r="Q195" s="44">
        <v>400</v>
      </c>
      <c r="R195" s="44" t="s">
        <v>49</v>
      </c>
      <c r="S195" s="44">
        <v>120</v>
      </c>
      <c r="T195" s="46" t="s">
        <v>4083</v>
      </c>
      <c r="U195" s="46" t="s">
        <v>395</v>
      </c>
      <c r="V195" s="46" t="s">
        <v>396</v>
      </c>
      <c r="W195" s="46" t="s">
        <v>397</v>
      </c>
      <c r="X195" s="47" t="s">
        <v>9305</v>
      </c>
      <c r="Y195" s="46" t="s">
        <v>4365</v>
      </c>
      <c r="Z195" s="46" t="s">
        <v>4210</v>
      </c>
      <c r="AA195" s="46" t="s">
        <v>4281</v>
      </c>
      <c r="AB195" s="47" t="s">
        <v>9305</v>
      </c>
      <c r="AC195" s="48" t="s">
        <v>4366</v>
      </c>
      <c r="AD195" s="30"/>
      <c r="AE195" s="197"/>
      <c r="AF195" s="47"/>
    </row>
    <row r="196" spans="1:32" s="29" customFormat="1" ht="69.95" hidden="1" customHeight="1">
      <c r="A196" s="29" t="s">
        <v>395</v>
      </c>
      <c r="B196" s="29" t="s">
        <v>3769</v>
      </c>
      <c r="C196" s="40">
        <v>14</v>
      </c>
      <c r="D196" s="40"/>
      <c r="E196" s="57" t="s">
        <v>82</v>
      </c>
      <c r="F196" s="57" t="s">
        <v>82</v>
      </c>
      <c r="G196" s="29" t="s">
        <v>756</v>
      </c>
      <c r="J196" s="29">
        <f t="shared" si="10"/>
        <v>1</v>
      </c>
      <c r="K196" s="42">
        <v>189</v>
      </c>
      <c r="L196" s="43" t="s">
        <v>757</v>
      </c>
      <c r="M196" s="44" t="s">
        <v>405</v>
      </c>
      <c r="N196" s="44" t="s">
        <v>536</v>
      </c>
      <c r="O196" s="44" t="str">
        <f t="shared" si="12"/>
        <v>PE-L1-4C4-18</v>
      </c>
      <c r="P196" s="45">
        <v>1.5</v>
      </c>
      <c r="Q196" s="44">
        <v>400</v>
      </c>
      <c r="R196" s="44" t="s">
        <v>49</v>
      </c>
      <c r="S196" s="44">
        <v>130</v>
      </c>
      <c r="T196" s="46" t="s">
        <v>4083</v>
      </c>
      <c r="U196" s="46" t="s">
        <v>395</v>
      </c>
      <c r="V196" s="46" t="s">
        <v>396</v>
      </c>
      <c r="W196" s="46" t="s">
        <v>397</v>
      </c>
      <c r="X196" s="47" t="s">
        <v>9305</v>
      </c>
      <c r="Y196" s="46" t="s">
        <v>4367</v>
      </c>
      <c r="Z196" s="46" t="s">
        <v>4213</v>
      </c>
      <c r="AA196" s="46" t="s">
        <v>4281</v>
      </c>
      <c r="AB196" s="47" t="s">
        <v>9305</v>
      </c>
      <c r="AC196" s="48" t="s">
        <v>4368</v>
      </c>
      <c r="AD196" s="30"/>
      <c r="AE196" s="197"/>
      <c r="AF196" s="47"/>
    </row>
    <row r="197" spans="1:32" s="29" customFormat="1" ht="69.95" hidden="1" customHeight="1">
      <c r="A197" s="29" t="s">
        <v>398</v>
      </c>
      <c r="B197" s="29" t="s">
        <v>3769</v>
      </c>
      <c r="C197" s="40">
        <v>14</v>
      </c>
      <c r="D197" s="40"/>
      <c r="E197" s="57" t="s">
        <v>82</v>
      </c>
      <c r="F197" s="57" t="s">
        <v>82</v>
      </c>
      <c r="G197" s="29" t="s">
        <v>758</v>
      </c>
      <c r="J197" s="29">
        <f t="shared" si="10"/>
        <v>1</v>
      </c>
      <c r="K197" s="42">
        <v>190</v>
      </c>
      <c r="L197" s="43" t="s">
        <v>759</v>
      </c>
      <c r="M197" s="44" t="s">
        <v>405</v>
      </c>
      <c r="N197" s="44" t="s">
        <v>536</v>
      </c>
      <c r="O197" s="44" t="str">
        <f t="shared" si="12"/>
        <v>PE-L1-4C4-18</v>
      </c>
      <c r="P197" s="45">
        <v>1.5</v>
      </c>
      <c r="Q197" s="44">
        <v>400</v>
      </c>
      <c r="R197" s="44" t="s">
        <v>49</v>
      </c>
      <c r="S197" s="44">
        <v>130</v>
      </c>
      <c r="T197" s="46" t="s">
        <v>4083</v>
      </c>
      <c r="U197" s="46" t="s">
        <v>398</v>
      </c>
      <c r="V197" s="46" t="s">
        <v>399</v>
      </c>
      <c r="W197" s="46" t="s">
        <v>397</v>
      </c>
      <c r="X197" s="47" t="s">
        <v>9305</v>
      </c>
      <c r="Y197" s="46" t="s">
        <v>4369</v>
      </c>
      <c r="Z197" s="46" t="s">
        <v>4216</v>
      </c>
      <c r="AA197" s="46" t="s">
        <v>4281</v>
      </c>
      <c r="AB197" s="47" t="s">
        <v>9305</v>
      </c>
      <c r="AC197" s="48" t="s">
        <v>4370</v>
      </c>
      <c r="AD197" s="30"/>
      <c r="AE197" s="197"/>
      <c r="AF197" s="47"/>
    </row>
    <row r="198" spans="1:32" s="29" customFormat="1" ht="69.95" hidden="1" customHeight="1">
      <c r="A198" s="29" t="s">
        <v>4283</v>
      </c>
      <c r="B198" s="29" t="s">
        <v>3769</v>
      </c>
      <c r="C198" s="40" t="s">
        <v>38</v>
      </c>
      <c r="D198" s="40"/>
      <c r="E198" s="58" t="s">
        <v>8019</v>
      </c>
      <c r="F198" s="58" t="s">
        <v>8019</v>
      </c>
      <c r="G198" s="29" t="s">
        <v>760</v>
      </c>
      <c r="J198" s="29">
        <f t="shared" si="10"/>
        <v>1</v>
      </c>
      <c r="K198" s="42">
        <v>191</v>
      </c>
      <c r="L198" s="43" t="s">
        <v>761</v>
      </c>
      <c r="M198" s="44" t="s">
        <v>405</v>
      </c>
      <c r="N198" s="44" t="s">
        <v>613</v>
      </c>
      <c r="O198" s="44" t="str">
        <f t="shared" si="12"/>
        <v>PE-L1-2C6-02</v>
      </c>
      <c r="P198" s="45">
        <v>2</v>
      </c>
      <c r="Q198" s="44">
        <v>220</v>
      </c>
      <c r="R198" s="44" t="s">
        <v>509</v>
      </c>
      <c r="S198" s="44">
        <v>30</v>
      </c>
      <c r="T198" s="46" t="s">
        <v>4083</v>
      </c>
      <c r="U198" s="46" t="s">
        <v>4283</v>
      </c>
      <c r="V198" s="46" t="s">
        <v>4284</v>
      </c>
      <c r="W198" s="46" t="s">
        <v>397</v>
      </c>
      <c r="X198" s="172" t="s">
        <v>8942</v>
      </c>
      <c r="Y198" s="46" t="s">
        <v>4371</v>
      </c>
      <c r="Z198" s="46" t="s">
        <v>4372</v>
      </c>
      <c r="AA198" s="46" t="s">
        <v>397</v>
      </c>
      <c r="AB198" s="172" t="s">
        <v>8942</v>
      </c>
      <c r="AC198" s="48" t="s">
        <v>4373</v>
      </c>
      <c r="AD198" s="30"/>
      <c r="AE198" s="197"/>
      <c r="AF198" s="47"/>
    </row>
    <row r="199" spans="1:32" s="29" customFormat="1" ht="69.95" hidden="1" customHeight="1">
      <c r="A199" s="29" t="s">
        <v>4374</v>
      </c>
      <c r="B199" s="29" t="s">
        <v>3769</v>
      </c>
      <c r="C199" s="40" t="s">
        <v>32</v>
      </c>
      <c r="D199" s="40"/>
      <c r="E199" s="57" t="s">
        <v>63</v>
      </c>
      <c r="F199" s="57" t="s">
        <v>63</v>
      </c>
      <c r="G199" s="29" t="s">
        <v>762</v>
      </c>
      <c r="J199" s="29">
        <f t="shared" si="10"/>
        <v>1</v>
      </c>
      <c r="K199" s="42">
        <v>192</v>
      </c>
      <c r="L199" s="43" t="s">
        <v>763</v>
      </c>
      <c r="M199" s="44" t="s">
        <v>405</v>
      </c>
      <c r="N199" s="44" t="s">
        <v>456</v>
      </c>
      <c r="O199" s="44" t="str">
        <f t="shared" si="12"/>
        <v>PE-L1-3C6-05</v>
      </c>
      <c r="P199" s="45">
        <v>2</v>
      </c>
      <c r="Q199" s="44">
        <v>230</v>
      </c>
      <c r="R199" s="44" t="s">
        <v>428</v>
      </c>
      <c r="S199" s="44">
        <v>60</v>
      </c>
      <c r="T199" s="46" t="s">
        <v>4083</v>
      </c>
      <c r="U199" s="46" t="s">
        <v>4374</v>
      </c>
      <c r="V199" s="46" t="s">
        <v>4375</v>
      </c>
      <c r="W199" s="46" t="s">
        <v>397</v>
      </c>
      <c r="X199" s="172" t="s">
        <v>9167</v>
      </c>
      <c r="Y199" s="46" t="s">
        <v>4371</v>
      </c>
      <c r="Z199" s="46" t="s">
        <v>4376</v>
      </c>
      <c r="AA199" s="46" t="s">
        <v>397</v>
      </c>
      <c r="AB199" s="172" t="s">
        <v>9167</v>
      </c>
      <c r="AC199" s="48" t="s">
        <v>4377</v>
      </c>
      <c r="AD199" s="30"/>
      <c r="AE199" s="197"/>
      <c r="AF199" s="47"/>
    </row>
    <row r="200" spans="1:32" s="29" customFormat="1" ht="69.95" hidden="1" customHeight="1">
      <c r="A200" s="29" t="s">
        <v>4286</v>
      </c>
      <c r="B200" s="29" t="s">
        <v>3769</v>
      </c>
      <c r="C200" s="40" t="s">
        <v>42</v>
      </c>
      <c r="D200" s="40"/>
      <c r="E200" s="57" t="s">
        <v>84</v>
      </c>
      <c r="F200" s="57" t="s">
        <v>84</v>
      </c>
      <c r="G200" s="29" t="s">
        <v>764</v>
      </c>
      <c r="J200" s="29">
        <f t="shared" ref="J200:J263" si="13">COUNTIF(L:L,L200)</f>
        <v>1</v>
      </c>
      <c r="K200" s="42">
        <v>193</v>
      </c>
      <c r="L200" s="43" t="s">
        <v>765</v>
      </c>
      <c r="M200" s="44" t="s">
        <v>405</v>
      </c>
      <c r="N200" s="44" t="s">
        <v>426</v>
      </c>
      <c r="O200" s="44" t="str">
        <f t="shared" si="12"/>
        <v>PE-L1-3C4-11</v>
      </c>
      <c r="P200" s="45">
        <v>0.2</v>
      </c>
      <c r="Q200" s="44">
        <v>230</v>
      </c>
      <c r="R200" s="44" t="s">
        <v>49</v>
      </c>
      <c r="S200" s="44">
        <v>60</v>
      </c>
      <c r="T200" s="46" t="s">
        <v>4083</v>
      </c>
      <c r="U200" s="46" t="s">
        <v>4286</v>
      </c>
      <c r="V200" s="46" t="s">
        <v>4287</v>
      </c>
      <c r="W200" s="46" t="s">
        <v>397</v>
      </c>
      <c r="X200" s="172" t="s">
        <v>9167</v>
      </c>
      <c r="Y200" s="46" t="s">
        <v>4371</v>
      </c>
      <c r="Z200" s="46" t="s">
        <v>4225</v>
      </c>
      <c r="AA200" s="46" t="s">
        <v>397</v>
      </c>
      <c r="AB200" s="172" t="s">
        <v>9167</v>
      </c>
      <c r="AC200" s="48" t="s">
        <v>4377</v>
      </c>
      <c r="AD200" s="30"/>
      <c r="AE200" s="197"/>
      <c r="AF200" s="47"/>
    </row>
    <row r="201" spans="1:32" s="29" customFormat="1" ht="69.95" hidden="1" customHeight="1">
      <c r="A201" s="29" t="s">
        <v>4278</v>
      </c>
      <c r="B201" s="29" t="s">
        <v>3769</v>
      </c>
      <c r="C201" s="40" t="s">
        <v>38</v>
      </c>
      <c r="D201" s="40"/>
      <c r="E201" s="59" t="s">
        <v>81</v>
      </c>
      <c r="F201" s="59" t="s">
        <v>81</v>
      </c>
      <c r="G201" s="29" t="s">
        <v>766</v>
      </c>
      <c r="J201" s="29">
        <f t="shared" si="13"/>
        <v>1</v>
      </c>
      <c r="K201" s="42">
        <v>194</v>
      </c>
      <c r="L201" s="43" t="s">
        <v>767</v>
      </c>
      <c r="M201" s="44" t="s">
        <v>405</v>
      </c>
      <c r="N201" s="44" t="s">
        <v>578</v>
      </c>
      <c r="O201" s="44" t="str">
        <f t="shared" si="12"/>
        <v>PE-L1-2C4-04</v>
      </c>
      <c r="P201" s="45">
        <v>0.7</v>
      </c>
      <c r="Q201" s="44">
        <v>220</v>
      </c>
      <c r="R201" s="44" t="s">
        <v>509</v>
      </c>
      <c r="S201" s="44">
        <v>30</v>
      </c>
      <c r="T201" s="46" t="s">
        <v>4083</v>
      </c>
      <c r="U201" s="46" t="s">
        <v>4278</v>
      </c>
      <c r="V201" s="46" t="s">
        <v>4279</v>
      </c>
      <c r="W201" s="46" t="s">
        <v>397</v>
      </c>
      <c r="X201" s="172" t="s">
        <v>8942</v>
      </c>
      <c r="Y201" s="46" t="s">
        <v>4378</v>
      </c>
      <c r="Z201" s="46" t="s">
        <v>4228</v>
      </c>
      <c r="AA201" s="46" t="s">
        <v>4229</v>
      </c>
      <c r="AB201" s="172" t="s">
        <v>8942</v>
      </c>
      <c r="AC201" s="48" t="s">
        <v>4379</v>
      </c>
      <c r="AD201" s="30"/>
      <c r="AE201" s="197"/>
      <c r="AF201" s="47"/>
    </row>
    <row r="202" spans="1:32" s="29" customFormat="1" ht="69.95" hidden="1" customHeight="1">
      <c r="A202" s="29" t="s">
        <v>4374</v>
      </c>
      <c r="B202" s="29" t="s">
        <v>3769</v>
      </c>
      <c r="C202" s="40" t="s">
        <v>36</v>
      </c>
      <c r="D202" s="40"/>
      <c r="E202" s="93" t="s">
        <v>8755</v>
      </c>
      <c r="F202" s="93" t="s">
        <v>8755</v>
      </c>
      <c r="G202" s="29" t="s">
        <v>768</v>
      </c>
      <c r="J202" s="29">
        <f t="shared" si="13"/>
        <v>1</v>
      </c>
      <c r="K202" s="42">
        <v>195</v>
      </c>
      <c r="L202" s="43" t="s">
        <v>769</v>
      </c>
      <c r="M202" s="44" t="s">
        <v>405</v>
      </c>
      <c r="N202" s="44" t="s">
        <v>426</v>
      </c>
      <c r="O202" s="90" t="str">
        <f>F202</f>
        <v>PE-L1-3C4-29</v>
      </c>
      <c r="P202" s="45">
        <v>0.7</v>
      </c>
      <c r="Q202" s="44">
        <v>230</v>
      </c>
      <c r="R202" s="44" t="s">
        <v>428</v>
      </c>
      <c r="S202" s="44">
        <v>50</v>
      </c>
      <c r="T202" s="46" t="s">
        <v>4083</v>
      </c>
      <c r="U202" s="46" t="s">
        <v>4374</v>
      </c>
      <c r="V202" s="46" t="s">
        <v>4375</v>
      </c>
      <c r="W202" s="46" t="s">
        <v>397</v>
      </c>
      <c r="X202" s="172" t="s">
        <v>9167</v>
      </c>
      <c r="Y202" s="46" t="s">
        <v>4378</v>
      </c>
      <c r="Z202" s="46" t="s">
        <v>4231</v>
      </c>
      <c r="AA202" s="46" t="s">
        <v>4229</v>
      </c>
      <c r="AB202" s="172" t="s">
        <v>9167</v>
      </c>
      <c r="AC202" s="48" t="s">
        <v>4380</v>
      </c>
      <c r="AD202" s="30"/>
      <c r="AE202" s="197"/>
      <c r="AF202" s="47"/>
    </row>
    <row r="203" spans="1:32" s="29" customFormat="1" ht="69.95" hidden="1" customHeight="1">
      <c r="A203" s="29" t="s">
        <v>4331</v>
      </c>
      <c r="B203" s="29" t="s">
        <v>3769</v>
      </c>
      <c r="C203" s="40" t="s">
        <v>38</v>
      </c>
      <c r="D203" s="40"/>
      <c r="E203" s="57" t="s">
        <v>8600</v>
      </c>
      <c r="F203" s="57" t="s">
        <v>8600</v>
      </c>
      <c r="G203" s="29" t="s">
        <v>770</v>
      </c>
      <c r="J203" s="29">
        <f t="shared" si="13"/>
        <v>1</v>
      </c>
      <c r="K203" s="42">
        <v>196</v>
      </c>
      <c r="L203" s="43" t="s">
        <v>771</v>
      </c>
      <c r="M203" s="44" t="s">
        <v>405</v>
      </c>
      <c r="N203" s="44" t="s">
        <v>8596</v>
      </c>
      <c r="O203" s="44" t="str">
        <f t="shared" ref="O203:O214" si="14">F203</f>
        <v>PE-L1-3C4-28</v>
      </c>
      <c r="P203" s="45">
        <v>1</v>
      </c>
      <c r="Q203" s="44">
        <v>230</v>
      </c>
      <c r="R203" s="44" t="s">
        <v>49</v>
      </c>
      <c r="S203" s="44">
        <v>30</v>
      </c>
      <c r="T203" s="46" t="s">
        <v>4083</v>
      </c>
      <c r="U203" s="46" t="s">
        <v>4331</v>
      </c>
      <c r="V203" s="46" t="s">
        <v>4332</v>
      </c>
      <c r="W203" s="46" t="s">
        <v>397</v>
      </c>
      <c r="X203" s="172" t="s">
        <v>9167</v>
      </c>
      <c r="Y203" s="46" t="s">
        <v>4378</v>
      </c>
      <c r="Z203" s="46" t="s">
        <v>4233</v>
      </c>
      <c r="AA203" s="46" t="s">
        <v>4229</v>
      </c>
      <c r="AB203" s="172" t="s">
        <v>9167</v>
      </c>
      <c r="AC203" s="48" t="s">
        <v>4381</v>
      </c>
      <c r="AD203" s="30"/>
      <c r="AE203" s="197"/>
      <c r="AF203" s="47"/>
    </row>
    <row r="204" spans="1:32" s="29" customFormat="1" ht="69.95" hidden="1" customHeight="1">
      <c r="A204" s="29" t="s">
        <v>4278</v>
      </c>
      <c r="B204" s="29" t="s">
        <v>3769</v>
      </c>
      <c r="C204" s="40" t="s">
        <v>40</v>
      </c>
      <c r="D204" s="40"/>
      <c r="E204" s="59" t="s">
        <v>81</v>
      </c>
      <c r="F204" s="59" t="s">
        <v>81</v>
      </c>
      <c r="G204" s="29" t="s">
        <v>772</v>
      </c>
      <c r="J204" s="29">
        <f t="shared" si="13"/>
        <v>1</v>
      </c>
      <c r="K204" s="42">
        <v>197</v>
      </c>
      <c r="L204" s="43" t="s">
        <v>773</v>
      </c>
      <c r="M204" s="44" t="s">
        <v>405</v>
      </c>
      <c r="N204" s="44" t="s">
        <v>578</v>
      </c>
      <c r="O204" s="44" t="str">
        <f t="shared" si="14"/>
        <v>PE-L1-2C4-04</v>
      </c>
      <c r="P204" s="45">
        <v>0.6</v>
      </c>
      <c r="Q204" s="44">
        <v>220</v>
      </c>
      <c r="R204" s="44" t="s">
        <v>509</v>
      </c>
      <c r="S204" s="44">
        <v>30</v>
      </c>
      <c r="T204" s="46" t="s">
        <v>4083</v>
      </c>
      <c r="U204" s="46" t="s">
        <v>4278</v>
      </c>
      <c r="V204" s="46" t="s">
        <v>4279</v>
      </c>
      <c r="W204" s="46" t="s">
        <v>397</v>
      </c>
      <c r="X204" s="172" t="s">
        <v>8942</v>
      </c>
      <c r="Y204" s="46" t="s">
        <v>4382</v>
      </c>
      <c r="Z204" s="46" t="s">
        <v>4236</v>
      </c>
      <c r="AA204" s="46" t="s">
        <v>397</v>
      </c>
      <c r="AB204" s="172" t="s">
        <v>8942</v>
      </c>
      <c r="AC204" s="48" t="s">
        <v>4379</v>
      </c>
      <c r="AD204" s="30"/>
      <c r="AE204" s="197"/>
      <c r="AF204" s="47"/>
    </row>
    <row r="205" spans="1:32" s="29" customFormat="1" ht="69.95" hidden="1" customHeight="1">
      <c r="A205" s="29" t="s">
        <v>4383</v>
      </c>
      <c r="B205" s="29" t="s">
        <v>3769</v>
      </c>
      <c r="C205" s="40" t="s">
        <v>38</v>
      </c>
      <c r="D205" s="40"/>
      <c r="E205" s="57" t="s">
        <v>8600</v>
      </c>
      <c r="F205" s="57" t="s">
        <v>8600</v>
      </c>
      <c r="G205" s="29" t="s">
        <v>774</v>
      </c>
      <c r="J205" s="29">
        <f t="shared" si="13"/>
        <v>1</v>
      </c>
      <c r="K205" s="42">
        <v>198</v>
      </c>
      <c r="L205" s="43" t="s">
        <v>775</v>
      </c>
      <c r="M205" s="44" t="s">
        <v>405</v>
      </c>
      <c r="N205" s="44" t="s">
        <v>426</v>
      </c>
      <c r="O205" s="44" t="str">
        <f t="shared" si="14"/>
        <v>PE-L1-3C4-28</v>
      </c>
      <c r="P205" s="45">
        <v>0.6</v>
      </c>
      <c r="Q205" s="44">
        <v>230</v>
      </c>
      <c r="R205" s="44" t="s">
        <v>428</v>
      </c>
      <c r="S205" s="44">
        <v>50</v>
      </c>
      <c r="T205" s="46" t="s">
        <v>4083</v>
      </c>
      <c r="U205" s="46" t="s">
        <v>4383</v>
      </c>
      <c r="V205" s="46" t="s">
        <v>4384</v>
      </c>
      <c r="W205" s="46" t="s">
        <v>397</v>
      </c>
      <c r="X205" s="172" t="s">
        <v>9167</v>
      </c>
      <c r="Y205" s="46" t="s">
        <v>4382</v>
      </c>
      <c r="Z205" s="46" t="s">
        <v>4239</v>
      </c>
      <c r="AA205" s="46" t="s">
        <v>397</v>
      </c>
      <c r="AB205" s="172" t="s">
        <v>9167</v>
      </c>
      <c r="AC205" s="48" t="s">
        <v>4380</v>
      </c>
      <c r="AD205" s="30"/>
      <c r="AE205" s="197"/>
      <c r="AF205" s="47"/>
    </row>
    <row r="206" spans="1:32" s="29" customFormat="1" ht="69.95" hidden="1" customHeight="1">
      <c r="A206" s="29" t="s">
        <v>4286</v>
      </c>
      <c r="B206" s="29" t="s">
        <v>3769</v>
      </c>
      <c r="C206" s="40" t="s">
        <v>43</v>
      </c>
      <c r="D206" s="40"/>
      <c r="E206" s="57" t="s">
        <v>8600</v>
      </c>
      <c r="F206" s="57" t="s">
        <v>8600</v>
      </c>
      <c r="G206" s="29" t="s">
        <v>776</v>
      </c>
      <c r="J206" s="29">
        <f t="shared" si="13"/>
        <v>1</v>
      </c>
      <c r="K206" s="42">
        <v>199</v>
      </c>
      <c r="L206" s="43" t="s">
        <v>777</v>
      </c>
      <c r="M206" s="44" t="s">
        <v>405</v>
      </c>
      <c r="N206" s="44" t="s">
        <v>426</v>
      </c>
      <c r="O206" s="44" t="str">
        <f t="shared" si="14"/>
        <v>PE-L1-3C4-28</v>
      </c>
      <c r="P206" s="45">
        <v>0.6</v>
      </c>
      <c r="Q206" s="44">
        <v>230</v>
      </c>
      <c r="R206" s="44" t="s">
        <v>49</v>
      </c>
      <c r="S206" s="44">
        <v>50</v>
      </c>
      <c r="T206" s="46" t="s">
        <v>4083</v>
      </c>
      <c r="U206" s="46" t="s">
        <v>4286</v>
      </c>
      <c r="V206" s="46" t="s">
        <v>4287</v>
      </c>
      <c r="W206" s="46" t="s">
        <v>397</v>
      </c>
      <c r="X206" s="172" t="s">
        <v>9167</v>
      </c>
      <c r="Y206" s="46" t="s">
        <v>4382</v>
      </c>
      <c r="Z206" s="46" t="s">
        <v>4240</v>
      </c>
      <c r="AA206" s="46" t="s">
        <v>397</v>
      </c>
      <c r="AB206" s="172" t="s">
        <v>9167</v>
      </c>
      <c r="AC206" s="48" t="s">
        <v>4380</v>
      </c>
      <c r="AD206" s="30"/>
      <c r="AE206" s="197"/>
      <c r="AF206" s="47"/>
    </row>
    <row r="207" spans="1:32" s="29" customFormat="1" ht="69.95" hidden="1" customHeight="1">
      <c r="A207" s="29" t="s">
        <v>4278</v>
      </c>
      <c r="B207" s="29" t="s">
        <v>3769</v>
      </c>
      <c r="C207" s="40" t="s">
        <v>41</v>
      </c>
      <c r="D207" s="40"/>
      <c r="E207" s="57" t="s">
        <v>81</v>
      </c>
      <c r="F207" s="57" t="s">
        <v>81</v>
      </c>
      <c r="G207" s="29" t="s">
        <v>778</v>
      </c>
      <c r="J207" s="29">
        <f t="shared" si="13"/>
        <v>1</v>
      </c>
      <c r="K207" s="42">
        <v>200</v>
      </c>
      <c r="L207" s="43" t="s">
        <v>779</v>
      </c>
      <c r="M207" s="44" t="s">
        <v>405</v>
      </c>
      <c r="N207" s="44" t="s">
        <v>578</v>
      </c>
      <c r="O207" s="44" t="str">
        <f t="shared" si="14"/>
        <v>PE-L1-2C4-04</v>
      </c>
      <c r="P207" s="45">
        <v>0.5</v>
      </c>
      <c r="Q207" s="44">
        <v>220</v>
      </c>
      <c r="R207" s="44" t="s">
        <v>509</v>
      </c>
      <c r="S207" s="44">
        <v>40</v>
      </c>
      <c r="T207" s="46" t="s">
        <v>4083</v>
      </c>
      <c r="U207" s="46" t="s">
        <v>4278</v>
      </c>
      <c r="V207" s="46" t="s">
        <v>4279</v>
      </c>
      <c r="W207" s="46" t="s">
        <v>397</v>
      </c>
      <c r="X207" s="172" t="s">
        <v>8942</v>
      </c>
      <c r="Y207" s="46" t="s">
        <v>4385</v>
      </c>
      <c r="Z207" s="46" t="s">
        <v>4242</v>
      </c>
      <c r="AA207" s="46" t="s">
        <v>397</v>
      </c>
      <c r="AB207" s="172" t="s">
        <v>8942</v>
      </c>
      <c r="AC207" s="48" t="s">
        <v>4386</v>
      </c>
      <c r="AD207" s="30"/>
      <c r="AE207" s="197"/>
      <c r="AF207" s="47"/>
    </row>
    <row r="208" spans="1:32" s="29" customFormat="1" ht="69.95" hidden="1" customHeight="1">
      <c r="A208" s="29" t="s">
        <v>4283</v>
      </c>
      <c r="B208" s="29" t="s">
        <v>3769</v>
      </c>
      <c r="C208" s="40" t="s">
        <v>40</v>
      </c>
      <c r="D208" s="40"/>
      <c r="E208" s="56" t="s">
        <v>81</v>
      </c>
      <c r="F208" s="56" t="s">
        <v>81</v>
      </c>
      <c r="G208" s="29" t="s">
        <v>780</v>
      </c>
      <c r="J208" s="29">
        <f t="shared" si="13"/>
        <v>1</v>
      </c>
      <c r="K208" s="42">
        <v>201</v>
      </c>
      <c r="L208" s="43" t="s">
        <v>781</v>
      </c>
      <c r="M208" s="44" t="s">
        <v>405</v>
      </c>
      <c r="N208" s="44" t="s">
        <v>578</v>
      </c>
      <c r="O208" s="44" t="str">
        <f t="shared" si="14"/>
        <v>PE-L1-2C4-04</v>
      </c>
      <c r="P208" s="45">
        <v>0.5</v>
      </c>
      <c r="Q208" s="44">
        <v>220</v>
      </c>
      <c r="R208" s="44" t="s">
        <v>509</v>
      </c>
      <c r="S208" s="44">
        <v>40</v>
      </c>
      <c r="T208" s="46" t="s">
        <v>4083</v>
      </c>
      <c r="U208" s="46" t="s">
        <v>4283</v>
      </c>
      <c r="V208" s="46" t="s">
        <v>4284</v>
      </c>
      <c r="W208" s="46" t="s">
        <v>397</v>
      </c>
      <c r="X208" s="172" t="s">
        <v>8942</v>
      </c>
      <c r="Y208" s="46" t="s">
        <v>4385</v>
      </c>
      <c r="Z208" s="46" t="s">
        <v>4243</v>
      </c>
      <c r="AA208" s="46" t="s">
        <v>397</v>
      </c>
      <c r="AB208" s="172" t="s">
        <v>8942</v>
      </c>
      <c r="AC208" s="48" t="s">
        <v>4387</v>
      </c>
      <c r="AD208" s="30"/>
      <c r="AE208" s="197"/>
      <c r="AF208" s="47"/>
    </row>
    <row r="209" spans="1:32" s="29" customFormat="1" ht="69.95" hidden="1" customHeight="1">
      <c r="A209" s="29" t="s">
        <v>4331</v>
      </c>
      <c r="B209" s="29" t="s">
        <v>3769</v>
      </c>
      <c r="C209" s="40" t="s">
        <v>40</v>
      </c>
      <c r="D209" s="40"/>
      <c r="E209" s="57" t="s">
        <v>8600</v>
      </c>
      <c r="F209" s="57" t="s">
        <v>8600</v>
      </c>
      <c r="G209" s="29" t="s">
        <v>782</v>
      </c>
      <c r="J209" s="29">
        <f t="shared" si="13"/>
        <v>1</v>
      </c>
      <c r="K209" s="42">
        <v>202</v>
      </c>
      <c r="L209" s="43" t="s">
        <v>783</v>
      </c>
      <c r="M209" s="44" t="s">
        <v>405</v>
      </c>
      <c r="N209" s="44" t="s">
        <v>426</v>
      </c>
      <c r="O209" s="44" t="str">
        <f t="shared" si="14"/>
        <v>PE-L1-3C4-28</v>
      </c>
      <c r="P209" s="45">
        <v>2</v>
      </c>
      <c r="Q209" s="44">
        <v>230</v>
      </c>
      <c r="R209" s="44" t="s">
        <v>49</v>
      </c>
      <c r="S209" s="44">
        <v>40</v>
      </c>
      <c r="T209" s="46" t="s">
        <v>4083</v>
      </c>
      <c r="U209" s="46" t="s">
        <v>4331</v>
      </c>
      <c r="V209" s="46" t="s">
        <v>4332</v>
      </c>
      <c r="W209" s="46" t="s">
        <v>397</v>
      </c>
      <c r="X209" s="172" t="s">
        <v>9167</v>
      </c>
      <c r="Y209" s="46" t="s">
        <v>4385</v>
      </c>
      <c r="Z209" s="46" t="s">
        <v>4245</v>
      </c>
      <c r="AA209" s="46" t="s">
        <v>397</v>
      </c>
      <c r="AB209" s="172" t="s">
        <v>9167</v>
      </c>
      <c r="AC209" s="48" t="s">
        <v>4388</v>
      </c>
      <c r="AD209" s="30"/>
      <c r="AE209" s="197"/>
      <c r="AF209" s="47"/>
    </row>
    <row r="210" spans="1:32" s="29" customFormat="1" ht="69.95" hidden="1" customHeight="1">
      <c r="A210" s="29" t="s">
        <v>4283</v>
      </c>
      <c r="B210" s="29" t="s">
        <v>3769</v>
      </c>
      <c r="C210" s="40" t="s">
        <v>41</v>
      </c>
      <c r="D210" s="40"/>
      <c r="E210" s="58" t="s">
        <v>81</v>
      </c>
      <c r="F210" s="58" t="s">
        <v>81</v>
      </c>
      <c r="G210" s="29" t="s">
        <v>784</v>
      </c>
      <c r="J210" s="29">
        <f t="shared" si="13"/>
        <v>1</v>
      </c>
      <c r="K210" s="42">
        <v>203</v>
      </c>
      <c r="L210" s="43" t="s">
        <v>785</v>
      </c>
      <c r="M210" s="44" t="s">
        <v>405</v>
      </c>
      <c r="N210" s="44" t="s">
        <v>578</v>
      </c>
      <c r="O210" s="44" t="str">
        <f t="shared" si="14"/>
        <v>PE-L1-2C4-04</v>
      </c>
      <c r="P210" s="45">
        <v>0.5</v>
      </c>
      <c r="Q210" s="44">
        <v>220</v>
      </c>
      <c r="R210" s="44" t="s">
        <v>509</v>
      </c>
      <c r="S210" s="44">
        <v>40</v>
      </c>
      <c r="T210" s="46" t="s">
        <v>4083</v>
      </c>
      <c r="U210" s="46" t="s">
        <v>4283</v>
      </c>
      <c r="V210" s="46" t="s">
        <v>4284</v>
      </c>
      <c r="W210" s="46" t="s">
        <v>397</v>
      </c>
      <c r="X210" s="172" t="s">
        <v>8942</v>
      </c>
      <c r="Y210" s="46" t="s">
        <v>4389</v>
      </c>
      <c r="Z210" s="46" t="s">
        <v>4248</v>
      </c>
      <c r="AA210" s="46" t="s">
        <v>397</v>
      </c>
      <c r="AB210" s="172" t="s">
        <v>8942</v>
      </c>
      <c r="AC210" s="48" t="s">
        <v>4386</v>
      </c>
      <c r="AD210" s="30"/>
      <c r="AE210" s="197"/>
      <c r="AF210" s="47"/>
    </row>
    <row r="211" spans="1:32" s="29" customFormat="1" ht="69.95" hidden="1" customHeight="1">
      <c r="A211" s="29" t="s">
        <v>4278</v>
      </c>
      <c r="B211" s="29" t="s">
        <v>3769</v>
      </c>
      <c r="C211" s="40" t="s">
        <v>42</v>
      </c>
      <c r="D211" s="40"/>
      <c r="E211" s="56" t="s">
        <v>81</v>
      </c>
      <c r="F211" s="56" t="s">
        <v>81</v>
      </c>
      <c r="G211" s="29" t="s">
        <v>786</v>
      </c>
      <c r="J211" s="29">
        <f t="shared" si="13"/>
        <v>1</v>
      </c>
      <c r="K211" s="42">
        <v>204</v>
      </c>
      <c r="L211" s="43" t="s">
        <v>787</v>
      </c>
      <c r="M211" s="44" t="s">
        <v>405</v>
      </c>
      <c r="N211" s="44" t="s">
        <v>578</v>
      </c>
      <c r="O211" s="44" t="str">
        <f t="shared" si="14"/>
        <v>PE-L1-2C4-04</v>
      </c>
      <c r="P211" s="45">
        <v>0.5</v>
      </c>
      <c r="Q211" s="44">
        <v>220</v>
      </c>
      <c r="R211" s="44" t="s">
        <v>509</v>
      </c>
      <c r="S211" s="44">
        <v>40</v>
      </c>
      <c r="T211" s="46" t="s">
        <v>4083</v>
      </c>
      <c r="U211" s="46" t="s">
        <v>4278</v>
      </c>
      <c r="V211" s="46" t="s">
        <v>4279</v>
      </c>
      <c r="W211" s="46" t="s">
        <v>397</v>
      </c>
      <c r="X211" s="172" t="s">
        <v>8942</v>
      </c>
      <c r="Y211" s="46" t="s">
        <v>4389</v>
      </c>
      <c r="Z211" s="46" t="s">
        <v>4390</v>
      </c>
      <c r="AA211" s="46" t="s">
        <v>397</v>
      </c>
      <c r="AB211" s="172" t="s">
        <v>8942</v>
      </c>
      <c r="AC211" s="48" t="s">
        <v>4387</v>
      </c>
      <c r="AD211" s="30"/>
      <c r="AE211" s="197"/>
      <c r="AF211" s="47"/>
    </row>
    <row r="212" spans="1:32" s="29" customFormat="1" ht="69.95" hidden="1" customHeight="1">
      <c r="A212" s="29" t="s">
        <v>4286</v>
      </c>
      <c r="B212" s="29" t="s">
        <v>3769</v>
      </c>
      <c r="C212" s="40" t="s">
        <v>73</v>
      </c>
      <c r="D212" s="40"/>
      <c r="E212" s="57" t="s">
        <v>8600</v>
      </c>
      <c r="F212" s="57" t="s">
        <v>8600</v>
      </c>
      <c r="G212" s="29" t="s">
        <v>788</v>
      </c>
      <c r="J212" s="29">
        <f t="shared" si="13"/>
        <v>1</v>
      </c>
      <c r="K212" s="42">
        <v>205</v>
      </c>
      <c r="L212" s="43" t="s">
        <v>789</v>
      </c>
      <c r="M212" s="44" t="s">
        <v>405</v>
      </c>
      <c r="N212" s="44" t="s">
        <v>426</v>
      </c>
      <c r="O212" s="44" t="str">
        <f t="shared" si="14"/>
        <v>PE-L1-3C4-28</v>
      </c>
      <c r="P212" s="45">
        <v>2</v>
      </c>
      <c r="Q212" s="44">
        <v>230</v>
      </c>
      <c r="R212" s="44" t="s">
        <v>49</v>
      </c>
      <c r="S212" s="44">
        <v>60</v>
      </c>
      <c r="T212" s="46" t="s">
        <v>4083</v>
      </c>
      <c r="U212" s="46" t="s">
        <v>4286</v>
      </c>
      <c r="V212" s="46" t="s">
        <v>4287</v>
      </c>
      <c r="W212" s="46" t="s">
        <v>397</v>
      </c>
      <c r="X212" s="172" t="s">
        <v>9167</v>
      </c>
      <c r="Y212" s="46" t="s">
        <v>4389</v>
      </c>
      <c r="Z212" s="46" t="s">
        <v>4250</v>
      </c>
      <c r="AA212" s="46" t="s">
        <v>397</v>
      </c>
      <c r="AB212" s="172" t="s">
        <v>9167</v>
      </c>
      <c r="AC212" s="48" t="s">
        <v>4377</v>
      </c>
      <c r="AD212" s="30"/>
      <c r="AE212" s="197"/>
      <c r="AF212" s="47"/>
    </row>
    <row r="213" spans="1:32" s="29" customFormat="1" ht="69.95" hidden="1" customHeight="1">
      <c r="A213" s="29" t="s">
        <v>4283</v>
      </c>
      <c r="B213" s="29" t="s">
        <v>3769</v>
      </c>
      <c r="C213" s="40" t="s">
        <v>42</v>
      </c>
      <c r="D213" s="40"/>
      <c r="E213" s="58" t="s">
        <v>81</v>
      </c>
      <c r="F213" s="58" t="s">
        <v>81</v>
      </c>
      <c r="G213" s="29" t="s">
        <v>790</v>
      </c>
      <c r="J213" s="29">
        <f t="shared" si="13"/>
        <v>1</v>
      </c>
      <c r="K213" s="42">
        <v>206</v>
      </c>
      <c r="L213" s="43" t="s">
        <v>791</v>
      </c>
      <c r="M213" s="44" t="s">
        <v>405</v>
      </c>
      <c r="N213" s="44" t="s">
        <v>578</v>
      </c>
      <c r="O213" s="44" t="str">
        <f t="shared" si="14"/>
        <v>PE-L1-2C4-04</v>
      </c>
      <c r="P213" s="45">
        <v>0.5</v>
      </c>
      <c r="Q213" s="44">
        <v>220</v>
      </c>
      <c r="R213" s="44" t="s">
        <v>509</v>
      </c>
      <c r="S213" s="44">
        <v>40</v>
      </c>
      <c r="T213" s="46" t="s">
        <v>4083</v>
      </c>
      <c r="U213" s="46" t="s">
        <v>4283</v>
      </c>
      <c r="V213" s="46" t="s">
        <v>4284</v>
      </c>
      <c r="W213" s="46" t="s">
        <v>397</v>
      </c>
      <c r="X213" s="172" t="s">
        <v>8942</v>
      </c>
      <c r="Y213" s="46" t="s">
        <v>4391</v>
      </c>
      <c r="Z213" s="46" t="s">
        <v>4392</v>
      </c>
      <c r="AA213" s="46" t="s">
        <v>4229</v>
      </c>
      <c r="AB213" s="172" t="s">
        <v>8942</v>
      </c>
      <c r="AC213" s="48" t="s">
        <v>4393</v>
      </c>
      <c r="AD213" s="30"/>
      <c r="AE213" s="197"/>
      <c r="AF213" s="47"/>
    </row>
    <row r="214" spans="1:32" s="29" customFormat="1" ht="69.95" hidden="1" customHeight="1">
      <c r="A214" s="29" t="s">
        <v>4278</v>
      </c>
      <c r="B214" s="29" t="s">
        <v>3769</v>
      </c>
      <c r="C214" s="40" t="s">
        <v>43</v>
      </c>
      <c r="D214" s="40"/>
      <c r="E214" s="56" t="s">
        <v>8580</v>
      </c>
      <c r="F214" s="56" t="s">
        <v>8580</v>
      </c>
      <c r="G214" s="29" t="s">
        <v>792</v>
      </c>
      <c r="J214" s="29">
        <f t="shared" si="13"/>
        <v>1</v>
      </c>
      <c r="K214" s="42">
        <v>207</v>
      </c>
      <c r="L214" s="43" t="s">
        <v>793</v>
      </c>
      <c r="M214" s="44" t="s">
        <v>405</v>
      </c>
      <c r="N214" s="44" t="s">
        <v>578</v>
      </c>
      <c r="O214" s="44" t="str">
        <f t="shared" si="14"/>
        <v>PE-L1-2C4-06</v>
      </c>
      <c r="P214" s="45">
        <v>0.5</v>
      </c>
      <c r="Q214" s="44">
        <v>220</v>
      </c>
      <c r="R214" s="44" t="s">
        <v>509</v>
      </c>
      <c r="S214" s="44">
        <v>40</v>
      </c>
      <c r="T214" s="46" t="s">
        <v>4083</v>
      </c>
      <c r="U214" s="46" t="s">
        <v>4278</v>
      </c>
      <c r="V214" s="46" t="s">
        <v>4279</v>
      </c>
      <c r="W214" s="46" t="s">
        <v>397</v>
      </c>
      <c r="X214" s="172" t="s">
        <v>8942</v>
      </c>
      <c r="Y214" s="46" t="s">
        <v>4391</v>
      </c>
      <c r="Z214" s="46" t="s">
        <v>4254</v>
      </c>
      <c r="AA214" s="46" t="s">
        <v>4229</v>
      </c>
      <c r="AB214" s="172" t="s">
        <v>8942</v>
      </c>
      <c r="AC214" s="48" t="s">
        <v>4394</v>
      </c>
      <c r="AD214" s="30"/>
      <c r="AE214" s="197"/>
      <c r="AF214" s="47"/>
    </row>
    <row r="215" spans="1:32" s="29" customFormat="1" ht="69.95" hidden="1" customHeight="1">
      <c r="A215" s="29" t="s">
        <v>398</v>
      </c>
      <c r="B215" s="29" t="s">
        <v>3769</v>
      </c>
      <c r="C215" s="40">
        <v>15</v>
      </c>
      <c r="D215" s="40"/>
      <c r="E215" s="94" t="s">
        <v>8756</v>
      </c>
      <c r="F215" s="94" t="s">
        <v>8756</v>
      </c>
      <c r="G215" s="29" t="s">
        <v>794</v>
      </c>
      <c r="J215" s="29">
        <f t="shared" si="13"/>
        <v>1</v>
      </c>
      <c r="K215" s="42">
        <v>208</v>
      </c>
      <c r="L215" s="43" t="s">
        <v>795</v>
      </c>
      <c r="M215" s="44" t="s">
        <v>405</v>
      </c>
      <c r="N215" s="44" t="s">
        <v>566</v>
      </c>
      <c r="O215" s="90" t="str">
        <f>F215</f>
        <v>PE-L1-5C4-03</v>
      </c>
      <c r="P215" s="45">
        <v>2</v>
      </c>
      <c r="Q215" s="44">
        <v>400</v>
      </c>
      <c r="R215" s="44" t="s">
        <v>49</v>
      </c>
      <c r="S215" s="44">
        <v>40</v>
      </c>
      <c r="T215" s="46" t="s">
        <v>4083</v>
      </c>
      <c r="U215" s="46" t="s">
        <v>398</v>
      </c>
      <c r="V215" s="46" t="s">
        <v>399</v>
      </c>
      <c r="W215" s="46" t="s">
        <v>397</v>
      </c>
      <c r="X215" s="47" t="s">
        <v>9310</v>
      </c>
      <c r="Y215" s="46" t="s">
        <v>4391</v>
      </c>
      <c r="Z215" s="46" t="s">
        <v>4256</v>
      </c>
      <c r="AA215" s="46" t="s">
        <v>4229</v>
      </c>
      <c r="AB215" s="47" t="s">
        <v>9310</v>
      </c>
      <c r="AC215" s="48" t="s">
        <v>4395</v>
      </c>
      <c r="AD215" s="30"/>
      <c r="AE215" s="197"/>
      <c r="AF215" s="47"/>
    </row>
    <row r="216" spans="1:32" s="29" customFormat="1" ht="69.95" hidden="1" customHeight="1">
      <c r="A216" s="29" t="s">
        <v>4286</v>
      </c>
      <c r="B216" s="29" t="s">
        <v>3769</v>
      </c>
      <c r="C216" s="40" t="s">
        <v>75</v>
      </c>
      <c r="D216" s="124" t="s">
        <v>9045</v>
      </c>
      <c r="E216" s="57" t="s">
        <v>80</v>
      </c>
      <c r="F216" s="57" t="s">
        <v>80</v>
      </c>
      <c r="G216" s="131" t="s">
        <v>9062</v>
      </c>
      <c r="H216" s="43" t="s">
        <v>9063</v>
      </c>
      <c r="J216" s="29">
        <f t="shared" si="13"/>
        <v>1</v>
      </c>
      <c r="K216" s="127">
        <v>209</v>
      </c>
      <c r="L216" s="123" t="s">
        <v>8943</v>
      </c>
      <c r="M216" s="44" t="s">
        <v>405</v>
      </c>
      <c r="N216" s="44" t="s">
        <v>549</v>
      </c>
      <c r="O216" s="44" t="str">
        <f t="shared" ref="O216:O228" si="15">F216</f>
        <v>PE-L1-3C10-02</v>
      </c>
      <c r="P216" s="45">
        <v>2</v>
      </c>
      <c r="Q216" s="44">
        <v>230</v>
      </c>
      <c r="R216" s="44" t="s">
        <v>49</v>
      </c>
      <c r="S216" s="126">
        <v>90</v>
      </c>
      <c r="T216" s="46" t="s">
        <v>4083</v>
      </c>
      <c r="U216" s="122" t="s">
        <v>4331</v>
      </c>
      <c r="V216" s="122" t="s">
        <v>4332</v>
      </c>
      <c r="W216" s="46" t="s">
        <v>397</v>
      </c>
      <c r="X216" s="172" t="s">
        <v>9167</v>
      </c>
      <c r="Y216" s="46" t="s">
        <v>4396</v>
      </c>
      <c r="Z216" s="46" t="s">
        <v>4259</v>
      </c>
      <c r="AA216" s="46" t="s">
        <v>4260</v>
      </c>
      <c r="AB216" s="172" t="s">
        <v>9167</v>
      </c>
      <c r="AC216" s="76" t="s">
        <v>9017</v>
      </c>
      <c r="AD216" s="30"/>
      <c r="AE216" s="197"/>
      <c r="AF216" s="47"/>
    </row>
    <row r="217" spans="1:32" s="29" customFormat="1" ht="69.95" hidden="1" customHeight="1">
      <c r="A217" s="29" t="s">
        <v>4383</v>
      </c>
      <c r="B217" s="29" t="s">
        <v>3769</v>
      </c>
      <c r="C217" s="40" t="s">
        <v>32</v>
      </c>
      <c r="D217" s="40"/>
      <c r="E217" s="57" t="s">
        <v>80</v>
      </c>
      <c r="F217" s="57" t="s">
        <v>80</v>
      </c>
      <c r="G217" s="29" t="s">
        <v>796</v>
      </c>
      <c r="J217" s="29">
        <f t="shared" si="13"/>
        <v>1</v>
      </c>
      <c r="K217" s="42">
        <v>210</v>
      </c>
      <c r="L217" s="43" t="s">
        <v>797</v>
      </c>
      <c r="M217" s="44" t="s">
        <v>405</v>
      </c>
      <c r="N217" s="44" t="s">
        <v>549</v>
      </c>
      <c r="O217" s="44" t="str">
        <f t="shared" si="15"/>
        <v>PE-L1-3C10-02</v>
      </c>
      <c r="P217" s="45">
        <v>2</v>
      </c>
      <c r="Q217" s="44">
        <v>230</v>
      </c>
      <c r="R217" s="44" t="s">
        <v>428</v>
      </c>
      <c r="S217" s="44">
        <v>110</v>
      </c>
      <c r="T217" s="46" t="s">
        <v>4083</v>
      </c>
      <c r="U217" s="46" t="s">
        <v>4383</v>
      </c>
      <c r="V217" s="46" t="s">
        <v>4384</v>
      </c>
      <c r="W217" s="46" t="s">
        <v>397</v>
      </c>
      <c r="X217" s="172" t="s">
        <v>9167</v>
      </c>
      <c r="Y217" s="46" t="s">
        <v>4396</v>
      </c>
      <c r="Z217" s="46" t="s">
        <v>4262</v>
      </c>
      <c r="AA217" s="46" t="s">
        <v>4260</v>
      </c>
      <c r="AB217" s="172" t="s">
        <v>9167</v>
      </c>
      <c r="AC217" s="48" t="s">
        <v>4397</v>
      </c>
      <c r="AD217" s="30"/>
      <c r="AE217" s="197"/>
      <c r="AF217" s="47"/>
    </row>
    <row r="218" spans="1:32" s="29" customFormat="1" ht="69.95" hidden="1" customHeight="1">
      <c r="A218" s="29" t="s">
        <v>4025</v>
      </c>
      <c r="B218" s="29" t="s">
        <v>3769</v>
      </c>
      <c r="C218" s="40" t="s">
        <v>40</v>
      </c>
      <c r="D218" s="124" t="s">
        <v>9396</v>
      </c>
      <c r="E218" s="58" t="s">
        <v>85</v>
      </c>
      <c r="F218" s="176" t="s">
        <v>9395</v>
      </c>
      <c r="G218" s="29" t="s">
        <v>798</v>
      </c>
      <c r="J218" s="29">
        <f t="shared" si="13"/>
        <v>1</v>
      </c>
      <c r="K218" s="127">
        <v>211</v>
      </c>
      <c r="L218" s="43" t="s">
        <v>799</v>
      </c>
      <c r="M218" s="44" t="s">
        <v>405</v>
      </c>
      <c r="N218" s="44" t="s">
        <v>426</v>
      </c>
      <c r="O218" s="177" t="str">
        <f t="shared" si="15"/>
        <v>PE-L1-3C4-05</v>
      </c>
      <c r="P218" s="45" t="s">
        <v>654</v>
      </c>
      <c r="Q218" s="44">
        <v>230</v>
      </c>
      <c r="R218" s="44" t="s">
        <v>428</v>
      </c>
      <c r="S218" s="126">
        <v>30</v>
      </c>
      <c r="T218" s="46" t="s">
        <v>4083</v>
      </c>
      <c r="U218" s="46" t="s">
        <v>4025</v>
      </c>
      <c r="V218" s="46" t="s">
        <v>4026</v>
      </c>
      <c r="W218" s="46" t="s">
        <v>55</v>
      </c>
      <c r="X218" s="172" t="s">
        <v>9167</v>
      </c>
      <c r="Y218" s="46" t="s">
        <v>4398</v>
      </c>
      <c r="Z218" s="46" t="s">
        <v>4265</v>
      </c>
      <c r="AA218" s="46" t="s">
        <v>3957</v>
      </c>
      <c r="AB218" s="172" t="s">
        <v>9167</v>
      </c>
      <c r="AC218" s="76" t="s">
        <v>4266</v>
      </c>
      <c r="AD218" s="30"/>
      <c r="AE218" s="197"/>
      <c r="AF218" s="47"/>
    </row>
    <row r="219" spans="1:32" s="29" customFormat="1" ht="69.95" hidden="1" customHeight="1">
      <c r="A219" s="29" t="s">
        <v>4059</v>
      </c>
      <c r="B219" s="29" t="s">
        <v>3769</v>
      </c>
      <c r="C219" s="40" t="s">
        <v>40</v>
      </c>
      <c r="D219" s="40"/>
      <c r="E219" s="57" t="s">
        <v>85</v>
      </c>
      <c r="F219" s="57" t="s">
        <v>85</v>
      </c>
      <c r="G219" s="29" t="s">
        <v>800</v>
      </c>
      <c r="J219" s="29">
        <f t="shared" si="13"/>
        <v>1</v>
      </c>
      <c r="K219" s="127">
        <v>212</v>
      </c>
      <c r="L219" s="43" t="s">
        <v>801</v>
      </c>
      <c r="M219" s="44" t="s">
        <v>405</v>
      </c>
      <c r="N219" s="44" t="s">
        <v>426</v>
      </c>
      <c r="O219" s="44" t="str">
        <f t="shared" si="15"/>
        <v>PE-L1-3C4-16</v>
      </c>
      <c r="P219" s="45" t="s">
        <v>654</v>
      </c>
      <c r="Q219" s="44">
        <v>230</v>
      </c>
      <c r="R219" s="44" t="s">
        <v>428</v>
      </c>
      <c r="S219" s="126">
        <v>30</v>
      </c>
      <c r="T219" s="46" t="s">
        <v>4083</v>
      </c>
      <c r="U219" s="46" t="s">
        <v>4059</v>
      </c>
      <c r="V219" s="46" t="s">
        <v>4060</v>
      </c>
      <c r="W219" s="46" t="s">
        <v>55</v>
      </c>
      <c r="X219" s="172" t="s">
        <v>9167</v>
      </c>
      <c r="Y219" s="46" t="s">
        <v>4398</v>
      </c>
      <c r="Z219" s="46" t="s">
        <v>4267</v>
      </c>
      <c r="AA219" s="46" t="s">
        <v>3957</v>
      </c>
      <c r="AB219" s="172" t="s">
        <v>9167</v>
      </c>
      <c r="AC219" s="76" t="s">
        <v>3958</v>
      </c>
      <c r="AD219" s="30"/>
      <c r="AE219" s="197"/>
      <c r="AF219" s="47"/>
    </row>
    <row r="220" spans="1:32" s="29" customFormat="1" ht="69.95" hidden="1" customHeight="1">
      <c r="A220" s="29" t="s">
        <v>4025</v>
      </c>
      <c r="B220" s="29" t="s">
        <v>3769</v>
      </c>
      <c r="C220" s="40" t="s">
        <v>32</v>
      </c>
      <c r="D220" s="40"/>
      <c r="E220" s="57" t="s">
        <v>8572</v>
      </c>
      <c r="F220" s="57" t="s">
        <v>8572</v>
      </c>
      <c r="G220" s="29" t="s">
        <v>802</v>
      </c>
      <c r="J220" s="29">
        <f t="shared" si="13"/>
        <v>1</v>
      </c>
      <c r="K220" s="42">
        <v>213</v>
      </c>
      <c r="L220" s="43" t="s">
        <v>803</v>
      </c>
      <c r="M220" s="44" t="s">
        <v>405</v>
      </c>
      <c r="N220" s="44" t="s">
        <v>426</v>
      </c>
      <c r="O220" s="44" t="str">
        <f t="shared" si="15"/>
        <v>PE-L1-3C4-26</v>
      </c>
      <c r="P220" s="45">
        <v>0.5</v>
      </c>
      <c r="Q220" s="44">
        <v>230</v>
      </c>
      <c r="R220" s="44" t="s">
        <v>428</v>
      </c>
      <c r="S220" s="44">
        <v>70</v>
      </c>
      <c r="T220" s="46" t="s">
        <v>4083</v>
      </c>
      <c r="U220" s="46" t="s">
        <v>4025</v>
      </c>
      <c r="V220" s="46" t="s">
        <v>4026</v>
      </c>
      <c r="W220" s="46" t="s">
        <v>55</v>
      </c>
      <c r="X220" s="172" t="s">
        <v>9167</v>
      </c>
      <c r="Y220" s="46" t="s">
        <v>4400</v>
      </c>
      <c r="Z220" s="46" t="s">
        <v>4269</v>
      </c>
      <c r="AA220" s="46" t="s">
        <v>3957</v>
      </c>
      <c r="AB220" s="172" t="s">
        <v>9167</v>
      </c>
      <c r="AC220" s="48" t="s">
        <v>53</v>
      </c>
      <c r="AD220" s="30"/>
      <c r="AE220" s="197"/>
      <c r="AF220" s="47"/>
    </row>
    <row r="221" spans="1:32" s="29" customFormat="1" ht="69.95" hidden="1" customHeight="1">
      <c r="A221" s="29" t="s">
        <v>4059</v>
      </c>
      <c r="B221" s="29" t="s">
        <v>3769</v>
      </c>
      <c r="C221" s="40" t="s">
        <v>32</v>
      </c>
      <c r="D221" s="40"/>
      <c r="E221" s="57" t="s">
        <v>8572</v>
      </c>
      <c r="F221" s="57" t="s">
        <v>8572</v>
      </c>
      <c r="G221" s="29" t="s">
        <v>804</v>
      </c>
      <c r="J221" s="29">
        <f t="shared" si="13"/>
        <v>1</v>
      </c>
      <c r="K221" s="42">
        <v>214</v>
      </c>
      <c r="L221" s="43" t="s">
        <v>805</v>
      </c>
      <c r="M221" s="44" t="s">
        <v>405</v>
      </c>
      <c r="N221" s="44" t="s">
        <v>426</v>
      </c>
      <c r="O221" s="44" t="str">
        <f t="shared" si="15"/>
        <v>PE-L1-3C4-26</v>
      </c>
      <c r="P221" s="45">
        <v>2</v>
      </c>
      <c r="Q221" s="44">
        <v>230</v>
      </c>
      <c r="R221" s="44" t="s">
        <v>428</v>
      </c>
      <c r="S221" s="44">
        <v>70</v>
      </c>
      <c r="T221" s="46" t="s">
        <v>4083</v>
      </c>
      <c r="U221" s="46" t="s">
        <v>4059</v>
      </c>
      <c r="V221" s="46" t="s">
        <v>4060</v>
      </c>
      <c r="W221" s="46" t="s">
        <v>55</v>
      </c>
      <c r="X221" s="172" t="s">
        <v>9167</v>
      </c>
      <c r="Y221" s="46" t="s">
        <v>4401</v>
      </c>
      <c r="Z221" s="46" t="s">
        <v>4271</v>
      </c>
      <c r="AA221" s="46" t="s">
        <v>3957</v>
      </c>
      <c r="AB221" s="172" t="s">
        <v>9167</v>
      </c>
      <c r="AC221" s="48" t="s">
        <v>53</v>
      </c>
      <c r="AD221" s="30"/>
      <c r="AE221" s="197"/>
      <c r="AF221" s="47"/>
    </row>
    <row r="222" spans="1:32" s="29" customFormat="1" ht="69.95" hidden="1" customHeight="1">
      <c r="A222" s="29" t="s">
        <v>4283</v>
      </c>
      <c r="B222" s="29" t="s">
        <v>3769</v>
      </c>
      <c r="C222" s="40" t="s">
        <v>43</v>
      </c>
      <c r="D222" s="40"/>
      <c r="E222" s="57" t="s">
        <v>8580</v>
      </c>
      <c r="F222" s="57" t="s">
        <v>8580</v>
      </c>
      <c r="G222" s="29" t="s">
        <v>806</v>
      </c>
      <c r="J222" s="29">
        <f t="shared" si="13"/>
        <v>1</v>
      </c>
      <c r="K222" s="42">
        <v>215</v>
      </c>
      <c r="L222" s="43" t="s">
        <v>807</v>
      </c>
      <c r="M222" s="44" t="s">
        <v>405</v>
      </c>
      <c r="N222" s="44" t="s">
        <v>578</v>
      </c>
      <c r="O222" s="44" t="str">
        <f t="shared" si="15"/>
        <v>PE-L1-2C4-06</v>
      </c>
      <c r="P222" s="45">
        <v>1</v>
      </c>
      <c r="Q222" s="44">
        <v>220</v>
      </c>
      <c r="R222" s="44" t="s">
        <v>509</v>
      </c>
      <c r="S222" s="44">
        <v>120</v>
      </c>
      <c r="T222" s="46" t="s">
        <v>4083</v>
      </c>
      <c r="U222" s="46" t="s">
        <v>4283</v>
      </c>
      <c r="V222" s="46" t="s">
        <v>4284</v>
      </c>
      <c r="W222" s="46" t="s">
        <v>397</v>
      </c>
      <c r="X222" s="172" t="s">
        <v>8942</v>
      </c>
      <c r="Y222" s="46" t="s">
        <v>4402</v>
      </c>
      <c r="Z222" s="46" t="s">
        <v>4273</v>
      </c>
      <c r="AA222" s="46" t="s">
        <v>4281</v>
      </c>
      <c r="AB222" s="172" t="s">
        <v>8942</v>
      </c>
      <c r="AC222" s="48" t="s">
        <v>4403</v>
      </c>
      <c r="AD222" s="30"/>
      <c r="AE222" s="197"/>
      <c r="AF222" s="47"/>
    </row>
    <row r="223" spans="1:32" s="29" customFormat="1" ht="69.95" hidden="1" customHeight="1">
      <c r="A223" s="29" t="s">
        <v>4331</v>
      </c>
      <c r="B223" s="29" t="s">
        <v>3769</v>
      </c>
      <c r="C223" s="40" t="s">
        <v>41</v>
      </c>
      <c r="D223" s="40"/>
      <c r="E223" s="57" t="s">
        <v>85</v>
      </c>
      <c r="F223" s="57" t="s">
        <v>85</v>
      </c>
      <c r="G223" s="29" t="s">
        <v>808</v>
      </c>
      <c r="J223" s="29">
        <f t="shared" si="13"/>
        <v>1</v>
      </c>
      <c r="K223" s="42">
        <v>216</v>
      </c>
      <c r="L223" s="43" t="s">
        <v>809</v>
      </c>
      <c r="M223" s="44" t="s">
        <v>405</v>
      </c>
      <c r="N223" s="44" t="s">
        <v>426</v>
      </c>
      <c r="O223" s="44" t="str">
        <f t="shared" si="15"/>
        <v>PE-L1-3C4-16</v>
      </c>
      <c r="P223" s="45">
        <v>1</v>
      </c>
      <c r="Q223" s="44">
        <v>230</v>
      </c>
      <c r="R223" s="44" t="s">
        <v>49</v>
      </c>
      <c r="S223" s="44">
        <v>70</v>
      </c>
      <c r="T223" s="46" t="s">
        <v>4083</v>
      </c>
      <c r="U223" s="46" t="s">
        <v>4331</v>
      </c>
      <c r="V223" s="46" t="s">
        <v>4332</v>
      </c>
      <c r="W223" s="46" t="s">
        <v>397</v>
      </c>
      <c r="X223" s="172" t="s">
        <v>9167</v>
      </c>
      <c r="Y223" s="46" t="s">
        <v>4404</v>
      </c>
      <c r="Z223" s="46" t="s">
        <v>4276</v>
      </c>
      <c r="AA223" s="46" t="s">
        <v>4281</v>
      </c>
      <c r="AB223" s="172" t="s">
        <v>9167</v>
      </c>
      <c r="AC223" s="48" t="s">
        <v>4405</v>
      </c>
      <c r="AD223" s="30"/>
      <c r="AE223" s="197"/>
      <c r="AF223" s="47"/>
    </row>
    <row r="224" spans="1:32" s="29" customFormat="1" ht="69.95" hidden="1" customHeight="1">
      <c r="A224" s="29" t="s">
        <v>4407</v>
      </c>
      <c r="B224" s="29" t="s">
        <v>3769</v>
      </c>
      <c r="C224" s="40" t="s">
        <v>32</v>
      </c>
      <c r="D224" s="40"/>
      <c r="E224" s="57" t="s">
        <v>68</v>
      </c>
      <c r="F224" s="57" t="s">
        <v>68</v>
      </c>
      <c r="G224" s="29" t="s">
        <v>810</v>
      </c>
      <c r="J224" s="29">
        <f t="shared" si="13"/>
        <v>1</v>
      </c>
      <c r="K224" s="189">
        <v>217</v>
      </c>
      <c r="L224" s="43" t="s">
        <v>811</v>
      </c>
      <c r="M224" s="44" t="s">
        <v>405</v>
      </c>
      <c r="N224" s="188" t="s">
        <v>543</v>
      </c>
      <c r="O224" s="44" t="str">
        <f t="shared" si="15"/>
        <v>PE-L1-4C10-01</v>
      </c>
      <c r="P224" s="45">
        <v>15</v>
      </c>
      <c r="Q224" s="44">
        <v>400</v>
      </c>
      <c r="R224" s="44" t="s">
        <v>49</v>
      </c>
      <c r="S224" s="188">
        <v>175</v>
      </c>
      <c r="T224" s="46" t="s">
        <v>4406</v>
      </c>
      <c r="U224" s="46" t="s">
        <v>4407</v>
      </c>
      <c r="V224" s="46" t="s">
        <v>4408</v>
      </c>
      <c r="W224" s="46" t="s">
        <v>335</v>
      </c>
      <c r="X224" s="47" t="s">
        <v>9305</v>
      </c>
      <c r="Y224" s="46" t="s">
        <v>4409</v>
      </c>
      <c r="Z224" s="46" t="s">
        <v>8629</v>
      </c>
      <c r="AA224" s="46" t="s">
        <v>4410</v>
      </c>
      <c r="AB224" s="47" t="s">
        <v>9305</v>
      </c>
      <c r="AC224" s="190" t="s">
        <v>4411</v>
      </c>
      <c r="AD224" s="204"/>
      <c r="AE224" s="197"/>
      <c r="AF224" s="47"/>
    </row>
    <row r="225" spans="1:32" s="29" customFormat="1" ht="69.95" hidden="1" customHeight="1">
      <c r="A225" s="29" t="s">
        <v>4412</v>
      </c>
      <c r="B225" s="29" t="s">
        <v>3769</v>
      </c>
      <c r="C225" s="40" t="s">
        <v>32</v>
      </c>
      <c r="D225" s="40"/>
      <c r="E225" s="57" t="s">
        <v>68</v>
      </c>
      <c r="F225" s="57" t="s">
        <v>68</v>
      </c>
      <c r="G225" s="29" t="s">
        <v>812</v>
      </c>
      <c r="J225" s="29">
        <f t="shared" si="13"/>
        <v>1</v>
      </c>
      <c r="K225" s="189">
        <v>218</v>
      </c>
      <c r="L225" s="43" t="s">
        <v>813</v>
      </c>
      <c r="M225" s="44" t="s">
        <v>405</v>
      </c>
      <c r="N225" s="188" t="s">
        <v>543</v>
      </c>
      <c r="O225" s="44" t="str">
        <f t="shared" si="15"/>
        <v>PE-L1-4C10-01</v>
      </c>
      <c r="P225" s="45">
        <v>15</v>
      </c>
      <c r="Q225" s="44">
        <v>400</v>
      </c>
      <c r="R225" s="44" t="s">
        <v>49</v>
      </c>
      <c r="S225" s="188">
        <v>170</v>
      </c>
      <c r="T225" s="46" t="s">
        <v>4406</v>
      </c>
      <c r="U225" s="46" t="s">
        <v>4412</v>
      </c>
      <c r="V225" s="46" t="s">
        <v>4413</v>
      </c>
      <c r="W225" s="46" t="s">
        <v>335</v>
      </c>
      <c r="X225" s="47" t="s">
        <v>9305</v>
      </c>
      <c r="Y225" s="46" t="s">
        <v>4414</v>
      </c>
      <c r="Z225" s="46" t="s">
        <v>9503</v>
      </c>
      <c r="AA225" s="46" t="s">
        <v>4410</v>
      </c>
      <c r="AB225" s="47" t="s">
        <v>9305</v>
      </c>
      <c r="AC225" s="190" t="s">
        <v>4415</v>
      </c>
      <c r="AD225" s="204"/>
      <c r="AE225" s="197"/>
      <c r="AF225" s="47"/>
    </row>
    <row r="226" spans="1:32" s="29" customFormat="1" ht="69.95" hidden="1" customHeight="1">
      <c r="A226" s="29" t="s">
        <v>4412</v>
      </c>
      <c r="B226" s="29" t="s">
        <v>3769</v>
      </c>
      <c r="C226" s="40" t="s">
        <v>36</v>
      </c>
      <c r="D226" s="40"/>
      <c r="E226" s="57" t="s">
        <v>86</v>
      </c>
      <c r="F226" s="57" t="s">
        <v>86</v>
      </c>
      <c r="G226" s="29" t="s">
        <v>814</v>
      </c>
      <c r="J226" s="29">
        <f t="shared" si="13"/>
        <v>1</v>
      </c>
      <c r="K226" s="42">
        <v>219</v>
      </c>
      <c r="L226" s="43" t="s">
        <v>815</v>
      </c>
      <c r="M226" s="44" t="s">
        <v>405</v>
      </c>
      <c r="N226" s="44" t="s">
        <v>536</v>
      </c>
      <c r="O226" s="44" t="str">
        <f t="shared" si="15"/>
        <v>PE-L1-4C4-06</v>
      </c>
      <c r="P226" s="45">
        <v>3.2</v>
      </c>
      <c r="Q226" s="44">
        <v>400</v>
      </c>
      <c r="R226" s="44" t="s">
        <v>49</v>
      </c>
      <c r="S226" s="44">
        <v>180</v>
      </c>
      <c r="T226" s="46" t="s">
        <v>4406</v>
      </c>
      <c r="U226" s="46" t="s">
        <v>4412</v>
      </c>
      <c r="V226" s="46" t="s">
        <v>4413</v>
      </c>
      <c r="W226" s="46" t="s">
        <v>335</v>
      </c>
      <c r="X226" s="47" t="s">
        <v>9305</v>
      </c>
      <c r="Y226" s="46" t="s">
        <v>4416</v>
      </c>
      <c r="Z226" s="46" t="s">
        <v>4417</v>
      </c>
      <c r="AA226" s="46" t="s">
        <v>4410</v>
      </c>
      <c r="AB226" s="47" t="s">
        <v>9305</v>
      </c>
      <c r="AC226" s="48" t="s">
        <v>4418</v>
      </c>
      <c r="AD226" s="30"/>
      <c r="AE226" s="197"/>
      <c r="AF226" s="47"/>
    </row>
    <row r="227" spans="1:32" s="29" customFormat="1" ht="69.95" hidden="1" customHeight="1">
      <c r="A227" s="29" t="s">
        <v>4407</v>
      </c>
      <c r="B227" s="29" t="s">
        <v>3769</v>
      </c>
      <c r="C227" s="40" t="s">
        <v>36</v>
      </c>
      <c r="D227" s="40"/>
      <c r="E227" s="57" t="s">
        <v>76</v>
      </c>
      <c r="F227" s="57" t="s">
        <v>76</v>
      </c>
      <c r="G227" s="29" t="s">
        <v>816</v>
      </c>
      <c r="J227" s="29">
        <f t="shared" si="13"/>
        <v>1</v>
      </c>
      <c r="K227" s="42">
        <v>220</v>
      </c>
      <c r="L227" s="43" t="s">
        <v>817</v>
      </c>
      <c r="M227" s="44" t="s">
        <v>405</v>
      </c>
      <c r="N227" s="44" t="s">
        <v>536</v>
      </c>
      <c r="O227" s="44" t="str">
        <f t="shared" si="15"/>
        <v>PE-L1-4C4-02</v>
      </c>
      <c r="P227" s="45">
        <v>3.2</v>
      </c>
      <c r="Q227" s="44">
        <v>400</v>
      </c>
      <c r="R227" s="44" t="s">
        <v>49</v>
      </c>
      <c r="S227" s="44">
        <v>180</v>
      </c>
      <c r="T227" s="46" t="s">
        <v>4406</v>
      </c>
      <c r="U227" s="46" t="s">
        <v>4407</v>
      </c>
      <c r="V227" s="46" t="s">
        <v>4408</v>
      </c>
      <c r="W227" s="46" t="s">
        <v>335</v>
      </c>
      <c r="X227" s="47" t="s">
        <v>9305</v>
      </c>
      <c r="Y227" s="46" t="s">
        <v>4419</v>
      </c>
      <c r="Z227" s="46" t="s">
        <v>4420</v>
      </c>
      <c r="AA227" s="46" t="s">
        <v>4410</v>
      </c>
      <c r="AB227" s="47" t="s">
        <v>9305</v>
      </c>
      <c r="AC227" s="48" t="s">
        <v>4421</v>
      </c>
      <c r="AD227" s="30"/>
      <c r="AE227" s="197"/>
      <c r="AF227" s="47"/>
    </row>
    <row r="228" spans="1:32" s="29" customFormat="1" ht="69.95" hidden="1" customHeight="1">
      <c r="A228" s="29" t="s">
        <v>4407</v>
      </c>
      <c r="B228" s="29" t="s">
        <v>3769</v>
      </c>
      <c r="C228" s="40" t="s">
        <v>38</v>
      </c>
      <c r="D228" s="40"/>
      <c r="E228" s="57" t="s">
        <v>87</v>
      </c>
      <c r="F228" s="57" t="s">
        <v>87</v>
      </c>
      <c r="G228" s="29" t="s">
        <v>818</v>
      </c>
      <c r="J228" s="29">
        <f t="shared" si="13"/>
        <v>1</v>
      </c>
      <c r="K228" s="42">
        <v>221</v>
      </c>
      <c r="L228" s="43" t="s">
        <v>819</v>
      </c>
      <c r="M228" s="44" t="s">
        <v>405</v>
      </c>
      <c r="N228" s="44" t="s">
        <v>673</v>
      </c>
      <c r="O228" s="44" t="str">
        <f t="shared" si="15"/>
        <v>PE-L1-5C95/50-01</v>
      </c>
      <c r="P228" s="45">
        <v>50</v>
      </c>
      <c r="Q228" s="44">
        <v>400</v>
      </c>
      <c r="R228" s="44" t="s">
        <v>49</v>
      </c>
      <c r="S228" s="44">
        <v>290</v>
      </c>
      <c r="T228" s="46" t="s">
        <v>4406</v>
      </c>
      <c r="U228" s="46" t="s">
        <v>4407</v>
      </c>
      <c r="V228" s="46" t="s">
        <v>4408</v>
      </c>
      <c r="W228" s="46" t="s">
        <v>335</v>
      </c>
      <c r="X228" s="47" t="s">
        <v>9310</v>
      </c>
      <c r="Y228" s="46" t="s">
        <v>4422</v>
      </c>
      <c r="Z228" s="46" t="s">
        <v>8368</v>
      </c>
      <c r="AA228" s="46" t="s">
        <v>4410</v>
      </c>
      <c r="AB228" s="47" t="s">
        <v>9310</v>
      </c>
      <c r="AC228" s="48" t="s">
        <v>4423</v>
      </c>
      <c r="AD228" s="30"/>
      <c r="AE228" s="197"/>
      <c r="AF228" s="47"/>
    </row>
    <row r="229" spans="1:32" s="29" customFormat="1" ht="69.95" hidden="1" customHeight="1">
      <c r="A229" s="29" t="s">
        <v>3959</v>
      </c>
      <c r="B229" s="29" t="s">
        <v>3769</v>
      </c>
      <c r="C229" s="40" t="s">
        <v>36</v>
      </c>
      <c r="D229" s="40"/>
      <c r="E229" s="57" t="s">
        <v>8371</v>
      </c>
      <c r="F229" s="57" t="s">
        <v>8371</v>
      </c>
      <c r="G229" s="29" t="s">
        <v>820</v>
      </c>
      <c r="H229" s="124" t="s">
        <v>9154</v>
      </c>
      <c r="I229" s="124" t="s">
        <v>9121</v>
      </c>
      <c r="J229" s="29">
        <f t="shared" si="13"/>
        <v>1</v>
      </c>
      <c r="K229" s="42">
        <v>222</v>
      </c>
      <c r="L229" s="152" t="s">
        <v>821</v>
      </c>
      <c r="M229" s="44" t="s">
        <v>405</v>
      </c>
      <c r="N229" s="44" t="s">
        <v>822</v>
      </c>
      <c r="O229" s="101" t="str">
        <f>F229</f>
        <v>PE-L1-3C150/95-01</v>
      </c>
      <c r="P229" s="45">
        <v>10</v>
      </c>
      <c r="Q229" s="44">
        <v>230</v>
      </c>
      <c r="R229" s="44" t="s">
        <v>428</v>
      </c>
      <c r="S229" s="101">
        <v>260</v>
      </c>
      <c r="T229" s="46" t="s">
        <v>4406</v>
      </c>
      <c r="U229" s="46" t="s">
        <v>3959</v>
      </c>
      <c r="V229" s="46" t="s">
        <v>3960</v>
      </c>
      <c r="W229" s="46" t="s">
        <v>335</v>
      </c>
      <c r="X229" s="172" t="s">
        <v>9167</v>
      </c>
      <c r="Y229" s="46" t="s">
        <v>4424</v>
      </c>
      <c r="Z229" s="46" t="s">
        <v>4425</v>
      </c>
      <c r="AA229" s="46" t="s">
        <v>4410</v>
      </c>
      <c r="AB229" s="172" t="s">
        <v>9167</v>
      </c>
      <c r="AC229" s="48" t="s">
        <v>4426</v>
      </c>
      <c r="AD229" s="30"/>
      <c r="AE229" s="197"/>
      <c r="AF229" s="47"/>
    </row>
    <row r="230" spans="1:32" s="29" customFormat="1" ht="69.95" hidden="1" customHeight="1">
      <c r="A230" s="29" t="s">
        <v>3994</v>
      </c>
      <c r="B230" s="29" t="s">
        <v>3769</v>
      </c>
      <c r="C230" s="40" t="s">
        <v>36</v>
      </c>
      <c r="D230" s="40"/>
      <c r="E230" s="57" t="s">
        <v>8371</v>
      </c>
      <c r="F230" s="57" t="s">
        <v>8371</v>
      </c>
      <c r="G230" s="29" t="s">
        <v>823</v>
      </c>
      <c r="J230" s="29">
        <f t="shared" si="13"/>
        <v>1</v>
      </c>
      <c r="K230" s="127">
        <v>223</v>
      </c>
      <c r="L230" s="43" t="s">
        <v>9397</v>
      </c>
      <c r="M230" s="44" t="s">
        <v>405</v>
      </c>
      <c r="N230" s="44" t="s">
        <v>822</v>
      </c>
      <c r="O230" s="44" t="str">
        <f t="shared" ref="O230:O236" si="16">F230</f>
        <v>PE-L1-3C150/95-01</v>
      </c>
      <c r="P230" s="45">
        <v>10</v>
      </c>
      <c r="Q230" s="44">
        <v>230</v>
      </c>
      <c r="R230" s="44" t="s">
        <v>428</v>
      </c>
      <c r="S230" s="44">
        <v>260</v>
      </c>
      <c r="T230" s="46" t="s">
        <v>4406</v>
      </c>
      <c r="U230" s="46" t="s">
        <v>3994</v>
      </c>
      <c r="V230" s="46" t="s">
        <v>3995</v>
      </c>
      <c r="W230" s="46" t="s">
        <v>335</v>
      </c>
      <c r="X230" s="172" t="s">
        <v>9167</v>
      </c>
      <c r="Y230" s="46" t="s">
        <v>4427</v>
      </c>
      <c r="Z230" s="46" t="s">
        <v>4428</v>
      </c>
      <c r="AA230" s="46" t="s">
        <v>4410</v>
      </c>
      <c r="AB230" s="172" t="s">
        <v>9167</v>
      </c>
      <c r="AC230" s="76" t="s">
        <v>9183</v>
      </c>
      <c r="AD230" s="30"/>
      <c r="AE230" s="197"/>
      <c r="AF230" s="47"/>
    </row>
    <row r="231" spans="1:32" s="29" customFormat="1" ht="69.95" hidden="1" customHeight="1">
      <c r="A231" s="29" t="str">
        <f>AA231</f>
        <v>1.1_MAIN BUILDING COMPLEX / HRSG #11</v>
      </c>
      <c r="B231" s="29" t="s">
        <v>3769</v>
      </c>
      <c r="C231" s="142" t="s">
        <v>9124</v>
      </c>
      <c r="D231" s="124" t="s">
        <v>9045</v>
      </c>
      <c r="E231" s="58" t="s">
        <v>125</v>
      </c>
      <c r="F231" s="58" t="s">
        <v>125</v>
      </c>
      <c r="G231" s="131" t="s">
        <v>9064</v>
      </c>
      <c r="H231" s="43" t="s">
        <v>824</v>
      </c>
      <c r="J231" s="29">
        <f t="shared" si="13"/>
        <v>1</v>
      </c>
      <c r="K231" s="127">
        <v>224</v>
      </c>
      <c r="L231" s="123" t="s">
        <v>9123</v>
      </c>
      <c r="M231" s="44" t="s">
        <v>405</v>
      </c>
      <c r="N231" s="44" t="s">
        <v>673</v>
      </c>
      <c r="O231" s="44" t="str">
        <f t="shared" si="16"/>
        <v>PE-L1-5C95/50-02</v>
      </c>
      <c r="P231" s="45">
        <v>50</v>
      </c>
      <c r="Q231" s="44">
        <v>400</v>
      </c>
      <c r="R231" s="44" t="s">
        <v>49</v>
      </c>
      <c r="S231" s="44">
        <v>220</v>
      </c>
      <c r="T231" s="46" t="s">
        <v>4406</v>
      </c>
      <c r="U231" s="122" t="s">
        <v>9046</v>
      </c>
      <c r="V231" s="122" t="s">
        <v>4413</v>
      </c>
      <c r="W231" s="46" t="s">
        <v>335</v>
      </c>
      <c r="X231" s="47" t="s">
        <v>9310</v>
      </c>
      <c r="Y231" s="46" t="s">
        <v>4429</v>
      </c>
      <c r="Z231" s="46" t="s">
        <v>4430</v>
      </c>
      <c r="AA231" s="46" t="s">
        <v>4410</v>
      </c>
      <c r="AB231" s="47" t="s">
        <v>9310</v>
      </c>
      <c r="AC231" s="76" t="s">
        <v>9047</v>
      </c>
      <c r="AD231" s="30"/>
      <c r="AE231" s="197"/>
      <c r="AF231" s="47"/>
    </row>
    <row r="232" spans="1:32" s="29" customFormat="1" ht="69.95" hidden="1" customHeight="1">
      <c r="A232" s="29" t="s">
        <v>4412</v>
      </c>
      <c r="B232" s="29" t="s">
        <v>3769</v>
      </c>
      <c r="C232" s="40" t="s">
        <v>38</v>
      </c>
      <c r="D232" s="40"/>
      <c r="E232" s="57" t="s">
        <v>8611</v>
      </c>
      <c r="F232" s="57" t="s">
        <v>8611</v>
      </c>
      <c r="G232" s="29" t="s">
        <v>825</v>
      </c>
      <c r="J232" s="29">
        <f t="shared" si="13"/>
        <v>1</v>
      </c>
      <c r="K232" s="42">
        <v>225</v>
      </c>
      <c r="L232" s="43" t="s">
        <v>826</v>
      </c>
      <c r="M232" s="44" t="s">
        <v>405</v>
      </c>
      <c r="N232" s="44" t="s">
        <v>536</v>
      </c>
      <c r="O232" s="44" t="str">
        <f t="shared" si="16"/>
        <v>PE-L1-4C4-26</v>
      </c>
      <c r="P232" s="45">
        <v>1.8</v>
      </c>
      <c r="Q232" s="44">
        <v>400</v>
      </c>
      <c r="R232" s="44" t="s">
        <v>49</v>
      </c>
      <c r="S232" s="44">
        <v>280</v>
      </c>
      <c r="T232" s="46" t="s">
        <v>4406</v>
      </c>
      <c r="U232" s="46" t="s">
        <v>4412</v>
      </c>
      <c r="V232" s="46" t="s">
        <v>4413</v>
      </c>
      <c r="W232" s="46" t="s">
        <v>335</v>
      </c>
      <c r="X232" s="47" t="s">
        <v>9305</v>
      </c>
      <c r="Y232" s="46" t="s">
        <v>4431</v>
      </c>
      <c r="Z232" s="46" t="s">
        <v>4432</v>
      </c>
      <c r="AA232" s="46" t="s">
        <v>4410</v>
      </c>
      <c r="AB232" s="47" t="s">
        <v>9305</v>
      </c>
      <c r="AC232" s="48" t="s">
        <v>4433</v>
      </c>
      <c r="AD232" s="30"/>
      <c r="AE232" s="197"/>
      <c r="AF232" s="47"/>
    </row>
    <row r="233" spans="1:32" s="29" customFormat="1" ht="69.95" hidden="1" customHeight="1">
      <c r="A233" s="29" t="s">
        <v>4407</v>
      </c>
      <c r="B233" s="29" t="s">
        <v>3769</v>
      </c>
      <c r="C233" s="40" t="s">
        <v>41</v>
      </c>
      <c r="D233" s="40"/>
      <c r="E233" s="57" t="s">
        <v>76</v>
      </c>
      <c r="F233" s="57" t="s">
        <v>76</v>
      </c>
      <c r="G233" s="29" t="s">
        <v>827</v>
      </c>
      <c r="J233" s="29">
        <f t="shared" si="13"/>
        <v>1</v>
      </c>
      <c r="K233" s="42">
        <v>226</v>
      </c>
      <c r="L233" s="43" t="s">
        <v>828</v>
      </c>
      <c r="M233" s="44" t="s">
        <v>405</v>
      </c>
      <c r="N233" s="44" t="s">
        <v>536</v>
      </c>
      <c r="O233" s="44" t="str">
        <f t="shared" si="16"/>
        <v>PE-L1-4C4-02</v>
      </c>
      <c r="P233" s="45">
        <v>1</v>
      </c>
      <c r="Q233" s="44">
        <v>400</v>
      </c>
      <c r="R233" s="44" t="s">
        <v>49</v>
      </c>
      <c r="S233" s="44">
        <v>280</v>
      </c>
      <c r="T233" s="46" t="s">
        <v>4406</v>
      </c>
      <c r="U233" s="46" t="s">
        <v>4407</v>
      </c>
      <c r="V233" s="46" t="s">
        <v>4408</v>
      </c>
      <c r="W233" s="46" t="s">
        <v>335</v>
      </c>
      <c r="X233" s="47" t="s">
        <v>9305</v>
      </c>
      <c r="Y233" s="46" t="s">
        <v>4434</v>
      </c>
      <c r="Z233" s="46" t="s">
        <v>4435</v>
      </c>
      <c r="AA233" s="46" t="s">
        <v>4410</v>
      </c>
      <c r="AB233" s="47" t="s">
        <v>9305</v>
      </c>
      <c r="AC233" s="48" t="s">
        <v>4436</v>
      </c>
      <c r="AD233" s="30"/>
      <c r="AE233" s="197"/>
      <c r="AF233" s="47"/>
    </row>
    <row r="234" spans="1:32" s="29" customFormat="1" ht="69.95" hidden="1" customHeight="1">
      <c r="A234" s="29" t="s">
        <v>4407</v>
      </c>
      <c r="B234" s="29" t="s">
        <v>3769</v>
      </c>
      <c r="C234" s="40" t="s">
        <v>42</v>
      </c>
      <c r="D234" s="40"/>
      <c r="E234" s="57" t="s">
        <v>8611</v>
      </c>
      <c r="F234" s="57" t="s">
        <v>8611</v>
      </c>
      <c r="G234" s="29" t="s">
        <v>829</v>
      </c>
      <c r="J234" s="29">
        <f t="shared" si="13"/>
        <v>1</v>
      </c>
      <c r="K234" s="42">
        <v>227</v>
      </c>
      <c r="L234" s="43" t="s">
        <v>830</v>
      </c>
      <c r="M234" s="44" t="s">
        <v>405</v>
      </c>
      <c r="N234" s="44" t="s">
        <v>536</v>
      </c>
      <c r="O234" s="44" t="str">
        <f t="shared" si="16"/>
        <v>PE-L1-4C4-26</v>
      </c>
      <c r="P234" s="45">
        <v>0.1</v>
      </c>
      <c r="Q234" s="44">
        <v>380</v>
      </c>
      <c r="R234" s="44" t="s">
        <v>49</v>
      </c>
      <c r="S234" s="44">
        <v>280</v>
      </c>
      <c r="T234" s="46" t="s">
        <v>4406</v>
      </c>
      <c r="U234" s="46" t="s">
        <v>4407</v>
      </c>
      <c r="V234" s="46" t="s">
        <v>4408</v>
      </c>
      <c r="W234" s="46" t="s">
        <v>335</v>
      </c>
      <c r="X234" s="47" t="s">
        <v>9305</v>
      </c>
      <c r="Y234" s="46" t="s">
        <v>4437</v>
      </c>
      <c r="Z234" s="46" t="s">
        <v>9392</v>
      </c>
      <c r="AA234" s="46" t="s">
        <v>4410</v>
      </c>
      <c r="AB234" s="47" t="s">
        <v>9305</v>
      </c>
      <c r="AC234" s="48" t="s">
        <v>4438</v>
      </c>
      <c r="AD234" s="30"/>
      <c r="AE234" s="197"/>
      <c r="AF234" s="47"/>
    </row>
    <row r="235" spans="1:32" s="29" customFormat="1" ht="69.95" hidden="1" customHeight="1">
      <c r="A235" s="29" t="s">
        <v>4439</v>
      </c>
      <c r="B235" s="29" t="s">
        <v>3769</v>
      </c>
      <c r="C235" s="40" t="s">
        <v>32</v>
      </c>
      <c r="D235" s="124" t="s">
        <v>9045</v>
      </c>
      <c r="E235" s="57" t="s">
        <v>89</v>
      </c>
      <c r="F235" s="57" t="s">
        <v>89</v>
      </c>
      <c r="G235" s="131" t="s">
        <v>9065</v>
      </c>
      <c r="H235" s="43" t="s">
        <v>831</v>
      </c>
      <c r="J235" s="29">
        <f t="shared" si="13"/>
        <v>1</v>
      </c>
      <c r="K235" s="189">
        <v>228</v>
      </c>
      <c r="L235" s="123" t="s">
        <v>833</v>
      </c>
      <c r="M235" s="44" t="s">
        <v>405</v>
      </c>
      <c r="N235" s="44" t="s">
        <v>8632</v>
      </c>
      <c r="O235" s="44" t="str">
        <f t="shared" si="16"/>
        <v>PE-L1-4C25/16-01</v>
      </c>
      <c r="P235" s="45">
        <v>15</v>
      </c>
      <c r="Q235" s="44">
        <v>400</v>
      </c>
      <c r="R235" s="44" t="s">
        <v>49</v>
      </c>
      <c r="S235" s="188">
        <v>360</v>
      </c>
      <c r="T235" s="46" t="s">
        <v>4406</v>
      </c>
      <c r="U235" s="122" t="s">
        <v>4444</v>
      </c>
      <c r="V235" s="122" t="s">
        <v>4445</v>
      </c>
      <c r="W235" s="46" t="s">
        <v>335</v>
      </c>
      <c r="X235" s="47" t="s">
        <v>9305</v>
      </c>
      <c r="Y235" s="46" t="s">
        <v>4441</v>
      </c>
      <c r="Z235" s="46" t="s">
        <v>4442</v>
      </c>
      <c r="AA235" s="46" t="s">
        <v>4443</v>
      </c>
      <c r="AB235" s="47" t="s">
        <v>9305</v>
      </c>
      <c r="AC235" s="76" t="s">
        <v>9018</v>
      </c>
      <c r="AD235" s="204"/>
      <c r="AE235" s="197"/>
      <c r="AF235" s="47"/>
    </row>
    <row r="236" spans="1:32" s="29" customFormat="1" ht="69.95" hidden="1" customHeight="1">
      <c r="A236" s="29" t="s">
        <v>4444</v>
      </c>
      <c r="B236" s="29" t="s">
        <v>3769</v>
      </c>
      <c r="C236" s="40" t="s">
        <v>32</v>
      </c>
      <c r="D236" s="124" t="s">
        <v>9045</v>
      </c>
      <c r="E236" s="57" t="s">
        <v>89</v>
      </c>
      <c r="F236" s="57" t="s">
        <v>89</v>
      </c>
      <c r="G236" s="131" t="s">
        <v>9066</v>
      </c>
      <c r="H236" s="43" t="s">
        <v>833</v>
      </c>
      <c r="J236" s="29">
        <f t="shared" si="13"/>
        <v>1</v>
      </c>
      <c r="K236" s="189">
        <v>229</v>
      </c>
      <c r="L236" s="123" t="s">
        <v>831</v>
      </c>
      <c r="M236" s="44" t="s">
        <v>405</v>
      </c>
      <c r="N236" s="44" t="s">
        <v>832</v>
      </c>
      <c r="O236" s="44" t="str">
        <f t="shared" si="16"/>
        <v>PE-L1-4C25/16-01</v>
      </c>
      <c r="P236" s="45">
        <v>15</v>
      </c>
      <c r="Q236" s="44">
        <v>400</v>
      </c>
      <c r="R236" s="44" t="s">
        <v>49</v>
      </c>
      <c r="S236" s="126">
        <v>350</v>
      </c>
      <c r="T236" s="46" t="s">
        <v>4406</v>
      </c>
      <c r="U236" s="122" t="s">
        <v>4439</v>
      </c>
      <c r="V236" s="122" t="s">
        <v>4440</v>
      </c>
      <c r="W236" s="46" t="s">
        <v>335</v>
      </c>
      <c r="X236" s="47" t="s">
        <v>9305</v>
      </c>
      <c r="Y236" s="46" t="s">
        <v>4446</v>
      </c>
      <c r="Z236" s="46" t="s">
        <v>4447</v>
      </c>
      <c r="AA236" s="46" t="s">
        <v>4443</v>
      </c>
      <c r="AB236" s="47" t="s">
        <v>9305</v>
      </c>
      <c r="AC236" s="76" t="s">
        <v>9019</v>
      </c>
      <c r="AD236" s="30"/>
      <c r="AE236" s="197"/>
      <c r="AF236" s="47"/>
    </row>
    <row r="237" spans="1:32" s="29" customFormat="1" ht="69.95" hidden="1" customHeight="1">
      <c r="A237" s="29" t="s">
        <v>4444</v>
      </c>
      <c r="B237" s="29" t="s">
        <v>3769</v>
      </c>
      <c r="C237" s="40" t="s">
        <v>36</v>
      </c>
      <c r="D237" s="40"/>
      <c r="E237" s="57" t="s">
        <v>76</v>
      </c>
      <c r="F237" s="57" t="s">
        <v>76</v>
      </c>
      <c r="G237" s="29" t="s">
        <v>834</v>
      </c>
      <c r="I237" s="124" t="s">
        <v>9121</v>
      </c>
      <c r="J237" s="29">
        <f t="shared" si="13"/>
        <v>1</v>
      </c>
      <c r="K237" s="42">
        <v>230</v>
      </c>
      <c r="L237" s="152" t="s">
        <v>835</v>
      </c>
      <c r="M237" s="44" t="s">
        <v>405</v>
      </c>
      <c r="N237" s="44" t="s">
        <v>536</v>
      </c>
      <c r="O237" s="101" t="str">
        <f>F237</f>
        <v>PE-L1-4C4-02</v>
      </c>
      <c r="P237" s="45">
        <v>3.2</v>
      </c>
      <c r="Q237" s="44">
        <v>400</v>
      </c>
      <c r="R237" s="44" t="s">
        <v>49</v>
      </c>
      <c r="S237" s="101">
        <v>330</v>
      </c>
      <c r="T237" s="46" t="s">
        <v>4406</v>
      </c>
      <c r="U237" s="46" t="s">
        <v>4444</v>
      </c>
      <c r="V237" s="46" t="s">
        <v>4445</v>
      </c>
      <c r="W237" s="46" t="s">
        <v>335</v>
      </c>
      <c r="X237" s="47" t="s">
        <v>9305</v>
      </c>
      <c r="Y237" s="46" t="s">
        <v>4448</v>
      </c>
      <c r="Z237" s="46" t="s">
        <v>4449</v>
      </c>
      <c r="AA237" s="46" t="s">
        <v>4443</v>
      </c>
      <c r="AB237" s="47" t="s">
        <v>9305</v>
      </c>
      <c r="AC237" s="48" t="s">
        <v>4450</v>
      </c>
      <c r="AD237" s="30"/>
      <c r="AE237" s="197"/>
      <c r="AF237" s="47"/>
    </row>
    <row r="238" spans="1:32" s="29" customFormat="1" ht="69.95" hidden="1" customHeight="1">
      <c r="A238" s="29" t="s">
        <v>4439</v>
      </c>
      <c r="B238" s="29" t="s">
        <v>3769</v>
      </c>
      <c r="C238" s="40" t="s">
        <v>36</v>
      </c>
      <c r="D238" s="40"/>
      <c r="E238" s="57" t="s">
        <v>76</v>
      </c>
      <c r="F238" s="57" t="s">
        <v>76</v>
      </c>
      <c r="G238" s="29" t="s">
        <v>836</v>
      </c>
      <c r="I238" s="124" t="s">
        <v>9121</v>
      </c>
      <c r="J238" s="29">
        <f t="shared" si="13"/>
        <v>1</v>
      </c>
      <c r="K238" s="42">
        <v>231</v>
      </c>
      <c r="L238" s="152" t="s">
        <v>837</v>
      </c>
      <c r="M238" s="44" t="s">
        <v>405</v>
      </c>
      <c r="N238" s="44" t="s">
        <v>536</v>
      </c>
      <c r="O238" s="101" t="str">
        <f>F238</f>
        <v>PE-L1-4C4-02</v>
      </c>
      <c r="P238" s="45">
        <v>3.2</v>
      </c>
      <c r="Q238" s="44">
        <v>400</v>
      </c>
      <c r="R238" s="44" t="s">
        <v>49</v>
      </c>
      <c r="S238" s="101">
        <v>330</v>
      </c>
      <c r="T238" s="46" t="s">
        <v>4406</v>
      </c>
      <c r="U238" s="46" t="s">
        <v>4439</v>
      </c>
      <c r="V238" s="46" t="s">
        <v>4440</v>
      </c>
      <c r="W238" s="46" t="s">
        <v>335</v>
      </c>
      <c r="X238" s="47" t="s">
        <v>9305</v>
      </c>
      <c r="Y238" s="46" t="s">
        <v>4451</v>
      </c>
      <c r="Z238" s="46" t="s">
        <v>4452</v>
      </c>
      <c r="AA238" s="46" t="s">
        <v>4443</v>
      </c>
      <c r="AB238" s="47" t="s">
        <v>9305</v>
      </c>
      <c r="AC238" s="48" t="s">
        <v>4453</v>
      </c>
      <c r="AD238" s="30"/>
      <c r="AE238" s="197"/>
      <c r="AF238" s="47"/>
    </row>
    <row r="239" spans="1:32" s="29" customFormat="1" ht="69.95" hidden="1" customHeight="1">
      <c r="A239" s="29" t="s">
        <v>4439</v>
      </c>
      <c r="B239" s="29" t="s">
        <v>3769</v>
      </c>
      <c r="C239" s="40" t="s">
        <v>38</v>
      </c>
      <c r="D239" s="40"/>
      <c r="E239" s="58" t="s">
        <v>125</v>
      </c>
      <c r="F239" s="58" t="s">
        <v>125</v>
      </c>
      <c r="G239" s="29" t="s">
        <v>838</v>
      </c>
      <c r="J239" s="29">
        <f t="shared" si="13"/>
        <v>1</v>
      </c>
      <c r="K239" s="42">
        <v>232</v>
      </c>
      <c r="L239" s="43" t="s">
        <v>839</v>
      </c>
      <c r="M239" s="44" t="s">
        <v>405</v>
      </c>
      <c r="N239" s="44" t="s">
        <v>673</v>
      </c>
      <c r="O239" s="44" t="str">
        <f t="shared" ref="O239:O252" si="17">F239</f>
        <v>PE-L1-5C95/50-02</v>
      </c>
      <c r="P239" s="45">
        <v>50</v>
      </c>
      <c r="Q239" s="44">
        <v>400</v>
      </c>
      <c r="R239" s="44" t="s">
        <v>49</v>
      </c>
      <c r="S239" s="44">
        <v>360</v>
      </c>
      <c r="T239" s="46" t="s">
        <v>4406</v>
      </c>
      <c r="U239" s="46" t="s">
        <v>4439</v>
      </c>
      <c r="V239" s="46" t="s">
        <v>4440</v>
      </c>
      <c r="W239" s="46" t="s">
        <v>335</v>
      </c>
      <c r="X239" s="47" t="s">
        <v>9310</v>
      </c>
      <c r="Y239" s="46" t="s">
        <v>4454</v>
      </c>
      <c r="Z239" s="46" t="s">
        <v>4455</v>
      </c>
      <c r="AA239" s="46" t="s">
        <v>4443</v>
      </c>
      <c r="AB239" s="47" t="s">
        <v>9310</v>
      </c>
      <c r="AC239" s="48" t="s">
        <v>4456</v>
      </c>
      <c r="AD239" s="30"/>
      <c r="AE239" s="197"/>
      <c r="AF239" s="47"/>
    </row>
    <row r="240" spans="1:32" s="29" customFormat="1" ht="69.95" hidden="1" customHeight="1">
      <c r="A240" s="29" t="s">
        <v>3994</v>
      </c>
      <c r="B240" s="29" t="s">
        <v>3769</v>
      </c>
      <c r="C240" s="40" t="s">
        <v>38</v>
      </c>
      <c r="D240" s="40"/>
      <c r="E240" s="57" t="s">
        <v>8372</v>
      </c>
      <c r="F240" s="57" t="s">
        <v>8372</v>
      </c>
      <c r="G240" s="29" t="s">
        <v>840</v>
      </c>
      <c r="J240" s="29">
        <f t="shared" si="13"/>
        <v>1</v>
      </c>
      <c r="K240" s="42">
        <v>233</v>
      </c>
      <c r="L240" s="43" t="s">
        <v>841</v>
      </c>
      <c r="M240" s="44" t="s">
        <v>405</v>
      </c>
      <c r="N240" s="44" t="s">
        <v>822</v>
      </c>
      <c r="O240" s="44" t="str">
        <f t="shared" si="17"/>
        <v>PE-L1-3C150/95-02</v>
      </c>
      <c r="P240" s="45">
        <v>10</v>
      </c>
      <c r="Q240" s="44">
        <v>230</v>
      </c>
      <c r="R240" s="44" t="s">
        <v>428</v>
      </c>
      <c r="S240" s="44">
        <v>330</v>
      </c>
      <c r="T240" s="46" t="s">
        <v>4406</v>
      </c>
      <c r="U240" s="46" t="s">
        <v>3994</v>
      </c>
      <c r="V240" s="46" t="s">
        <v>3995</v>
      </c>
      <c r="W240" s="46" t="s">
        <v>335</v>
      </c>
      <c r="X240" s="172" t="s">
        <v>9167</v>
      </c>
      <c r="Y240" s="46" t="s">
        <v>4457</v>
      </c>
      <c r="Z240" s="46" t="s">
        <v>4458</v>
      </c>
      <c r="AA240" s="46" t="s">
        <v>4443</v>
      </c>
      <c r="AB240" s="172" t="s">
        <v>9167</v>
      </c>
      <c r="AC240" s="48" t="s">
        <v>4459</v>
      </c>
      <c r="AD240" s="30"/>
      <c r="AE240" s="197"/>
      <c r="AF240" s="47"/>
    </row>
    <row r="241" spans="1:32" s="29" customFormat="1" ht="69.95" hidden="1" customHeight="1">
      <c r="A241" s="29" t="s">
        <v>3959</v>
      </c>
      <c r="B241" s="29" t="s">
        <v>3769</v>
      </c>
      <c r="C241" s="40" t="s">
        <v>38</v>
      </c>
      <c r="D241" s="40"/>
      <c r="E241" s="57" t="s">
        <v>8372</v>
      </c>
      <c r="F241" s="57" t="s">
        <v>8372</v>
      </c>
      <c r="G241" s="29" t="s">
        <v>842</v>
      </c>
      <c r="J241" s="29">
        <f t="shared" si="13"/>
        <v>1</v>
      </c>
      <c r="K241" s="42">
        <v>234</v>
      </c>
      <c r="L241" s="43" t="s">
        <v>843</v>
      </c>
      <c r="M241" s="44" t="s">
        <v>405</v>
      </c>
      <c r="N241" s="44" t="s">
        <v>822</v>
      </c>
      <c r="O241" s="44" t="str">
        <f t="shared" si="17"/>
        <v>PE-L1-3C150/95-02</v>
      </c>
      <c r="P241" s="45">
        <v>10</v>
      </c>
      <c r="Q241" s="44">
        <v>230</v>
      </c>
      <c r="R241" s="44" t="s">
        <v>428</v>
      </c>
      <c r="S241" s="44">
        <v>300</v>
      </c>
      <c r="T241" s="46" t="s">
        <v>4406</v>
      </c>
      <c r="U241" s="46" t="s">
        <v>3959</v>
      </c>
      <c r="V241" s="46" t="s">
        <v>3960</v>
      </c>
      <c r="W241" s="46" t="s">
        <v>335</v>
      </c>
      <c r="X241" s="172" t="s">
        <v>9167</v>
      </c>
      <c r="Y241" s="46" t="s">
        <v>4460</v>
      </c>
      <c r="Z241" s="46" t="s">
        <v>4461</v>
      </c>
      <c r="AA241" s="46" t="s">
        <v>4443</v>
      </c>
      <c r="AB241" s="172" t="s">
        <v>9167</v>
      </c>
      <c r="AC241" s="48" t="s">
        <v>4462</v>
      </c>
      <c r="AD241" s="30"/>
      <c r="AE241" s="197"/>
      <c r="AF241" s="47"/>
    </row>
    <row r="242" spans="1:32" s="29" customFormat="1" ht="69.95" hidden="1" customHeight="1">
      <c r="A242" s="29" t="s">
        <v>4444</v>
      </c>
      <c r="B242" s="29" t="s">
        <v>3769</v>
      </c>
      <c r="C242" s="40" t="s">
        <v>38</v>
      </c>
      <c r="D242" s="173" t="s">
        <v>9463</v>
      </c>
      <c r="E242" s="73" t="s">
        <v>8648</v>
      </c>
      <c r="F242" s="80" t="s">
        <v>94</v>
      </c>
      <c r="G242" s="29" t="s">
        <v>844</v>
      </c>
      <c r="J242" s="29">
        <f t="shared" si="13"/>
        <v>1</v>
      </c>
      <c r="K242" s="127">
        <v>235</v>
      </c>
      <c r="L242" s="43" t="s">
        <v>845</v>
      </c>
      <c r="M242" s="44" t="s">
        <v>405</v>
      </c>
      <c r="N242" s="44" t="s">
        <v>516</v>
      </c>
      <c r="O242" s="137" t="str">
        <f t="shared" si="17"/>
        <v>PE-L1-5C120/70-05</v>
      </c>
      <c r="P242" s="45">
        <v>50</v>
      </c>
      <c r="Q242" s="44">
        <v>400</v>
      </c>
      <c r="R242" s="44" t="s">
        <v>49</v>
      </c>
      <c r="S242" s="44">
        <v>360</v>
      </c>
      <c r="T242" s="46" t="s">
        <v>4406</v>
      </c>
      <c r="U242" s="46" t="s">
        <v>4444</v>
      </c>
      <c r="V242" s="46" t="s">
        <v>4445</v>
      </c>
      <c r="W242" s="46" t="s">
        <v>335</v>
      </c>
      <c r="X242" s="47" t="s">
        <v>9310</v>
      </c>
      <c r="Y242" s="46" t="s">
        <v>4463</v>
      </c>
      <c r="Z242" s="46" t="s">
        <v>8369</v>
      </c>
      <c r="AA242" s="46" t="s">
        <v>4443</v>
      </c>
      <c r="AB242" s="47" t="s">
        <v>9310</v>
      </c>
      <c r="AC242" s="48" t="s">
        <v>4464</v>
      </c>
      <c r="AD242" s="30"/>
      <c r="AE242" s="197"/>
      <c r="AF242" s="47"/>
    </row>
    <row r="243" spans="1:32" s="29" customFormat="1" ht="69.95" hidden="1" customHeight="1">
      <c r="A243" s="29" t="s">
        <v>4444</v>
      </c>
      <c r="B243" s="29" t="s">
        <v>3769</v>
      </c>
      <c r="C243" s="40" t="s">
        <v>40</v>
      </c>
      <c r="D243" s="40"/>
      <c r="E243" s="57" t="s">
        <v>76</v>
      </c>
      <c r="F243" s="57" t="s">
        <v>76</v>
      </c>
      <c r="G243" s="29" t="s">
        <v>846</v>
      </c>
      <c r="J243" s="29">
        <f t="shared" si="13"/>
        <v>1</v>
      </c>
      <c r="K243" s="42">
        <v>236</v>
      </c>
      <c r="L243" s="43" t="s">
        <v>847</v>
      </c>
      <c r="M243" s="44" t="s">
        <v>405</v>
      </c>
      <c r="N243" s="44" t="s">
        <v>536</v>
      </c>
      <c r="O243" s="44" t="str">
        <f t="shared" si="17"/>
        <v>PE-L1-4C4-02</v>
      </c>
      <c r="P243" s="45">
        <v>1.8</v>
      </c>
      <c r="Q243" s="44">
        <v>400</v>
      </c>
      <c r="R243" s="44" t="s">
        <v>49</v>
      </c>
      <c r="S243" s="44">
        <v>340</v>
      </c>
      <c r="T243" s="46" t="s">
        <v>4406</v>
      </c>
      <c r="U243" s="46" t="s">
        <v>4444</v>
      </c>
      <c r="V243" s="46" t="s">
        <v>4445</v>
      </c>
      <c r="W243" s="46" t="s">
        <v>335</v>
      </c>
      <c r="X243" s="47" t="s">
        <v>9305</v>
      </c>
      <c r="Y243" s="46" t="s">
        <v>4465</v>
      </c>
      <c r="Z243" s="46" t="s">
        <v>4466</v>
      </c>
      <c r="AA243" s="46" t="s">
        <v>4443</v>
      </c>
      <c r="AB243" s="47" t="s">
        <v>9305</v>
      </c>
      <c r="AC243" s="48" t="s">
        <v>4467</v>
      </c>
      <c r="AD243" s="30"/>
      <c r="AE243" s="197"/>
      <c r="AF243" s="47"/>
    </row>
    <row r="244" spans="1:32" s="29" customFormat="1" ht="69.95" hidden="1" customHeight="1">
      <c r="A244" s="29" t="s">
        <v>4439</v>
      </c>
      <c r="B244" s="29" t="s">
        <v>3769</v>
      </c>
      <c r="C244" s="40" t="s">
        <v>40</v>
      </c>
      <c r="D244" s="40"/>
      <c r="E244" s="57" t="s">
        <v>91</v>
      </c>
      <c r="F244" s="57" t="s">
        <v>91</v>
      </c>
      <c r="G244" s="29" t="s">
        <v>848</v>
      </c>
      <c r="H244" s="124" t="s">
        <v>9445</v>
      </c>
      <c r="I244" s="124" t="s">
        <v>9121</v>
      </c>
      <c r="J244" s="29">
        <f t="shared" si="13"/>
        <v>1</v>
      </c>
      <c r="K244" s="42">
        <v>237</v>
      </c>
      <c r="L244" s="152" t="s">
        <v>849</v>
      </c>
      <c r="M244" s="44" t="s">
        <v>405</v>
      </c>
      <c r="N244" s="44" t="s">
        <v>536</v>
      </c>
      <c r="O244" s="101" t="str">
        <f t="shared" si="17"/>
        <v>PE-L1-4C4-03</v>
      </c>
      <c r="P244" s="45">
        <v>1</v>
      </c>
      <c r="Q244" s="44">
        <v>400</v>
      </c>
      <c r="R244" s="44" t="s">
        <v>49</v>
      </c>
      <c r="S244" s="101">
        <v>330</v>
      </c>
      <c r="T244" s="46" t="s">
        <v>4406</v>
      </c>
      <c r="U244" s="46" t="s">
        <v>4439</v>
      </c>
      <c r="V244" s="46" t="s">
        <v>4440</v>
      </c>
      <c r="W244" s="46" t="s">
        <v>335</v>
      </c>
      <c r="X244" s="47" t="s">
        <v>9305</v>
      </c>
      <c r="Y244" s="46" t="s">
        <v>4468</v>
      </c>
      <c r="Z244" s="46" t="s">
        <v>4469</v>
      </c>
      <c r="AA244" s="46" t="s">
        <v>4443</v>
      </c>
      <c r="AB244" s="47" t="s">
        <v>9305</v>
      </c>
      <c r="AC244" s="48" t="s">
        <v>4470</v>
      </c>
      <c r="AD244" s="30"/>
      <c r="AE244" s="197"/>
      <c r="AF244" s="47"/>
    </row>
    <row r="245" spans="1:32" s="29" customFormat="1" ht="69.95" hidden="1" customHeight="1">
      <c r="A245" s="29" t="s">
        <v>4444</v>
      </c>
      <c r="B245" s="29" t="s">
        <v>3769</v>
      </c>
      <c r="C245" s="40" t="s">
        <v>41</v>
      </c>
      <c r="D245" s="40"/>
      <c r="E245" s="57" t="s">
        <v>91</v>
      </c>
      <c r="F245" s="57" t="s">
        <v>91</v>
      </c>
      <c r="G245" s="29" t="s">
        <v>850</v>
      </c>
      <c r="H245" s="124" t="s">
        <v>9445</v>
      </c>
      <c r="I245" s="124" t="s">
        <v>9121</v>
      </c>
      <c r="J245" s="29">
        <f t="shared" si="13"/>
        <v>1</v>
      </c>
      <c r="K245" s="42">
        <v>238</v>
      </c>
      <c r="L245" s="152" t="s">
        <v>851</v>
      </c>
      <c r="M245" s="44" t="s">
        <v>405</v>
      </c>
      <c r="N245" s="44" t="s">
        <v>536</v>
      </c>
      <c r="O245" s="101" t="str">
        <f t="shared" si="17"/>
        <v>PE-L1-4C4-03</v>
      </c>
      <c r="P245" s="45">
        <v>0.1</v>
      </c>
      <c r="Q245" s="44">
        <v>380</v>
      </c>
      <c r="R245" s="44" t="s">
        <v>49</v>
      </c>
      <c r="S245" s="101">
        <v>340</v>
      </c>
      <c r="T245" s="46" t="s">
        <v>4406</v>
      </c>
      <c r="U245" s="46" t="s">
        <v>4444</v>
      </c>
      <c r="V245" s="46" t="s">
        <v>4445</v>
      </c>
      <c r="W245" s="46" t="s">
        <v>335</v>
      </c>
      <c r="X245" s="47" t="s">
        <v>9305</v>
      </c>
      <c r="Y245" s="46" t="s">
        <v>4471</v>
      </c>
      <c r="Z245" s="46" t="s">
        <v>4472</v>
      </c>
      <c r="AA245" s="46" t="s">
        <v>4443</v>
      </c>
      <c r="AB245" s="47" t="s">
        <v>9305</v>
      </c>
      <c r="AC245" s="48" t="s">
        <v>4473</v>
      </c>
      <c r="AD245" s="30"/>
      <c r="AE245" s="197"/>
      <c r="AF245" s="47"/>
    </row>
    <row r="246" spans="1:32" s="29" customFormat="1" ht="69.95" hidden="1" customHeight="1">
      <c r="A246" s="29" t="s">
        <v>4474</v>
      </c>
      <c r="B246" s="29" t="s">
        <v>3769</v>
      </c>
      <c r="C246" s="40" t="s">
        <v>32</v>
      </c>
      <c r="D246" s="40"/>
      <c r="E246" s="57" t="s">
        <v>154</v>
      </c>
      <c r="F246" s="57" t="s">
        <v>154</v>
      </c>
      <c r="G246" s="29" t="s">
        <v>852</v>
      </c>
      <c r="J246" s="29">
        <f t="shared" si="13"/>
        <v>1</v>
      </c>
      <c r="K246" s="189">
        <v>239</v>
      </c>
      <c r="L246" s="43" t="s">
        <v>9534</v>
      </c>
      <c r="M246" s="44" t="s">
        <v>405</v>
      </c>
      <c r="N246" s="44" t="s">
        <v>832</v>
      </c>
      <c r="O246" s="44" t="str">
        <f t="shared" si="17"/>
        <v>PE-L1-4C25/16-03</v>
      </c>
      <c r="P246" s="45">
        <v>15</v>
      </c>
      <c r="Q246" s="44">
        <v>400</v>
      </c>
      <c r="R246" s="44" t="s">
        <v>49</v>
      </c>
      <c r="S246" s="188">
        <v>370</v>
      </c>
      <c r="T246" s="46" t="s">
        <v>4406</v>
      </c>
      <c r="U246" s="46" t="s">
        <v>4474</v>
      </c>
      <c r="V246" s="46" t="s">
        <v>4475</v>
      </c>
      <c r="W246" s="46" t="s">
        <v>347</v>
      </c>
      <c r="X246" s="47" t="s">
        <v>9305</v>
      </c>
      <c r="Y246" s="46" t="s">
        <v>4476</v>
      </c>
      <c r="Z246" s="46" t="s">
        <v>4477</v>
      </c>
      <c r="AA246" s="46" t="s">
        <v>4478</v>
      </c>
      <c r="AB246" s="47" t="s">
        <v>9305</v>
      </c>
      <c r="AC246" s="190" t="s">
        <v>4479</v>
      </c>
      <c r="AD246" s="204"/>
      <c r="AE246" s="197"/>
      <c r="AF246" s="47"/>
    </row>
    <row r="247" spans="1:32" s="29" customFormat="1" ht="69.95" hidden="1" customHeight="1">
      <c r="A247" s="29" t="s">
        <v>4480</v>
      </c>
      <c r="B247" s="29" t="s">
        <v>3769</v>
      </c>
      <c r="C247" s="40" t="s">
        <v>32</v>
      </c>
      <c r="D247" s="40"/>
      <c r="E247" s="57" t="s">
        <v>154</v>
      </c>
      <c r="F247" s="57" t="s">
        <v>154</v>
      </c>
      <c r="G247" s="29" t="s">
        <v>853</v>
      </c>
      <c r="J247" s="29">
        <f t="shared" si="13"/>
        <v>1</v>
      </c>
      <c r="K247" s="189">
        <v>240</v>
      </c>
      <c r="L247" s="43" t="s">
        <v>854</v>
      </c>
      <c r="M247" s="44" t="s">
        <v>405</v>
      </c>
      <c r="N247" s="44" t="s">
        <v>832</v>
      </c>
      <c r="O247" s="44" t="str">
        <f t="shared" si="17"/>
        <v>PE-L1-4C25/16-03</v>
      </c>
      <c r="P247" s="45">
        <v>15</v>
      </c>
      <c r="Q247" s="44">
        <v>400</v>
      </c>
      <c r="R247" s="44" t="s">
        <v>49</v>
      </c>
      <c r="S247" s="188">
        <v>360</v>
      </c>
      <c r="T247" s="46" t="s">
        <v>4406</v>
      </c>
      <c r="U247" s="46" t="s">
        <v>4480</v>
      </c>
      <c r="V247" s="46" t="s">
        <v>4481</v>
      </c>
      <c r="W247" s="46" t="s">
        <v>347</v>
      </c>
      <c r="X247" s="47" t="s">
        <v>9305</v>
      </c>
      <c r="Y247" s="46" t="s">
        <v>4482</v>
      </c>
      <c r="Z247" s="46" t="s">
        <v>4483</v>
      </c>
      <c r="AA247" s="46" t="s">
        <v>4478</v>
      </c>
      <c r="AB247" s="47" t="s">
        <v>9305</v>
      </c>
      <c r="AC247" s="190" t="s">
        <v>4484</v>
      </c>
      <c r="AD247" s="204"/>
      <c r="AE247" s="197"/>
      <c r="AF247" s="47"/>
    </row>
    <row r="248" spans="1:32" s="29" customFormat="1" ht="69.95" hidden="1" customHeight="1">
      <c r="A248" s="29" t="s">
        <v>4480</v>
      </c>
      <c r="B248" s="29" t="s">
        <v>3769</v>
      </c>
      <c r="C248" s="40" t="s">
        <v>36</v>
      </c>
      <c r="D248" s="40"/>
      <c r="E248" s="57" t="s">
        <v>8302</v>
      </c>
      <c r="F248" s="57" t="s">
        <v>8302</v>
      </c>
      <c r="G248" s="29" t="s">
        <v>855</v>
      </c>
      <c r="J248" s="29">
        <f t="shared" si="13"/>
        <v>1</v>
      </c>
      <c r="K248" s="42">
        <v>241</v>
      </c>
      <c r="L248" s="43" t="s">
        <v>856</v>
      </c>
      <c r="M248" s="44" t="s">
        <v>405</v>
      </c>
      <c r="N248" s="44" t="s">
        <v>546</v>
      </c>
      <c r="O248" s="44" t="str">
        <f t="shared" si="17"/>
        <v>PE-L1-4C6-02</v>
      </c>
      <c r="P248" s="45">
        <v>3.2</v>
      </c>
      <c r="Q248" s="44">
        <v>400</v>
      </c>
      <c r="R248" s="44" t="s">
        <v>49</v>
      </c>
      <c r="S248" s="44">
        <v>370</v>
      </c>
      <c r="T248" s="46" t="s">
        <v>4406</v>
      </c>
      <c r="U248" s="46" t="s">
        <v>4480</v>
      </c>
      <c r="V248" s="46" t="s">
        <v>4481</v>
      </c>
      <c r="W248" s="46" t="s">
        <v>347</v>
      </c>
      <c r="X248" s="47" t="s">
        <v>9305</v>
      </c>
      <c r="Y248" s="46" t="s">
        <v>4485</v>
      </c>
      <c r="Z248" s="46" t="s">
        <v>4486</v>
      </c>
      <c r="AA248" s="46" t="s">
        <v>4478</v>
      </c>
      <c r="AB248" s="47" t="s">
        <v>9305</v>
      </c>
      <c r="AC248" s="48" t="s">
        <v>4487</v>
      </c>
      <c r="AD248" s="30"/>
      <c r="AE248" s="197"/>
      <c r="AF248" s="47"/>
    </row>
    <row r="249" spans="1:32" s="29" customFormat="1" ht="69.95" hidden="1" customHeight="1">
      <c r="A249" s="29" t="s">
        <v>4474</v>
      </c>
      <c r="B249" s="29" t="s">
        <v>3769</v>
      </c>
      <c r="C249" s="40" t="s">
        <v>36</v>
      </c>
      <c r="D249" s="40"/>
      <c r="E249" s="57" t="s">
        <v>8302</v>
      </c>
      <c r="F249" s="57" t="s">
        <v>8302</v>
      </c>
      <c r="G249" s="29" t="s">
        <v>857</v>
      </c>
      <c r="J249" s="29">
        <f t="shared" si="13"/>
        <v>1</v>
      </c>
      <c r="K249" s="42">
        <v>242</v>
      </c>
      <c r="L249" s="43" t="s">
        <v>858</v>
      </c>
      <c r="M249" s="44" t="s">
        <v>405</v>
      </c>
      <c r="N249" s="44" t="s">
        <v>546</v>
      </c>
      <c r="O249" s="44" t="str">
        <f t="shared" si="17"/>
        <v>PE-L1-4C6-02</v>
      </c>
      <c r="P249" s="45">
        <v>3.2</v>
      </c>
      <c r="Q249" s="44">
        <v>400</v>
      </c>
      <c r="R249" s="44" t="s">
        <v>49</v>
      </c>
      <c r="S249" s="44">
        <v>400</v>
      </c>
      <c r="T249" s="46" t="s">
        <v>4406</v>
      </c>
      <c r="U249" s="46" t="s">
        <v>4474</v>
      </c>
      <c r="V249" s="46" t="s">
        <v>4475</v>
      </c>
      <c r="W249" s="46" t="s">
        <v>347</v>
      </c>
      <c r="X249" s="47" t="s">
        <v>9305</v>
      </c>
      <c r="Y249" s="46" t="s">
        <v>4488</v>
      </c>
      <c r="Z249" s="46" t="s">
        <v>4489</v>
      </c>
      <c r="AA249" s="46" t="s">
        <v>4478</v>
      </c>
      <c r="AB249" s="47" t="s">
        <v>9305</v>
      </c>
      <c r="AC249" s="48" t="s">
        <v>4490</v>
      </c>
      <c r="AD249" s="30"/>
      <c r="AE249" s="197"/>
      <c r="AF249" s="47"/>
    </row>
    <row r="250" spans="1:32" s="29" customFormat="1" ht="69.95" hidden="1" customHeight="1">
      <c r="A250" s="29" t="s">
        <v>4474</v>
      </c>
      <c r="B250" s="29" t="s">
        <v>3769</v>
      </c>
      <c r="C250" s="40" t="s">
        <v>38</v>
      </c>
      <c r="D250" s="40"/>
      <c r="E250" s="58" t="s">
        <v>8645</v>
      </c>
      <c r="F250" s="58" t="s">
        <v>8645</v>
      </c>
      <c r="G250" s="29" t="s">
        <v>859</v>
      </c>
      <c r="J250" s="29">
        <f t="shared" si="13"/>
        <v>1</v>
      </c>
      <c r="K250" s="42">
        <v>243</v>
      </c>
      <c r="L250" s="43" t="s">
        <v>860</v>
      </c>
      <c r="M250" s="44" t="s">
        <v>405</v>
      </c>
      <c r="N250" s="44" t="s">
        <v>673</v>
      </c>
      <c r="O250" s="44" t="str">
        <f t="shared" si="17"/>
        <v>PE-L1-5C95/50-04</v>
      </c>
      <c r="P250" s="45">
        <v>50</v>
      </c>
      <c r="Q250" s="44">
        <v>400</v>
      </c>
      <c r="R250" s="44" t="s">
        <v>49</v>
      </c>
      <c r="S250" s="44">
        <v>320</v>
      </c>
      <c r="T250" s="46" t="s">
        <v>4406</v>
      </c>
      <c r="U250" s="46" t="s">
        <v>4474</v>
      </c>
      <c r="V250" s="46" t="s">
        <v>4475</v>
      </c>
      <c r="W250" s="46" t="s">
        <v>347</v>
      </c>
      <c r="X250" s="47" t="s">
        <v>9310</v>
      </c>
      <c r="Y250" s="46" t="s">
        <v>4491</v>
      </c>
      <c r="Z250" s="46" t="s">
        <v>4492</v>
      </c>
      <c r="AA250" s="46" t="s">
        <v>4478</v>
      </c>
      <c r="AB250" s="47" t="s">
        <v>9310</v>
      </c>
      <c r="AC250" s="48" t="s">
        <v>4493</v>
      </c>
      <c r="AD250" s="30"/>
      <c r="AE250" s="197"/>
      <c r="AF250" s="47"/>
    </row>
    <row r="251" spans="1:32" s="29" customFormat="1" ht="69.95" hidden="1" customHeight="1">
      <c r="A251" s="29" t="s">
        <v>4030</v>
      </c>
      <c r="B251" s="29" t="s">
        <v>3769</v>
      </c>
      <c r="C251" s="40" t="s">
        <v>36</v>
      </c>
      <c r="D251" s="40"/>
      <c r="E251" s="57" t="s">
        <v>8373</v>
      </c>
      <c r="F251" s="57" t="s">
        <v>8373</v>
      </c>
      <c r="G251" s="29" t="s">
        <v>861</v>
      </c>
      <c r="J251" s="29">
        <f t="shared" si="13"/>
        <v>1</v>
      </c>
      <c r="K251" s="42">
        <v>244</v>
      </c>
      <c r="L251" s="43" t="s">
        <v>862</v>
      </c>
      <c r="M251" s="44" t="s">
        <v>405</v>
      </c>
      <c r="N251" s="44" t="s">
        <v>822</v>
      </c>
      <c r="O251" s="44" t="str">
        <f t="shared" si="17"/>
        <v>PE-L1-3C150/95-03</v>
      </c>
      <c r="P251" s="45">
        <v>10</v>
      </c>
      <c r="Q251" s="44">
        <v>230</v>
      </c>
      <c r="R251" s="44" t="s">
        <v>428</v>
      </c>
      <c r="S251" s="44">
        <v>320</v>
      </c>
      <c r="T251" s="46" t="s">
        <v>4406</v>
      </c>
      <c r="U251" s="46" t="s">
        <v>4030</v>
      </c>
      <c r="V251" s="46" t="s">
        <v>4031</v>
      </c>
      <c r="W251" s="46" t="s">
        <v>347</v>
      </c>
      <c r="X251" s="172" t="s">
        <v>9167</v>
      </c>
      <c r="Y251" s="46" t="s">
        <v>4494</v>
      </c>
      <c r="Z251" s="46" t="s">
        <v>4495</v>
      </c>
      <c r="AA251" s="46" t="s">
        <v>4478</v>
      </c>
      <c r="AB251" s="172" t="s">
        <v>9167</v>
      </c>
      <c r="AC251" s="48" t="s">
        <v>4496</v>
      </c>
      <c r="AD251" s="30"/>
      <c r="AE251" s="197"/>
      <c r="AF251" s="47"/>
    </row>
    <row r="252" spans="1:32" s="29" customFormat="1" ht="69.95" hidden="1" customHeight="1">
      <c r="A252" s="29" t="s">
        <v>4063</v>
      </c>
      <c r="B252" s="29" t="s">
        <v>3769</v>
      </c>
      <c r="C252" s="40" t="s">
        <v>36</v>
      </c>
      <c r="D252" s="40"/>
      <c r="E252" s="57" t="s">
        <v>8373</v>
      </c>
      <c r="F252" s="57" t="s">
        <v>8373</v>
      </c>
      <c r="G252" s="29" t="s">
        <v>863</v>
      </c>
      <c r="J252" s="29">
        <f t="shared" si="13"/>
        <v>1</v>
      </c>
      <c r="K252" s="42">
        <v>245</v>
      </c>
      <c r="L252" s="43" t="s">
        <v>864</v>
      </c>
      <c r="M252" s="44" t="s">
        <v>405</v>
      </c>
      <c r="N252" s="44" t="s">
        <v>822</v>
      </c>
      <c r="O252" s="44" t="str">
        <f t="shared" si="17"/>
        <v>PE-L1-3C150/95-03</v>
      </c>
      <c r="P252" s="45">
        <v>10</v>
      </c>
      <c r="Q252" s="44">
        <v>230</v>
      </c>
      <c r="R252" s="44" t="s">
        <v>428</v>
      </c>
      <c r="S252" s="44">
        <v>330</v>
      </c>
      <c r="T252" s="46" t="s">
        <v>4406</v>
      </c>
      <c r="U252" s="46" t="s">
        <v>4063</v>
      </c>
      <c r="V252" s="46" t="s">
        <v>4064</v>
      </c>
      <c r="W252" s="46" t="s">
        <v>347</v>
      </c>
      <c r="X252" s="172" t="s">
        <v>9167</v>
      </c>
      <c r="Y252" s="46" t="s">
        <v>4497</v>
      </c>
      <c r="Z252" s="46" t="s">
        <v>4498</v>
      </c>
      <c r="AA252" s="46" t="s">
        <v>4478</v>
      </c>
      <c r="AB252" s="172" t="s">
        <v>9167</v>
      </c>
      <c r="AC252" s="48" t="s">
        <v>4499</v>
      </c>
      <c r="AD252" s="30"/>
      <c r="AE252" s="197"/>
      <c r="AF252" s="47"/>
    </row>
    <row r="253" spans="1:32" s="29" customFormat="1" ht="69.95" hidden="1" customHeight="1">
      <c r="A253" s="29" t="s">
        <v>4480</v>
      </c>
      <c r="B253" s="29" t="s">
        <v>3769</v>
      </c>
      <c r="C253" s="40" t="s">
        <v>38</v>
      </c>
      <c r="D253" s="173" t="s">
        <v>9382</v>
      </c>
      <c r="E253" s="80" t="s">
        <v>8650</v>
      </c>
      <c r="F253" s="137" t="s">
        <v>8648</v>
      </c>
      <c r="G253" s="29" t="s">
        <v>9383</v>
      </c>
      <c r="H253" s="43" t="s">
        <v>9128</v>
      </c>
      <c r="J253" s="29">
        <f t="shared" si="13"/>
        <v>1</v>
      </c>
      <c r="K253" s="127">
        <v>246</v>
      </c>
      <c r="L253" s="128" t="s">
        <v>9196</v>
      </c>
      <c r="M253" s="44" t="s">
        <v>405</v>
      </c>
      <c r="N253" s="44" t="s">
        <v>8364</v>
      </c>
      <c r="O253" s="121" t="str">
        <f>F253</f>
        <v>PE-L1-5C120/70-02</v>
      </c>
      <c r="P253" s="45">
        <v>50</v>
      </c>
      <c r="Q253" s="44">
        <v>400</v>
      </c>
      <c r="R253" s="44" t="s">
        <v>49</v>
      </c>
      <c r="S253" s="126">
        <v>380</v>
      </c>
      <c r="T253" s="46" t="s">
        <v>4406</v>
      </c>
      <c r="U253" s="122" t="s">
        <v>4474</v>
      </c>
      <c r="V253" s="122" t="s">
        <v>4475</v>
      </c>
      <c r="W253" s="46" t="s">
        <v>347</v>
      </c>
      <c r="X253" s="47" t="s">
        <v>9310</v>
      </c>
      <c r="Y253" s="46" t="s">
        <v>4500</v>
      </c>
      <c r="Z253" s="46" t="s">
        <v>4501</v>
      </c>
      <c r="AA253" s="46" t="s">
        <v>4478</v>
      </c>
      <c r="AB253" s="47" t="s">
        <v>9310</v>
      </c>
      <c r="AC253" s="76" t="s">
        <v>9197</v>
      </c>
      <c r="AD253" s="30"/>
      <c r="AE253" s="197"/>
      <c r="AF253" s="47"/>
    </row>
    <row r="254" spans="1:32" s="29" customFormat="1" ht="69.95" hidden="1" customHeight="1">
      <c r="A254" s="29" t="s">
        <v>4480</v>
      </c>
      <c r="B254" s="29" t="s">
        <v>3769</v>
      </c>
      <c r="C254" s="40" t="s">
        <v>40</v>
      </c>
      <c r="D254" s="40"/>
      <c r="E254" s="57" t="s">
        <v>92</v>
      </c>
      <c r="F254" s="57" t="s">
        <v>92</v>
      </c>
      <c r="G254" s="29" t="s">
        <v>865</v>
      </c>
      <c r="J254" s="29">
        <f t="shared" si="13"/>
        <v>1</v>
      </c>
      <c r="K254" s="42">
        <v>247</v>
      </c>
      <c r="L254" s="43" t="s">
        <v>866</v>
      </c>
      <c r="M254" s="44" t="s">
        <v>405</v>
      </c>
      <c r="N254" s="44" t="s">
        <v>536</v>
      </c>
      <c r="O254" s="44" t="str">
        <f t="shared" ref="O254:O263" si="18">F254</f>
        <v>PE-L1-4C4-22</v>
      </c>
      <c r="P254" s="45">
        <v>1.8</v>
      </c>
      <c r="Q254" s="44">
        <v>400</v>
      </c>
      <c r="R254" s="44" t="s">
        <v>49</v>
      </c>
      <c r="S254" s="44">
        <v>280</v>
      </c>
      <c r="T254" s="46" t="s">
        <v>4406</v>
      </c>
      <c r="U254" s="46" t="s">
        <v>4480</v>
      </c>
      <c r="V254" s="46" t="s">
        <v>4481</v>
      </c>
      <c r="W254" s="46" t="s">
        <v>347</v>
      </c>
      <c r="X254" s="47" t="s">
        <v>9305</v>
      </c>
      <c r="Y254" s="46" t="s">
        <v>4502</v>
      </c>
      <c r="Z254" s="46" t="s">
        <v>4503</v>
      </c>
      <c r="AA254" s="46" t="s">
        <v>4478</v>
      </c>
      <c r="AB254" s="47" t="s">
        <v>9305</v>
      </c>
      <c r="AC254" s="48" t="s">
        <v>4504</v>
      </c>
      <c r="AD254" s="30"/>
      <c r="AE254" s="197"/>
      <c r="AF254" s="47"/>
    </row>
    <row r="255" spans="1:32" s="29" customFormat="1" ht="69.95" hidden="1" customHeight="1">
      <c r="A255" s="29" t="s">
        <v>4474</v>
      </c>
      <c r="B255" s="29" t="s">
        <v>3769</v>
      </c>
      <c r="C255" s="40" t="s">
        <v>40</v>
      </c>
      <c r="D255" s="40"/>
      <c r="E255" s="57" t="s">
        <v>92</v>
      </c>
      <c r="F255" s="57" t="s">
        <v>92</v>
      </c>
      <c r="G255" s="29" t="s">
        <v>867</v>
      </c>
      <c r="J255" s="29">
        <f t="shared" si="13"/>
        <v>1</v>
      </c>
      <c r="K255" s="42">
        <v>248</v>
      </c>
      <c r="L255" s="43" t="s">
        <v>868</v>
      </c>
      <c r="M255" s="44" t="s">
        <v>405</v>
      </c>
      <c r="N255" s="44" t="s">
        <v>536</v>
      </c>
      <c r="O255" s="44" t="str">
        <f t="shared" si="18"/>
        <v>PE-L1-4C4-22</v>
      </c>
      <c r="P255" s="45">
        <v>1</v>
      </c>
      <c r="Q255" s="44">
        <v>400</v>
      </c>
      <c r="R255" s="44" t="s">
        <v>49</v>
      </c>
      <c r="S255" s="44">
        <v>300</v>
      </c>
      <c r="T255" s="46" t="s">
        <v>4406</v>
      </c>
      <c r="U255" s="46" t="s">
        <v>4474</v>
      </c>
      <c r="V255" s="46" t="s">
        <v>4475</v>
      </c>
      <c r="W255" s="46" t="s">
        <v>347</v>
      </c>
      <c r="X255" s="47" t="s">
        <v>9305</v>
      </c>
      <c r="Y255" s="46" t="s">
        <v>4505</v>
      </c>
      <c r="Z255" s="46" t="s">
        <v>4506</v>
      </c>
      <c r="AA255" s="46" t="s">
        <v>4478</v>
      </c>
      <c r="AB255" s="47" t="s">
        <v>9305</v>
      </c>
      <c r="AC255" s="48" t="s">
        <v>4507</v>
      </c>
      <c r="AD255" s="30"/>
      <c r="AE255" s="197"/>
      <c r="AF255" s="47"/>
    </row>
    <row r="256" spans="1:32" s="29" customFormat="1" ht="69.95" hidden="1" customHeight="1">
      <c r="A256" s="29" t="s">
        <v>4474</v>
      </c>
      <c r="B256" s="29" t="s">
        <v>3769</v>
      </c>
      <c r="C256" s="40" t="s">
        <v>41</v>
      </c>
      <c r="D256" s="40"/>
      <c r="E256" s="57" t="s">
        <v>92</v>
      </c>
      <c r="F256" s="57" t="s">
        <v>92</v>
      </c>
      <c r="G256" s="29" t="s">
        <v>869</v>
      </c>
      <c r="J256" s="29">
        <f t="shared" si="13"/>
        <v>1</v>
      </c>
      <c r="K256" s="42">
        <v>249</v>
      </c>
      <c r="L256" s="43" t="s">
        <v>870</v>
      </c>
      <c r="M256" s="44" t="s">
        <v>405</v>
      </c>
      <c r="N256" s="44" t="s">
        <v>536</v>
      </c>
      <c r="O256" s="44" t="str">
        <f t="shared" si="18"/>
        <v>PE-L1-4C4-22</v>
      </c>
      <c r="P256" s="45">
        <v>0.1</v>
      </c>
      <c r="Q256" s="44">
        <v>380</v>
      </c>
      <c r="R256" s="44" t="s">
        <v>49</v>
      </c>
      <c r="S256" s="44">
        <v>310</v>
      </c>
      <c r="T256" s="46" t="s">
        <v>4406</v>
      </c>
      <c r="U256" s="46" t="s">
        <v>4474</v>
      </c>
      <c r="V256" s="46" t="s">
        <v>4475</v>
      </c>
      <c r="W256" s="46" t="s">
        <v>347</v>
      </c>
      <c r="X256" s="47" t="s">
        <v>9305</v>
      </c>
      <c r="Y256" s="46" t="s">
        <v>4508</v>
      </c>
      <c r="Z256" s="46" t="s">
        <v>4509</v>
      </c>
      <c r="AA256" s="46" t="s">
        <v>4478</v>
      </c>
      <c r="AB256" s="47" t="s">
        <v>9305</v>
      </c>
      <c r="AC256" s="48" t="s">
        <v>4510</v>
      </c>
      <c r="AD256" s="30"/>
      <c r="AE256" s="197"/>
      <c r="AF256" s="47"/>
    </row>
    <row r="257" spans="1:32" s="29" customFormat="1" ht="69.95" hidden="1" customHeight="1">
      <c r="A257" s="29" t="s">
        <v>4511</v>
      </c>
      <c r="B257" s="29" t="s">
        <v>3769</v>
      </c>
      <c r="C257" s="40" t="s">
        <v>32</v>
      </c>
      <c r="D257" s="40"/>
      <c r="E257" s="57" t="s">
        <v>93</v>
      </c>
      <c r="F257" s="57" t="s">
        <v>93</v>
      </c>
      <c r="G257" s="29" t="s">
        <v>871</v>
      </c>
      <c r="J257" s="29">
        <f t="shared" si="13"/>
        <v>1</v>
      </c>
      <c r="K257" s="189">
        <v>250</v>
      </c>
      <c r="L257" s="43" t="s">
        <v>9014</v>
      </c>
      <c r="M257" s="44" t="s">
        <v>405</v>
      </c>
      <c r="N257" s="188" t="s">
        <v>8631</v>
      </c>
      <c r="O257" s="44" t="str">
        <f t="shared" si="18"/>
        <v>PE-L1-4C16-01</v>
      </c>
      <c r="P257" s="45">
        <v>15</v>
      </c>
      <c r="Q257" s="44">
        <v>400</v>
      </c>
      <c r="R257" s="44" t="s">
        <v>49</v>
      </c>
      <c r="S257" s="44">
        <v>300</v>
      </c>
      <c r="T257" s="46" t="s">
        <v>4406</v>
      </c>
      <c r="U257" s="46" t="s">
        <v>4511</v>
      </c>
      <c r="V257" s="46" t="s">
        <v>4512</v>
      </c>
      <c r="W257" s="46" t="s">
        <v>347</v>
      </c>
      <c r="X257" s="47" t="s">
        <v>9305</v>
      </c>
      <c r="Y257" s="46" t="s">
        <v>4513</v>
      </c>
      <c r="Z257" s="46" t="s">
        <v>8316</v>
      </c>
      <c r="AA257" s="46" t="s">
        <v>4514</v>
      </c>
      <c r="AB257" s="47" t="s">
        <v>9305</v>
      </c>
      <c r="AC257" s="48" t="s">
        <v>4515</v>
      </c>
      <c r="AD257" s="204"/>
      <c r="AE257" s="197"/>
      <c r="AF257" s="47"/>
    </row>
    <row r="258" spans="1:32" s="29" customFormat="1" ht="69.95" hidden="1" customHeight="1">
      <c r="A258" s="29" t="s">
        <v>4516</v>
      </c>
      <c r="B258" s="29" t="s">
        <v>3769</v>
      </c>
      <c r="C258" s="40" t="s">
        <v>32</v>
      </c>
      <c r="D258" s="40"/>
      <c r="E258" s="58" t="s">
        <v>8315</v>
      </c>
      <c r="F258" s="58" t="s">
        <v>8315</v>
      </c>
      <c r="G258" s="29" t="s">
        <v>873</v>
      </c>
      <c r="J258" s="29">
        <f t="shared" si="13"/>
        <v>1</v>
      </c>
      <c r="K258" s="189">
        <v>251</v>
      </c>
      <c r="L258" s="43" t="s">
        <v>874</v>
      </c>
      <c r="M258" s="44" t="s">
        <v>405</v>
      </c>
      <c r="N258" s="188" t="s">
        <v>573</v>
      </c>
      <c r="O258" s="44" t="str">
        <f t="shared" si="18"/>
        <v>PE-L1-4C16-02</v>
      </c>
      <c r="P258" s="45">
        <v>15</v>
      </c>
      <c r="Q258" s="44">
        <v>400</v>
      </c>
      <c r="R258" s="44" t="s">
        <v>49</v>
      </c>
      <c r="S258" s="44">
        <v>310</v>
      </c>
      <c r="T258" s="46" t="s">
        <v>4406</v>
      </c>
      <c r="U258" s="46" t="s">
        <v>4516</v>
      </c>
      <c r="V258" s="46" t="s">
        <v>4517</v>
      </c>
      <c r="W258" s="46" t="s">
        <v>347</v>
      </c>
      <c r="X258" s="47" t="s">
        <v>9305</v>
      </c>
      <c r="Y258" s="46" t="s">
        <v>4518</v>
      </c>
      <c r="Z258" s="46" t="s">
        <v>4519</v>
      </c>
      <c r="AA258" s="46" t="s">
        <v>4514</v>
      </c>
      <c r="AB258" s="47" t="s">
        <v>9305</v>
      </c>
      <c r="AC258" s="48" t="s">
        <v>4520</v>
      </c>
      <c r="AD258" s="204"/>
      <c r="AE258" s="197"/>
      <c r="AF258" s="47"/>
    </row>
    <row r="259" spans="1:32" s="29" customFormat="1" ht="69.95" hidden="1" customHeight="1">
      <c r="A259" s="29" t="s">
        <v>4511</v>
      </c>
      <c r="B259" s="29" t="s">
        <v>3769</v>
      </c>
      <c r="C259" s="40" t="s">
        <v>36</v>
      </c>
      <c r="D259" s="40"/>
      <c r="E259" s="57" t="s">
        <v>92</v>
      </c>
      <c r="F259" s="57" t="s">
        <v>92</v>
      </c>
      <c r="G259" s="29" t="s">
        <v>875</v>
      </c>
      <c r="J259" s="29">
        <f t="shared" si="13"/>
        <v>1</v>
      </c>
      <c r="K259" s="42">
        <v>252</v>
      </c>
      <c r="L259" s="43" t="s">
        <v>876</v>
      </c>
      <c r="M259" s="44" t="s">
        <v>405</v>
      </c>
      <c r="N259" s="44" t="s">
        <v>536</v>
      </c>
      <c r="O259" s="44" t="str">
        <f t="shared" si="18"/>
        <v>PE-L1-4C4-22</v>
      </c>
      <c r="P259" s="45">
        <v>3.2</v>
      </c>
      <c r="Q259" s="44">
        <v>400</v>
      </c>
      <c r="R259" s="44" t="s">
        <v>49</v>
      </c>
      <c r="S259" s="44">
        <v>290</v>
      </c>
      <c r="T259" s="46" t="s">
        <v>4406</v>
      </c>
      <c r="U259" s="46" t="s">
        <v>4511</v>
      </c>
      <c r="V259" s="46" t="s">
        <v>4512</v>
      </c>
      <c r="W259" s="46" t="s">
        <v>347</v>
      </c>
      <c r="X259" s="47" t="s">
        <v>9305</v>
      </c>
      <c r="Y259" s="46" t="s">
        <v>4521</v>
      </c>
      <c r="Z259" s="46" t="s">
        <v>4522</v>
      </c>
      <c r="AA259" s="46" t="s">
        <v>4514</v>
      </c>
      <c r="AB259" s="47" t="s">
        <v>9305</v>
      </c>
      <c r="AC259" s="48" t="s">
        <v>4523</v>
      </c>
      <c r="AD259" s="30"/>
      <c r="AE259" s="197"/>
      <c r="AF259" s="47"/>
    </row>
    <row r="260" spans="1:32" s="29" customFormat="1" ht="69.95" hidden="1" customHeight="1">
      <c r="A260" s="29" t="s">
        <v>4516</v>
      </c>
      <c r="B260" s="29" t="s">
        <v>3769</v>
      </c>
      <c r="C260" s="40" t="s">
        <v>36</v>
      </c>
      <c r="D260" s="40"/>
      <c r="E260" s="57" t="s">
        <v>92</v>
      </c>
      <c r="F260" s="57" t="s">
        <v>92</v>
      </c>
      <c r="G260" s="29" t="s">
        <v>877</v>
      </c>
      <c r="J260" s="29">
        <f t="shared" si="13"/>
        <v>1</v>
      </c>
      <c r="K260" s="42">
        <v>253</v>
      </c>
      <c r="L260" s="43" t="s">
        <v>878</v>
      </c>
      <c r="M260" s="44" t="s">
        <v>405</v>
      </c>
      <c r="N260" s="44" t="s">
        <v>536</v>
      </c>
      <c r="O260" s="44" t="str">
        <f t="shared" si="18"/>
        <v>PE-L1-4C4-22</v>
      </c>
      <c r="P260" s="45">
        <v>3.2</v>
      </c>
      <c r="Q260" s="44">
        <v>400</v>
      </c>
      <c r="R260" s="44" t="s">
        <v>49</v>
      </c>
      <c r="S260" s="44">
        <v>300</v>
      </c>
      <c r="T260" s="46" t="s">
        <v>4406</v>
      </c>
      <c r="U260" s="46" t="s">
        <v>4516</v>
      </c>
      <c r="V260" s="46" t="s">
        <v>4517</v>
      </c>
      <c r="W260" s="46" t="s">
        <v>347</v>
      </c>
      <c r="X260" s="47" t="s">
        <v>9305</v>
      </c>
      <c r="Y260" s="46" t="s">
        <v>4524</v>
      </c>
      <c r="Z260" s="46" t="s">
        <v>4525</v>
      </c>
      <c r="AA260" s="46" t="s">
        <v>4514</v>
      </c>
      <c r="AB260" s="47" t="s">
        <v>9305</v>
      </c>
      <c r="AC260" s="48" t="s">
        <v>4526</v>
      </c>
      <c r="AD260" s="30"/>
      <c r="AE260" s="197"/>
      <c r="AF260" s="47"/>
    </row>
    <row r="261" spans="1:32" s="29" customFormat="1" ht="69.95" hidden="1" customHeight="1">
      <c r="A261" s="29" t="s">
        <v>4516</v>
      </c>
      <c r="B261" s="29" t="s">
        <v>3769</v>
      </c>
      <c r="C261" s="40" t="s">
        <v>38</v>
      </c>
      <c r="D261" s="124" t="s">
        <v>9045</v>
      </c>
      <c r="E261" s="58" t="s">
        <v>8020</v>
      </c>
      <c r="F261" s="58" t="s">
        <v>8020</v>
      </c>
      <c r="G261" s="131" t="s">
        <v>9067</v>
      </c>
      <c r="H261" s="43" t="s">
        <v>9068</v>
      </c>
      <c r="J261" s="29">
        <f t="shared" si="13"/>
        <v>1</v>
      </c>
      <c r="K261" s="127">
        <v>254</v>
      </c>
      <c r="L261" s="123" t="s">
        <v>8944</v>
      </c>
      <c r="M261" s="44" t="s">
        <v>405</v>
      </c>
      <c r="N261" s="44" t="s">
        <v>8612</v>
      </c>
      <c r="O261" s="44" t="str">
        <f t="shared" si="18"/>
        <v>PE-L1-5C70/35-01</v>
      </c>
      <c r="P261" s="45">
        <v>50</v>
      </c>
      <c r="Q261" s="44">
        <v>400</v>
      </c>
      <c r="R261" s="44" t="s">
        <v>49</v>
      </c>
      <c r="S261" s="126">
        <v>220</v>
      </c>
      <c r="T261" s="46" t="s">
        <v>4406</v>
      </c>
      <c r="U261" s="122" t="s">
        <v>4511</v>
      </c>
      <c r="V261" s="122" t="s">
        <v>4512</v>
      </c>
      <c r="W261" s="46" t="s">
        <v>347</v>
      </c>
      <c r="X261" s="47" t="s">
        <v>9310</v>
      </c>
      <c r="Y261" s="46" t="s">
        <v>4527</v>
      </c>
      <c r="Z261" s="46" t="s">
        <v>4528</v>
      </c>
      <c r="AA261" s="46" t="s">
        <v>4514</v>
      </c>
      <c r="AB261" s="47" t="s">
        <v>9310</v>
      </c>
      <c r="AC261" s="76" t="s">
        <v>9013</v>
      </c>
      <c r="AD261" s="30"/>
      <c r="AE261" s="197"/>
      <c r="AF261" s="47"/>
    </row>
    <row r="262" spans="1:32" s="29" customFormat="1" ht="69.95" hidden="1" customHeight="1">
      <c r="A262" s="29" t="s">
        <v>4063</v>
      </c>
      <c r="B262" s="29" t="s">
        <v>3769</v>
      </c>
      <c r="C262" s="40" t="s">
        <v>38</v>
      </c>
      <c r="D262" s="40"/>
      <c r="E262" s="57" t="s">
        <v>8035</v>
      </c>
      <c r="F262" s="57" t="s">
        <v>8035</v>
      </c>
      <c r="G262" s="29" t="s">
        <v>880</v>
      </c>
      <c r="J262" s="29">
        <f t="shared" si="13"/>
        <v>1</v>
      </c>
      <c r="K262" s="42">
        <v>255</v>
      </c>
      <c r="L262" s="43" t="s">
        <v>881</v>
      </c>
      <c r="M262" s="44" t="s">
        <v>405</v>
      </c>
      <c r="N262" s="44" t="s">
        <v>882</v>
      </c>
      <c r="O262" s="44" t="str">
        <f t="shared" si="18"/>
        <v>PE-L1-3C120/70-01</v>
      </c>
      <c r="P262" s="45">
        <v>10</v>
      </c>
      <c r="Q262" s="44">
        <v>230</v>
      </c>
      <c r="R262" s="44" t="s">
        <v>428</v>
      </c>
      <c r="S262" s="44">
        <v>220</v>
      </c>
      <c r="T262" s="46" t="s">
        <v>4406</v>
      </c>
      <c r="U262" s="46" t="s">
        <v>4063</v>
      </c>
      <c r="V262" s="46" t="s">
        <v>4064</v>
      </c>
      <c r="W262" s="46" t="s">
        <v>347</v>
      </c>
      <c r="X262" s="172" t="s">
        <v>9167</v>
      </c>
      <c r="Y262" s="46" t="s">
        <v>4529</v>
      </c>
      <c r="Z262" s="46" t="s">
        <v>8627</v>
      </c>
      <c r="AA262" s="46" t="s">
        <v>4514</v>
      </c>
      <c r="AB262" s="172" t="s">
        <v>9167</v>
      </c>
      <c r="AC262" s="48" t="s">
        <v>4530</v>
      </c>
      <c r="AD262" s="30"/>
      <c r="AE262" s="197"/>
      <c r="AF262" s="47"/>
    </row>
    <row r="263" spans="1:32" s="29" customFormat="1" ht="69.95" hidden="1" customHeight="1">
      <c r="A263" s="29" t="s">
        <v>4030</v>
      </c>
      <c r="B263" s="29" t="s">
        <v>3769</v>
      </c>
      <c r="C263" s="40" t="s">
        <v>38</v>
      </c>
      <c r="D263" s="40"/>
      <c r="E263" s="57" t="s">
        <v>8035</v>
      </c>
      <c r="F263" s="57" t="s">
        <v>8035</v>
      </c>
      <c r="G263" s="29" t="s">
        <v>883</v>
      </c>
      <c r="J263" s="29">
        <f t="shared" si="13"/>
        <v>1</v>
      </c>
      <c r="K263" s="42">
        <v>256</v>
      </c>
      <c r="L263" s="43" t="s">
        <v>884</v>
      </c>
      <c r="M263" s="44" t="s">
        <v>405</v>
      </c>
      <c r="N263" s="44" t="s">
        <v>882</v>
      </c>
      <c r="O263" s="44" t="str">
        <f t="shared" si="18"/>
        <v>PE-L1-3C120/70-01</v>
      </c>
      <c r="P263" s="45">
        <v>10</v>
      </c>
      <c r="Q263" s="44">
        <v>230</v>
      </c>
      <c r="R263" s="44" t="s">
        <v>428</v>
      </c>
      <c r="S263" s="44">
        <v>270</v>
      </c>
      <c r="T263" s="46" t="s">
        <v>4406</v>
      </c>
      <c r="U263" s="46" t="s">
        <v>4030</v>
      </c>
      <c r="V263" s="46" t="s">
        <v>4031</v>
      </c>
      <c r="W263" s="46" t="s">
        <v>347</v>
      </c>
      <c r="X263" s="172" t="s">
        <v>9167</v>
      </c>
      <c r="Y263" s="46" t="s">
        <v>4531</v>
      </c>
      <c r="Z263" s="46" t="s">
        <v>4532</v>
      </c>
      <c r="AA263" s="46" t="s">
        <v>4514</v>
      </c>
      <c r="AB263" s="172" t="s">
        <v>9167</v>
      </c>
      <c r="AC263" s="48" t="s">
        <v>4533</v>
      </c>
      <c r="AD263" s="30"/>
      <c r="AE263" s="197"/>
      <c r="AF263" s="47"/>
    </row>
    <row r="264" spans="1:32" s="29" customFormat="1" ht="69.95" hidden="1" customHeight="1">
      <c r="A264" s="29" t="s">
        <v>4511</v>
      </c>
      <c r="B264" s="29" t="s">
        <v>3769</v>
      </c>
      <c r="C264" s="40" t="s">
        <v>38</v>
      </c>
      <c r="D264" s="173" t="s">
        <v>9462</v>
      </c>
      <c r="E264" s="80" t="s">
        <v>94</v>
      </c>
      <c r="F264" s="137" t="s">
        <v>9129</v>
      </c>
      <c r="G264" s="29" t="s">
        <v>885</v>
      </c>
      <c r="J264" s="29">
        <f t="shared" ref="J264:J327" si="19">COUNTIF(L:L,L264)</f>
        <v>1</v>
      </c>
      <c r="K264" s="127">
        <v>257</v>
      </c>
      <c r="L264" s="43" t="s">
        <v>886</v>
      </c>
      <c r="M264" s="44" t="s">
        <v>405</v>
      </c>
      <c r="N264" s="44" t="s">
        <v>516</v>
      </c>
      <c r="O264" s="137" t="str">
        <f>F264</f>
        <v>PE-L1-5C120/70-08</v>
      </c>
      <c r="P264" s="45">
        <v>50</v>
      </c>
      <c r="Q264" s="44">
        <v>400</v>
      </c>
      <c r="R264" s="44" t="s">
        <v>49</v>
      </c>
      <c r="S264" s="44">
        <v>350</v>
      </c>
      <c r="T264" s="46" t="s">
        <v>4406</v>
      </c>
      <c r="U264" s="46" t="s">
        <v>4511</v>
      </c>
      <c r="V264" s="46" t="s">
        <v>4512</v>
      </c>
      <c r="W264" s="46" t="s">
        <v>347</v>
      </c>
      <c r="X264" s="47" t="s">
        <v>9310</v>
      </c>
      <c r="Y264" s="46" t="s">
        <v>4534</v>
      </c>
      <c r="Z264" s="46" t="s">
        <v>4535</v>
      </c>
      <c r="AA264" s="46" t="s">
        <v>4514</v>
      </c>
      <c r="AB264" s="47" t="s">
        <v>9310</v>
      </c>
      <c r="AC264" s="48" t="s">
        <v>4536</v>
      </c>
      <c r="AD264" s="30"/>
      <c r="AE264" s="197"/>
      <c r="AF264" s="47"/>
    </row>
    <row r="265" spans="1:32" s="29" customFormat="1" ht="69.95" hidden="1" customHeight="1">
      <c r="A265" s="29" t="s">
        <v>4511</v>
      </c>
      <c r="B265" s="29" t="s">
        <v>3769</v>
      </c>
      <c r="C265" s="40" t="s">
        <v>40</v>
      </c>
      <c r="D265" s="40"/>
      <c r="E265" s="57" t="s">
        <v>92</v>
      </c>
      <c r="F265" s="57" t="s">
        <v>92</v>
      </c>
      <c r="G265" s="29" t="s">
        <v>887</v>
      </c>
      <c r="J265" s="29">
        <f t="shared" si="19"/>
        <v>1</v>
      </c>
      <c r="K265" s="42">
        <v>258</v>
      </c>
      <c r="L265" s="43" t="s">
        <v>888</v>
      </c>
      <c r="M265" s="44" t="s">
        <v>405</v>
      </c>
      <c r="N265" s="44" t="s">
        <v>536</v>
      </c>
      <c r="O265" s="44" t="str">
        <f t="shared" ref="O265:O322" si="20">F265</f>
        <v>PE-L1-4C4-22</v>
      </c>
      <c r="P265" s="45">
        <v>1.8</v>
      </c>
      <c r="Q265" s="44">
        <v>400</v>
      </c>
      <c r="R265" s="44" t="s">
        <v>49</v>
      </c>
      <c r="S265" s="44">
        <v>210</v>
      </c>
      <c r="T265" s="46" t="s">
        <v>4406</v>
      </c>
      <c r="U265" s="46" t="s">
        <v>4511</v>
      </c>
      <c r="V265" s="46" t="s">
        <v>4512</v>
      </c>
      <c r="W265" s="46" t="s">
        <v>347</v>
      </c>
      <c r="X265" s="47" t="s">
        <v>9305</v>
      </c>
      <c r="Y265" s="46" t="s">
        <v>4537</v>
      </c>
      <c r="Z265" s="46" t="s">
        <v>4538</v>
      </c>
      <c r="AA265" s="46" t="s">
        <v>4514</v>
      </c>
      <c r="AB265" s="47" t="s">
        <v>9305</v>
      </c>
      <c r="AC265" s="48" t="s">
        <v>4539</v>
      </c>
      <c r="AD265" s="30"/>
      <c r="AE265" s="197"/>
      <c r="AF265" s="47"/>
    </row>
    <row r="266" spans="1:32" s="29" customFormat="1" ht="69.95" hidden="1" customHeight="1">
      <c r="A266" s="29" t="s">
        <v>4516</v>
      </c>
      <c r="B266" s="29" t="s">
        <v>3769</v>
      </c>
      <c r="C266" s="40" t="s">
        <v>40</v>
      </c>
      <c r="D266" s="40"/>
      <c r="E266" s="57" t="s">
        <v>92</v>
      </c>
      <c r="F266" s="57" t="s">
        <v>92</v>
      </c>
      <c r="G266" s="29" t="s">
        <v>889</v>
      </c>
      <c r="J266" s="29">
        <f t="shared" si="19"/>
        <v>1</v>
      </c>
      <c r="K266" s="42">
        <v>259</v>
      </c>
      <c r="L266" s="43" t="s">
        <v>890</v>
      </c>
      <c r="M266" s="44" t="s">
        <v>405</v>
      </c>
      <c r="N266" s="44" t="s">
        <v>536</v>
      </c>
      <c r="O266" s="44" t="str">
        <f t="shared" si="20"/>
        <v>PE-L1-4C4-22</v>
      </c>
      <c r="P266" s="45">
        <v>1</v>
      </c>
      <c r="Q266" s="44">
        <v>400</v>
      </c>
      <c r="R266" s="44" t="s">
        <v>49</v>
      </c>
      <c r="S266" s="44">
        <v>230</v>
      </c>
      <c r="T266" s="46" t="s">
        <v>4406</v>
      </c>
      <c r="U266" s="46" t="s">
        <v>4516</v>
      </c>
      <c r="V266" s="46" t="s">
        <v>4517</v>
      </c>
      <c r="W266" s="46" t="s">
        <v>347</v>
      </c>
      <c r="X266" s="47" t="s">
        <v>9305</v>
      </c>
      <c r="Y266" s="46" t="s">
        <v>4540</v>
      </c>
      <c r="Z266" s="46" t="s">
        <v>4541</v>
      </c>
      <c r="AA266" s="46" t="s">
        <v>4514</v>
      </c>
      <c r="AB266" s="47" t="s">
        <v>9305</v>
      </c>
      <c r="AC266" s="48" t="s">
        <v>4542</v>
      </c>
      <c r="AD266" s="30"/>
      <c r="AE266" s="197"/>
      <c r="AF266" s="47"/>
    </row>
    <row r="267" spans="1:32" s="29" customFormat="1" ht="69.95" hidden="1" customHeight="1">
      <c r="A267" s="29" t="s">
        <v>4511</v>
      </c>
      <c r="B267" s="29" t="s">
        <v>3769</v>
      </c>
      <c r="C267" s="40" t="s">
        <v>41</v>
      </c>
      <c r="D267" s="40"/>
      <c r="E267" s="57" t="s">
        <v>95</v>
      </c>
      <c r="F267" s="57" t="s">
        <v>95</v>
      </c>
      <c r="G267" s="29" t="s">
        <v>891</v>
      </c>
      <c r="J267" s="29">
        <f t="shared" si="19"/>
        <v>1</v>
      </c>
      <c r="K267" s="42">
        <v>260</v>
      </c>
      <c r="L267" s="43" t="s">
        <v>892</v>
      </c>
      <c r="M267" s="44" t="s">
        <v>405</v>
      </c>
      <c r="N267" s="44" t="s">
        <v>536</v>
      </c>
      <c r="O267" s="44" t="str">
        <f t="shared" si="20"/>
        <v>PE-L1-4C4-23</v>
      </c>
      <c r="P267" s="45">
        <v>0.1</v>
      </c>
      <c r="Q267" s="44">
        <v>380</v>
      </c>
      <c r="R267" s="44" t="s">
        <v>49</v>
      </c>
      <c r="S267" s="44">
        <v>210</v>
      </c>
      <c r="T267" s="46" t="s">
        <v>4406</v>
      </c>
      <c r="U267" s="46" t="s">
        <v>4511</v>
      </c>
      <c r="V267" s="46" t="s">
        <v>4512</v>
      </c>
      <c r="W267" s="46" t="s">
        <v>347</v>
      </c>
      <c r="X267" s="47" t="s">
        <v>9305</v>
      </c>
      <c r="Y267" s="46" t="s">
        <v>4543</v>
      </c>
      <c r="Z267" s="46" t="s">
        <v>4544</v>
      </c>
      <c r="AA267" s="46" t="s">
        <v>4514</v>
      </c>
      <c r="AB267" s="47" t="s">
        <v>9305</v>
      </c>
      <c r="AC267" s="48" t="s">
        <v>4545</v>
      </c>
      <c r="AD267" s="30"/>
      <c r="AE267" s="197"/>
      <c r="AF267" s="47"/>
    </row>
    <row r="268" spans="1:32" s="29" customFormat="1" ht="69.95" hidden="1" customHeight="1">
      <c r="A268" s="29" t="s">
        <v>4547</v>
      </c>
      <c r="B268" s="29" t="s">
        <v>3769</v>
      </c>
      <c r="C268" s="40" t="s">
        <v>32</v>
      </c>
      <c r="D268" s="40"/>
      <c r="E268" s="57" t="s">
        <v>96</v>
      </c>
      <c r="F268" s="57" t="s">
        <v>96</v>
      </c>
      <c r="G268" s="29" t="s">
        <v>893</v>
      </c>
      <c r="J268" s="29">
        <f t="shared" si="19"/>
        <v>1</v>
      </c>
      <c r="K268" s="42">
        <v>261</v>
      </c>
      <c r="L268" s="43" t="s">
        <v>894</v>
      </c>
      <c r="M268" s="44" t="s">
        <v>405</v>
      </c>
      <c r="N268" s="44" t="s">
        <v>895</v>
      </c>
      <c r="O268" s="44" t="str">
        <f t="shared" si="20"/>
        <v>PE-L1-4C95/50-11</v>
      </c>
      <c r="P268" s="45">
        <v>160</v>
      </c>
      <c r="Q268" s="44">
        <v>400</v>
      </c>
      <c r="R268" s="44" t="s">
        <v>49</v>
      </c>
      <c r="S268" s="44">
        <v>250</v>
      </c>
      <c r="T268" s="46" t="s">
        <v>4546</v>
      </c>
      <c r="U268" s="46" t="s">
        <v>4547</v>
      </c>
      <c r="V268" s="46" t="s">
        <v>4548</v>
      </c>
      <c r="W268" s="46" t="s">
        <v>4549</v>
      </c>
      <c r="X268" s="47" t="s">
        <v>9305</v>
      </c>
      <c r="Y268" s="46" t="s">
        <v>4550</v>
      </c>
      <c r="Z268" s="46" t="s">
        <v>4551</v>
      </c>
      <c r="AA268" s="46" t="s">
        <v>4552</v>
      </c>
      <c r="AB268" s="47" t="s">
        <v>9305</v>
      </c>
      <c r="AC268" s="48" t="s">
        <v>4553</v>
      </c>
      <c r="AD268" s="30"/>
      <c r="AE268" s="197"/>
      <c r="AF268" s="47"/>
    </row>
    <row r="269" spans="1:32" s="29" customFormat="1" ht="69.95" hidden="1" customHeight="1">
      <c r="A269" s="49" t="s">
        <v>4547</v>
      </c>
      <c r="B269" s="49" t="s">
        <v>3769</v>
      </c>
      <c r="C269" s="50" t="s">
        <v>36</v>
      </c>
      <c r="D269" s="50"/>
      <c r="E269" s="57" t="s">
        <v>96</v>
      </c>
      <c r="F269" s="57" t="s">
        <v>96</v>
      </c>
      <c r="J269" s="29">
        <f t="shared" si="19"/>
        <v>1</v>
      </c>
      <c r="K269" s="42">
        <v>262</v>
      </c>
      <c r="L269" s="43" t="s">
        <v>896</v>
      </c>
      <c r="M269" s="43" t="s">
        <v>405</v>
      </c>
      <c r="N269" s="43" t="s">
        <v>895</v>
      </c>
      <c r="O269" s="44" t="str">
        <f t="shared" si="20"/>
        <v>PE-L1-4C95/50-11</v>
      </c>
      <c r="P269" s="51">
        <v>160</v>
      </c>
      <c r="Q269" s="43">
        <v>400</v>
      </c>
      <c r="R269" s="43" t="s">
        <v>49</v>
      </c>
      <c r="S269" s="43">
        <v>250</v>
      </c>
      <c r="T269" s="43" t="s">
        <v>4546</v>
      </c>
      <c r="U269" s="43" t="s">
        <v>4547</v>
      </c>
      <c r="V269" s="43" t="s">
        <v>4548</v>
      </c>
      <c r="W269" s="43" t="s">
        <v>4549</v>
      </c>
      <c r="X269" s="47" t="s">
        <v>9305</v>
      </c>
      <c r="Y269" s="43" t="s">
        <v>4550</v>
      </c>
      <c r="Z269" s="43" t="s">
        <v>4551</v>
      </c>
      <c r="AA269" s="43" t="s">
        <v>4552</v>
      </c>
      <c r="AB269" s="47" t="s">
        <v>9305</v>
      </c>
      <c r="AC269" s="48" t="s">
        <v>4553</v>
      </c>
      <c r="AD269" s="30"/>
      <c r="AE269" s="197"/>
      <c r="AF269" s="47"/>
    </row>
    <row r="270" spans="1:32" s="29" customFormat="1" ht="69.95" hidden="1" customHeight="1">
      <c r="A270" s="29" t="s">
        <v>4547</v>
      </c>
      <c r="B270" s="29" t="s">
        <v>3769</v>
      </c>
      <c r="C270" s="40" t="s">
        <v>38</v>
      </c>
      <c r="D270" s="40"/>
      <c r="E270" s="57" t="s">
        <v>96</v>
      </c>
      <c r="F270" s="57" t="s">
        <v>96</v>
      </c>
      <c r="G270" s="29" t="s">
        <v>897</v>
      </c>
      <c r="J270" s="29">
        <f t="shared" si="19"/>
        <v>1</v>
      </c>
      <c r="K270" s="42">
        <v>263</v>
      </c>
      <c r="L270" s="43" t="s">
        <v>898</v>
      </c>
      <c r="M270" s="44" t="s">
        <v>405</v>
      </c>
      <c r="N270" s="44" t="s">
        <v>895</v>
      </c>
      <c r="O270" s="44" t="str">
        <f t="shared" si="20"/>
        <v>PE-L1-4C95/50-11</v>
      </c>
      <c r="P270" s="45">
        <v>160</v>
      </c>
      <c r="Q270" s="44">
        <v>400</v>
      </c>
      <c r="R270" s="44" t="s">
        <v>49</v>
      </c>
      <c r="S270" s="44">
        <v>240</v>
      </c>
      <c r="T270" s="46" t="s">
        <v>4546</v>
      </c>
      <c r="U270" s="46" t="s">
        <v>4547</v>
      </c>
      <c r="V270" s="46" t="s">
        <v>4548</v>
      </c>
      <c r="W270" s="46" t="s">
        <v>4549</v>
      </c>
      <c r="X270" s="47" t="s">
        <v>9305</v>
      </c>
      <c r="Y270" s="46" t="s">
        <v>4554</v>
      </c>
      <c r="Z270" s="46" t="s">
        <v>4555</v>
      </c>
      <c r="AA270" s="46" t="s">
        <v>4552</v>
      </c>
      <c r="AB270" s="47" t="s">
        <v>9305</v>
      </c>
      <c r="AC270" s="48" t="s">
        <v>4556</v>
      </c>
      <c r="AD270" s="30"/>
      <c r="AE270" s="197"/>
      <c r="AF270" s="47"/>
    </row>
    <row r="271" spans="1:32" s="29" customFormat="1" ht="69.95" hidden="1" customHeight="1">
      <c r="A271" s="49" t="s">
        <v>4547</v>
      </c>
      <c r="B271" s="49" t="s">
        <v>3769</v>
      </c>
      <c r="C271" s="50" t="s">
        <v>40</v>
      </c>
      <c r="D271" s="50"/>
      <c r="E271" s="57" t="s">
        <v>97</v>
      </c>
      <c r="F271" s="57" t="s">
        <v>97</v>
      </c>
      <c r="J271" s="29">
        <f t="shared" si="19"/>
        <v>1</v>
      </c>
      <c r="K271" s="42">
        <v>264</v>
      </c>
      <c r="L271" s="43" t="s">
        <v>899</v>
      </c>
      <c r="M271" s="43" t="s">
        <v>405</v>
      </c>
      <c r="N271" s="43" t="s">
        <v>895</v>
      </c>
      <c r="O271" s="44" t="str">
        <f t="shared" si="20"/>
        <v>PE-L1-4C95/50-20</v>
      </c>
      <c r="P271" s="51">
        <v>160</v>
      </c>
      <c r="Q271" s="43">
        <v>400</v>
      </c>
      <c r="R271" s="43" t="s">
        <v>49</v>
      </c>
      <c r="S271" s="43">
        <v>240</v>
      </c>
      <c r="T271" s="43" t="s">
        <v>4546</v>
      </c>
      <c r="U271" s="43" t="s">
        <v>4547</v>
      </c>
      <c r="V271" s="43" t="s">
        <v>4548</v>
      </c>
      <c r="W271" s="43" t="s">
        <v>4549</v>
      </c>
      <c r="X271" s="47" t="s">
        <v>9305</v>
      </c>
      <c r="Y271" s="43" t="s">
        <v>4554</v>
      </c>
      <c r="Z271" s="43" t="s">
        <v>4555</v>
      </c>
      <c r="AA271" s="43" t="s">
        <v>4552</v>
      </c>
      <c r="AB271" s="47" t="s">
        <v>9305</v>
      </c>
      <c r="AC271" s="48" t="s">
        <v>4556</v>
      </c>
      <c r="AD271" s="30"/>
      <c r="AE271" s="197"/>
      <c r="AF271" s="47"/>
    </row>
    <row r="272" spans="1:32" s="29" customFormat="1" ht="69.95" hidden="1" customHeight="1">
      <c r="A272" s="29" t="s">
        <v>4547</v>
      </c>
      <c r="B272" s="29" t="s">
        <v>3769</v>
      </c>
      <c r="C272" s="40" t="s">
        <v>41</v>
      </c>
      <c r="D272" s="40"/>
      <c r="E272" s="57" t="s">
        <v>98</v>
      </c>
      <c r="F272" s="57" t="s">
        <v>98</v>
      </c>
      <c r="G272" s="29" t="s">
        <v>900</v>
      </c>
      <c r="J272" s="29">
        <f t="shared" si="19"/>
        <v>1</v>
      </c>
      <c r="K272" s="42">
        <v>265</v>
      </c>
      <c r="L272" s="43" t="s">
        <v>901</v>
      </c>
      <c r="M272" s="44" t="s">
        <v>405</v>
      </c>
      <c r="N272" s="44" t="s">
        <v>895</v>
      </c>
      <c r="O272" s="44" t="str">
        <f t="shared" si="20"/>
        <v>PE-L1-4C95/50-21</v>
      </c>
      <c r="P272" s="45">
        <v>160</v>
      </c>
      <c r="Q272" s="44">
        <v>400</v>
      </c>
      <c r="R272" s="44" t="s">
        <v>49</v>
      </c>
      <c r="S272" s="44">
        <v>230</v>
      </c>
      <c r="T272" s="46" t="s">
        <v>4546</v>
      </c>
      <c r="U272" s="46" t="s">
        <v>4547</v>
      </c>
      <c r="V272" s="46" t="s">
        <v>4548</v>
      </c>
      <c r="W272" s="46" t="s">
        <v>4549</v>
      </c>
      <c r="X272" s="47" t="s">
        <v>9305</v>
      </c>
      <c r="Y272" s="46" t="s">
        <v>4557</v>
      </c>
      <c r="Z272" s="46" t="s">
        <v>4558</v>
      </c>
      <c r="AA272" s="46" t="s">
        <v>4552</v>
      </c>
      <c r="AB272" s="47" t="s">
        <v>9305</v>
      </c>
      <c r="AC272" s="48" t="s">
        <v>4559</v>
      </c>
      <c r="AD272" s="30"/>
      <c r="AE272" s="197"/>
      <c r="AF272" s="47"/>
    </row>
    <row r="273" spans="1:32" s="29" customFormat="1" ht="69.95" hidden="1" customHeight="1">
      <c r="A273" s="49" t="s">
        <v>4547</v>
      </c>
      <c r="B273" s="49" t="s">
        <v>3769</v>
      </c>
      <c r="C273" s="50" t="s">
        <v>42</v>
      </c>
      <c r="D273" s="50"/>
      <c r="E273" s="57" t="s">
        <v>99</v>
      </c>
      <c r="F273" s="57" t="s">
        <v>99</v>
      </c>
      <c r="J273" s="29">
        <f t="shared" si="19"/>
        <v>1</v>
      </c>
      <c r="K273" s="42">
        <v>266</v>
      </c>
      <c r="L273" s="43" t="s">
        <v>902</v>
      </c>
      <c r="M273" s="43" t="s">
        <v>405</v>
      </c>
      <c r="N273" s="43" t="s">
        <v>895</v>
      </c>
      <c r="O273" s="44" t="str">
        <f t="shared" si="20"/>
        <v>PE-L1-4C95/50-19</v>
      </c>
      <c r="P273" s="51">
        <v>160</v>
      </c>
      <c r="Q273" s="43">
        <v>400</v>
      </c>
      <c r="R273" s="43" t="s">
        <v>49</v>
      </c>
      <c r="S273" s="43">
        <v>230</v>
      </c>
      <c r="T273" s="43" t="s">
        <v>4546</v>
      </c>
      <c r="U273" s="43" t="s">
        <v>4547</v>
      </c>
      <c r="V273" s="43" t="s">
        <v>4548</v>
      </c>
      <c r="W273" s="43" t="s">
        <v>4549</v>
      </c>
      <c r="X273" s="47" t="s">
        <v>9305</v>
      </c>
      <c r="Y273" s="43" t="s">
        <v>4557</v>
      </c>
      <c r="Z273" s="43" t="s">
        <v>4558</v>
      </c>
      <c r="AA273" s="43" t="s">
        <v>4552</v>
      </c>
      <c r="AB273" s="47" t="s">
        <v>9305</v>
      </c>
      <c r="AC273" s="48" t="s">
        <v>4559</v>
      </c>
      <c r="AD273" s="30"/>
      <c r="AE273" s="197"/>
      <c r="AF273" s="47"/>
    </row>
    <row r="274" spans="1:32" s="29" customFormat="1" ht="69.95" hidden="1" customHeight="1">
      <c r="A274" s="29" t="s">
        <v>4547</v>
      </c>
      <c r="B274" s="29" t="s">
        <v>3769</v>
      </c>
      <c r="C274" s="40" t="s">
        <v>43</v>
      </c>
      <c r="D274" s="40"/>
      <c r="E274" s="57" t="s">
        <v>100</v>
      </c>
      <c r="F274" s="57" t="s">
        <v>100</v>
      </c>
      <c r="G274" s="29" t="s">
        <v>903</v>
      </c>
      <c r="J274" s="29">
        <f t="shared" si="19"/>
        <v>1</v>
      </c>
      <c r="K274" s="42">
        <v>267</v>
      </c>
      <c r="L274" s="43" t="s">
        <v>904</v>
      </c>
      <c r="M274" s="44" t="s">
        <v>405</v>
      </c>
      <c r="N274" s="44" t="s">
        <v>895</v>
      </c>
      <c r="O274" s="44" t="str">
        <f t="shared" si="20"/>
        <v>PE-L1-4C95/50-23</v>
      </c>
      <c r="P274" s="45">
        <v>160</v>
      </c>
      <c r="Q274" s="44">
        <v>400</v>
      </c>
      <c r="R274" s="44" t="s">
        <v>49</v>
      </c>
      <c r="S274" s="44">
        <v>260</v>
      </c>
      <c r="T274" s="46" t="s">
        <v>4546</v>
      </c>
      <c r="U274" s="46" t="s">
        <v>4547</v>
      </c>
      <c r="V274" s="46" t="s">
        <v>4548</v>
      </c>
      <c r="W274" s="46" t="s">
        <v>4549</v>
      </c>
      <c r="X274" s="47" t="s">
        <v>9305</v>
      </c>
      <c r="Y274" s="46" t="s">
        <v>4560</v>
      </c>
      <c r="Z274" s="46" t="s">
        <v>4561</v>
      </c>
      <c r="AA274" s="46" t="s">
        <v>4552</v>
      </c>
      <c r="AB274" s="47" t="s">
        <v>9305</v>
      </c>
      <c r="AC274" s="48" t="s">
        <v>4562</v>
      </c>
      <c r="AD274" s="30"/>
      <c r="AE274" s="197"/>
      <c r="AF274" s="47"/>
    </row>
    <row r="275" spans="1:32" s="29" customFormat="1" ht="69.95" hidden="1" customHeight="1">
      <c r="A275" s="49" t="s">
        <v>4547</v>
      </c>
      <c r="B275" s="49" t="s">
        <v>3769</v>
      </c>
      <c r="C275" s="50" t="s">
        <v>73</v>
      </c>
      <c r="D275" s="50"/>
      <c r="E275" s="57" t="s">
        <v>100</v>
      </c>
      <c r="F275" s="57" t="s">
        <v>100</v>
      </c>
      <c r="J275" s="29">
        <f t="shared" si="19"/>
        <v>1</v>
      </c>
      <c r="K275" s="42">
        <v>268</v>
      </c>
      <c r="L275" s="43" t="s">
        <v>905</v>
      </c>
      <c r="M275" s="43" t="s">
        <v>405</v>
      </c>
      <c r="N275" s="43" t="s">
        <v>895</v>
      </c>
      <c r="O275" s="44" t="str">
        <f t="shared" si="20"/>
        <v>PE-L1-4C95/50-23</v>
      </c>
      <c r="P275" s="51">
        <v>160</v>
      </c>
      <c r="Q275" s="43">
        <v>400</v>
      </c>
      <c r="R275" s="43" t="s">
        <v>49</v>
      </c>
      <c r="S275" s="43">
        <v>260</v>
      </c>
      <c r="T275" s="43" t="s">
        <v>4546</v>
      </c>
      <c r="U275" s="43" t="s">
        <v>4547</v>
      </c>
      <c r="V275" s="43" t="s">
        <v>4548</v>
      </c>
      <c r="W275" s="43" t="s">
        <v>4549</v>
      </c>
      <c r="X275" s="47" t="s">
        <v>9305</v>
      </c>
      <c r="Y275" s="43" t="s">
        <v>4560</v>
      </c>
      <c r="Z275" s="43" t="s">
        <v>4561</v>
      </c>
      <c r="AA275" s="43" t="s">
        <v>4552</v>
      </c>
      <c r="AB275" s="47" t="s">
        <v>9305</v>
      </c>
      <c r="AC275" s="48" t="s">
        <v>4562</v>
      </c>
      <c r="AD275" s="30"/>
      <c r="AE275" s="197"/>
      <c r="AF275" s="47"/>
    </row>
    <row r="276" spans="1:32" s="29" customFormat="1" ht="69.95" hidden="1" customHeight="1">
      <c r="A276" s="29" t="s">
        <v>4547</v>
      </c>
      <c r="B276" s="29" t="s">
        <v>3769</v>
      </c>
      <c r="C276" s="40" t="s">
        <v>75</v>
      </c>
      <c r="D276" s="40"/>
      <c r="E276" s="57" t="s">
        <v>100</v>
      </c>
      <c r="F276" s="57" t="s">
        <v>100</v>
      </c>
      <c r="G276" s="29" t="s">
        <v>906</v>
      </c>
      <c r="J276" s="29">
        <f t="shared" si="19"/>
        <v>1</v>
      </c>
      <c r="K276" s="42">
        <v>269</v>
      </c>
      <c r="L276" s="43" t="s">
        <v>907</v>
      </c>
      <c r="M276" s="44" t="s">
        <v>405</v>
      </c>
      <c r="N276" s="44" t="s">
        <v>8636</v>
      </c>
      <c r="O276" s="44" t="str">
        <f t="shared" si="20"/>
        <v>PE-L1-4C95/50-23</v>
      </c>
      <c r="P276" s="45">
        <v>160</v>
      </c>
      <c r="Q276" s="44">
        <v>400</v>
      </c>
      <c r="R276" s="44" t="s">
        <v>49</v>
      </c>
      <c r="S276" s="44">
        <v>270</v>
      </c>
      <c r="T276" s="46" t="s">
        <v>4546</v>
      </c>
      <c r="U276" s="46" t="s">
        <v>4547</v>
      </c>
      <c r="V276" s="46" t="s">
        <v>4548</v>
      </c>
      <c r="W276" s="46" t="s">
        <v>4549</v>
      </c>
      <c r="X276" s="47" t="s">
        <v>9305</v>
      </c>
      <c r="Y276" s="46" t="s">
        <v>4563</v>
      </c>
      <c r="Z276" s="46" t="s">
        <v>4564</v>
      </c>
      <c r="AA276" s="46" t="s">
        <v>4552</v>
      </c>
      <c r="AB276" s="47" t="s">
        <v>9305</v>
      </c>
      <c r="AC276" s="48" t="s">
        <v>4565</v>
      </c>
      <c r="AD276" s="30"/>
      <c r="AE276" s="197"/>
      <c r="AF276" s="47"/>
    </row>
    <row r="277" spans="1:32" s="29" customFormat="1" ht="69.95" hidden="1" customHeight="1">
      <c r="A277" s="49" t="s">
        <v>4547</v>
      </c>
      <c r="B277" s="49" t="s">
        <v>3769</v>
      </c>
      <c r="C277" s="49">
        <v>10</v>
      </c>
      <c r="D277" s="49"/>
      <c r="E277" s="56" t="s">
        <v>135</v>
      </c>
      <c r="F277" s="56" t="s">
        <v>135</v>
      </c>
      <c r="J277" s="29">
        <f t="shared" si="19"/>
        <v>1</v>
      </c>
      <c r="K277" s="42">
        <v>270</v>
      </c>
      <c r="L277" s="43" t="s">
        <v>908</v>
      </c>
      <c r="M277" s="43" t="s">
        <v>405</v>
      </c>
      <c r="N277" s="43" t="s">
        <v>895</v>
      </c>
      <c r="O277" s="44" t="str">
        <f t="shared" si="20"/>
        <v>PE-L1-4C95/50-32</v>
      </c>
      <c r="P277" s="51">
        <v>160</v>
      </c>
      <c r="Q277" s="43">
        <v>400</v>
      </c>
      <c r="R277" s="43" t="s">
        <v>49</v>
      </c>
      <c r="S277" s="43">
        <v>270</v>
      </c>
      <c r="T277" s="43" t="s">
        <v>4546</v>
      </c>
      <c r="U277" s="43" t="s">
        <v>4547</v>
      </c>
      <c r="V277" s="43" t="s">
        <v>4548</v>
      </c>
      <c r="W277" s="43" t="s">
        <v>4549</v>
      </c>
      <c r="X277" s="47" t="s">
        <v>9305</v>
      </c>
      <c r="Y277" s="43" t="s">
        <v>4563</v>
      </c>
      <c r="Z277" s="43" t="s">
        <v>4564</v>
      </c>
      <c r="AA277" s="43" t="s">
        <v>4552</v>
      </c>
      <c r="AB277" s="47" t="s">
        <v>9305</v>
      </c>
      <c r="AC277" s="48" t="s">
        <v>4565</v>
      </c>
      <c r="AD277" s="30"/>
      <c r="AE277" s="197"/>
      <c r="AF277" s="47"/>
    </row>
    <row r="278" spans="1:32" s="29" customFormat="1" ht="69.95" hidden="1" customHeight="1">
      <c r="A278" s="29" t="s">
        <v>4547</v>
      </c>
      <c r="B278" s="29" t="s">
        <v>3769</v>
      </c>
      <c r="C278" s="40">
        <v>11</v>
      </c>
      <c r="D278" s="40"/>
      <c r="E278" s="57" t="s">
        <v>97</v>
      </c>
      <c r="F278" s="57" t="s">
        <v>97</v>
      </c>
      <c r="G278" s="29" t="s">
        <v>909</v>
      </c>
      <c r="J278" s="29">
        <f t="shared" si="19"/>
        <v>1</v>
      </c>
      <c r="K278" s="42">
        <v>271</v>
      </c>
      <c r="L278" s="43" t="s">
        <v>910</v>
      </c>
      <c r="M278" s="44" t="s">
        <v>405</v>
      </c>
      <c r="N278" s="44" t="s">
        <v>895</v>
      </c>
      <c r="O278" s="44" t="str">
        <f t="shared" si="20"/>
        <v>PE-L1-4C95/50-20</v>
      </c>
      <c r="P278" s="45">
        <v>160</v>
      </c>
      <c r="Q278" s="44">
        <v>400</v>
      </c>
      <c r="R278" s="44" t="s">
        <v>49</v>
      </c>
      <c r="S278" s="44">
        <v>280</v>
      </c>
      <c r="T278" s="46" t="s">
        <v>4546</v>
      </c>
      <c r="U278" s="46" t="s">
        <v>4547</v>
      </c>
      <c r="V278" s="46" t="s">
        <v>4548</v>
      </c>
      <c r="W278" s="46" t="s">
        <v>4549</v>
      </c>
      <c r="X278" s="47" t="s">
        <v>9305</v>
      </c>
      <c r="Y278" s="46" t="s">
        <v>4566</v>
      </c>
      <c r="Z278" s="46" t="s">
        <v>4567</v>
      </c>
      <c r="AA278" s="46" t="s">
        <v>4552</v>
      </c>
      <c r="AB278" s="47" t="s">
        <v>9305</v>
      </c>
      <c r="AC278" s="48" t="s">
        <v>4568</v>
      </c>
      <c r="AD278" s="30"/>
      <c r="AE278" s="197"/>
      <c r="AF278" s="47"/>
    </row>
    <row r="279" spans="1:32" s="29" customFormat="1" ht="69.95" hidden="1" customHeight="1">
      <c r="A279" s="49" t="s">
        <v>4547</v>
      </c>
      <c r="B279" s="49" t="s">
        <v>3769</v>
      </c>
      <c r="C279" s="49">
        <v>12</v>
      </c>
      <c r="D279" s="49"/>
      <c r="E279" s="57" t="s">
        <v>97</v>
      </c>
      <c r="F279" s="57" t="s">
        <v>97</v>
      </c>
      <c r="J279" s="29">
        <f t="shared" si="19"/>
        <v>1</v>
      </c>
      <c r="K279" s="42">
        <v>272</v>
      </c>
      <c r="L279" s="43" t="s">
        <v>911</v>
      </c>
      <c r="M279" s="43" t="s">
        <v>405</v>
      </c>
      <c r="N279" s="43" t="s">
        <v>895</v>
      </c>
      <c r="O279" s="44" t="str">
        <f t="shared" si="20"/>
        <v>PE-L1-4C95/50-20</v>
      </c>
      <c r="P279" s="51">
        <v>160</v>
      </c>
      <c r="Q279" s="43">
        <v>400</v>
      </c>
      <c r="R279" s="43" t="s">
        <v>49</v>
      </c>
      <c r="S279" s="43">
        <v>280</v>
      </c>
      <c r="T279" s="43" t="s">
        <v>4546</v>
      </c>
      <c r="U279" s="43" t="s">
        <v>4547</v>
      </c>
      <c r="V279" s="43" t="s">
        <v>4548</v>
      </c>
      <c r="W279" s="43" t="s">
        <v>4549</v>
      </c>
      <c r="X279" s="47" t="s">
        <v>9305</v>
      </c>
      <c r="Y279" s="43" t="s">
        <v>4566</v>
      </c>
      <c r="Z279" s="43" t="s">
        <v>4567</v>
      </c>
      <c r="AA279" s="43" t="s">
        <v>4552</v>
      </c>
      <c r="AB279" s="47" t="s">
        <v>9305</v>
      </c>
      <c r="AC279" s="48" t="s">
        <v>4568</v>
      </c>
      <c r="AD279" s="30"/>
      <c r="AE279" s="197"/>
      <c r="AF279" s="47"/>
    </row>
    <row r="280" spans="1:32" s="29" customFormat="1" ht="69.95" hidden="1" customHeight="1">
      <c r="A280" s="29" t="s">
        <v>4547</v>
      </c>
      <c r="B280" s="29" t="s">
        <v>3769</v>
      </c>
      <c r="C280" s="40">
        <v>13</v>
      </c>
      <c r="D280" s="40"/>
      <c r="E280" s="57" t="s">
        <v>102</v>
      </c>
      <c r="F280" s="57" t="s">
        <v>102</v>
      </c>
      <c r="G280" s="29" t="s">
        <v>912</v>
      </c>
      <c r="J280" s="29">
        <f t="shared" si="19"/>
        <v>1</v>
      </c>
      <c r="K280" s="42">
        <v>273</v>
      </c>
      <c r="L280" s="43" t="s">
        <v>913</v>
      </c>
      <c r="M280" s="44" t="s">
        <v>405</v>
      </c>
      <c r="N280" s="44" t="s">
        <v>895</v>
      </c>
      <c r="O280" s="44" t="str">
        <f t="shared" si="20"/>
        <v>PE-L1-4C95/50-05</v>
      </c>
      <c r="P280" s="45">
        <v>160</v>
      </c>
      <c r="Q280" s="44">
        <v>400</v>
      </c>
      <c r="R280" s="44" t="s">
        <v>49</v>
      </c>
      <c r="S280" s="44">
        <v>250</v>
      </c>
      <c r="T280" s="46" t="s">
        <v>4546</v>
      </c>
      <c r="U280" s="46" t="s">
        <v>4547</v>
      </c>
      <c r="V280" s="46" t="s">
        <v>4548</v>
      </c>
      <c r="W280" s="46" t="s">
        <v>4549</v>
      </c>
      <c r="X280" s="47" t="s">
        <v>9305</v>
      </c>
      <c r="Y280" s="46" t="s">
        <v>4569</v>
      </c>
      <c r="Z280" s="46" t="s">
        <v>4570</v>
      </c>
      <c r="AA280" s="46" t="s">
        <v>4552</v>
      </c>
      <c r="AB280" s="47" t="s">
        <v>9305</v>
      </c>
      <c r="AC280" s="48" t="s">
        <v>4571</v>
      </c>
      <c r="AD280" s="30"/>
      <c r="AE280" s="197"/>
      <c r="AF280" s="47"/>
    </row>
    <row r="281" spans="1:32" s="29" customFormat="1" ht="69.95" hidden="1" customHeight="1">
      <c r="A281" s="49" t="s">
        <v>4547</v>
      </c>
      <c r="B281" s="49" t="s">
        <v>3769</v>
      </c>
      <c r="C281" s="49">
        <v>14</v>
      </c>
      <c r="D281" s="49"/>
      <c r="E281" s="57" t="s">
        <v>102</v>
      </c>
      <c r="F281" s="57" t="s">
        <v>102</v>
      </c>
      <c r="J281" s="29">
        <f t="shared" si="19"/>
        <v>1</v>
      </c>
      <c r="K281" s="42">
        <v>274</v>
      </c>
      <c r="L281" s="43" t="s">
        <v>914</v>
      </c>
      <c r="M281" s="43" t="s">
        <v>405</v>
      </c>
      <c r="N281" s="43" t="s">
        <v>895</v>
      </c>
      <c r="O281" s="44" t="str">
        <f t="shared" si="20"/>
        <v>PE-L1-4C95/50-05</v>
      </c>
      <c r="P281" s="51">
        <v>160</v>
      </c>
      <c r="Q281" s="43">
        <v>400</v>
      </c>
      <c r="R281" s="43" t="s">
        <v>49</v>
      </c>
      <c r="S281" s="43">
        <v>250</v>
      </c>
      <c r="T281" s="43" t="s">
        <v>4546</v>
      </c>
      <c r="U281" s="43" t="s">
        <v>4547</v>
      </c>
      <c r="V281" s="43" t="s">
        <v>4548</v>
      </c>
      <c r="W281" s="43" t="s">
        <v>4549</v>
      </c>
      <c r="X281" s="47" t="s">
        <v>9305</v>
      </c>
      <c r="Y281" s="43" t="s">
        <v>4569</v>
      </c>
      <c r="Z281" s="43" t="s">
        <v>4570</v>
      </c>
      <c r="AA281" s="43" t="s">
        <v>4552</v>
      </c>
      <c r="AB281" s="47" t="s">
        <v>9305</v>
      </c>
      <c r="AC281" s="48" t="s">
        <v>4571</v>
      </c>
      <c r="AD281" s="30"/>
      <c r="AE281" s="197"/>
      <c r="AF281" s="47"/>
    </row>
    <row r="282" spans="1:32" s="29" customFormat="1" ht="69.95" hidden="1" customHeight="1">
      <c r="A282" s="29" t="s">
        <v>4547</v>
      </c>
      <c r="B282" s="29" t="s">
        <v>3769</v>
      </c>
      <c r="C282" s="40">
        <v>15</v>
      </c>
      <c r="D282" s="40"/>
      <c r="E282" s="57" t="s">
        <v>102</v>
      </c>
      <c r="F282" s="57" t="s">
        <v>102</v>
      </c>
      <c r="G282" s="29" t="s">
        <v>915</v>
      </c>
      <c r="J282" s="29">
        <f t="shared" si="19"/>
        <v>1</v>
      </c>
      <c r="K282" s="42">
        <v>275</v>
      </c>
      <c r="L282" s="43" t="s">
        <v>916</v>
      </c>
      <c r="M282" s="44" t="s">
        <v>405</v>
      </c>
      <c r="N282" s="44" t="s">
        <v>895</v>
      </c>
      <c r="O282" s="44" t="str">
        <f t="shared" si="20"/>
        <v>PE-L1-4C95/50-05</v>
      </c>
      <c r="P282" s="45">
        <v>160</v>
      </c>
      <c r="Q282" s="44">
        <v>400</v>
      </c>
      <c r="R282" s="44" t="s">
        <v>49</v>
      </c>
      <c r="S282" s="44">
        <v>240</v>
      </c>
      <c r="T282" s="46" t="s">
        <v>4546</v>
      </c>
      <c r="U282" s="46" t="s">
        <v>4547</v>
      </c>
      <c r="V282" s="46" t="s">
        <v>4548</v>
      </c>
      <c r="W282" s="46" t="s">
        <v>4549</v>
      </c>
      <c r="X282" s="47" t="s">
        <v>9305</v>
      </c>
      <c r="Y282" s="46" t="s">
        <v>4572</v>
      </c>
      <c r="Z282" s="46" t="s">
        <v>4573</v>
      </c>
      <c r="AA282" s="46" t="s">
        <v>4552</v>
      </c>
      <c r="AB282" s="47" t="s">
        <v>9305</v>
      </c>
      <c r="AC282" s="48" t="s">
        <v>4574</v>
      </c>
      <c r="AD282" s="30"/>
      <c r="AE282" s="197"/>
      <c r="AF282" s="47"/>
    </row>
    <row r="283" spans="1:32" s="29" customFormat="1" ht="69.95" hidden="1" customHeight="1">
      <c r="A283" s="49" t="s">
        <v>4547</v>
      </c>
      <c r="B283" s="49" t="s">
        <v>3769</v>
      </c>
      <c r="C283" s="49">
        <v>16</v>
      </c>
      <c r="D283" s="49"/>
      <c r="E283" s="57" t="s">
        <v>103</v>
      </c>
      <c r="F283" s="57" t="s">
        <v>103</v>
      </c>
      <c r="J283" s="29">
        <f t="shared" si="19"/>
        <v>1</v>
      </c>
      <c r="K283" s="42">
        <v>276</v>
      </c>
      <c r="L283" s="43" t="s">
        <v>917</v>
      </c>
      <c r="M283" s="43" t="s">
        <v>405</v>
      </c>
      <c r="N283" s="43" t="s">
        <v>895</v>
      </c>
      <c r="O283" s="44" t="str">
        <f t="shared" si="20"/>
        <v>PE-L1-4C95/50-13</v>
      </c>
      <c r="P283" s="51">
        <v>160</v>
      </c>
      <c r="Q283" s="43">
        <v>400</v>
      </c>
      <c r="R283" s="43" t="s">
        <v>49</v>
      </c>
      <c r="S283" s="43">
        <v>240</v>
      </c>
      <c r="T283" s="43" t="s">
        <v>4546</v>
      </c>
      <c r="U283" s="43" t="s">
        <v>4547</v>
      </c>
      <c r="V283" s="43" t="s">
        <v>4548</v>
      </c>
      <c r="W283" s="43" t="s">
        <v>4549</v>
      </c>
      <c r="X283" s="47" t="s">
        <v>9305</v>
      </c>
      <c r="Y283" s="43" t="s">
        <v>4572</v>
      </c>
      <c r="Z283" s="43" t="s">
        <v>4573</v>
      </c>
      <c r="AA283" s="43" t="s">
        <v>4552</v>
      </c>
      <c r="AB283" s="47" t="s">
        <v>9305</v>
      </c>
      <c r="AC283" s="48" t="s">
        <v>4574</v>
      </c>
      <c r="AD283" s="30"/>
      <c r="AE283" s="197"/>
      <c r="AF283" s="47"/>
    </row>
    <row r="284" spans="1:32" s="29" customFormat="1" ht="69.95" hidden="1" customHeight="1">
      <c r="A284" s="29" t="s">
        <v>4547</v>
      </c>
      <c r="B284" s="29" t="s">
        <v>3769</v>
      </c>
      <c r="C284" s="40">
        <v>17</v>
      </c>
      <c r="D284" s="40"/>
      <c r="E284" s="57" t="s">
        <v>103</v>
      </c>
      <c r="F284" s="57" t="s">
        <v>103</v>
      </c>
      <c r="G284" s="29" t="s">
        <v>918</v>
      </c>
      <c r="J284" s="29">
        <f t="shared" si="19"/>
        <v>1</v>
      </c>
      <c r="K284" s="42">
        <v>277</v>
      </c>
      <c r="L284" s="43" t="s">
        <v>919</v>
      </c>
      <c r="M284" s="44" t="s">
        <v>405</v>
      </c>
      <c r="N284" s="44" t="s">
        <v>895</v>
      </c>
      <c r="O284" s="44" t="str">
        <f t="shared" si="20"/>
        <v>PE-L1-4C95/50-13</v>
      </c>
      <c r="P284" s="45">
        <v>160</v>
      </c>
      <c r="Q284" s="44">
        <v>400</v>
      </c>
      <c r="R284" s="44" t="s">
        <v>49</v>
      </c>
      <c r="S284" s="44">
        <v>280</v>
      </c>
      <c r="T284" s="46" t="s">
        <v>4546</v>
      </c>
      <c r="U284" s="46" t="s">
        <v>4547</v>
      </c>
      <c r="V284" s="46" t="s">
        <v>4548</v>
      </c>
      <c r="W284" s="46" t="s">
        <v>4549</v>
      </c>
      <c r="X284" s="47" t="s">
        <v>9305</v>
      </c>
      <c r="Y284" s="46" t="s">
        <v>4575</v>
      </c>
      <c r="Z284" s="46" t="s">
        <v>4576</v>
      </c>
      <c r="AA284" s="46" t="s">
        <v>4552</v>
      </c>
      <c r="AB284" s="47" t="s">
        <v>9305</v>
      </c>
      <c r="AC284" s="48" t="s">
        <v>4577</v>
      </c>
      <c r="AD284" s="30"/>
      <c r="AE284" s="197"/>
      <c r="AF284" s="47"/>
    </row>
    <row r="285" spans="1:32" s="29" customFormat="1" ht="69.95" hidden="1" customHeight="1">
      <c r="A285" s="49" t="s">
        <v>4547</v>
      </c>
      <c r="B285" s="49" t="s">
        <v>3769</v>
      </c>
      <c r="C285" s="49">
        <v>18</v>
      </c>
      <c r="D285" s="49"/>
      <c r="E285" s="57" t="s">
        <v>103</v>
      </c>
      <c r="F285" s="57" t="s">
        <v>103</v>
      </c>
      <c r="J285" s="29">
        <f t="shared" si="19"/>
        <v>1</v>
      </c>
      <c r="K285" s="42">
        <v>278</v>
      </c>
      <c r="L285" s="43" t="s">
        <v>920</v>
      </c>
      <c r="M285" s="43" t="s">
        <v>405</v>
      </c>
      <c r="N285" s="43" t="s">
        <v>895</v>
      </c>
      <c r="O285" s="44" t="str">
        <f t="shared" si="20"/>
        <v>PE-L1-4C95/50-13</v>
      </c>
      <c r="P285" s="51">
        <v>160</v>
      </c>
      <c r="Q285" s="43">
        <v>400</v>
      </c>
      <c r="R285" s="43" t="s">
        <v>49</v>
      </c>
      <c r="S285" s="43">
        <v>280</v>
      </c>
      <c r="T285" s="43" t="s">
        <v>4546</v>
      </c>
      <c r="U285" s="43" t="s">
        <v>4547</v>
      </c>
      <c r="V285" s="43" t="s">
        <v>4548</v>
      </c>
      <c r="W285" s="43" t="s">
        <v>4549</v>
      </c>
      <c r="X285" s="47" t="s">
        <v>9305</v>
      </c>
      <c r="Y285" s="43" t="s">
        <v>4575</v>
      </c>
      <c r="Z285" s="43" t="s">
        <v>4576</v>
      </c>
      <c r="AA285" s="43" t="s">
        <v>4552</v>
      </c>
      <c r="AB285" s="47" t="s">
        <v>9305</v>
      </c>
      <c r="AC285" s="48" t="s">
        <v>4577</v>
      </c>
      <c r="AD285" s="30"/>
      <c r="AE285" s="197"/>
      <c r="AF285" s="47"/>
    </row>
    <row r="286" spans="1:32" s="29" customFormat="1" ht="69.95" hidden="1" customHeight="1">
      <c r="A286" s="29" t="s">
        <v>4547</v>
      </c>
      <c r="B286" s="29" t="s">
        <v>3769</v>
      </c>
      <c r="C286" s="40">
        <v>19</v>
      </c>
      <c r="D286" s="40"/>
      <c r="E286" s="57" t="s">
        <v>104</v>
      </c>
      <c r="F286" s="57" t="s">
        <v>104</v>
      </c>
      <c r="G286" s="29" t="s">
        <v>921</v>
      </c>
      <c r="J286" s="29">
        <f t="shared" si="19"/>
        <v>1</v>
      </c>
      <c r="K286" s="42">
        <v>279</v>
      </c>
      <c r="L286" s="43" t="s">
        <v>922</v>
      </c>
      <c r="M286" s="44" t="s">
        <v>405</v>
      </c>
      <c r="N286" s="44" t="s">
        <v>895</v>
      </c>
      <c r="O286" s="44" t="str">
        <f t="shared" si="20"/>
        <v>PE-L1-4C95/50-17</v>
      </c>
      <c r="P286" s="45">
        <v>160</v>
      </c>
      <c r="Q286" s="44">
        <v>400</v>
      </c>
      <c r="R286" s="44" t="s">
        <v>49</v>
      </c>
      <c r="S286" s="44">
        <v>260</v>
      </c>
      <c r="T286" s="46" t="s">
        <v>4546</v>
      </c>
      <c r="U286" s="46" t="s">
        <v>4547</v>
      </c>
      <c r="V286" s="46" t="s">
        <v>4548</v>
      </c>
      <c r="W286" s="46" t="s">
        <v>4549</v>
      </c>
      <c r="X286" s="47" t="s">
        <v>9305</v>
      </c>
      <c r="Y286" s="46" t="s">
        <v>4578</v>
      </c>
      <c r="Z286" s="46" t="s">
        <v>4579</v>
      </c>
      <c r="AA286" s="46" t="s">
        <v>4552</v>
      </c>
      <c r="AB286" s="47" t="s">
        <v>9305</v>
      </c>
      <c r="AC286" s="48" t="s">
        <v>4580</v>
      </c>
      <c r="AD286" s="30"/>
      <c r="AE286" s="197"/>
      <c r="AF286" s="47"/>
    </row>
    <row r="287" spans="1:32" s="29" customFormat="1" ht="69.95" hidden="1" customHeight="1">
      <c r="A287" s="49" t="s">
        <v>4547</v>
      </c>
      <c r="B287" s="49" t="s">
        <v>3769</v>
      </c>
      <c r="C287" s="49">
        <v>20</v>
      </c>
      <c r="D287" s="49"/>
      <c r="E287" s="57" t="s">
        <v>104</v>
      </c>
      <c r="F287" s="57" t="s">
        <v>104</v>
      </c>
      <c r="J287" s="29">
        <f t="shared" si="19"/>
        <v>1</v>
      </c>
      <c r="K287" s="42">
        <v>280</v>
      </c>
      <c r="L287" s="43" t="s">
        <v>923</v>
      </c>
      <c r="M287" s="43" t="s">
        <v>405</v>
      </c>
      <c r="N287" s="43" t="s">
        <v>895</v>
      </c>
      <c r="O287" s="44" t="str">
        <f t="shared" si="20"/>
        <v>PE-L1-4C95/50-17</v>
      </c>
      <c r="P287" s="51">
        <v>160</v>
      </c>
      <c r="Q287" s="43">
        <v>400</v>
      </c>
      <c r="R287" s="43" t="s">
        <v>49</v>
      </c>
      <c r="S287" s="43">
        <v>260</v>
      </c>
      <c r="T287" s="43" t="s">
        <v>4546</v>
      </c>
      <c r="U287" s="43" t="s">
        <v>4547</v>
      </c>
      <c r="V287" s="43" t="s">
        <v>4548</v>
      </c>
      <c r="W287" s="43" t="s">
        <v>4549</v>
      </c>
      <c r="X287" s="47" t="s">
        <v>9305</v>
      </c>
      <c r="Y287" s="43" t="s">
        <v>4578</v>
      </c>
      <c r="Z287" s="43" t="s">
        <v>4579</v>
      </c>
      <c r="AA287" s="43" t="s">
        <v>4552</v>
      </c>
      <c r="AB287" s="47" t="s">
        <v>9305</v>
      </c>
      <c r="AC287" s="48" t="s">
        <v>4580</v>
      </c>
      <c r="AD287" s="30"/>
      <c r="AE287" s="197"/>
      <c r="AF287" s="47"/>
    </row>
    <row r="288" spans="1:32" s="29" customFormat="1" ht="69.95" hidden="1" customHeight="1">
      <c r="A288" s="29" t="s">
        <v>4547</v>
      </c>
      <c r="B288" s="29" t="s">
        <v>3769</v>
      </c>
      <c r="C288" s="40">
        <v>21</v>
      </c>
      <c r="D288" s="40"/>
      <c r="E288" s="57" t="s">
        <v>104</v>
      </c>
      <c r="F288" s="57" t="s">
        <v>104</v>
      </c>
      <c r="G288" s="29" t="s">
        <v>924</v>
      </c>
      <c r="J288" s="29">
        <f t="shared" si="19"/>
        <v>1</v>
      </c>
      <c r="K288" s="42">
        <v>281</v>
      </c>
      <c r="L288" s="43" t="s">
        <v>925</v>
      </c>
      <c r="M288" s="44" t="s">
        <v>405</v>
      </c>
      <c r="N288" s="44" t="s">
        <v>895</v>
      </c>
      <c r="O288" s="44" t="str">
        <f t="shared" si="20"/>
        <v>PE-L1-4C95/50-17</v>
      </c>
      <c r="P288" s="45">
        <v>160</v>
      </c>
      <c r="Q288" s="44">
        <v>400</v>
      </c>
      <c r="R288" s="44" t="s">
        <v>49</v>
      </c>
      <c r="S288" s="44">
        <v>270</v>
      </c>
      <c r="T288" s="46" t="s">
        <v>4546</v>
      </c>
      <c r="U288" s="46" t="s">
        <v>4547</v>
      </c>
      <c r="V288" s="46" t="s">
        <v>4548</v>
      </c>
      <c r="W288" s="46" t="s">
        <v>4549</v>
      </c>
      <c r="X288" s="47" t="s">
        <v>9305</v>
      </c>
      <c r="Y288" s="46" t="s">
        <v>4581</v>
      </c>
      <c r="Z288" s="46" t="s">
        <v>4582</v>
      </c>
      <c r="AA288" s="46" t="s">
        <v>4552</v>
      </c>
      <c r="AB288" s="47" t="s">
        <v>9305</v>
      </c>
      <c r="AC288" s="48" t="s">
        <v>4583</v>
      </c>
      <c r="AD288" s="30"/>
      <c r="AE288" s="197"/>
      <c r="AF288" s="47"/>
    </row>
    <row r="289" spans="1:32" s="29" customFormat="1" ht="69.95" hidden="1" customHeight="1">
      <c r="A289" s="49" t="s">
        <v>4547</v>
      </c>
      <c r="B289" s="49" t="s">
        <v>3769</v>
      </c>
      <c r="C289" s="49">
        <v>22</v>
      </c>
      <c r="D289" s="49"/>
      <c r="E289" s="57" t="s">
        <v>105</v>
      </c>
      <c r="F289" s="57" t="s">
        <v>105</v>
      </c>
      <c r="J289" s="29">
        <f t="shared" si="19"/>
        <v>1</v>
      </c>
      <c r="K289" s="42">
        <v>282</v>
      </c>
      <c r="L289" s="43" t="s">
        <v>926</v>
      </c>
      <c r="M289" s="43" t="s">
        <v>405</v>
      </c>
      <c r="N289" s="43" t="s">
        <v>895</v>
      </c>
      <c r="O289" s="44" t="str">
        <f t="shared" si="20"/>
        <v>PE-L1-4C95/50-24</v>
      </c>
      <c r="P289" s="51">
        <v>160</v>
      </c>
      <c r="Q289" s="43">
        <v>400</v>
      </c>
      <c r="R289" s="43" t="s">
        <v>49</v>
      </c>
      <c r="S289" s="43">
        <v>270</v>
      </c>
      <c r="T289" s="43" t="s">
        <v>4546</v>
      </c>
      <c r="U289" s="43" t="s">
        <v>4547</v>
      </c>
      <c r="V289" s="43" t="s">
        <v>4548</v>
      </c>
      <c r="W289" s="43" t="s">
        <v>4549</v>
      </c>
      <c r="X289" s="47" t="s">
        <v>9305</v>
      </c>
      <c r="Y289" s="43" t="s">
        <v>4581</v>
      </c>
      <c r="Z289" s="43" t="s">
        <v>4582</v>
      </c>
      <c r="AA289" s="43" t="s">
        <v>4552</v>
      </c>
      <c r="AB289" s="47" t="s">
        <v>9305</v>
      </c>
      <c r="AC289" s="48" t="s">
        <v>4583</v>
      </c>
      <c r="AD289" s="30"/>
      <c r="AE289" s="197"/>
      <c r="AF289" s="47"/>
    </row>
    <row r="290" spans="1:32" s="29" customFormat="1" ht="69.95" hidden="1" customHeight="1">
      <c r="A290" s="29" t="s">
        <v>4547</v>
      </c>
      <c r="B290" s="29" t="s">
        <v>3769</v>
      </c>
      <c r="C290" s="40">
        <v>23</v>
      </c>
      <c r="D290" s="40"/>
      <c r="E290" s="57" t="s">
        <v>98</v>
      </c>
      <c r="F290" s="57" t="s">
        <v>98</v>
      </c>
      <c r="G290" s="29" t="s">
        <v>927</v>
      </c>
      <c r="J290" s="29">
        <f t="shared" si="19"/>
        <v>1</v>
      </c>
      <c r="K290" s="42">
        <v>283</v>
      </c>
      <c r="L290" s="43" t="s">
        <v>928</v>
      </c>
      <c r="M290" s="44" t="s">
        <v>405</v>
      </c>
      <c r="N290" s="44" t="s">
        <v>895</v>
      </c>
      <c r="O290" s="44" t="str">
        <f t="shared" si="20"/>
        <v>PE-L1-4C95/50-21</v>
      </c>
      <c r="P290" s="45">
        <v>160</v>
      </c>
      <c r="Q290" s="44">
        <v>400</v>
      </c>
      <c r="R290" s="44" t="s">
        <v>49</v>
      </c>
      <c r="S290" s="44">
        <v>280</v>
      </c>
      <c r="T290" s="46" t="s">
        <v>4546</v>
      </c>
      <c r="U290" s="46" t="s">
        <v>4547</v>
      </c>
      <c r="V290" s="46" t="s">
        <v>4548</v>
      </c>
      <c r="W290" s="46" t="s">
        <v>4549</v>
      </c>
      <c r="X290" s="47" t="s">
        <v>9305</v>
      </c>
      <c r="Y290" s="46" t="s">
        <v>4584</v>
      </c>
      <c r="Z290" s="46" t="s">
        <v>4585</v>
      </c>
      <c r="AA290" s="46" t="s">
        <v>4552</v>
      </c>
      <c r="AB290" s="47" t="s">
        <v>9305</v>
      </c>
      <c r="AC290" s="48" t="s">
        <v>4586</v>
      </c>
      <c r="AD290" s="30"/>
      <c r="AE290" s="197"/>
      <c r="AF290" s="47"/>
    </row>
    <row r="291" spans="1:32" s="29" customFormat="1" ht="69.95" hidden="1" customHeight="1">
      <c r="A291" s="49" t="s">
        <v>4547</v>
      </c>
      <c r="B291" s="49" t="s">
        <v>3769</v>
      </c>
      <c r="C291" s="49">
        <v>24</v>
      </c>
      <c r="D291" s="49"/>
      <c r="E291" s="57" t="s">
        <v>98</v>
      </c>
      <c r="F291" s="57" t="s">
        <v>98</v>
      </c>
      <c r="J291" s="29">
        <f t="shared" si="19"/>
        <v>1</v>
      </c>
      <c r="K291" s="42">
        <v>284</v>
      </c>
      <c r="L291" s="43" t="s">
        <v>929</v>
      </c>
      <c r="M291" s="43" t="s">
        <v>405</v>
      </c>
      <c r="N291" s="43" t="s">
        <v>895</v>
      </c>
      <c r="O291" s="44" t="str">
        <f t="shared" si="20"/>
        <v>PE-L1-4C95/50-21</v>
      </c>
      <c r="P291" s="51">
        <v>160</v>
      </c>
      <c r="Q291" s="43">
        <v>400</v>
      </c>
      <c r="R291" s="43" t="s">
        <v>49</v>
      </c>
      <c r="S291" s="43">
        <v>280</v>
      </c>
      <c r="T291" s="43" t="s">
        <v>4546</v>
      </c>
      <c r="U291" s="43" t="s">
        <v>4547</v>
      </c>
      <c r="V291" s="43" t="s">
        <v>4548</v>
      </c>
      <c r="W291" s="43" t="s">
        <v>4549</v>
      </c>
      <c r="X291" s="47" t="s">
        <v>9305</v>
      </c>
      <c r="Y291" s="43" t="s">
        <v>4584</v>
      </c>
      <c r="Z291" s="43" t="s">
        <v>4585</v>
      </c>
      <c r="AA291" s="43" t="s">
        <v>4552</v>
      </c>
      <c r="AB291" s="47" t="s">
        <v>9305</v>
      </c>
      <c r="AC291" s="48" t="s">
        <v>4586</v>
      </c>
      <c r="AD291" s="30"/>
      <c r="AE291" s="197"/>
      <c r="AF291" s="47"/>
    </row>
    <row r="292" spans="1:32" s="29" customFormat="1" ht="69.95" hidden="1" customHeight="1">
      <c r="A292" s="29" t="s">
        <v>4587</v>
      </c>
      <c r="B292" s="29" t="s">
        <v>3769</v>
      </c>
      <c r="C292" s="40" t="s">
        <v>32</v>
      </c>
      <c r="D292" s="40"/>
      <c r="E292" s="57" t="s">
        <v>106</v>
      </c>
      <c r="F292" s="57" t="s">
        <v>106</v>
      </c>
      <c r="G292" s="29" t="s">
        <v>930</v>
      </c>
      <c r="J292" s="29">
        <f t="shared" si="19"/>
        <v>1</v>
      </c>
      <c r="K292" s="42">
        <v>285</v>
      </c>
      <c r="L292" s="43" t="s">
        <v>931</v>
      </c>
      <c r="M292" s="44" t="s">
        <v>405</v>
      </c>
      <c r="N292" s="44" t="s">
        <v>895</v>
      </c>
      <c r="O292" s="44" t="str">
        <f t="shared" si="20"/>
        <v>PE-L1-4C95/50-31</v>
      </c>
      <c r="P292" s="45">
        <v>160</v>
      </c>
      <c r="Q292" s="44">
        <v>400</v>
      </c>
      <c r="R292" s="44" t="s">
        <v>49</v>
      </c>
      <c r="S292" s="44">
        <v>180</v>
      </c>
      <c r="T292" s="46" t="s">
        <v>4546</v>
      </c>
      <c r="U292" s="46" t="s">
        <v>4587</v>
      </c>
      <c r="V292" s="46" t="s">
        <v>4588</v>
      </c>
      <c r="W292" s="46" t="s">
        <v>4549</v>
      </c>
      <c r="X292" s="47" t="s">
        <v>9305</v>
      </c>
      <c r="Y292" s="46" t="s">
        <v>4589</v>
      </c>
      <c r="Z292" s="46" t="s">
        <v>4590</v>
      </c>
      <c r="AA292" s="46" t="s">
        <v>4552</v>
      </c>
      <c r="AB292" s="47" t="s">
        <v>9305</v>
      </c>
      <c r="AC292" s="48" t="s">
        <v>4591</v>
      </c>
      <c r="AD292" s="30"/>
      <c r="AE292" s="197"/>
      <c r="AF292" s="47"/>
    </row>
    <row r="293" spans="1:32" s="29" customFormat="1" ht="69.95" hidden="1" customHeight="1">
      <c r="A293" s="49" t="s">
        <v>4587</v>
      </c>
      <c r="B293" s="49" t="s">
        <v>3769</v>
      </c>
      <c r="C293" s="50" t="s">
        <v>36</v>
      </c>
      <c r="D293" s="50"/>
      <c r="E293" s="57" t="s">
        <v>106</v>
      </c>
      <c r="F293" s="57" t="s">
        <v>106</v>
      </c>
      <c r="J293" s="29">
        <f t="shared" si="19"/>
        <v>1</v>
      </c>
      <c r="K293" s="42">
        <v>286</v>
      </c>
      <c r="L293" s="43" t="s">
        <v>932</v>
      </c>
      <c r="M293" s="43" t="s">
        <v>405</v>
      </c>
      <c r="N293" s="43" t="s">
        <v>895</v>
      </c>
      <c r="O293" s="44" t="str">
        <f t="shared" si="20"/>
        <v>PE-L1-4C95/50-31</v>
      </c>
      <c r="P293" s="51">
        <v>160</v>
      </c>
      <c r="Q293" s="43">
        <v>400</v>
      </c>
      <c r="R293" s="43" t="s">
        <v>49</v>
      </c>
      <c r="S293" s="43">
        <v>180</v>
      </c>
      <c r="T293" s="43" t="s">
        <v>4546</v>
      </c>
      <c r="U293" s="43" t="s">
        <v>4587</v>
      </c>
      <c r="V293" s="43" t="s">
        <v>4588</v>
      </c>
      <c r="W293" s="43" t="s">
        <v>4549</v>
      </c>
      <c r="X293" s="47" t="s">
        <v>9305</v>
      </c>
      <c r="Y293" s="43" t="s">
        <v>4589</v>
      </c>
      <c r="Z293" s="43" t="s">
        <v>4590</v>
      </c>
      <c r="AA293" s="43" t="s">
        <v>4552</v>
      </c>
      <c r="AB293" s="47" t="s">
        <v>9305</v>
      </c>
      <c r="AC293" s="48" t="s">
        <v>4591</v>
      </c>
      <c r="AD293" s="30"/>
      <c r="AE293" s="197"/>
      <c r="AF293" s="47"/>
    </row>
    <row r="294" spans="1:32" s="29" customFormat="1" ht="69.95" hidden="1" customHeight="1">
      <c r="A294" s="29" t="s">
        <v>4587</v>
      </c>
      <c r="B294" s="29" t="s">
        <v>3769</v>
      </c>
      <c r="C294" s="40" t="s">
        <v>38</v>
      </c>
      <c r="D294" s="40"/>
      <c r="E294" s="57" t="s">
        <v>105</v>
      </c>
      <c r="F294" s="57" t="s">
        <v>105</v>
      </c>
      <c r="G294" s="29" t="s">
        <v>933</v>
      </c>
      <c r="J294" s="29">
        <f t="shared" si="19"/>
        <v>1</v>
      </c>
      <c r="K294" s="42">
        <v>287</v>
      </c>
      <c r="L294" s="43" t="s">
        <v>934</v>
      </c>
      <c r="M294" s="44" t="s">
        <v>405</v>
      </c>
      <c r="N294" s="44" t="s">
        <v>895</v>
      </c>
      <c r="O294" s="44" t="str">
        <f t="shared" si="20"/>
        <v>PE-L1-4C95/50-24</v>
      </c>
      <c r="P294" s="45">
        <v>160</v>
      </c>
      <c r="Q294" s="44">
        <v>400</v>
      </c>
      <c r="R294" s="44" t="s">
        <v>49</v>
      </c>
      <c r="S294" s="44">
        <v>160</v>
      </c>
      <c r="T294" s="46" t="s">
        <v>4546</v>
      </c>
      <c r="U294" s="46" t="s">
        <v>4587</v>
      </c>
      <c r="V294" s="46" t="s">
        <v>4588</v>
      </c>
      <c r="W294" s="46" t="s">
        <v>4549</v>
      </c>
      <c r="X294" s="47" t="s">
        <v>9305</v>
      </c>
      <c r="Y294" s="46" t="s">
        <v>4592</v>
      </c>
      <c r="Z294" s="46" t="s">
        <v>4593</v>
      </c>
      <c r="AA294" s="46" t="s">
        <v>4552</v>
      </c>
      <c r="AB294" s="47" t="s">
        <v>9305</v>
      </c>
      <c r="AC294" s="48" t="s">
        <v>4594</v>
      </c>
      <c r="AD294" s="30"/>
      <c r="AE294" s="197"/>
      <c r="AF294" s="47"/>
    </row>
    <row r="295" spans="1:32" s="29" customFormat="1" ht="69.95" hidden="1" customHeight="1">
      <c r="A295" s="49" t="s">
        <v>4587</v>
      </c>
      <c r="B295" s="49" t="s">
        <v>3769</v>
      </c>
      <c r="C295" s="50" t="s">
        <v>40</v>
      </c>
      <c r="D295" s="50"/>
      <c r="E295" s="57" t="s">
        <v>107</v>
      </c>
      <c r="F295" s="57" t="s">
        <v>107</v>
      </c>
      <c r="J295" s="29">
        <f t="shared" si="19"/>
        <v>1</v>
      </c>
      <c r="K295" s="42">
        <v>288</v>
      </c>
      <c r="L295" s="43" t="s">
        <v>935</v>
      </c>
      <c r="M295" s="43" t="s">
        <v>405</v>
      </c>
      <c r="N295" s="43" t="s">
        <v>895</v>
      </c>
      <c r="O295" s="44" t="str">
        <f t="shared" si="20"/>
        <v>PE-L1-4C95/50-30</v>
      </c>
      <c r="P295" s="51">
        <v>160</v>
      </c>
      <c r="Q295" s="43">
        <v>400</v>
      </c>
      <c r="R295" s="43" t="s">
        <v>49</v>
      </c>
      <c r="S295" s="43">
        <v>160</v>
      </c>
      <c r="T295" s="43" t="s">
        <v>4546</v>
      </c>
      <c r="U295" s="43" t="s">
        <v>4587</v>
      </c>
      <c r="V295" s="43" t="s">
        <v>4588</v>
      </c>
      <c r="W295" s="43" t="s">
        <v>4549</v>
      </c>
      <c r="X295" s="47" t="s">
        <v>9305</v>
      </c>
      <c r="Y295" s="43" t="s">
        <v>4592</v>
      </c>
      <c r="Z295" s="43" t="s">
        <v>4593</v>
      </c>
      <c r="AA295" s="43" t="s">
        <v>4552</v>
      </c>
      <c r="AB295" s="47" t="s">
        <v>9305</v>
      </c>
      <c r="AC295" s="48" t="s">
        <v>4594</v>
      </c>
      <c r="AD295" s="30"/>
      <c r="AE295" s="197"/>
      <c r="AF295" s="47"/>
    </row>
    <row r="296" spans="1:32" s="29" customFormat="1" ht="69.95" hidden="1" customHeight="1">
      <c r="A296" s="29" t="s">
        <v>4587</v>
      </c>
      <c r="B296" s="29" t="s">
        <v>3769</v>
      </c>
      <c r="C296" s="40" t="s">
        <v>41</v>
      </c>
      <c r="D296" s="40"/>
      <c r="E296" s="57" t="s">
        <v>108</v>
      </c>
      <c r="F296" s="57" t="s">
        <v>108</v>
      </c>
      <c r="G296" s="29" t="s">
        <v>936</v>
      </c>
      <c r="J296" s="29">
        <f t="shared" si="19"/>
        <v>1</v>
      </c>
      <c r="K296" s="42">
        <v>289</v>
      </c>
      <c r="L296" s="43" t="s">
        <v>937</v>
      </c>
      <c r="M296" s="44" t="s">
        <v>405</v>
      </c>
      <c r="N296" s="44" t="s">
        <v>895</v>
      </c>
      <c r="O296" s="44" t="str">
        <f t="shared" si="20"/>
        <v>PE-L1-4C95/50-22</v>
      </c>
      <c r="P296" s="45">
        <v>160</v>
      </c>
      <c r="Q296" s="44">
        <v>400</v>
      </c>
      <c r="R296" s="44" t="s">
        <v>49</v>
      </c>
      <c r="S296" s="44">
        <v>160</v>
      </c>
      <c r="T296" s="46" t="s">
        <v>4546</v>
      </c>
      <c r="U296" s="46" t="s">
        <v>4587</v>
      </c>
      <c r="V296" s="46" t="s">
        <v>4588</v>
      </c>
      <c r="W296" s="46" t="s">
        <v>4549</v>
      </c>
      <c r="X296" s="47" t="s">
        <v>9305</v>
      </c>
      <c r="Y296" s="46" t="s">
        <v>4595</v>
      </c>
      <c r="Z296" s="46" t="s">
        <v>4596</v>
      </c>
      <c r="AA296" s="46" t="s">
        <v>4552</v>
      </c>
      <c r="AB296" s="47" t="s">
        <v>9305</v>
      </c>
      <c r="AC296" s="48" t="s">
        <v>4597</v>
      </c>
      <c r="AD296" s="30"/>
      <c r="AE296" s="197"/>
      <c r="AF296" s="47"/>
    </row>
    <row r="297" spans="1:32" s="29" customFormat="1" ht="69.95" hidden="1" customHeight="1">
      <c r="A297" s="49" t="s">
        <v>4587</v>
      </c>
      <c r="B297" s="49" t="s">
        <v>3769</v>
      </c>
      <c r="C297" s="50" t="s">
        <v>42</v>
      </c>
      <c r="D297" s="50"/>
      <c r="E297" s="57" t="s">
        <v>108</v>
      </c>
      <c r="F297" s="57" t="s">
        <v>108</v>
      </c>
      <c r="J297" s="29">
        <f t="shared" si="19"/>
        <v>1</v>
      </c>
      <c r="K297" s="42">
        <v>290</v>
      </c>
      <c r="L297" s="43" t="s">
        <v>938</v>
      </c>
      <c r="M297" s="43" t="s">
        <v>405</v>
      </c>
      <c r="N297" s="43" t="s">
        <v>895</v>
      </c>
      <c r="O297" s="44" t="str">
        <f t="shared" si="20"/>
        <v>PE-L1-4C95/50-22</v>
      </c>
      <c r="P297" s="51">
        <v>160</v>
      </c>
      <c r="Q297" s="43">
        <v>400</v>
      </c>
      <c r="R297" s="43" t="s">
        <v>49</v>
      </c>
      <c r="S297" s="43">
        <v>160</v>
      </c>
      <c r="T297" s="43" t="s">
        <v>4546</v>
      </c>
      <c r="U297" s="43" t="s">
        <v>4587</v>
      </c>
      <c r="V297" s="43" t="s">
        <v>4588</v>
      </c>
      <c r="W297" s="43" t="s">
        <v>4549</v>
      </c>
      <c r="X297" s="47" t="s">
        <v>9305</v>
      </c>
      <c r="Y297" s="43" t="s">
        <v>4595</v>
      </c>
      <c r="Z297" s="43" t="s">
        <v>4596</v>
      </c>
      <c r="AA297" s="43" t="s">
        <v>4552</v>
      </c>
      <c r="AB297" s="47" t="s">
        <v>9305</v>
      </c>
      <c r="AC297" s="48" t="s">
        <v>4597</v>
      </c>
      <c r="AD297" s="30"/>
      <c r="AE297" s="197"/>
      <c r="AF297" s="47"/>
    </row>
    <row r="298" spans="1:32" s="29" customFormat="1" ht="69.95" hidden="1" customHeight="1">
      <c r="A298" s="29" t="s">
        <v>4587</v>
      </c>
      <c r="B298" s="29" t="s">
        <v>3769</v>
      </c>
      <c r="C298" s="40" t="s">
        <v>43</v>
      </c>
      <c r="D298" s="40"/>
      <c r="E298" s="57" t="s">
        <v>109</v>
      </c>
      <c r="F298" s="57" t="s">
        <v>109</v>
      </c>
      <c r="G298" s="29" t="s">
        <v>939</v>
      </c>
      <c r="J298" s="29">
        <f t="shared" si="19"/>
        <v>1</v>
      </c>
      <c r="K298" s="42">
        <v>291</v>
      </c>
      <c r="L298" s="43" t="s">
        <v>940</v>
      </c>
      <c r="M298" s="44" t="s">
        <v>405</v>
      </c>
      <c r="N298" s="44" t="s">
        <v>895</v>
      </c>
      <c r="O298" s="44" t="str">
        <f t="shared" si="20"/>
        <v>PE-L1-4C95/50-26</v>
      </c>
      <c r="P298" s="45">
        <v>160</v>
      </c>
      <c r="Q298" s="44">
        <v>400</v>
      </c>
      <c r="R298" s="44" t="s">
        <v>49</v>
      </c>
      <c r="S298" s="44">
        <v>190</v>
      </c>
      <c r="T298" s="46" t="s">
        <v>4546</v>
      </c>
      <c r="U298" s="46" t="s">
        <v>4587</v>
      </c>
      <c r="V298" s="46" t="s">
        <v>4588</v>
      </c>
      <c r="W298" s="46" t="s">
        <v>4549</v>
      </c>
      <c r="X298" s="47" t="s">
        <v>9305</v>
      </c>
      <c r="Y298" s="46" t="s">
        <v>4598</v>
      </c>
      <c r="Z298" s="46" t="s">
        <v>4599</v>
      </c>
      <c r="AA298" s="46" t="s">
        <v>4552</v>
      </c>
      <c r="AB298" s="47" t="s">
        <v>9305</v>
      </c>
      <c r="AC298" s="48" t="s">
        <v>4600</v>
      </c>
      <c r="AD298" s="30"/>
      <c r="AE298" s="197"/>
      <c r="AF298" s="47"/>
    </row>
    <row r="299" spans="1:32" s="29" customFormat="1" ht="69.95" hidden="1" customHeight="1">
      <c r="A299" s="49" t="s">
        <v>4587</v>
      </c>
      <c r="B299" s="49" t="s">
        <v>3769</v>
      </c>
      <c r="C299" s="50" t="s">
        <v>73</v>
      </c>
      <c r="D299" s="50"/>
      <c r="E299" s="57" t="s">
        <v>109</v>
      </c>
      <c r="F299" s="57" t="s">
        <v>109</v>
      </c>
      <c r="J299" s="29">
        <f t="shared" si="19"/>
        <v>1</v>
      </c>
      <c r="K299" s="42">
        <v>292</v>
      </c>
      <c r="L299" s="43" t="s">
        <v>941</v>
      </c>
      <c r="M299" s="43" t="s">
        <v>405</v>
      </c>
      <c r="N299" s="43" t="s">
        <v>895</v>
      </c>
      <c r="O299" s="44" t="str">
        <f t="shared" si="20"/>
        <v>PE-L1-4C95/50-26</v>
      </c>
      <c r="P299" s="51">
        <v>160</v>
      </c>
      <c r="Q299" s="43">
        <v>400</v>
      </c>
      <c r="R299" s="43" t="s">
        <v>49</v>
      </c>
      <c r="S299" s="43">
        <v>190</v>
      </c>
      <c r="T299" s="43" t="s">
        <v>4546</v>
      </c>
      <c r="U299" s="43" t="s">
        <v>4587</v>
      </c>
      <c r="V299" s="43" t="s">
        <v>4588</v>
      </c>
      <c r="W299" s="43" t="s">
        <v>4549</v>
      </c>
      <c r="X299" s="47" t="s">
        <v>9305</v>
      </c>
      <c r="Y299" s="43" t="s">
        <v>4598</v>
      </c>
      <c r="Z299" s="43" t="s">
        <v>4599</v>
      </c>
      <c r="AA299" s="43" t="s">
        <v>4552</v>
      </c>
      <c r="AB299" s="47" t="s">
        <v>9305</v>
      </c>
      <c r="AC299" s="48" t="s">
        <v>4600</v>
      </c>
      <c r="AD299" s="30"/>
      <c r="AE299" s="197"/>
      <c r="AF299" s="47"/>
    </row>
    <row r="300" spans="1:32" s="29" customFormat="1" ht="69.95" hidden="1" customHeight="1">
      <c r="A300" s="29" t="s">
        <v>4587</v>
      </c>
      <c r="B300" s="29" t="s">
        <v>3769</v>
      </c>
      <c r="C300" s="40" t="s">
        <v>75</v>
      </c>
      <c r="D300" s="40"/>
      <c r="E300" s="57" t="s">
        <v>110</v>
      </c>
      <c r="F300" s="57" t="s">
        <v>110</v>
      </c>
      <c r="G300" s="29" t="s">
        <v>942</v>
      </c>
      <c r="J300" s="29">
        <f t="shared" si="19"/>
        <v>1</v>
      </c>
      <c r="K300" s="42">
        <v>293</v>
      </c>
      <c r="L300" s="43" t="s">
        <v>943</v>
      </c>
      <c r="M300" s="44" t="s">
        <v>405</v>
      </c>
      <c r="N300" s="44" t="s">
        <v>895</v>
      </c>
      <c r="O300" s="44" t="str">
        <f t="shared" si="20"/>
        <v>PE-L1-4C95/50-01</v>
      </c>
      <c r="P300" s="45">
        <v>160</v>
      </c>
      <c r="Q300" s="44">
        <v>400</v>
      </c>
      <c r="R300" s="44" t="s">
        <v>49</v>
      </c>
      <c r="S300" s="44">
        <v>190</v>
      </c>
      <c r="T300" s="46" t="s">
        <v>4546</v>
      </c>
      <c r="U300" s="46" t="s">
        <v>4587</v>
      </c>
      <c r="V300" s="46" t="s">
        <v>4588</v>
      </c>
      <c r="W300" s="46" t="s">
        <v>4549</v>
      </c>
      <c r="X300" s="47" t="s">
        <v>9305</v>
      </c>
      <c r="Y300" s="46" t="s">
        <v>4601</v>
      </c>
      <c r="Z300" s="46" t="s">
        <v>4602</v>
      </c>
      <c r="AA300" s="46" t="s">
        <v>4552</v>
      </c>
      <c r="AB300" s="47" t="s">
        <v>9305</v>
      </c>
      <c r="AC300" s="48" t="s">
        <v>4603</v>
      </c>
      <c r="AD300" s="30"/>
      <c r="AE300" s="197"/>
      <c r="AF300" s="47"/>
    </row>
    <row r="301" spans="1:32" s="29" customFormat="1" ht="69.95" hidden="1" customHeight="1">
      <c r="A301" s="49" t="s">
        <v>4587</v>
      </c>
      <c r="B301" s="49" t="s">
        <v>3769</v>
      </c>
      <c r="C301" s="49">
        <v>10</v>
      </c>
      <c r="D301" s="49"/>
      <c r="E301" s="57" t="s">
        <v>111</v>
      </c>
      <c r="F301" s="57" t="s">
        <v>111</v>
      </c>
      <c r="J301" s="29">
        <f t="shared" si="19"/>
        <v>1</v>
      </c>
      <c r="K301" s="42">
        <v>294</v>
      </c>
      <c r="L301" s="43" t="s">
        <v>944</v>
      </c>
      <c r="M301" s="43" t="s">
        <v>405</v>
      </c>
      <c r="N301" s="43" t="s">
        <v>895</v>
      </c>
      <c r="O301" s="44" t="str">
        <f t="shared" si="20"/>
        <v>PE-L1-4C95/50-01</v>
      </c>
      <c r="P301" s="51">
        <v>160</v>
      </c>
      <c r="Q301" s="43">
        <v>400</v>
      </c>
      <c r="R301" s="43" t="s">
        <v>49</v>
      </c>
      <c r="S301" s="43">
        <v>190</v>
      </c>
      <c r="T301" s="43" t="s">
        <v>4546</v>
      </c>
      <c r="U301" s="43" t="s">
        <v>4587</v>
      </c>
      <c r="V301" s="43" t="s">
        <v>4588</v>
      </c>
      <c r="W301" s="43" t="s">
        <v>4549</v>
      </c>
      <c r="X301" s="47" t="s">
        <v>9305</v>
      </c>
      <c r="Y301" s="43" t="s">
        <v>4601</v>
      </c>
      <c r="Z301" s="43" t="s">
        <v>4602</v>
      </c>
      <c r="AA301" s="43" t="s">
        <v>4552</v>
      </c>
      <c r="AB301" s="47" t="s">
        <v>9305</v>
      </c>
      <c r="AC301" s="48" t="s">
        <v>4604</v>
      </c>
      <c r="AD301" s="30"/>
      <c r="AE301" s="197"/>
      <c r="AF301" s="47"/>
    </row>
    <row r="302" spans="1:32" s="29" customFormat="1" ht="69.95" hidden="1" customHeight="1">
      <c r="A302" s="29" t="s">
        <v>4587</v>
      </c>
      <c r="B302" s="29" t="s">
        <v>3769</v>
      </c>
      <c r="C302" s="40">
        <v>11</v>
      </c>
      <c r="D302" s="40"/>
      <c r="E302" s="57" t="s">
        <v>111</v>
      </c>
      <c r="F302" s="57" t="s">
        <v>111</v>
      </c>
      <c r="G302" s="29" t="s">
        <v>945</v>
      </c>
      <c r="J302" s="29">
        <f t="shared" si="19"/>
        <v>1</v>
      </c>
      <c r="K302" s="42">
        <v>295</v>
      </c>
      <c r="L302" s="43" t="s">
        <v>946</v>
      </c>
      <c r="M302" s="44" t="s">
        <v>405</v>
      </c>
      <c r="N302" s="44" t="s">
        <v>895</v>
      </c>
      <c r="O302" s="44" t="str">
        <f t="shared" si="20"/>
        <v>PE-L1-4C95/50-01</v>
      </c>
      <c r="P302" s="45">
        <v>160</v>
      </c>
      <c r="Q302" s="44">
        <v>400</v>
      </c>
      <c r="R302" s="44" t="s">
        <v>49</v>
      </c>
      <c r="S302" s="44">
        <v>210</v>
      </c>
      <c r="T302" s="46" t="s">
        <v>4546</v>
      </c>
      <c r="U302" s="46" t="s">
        <v>4587</v>
      </c>
      <c r="V302" s="46" t="s">
        <v>4588</v>
      </c>
      <c r="W302" s="46" t="s">
        <v>4549</v>
      </c>
      <c r="X302" s="47" t="s">
        <v>9305</v>
      </c>
      <c r="Y302" s="46" t="s">
        <v>4605</v>
      </c>
      <c r="Z302" s="46" t="s">
        <v>4606</v>
      </c>
      <c r="AA302" s="46" t="s">
        <v>4552</v>
      </c>
      <c r="AB302" s="47" t="s">
        <v>9305</v>
      </c>
      <c r="AC302" s="48" t="s">
        <v>4607</v>
      </c>
      <c r="AD302" s="30"/>
      <c r="AE302" s="197"/>
      <c r="AF302" s="47"/>
    </row>
    <row r="303" spans="1:32" s="29" customFormat="1" ht="69.95" hidden="1" customHeight="1">
      <c r="A303" s="49" t="s">
        <v>4587</v>
      </c>
      <c r="B303" s="49" t="s">
        <v>3769</v>
      </c>
      <c r="C303" s="49">
        <v>12</v>
      </c>
      <c r="D303" s="49"/>
      <c r="E303" s="57" t="s">
        <v>111</v>
      </c>
      <c r="F303" s="57" t="s">
        <v>111</v>
      </c>
      <c r="J303" s="29">
        <f t="shared" si="19"/>
        <v>1</v>
      </c>
      <c r="K303" s="42">
        <v>296</v>
      </c>
      <c r="L303" s="43" t="s">
        <v>947</v>
      </c>
      <c r="M303" s="43" t="s">
        <v>405</v>
      </c>
      <c r="N303" s="43" t="s">
        <v>895</v>
      </c>
      <c r="O303" s="44" t="str">
        <f t="shared" si="20"/>
        <v>PE-L1-4C95/50-01</v>
      </c>
      <c r="P303" s="51">
        <v>160</v>
      </c>
      <c r="Q303" s="43">
        <v>400</v>
      </c>
      <c r="R303" s="43" t="s">
        <v>49</v>
      </c>
      <c r="S303" s="43">
        <v>210</v>
      </c>
      <c r="T303" s="43" t="s">
        <v>4546</v>
      </c>
      <c r="U303" s="43" t="s">
        <v>4587</v>
      </c>
      <c r="V303" s="43" t="s">
        <v>4588</v>
      </c>
      <c r="W303" s="43" t="s">
        <v>4549</v>
      </c>
      <c r="X303" s="47" t="s">
        <v>9305</v>
      </c>
      <c r="Y303" s="43" t="s">
        <v>4605</v>
      </c>
      <c r="Z303" s="43" t="s">
        <v>4606</v>
      </c>
      <c r="AA303" s="43" t="s">
        <v>4552</v>
      </c>
      <c r="AB303" s="47" t="s">
        <v>9305</v>
      </c>
      <c r="AC303" s="48" t="s">
        <v>4607</v>
      </c>
      <c r="AD303" s="30"/>
      <c r="AE303" s="197"/>
      <c r="AF303" s="47"/>
    </row>
    <row r="304" spans="1:32" s="29" customFormat="1" ht="69.95" hidden="1" customHeight="1">
      <c r="A304" s="29" t="s">
        <v>4587</v>
      </c>
      <c r="B304" s="29" t="s">
        <v>3769</v>
      </c>
      <c r="C304" s="40">
        <v>13</v>
      </c>
      <c r="D304" s="40"/>
      <c r="E304" s="57" t="s">
        <v>112</v>
      </c>
      <c r="F304" s="57" t="s">
        <v>112</v>
      </c>
      <c r="G304" s="29" t="s">
        <v>948</v>
      </c>
      <c r="J304" s="29">
        <f t="shared" si="19"/>
        <v>1</v>
      </c>
      <c r="K304" s="42">
        <v>297</v>
      </c>
      <c r="L304" s="43" t="s">
        <v>949</v>
      </c>
      <c r="M304" s="44" t="s">
        <v>405</v>
      </c>
      <c r="N304" s="44" t="s">
        <v>895</v>
      </c>
      <c r="O304" s="44" t="str">
        <f t="shared" si="20"/>
        <v>PE-L1-4C95/50-09</v>
      </c>
      <c r="P304" s="45">
        <v>160</v>
      </c>
      <c r="Q304" s="44">
        <v>400</v>
      </c>
      <c r="R304" s="44" t="s">
        <v>49</v>
      </c>
      <c r="S304" s="44">
        <v>180</v>
      </c>
      <c r="T304" s="46" t="s">
        <v>4546</v>
      </c>
      <c r="U304" s="46" t="s">
        <v>4587</v>
      </c>
      <c r="V304" s="46" t="s">
        <v>4588</v>
      </c>
      <c r="W304" s="46" t="s">
        <v>4549</v>
      </c>
      <c r="X304" s="47" t="s">
        <v>9305</v>
      </c>
      <c r="Y304" s="46" t="s">
        <v>4608</v>
      </c>
      <c r="Z304" s="46" t="s">
        <v>4609</v>
      </c>
      <c r="AA304" s="46" t="s">
        <v>4552</v>
      </c>
      <c r="AB304" s="47" t="s">
        <v>9305</v>
      </c>
      <c r="AC304" s="48" t="s">
        <v>4610</v>
      </c>
      <c r="AD304" s="30"/>
      <c r="AE304" s="197"/>
      <c r="AF304" s="47"/>
    </row>
    <row r="305" spans="1:32" s="29" customFormat="1" ht="69.95" hidden="1" customHeight="1">
      <c r="A305" s="49" t="s">
        <v>4587</v>
      </c>
      <c r="B305" s="49" t="s">
        <v>3769</v>
      </c>
      <c r="C305" s="49">
        <v>14</v>
      </c>
      <c r="D305" s="49"/>
      <c r="E305" s="57" t="s">
        <v>112</v>
      </c>
      <c r="F305" s="57" t="s">
        <v>112</v>
      </c>
      <c r="J305" s="29">
        <f t="shared" si="19"/>
        <v>1</v>
      </c>
      <c r="K305" s="42">
        <v>298</v>
      </c>
      <c r="L305" s="43" t="s">
        <v>950</v>
      </c>
      <c r="M305" s="43" t="s">
        <v>405</v>
      </c>
      <c r="N305" s="43" t="s">
        <v>895</v>
      </c>
      <c r="O305" s="44" t="str">
        <f t="shared" si="20"/>
        <v>PE-L1-4C95/50-09</v>
      </c>
      <c r="P305" s="51">
        <v>160</v>
      </c>
      <c r="Q305" s="43">
        <v>400</v>
      </c>
      <c r="R305" s="43" t="s">
        <v>49</v>
      </c>
      <c r="S305" s="43">
        <v>180</v>
      </c>
      <c r="T305" s="43" t="s">
        <v>4546</v>
      </c>
      <c r="U305" s="43" t="s">
        <v>4587</v>
      </c>
      <c r="V305" s="43" t="s">
        <v>4588</v>
      </c>
      <c r="W305" s="43" t="s">
        <v>4549</v>
      </c>
      <c r="X305" s="47" t="s">
        <v>9305</v>
      </c>
      <c r="Y305" s="43" t="s">
        <v>4608</v>
      </c>
      <c r="Z305" s="43" t="s">
        <v>4609</v>
      </c>
      <c r="AA305" s="43" t="s">
        <v>4552</v>
      </c>
      <c r="AB305" s="47" t="s">
        <v>9305</v>
      </c>
      <c r="AC305" s="48" t="s">
        <v>4610</v>
      </c>
      <c r="AD305" s="30"/>
      <c r="AE305" s="197"/>
      <c r="AF305" s="47"/>
    </row>
    <row r="306" spans="1:32" s="29" customFormat="1" ht="69.95" hidden="1" customHeight="1">
      <c r="A306" s="29" t="s">
        <v>4587</v>
      </c>
      <c r="B306" s="29" t="s">
        <v>3769</v>
      </c>
      <c r="C306" s="40">
        <v>15</v>
      </c>
      <c r="D306" s="40"/>
      <c r="E306" s="57" t="s">
        <v>112</v>
      </c>
      <c r="F306" s="57" t="s">
        <v>112</v>
      </c>
      <c r="G306" s="29" t="s">
        <v>951</v>
      </c>
      <c r="J306" s="29">
        <f t="shared" si="19"/>
        <v>1</v>
      </c>
      <c r="K306" s="42">
        <v>299</v>
      </c>
      <c r="L306" s="43" t="s">
        <v>952</v>
      </c>
      <c r="M306" s="44" t="s">
        <v>405</v>
      </c>
      <c r="N306" s="44" t="s">
        <v>895</v>
      </c>
      <c r="O306" s="44" t="str">
        <f t="shared" si="20"/>
        <v>PE-L1-4C95/50-09</v>
      </c>
      <c r="P306" s="45">
        <v>160</v>
      </c>
      <c r="Q306" s="44">
        <v>400</v>
      </c>
      <c r="R306" s="44" t="s">
        <v>49</v>
      </c>
      <c r="S306" s="44">
        <v>170</v>
      </c>
      <c r="T306" s="46" t="s">
        <v>4546</v>
      </c>
      <c r="U306" s="46" t="s">
        <v>4587</v>
      </c>
      <c r="V306" s="46" t="s">
        <v>4588</v>
      </c>
      <c r="W306" s="46" t="s">
        <v>4549</v>
      </c>
      <c r="X306" s="47" t="s">
        <v>9305</v>
      </c>
      <c r="Y306" s="46" t="s">
        <v>4611</v>
      </c>
      <c r="Z306" s="46" t="s">
        <v>4612</v>
      </c>
      <c r="AA306" s="46" t="s">
        <v>4552</v>
      </c>
      <c r="AB306" s="47" t="s">
        <v>9305</v>
      </c>
      <c r="AC306" s="48" t="s">
        <v>4613</v>
      </c>
      <c r="AD306" s="30"/>
      <c r="AE306" s="197"/>
      <c r="AF306" s="47"/>
    </row>
    <row r="307" spans="1:32" s="29" customFormat="1" ht="69.95" hidden="1" customHeight="1">
      <c r="A307" s="49" t="s">
        <v>4587</v>
      </c>
      <c r="B307" s="49" t="s">
        <v>3769</v>
      </c>
      <c r="C307" s="49">
        <v>16</v>
      </c>
      <c r="D307" s="49"/>
      <c r="E307" s="57" t="s">
        <v>112</v>
      </c>
      <c r="F307" s="57" t="s">
        <v>112</v>
      </c>
      <c r="J307" s="29">
        <f t="shared" si="19"/>
        <v>1</v>
      </c>
      <c r="K307" s="42">
        <v>300</v>
      </c>
      <c r="L307" s="43" t="s">
        <v>953</v>
      </c>
      <c r="M307" s="43" t="s">
        <v>405</v>
      </c>
      <c r="N307" s="43" t="s">
        <v>895</v>
      </c>
      <c r="O307" s="44" t="str">
        <f t="shared" si="20"/>
        <v>PE-L1-4C95/50-09</v>
      </c>
      <c r="P307" s="51">
        <v>160</v>
      </c>
      <c r="Q307" s="43">
        <v>400</v>
      </c>
      <c r="R307" s="43" t="s">
        <v>49</v>
      </c>
      <c r="S307" s="43">
        <v>170</v>
      </c>
      <c r="T307" s="43" t="s">
        <v>4546</v>
      </c>
      <c r="U307" s="43" t="s">
        <v>4587</v>
      </c>
      <c r="V307" s="43" t="s">
        <v>4588</v>
      </c>
      <c r="W307" s="43" t="s">
        <v>4549</v>
      </c>
      <c r="X307" s="47" t="s">
        <v>9305</v>
      </c>
      <c r="Y307" s="43" t="s">
        <v>4611</v>
      </c>
      <c r="Z307" s="43" t="s">
        <v>4612</v>
      </c>
      <c r="AA307" s="43" t="s">
        <v>4552</v>
      </c>
      <c r="AB307" s="47" t="s">
        <v>9305</v>
      </c>
      <c r="AC307" s="48" t="s">
        <v>4613</v>
      </c>
      <c r="AD307" s="30"/>
      <c r="AE307" s="197"/>
      <c r="AF307" s="47"/>
    </row>
    <row r="308" spans="1:32" s="29" customFormat="1" ht="69.95" hidden="1" customHeight="1">
      <c r="A308" s="29" t="s">
        <v>4587</v>
      </c>
      <c r="B308" s="29" t="s">
        <v>3769</v>
      </c>
      <c r="C308" s="40">
        <v>17</v>
      </c>
      <c r="D308" s="40"/>
      <c r="E308" s="57" t="s">
        <v>109</v>
      </c>
      <c r="F308" s="57" t="s">
        <v>109</v>
      </c>
      <c r="G308" s="29" t="s">
        <v>954</v>
      </c>
      <c r="J308" s="29">
        <f t="shared" si="19"/>
        <v>1</v>
      </c>
      <c r="K308" s="42">
        <v>301</v>
      </c>
      <c r="L308" s="43" t="s">
        <v>955</v>
      </c>
      <c r="M308" s="44" t="s">
        <v>405</v>
      </c>
      <c r="N308" s="44" t="s">
        <v>895</v>
      </c>
      <c r="O308" s="44" t="str">
        <f t="shared" si="20"/>
        <v>PE-L1-4C95/50-26</v>
      </c>
      <c r="P308" s="45">
        <v>160</v>
      </c>
      <c r="Q308" s="44">
        <v>400</v>
      </c>
      <c r="R308" s="44" t="s">
        <v>49</v>
      </c>
      <c r="S308" s="44">
        <v>160</v>
      </c>
      <c r="T308" s="46" t="s">
        <v>4546</v>
      </c>
      <c r="U308" s="46" t="s">
        <v>4587</v>
      </c>
      <c r="V308" s="46" t="s">
        <v>4588</v>
      </c>
      <c r="W308" s="46" t="s">
        <v>4549</v>
      </c>
      <c r="X308" s="47" t="s">
        <v>9305</v>
      </c>
      <c r="Y308" s="46" t="s">
        <v>4614</v>
      </c>
      <c r="Z308" s="46" t="s">
        <v>4615</v>
      </c>
      <c r="AA308" s="46" t="s">
        <v>4552</v>
      </c>
      <c r="AB308" s="47" t="s">
        <v>9305</v>
      </c>
      <c r="AC308" s="48" t="s">
        <v>4616</v>
      </c>
      <c r="AD308" s="30"/>
      <c r="AE308" s="197"/>
      <c r="AF308" s="47"/>
    </row>
    <row r="309" spans="1:32" s="29" customFormat="1" ht="69.95" hidden="1" customHeight="1">
      <c r="A309" s="49" t="s">
        <v>4587</v>
      </c>
      <c r="B309" s="49" t="s">
        <v>3769</v>
      </c>
      <c r="C309" s="49">
        <v>18</v>
      </c>
      <c r="D309" s="49"/>
      <c r="E309" s="57" t="s">
        <v>109</v>
      </c>
      <c r="F309" s="57" t="s">
        <v>109</v>
      </c>
      <c r="J309" s="29">
        <f t="shared" si="19"/>
        <v>1</v>
      </c>
      <c r="K309" s="42">
        <v>302</v>
      </c>
      <c r="L309" s="43" t="s">
        <v>956</v>
      </c>
      <c r="M309" s="43" t="s">
        <v>405</v>
      </c>
      <c r="N309" s="43" t="s">
        <v>895</v>
      </c>
      <c r="O309" s="44" t="str">
        <f t="shared" si="20"/>
        <v>PE-L1-4C95/50-26</v>
      </c>
      <c r="P309" s="51">
        <v>160</v>
      </c>
      <c r="Q309" s="43">
        <v>400</v>
      </c>
      <c r="R309" s="43" t="s">
        <v>49</v>
      </c>
      <c r="S309" s="43">
        <v>160</v>
      </c>
      <c r="T309" s="43" t="s">
        <v>4546</v>
      </c>
      <c r="U309" s="43" t="s">
        <v>4587</v>
      </c>
      <c r="V309" s="43" t="s">
        <v>4588</v>
      </c>
      <c r="W309" s="43" t="s">
        <v>4549</v>
      </c>
      <c r="X309" s="47" t="s">
        <v>9305</v>
      </c>
      <c r="Y309" s="43" t="s">
        <v>4614</v>
      </c>
      <c r="Z309" s="43" t="s">
        <v>4615</v>
      </c>
      <c r="AA309" s="43" t="s">
        <v>4552</v>
      </c>
      <c r="AB309" s="47" t="s">
        <v>9305</v>
      </c>
      <c r="AC309" s="48" t="s">
        <v>4616</v>
      </c>
      <c r="AD309" s="30"/>
      <c r="AE309" s="197"/>
      <c r="AF309" s="47"/>
    </row>
    <row r="310" spans="1:32" s="29" customFormat="1" ht="69.95" hidden="1" customHeight="1">
      <c r="A310" s="29" t="s">
        <v>4587</v>
      </c>
      <c r="B310" s="29" t="s">
        <v>3769</v>
      </c>
      <c r="C310" s="40">
        <v>19</v>
      </c>
      <c r="D310" s="40"/>
      <c r="E310" s="57" t="s">
        <v>113</v>
      </c>
      <c r="F310" s="57" t="s">
        <v>113</v>
      </c>
      <c r="G310" s="29" t="s">
        <v>957</v>
      </c>
      <c r="J310" s="29">
        <f t="shared" si="19"/>
        <v>1</v>
      </c>
      <c r="K310" s="42">
        <v>303</v>
      </c>
      <c r="L310" s="43" t="s">
        <v>958</v>
      </c>
      <c r="M310" s="44" t="s">
        <v>405</v>
      </c>
      <c r="N310" s="44" t="s">
        <v>895</v>
      </c>
      <c r="O310" s="44" t="str">
        <f t="shared" si="20"/>
        <v>PE-L1-4C95/50-27</v>
      </c>
      <c r="P310" s="45">
        <v>160</v>
      </c>
      <c r="Q310" s="44">
        <v>400</v>
      </c>
      <c r="R310" s="44" t="s">
        <v>49</v>
      </c>
      <c r="S310" s="44">
        <v>190</v>
      </c>
      <c r="T310" s="46" t="s">
        <v>4546</v>
      </c>
      <c r="U310" s="46" t="s">
        <v>4587</v>
      </c>
      <c r="V310" s="46" t="s">
        <v>4588</v>
      </c>
      <c r="W310" s="46" t="s">
        <v>4549</v>
      </c>
      <c r="X310" s="47" t="s">
        <v>9305</v>
      </c>
      <c r="Y310" s="46" t="s">
        <v>4617</v>
      </c>
      <c r="Z310" s="46" t="s">
        <v>4618</v>
      </c>
      <c r="AA310" s="46" t="s">
        <v>4552</v>
      </c>
      <c r="AB310" s="47" t="s">
        <v>9305</v>
      </c>
      <c r="AC310" s="48" t="s">
        <v>4619</v>
      </c>
      <c r="AD310" s="30"/>
      <c r="AE310" s="197"/>
      <c r="AF310" s="47"/>
    </row>
    <row r="311" spans="1:32" s="29" customFormat="1" ht="69.95" hidden="1" customHeight="1">
      <c r="A311" s="49" t="s">
        <v>4587</v>
      </c>
      <c r="B311" s="49" t="s">
        <v>3769</v>
      </c>
      <c r="C311" s="49">
        <v>20</v>
      </c>
      <c r="D311" s="49"/>
      <c r="E311" s="57" t="s">
        <v>113</v>
      </c>
      <c r="F311" s="57" t="s">
        <v>113</v>
      </c>
      <c r="J311" s="29">
        <f t="shared" si="19"/>
        <v>1</v>
      </c>
      <c r="K311" s="42">
        <v>304</v>
      </c>
      <c r="L311" s="43" t="s">
        <v>959</v>
      </c>
      <c r="M311" s="43" t="s">
        <v>405</v>
      </c>
      <c r="N311" s="43" t="s">
        <v>895</v>
      </c>
      <c r="O311" s="44" t="str">
        <f t="shared" si="20"/>
        <v>PE-L1-4C95/50-27</v>
      </c>
      <c r="P311" s="51">
        <v>160</v>
      </c>
      <c r="Q311" s="43">
        <v>400</v>
      </c>
      <c r="R311" s="43" t="s">
        <v>49</v>
      </c>
      <c r="S311" s="43">
        <v>190</v>
      </c>
      <c r="T311" s="43" t="s">
        <v>4546</v>
      </c>
      <c r="U311" s="43" t="s">
        <v>4587</v>
      </c>
      <c r="V311" s="43" t="s">
        <v>4588</v>
      </c>
      <c r="W311" s="43" t="s">
        <v>4549</v>
      </c>
      <c r="X311" s="47" t="s">
        <v>9305</v>
      </c>
      <c r="Y311" s="43" t="s">
        <v>4617</v>
      </c>
      <c r="Z311" s="43" t="s">
        <v>4618</v>
      </c>
      <c r="AA311" s="43" t="s">
        <v>4552</v>
      </c>
      <c r="AB311" s="47" t="s">
        <v>9305</v>
      </c>
      <c r="AC311" s="48" t="s">
        <v>4619</v>
      </c>
      <c r="AD311" s="30"/>
      <c r="AE311" s="197"/>
      <c r="AF311" s="47"/>
    </row>
    <row r="312" spans="1:32" s="29" customFormat="1" ht="69.95" hidden="1" customHeight="1">
      <c r="A312" s="29" t="s">
        <v>4587</v>
      </c>
      <c r="B312" s="29" t="s">
        <v>3769</v>
      </c>
      <c r="C312" s="40">
        <v>21</v>
      </c>
      <c r="D312" s="40"/>
      <c r="E312" s="57" t="s">
        <v>113</v>
      </c>
      <c r="F312" s="57" t="s">
        <v>113</v>
      </c>
      <c r="G312" s="29" t="s">
        <v>960</v>
      </c>
      <c r="J312" s="29">
        <f t="shared" si="19"/>
        <v>1</v>
      </c>
      <c r="K312" s="42">
        <v>305</v>
      </c>
      <c r="L312" s="43" t="s">
        <v>961</v>
      </c>
      <c r="M312" s="44" t="s">
        <v>405</v>
      </c>
      <c r="N312" s="44" t="s">
        <v>895</v>
      </c>
      <c r="O312" s="44" t="str">
        <f t="shared" si="20"/>
        <v>PE-L1-4C95/50-27</v>
      </c>
      <c r="P312" s="45">
        <v>160</v>
      </c>
      <c r="Q312" s="44">
        <v>400</v>
      </c>
      <c r="R312" s="44" t="s">
        <v>49</v>
      </c>
      <c r="S312" s="44">
        <v>190</v>
      </c>
      <c r="T312" s="46" t="s">
        <v>4546</v>
      </c>
      <c r="U312" s="46" t="s">
        <v>4587</v>
      </c>
      <c r="V312" s="46" t="s">
        <v>4588</v>
      </c>
      <c r="W312" s="46" t="s">
        <v>4549</v>
      </c>
      <c r="X312" s="47" t="s">
        <v>9305</v>
      </c>
      <c r="Y312" s="46" t="s">
        <v>4620</v>
      </c>
      <c r="Z312" s="46" t="s">
        <v>4621</v>
      </c>
      <c r="AA312" s="46" t="s">
        <v>4552</v>
      </c>
      <c r="AB312" s="47" t="s">
        <v>9305</v>
      </c>
      <c r="AC312" s="48" t="s">
        <v>4622</v>
      </c>
      <c r="AD312" s="30"/>
      <c r="AE312" s="197"/>
      <c r="AF312" s="47"/>
    </row>
    <row r="313" spans="1:32" s="29" customFormat="1" ht="69.95" hidden="1" customHeight="1">
      <c r="A313" s="49" t="s">
        <v>4587</v>
      </c>
      <c r="B313" s="49" t="s">
        <v>3769</v>
      </c>
      <c r="C313" s="49">
        <v>22</v>
      </c>
      <c r="D313" s="49"/>
      <c r="E313" s="57" t="s">
        <v>114</v>
      </c>
      <c r="F313" s="57" t="s">
        <v>114</v>
      </c>
      <c r="J313" s="29">
        <f t="shared" si="19"/>
        <v>1</v>
      </c>
      <c r="K313" s="42">
        <v>306</v>
      </c>
      <c r="L313" s="43" t="s">
        <v>962</v>
      </c>
      <c r="M313" s="43" t="s">
        <v>405</v>
      </c>
      <c r="N313" s="43" t="s">
        <v>895</v>
      </c>
      <c r="O313" s="44" t="str">
        <f t="shared" si="20"/>
        <v>PE-L1-4C95/50-28</v>
      </c>
      <c r="P313" s="51">
        <v>160</v>
      </c>
      <c r="Q313" s="43">
        <v>400</v>
      </c>
      <c r="R313" s="43" t="s">
        <v>49</v>
      </c>
      <c r="S313" s="43">
        <v>190</v>
      </c>
      <c r="T313" s="43" t="s">
        <v>4546</v>
      </c>
      <c r="U313" s="43" t="s">
        <v>4587</v>
      </c>
      <c r="V313" s="43" t="s">
        <v>4588</v>
      </c>
      <c r="W313" s="43" t="s">
        <v>4549</v>
      </c>
      <c r="X313" s="47" t="s">
        <v>9305</v>
      </c>
      <c r="Y313" s="43" t="s">
        <v>4620</v>
      </c>
      <c r="Z313" s="43" t="s">
        <v>4621</v>
      </c>
      <c r="AA313" s="43" t="s">
        <v>4552</v>
      </c>
      <c r="AB313" s="47" t="s">
        <v>9305</v>
      </c>
      <c r="AC313" s="48" t="s">
        <v>4622</v>
      </c>
      <c r="AD313" s="30"/>
      <c r="AE313" s="197"/>
      <c r="AF313" s="47"/>
    </row>
    <row r="314" spans="1:32" s="29" customFormat="1" ht="69.95" hidden="1" customHeight="1">
      <c r="A314" s="29" t="s">
        <v>4587</v>
      </c>
      <c r="B314" s="29" t="s">
        <v>3769</v>
      </c>
      <c r="C314" s="40">
        <v>23</v>
      </c>
      <c r="D314" s="40"/>
      <c r="E314" s="57" t="s">
        <v>114</v>
      </c>
      <c r="F314" s="57" t="s">
        <v>114</v>
      </c>
      <c r="G314" s="29" t="s">
        <v>963</v>
      </c>
      <c r="J314" s="29">
        <f t="shared" si="19"/>
        <v>1</v>
      </c>
      <c r="K314" s="42">
        <v>307</v>
      </c>
      <c r="L314" s="43" t="s">
        <v>964</v>
      </c>
      <c r="M314" s="44" t="s">
        <v>405</v>
      </c>
      <c r="N314" s="44" t="s">
        <v>895</v>
      </c>
      <c r="O314" s="44" t="str">
        <f t="shared" si="20"/>
        <v>PE-L1-4C95/50-28</v>
      </c>
      <c r="P314" s="45">
        <v>160</v>
      </c>
      <c r="Q314" s="44">
        <v>400</v>
      </c>
      <c r="R314" s="44" t="s">
        <v>49</v>
      </c>
      <c r="S314" s="44">
        <v>200</v>
      </c>
      <c r="T314" s="46" t="s">
        <v>4546</v>
      </c>
      <c r="U314" s="46" t="s">
        <v>4587</v>
      </c>
      <c r="V314" s="46" t="s">
        <v>4588</v>
      </c>
      <c r="W314" s="46" t="s">
        <v>4549</v>
      </c>
      <c r="X314" s="47" t="s">
        <v>9305</v>
      </c>
      <c r="Y314" s="46" t="s">
        <v>4623</v>
      </c>
      <c r="Z314" s="46" t="s">
        <v>4624</v>
      </c>
      <c r="AA314" s="46" t="s">
        <v>4552</v>
      </c>
      <c r="AB314" s="47" t="s">
        <v>9305</v>
      </c>
      <c r="AC314" s="48" t="s">
        <v>4625</v>
      </c>
      <c r="AD314" s="30"/>
      <c r="AE314" s="197"/>
      <c r="AF314" s="47"/>
    </row>
    <row r="315" spans="1:32" s="29" customFormat="1" ht="69.95" hidden="1" customHeight="1">
      <c r="A315" s="49" t="s">
        <v>4587</v>
      </c>
      <c r="B315" s="49" t="s">
        <v>3769</v>
      </c>
      <c r="C315" s="49">
        <v>24</v>
      </c>
      <c r="D315" s="49"/>
      <c r="E315" s="57" t="s">
        <v>114</v>
      </c>
      <c r="F315" s="57" t="s">
        <v>114</v>
      </c>
      <c r="J315" s="29">
        <f t="shared" si="19"/>
        <v>1</v>
      </c>
      <c r="K315" s="42">
        <v>308</v>
      </c>
      <c r="L315" s="43" t="s">
        <v>965</v>
      </c>
      <c r="M315" s="43" t="s">
        <v>405</v>
      </c>
      <c r="N315" s="43" t="s">
        <v>895</v>
      </c>
      <c r="O315" s="44" t="str">
        <f t="shared" si="20"/>
        <v>PE-L1-4C95/50-28</v>
      </c>
      <c r="P315" s="51">
        <v>160</v>
      </c>
      <c r="Q315" s="43">
        <v>400</v>
      </c>
      <c r="R315" s="43" t="s">
        <v>49</v>
      </c>
      <c r="S315" s="43">
        <v>200</v>
      </c>
      <c r="T315" s="43" t="s">
        <v>4546</v>
      </c>
      <c r="U315" s="43" t="s">
        <v>4587</v>
      </c>
      <c r="V315" s="43" t="s">
        <v>4588</v>
      </c>
      <c r="W315" s="43" t="s">
        <v>4549</v>
      </c>
      <c r="X315" s="47" t="s">
        <v>9305</v>
      </c>
      <c r="Y315" s="43" t="s">
        <v>4623</v>
      </c>
      <c r="Z315" s="43" t="s">
        <v>4624</v>
      </c>
      <c r="AA315" s="43" t="s">
        <v>4552</v>
      </c>
      <c r="AB315" s="47" t="s">
        <v>9305</v>
      </c>
      <c r="AC315" s="48" t="s">
        <v>4625</v>
      </c>
      <c r="AD315" s="30"/>
      <c r="AE315" s="197"/>
      <c r="AF315" s="47"/>
    </row>
    <row r="316" spans="1:32" s="29" customFormat="1" ht="69.95" hidden="1" customHeight="1">
      <c r="A316" s="29" t="s">
        <v>4547</v>
      </c>
      <c r="B316" s="29" t="s">
        <v>3769</v>
      </c>
      <c r="C316" s="40">
        <v>25</v>
      </c>
      <c r="D316" s="40"/>
      <c r="E316" s="57" t="s">
        <v>8021</v>
      </c>
      <c r="F316" s="57" t="s">
        <v>8021</v>
      </c>
      <c r="G316" s="29" t="s">
        <v>966</v>
      </c>
      <c r="J316" s="29">
        <f t="shared" si="19"/>
        <v>1</v>
      </c>
      <c r="K316" s="42">
        <v>309</v>
      </c>
      <c r="L316" s="43" t="s">
        <v>967</v>
      </c>
      <c r="M316" s="44" t="s">
        <v>405</v>
      </c>
      <c r="N316" s="44" t="s">
        <v>426</v>
      </c>
      <c r="O316" s="44" t="str">
        <f t="shared" si="20"/>
        <v>PE-L1-3C4-03</v>
      </c>
      <c r="P316" s="45">
        <v>0.2</v>
      </c>
      <c r="Q316" s="44">
        <v>230</v>
      </c>
      <c r="R316" s="44" t="s">
        <v>49</v>
      </c>
      <c r="S316" s="44">
        <v>250</v>
      </c>
      <c r="T316" s="46" t="s">
        <v>4546</v>
      </c>
      <c r="U316" s="46" t="s">
        <v>4547</v>
      </c>
      <c r="V316" s="46" t="s">
        <v>4548</v>
      </c>
      <c r="W316" s="46" t="s">
        <v>4549</v>
      </c>
      <c r="X316" s="172" t="s">
        <v>9167</v>
      </c>
      <c r="Y316" s="46" t="s">
        <v>4626</v>
      </c>
      <c r="Z316" s="46" t="s">
        <v>4627</v>
      </c>
      <c r="AA316" s="46" t="s">
        <v>4552</v>
      </c>
      <c r="AB316" s="172" t="s">
        <v>9167</v>
      </c>
      <c r="AC316" s="48" t="s">
        <v>4553</v>
      </c>
      <c r="AD316" s="30"/>
      <c r="AE316" s="197"/>
      <c r="AF316" s="47"/>
    </row>
    <row r="317" spans="1:32" s="29" customFormat="1" ht="69.95" hidden="1" customHeight="1">
      <c r="A317" s="29" t="s">
        <v>4547</v>
      </c>
      <c r="B317" s="29" t="s">
        <v>3769</v>
      </c>
      <c r="C317" s="40">
        <v>26</v>
      </c>
      <c r="D317" s="40"/>
      <c r="E317" s="57" t="s">
        <v>116</v>
      </c>
      <c r="F317" s="57" t="s">
        <v>116</v>
      </c>
      <c r="G317" s="29" t="s">
        <v>968</v>
      </c>
      <c r="J317" s="29">
        <f t="shared" si="19"/>
        <v>1</v>
      </c>
      <c r="K317" s="42">
        <v>310</v>
      </c>
      <c r="L317" s="43" t="s">
        <v>969</v>
      </c>
      <c r="M317" s="44" t="s">
        <v>405</v>
      </c>
      <c r="N317" s="44" t="s">
        <v>426</v>
      </c>
      <c r="O317" s="44" t="str">
        <f t="shared" si="20"/>
        <v>PE-L1-3C4-03</v>
      </c>
      <c r="P317" s="45">
        <v>0.2</v>
      </c>
      <c r="Q317" s="44">
        <v>230</v>
      </c>
      <c r="R317" s="44" t="s">
        <v>49</v>
      </c>
      <c r="S317" s="44">
        <v>240</v>
      </c>
      <c r="T317" s="46" t="s">
        <v>4546</v>
      </c>
      <c r="U317" s="46" t="s">
        <v>4547</v>
      </c>
      <c r="V317" s="46" t="s">
        <v>4548</v>
      </c>
      <c r="W317" s="46" t="s">
        <v>4549</v>
      </c>
      <c r="X317" s="172" t="s">
        <v>9167</v>
      </c>
      <c r="Y317" s="46" t="s">
        <v>4628</v>
      </c>
      <c r="Z317" s="46" t="s">
        <v>4629</v>
      </c>
      <c r="AA317" s="46" t="s">
        <v>4552</v>
      </c>
      <c r="AB317" s="172" t="s">
        <v>9167</v>
      </c>
      <c r="AC317" s="48" t="s">
        <v>4556</v>
      </c>
      <c r="AD317" s="30"/>
      <c r="AE317" s="197"/>
      <c r="AF317" s="47"/>
    </row>
    <row r="318" spans="1:32" s="29" customFormat="1" ht="69.95" hidden="1" customHeight="1">
      <c r="A318" s="29" t="s">
        <v>4547</v>
      </c>
      <c r="B318" s="29" t="s">
        <v>3769</v>
      </c>
      <c r="C318" s="40">
        <v>27</v>
      </c>
      <c r="D318" s="40"/>
      <c r="E318" s="57" t="s">
        <v>116</v>
      </c>
      <c r="F318" s="57" t="s">
        <v>116</v>
      </c>
      <c r="G318" s="29" t="s">
        <v>970</v>
      </c>
      <c r="J318" s="29">
        <f t="shared" si="19"/>
        <v>1</v>
      </c>
      <c r="K318" s="42">
        <v>311</v>
      </c>
      <c r="L318" s="43" t="s">
        <v>971</v>
      </c>
      <c r="M318" s="44" t="s">
        <v>405</v>
      </c>
      <c r="N318" s="44" t="s">
        <v>426</v>
      </c>
      <c r="O318" s="44" t="str">
        <f t="shared" si="20"/>
        <v>PE-L1-3C4-03</v>
      </c>
      <c r="P318" s="45">
        <v>0.2</v>
      </c>
      <c r="Q318" s="44">
        <v>230</v>
      </c>
      <c r="R318" s="44" t="s">
        <v>49</v>
      </c>
      <c r="S318" s="44">
        <v>230</v>
      </c>
      <c r="T318" s="46" t="s">
        <v>4546</v>
      </c>
      <c r="U318" s="46" t="s">
        <v>4547</v>
      </c>
      <c r="V318" s="46" t="s">
        <v>4548</v>
      </c>
      <c r="W318" s="46" t="s">
        <v>4549</v>
      </c>
      <c r="X318" s="172" t="s">
        <v>9167</v>
      </c>
      <c r="Y318" s="46" t="s">
        <v>4630</v>
      </c>
      <c r="Z318" s="46" t="s">
        <v>4631</v>
      </c>
      <c r="AA318" s="46" t="s">
        <v>4552</v>
      </c>
      <c r="AB318" s="172" t="s">
        <v>9167</v>
      </c>
      <c r="AC318" s="48" t="s">
        <v>4559</v>
      </c>
      <c r="AD318" s="30"/>
      <c r="AE318" s="197"/>
      <c r="AF318" s="47"/>
    </row>
    <row r="319" spans="1:32" s="29" customFormat="1" ht="69.95" hidden="1" customHeight="1">
      <c r="A319" s="29" t="s">
        <v>4547</v>
      </c>
      <c r="B319" s="29" t="s">
        <v>3769</v>
      </c>
      <c r="C319" s="40">
        <v>28</v>
      </c>
      <c r="D319" s="40"/>
      <c r="E319" s="57" t="s">
        <v>116</v>
      </c>
      <c r="F319" s="57" t="s">
        <v>116</v>
      </c>
      <c r="G319" s="29" t="s">
        <v>972</v>
      </c>
      <c r="J319" s="29">
        <f t="shared" si="19"/>
        <v>1</v>
      </c>
      <c r="K319" s="42">
        <v>312</v>
      </c>
      <c r="L319" s="43" t="s">
        <v>973</v>
      </c>
      <c r="M319" s="44" t="s">
        <v>405</v>
      </c>
      <c r="N319" s="44" t="s">
        <v>426</v>
      </c>
      <c r="O319" s="44" t="str">
        <f t="shared" si="20"/>
        <v>PE-L1-3C4-03</v>
      </c>
      <c r="P319" s="45">
        <v>0.2</v>
      </c>
      <c r="Q319" s="44">
        <v>230</v>
      </c>
      <c r="R319" s="44" t="s">
        <v>49</v>
      </c>
      <c r="S319" s="44">
        <v>260</v>
      </c>
      <c r="T319" s="46" t="s">
        <v>4546</v>
      </c>
      <c r="U319" s="46" t="s">
        <v>4547</v>
      </c>
      <c r="V319" s="46" t="s">
        <v>4548</v>
      </c>
      <c r="W319" s="46" t="s">
        <v>4549</v>
      </c>
      <c r="X319" s="172" t="s">
        <v>9167</v>
      </c>
      <c r="Y319" s="46" t="s">
        <v>4632</v>
      </c>
      <c r="Z319" s="46" t="s">
        <v>4633</v>
      </c>
      <c r="AA319" s="46" t="s">
        <v>4552</v>
      </c>
      <c r="AB319" s="172" t="s">
        <v>9167</v>
      </c>
      <c r="AC319" s="48" t="s">
        <v>4634</v>
      </c>
      <c r="AD319" s="30"/>
      <c r="AE319" s="197"/>
      <c r="AF319" s="47"/>
    </row>
    <row r="320" spans="1:32" s="29" customFormat="1" ht="69.95" hidden="1" customHeight="1">
      <c r="A320" s="29" t="s">
        <v>4547</v>
      </c>
      <c r="B320" s="29" t="s">
        <v>3769</v>
      </c>
      <c r="C320" s="40">
        <v>29</v>
      </c>
      <c r="D320" s="40"/>
      <c r="E320" s="57" t="s">
        <v>116</v>
      </c>
      <c r="F320" s="57" t="s">
        <v>116</v>
      </c>
      <c r="G320" s="29" t="s">
        <v>974</v>
      </c>
      <c r="J320" s="29">
        <f t="shared" si="19"/>
        <v>1</v>
      </c>
      <c r="K320" s="42">
        <v>313</v>
      </c>
      <c r="L320" s="43" t="s">
        <v>975</v>
      </c>
      <c r="M320" s="44" t="s">
        <v>405</v>
      </c>
      <c r="N320" s="44" t="s">
        <v>426</v>
      </c>
      <c r="O320" s="44" t="str">
        <f t="shared" si="20"/>
        <v>PE-L1-3C4-03</v>
      </c>
      <c r="P320" s="45">
        <v>0.2</v>
      </c>
      <c r="Q320" s="44">
        <v>230</v>
      </c>
      <c r="R320" s="44" t="s">
        <v>49</v>
      </c>
      <c r="S320" s="44">
        <v>270</v>
      </c>
      <c r="T320" s="46" t="s">
        <v>4546</v>
      </c>
      <c r="U320" s="46" t="s">
        <v>4547</v>
      </c>
      <c r="V320" s="46" t="s">
        <v>4548</v>
      </c>
      <c r="W320" s="46" t="s">
        <v>4549</v>
      </c>
      <c r="X320" s="172" t="s">
        <v>9167</v>
      </c>
      <c r="Y320" s="46" t="s">
        <v>4635</v>
      </c>
      <c r="Z320" s="46" t="s">
        <v>4636</v>
      </c>
      <c r="AA320" s="46" t="s">
        <v>4552</v>
      </c>
      <c r="AB320" s="172" t="s">
        <v>9167</v>
      </c>
      <c r="AC320" s="48" t="s">
        <v>4637</v>
      </c>
      <c r="AD320" s="30"/>
      <c r="AE320" s="197"/>
      <c r="AF320" s="47"/>
    </row>
    <row r="321" spans="1:32" s="29" customFormat="1" ht="69.95" hidden="1" customHeight="1">
      <c r="A321" s="29" t="s">
        <v>4547</v>
      </c>
      <c r="B321" s="29" t="s">
        <v>3769</v>
      </c>
      <c r="C321" s="40">
        <v>30</v>
      </c>
      <c r="D321" s="40"/>
      <c r="E321" s="57" t="s">
        <v>116</v>
      </c>
      <c r="F321" s="57" t="s">
        <v>116</v>
      </c>
      <c r="G321" s="29" t="s">
        <v>976</v>
      </c>
      <c r="J321" s="29">
        <f t="shared" si="19"/>
        <v>1</v>
      </c>
      <c r="K321" s="42">
        <v>314</v>
      </c>
      <c r="L321" s="43" t="s">
        <v>977</v>
      </c>
      <c r="M321" s="44" t="s">
        <v>405</v>
      </c>
      <c r="N321" s="44" t="s">
        <v>426</v>
      </c>
      <c r="O321" s="44" t="str">
        <f t="shared" si="20"/>
        <v>PE-L1-3C4-03</v>
      </c>
      <c r="P321" s="45">
        <v>0.2</v>
      </c>
      <c r="Q321" s="44">
        <v>230</v>
      </c>
      <c r="R321" s="44" t="s">
        <v>49</v>
      </c>
      <c r="S321" s="44">
        <v>280</v>
      </c>
      <c r="T321" s="46" t="s">
        <v>4546</v>
      </c>
      <c r="U321" s="46" t="s">
        <v>4547</v>
      </c>
      <c r="V321" s="46" t="s">
        <v>4548</v>
      </c>
      <c r="W321" s="46" t="s">
        <v>4549</v>
      </c>
      <c r="X321" s="172" t="s">
        <v>9167</v>
      </c>
      <c r="Y321" s="46" t="s">
        <v>4638</v>
      </c>
      <c r="Z321" s="46" t="s">
        <v>4639</v>
      </c>
      <c r="AA321" s="46" t="s">
        <v>4552</v>
      </c>
      <c r="AB321" s="172" t="s">
        <v>9167</v>
      </c>
      <c r="AC321" s="48" t="s">
        <v>4640</v>
      </c>
      <c r="AD321" s="30"/>
      <c r="AE321" s="197"/>
      <c r="AF321" s="47"/>
    </row>
    <row r="322" spans="1:32" s="29" customFormat="1" ht="69.95" hidden="1" customHeight="1">
      <c r="A322" s="29" t="s">
        <v>4547</v>
      </c>
      <c r="B322" s="29" t="s">
        <v>3769</v>
      </c>
      <c r="C322" s="40">
        <v>31</v>
      </c>
      <c r="D322" s="40"/>
      <c r="E322" s="56" t="s">
        <v>116</v>
      </c>
      <c r="F322" s="57" t="s">
        <v>116</v>
      </c>
      <c r="G322" s="29" t="s">
        <v>978</v>
      </c>
      <c r="J322" s="29">
        <f t="shared" si="19"/>
        <v>1</v>
      </c>
      <c r="K322" s="42">
        <v>315</v>
      </c>
      <c r="L322" s="43" t="s">
        <v>979</v>
      </c>
      <c r="M322" s="44" t="s">
        <v>405</v>
      </c>
      <c r="N322" s="44" t="s">
        <v>426</v>
      </c>
      <c r="O322" s="44" t="str">
        <f t="shared" si="20"/>
        <v>PE-L1-3C4-03</v>
      </c>
      <c r="P322" s="45">
        <v>0.2</v>
      </c>
      <c r="Q322" s="44">
        <v>230</v>
      </c>
      <c r="R322" s="44" t="s">
        <v>49</v>
      </c>
      <c r="S322" s="44">
        <v>250</v>
      </c>
      <c r="T322" s="46" t="s">
        <v>4546</v>
      </c>
      <c r="U322" s="46" t="s">
        <v>4547</v>
      </c>
      <c r="V322" s="46" t="s">
        <v>4548</v>
      </c>
      <c r="W322" s="46" t="s">
        <v>4549</v>
      </c>
      <c r="X322" s="172" t="s">
        <v>9167</v>
      </c>
      <c r="Y322" s="46" t="s">
        <v>4641</v>
      </c>
      <c r="Z322" s="46" t="s">
        <v>4642</v>
      </c>
      <c r="AA322" s="46" t="s">
        <v>4552</v>
      </c>
      <c r="AB322" s="172" t="s">
        <v>9167</v>
      </c>
      <c r="AC322" s="48" t="s">
        <v>4643</v>
      </c>
      <c r="AD322" s="30"/>
      <c r="AE322" s="197"/>
      <c r="AF322" s="47"/>
    </row>
    <row r="323" spans="1:32" s="29" customFormat="1" ht="69.95" hidden="1" customHeight="1">
      <c r="A323" s="29" t="s">
        <v>4547</v>
      </c>
      <c r="B323" s="29" t="s">
        <v>3769</v>
      </c>
      <c r="C323" s="40">
        <v>32</v>
      </c>
      <c r="D323" s="173" t="s">
        <v>9131</v>
      </c>
      <c r="E323" s="57" t="s">
        <v>8022</v>
      </c>
      <c r="F323" s="121" t="s">
        <v>233</v>
      </c>
      <c r="G323" s="29" t="s">
        <v>980</v>
      </c>
      <c r="J323" s="29">
        <f t="shared" si="19"/>
        <v>1</v>
      </c>
      <c r="K323" s="42">
        <v>316</v>
      </c>
      <c r="L323" s="43" t="s">
        <v>981</v>
      </c>
      <c r="M323" s="44" t="s">
        <v>405</v>
      </c>
      <c r="N323" s="44" t="s">
        <v>426</v>
      </c>
      <c r="O323" s="121" t="str">
        <f>F323</f>
        <v>PE-L1-3C4-14</v>
      </c>
      <c r="P323" s="45">
        <v>0.2</v>
      </c>
      <c r="Q323" s="44">
        <v>230</v>
      </c>
      <c r="R323" s="44" t="s">
        <v>49</v>
      </c>
      <c r="S323" s="144">
        <v>240</v>
      </c>
      <c r="T323" s="46" t="s">
        <v>4546</v>
      </c>
      <c r="U323" s="46" t="s">
        <v>4547</v>
      </c>
      <c r="V323" s="46" t="s">
        <v>4548</v>
      </c>
      <c r="W323" s="46" t="s">
        <v>4549</v>
      </c>
      <c r="X323" s="172" t="s">
        <v>9167</v>
      </c>
      <c r="Y323" s="46" t="s">
        <v>4644</v>
      </c>
      <c r="Z323" s="46" t="s">
        <v>4645</v>
      </c>
      <c r="AA323" s="46" t="s">
        <v>4552</v>
      </c>
      <c r="AB323" s="172" t="s">
        <v>9167</v>
      </c>
      <c r="AC323" s="48" t="s">
        <v>4646</v>
      </c>
      <c r="AD323" s="30"/>
      <c r="AE323" s="197"/>
      <c r="AF323" s="47"/>
    </row>
    <row r="324" spans="1:32" s="29" customFormat="1" ht="69.95" hidden="1" customHeight="1">
      <c r="A324" s="29" t="s">
        <v>4547</v>
      </c>
      <c r="B324" s="29" t="s">
        <v>3769</v>
      </c>
      <c r="C324" s="40">
        <v>33</v>
      </c>
      <c r="D324" s="40"/>
      <c r="E324" s="58" t="s">
        <v>8023</v>
      </c>
      <c r="F324" s="57" t="s">
        <v>8023</v>
      </c>
      <c r="G324" s="29" t="s">
        <v>982</v>
      </c>
      <c r="J324" s="29">
        <f t="shared" si="19"/>
        <v>1</v>
      </c>
      <c r="K324" s="42">
        <v>317</v>
      </c>
      <c r="L324" s="43" t="s">
        <v>983</v>
      </c>
      <c r="M324" s="44" t="s">
        <v>405</v>
      </c>
      <c r="N324" s="44" t="s">
        <v>426</v>
      </c>
      <c r="O324" s="44" t="str">
        <f t="shared" ref="O324:O327" si="21">F324</f>
        <v>PE-L1-3C4-02</v>
      </c>
      <c r="P324" s="45">
        <v>0.2</v>
      </c>
      <c r="Q324" s="44">
        <v>230</v>
      </c>
      <c r="R324" s="44" t="s">
        <v>49</v>
      </c>
      <c r="S324" s="44">
        <v>280</v>
      </c>
      <c r="T324" s="46" t="s">
        <v>4546</v>
      </c>
      <c r="U324" s="46" t="s">
        <v>4547</v>
      </c>
      <c r="V324" s="46" t="s">
        <v>4548</v>
      </c>
      <c r="W324" s="46" t="s">
        <v>4549</v>
      </c>
      <c r="X324" s="172" t="s">
        <v>9167</v>
      </c>
      <c r="Y324" s="46" t="s">
        <v>4647</v>
      </c>
      <c r="Z324" s="46" t="s">
        <v>4648</v>
      </c>
      <c r="AA324" s="46" t="s">
        <v>4552</v>
      </c>
      <c r="AB324" s="172" t="s">
        <v>9167</v>
      </c>
      <c r="AC324" s="48" t="s">
        <v>4649</v>
      </c>
      <c r="AD324" s="30"/>
      <c r="AE324" s="197"/>
      <c r="AF324" s="47"/>
    </row>
    <row r="325" spans="1:32" s="29" customFormat="1" ht="69.95" hidden="1" customHeight="1">
      <c r="A325" s="29" t="s">
        <v>4547</v>
      </c>
      <c r="B325" s="29" t="s">
        <v>3769</v>
      </c>
      <c r="C325" s="40">
        <v>34</v>
      </c>
      <c r="D325" s="40"/>
      <c r="E325" s="57" t="s">
        <v>115</v>
      </c>
      <c r="F325" s="57" t="s">
        <v>115</v>
      </c>
      <c r="G325" s="29" t="s">
        <v>984</v>
      </c>
      <c r="J325" s="29">
        <f t="shared" si="19"/>
        <v>1</v>
      </c>
      <c r="K325" s="42">
        <v>318</v>
      </c>
      <c r="L325" s="43" t="s">
        <v>985</v>
      </c>
      <c r="M325" s="44" t="s">
        <v>405</v>
      </c>
      <c r="N325" s="44" t="s">
        <v>426</v>
      </c>
      <c r="O325" s="44" t="str">
        <f t="shared" si="21"/>
        <v>PE-L1-3C4-02</v>
      </c>
      <c r="P325" s="45">
        <v>0.2</v>
      </c>
      <c r="Q325" s="44">
        <v>230</v>
      </c>
      <c r="R325" s="44" t="s">
        <v>49</v>
      </c>
      <c r="S325" s="44">
        <v>260</v>
      </c>
      <c r="T325" s="46" t="s">
        <v>4546</v>
      </c>
      <c r="U325" s="46" t="s">
        <v>4547</v>
      </c>
      <c r="V325" s="46" t="s">
        <v>4548</v>
      </c>
      <c r="W325" s="46" t="s">
        <v>4549</v>
      </c>
      <c r="X325" s="172" t="s">
        <v>9167</v>
      </c>
      <c r="Y325" s="46" t="s">
        <v>4650</v>
      </c>
      <c r="Z325" s="46" t="s">
        <v>4651</v>
      </c>
      <c r="AA325" s="46" t="s">
        <v>4552</v>
      </c>
      <c r="AB325" s="172" t="s">
        <v>9167</v>
      </c>
      <c r="AC325" s="48" t="s">
        <v>4652</v>
      </c>
      <c r="AD325" s="30"/>
      <c r="AE325" s="197"/>
      <c r="AF325" s="47"/>
    </row>
    <row r="326" spans="1:32" s="29" customFormat="1" ht="69.95" hidden="1" customHeight="1">
      <c r="A326" s="29" t="s">
        <v>4547</v>
      </c>
      <c r="B326" s="29" t="s">
        <v>3769</v>
      </c>
      <c r="C326" s="40">
        <v>35</v>
      </c>
      <c r="D326" s="40"/>
      <c r="E326" s="57" t="s">
        <v>115</v>
      </c>
      <c r="F326" s="57" t="s">
        <v>115</v>
      </c>
      <c r="G326" s="29" t="s">
        <v>986</v>
      </c>
      <c r="J326" s="29">
        <f t="shared" si="19"/>
        <v>1</v>
      </c>
      <c r="K326" s="42">
        <v>319</v>
      </c>
      <c r="L326" s="43" t="s">
        <v>987</v>
      </c>
      <c r="M326" s="44" t="s">
        <v>405</v>
      </c>
      <c r="N326" s="44" t="s">
        <v>426</v>
      </c>
      <c r="O326" s="44" t="str">
        <f t="shared" si="21"/>
        <v>PE-L1-3C4-02</v>
      </c>
      <c r="P326" s="45">
        <v>0.2</v>
      </c>
      <c r="Q326" s="44">
        <v>230</v>
      </c>
      <c r="R326" s="44" t="s">
        <v>49</v>
      </c>
      <c r="S326" s="44">
        <v>270</v>
      </c>
      <c r="T326" s="46" t="s">
        <v>4546</v>
      </c>
      <c r="U326" s="46" t="s">
        <v>4547</v>
      </c>
      <c r="V326" s="46" t="s">
        <v>4548</v>
      </c>
      <c r="W326" s="46" t="s">
        <v>4549</v>
      </c>
      <c r="X326" s="172" t="s">
        <v>9167</v>
      </c>
      <c r="Y326" s="46" t="s">
        <v>4653</v>
      </c>
      <c r="Z326" s="46" t="s">
        <v>4654</v>
      </c>
      <c r="AA326" s="46" t="s">
        <v>4552</v>
      </c>
      <c r="AB326" s="172" t="s">
        <v>9167</v>
      </c>
      <c r="AC326" s="48" t="s">
        <v>4655</v>
      </c>
      <c r="AD326" s="30"/>
      <c r="AE326" s="197"/>
      <c r="AF326" s="47"/>
    </row>
    <row r="327" spans="1:32" s="29" customFormat="1" ht="69.95" hidden="1" customHeight="1">
      <c r="A327" s="29" t="s">
        <v>4547</v>
      </c>
      <c r="B327" s="29" t="s">
        <v>3769</v>
      </c>
      <c r="C327" s="40">
        <v>36</v>
      </c>
      <c r="D327" s="40"/>
      <c r="E327" s="56" t="s">
        <v>115</v>
      </c>
      <c r="F327" s="57" t="s">
        <v>115</v>
      </c>
      <c r="G327" s="29" t="s">
        <v>988</v>
      </c>
      <c r="J327" s="29">
        <f t="shared" si="19"/>
        <v>1</v>
      </c>
      <c r="K327" s="42">
        <v>320</v>
      </c>
      <c r="L327" s="43" t="s">
        <v>989</v>
      </c>
      <c r="M327" s="44" t="s">
        <v>405</v>
      </c>
      <c r="N327" s="44" t="s">
        <v>426</v>
      </c>
      <c r="O327" s="44" t="str">
        <f t="shared" si="21"/>
        <v>PE-L1-3C4-02</v>
      </c>
      <c r="P327" s="45">
        <v>0.2</v>
      </c>
      <c r="Q327" s="44">
        <v>230</v>
      </c>
      <c r="R327" s="44" t="s">
        <v>49</v>
      </c>
      <c r="S327" s="44">
        <v>280</v>
      </c>
      <c r="T327" s="46" t="s">
        <v>4546</v>
      </c>
      <c r="U327" s="46" t="s">
        <v>4547</v>
      </c>
      <c r="V327" s="46" t="s">
        <v>4548</v>
      </c>
      <c r="W327" s="46" t="s">
        <v>4549</v>
      </c>
      <c r="X327" s="172" t="s">
        <v>9167</v>
      </c>
      <c r="Y327" s="46" t="s">
        <v>4656</v>
      </c>
      <c r="Z327" s="46" t="s">
        <v>4657</v>
      </c>
      <c r="AA327" s="46" t="s">
        <v>4552</v>
      </c>
      <c r="AB327" s="172" t="s">
        <v>9167</v>
      </c>
      <c r="AC327" s="48" t="s">
        <v>4658</v>
      </c>
      <c r="AD327" s="30"/>
      <c r="AE327" s="197"/>
      <c r="AF327" s="47"/>
    </row>
    <row r="328" spans="1:32" s="29" customFormat="1" ht="69.95" hidden="1" customHeight="1">
      <c r="A328" s="29" t="s">
        <v>4587</v>
      </c>
      <c r="B328" s="29" t="s">
        <v>3769</v>
      </c>
      <c r="C328" s="40">
        <v>25</v>
      </c>
      <c r="D328" s="173" t="s">
        <v>9131</v>
      </c>
      <c r="E328" s="57" t="s">
        <v>117</v>
      </c>
      <c r="F328" s="121" t="s">
        <v>9136</v>
      </c>
      <c r="G328" s="29" t="s">
        <v>990</v>
      </c>
      <c r="J328" s="29">
        <f t="shared" ref="J328:J391" si="22">COUNTIF(L:L,L328)</f>
        <v>1</v>
      </c>
      <c r="K328" s="42">
        <v>321</v>
      </c>
      <c r="L328" s="43" t="s">
        <v>991</v>
      </c>
      <c r="M328" s="44" t="s">
        <v>405</v>
      </c>
      <c r="N328" s="44" t="s">
        <v>426</v>
      </c>
      <c r="O328" s="121" t="str">
        <f>F328</f>
        <v>PE-L1-3C4-16</v>
      </c>
      <c r="P328" s="45">
        <v>0.2</v>
      </c>
      <c r="Q328" s="44">
        <v>230</v>
      </c>
      <c r="R328" s="44" t="s">
        <v>49</v>
      </c>
      <c r="S328" s="44">
        <v>180</v>
      </c>
      <c r="T328" s="46" t="s">
        <v>4546</v>
      </c>
      <c r="U328" s="46" t="s">
        <v>4587</v>
      </c>
      <c r="V328" s="46" t="s">
        <v>4588</v>
      </c>
      <c r="W328" s="46" t="s">
        <v>4549</v>
      </c>
      <c r="X328" s="172" t="s">
        <v>9167</v>
      </c>
      <c r="Y328" s="46" t="s">
        <v>4659</v>
      </c>
      <c r="Z328" s="46" t="s">
        <v>4660</v>
      </c>
      <c r="AA328" s="46" t="s">
        <v>4552</v>
      </c>
      <c r="AB328" s="172" t="s">
        <v>9167</v>
      </c>
      <c r="AC328" s="48" t="s">
        <v>4591</v>
      </c>
      <c r="AD328" s="30"/>
      <c r="AE328" s="197"/>
      <c r="AF328" s="47"/>
    </row>
    <row r="329" spans="1:32" s="29" customFormat="1" ht="69.95" hidden="1" customHeight="1">
      <c r="A329" s="29" t="s">
        <v>4587</v>
      </c>
      <c r="B329" s="29" t="s">
        <v>3769</v>
      </c>
      <c r="C329" s="40">
        <v>26</v>
      </c>
      <c r="D329" s="40"/>
      <c r="E329" s="58" t="s">
        <v>115</v>
      </c>
      <c r="F329" s="57" t="s">
        <v>115</v>
      </c>
      <c r="G329" s="29" t="s">
        <v>992</v>
      </c>
      <c r="J329" s="29">
        <f t="shared" si="22"/>
        <v>1</v>
      </c>
      <c r="K329" s="42">
        <v>322</v>
      </c>
      <c r="L329" s="43" t="s">
        <v>993</v>
      </c>
      <c r="M329" s="44" t="s">
        <v>405</v>
      </c>
      <c r="N329" s="44" t="s">
        <v>426</v>
      </c>
      <c r="O329" s="44" t="str">
        <f t="shared" ref="O329:O333" si="23">F329</f>
        <v>PE-L1-3C4-02</v>
      </c>
      <c r="P329" s="45">
        <v>0.2</v>
      </c>
      <c r="Q329" s="44">
        <v>230</v>
      </c>
      <c r="R329" s="44" t="s">
        <v>49</v>
      </c>
      <c r="S329" s="44">
        <v>160</v>
      </c>
      <c r="T329" s="46" t="s">
        <v>4546</v>
      </c>
      <c r="U329" s="46" t="s">
        <v>4587</v>
      </c>
      <c r="V329" s="46" t="s">
        <v>4588</v>
      </c>
      <c r="W329" s="46" t="s">
        <v>4549</v>
      </c>
      <c r="X329" s="172" t="s">
        <v>9167</v>
      </c>
      <c r="Y329" s="46" t="s">
        <v>4661</v>
      </c>
      <c r="Z329" s="46" t="s">
        <v>4662</v>
      </c>
      <c r="AA329" s="46" t="s">
        <v>4552</v>
      </c>
      <c r="AB329" s="172" t="s">
        <v>9167</v>
      </c>
      <c r="AC329" s="48" t="s">
        <v>4594</v>
      </c>
      <c r="AD329" s="30"/>
      <c r="AE329" s="197"/>
      <c r="AF329" s="47"/>
    </row>
    <row r="330" spans="1:32" s="29" customFormat="1" ht="69.95" hidden="1" customHeight="1">
      <c r="A330" s="29" t="s">
        <v>4587</v>
      </c>
      <c r="B330" s="29" t="s">
        <v>3769</v>
      </c>
      <c r="C330" s="40">
        <v>27</v>
      </c>
      <c r="D330" s="40"/>
      <c r="E330" s="57" t="s">
        <v>115</v>
      </c>
      <c r="F330" s="57" t="s">
        <v>115</v>
      </c>
      <c r="G330" s="29" t="s">
        <v>994</v>
      </c>
      <c r="J330" s="29">
        <f t="shared" si="22"/>
        <v>1</v>
      </c>
      <c r="K330" s="42">
        <v>323</v>
      </c>
      <c r="L330" s="43" t="s">
        <v>995</v>
      </c>
      <c r="M330" s="44" t="s">
        <v>405</v>
      </c>
      <c r="N330" s="44" t="s">
        <v>426</v>
      </c>
      <c r="O330" s="44" t="str">
        <f t="shared" si="23"/>
        <v>PE-L1-3C4-02</v>
      </c>
      <c r="P330" s="45">
        <v>0.2</v>
      </c>
      <c r="Q330" s="44">
        <v>230</v>
      </c>
      <c r="R330" s="44" t="s">
        <v>49</v>
      </c>
      <c r="S330" s="44">
        <v>160</v>
      </c>
      <c r="T330" s="46" t="s">
        <v>4546</v>
      </c>
      <c r="U330" s="46" t="s">
        <v>4587</v>
      </c>
      <c r="V330" s="46" t="s">
        <v>4588</v>
      </c>
      <c r="W330" s="46" t="s">
        <v>4549</v>
      </c>
      <c r="X330" s="172" t="s">
        <v>9167</v>
      </c>
      <c r="Y330" s="46" t="s">
        <v>4663</v>
      </c>
      <c r="Z330" s="46" t="s">
        <v>4664</v>
      </c>
      <c r="AA330" s="46" t="s">
        <v>4552</v>
      </c>
      <c r="AB330" s="172" t="s">
        <v>9167</v>
      </c>
      <c r="AC330" s="48" t="s">
        <v>4597</v>
      </c>
      <c r="AD330" s="30"/>
      <c r="AE330" s="197"/>
      <c r="AF330" s="47"/>
    </row>
    <row r="331" spans="1:32" s="29" customFormat="1" ht="69.95" hidden="1" customHeight="1">
      <c r="A331" s="29" t="s">
        <v>4587</v>
      </c>
      <c r="B331" s="29" t="s">
        <v>3769</v>
      </c>
      <c r="C331" s="40">
        <v>28</v>
      </c>
      <c r="D331" s="40"/>
      <c r="E331" s="57" t="s">
        <v>8023</v>
      </c>
      <c r="F331" s="57" t="s">
        <v>8023</v>
      </c>
      <c r="G331" s="29" t="s">
        <v>996</v>
      </c>
      <c r="J331" s="29">
        <f t="shared" si="22"/>
        <v>1</v>
      </c>
      <c r="K331" s="42">
        <v>324</v>
      </c>
      <c r="L331" s="43" t="s">
        <v>997</v>
      </c>
      <c r="M331" s="44" t="s">
        <v>405</v>
      </c>
      <c r="N331" s="44" t="s">
        <v>426</v>
      </c>
      <c r="O331" s="44" t="str">
        <f t="shared" si="23"/>
        <v>PE-L1-3C4-02</v>
      </c>
      <c r="P331" s="45">
        <v>0.2</v>
      </c>
      <c r="Q331" s="44">
        <v>230</v>
      </c>
      <c r="R331" s="44" t="s">
        <v>49</v>
      </c>
      <c r="S331" s="44">
        <v>190</v>
      </c>
      <c r="T331" s="46" t="s">
        <v>4546</v>
      </c>
      <c r="U331" s="46" t="s">
        <v>4587</v>
      </c>
      <c r="V331" s="46" t="s">
        <v>4588</v>
      </c>
      <c r="W331" s="46" t="s">
        <v>4549</v>
      </c>
      <c r="X331" s="172" t="s">
        <v>9167</v>
      </c>
      <c r="Y331" s="46" t="s">
        <v>4665</v>
      </c>
      <c r="Z331" s="46" t="s">
        <v>4666</v>
      </c>
      <c r="AA331" s="46" t="s">
        <v>4552</v>
      </c>
      <c r="AB331" s="172" t="s">
        <v>9167</v>
      </c>
      <c r="AC331" s="48" t="s">
        <v>4667</v>
      </c>
      <c r="AD331" s="30"/>
      <c r="AE331" s="197"/>
      <c r="AF331" s="47"/>
    </row>
    <row r="332" spans="1:32" s="29" customFormat="1" ht="69.95" hidden="1" customHeight="1">
      <c r="A332" s="29" t="s">
        <v>4587</v>
      </c>
      <c r="B332" s="29" t="s">
        <v>3769</v>
      </c>
      <c r="C332" s="40">
        <v>29</v>
      </c>
      <c r="D332" s="40"/>
      <c r="E332" s="57" t="s">
        <v>115</v>
      </c>
      <c r="F332" s="57" t="s">
        <v>115</v>
      </c>
      <c r="G332" s="29" t="s">
        <v>998</v>
      </c>
      <c r="J332" s="29">
        <f t="shared" si="22"/>
        <v>1</v>
      </c>
      <c r="K332" s="42">
        <v>325</v>
      </c>
      <c r="L332" s="43" t="s">
        <v>999</v>
      </c>
      <c r="M332" s="44" t="s">
        <v>405</v>
      </c>
      <c r="N332" s="44" t="s">
        <v>426</v>
      </c>
      <c r="O332" s="44" t="str">
        <f t="shared" si="23"/>
        <v>PE-L1-3C4-02</v>
      </c>
      <c r="P332" s="45">
        <v>0.2</v>
      </c>
      <c r="Q332" s="44">
        <v>230</v>
      </c>
      <c r="R332" s="44" t="s">
        <v>49</v>
      </c>
      <c r="S332" s="44">
        <v>190</v>
      </c>
      <c r="T332" s="46" t="s">
        <v>4546</v>
      </c>
      <c r="U332" s="46" t="s">
        <v>4587</v>
      </c>
      <c r="V332" s="46" t="s">
        <v>4588</v>
      </c>
      <c r="W332" s="46" t="s">
        <v>4549</v>
      </c>
      <c r="X332" s="172" t="s">
        <v>9167</v>
      </c>
      <c r="Y332" s="46" t="s">
        <v>4668</v>
      </c>
      <c r="Z332" s="46" t="s">
        <v>4669</v>
      </c>
      <c r="AA332" s="46" t="s">
        <v>4552</v>
      </c>
      <c r="AB332" s="172" t="s">
        <v>9167</v>
      </c>
      <c r="AC332" s="48" t="s">
        <v>4670</v>
      </c>
      <c r="AD332" s="30"/>
      <c r="AE332" s="197"/>
      <c r="AF332" s="47"/>
    </row>
    <row r="333" spans="1:32" s="29" customFormat="1" ht="69.95" hidden="1" customHeight="1">
      <c r="A333" s="29" t="s">
        <v>4587</v>
      </c>
      <c r="B333" s="29" t="s">
        <v>3769</v>
      </c>
      <c r="C333" s="40">
        <v>30</v>
      </c>
      <c r="D333" s="40"/>
      <c r="E333" s="56" t="s">
        <v>115</v>
      </c>
      <c r="F333" s="57" t="s">
        <v>115</v>
      </c>
      <c r="G333" s="29" t="s">
        <v>1000</v>
      </c>
      <c r="J333" s="29">
        <f t="shared" si="22"/>
        <v>1</v>
      </c>
      <c r="K333" s="42">
        <v>326</v>
      </c>
      <c r="L333" s="43" t="s">
        <v>1001</v>
      </c>
      <c r="M333" s="44" t="s">
        <v>405</v>
      </c>
      <c r="N333" s="44" t="s">
        <v>426</v>
      </c>
      <c r="O333" s="44" t="str">
        <f t="shared" si="23"/>
        <v>PE-L1-3C4-02</v>
      </c>
      <c r="P333" s="45">
        <v>0.2</v>
      </c>
      <c r="Q333" s="44">
        <v>230</v>
      </c>
      <c r="R333" s="44" t="s">
        <v>49</v>
      </c>
      <c r="S333" s="44">
        <v>210</v>
      </c>
      <c r="T333" s="46" t="s">
        <v>4546</v>
      </c>
      <c r="U333" s="46" t="s">
        <v>4587</v>
      </c>
      <c r="V333" s="46" t="s">
        <v>4588</v>
      </c>
      <c r="W333" s="46" t="s">
        <v>4549</v>
      </c>
      <c r="X333" s="172" t="s">
        <v>9167</v>
      </c>
      <c r="Y333" s="46" t="s">
        <v>4671</v>
      </c>
      <c r="Z333" s="46" t="s">
        <v>4672</v>
      </c>
      <c r="AA333" s="46" t="s">
        <v>4552</v>
      </c>
      <c r="AB333" s="172" t="s">
        <v>9167</v>
      </c>
      <c r="AC333" s="48" t="s">
        <v>4673</v>
      </c>
      <c r="AD333" s="30"/>
      <c r="AE333" s="197"/>
      <c r="AF333" s="47"/>
    </row>
    <row r="334" spans="1:32" s="29" customFormat="1" ht="69.95" hidden="1" customHeight="1">
      <c r="A334" s="29" t="s">
        <v>4587</v>
      </c>
      <c r="B334" s="29" t="s">
        <v>3769</v>
      </c>
      <c r="C334" s="40">
        <v>31</v>
      </c>
      <c r="D334" s="173" t="s">
        <v>9131</v>
      </c>
      <c r="E334" s="57" t="s">
        <v>118</v>
      </c>
      <c r="F334" s="121" t="s">
        <v>9136</v>
      </c>
      <c r="G334" s="29" t="s">
        <v>1002</v>
      </c>
      <c r="J334" s="29">
        <f t="shared" si="22"/>
        <v>1</v>
      </c>
      <c r="K334" s="42">
        <v>327</v>
      </c>
      <c r="L334" s="43" t="s">
        <v>1003</v>
      </c>
      <c r="M334" s="44" t="s">
        <v>405</v>
      </c>
      <c r="N334" s="44" t="s">
        <v>426</v>
      </c>
      <c r="O334" s="121" t="str">
        <f t="shared" ref="O334:O339" si="24">F334</f>
        <v>PE-L1-3C4-16</v>
      </c>
      <c r="P334" s="45">
        <v>0.2</v>
      </c>
      <c r="Q334" s="44">
        <v>230</v>
      </c>
      <c r="R334" s="44" t="s">
        <v>49</v>
      </c>
      <c r="S334" s="44">
        <v>180</v>
      </c>
      <c r="T334" s="46" t="s">
        <v>4546</v>
      </c>
      <c r="U334" s="46" t="s">
        <v>4587</v>
      </c>
      <c r="V334" s="46" t="s">
        <v>4588</v>
      </c>
      <c r="W334" s="46" t="s">
        <v>4549</v>
      </c>
      <c r="X334" s="172" t="s">
        <v>9167</v>
      </c>
      <c r="Y334" s="46" t="s">
        <v>4674</v>
      </c>
      <c r="Z334" s="46" t="s">
        <v>4675</v>
      </c>
      <c r="AA334" s="46" t="s">
        <v>4552</v>
      </c>
      <c r="AB334" s="172" t="s">
        <v>9167</v>
      </c>
      <c r="AC334" s="48" t="s">
        <v>4676</v>
      </c>
      <c r="AD334" s="30"/>
      <c r="AE334" s="197"/>
      <c r="AF334" s="47"/>
    </row>
    <row r="335" spans="1:32" s="29" customFormat="1" ht="69.95" hidden="1" customHeight="1">
      <c r="A335" s="29" t="s">
        <v>4587</v>
      </c>
      <c r="B335" s="29" t="s">
        <v>3769</v>
      </c>
      <c r="C335" s="40">
        <v>32</v>
      </c>
      <c r="D335" s="173" t="s">
        <v>9131</v>
      </c>
      <c r="E335" s="57" t="s">
        <v>118</v>
      </c>
      <c r="F335" s="121" t="s">
        <v>9136</v>
      </c>
      <c r="G335" s="29" t="s">
        <v>1004</v>
      </c>
      <c r="J335" s="29">
        <f t="shared" si="22"/>
        <v>1</v>
      </c>
      <c r="K335" s="42">
        <v>328</v>
      </c>
      <c r="L335" s="43" t="s">
        <v>1005</v>
      </c>
      <c r="M335" s="44" t="s">
        <v>405</v>
      </c>
      <c r="N335" s="44" t="s">
        <v>426</v>
      </c>
      <c r="O335" s="121" t="str">
        <f t="shared" si="24"/>
        <v>PE-L1-3C4-16</v>
      </c>
      <c r="P335" s="45">
        <v>0.2</v>
      </c>
      <c r="Q335" s="44">
        <v>230</v>
      </c>
      <c r="R335" s="44" t="s">
        <v>49</v>
      </c>
      <c r="S335" s="44">
        <v>170</v>
      </c>
      <c r="T335" s="46" t="s">
        <v>4546</v>
      </c>
      <c r="U335" s="46" t="s">
        <v>4587</v>
      </c>
      <c r="V335" s="46" t="s">
        <v>4588</v>
      </c>
      <c r="W335" s="46" t="s">
        <v>4549</v>
      </c>
      <c r="X335" s="172" t="s">
        <v>9167</v>
      </c>
      <c r="Y335" s="46" t="s">
        <v>4677</v>
      </c>
      <c r="Z335" s="46" t="s">
        <v>4678</v>
      </c>
      <c r="AA335" s="46" t="s">
        <v>4552</v>
      </c>
      <c r="AB335" s="172" t="s">
        <v>9167</v>
      </c>
      <c r="AC335" s="48" t="s">
        <v>4613</v>
      </c>
      <c r="AD335" s="30"/>
      <c r="AE335" s="197"/>
      <c r="AF335" s="47"/>
    </row>
    <row r="336" spans="1:32" s="29" customFormat="1" ht="69.95" hidden="1" customHeight="1">
      <c r="A336" s="29" t="s">
        <v>4587</v>
      </c>
      <c r="B336" s="29" t="s">
        <v>3769</v>
      </c>
      <c r="C336" s="40">
        <v>33</v>
      </c>
      <c r="D336" s="173" t="s">
        <v>9131</v>
      </c>
      <c r="E336" s="57" t="s">
        <v>118</v>
      </c>
      <c r="F336" s="121" t="s">
        <v>9136</v>
      </c>
      <c r="G336" s="29" t="s">
        <v>1006</v>
      </c>
      <c r="J336" s="29">
        <f t="shared" si="22"/>
        <v>1</v>
      </c>
      <c r="K336" s="42">
        <v>329</v>
      </c>
      <c r="L336" s="43" t="s">
        <v>1007</v>
      </c>
      <c r="M336" s="44" t="s">
        <v>405</v>
      </c>
      <c r="N336" s="44" t="s">
        <v>426</v>
      </c>
      <c r="O336" s="121" t="str">
        <f t="shared" si="24"/>
        <v>PE-L1-3C4-16</v>
      </c>
      <c r="P336" s="45">
        <v>0.2</v>
      </c>
      <c r="Q336" s="44">
        <v>230</v>
      </c>
      <c r="R336" s="44" t="s">
        <v>49</v>
      </c>
      <c r="S336" s="44">
        <v>160</v>
      </c>
      <c r="T336" s="46" t="s">
        <v>4546</v>
      </c>
      <c r="U336" s="46" t="s">
        <v>4587</v>
      </c>
      <c r="V336" s="46" t="s">
        <v>4588</v>
      </c>
      <c r="W336" s="46" t="s">
        <v>4549</v>
      </c>
      <c r="X336" s="172" t="s">
        <v>9167</v>
      </c>
      <c r="Y336" s="46" t="s">
        <v>4679</v>
      </c>
      <c r="Z336" s="46" t="s">
        <v>4680</v>
      </c>
      <c r="AA336" s="46" t="s">
        <v>4552</v>
      </c>
      <c r="AB336" s="172" t="s">
        <v>9167</v>
      </c>
      <c r="AC336" s="48" t="s">
        <v>4616</v>
      </c>
      <c r="AD336" s="30"/>
      <c r="AE336" s="197"/>
      <c r="AF336" s="47"/>
    </row>
    <row r="337" spans="1:32" s="29" customFormat="1" ht="69.95" hidden="1" customHeight="1">
      <c r="A337" s="29" t="s">
        <v>4587</v>
      </c>
      <c r="B337" s="29" t="s">
        <v>3769</v>
      </c>
      <c r="C337" s="40">
        <v>34</v>
      </c>
      <c r="D337" s="173" t="s">
        <v>9131</v>
      </c>
      <c r="E337" s="57" t="s">
        <v>118</v>
      </c>
      <c r="F337" s="121" t="s">
        <v>9136</v>
      </c>
      <c r="G337" s="29" t="s">
        <v>1008</v>
      </c>
      <c r="J337" s="29">
        <f t="shared" si="22"/>
        <v>1</v>
      </c>
      <c r="K337" s="42">
        <v>330</v>
      </c>
      <c r="L337" s="43" t="s">
        <v>1009</v>
      </c>
      <c r="M337" s="44" t="s">
        <v>405</v>
      </c>
      <c r="N337" s="44" t="s">
        <v>426</v>
      </c>
      <c r="O337" s="121" t="str">
        <f t="shared" si="24"/>
        <v>PE-L1-3C4-16</v>
      </c>
      <c r="P337" s="45">
        <v>0.2</v>
      </c>
      <c r="Q337" s="44">
        <v>230</v>
      </c>
      <c r="R337" s="44" t="s">
        <v>49</v>
      </c>
      <c r="S337" s="44">
        <v>190</v>
      </c>
      <c r="T337" s="46" t="s">
        <v>4546</v>
      </c>
      <c r="U337" s="46" t="s">
        <v>4587</v>
      </c>
      <c r="V337" s="46" t="s">
        <v>4588</v>
      </c>
      <c r="W337" s="46" t="s">
        <v>4549</v>
      </c>
      <c r="X337" s="172" t="s">
        <v>9167</v>
      </c>
      <c r="Y337" s="46" t="s">
        <v>4681</v>
      </c>
      <c r="Z337" s="46" t="s">
        <v>4682</v>
      </c>
      <c r="AA337" s="46" t="s">
        <v>4552</v>
      </c>
      <c r="AB337" s="172" t="s">
        <v>9167</v>
      </c>
      <c r="AC337" s="48" t="s">
        <v>4683</v>
      </c>
      <c r="AD337" s="30"/>
      <c r="AE337" s="197"/>
      <c r="AF337" s="47"/>
    </row>
    <row r="338" spans="1:32" s="29" customFormat="1" ht="69.95" hidden="1" customHeight="1">
      <c r="A338" s="29" t="s">
        <v>4587</v>
      </c>
      <c r="B338" s="29" t="s">
        <v>3769</v>
      </c>
      <c r="C338" s="40">
        <v>35</v>
      </c>
      <c r="D338" s="173" t="s">
        <v>9131</v>
      </c>
      <c r="E338" s="57" t="s">
        <v>118</v>
      </c>
      <c r="F338" s="121" t="s">
        <v>9136</v>
      </c>
      <c r="G338" s="29" t="s">
        <v>1010</v>
      </c>
      <c r="J338" s="29">
        <f t="shared" si="22"/>
        <v>1</v>
      </c>
      <c r="K338" s="42">
        <v>331</v>
      </c>
      <c r="L338" s="43" t="s">
        <v>1011</v>
      </c>
      <c r="M338" s="44" t="s">
        <v>405</v>
      </c>
      <c r="N338" s="44" t="s">
        <v>426</v>
      </c>
      <c r="O338" s="121" t="str">
        <f t="shared" si="24"/>
        <v>PE-L1-3C4-16</v>
      </c>
      <c r="P338" s="45">
        <v>0.2</v>
      </c>
      <c r="Q338" s="44">
        <v>230</v>
      </c>
      <c r="R338" s="44" t="s">
        <v>49</v>
      </c>
      <c r="S338" s="44">
        <v>190</v>
      </c>
      <c r="T338" s="46" t="s">
        <v>4546</v>
      </c>
      <c r="U338" s="46" t="s">
        <v>4587</v>
      </c>
      <c r="V338" s="46" t="s">
        <v>4588</v>
      </c>
      <c r="W338" s="46" t="s">
        <v>4549</v>
      </c>
      <c r="X338" s="172" t="s">
        <v>9167</v>
      </c>
      <c r="Y338" s="46" t="s">
        <v>4684</v>
      </c>
      <c r="Z338" s="46" t="s">
        <v>4685</v>
      </c>
      <c r="AA338" s="46" t="s">
        <v>4552</v>
      </c>
      <c r="AB338" s="172" t="s">
        <v>9167</v>
      </c>
      <c r="AC338" s="48" t="s">
        <v>4622</v>
      </c>
      <c r="AD338" s="30"/>
      <c r="AE338" s="197"/>
      <c r="AF338" s="47"/>
    </row>
    <row r="339" spans="1:32" s="29" customFormat="1" ht="69.95" hidden="1" customHeight="1">
      <c r="A339" s="29" t="s">
        <v>4587</v>
      </c>
      <c r="B339" s="29" t="s">
        <v>3769</v>
      </c>
      <c r="C339" s="40">
        <v>36</v>
      </c>
      <c r="D339" s="173" t="s">
        <v>9131</v>
      </c>
      <c r="E339" s="57" t="s">
        <v>118</v>
      </c>
      <c r="F339" s="121" t="s">
        <v>9136</v>
      </c>
      <c r="G339" s="29" t="s">
        <v>1012</v>
      </c>
      <c r="J339" s="29">
        <f t="shared" si="22"/>
        <v>1</v>
      </c>
      <c r="K339" s="42">
        <v>332</v>
      </c>
      <c r="L339" s="43" t="s">
        <v>1013</v>
      </c>
      <c r="M339" s="44" t="s">
        <v>405</v>
      </c>
      <c r="N339" s="44" t="s">
        <v>426</v>
      </c>
      <c r="O339" s="121" t="str">
        <f t="shared" si="24"/>
        <v>PE-L1-3C4-16</v>
      </c>
      <c r="P339" s="45">
        <v>0.2</v>
      </c>
      <c r="Q339" s="44">
        <v>230</v>
      </c>
      <c r="R339" s="44" t="s">
        <v>49</v>
      </c>
      <c r="S339" s="44">
        <v>200</v>
      </c>
      <c r="T339" s="46" t="s">
        <v>4546</v>
      </c>
      <c r="U339" s="46" t="s">
        <v>4587</v>
      </c>
      <c r="V339" s="46" t="s">
        <v>4588</v>
      </c>
      <c r="W339" s="46" t="s">
        <v>4549</v>
      </c>
      <c r="X339" s="172" t="s">
        <v>9167</v>
      </c>
      <c r="Y339" s="46" t="s">
        <v>4686</v>
      </c>
      <c r="Z339" s="46" t="s">
        <v>4687</v>
      </c>
      <c r="AA339" s="46" t="s">
        <v>4552</v>
      </c>
      <c r="AB339" s="172" t="s">
        <v>9167</v>
      </c>
      <c r="AC339" s="48" t="s">
        <v>4625</v>
      </c>
      <c r="AD339" s="30"/>
      <c r="AE339" s="197"/>
      <c r="AF339" s="47"/>
    </row>
    <row r="340" spans="1:32" s="29" customFormat="1" ht="69.95" hidden="1" customHeight="1">
      <c r="A340" s="29" t="s">
        <v>4688</v>
      </c>
      <c r="B340" s="29" t="s">
        <v>3769</v>
      </c>
      <c r="C340" s="40" t="s">
        <v>32</v>
      </c>
      <c r="D340" s="40"/>
      <c r="E340" s="58" t="s">
        <v>78</v>
      </c>
      <c r="F340" s="58" t="s">
        <v>78</v>
      </c>
      <c r="G340" s="29" t="s">
        <v>1014</v>
      </c>
      <c r="J340" s="29">
        <f t="shared" si="22"/>
        <v>1</v>
      </c>
      <c r="K340" s="42">
        <v>333</v>
      </c>
      <c r="L340" s="43" t="s">
        <v>1015</v>
      </c>
      <c r="M340" s="44" t="s">
        <v>405</v>
      </c>
      <c r="N340" s="44" t="s">
        <v>456</v>
      </c>
      <c r="O340" s="44" t="str">
        <f t="shared" ref="O340:O365" si="25">F340</f>
        <v>PE-L1-3C6-01</v>
      </c>
      <c r="P340" s="45">
        <v>1</v>
      </c>
      <c r="Q340" s="44">
        <v>230</v>
      </c>
      <c r="R340" s="44" t="s">
        <v>49</v>
      </c>
      <c r="S340" s="44">
        <v>230</v>
      </c>
      <c r="T340" s="46" t="s">
        <v>4546</v>
      </c>
      <c r="U340" s="46" t="s">
        <v>4688</v>
      </c>
      <c r="V340" s="46" t="s">
        <v>4689</v>
      </c>
      <c r="W340" s="46" t="s">
        <v>4549</v>
      </c>
      <c r="X340" s="172" t="s">
        <v>9167</v>
      </c>
      <c r="Y340" s="46" t="s">
        <v>4690</v>
      </c>
      <c r="Z340" s="46" t="s">
        <v>4691</v>
      </c>
      <c r="AA340" s="46" t="s">
        <v>4552</v>
      </c>
      <c r="AB340" s="172" t="s">
        <v>9167</v>
      </c>
      <c r="AC340" s="48" t="s">
        <v>4553</v>
      </c>
      <c r="AD340" s="30"/>
      <c r="AE340" s="197"/>
      <c r="AF340" s="47"/>
    </row>
    <row r="341" spans="1:32" s="29" customFormat="1" ht="69.95" hidden="1" customHeight="1">
      <c r="A341" s="29" t="s">
        <v>4688</v>
      </c>
      <c r="B341" s="29" t="s">
        <v>3769</v>
      </c>
      <c r="C341" s="40" t="s">
        <v>36</v>
      </c>
      <c r="D341" s="40"/>
      <c r="E341" s="57" t="s">
        <v>78</v>
      </c>
      <c r="F341" s="57" t="s">
        <v>78</v>
      </c>
      <c r="G341" s="29" t="s">
        <v>1016</v>
      </c>
      <c r="J341" s="29">
        <f t="shared" si="22"/>
        <v>1</v>
      </c>
      <c r="K341" s="42">
        <v>334</v>
      </c>
      <c r="L341" s="43" t="s">
        <v>1017</v>
      </c>
      <c r="M341" s="44" t="s">
        <v>405</v>
      </c>
      <c r="N341" s="44" t="s">
        <v>456</v>
      </c>
      <c r="O341" s="44" t="str">
        <f t="shared" si="25"/>
        <v>PE-L1-3C6-01</v>
      </c>
      <c r="P341" s="45">
        <v>1</v>
      </c>
      <c r="Q341" s="44">
        <v>230</v>
      </c>
      <c r="R341" s="44" t="s">
        <v>49</v>
      </c>
      <c r="S341" s="44">
        <v>220</v>
      </c>
      <c r="T341" s="46" t="s">
        <v>4546</v>
      </c>
      <c r="U341" s="46" t="s">
        <v>4688</v>
      </c>
      <c r="V341" s="46" t="s">
        <v>4689</v>
      </c>
      <c r="W341" s="46" t="s">
        <v>4549</v>
      </c>
      <c r="X341" s="172" t="s">
        <v>9167</v>
      </c>
      <c r="Y341" s="46" t="s">
        <v>4692</v>
      </c>
      <c r="Z341" s="46" t="s">
        <v>4693</v>
      </c>
      <c r="AA341" s="46" t="s">
        <v>4552</v>
      </c>
      <c r="AB341" s="172" t="s">
        <v>9167</v>
      </c>
      <c r="AC341" s="48" t="s">
        <v>4556</v>
      </c>
      <c r="AD341" s="30"/>
      <c r="AE341" s="197"/>
      <c r="AF341" s="47"/>
    </row>
    <row r="342" spans="1:32" s="29" customFormat="1" ht="69.95" hidden="1" customHeight="1">
      <c r="A342" s="29" t="s">
        <v>4688</v>
      </c>
      <c r="B342" s="29" t="s">
        <v>3769</v>
      </c>
      <c r="C342" s="40" t="s">
        <v>38</v>
      </c>
      <c r="D342" s="40"/>
      <c r="E342" s="57" t="s">
        <v>78</v>
      </c>
      <c r="F342" s="57" t="s">
        <v>78</v>
      </c>
      <c r="G342" s="29" t="s">
        <v>1018</v>
      </c>
      <c r="J342" s="29">
        <f t="shared" si="22"/>
        <v>1</v>
      </c>
      <c r="K342" s="42">
        <v>335</v>
      </c>
      <c r="L342" s="43" t="s">
        <v>1019</v>
      </c>
      <c r="M342" s="44" t="s">
        <v>405</v>
      </c>
      <c r="N342" s="44" t="s">
        <v>456</v>
      </c>
      <c r="O342" s="44" t="str">
        <f t="shared" si="25"/>
        <v>PE-L1-3C6-01</v>
      </c>
      <c r="P342" s="45">
        <v>1</v>
      </c>
      <c r="Q342" s="44">
        <v>230</v>
      </c>
      <c r="R342" s="44" t="s">
        <v>49</v>
      </c>
      <c r="S342" s="44">
        <v>210</v>
      </c>
      <c r="T342" s="46" t="s">
        <v>4546</v>
      </c>
      <c r="U342" s="46" t="s">
        <v>4688</v>
      </c>
      <c r="V342" s="46" t="s">
        <v>4689</v>
      </c>
      <c r="W342" s="46" t="s">
        <v>4549</v>
      </c>
      <c r="X342" s="172" t="s">
        <v>9167</v>
      </c>
      <c r="Y342" s="46" t="s">
        <v>4694</v>
      </c>
      <c r="Z342" s="46" t="s">
        <v>4695</v>
      </c>
      <c r="AA342" s="46" t="s">
        <v>4552</v>
      </c>
      <c r="AB342" s="172" t="s">
        <v>9167</v>
      </c>
      <c r="AC342" s="48" t="s">
        <v>4559</v>
      </c>
      <c r="AD342" s="30"/>
      <c r="AE342" s="197"/>
      <c r="AF342" s="47"/>
    </row>
    <row r="343" spans="1:32" s="29" customFormat="1" ht="69.95" hidden="1" customHeight="1">
      <c r="A343" s="29" t="s">
        <v>4688</v>
      </c>
      <c r="B343" s="29" t="s">
        <v>3769</v>
      </c>
      <c r="C343" s="40" t="s">
        <v>40</v>
      </c>
      <c r="D343" s="40"/>
      <c r="E343" s="57" t="s">
        <v>78</v>
      </c>
      <c r="F343" s="57" t="s">
        <v>78</v>
      </c>
      <c r="G343" s="29" t="s">
        <v>1020</v>
      </c>
      <c r="J343" s="29">
        <f t="shared" si="22"/>
        <v>1</v>
      </c>
      <c r="K343" s="42">
        <v>336</v>
      </c>
      <c r="L343" s="43" t="s">
        <v>1021</v>
      </c>
      <c r="M343" s="44" t="s">
        <v>405</v>
      </c>
      <c r="N343" s="44" t="s">
        <v>456</v>
      </c>
      <c r="O343" s="44" t="str">
        <f t="shared" si="25"/>
        <v>PE-L1-3C6-01</v>
      </c>
      <c r="P343" s="45">
        <v>1</v>
      </c>
      <c r="Q343" s="44">
        <v>230</v>
      </c>
      <c r="R343" s="44" t="s">
        <v>49</v>
      </c>
      <c r="S343" s="44">
        <v>235</v>
      </c>
      <c r="T343" s="46" t="s">
        <v>4546</v>
      </c>
      <c r="U343" s="46" t="s">
        <v>4688</v>
      </c>
      <c r="V343" s="46" t="s">
        <v>4689</v>
      </c>
      <c r="W343" s="46" t="s">
        <v>4549</v>
      </c>
      <c r="X343" s="172" t="s">
        <v>9167</v>
      </c>
      <c r="Y343" s="46" t="s">
        <v>4696</v>
      </c>
      <c r="Z343" s="46" t="s">
        <v>4697</v>
      </c>
      <c r="AA343" s="46" t="s">
        <v>4552</v>
      </c>
      <c r="AB343" s="172" t="s">
        <v>9167</v>
      </c>
      <c r="AC343" s="48" t="s">
        <v>4698</v>
      </c>
      <c r="AD343" s="30"/>
      <c r="AE343" s="197"/>
      <c r="AF343" s="47"/>
    </row>
    <row r="344" spans="1:32" s="29" customFormat="1" ht="69.95" hidden="1" customHeight="1">
      <c r="A344" s="29" t="s">
        <v>4688</v>
      </c>
      <c r="B344" s="29" t="s">
        <v>3769</v>
      </c>
      <c r="C344" s="40" t="s">
        <v>41</v>
      </c>
      <c r="D344" s="40"/>
      <c r="E344" s="57" t="s">
        <v>119</v>
      </c>
      <c r="F344" s="57" t="s">
        <v>119</v>
      </c>
      <c r="G344" s="29" t="s">
        <v>1022</v>
      </c>
      <c r="J344" s="29">
        <f t="shared" si="22"/>
        <v>1</v>
      </c>
      <c r="K344" s="42">
        <v>337</v>
      </c>
      <c r="L344" s="43" t="s">
        <v>1023</v>
      </c>
      <c r="M344" s="44" t="s">
        <v>405</v>
      </c>
      <c r="N344" s="44" t="s">
        <v>456</v>
      </c>
      <c r="O344" s="44" t="str">
        <f t="shared" si="25"/>
        <v>PE-L1-3C6-02</v>
      </c>
      <c r="P344" s="45">
        <v>1</v>
      </c>
      <c r="Q344" s="44">
        <v>230</v>
      </c>
      <c r="R344" s="44" t="s">
        <v>49</v>
      </c>
      <c r="S344" s="44">
        <v>250</v>
      </c>
      <c r="T344" s="46" t="s">
        <v>4546</v>
      </c>
      <c r="U344" s="46" t="s">
        <v>4688</v>
      </c>
      <c r="V344" s="46" t="s">
        <v>4689</v>
      </c>
      <c r="W344" s="46" t="s">
        <v>4549</v>
      </c>
      <c r="X344" s="172" t="s">
        <v>9167</v>
      </c>
      <c r="Y344" s="46" t="s">
        <v>4699</v>
      </c>
      <c r="Z344" s="46" t="s">
        <v>4700</v>
      </c>
      <c r="AA344" s="46" t="s">
        <v>4552</v>
      </c>
      <c r="AB344" s="172" t="s">
        <v>9167</v>
      </c>
      <c r="AC344" s="48" t="s">
        <v>4637</v>
      </c>
      <c r="AD344" s="30"/>
      <c r="AE344" s="197"/>
      <c r="AF344" s="47"/>
    </row>
    <row r="345" spans="1:32" s="29" customFormat="1" ht="69.95" hidden="1" customHeight="1">
      <c r="A345" s="29" t="s">
        <v>4688</v>
      </c>
      <c r="B345" s="29" t="s">
        <v>3769</v>
      </c>
      <c r="C345" s="40" t="s">
        <v>42</v>
      </c>
      <c r="D345" s="40"/>
      <c r="E345" s="57" t="s">
        <v>120</v>
      </c>
      <c r="F345" s="57" t="s">
        <v>120</v>
      </c>
      <c r="G345" s="29" t="s">
        <v>1024</v>
      </c>
      <c r="J345" s="29">
        <f t="shared" si="22"/>
        <v>1</v>
      </c>
      <c r="K345" s="42">
        <v>338</v>
      </c>
      <c r="L345" s="43" t="s">
        <v>1025</v>
      </c>
      <c r="M345" s="44" t="s">
        <v>405</v>
      </c>
      <c r="N345" s="44" t="s">
        <v>456</v>
      </c>
      <c r="O345" s="44" t="str">
        <f t="shared" si="25"/>
        <v>PE-L1-3C6-04</v>
      </c>
      <c r="P345" s="45">
        <v>1</v>
      </c>
      <c r="Q345" s="44">
        <v>230</v>
      </c>
      <c r="R345" s="44" t="s">
        <v>49</v>
      </c>
      <c r="S345" s="44">
        <v>250</v>
      </c>
      <c r="T345" s="46" t="s">
        <v>4546</v>
      </c>
      <c r="U345" s="46" t="s">
        <v>4688</v>
      </c>
      <c r="V345" s="46" t="s">
        <v>4689</v>
      </c>
      <c r="W345" s="46" t="s">
        <v>4549</v>
      </c>
      <c r="X345" s="172" t="s">
        <v>9167</v>
      </c>
      <c r="Y345" s="46" t="s">
        <v>4701</v>
      </c>
      <c r="Z345" s="46" t="s">
        <v>4702</v>
      </c>
      <c r="AA345" s="46" t="s">
        <v>4552</v>
      </c>
      <c r="AB345" s="172" t="s">
        <v>9167</v>
      </c>
      <c r="AC345" s="48" t="s">
        <v>4640</v>
      </c>
      <c r="AD345" s="30"/>
      <c r="AE345" s="197"/>
      <c r="AF345" s="47"/>
    </row>
    <row r="346" spans="1:32" s="29" customFormat="1" ht="69.95" hidden="1" customHeight="1">
      <c r="A346" s="29" t="s">
        <v>4688</v>
      </c>
      <c r="B346" s="29" t="s">
        <v>3769</v>
      </c>
      <c r="C346" s="40" t="s">
        <v>43</v>
      </c>
      <c r="D346" s="40"/>
      <c r="E346" s="57" t="s">
        <v>78</v>
      </c>
      <c r="F346" s="57" t="s">
        <v>78</v>
      </c>
      <c r="G346" s="29" t="s">
        <v>1026</v>
      </c>
      <c r="J346" s="29">
        <f t="shared" si="22"/>
        <v>1</v>
      </c>
      <c r="K346" s="42">
        <v>339</v>
      </c>
      <c r="L346" s="43" t="s">
        <v>1027</v>
      </c>
      <c r="M346" s="44" t="s">
        <v>405</v>
      </c>
      <c r="N346" s="44" t="s">
        <v>456</v>
      </c>
      <c r="O346" s="44" t="str">
        <f t="shared" si="25"/>
        <v>PE-L1-3C6-01</v>
      </c>
      <c r="P346" s="45">
        <v>1</v>
      </c>
      <c r="Q346" s="44">
        <v>230</v>
      </c>
      <c r="R346" s="44" t="s">
        <v>49</v>
      </c>
      <c r="S346" s="44">
        <v>205</v>
      </c>
      <c r="T346" s="46" t="s">
        <v>4546</v>
      </c>
      <c r="U346" s="46" t="s">
        <v>4688</v>
      </c>
      <c r="V346" s="46" t="s">
        <v>4689</v>
      </c>
      <c r="W346" s="46" t="s">
        <v>4549</v>
      </c>
      <c r="X346" s="172" t="s">
        <v>9167</v>
      </c>
      <c r="Y346" s="46" t="s">
        <v>4703</v>
      </c>
      <c r="Z346" s="46" t="s">
        <v>4704</v>
      </c>
      <c r="AA346" s="46" t="s">
        <v>4552</v>
      </c>
      <c r="AB346" s="172" t="s">
        <v>9167</v>
      </c>
      <c r="AC346" s="48" t="s">
        <v>4643</v>
      </c>
      <c r="AD346" s="30"/>
      <c r="AE346" s="197"/>
      <c r="AF346" s="47"/>
    </row>
    <row r="347" spans="1:32" s="29" customFormat="1" ht="69.95" hidden="1" customHeight="1">
      <c r="A347" s="29" t="s">
        <v>4688</v>
      </c>
      <c r="B347" s="29" t="s">
        <v>3769</v>
      </c>
      <c r="C347" s="40" t="s">
        <v>73</v>
      </c>
      <c r="D347" s="40"/>
      <c r="E347" s="57" t="s">
        <v>119</v>
      </c>
      <c r="F347" s="57" t="s">
        <v>119</v>
      </c>
      <c r="G347" s="29" t="s">
        <v>1028</v>
      </c>
      <c r="J347" s="29">
        <f t="shared" si="22"/>
        <v>1</v>
      </c>
      <c r="K347" s="42">
        <v>340</v>
      </c>
      <c r="L347" s="43" t="s">
        <v>1029</v>
      </c>
      <c r="M347" s="44" t="s">
        <v>405</v>
      </c>
      <c r="N347" s="44" t="s">
        <v>456</v>
      </c>
      <c r="O347" s="44" t="str">
        <f t="shared" si="25"/>
        <v>PE-L1-3C6-02</v>
      </c>
      <c r="P347" s="45">
        <v>1</v>
      </c>
      <c r="Q347" s="44">
        <v>230</v>
      </c>
      <c r="R347" s="44" t="s">
        <v>49</v>
      </c>
      <c r="S347" s="44">
        <v>200</v>
      </c>
      <c r="T347" s="46" t="s">
        <v>4546</v>
      </c>
      <c r="U347" s="46" t="s">
        <v>4688</v>
      </c>
      <c r="V347" s="46" t="s">
        <v>4689</v>
      </c>
      <c r="W347" s="46" t="s">
        <v>4549</v>
      </c>
      <c r="X347" s="172" t="s">
        <v>9167</v>
      </c>
      <c r="Y347" s="46" t="s">
        <v>4705</v>
      </c>
      <c r="Z347" s="46" t="s">
        <v>4706</v>
      </c>
      <c r="AA347" s="46" t="s">
        <v>4552</v>
      </c>
      <c r="AB347" s="172" t="s">
        <v>9167</v>
      </c>
      <c r="AC347" s="48" t="s">
        <v>4646</v>
      </c>
      <c r="AD347" s="30"/>
      <c r="AE347" s="197"/>
      <c r="AF347" s="47"/>
    </row>
    <row r="348" spans="1:32" s="29" customFormat="1" ht="69.95" hidden="1" customHeight="1">
      <c r="A348" s="29" t="s">
        <v>4688</v>
      </c>
      <c r="B348" s="29" t="s">
        <v>3769</v>
      </c>
      <c r="C348" s="40" t="s">
        <v>75</v>
      </c>
      <c r="D348" s="40"/>
      <c r="E348" s="57" t="s">
        <v>119</v>
      </c>
      <c r="F348" s="57" t="s">
        <v>119</v>
      </c>
      <c r="G348" s="29" t="s">
        <v>1030</v>
      </c>
      <c r="J348" s="29">
        <f t="shared" si="22"/>
        <v>1</v>
      </c>
      <c r="K348" s="42">
        <v>341</v>
      </c>
      <c r="L348" s="43" t="s">
        <v>1031</v>
      </c>
      <c r="M348" s="44" t="s">
        <v>405</v>
      </c>
      <c r="N348" s="44" t="s">
        <v>456</v>
      </c>
      <c r="O348" s="44" t="str">
        <f t="shared" si="25"/>
        <v>PE-L1-3C6-02</v>
      </c>
      <c r="P348" s="45">
        <v>1</v>
      </c>
      <c r="Q348" s="44">
        <v>230</v>
      </c>
      <c r="R348" s="44" t="s">
        <v>49</v>
      </c>
      <c r="S348" s="44">
        <v>220</v>
      </c>
      <c r="T348" s="46" t="s">
        <v>4546</v>
      </c>
      <c r="U348" s="46" t="s">
        <v>4688</v>
      </c>
      <c r="V348" s="46" t="s">
        <v>4689</v>
      </c>
      <c r="W348" s="46" t="s">
        <v>4549</v>
      </c>
      <c r="X348" s="172" t="s">
        <v>9167</v>
      </c>
      <c r="Y348" s="46" t="s">
        <v>4707</v>
      </c>
      <c r="Z348" s="46" t="s">
        <v>4708</v>
      </c>
      <c r="AA348" s="46" t="s">
        <v>4552</v>
      </c>
      <c r="AB348" s="172" t="s">
        <v>9167</v>
      </c>
      <c r="AC348" s="48" t="s">
        <v>4709</v>
      </c>
      <c r="AD348" s="30"/>
      <c r="AE348" s="197"/>
      <c r="AF348" s="47"/>
    </row>
    <row r="349" spans="1:32" s="29" customFormat="1" ht="69.95" hidden="1" customHeight="1">
      <c r="A349" s="29" t="s">
        <v>4688</v>
      </c>
      <c r="B349" s="29" t="s">
        <v>3769</v>
      </c>
      <c r="C349" s="40">
        <v>10</v>
      </c>
      <c r="D349" s="40"/>
      <c r="E349" s="57" t="s">
        <v>120</v>
      </c>
      <c r="F349" s="57" t="s">
        <v>120</v>
      </c>
      <c r="G349" s="29" t="s">
        <v>1032</v>
      </c>
      <c r="J349" s="29">
        <f t="shared" si="22"/>
        <v>1</v>
      </c>
      <c r="K349" s="42">
        <v>342</v>
      </c>
      <c r="L349" s="43" t="s">
        <v>1033</v>
      </c>
      <c r="M349" s="44" t="s">
        <v>405</v>
      </c>
      <c r="N349" s="44" t="s">
        <v>456</v>
      </c>
      <c r="O349" s="44" t="str">
        <f t="shared" si="25"/>
        <v>PE-L1-3C6-04</v>
      </c>
      <c r="P349" s="45">
        <v>1</v>
      </c>
      <c r="Q349" s="44">
        <v>230</v>
      </c>
      <c r="R349" s="44" t="s">
        <v>49</v>
      </c>
      <c r="S349" s="44">
        <v>200</v>
      </c>
      <c r="T349" s="46" t="s">
        <v>4546</v>
      </c>
      <c r="U349" s="46" t="s">
        <v>4688</v>
      </c>
      <c r="V349" s="46" t="s">
        <v>4689</v>
      </c>
      <c r="W349" s="46" t="s">
        <v>4549</v>
      </c>
      <c r="X349" s="172" t="s">
        <v>9167</v>
      </c>
      <c r="Y349" s="46" t="s">
        <v>4710</v>
      </c>
      <c r="Z349" s="46" t="s">
        <v>4711</v>
      </c>
      <c r="AA349" s="46" t="s">
        <v>4552</v>
      </c>
      <c r="AB349" s="172" t="s">
        <v>9167</v>
      </c>
      <c r="AC349" s="48" t="s">
        <v>4712</v>
      </c>
      <c r="AD349" s="30"/>
      <c r="AE349" s="197"/>
      <c r="AF349" s="47"/>
    </row>
    <row r="350" spans="1:32" s="29" customFormat="1" ht="69.95" hidden="1" customHeight="1">
      <c r="A350" s="29" t="s">
        <v>4688</v>
      </c>
      <c r="B350" s="29" t="s">
        <v>3769</v>
      </c>
      <c r="C350" s="40">
        <v>11</v>
      </c>
      <c r="D350" s="40"/>
      <c r="E350" s="57" t="s">
        <v>120</v>
      </c>
      <c r="F350" s="57" t="s">
        <v>120</v>
      </c>
      <c r="G350" s="29" t="s">
        <v>1034</v>
      </c>
      <c r="J350" s="29">
        <f t="shared" si="22"/>
        <v>1</v>
      </c>
      <c r="K350" s="42">
        <v>343</v>
      </c>
      <c r="L350" s="43" t="s">
        <v>1035</v>
      </c>
      <c r="M350" s="44" t="s">
        <v>405</v>
      </c>
      <c r="N350" s="44" t="s">
        <v>456</v>
      </c>
      <c r="O350" s="44" t="str">
        <f t="shared" si="25"/>
        <v>PE-L1-3C6-04</v>
      </c>
      <c r="P350" s="45">
        <v>1</v>
      </c>
      <c r="Q350" s="44">
        <v>230</v>
      </c>
      <c r="R350" s="44" t="s">
        <v>49</v>
      </c>
      <c r="S350" s="44">
        <v>210</v>
      </c>
      <c r="T350" s="46" t="s">
        <v>4546</v>
      </c>
      <c r="U350" s="46" t="s">
        <v>4688</v>
      </c>
      <c r="V350" s="46" t="s">
        <v>4689</v>
      </c>
      <c r="W350" s="46" t="s">
        <v>4549</v>
      </c>
      <c r="X350" s="172" t="s">
        <v>9167</v>
      </c>
      <c r="Y350" s="46" t="s">
        <v>4713</v>
      </c>
      <c r="Z350" s="46" t="s">
        <v>4714</v>
      </c>
      <c r="AA350" s="46" t="s">
        <v>4552</v>
      </c>
      <c r="AB350" s="172" t="s">
        <v>9167</v>
      </c>
      <c r="AC350" s="48" t="s">
        <v>4715</v>
      </c>
      <c r="AD350" s="30"/>
      <c r="AE350" s="197"/>
      <c r="AF350" s="47"/>
    </row>
    <row r="351" spans="1:32" s="29" customFormat="1" ht="69.95" hidden="1" customHeight="1">
      <c r="A351" s="29" t="s">
        <v>4688</v>
      </c>
      <c r="B351" s="29" t="s">
        <v>3769</v>
      </c>
      <c r="C351" s="40">
        <v>12</v>
      </c>
      <c r="D351" s="40"/>
      <c r="E351" s="57" t="s">
        <v>119</v>
      </c>
      <c r="F351" s="57" t="s">
        <v>119</v>
      </c>
      <c r="G351" s="29" t="s">
        <v>1036</v>
      </c>
      <c r="J351" s="29">
        <f t="shared" si="22"/>
        <v>1</v>
      </c>
      <c r="K351" s="42">
        <v>344</v>
      </c>
      <c r="L351" s="43" t="s">
        <v>1037</v>
      </c>
      <c r="M351" s="44" t="s">
        <v>405</v>
      </c>
      <c r="N351" s="44" t="s">
        <v>456</v>
      </c>
      <c r="O351" s="44" t="str">
        <f t="shared" si="25"/>
        <v>PE-L1-3C6-02</v>
      </c>
      <c r="P351" s="45">
        <v>1</v>
      </c>
      <c r="Q351" s="44">
        <v>230</v>
      </c>
      <c r="R351" s="44" t="s">
        <v>49</v>
      </c>
      <c r="S351" s="44">
        <v>220</v>
      </c>
      <c r="T351" s="46" t="s">
        <v>4546</v>
      </c>
      <c r="U351" s="46" t="s">
        <v>4688</v>
      </c>
      <c r="V351" s="46" t="s">
        <v>4689</v>
      </c>
      <c r="W351" s="46" t="s">
        <v>4549</v>
      </c>
      <c r="X351" s="172" t="s">
        <v>9167</v>
      </c>
      <c r="Y351" s="46" t="s">
        <v>4716</v>
      </c>
      <c r="Z351" s="46" t="s">
        <v>4717</v>
      </c>
      <c r="AA351" s="46" t="s">
        <v>4552</v>
      </c>
      <c r="AB351" s="172" t="s">
        <v>9167</v>
      </c>
      <c r="AC351" s="48" t="s">
        <v>4718</v>
      </c>
      <c r="AD351" s="30"/>
      <c r="AE351" s="197"/>
      <c r="AF351" s="47"/>
    </row>
    <row r="352" spans="1:32" s="29" customFormat="1" ht="69.95" hidden="1" customHeight="1">
      <c r="A352" s="29" t="s">
        <v>4719</v>
      </c>
      <c r="B352" s="29" t="s">
        <v>3769</v>
      </c>
      <c r="C352" s="40" t="s">
        <v>32</v>
      </c>
      <c r="D352" s="40"/>
      <c r="E352" s="57" t="s">
        <v>120</v>
      </c>
      <c r="F352" s="57" t="s">
        <v>120</v>
      </c>
      <c r="G352" s="29" t="s">
        <v>1038</v>
      </c>
      <c r="J352" s="29">
        <f t="shared" si="22"/>
        <v>1</v>
      </c>
      <c r="K352" s="42">
        <v>345</v>
      </c>
      <c r="L352" s="43" t="s">
        <v>1039</v>
      </c>
      <c r="M352" s="44" t="s">
        <v>405</v>
      </c>
      <c r="N352" s="44" t="s">
        <v>456</v>
      </c>
      <c r="O352" s="44" t="str">
        <f t="shared" si="25"/>
        <v>PE-L1-3C6-04</v>
      </c>
      <c r="P352" s="45">
        <v>1</v>
      </c>
      <c r="Q352" s="44">
        <v>230</v>
      </c>
      <c r="R352" s="44" t="s">
        <v>49</v>
      </c>
      <c r="S352" s="44">
        <v>170</v>
      </c>
      <c r="T352" s="46" t="s">
        <v>4546</v>
      </c>
      <c r="U352" s="46" t="s">
        <v>4719</v>
      </c>
      <c r="V352" s="46" t="s">
        <v>4720</v>
      </c>
      <c r="W352" s="46" t="s">
        <v>4549</v>
      </c>
      <c r="X352" s="172" t="s">
        <v>9167</v>
      </c>
      <c r="Y352" s="46" t="s">
        <v>4721</v>
      </c>
      <c r="Z352" s="46" t="s">
        <v>4722</v>
      </c>
      <c r="AA352" s="46" t="s">
        <v>4552</v>
      </c>
      <c r="AB352" s="172" t="s">
        <v>9167</v>
      </c>
      <c r="AC352" s="48" t="s">
        <v>4723</v>
      </c>
      <c r="AD352" s="30"/>
      <c r="AE352" s="197"/>
      <c r="AF352" s="47"/>
    </row>
    <row r="353" spans="1:32" s="29" customFormat="1" ht="69.95" hidden="1" customHeight="1">
      <c r="A353" s="29" t="s">
        <v>4719</v>
      </c>
      <c r="B353" s="29" t="s">
        <v>3769</v>
      </c>
      <c r="C353" s="40" t="s">
        <v>36</v>
      </c>
      <c r="D353" s="40"/>
      <c r="E353" s="57" t="s">
        <v>120</v>
      </c>
      <c r="F353" s="57" t="s">
        <v>120</v>
      </c>
      <c r="G353" s="29" t="s">
        <v>1040</v>
      </c>
      <c r="J353" s="29">
        <f t="shared" si="22"/>
        <v>1</v>
      </c>
      <c r="K353" s="42">
        <v>346</v>
      </c>
      <c r="L353" s="43" t="s">
        <v>1041</v>
      </c>
      <c r="M353" s="44" t="s">
        <v>405</v>
      </c>
      <c r="N353" s="44" t="s">
        <v>456</v>
      </c>
      <c r="O353" s="44" t="str">
        <f t="shared" si="25"/>
        <v>PE-L1-3C6-04</v>
      </c>
      <c r="P353" s="45">
        <v>1</v>
      </c>
      <c r="Q353" s="44">
        <v>230</v>
      </c>
      <c r="R353" s="44" t="s">
        <v>49</v>
      </c>
      <c r="S353" s="44">
        <v>160</v>
      </c>
      <c r="T353" s="46" t="s">
        <v>4546</v>
      </c>
      <c r="U353" s="46" t="s">
        <v>4719</v>
      </c>
      <c r="V353" s="46" t="s">
        <v>4720</v>
      </c>
      <c r="W353" s="46" t="s">
        <v>4549</v>
      </c>
      <c r="X353" s="172" t="s">
        <v>9167</v>
      </c>
      <c r="Y353" s="46" t="s">
        <v>4724</v>
      </c>
      <c r="Z353" s="46" t="s">
        <v>4725</v>
      </c>
      <c r="AA353" s="46" t="s">
        <v>4552</v>
      </c>
      <c r="AB353" s="172" t="s">
        <v>9167</v>
      </c>
      <c r="AC353" s="48" t="s">
        <v>4726</v>
      </c>
      <c r="AD353" s="30"/>
      <c r="AE353" s="197"/>
      <c r="AF353" s="47"/>
    </row>
    <row r="354" spans="1:32" s="29" customFormat="1" ht="69.95" hidden="1" customHeight="1">
      <c r="A354" s="29" t="s">
        <v>4719</v>
      </c>
      <c r="B354" s="29" t="s">
        <v>3769</v>
      </c>
      <c r="C354" s="40" t="s">
        <v>38</v>
      </c>
      <c r="D354" s="40"/>
      <c r="E354" s="57" t="s">
        <v>120</v>
      </c>
      <c r="F354" s="57" t="s">
        <v>120</v>
      </c>
      <c r="G354" s="29" t="s">
        <v>1042</v>
      </c>
      <c r="J354" s="29">
        <f t="shared" si="22"/>
        <v>1</v>
      </c>
      <c r="K354" s="42">
        <v>347</v>
      </c>
      <c r="L354" s="43" t="s">
        <v>1043</v>
      </c>
      <c r="M354" s="44" t="s">
        <v>405</v>
      </c>
      <c r="N354" s="44" t="s">
        <v>456</v>
      </c>
      <c r="O354" s="44" t="str">
        <f t="shared" si="25"/>
        <v>PE-L1-3C6-04</v>
      </c>
      <c r="P354" s="45">
        <v>1</v>
      </c>
      <c r="Q354" s="44">
        <v>230</v>
      </c>
      <c r="R354" s="44" t="s">
        <v>49</v>
      </c>
      <c r="S354" s="44">
        <v>150</v>
      </c>
      <c r="T354" s="46" t="s">
        <v>4546</v>
      </c>
      <c r="U354" s="46" t="s">
        <v>4719</v>
      </c>
      <c r="V354" s="46" t="s">
        <v>4720</v>
      </c>
      <c r="W354" s="46" t="s">
        <v>4549</v>
      </c>
      <c r="X354" s="172" t="s">
        <v>9167</v>
      </c>
      <c r="Y354" s="46" t="s">
        <v>4727</v>
      </c>
      <c r="Z354" s="46" t="s">
        <v>4728</v>
      </c>
      <c r="AA354" s="46" t="s">
        <v>4552</v>
      </c>
      <c r="AB354" s="172" t="s">
        <v>9167</v>
      </c>
      <c r="AC354" s="48" t="s">
        <v>4726</v>
      </c>
      <c r="AD354" s="30"/>
      <c r="AE354" s="197"/>
      <c r="AF354" s="47"/>
    </row>
    <row r="355" spans="1:32" s="29" customFormat="1" ht="69.95" hidden="1" customHeight="1">
      <c r="A355" s="29" t="s">
        <v>4719</v>
      </c>
      <c r="B355" s="29" t="s">
        <v>3769</v>
      </c>
      <c r="C355" s="40" t="s">
        <v>40</v>
      </c>
      <c r="D355" s="40"/>
      <c r="E355" s="57" t="s">
        <v>120</v>
      </c>
      <c r="F355" s="57" t="s">
        <v>120</v>
      </c>
      <c r="G355" s="29" t="s">
        <v>1044</v>
      </c>
      <c r="J355" s="29">
        <f t="shared" si="22"/>
        <v>1</v>
      </c>
      <c r="K355" s="42">
        <v>348</v>
      </c>
      <c r="L355" s="43" t="s">
        <v>1045</v>
      </c>
      <c r="M355" s="44" t="s">
        <v>405</v>
      </c>
      <c r="N355" s="44" t="s">
        <v>456</v>
      </c>
      <c r="O355" s="44" t="str">
        <f t="shared" si="25"/>
        <v>PE-L1-3C6-04</v>
      </c>
      <c r="P355" s="45">
        <v>1</v>
      </c>
      <c r="Q355" s="44">
        <v>230</v>
      </c>
      <c r="R355" s="44" t="s">
        <v>49</v>
      </c>
      <c r="S355" s="44">
        <v>180</v>
      </c>
      <c r="T355" s="46" t="s">
        <v>4546</v>
      </c>
      <c r="U355" s="46" t="s">
        <v>4719</v>
      </c>
      <c r="V355" s="46" t="s">
        <v>4720</v>
      </c>
      <c r="W355" s="46" t="s">
        <v>4549</v>
      </c>
      <c r="X355" s="172" t="s">
        <v>9167</v>
      </c>
      <c r="Y355" s="46" t="s">
        <v>4729</v>
      </c>
      <c r="Z355" s="46" t="s">
        <v>4730</v>
      </c>
      <c r="AA355" s="46" t="s">
        <v>4552</v>
      </c>
      <c r="AB355" s="172" t="s">
        <v>9167</v>
      </c>
      <c r="AC355" s="48" t="s">
        <v>4731</v>
      </c>
      <c r="AD355" s="30"/>
      <c r="AE355" s="197"/>
      <c r="AF355" s="47"/>
    </row>
    <row r="356" spans="1:32" s="29" customFormat="1" ht="69.95" hidden="1" customHeight="1">
      <c r="A356" s="29" t="s">
        <v>4719</v>
      </c>
      <c r="B356" s="29" t="s">
        <v>3769</v>
      </c>
      <c r="C356" s="40" t="s">
        <v>41</v>
      </c>
      <c r="D356" s="40"/>
      <c r="E356" s="57" t="s">
        <v>120</v>
      </c>
      <c r="F356" s="57" t="s">
        <v>120</v>
      </c>
      <c r="G356" s="29" t="s">
        <v>1046</v>
      </c>
      <c r="J356" s="29">
        <f t="shared" si="22"/>
        <v>1</v>
      </c>
      <c r="K356" s="42">
        <v>349</v>
      </c>
      <c r="L356" s="43" t="s">
        <v>1047</v>
      </c>
      <c r="M356" s="44" t="s">
        <v>405</v>
      </c>
      <c r="N356" s="44" t="s">
        <v>456</v>
      </c>
      <c r="O356" s="44" t="str">
        <f t="shared" si="25"/>
        <v>PE-L1-3C6-04</v>
      </c>
      <c r="P356" s="45">
        <v>1</v>
      </c>
      <c r="Q356" s="44">
        <v>230</v>
      </c>
      <c r="R356" s="44" t="s">
        <v>49</v>
      </c>
      <c r="S356" s="44">
        <v>190</v>
      </c>
      <c r="T356" s="46" t="s">
        <v>4546</v>
      </c>
      <c r="U356" s="46" t="s">
        <v>4719</v>
      </c>
      <c r="V356" s="46" t="s">
        <v>4720</v>
      </c>
      <c r="W356" s="46" t="s">
        <v>4549</v>
      </c>
      <c r="X356" s="172" t="s">
        <v>9167</v>
      </c>
      <c r="Y356" s="46" t="s">
        <v>4732</v>
      </c>
      <c r="Z356" s="46" t="s">
        <v>4733</v>
      </c>
      <c r="AA356" s="46" t="s">
        <v>4552</v>
      </c>
      <c r="AB356" s="172" t="s">
        <v>9167</v>
      </c>
      <c r="AC356" s="48" t="s">
        <v>4731</v>
      </c>
      <c r="AD356" s="30"/>
      <c r="AE356" s="197"/>
      <c r="AF356" s="47"/>
    </row>
    <row r="357" spans="1:32" s="29" customFormat="1" ht="69.95" hidden="1" customHeight="1">
      <c r="A357" s="29" t="s">
        <v>4719</v>
      </c>
      <c r="B357" s="29" t="s">
        <v>3769</v>
      </c>
      <c r="C357" s="40" t="s">
        <v>42</v>
      </c>
      <c r="D357" s="40"/>
      <c r="E357" s="57" t="s">
        <v>120</v>
      </c>
      <c r="F357" s="57" t="s">
        <v>120</v>
      </c>
      <c r="G357" s="29" t="s">
        <v>1048</v>
      </c>
      <c r="J357" s="29">
        <f t="shared" si="22"/>
        <v>1</v>
      </c>
      <c r="K357" s="42">
        <v>350</v>
      </c>
      <c r="L357" s="43" t="s">
        <v>1049</v>
      </c>
      <c r="M357" s="44" t="s">
        <v>405</v>
      </c>
      <c r="N357" s="44" t="s">
        <v>456</v>
      </c>
      <c r="O357" s="44" t="str">
        <f t="shared" si="25"/>
        <v>PE-L1-3C6-04</v>
      </c>
      <c r="P357" s="45">
        <v>1</v>
      </c>
      <c r="Q357" s="44">
        <v>230</v>
      </c>
      <c r="R357" s="44" t="s">
        <v>49</v>
      </c>
      <c r="S357" s="44">
        <v>200</v>
      </c>
      <c r="T357" s="46" t="s">
        <v>4546</v>
      </c>
      <c r="U357" s="46" t="s">
        <v>4719</v>
      </c>
      <c r="V357" s="46" t="s">
        <v>4720</v>
      </c>
      <c r="W357" s="46" t="s">
        <v>4549</v>
      </c>
      <c r="X357" s="172" t="s">
        <v>9167</v>
      </c>
      <c r="Y357" s="46" t="s">
        <v>4734</v>
      </c>
      <c r="Z357" s="46" t="s">
        <v>4735</v>
      </c>
      <c r="AA357" s="46" t="s">
        <v>4552</v>
      </c>
      <c r="AB357" s="172" t="s">
        <v>9167</v>
      </c>
      <c r="AC357" s="48" t="s">
        <v>4736</v>
      </c>
      <c r="AD357" s="30"/>
      <c r="AE357" s="197"/>
      <c r="AF357" s="47"/>
    </row>
    <row r="358" spans="1:32" s="29" customFormat="1" ht="69.95" hidden="1" customHeight="1">
      <c r="A358" s="29" t="s">
        <v>4719</v>
      </c>
      <c r="B358" s="29" t="s">
        <v>3769</v>
      </c>
      <c r="C358" s="40" t="s">
        <v>43</v>
      </c>
      <c r="D358" s="40"/>
      <c r="E358" s="57" t="s">
        <v>120</v>
      </c>
      <c r="F358" s="57" t="s">
        <v>120</v>
      </c>
      <c r="G358" s="29" t="s">
        <v>1050</v>
      </c>
      <c r="J358" s="29">
        <f t="shared" si="22"/>
        <v>1</v>
      </c>
      <c r="K358" s="42">
        <v>351</v>
      </c>
      <c r="L358" s="43" t="s">
        <v>1051</v>
      </c>
      <c r="M358" s="44" t="s">
        <v>405</v>
      </c>
      <c r="N358" s="44" t="s">
        <v>456</v>
      </c>
      <c r="O358" s="44" t="str">
        <f t="shared" si="25"/>
        <v>PE-L1-3C6-04</v>
      </c>
      <c r="P358" s="45">
        <v>1</v>
      </c>
      <c r="Q358" s="44">
        <v>230</v>
      </c>
      <c r="R358" s="44" t="s">
        <v>49</v>
      </c>
      <c r="S358" s="44">
        <v>160</v>
      </c>
      <c r="T358" s="46" t="s">
        <v>4546</v>
      </c>
      <c r="U358" s="46" t="s">
        <v>4719</v>
      </c>
      <c r="V358" s="46" t="s">
        <v>4720</v>
      </c>
      <c r="W358" s="46" t="s">
        <v>4549</v>
      </c>
      <c r="X358" s="172" t="s">
        <v>9167</v>
      </c>
      <c r="Y358" s="46" t="s">
        <v>4737</v>
      </c>
      <c r="Z358" s="46" t="s">
        <v>4738</v>
      </c>
      <c r="AA358" s="46" t="s">
        <v>4552</v>
      </c>
      <c r="AB358" s="172" t="s">
        <v>9167</v>
      </c>
      <c r="AC358" s="48" t="s">
        <v>4739</v>
      </c>
      <c r="AD358" s="30"/>
      <c r="AE358" s="197"/>
      <c r="AF358" s="47"/>
    </row>
    <row r="359" spans="1:32" s="29" customFormat="1" ht="69.95" hidden="1" customHeight="1">
      <c r="A359" s="29" t="s">
        <v>4719</v>
      </c>
      <c r="B359" s="29" t="s">
        <v>3769</v>
      </c>
      <c r="C359" s="40" t="s">
        <v>73</v>
      </c>
      <c r="D359" s="40"/>
      <c r="E359" s="57" t="s">
        <v>60</v>
      </c>
      <c r="F359" s="57" t="s">
        <v>60</v>
      </c>
      <c r="G359" s="29" t="s">
        <v>1052</v>
      </c>
      <c r="J359" s="29">
        <f t="shared" si="22"/>
        <v>1</v>
      </c>
      <c r="K359" s="42">
        <v>352</v>
      </c>
      <c r="L359" s="43" t="s">
        <v>1053</v>
      </c>
      <c r="M359" s="44" t="s">
        <v>405</v>
      </c>
      <c r="N359" s="44" t="s">
        <v>456</v>
      </c>
      <c r="O359" s="44" t="str">
        <f t="shared" si="25"/>
        <v>PE-L1-3C6-03</v>
      </c>
      <c r="P359" s="45">
        <v>1</v>
      </c>
      <c r="Q359" s="44">
        <v>230</v>
      </c>
      <c r="R359" s="44" t="s">
        <v>49</v>
      </c>
      <c r="S359" s="44">
        <v>150</v>
      </c>
      <c r="T359" s="46" t="s">
        <v>4546</v>
      </c>
      <c r="U359" s="46" t="s">
        <v>4719</v>
      </c>
      <c r="V359" s="46" t="s">
        <v>4720</v>
      </c>
      <c r="W359" s="46" t="s">
        <v>4549</v>
      </c>
      <c r="X359" s="172" t="s">
        <v>9167</v>
      </c>
      <c r="Y359" s="46" t="s">
        <v>4740</v>
      </c>
      <c r="Z359" s="46" t="s">
        <v>4741</v>
      </c>
      <c r="AA359" s="46" t="s">
        <v>4552</v>
      </c>
      <c r="AB359" s="172" t="s">
        <v>9167</v>
      </c>
      <c r="AC359" s="48" t="s">
        <v>4742</v>
      </c>
      <c r="AD359" s="30"/>
      <c r="AE359" s="197"/>
      <c r="AF359" s="47"/>
    </row>
    <row r="360" spans="1:32" s="29" customFormat="1" ht="69.95" hidden="1" customHeight="1">
      <c r="A360" s="29" t="s">
        <v>4719</v>
      </c>
      <c r="B360" s="29" t="s">
        <v>3769</v>
      </c>
      <c r="C360" s="40" t="s">
        <v>75</v>
      </c>
      <c r="D360" s="40"/>
      <c r="E360" s="57" t="s">
        <v>60</v>
      </c>
      <c r="F360" s="57" t="s">
        <v>60</v>
      </c>
      <c r="G360" s="29" t="s">
        <v>1054</v>
      </c>
      <c r="J360" s="29">
        <f t="shared" si="22"/>
        <v>1</v>
      </c>
      <c r="K360" s="42">
        <v>353</v>
      </c>
      <c r="L360" s="43" t="s">
        <v>1055</v>
      </c>
      <c r="M360" s="44" t="s">
        <v>405</v>
      </c>
      <c r="N360" s="44" t="s">
        <v>456</v>
      </c>
      <c r="O360" s="44" t="str">
        <f t="shared" si="25"/>
        <v>PE-L1-3C6-03</v>
      </c>
      <c r="P360" s="45">
        <v>1</v>
      </c>
      <c r="Q360" s="44">
        <v>230</v>
      </c>
      <c r="R360" s="44" t="s">
        <v>49</v>
      </c>
      <c r="S360" s="44">
        <v>130</v>
      </c>
      <c r="T360" s="46" t="s">
        <v>4546</v>
      </c>
      <c r="U360" s="46" t="s">
        <v>4719</v>
      </c>
      <c r="V360" s="46" t="s">
        <v>4720</v>
      </c>
      <c r="W360" s="46" t="s">
        <v>4549</v>
      </c>
      <c r="X360" s="172" t="s">
        <v>9167</v>
      </c>
      <c r="Y360" s="46" t="s">
        <v>4743</v>
      </c>
      <c r="Z360" s="46" t="s">
        <v>4744</v>
      </c>
      <c r="AA360" s="46" t="s">
        <v>4552</v>
      </c>
      <c r="AB360" s="172" t="s">
        <v>9167</v>
      </c>
      <c r="AC360" s="48" t="s">
        <v>4742</v>
      </c>
      <c r="AD360" s="30"/>
      <c r="AE360" s="197"/>
      <c r="AF360" s="47"/>
    </row>
    <row r="361" spans="1:32" s="29" customFormat="1" ht="69.95" hidden="1" customHeight="1">
      <c r="A361" s="29" t="s">
        <v>4719</v>
      </c>
      <c r="B361" s="29" t="s">
        <v>3769</v>
      </c>
      <c r="C361" s="40">
        <v>10</v>
      </c>
      <c r="D361" s="40"/>
      <c r="E361" s="57" t="s">
        <v>60</v>
      </c>
      <c r="F361" s="57" t="s">
        <v>60</v>
      </c>
      <c r="G361" s="29" t="s">
        <v>1056</v>
      </c>
      <c r="J361" s="29">
        <f t="shared" si="22"/>
        <v>1</v>
      </c>
      <c r="K361" s="42">
        <v>354</v>
      </c>
      <c r="L361" s="43" t="s">
        <v>1057</v>
      </c>
      <c r="M361" s="44" t="s">
        <v>405</v>
      </c>
      <c r="N361" s="44" t="s">
        <v>456</v>
      </c>
      <c r="O361" s="44" t="str">
        <f t="shared" si="25"/>
        <v>PE-L1-3C6-03</v>
      </c>
      <c r="P361" s="45">
        <v>1</v>
      </c>
      <c r="Q361" s="44">
        <v>230</v>
      </c>
      <c r="R361" s="44" t="s">
        <v>49</v>
      </c>
      <c r="S361" s="44">
        <v>160</v>
      </c>
      <c r="T361" s="46" t="s">
        <v>4546</v>
      </c>
      <c r="U361" s="46" t="s">
        <v>4719</v>
      </c>
      <c r="V361" s="46" t="s">
        <v>4720</v>
      </c>
      <c r="W361" s="46" t="s">
        <v>4549</v>
      </c>
      <c r="X361" s="172" t="s">
        <v>9167</v>
      </c>
      <c r="Y361" s="46" t="s">
        <v>4745</v>
      </c>
      <c r="Z361" s="46" t="s">
        <v>4746</v>
      </c>
      <c r="AA361" s="46" t="s">
        <v>4552</v>
      </c>
      <c r="AB361" s="172" t="s">
        <v>9167</v>
      </c>
      <c r="AC361" s="48" t="s">
        <v>4747</v>
      </c>
      <c r="AD361" s="30"/>
      <c r="AE361" s="197"/>
      <c r="AF361" s="47"/>
    </row>
    <row r="362" spans="1:32" s="29" customFormat="1" ht="69.95" hidden="1" customHeight="1">
      <c r="A362" s="29" t="s">
        <v>4719</v>
      </c>
      <c r="B362" s="29" t="s">
        <v>3769</v>
      </c>
      <c r="C362" s="40">
        <v>11</v>
      </c>
      <c r="D362" s="40"/>
      <c r="E362" s="57" t="s">
        <v>60</v>
      </c>
      <c r="F362" s="57" t="s">
        <v>60</v>
      </c>
      <c r="G362" s="29" t="s">
        <v>1058</v>
      </c>
      <c r="J362" s="29">
        <f t="shared" si="22"/>
        <v>1</v>
      </c>
      <c r="K362" s="42">
        <v>355</v>
      </c>
      <c r="L362" s="43" t="s">
        <v>1059</v>
      </c>
      <c r="M362" s="44" t="s">
        <v>405</v>
      </c>
      <c r="N362" s="44" t="s">
        <v>456</v>
      </c>
      <c r="O362" s="44" t="str">
        <f t="shared" si="25"/>
        <v>PE-L1-3C6-03</v>
      </c>
      <c r="P362" s="45">
        <v>1</v>
      </c>
      <c r="Q362" s="44">
        <v>230</v>
      </c>
      <c r="R362" s="44" t="s">
        <v>49</v>
      </c>
      <c r="S362" s="44">
        <v>170</v>
      </c>
      <c r="T362" s="46" t="s">
        <v>4546</v>
      </c>
      <c r="U362" s="46" t="s">
        <v>4719</v>
      </c>
      <c r="V362" s="46" t="s">
        <v>4720</v>
      </c>
      <c r="W362" s="46" t="s">
        <v>4549</v>
      </c>
      <c r="X362" s="172" t="s">
        <v>9167</v>
      </c>
      <c r="Y362" s="46" t="s">
        <v>4748</v>
      </c>
      <c r="Z362" s="46" t="s">
        <v>4749</v>
      </c>
      <c r="AA362" s="46" t="s">
        <v>4552</v>
      </c>
      <c r="AB362" s="172" t="s">
        <v>9167</v>
      </c>
      <c r="AC362" s="48" t="s">
        <v>4750</v>
      </c>
      <c r="AD362" s="30"/>
      <c r="AE362" s="197"/>
      <c r="AF362" s="47"/>
    </row>
    <row r="363" spans="1:32" s="29" customFormat="1" ht="69.95" hidden="1" customHeight="1">
      <c r="A363" s="29" t="s">
        <v>4719</v>
      </c>
      <c r="B363" s="29" t="s">
        <v>3769</v>
      </c>
      <c r="C363" s="40">
        <v>12</v>
      </c>
      <c r="D363" s="40"/>
      <c r="E363" s="56" t="s">
        <v>60</v>
      </c>
      <c r="F363" s="56" t="s">
        <v>60</v>
      </c>
      <c r="G363" s="29" t="s">
        <v>1060</v>
      </c>
      <c r="J363" s="29">
        <f t="shared" si="22"/>
        <v>1</v>
      </c>
      <c r="K363" s="42">
        <v>356</v>
      </c>
      <c r="L363" s="43" t="s">
        <v>1061</v>
      </c>
      <c r="M363" s="44" t="s">
        <v>405</v>
      </c>
      <c r="N363" s="44" t="s">
        <v>456</v>
      </c>
      <c r="O363" s="44" t="str">
        <f t="shared" si="25"/>
        <v>PE-L1-3C6-03</v>
      </c>
      <c r="P363" s="45">
        <v>1</v>
      </c>
      <c r="Q363" s="44">
        <v>230</v>
      </c>
      <c r="R363" s="44" t="s">
        <v>49</v>
      </c>
      <c r="S363" s="44">
        <v>180</v>
      </c>
      <c r="T363" s="46" t="s">
        <v>4546</v>
      </c>
      <c r="U363" s="46" t="s">
        <v>4719</v>
      </c>
      <c r="V363" s="46" t="s">
        <v>4720</v>
      </c>
      <c r="W363" s="46" t="s">
        <v>4549</v>
      </c>
      <c r="X363" s="172" t="s">
        <v>9167</v>
      </c>
      <c r="Y363" s="46" t="s">
        <v>4751</v>
      </c>
      <c r="Z363" s="46" t="s">
        <v>4752</v>
      </c>
      <c r="AA363" s="46" t="s">
        <v>4552</v>
      </c>
      <c r="AB363" s="172" t="s">
        <v>9167</v>
      </c>
      <c r="AC363" s="48" t="s">
        <v>4753</v>
      </c>
      <c r="AD363" s="30"/>
      <c r="AE363" s="197"/>
      <c r="AF363" s="47"/>
    </row>
    <row r="364" spans="1:32" s="29" customFormat="1" ht="69.95" hidden="1" customHeight="1">
      <c r="A364" s="29" t="s">
        <v>4587</v>
      </c>
      <c r="B364" s="29" t="s">
        <v>3769</v>
      </c>
      <c r="C364" s="40">
        <v>37</v>
      </c>
      <c r="D364" s="40"/>
      <c r="E364" s="57" t="s">
        <v>121</v>
      </c>
      <c r="F364" s="57" t="s">
        <v>121</v>
      </c>
      <c r="G364" s="29" t="s">
        <v>1062</v>
      </c>
      <c r="J364" s="29">
        <f t="shared" si="22"/>
        <v>1</v>
      </c>
      <c r="K364" s="42">
        <v>357</v>
      </c>
      <c r="L364" s="43" t="s">
        <v>1063</v>
      </c>
      <c r="M364" s="44" t="s">
        <v>405</v>
      </c>
      <c r="N364" s="44" t="s">
        <v>895</v>
      </c>
      <c r="O364" s="44" t="str">
        <f t="shared" si="25"/>
        <v>PE-L1-4C95/50-18</v>
      </c>
      <c r="P364" s="45">
        <v>185</v>
      </c>
      <c r="Q364" s="44">
        <v>400</v>
      </c>
      <c r="R364" s="44" t="s">
        <v>49</v>
      </c>
      <c r="S364" s="44">
        <v>40</v>
      </c>
      <c r="T364" s="46" t="s">
        <v>4546</v>
      </c>
      <c r="U364" s="46" t="s">
        <v>4587</v>
      </c>
      <c r="V364" s="46" t="s">
        <v>4588</v>
      </c>
      <c r="W364" s="46" t="s">
        <v>4549</v>
      </c>
      <c r="X364" s="47" t="s">
        <v>9305</v>
      </c>
      <c r="Y364" s="46" t="s">
        <v>4754</v>
      </c>
      <c r="Z364" s="46" t="s">
        <v>4755</v>
      </c>
      <c r="AA364" s="46" t="s">
        <v>4549</v>
      </c>
      <c r="AB364" s="47" t="s">
        <v>9305</v>
      </c>
      <c r="AC364" s="48" t="s">
        <v>4756</v>
      </c>
      <c r="AD364" s="30"/>
      <c r="AE364" s="197"/>
      <c r="AF364" s="47"/>
    </row>
    <row r="365" spans="1:32" s="29" customFormat="1" ht="69.95" hidden="1" customHeight="1">
      <c r="A365" s="49" t="s">
        <v>4587</v>
      </c>
      <c r="B365" s="49" t="s">
        <v>3769</v>
      </c>
      <c r="C365" s="49">
        <v>38</v>
      </c>
      <c r="D365" s="49"/>
      <c r="E365" s="56" t="s">
        <v>121</v>
      </c>
      <c r="F365" s="57" t="s">
        <v>121</v>
      </c>
      <c r="J365" s="29">
        <f t="shared" si="22"/>
        <v>1</v>
      </c>
      <c r="K365" s="42">
        <v>358</v>
      </c>
      <c r="L365" s="43" t="s">
        <v>1064</v>
      </c>
      <c r="M365" s="43" t="s">
        <v>405</v>
      </c>
      <c r="N365" s="43" t="s">
        <v>895</v>
      </c>
      <c r="O365" s="44" t="str">
        <f t="shared" si="25"/>
        <v>PE-L1-4C95/50-18</v>
      </c>
      <c r="P365" s="51">
        <v>185</v>
      </c>
      <c r="Q365" s="43">
        <v>400</v>
      </c>
      <c r="R365" s="43" t="s">
        <v>49</v>
      </c>
      <c r="S365" s="43">
        <v>40</v>
      </c>
      <c r="T365" s="43" t="s">
        <v>4546</v>
      </c>
      <c r="U365" s="43" t="s">
        <v>4587</v>
      </c>
      <c r="V365" s="43" t="s">
        <v>4588</v>
      </c>
      <c r="W365" s="43" t="s">
        <v>4549</v>
      </c>
      <c r="X365" s="47" t="s">
        <v>9305</v>
      </c>
      <c r="Y365" s="43" t="s">
        <v>4754</v>
      </c>
      <c r="Z365" s="43" t="s">
        <v>4755</v>
      </c>
      <c r="AA365" s="43" t="s">
        <v>4549</v>
      </c>
      <c r="AB365" s="47" t="s">
        <v>9305</v>
      </c>
      <c r="AC365" s="48" t="s">
        <v>4757</v>
      </c>
      <c r="AD365" s="30"/>
      <c r="AE365" s="197"/>
      <c r="AF365" s="47"/>
    </row>
    <row r="366" spans="1:32" s="29" customFormat="1" ht="69.95" hidden="1" customHeight="1">
      <c r="A366" s="29" t="s">
        <v>4587</v>
      </c>
      <c r="B366" s="29" t="s">
        <v>3769</v>
      </c>
      <c r="C366" s="40">
        <v>39</v>
      </c>
      <c r="D366" s="173" t="s">
        <v>9131</v>
      </c>
      <c r="E366" s="57" t="s">
        <v>8022</v>
      </c>
      <c r="F366" s="121" t="s">
        <v>233</v>
      </c>
      <c r="G366" s="29" t="s">
        <v>1065</v>
      </c>
      <c r="J366" s="29">
        <f t="shared" si="22"/>
        <v>1</v>
      </c>
      <c r="K366" s="42">
        <v>359</v>
      </c>
      <c r="L366" s="43" t="s">
        <v>1066</v>
      </c>
      <c r="M366" s="44" t="s">
        <v>405</v>
      </c>
      <c r="N366" s="44" t="s">
        <v>426</v>
      </c>
      <c r="O366" s="121" t="str">
        <f>F366</f>
        <v>PE-L1-3C4-14</v>
      </c>
      <c r="P366" s="45">
        <v>1.1599999999999999</v>
      </c>
      <c r="Q366" s="44">
        <v>230</v>
      </c>
      <c r="R366" s="44" t="s">
        <v>49</v>
      </c>
      <c r="S366" s="44">
        <v>40</v>
      </c>
      <c r="T366" s="46" t="s">
        <v>4546</v>
      </c>
      <c r="U366" s="46" t="s">
        <v>4587</v>
      </c>
      <c r="V366" s="46" t="s">
        <v>4588</v>
      </c>
      <c r="W366" s="46" t="s">
        <v>4549</v>
      </c>
      <c r="X366" s="172" t="s">
        <v>9167</v>
      </c>
      <c r="Y366" s="46" t="s">
        <v>4758</v>
      </c>
      <c r="Z366" s="46" t="s">
        <v>4759</v>
      </c>
      <c r="AA366" s="46" t="s">
        <v>4549</v>
      </c>
      <c r="AB366" s="172" t="s">
        <v>9167</v>
      </c>
      <c r="AC366" s="48" t="s">
        <v>4760</v>
      </c>
      <c r="AD366" s="30"/>
      <c r="AE366" s="197"/>
      <c r="AF366" s="47"/>
    </row>
    <row r="367" spans="1:32" s="29" customFormat="1" ht="69.95" hidden="1" customHeight="1">
      <c r="A367" s="29" t="s">
        <v>4587</v>
      </c>
      <c r="B367" s="29" t="s">
        <v>3769</v>
      </c>
      <c r="C367" s="40">
        <v>40</v>
      </c>
      <c r="D367" s="40"/>
      <c r="E367" s="58" t="s">
        <v>121</v>
      </c>
      <c r="F367" s="57" t="s">
        <v>121</v>
      </c>
      <c r="G367" s="29" t="s">
        <v>1067</v>
      </c>
      <c r="J367" s="29">
        <f t="shared" si="22"/>
        <v>1</v>
      </c>
      <c r="K367" s="42">
        <v>360</v>
      </c>
      <c r="L367" s="43" t="s">
        <v>1068</v>
      </c>
      <c r="M367" s="44" t="s">
        <v>405</v>
      </c>
      <c r="N367" s="44" t="s">
        <v>895</v>
      </c>
      <c r="O367" s="44" t="str">
        <f t="shared" ref="O367:O371" si="26">F367</f>
        <v>PE-L1-4C95/50-18</v>
      </c>
      <c r="P367" s="45">
        <v>185</v>
      </c>
      <c r="Q367" s="44">
        <v>400</v>
      </c>
      <c r="R367" s="44" t="s">
        <v>49</v>
      </c>
      <c r="S367" s="44">
        <v>60</v>
      </c>
      <c r="T367" s="46" t="s">
        <v>4546</v>
      </c>
      <c r="U367" s="46" t="s">
        <v>4587</v>
      </c>
      <c r="V367" s="46" t="s">
        <v>4588</v>
      </c>
      <c r="W367" s="46" t="s">
        <v>4549</v>
      </c>
      <c r="X367" s="47" t="s">
        <v>9305</v>
      </c>
      <c r="Y367" s="46" t="s">
        <v>4761</v>
      </c>
      <c r="Z367" s="46" t="s">
        <v>4762</v>
      </c>
      <c r="AA367" s="46" t="s">
        <v>4549</v>
      </c>
      <c r="AB367" s="47" t="s">
        <v>9305</v>
      </c>
      <c r="AC367" s="48" t="s">
        <v>4763</v>
      </c>
      <c r="AD367" s="30"/>
      <c r="AE367" s="197"/>
      <c r="AF367" s="47"/>
    </row>
    <row r="368" spans="1:32" s="29" customFormat="1" ht="69.95" hidden="1" customHeight="1">
      <c r="A368" s="49" t="s">
        <v>4587</v>
      </c>
      <c r="B368" s="49" t="s">
        <v>3769</v>
      </c>
      <c r="C368" s="49">
        <v>41</v>
      </c>
      <c r="D368" s="49"/>
      <c r="E368" s="57" t="s">
        <v>121</v>
      </c>
      <c r="F368" s="57" t="s">
        <v>121</v>
      </c>
      <c r="J368" s="29">
        <f t="shared" si="22"/>
        <v>1</v>
      </c>
      <c r="K368" s="42">
        <v>361</v>
      </c>
      <c r="L368" s="43" t="s">
        <v>1069</v>
      </c>
      <c r="M368" s="43" t="s">
        <v>405</v>
      </c>
      <c r="N368" s="43" t="s">
        <v>895</v>
      </c>
      <c r="O368" s="44" t="str">
        <f t="shared" si="26"/>
        <v>PE-L1-4C95/50-18</v>
      </c>
      <c r="P368" s="51">
        <v>185</v>
      </c>
      <c r="Q368" s="43">
        <v>400</v>
      </c>
      <c r="R368" s="43" t="s">
        <v>49</v>
      </c>
      <c r="S368" s="43">
        <v>60</v>
      </c>
      <c r="T368" s="43" t="s">
        <v>4546</v>
      </c>
      <c r="U368" s="43" t="s">
        <v>4587</v>
      </c>
      <c r="V368" s="43" t="s">
        <v>4588</v>
      </c>
      <c r="W368" s="43" t="s">
        <v>4549</v>
      </c>
      <c r="X368" s="47" t="s">
        <v>9305</v>
      </c>
      <c r="Y368" s="43" t="s">
        <v>4761</v>
      </c>
      <c r="Z368" s="43" t="s">
        <v>4762</v>
      </c>
      <c r="AA368" s="43" t="s">
        <v>4549</v>
      </c>
      <c r="AB368" s="47" t="s">
        <v>9305</v>
      </c>
      <c r="AC368" s="48" t="s">
        <v>4764</v>
      </c>
      <c r="AD368" s="30"/>
      <c r="AE368" s="197"/>
      <c r="AF368" s="47"/>
    </row>
    <row r="369" spans="1:32" s="29" customFormat="1" ht="69.95" hidden="1" customHeight="1">
      <c r="A369" s="29" t="s">
        <v>4587</v>
      </c>
      <c r="B369" s="29" t="s">
        <v>3769</v>
      </c>
      <c r="C369" s="40">
        <v>42</v>
      </c>
      <c r="D369" s="40"/>
      <c r="E369" s="56" t="s">
        <v>8022</v>
      </c>
      <c r="F369" s="56" t="s">
        <v>8022</v>
      </c>
      <c r="G369" s="29" t="s">
        <v>1070</v>
      </c>
      <c r="J369" s="29">
        <f t="shared" si="22"/>
        <v>1</v>
      </c>
      <c r="K369" s="42">
        <v>362</v>
      </c>
      <c r="L369" s="43" t="s">
        <v>1071</v>
      </c>
      <c r="M369" s="44" t="s">
        <v>405</v>
      </c>
      <c r="N369" s="44" t="s">
        <v>426</v>
      </c>
      <c r="O369" s="44" t="str">
        <f t="shared" si="26"/>
        <v>PE-L1-3C4-06</v>
      </c>
      <c r="P369" s="45">
        <v>0.16</v>
      </c>
      <c r="Q369" s="44">
        <v>230</v>
      </c>
      <c r="R369" s="44" t="s">
        <v>49</v>
      </c>
      <c r="S369" s="44">
        <v>60</v>
      </c>
      <c r="T369" s="46" t="s">
        <v>4546</v>
      </c>
      <c r="U369" s="46" t="s">
        <v>4587</v>
      </c>
      <c r="V369" s="46" t="s">
        <v>4588</v>
      </c>
      <c r="W369" s="46" t="s">
        <v>4549</v>
      </c>
      <c r="X369" s="172" t="s">
        <v>9167</v>
      </c>
      <c r="Y369" s="46" t="s">
        <v>4765</v>
      </c>
      <c r="Z369" s="46" t="s">
        <v>4766</v>
      </c>
      <c r="AA369" s="46" t="s">
        <v>4549</v>
      </c>
      <c r="AB369" s="172" t="s">
        <v>9167</v>
      </c>
      <c r="AC369" s="48" t="s">
        <v>4767</v>
      </c>
      <c r="AD369" s="30"/>
      <c r="AE369" s="197"/>
      <c r="AF369" s="47"/>
    </row>
    <row r="370" spans="1:32" s="29" customFormat="1" ht="69.95" hidden="1" customHeight="1">
      <c r="A370" s="29" t="s">
        <v>4547</v>
      </c>
      <c r="B370" s="29" t="s">
        <v>3769</v>
      </c>
      <c r="C370" s="40">
        <v>37</v>
      </c>
      <c r="D370" s="40"/>
      <c r="E370" s="57" t="s">
        <v>121</v>
      </c>
      <c r="F370" s="57" t="s">
        <v>121</v>
      </c>
      <c r="G370" s="29" t="s">
        <v>1072</v>
      </c>
      <c r="J370" s="29">
        <f t="shared" si="22"/>
        <v>1</v>
      </c>
      <c r="K370" s="42">
        <v>363</v>
      </c>
      <c r="L370" s="43" t="s">
        <v>1073</v>
      </c>
      <c r="M370" s="44" t="s">
        <v>405</v>
      </c>
      <c r="N370" s="44" t="s">
        <v>895</v>
      </c>
      <c r="O370" s="44" t="str">
        <f t="shared" si="26"/>
        <v>PE-L1-4C95/50-18</v>
      </c>
      <c r="P370" s="45">
        <v>185</v>
      </c>
      <c r="Q370" s="44">
        <v>400</v>
      </c>
      <c r="R370" s="44" t="s">
        <v>49</v>
      </c>
      <c r="S370" s="44">
        <v>80</v>
      </c>
      <c r="T370" s="46" t="s">
        <v>4546</v>
      </c>
      <c r="U370" s="46" t="s">
        <v>4547</v>
      </c>
      <c r="V370" s="46" t="s">
        <v>4548</v>
      </c>
      <c r="W370" s="46" t="s">
        <v>4549</v>
      </c>
      <c r="X370" s="47" t="s">
        <v>9305</v>
      </c>
      <c r="Y370" s="46" t="s">
        <v>4768</v>
      </c>
      <c r="Z370" s="46" t="s">
        <v>4769</v>
      </c>
      <c r="AA370" s="46" t="s">
        <v>4549</v>
      </c>
      <c r="AB370" s="47" t="s">
        <v>9305</v>
      </c>
      <c r="AC370" s="48" t="s">
        <v>4770</v>
      </c>
      <c r="AD370" s="30"/>
      <c r="AE370" s="197"/>
      <c r="AF370" s="47"/>
    </row>
    <row r="371" spans="1:32" s="29" customFormat="1" ht="69.95" hidden="1" customHeight="1">
      <c r="A371" s="49" t="s">
        <v>4547</v>
      </c>
      <c r="B371" s="49" t="s">
        <v>3769</v>
      </c>
      <c r="C371" s="49">
        <v>38</v>
      </c>
      <c r="D371" s="49"/>
      <c r="E371" s="56" t="s">
        <v>121</v>
      </c>
      <c r="F371" s="57" t="s">
        <v>121</v>
      </c>
      <c r="J371" s="29">
        <f t="shared" si="22"/>
        <v>1</v>
      </c>
      <c r="K371" s="42">
        <v>364</v>
      </c>
      <c r="L371" s="43" t="s">
        <v>1074</v>
      </c>
      <c r="M371" s="43" t="s">
        <v>405</v>
      </c>
      <c r="N371" s="43" t="s">
        <v>895</v>
      </c>
      <c r="O371" s="44" t="str">
        <f t="shared" si="26"/>
        <v>PE-L1-4C95/50-18</v>
      </c>
      <c r="P371" s="51">
        <v>185</v>
      </c>
      <c r="Q371" s="43">
        <v>400</v>
      </c>
      <c r="R371" s="43" t="s">
        <v>49</v>
      </c>
      <c r="S371" s="43">
        <v>80</v>
      </c>
      <c r="T371" s="43" t="s">
        <v>4546</v>
      </c>
      <c r="U371" s="43" t="s">
        <v>4547</v>
      </c>
      <c r="V371" s="43" t="s">
        <v>4548</v>
      </c>
      <c r="W371" s="43" t="s">
        <v>4549</v>
      </c>
      <c r="X371" s="47" t="s">
        <v>9305</v>
      </c>
      <c r="Y371" s="43" t="s">
        <v>4768</v>
      </c>
      <c r="Z371" s="43" t="s">
        <v>4769</v>
      </c>
      <c r="AA371" s="43" t="s">
        <v>4549</v>
      </c>
      <c r="AB371" s="47" t="s">
        <v>9305</v>
      </c>
      <c r="AC371" s="48" t="s">
        <v>4771</v>
      </c>
      <c r="AD371" s="30"/>
      <c r="AE371" s="197"/>
      <c r="AF371" s="47"/>
    </row>
    <row r="372" spans="1:32" s="29" customFormat="1" ht="69.95" hidden="1" customHeight="1">
      <c r="A372" s="29" t="s">
        <v>4547</v>
      </c>
      <c r="B372" s="29" t="s">
        <v>3769</v>
      </c>
      <c r="C372" s="40">
        <v>39</v>
      </c>
      <c r="D372" s="173" t="s">
        <v>9131</v>
      </c>
      <c r="E372" s="57" t="s">
        <v>118</v>
      </c>
      <c r="F372" s="121" t="s">
        <v>9136</v>
      </c>
      <c r="G372" s="29" t="s">
        <v>1075</v>
      </c>
      <c r="J372" s="29">
        <f t="shared" si="22"/>
        <v>1</v>
      </c>
      <c r="K372" s="42">
        <v>365</v>
      </c>
      <c r="L372" s="43" t="s">
        <v>1076</v>
      </c>
      <c r="M372" s="44" t="s">
        <v>405</v>
      </c>
      <c r="N372" s="44" t="s">
        <v>426</v>
      </c>
      <c r="O372" s="121" t="str">
        <f>F372</f>
        <v>PE-L1-3C4-16</v>
      </c>
      <c r="P372" s="45">
        <v>0.16</v>
      </c>
      <c r="Q372" s="44">
        <v>230</v>
      </c>
      <c r="R372" s="44" t="s">
        <v>49</v>
      </c>
      <c r="S372" s="44">
        <v>80</v>
      </c>
      <c r="T372" s="46" t="s">
        <v>4546</v>
      </c>
      <c r="U372" s="46" t="s">
        <v>4547</v>
      </c>
      <c r="V372" s="46" t="s">
        <v>4548</v>
      </c>
      <c r="W372" s="46" t="s">
        <v>4549</v>
      </c>
      <c r="X372" s="172" t="s">
        <v>9167</v>
      </c>
      <c r="Y372" s="46" t="s">
        <v>4772</v>
      </c>
      <c r="Z372" s="46" t="s">
        <v>4773</v>
      </c>
      <c r="AA372" s="46" t="s">
        <v>4549</v>
      </c>
      <c r="AB372" s="172" t="s">
        <v>9167</v>
      </c>
      <c r="AC372" s="48" t="s">
        <v>4774</v>
      </c>
      <c r="AD372" s="30"/>
      <c r="AE372" s="197"/>
      <c r="AF372" s="47"/>
    </row>
    <row r="373" spans="1:32" s="29" customFormat="1" ht="69.95" hidden="1" customHeight="1">
      <c r="A373" s="29" t="s">
        <v>4775</v>
      </c>
      <c r="B373" s="29" t="s">
        <v>3769</v>
      </c>
      <c r="C373" s="40" t="s">
        <v>32</v>
      </c>
      <c r="D373" s="40"/>
      <c r="E373" s="58" t="s">
        <v>91</v>
      </c>
      <c r="F373" s="57" t="s">
        <v>91</v>
      </c>
      <c r="G373" s="29" t="s">
        <v>1077</v>
      </c>
      <c r="J373" s="29">
        <f t="shared" si="22"/>
        <v>1</v>
      </c>
      <c r="K373" s="42">
        <v>366</v>
      </c>
      <c r="L373" s="43" t="s">
        <v>1078</v>
      </c>
      <c r="M373" s="44" t="s">
        <v>405</v>
      </c>
      <c r="N373" s="44" t="s">
        <v>536</v>
      </c>
      <c r="O373" s="44" t="str">
        <f t="shared" ref="O373:O402" si="27">F373</f>
        <v>PE-L1-4C4-03</v>
      </c>
      <c r="P373" s="45">
        <v>1</v>
      </c>
      <c r="Q373" s="44">
        <v>400</v>
      </c>
      <c r="R373" s="44" t="s">
        <v>49</v>
      </c>
      <c r="S373" s="44">
        <v>50</v>
      </c>
      <c r="T373" s="46" t="s">
        <v>4546</v>
      </c>
      <c r="U373" s="46" t="s">
        <v>4775</v>
      </c>
      <c r="V373" s="46" t="s">
        <v>4776</v>
      </c>
      <c r="W373" s="46" t="s">
        <v>4549</v>
      </c>
      <c r="X373" s="47" t="s">
        <v>9305</v>
      </c>
      <c r="Y373" s="46" t="s">
        <v>4777</v>
      </c>
      <c r="Z373" s="46" t="s">
        <v>4778</v>
      </c>
      <c r="AA373" s="46" t="s">
        <v>4549</v>
      </c>
      <c r="AB373" s="47" t="s">
        <v>9305</v>
      </c>
      <c r="AC373" s="48" t="s">
        <v>4779</v>
      </c>
      <c r="AD373" s="30"/>
      <c r="AE373" s="197"/>
      <c r="AF373" s="47"/>
    </row>
    <row r="374" spans="1:32" s="29" customFormat="1" ht="69.95" hidden="1" customHeight="1">
      <c r="A374" s="29" t="s">
        <v>4775</v>
      </c>
      <c r="B374" s="29" t="s">
        <v>3769</v>
      </c>
      <c r="C374" s="40" t="s">
        <v>36</v>
      </c>
      <c r="D374" s="40"/>
      <c r="E374" s="57" t="s">
        <v>91</v>
      </c>
      <c r="F374" s="57" t="s">
        <v>91</v>
      </c>
      <c r="G374" s="29" t="s">
        <v>1079</v>
      </c>
      <c r="J374" s="29">
        <f t="shared" si="22"/>
        <v>1</v>
      </c>
      <c r="K374" s="42">
        <v>367</v>
      </c>
      <c r="L374" s="43" t="s">
        <v>1080</v>
      </c>
      <c r="M374" s="44" t="s">
        <v>405</v>
      </c>
      <c r="N374" s="44" t="s">
        <v>536</v>
      </c>
      <c r="O374" s="44" t="str">
        <f t="shared" si="27"/>
        <v>PE-L1-4C4-03</v>
      </c>
      <c r="P374" s="45">
        <v>1</v>
      </c>
      <c r="Q374" s="44">
        <v>400</v>
      </c>
      <c r="R374" s="44" t="s">
        <v>49</v>
      </c>
      <c r="S374" s="44">
        <v>70</v>
      </c>
      <c r="T374" s="46" t="s">
        <v>4546</v>
      </c>
      <c r="U374" s="46" t="s">
        <v>4775</v>
      </c>
      <c r="V374" s="46" t="s">
        <v>4776</v>
      </c>
      <c r="W374" s="46" t="s">
        <v>4549</v>
      </c>
      <c r="X374" s="47" t="s">
        <v>9305</v>
      </c>
      <c r="Y374" s="46" t="s">
        <v>4780</v>
      </c>
      <c r="Z374" s="46" t="s">
        <v>4781</v>
      </c>
      <c r="AA374" s="46" t="s">
        <v>4549</v>
      </c>
      <c r="AB374" s="47" t="s">
        <v>9305</v>
      </c>
      <c r="AC374" s="48" t="s">
        <v>4782</v>
      </c>
      <c r="AD374" s="30"/>
      <c r="AE374" s="197"/>
      <c r="AF374" s="47"/>
    </row>
    <row r="375" spans="1:32" s="29" customFormat="1" ht="69.95" hidden="1" customHeight="1">
      <c r="A375" s="29" t="s">
        <v>4783</v>
      </c>
      <c r="B375" s="29" t="s">
        <v>3769</v>
      </c>
      <c r="C375" s="40" t="s">
        <v>32</v>
      </c>
      <c r="D375" s="40"/>
      <c r="E375" s="57" t="s">
        <v>91</v>
      </c>
      <c r="F375" s="57" t="s">
        <v>91</v>
      </c>
      <c r="G375" s="29" t="s">
        <v>1081</v>
      </c>
      <c r="J375" s="29">
        <f t="shared" si="22"/>
        <v>1</v>
      </c>
      <c r="K375" s="42">
        <v>368</v>
      </c>
      <c r="L375" s="43" t="s">
        <v>1082</v>
      </c>
      <c r="M375" s="44" t="s">
        <v>405</v>
      </c>
      <c r="N375" s="44" t="s">
        <v>536</v>
      </c>
      <c r="O375" s="44" t="str">
        <f t="shared" si="27"/>
        <v>PE-L1-4C4-03</v>
      </c>
      <c r="P375" s="45">
        <v>1</v>
      </c>
      <c r="Q375" s="44">
        <v>400</v>
      </c>
      <c r="R375" s="44" t="s">
        <v>49</v>
      </c>
      <c r="S375" s="44">
        <v>90</v>
      </c>
      <c r="T375" s="46" t="s">
        <v>4546</v>
      </c>
      <c r="U375" s="46" t="s">
        <v>4783</v>
      </c>
      <c r="V375" s="46" t="s">
        <v>4784</v>
      </c>
      <c r="W375" s="46" t="s">
        <v>4549</v>
      </c>
      <c r="X375" s="47" t="s">
        <v>9305</v>
      </c>
      <c r="Y375" s="46" t="s">
        <v>4785</v>
      </c>
      <c r="Z375" s="46" t="s">
        <v>4786</v>
      </c>
      <c r="AA375" s="46" t="s">
        <v>4549</v>
      </c>
      <c r="AB375" s="47" t="s">
        <v>9305</v>
      </c>
      <c r="AC375" s="48" t="s">
        <v>4787</v>
      </c>
      <c r="AD375" s="30"/>
      <c r="AE375" s="197"/>
      <c r="AF375" s="47"/>
    </row>
    <row r="376" spans="1:32" s="29" customFormat="1" ht="69.95" hidden="1" customHeight="1">
      <c r="A376" s="29" t="s">
        <v>4775</v>
      </c>
      <c r="B376" s="29" t="s">
        <v>3769</v>
      </c>
      <c r="C376" s="40" t="s">
        <v>38</v>
      </c>
      <c r="D376" s="40"/>
      <c r="E376" s="57" t="s">
        <v>91</v>
      </c>
      <c r="F376" s="57" t="s">
        <v>91</v>
      </c>
      <c r="G376" s="29" t="s">
        <v>1083</v>
      </c>
      <c r="J376" s="29">
        <f t="shared" si="22"/>
        <v>1</v>
      </c>
      <c r="K376" s="42">
        <v>369</v>
      </c>
      <c r="L376" s="43" t="s">
        <v>1084</v>
      </c>
      <c r="M376" s="44" t="s">
        <v>405</v>
      </c>
      <c r="N376" s="44" t="s">
        <v>536</v>
      </c>
      <c r="O376" s="44" t="str">
        <f t="shared" si="27"/>
        <v>PE-L1-4C4-03</v>
      </c>
      <c r="P376" s="45">
        <v>0.3</v>
      </c>
      <c r="Q376" s="44">
        <v>400</v>
      </c>
      <c r="R376" s="44" t="s">
        <v>49</v>
      </c>
      <c r="S376" s="44">
        <v>50</v>
      </c>
      <c r="T376" s="46" t="s">
        <v>4546</v>
      </c>
      <c r="U376" s="46" t="s">
        <v>4775</v>
      </c>
      <c r="V376" s="46" t="s">
        <v>4776</v>
      </c>
      <c r="W376" s="46" t="s">
        <v>4549</v>
      </c>
      <c r="X376" s="47" t="s">
        <v>9305</v>
      </c>
      <c r="Y376" s="46" t="s">
        <v>4788</v>
      </c>
      <c r="Z376" s="46" t="s">
        <v>4789</v>
      </c>
      <c r="AA376" s="46" t="s">
        <v>4549</v>
      </c>
      <c r="AB376" s="47" t="s">
        <v>9305</v>
      </c>
      <c r="AC376" s="48" t="s">
        <v>4790</v>
      </c>
      <c r="AD376" s="30"/>
      <c r="AE376" s="197"/>
      <c r="AF376" s="47"/>
    </row>
    <row r="377" spans="1:32" s="29" customFormat="1" ht="69.95" hidden="1" customHeight="1">
      <c r="A377" s="29" t="s">
        <v>4775</v>
      </c>
      <c r="B377" s="29" t="s">
        <v>3769</v>
      </c>
      <c r="C377" s="40" t="s">
        <v>40</v>
      </c>
      <c r="D377" s="40"/>
      <c r="E377" s="57" t="s">
        <v>91</v>
      </c>
      <c r="F377" s="57" t="s">
        <v>91</v>
      </c>
      <c r="G377" s="29" t="s">
        <v>1085</v>
      </c>
      <c r="J377" s="29">
        <f t="shared" si="22"/>
        <v>1</v>
      </c>
      <c r="K377" s="42">
        <v>370</v>
      </c>
      <c r="L377" s="43" t="s">
        <v>1086</v>
      </c>
      <c r="M377" s="44" t="s">
        <v>405</v>
      </c>
      <c r="N377" s="44" t="s">
        <v>536</v>
      </c>
      <c r="O377" s="44" t="str">
        <f t="shared" si="27"/>
        <v>PE-L1-4C4-03</v>
      </c>
      <c r="P377" s="45">
        <v>0.3</v>
      </c>
      <c r="Q377" s="44">
        <v>400</v>
      </c>
      <c r="R377" s="44" t="s">
        <v>49</v>
      </c>
      <c r="S377" s="44">
        <v>70</v>
      </c>
      <c r="T377" s="46" t="s">
        <v>4546</v>
      </c>
      <c r="U377" s="46" t="s">
        <v>4775</v>
      </c>
      <c r="V377" s="46" t="s">
        <v>4776</v>
      </c>
      <c r="W377" s="46" t="s">
        <v>4549</v>
      </c>
      <c r="X377" s="47" t="s">
        <v>9305</v>
      </c>
      <c r="Y377" s="46" t="s">
        <v>4791</v>
      </c>
      <c r="Z377" s="46" t="s">
        <v>4792</v>
      </c>
      <c r="AA377" s="46" t="s">
        <v>4549</v>
      </c>
      <c r="AB377" s="47" t="s">
        <v>9305</v>
      </c>
      <c r="AC377" s="48" t="s">
        <v>4793</v>
      </c>
      <c r="AD377" s="30"/>
      <c r="AE377" s="197"/>
      <c r="AF377" s="47"/>
    </row>
    <row r="378" spans="1:32" s="29" customFormat="1" ht="69.95" hidden="1" customHeight="1">
      <c r="A378" s="29" t="s">
        <v>4783</v>
      </c>
      <c r="B378" s="29" t="s">
        <v>3769</v>
      </c>
      <c r="C378" s="40" t="s">
        <v>36</v>
      </c>
      <c r="D378" s="40"/>
      <c r="E378" s="57" t="s">
        <v>91</v>
      </c>
      <c r="F378" s="57" t="s">
        <v>91</v>
      </c>
      <c r="G378" s="29" t="s">
        <v>1087</v>
      </c>
      <c r="J378" s="29">
        <f t="shared" si="22"/>
        <v>1</v>
      </c>
      <c r="K378" s="42">
        <v>371</v>
      </c>
      <c r="L378" s="43" t="s">
        <v>1088</v>
      </c>
      <c r="M378" s="44" t="s">
        <v>405</v>
      </c>
      <c r="N378" s="44" t="s">
        <v>536</v>
      </c>
      <c r="O378" s="44" t="str">
        <f t="shared" si="27"/>
        <v>PE-L1-4C4-03</v>
      </c>
      <c r="P378" s="45">
        <v>0.3</v>
      </c>
      <c r="Q378" s="44">
        <v>400</v>
      </c>
      <c r="R378" s="44" t="s">
        <v>49</v>
      </c>
      <c r="S378" s="44">
        <v>90</v>
      </c>
      <c r="T378" s="46" t="s">
        <v>4546</v>
      </c>
      <c r="U378" s="46" t="s">
        <v>4783</v>
      </c>
      <c r="V378" s="46" t="s">
        <v>4784</v>
      </c>
      <c r="W378" s="46" t="s">
        <v>4549</v>
      </c>
      <c r="X378" s="47" t="s">
        <v>9305</v>
      </c>
      <c r="Y378" s="46" t="s">
        <v>4794</v>
      </c>
      <c r="Z378" s="46" t="s">
        <v>4795</v>
      </c>
      <c r="AA378" s="46" t="s">
        <v>4549</v>
      </c>
      <c r="AB378" s="47" t="s">
        <v>9305</v>
      </c>
      <c r="AC378" s="48" t="s">
        <v>4796</v>
      </c>
      <c r="AD378" s="30"/>
      <c r="AE378" s="197"/>
      <c r="AF378" s="47"/>
    </row>
    <row r="379" spans="1:32" s="29" customFormat="1" ht="69.95" hidden="1" customHeight="1">
      <c r="A379" s="29" t="s">
        <v>4407</v>
      </c>
      <c r="B379" s="29" t="s">
        <v>3769</v>
      </c>
      <c r="C379" s="40" t="s">
        <v>43</v>
      </c>
      <c r="D379" s="40"/>
      <c r="E379" s="57" t="s">
        <v>144</v>
      </c>
      <c r="F379" s="57" t="s">
        <v>144</v>
      </c>
      <c r="G379" s="29" t="s">
        <v>1089</v>
      </c>
      <c r="J379" s="29">
        <f t="shared" si="22"/>
        <v>1</v>
      </c>
      <c r="K379" s="42">
        <v>372</v>
      </c>
      <c r="L379" s="43" t="s">
        <v>1090</v>
      </c>
      <c r="M379" s="44" t="s">
        <v>405</v>
      </c>
      <c r="N379" s="44" t="s">
        <v>8633</v>
      </c>
      <c r="O379" s="44" t="str">
        <f t="shared" si="27"/>
        <v>PE-L1-4C35/25-01</v>
      </c>
      <c r="P379" s="45">
        <v>18.5</v>
      </c>
      <c r="Q379" s="44">
        <v>400</v>
      </c>
      <c r="R379" s="44" t="s">
        <v>49</v>
      </c>
      <c r="S379" s="44">
        <v>380</v>
      </c>
      <c r="T379" s="46" t="s">
        <v>4546</v>
      </c>
      <c r="U379" s="46" t="s">
        <v>4407</v>
      </c>
      <c r="V379" s="46" t="s">
        <v>4408</v>
      </c>
      <c r="W379" s="46" t="s">
        <v>335</v>
      </c>
      <c r="X379" s="47" t="s">
        <v>9305</v>
      </c>
      <c r="Y379" s="46" t="s">
        <v>4797</v>
      </c>
      <c r="Z379" s="46" t="s">
        <v>4798</v>
      </c>
      <c r="AA379" s="46" t="s">
        <v>4799</v>
      </c>
      <c r="AB379" s="47" t="s">
        <v>9305</v>
      </c>
      <c r="AC379" s="48" t="s">
        <v>4800</v>
      </c>
      <c r="AD379" s="30"/>
      <c r="AE379" s="197"/>
      <c r="AF379" s="47"/>
    </row>
    <row r="380" spans="1:32" s="29" customFormat="1" ht="69.95" hidden="1" customHeight="1">
      <c r="A380" s="29" t="s">
        <v>4412</v>
      </c>
      <c r="B380" s="29" t="s">
        <v>3769</v>
      </c>
      <c r="C380" s="40" t="s">
        <v>40</v>
      </c>
      <c r="D380" s="40"/>
      <c r="E380" s="57" t="s">
        <v>144</v>
      </c>
      <c r="F380" s="57" t="s">
        <v>144</v>
      </c>
      <c r="G380" s="29" t="s">
        <v>1092</v>
      </c>
      <c r="J380" s="29">
        <f t="shared" si="22"/>
        <v>1</v>
      </c>
      <c r="K380" s="42">
        <v>373</v>
      </c>
      <c r="L380" s="43" t="s">
        <v>1093</v>
      </c>
      <c r="M380" s="44" t="s">
        <v>405</v>
      </c>
      <c r="N380" s="44" t="s">
        <v>1091</v>
      </c>
      <c r="O380" s="44" t="str">
        <f t="shared" si="27"/>
        <v>PE-L1-4C35/25-01</v>
      </c>
      <c r="P380" s="45">
        <v>18.5</v>
      </c>
      <c r="Q380" s="44">
        <v>400</v>
      </c>
      <c r="R380" s="44" t="s">
        <v>49</v>
      </c>
      <c r="S380" s="44">
        <v>380</v>
      </c>
      <c r="T380" s="46" t="s">
        <v>4546</v>
      </c>
      <c r="U380" s="46" t="s">
        <v>4412</v>
      </c>
      <c r="V380" s="46" t="s">
        <v>4413</v>
      </c>
      <c r="W380" s="46" t="s">
        <v>335</v>
      </c>
      <c r="X380" s="47" t="s">
        <v>9305</v>
      </c>
      <c r="Y380" s="46" t="s">
        <v>4801</v>
      </c>
      <c r="Z380" s="46" t="s">
        <v>4802</v>
      </c>
      <c r="AA380" s="46" t="s">
        <v>4799</v>
      </c>
      <c r="AB380" s="47" t="s">
        <v>9305</v>
      </c>
      <c r="AC380" s="48" t="s">
        <v>4803</v>
      </c>
      <c r="AD380" s="30"/>
      <c r="AE380" s="197"/>
      <c r="AF380" s="47"/>
    </row>
    <row r="381" spans="1:32" s="29" customFormat="1" ht="69.95" hidden="1" customHeight="1">
      <c r="A381" s="29" t="s">
        <v>4775</v>
      </c>
      <c r="B381" s="29" t="s">
        <v>3769</v>
      </c>
      <c r="C381" s="40" t="s">
        <v>41</v>
      </c>
      <c r="D381" s="40"/>
      <c r="E381" s="56" t="s">
        <v>69</v>
      </c>
      <c r="F381" s="56" t="s">
        <v>69</v>
      </c>
      <c r="G381" s="29" t="s">
        <v>1094</v>
      </c>
      <c r="J381" s="29">
        <f t="shared" si="22"/>
        <v>1</v>
      </c>
      <c r="K381" s="42">
        <v>374</v>
      </c>
      <c r="L381" s="43" t="s">
        <v>1095</v>
      </c>
      <c r="M381" s="44" t="s">
        <v>405</v>
      </c>
      <c r="N381" s="44" t="s">
        <v>546</v>
      </c>
      <c r="O381" s="44" t="str">
        <f t="shared" si="27"/>
        <v>PE-L1-4C6-01</v>
      </c>
      <c r="P381" s="45">
        <v>5</v>
      </c>
      <c r="Q381" s="44">
        <v>400</v>
      </c>
      <c r="R381" s="44" t="s">
        <v>49</v>
      </c>
      <c r="S381" s="44">
        <v>300</v>
      </c>
      <c r="T381" s="46" t="s">
        <v>4546</v>
      </c>
      <c r="U381" s="46" t="s">
        <v>4775</v>
      </c>
      <c r="V381" s="46" t="s">
        <v>4776</v>
      </c>
      <c r="W381" s="46" t="s">
        <v>4549</v>
      </c>
      <c r="X381" s="47" t="s">
        <v>9305</v>
      </c>
      <c r="Y381" s="46" t="s">
        <v>4804</v>
      </c>
      <c r="Z381" s="46" t="s">
        <v>4805</v>
      </c>
      <c r="AA381" s="46" t="s">
        <v>4552</v>
      </c>
      <c r="AB381" s="47" t="s">
        <v>9305</v>
      </c>
      <c r="AC381" s="48" t="s">
        <v>4806</v>
      </c>
      <c r="AD381" s="30"/>
      <c r="AE381" s="197"/>
      <c r="AF381" s="47"/>
    </row>
    <row r="382" spans="1:32" s="29" customFormat="1" ht="69.95" hidden="1" customHeight="1">
      <c r="A382" s="29" t="s">
        <v>4783</v>
      </c>
      <c r="B382" s="29" t="s">
        <v>3769</v>
      </c>
      <c r="C382" s="40" t="s">
        <v>38</v>
      </c>
      <c r="D382" s="40"/>
      <c r="E382" s="57" t="s">
        <v>123</v>
      </c>
      <c r="F382" s="57" t="s">
        <v>123</v>
      </c>
      <c r="G382" s="29" t="s">
        <v>1096</v>
      </c>
      <c r="J382" s="29">
        <f t="shared" si="22"/>
        <v>1</v>
      </c>
      <c r="K382" s="42">
        <v>375</v>
      </c>
      <c r="L382" s="43" t="s">
        <v>1097</v>
      </c>
      <c r="M382" s="44" t="s">
        <v>405</v>
      </c>
      <c r="N382" s="44" t="s">
        <v>8642</v>
      </c>
      <c r="O382" s="44" t="str">
        <f t="shared" si="27"/>
        <v>PE-L1-5C25/16-01</v>
      </c>
      <c r="P382" s="45">
        <v>15</v>
      </c>
      <c r="Q382" s="44">
        <v>400</v>
      </c>
      <c r="R382" s="44" t="s">
        <v>49</v>
      </c>
      <c r="S382" s="44">
        <v>220</v>
      </c>
      <c r="T382" s="46" t="s">
        <v>4546</v>
      </c>
      <c r="U382" s="46" t="s">
        <v>4783</v>
      </c>
      <c r="V382" s="46" t="s">
        <v>4784</v>
      </c>
      <c r="W382" s="46" t="s">
        <v>4549</v>
      </c>
      <c r="X382" s="47" t="s">
        <v>9310</v>
      </c>
      <c r="Y382" s="46" t="s">
        <v>4807</v>
      </c>
      <c r="Z382" s="46" t="s">
        <v>4808</v>
      </c>
      <c r="AA382" s="46" t="s">
        <v>4552</v>
      </c>
      <c r="AB382" s="47" t="s">
        <v>9310</v>
      </c>
      <c r="AC382" s="48" t="s">
        <v>4809</v>
      </c>
      <c r="AD382" s="30"/>
      <c r="AE382" s="197"/>
      <c r="AF382" s="47"/>
    </row>
    <row r="383" spans="1:32" s="29" customFormat="1" ht="69.95" hidden="1" customHeight="1">
      <c r="A383" s="29" t="s">
        <v>4775</v>
      </c>
      <c r="B383" s="29" t="s">
        <v>3769</v>
      </c>
      <c r="C383" s="40" t="s">
        <v>42</v>
      </c>
      <c r="D383" s="40"/>
      <c r="E383" s="58" t="s">
        <v>124</v>
      </c>
      <c r="F383" s="58" t="s">
        <v>124</v>
      </c>
      <c r="G383" s="29" t="s">
        <v>1099</v>
      </c>
      <c r="J383" s="29">
        <f t="shared" si="22"/>
        <v>1</v>
      </c>
      <c r="K383" s="42">
        <v>376</v>
      </c>
      <c r="L383" s="43" t="s">
        <v>1100</v>
      </c>
      <c r="M383" s="44" t="s">
        <v>405</v>
      </c>
      <c r="N383" s="44" t="s">
        <v>8643</v>
      </c>
      <c r="O383" s="44" t="str">
        <f t="shared" si="27"/>
        <v>PE-L1-5C50/25-01</v>
      </c>
      <c r="P383" s="45">
        <v>15</v>
      </c>
      <c r="Q383" s="44">
        <v>400</v>
      </c>
      <c r="R383" s="44" t="s">
        <v>49</v>
      </c>
      <c r="S383" s="44">
        <v>240</v>
      </c>
      <c r="T383" s="46" t="s">
        <v>4546</v>
      </c>
      <c r="U383" s="46" t="s">
        <v>4775</v>
      </c>
      <c r="V383" s="46" t="s">
        <v>4776</v>
      </c>
      <c r="W383" s="46" t="s">
        <v>4549</v>
      </c>
      <c r="X383" s="47" t="s">
        <v>9310</v>
      </c>
      <c r="Y383" s="46" t="s">
        <v>4810</v>
      </c>
      <c r="Z383" s="46" t="s">
        <v>4811</v>
      </c>
      <c r="AA383" s="46" t="s">
        <v>4552</v>
      </c>
      <c r="AB383" s="47" t="s">
        <v>9310</v>
      </c>
      <c r="AC383" s="48" t="s">
        <v>4812</v>
      </c>
      <c r="AD383" s="30"/>
      <c r="AE383" s="197"/>
      <c r="AF383" s="47"/>
    </row>
    <row r="384" spans="1:32" s="29" customFormat="1" ht="69.95" hidden="1" customHeight="1">
      <c r="A384" s="29" t="s">
        <v>4775</v>
      </c>
      <c r="B384" s="29" t="s">
        <v>3769</v>
      </c>
      <c r="C384" s="40" t="s">
        <v>43</v>
      </c>
      <c r="D384" s="40"/>
      <c r="E384" s="58" t="s">
        <v>8646</v>
      </c>
      <c r="F384" s="58" t="s">
        <v>8646</v>
      </c>
      <c r="G384" s="29" t="s">
        <v>1102</v>
      </c>
      <c r="J384" s="29">
        <f t="shared" si="22"/>
        <v>1</v>
      </c>
      <c r="K384" s="42">
        <v>377</v>
      </c>
      <c r="L384" s="43" t="s">
        <v>1103</v>
      </c>
      <c r="M384" s="44" t="s">
        <v>405</v>
      </c>
      <c r="N384" s="44" t="s">
        <v>673</v>
      </c>
      <c r="O384" s="44" t="str">
        <f t="shared" si="27"/>
        <v>PE-L1-5C95/50-05</v>
      </c>
      <c r="P384" s="45">
        <v>37</v>
      </c>
      <c r="Q384" s="44">
        <v>400</v>
      </c>
      <c r="R384" s="44" t="s">
        <v>49</v>
      </c>
      <c r="S384" s="44">
        <v>250</v>
      </c>
      <c r="T384" s="46" t="s">
        <v>4546</v>
      </c>
      <c r="U384" s="46" t="s">
        <v>4775</v>
      </c>
      <c r="V384" s="46" t="s">
        <v>4776</v>
      </c>
      <c r="W384" s="46" t="s">
        <v>4549</v>
      </c>
      <c r="X384" s="47" t="s">
        <v>9310</v>
      </c>
      <c r="Y384" s="46" t="s">
        <v>4813</v>
      </c>
      <c r="Z384" s="46" t="s">
        <v>4814</v>
      </c>
      <c r="AA384" s="46" t="s">
        <v>4552</v>
      </c>
      <c r="AB384" s="47" t="s">
        <v>9310</v>
      </c>
      <c r="AC384" s="48" t="s">
        <v>4815</v>
      </c>
      <c r="AD384" s="30"/>
      <c r="AE384" s="197"/>
      <c r="AF384" s="47"/>
    </row>
    <row r="385" spans="1:32" s="29" customFormat="1" ht="69.95" hidden="1" customHeight="1">
      <c r="A385" s="29" t="s">
        <v>4775</v>
      </c>
      <c r="B385" s="29" t="s">
        <v>3769</v>
      </c>
      <c r="C385" s="40" t="s">
        <v>73</v>
      </c>
      <c r="D385" s="40"/>
      <c r="E385" s="57" t="s">
        <v>91</v>
      </c>
      <c r="F385" s="57" t="s">
        <v>91</v>
      </c>
      <c r="G385" s="29" t="s">
        <v>1104</v>
      </c>
      <c r="J385" s="29">
        <f t="shared" si="22"/>
        <v>1</v>
      </c>
      <c r="K385" s="42">
        <v>378</v>
      </c>
      <c r="L385" s="43" t="s">
        <v>1105</v>
      </c>
      <c r="M385" s="44" t="s">
        <v>405</v>
      </c>
      <c r="N385" s="44" t="s">
        <v>536</v>
      </c>
      <c r="O385" s="44" t="str">
        <f t="shared" si="27"/>
        <v>PE-L1-4C4-03</v>
      </c>
      <c r="P385" s="45">
        <v>1</v>
      </c>
      <c r="Q385" s="44">
        <v>400</v>
      </c>
      <c r="R385" s="44" t="s">
        <v>49</v>
      </c>
      <c r="S385" s="44">
        <v>330</v>
      </c>
      <c r="T385" s="46" t="s">
        <v>4546</v>
      </c>
      <c r="U385" s="46" t="s">
        <v>4775</v>
      </c>
      <c r="V385" s="46" t="s">
        <v>4776</v>
      </c>
      <c r="W385" s="46" t="s">
        <v>4549</v>
      </c>
      <c r="X385" s="47" t="s">
        <v>9305</v>
      </c>
      <c r="Y385" s="46" t="s">
        <v>4816</v>
      </c>
      <c r="Z385" s="46" t="s">
        <v>4817</v>
      </c>
      <c r="AA385" s="46" t="s">
        <v>4552</v>
      </c>
      <c r="AB385" s="47" t="s">
        <v>9305</v>
      </c>
      <c r="AC385" s="48" t="s">
        <v>4818</v>
      </c>
      <c r="AD385" s="30"/>
      <c r="AE385" s="197"/>
      <c r="AF385" s="47"/>
    </row>
    <row r="386" spans="1:32" s="29" customFormat="1" ht="69.95" hidden="1" customHeight="1">
      <c r="A386" s="29" t="s">
        <v>4775</v>
      </c>
      <c r="B386" s="29" t="s">
        <v>3769</v>
      </c>
      <c r="C386" s="40" t="s">
        <v>75</v>
      </c>
      <c r="D386" s="40"/>
      <c r="E386" s="57" t="s">
        <v>91</v>
      </c>
      <c r="F386" s="57" t="s">
        <v>91</v>
      </c>
      <c r="G386" s="29" t="s">
        <v>1106</v>
      </c>
      <c r="J386" s="29">
        <f t="shared" si="22"/>
        <v>1</v>
      </c>
      <c r="K386" s="42">
        <v>379</v>
      </c>
      <c r="L386" s="43" t="s">
        <v>1107</v>
      </c>
      <c r="M386" s="44" t="s">
        <v>405</v>
      </c>
      <c r="N386" s="44" t="s">
        <v>536</v>
      </c>
      <c r="O386" s="44" t="str">
        <f t="shared" si="27"/>
        <v>PE-L1-4C4-03</v>
      </c>
      <c r="P386" s="45">
        <v>1</v>
      </c>
      <c r="Q386" s="44">
        <v>400</v>
      </c>
      <c r="R386" s="44" t="s">
        <v>49</v>
      </c>
      <c r="S386" s="44">
        <v>330</v>
      </c>
      <c r="T386" s="46" t="s">
        <v>4546</v>
      </c>
      <c r="U386" s="46" t="s">
        <v>4775</v>
      </c>
      <c r="V386" s="46" t="s">
        <v>4776</v>
      </c>
      <c r="W386" s="46" t="s">
        <v>4549</v>
      </c>
      <c r="X386" s="47" t="s">
        <v>9305</v>
      </c>
      <c r="Y386" s="46" t="s">
        <v>4819</v>
      </c>
      <c r="Z386" s="46" t="s">
        <v>4820</v>
      </c>
      <c r="AA386" s="46" t="s">
        <v>4552</v>
      </c>
      <c r="AB386" s="47" t="s">
        <v>9305</v>
      </c>
      <c r="AC386" s="48" t="s">
        <v>4821</v>
      </c>
      <c r="AD386" s="30"/>
      <c r="AE386" s="197"/>
      <c r="AF386" s="47"/>
    </row>
    <row r="387" spans="1:32" s="29" customFormat="1" ht="69.95" hidden="1" customHeight="1">
      <c r="A387" s="29" t="s">
        <v>4783</v>
      </c>
      <c r="B387" s="29" t="s">
        <v>3769</v>
      </c>
      <c r="C387" s="40" t="s">
        <v>40</v>
      </c>
      <c r="D387" s="40"/>
      <c r="E387" s="57" t="s">
        <v>91</v>
      </c>
      <c r="F387" s="57" t="s">
        <v>91</v>
      </c>
      <c r="G387" s="29" t="s">
        <v>1108</v>
      </c>
      <c r="J387" s="29">
        <f t="shared" si="22"/>
        <v>1</v>
      </c>
      <c r="K387" s="42">
        <v>380</v>
      </c>
      <c r="L387" s="43" t="s">
        <v>1109</v>
      </c>
      <c r="M387" s="44" t="s">
        <v>405</v>
      </c>
      <c r="N387" s="44" t="s">
        <v>536</v>
      </c>
      <c r="O387" s="44" t="str">
        <f t="shared" si="27"/>
        <v>PE-L1-4C4-03</v>
      </c>
      <c r="P387" s="45">
        <v>1</v>
      </c>
      <c r="Q387" s="44">
        <v>400</v>
      </c>
      <c r="R387" s="44" t="s">
        <v>49</v>
      </c>
      <c r="S387" s="44">
        <v>80</v>
      </c>
      <c r="T387" s="46" t="s">
        <v>4546</v>
      </c>
      <c r="U387" s="46" t="s">
        <v>4783</v>
      </c>
      <c r="V387" s="46" t="s">
        <v>4784</v>
      </c>
      <c r="W387" s="46" t="s">
        <v>4549</v>
      </c>
      <c r="X387" s="47" t="s">
        <v>9305</v>
      </c>
      <c r="Y387" s="46" t="s">
        <v>4822</v>
      </c>
      <c r="Z387" s="46" t="s">
        <v>4823</v>
      </c>
      <c r="AA387" s="46" t="s">
        <v>4549</v>
      </c>
      <c r="AB387" s="47" t="s">
        <v>9305</v>
      </c>
      <c r="AC387" s="48" t="s">
        <v>4824</v>
      </c>
      <c r="AD387" s="30"/>
      <c r="AE387" s="197"/>
      <c r="AF387" s="47"/>
    </row>
    <row r="388" spans="1:32" s="29" customFormat="1" ht="69.95" hidden="1" customHeight="1">
      <c r="A388" s="29" t="s">
        <v>4783</v>
      </c>
      <c r="B388" s="29" t="s">
        <v>3769</v>
      </c>
      <c r="C388" s="40" t="s">
        <v>41</v>
      </c>
      <c r="D388" s="40"/>
      <c r="E388" s="57" t="s">
        <v>91</v>
      </c>
      <c r="F388" s="57" t="s">
        <v>91</v>
      </c>
      <c r="G388" s="29" t="s">
        <v>1110</v>
      </c>
      <c r="J388" s="29">
        <f t="shared" si="22"/>
        <v>1</v>
      </c>
      <c r="K388" s="42">
        <v>381</v>
      </c>
      <c r="L388" s="43" t="s">
        <v>1111</v>
      </c>
      <c r="M388" s="44" t="s">
        <v>405</v>
      </c>
      <c r="N388" s="44" t="s">
        <v>536</v>
      </c>
      <c r="O388" s="44" t="str">
        <f t="shared" si="27"/>
        <v>PE-L1-4C4-03</v>
      </c>
      <c r="P388" s="45">
        <v>1</v>
      </c>
      <c r="Q388" s="44">
        <v>400</v>
      </c>
      <c r="R388" s="44" t="s">
        <v>49</v>
      </c>
      <c r="S388" s="44">
        <v>70</v>
      </c>
      <c r="T388" s="46" t="s">
        <v>4546</v>
      </c>
      <c r="U388" s="46" t="s">
        <v>4783</v>
      </c>
      <c r="V388" s="46" t="s">
        <v>4784</v>
      </c>
      <c r="W388" s="46" t="s">
        <v>4549</v>
      </c>
      <c r="X388" s="47" t="s">
        <v>9305</v>
      </c>
      <c r="Y388" s="46" t="s">
        <v>4825</v>
      </c>
      <c r="Z388" s="46" t="s">
        <v>4826</v>
      </c>
      <c r="AA388" s="46" t="s">
        <v>4549</v>
      </c>
      <c r="AB388" s="47" t="s">
        <v>9305</v>
      </c>
      <c r="AC388" s="48" t="s">
        <v>4827</v>
      </c>
      <c r="AD388" s="30"/>
      <c r="AE388" s="197"/>
      <c r="AF388" s="47"/>
    </row>
    <row r="389" spans="1:32" s="29" customFormat="1" ht="69.95" hidden="1" customHeight="1">
      <c r="A389" s="29" t="s">
        <v>4783</v>
      </c>
      <c r="B389" s="29" t="s">
        <v>3769</v>
      </c>
      <c r="C389" s="40" t="s">
        <v>42</v>
      </c>
      <c r="D389" s="40"/>
      <c r="E389" s="57" t="s">
        <v>91</v>
      </c>
      <c r="F389" s="57" t="s">
        <v>91</v>
      </c>
      <c r="G389" s="29" t="s">
        <v>1112</v>
      </c>
      <c r="J389" s="29">
        <f t="shared" si="22"/>
        <v>1</v>
      </c>
      <c r="K389" s="42">
        <v>382</v>
      </c>
      <c r="L389" s="43" t="s">
        <v>1113</v>
      </c>
      <c r="M389" s="44" t="s">
        <v>405</v>
      </c>
      <c r="N389" s="44" t="s">
        <v>536</v>
      </c>
      <c r="O389" s="44" t="str">
        <f t="shared" si="27"/>
        <v>PE-L1-4C4-03</v>
      </c>
      <c r="P389" s="45">
        <v>1</v>
      </c>
      <c r="Q389" s="44">
        <v>400</v>
      </c>
      <c r="R389" s="44" t="s">
        <v>49</v>
      </c>
      <c r="S389" s="44">
        <v>90</v>
      </c>
      <c r="T389" s="46" t="s">
        <v>4546</v>
      </c>
      <c r="U389" s="46" t="s">
        <v>4783</v>
      </c>
      <c r="V389" s="46" t="s">
        <v>4784</v>
      </c>
      <c r="W389" s="46" t="s">
        <v>4549</v>
      </c>
      <c r="X389" s="47" t="s">
        <v>9305</v>
      </c>
      <c r="Y389" s="46" t="s">
        <v>4828</v>
      </c>
      <c r="Z389" s="46" t="s">
        <v>4829</v>
      </c>
      <c r="AA389" s="46" t="s">
        <v>4549</v>
      </c>
      <c r="AB389" s="47" t="s">
        <v>9305</v>
      </c>
      <c r="AC389" s="48" t="s">
        <v>4830</v>
      </c>
      <c r="AD389" s="30"/>
      <c r="AE389" s="197"/>
      <c r="AF389" s="47"/>
    </row>
    <row r="390" spans="1:32" s="29" customFormat="1" ht="69.95" hidden="1" customHeight="1">
      <c r="A390" s="29" t="s">
        <v>4783</v>
      </c>
      <c r="B390" s="29" t="s">
        <v>3769</v>
      </c>
      <c r="C390" s="40" t="s">
        <v>43</v>
      </c>
      <c r="D390" s="40"/>
      <c r="E390" s="57" t="s">
        <v>126</v>
      </c>
      <c r="F390" s="57" t="s">
        <v>126</v>
      </c>
      <c r="G390" s="29" t="s">
        <v>1114</v>
      </c>
      <c r="J390" s="29">
        <f t="shared" si="22"/>
        <v>1</v>
      </c>
      <c r="K390" s="42">
        <v>383</v>
      </c>
      <c r="L390" s="43" t="s">
        <v>1115</v>
      </c>
      <c r="M390" s="44" t="s">
        <v>405</v>
      </c>
      <c r="N390" s="44" t="s">
        <v>536</v>
      </c>
      <c r="O390" s="44" t="str">
        <f t="shared" si="27"/>
        <v>PE-L1-4C4-04</v>
      </c>
      <c r="P390" s="45">
        <v>1</v>
      </c>
      <c r="Q390" s="44">
        <v>400</v>
      </c>
      <c r="R390" s="44" t="s">
        <v>49</v>
      </c>
      <c r="S390" s="44">
        <v>250</v>
      </c>
      <c r="T390" s="46" t="s">
        <v>4546</v>
      </c>
      <c r="U390" s="46" t="s">
        <v>4783</v>
      </c>
      <c r="V390" s="46" t="s">
        <v>4784</v>
      </c>
      <c r="W390" s="46" t="s">
        <v>4549</v>
      </c>
      <c r="X390" s="47" t="s">
        <v>9305</v>
      </c>
      <c r="Y390" s="46" t="s">
        <v>4831</v>
      </c>
      <c r="Z390" s="46" t="s">
        <v>4832</v>
      </c>
      <c r="AA390" s="46" t="s">
        <v>4552</v>
      </c>
      <c r="AB390" s="47" t="s">
        <v>9305</v>
      </c>
      <c r="AC390" s="48" t="s">
        <v>4833</v>
      </c>
      <c r="AD390" s="30"/>
      <c r="AE390" s="197"/>
      <c r="AF390" s="47"/>
    </row>
    <row r="391" spans="1:32" s="29" customFormat="1" ht="69.95" hidden="1" customHeight="1">
      <c r="A391" s="29" t="s">
        <v>4834</v>
      </c>
      <c r="B391" s="29" t="s">
        <v>3769</v>
      </c>
      <c r="C391" s="40" t="s">
        <v>32</v>
      </c>
      <c r="D391" s="40"/>
      <c r="E391" s="57" t="s">
        <v>127</v>
      </c>
      <c r="F391" s="57" t="s">
        <v>127</v>
      </c>
      <c r="G391" s="29" t="s">
        <v>1116</v>
      </c>
      <c r="J391" s="29">
        <f t="shared" si="22"/>
        <v>1</v>
      </c>
      <c r="K391" s="42">
        <v>384</v>
      </c>
      <c r="L391" s="43" t="s">
        <v>1117</v>
      </c>
      <c r="M391" s="44" t="s">
        <v>405</v>
      </c>
      <c r="N391" s="44" t="s">
        <v>895</v>
      </c>
      <c r="O391" s="44" t="str">
        <f t="shared" si="27"/>
        <v>PE-L1-4C95/50-03</v>
      </c>
      <c r="P391" s="45">
        <v>160</v>
      </c>
      <c r="Q391" s="44">
        <v>400</v>
      </c>
      <c r="R391" s="44" t="s">
        <v>49</v>
      </c>
      <c r="S391" s="44">
        <v>180</v>
      </c>
      <c r="T391" s="46" t="s">
        <v>4546</v>
      </c>
      <c r="U391" s="46" t="s">
        <v>4834</v>
      </c>
      <c r="V391" s="46" t="s">
        <v>4835</v>
      </c>
      <c r="W391" s="46" t="s">
        <v>4549</v>
      </c>
      <c r="X391" s="47" t="s">
        <v>9305</v>
      </c>
      <c r="Y391" s="46" t="s">
        <v>4836</v>
      </c>
      <c r="Z391" s="46" t="s">
        <v>4551</v>
      </c>
      <c r="AA391" s="46" t="s">
        <v>4837</v>
      </c>
      <c r="AB391" s="47" t="s">
        <v>9305</v>
      </c>
      <c r="AC391" s="48" t="s">
        <v>4838</v>
      </c>
      <c r="AD391" s="30"/>
      <c r="AE391" s="197"/>
      <c r="AF391" s="47"/>
    </row>
    <row r="392" spans="1:32" s="29" customFormat="1" ht="69.95" hidden="1" customHeight="1">
      <c r="A392" s="49" t="s">
        <v>4834</v>
      </c>
      <c r="B392" s="49" t="s">
        <v>3769</v>
      </c>
      <c r="C392" s="50" t="s">
        <v>36</v>
      </c>
      <c r="D392" s="50"/>
      <c r="E392" s="57" t="s">
        <v>127</v>
      </c>
      <c r="F392" s="57" t="s">
        <v>127</v>
      </c>
      <c r="J392" s="29">
        <f t="shared" ref="J392:J455" si="28">COUNTIF(L:L,L392)</f>
        <v>1</v>
      </c>
      <c r="K392" s="42">
        <v>385</v>
      </c>
      <c r="L392" s="43" t="s">
        <v>1118</v>
      </c>
      <c r="M392" s="43" t="s">
        <v>405</v>
      </c>
      <c r="N392" s="43" t="s">
        <v>895</v>
      </c>
      <c r="O392" s="44" t="str">
        <f t="shared" si="27"/>
        <v>PE-L1-4C95/50-03</v>
      </c>
      <c r="P392" s="51">
        <v>160</v>
      </c>
      <c r="Q392" s="43">
        <v>400</v>
      </c>
      <c r="R392" s="43" t="s">
        <v>49</v>
      </c>
      <c r="S392" s="43">
        <v>180</v>
      </c>
      <c r="T392" s="43" t="s">
        <v>4546</v>
      </c>
      <c r="U392" s="43" t="s">
        <v>4834</v>
      </c>
      <c r="V392" s="43" t="s">
        <v>4835</v>
      </c>
      <c r="W392" s="43" t="s">
        <v>4549</v>
      </c>
      <c r="X392" s="47" t="s">
        <v>9305</v>
      </c>
      <c r="Y392" s="43" t="s">
        <v>4836</v>
      </c>
      <c r="Z392" s="43" t="s">
        <v>4551</v>
      </c>
      <c r="AA392" s="43" t="s">
        <v>4837</v>
      </c>
      <c r="AB392" s="47" t="s">
        <v>9305</v>
      </c>
      <c r="AC392" s="48" t="s">
        <v>4838</v>
      </c>
      <c r="AD392" s="30"/>
      <c r="AE392" s="197"/>
      <c r="AF392" s="47"/>
    </row>
    <row r="393" spans="1:32" s="29" customFormat="1" ht="69.95" hidden="1" customHeight="1">
      <c r="A393" s="29" t="s">
        <v>4834</v>
      </c>
      <c r="B393" s="29" t="s">
        <v>3769</v>
      </c>
      <c r="C393" s="40" t="s">
        <v>38</v>
      </c>
      <c r="D393" s="40"/>
      <c r="E393" s="57" t="s">
        <v>128</v>
      </c>
      <c r="F393" s="57" t="s">
        <v>128</v>
      </c>
      <c r="G393" s="29" t="s">
        <v>1119</v>
      </c>
      <c r="J393" s="29">
        <f t="shared" si="28"/>
        <v>1</v>
      </c>
      <c r="K393" s="42">
        <v>386</v>
      </c>
      <c r="L393" s="43" t="s">
        <v>1120</v>
      </c>
      <c r="M393" s="43" t="s">
        <v>405</v>
      </c>
      <c r="N393" s="44" t="s">
        <v>895</v>
      </c>
      <c r="O393" s="44" t="str">
        <f t="shared" si="27"/>
        <v>PE-L1-4C95/50-10</v>
      </c>
      <c r="P393" s="45">
        <v>160</v>
      </c>
      <c r="Q393" s="44">
        <v>400</v>
      </c>
      <c r="R393" s="44" t="s">
        <v>49</v>
      </c>
      <c r="S393" s="44">
        <v>160</v>
      </c>
      <c r="T393" s="46" t="s">
        <v>4546</v>
      </c>
      <c r="U393" s="46" t="s">
        <v>4834</v>
      </c>
      <c r="V393" s="46" t="s">
        <v>4835</v>
      </c>
      <c r="W393" s="46" t="s">
        <v>4549</v>
      </c>
      <c r="X393" s="47" t="s">
        <v>9305</v>
      </c>
      <c r="Y393" s="46" t="s">
        <v>4839</v>
      </c>
      <c r="Z393" s="46" t="s">
        <v>4555</v>
      </c>
      <c r="AA393" s="46" t="s">
        <v>4837</v>
      </c>
      <c r="AB393" s="47" t="s">
        <v>9305</v>
      </c>
      <c r="AC393" s="48" t="s">
        <v>4840</v>
      </c>
      <c r="AD393" s="30"/>
      <c r="AE393" s="197"/>
      <c r="AF393" s="47"/>
    </row>
    <row r="394" spans="1:32" s="29" customFormat="1" ht="69.95" hidden="1" customHeight="1">
      <c r="A394" s="49" t="s">
        <v>4834</v>
      </c>
      <c r="B394" s="49" t="s">
        <v>3769</v>
      </c>
      <c r="C394" s="50" t="s">
        <v>40</v>
      </c>
      <c r="D394" s="50"/>
      <c r="E394" s="57" t="s">
        <v>128</v>
      </c>
      <c r="F394" s="57" t="s">
        <v>128</v>
      </c>
      <c r="J394" s="29">
        <f t="shared" si="28"/>
        <v>1</v>
      </c>
      <c r="K394" s="42">
        <v>387</v>
      </c>
      <c r="L394" s="43" t="s">
        <v>1121</v>
      </c>
      <c r="M394" s="43" t="s">
        <v>405</v>
      </c>
      <c r="N394" s="43" t="s">
        <v>895</v>
      </c>
      <c r="O394" s="44" t="str">
        <f t="shared" si="27"/>
        <v>PE-L1-4C95/50-10</v>
      </c>
      <c r="P394" s="51">
        <v>160</v>
      </c>
      <c r="Q394" s="43">
        <v>400</v>
      </c>
      <c r="R394" s="43" t="s">
        <v>49</v>
      </c>
      <c r="S394" s="43">
        <v>160</v>
      </c>
      <c r="T394" s="43" t="s">
        <v>4546</v>
      </c>
      <c r="U394" s="43" t="s">
        <v>4834</v>
      </c>
      <c r="V394" s="43" t="s">
        <v>4835</v>
      </c>
      <c r="W394" s="43" t="s">
        <v>4549</v>
      </c>
      <c r="X394" s="47" t="s">
        <v>9305</v>
      </c>
      <c r="Y394" s="43" t="s">
        <v>4839</v>
      </c>
      <c r="Z394" s="43" t="s">
        <v>4555</v>
      </c>
      <c r="AA394" s="43" t="s">
        <v>4837</v>
      </c>
      <c r="AB394" s="47" t="s">
        <v>9305</v>
      </c>
      <c r="AC394" s="48" t="s">
        <v>4840</v>
      </c>
      <c r="AD394" s="30"/>
      <c r="AE394" s="197"/>
      <c r="AF394" s="47"/>
    </row>
    <row r="395" spans="1:32" s="29" customFormat="1" ht="69.95" hidden="1" customHeight="1">
      <c r="A395" s="29" t="s">
        <v>4834</v>
      </c>
      <c r="B395" s="29" t="s">
        <v>3769</v>
      </c>
      <c r="C395" s="40" t="s">
        <v>41</v>
      </c>
      <c r="D395" s="40"/>
      <c r="E395" s="57" t="s">
        <v>128</v>
      </c>
      <c r="F395" s="57" t="s">
        <v>128</v>
      </c>
      <c r="G395" s="29" t="s">
        <v>1122</v>
      </c>
      <c r="J395" s="29">
        <f t="shared" si="28"/>
        <v>1</v>
      </c>
      <c r="K395" s="42">
        <v>388</v>
      </c>
      <c r="L395" s="43" t="s">
        <v>1123</v>
      </c>
      <c r="M395" s="43" t="s">
        <v>405</v>
      </c>
      <c r="N395" s="44" t="s">
        <v>895</v>
      </c>
      <c r="O395" s="44" t="str">
        <f t="shared" si="27"/>
        <v>PE-L1-4C95/50-10</v>
      </c>
      <c r="P395" s="45">
        <v>160</v>
      </c>
      <c r="Q395" s="44">
        <v>400</v>
      </c>
      <c r="R395" s="44" t="s">
        <v>49</v>
      </c>
      <c r="S395" s="44">
        <v>160</v>
      </c>
      <c r="T395" s="46" t="s">
        <v>4546</v>
      </c>
      <c r="U395" s="46" t="s">
        <v>4834</v>
      </c>
      <c r="V395" s="46" t="s">
        <v>4835</v>
      </c>
      <c r="W395" s="46" t="s">
        <v>4549</v>
      </c>
      <c r="X395" s="47" t="s">
        <v>9305</v>
      </c>
      <c r="Y395" s="46" t="s">
        <v>4841</v>
      </c>
      <c r="Z395" s="46" t="s">
        <v>4558</v>
      </c>
      <c r="AA395" s="46" t="s">
        <v>4837</v>
      </c>
      <c r="AB395" s="47" t="s">
        <v>9305</v>
      </c>
      <c r="AC395" s="48" t="s">
        <v>4842</v>
      </c>
      <c r="AD395" s="30"/>
      <c r="AE395" s="197"/>
      <c r="AF395" s="47"/>
    </row>
    <row r="396" spans="1:32" s="29" customFormat="1" ht="69.95" hidden="1" customHeight="1">
      <c r="A396" s="49" t="s">
        <v>4834</v>
      </c>
      <c r="B396" s="49" t="s">
        <v>3769</v>
      </c>
      <c r="C396" s="50" t="s">
        <v>42</v>
      </c>
      <c r="D396" s="50"/>
      <c r="E396" s="57" t="s">
        <v>128</v>
      </c>
      <c r="F396" s="57" t="s">
        <v>128</v>
      </c>
      <c r="J396" s="29">
        <f t="shared" si="28"/>
        <v>1</v>
      </c>
      <c r="K396" s="42">
        <v>389</v>
      </c>
      <c r="L396" s="43" t="s">
        <v>1124</v>
      </c>
      <c r="M396" s="43" t="s">
        <v>405</v>
      </c>
      <c r="N396" s="43" t="s">
        <v>895</v>
      </c>
      <c r="O396" s="44" t="str">
        <f t="shared" si="27"/>
        <v>PE-L1-4C95/50-10</v>
      </c>
      <c r="P396" s="51">
        <v>160</v>
      </c>
      <c r="Q396" s="43">
        <v>400</v>
      </c>
      <c r="R396" s="43" t="s">
        <v>49</v>
      </c>
      <c r="S396" s="43">
        <v>160</v>
      </c>
      <c r="T396" s="43" t="s">
        <v>4546</v>
      </c>
      <c r="U396" s="43" t="s">
        <v>4834</v>
      </c>
      <c r="V396" s="43" t="s">
        <v>4835</v>
      </c>
      <c r="W396" s="43" t="s">
        <v>4549</v>
      </c>
      <c r="X396" s="47" t="s">
        <v>9305</v>
      </c>
      <c r="Y396" s="43" t="s">
        <v>4841</v>
      </c>
      <c r="Z396" s="43" t="s">
        <v>4558</v>
      </c>
      <c r="AA396" s="43" t="s">
        <v>4837</v>
      </c>
      <c r="AB396" s="47" t="s">
        <v>9305</v>
      </c>
      <c r="AC396" s="48" t="s">
        <v>4843</v>
      </c>
      <c r="AD396" s="30"/>
      <c r="AE396" s="197"/>
      <c r="AF396" s="47"/>
    </row>
    <row r="397" spans="1:32" s="29" customFormat="1" ht="69.95" hidden="1" customHeight="1">
      <c r="A397" s="29" t="s">
        <v>4834</v>
      </c>
      <c r="B397" s="29" t="s">
        <v>3769</v>
      </c>
      <c r="C397" s="40" t="s">
        <v>43</v>
      </c>
      <c r="D397" s="40"/>
      <c r="E397" s="57" t="s">
        <v>129</v>
      </c>
      <c r="F397" s="57" t="s">
        <v>129</v>
      </c>
      <c r="G397" s="29" t="s">
        <v>1125</v>
      </c>
      <c r="J397" s="29">
        <f t="shared" si="28"/>
        <v>1</v>
      </c>
      <c r="K397" s="42">
        <v>390</v>
      </c>
      <c r="L397" s="43" t="s">
        <v>1126</v>
      </c>
      <c r="M397" s="43" t="s">
        <v>405</v>
      </c>
      <c r="N397" s="44" t="s">
        <v>895</v>
      </c>
      <c r="O397" s="44" t="str">
        <f t="shared" si="27"/>
        <v>PE-L1-4C95/50-02</v>
      </c>
      <c r="P397" s="45">
        <v>160</v>
      </c>
      <c r="Q397" s="44">
        <v>400</v>
      </c>
      <c r="R397" s="44" t="s">
        <v>49</v>
      </c>
      <c r="S397" s="44">
        <v>160</v>
      </c>
      <c r="T397" s="46" t="s">
        <v>4546</v>
      </c>
      <c r="U397" s="46" t="s">
        <v>4834</v>
      </c>
      <c r="V397" s="46" t="s">
        <v>4835</v>
      </c>
      <c r="W397" s="46" t="s">
        <v>4549</v>
      </c>
      <c r="X397" s="47" t="s">
        <v>9305</v>
      </c>
      <c r="Y397" s="46" t="s">
        <v>4844</v>
      </c>
      <c r="Z397" s="46" t="s">
        <v>4561</v>
      </c>
      <c r="AA397" s="46" t="s">
        <v>4837</v>
      </c>
      <c r="AB397" s="47" t="s">
        <v>9305</v>
      </c>
      <c r="AC397" s="48" t="s">
        <v>4845</v>
      </c>
      <c r="AD397" s="30"/>
      <c r="AE397" s="197"/>
      <c r="AF397" s="47"/>
    </row>
    <row r="398" spans="1:32" s="29" customFormat="1" ht="69.95" hidden="1" customHeight="1">
      <c r="A398" s="49" t="s">
        <v>4834</v>
      </c>
      <c r="B398" s="49" t="s">
        <v>3769</v>
      </c>
      <c r="C398" s="50" t="s">
        <v>73</v>
      </c>
      <c r="D398" s="50"/>
      <c r="E398" s="57" t="s">
        <v>129</v>
      </c>
      <c r="F398" s="57" t="s">
        <v>129</v>
      </c>
      <c r="J398" s="29">
        <f t="shared" si="28"/>
        <v>1</v>
      </c>
      <c r="K398" s="42">
        <v>391</v>
      </c>
      <c r="L398" s="43" t="s">
        <v>1127</v>
      </c>
      <c r="M398" s="43" t="s">
        <v>405</v>
      </c>
      <c r="N398" s="43" t="s">
        <v>895</v>
      </c>
      <c r="O398" s="44" t="str">
        <f t="shared" si="27"/>
        <v>PE-L1-4C95/50-02</v>
      </c>
      <c r="P398" s="51">
        <v>160</v>
      </c>
      <c r="Q398" s="43">
        <v>400</v>
      </c>
      <c r="R398" s="43" t="s">
        <v>49</v>
      </c>
      <c r="S398" s="43">
        <v>160</v>
      </c>
      <c r="T398" s="43" t="s">
        <v>4546</v>
      </c>
      <c r="U398" s="43" t="s">
        <v>4834</v>
      </c>
      <c r="V398" s="43" t="s">
        <v>4835</v>
      </c>
      <c r="W398" s="43" t="s">
        <v>4549</v>
      </c>
      <c r="X398" s="47" t="s">
        <v>9305</v>
      </c>
      <c r="Y398" s="43" t="s">
        <v>4844</v>
      </c>
      <c r="Z398" s="43" t="s">
        <v>4561</v>
      </c>
      <c r="AA398" s="43" t="s">
        <v>4837</v>
      </c>
      <c r="AB398" s="47" t="s">
        <v>9305</v>
      </c>
      <c r="AC398" s="48" t="s">
        <v>4845</v>
      </c>
      <c r="AD398" s="30"/>
      <c r="AE398" s="197"/>
      <c r="AF398" s="47"/>
    </row>
    <row r="399" spans="1:32" s="29" customFormat="1" ht="69.95" hidden="1" customHeight="1">
      <c r="A399" s="29" t="s">
        <v>4834</v>
      </c>
      <c r="B399" s="29" t="s">
        <v>3769</v>
      </c>
      <c r="C399" s="40" t="s">
        <v>75</v>
      </c>
      <c r="D399" s="40"/>
      <c r="E399" s="57" t="s">
        <v>127</v>
      </c>
      <c r="F399" s="57" t="s">
        <v>127</v>
      </c>
      <c r="G399" s="29" t="s">
        <v>1128</v>
      </c>
      <c r="J399" s="29">
        <f t="shared" si="28"/>
        <v>1</v>
      </c>
      <c r="K399" s="42">
        <v>392</v>
      </c>
      <c r="L399" s="43" t="s">
        <v>1129</v>
      </c>
      <c r="M399" s="43" t="s">
        <v>405</v>
      </c>
      <c r="N399" s="44" t="s">
        <v>895</v>
      </c>
      <c r="O399" s="44" t="str">
        <f t="shared" si="27"/>
        <v>PE-L1-4C95/50-03</v>
      </c>
      <c r="P399" s="45">
        <v>160</v>
      </c>
      <c r="Q399" s="44">
        <v>400</v>
      </c>
      <c r="R399" s="44" t="s">
        <v>49</v>
      </c>
      <c r="S399" s="44">
        <v>170</v>
      </c>
      <c r="T399" s="46" t="s">
        <v>4546</v>
      </c>
      <c r="U399" s="46" t="s">
        <v>4834</v>
      </c>
      <c r="V399" s="46" t="s">
        <v>4835</v>
      </c>
      <c r="W399" s="46" t="s">
        <v>4549</v>
      </c>
      <c r="X399" s="47" t="s">
        <v>9305</v>
      </c>
      <c r="Y399" s="46" t="s">
        <v>4846</v>
      </c>
      <c r="Z399" s="46" t="s">
        <v>4564</v>
      </c>
      <c r="AA399" s="46" t="s">
        <v>4837</v>
      </c>
      <c r="AB399" s="47" t="s">
        <v>9305</v>
      </c>
      <c r="AC399" s="48" t="s">
        <v>4847</v>
      </c>
      <c r="AD399" s="30"/>
      <c r="AE399" s="197"/>
      <c r="AF399" s="47"/>
    </row>
    <row r="400" spans="1:32" s="29" customFormat="1" ht="69.95" hidden="1" customHeight="1">
      <c r="A400" s="49" t="s">
        <v>4834</v>
      </c>
      <c r="B400" s="49" t="s">
        <v>3769</v>
      </c>
      <c r="C400" s="49">
        <v>10</v>
      </c>
      <c r="D400" s="49"/>
      <c r="E400" s="57" t="s">
        <v>127</v>
      </c>
      <c r="F400" s="57" t="s">
        <v>127</v>
      </c>
      <c r="J400" s="29">
        <f t="shared" si="28"/>
        <v>1</v>
      </c>
      <c r="K400" s="42">
        <v>393</v>
      </c>
      <c r="L400" s="43" t="s">
        <v>1130</v>
      </c>
      <c r="M400" s="43" t="s">
        <v>405</v>
      </c>
      <c r="N400" s="43" t="s">
        <v>895</v>
      </c>
      <c r="O400" s="44" t="str">
        <f t="shared" si="27"/>
        <v>PE-L1-4C95/50-03</v>
      </c>
      <c r="P400" s="51">
        <v>160</v>
      </c>
      <c r="Q400" s="43">
        <v>400</v>
      </c>
      <c r="R400" s="43" t="s">
        <v>49</v>
      </c>
      <c r="S400" s="43">
        <v>170</v>
      </c>
      <c r="T400" s="43" t="s">
        <v>4546</v>
      </c>
      <c r="U400" s="43" t="s">
        <v>4834</v>
      </c>
      <c r="V400" s="43" t="s">
        <v>4835</v>
      </c>
      <c r="W400" s="43" t="s">
        <v>4549</v>
      </c>
      <c r="X400" s="47" t="s">
        <v>9305</v>
      </c>
      <c r="Y400" s="43" t="s">
        <v>4846</v>
      </c>
      <c r="Z400" s="43" t="s">
        <v>4564</v>
      </c>
      <c r="AA400" s="43" t="s">
        <v>4837</v>
      </c>
      <c r="AB400" s="47" t="s">
        <v>9305</v>
      </c>
      <c r="AC400" s="48" t="s">
        <v>4847</v>
      </c>
      <c r="AD400" s="30"/>
      <c r="AE400" s="197"/>
      <c r="AF400" s="47"/>
    </row>
    <row r="401" spans="1:32" s="29" customFormat="1" ht="69.95" hidden="1" customHeight="1">
      <c r="A401" s="29" t="s">
        <v>4834</v>
      </c>
      <c r="B401" s="29" t="s">
        <v>3769</v>
      </c>
      <c r="C401" s="40">
        <v>11</v>
      </c>
      <c r="D401" s="40"/>
      <c r="E401" s="57" t="s">
        <v>130</v>
      </c>
      <c r="F401" s="57" t="s">
        <v>130</v>
      </c>
      <c r="G401" s="29" t="s">
        <v>1131</v>
      </c>
      <c r="J401" s="29">
        <f t="shared" si="28"/>
        <v>1</v>
      </c>
      <c r="K401" s="42">
        <v>394</v>
      </c>
      <c r="L401" s="43" t="s">
        <v>1132</v>
      </c>
      <c r="M401" s="43" t="s">
        <v>405</v>
      </c>
      <c r="N401" s="44" t="s">
        <v>895</v>
      </c>
      <c r="O401" s="44" t="str">
        <f t="shared" si="27"/>
        <v>PE-L1-4C95/50-12</v>
      </c>
      <c r="P401" s="45">
        <v>160</v>
      </c>
      <c r="Q401" s="44">
        <v>400</v>
      </c>
      <c r="R401" s="44" t="s">
        <v>49</v>
      </c>
      <c r="S401" s="44">
        <v>180</v>
      </c>
      <c r="T401" s="46" t="s">
        <v>4546</v>
      </c>
      <c r="U401" s="46" t="s">
        <v>4834</v>
      </c>
      <c r="V401" s="46" t="s">
        <v>4835</v>
      </c>
      <c r="W401" s="46" t="s">
        <v>4549</v>
      </c>
      <c r="X401" s="47" t="s">
        <v>9305</v>
      </c>
      <c r="Y401" s="46" t="s">
        <v>4848</v>
      </c>
      <c r="Z401" s="46" t="s">
        <v>4567</v>
      </c>
      <c r="AA401" s="46" t="s">
        <v>4837</v>
      </c>
      <c r="AB401" s="47" t="s">
        <v>9305</v>
      </c>
      <c r="AC401" s="48" t="s">
        <v>4849</v>
      </c>
      <c r="AD401" s="30"/>
      <c r="AE401" s="197"/>
      <c r="AF401" s="47"/>
    </row>
    <row r="402" spans="1:32" s="29" customFormat="1" ht="69.95" hidden="1" customHeight="1">
      <c r="A402" s="49" t="s">
        <v>4834</v>
      </c>
      <c r="B402" s="49" t="s">
        <v>3769</v>
      </c>
      <c r="C402" s="49">
        <v>12</v>
      </c>
      <c r="D402" s="49"/>
      <c r="E402" s="57" t="s">
        <v>130</v>
      </c>
      <c r="F402" s="57" t="s">
        <v>130</v>
      </c>
      <c r="J402" s="29">
        <f t="shared" si="28"/>
        <v>1</v>
      </c>
      <c r="K402" s="42">
        <v>395</v>
      </c>
      <c r="L402" s="43" t="s">
        <v>1133</v>
      </c>
      <c r="M402" s="43" t="s">
        <v>405</v>
      </c>
      <c r="N402" s="43" t="s">
        <v>895</v>
      </c>
      <c r="O402" s="44" t="str">
        <f t="shared" si="27"/>
        <v>PE-L1-4C95/50-12</v>
      </c>
      <c r="P402" s="51">
        <v>160</v>
      </c>
      <c r="Q402" s="43">
        <v>400</v>
      </c>
      <c r="R402" s="43" t="s">
        <v>49</v>
      </c>
      <c r="S402" s="43">
        <v>180</v>
      </c>
      <c r="T402" s="43" t="s">
        <v>4546</v>
      </c>
      <c r="U402" s="43" t="s">
        <v>4834</v>
      </c>
      <c r="V402" s="43" t="s">
        <v>4835</v>
      </c>
      <c r="W402" s="43" t="s">
        <v>4549</v>
      </c>
      <c r="X402" s="47" t="s">
        <v>9305</v>
      </c>
      <c r="Y402" s="43" t="s">
        <v>4848</v>
      </c>
      <c r="Z402" s="43" t="s">
        <v>4567</v>
      </c>
      <c r="AA402" s="43" t="s">
        <v>4837</v>
      </c>
      <c r="AB402" s="47" t="s">
        <v>9305</v>
      </c>
      <c r="AC402" s="48" t="s">
        <v>4849</v>
      </c>
      <c r="AD402" s="30"/>
      <c r="AE402" s="197"/>
      <c r="AF402" s="47"/>
    </row>
    <row r="403" spans="1:32" s="29" customFormat="1" ht="69.95" hidden="1" customHeight="1">
      <c r="A403" s="29" t="s">
        <v>4834</v>
      </c>
      <c r="B403" s="29" t="s">
        <v>3769</v>
      </c>
      <c r="C403" s="40">
        <v>13</v>
      </c>
      <c r="D403" s="175" t="s">
        <v>9394</v>
      </c>
      <c r="E403" s="86" t="s">
        <v>8719</v>
      </c>
      <c r="F403" s="86" t="s">
        <v>8719</v>
      </c>
      <c r="G403" s="29" t="s">
        <v>1134</v>
      </c>
      <c r="J403" s="29">
        <f t="shared" si="28"/>
        <v>1</v>
      </c>
      <c r="K403" s="81">
        <v>396</v>
      </c>
      <c r="L403" s="43" t="s">
        <v>9393</v>
      </c>
      <c r="M403" s="43" t="s">
        <v>405</v>
      </c>
      <c r="N403" s="79" t="s">
        <v>8720</v>
      </c>
      <c r="O403" s="79" t="str">
        <f>F403</f>
        <v>PE-L1-5C95/50-03</v>
      </c>
      <c r="P403" s="45">
        <v>160</v>
      </c>
      <c r="Q403" s="44">
        <v>400</v>
      </c>
      <c r="R403" s="44" t="s">
        <v>49</v>
      </c>
      <c r="S403" s="188">
        <v>210</v>
      </c>
      <c r="T403" s="46" t="s">
        <v>4546</v>
      </c>
      <c r="U403" s="46" t="s">
        <v>4834</v>
      </c>
      <c r="V403" s="46" t="s">
        <v>4835</v>
      </c>
      <c r="W403" s="46" t="s">
        <v>4549</v>
      </c>
      <c r="X403" s="47" t="s">
        <v>9305</v>
      </c>
      <c r="Y403" s="46" t="s">
        <v>4850</v>
      </c>
      <c r="Z403" s="46" t="s">
        <v>4570</v>
      </c>
      <c r="AA403" s="46" t="s">
        <v>4837</v>
      </c>
      <c r="AB403" s="47" t="s">
        <v>9305</v>
      </c>
      <c r="AC403" s="48" t="s">
        <v>4851</v>
      </c>
      <c r="AD403" s="30"/>
      <c r="AE403" s="197"/>
      <c r="AF403" s="47"/>
    </row>
    <row r="404" spans="1:32" s="29" customFormat="1" ht="69.95" hidden="1" customHeight="1">
      <c r="A404" s="49" t="s">
        <v>4834</v>
      </c>
      <c r="B404" s="49" t="s">
        <v>3769</v>
      </c>
      <c r="C404" s="49">
        <v>14</v>
      </c>
      <c r="D404" s="175" t="s">
        <v>9394</v>
      </c>
      <c r="E404" s="86" t="s">
        <v>8719</v>
      </c>
      <c r="F404" s="86" t="s">
        <v>8719</v>
      </c>
      <c r="J404" s="29">
        <f t="shared" si="28"/>
        <v>1</v>
      </c>
      <c r="K404" s="81">
        <v>397</v>
      </c>
      <c r="L404" s="43" t="s">
        <v>1135</v>
      </c>
      <c r="M404" s="43" t="s">
        <v>405</v>
      </c>
      <c r="N404" s="79" t="s">
        <v>8720</v>
      </c>
      <c r="O404" s="79" t="str">
        <f>F404</f>
        <v>PE-L1-5C95/50-03</v>
      </c>
      <c r="P404" s="51">
        <v>160</v>
      </c>
      <c r="Q404" s="43">
        <v>400</v>
      </c>
      <c r="R404" s="43" t="s">
        <v>49</v>
      </c>
      <c r="S404" s="220">
        <v>210</v>
      </c>
      <c r="T404" s="43" t="s">
        <v>4546</v>
      </c>
      <c r="U404" s="43" t="s">
        <v>4834</v>
      </c>
      <c r="V404" s="43" t="s">
        <v>4835</v>
      </c>
      <c r="W404" s="43" t="s">
        <v>4549</v>
      </c>
      <c r="X404" s="47" t="s">
        <v>9305</v>
      </c>
      <c r="Y404" s="43" t="s">
        <v>4850</v>
      </c>
      <c r="Z404" s="43" t="s">
        <v>4570</v>
      </c>
      <c r="AA404" s="43" t="s">
        <v>4837</v>
      </c>
      <c r="AB404" s="47" t="s">
        <v>9305</v>
      </c>
      <c r="AC404" s="48" t="s">
        <v>4851</v>
      </c>
      <c r="AD404" s="30"/>
      <c r="AE404" s="197"/>
      <c r="AF404" s="47"/>
    </row>
    <row r="405" spans="1:32" s="29" customFormat="1" ht="69.95" hidden="1" customHeight="1">
      <c r="A405" s="29" t="s">
        <v>4834</v>
      </c>
      <c r="B405" s="29" t="s">
        <v>3769</v>
      </c>
      <c r="C405" s="40">
        <v>15</v>
      </c>
      <c r="D405" s="40"/>
      <c r="E405" s="57" t="s">
        <v>114</v>
      </c>
      <c r="F405" s="57" t="s">
        <v>114</v>
      </c>
      <c r="G405" s="29" t="s">
        <v>1136</v>
      </c>
      <c r="J405" s="29">
        <f t="shared" si="28"/>
        <v>1</v>
      </c>
      <c r="K405" s="42">
        <v>398</v>
      </c>
      <c r="L405" s="43" t="s">
        <v>1137</v>
      </c>
      <c r="M405" s="43" t="s">
        <v>405</v>
      </c>
      <c r="N405" s="44" t="s">
        <v>895</v>
      </c>
      <c r="O405" s="44" t="str">
        <f t="shared" ref="O405:O445" si="29">F405</f>
        <v>PE-L1-4C95/50-28</v>
      </c>
      <c r="P405" s="45">
        <v>160</v>
      </c>
      <c r="Q405" s="44">
        <v>400</v>
      </c>
      <c r="R405" s="44" t="s">
        <v>49</v>
      </c>
      <c r="S405" s="44">
        <v>200</v>
      </c>
      <c r="T405" s="46" t="s">
        <v>4546</v>
      </c>
      <c r="U405" s="46" t="s">
        <v>4834</v>
      </c>
      <c r="V405" s="46" t="s">
        <v>4835</v>
      </c>
      <c r="W405" s="46" t="s">
        <v>4549</v>
      </c>
      <c r="X405" s="47" t="s">
        <v>9305</v>
      </c>
      <c r="Y405" s="46" t="s">
        <v>4852</v>
      </c>
      <c r="Z405" s="46" t="s">
        <v>4573</v>
      </c>
      <c r="AA405" s="46" t="s">
        <v>4837</v>
      </c>
      <c r="AB405" s="47" t="s">
        <v>9305</v>
      </c>
      <c r="AC405" s="48" t="s">
        <v>4853</v>
      </c>
      <c r="AD405" s="30"/>
      <c r="AE405" s="197"/>
      <c r="AF405" s="47"/>
    </row>
    <row r="406" spans="1:32" s="29" customFormat="1" ht="69.95" hidden="1" customHeight="1">
      <c r="A406" s="49" t="s">
        <v>4834</v>
      </c>
      <c r="B406" s="49" t="s">
        <v>3769</v>
      </c>
      <c r="C406" s="49">
        <v>16</v>
      </c>
      <c r="D406" s="49"/>
      <c r="E406" s="57" t="s">
        <v>131</v>
      </c>
      <c r="F406" s="57" t="s">
        <v>131</v>
      </c>
      <c r="J406" s="29">
        <f t="shared" si="28"/>
        <v>1</v>
      </c>
      <c r="K406" s="42">
        <v>399</v>
      </c>
      <c r="L406" s="43" t="s">
        <v>1138</v>
      </c>
      <c r="M406" s="43" t="s">
        <v>405</v>
      </c>
      <c r="N406" s="43" t="s">
        <v>895</v>
      </c>
      <c r="O406" s="44" t="str">
        <f t="shared" si="29"/>
        <v>PE-L1-4C95/50-29</v>
      </c>
      <c r="P406" s="51">
        <v>160</v>
      </c>
      <c r="Q406" s="43">
        <v>400</v>
      </c>
      <c r="R406" s="43" t="s">
        <v>49</v>
      </c>
      <c r="S406" s="43">
        <v>200</v>
      </c>
      <c r="T406" s="43" t="s">
        <v>4546</v>
      </c>
      <c r="U406" s="43" t="s">
        <v>4834</v>
      </c>
      <c r="V406" s="43" t="s">
        <v>4835</v>
      </c>
      <c r="W406" s="43" t="s">
        <v>4549</v>
      </c>
      <c r="X406" s="47" t="s">
        <v>9305</v>
      </c>
      <c r="Y406" s="43" t="s">
        <v>4852</v>
      </c>
      <c r="Z406" s="43" t="s">
        <v>4573</v>
      </c>
      <c r="AA406" s="43" t="s">
        <v>4837</v>
      </c>
      <c r="AB406" s="47" t="s">
        <v>9305</v>
      </c>
      <c r="AC406" s="48" t="s">
        <v>4853</v>
      </c>
      <c r="AD406" s="30"/>
      <c r="AE406" s="197"/>
      <c r="AF406" s="47"/>
    </row>
    <row r="407" spans="1:32" s="29" customFormat="1" ht="69.95" hidden="1" customHeight="1">
      <c r="A407" s="29" t="s">
        <v>4834</v>
      </c>
      <c r="B407" s="29" t="s">
        <v>3769</v>
      </c>
      <c r="C407" s="40">
        <v>17</v>
      </c>
      <c r="D407" s="40"/>
      <c r="E407" s="57" t="s">
        <v>132</v>
      </c>
      <c r="F407" s="57" t="s">
        <v>132</v>
      </c>
      <c r="G407" s="29" t="s">
        <v>1139</v>
      </c>
      <c r="J407" s="29">
        <f t="shared" si="28"/>
        <v>1</v>
      </c>
      <c r="K407" s="42">
        <v>400</v>
      </c>
      <c r="L407" s="43" t="s">
        <v>1140</v>
      </c>
      <c r="M407" s="43" t="s">
        <v>405</v>
      </c>
      <c r="N407" s="44" t="s">
        <v>895</v>
      </c>
      <c r="O407" s="44" t="str">
        <f t="shared" si="29"/>
        <v>PE-L1-4C95/50-06</v>
      </c>
      <c r="P407" s="45">
        <v>160</v>
      </c>
      <c r="Q407" s="44">
        <v>400</v>
      </c>
      <c r="R407" s="44" t="s">
        <v>49</v>
      </c>
      <c r="S407" s="44">
        <v>190</v>
      </c>
      <c r="T407" s="46" t="s">
        <v>4546</v>
      </c>
      <c r="U407" s="46" t="s">
        <v>4834</v>
      </c>
      <c r="V407" s="46" t="s">
        <v>4835</v>
      </c>
      <c r="W407" s="46" t="s">
        <v>4549</v>
      </c>
      <c r="X407" s="47" t="s">
        <v>9305</v>
      </c>
      <c r="Y407" s="46" t="s">
        <v>4854</v>
      </c>
      <c r="Z407" s="46" t="s">
        <v>4576</v>
      </c>
      <c r="AA407" s="46" t="s">
        <v>4837</v>
      </c>
      <c r="AB407" s="47" t="s">
        <v>9305</v>
      </c>
      <c r="AC407" s="48" t="s">
        <v>4855</v>
      </c>
      <c r="AD407" s="30"/>
      <c r="AE407" s="197"/>
      <c r="AF407" s="47"/>
    </row>
    <row r="408" spans="1:32" s="29" customFormat="1" ht="69.95" hidden="1" customHeight="1">
      <c r="A408" s="49" t="s">
        <v>4834</v>
      </c>
      <c r="B408" s="49" t="s">
        <v>3769</v>
      </c>
      <c r="C408" s="49">
        <v>18</v>
      </c>
      <c r="D408" s="49"/>
      <c r="E408" s="57" t="s">
        <v>133</v>
      </c>
      <c r="F408" s="57" t="s">
        <v>133</v>
      </c>
      <c r="J408" s="29">
        <f t="shared" si="28"/>
        <v>1</v>
      </c>
      <c r="K408" s="42">
        <v>401</v>
      </c>
      <c r="L408" s="43" t="s">
        <v>1141</v>
      </c>
      <c r="M408" s="43" t="s">
        <v>405</v>
      </c>
      <c r="N408" s="43" t="s">
        <v>895</v>
      </c>
      <c r="O408" s="44" t="str">
        <f t="shared" si="29"/>
        <v>PE-L1-4C95/50-07</v>
      </c>
      <c r="P408" s="51">
        <v>160</v>
      </c>
      <c r="Q408" s="43">
        <v>400</v>
      </c>
      <c r="R408" s="43" t="s">
        <v>49</v>
      </c>
      <c r="S408" s="43">
        <v>190</v>
      </c>
      <c r="T408" s="43" t="s">
        <v>4546</v>
      </c>
      <c r="U408" s="43" t="s">
        <v>4834</v>
      </c>
      <c r="V408" s="43" t="s">
        <v>4835</v>
      </c>
      <c r="W408" s="43" t="s">
        <v>4549</v>
      </c>
      <c r="X408" s="47" t="s">
        <v>9305</v>
      </c>
      <c r="Y408" s="43" t="s">
        <v>4854</v>
      </c>
      <c r="Z408" s="43" t="s">
        <v>4576</v>
      </c>
      <c r="AA408" s="43" t="s">
        <v>4837</v>
      </c>
      <c r="AB408" s="47" t="s">
        <v>9305</v>
      </c>
      <c r="AC408" s="48" t="s">
        <v>4855</v>
      </c>
      <c r="AD408" s="30"/>
      <c r="AE408" s="197"/>
      <c r="AF408" s="47"/>
    </row>
    <row r="409" spans="1:32" s="29" customFormat="1" ht="69.95" hidden="1" customHeight="1">
      <c r="A409" s="29" t="s">
        <v>4834</v>
      </c>
      <c r="B409" s="29" t="s">
        <v>3769</v>
      </c>
      <c r="C409" s="40">
        <v>19</v>
      </c>
      <c r="D409" s="40"/>
      <c r="E409" s="57" t="s">
        <v>130</v>
      </c>
      <c r="F409" s="57" t="s">
        <v>130</v>
      </c>
      <c r="G409" s="29" t="s">
        <v>1142</v>
      </c>
      <c r="J409" s="29">
        <f t="shared" si="28"/>
        <v>1</v>
      </c>
      <c r="K409" s="42">
        <v>402</v>
      </c>
      <c r="L409" s="43" t="s">
        <v>1143</v>
      </c>
      <c r="M409" s="43" t="s">
        <v>405</v>
      </c>
      <c r="N409" s="44" t="s">
        <v>895</v>
      </c>
      <c r="O409" s="44" t="str">
        <f t="shared" si="29"/>
        <v>PE-L1-4C95/50-12</v>
      </c>
      <c r="P409" s="45">
        <v>160</v>
      </c>
      <c r="Q409" s="44">
        <v>400</v>
      </c>
      <c r="R409" s="44" t="s">
        <v>49</v>
      </c>
      <c r="S409" s="44">
        <v>150</v>
      </c>
      <c r="T409" s="46" t="s">
        <v>4546</v>
      </c>
      <c r="U409" s="46" t="s">
        <v>4834</v>
      </c>
      <c r="V409" s="46" t="s">
        <v>4835</v>
      </c>
      <c r="W409" s="46" t="s">
        <v>4549</v>
      </c>
      <c r="X409" s="47" t="s">
        <v>9305</v>
      </c>
      <c r="Y409" s="46" t="s">
        <v>4856</v>
      </c>
      <c r="Z409" s="46" t="s">
        <v>4579</v>
      </c>
      <c r="AA409" s="46" t="s">
        <v>4837</v>
      </c>
      <c r="AB409" s="47" t="s">
        <v>9305</v>
      </c>
      <c r="AC409" s="48" t="s">
        <v>4857</v>
      </c>
      <c r="AD409" s="30"/>
      <c r="AE409" s="197"/>
      <c r="AF409" s="47"/>
    </row>
    <row r="410" spans="1:32" s="29" customFormat="1" ht="69.95" hidden="1" customHeight="1">
      <c r="A410" s="49" t="s">
        <v>4834</v>
      </c>
      <c r="B410" s="49" t="s">
        <v>3769</v>
      </c>
      <c r="C410" s="49">
        <v>20</v>
      </c>
      <c r="D410" s="49"/>
      <c r="E410" s="57" t="s">
        <v>130</v>
      </c>
      <c r="F410" s="57" t="s">
        <v>130</v>
      </c>
      <c r="J410" s="29">
        <f t="shared" si="28"/>
        <v>1</v>
      </c>
      <c r="K410" s="42">
        <v>403</v>
      </c>
      <c r="L410" s="43" t="s">
        <v>1144</v>
      </c>
      <c r="M410" s="43" t="s">
        <v>405</v>
      </c>
      <c r="N410" s="43" t="s">
        <v>895</v>
      </c>
      <c r="O410" s="44" t="str">
        <f t="shared" si="29"/>
        <v>PE-L1-4C95/50-12</v>
      </c>
      <c r="P410" s="51">
        <v>160</v>
      </c>
      <c r="Q410" s="43">
        <v>400</v>
      </c>
      <c r="R410" s="43" t="s">
        <v>49</v>
      </c>
      <c r="S410" s="43">
        <v>150</v>
      </c>
      <c r="T410" s="43" t="s">
        <v>4546</v>
      </c>
      <c r="U410" s="43" t="s">
        <v>4834</v>
      </c>
      <c r="V410" s="43" t="s">
        <v>4835</v>
      </c>
      <c r="W410" s="43" t="s">
        <v>4549</v>
      </c>
      <c r="X410" s="47" t="s">
        <v>9305</v>
      </c>
      <c r="Y410" s="43" t="s">
        <v>4856</v>
      </c>
      <c r="Z410" s="43" t="s">
        <v>4579</v>
      </c>
      <c r="AA410" s="43" t="s">
        <v>4837</v>
      </c>
      <c r="AB410" s="47" t="s">
        <v>9305</v>
      </c>
      <c r="AC410" s="48" t="s">
        <v>4857</v>
      </c>
      <c r="AD410" s="30"/>
      <c r="AE410" s="197"/>
      <c r="AF410" s="47"/>
    </row>
    <row r="411" spans="1:32" s="29" customFormat="1" ht="69.95" hidden="1" customHeight="1">
      <c r="A411" s="29" t="s">
        <v>4834</v>
      </c>
      <c r="B411" s="29" t="s">
        <v>3769</v>
      </c>
      <c r="C411" s="40">
        <v>21</v>
      </c>
      <c r="D411" s="40"/>
      <c r="E411" s="57" t="s">
        <v>134</v>
      </c>
      <c r="F411" s="57" t="s">
        <v>134</v>
      </c>
      <c r="G411" s="29" t="s">
        <v>1145</v>
      </c>
      <c r="J411" s="29">
        <f t="shared" si="28"/>
        <v>1</v>
      </c>
      <c r="K411" s="42">
        <v>404</v>
      </c>
      <c r="L411" s="43" t="s">
        <v>1146</v>
      </c>
      <c r="M411" s="43" t="s">
        <v>405</v>
      </c>
      <c r="N411" s="44" t="s">
        <v>895</v>
      </c>
      <c r="O411" s="44" t="str">
        <f t="shared" si="29"/>
        <v>PE-L1-4C95/50-04</v>
      </c>
      <c r="P411" s="45">
        <v>160</v>
      </c>
      <c r="Q411" s="44">
        <v>400</v>
      </c>
      <c r="R411" s="44" t="s">
        <v>49</v>
      </c>
      <c r="S411" s="44">
        <v>170</v>
      </c>
      <c r="T411" s="46" t="s">
        <v>4546</v>
      </c>
      <c r="U411" s="46" t="s">
        <v>4834</v>
      </c>
      <c r="V411" s="46" t="s">
        <v>4835</v>
      </c>
      <c r="W411" s="46" t="s">
        <v>4549</v>
      </c>
      <c r="X411" s="47" t="s">
        <v>9305</v>
      </c>
      <c r="Y411" s="46" t="s">
        <v>4858</v>
      </c>
      <c r="Z411" s="46" t="s">
        <v>4582</v>
      </c>
      <c r="AA411" s="46" t="s">
        <v>4837</v>
      </c>
      <c r="AB411" s="47" t="s">
        <v>9305</v>
      </c>
      <c r="AC411" s="48" t="s">
        <v>4859</v>
      </c>
      <c r="AD411" s="30"/>
      <c r="AE411" s="197"/>
      <c r="AF411" s="47"/>
    </row>
    <row r="412" spans="1:32" s="29" customFormat="1" ht="69.95" hidden="1" customHeight="1">
      <c r="A412" s="49" t="s">
        <v>4834</v>
      </c>
      <c r="B412" s="49" t="s">
        <v>3769</v>
      </c>
      <c r="C412" s="49">
        <v>22</v>
      </c>
      <c r="D412" s="49"/>
      <c r="E412" s="57" t="s">
        <v>134</v>
      </c>
      <c r="F412" s="57" t="s">
        <v>134</v>
      </c>
      <c r="J412" s="29">
        <f t="shared" si="28"/>
        <v>1</v>
      </c>
      <c r="K412" s="42">
        <v>405</v>
      </c>
      <c r="L412" s="43" t="s">
        <v>1147</v>
      </c>
      <c r="M412" s="43" t="s">
        <v>405</v>
      </c>
      <c r="N412" s="43" t="s">
        <v>895</v>
      </c>
      <c r="O412" s="44" t="str">
        <f t="shared" si="29"/>
        <v>PE-L1-4C95/50-04</v>
      </c>
      <c r="P412" s="51">
        <v>160</v>
      </c>
      <c r="Q412" s="43">
        <v>400</v>
      </c>
      <c r="R412" s="43" t="s">
        <v>49</v>
      </c>
      <c r="S412" s="43">
        <v>170</v>
      </c>
      <c r="T412" s="43" t="s">
        <v>4546</v>
      </c>
      <c r="U412" s="43" t="s">
        <v>4834</v>
      </c>
      <c r="V412" s="43" t="s">
        <v>4835</v>
      </c>
      <c r="W412" s="43" t="s">
        <v>4549</v>
      </c>
      <c r="X412" s="47" t="s">
        <v>9305</v>
      </c>
      <c r="Y412" s="43" t="s">
        <v>4858</v>
      </c>
      <c r="Z412" s="43" t="s">
        <v>4582</v>
      </c>
      <c r="AA412" s="43" t="s">
        <v>4837</v>
      </c>
      <c r="AB412" s="47" t="s">
        <v>9305</v>
      </c>
      <c r="AC412" s="48" t="s">
        <v>4859</v>
      </c>
      <c r="AD412" s="30"/>
      <c r="AE412" s="197"/>
      <c r="AF412" s="47"/>
    </row>
    <row r="413" spans="1:32" s="29" customFormat="1" ht="69.95" hidden="1" customHeight="1">
      <c r="A413" s="29" t="s">
        <v>4834</v>
      </c>
      <c r="B413" s="29" t="s">
        <v>3769</v>
      </c>
      <c r="C413" s="40">
        <v>23</v>
      </c>
      <c r="D413" s="40"/>
      <c r="E413" s="57" t="s">
        <v>134</v>
      </c>
      <c r="F413" s="57" t="s">
        <v>134</v>
      </c>
      <c r="G413" s="29" t="s">
        <v>1148</v>
      </c>
      <c r="J413" s="29">
        <f t="shared" si="28"/>
        <v>1</v>
      </c>
      <c r="K413" s="42">
        <v>406</v>
      </c>
      <c r="L413" s="43" t="s">
        <v>1149</v>
      </c>
      <c r="M413" s="43" t="s">
        <v>405</v>
      </c>
      <c r="N413" s="44" t="s">
        <v>895</v>
      </c>
      <c r="O413" s="44" t="str">
        <f t="shared" si="29"/>
        <v>PE-L1-4C95/50-04</v>
      </c>
      <c r="P413" s="45">
        <v>160</v>
      </c>
      <c r="Q413" s="44">
        <v>400</v>
      </c>
      <c r="R413" s="44" t="s">
        <v>49</v>
      </c>
      <c r="S413" s="44">
        <v>180</v>
      </c>
      <c r="T413" s="46" t="s">
        <v>4546</v>
      </c>
      <c r="U413" s="46" t="s">
        <v>4834</v>
      </c>
      <c r="V413" s="46" t="s">
        <v>4835</v>
      </c>
      <c r="W413" s="46" t="s">
        <v>4549</v>
      </c>
      <c r="X413" s="47" t="s">
        <v>9305</v>
      </c>
      <c r="Y413" s="46" t="s">
        <v>4860</v>
      </c>
      <c r="Z413" s="46" t="s">
        <v>4585</v>
      </c>
      <c r="AA413" s="46" t="s">
        <v>4837</v>
      </c>
      <c r="AB413" s="47" t="s">
        <v>9305</v>
      </c>
      <c r="AC413" s="48" t="s">
        <v>4861</v>
      </c>
      <c r="AD413" s="30"/>
      <c r="AE413" s="197"/>
      <c r="AF413" s="47"/>
    </row>
    <row r="414" spans="1:32" s="29" customFormat="1" ht="69.95" hidden="1" customHeight="1">
      <c r="A414" s="49" t="s">
        <v>4834</v>
      </c>
      <c r="B414" s="49" t="s">
        <v>3769</v>
      </c>
      <c r="C414" s="49">
        <v>24</v>
      </c>
      <c r="D414" s="49"/>
      <c r="E414" s="57" t="s">
        <v>134</v>
      </c>
      <c r="F414" s="57" t="s">
        <v>134</v>
      </c>
      <c r="J414" s="29">
        <f t="shared" si="28"/>
        <v>1</v>
      </c>
      <c r="K414" s="42">
        <v>407</v>
      </c>
      <c r="L414" s="43" t="s">
        <v>1150</v>
      </c>
      <c r="M414" s="43" t="s">
        <v>405</v>
      </c>
      <c r="N414" s="43" t="s">
        <v>895</v>
      </c>
      <c r="O414" s="44" t="str">
        <f t="shared" si="29"/>
        <v>PE-L1-4C95/50-04</v>
      </c>
      <c r="P414" s="51">
        <v>160</v>
      </c>
      <c r="Q414" s="43">
        <v>400</v>
      </c>
      <c r="R414" s="43" t="s">
        <v>49</v>
      </c>
      <c r="S414" s="43">
        <v>180</v>
      </c>
      <c r="T414" s="43" t="s">
        <v>4546</v>
      </c>
      <c r="U414" s="43" t="s">
        <v>4834</v>
      </c>
      <c r="V414" s="43" t="s">
        <v>4835</v>
      </c>
      <c r="W414" s="43" t="s">
        <v>4549</v>
      </c>
      <c r="X414" s="47" t="s">
        <v>9305</v>
      </c>
      <c r="Y414" s="43" t="s">
        <v>4860</v>
      </c>
      <c r="Z414" s="43" t="s">
        <v>4585</v>
      </c>
      <c r="AA414" s="43" t="s">
        <v>4837</v>
      </c>
      <c r="AB414" s="47" t="s">
        <v>9305</v>
      </c>
      <c r="AC414" s="48" t="s">
        <v>4861</v>
      </c>
      <c r="AD414" s="30"/>
      <c r="AE414" s="197"/>
      <c r="AF414" s="47"/>
    </row>
    <row r="415" spans="1:32" s="29" customFormat="1" ht="69.95" hidden="1" customHeight="1">
      <c r="A415" s="29" t="s">
        <v>4862</v>
      </c>
      <c r="B415" s="29" t="s">
        <v>3769</v>
      </c>
      <c r="C415" s="40" t="s">
        <v>32</v>
      </c>
      <c r="D415" s="40"/>
      <c r="E415" s="57" t="s">
        <v>132</v>
      </c>
      <c r="F415" s="57" t="s">
        <v>132</v>
      </c>
      <c r="G415" s="29" t="s">
        <v>1151</v>
      </c>
      <c r="J415" s="29">
        <f t="shared" si="28"/>
        <v>1</v>
      </c>
      <c r="K415" s="42">
        <v>408</v>
      </c>
      <c r="L415" s="43" t="s">
        <v>1152</v>
      </c>
      <c r="M415" s="43" t="s">
        <v>405</v>
      </c>
      <c r="N415" s="44" t="s">
        <v>895</v>
      </c>
      <c r="O415" s="44" t="str">
        <f t="shared" si="29"/>
        <v>PE-L1-4C95/50-06</v>
      </c>
      <c r="P415" s="45">
        <v>160</v>
      </c>
      <c r="Q415" s="44">
        <v>400</v>
      </c>
      <c r="R415" s="44" t="s">
        <v>49</v>
      </c>
      <c r="S415" s="44">
        <v>250</v>
      </c>
      <c r="T415" s="46" t="s">
        <v>4546</v>
      </c>
      <c r="U415" s="46" t="s">
        <v>4862</v>
      </c>
      <c r="V415" s="46" t="s">
        <v>4863</v>
      </c>
      <c r="W415" s="46" t="s">
        <v>4549</v>
      </c>
      <c r="X415" s="47" t="s">
        <v>9305</v>
      </c>
      <c r="Y415" s="46" t="s">
        <v>4864</v>
      </c>
      <c r="Z415" s="46" t="s">
        <v>4590</v>
      </c>
      <c r="AA415" s="46" t="s">
        <v>4837</v>
      </c>
      <c r="AB415" s="47" t="s">
        <v>9305</v>
      </c>
      <c r="AC415" s="48" t="s">
        <v>4865</v>
      </c>
      <c r="AD415" s="30"/>
      <c r="AE415" s="197"/>
      <c r="AF415" s="47"/>
    </row>
    <row r="416" spans="1:32" s="29" customFormat="1" ht="69.95" hidden="1" customHeight="1">
      <c r="A416" s="49" t="s">
        <v>4862</v>
      </c>
      <c r="B416" s="49" t="s">
        <v>3769</v>
      </c>
      <c r="C416" s="50" t="s">
        <v>36</v>
      </c>
      <c r="D416" s="50"/>
      <c r="E416" s="57" t="s">
        <v>132</v>
      </c>
      <c r="F416" s="57" t="s">
        <v>132</v>
      </c>
      <c r="J416" s="29">
        <f t="shared" si="28"/>
        <v>1</v>
      </c>
      <c r="K416" s="42">
        <v>409</v>
      </c>
      <c r="L416" s="43" t="s">
        <v>1153</v>
      </c>
      <c r="M416" s="43" t="s">
        <v>405</v>
      </c>
      <c r="N416" s="43" t="s">
        <v>895</v>
      </c>
      <c r="O416" s="44" t="str">
        <f t="shared" si="29"/>
        <v>PE-L1-4C95/50-06</v>
      </c>
      <c r="P416" s="51">
        <v>160</v>
      </c>
      <c r="Q416" s="43">
        <v>400</v>
      </c>
      <c r="R416" s="43" t="s">
        <v>49</v>
      </c>
      <c r="S416" s="43">
        <v>250</v>
      </c>
      <c r="T416" s="43" t="s">
        <v>4546</v>
      </c>
      <c r="U416" s="43" t="s">
        <v>4862</v>
      </c>
      <c r="V416" s="43" t="s">
        <v>4863</v>
      </c>
      <c r="W416" s="43" t="s">
        <v>4549</v>
      </c>
      <c r="X416" s="47" t="s">
        <v>9305</v>
      </c>
      <c r="Y416" s="43" t="s">
        <v>4864</v>
      </c>
      <c r="Z416" s="43" t="s">
        <v>4590</v>
      </c>
      <c r="AA416" s="43" t="s">
        <v>4837</v>
      </c>
      <c r="AB416" s="47" t="s">
        <v>9305</v>
      </c>
      <c r="AC416" s="48" t="s">
        <v>4866</v>
      </c>
      <c r="AD416" s="30"/>
      <c r="AE416" s="197"/>
      <c r="AF416" s="47"/>
    </row>
    <row r="417" spans="1:32" s="29" customFormat="1" ht="69.95" hidden="1" customHeight="1">
      <c r="A417" s="29" t="s">
        <v>4862</v>
      </c>
      <c r="B417" s="29" t="s">
        <v>3769</v>
      </c>
      <c r="C417" s="40" t="s">
        <v>38</v>
      </c>
      <c r="D417" s="40"/>
      <c r="E417" s="57" t="s">
        <v>133</v>
      </c>
      <c r="F417" s="57" t="s">
        <v>133</v>
      </c>
      <c r="G417" s="29" t="s">
        <v>1154</v>
      </c>
      <c r="J417" s="29">
        <f t="shared" si="28"/>
        <v>1</v>
      </c>
      <c r="K417" s="42">
        <v>410</v>
      </c>
      <c r="L417" s="43" t="s">
        <v>1155</v>
      </c>
      <c r="M417" s="43" t="s">
        <v>405</v>
      </c>
      <c r="N417" s="44" t="s">
        <v>895</v>
      </c>
      <c r="O417" s="44" t="str">
        <f t="shared" si="29"/>
        <v>PE-L1-4C95/50-07</v>
      </c>
      <c r="P417" s="45">
        <v>160</v>
      </c>
      <c r="Q417" s="44">
        <v>400</v>
      </c>
      <c r="R417" s="44" t="s">
        <v>49</v>
      </c>
      <c r="S417" s="44">
        <v>240</v>
      </c>
      <c r="T417" s="46" t="s">
        <v>4546</v>
      </c>
      <c r="U417" s="46" t="s">
        <v>4862</v>
      </c>
      <c r="V417" s="46" t="s">
        <v>4863</v>
      </c>
      <c r="W417" s="46" t="s">
        <v>4549</v>
      </c>
      <c r="X417" s="47" t="s">
        <v>9305</v>
      </c>
      <c r="Y417" s="46" t="s">
        <v>4867</v>
      </c>
      <c r="Z417" s="46" t="s">
        <v>4593</v>
      </c>
      <c r="AA417" s="46" t="s">
        <v>4837</v>
      </c>
      <c r="AB417" s="47" t="s">
        <v>9305</v>
      </c>
      <c r="AC417" s="48" t="s">
        <v>4868</v>
      </c>
      <c r="AD417" s="30"/>
      <c r="AE417" s="197"/>
      <c r="AF417" s="47"/>
    </row>
    <row r="418" spans="1:32" s="29" customFormat="1" ht="69.95" hidden="1" customHeight="1">
      <c r="A418" s="49" t="s">
        <v>4862</v>
      </c>
      <c r="B418" s="49" t="s">
        <v>3769</v>
      </c>
      <c r="C418" s="50" t="s">
        <v>40</v>
      </c>
      <c r="D418" s="50"/>
      <c r="E418" s="57" t="s">
        <v>133</v>
      </c>
      <c r="F418" s="57" t="s">
        <v>133</v>
      </c>
      <c r="J418" s="29">
        <f t="shared" si="28"/>
        <v>1</v>
      </c>
      <c r="K418" s="42">
        <v>411</v>
      </c>
      <c r="L418" s="43" t="s">
        <v>1156</v>
      </c>
      <c r="M418" s="43" t="s">
        <v>405</v>
      </c>
      <c r="N418" s="43" t="s">
        <v>895</v>
      </c>
      <c r="O418" s="44" t="str">
        <f t="shared" si="29"/>
        <v>PE-L1-4C95/50-07</v>
      </c>
      <c r="P418" s="51">
        <v>160</v>
      </c>
      <c r="Q418" s="43">
        <v>400</v>
      </c>
      <c r="R418" s="43" t="s">
        <v>49</v>
      </c>
      <c r="S418" s="43">
        <v>240</v>
      </c>
      <c r="T418" s="43" t="s">
        <v>4546</v>
      </c>
      <c r="U418" s="43" t="s">
        <v>4862</v>
      </c>
      <c r="V418" s="43" t="s">
        <v>4863</v>
      </c>
      <c r="W418" s="43" t="s">
        <v>4549</v>
      </c>
      <c r="X418" s="47" t="s">
        <v>9305</v>
      </c>
      <c r="Y418" s="43" t="s">
        <v>4867</v>
      </c>
      <c r="Z418" s="43" t="s">
        <v>4593</v>
      </c>
      <c r="AA418" s="43" t="s">
        <v>4837</v>
      </c>
      <c r="AB418" s="47" t="s">
        <v>9305</v>
      </c>
      <c r="AC418" s="48" t="s">
        <v>4868</v>
      </c>
      <c r="AD418" s="30"/>
      <c r="AE418" s="197"/>
      <c r="AF418" s="47"/>
    </row>
    <row r="419" spans="1:32" s="29" customFormat="1" ht="69.95" hidden="1" customHeight="1">
      <c r="A419" s="29" t="s">
        <v>4862</v>
      </c>
      <c r="B419" s="29" t="s">
        <v>3769</v>
      </c>
      <c r="C419" s="40" t="s">
        <v>41</v>
      </c>
      <c r="D419" s="40"/>
      <c r="E419" s="57" t="s">
        <v>131</v>
      </c>
      <c r="F419" s="57" t="s">
        <v>131</v>
      </c>
      <c r="G419" s="29" t="s">
        <v>1157</v>
      </c>
      <c r="J419" s="29">
        <f t="shared" si="28"/>
        <v>1</v>
      </c>
      <c r="K419" s="42">
        <v>412</v>
      </c>
      <c r="L419" s="43" t="s">
        <v>1158</v>
      </c>
      <c r="M419" s="43" t="s">
        <v>405</v>
      </c>
      <c r="N419" s="44" t="s">
        <v>895</v>
      </c>
      <c r="O419" s="44" t="str">
        <f t="shared" si="29"/>
        <v>PE-L1-4C95/50-29</v>
      </c>
      <c r="P419" s="45">
        <v>160</v>
      </c>
      <c r="Q419" s="44">
        <v>400</v>
      </c>
      <c r="R419" s="44" t="s">
        <v>49</v>
      </c>
      <c r="S419" s="44">
        <v>230</v>
      </c>
      <c r="T419" s="46" t="s">
        <v>4546</v>
      </c>
      <c r="U419" s="46" t="s">
        <v>4862</v>
      </c>
      <c r="V419" s="46" t="s">
        <v>4863</v>
      </c>
      <c r="W419" s="46" t="s">
        <v>4549</v>
      </c>
      <c r="X419" s="47" t="s">
        <v>9305</v>
      </c>
      <c r="Y419" s="46" t="s">
        <v>4869</v>
      </c>
      <c r="Z419" s="46" t="s">
        <v>4596</v>
      </c>
      <c r="AA419" s="46" t="s">
        <v>4837</v>
      </c>
      <c r="AB419" s="47" t="s">
        <v>9305</v>
      </c>
      <c r="AC419" s="48" t="s">
        <v>4870</v>
      </c>
      <c r="AD419" s="30"/>
      <c r="AE419" s="197"/>
      <c r="AF419" s="47"/>
    </row>
    <row r="420" spans="1:32" s="29" customFormat="1" ht="69.95" hidden="1" customHeight="1">
      <c r="A420" s="49" t="s">
        <v>4862</v>
      </c>
      <c r="B420" s="49" t="s">
        <v>3769</v>
      </c>
      <c r="C420" s="50" t="s">
        <v>42</v>
      </c>
      <c r="D420" s="50"/>
      <c r="E420" s="57" t="s">
        <v>131</v>
      </c>
      <c r="F420" s="57" t="s">
        <v>131</v>
      </c>
      <c r="J420" s="29">
        <f t="shared" si="28"/>
        <v>1</v>
      </c>
      <c r="K420" s="42">
        <v>413</v>
      </c>
      <c r="L420" s="43" t="s">
        <v>1159</v>
      </c>
      <c r="M420" s="43" t="s">
        <v>405</v>
      </c>
      <c r="N420" s="43" t="s">
        <v>895</v>
      </c>
      <c r="O420" s="44" t="str">
        <f t="shared" si="29"/>
        <v>PE-L1-4C95/50-29</v>
      </c>
      <c r="P420" s="51">
        <v>160</v>
      </c>
      <c r="Q420" s="43">
        <v>400</v>
      </c>
      <c r="R420" s="43" t="s">
        <v>49</v>
      </c>
      <c r="S420" s="43">
        <v>230</v>
      </c>
      <c r="T420" s="43" t="s">
        <v>4546</v>
      </c>
      <c r="U420" s="43" t="s">
        <v>4862</v>
      </c>
      <c r="V420" s="43" t="s">
        <v>4863</v>
      </c>
      <c r="W420" s="43" t="s">
        <v>4549</v>
      </c>
      <c r="X420" s="47" t="s">
        <v>9305</v>
      </c>
      <c r="Y420" s="43" t="s">
        <v>4869</v>
      </c>
      <c r="Z420" s="43" t="s">
        <v>4596</v>
      </c>
      <c r="AA420" s="43" t="s">
        <v>4837</v>
      </c>
      <c r="AB420" s="47" t="s">
        <v>9305</v>
      </c>
      <c r="AC420" s="48" t="s">
        <v>4870</v>
      </c>
      <c r="AD420" s="30"/>
      <c r="AE420" s="197"/>
      <c r="AF420" s="47"/>
    </row>
    <row r="421" spans="1:32" s="29" customFormat="1" ht="69.95" hidden="1" customHeight="1">
      <c r="A421" s="29" t="s">
        <v>4862</v>
      </c>
      <c r="B421" s="29" t="s">
        <v>3769</v>
      </c>
      <c r="C421" s="40" t="s">
        <v>43</v>
      </c>
      <c r="D421" s="40"/>
      <c r="E421" s="57" t="s">
        <v>107</v>
      </c>
      <c r="F421" s="57" t="s">
        <v>107</v>
      </c>
      <c r="G421" s="29" t="s">
        <v>1160</v>
      </c>
      <c r="J421" s="29">
        <f t="shared" si="28"/>
        <v>1</v>
      </c>
      <c r="K421" s="42">
        <v>414</v>
      </c>
      <c r="L421" s="43" t="s">
        <v>1161</v>
      </c>
      <c r="M421" s="43" t="s">
        <v>405</v>
      </c>
      <c r="N421" s="44" t="s">
        <v>895</v>
      </c>
      <c r="O421" s="44" t="str">
        <f t="shared" si="29"/>
        <v>PE-L1-4C95/50-30</v>
      </c>
      <c r="P421" s="45">
        <v>160</v>
      </c>
      <c r="Q421" s="44">
        <v>400</v>
      </c>
      <c r="R421" s="44" t="s">
        <v>49</v>
      </c>
      <c r="S421" s="44">
        <v>210</v>
      </c>
      <c r="T421" s="46" t="s">
        <v>4546</v>
      </c>
      <c r="U421" s="46" t="s">
        <v>4862</v>
      </c>
      <c r="V421" s="46" t="s">
        <v>4863</v>
      </c>
      <c r="W421" s="46" t="s">
        <v>4549</v>
      </c>
      <c r="X421" s="47" t="s">
        <v>9305</v>
      </c>
      <c r="Y421" s="46" t="s">
        <v>4871</v>
      </c>
      <c r="Z421" s="46" t="s">
        <v>4599</v>
      </c>
      <c r="AA421" s="46" t="s">
        <v>4837</v>
      </c>
      <c r="AB421" s="47" t="s">
        <v>9305</v>
      </c>
      <c r="AC421" s="48" t="s">
        <v>4872</v>
      </c>
      <c r="AD421" s="30"/>
      <c r="AE421" s="197"/>
      <c r="AF421" s="47"/>
    </row>
    <row r="422" spans="1:32" s="29" customFormat="1" ht="69.95" hidden="1" customHeight="1">
      <c r="A422" s="49" t="s">
        <v>4862</v>
      </c>
      <c r="B422" s="49" t="s">
        <v>3769</v>
      </c>
      <c r="C422" s="50" t="s">
        <v>73</v>
      </c>
      <c r="D422" s="50"/>
      <c r="E422" s="57" t="s">
        <v>107</v>
      </c>
      <c r="F422" s="57" t="s">
        <v>107</v>
      </c>
      <c r="J422" s="29">
        <f t="shared" si="28"/>
        <v>1</v>
      </c>
      <c r="K422" s="42">
        <v>415</v>
      </c>
      <c r="L422" s="43" t="s">
        <v>1162</v>
      </c>
      <c r="M422" s="43" t="s">
        <v>405</v>
      </c>
      <c r="N422" s="43" t="s">
        <v>895</v>
      </c>
      <c r="O422" s="44" t="str">
        <f t="shared" si="29"/>
        <v>PE-L1-4C95/50-30</v>
      </c>
      <c r="P422" s="51">
        <v>160</v>
      </c>
      <c r="Q422" s="43">
        <v>400</v>
      </c>
      <c r="R422" s="43" t="s">
        <v>49</v>
      </c>
      <c r="S422" s="43">
        <v>210</v>
      </c>
      <c r="T422" s="43" t="s">
        <v>4546</v>
      </c>
      <c r="U422" s="43" t="s">
        <v>4862</v>
      </c>
      <c r="V422" s="43" t="s">
        <v>4863</v>
      </c>
      <c r="W422" s="43" t="s">
        <v>4549</v>
      </c>
      <c r="X422" s="47" t="s">
        <v>9305</v>
      </c>
      <c r="Y422" s="43" t="s">
        <v>4871</v>
      </c>
      <c r="Z422" s="43" t="s">
        <v>4599</v>
      </c>
      <c r="AA422" s="43" t="s">
        <v>4837</v>
      </c>
      <c r="AB422" s="47" t="s">
        <v>9305</v>
      </c>
      <c r="AC422" s="48" t="s">
        <v>4872</v>
      </c>
      <c r="AD422" s="30"/>
      <c r="AE422" s="197"/>
      <c r="AF422" s="47"/>
    </row>
    <row r="423" spans="1:32" s="29" customFormat="1" ht="69.95" hidden="1" customHeight="1">
      <c r="A423" s="29" t="s">
        <v>4862</v>
      </c>
      <c r="B423" s="29" t="s">
        <v>3769</v>
      </c>
      <c r="C423" s="40" t="s">
        <v>75</v>
      </c>
      <c r="D423" s="40"/>
      <c r="E423" s="57" t="s">
        <v>107</v>
      </c>
      <c r="F423" s="57" t="s">
        <v>107</v>
      </c>
      <c r="G423" s="29" t="s">
        <v>1163</v>
      </c>
      <c r="J423" s="29">
        <f t="shared" si="28"/>
        <v>1</v>
      </c>
      <c r="K423" s="42">
        <v>416</v>
      </c>
      <c r="L423" s="43" t="s">
        <v>1164</v>
      </c>
      <c r="M423" s="43" t="s">
        <v>405</v>
      </c>
      <c r="N423" s="44" t="s">
        <v>895</v>
      </c>
      <c r="O423" s="44" t="str">
        <f t="shared" si="29"/>
        <v>PE-L1-4C95/50-30</v>
      </c>
      <c r="P423" s="45">
        <v>160</v>
      </c>
      <c r="Q423" s="44">
        <v>400</v>
      </c>
      <c r="R423" s="44" t="s">
        <v>49</v>
      </c>
      <c r="S423" s="44">
        <v>220</v>
      </c>
      <c r="T423" s="46" t="s">
        <v>4546</v>
      </c>
      <c r="U423" s="46" t="s">
        <v>4862</v>
      </c>
      <c r="V423" s="46" t="s">
        <v>4863</v>
      </c>
      <c r="W423" s="46" t="s">
        <v>4549</v>
      </c>
      <c r="X423" s="47" t="s">
        <v>9305</v>
      </c>
      <c r="Y423" s="46" t="s">
        <v>4873</v>
      </c>
      <c r="Z423" s="46" t="s">
        <v>4602</v>
      </c>
      <c r="AA423" s="46" t="s">
        <v>4837</v>
      </c>
      <c r="AB423" s="47" t="s">
        <v>9305</v>
      </c>
      <c r="AC423" s="48" t="s">
        <v>4874</v>
      </c>
      <c r="AD423" s="30"/>
      <c r="AE423" s="197"/>
      <c r="AF423" s="47"/>
    </row>
    <row r="424" spans="1:32" s="29" customFormat="1" ht="69.95" hidden="1" customHeight="1">
      <c r="A424" s="49" t="s">
        <v>4862</v>
      </c>
      <c r="B424" s="49" t="s">
        <v>3769</v>
      </c>
      <c r="C424" s="49">
        <v>10</v>
      </c>
      <c r="D424" s="49"/>
      <c r="E424" s="57" t="s">
        <v>106</v>
      </c>
      <c r="F424" s="57" t="s">
        <v>106</v>
      </c>
      <c r="J424" s="29">
        <f t="shared" si="28"/>
        <v>1</v>
      </c>
      <c r="K424" s="42">
        <v>417</v>
      </c>
      <c r="L424" s="43" t="s">
        <v>1165</v>
      </c>
      <c r="M424" s="43" t="s">
        <v>405</v>
      </c>
      <c r="N424" s="43" t="s">
        <v>895</v>
      </c>
      <c r="O424" s="44" t="str">
        <f t="shared" si="29"/>
        <v>PE-L1-4C95/50-31</v>
      </c>
      <c r="P424" s="51">
        <v>160</v>
      </c>
      <c r="Q424" s="43">
        <v>400</v>
      </c>
      <c r="R424" s="43" t="s">
        <v>49</v>
      </c>
      <c r="S424" s="43">
        <v>220</v>
      </c>
      <c r="T424" s="43" t="s">
        <v>4546</v>
      </c>
      <c r="U424" s="43" t="s">
        <v>4862</v>
      </c>
      <c r="V424" s="43" t="s">
        <v>4863</v>
      </c>
      <c r="W424" s="43" t="s">
        <v>4549</v>
      </c>
      <c r="X424" s="47" t="s">
        <v>9305</v>
      </c>
      <c r="Y424" s="43" t="s">
        <v>4873</v>
      </c>
      <c r="Z424" s="43" t="s">
        <v>4602</v>
      </c>
      <c r="AA424" s="43" t="s">
        <v>4837</v>
      </c>
      <c r="AB424" s="47" t="s">
        <v>9305</v>
      </c>
      <c r="AC424" s="48" t="s">
        <v>4874</v>
      </c>
      <c r="AD424" s="30"/>
      <c r="AE424" s="197"/>
      <c r="AF424" s="47"/>
    </row>
    <row r="425" spans="1:32" s="29" customFormat="1" ht="69.95" hidden="1" customHeight="1">
      <c r="A425" s="29" t="s">
        <v>4862</v>
      </c>
      <c r="B425" s="29" t="s">
        <v>3769</v>
      </c>
      <c r="C425" s="40">
        <v>11</v>
      </c>
      <c r="D425" s="40"/>
      <c r="E425" s="57" t="s">
        <v>106</v>
      </c>
      <c r="F425" s="57" t="s">
        <v>106</v>
      </c>
      <c r="G425" s="29" t="s">
        <v>1166</v>
      </c>
      <c r="J425" s="29">
        <f t="shared" si="28"/>
        <v>1</v>
      </c>
      <c r="K425" s="127">
        <v>418</v>
      </c>
      <c r="L425" s="43" t="s">
        <v>1167</v>
      </c>
      <c r="M425" s="43" t="s">
        <v>405</v>
      </c>
      <c r="N425" s="44" t="s">
        <v>895</v>
      </c>
      <c r="O425" s="44" t="str">
        <f t="shared" si="29"/>
        <v>PE-L1-4C95/50-31</v>
      </c>
      <c r="P425" s="45">
        <v>160</v>
      </c>
      <c r="Q425" s="44">
        <v>400</v>
      </c>
      <c r="R425" s="44" t="s">
        <v>49</v>
      </c>
      <c r="S425" s="44">
        <v>220</v>
      </c>
      <c r="T425" s="46" t="s">
        <v>4546</v>
      </c>
      <c r="U425" s="46" t="s">
        <v>4862</v>
      </c>
      <c r="V425" s="46" t="s">
        <v>4863</v>
      </c>
      <c r="W425" s="46" t="s">
        <v>4549</v>
      </c>
      <c r="X425" s="47" t="s">
        <v>9305</v>
      </c>
      <c r="Y425" s="46" t="s">
        <v>4875</v>
      </c>
      <c r="Z425" s="46" t="s">
        <v>4606</v>
      </c>
      <c r="AA425" s="46" t="s">
        <v>4837</v>
      </c>
      <c r="AB425" s="47" t="s">
        <v>9305</v>
      </c>
      <c r="AC425" s="76" t="s">
        <v>9199</v>
      </c>
      <c r="AD425" s="30"/>
      <c r="AE425" s="197"/>
      <c r="AF425" s="47"/>
    </row>
    <row r="426" spans="1:32" s="29" customFormat="1" ht="69.95" hidden="1" customHeight="1">
      <c r="A426" s="49" t="s">
        <v>4862</v>
      </c>
      <c r="B426" s="49" t="s">
        <v>3769</v>
      </c>
      <c r="C426" s="49">
        <v>12</v>
      </c>
      <c r="D426" s="49"/>
      <c r="E426" s="56" t="s">
        <v>101</v>
      </c>
      <c r="F426" s="56" t="s">
        <v>101</v>
      </c>
      <c r="J426" s="29">
        <f t="shared" si="28"/>
        <v>1</v>
      </c>
      <c r="K426" s="127">
        <v>419</v>
      </c>
      <c r="L426" s="43" t="s">
        <v>1168</v>
      </c>
      <c r="M426" s="43" t="s">
        <v>405</v>
      </c>
      <c r="N426" s="43" t="s">
        <v>895</v>
      </c>
      <c r="O426" s="44" t="str">
        <f t="shared" si="29"/>
        <v>PE-L1-4C95/50-33</v>
      </c>
      <c r="P426" s="51">
        <v>160</v>
      </c>
      <c r="Q426" s="43">
        <v>400</v>
      </c>
      <c r="R426" s="43" t="s">
        <v>49</v>
      </c>
      <c r="S426" s="43">
        <v>220</v>
      </c>
      <c r="T426" s="43" t="s">
        <v>4546</v>
      </c>
      <c r="U426" s="43" t="s">
        <v>4862</v>
      </c>
      <c r="V426" s="43" t="s">
        <v>4863</v>
      </c>
      <c r="W426" s="43" t="s">
        <v>4549</v>
      </c>
      <c r="X426" s="47" t="s">
        <v>9305</v>
      </c>
      <c r="Y426" s="43" t="s">
        <v>4875</v>
      </c>
      <c r="Z426" s="43" t="s">
        <v>4606</v>
      </c>
      <c r="AA426" s="43" t="s">
        <v>4837</v>
      </c>
      <c r="AB426" s="47" t="s">
        <v>9305</v>
      </c>
      <c r="AC426" s="76" t="s">
        <v>9199</v>
      </c>
      <c r="AD426" s="30"/>
      <c r="AE426" s="197"/>
      <c r="AF426" s="47"/>
    </row>
    <row r="427" spans="1:32" s="29" customFormat="1" ht="69.95" hidden="1" customHeight="1">
      <c r="A427" s="29" t="s">
        <v>4862</v>
      </c>
      <c r="B427" s="29" t="s">
        <v>3769</v>
      </c>
      <c r="C427" s="40">
        <v>13</v>
      </c>
      <c r="D427" s="40"/>
      <c r="E427" s="57" t="s">
        <v>136</v>
      </c>
      <c r="F427" s="57" t="s">
        <v>136</v>
      </c>
      <c r="G427" s="29" t="s">
        <v>1169</v>
      </c>
      <c r="J427" s="29">
        <f t="shared" si="28"/>
        <v>1</v>
      </c>
      <c r="K427" s="127">
        <v>420</v>
      </c>
      <c r="L427" s="43" t="s">
        <v>1170</v>
      </c>
      <c r="M427" s="43" t="s">
        <v>405</v>
      </c>
      <c r="N427" s="44" t="s">
        <v>895</v>
      </c>
      <c r="O427" s="44" t="str">
        <f t="shared" si="29"/>
        <v>PE-L1-4C95/50-14</v>
      </c>
      <c r="P427" s="45">
        <v>160</v>
      </c>
      <c r="Q427" s="44">
        <v>400</v>
      </c>
      <c r="R427" s="44" t="s">
        <v>49</v>
      </c>
      <c r="S427" s="44">
        <v>260</v>
      </c>
      <c r="T427" s="46" t="s">
        <v>4546</v>
      </c>
      <c r="U427" s="46" t="s">
        <v>4862</v>
      </c>
      <c r="V427" s="46" t="s">
        <v>4863</v>
      </c>
      <c r="W427" s="46" t="s">
        <v>4549</v>
      </c>
      <c r="X427" s="47" t="s">
        <v>9305</v>
      </c>
      <c r="Y427" s="46" t="s">
        <v>4876</v>
      </c>
      <c r="Z427" s="46" t="s">
        <v>4609</v>
      </c>
      <c r="AA427" s="46" t="s">
        <v>4837</v>
      </c>
      <c r="AB427" s="47" t="s">
        <v>9305</v>
      </c>
      <c r="AC427" s="76" t="s">
        <v>9200</v>
      </c>
      <c r="AD427" s="30"/>
      <c r="AE427" s="197"/>
      <c r="AF427" s="47"/>
    </row>
    <row r="428" spans="1:32" s="29" customFormat="1" ht="69.95" hidden="1" customHeight="1">
      <c r="A428" s="49" t="s">
        <v>4862</v>
      </c>
      <c r="B428" s="49" t="s">
        <v>3769</v>
      </c>
      <c r="C428" s="49">
        <v>14</v>
      </c>
      <c r="D428" s="49"/>
      <c r="E428" s="57" t="s">
        <v>136</v>
      </c>
      <c r="F428" s="57" t="s">
        <v>136</v>
      </c>
      <c r="J428" s="29">
        <f t="shared" si="28"/>
        <v>1</v>
      </c>
      <c r="K428" s="127">
        <v>421</v>
      </c>
      <c r="L428" s="43" t="s">
        <v>1171</v>
      </c>
      <c r="M428" s="43" t="s">
        <v>405</v>
      </c>
      <c r="N428" s="43" t="s">
        <v>895</v>
      </c>
      <c r="O428" s="44" t="str">
        <f t="shared" si="29"/>
        <v>PE-L1-4C95/50-14</v>
      </c>
      <c r="P428" s="51">
        <v>160</v>
      </c>
      <c r="Q428" s="43">
        <v>400</v>
      </c>
      <c r="R428" s="43" t="s">
        <v>49</v>
      </c>
      <c r="S428" s="43">
        <v>260</v>
      </c>
      <c r="T428" s="43" t="s">
        <v>4546</v>
      </c>
      <c r="U428" s="43" t="s">
        <v>4862</v>
      </c>
      <c r="V428" s="43" t="s">
        <v>4863</v>
      </c>
      <c r="W428" s="43" t="s">
        <v>4549</v>
      </c>
      <c r="X428" s="47" t="s">
        <v>9305</v>
      </c>
      <c r="Y428" s="43" t="s">
        <v>4876</v>
      </c>
      <c r="Z428" s="43" t="s">
        <v>4609</v>
      </c>
      <c r="AA428" s="43" t="s">
        <v>4837</v>
      </c>
      <c r="AB428" s="47" t="s">
        <v>9305</v>
      </c>
      <c r="AC428" s="76" t="s">
        <v>9201</v>
      </c>
      <c r="AD428" s="30"/>
      <c r="AE428" s="197"/>
      <c r="AF428" s="47"/>
    </row>
    <row r="429" spans="1:32" s="29" customFormat="1" ht="69.95" hidden="1" customHeight="1">
      <c r="A429" s="29" t="s">
        <v>4862</v>
      </c>
      <c r="B429" s="29" t="s">
        <v>3769</v>
      </c>
      <c r="C429" s="40">
        <v>15</v>
      </c>
      <c r="D429" s="40"/>
      <c r="E429" s="56" t="s">
        <v>101</v>
      </c>
      <c r="F429" s="56" t="s">
        <v>101</v>
      </c>
      <c r="G429" s="29" t="s">
        <v>1172</v>
      </c>
      <c r="J429" s="29">
        <f t="shared" si="28"/>
        <v>1</v>
      </c>
      <c r="K429" s="127">
        <v>422</v>
      </c>
      <c r="L429" s="43" t="s">
        <v>1173</v>
      </c>
      <c r="M429" s="43" t="s">
        <v>405</v>
      </c>
      <c r="N429" s="44" t="s">
        <v>895</v>
      </c>
      <c r="O429" s="44" t="str">
        <f t="shared" si="29"/>
        <v>PE-L1-4C95/50-33</v>
      </c>
      <c r="P429" s="45">
        <v>160</v>
      </c>
      <c r="Q429" s="44">
        <v>400</v>
      </c>
      <c r="R429" s="44" t="s">
        <v>49</v>
      </c>
      <c r="S429" s="44">
        <v>250</v>
      </c>
      <c r="T429" s="46" t="s">
        <v>4546</v>
      </c>
      <c r="U429" s="46" t="s">
        <v>4862</v>
      </c>
      <c r="V429" s="46" t="s">
        <v>4863</v>
      </c>
      <c r="W429" s="46" t="s">
        <v>4549</v>
      </c>
      <c r="X429" s="47" t="s">
        <v>9305</v>
      </c>
      <c r="Y429" s="46" t="s">
        <v>4877</v>
      </c>
      <c r="Z429" s="46" t="s">
        <v>4612</v>
      </c>
      <c r="AA429" s="46" t="s">
        <v>4837</v>
      </c>
      <c r="AB429" s="47" t="s">
        <v>9305</v>
      </c>
      <c r="AC429" s="76" t="s">
        <v>9202</v>
      </c>
      <c r="AD429" s="30"/>
      <c r="AE429" s="197"/>
      <c r="AF429" s="47"/>
    </row>
    <row r="430" spans="1:32" s="29" customFormat="1" ht="69.95" hidden="1" customHeight="1">
      <c r="A430" s="49" t="s">
        <v>4862</v>
      </c>
      <c r="B430" s="49" t="s">
        <v>3769</v>
      </c>
      <c r="C430" s="49">
        <v>16</v>
      </c>
      <c r="D430" s="49"/>
      <c r="E430" s="56" t="s">
        <v>135</v>
      </c>
      <c r="F430" s="56" t="s">
        <v>135</v>
      </c>
      <c r="J430" s="29">
        <f t="shared" si="28"/>
        <v>1</v>
      </c>
      <c r="K430" s="127">
        <v>423</v>
      </c>
      <c r="L430" s="43" t="s">
        <v>1174</v>
      </c>
      <c r="M430" s="43" t="s">
        <v>405</v>
      </c>
      <c r="N430" s="43" t="s">
        <v>895</v>
      </c>
      <c r="O430" s="44" t="str">
        <f t="shared" si="29"/>
        <v>PE-L1-4C95/50-32</v>
      </c>
      <c r="P430" s="51">
        <v>160</v>
      </c>
      <c r="Q430" s="43">
        <v>400</v>
      </c>
      <c r="R430" s="43" t="s">
        <v>49</v>
      </c>
      <c r="S430" s="43">
        <v>250</v>
      </c>
      <c r="T430" s="43" t="s">
        <v>4546</v>
      </c>
      <c r="U430" s="43" t="s">
        <v>4862</v>
      </c>
      <c r="V430" s="43" t="s">
        <v>4863</v>
      </c>
      <c r="W430" s="43" t="s">
        <v>4549</v>
      </c>
      <c r="X430" s="47" t="s">
        <v>9305</v>
      </c>
      <c r="Y430" s="43" t="s">
        <v>4877</v>
      </c>
      <c r="Z430" s="43" t="s">
        <v>4612</v>
      </c>
      <c r="AA430" s="43" t="s">
        <v>4837</v>
      </c>
      <c r="AB430" s="47" t="s">
        <v>9305</v>
      </c>
      <c r="AC430" s="76" t="s">
        <v>9202</v>
      </c>
      <c r="AD430" s="30"/>
      <c r="AE430" s="197"/>
      <c r="AF430" s="47"/>
    </row>
    <row r="431" spans="1:32" s="29" customFormat="1" ht="69.95" hidden="1" customHeight="1">
      <c r="A431" s="29" t="s">
        <v>4862</v>
      </c>
      <c r="B431" s="29" t="s">
        <v>3769</v>
      </c>
      <c r="C431" s="40">
        <v>17</v>
      </c>
      <c r="D431" s="40"/>
      <c r="E431" s="57" t="s">
        <v>108</v>
      </c>
      <c r="F431" s="57" t="s">
        <v>108</v>
      </c>
      <c r="G431" s="29" t="s">
        <v>1175</v>
      </c>
      <c r="J431" s="29">
        <f t="shared" si="28"/>
        <v>1</v>
      </c>
      <c r="K431" s="127">
        <v>424</v>
      </c>
      <c r="L431" s="43" t="s">
        <v>1176</v>
      </c>
      <c r="M431" s="43" t="s">
        <v>405</v>
      </c>
      <c r="N431" s="44" t="s">
        <v>895</v>
      </c>
      <c r="O431" s="44" t="str">
        <f t="shared" si="29"/>
        <v>PE-L1-4C95/50-22</v>
      </c>
      <c r="P431" s="45">
        <v>160</v>
      </c>
      <c r="Q431" s="44">
        <v>400</v>
      </c>
      <c r="R431" s="44" t="s">
        <v>49</v>
      </c>
      <c r="S431" s="44">
        <v>220</v>
      </c>
      <c r="T431" s="46" t="s">
        <v>4546</v>
      </c>
      <c r="U431" s="46" t="s">
        <v>4862</v>
      </c>
      <c r="V431" s="46" t="s">
        <v>4863</v>
      </c>
      <c r="W431" s="46" t="s">
        <v>4549</v>
      </c>
      <c r="X431" s="47" t="s">
        <v>9305</v>
      </c>
      <c r="Y431" s="46" t="s">
        <v>4878</v>
      </c>
      <c r="Z431" s="46" t="s">
        <v>4615</v>
      </c>
      <c r="AA431" s="46" t="s">
        <v>4837</v>
      </c>
      <c r="AB431" s="47" t="s">
        <v>9305</v>
      </c>
      <c r="AC431" s="76" t="s">
        <v>9203</v>
      </c>
      <c r="AD431" s="30"/>
      <c r="AE431" s="197"/>
      <c r="AF431" s="47"/>
    </row>
    <row r="432" spans="1:32" s="29" customFormat="1" ht="69.95" hidden="1" customHeight="1">
      <c r="A432" s="49" t="s">
        <v>4862</v>
      </c>
      <c r="B432" s="49" t="s">
        <v>3769</v>
      </c>
      <c r="C432" s="49">
        <v>18</v>
      </c>
      <c r="D432" s="49"/>
      <c r="E432" s="57" t="s">
        <v>108</v>
      </c>
      <c r="F432" s="57" t="s">
        <v>108</v>
      </c>
      <c r="J432" s="29">
        <f t="shared" si="28"/>
        <v>1</v>
      </c>
      <c r="K432" s="127">
        <v>425</v>
      </c>
      <c r="L432" s="43" t="s">
        <v>1177</v>
      </c>
      <c r="M432" s="43" t="s">
        <v>405</v>
      </c>
      <c r="N432" s="43" t="s">
        <v>895</v>
      </c>
      <c r="O432" s="44" t="str">
        <f t="shared" si="29"/>
        <v>PE-L1-4C95/50-22</v>
      </c>
      <c r="P432" s="51">
        <v>160</v>
      </c>
      <c r="Q432" s="43">
        <v>400</v>
      </c>
      <c r="R432" s="43" t="s">
        <v>49</v>
      </c>
      <c r="S432" s="43">
        <v>220</v>
      </c>
      <c r="T432" s="43" t="s">
        <v>4546</v>
      </c>
      <c r="U432" s="43" t="s">
        <v>4862</v>
      </c>
      <c r="V432" s="43" t="s">
        <v>4863</v>
      </c>
      <c r="W432" s="43" t="s">
        <v>4549</v>
      </c>
      <c r="X432" s="47" t="s">
        <v>9305</v>
      </c>
      <c r="Y432" s="43" t="s">
        <v>4878</v>
      </c>
      <c r="Z432" s="43" t="s">
        <v>4615</v>
      </c>
      <c r="AA432" s="43" t="s">
        <v>4837</v>
      </c>
      <c r="AB432" s="47" t="s">
        <v>9305</v>
      </c>
      <c r="AC432" s="76" t="s">
        <v>9203</v>
      </c>
      <c r="AD432" s="30"/>
      <c r="AE432" s="197"/>
      <c r="AF432" s="47"/>
    </row>
    <row r="433" spans="1:32" s="29" customFormat="1" ht="69.95" hidden="1" customHeight="1">
      <c r="A433" s="29" t="s">
        <v>4862</v>
      </c>
      <c r="B433" s="29" t="s">
        <v>3769</v>
      </c>
      <c r="C433" s="40">
        <v>19</v>
      </c>
      <c r="D433" s="40"/>
      <c r="E433" s="57" t="s">
        <v>113</v>
      </c>
      <c r="F433" s="57" t="s">
        <v>113</v>
      </c>
      <c r="G433" s="29" t="s">
        <v>1178</v>
      </c>
      <c r="J433" s="29">
        <f t="shared" si="28"/>
        <v>1</v>
      </c>
      <c r="K433" s="127">
        <v>426</v>
      </c>
      <c r="L433" s="43" t="s">
        <v>1179</v>
      </c>
      <c r="M433" s="43" t="s">
        <v>405</v>
      </c>
      <c r="N433" s="44" t="s">
        <v>895</v>
      </c>
      <c r="O433" s="44" t="str">
        <f t="shared" si="29"/>
        <v>PE-L1-4C95/50-27</v>
      </c>
      <c r="P433" s="45">
        <v>160</v>
      </c>
      <c r="Q433" s="44">
        <v>400</v>
      </c>
      <c r="R433" s="44" t="s">
        <v>49</v>
      </c>
      <c r="S433" s="44">
        <v>210</v>
      </c>
      <c r="T433" s="46" t="s">
        <v>4546</v>
      </c>
      <c r="U433" s="46" t="s">
        <v>4862</v>
      </c>
      <c r="V433" s="46" t="s">
        <v>4863</v>
      </c>
      <c r="W433" s="46" t="s">
        <v>4549</v>
      </c>
      <c r="X433" s="47" t="s">
        <v>9305</v>
      </c>
      <c r="Y433" s="46" t="s">
        <v>4879</v>
      </c>
      <c r="Z433" s="46" t="s">
        <v>4618</v>
      </c>
      <c r="AA433" s="46" t="s">
        <v>4837</v>
      </c>
      <c r="AB433" s="47" t="s">
        <v>9305</v>
      </c>
      <c r="AC433" s="76" t="s">
        <v>9204</v>
      </c>
      <c r="AD433" s="30"/>
      <c r="AE433" s="197"/>
      <c r="AF433" s="47"/>
    </row>
    <row r="434" spans="1:32" s="29" customFormat="1" ht="69.95" hidden="1" customHeight="1">
      <c r="A434" s="49" t="s">
        <v>4862</v>
      </c>
      <c r="B434" s="49" t="s">
        <v>3769</v>
      </c>
      <c r="C434" s="49">
        <v>20</v>
      </c>
      <c r="D434" s="49"/>
      <c r="E434" s="56" t="s">
        <v>135</v>
      </c>
      <c r="F434" s="56" t="s">
        <v>135</v>
      </c>
      <c r="J434" s="29">
        <f t="shared" si="28"/>
        <v>1</v>
      </c>
      <c r="K434" s="127">
        <v>427</v>
      </c>
      <c r="L434" s="43" t="s">
        <v>1180</v>
      </c>
      <c r="M434" s="43" t="s">
        <v>405</v>
      </c>
      <c r="N434" s="43" t="s">
        <v>895</v>
      </c>
      <c r="O434" s="44" t="str">
        <f t="shared" si="29"/>
        <v>PE-L1-4C95/50-32</v>
      </c>
      <c r="P434" s="51">
        <v>160</v>
      </c>
      <c r="Q434" s="43">
        <v>400</v>
      </c>
      <c r="R434" s="43" t="s">
        <v>49</v>
      </c>
      <c r="S434" s="43">
        <v>210</v>
      </c>
      <c r="T434" s="43" t="s">
        <v>4546</v>
      </c>
      <c r="U434" s="43" t="s">
        <v>4862</v>
      </c>
      <c r="V434" s="43" t="s">
        <v>4863</v>
      </c>
      <c r="W434" s="43" t="s">
        <v>4549</v>
      </c>
      <c r="X434" s="47" t="s">
        <v>9305</v>
      </c>
      <c r="Y434" s="43" t="s">
        <v>4879</v>
      </c>
      <c r="Z434" s="43" t="s">
        <v>4618</v>
      </c>
      <c r="AA434" s="43" t="s">
        <v>4837</v>
      </c>
      <c r="AB434" s="47" t="s">
        <v>9305</v>
      </c>
      <c r="AC434" s="76" t="s">
        <v>9204</v>
      </c>
      <c r="AD434" s="30"/>
      <c r="AE434" s="197"/>
      <c r="AF434" s="47"/>
    </row>
    <row r="435" spans="1:32" s="29" customFormat="1" ht="69.95" hidden="1" customHeight="1">
      <c r="A435" s="29" t="s">
        <v>4862</v>
      </c>
      <c r="B435" s="29" t="s">
        <v>3769</v>
      </c>
      <c r="C435" s="40">
        <v>21</v>
      </c>
      <c r="D435" s="40"/>
      <c r="E435" s="57" t="s">
        <v>137</v>
      </c>
      <c r="F435" s="57" t="s">
        <v>137</v>
      </c>
      <c r="G435" s="29" t="s">
        <v>1181</v>
      </c>
      <c r="J435" s="29">
        <f t="shared" si="28"/>
        <v>1</v>
      </c>
      <c r="K435" s="42">
        <v>428</v>
      </c>
      <c r="L435" s="43" t="s">
        <v>1182</v>
      </c>
      <c r="M435" s="43" t="s">
        <v>405</v>
      </c>
      <c r="N435" s="44" t="s">
        <v>895</v>
      </c>
      <c r="O435" s="44" t="str">
        <f t="shared" si="29"/>
        <v>PE-L1-4C95/50-25</v>
      </c>
      <c r="P435" s="45">
        <v>160</v>
      </c>
      <c r="Q435" s="44">
        <v>400</v>
      </c>
      <c r="R435" s="44" t="s">
        <v>49</v>
      </c>
      <c r="S435" s="44">
        <v>240</v>
      </c>
      <c r="T435" s="46" t="s">
        <v>4546</v>
      </c>
      <c r="U435" s="46" t="s">
        <v>4862</v>
      </c>
      <c r="V435" s="46" t="s">
        <v>4863</v>
      </c>
      <c r="W435" s="46" t="s">
        <v>4549</v>
      </c>
      <c r="X435" s="47" t="s">
        <v>9305</v>
      </c>
      <c r="Y435" s="46" t="s">
        <v>4880</v>
      </c>
      <c r="Z435" s="46" t="s">
        <v>4621</v>
      </c>
      <c r="AA435" s="46" t="s">
        <v>4837</v>
      </c>
      <c r="AB435" s="47" t="s">
        <v>9305</v>
      </c>
      <c r="AC435" s="48" t="s">
        <v>4881</v>
      </c>
      <c r="AD435" s="30"/>
      <c r="AE435" s="197"/>
      <c r="AF435" s="47"/>
    </row>
    <row r="436" spans="1:32" s="29" customFormat="1" ht="69.95" hidden="1" customHeight="1">
      <c r="A436" s="49" t="s">
        <v>4862</v>
      </c>
      <c r="B436" s="49" t="s">
        <v>3769</v>
      </c>
      <c r="C436" s="49">
        <v>22</v>
      </c>
      <c r="D436" s="49"/>
      <c r="E436" s="57" t="s">
        <v>137</v>
      </c>
      <c r="F436" s="57" t="s">
        <v>137</v>
      </c>
      <c r="J436" s="29">
        <f t="shared" si="28"/>
        <v>1</v>
      </c>
      <c r="K436" s="42">
        <v>429</v>
      </c>
      <c r="L436" s="43" t="s">
        <v>1183</v>
      </c>
      <c r="M436" s="43" t="s">
        <v>405</v>
      </c>
      <c r="N436" s="43" t="s">
        <v>895</v>
      </c>
      <c r="O436" s="44" t="str">
        <f t="shared" si="29"/>
        <v>PE-L1-4C95/50-25</v>
      </c>
      <c r="P436" s="51">
        <v>160</v>
      </c>
      <c r="Q436" s="43">
        <v>400</v>
      </c>
      <c r="R436" s="43" t="s">
        <v>49</v>
      </c>
      <c r="S436" s="43">
        <v>240</v>
      </c>
      <c r="T436" s="43" t="s">
        <v>4546</v>
      </c>
      <c r="U436" s="43" t="s">
        <v>4862</v>
      </c>
      <c r="V436" s="43" t="s">
        <v>4863</v>
      </c>
      <c r="W436" s="43" t="s">
        <v>4549</v>
      </c>
      <c r="X436" s="47" t="s">
        <v>9305</v>
      </c>
      <c r="Y436" s="43" t="s">
        <v>4880</v>
      </c>
      <c r="Z436" s="43" t="s">
        <v>4621</v>
      </c>
      <c r="AA436" s="43" t="s">
        <v>4837</v>
      </c>
      <c r="AB436" s="47" t="s">
        <v>9305</v>
      </c>
      <c r="AC436" s="48" t="s">
        <v>4881</v>
      </c>
      <c r="AD436" s="30"/>
      <c r="AE436" s="197"/>
      <c r="AF436" s="47"/>
    </row>
    <row r="437" spans="1:32" s="29" customFormat="1" ht="69.95" hidden="1" customHeight="1">
      <c r="A437" s="29" t="s">
        <v>4862</v>
      </c>
      <c r="B437" s="29" t="s">
        <v>3769</v>
      </c>
      <c r="C437" s="40">
        <v>23</v>
      </c>
      <c r="D437" s="40"/>
      <c r="E437" s="57" t="s">
        <v>105</v>
      </c>
      <c r="F437" s="57" t="s">
        <v>105</v>
      </c>
      <c r="G437" s="29" t="s">
        <v>1184</v>
      </c>
      <c r="J437" s="29">
        <f t="shared" si="28"/>
        <v>1</v>
      </c>
      <c r="K437" s="42">
        <v>430</v>
      </c>
      <c r="L437" s="43" t="s">
        <v>1185</v>
      </c>
      <c r="M437" s="43" t="s">
        <v>405</v>
      </c>
      <c r="N437" s="44" t="s">
        <v>895</v>
      </c>
      <c r="O437" s="44" t="str">
        <f t="shared" si="29"/>
        <v>PE-L1-4C95/50-24</v>
      </c>
      <c r="P437" s="45">
        <v>160</v>
      </c>
      <c r="Q437" s="44">
        <v>400</v>
      </c>
      <c r="R437" s="44" t="s">
        <v>49</v>
      </c>
      <c r="S437" s="44">
        <v>250</v>
      </c>
      <c r="T437" s="46" t="s">
        <v>4546</v>
      </c>
      <c r="U437" s="46" t="s">
        <v>4862</v>
      </c>
      <c r="V437" s="46" t="s">
        <v>4863</v>
      </c>
      <c r="W437" s="46" t="s">
        <v>4549</v>
      </c>
      <c r="X437" s="47" t="s">
        <v>9305</v>
      </c>
      <c r="Y437" s="46" t="s">
        <v>4882</v>
      </c>
      <c r="Z437" s="46" t="s">
        <v>4624</v>
      </c>
      <c r="AA437" s="46" t="s">
        <v>4837</v>
      </c>
      <c r="AB437" s="47" t="s">
        <v>9305</v>
      </c>
      <c r="AC437" s="48" t="s">
        <v>4883</v>
      </c>
      <c r="AD437" s="30"/>
      <c r="AE437" s="197"/>
      <c r="AF437" s="47"/>
    </row>
    <row r="438" spans="1:32" s="29" customFormat="1" ht="69.95" hidden="1" customHeight="1">
      <c r="A438" s="49" t="s">
        <v>4862</v>
      </c>
      <c r="B438" s="49" t="s">
        <v>3769</v>
      </c>
      <c r="C438" s="49">
        <v>24</v>
      </c>
      <c r="D438" s="49"/>
      <c r="E438" s="57" t="s">
        <v>137</v>
      </c>
      <c r="F438" s="57" t="s">
        <v>137</v>
      </c>
      <c r="J438" s="29">
        <f t="shared" si="28"/>
        <v>1</v>
      </c>
      <c r="K438" s="42">
        <v>431</v>
      </c>
      <c r="L438" s="43" t="s">
        <v>1186</v>
      </c>
      <c r="M438" s="43" t="s">
        <v>405</v>
      </c>
      <c r="N438" s="43" t="s">
        <v>895</v>
      </c>
      <c r="O438" s="44" t="str">
        <f t="shared" si="29"/>
        <v>PE-L1-4C95/50-25</v>
      </c>
      <c r="P438" s="51">
        <v>160</v>
      </c>
      <c r="Q438" s="43">
        <v>400</v>
      </c>
      <c r="R438" s="43" t="s">
        <v>49</v>
      </c>
      <c r="S438" s="43">
        <v>250</v>
      </c>
      <c r="T438" s="43" t="s">
        <v>4546</v>
      </c>
      <c r="U438" s="43" t="s">
        <v>4862</v>
      </c>
      <c r="V438" s="43" t="s">
        <v>4863</v>
      </c>
      <c r="W438" s="43" t="s">
        <v>4549</v>
      </c>
      <c r="X438" s="47" t="s">
        <v>9305</v>
      </c>
      <c r="Y438" s="43" t="s">
        <v>4882</v>
      </c>
      <c r="Z438" s="43" t="s">
        <v>4624</v>
      </c>
      <c r="AA438" s="43" t="s">
        <v>4837</v>
      </c>
      <c r="AB438" s="47" t="s">
        <v>9305</v>
      </c>
      <c r="AC438" s="48" t="s">
        <v>4883</v>
      </c>
      <c r="AD438" s="30"/>
      <c r="AE438" s="197"/>
      <c r="AF438" s="47"/>
    </row>
    <row r="439" spans="1:32" s="29" customFormat="1" ht="69.95" hidden="1" customHeight="1">
      <c r="A439" s="29" t="s">
        <v>4834</v>
      </c>
      <c r="B439" s="29" t="s">
        <v>3769</v>
      </c>
      <c r="C439" s="40">
        <v>25</v>
      </c>
      <c r="D439" s="40"/>
      <c r="E439" s="57" t="s">
        <v>139</v>
      </c>
      <c r="F439" s="57" t="s">
        <v>139</v>
      </c>
      <c r="G439" s="29" t="s">
        <v>1187</v>
      </c>
      <c r="J439" s="29">
        <f t="shared" si="28"/>
        <v>1</v>
      </c>
      <c r="K439" s="42">
        <v>432</v>
      </c>
      <c r="L439" s="43" t="s">
        <v>1188</v>
      </c>
      <c r="M439" s="43" t="s">
        <v>405</v>
      </c>
      <c r="N439" s="44" t="s">
        <v>426</v>
      </c>
      <c r="O439" s="44" t="str">
        <f t="shared" si="29"/>
        <v>PE-L1-3C4-24</v>
      </c>
      <c r="P439" s="45">
        <v>0.2</v>
      </c>
      <c r="Q439" s="44">
        <v>230</v>
      </c>
      <c r="R439" s="44" t="s">
        <v>49</v>
      </c>
      <c r="S439" s="44">
        <v>180</v>
      </c>
      <c r="T439" s="46" t="s">
        <v>4546</v>
      </c>
      <c r="U439" s="46" t="s">
        <v>4834</v>
      </c>
      <c r="V439" s="46" t="s">
        <v>4835</v>
      </c>
      <c r="W439" s="46" t="s">
        <v>4549</v>
      </c>
      <c r="X439" s="172" t="s">
        <v>9167</v>
      </c>
      <c r="Y439" s="46" t="s">
        <v>4884</v>
      </c>
      <c r="Z439" s="46" t="s">
        <v>4627</v>
      </c>
      <c r="AA439" s="46" t="s">
        <v>4837</v>
      </c>
      <c r="AB439" s="172" t="s">
        <v>9167</v>
      </c>
      <c r="AC439" s="48" t="s">
        <v>4885</v>
      </c>
      <c r="AD439" s="30"/>
      <c r="AE439" s="197"/>
      <c r="AF439" s="47"/>
    </row>
    <row r="440" spans="1:32" s="29" customFormat="1" ht="69.95" hidden="1" customHeight="1">
      <c r="A440" s="29" t="s">
        <v>4834</v>
      </c>
      <c r="B440" s="29" t="s">
        <v>3769</v>
      </c>
      <c r="C440" s="40">
        <v>26</v>
      </c>
      <c r="D440" s="40"/>
      <c r="E440" s="57" t="s">
        <v>139</v>
      </c>
      <c r="F440" s="57" t="s">
        <v>139</v>
      </c>
      <c r="G440" s="29" t="s">
        <v>1189</v>
      </c>
      <c r="J440" s="29">
        <f t="shared" si="28"/>
        <v>1</v>
      </c>
      <c r="K440" s="42">
        <v>433</v>
      </c>
      <c r="L440" s="43" t="s">
        <v>1190</v>
      </c>
      <c r="M440" s="43" t="s">
        <v>405</v>
      </c>
      <c r="N440" s="44" t="s">
        <v>426</v>
      </c>
      <c r="O440" s="44" t="str">
        <f t="shared" si="29"/>
        <v>PE-L1-3C4-24</v>
      </c>
      <c r="P440" s="45">
        <v>0.2</v>
      </c>
      <c r="Q440" s="44">
        <v>230</v>
      </c>
      <c r="R440" s="44" t="s">
        <v>49</v>
      </c>
      <c r="S440" s="44">
        <v>160</v>
      </c>
      <c r="T440" s="46" t="s">
        <v>4546</v>
      </c>
      <c r="U440" s="46" t="s">
        <v>4834</v>
      </c>
      <c r="V440" s="46" t="s">
        <v>4835</v>
      </c>
      <c r="W440" s="46" t="s">
        <v>4549</v>
      </c>
      <c r="X440" s="172" t="s">
        <v>9167</v>
      </c>
      <c r="Y440" s="46" t="s">
        <v>4886</v>
      </c>
      <c r="Z440" s="46" t="s">
        <v>4629</v>
      </c>
      <c r="AA440" s="46" t="s">
        <v>4837</v>
      </c>
      <c r="AB440" s="172" t="s">
        <v>9167</v>
      </c>
      <c r="AC440" s="48" t="s">
        <v>4887</v>
      </c>
      <c r="AD440" s="30"/>
      <c r="AE440" s="197"/>
      <c r="AF440" s="47"/>
    </row>
    <row r="441" spans="1:32" s="29" customFormat="1" ht="69.95" hidden="1" customHeight="1">
      <c r="A441" s="29" t="s">
        <v>4834</v>
      </c>
      <c r="B441" s="29" t="s">
        <v>3769</v>
      </c>
      <c r="C441" s="40">
        <v>27</v>
      </c>
      <c r="D441" s="40"/>
      <c r="E441" s="57" t="s">
        <v>139</v>
      </c>
      <c r="F441" s="57" t="s">
        <v>139</v>
      </c>
      <c r="G441" s="29" t="s">
        <v>1191</v>
      </c>
      <c r="J441" s="29">
        <f t="shared" si="28"/>
        <v>1</v>
      </c>
      <c r="K441" s="42">
        <v>434</v>
      </c>
      <c r="L441" s="43" t="s">
        <v>1192</v>
      </c>
      <c r="M441" s="43" t="s">
        <v>405</v>
      </c>
      <c r="N441" s="44" t="s">
        <v>426</v>
      </c>
      <c r="O441" s="44" t="str">
        <f t="shared" si="29"/>
        <v>PE-L1-3C4-24</v>
      </c>
      <c r="P441" s="45">
        <v>0.2</v>
      </c>
      <c r="Q441" s="44">
        <v>230</v>
      </c>
      <c r="R441" s="44" t="s">
        <v>49</v>
      </c>
      <c r="S441" s="44">
        <v>160</v>
      </c>
      <c r="T441" s="46" t="s">
        <v>4546</v>
      </c>
      <c r="U441" s="46" t="s">
        <v>4834</v>
      </c>
      <c r="V441" s="46" t="s">
        <v>4835</v>
      </c>
      <c r="W441" s="46" t="s">
        <v>4549</v>
      </c>
      <c r="X441" s="172" t="s">
        <v>9167</v>
      </c>
      <c r="Y441" s="46" t="s">
        <v>4888</v>
      </c>
      <c r="Z441" s="46" t="s">
        <v>4631</v>
      </c>
      <c r="AA441" s="46" t="s">
        <v>4837</v>
      </c>
      <c r="AB441" s="172" t="s">
        <v>9167</v>
      </c>
      <c r="AC441" s="48" t="s">
        <v>4889</v>
      </c>
      <c r="AD441" s="30"/>
      <c r="AE441" s="197"/>
      <c r="AF441" s="47"/>
    </row>
    <row r="442" spans="1:32" s="29" customFormat="1" ht="69.95" hidden="1" customHeight="1">
      <c r="A442" s="29" t="s">
        <v>4834</v>
      </c>
      <c r="B442" s="29" t="s">
        <v>3769</v>
      </c>
      <c r="C442" s="40">
        <v>28</v>
      </c>
      <c r="D442" s="40"/>
      <c r="E442" s="57" t="s">
        <v>286</v>
      </c>
      <c r="F442" s="57" t="s">
        <v>286</v>
      </c>
      <c r="G442" s="29" t="s">
        <v>1193</v>
      </c>
      <c r="J442" s="29">
        <f t="shared" si="28"/>
        <v>1</v>
      </c>
      <c r="K442" s="42">
        <v>435</v>
      </c>
      <c r="L442" s="43" t="s">
        <v>1194</v>
      </c>
      <c r="M442" s="43" t="s">
        <v>405</v>
      </c>
      <c r="N442" s="44" t="s">
        <v>426</v>
      </c>
      <c r="O442" s="44" t="str">
        <f t="shared" si="29"/>
        <v>PE-L1-3C4-25</v>
      </c>
      <c r="P442" s="45">
        <v>0.2</v>
      </c>
      <c r="Q442" s="44">
        <v>230</v>
      </c>
      <c r="R442" s="44" t="s">
        <v>49</v>
      </c>
      <c r="S442" s="44">
        <v>160</v>
      </c>
      <c r="T442" s="46" t="s">
        <v>4546</v>
      </c>
      <c r="U442" s="46" t="s">
        <v>4834</v>
      </c>
      <c r="V442" s="46" t="s">
        <v>4835</v>
      </c>
      <c r="W442" s="46" t="s">
        <v>4549</v>
      </c>
      <c r="X442" s="172" t="s">
        <v>9167</v>
      </c>
      <c r="Y442" s="46" t="s">
        <v>4890</v>
      </c>
      <c r="Z442" s="46" t="s">
        <v>4633</v>
      </c>
      <c r="AA442" s="46" t="s">
        <v>4837</v>
      </c>
      <c r="AB442" s="172" t="s">
        <v>9167</v>
      </c>
      <c r="AC442" s="48" t="s">
        <v>4891</v>
      </c>
      <c r="AD442" s="30"/>
      <c r="AE442" s="197"/>
      <c r="AF442" s="47"/>
    </row>
    <row r="443" spans="1:32" s="29" customFormat="1" ht="69.95" hidden="1" customHeight="1">
      <c r="A443" s="29" t="s">
        <v>4834</v>
      </c>
      <c r="B443" s="29" t="s">
        <v>3769</v>
      </c>
      <c r="C443" s="40">
        <v>29</v>
      </c>
      <c r="D443" s="40"/>
      <c r="E443" s="57" t="s">
        <v>286</v>
      </c>
      <c r="F443" s="57" t="s">
        <v>286</v>
      </c>
      <c r="G443" s="29" t="s">
        <v>1195</v>
      </c>
      <c r="J443" s="29">
        <f t="shared" si="28"/>
        <v>1</v>
      </c>
      <c r="K443" s="42">
        <v>436</v>
      </c>
      <c r="L443" s="43" t="s">
        <v>1196</v>
      </c>
      <c r="M443" s="43" t="s">
        <v>405</v>
      </c>
      <c r="N443" s="44" t="s">
        <v>426</v>
      </c>
      <c r="O443" s="44" t="str">
        <f t="shared" si="29"/>
        <v>PE-L1-3C4-25</v>
      </c>
      <c r="P443" s="45">
        <v>0.2</v>
      </c>
      <c r="Q443" s="44">
        <v>230</v>
      </c>
      <c r="R443" s="44" t="s">
        <v>49</v>
      </c>
      <c r="S443" s="44">
        <v>170</v>
      </c>
      <c r="T443" s="46" t="s">
        <v>4546</v>
      </c>
      <c r="U443" s="46" t="s">
        <v>4834</v>
      </c>
      <c r="V443" s="46" t="s">
        <v>4835</v>
      </c>
      <c r="W443" s="46" t="s">
        <v>4549</v>
      </c>
      <c r="X443" s="172" t="s">
        <v>9167</v>
      </c>
      <c r="Y443" s="46" t="s">
        <v>4892</v>
      </c>
      <c r="Z443" s="46" t="s">
        <v>4636</v>
      </c>
      <c r="AA443" s="46" t="s">
        <v>4837</v>
      </c>
      <c r="AB443" s="172" t="s">
        <v>9167</v>
      </c>
      <c r="AC443" s="48" t="s">
        <v>4893</v>
      </c>
      <c r="AD443" s="30"/>
      <c r="AE443" s="197"/>
      <c r="AF443" s="47"/>
    </row>
    <row r="444" spans="1:32" s="29" customFormat="1" ht="69.95" hidden="1" customHeight="1">
      <c r="A444" s="29" t="s">
        <v>4834</v>
      </c>
      <c r="B444" s="29" t="s">
        <v>3769</v>
      </c>
      <c r="C444" s="40">
        <v>30</v>
      </c>
      <c r="D444" s="40"/>
      <c r="E444" s="57" t="s">
        <v>286</v>
      </c>
      <c r="F444" s="57" t="s">
        <v>286</v>
      </c>
      <c r="G444" s="29" t="s">
        <v>1197</v>
      </c>
      <c r="J444" s="29">
        <f t="shared" si="28"/>
        <v>1</v>
      </c>
      <c r="K444" s="42">
        <v>437</v>
      </c>
      <c r="L444" s="43" t="s">
        <v>1198</v>
      </c>
      <c r="M444" s="43" t="s">
        <v>405</v>
      </c>
      <c r="N444" s="44" t="s">
        <v>426</v>
      </c>
      <c r="O444" s="44" t="str">
        <f t="shared" si="29"/>
        <v>PE-L1-3C4-25</v>
      </c>
      <c r="P444" s="45">
        <v>0.2</v>
      </c>
      <c r="Q444" s="44">
        <v>230</v>
      </c>
      <c r="R444" s="44" t="s">
        <v>49</v>
      </c>
      <c r="S444" s="44">
        <v>180</v>
      </c>
      <c r="T444" s="46" t="s">
        <v>4546</v>
      </c>
      <c r="U444" s="46" t="s">
        <v>4834</v>
      </c>
      <c r="V444" s="46" t="s">
        <v>4835</v>
      </c>
      <c r="W444" s="46" t="s">
        <v>4549</v>
      </c>
      <c r="X444" s="172" t="s">
        <v>9167</v>
      </c>
      <c r="Y444" s="46" t="s">
        <v>4894</v>
      </c>
      <c r="Z444" s="46" t="s">
        <v>4639</v>
      </c>
      <c r="AA444" s="46" t="s">
        <v>4837</v>
      </c>
      <c r="AB444" s="172" t="s">
        <v>9167</v>
      </c>
      <c r="AC444" s="48" t="s">
        <v>4895</v>
      </c>
      <c r="AD444" s="30"/>
      <c r="AE444" s="197"/>
      <c r="AF444" s="47"/>
    </row>
    <row r="445" spans="1:32" s="29" customFormat="1" ht="69.95" hidden="1" customHeight="1">
      <c r="A445" s="29" t="s">
        <v>4834</v>
      </c>
      <c r="B445" s="29" t="s">
        <v>3769</v>
      </c>
      <c r="C445" s="40">
        <v>31</v>
      </c>
      <c r="D445" s="40"/>
      <c r="E445" s="57" t="s">
        <v>8024</v>
      </c>
      <c r="F445" s="57" t="s">
        <v>8024</v>
      </c>
      <c r="G445" s="29" t="s">
        <v>1199</v>
      </c>
      <c r="J445" s="29">
        <f t="shared" si="28"/>
        <v>1</v>
      </c>
      <c r="K445" s="42">
        <v>438</v>
      </c>
      <c r="L445" s="43" t="s">
        <v>1200</v>
      </c>
      <c r="M445" s="43" t="s">
        <v>405</v>
      </c>
      <c r="N445" s="44" t="s">
        <v>426</v>
      </c>
      <c r="O445" s="44" t="str">
        <f t="shared" si="29"/>
        <v>PE-L1-3C4-14</v>
      </c>
      <c r="P445" s="45">
        <v>0.2</v>
      </c>
      <c r="Q445" s="44">
        <v>230</v>
      </c>
      <c r="R445" s="44" t="s">
        <v>49</v>
      </c>
      <c r="S445" s="44">
        <v>220</v>
      </c>
      <c r="T445" s="46" t="s">
        <v>4546</v>
      </c>
      <c r="U445" s="46" t="s">
        <v>4834</v>
      </c>
      <c r="V445" s="46" t="s">
        <v>4835</v>
      </c>
      <c r="W445" s="46" t="s">
        <v>4549</v>
      </c>
      <c r="X445" s="172" t="s">
        <v>9167</v>
      </c>
      <c r="Y445" s="46" t="s">
        <v>4896</v>
      </c>
      <c r="Z445" s="46" t="s">
        <v>4642</v>
      </c>
      <c r="AA445" s="46" t="s">
        <v>4837</v>
      </c>
      <c r="AB445" s="172" t="s">
        <v>9167</v>
      </c>
      <c r="AC445" s="48" t="s">
        <v>4897</v>
      </c>
      <c r="AD445" s="30"/>
      <c r="AE445" s="197"/>
      <c r="AF445" s="47"/>
    </row>
    <row r="446" spans="1:32" s="29" customFormat="1" ht="69.95" hidden="1" customHeight="1">
      <c r="A446" s="29" t="s">
        <v>4834</v>
      </c>
      <c r="B446" s="29" t="s">
        <v>3769</v>
      </c>
      <c r="C446" s="40">
        <v>32</v>
      </c>
      <c r="D446" s="40"/>
      <c r="E446" s="92" t="s">
        <v>8783</v>
      </c>
      <c r="F446" s="92" t="s">
        <v>8783</v>
      </c>
      <c r="G446" s="29" t="s">
        <v>1201</v>
      </c>
      <c r="J446" s="29">
        <f t="shared" si="28"/>
        <v>1</v>
      </c>
      <c r="K446" s="42">
        <v>439</v>
      </c>
      <c r="L446" s="43" t="s">
        <v>1202</v>
      </c>
      <c r="M446" s="43" t="s">
        <v>405</v>
      </c>
      <c r="N446" s="44" t="s">
        <v>426</v>
      </c>
      <c r="O446" s="90" t="str">
        <f>F446</f>
        <v>PE-L1-3C4-29</v>
      </c>
      <c r="P446" s="45">
        <v>0.2</v>
      </c>
      <c r="Q446" s="44">
        <v>230</v>
      </c>
      <c r="R446" s="44" t="s">
        <v>49</v>
      </c>
      <c r="S446" s="44">
        <v>200</v>
      </c>
      <c r="T446" s="46" t="s">
        <v>4546</v>
      </c>
      <c r="U446" s="46" t="s">
        <v>4834</v>
      </c>
      <c r="V446" s="46" t="s">
        <v>4835</v>
      </c>
      <c r="W446" s="46" t="s">
        <v>4549</v>
      </c>
      <c r="X446" s="172" t="s">
        <v>9167</v>
      </c>
      <c r="Y446" s="46" t="s">
        <v>4898</v>
      </c>
      <c r="Z446" s="46" t="s">
        <v>4645</v>
      </c>
      <c r="AA446" s="46" t="s">
        <v>4837</v>
      </c>
      <c r="AB446" s="172" t="s">
        <v>9167</v>
      </c>
      <c r="AC446" s="48" t="s">
        <v>4899</v>
      </c>
      <c r="AD446" s="30"/>
      <c r="AE446" s="197"/>
      <c r="AF446" s="47"/>
    </row>
    <row r="447" spans="1:32" s="29" customFormat="1" ht="69.95" hidden="1" customHeight="1">
      <c r="A447" s="29" t="s">
        <v>4834</v>
      </c>
      <c r="B447" s="29" t="s">
        <v>3769</v>
      </c>
      <c r="C447" s="40">
        <v>33</v>
      </c>
      <c r="D447" s="40"/>
      <c r="E447" s="57" t="s">
        <v>286</v>
      </c>
      <c r="F447" s="57" t="s">
        <v>286</v>
      </c>
      <c r="G447" s="29" t="s">
        <v>1203</v>
      </c>
      <c r="J447" s="29">
        <f t="shared" si="28"/>
        <v>1</v>
      </c>
      <c r="K447" s="42">
        <v>440</v>
      </c>
      <c r="L447" s="43" t="s">
        <v>1204</v>
      </c>
      <c r="M447" s="43" t="s">
        <v>405</v>
      </c>
      <c r="N447" s="44" t="s">
        <v>426</v>
      </c>
      <c r="O447" s="44" t="str">
        <f t="shared" ref="O447:O510" si="30">F447</f>
        <v>PE-L1-3C4-25</v>
      </c>
      <c r="P447" s="45">
        <v>0.2</v>
      </c>
      <c r="Q447" s="44">
        <v>230</v>
      </c>
      <c r="R447" s="44" t="s">
        <v>49</v>
      </c>
      <c r="S447" s="44">
        <v>190</v>
      </c>
      <c r="T447" s="46" t="s">
        <v>4546</v>
      </c>
      <c r="U447" s="46" t="s">
        <v>4834</v>
      </c>
      <c r="V447" s="46" t="s">
        <v>4835</v>
      </c>
      <c r="W447" s="46" t="s">
        <v>4549</v>
      </c>
      <c r="X447" s="172" t="s">
        <v>9167</v>
      </c>
      <c r="Y447" s="46" t="s">
        <v>4900</v>
      </c>
      <c r="Z447" s="46" t="s">
        <v>4648</v>
      </c>
      <c r="AA447" s="46" t="s">
        <v>4837</v>
      </c>
      <c r="AB447" s="172" t="s">
        <v>9167</v>
      </c>
      <c r="AC447" s="48" t="s">
        <v>4899</v>
      </c>
      <c r="AD447" s="30"/>
      <c r="AE447" s="197"/>
      <c r="AF447" s="47"/>
    </row>
    <row r="448" spans="1:32" s="29" customFormat="1" ht="69.95" hidden="1" customHeight="1">
      <c r="A448" s="29" t="s">
        <v>4834</v>
      </c>
      <c r="B448" s="29" t="s">
        <v>3769</v>
      </c>
      <c r="C448" s="40">
        <v>34</v>
      </c>
      <c r="D448" s="40"/>
      <c r="E448" s="57" t="s">
        <v>235</v>
      </c>
      <c r="F448" s="57" t="s">
        <v>235</v>
      </c>
      <c r="G448" s="29" t="s">
        <v>1205</v>
      </c>
      <c r="J448" s="29">
        <f t="shared" si="28"/>
        <v>1</v>
      </c>
      <c r="K448" s="42">
        <v>441</v>
      </c>
      <c r="L448" s="43" t="s">
        <v>1206</v>
      </c>
      <c r="M448" s="43" t="s">
        <v>405</v>
      </c>
      <c r="N448" s="44" t="s">
        <v>426</v>
      </c>
      <c r="O448" s="44" t="str">
        <f t="shared" si="30"/>
        <v>PE-L1-3C4-19</v>
      </c>
      <c r="P448" s="45">
        <v>0.2</v>
      </c>
      <c r="Q448" s="44">
        <v>230</v>
      </c>
      <c r="R448" s="44" t="s">
        <v>49</v>
      </c>
      <c r="S448" s="44">
        <v>150</v>
      </c>
      <c r="T448" s="46" t="s">
        <v>4546</v>
      </c>
      <c r="U448" s="46" t="s">
        <v>4834</v>
      </c>
      <c r="V448" s="46" t="s">
        <v>4835</v>
      </c>
      <c r="W448" s="46" t="s">
        <v>4549</v>
      </c>
      <c r="X448" s="172" t="s">
        <v>9167</v>
      </c>
      <c r="Y448" s="46" t="s">
        <v>4901</v>
      </c>
      <c r="Z448" s="46" t="s">
        <v>4651</v>
      </c>
      <c r="AA448" s="46" t="s">
        <v>4837</v>
      </c>
      <c r="AB448" s="172" t="s">
        <v>9167</v>
      </c>
      <c r="AC448" s="48" t="s">
        <v>4902</v>
      </c>
      <c r="AD448" s="30"/>
      <c r="AE448" s="197"/>
      <c r="AF448" s="47"/>
    </row>
    <row r="449" spans="1:32" s="29" customFormat="1" ht="69.95" hidden="1" customHeight="1">
      <c r="A449" s="29" t="s">
        <v>4834</v>
      </c>
      <c r="B449" s="29" t="s">
        <v>3769</v>
      </c>
      <c r="C449" s="40">
        <v>35</v>
      </c>
      <c r="D449" s="40"/>
      <c r="E449" s="57" t="s">
        <v>8022</v>
      </c>
      <c r="F449" s="57" t="s">
        <v>8022</v>
      </c>
      <c r="G449" s="29" t="s">
        <v>1207</v>
      </c>
      <c r="J449" s="29">
        <f t="shared" si="28"/>
        <v>1</v>
      </c>
      <c r="K449" s="42">
        <v>442</v>
      </c>
      <c r="L449" s="43" t="s">
        <v>1208</v>
      </c>
      <c r="M449" s="43" t="s">
        <v>405</v>
      </c>
      <c r="N449" s="44" t="s">
        <v>426</v>
      </c>
      <c r="O449" s="44" t="str">
        <f t="shared" si="30"/>
        <v>PE-L1-3C4-06</v>
      </c>
      <c r="P449" s="45">
        <v>0.2</v>
      </c>
      <c r="Q449" s="44">
        <v>230</v>
      </c>
      <c r="R449" s="44" t="s">
        <v>49</v>
      </c>
      <c r="S449" s="44">
        <v>170</v>
      </c>
      <c r="T449" s="46" t="s">
        <v>4546</v>
      </c>
      <c r="U449" s="46" t="s">
        <v>4834</v>
      </c>
      <c r="V449" s="46" t="s">
        <v>4835</v>
      </c>
      <c r="W449" s="46" t="s">
        <v>4549</v>
      </c>
      <c r="X449" s="172" t="s">
        <v>9167</v>
      </c>
      <c r="Y449" s="46" t="s">
        <v>4903</v>
      </c>
      <c r="Z449" s="46" t="s">
        <v>4654</v>
      </c>
      <c r="AA449" s="46" t="s">
        <v>4837</v>
      </c>
      <c r="AB449" s="172" t="s">
        <v>9167</v>
      </c>
      <c r="AC449" s="48" t="s">
        <v>4902</v>
      </c>
      <c r="AD449" s="30"/>
      <c r="AE449" s="197"/>
      <c r="AF449" s="47"/>
    </row>
    <row r="450" spans="1:32" s="29" customFormat="1" ht="69.95" hidden="1" customHeight="1">
      <c r="A450" s="29" t="s">
        <v>4834</v>
      </c>
      <c r="B450" s="29" t="s">
        <v>3769</v>
      </c>
      <c r="C450" s="40">
        <v>36</v>
      </c>
      <c r="D450" s="40"/>
      <c r="E450" s="57" t="s">
        <v>235</v>
      </c>
      <c r="F450" s="57" t="s">
        <v>235</v>
      </c>
      <c r="G450" s="29" t="s">
        <v>1209</v>
      </c>
      <c r="J450" s="29">
        <f t="shared" si="28"/>
        <v>1</v>
      </c>
      <c r="K450" s="42">
        <v>443</v>
      </c>
      <c r="L450" s="43" t="s">
        <v>1210</v>
      </c>
      <c r="M450" s="43" t="s">
        <v>405</v>
      </c>
      <c r="N450" s="44" t="s">
        <v>426</v>
      </c>
      <c r="O450" s="44" t="str">
        <f t="shared" si="30"/>
        <v>PE-L1-3C4-19</v>
      </c>
      <c r="P450" s="45">
        <v>0.2</v>
      </c>
      <c r="Q450" s="44">
        <v>230</v>
      </c>
      <c r="R450" s="44" t="s">
        <v>49</v>
      </c>
      <c r="S450" s="44">
        <v>180</v>
      </c>
      <c r="T450" s="46" t="s">
        <v>4546</v>
      </c>
      <c r="U450" s="46" t="s">
        <v>4834</v>
      </c>
      <c r="V450" s="46" t="s">
        <v>4835</v>
      </c>
      <c r="W450" s="46" t="s">
        <v>4549</v>
      </c>
      <c r="X450" s="172" t="s">
        <v>9167</v>
      </c>
      <c r="Y450" s="46" t="s">
        <v>4904</v>
      </c>
      <c r="Z450" s="46" t="s">
        <v>4657</v>
      </c>
      <c r="AA450" s="46" t="s">
        <v>4837</v>
      </c>
      <c r="AB450" s="172" t="s">
        <v>9167</v>
      </c>
      <c r="AC450" s="48" t="s">
        <v>4905</v>
      </c>
      <c r="AD450" s="30"/>
      <c r="AE450" s="197"/>
      <c r="AF450" s="47"/>
    </row>
    <row r="451" spans="1:32" s="29" customFormat="1" ht="69.95" hidden="1" customHeight="1">
      <c r="A451" s="29" t="s">
        <v>4862</v>
      </c>
      <c r="B451" s="29" t="s">
        <v>3769</v>
      </c>
      <c r="C451" s="40">
        <v>25</v>
      </c>
      <c r="D451" s="40"/>
      <c r="E451" s="57" t="s">
        <v>8025</v>
      </c>
      <c r="F451" s="57" t="s">
        <v>8025</v>
      </c>
      <c r="G451" s="29" t="s">
        <v>1211</v>
      </c>
      <c r="J451" s="29">
        <f t="shared" si="28"/>
        <v>1</v>
      </c>
      <c r="K451" s="42">
        <v>444</v>
      </c>
      <c r="L451" s="43" t="s">
        <v>1212</v>
      </c>
      <c r="M451" s="43" t="s">
        <v>405</v>
      </c>
      <c r="N451" s="44" t="s">
        <v>426</v>
      </c>
      <c r="O451" s="44" t="str">
        <f t="shared" si="30"/>
        <v>PE-L1-3C4-07</v>
      </c>
      <c r="P451" s="45">
        <v>0.2</v>
      </c>
      <c r="Q451" s="44">
        <v>230</v>
      </c>
      <c r="R451" s="44" t="s">
        <v>49</v>
      </c>
      <c r="S451" s="44">
        <v>250</v>
      </c>
      <c r="T451" s="46" t="s">
        <v>4546</v>
      </c>
      <c r="U451" s="46" t="s">
        <v>4862</v>
      </c>
      <c r="V451" s="46" t="s">
        <v>4863</v>
      </c>
      <c r="W451" s="46" t="s">
        <v>4549</v>
      </c>
      <c r="X451" s="172" t="s">
        <v>9167</v>
      </c>
      <c r="Y451" s="46" t="s">
        <v>4906</v>
      </c>
      <c r="Z451" s="46" t="s">
        <v>4660</v>
      </c>
      <c r="AA451" s="46" t="s">
        <v>4837</v>
      </c>
      <c r="AB451" s="172" t="s">
        <v>9167</v>
      </c>
      <c r="AC451" s="48" t="s">
        <v>4907</v>
      </c>
      <c r="AD451" s="30"/>
      <c r="AE451" s="197"/>
      <c r="AF451" s="47"/>
    </row>
    <row r="452" spans="1:32" s="29" customFormat="1" ht="69.95" hidden="1" customHeight="1">
      <c r="A452" s="29" t="s">
        <v>4862</v>
      </c>
      <c r="B452" s="29" t="s">
        <v>3769</v>
      </c>
      <c r="C452" s="40">
        <v>26</v>
      </c>
      <c r="D452" s="40"/>
      <c r="E452" s="57" t="s">
        <v>235</v>
      </c>
      <c r="F452" s="57" t="s">
        <v>235</v>
      </c>
      <c r="G452" s="29" t="s">
        <v>1213</v>
      </c>
      <c r="J452" s="29">
        <f t="shared" si="28"/>
        <v>1</v>
      </c>
      <c r="K452" s="42">
        <v>445</v>
      </c>
      <c r="L452" s="43" t="s">
        <v>1214</v>
      </c>
      <c r="M452" s="43" t="s">
        <v>405</v>
      </c>
      <c r="N452" s="44" t="s">
        <v>426</v>
      </c>
      <c r="O452" s="44" t="str">
        <f t="shared" si="30"/>
        <v>PE-L1-3C4-19</v>
      </c>
      <c r="P452" s="45">
        <v>0.2</v>
      </c>
      <c r="Q452" s="44">
        <v>230</v>
      </c>
      <c r="R452" s="44" t="s">
        <v>49</v>
      </c>
      <c r="S452" s="44">
        <v>240</v>
      </c>
      <c r="T452" s="46" t="s">
        <v>4546</v>
      </c>
      <c r="U452" s="46" t="s">
        <v>4862</v>
      </c>
      <c r="V452" s="46" t="s">
        <v>4863</v>
      </c>
      <c r="W452" s="46" t="s">
        <v>4549</v>
      </c>
      <c r="X452" s="172" t="s">
        <v>9167</v>
      </c>
      <c r="Y452" s="46" t="s">
        <v>4908</v>
      </c>
      <c r="Z452" s="46" t="s">
        <v>4662</v>
      </c>
      <c r="AA452" s="46" t="s">
        <v>4837</v>
      </c>
      <c r="AB452" s="172" t="s">
        <v>9167</v>
      </c>
      <c r="AC452" s="48" t="s">
        <v>4909</v>
      </c>
      <c r="AD452" s="30"/>
      <c r="AE452" s="197"/>
      <c r="AF452" s="47"/>
    </row>
    <row r="453" spans="1:32" s="29" customFormat="1" ht="69.95" hidden="1" customHeight="1">
      <c r="A453" s="29" t="s">
        <v>4862</v>
      </c>
      <c r="B453" s="29" t="s">
        <v>3769</v>
      </c>
      <c r="C453" s="40">
        <v>27</v>
      </c>
      <c r="D453" s="40"/>
      <c r="E453" s="57" t="s">
        <v>235</v>
      </c>
      <c r="F453" s="57" t="s">
        <v>235</v>
      </c>
      <c r="G453" s="29" t="s">
        <v>1215</v>
      </c>
      <c r="J453" s="29">
        <f t="shared" si="28"/>
        <v>1</v>
      </c>
      <c r="K453" s="42">
        <v>446</v>
      </c>
      <c r="L453" s="43" t="s">
        <v>1216</v>
      </c>
      <c r="M453" s="43" t="s">
        <v>405</v>
      </c>
      <c r="N453" s="44" t="s">
        <v>426</v>
      </c>
      <c r="O453" s="44" t="str">
        <f t="shared" si="30"/>
        <v>PE-L1-3C4-19</v>
      </c>
      <c r="P453" s="45">
        <v>0.2</v>
      </c>
      <c r="Q453" s="44">
        <v>230</v>
      </c>
      <c r="R453" s="44" t="s">
        <v>49</v>
      </c>
      <c r="S453" s="44">
        <v>230</v>
      </c>
      <c r="T453" s="46" t="s">
        <v>4546</v>
      </c>
      <c r="U453" s="46" t="s">
        <v>4862</v>
      </c>
      <c r="V453" s="46" t="s">
        <v>4863</v>
      </c>
      <c r="W453" s="46" t="s">
        <v>4549</v>
      </c>
      <c r="X453" s="172" t="s">
        <v>9167</v>
      </c>
      <c r="Y453" s="46" t="s">
        <v>4910</v>
      </c>
      <c r="Z453" s="46" t="s">
        <v>4664</v>
      </c>
      <c r="AA453" s="46" t="s">
        <v>4837</v>
      </c>
      <c r="AB453" s="172" t="s">
        <v>9167</v>
      </c>
      <c r="AC453" s="48" t="s">
        <v>4909</v>
      </c>
      <c r="AD453" s="30"/>
      <c r="AE453" s="197"/>
      <c r="AF453" s="47"/>
    </row>
    <row r="454" spans="1:32" s="29" customFormat="1" ht="69.95" hidden="1" customHeight="1">
      <c r="A454" s="29" t="s">
        <v>4862</v>
      </c>
      <c r="B454" s="29" t="s">
        <v>3769</v>
      </c>
      <c r="C454" s="40">
        <v>28</v>
      </c>
      <c r="D454" s="40"/>
      <c r="E454" s="57" t="s">
        <v>8025</v>
      </c>
      <c r="F454" s="57" t="s">
        <v>8025</v>
      </c>
      <c r="G454" s="29" t="s">
        <v>1217</v>
      </c>
      <c r="J454" s="29">
        <f t="shared" si="28"/>
        <v>1</v>
      </c>
      <c r="K454" s="42">
        <v>447</v>
      </c>
      <c r="L454" s="43" t="s">
        <v>1218</v>
      </c>
      <c r="M454" s="43" t="s">
        <v>405</v>
      </c>
      <c r="N454" s="44" t="s">
        <v>426</v>
      </c>
      <c r="O454" s="44" t="str">
        <f t="shared" si="30"/>
        <v>PE-L1-3C4-07</v>
      </c>
      <c r="P454" s="45">
        <v>0.2</v>
      </c>
      <c r="Q454" s="44">
        <v>230</v>
      </c>
      <c r="R454" s="44" t="s">
        <v>49</v>
      </c>
      <c r="S454" s="44">
        <v>210</v>
      </c>
      <c r="T454" s="46" t="s">
        <v>4546</v>
      </c>
      <c r="U454" s="46" t="s">
        <v>4862</v>
      </c>
      <c r="V454" s="46" t="s">
        <v>4863</v>
      </c>
      <c r="W454" s="46" t="s">
        <v>4549</v>
      </c>
      <c r="X454" s="172" t="s">
        <v>9167</v>
      </c>
      <c r="Y454" s="46" t="s">
        <v>4911</v>
      </c>
      <c r="Z454" s="46" t="s">
        <v>4666</v>
      </c>
      <c r="AA454" s="46" t="s">
        <v>4837</v>
      </c>
      <c r="AB454" s="172" t="s">
        <v>9167</v>
      </c>
      <c r="AC454" s="48" t="s">
        <v>4912</v>
      </c>
      <c r="AD454" s="30"/>
      <c r="AE454" s="197"/>
      <c r="AF454" s="47"/>
    </row>
    <row r="455" spans="1:32" s="29" customFormat="1" ht="69.95" hidden="1" customHeight="1">
      <c r="A455" s="29" t="s">
        <v>4862</v>
      </c>
      <c r="B455" s="29" t="s">
        <v>3769</v>
      </c>
      <c r="C455" s="40">
        <v>29</v>
      </c>
      <c r="D455" s="40"/>
      <c r="E455" s="57" t="s">
        <v>8024</v>
      </c>
      <c r="F455" s="57" t="s">
        <v>8024</v>
      </c>
      <c r="G455" s="29" t="s">
        <v>1219</v>
      </c>
      <c r="J455" s="29">
        <f t="shared" si="28"/>
        <v>1</v>
      </c>
      <c r="K455" s="42">
        <v>448</v>
      </c>
      <c r="L455" s="43" t="s">
        <v>1220</v>
      </c>
      <c r="M455" s="43" t="s">
        <v>405</v>
      </c>
      <c r="N455" s="44" t="s">
        <v>426</v>
      </c>
      <c r="O455" s="44" t="str">
        <f t="shared" si="30"/>
        <v>PE-L1-3C4-14</v>
      </c>
      <c r="P455" s="45">
        <v>0.2</v>
      </c>
      <c r="Q455" s="44">
        <v>230</v>
      </c>
      <c r="R455" s="44" t="s">
        <v>49</v>
      </c>
      <c r="S455" s="44">
        <v>220</v>
      </c>
      <c r="T455" s="46" t="s">
        <v>4546</v>
      </c>
      <c r="U455" s="46" t="s">
        <v>4862</v>
      </c>
      <c r="V455" s="46" t="s">
        <v>4863</v>
      </c>
      <c r="W455" s="46" t="s">
        <v>4549</v>
      </c>
      <c r="X455" s="172" t="s">
        <v>9167</v>
      </c>
      <c r="Y455" s="46" t="s">
        <v>4913</v>
      </c>
      <c r="Z455" s="46" t="s">
        <v>4669</v>
      </c>
      <c r="AA455" s="46" t="s">
        <v>4837</v>
      </c>
      <c r="AB455" s="172" t="s">
        <v>9167</v>
      </c>
      <c r="AC455" s="48" t="s">
        <v>4912</v>
      </c>
      <c r="AD455" s="30"/>
      <c r="AE455" s="197"/>
      <c r="AF455" s="47"/>
    </row>
    <row r="456" spans="1:32" s="29" customFormat="1" ht="69.95" hidden="1" customHeight="1">
      <c r="A456" s="29" t="s">
        <v>4862</v>
      </c>
      <c r="B456" s="29" t="s">
        <v>3769</v>
      </c>
      <c r="C456" s="40">
        <v>30</v>
      </c>
      <c r="D456" s="40"/>
      <c r="E456" s="57" t="s">
        <v>235</v>
      </c>
      <c r="F456" s="57" t="s">
        <v>235</v>
      </c>
      <c r="G456" s="29" t="s">
        <v>1221</v>
      </c>
      <c r="J456" s="29">
        <f t="shared" ref="J456:J519" si="31">COUNTIF(L:L,L456)</f>
        <v>1</v>
      </c>
      <c r="K456" s="127">
        <v>449</v>
      </c>
      <c r="L456" s="43" t="s">
        <v>1222</v>
      </c>
      <c r="M456" s="43" t="s">
        <v>405</v>
      </c>
      <c r="N456" s="44" t="s">
        <v>426</v>
      </c>
      <c r="O456" s="44" t="str">
        <f t="shared" si="30"/>
        <v>PE-L1-3C4-19</v>
      </c>
      <c r="P456" s="45">
        <v>0.2</v>
      </c>
      <c r="Q456" s="44">
        <v>230</v>
      </c>
      <c r="R456" s="44" t="s">
        <v>49</v>
      </c>
      <c r="S456" s="44">
        <v>220</v>
      </c>
      <c r="T456" s="46" t="s">
        <v>4546</v>
      </c>
      <c r="U456" s="46" t="s">
        <v>4862</v>
      </c>
      <c r="V456" s="46" t="s">
        <v>4863</v>
      </c>
      <c r="W456" s="46" t="s">
        <v>4549</v>
      </c>
      <c r="X456" s="172" t="s">
        <v>9167</v>
      </c>
      <c r="Y456" s="46" t="s">
        <v>4914</v>
      </c>
      <c r="Z456" s="46" t="s">
        <v>4672</v>
      </c>
      <c r="AA456" s="46" t="s">
        <v>4837</v>
      </c>
      <c r="AB456" s="172" t="s">
        <v>9167</v>
      </c>
      <c r="AC456" s="76" t="s">
        <v>9205</v>
      </c>
      <c r="AD456" s="30"/>
      <c r="AE456" s="197"/>
      <c r="AF456" s="47"/>
    </row>
    <row r="457" spans="1:32" s="29" customFormat="1" ht="69.95" hidden="1" customHeight="1">
      <c r="A457" s="29" t="s">
        <v>4862</v>
      </c>
      <c r="B457" s="29" t="s">
        <v>3769</v>
      </c>
      <c r="C457" s="40">
        <v>31</v>
      </c>
      <c r="D457" s="40"/>
      <c r="E457" s="57" t="s">
        <v>8025</v>
      </c>
      <c r="F457" s="57" t="s">
        <v>8025</v>
      </c>
      <c r="G457" s="29" t="s">
        <v>1223</v>
      </c>
      <c r="J457" s="29">
        <f t="shared" si="31"/>
        <v>1</v>
      </c>
      <c r="K457" s="127">
        <v>450</v>
      </c>
      <c r="L457" s="43" t="s">
        <v>1224</v>
      </c>
      <c r="M457" s="43" t="s">
        <v>405</v>
      </c>
      <c r="N457" s="44" t="s">
        <v>426</v>
      </c>
      <c r="O457" s="44" t="str">
        <f t="shared" si="30"/>
        <v>PE-L1-3C4-07</v>
      </c>
      <c r="P457" s="45">
        <v>0.2</v>
      </c>
      <c r="Q457" s="44">
        <v>230</v>
      </c>
      <c r="R457" s="44" t="s">
        <v>49</v>
      </c>
      <c r="S457" s="44">
        <v>260</v>
      </c>
      <c r="T457" s="46" t="s">
        <v>4546</v>
      </c>
      <c r="U457" s="46" t="s">
        <v>4862</v>
      </c>
      <c r="V457" s="46" t="s">
        <v>4863</v>
      </c>
      <c r="W457" s="46" t="s">
        <v>4549</v>
      </c>
      <c r="X457" s="172" t="s">
        <v>9167</v>
      </c>
      <c r="Y457" s="46" t="s">
        <v>4915</v>
      </c>
      <c r="Z457" s="46" t="s">
        <v>4675</v>
      </c>
      <c r="AA457" s="46" t="s">
        <v>4837</v>
      </c>
      <c r="AB457" s="172" t="s">
        <v>9167</v>
      </c>
      <c r="AC457" s="76" t="s">
        <v>9206</v>
      </c>
      <c r="AD457" s="30"/>
      <c r="AE457" s="197"/>
      <c r="AF457" s="47"/>
    </row>
    <row r="458" spans="1:32" s="29" customFormat="1" ht="69.95" hidden="1" customHeight="1">
      <c r="A458" s="29" t="s">
        <v>4862</v>
      </c>
      <c r="B458" s="29" t="s">
        <v>3769</v>
      </c>
      <c r="C458" s="40">
        <v>32</v>
      </c>
      <c r="D458" s="40"/>
      <c r="E458" s="57" t="s">
        <v>8026</v>
      </c>
      <c r="F458" s="57" t="s">
        <v>8026</v>
      </c>
      <c r="G458" s="29" t="s">
        <v>1225</v>
      </c>
      <c r="J458" s="29">
        <f t="shared" si="31"/>
        <v>1</v>
      </c>
      <c r="K458" s="127">
        <v>451</v>
      </c>
      <c r="L458" s="43" t="s">
        <v>1226</v>
      </c>
      <c r="M458" s="43" t="s">
        <v>405</v>
      </c>
      <c r="N458" s="44" t="s">
        <v>426</v>
      </c>
      <c r="O458" s="44" t="str">
        <f t="shared" si="30"/>
        <v>PE-L1-3C4-20</v>
      </c>
      <c r="P458" s="45">
        <v>0.2</v>
      </c>
      <c r="Q458" s="44">
        <v>230</v>
      </c>
      <c r="R458" s="44" t="s">
        <v>49</v>
      </c>
      <c r="S458" s="44">
        <v>250</v>
      </c>
      <c r="T458" s="46" t="s">
        <v>4546</v>
      </c>
      <c r="U458" s="46" t="s">
        <v>4862</v>
      </c>
      <c r="V458" s="46" t="s">
        <v>4863</v>
      </c>
      <c r="W458" s="46" t="s">
        <v>4549</v>
      </c>
      <c r="X458" s="172" t="s">
        <v>9167</v>
      </c>
      <c r="Y458" s="46" t="s">
        <v>4916</v>
      </c>
      <c r="Z458" s="46" t="s">
        <v>4678</v>
      </c>
      <c r="AA458" s="46" t="s">
        <v>4837</v>
      </c>
      <c r="AB458" s="172" t="s">
        <v>9167</v>
      </c>
      <c r="AC458" s="76" t="s">
        <v>9207</v>
      </c>
      <c r="AD458" s="30"/>
      <c r="AE458" s="197"/>
      <c r="AF458" s="47"/>
    </row>
    <row r="459" spans="1:32" s="29" customFormat="1" ht="69.95" hidden="1" customHeight="1">
      <c r="A459" s="29" t="s">
        <v>4862</v>
      </c>
      <c r="B459" s="29" t="s">
        <v>3769</v>
      </c>
      <c r="C459" s="40">
        <v>33</v>
      </c>
      <c r="D459" s="40"/>
      <c r="E459" s="57" t="s">
        <v>8026</v>
      </c>
      <c r="F459" s="57" t="s">
        <v>8026</v>
      </c>
      <c r="G459" s="29" t="s">
        <v>1227</v>
      </c>
      <c r="J459" s="29">
        <f t="shared" si="31"/>
        <v>1</v>
      </c>
      <c r="K459" s="127">
        <v>452</v>
      </c>
      <c r="L459" s="43" t="s">
        <v>1228</v>
      </c>
      <c r="M459" s="43" t="s">
        <v>405</v>
      </c>
      <c r="N459" s="44" t="s">
        <v>426</v>
      </c>
      <c r="O459" s="44" t="str">
        <f t="shared" si="30"/>
        <v>PE-L1-3C4-20</v>
      </c>
      <c r="P459" s="45">
        <v>0.2</v>
      </c>
      <c r="Q459" s="44">
        <v>230</v>
      </c>
      <c r="R459" s="44" t="s">
        <v>49</v>
      </c>
      <c r="S459" s="44">
        <v>210</v>
      </c>
      <c r="T459" s="46" t="s">
        <v>4546</v>
      </c>
      <c r="U459" s="46" t="s">
        <v>4862</v>
      </c>
      <c r="V459" s="46" t="s">
        <v>4863</v>
      </c>
      <c r="W459" s="46" t="s">
        <v>4549</v>
      </c>
      <c r="X459" s="172" t="s">
        <v>9167</v>
      </c>
      <c r="Y459" s="46" t="s">
        <v>4917</v>
      </c>
      <c r="Z459" s="46" t="s">
        <v>4680</v>
      </c>
      <c r="AA459" s="46" t="s">
        <v>4837</v>
      </c>
      <c r="AB459" s="172" t="s">
        <v>9167</v>
      </c>
      <c r="AC459" s="76" t="s">
        <v>9208</v>
      </c>
      <c r="AD459" s="30"/>
      <c r="AE459" s="197"/>
      <c r="AF459" s="47"/>
    </row>
    <row r="460" spans="1:32" s="29" customFormat="1" ht="69.95" hidden="1" customHeight="1">
      <c r="A460" s="29" t="s">
        <v>4862</v>
      </c>
      <c r="B460" s="29" t="s">
        <v>3769</v>
      </c>
      <c r="C460" s="40">
        <v>34</v>
      </c>
      <c r="D460" s="40"/>
      <c r="E460" s="57" t="s">
        <v>8026</v>
      </c>
      <c r="F460" s="57" t="s">
        <v>8026</v>
      </c>
      <c r="G460" s="29" t="s">
        <v>1229</v>
      </c>
      <c r="J460" s="29">
        <f t="shared" si="31"/>
        <v>1</v>
      </c>
      <c r="K460" s="127">
        <v>453</v>
      </c>
      <c r="L460" s="43" t="s">
        <v>1230</v>
      </c>
      <c r="M460" s="43" t="s">
        <v>405</v>
      </c>
      <c r="N460" s="44" t="s">
        <v>426</v>
      </c>
      <c r="O460" s="44" t="str">
        <f t="shared" si="30"/>
        <v>PE-L1-3C4-20</v>
      </c>
      <c r="P460" s="45">
        <v>0.2</v>
      </c>
      <c r="Q460" s="44">
        <v>230</v>
      </c>
      <c r="R460" s="44" t="s">
        <v>49</v>
      </c>
      <c r="S460" s="44">
        <v>210</v>
      </c>
      <c r="T460" s="46" t="s">
        <v>4546</v>
      </c>
      <c r="U460" s="46" t="s">
        <v>4862</v>
      </c>
      <c r="V460" s="46" t="s">
        <v>4863</v>
      </c>
      <c r="W460" s="46" t="s">
        <v>4549</v>
      </c>
      <c r="X460" s="172" t="s">
        <v>9167</v>
      </c>
      <c r="Y460" s="46" t="s">
        <v>4918</v>
      </c>
      <c r="Z460" s="46" t="s">
        <v>4682</v>
      </c>
      <c r="AA460" s="46" t="s">
        <v>4837</v>
      </c>
      <c r="AB460" s="172" t="s">
        <v>9167</v>
      </c>
      <c r="AC460" s="76" t="s">
        <v>9209</v>
      </c>
      <c r="AD460" s="30"/>
      <c r="AE460" s="197"/>
      <c r="AF460" s="47"/>
    </row>
    <row r="461" spans="1:32" s="29" customFormat="1" ht="69.95" hidden="1" customHeight="1">
      <c r="A461" s="29" t="s">
        <v>4862</v>
      </c>
      <c r="B461" s="29" t="s">
        <v>3769</v>
      </c>
      <c r="C461" s="40">
        <v>35</v>
      </c>
      <c r="D461" s="40"/>
      <c r="E461" s="57" t="s">
        <v>8026</v>
      </c>
      <c r="F461" s="57" t="s">
        <v>8026</v>
      </c>
      <c r="G461" s="29" t="s">
        <v>1231</v>
      </c>
      <c r="J461" s="29">
        <f t="shared" si="31"/>
        <v>1</v>
      </c>
      <c r="K461" s="42">
        <v>454</v>
      </c>
      <c r="L461" s="43" t="s">
        <v>1232</v>
      </c>
      <c r="M461" s="43" t="s">
        <v>405</v>
      </c>
      <c r="N461" s="44" t="s">
        <v>426</v>
      </c>
      <c r="O461" s="44" t="str">
        <f t="shared" si="30"/>
        <v>PE-L1-3C4-20</v>
      </c>
      <c r="P461" s="45">
        <v>0.2</v>
      </c>
      <c r="Q461" s="44">
        <v>230</v>
      </c>
      <c r="R461" s="44" t="s">
        <v>49</v>
      </c>
      <c r="S461" s="44">
        <v>240</v>
      </c>
      <c r="T461" s="46" t="s">
        <v>4546</v>
      </c>
      <c r="U461" s="46" t="s">
        <v>4862</v>
      </c>
      <c r="V461" s="46" t="s">
        <v>4863</v>
      </c>
      <c r="W461" s="46" t="s">
        <v>4549</v>
      </c>
      <c r="X461" s="172" t="s">
        <v>9167</v>
      </c>
      <c r="Y461" s="46" t="s">
        <v>4919</v>
      </c>
      <c r="Z461" s="46" t="s">
        <v>4685</v>
      </c>
      <c r="AA461" s="46" t="s">
        <v>4837</v>
      </c>
      <c r="AB461" s="172" t="s">
        <v>9167</v>
      </c>
      <c r="AC461" s="48" t="s">
        <v>4920</v>
      </c>
      <c r="AD461" s="30"/>
      <c r="AE461" s="197"/>
      <c r="AF461" s="47"/>
    </row>
    <row r="462" spans="1:32" s="29" customFormat="1" ht="69.95" hidden="1" customHeight="1">
      <c r="A462" s="29" t="s">
        <v>4862</v>
      </c>
      <c r="B462" s="29" t="s">
        <v>3769</v>
      </c>
      <c r="C462" s="40">
        <v>36</v>
      </c>
      <c r="D462" s="40"/>
      <c r="E462" s="57" t="s">
        <v>8026</v>
      </c>
      <c r="F462" s="57" t="s">
        <v>8026</v>
      </c>
      <c r="G462" s="29" t="s">
        <v>1233</v>
      </c>
      <c r="J462" s="29">
        <f t="shared" si="31"/>
        <v>1</v>
      </c>
      <c r="K462" s="42">
        <v>455</v>
      </c>
      <c r="L462" s="43" t="s">
        <v>1234</v>
      </c>
      <c r="M462" s="43" t="s">
        <v>405</v>
      </c>
      <c r="N462" s="44" t="s">
        <v>426</v>
      </c>
      <c r="O462" s="44" t="str">
        <f t="shared" si="30"/>
        <v>PE-L1-3C4-20</v>
      </c>
      <c r="P462" s="45">
        <v>0.2</v>
      </c>
      <c r="Q462" s="44">
        <v>230</v>
      </c>
      <c r="R462" s="44" t="s">
        <v>49</v>
      </c>
      <c r="S462" s="44">
        <v>250</v>
      </c>
      <c r="T462" s="46" t="s">
        <v>4546</v>
      </c>
      <c r="U462" s="46" t="s">
        <v>4862</v>
      </c>
      <c r="V462" s="46" t="s">
        <v>4863</v>
      </c>
      <c r="W462" s="46" t="s">
        <v>4549</v>
      </c>
      <c r="X462" s="172" t="s">
        <v>9167</v>
      </c>
      <c r="Y462" s="46" t="s">
        <v>4921</v>
      </c>
      <c r="Z462" s="46" t="s">
        <v>4687</v>
      </c>
      <c r="AA462" s="46" t="s">
        <v>4837</v>
      </c>
      <c r="AB462" s="172" t="s">
        <v>9167</v>
      </c>
      <c r="AC462" s="48" t="s">
        <v>4922</v>
      </c>
      <c r="AD462" s="30"/>
      <c r="AE462" s="197"/>
      <c r="AF462" s="47"/>
    </row>
    <row r="463" spans="1:32" s="29" customFormat="1" ht="69.95" hidden="1" customHeight="1">
      <c r="A463" s="29" t="s">
        <v>4923</v>
      </c>
      <c r="B463" s="29" t="s">
        <v>3769</v>
      </c>
      <c r="C463" s="40" t="s">
        <v>32</v>
      </c>
      <c r="D463" s="40"/>
      <c r="E463" s="58" t="s">
        <v>60</v>
      </c>
      <c r="F463" s="58" t="s">
        <v>60</v>
      </c>
      <c r="G463" s="29" t="s">
        <v>1235</v>
      </c>
      <c r="J463" s="29">
        <f t="shared" si="31"/>
        <v>1</v>
      </c>
      <c r="K463" s="42">
        <v>456</v>
      </c>
      <c r="L463" s="43" t="s">
        <v>1236</v>
      </c>
      <c r="M463" s="43" t="s">
        <v>405</v>
      </c>
      <c r="N463" s="44" t="s">
        <v>456</v>
      </c>
      <c r="O463" s="44" t="str">
        <f t="shared" si="30"/>
        <v>PE-L1-3C6-03</v>
      </c>
      <c r="P463" s="45">
        <v>1</v>
      </c>
      <c r="Q463" s="44">
        <v>230</v>
      </c>
      <c r="R463" s="44" t="s">
        <v>49</v>
      </c>
      <c r="S463" s="44">
        <v>160</v>
      </c>
      <c r="T463" s="46" t="s">
        <v>4546</v>
      </c>
      <c r="U463" s="46" t="s">
        <v>4923</v>
      </c>
      <c r="V463" s="46" t="s">
        <v>4924</v>
      </c>
      <c r="W463" s="46" t="s">
        <v>4549</v>
      </c>
      <c r="X463" s="172" t="s">
        <v>9167</v>
      </c>
      <c r="Y463" s="46" t="s">
        <v>4925</v>
      </c>
      <c r="Z463" s="46" t="s">
        <v>4691</v>
      </c>
      <c r="AA463" s="46" t="s">
        <v>4837</v>
      </c>
      <c r="AB463" s="172" t="s">
        <v>9167</v>
      </c>
      <c r="AC463" s="48" t="s">
        <v>4885</v>
      </c>
      <c r="AD463" s="30"/>
      <c r="AE463" s="197"/>
      <c r="AF463" s="47"/>
    </row>
    <row r="464" spans="1:32" s="29" customFormat="1" ht="69.95" hidden="1" customHeight="1">
      <c r="A464" s="29" t="s">
        <v>4923</v>
      </c>
      <c r="B464" s="29" t="s">
        <v>3769</v>
      </c>
      <c r="C464" s="40" t="s">
        <v>36</v>
      </c>
      <c r="D464" s="40"/>
      <c r="E464" s="57" t="s">
        <v>60</v>
      </c>
      <c r="F464" s="57" t="s">
        <v>60</v>
      </c>
      <c r="G464" s="29" t="s">
        <v>1237</v>
      </c>
      <c r="J464" s="29">
        <f t="shared" si="31"/>
        <v>1</v>
      </c>
      <c r="K464" s="42">
        <v>457</v>
      </c>
      <c r="L464" s="43" t="s">
        <v>1238</v>
      </c>
      <c r="M464" s="43" t="s">
        <v>405</v>
      </c>
      <c r="N464" s="44" t="s">
        <v>456</v>
      </c>
      <c r="O464" s="44" t="str">
        <f t="shared" si="30"/>
        <v>PE-L1-3C6-03</v>
      </c>
      <c r="P464" s="45">
        <v>1</v>
      </c>
      <c r="Q464" s="44">
        <v>230</v>
      </c>
      <c r="R464" s="44" t="s">
        <v>49</v>
      </c>
      <c r="S464" s="44">
        <v>150</v>
      </c>
      <c r="T464" s="46" t="s">
        <v>4546</v>
      </c>
      <c r="U464" s="46" t="s">
        <v>4923</v>
      </c>
      <c r="V464" s="46" t="s">
        <v>4924</v>
      </c>
      <c r="W464" s="46" t="s">
        <v>4549</v>
      </c>
      <c r="X464" s="172" t="s">
        <v>9167</v>
      </c>
      <c r="Y464" s="46" t="s">
        <v>4926</v>
      </c>
      <c r="Z464" s="46" t="s">
        <v>4693</v>
      </c>
      <c r="AA464" s="46" t="s">
        <v>4837</v>
      </c>
      <c r="AB464" s="172" t="s">
        <v>9167</v>
      </c>
      <c r="AC464" s="48" t="s">
        <v>4887</v>
      </c>
      <c r="AD464" s="30"/>
      <c r="AE464" s="197"/>
      <c r="AF464" s="47"/>
    </row>
    <row r="465" spans="1:32" s="29" customFormat="1" ht="69.95" hidden="1" customHeight="1">
      <c r="A465" s="29" t="s">
        <v>4923</v>
      </c>
      <c r="B465" s="29" t="s">
        <v>3769</v>
      </c>
      <c r="C465" s="40" t="s">
        <v>38</v>
      </c>
      <c r="D465" s="40"/>
      <c r="E465" s="57" t="s">
        <v>140</v>
      </c>
      <c r="F465" s="57" t="s">
        <v>140</v>
      </c>
      <c r="G465" s="29" t="s">
        <v>1239</v>
      </c>
      <c r="J465" s="29">
        <f t="shared" si="31"/>
        <v>1</v>
      </c>
      <c r="K465" s="42">
        <v>458</v>
      </c>
      <c r="L465" s="43" t="s">
        <v>1240</v>
      </c>
      <c r="M465" s="43" t="s">
        <v>405</v>
      </c>
      <c r="N465" s="44" t="s">
        <v>456</v>
      </c>
      <c r="O465" s="44" t="str">
        <f t="shared" si="30"/>
        <v>PE-L1-3C6-06</v>
      </c>
      <c r="P465" s="45">
        <v>1</v>
      </c>
      <c r="Q465" s="44">
        <v>230</v>
      </c>
      <c r="R465" s="44" t="s">
        <v>49</v>
      </c>
      <c r="S465" s="44">
        <v>130</v>
      </c>
      <c r="T465" s="46" t="s">
        <v>4546</v>
      </c>
      <c r="U465" s="46" t="s">
        <v>4923</v>
      </c>
      <c r="V465" s="46" t="s">
        <v>4924</v>
      </c>
      <c r="W465" s="46" t="s">
        <v>4549</v>
      </c>
      <c r="X465" s="172" t="s">
        <v>9167</v>
      </c>
      <c r="Y465" s="46" t="s">
        <v>4927</v>
      </c>
      <c r="Z465" s="46" t="s">
        <v>4695</v>
      </c>
      <c r="AA465" s="46" t="s">
        <v>4837</v>
      </c>
      <c r="AB465" s="172" t="s">
        <v>9167</v>
      </c>
      <c r="AC465" s="48" t="s">
        <v>4889</v>
      </c>
      <c r="AD465" s="30"/>
      <c r="AE465" s="197"/>
      <c r="AF465" s="47"/>
    </row>
    <row r="466" spans="1:32" s="29" customFormat="1" ht="69.95" hidden="1" customHeight="1">
      <c r="A466" s="29" t="s">
        <v>4923</v>
      </c>
      <c r="B466" s="29" t="s">
        <v>3769</v>
      </c>
      <c r="C466" s="40" t="s">
        <v>40</v>
      </c>
      <c r="D466" s="40"/>
      <c r="E466" s="57" t="s">
        <v>140</v>
      </c>
      <c r="F466" s="57" t="s">
        <v>140</v>
      </c>
      <c r="G466" s="29" t="s">
        <v>1241</v>
      </c>
      <c r="J466" s="29">
        <f t="shared" si="31"/>
        <v>1</v>
      </c>
      <c r="K466" s="42">
        <v>459</v>
      </c>
      <c r="L466" s="43" t="s">
        <v>1242</v>
      </c>
      <c r="M466" s="43" t="s">
        <v>405</v>
      </c>
      <c r="N466" s="44" t="s">
        <v>456</v>
      </c>
      <c r="O466" s="44" t="str">
        <f t="shared" si="30"/>
        <v>PE-L1-3C6-06</v>
      </c>
      <c r="P466" s="45">
        <v>1</v>
      </c>
      <c r="Q466" s="44">
        <v>230</v>
      </c>
      <c r="R466" s="44" t="s">
        <v>49</v>
      </c>
      <c r="S466" s="44">
        <v>130</v>
      </c>
      <c r="T466" s="46" t="s">
        <v>4546</v>
      </c>
      <c r="U466" s="46" t="s">
        <v>4923</v>
      </c>
      <c r="V466" s="46" t="s">
        <v>4924</v>
      </c>
      <c r="W466" s="46" t="s">
        <v>4549</v>
      </c>
      <c r="X466" s="172" t="s">
        <v>9167</v>
      </c>
      <c r="Y466" s="46" t="s">
        <v>4928</v>
      </c>
      <c r="Z466" s="46" t="s">
        <v>4697</v>
      </c>
      <c r="AA466" s="46" t="s">
        <v>4837</v>
      </c>
      <c r="AB466" s="172" t="s">
        <v>9167</v>
      </c>
      <c r="AC466" s="48" t="s">
        <v>4891</v>
      </c>
      <c r="AD466" s="30"/>
      <c r="AE466" s="197"/>
      <c r="AF466" s="47"/>
    </row>
    <row r="467" spans="1:32" s="29" customFormat="1" ht="69.95" hidden="1" customHeight="1">
      <c r="A467" s="29" t="s">
        <v>4923</v>
      </c>
      <c r="B467" s="29" t="s">
        <v>3769</v>
      </c>
      <c r="C467" s="40" t="s">
        <v>41</v>
      </c>
      <c r="D467" s="40"/>
      <c r="E467" s="57" t="s">
        <v>60</v>
      </c>
      <c r="F467" s="57" t="s">
        <v>60</v>
      </c>
      <c r="G467" s="29" t="s">
        <v>1243</v>
      </c>
      <c r="J467" s="29">
        <f t="shared" si="31"/>
        <v>1</v>
      </c>
      <c r="K467" s="42">
        <v>460</v>
      </c>
      <c r="L467" s="43" t="s">
        <v>1244</v>
      </c>
      <c r="M467" s="43" t="s">
        <v>405</v>
      </c>
      <c r="N467" s="44" t="s">
        <v>456</v>
      </c>
      <c r="O467" s="44" t="str">
        <f t="shared" si="30"/>
        <v>PE-L1-3C6-03</v>
      </c>
      <c r="P467" s="45">
        <v>1</v>
      </c>
      <c r="Q467" s="44">
        <v>230</v>
      </c>
      <c r="R467" s="44" t="s">
        <v>49</v>
      </c>
      <c r="S467" s="44">
        <v>160</v>
      </c>
      <c r="T467" s="46" t="s">
        <v>4546</v>
      </c>
      <c r="U467" s="46" t="s">
        <v>4923</v>
      </c>
      <c r="V467" s="46" t="s">
        <v>4924</v>
      </c>
      <c r="W467" s="46" t="s">
        <v>4549</v>
      </c>
      <c r="X467" s="172" t="s">
        <v>9167</v>
      </c>
      <c r="Y467" s="46" t="s">
        <v>4929</v>
      </c>
      <c r="Z467" s="46" t="s">
        <v>4700</v>
      </c>
      <c r="AA467" s="46" t="s">
        <v>4837</v>
      </c>
      <c r="AB467" s="172" t="s">
        <v>9167</v>
      </c>
      <c r="AC467" s="48" t="s">
        <v>4893</v>
      </c>
      <c r="AD467" s="30"/>
      <c r="AE467" s="197"/>
      <c r="AF467" s="47"/>
    </row>
    <row r="468" spans="1:32" s="29" customFormat="1" ht="69.95" hidden="1" customHeight="1">
      <c r="A468" s="29" t="s">
        <v>4923</v>
      </c>
      <c r="B468" s="29" t="s">
        <v>3769</v>
      </c>
      <c r="C468" s="40" t="s">
        <v>42</v>
      </c>
      <c r="D468" s="40"/>
      <c r="E468" s="57" t="s">
        <v>140</v>
      </c>
      <c r="F468" s="57" t="s">
        <v>140</v>
      </c>
      <c r="G468" s="29" t="s">
        <v>1245</v>
      </c>
      <c r="J468" s="29">
        <f t="shared" si="31"/>
        <v>1</v>
      </c>
      <c r="K468" s="42">
        <v>461</v>
      </c>
      <c r="L468" s="43" t="s">
        <v>1246</v>
      </c>
      <c r="M468" s="43" t="s">
        <v>405</v>
      </c>
      <c r="N468" s="44" t="s">
        <v>456</v>
      </c>
      <c r="O468" s="44" t="str">
        <f t="shared" si="30"/>
        <v>PE-L1-3C6-06</v>
      </c>
      <c r="P468" s="45">
        <v>1</v>
      </c>
      <c r="Q468" s="44">
        <v>230</v>
      </c>
      <c r="R468" s="44" t="s">
        <v>49</v>
      </c>
      <c r="S468" s="44">
        <v>170</v>
      </c>
      <c r="T468" s="46" t="s">
        <v>4546</v>
      </c>
      <c r="U468" s="46" t="s">
        <v>4923</v>
      </c>
      <c r="V468" s="46" t="s">
        <v>4924</v>
      </c>
      <c r="W468" s="46" t="s">
        <v>4549</v>
      </c>
      <c r="X468" s="172" t="s">
        <v>9167</v>
      </c>
      <c r="Y468" s="46" t="s">
        <v>4930</v>
      </c>
      <c r="Z468" s="46" t="s">
        <v>4702</v>
      </c>
      <c r="AA468" s="46" t="s">
        <v>4837</v>
      </c>
      <c r="AB468" s="172" t="s">
        <v>9167</v>
      </c>
      <c r="AC468" s="48" t="s">
        <v>4895</v>
      </c>
      <c r="AD468" s="30"/>
      <c r="AE468" s="197"/>
      <c r="AF468" s="47"/>
    </row>
    <row r="469" spans="1:32" s="29" customFormat="1" ht="69.95" hidden="1" customHeight="1">
      <c r="A469" s="29" t="s">
        <v>4923</v>
      </c>
      <c r="B469" s="29" t="s">
        <v>3769</v>
      </c>
      <c r="C469" s="40" t="s">
        <v>43</v>
      </c>
      <c r="D469" s="40"/>
      <c r="E469" s="57" t="s">
        <v>140</v>
      </c>
      <c r="F469" s="57" t="s">
        <v>140</v>
      </c>
      <c r="G469" s="29" t="s">
        <v>1247</v>
      </c>
      <c r="J469" s="29">
        <f t="shared" si="31"/>
        <v>1</v>
      </c>
      <c r="K469" s="42">
        <v>462</v>
      </c>
      <c r="L469" s="43" t="s">
        <v>1248</v>
      </c>
      <c r="M469" s="43" t="s">
        <v>405</v>
      </c>
      <c r="N469" s="44" t="s">
        <v>456</v>
      </c>
      <c r="O469" s="44" t="str">
        <f t="shared" si="30"/>
        <v>PE-L1-3C6-06</v>
      </c>
      <c r="P469" s="45">
        <v>1</v>
      </c>
      <c r="Q469" s="44">
        <v>230</v>
      </c>
      <c r="R469" s="44" t="s">
        <v>49</v>
      </c>
      <c r="S469" s="44">
        <v>210</v>
      </c>
      <c r="T469" s="46" t="s">
        <v>4546</v>
      </c>
      <c r="U469" s="46" t="s">
        <v>4923</v>
      </c>
      <c r="V469" s="46" t="s">
        <v>4924</v>
      </c>
      <c r="W469" s="46" t="s">
        <v>4549</v>
      </c>
      <c r="X469" s="172" t="s">
        <v>9167</v>
      </c>
      <c r="Y469" s="46" t="s">
        <v>4931</v>
      </c>
      <c r="Z469" s="46" t="s">
        <v>4704</v>
      </c>
      <c r="AA469" s="46" t="s">
        <v>4837</v>
      </c>
      <c r="AB469" s="172" t="s">
        <v>9167</v>
      </c>
      <c r="AC469" s="48" t="s">
        <v>4897</v>
      </c>
      <c r="AD469" s="30"/>
      <c r="AE469" s="197"/>
      <c r="AF469" s="47"/>
    </row>
    <row r="470" spans="1:32" s="29" customFormat="1" ht="69.95" hidden="1" customHeight="1">
      <c r="A470" s="29" t="s">
        <v>4923</v>
      </c>
      <c r="B470" s="29" t="s">
        <v>3769</v>
      </c>
      <c r="C470" s="40" t="s">
        <v>73</v>
      </c>
      <c r="D470" s="40"/>
      <c r="E470" s="57" t="s">
        <v>140</v>
      </c>
      <c r="F470" s="57" t="s">
        <v>140</v>
      </c>
      <c r="G470" s="29" t="s">
        <v>1249</v>
      </c>
      <c r="J470" s="29">
        <f t="shared" si="31"/>
        <v>1</v>
      </c>
      <c r="K470" s="42">
        <v>463</v>
      </c>
      <c r="L470" s="43" t="s">
        <v>1250</v>
      </c>
      <c r="M470" s="43" t="s">
        <v>405</v>
      </c>
      <c r="N470" s="44" t="s">
        <v>456</v>
      </c>
      <c r="O470" s="44" t="str">
        <f t="shared" si="30"/>
        <v>PE-L1-3C6-06</v>
      </c>
      <c r="P470" s="45">
        <v>1</v>
      </c>
      <c r="Q470" s="44">
        <v>230</v>
      </c>
      <c r="R470" s="44" t="s">
        <v>49</v>
      </c>
      <c r="S470" s="44">
        <v>200</v>
      </c>
      <c r="T470" s="46" t="s">
        <v>4546</v>
      </c>
      <c r="U470" s="46" t="s">
        <v>4923</v>
      </c>
      <c r="V470" s="46" t="s">
        <v>4924</v>
      </c>
      <c r="W470" s="46" t="s">
        <v>4549</v>
      </c>
      <c r="X470" s="172" t="s">
        <v>9167</v>
      </c>
      <c r="Y470" s="46" t="s">
        <v>4932</v>
      </c>
      <c r="Z470" s="46" t="s">
        <v>4706</v>
      </c>
      <c r="AA470" s="46" t="s">
        <v>4837</v>
      </c>
      <c r="AB470" s="172" t="s">
        <v>9167</v>
      </c>
      <c r="AC470" s="48" t="s">
        <v>4899</v>
      </c>
      <c r="AD470" s="30"/>
      <c r="AE470" s="197"/>
      <c r="AF470" s="47"/>
    </row>
    <row r="471" spans="1:32" s="29" customFormat="1" ht="69.95" hidden="1" customHeight="1">
      <c r="A471" s="29" t="s">
        <v>4923</v>
      </c>
      <c r="B471" s="29" t="s">
        <v>3769</v>
      </c>
      <c r="C471" s="40" t="s">
        <v>75</v>
      </c>
      <c r="D471" s="40"/>
      <c r="E471" s="57" t="s">
        <v>140</v>
      </c>
      <c r="F471" s="57" t="s">
        <v>140</v>
      </c>
      <c r="G471" s="29" t="s">
        <v>1251</v>
      </c>
      <c r="J471" s="29">
        <f t="shared" si="31"/>
        <v>1</v>
      </c>
      <c r="K471" s="42">
        <v>464</v>
      </c>
      <c r="L471" s="43" t="s">
        <v>1252</v>
      </c>
      <c r="M471" s="43" t="s">
        <v>405</v>
      </c>
      <c r="N471" s="44" t="s">
        <v>456</v>
      </c>
      <c r="O471" s="44" t="str">
        <f t="shared" si="30"/>
        <v>PE-L1-3C6-06</v>
      </c>
      <c r="P471" s="45">
        <v>1</v>
      </c>
      <c r="Q471" s="44">
        <v>230</v>
      </c>
      <c r="R471" s="44" t="s">
        <v>49</v>
      </c>
      <c r="S471" s="44">
        <v>180</v>
      </c>
      <c r="T471" s="46" t="s">
        <v>4546</v>
      </c>
      <c r="U471" s="46" t="s">
        <v>4923</v>
      </c>
      <c r="V471" s="46" t="s">
        <v>4924</v>
      </c>
      <c r="W471" s="46" t="s">
        <v>4549</v>
      </c>
      <c r="X471" s="172" t="s">
        <v>9167</v>
      </c>
      <c r="Y471" s="46" t="s">
        <v>4933</v>
      </c>
      <c r="Z471" s="46" t="s">
        <v>4708</v>
      </c>
      <c r="AA471" s="46" t="s">
        <v>4837</v>
      </c>
      <c r="AB471" s="172" t="s">
        <v>9167</v>
      </c>
      <c r="AC471" s="48" t="s">
        <v>4899</v>
      </c>
      <c r="AD471" s="30"/>
      <c r="AE471" s="197"/>
      <c r="AF471" s="47"/>
    </row>
    <row r="472" spans="1:32" s="29" customFormat="1" ht="69.95" hidden="1" customHeight="1">
      <c r="A472" s="29" t="s">
        <v>4923</v>
      </c>
      <c r="B472" s="29" t="s">
        <v>3769</v>
      </c>
      <c r="C472" s="40">
        <v>10</v>
      </c>
      <c r="D472" s="40"/>
      <c r="E472" s="57" t="s">
        <v>140</v>
      </c>
      <c r="F472" s="57" t="s">
        <v>140</v>
      </c>
      <c r="G472" s="29" t="s">
        <v>1253</v>
      </c>
      <c r="J472" s="29">
        <f t="shared" si="31"/>
        <v>1</v>
      </c>
      <c r="K472" s="42">
        <v>465</v>
      </c>
      <c r="L472" s="43" t="s">
        <v>1254</v>
      </c>
      <c r="M472" s="43" t="s">
        <v>405</v>
      </c>
      <c r="N472" s="44" t="s">
        <v>8623</v>
      </c>
      <c r="O472" s="44" t="str">
        <f t="shared" si="30"/>
        <v>PE-L1-3C6-06</v>
      </c>
      <c r="P472" s="45">
        <v>1</v>
      </c>
      <c r="Q472" s="44">
        <v>230</v>
      </c>
      <c r="R472" s="44" t="s">
        <v>49</v>
      </c>
      <c r="S472" s="44">
        <v>150</v>
      </c>
      <c r="T472" s="46" t="s">
        <v>4546</v>
      </c>
      <c r="U472" s="46" t="s">
        <v>4923</v>
      </c>
      <c r="V472" s="46" t="s">
        <v>4924</v>
      </c>
      <c r="W472" s="46" t="s">
        <v>4549</v>
      </c>
      <c r="X472" s="172" t="s">
        <v>9167</v>
      </c>
      <c r="Y472" s="46" t="s">
        <v>4934</v>
      </c>
      <c r="Z472" s="46" t="s">
        <v>4711</v>
      </c>
      <c r="AA472" s="46" t="s">
        <v>4837</v>
      </c>
      <c r="AB472" s="172" t="s">
        <v>9167</v>
      </c>
      <c r="AC472" s="48" t="s">
        <v>4902</v>
      </c>
      <c r="AD472" s="30"/>
      <c r="AE472" s="197"/>
      <c r="AF472" s="47"/>
    </row>
    <row r="473" spans="1:32" s="29" customFormat="1" ht="69.95" hidden="1" customHeight="1">
      <c r="A473" s="29" t="s">
        <v>4923</v>
      </c>
      <c r="B473" s="29" t="s">
        <v>3769</v>
      </c>
      <c r="C473" s="40">
        <v>11</v>
      </c>
      <c r="D473" s="40"/>
      <c r="E473" s="57" t="s">
        <v>140</v>
      </c>
      <c r="F473" s="57" t="s">
        <v>140</v>
      </c>
      <c r="G473" s="29" t="s">
        <v>1255</v>
      </c>
      <c r="J473" s="29">
        <f t="shared" si="31"/>
        <v>1</v>
      </c>
      <c r="K473" s="42">
        <v>466</v>
      </c>
      <c r="L473" s="43" t="s">
        <v>1256</v>
      </c>
      <c r="M473" s="43" t="s">
        <v>405</v>
      </c>
      <c r="N473" s="44" t="s">
        <v>456</v>
      </c>
      <c r="O473" s="44" t="str">
        <f t="shared" si="30"/>
        <v>PE-L1-3C6-06</v>
      </c>
      <c r="P473" s="45">
        <v>1</v>
      </c>
      <c r="Q473" s="44">
        <v>230</v>
      </c>
      <c r="R473" s="44" t="s">
        <v>49</v>
      </c>
      <c r="S473" s="44">
        <v>160</v>
      </c>
      <c r="T473" s="46" t="s">
        <v>4546</v>
      </c>
      <c r="U473" s="46" t="s">
        <v>4923</v>
      </c>
      <c r="V473" s="46" t="s">
        <v>4924</v>
      </c>
      <c r="W473" s="46" t="s">
        <v>4549</v>
      </c>
      <c r="X473" s="172" t="s">
        <v>9167</v>
      </c>
      <c r="Y473" s="46" t="s">
        <v>4935</v>
      </c>
      <c r="Z473" s="46" t="s">
        <v>4714</v>
      </c>
      <c r="AA473" s="46" t="s">
        <v>4837</v>
      </c>
      <c r="AB473" s="172" t="s">
        <v>9167</v>
      </c>
      <c r="AC473" s="48" t="s">
        <v>4902</v>
      </c>
      <c r="AD473" s="30"/>
      <c r="AE473" s="197"/>
      <c r="AF473" s="47"/>
    </row>
    <row r="474" spans="1:32" s="29" customFormat="1" ht="69.95" hidden="1" customHeight="1">
      <c r="A474" s="29" t="s">
        <v>4923</v>
      </c>
      <c r="B474" s="29" t="s">
        <v>3769</v>
      </c>
      <c r="C474" s="40">
        <v>12</v>
      </c>
      <c r="D474" s="40"/>
      <c r="E474" s="57" t="s">
        <v>140</v>
      </c>
      <c r="F474" s="57" t="s">
        <v>140</v>
      </c>
      <c r="G474" s="29" t="s">
        <v>1257</v>
      </c>
      <c r="J474" s="29">
        <f t="shared" si="31"/>
        <v>1</v>
      </c>
      <c r="K474" s="42">
        <v>467</v>
      </c>
      <c r="L474" s="43" t="s">
        <v>1258</v>
      </c>
      <c r="M474" s="43" t="s">
        <v>405</v>
      </c>
      <c r="N474" s="44" t="s">
        <v>456</v>
      </c>
      <c r="O474" s="44" t="str">
        <f t="shared" si="30"/>
        <v>PE-L1-3C6-06</v>
      </c>
      <c r="P474" s="45">
        <v>1</v>
      </c>
      <c r="Q474" s="44">
        <v>230</v>
      </c>
      <c r="R474" s="44" t="s">
        <v>49</v>
      </c>
      <c r="S474" s="44">
        <v>170</v>
      </c>
      <c r="T474" s="46" t="s">
        <v>4546</v>
      </c>
      <c r="U474" s="46" t="s">
        <v>4923</v>
      </c>
      <c r="V474" s="46" t="s">
        <v>4924</v>
      </c>
      <c r="W474" s="46" t="s">
        <v>4549</v>
      </c>
      <c r="X474" s="172" t="s">
        <v>9167</v>
      </c>
      <c r="Y474" s="46" t="s">
        <v>4936</v>
      </c>
      <c r="Z474" s="46" t="s">
        <v>4717</v>
      </c>
      <c r="AA474" s="46" t="s">
        <v>4837</v>
      </c>
      <c r="AB474" s="172" t="s">
        <v>9167</v>
      </c>
      <c r="AC474" s="48" t="s">
        <v>4905</v>
      </c>
      <c r="AD474" s="30"/>
      <c r="AE474" s="197"/>
      <c r="AF474" s="47"/>
    </row>
    <row r="475" spans="1:32" s="29" customFormat="1" ht="69.95" hidden="1" customHeight="1">
      <c r="A475" s="29" t="s">
        <v>4937</v>
      </c>
      <c r="B475" s="29" t="s">
        <v>3769</v>
      </c>
      <c r="C475" s="40" t="s">
        <v>32</v>
      </c>
      <c r="D475" s="40"/>
      <c r="E475" s="57" t="s">
        <v>140</v>
      </c>
      <c r="F475" s="57" t="s">
        <v>140</v>
      </c>
      <c r="G475" s="29" t="s">
        <v>1259</v>
      </c>
      <c r="J475" s="29">
        <f t="shared" si="31"/>
        <v>1</v>
      </c>
      <c r="K475" s="42">
        <v>468</v>
      </c>
      <c r="L475" s="43" t="s">
        <v>1260</v>
      </c>
      <c r="M475" s="43" t="s">
        <v>405</v>
      </c>
      <c r="N475" s="44" t="s">
        <v>456</v>
      </c>
      <c r="O475" s="44" t="str">
        <f t="shared" si="30"/>
        <v>PE-L1-3C6-06</v>
      </c>
      <c r="P475" s="45">
        <v>1</v>
      </c>
      <c r="Q475" s="44">
        <v>230</v>
      </c>
      <c r="R475" s="44" t="s">
        <v>49</v>
      </c>
      <c r="S475" s="44">
        <v>220</v>
      </c>
      <c r="T475" s="46" t="s">
        <v>4546</v>
      </c>
      <c r="U475" s="46" t="s">
        <v>4937</v>
      </c>
      <c r="V475" s="46" t="s">
        <v>4938</v>
      </c>
      <c r="W475" s="46" t="s">
        <v>4549</v>
      </c>
      <c r="X475" s="172" t="s">
        <v>9167</v>
      </c>
      <c r="Y475" s="46" t="s">
        <v>4939</v>
      </c>
      <c r="Z475" s="46" t="s">
        <v>4722</v>
      </c>
      <c r="AA475" s="46" t="s">
        <v>4837</v>
      </c>
      <c r="AB475" s="172" t="s">
        <v>9167</v>
      </c>
      <c r="AC475" s="48" t="s">
        <v>4940</v>
      </c>
      <c r="AD475" s="30"/>
      <c r="AE475" s="197"/>
      <c r="AF475" s="47"/>
    </row>
    <row r="476" spans="1:32" s="29" customFormat="1" ht="69.95" hidden="1" customHeight="1">
      <c r="A476" s="29" t="s">
        <v>4937</v>
      </c>
      <c r="B476" s="29" t="s">
        <v>3769</v>
      </c>
      <c r="C476" s="40" t="s">
        <v>36</v>
      </c>
      <c r="D476" s="40"/>
      <c r="E476" s="57" t="s">
        <v>140</v>
      </c>
      <c r="F476" s="57" t="s">
        <v>140</v>
      </c>
      <c r="G476" s="29" t="s">
        <v>1261</v>
      </c>
      <c r="J476" s="29">
        <f t="shared" si="31"/>
        <v>1</v>
      </c>
      <c r="K476" s="42">
        <v>469</v>
      </c>
      <c r="L476" s="43" t="s">
        <v>1262</v>
      </c>
      <c r="M476" s="43" t="s">
        <v>405</v>
      </c>
      <c r="N476" s="44" t="s">
        <v>456</v>
      </c>
      <c r="O476" s="44" t="str">
        <f t="shared" si="30"/>
        <v>PE-L1-3C6-06</v>
      </c>
      <c r="P476" s="45">
        <v>1</v>
      </c>
      <c r="Q476" s="44">
        <v>230</v>
      </c>
      <c r="R476" s="44" t="s">
        <v>49</v>
      </c>
      <c r="S476" s="44">
        <v>210</v>
      </c>
      <c r="T476" s="46" t="s">
        <v>4546</v>
      </c>
      <c r="U476" s="46" t="s">
        <v>4937</v>
      </c>
      <c r="V476" s="46" t="s">
        <v>4938</v>
      </c>
      <c r="W476" s="46" t="s">
        <v>4549</v>
      </c>
      <c r="X476" s="172" t="s">
        <v>9167</v>
      </c>
      <c r="Y476" s="46" t="s">
        <v>4941</v>
      </c>
      <c r="Z476" s="46" t="s">
        <v>4725</v>
      </c>
      <c r="AA476" s="46" t="s">
        <v>4837</v>
      </c>
      <c r="AB476" s="172" t="s">
        <v>9167</v>
      </c>
      <c r="AC476" s="48" t="s">
        <v>4942</v>
      </c>
      <c r="AD476" s="30"/>
      <c r="AE476" s="197"/>
      <c r="AF476" s="47"/>
    </row>
    <row r="477" spans="1:32" s="29" customFormat="1" ht="69.95" hidden="1" customHeight="1">
      <c r="A477" s="29" t="s">
        <v>4937</v>
      </c>
      <c r="B477" s="29" t="s">
        <v>3769</v>
      </c>
      <c r="C477" s="40" t="s">
        <v>38</v>
      </c>
      <c r="D477" s="40"/>
      <c r="E477" s="57" t="s">
        <v>141</v>
      </c>
      <c r="F477" s="57" t="s">
        <v>141</v>
      </c>
      <c r="G477" s="29" t="s">
        <v>1263</v>
      </c>
      <c r="J477" s="29">
        <f t="shared" si="31"/>
        <v>1</v>
      </c>
      <c r="K477" s="42">
        <v>470</v>
      </c>
      <c r="L477" s="43" t="s">
        <v>1264</v>
      </c>
      <c r="M477" s="43" t="s">
        <v>405</v>
      </c>
      <c r="N477" s="44" t="s">
        <v>456</v>
      </c>
      <c r="O477" s="44" t="str">
        <f t="shared" si="30"/>
        <v>PE-L1-3C6-07</v>
      </c>
      <c r="P477" s="45">
        <v>1</v>
      </c>
      <c r="Q477" s="44">
        <v>230</v>
      </c>
      <c r="R477" s="44" t="s">
        <v>49</v>
      </c>
      <c r="S477" s="44">
        <v>190</v>
      </c>
      <c r="T477" s="46" t="s">
        <v>4546</v>
      </c>
      <c r="U477" s="46" t="s">
        <v>4937</v>
      </c>
      <c r="V477" s="46" t="s">
        <v>4938</v>
      </c>
      <c r="W477" s="46" t="s">
        <v>4549</v>
      </c>
      <c r="X477" s="172" t="s">
        <v>9167</v>
      </c>
      <c r="Y477" s="46" t="s">
        <v>4943</v>
      </c>
      <c r="Z477" s="46" t="s">
        <v>4728</v>
      </c>
      <c r="AA477" s="46" t="s">
        <v>4837</v>
      </c>
      <c r="AB477" s="172" t="s">
        <v>9167</v>
      </c>
      <c r="AC477" s="48" t="s">
        <v>4942</v>
      </c>
      <c r="AD477" s="30"/>
      <c r="AE477" s="197"/>
      <c r="AF477" s="47"/>
    </row>
    <row r="478" spans="1:32" s="29" customFormat="1" ht="69.95" hidden="1" customHeight="1">
      <c r="A478" s="29" t="s">
        <v>4937</v>
      </c>
      <c r="B478" s="29" t="s">
        <v>3769</v>
      </c>
      <c r="C478" s="40" t="s">
        <v>40</v>
      </c>
      <c r="D478" s="40"/>
      <c r="E478" s="57" t="s">
        <v>141</v>
      </c>
      <c r="F478" s="57" t="s">
        <v>141</v>
      </c>
      <c r="G478" s="29" t="s">
        <v>1265</v>
      </c>
      <c r="J478" s="29">
        <f t="shared" si="31"/>
        <v>1</v>
      </c>
      <c r="K478" s="42">
        <v>471</v>
      </c>
      <c r="L478" s="43" t="s">
        <v>1266</v>
      </c>
      <c r="M478" s="43" t="s">
        <v>405</v>
      </c>
      <c r="N478" s="44" t="s">
        <v>8623</v>
      </c>
      <c r="O478" s="44" t="str">
        <f t="shared" si="30"/>
        <v>PE-L1-3C6-07</v>
      </c>
      <c r="P478" s="45">
        <v>1</v>
      </c>
      <c r="Q478" s="44">
        <v>230</v>
      </c>
      <c r="R478" s="44" t="s">
        <v>49</v>
      </c>
      <c r="S478" s="44">
        <v>160</v>
      </c>
      <c r="T478" s="46" t="s">
        <v>4546</v>
      </c>
      <c r="U478" s="46" t="s">
        <v>4937</v>
      </c>
      <c r="V478" s="46" t="s">
        <v>4938</v>
      </c>
      <c r="W478" s="46" t="s">
        <v>4549</v>
      </c>
      <c r="X478" s="172" t="s">
        <v>9167</v>
      </c>
      <c r="Y478" s="46" t="s">
        <v>4944</v>
      </c>
      <c r="Z478" s="46" t="s">
        <v>4730</v>
      </c>
      <c r="AA478" s="46" t="s">
        <v>4837</v>
      </c>
      <c r="AB478" s="172" t="s">
        <v>9167</v>
      </c>
      <c r="AC478" s="48" t="s">
        <v>4912</v>
      </c>
      <c r="AD478" s="30"/>
      <c r="AE478" s="197"/>
      <c r="AF478" s="47"/>
    </row>
    <row r="479" spans="1:32" s="29" customFormat="1" ht="69.95" hidden="1" customHeight="1">
      <c r="A479" s="29" t="s">
        <v>4937</v>
      </c>
      <c r="B479" s="29" t="s">
        <v>3769</v>
      </c>
      <c r="C479" s="40" t="s">
        <v>41</v>
      </c>
      <c r="D479" s="40"/>
      <c r="E479" s="57" t="s">
        <v>141</v>
      </c>
      <c r="F479" s="57" t="s">
        <v>141</v>
      </c>
      <c r="G479" s="29" t="s">
        <v>1267</v>
      </c>
      <c r="J479" s="29">
        <f t="shared" si="31"/>
        <v>1</v>
      </c>
      <c r="K479" s="42">
        <v>472</v>
      </c>
      <c r="L479" s="43" t="s">
        <v>1268</v>
      </c>
      <c r="M479" s="43" t="s">
        <v>405</v>
      </c>
      <c r="N479" s="44" t="s">
        <v>456</v>
      </c>
      <c r="O479" s="44" t="str">
        <f t="shared" si="30"/>
        <v>PE-L1-3C6-07</v>
      </c>
      <c r="P479" s="45">
        <v>1</v>
      </c>
      <c r="Q479" s="44">
        <v>230</v>
      </c>
      <c r="R479" s="44" t="s">
        <v>49</v>
      </c>
      <c r="S479" s="44">
        <v>180</v>
      </c>
      <c r="T479" s="46" t="s">
        <v>4546</v>
      </c>
      <c r="U479" s="46" t="s">
        <v>4937</v>
      </c>
      <c r="V479" s="46" t="s">
        <v>4938</v>
      </c>
      <c r="W479" s="46" t="s">
        <v>4549</v>
      </c>
      <c r="X479" s="172" t="s">
        <v>9167</v>
      </c>
      <c r="Y479" s="46" t="s">
        <v>4945</v>
      </c>
      <c r="Z479" s="46" t="s">
        <v>4733</v>
      </c>
      <c r="AA479" s="46" t="s">
        <v>4837</v>
      </c>
      <c r="AB479" s="172" t="s">
        <v>9167</v>
      </c>
      <c r="AC479" s="48" t="s">
        <v>4912</v>
      </c>
      <c r="AD479" s="30"/>
      <c r="AE479" s="197"/>
      <c r="AF479" s="47"/>
    </row>
    <row r="480" spans="1:32" s="29" customFormat="1" ht="69.95" hidden="1" customHeight="1">
      <c r="A480" s="29" t="s">
        <v>4937</v>
      </c>
      <c r="B480" s="29" t="s">
        <v>3769</v>
      </c>
      <c r="C480" s="40" t="s">
        <v>42</v>
      </c>
      <c r="D480" s="40"/>
      <c r="E480" s="57" t="s">
        <v>141</v>
      </c>
      <c r="F480" s="57" t="s">
        <v>141</v>
      </c>
      <c r="G480" s="29" t="s">
        <v>1269</v>
      </c>
      <c r="J480" s="29">
        <f t="shared" si="31"/>
        <v>1</v>
      </c>
      <c r="K480" s="127">
        <v>473</v>
      </c>
      <c r="L480" s="43" t="s">
        <v>1270</v>
      </c>
      <c r="M480" s="43" t="s">
        <v>405</v>
      </c>
      <c r="N480" s="44" t="s">
        <v>456</v>
      </c>
      <c r="O480" s="44" t="str">
        <f t="shared" si="30"/>
        <v>PE-L1-3C6-07</v>
      </c>
      <c r="P480" s="45">
        <v>1</v>
      </c>
      <c r="Q480" s="44">
        <v>230</v>
      </c>
      <c r="R480" s="44" t="s">
        <v>49</v>
      </c>
      <c r="S480" s="44">
        <v>190</v>
      </c>
      <c r="T480" s="46" t="s">
        <v>4546</v>
      </c>
      <c r="U480" s="46" t="s">
        <v>4937</v>
      </c>
      <c r="V480" s="46" t="s">
        <v>4938</v>
      </c>
      <c r="W480" s="46" t="s">
        <v>4549</v>
      </c>
      <c r="X480" s="172" t="s">
        <v>9167</v>
      </c>
      <c r="Y480" s="46" t="s">
        <v>4946</v>
      </c>
      <c r="Z480" s="46" t="s">
        <v>4735</v>
      </c>
      <c r="AA480" s="46" t="s">
        <v>4837</v>
      </c>
      <c r="AB480" s="172" t="s">
        <v>9167</v>
      </c>
      <c r="AC480" s="76" t="s">
        <v>9210</v>
      </c>
      <c r="AD480" s="30"/>
      <c r="AE480" s="197"/>
      <c r="AF480" s="47"/>
    </row>
    <row r="481" spans="1:32" s="29" customFormat="1" ht="69.95" hidden="1" customHeight="1">
      <c r="A481" s="29" t="s">
        <v>4937</v>
      </c>
      <c r="B481" s="29" t="s">
        <v>3769</v>
      </c>
      <c r="C481" s="40" t="s">
        <v>43</v>
      </c>
      <c r="D481" s="40"/>
      <c r="E481" s="57" t="s">
        <v>141</v>
      </c>
      <c r="F481" s="57" t="s">
        <v>141</v>
      </c>
      <c r="G481" s="29" t="s">
        <v>1271</v>
      </c>
      <c r="J481" s="29">
        <f t="shared" si="31"/>
        <v>1</v>
      </c>
      <c r="K481" s="127">
        <v>474</v>
      </c>
      <c r="L481" s="43" t="s">
        <v>1272</v>
      </c>
      <c r="M481" s="43" t="s">
        <v>405</v>
      </c>
      <c r="N481" s="44" t="s">
        <v>456</v>
      </c>
      <c r="O481" s="44" t="str">
        <f t="shared" si="30"/>
        <v>PE-L1-3C6-07</v>
      </c>
      <c r="P481" s="45">
        <v>1</v>
      </c>
      <c r="Q481" s="44">
        <v>230</v>
      </c>
      <c r="R481" s="44" t="s">
        <v>49</v>
      </c>
      <c r="S481" s="44">
        <v>230</v>
      </c>
      <c r="T481" s="46" t="s">
        <v>4546</v>
      </c>
      <c r="U481" s="46" t="s">
        <v>4937</v>
      </c>
      <c r="V481" s="46" t="s">
        <v>4938</v>
      </c>
      <c r="W481" s="46" t="s">
        <v>4549</v>
      </c>
      <c r="X481" s="172" t="s">
        <v>9167</v>
      </c>
      <c r="Y481" s="46" t="s">
        <v>4947</v>
      </c>
      <c r="Z481" s="46" t="s">
        <v>4738</v>
      </c>
      <c r="AA481" s="46" t="s">
        <v>4837</v>
      </c>
      <c r="AB481" s="172" t="s">
        <v>9167</v>
      </c>
      <c r="AC481" s="76" t="s">
        <v>9206</v>
      </c>
      <c r="AD481" s="30"/>
      <c r="AE481" s="197"/>
      <c r="AF481" s="47"/>
    </row>
    <row r="482" spans="1:32" s="29" customFormat="1" ht="69.95" hidden="1" customHeight="1">
      <c r="A482" s="29" t="s">
        <v>4937</v>
      </c>
      <c r="B482" s="29" t="s">
        <v>3769</v>
      </c>
      <c r="C482" s="40" t="s">
        <v>73</v>
      </c>
      <c r="D482" s="40"/>
      <c r="E482" s="57" t="s">
        <v>141</v>
      </c>
      <c r="F482" s="57" t="s">
        <v>141</v>
      </c>
      <c r="G482" s="29" t="s">
        <v>1273</v>
      </c>
      <c r="J482" s="29">
        <f t="shared" si="31"/>
        <v>1</v>
      </c>
      <c r="K482" s="127">
        <v>475</v>
      </c>
      <c r="L482" s="43" t="s">
        <v>1274</v>
      </c>
      <c r="M482" s="43" t="s">
        <v>405</v>
      </c>
      <c r="N482" s="44" t="s">
        <v>456</v>
      </c>
      <c r="O482" s="44" t="str">
        <f t="shared" si="30"/>
        <v>PE-L1-3C6-07</v>
      </c>
      <c r="P482" s="45">
        <v>1</v>
      </c>
      <c r="Q482" s="44">
        <v>230</v>
      </c>
      <c r="R482" s="44" t="s">
        <v>49</v>
      </c>
      <c r="S482" s="44">
        <v>210</v>
      </c>
      <c r="T482" s="46" t="s">
        <v>4546</v>
      </c>
      <c r="U482" s="46" t="s">
        <v>4937</v>
      </c>
      <c r="V482" s="46" t="s">
        <v>4938</v>
      </c>
      <c r="W482" s="46" t="s">
        <v>4549</v>
      </c>
      <c r="X482" s="172" t="s">
        <v>9167</v>
      </c>
      <c r="Y482" s="46" t="s">
        <v>4948</v>
      </c>
      <c r="Z482" s="46" t="s">
        <v>4741</v>
      </c>
      <c r="AA482" s="46" t="s">
        <v>4837</v>
      </c>
      <c r="AB482" s="172" t="s">
        <v>9167</v>
      </c>
      <c r="AC482" s="76" t="s">
        <v>9207</v>
      </c>
      <c r="AD482" s="30"/>
      <c r="AE482" s="197"/>
      <c r="AF482" s="47"/>
    </row>
    <row r="483" spans="1:32" s="29" customFormat="1" ht="69.95" hidden="1" customHeight="1">
      <c r="A483" s="29" t="s">
        <v>4937</v>
      </c>
      <c r="B483" s="29" t="s">
        <v>3769</v>
      </c>
      <c r="C483" s="40" t="s">
        <v>75</v>
      </c>
      <c r="D483" s="40"/>
      <c r="E483" s="57" t="s">
        <v>141</v>
      </c>
      <c r="F483" s="57" t="s">
        <v>141</v>
      </c>
      <c r="G483" s="29" t="s">
        <v>1275</v>
      </c>
      <c r="J483" s="29">
        <f t="shared" si="31"/>
        <v>1</v>
      </c>
      <c r="K483" s="127">
        <v>476</v>
      </c>
      <c r="L483" s="43" t="s">
        <v>1276</v>
      </c>
      <c r="M483" s="43" t="s">
        <v>405</v>
      </c>
      <c r="N483" s="44" t="s">
        <v>456</v>
      </c>
      <c r="O483" s="44" t="str">
        <f t="shared" si="30"/>
        <v>PE-L1-3C6-07</v>
      </c>
      <c r="P483" s="45">
        <v>1</v>
      </c>
      <c r="Q483" s="44">
        <v>230</v>
      </c>
      <c r="R483" s="44" t="s">
        <v>49</v>
      </c>
      <c r="S483" s="44">
        <v>180</v>
      </c>
      <c r="T483" s="46" t="s">
        <v>4546</v>
      </c>
      <c r="U483" s="46" t="s">
        <v>4937</v>
      </c>
      <c r="V483" s="46" t="s">
        <v>4938</v>
      </c>
      <c r="W483" s="46" t="s">
        <v>4549</v>
      </c>
      <c r="X483" s="172" t="s">
        <v>9167</v>
      </c>
      <c r="Y483" s="46" t="s">
        <v>4949</v>
      </c>
      <c r="Z483" s="46" t="s">
        <v>4744</v>
      </c>
      <c r="AA483" s="46" t="s">
        <v>4837</v>
      </c>
      <c r="AB483" s="172" t="s">
        <v>9167</v>
      </c>
      <c r="AC483" s="76" t="s">
        <v>9211</v>
      </c>
      <c r="AD483" s="30"/>
      <c r="AE483" s="197"/>
      <c r="AF483" s="47"/>
    </row>
    <row r="484" spans="1:32" s="29" customFormat="1" ht="69.95" hidden="1" customHeight="1">
      <c r="A484" s="29" t="s">
        <v>4937</v>
      </c>
      <c r="B484" s="29" t="s">
        <v>3769</v>
      </c>
      <c r="C484" s="40">
        <v>10</v>
      </c>
      <c r="D484" s="40"/>
      <c r="E484" s="57" t="s">
        <v>141</v>
      </c>
      <c r="F484" s="57" t="s">
        <v>141</v>
      </c>
      <c r="G484" s="29" t="s">
        <v>1277</v>
      </c>
      <c r="J484" s="29">
        <f t="shared" si="31"/>
        <v>1</v>
      </c>
      <c r="K484" s="127">
        <v>477</v>
      </c>
      <c r="L484" s="43" t="s">
        <v>1278</v>
      </c>
      <c r="M484" s="43" t="s">
        <v>405</v>
      </c>
      <c r="N484" s="44" t="s">
        <v>456</v>
      </c>
      <c r="O484" s="44" t="str">
        <f t="shared" si="30"/>
        <v>PE-L1-3C6-07</v>
      </c>
      <c r="P484" s="45">
        <v>1</v>
      </c>
      <c r="Q484" s="44">
        <v>230</v>
      </c>
      <c r="R484" s="44" t="s">
        <v>49</v>
      </c>
      <c r="S484" s="44">
        <v>180</v>
      </c>
      <c r="T484" s="46" t="s">
        <v>4546</v>
      </c>
      <c r="U484" s="46" t="s">
        <v>4937</v>
      </c>
      <c r="V484" s="46" t="s">
        <v>4938</v>
      </c>
      <c r="W484" s="46" t="s">
        <v>4549</v>
      </c>
      <c r="X484" s="172" t="s">
        <v>9167</v>
      </c>
      <c r="Y484" s="46" t="s">
        <v>4950</v>
      </c>
      <c r="Z484" s="46" t="s">
        <v>4746</v>
      </c>
      <c r="AA484" s="46" t="s">
        <v>4837</v>
      </c>
      <c r="AB484" s="172" t="s">
        <v>9167</v>
      </c>
      <c r="AC484" s="76" t="s">
        <v>9212</v>
      </c>
      <c r="AD484" s="30"/>
      <c r="AE484" s="197"/>
      <c r="AF484" s="47"/>
    </row>
    <row r="485" spans="1:32" s="29" customFormat="1" ht="69.95" hidden="1" customHeight="1">
      <c r="A485" s="29" t="s">
        <v>4937</v>
      </c>
      <c r="B485" s="29" t="s">
        <v>3769</v>
      </c>
      <c r="C485" s="40">
        <v>11</v>
      </c>
      <c r="D485" s="40"/>
      <c r="E485" s="57" t="s">
        <v>141</v>
      </c>
      <c r="F485" s="57" t="s">
        <v>141</v>
      </c>
      <c r="G485" s="29" t="s">
        <v>1279</v>
      </c>
      <c r="J485" s="29">
        <f t="shared" si="31"/>
        <v>1</v>
      </c>
      <c r="K485" s="42">
        <v>478</v>
      </c>
      <c r="L485" s="43" t="s">
        <v>1280</v>
      </c>
      <c r="M485" s="43" t="s">
        <v>405</v>
      </c>
      <c r="N485" s="44" t="s">
        <v>456</v>
      </c>
      <c r="O485" s="44" t="str">
        <f t="shared" si="30"/>
        <v>PE-L1-3C6-07</v>
      </c>
      <c r="P485" s="45">
        <v>1</v>
      </c>
      <c r="Q485" s="44">
        <v>230</v>
      </c>
      <c r="R485" s="44" t="s">
        <v>49</v>
      </c>
      <c r="S485" s="44">
        <v>210</v>
      </c>
      <c r="T485" s="46" t="s">
        <v>4546</v>
      </c>
      <c r="U485" s="46" t="s">
        <v>4937</v>
      </c>
      <c r="V485" s="46" t="s">
        <v>4938</v>
      </c>
      <c r="W485" s="46" t="s">
        <v>4549</v>
      </c>
      <c r="X485" s="172" t="s">
        <v>9167</v>
      </c>
      <c r="Y485" s="46" t="s">
        <v>4951</v>
      </c>
      <c r="Z485" s="46" t="s">
        <v>4749</v>
      </c>
      <c r="AA485" s="46" t="s">
        <v>4837</v>
      </c>
      <c r="AB485" s="172" t="s">
        <v>9167</v>
      </c>
      <c r="AC485" s="48" t="s">
        <v>4952</v>
      </c>
      <c r="AD485" s="30"/>
      <c r="AE485" s="197"/>
      <c r="AF485" s="47"/>
    </row>
    <row r="486" spans="1:32" s="29" customFormat="1" ht="69.95" hidden="1" customHeight="1">
      <c r="A486" s="29" t="s">
        <v>4937</v>
      </c>
      <c r="B486" s="29" t="s">
        <v>3769</v>
      </c>
      <c r="C486" s="40">
        <v>12</v>
      </c>
      <c r="D486" s="40"/>
      <c r="E486" s="57" t="s">
        <v>141</v>
      </c>
      <c r="F486" s="57" t="s">
        <v>141</v>
      </c>
      <c r="G486" s="29" t="s">
        <v>1281</v>
      </c>
      <c r="J486" s="29">
        <f t="shared" si="31"/>
        <v>1</v>
      </c>
      <c r="K486" s="42">
        <v>479</v>
      </c>
      <c r="L486" s="43" t="s">
        <v>1282</v>
      </c>
      <c r="M486" s="43" t="s">
        <v>405</v>
      </c>
      <c r="N486" s="44" t="s">
        <v>456</v>
      </c>
      <c r="O486" s="44" t="str">
        <f t="shared" si="30"/>
        <v>PE-L1-3C6-07</v>
      </c>
      <c r="P486" s="45">
        <v>1</v>
      </c>
      <c r="Q486" s="44">
        <v>230</v>
      </c>
      <c r="R486" s="44" t="s">
        <v>49</v>
      </c>
      <c r="S486" s="44">
        <v>220</v>
      </c>
      <c r="T486" s="46" t="s">
        <v>4546</v>
      </c>
      <c r="U486" s="46" t="s">
        <v>4937</v>
      </c>
      <c r="V486" s="46" t="s">
        <v>4938</v>
      </c>
      <c r="W486" s="46" t="s">
        <v>4549</v>
      </c>
      <c r="X486" s="172" t="s">
        <v>9167</v>
      </c>
      <c r="Y486" s="46" t="s">
        <v>4953</v>
      </c>
      <c r="Z486" s="46" t="s">
        <v>4752</v>
      </c>
      <c r="AA486" s="46" t="s">
        <v>4837</v>
      </c>
      <c r="AB486" s="172" t="s">
        <v>9167</v>
      </c>
      <c r="AC486" s="48" t="s">
        <v>4954</v>
      </c>
      <c r="AD486" s="30"/>
      <c r="AE486" s="197"/>
      <c r="AF486" s="47"/>
    </row>
    <row r="487" spans="1:32" s="29" customFormat="1" ht="69.95" hidden="1" customHeight="1">
      <c r="A487" s="29" t="s">
        <v>4862</v>
      </c>
      <c r="B487" s="29" t="s">
        <v>3769</v>
      </c>
      <c r="C487" s="40">
        <v>37</v>
      </c>
      <c r="D487" s="40"/>
      <c r="E487" s="57" t="s">
        <v>142</v>
      </c>
      <c r="F487" s="57" t="s">
        <v>142</v>
      </c>
      <c r="G487" s="29" t="s">
        <v>1283</v>
      </c>
      <c r="J487" s="29">
        <f t="shared" si="31"/>
        <v>1</v>
      </c>
      <c r="K487" s="42">
        <v>480</v>
      </c>
      <c r="L487" s="43" t="s">
        <v>1284</v>
      </c>
      <c r="M487" s="43" t="s">
        <v>405</v>
      </c>
      <c r="N487" s="44" t="s">
        <v>895</v>
      </c>
      <c r="O487" s="44" t="str">
        <f t="shared" si="30"/>
        <v>PE-L1-4C95/50-19</v>
      </c>
      <c r="P487" s="45">
        <v>185</v>
      </c>
      <c r="Q487" s="44">
        <v>400</v>
      </c>
      <c r="R487" s="44" t="s">
        <v>49</v>
      </c>
      <c r="S487" s="44">
        <v>40</v>
      </c>
      <c r="T487" s="46" t="s">
        <v>4546</v>
      </c>
      <c r="U487" s="46" t="s">
        <v>4862</v>
      </c>
      <c r="V487" s="46" t="s">
        <v>4863</v>
      </c>
      <c r="W487" s="46" t="s">
        <v>4549</v>
      </c>
      <c r="X487" s="47" t="s">
        <v>9305</v>
      </c>
      <c r="Y487" s="46" t="s">
        <v>4955</v>
      </c>
      <c r="Z487" s="46" t="s">
        <v>4755</v>
      </c>
      <c r="AA487" s="46" t="s">
        <v>4549</v>
      </c>
      <c r="AB487" s="47" t="s">
        <v>9305</v>
      </c>
      <c r="AC487" s="48" t="s">
        <v>4956</v>
      </c>
      <c r="AD487" s="30"/>
      <c r="AE487" s="197"/>
      <c r="AF487" s="47"/>
    </row>
    <row r="488" spans="1:32" s="29" customFormat="1" ht="69.95" hidden="1" customHeight="1">
      <c r="A488" s="49" t="s">
        <v>4862</v>
      </c>
      <c r="B488" s="49" t="s">
        <v>3769</v>
      </c>
      <c r="C488" s="49">
        <v>38</v>
      </c>
      <c r="D488" s="49"/>
      <c r="E488" s="57" t="s">
        <v>142</v>
      </c>
      <c r="F488" s="57" t="s">
        <v>142</v>
      </c>
      <c r="J488" s="29">
        <f t="shared" si="31"/>
        <v>1</v>
      </c>
      <c r="K488" s="42">
        <v>481</v>
      </c>
      <c r="L488" s="43" t="s">
        <v>1285</v>
      </c>
      <c r="M488" s="43" t="s">
        <v>405</v>
      </c>
      <c r="N488" s="43" t="s">
        <v>895</v>
      </c>
      <c r="O488" s="44" t="str">
        <f t="shared" si="30"/>
        <v>PE-L1-4C95/50-19</v>
      </c>
      <c r="P488" s="51">
        <v>185</v>
      </c>
      <c r="Q488" s="43">
        <v>400</v>
      </c>
      <c r="R488" s="43" t="s">
        <v>49</v>
      </c>
      <c r="S488" s="43">
        <v>40</v>
      </c>
      <c r="T488" s="43" t="s">
        <v>4546</v>
      </c>
      <c r="U488" s="43" t="s">
        <v>4862</v>
      </c>
      <c r="V488" s="43" t="s">
        <v>4863</v>
      </c>
      <c r="W488" s="43" t="s">
        <v>4549</v>
      </c>
      <c r="X488" s="47" t="s">
        <v>9305</v>
      </c>
      <c r="Y488" s="43" t="s">
        <v>4955</v>
      </c>
      <c r="Z488" s="43" t="s">
        <v>4755</v>
      </c>
      <c r="AA488" s="43" t="s">
        <v>4549</v>
      </c>
      <c r="AB488" s="47" t="s">
        <v>9305</v>
      </c>
      <c r="AC488" s="48" t="s">
        <v>4957</v>
      </c>
      <c r="AD488" s="30"/>
      <c r="AE488" s="197"/>
      <c r="AF488" s="47"/>
    </row>
    <row r="489" spans="1:32" s="29" customFormat="1" ht="69.95" hidden="1" customHeight="1">
      <c r="A489" s="29" t="s">
        <v>4862</v>
      </c>
      <c r="B489" s="29" t="s">
        <v>3769</v>
      </c>
      <c r="C489" s="40">
        <v>39</v>
      </c>
      <c r="D489" s="173" t="s">
        <v>9131</v>
      </c>
      <c r="E489" s="57" t="s">
        <v>143</v>
      </c>
      <c r="F489" s="121" t="s">
        <v>8600</v>
      </c>
      <c r="G489" s="29" t="s">
        <v>1286</v>
      </c>
      <c r="J489" s="29">
        <f t="shared" si="31"/>
        <v>1</v>
      </c>
      <c r="K489" s="42">
        <v>482</v>
      </c>
      <c r="L489" s="43" t="s">
        <v>1287</v>
      </c>
      <c r="M489" s="43" t="s">
        <v>405</v>
      </c>
      <c r="N489" s="44" t="s">
        <v>426</v>
      </c>
      <c r="O489" s="137" t="str">
        <f t="shared" si="30"/>
        <v>PE-L1-3C4-28</v>
      </c>
      <c r="P489" s="45">
        <v>0.16</v>
      </c>
      <c r="Q489" s="44">
        <v>230</v>
      </c>
      <c r="R489" s="44" t="s">
        <v>49</v>
      </c>
      <c r="S489" s="44">
        <v>40</v>
      </c>
      <c r="T489" s="46" t="s">
        <v>4546</v>
      </c>
      <c r="U489" s="46" t="s">
        <v>4862</v>
      </c>
      <c r="V489" s="46" t="s">
        <v>4863</v>
      </c>
      <c r="W489" s="46" t="s">
        <v>4549</v>
      </c>
      <c r="X489" s="172" t="s">
        <v>9167</v>
      </c>
      <c r="Y489" s="46" t="s">
        <v>4958</v>
      </c>
      <c r="Z489" s="46" t="s">
        <v>4759</v>
      </c>
      <c r="AA489" s="46" t="s">
        <v>4549</v>
      </c>
      <c r="AB489" s="172" t="s">
        <v>9167</v>
      </c>
      <c r="AC489" s="48" t="s">
        <v>4959</v>
      </c>
      <c r="AD489" s="30"/>
      <c r="AE489" s="197"/>
      <c r="AF489" s="47"/>
    </row>
    <row r="490" spans="1:32" s="29" customFormat="1" ht="69.95" hidden="1" customHeight="1">
      <c r="A490" s="29" t="s">
        <v>4862</v>
      </c>
      <c r="B490" s="29" t="s">
        <v>3769</v>
      </c>
      <c r="C490" s="40">
        <v>40</v>
      </c>
      <c r="D490" s="40"/>
      <c r="E490" s="57" t="s">
        <v>142</v>
      </c>
      <c r="F490" s="57" t="s">
        <v>142</v>
      </c>
      <c r="G490" s="29" t="s">
        <v>1288</v>
      </c>
      <c r="J490" s="29">
        <f t="shared" si="31"/>
        <v>1</v>
      </c>
      <c r="K490" s="42">
        <v>483</v>
      </c>
      <c r="L490" s="43" t="s">
        <v>1289</v>
      </c>
      <c r="M490" s="43" t="s">
        <v>405</v>
      </c>
      <c r="N490" s="44" t="s">
        <v>895</v>
      </c>
      <c r="O490" s="44" t="str">
        <f t="shared" si="30"/>
        <v>PE-L1-4C95/50-19</v>
      </c>
      <c r="P490" s="45">
        <v>185</v>
      </c>
      <c r="Q490" s="44">
        <v>400</v>
      </c>
      <c r="R490" s="44" t="s">
        <v>49</v>
      </c>
      <c r="S490" s="44">
        <v>30</v>
      </c>
      <c r="T490" s="46" t="s">
        <v>4546</v>
      </c>
      <c r="U490" s="46" t="s">
        <v>4862</v>
      </c>
      <c r="V490" s="46" t="s">
        <v>4863</v>
      </c>
      <c r="W490" s="46" t="s">
        <v>4549</v>
      </c>
      <c r="X490" s="47" t="s">
        <v>9305</v>
      </c>
      <c r="Y490" s="46" t="s">
        <v>4960</v>
      </c>
      <c r="Z490" s="46" t="s">
        <v>4762</v>
      </c>
      <c r="AA490" s="46" t="s">
        <v>4549</v>
      </c>
      <c r="AB490" s="47" t="s">
        <v>9305</v>
      </c>
      <c r="AC490" s="48" t="s">
        <v>4961</v>
      </c>
      <c r="AD490" s="30"/>
      <c r="AE490" s="197"/>
      <c r="AF490" s="47"/>
    </row>
    <row r="491" spans="1:32" s="29" customFormat="1" ht="69.95" hidden="1" customHeight="1">
      <c r="A491" s="49" t="s">
        <v>4862</v>
      </c>
      <c r="B491" s="49" t="s">
        <v>3769</v>
      </c>
      <c r="C491" s="49">
        <v>41</v>
      </c>
      <c r="D491" s="49"/>
      <c r="E491" s="57" t="s">
        <v>142</v>
      </c>
      <c r="F491" s="57" t="s">
        <v>142</v>
      </c>
      <c r="J491" s="29">
        <f t="shared" si="31"/>
        <v>1</v>
      </c>
      <c r="K491" s="42">
        <v>484</v>
      </c>
      <c r="L491" s="43" t="s">
        <v>1290</v>
      </c>
      <c r="M491" s="43" t="s">
        <v>405</v>
      </c>
      <c r="N491" s="43" t="s">
        <v>895</v>
      </c>
      <c r="O491" s="44" t="str">
        <f t="shared" si="30"/>
        <v>PE-L1-4C95/50-19</v>
      </c>
      <c r="P491" s="51">
        <v>185</v>
      </c>
      <c r="Q491" s="43">
        <v>400</v>
      </c>
      <c r="R491" s="43" t="s">
        <v>49</v>
      </c>
      <c r="S491" s="43">
        <v>30</v>
      </c>
      <c r="T491" s="43" t="s">
        <v>4546</v>
      </c>
      <c r="U491" s="43" t="s">
        <v>4862</v>
      </c>
      <c r="V491" s="43" t="s">
        <v>4863</v>
      </c>
      <c r="W491" s="43" t="s">
        <v>4549</v>
      </c>
      <c r="X491" s="47" t="s">
        <v>9305</v>
      </c>
      <c r="Y491" s="43" t="s">
        <v>4960</v>
      </c>
      <c r="Z491" s="43" t="s">
        <v>4762</v>
      </c>
      <c r="AA491" s="43" t="s">
        <v>4549</v>
      </c>
      <c r="AB491" s="47" t="s">
        <v>9305</v>
      </c>
      <c r="AC491" s="48" t="s">
        <v>4962</v>
      </c>
      <c r="AD491" s="30"/>
      <c r="AE491" s="197"/>
      <c r="AF491" s="47"/>
    </row>
    <row r="492" spans="1:32" s="29" customFormat="1" ht="69.95" hidden="1" customHeight="1">
      <c r="A492" s="29" t="s">
        <v>4862</v>
      </c>
      <c r="B492" s="29" t="s">
        <v>3769</v>
      </c>
      <c r="C492" s="40">
        <v>42</v>
      </c>
      <c r="D492" s="40"/>
      <c r="E492" s="57" t="s">
        <v>143</v>
      </c>
      <c r="F492" s="57" t="s">
        <v>143</v>
      </c>
      <c r="G492" s="29" t="s">
        <v>1291</v>
      </c>
      <c r="J492" s="29">
        <f t="shared" si="31"/>
        <v>1</v>
      </c>
      <c r="K492" s="42">
        <v>485</v>
      </c>
      <c r="L492" s="43" t="s">
        <v>1292</v>
      </c>
      <c r="M492" s="43" t="s">
        <v>405</v>
      </c>
      <c r="N492" s="44" t="s">
        <v>426</v>
      </c>
      <c r="O492" s="44" t="str">
        <f t="shared" si="30"/>
        <v>PE-L1-3C4-15</v>
      </c>
      <c r="P492" s="45">
        <v>0.16</v>
      </c>
      <c r="Q492" s="44">
        <v>230</v>
      </c>
      <c r="R492" s="44" t="s">
        <v>49</v>
      </c>
      <c r="S492" s="44">
        <v>40</v>
      </c>
      <c r="T492" s="46" t="s">
        <v>4546</v>
      </c>
      <c r="U492" s="46" t="s">
        <v>4862</v>
      </c>
      <c r="V492" s="46" t="s">
        <v>4863</v>
      </c>
      <c r="W492" s="46" t="s">
        <v>4549</v>
      </c>
      <c r="X492" s="172" t="s">
        <v>9167</v>
      </c>
      <c r="Y492" s="46" t="s">
        <v>4963</v>
      </c>
      <c r="Z492" s="46" t="s">
        <v>4766</v>
      </c>
      <c r="AA492" s="46" t="s">
        <v>4549</v>
      </c>
      <c r="AB492" s="172" t="s">
        <v>9167</v>
      </c>
      <c r="AC492" s="48" t="s">
        <v>4964</v>
      </c>
      <c r="AD492" s="30"/>
      <c r="AE492" s="197"/>
      <c r="AF492" s="47"/>
    </row>
    <row r="493" spans="1:32" s="29" customFormat="1" ht="69.95" hidden="1" customHeight="1">
      <c r="A493" s="29" t="s">
        <v>4834</v>
      </c>
      <c r="B493" s="29" t="s">
        <v>3769</v>
      </c>
      <c r="C493" s="40">
        <v>37</v>
      </c>
      <c r="D493" s="40"/>
      <c r="E493" s="57" t="s">
        <v>142</v>
      </c>
      <c r="F493" s="57" t="s">
        <v>142</v>
      </c>
      <c r="G493" s="29" t="s">
        <v>1293</v>
      </c>
      <c r="J493" s="29">
        <f t="shared" si="31"/>
        <v>1</v>
      </c>
      <c r="K493" s="42">
        <v>486</v>
      </c>
      <c r="L493" s="43" t="s">
        <v>1294</v>
      </c>
      <c r="M493" s="43" t="s">
        <v>405</v>
      </c>
      <c r="N493" s="44" t="s">
        <v>895</v>
      </c>
      <c r="O493" s="44" t="str">
        <f t="shared" si="30"/>
        <v>PE-L1-4C95/50-19</v>
      </c>
      <c r="P493" s="45">
        <v>185</v>
      </c>
      <c r="Q493" s="44">
        <v>400</v>
      </c>
      <c r="R493" s="44" t="s">
        <v>49</v>
      </c>
      <c r="S493" s="44">
        <v>40</v>
      </c>
      <c r="T493" s="46" t="s">
        <v>4546</v>
      </c>
      <c r="U493" s="46" t="s">
        <v>4834</v>
      </c>
      <c r="V493" s="46" t="s">
        <v>4835</v>
      </c>
      <c r="W493" s="46" t="s">
        <v>4549</v>
      </c>
      <c r="X493" s="47" t="s">
        <v>9305</v>
      </c>
      <c r="Y493" s="46" t="s">
        <v>4965</v>
      </c>
      <c r="Z493" s="46" t="s">
        <v>4769</v>
      </c>
      <c r="AA493" s="46" t="s">
        <v>4549</v>
      </c>
      <c r="AB493" s="47" t="s">
        <v>9305</v>
      </c>
      <c r="AC493" s="48" t="s">
        <v>4966</v>
      </c>
      <c r="AD493" s="30"/>
      <c r="AE493" s="197"/>
      <c r="AF493" s="47"/>
    </row>
    <row r="494" spans="1:32" s="29" customFormat="1" ht="69.95" hidden="1" customHeight="1">
      <c r="A494" s="49" t="s">
        <v>4834</v>
      </c>
      <c r="B494" s="49" t="s">
        <v>3769</v>
      </c>
      <c r="C494" s="49">
        <v>38</v>
      </c>
      <c r="D494" s="49"/>
      <c r="E494" s="57" t="s">
        <v>142</v>
      </c>
      <c r="F494" s="57" t="s">
        <v>142</v>
      </c>
      <c r="J494" s="29">
        <f t="shared" si="31"/>
        <v>1</v>
      </c>
      <c r="K494" s="42">
        <v>487</v>
      </c>
      <c r="L494" s="43" t="s">
        <v>1295</v>
      </c>
      <c r="M494" s="43" t="s">
        <v>405</v>
      </c>
      <c r="N494" s="43" t="s">
        <v>895</v>
      </c>
      <c r="O494" s="44" t="str">
        <f t="shared" si="30"/>
        <v>PE-L1-4C95/50-19</v>
      </c>
      <c r="P494" s="51">
        <v>185</v>
      </c>
      <c r="Q494" s="43">
        <v>400</v>
      </c>
      <c r="R494" s="43" t="s">
        <v>49</v>
      </c>
      <c r="S494" s="43">
        <v>40</v>
      </c>
      <c r="T494" s="43" t="s">
        <v>4546</v>
      </c>
      <c r="U494" s="43" t="s">
        <v>4834</v>
      </c>
      <c r="V494" s="43" t="s">
        <v>4835</v>
      </c>
      <c r="W494" s="43" t="s">
        <v>4549</v>
      </c>
      <c r="X494" s="47" t="s">
        <v>9305</v>
      </c>
      <c r="Y494" s="43" t="s">
        <v>4965</v>
      </c>
      <c r="Z494" s="43" t="s">
        <v>4769</v>
      </c>
      <c r="AA494" s="43" t="s">
        <v>4549</v>
      </c>
      <c r="AB494" s="47" t="s">
        <v>9305</v>
      </c>
      <c r="AC494" s="48" t="s">
        <v>4967</v>
      </c>
      <c r="AD494" s="30"/>
      <c r="AE494" s="197"/>
      <c r="AF494" s="47"/>
    </row>
    <row r="495" spans="1:32" s="29" customFormat="1" ht="69.95" hidden="1" customHeight="1">
      <c r="A495" s="29" t="s">
        <v>4834</v>
      </c>
      <c r="B495" s="29" t="s">
        <v>3769</v>
      </c>
      <c r="C495" s="40">
        <v>39</v>
      </c>
      <c r="D495" s="40"/>
      <c r="E495" s="57" t="s">
        <v>143</v>
      </c>
      <c r="F495" s="57" t="s">
        <v>143</v>
      </c>
      <c r="G495" s="29" t="s">
        <v>1296</v>
      </c>
      <c r="J495" s="29">
        <f t="shared" si="31"/>
        <v>1</v>
      </c>
      <c r="K495" s="42">
        <v>488</v>
      </c>
      <c r="L495" s="43" t="s">
        <v>1297</v>
      </c>
      <c r="M495" s="43" t="s">
        <v>405</v>
      </c>
      <c r="N495" s="44" t="s">
        <v>426</v>
      </c>
      <c r="O495" s="44" t="str">
        <f t="shared" si="30"/>
        <v>PE-L1-3C4-15</v>
      </c>
      <c r="P495" s="45">
        <v>0.16</v>
      </c>
      <c r="Q495" s="44">
        <v>230</v>
      </c>
      <c r="R495" s="44" t="s">
        <v>49</v>
      </c>
      <c r="S495" s="44">
        <v>40</v>
      </c>
      <c r="T495" s="46" t="s">
        <v>4546</v>
      </c>
      <c r="U495" s="46" t="s">
        <v>4834</v>
      </c>
      <c r="V495" s="46" t="s">
        <v>4835</v>
      </c>
      <c r="W495" s="46" t="s">
        <v>4549</v>
      </c>
      <c r="X495" s="172" t="s">
        <v>9167</v>
      </c>
      <c r="Y495" s="46" t="s">
        <v>4968</v>
      </c>
      <c r="Z495" s="46" t="s">
        <v>4773</v>
      </c>
      <c r="AA495" s="46" t="s">
        <v>4549</v>
      </c>
      <c r="AB495" s="172" t="s">
        <v>9167</v>
      </c>
      <c r="AC495" s="48" t="s">
        <v>4969</v>
      </c>
      <c r="AD495" s="30"/>
      <c r="AE495" s="197"/>
      <c r="AF495" s="47"/>
    </row>
    <row r="496" spans="1:32" s="29" customFormat="1" ht="69.95" hidden="1" customHeight="1">
      <c r="A496" s="29" t="s">
        <v>4474</v>
      </c>
      <c r="B496" s="29" t="s">
        <v>3769</v>
      </c>
      <c r="C496" s="40" t="s">
        <v>42</v>
      </c>
      <c r="D496" s="40"/>
      <c r="E496" s="57" t="s">
        <v>8310</v>
      </c>
      <c r="F496" s="57" t="s">
        <v>8310</v>
      </c>
      <c r="G496" s="29" t="s">
        <v>1298</v>
      </c>
      <c r="J496" s="29">
        <f t="shared" si="31"/>
        <v>1</v>
      </c>
      <c r="K496" s="42">
        <v>489</v>
      </c>
      <c r="L496" s="43" t="s">
        <v>1299</v>
      </c>
      <c r="M496" s="43" t="s">
        <v>405</v>
      </c>
      <c r="N496" s="44" t="s">
        <v>1091</v>
      </c>
      <c r="O496" s="44" t="str">
        <f t="shared" si="30"/>
        <v>PE-L1-4C35/25-02</v>
      </c>
      <c r="P496" s="45">
        <v>18.5</v>
      </c>
      <c r="Q496" s="44">
        <v>400</v>
      </c>
      <c r="R496" s="44" t="s">
        <v>49</v>
      </c>
      <c r="S496" s="44">
        <v>420</v>
      </c>
      <c r="T496" s="46" t="s">
        <v>4546</v>
      </c>
      <c r="U496" s="46" t="s">
        <v>4474</v>
      </c>
      <c r="V496" s="46" t="s">
        <v>4475</v>
      </c>
      <c r="W496" s="46" t="s">
        <v>347</v>
      </c>
      <c r="X496" s="47" t="s">
        <v>9305</v>
      </c>
      <c r="Y496" s="46" t="s">
        <v>4970</v>
      </c>
      <c r="Z496" s="46" t="s">
        <v>4798</v>
      </c>
      <c r="AA496" s="46" t="s">
        <v>4799</v>
      </c>
      <c r="AB496" s="47" t="s">
        <v>9305</v>
      </c>
      <c r="AC496" s="48" t="s">
        <v>4971</v>
      </c>
      <c r="AD496" s="30"/>
      <c r="AE496" s="197"/>
      <c r="AF496" s="47"/>
    </row>
    <row r="497" spans="1:32" s="29" customFormat="1" ht="69.95" hidden="1" customHeight="1">
      <c r="A497" s="29" t="s">
        <v>4480</v>
      </c>
      <c r="B497" s="29" t="s">
        <v>3769</v>
      </c>
      <c r="C497" s="40" t="s">
        <v>41</v>
      </c>
      <c r="D497" s="40"/>
      <c r="E497" s="57" t="s">
        <v>8310</v>
      </c>
      <c r="F497" s="57" t="s">
        <v>8310</v>
      </c>
      <c r="G497" s="29" t="s">
        <v>1300</v>
      </c>
      <c r="J497" s="29">
        <f t="shared" si="31"/>
        <v>1</v>
      </c>
      <c r="K497" s="42">
        <v>490</v>
      </c>
      <c r="L497" s="43" t="s">
        <v>1301</v>
      </c>
      <c r="M497" s="43" t="s">
        <v>405</v>
      </c>
      <c r="N497" s="44" t="s">
        <v>1091</v>
      </c>
      <c r="O497" s="44" t="str">
        <f t="shared" si="30"/>
        <v>PE-L1-4C35/25-02</v>
      </c>
      <c r="P497" s="45">
        <v>18.5</v>
      </c>
      <c r="Q497" s="44">
        <v>400</v>
      </c>
      <c r="R497" s="44" t="s">
        <v>49</v>
      </c>
      <c r="S497" s="44">
        <v>440</v>
      </c>
      <c r="T497" s="46" t="s">
        <v>4546</v>
      </c>
      <c r="U497" s="46" t="s">
        <v>4480</v>
      </c>
      <c r="V497" s="46" t="s">
        <v>4481</v>
      </c>
      <c r="W497" s="46" t="s">
        <v>347</v>
      </c>
      <c r="X497" s="47" t="s">
        <v>9305</v>
      </c>
      <c r="Y497" s="46" t="s">
        <v>4972</v>
      </c>
      <c r="Z497" s="46" t="s">
        <v>4802</v>
      </c>
      <c r="AA497" s="46" t="s">
        <v>4799</v>
      </c>
      <c r="AB497" s="47" t="s">
        <v>9305</v>
      </c>
      <c r="AC497" s="48" t="s">
        <v>4973</v>
      </c>
      <c r="AD497" s="30"/>
      <c r="AE497" s="197"/>
      <c r="AF497" s="47"/>
    </row>
    <row r="498" spans="1:32" s="29" customFormat="1" ht="69.95" hidden="1" customHeight="1">
      <c r="A498" s="29" t="s">
        <v>4974</v>
      </c>
      <c r="B498" s="29" t="s">
        <v>3769</v>
      </c>
      <c r="C498" s="40" t="s">
        <v>32</v>
      </c>
      <c r="D498" s="40"/>
      <c r="E498" s="57" t="s">
        <v>8302</v>
      </c>
      <c r="F498" s="57" t="s">
        <v>8302</v>
      </c>
      <c r="G498" s="29" t="s">
        <v>1302</v>
      </c>
      <c r="J498" s="29">
        <f t="shared" si="31"/>
        <v>1</v>
      </c>
      <c r="K498" s="42">
        <v>491</v>
      </c>
      <c r="L498" s="43" t="s">
        <v>1303</v>
      </c>
      <c r="M498" s="44" t="s">
        <v>405</v>
      </c>
      <c r="N498" s="44" t="s">
        <v>546</v>
      </c>
      <c r="O498" s="44" t="str">
        <f t="shared" si="30"/>
        <v>PE-L1-4C6-02</v>
      </c>
      <c r="P498" s="45">
        <v>5</v>
      </c>
      <c r="Q498" s="44">
        <v>400</v>
      </c>
      <c r="R498" s="44" t="s">
        <v>49</v>
      </c>
      <c r="S498" s="44">
        <v>240</v>
      </c>
      <c r="T498" s="46" t="s">
        <v>4546</v>
      </c>
      <c r="U498" s="46" t="s">
        <v>4974</v>
      </c>
      <c r="V498" s="46" t="s">
        <v>4975</v>
      </c>
      <c r="W498" s="46" t="s">
        <v>4549</v>
      </c>
      <c r="X498" s="47" t="s">
        <v>9305</v>
      </c>
      <c r="Y498" s="46" t="s">
        <v>4976</v>
      </c>
      <c r="Z498" s="46" t="s">
        <v>4805</v>
      </c>
      <c r="AA498" s="46" t="s">
        <v>4837</v>
      </c>
      <c r="AB498" s="47" t="s">
        <v>9305</v>
      </c>
      <c r="AC498" s="48" t="s">
        <v>4977</v>
      </c>
      <c r="AD498" s="30"/>
      <c r="AE498" s="197"/>
      <c r="AF498" s="47"/>
    </row>
    <row r="499" spans="1:32" s="29" customFormat="1" ht="69.95" hidden="1" customHeight="1">
      <c r="A499" s="29" t="s">
        <v>4978</v>
      </c>
      <c r="B499" s="29" t="s">
        <v>3769</v>
      </c>
      <c r="C499" s="40" t="s">
        <v>32</v>
      </c>
      <c r="D499" s="40"/>
      <c r="E499" s="57" t="s">
        <v>145</v>
      </c>
      <c r="F499" s="57" t="s">
        <v>145</v>
      </c>
      <c r="G499" s="29" t="s">
        <v>1304</v>
      </c>
      <c r="J499" s="29">
        <f t="shared" si="31"/>
        <v>1</v>
      </c>
      <c r="K499" s="42">
        <v>492</v>
      </c>
      <c r="L499" s="43" t="s">
        <v>1305</v>
      </c>
      <c r="M499" s="44" t="s">
        <v>405</v>
      </c>
      <c r="N499" s="44" t="s">
        <v>1098</v>
      </c>
      <c r="O499" s="44" t="str">
        <f t="shared" si="30"/>
        <v>PE-L1-5C25/16-03</v>
      </c>
      <c r="P499" s="45">
        <v>15</v>
      </c>
      <c r="Q499" s="44">
        <v>400</v>
      </c>
      <c r="R499" s="44" t="s">
        <v>49</v>
      </c>
      <c r="S499" s="44">
        <v>240</v>
      </c>
      <c r="T499" s="46" t="s">
        <v>4546</v>
      </c>
      <c r="U499" s="46" t="s">
        <v>4978</v>
      </c>
      <c r="V499" s="46" t="s">
        <v>4979</v>
      </c>
      <c r="W499" s="46" t="s">
        <v>4549</v>
      </c>
      <c r="X499" s="47" t="s">
        <v>9310</v>
      </c>
      <c r="Y499" s="46" t="s">
        <v>4980</v>
      </c>
      <c r="Z499" s="46" t="s">
        <v>4808</v>
      </c>
      <c r="AA499" s="46" t="s">
        <v>4837</v>
      </c>
      <c r="AB499" s="47" t="s">
        <v>9310</v>
      </c>
      <c r="AC499" s="48" t="s">
        <v>4981</v>
      </c>
      <c r="AD499" s="30"/>
      <c r="AE499" s="197"/>
      <c r="AF499" s="47"/>
    </row>
    <row r="500" spans="1:32" s="29" customFormat="1" ht="69.95" hidden="1" customHeight="1">
      <c r="A500" s="29" t="s">
        <v>4978</v>
      </c>
      <c r="B500" s="29" t="s">
        <v>3769</v>
      </c>
      <c r="C500" s="40" t="s">
        <v>36</v>
      </c>
      <c r="D500" s="40"/>
      <c r="E500" s="58" t="s">
        <v>124</v>
      </c>
      <c r="F500" s="58" t="s">
        <v>124</v>
      </c>
      <c r="G500" s="29" t="s">
        <v>1306</v>
      </c>
      <c r="J500" s="29">
        <f t="shared" si="31"/>
        <v>1</v>
      </c>
      <c r="K500" s="42">
        <v>493</v>
      </c>
      <c r="L500" s="43" t="s">
        <v>1307</v>
      </c>
      <c r="M500" s="44" t="s">
        <v>405</v>
      </c>
      <c r="N500" s="44" t="s">
        <v>1101</v>
      </c>
      <c r="O500" s="44" t="str">
        <f t="shared" si="30"/>
        <v>PE-L1-5C50/25-01</v>
      </c>
      <c r="P500" s="45">
        <v>15</v>
      </c>
      <c r="Q500" s="44">
        <v>400</v>
      </c>
      <c r="R500" s="44" t="s">
        <v>49</v>
      </c>
      <c r="S500" s="44">
        <v>240</v>
      </c>
      <c r="T500" s="46" t="s">
        <v>4546</v>
      </c>
      <c r="U500" s="46" t="s">
        <v>4978</v>
      </c>
      <c r="V500" s="46" t="s">
        <v>4979</v>
      </c>
      <c r="W500" s="46" t="s">
        <v>4549</v>
      </c>
      <c r="X500" s="47" t="s">
        <v>9310</v>
      </c>
      <c r="Y500" s="46" t="s">
        <v>4982</v>
      </c>
      <c r="Z500" s="46" t="s">
        <v>4811</v>
      </c>
      <c r="AA500" s="46" t="s">
        <v>4837</v>
      </c>
      <c r="AB500" s="47" t="s">
        <v>9310</v>
      </c>
      <c r="AC500" s="48" t="s">
        <v>4983</v>
      </c>
      <c r="AD500" s="30"/>
      <c r="AE500" s="197"/>
      <c r="AF500" s="47"/>
    </row>
    <row r="501" spans="1:32" s="29" customFormat="1" ht="69.95" hidden="1" customHeight="1">
      <c r="A501" s="29" t="s">
        <v>4978</v>
      </c>
      <c r="B501" s="29" t="s">
        <v>3769</v>
      </c>
      <c r="C501" s="40" t="s">
        <v>38</v>
      </c>
      <c r="D501" s="40"/>
      <c r="E501" s="58" t="s">
        <v>8020</v>
      </c>
      <c r="F501" s="58" t="s">
        <v>8020</v>
      </c>
      <c r="G501" s="29" t="s">
        <v>1308</v>
      </c>
      <c r="J501" s="29">
        <f t="shared" si="31"/>
        <v>1</v>
      </c>
      <c r="K501" s="42">
        <v>494</v>
      </c>
      <c r="L501" s="43" t="s">
        <v>1309</v>
      </c>
      <c r="M501" s="44" t="s">
        <v>405</v>
      </c>
      <c r="N501" s="44" t="s">
        <v>879</v>
      </c>
      <c r="O501" s="44" t="str">
        <f t="shared" si="30"/>
        <v>PE-L1-5C70/35-01</v>
      </c>
      <c r="P501" s="45">
        <v>37</v>
      </c>
      <c r="Q501" s="44">
        <v>400</v>
      </c>
      <c r="R501" s="44" t="s">
        <v>49</v>
      </c>
      <c r="S501" s="44">
        <v>240</v>
      </c>
      <c r="T501" s="46" t="s">
        <v>4546</v>
      </c>
      <c r="U501" s="46" t="s">
        <v>4978</v>
      </c>
      <c r="V501" s="46" t="s">
        <v>4979</v>
      </c>
      <c r="W501" s="46" t="s">
        <v>4549</v>
      </c>
      <c r="X501" s="47" t="s">
        <v>9310</v>
      </c>
      <c r="Y501" s="46" t="s">
        <v>4984</v>
      </c>
      <c r="Z501" s="46" t="s">
        <v>4814</v>
      </c>
      <c r="AA501" s="46" t="s">
        <v>4837</v>
      </c>
      <c r="AB501" s="47" t="s">
        <v>9310</v>
      </c>
      <c r="AC501" s="48" t="s">
        <v>4985</v>
      </c>
      <c r="AD501" s="30"/>
      <c r="AE501" s="197"/>
      <c r="AF501" s="47"/>
    </row>
    <row r="502" spans="1:32" s="29" customFormat="1" ht="69.95" hidden="1" customHeight="1">
      <c r="A502" s="29" t="s">
        <v>4974</v>
      </c>
      <c r="B502" s="29" t="s">
        <v>3769</v>
      </c>
      <c r="C502" s="40" t="s">
        <v>36</v>
      </c>
      <c r="D502" s="40"/>
      <c r="E502" s="57" t="s">
        <v>95</v>
      </c>
      <c r="F502" s="57" t="s">
        <v>95</v>
      </c>
      <c r="G502" s="29" t="s">
        <v>1310</v>
      </c>
      <c r="J502" s="29">
        <f t="shared" si="31"/>
        <v>1</v>
      </c>
      <c r="K502" s="42">
        <v>495</v>
      </c>
      <c r="L502" s="43" t="s">
        <v>1311</v>
      </c>
      <c r="M502" s="44" t="s">
        <v>405</v>
      </c>
      <c r="N502" s="44" t="s">
        <v>536</v>
      </c>
      <c r="O502" s="44" t="str">
        <f t="shared" si="30"/>
        <v>PE-L1-4C4-23</v>
      </c>
      <c r="P502" s="45">
        <v>1</v>
      </c>
      <c r="Q502" s="44">
        <v>400</v>
      </c>
      <c r="R502" s="44" t="s">
        <v>49</v>
      </c>
      <c r="S502" s="44">
        <v>310</v>
      </c>
      <c r="T502" s="46" t="s">
        <v>4546</v>
      </c>
      <c r="U502" s="46" t="s">
        <v>4974</v>
      </c>
      <c r="V502" s="46" t="s">
        <v>4975</v>
      </c>
      <c r="W502" s="46" t="s">
        <v>4549</v>
      </c>
      <c r="X502" s="47" t="s">
        <v>9305</v>
      </c>
      <c r="Y502" s="46" t="s">
        <v>4986</v>
      </c>
      <c r="Z502" s="46" t="s">
        <v>4817</v>
      </c>
      <c r="AA502" s="46" t="s">
        <v>4837</v>
      </c>
      <c r="AB502" s="47" t="s">
        <v>9305</v>
      </c>
      <c r="AC502" s="48" t="s">
        <v>4987</v>
      </c>
      <c r="AD502" s="30"/>
      <c r="AE502" s="197"/>
      <c r="AF502" s="47"/>
    </row>
    <row r="503" spans="1:32" s="29" customFormat="1" ht="69.95" hidden="1" customHeight="1">
      <c r="A503" s="29" t="s">
        <v>4974</v>
      </c>
      <c r="B503" s="29" t="s">
        <v>3769</v>
      </c>
      <c r="C503" s="40" t="s">
        <v>38</v>
      </c>
      <c r="D503" s="40"/>
      <c r="E503" s="57" t="s">
        <v>193</v>
      </c>
      <c r="F503" s="57" t="s">
        <v>193</v>
      </c>
      <c r="G503" s="29" t="s">
        <v>1312</v>
      </c>
      <c r="J503" s="29">
        <f t="shared" si="31"/>
        <v>1</v>
      </c>
      <c r="K503" s="42">
        <v>496</v>
      </c>
      <c r="L503" s="43" t="s">
        <v>1313</v>
      </c>
      <c r="M503" s="44" t="s">
        <v>405</v>
      </c>
      <c r="N503" s="44" t="s">
        <v>536</v>
      </c>
      <c r="O503" s="44" t="str">
        <f t="shared" si="30"/>
        <v>PE-L1-4C4-15</v>
      </c>
      <c r="P503" s="45">
        <v>1</v>
      </c>
      <c r="Q503" s="44">
        <v>400</v>
      </c>
      <c r="R503" s="44" t="s">
        <v>49</v>
      </c>
      <c r="S503" s="44">
        <v>310</v>
      </c>
      <c r="T503" s="46" t="s">
        <v>4546</v>
      </c>
      <c r="U503" s="46" t="s">
        <v>4974</v>
      </c>
      <c r="V503" s="46" t="s">
        <v>4975</v>
      </c>
      <c r="W503" s="46" t="s">
        <v>4549</v>
      </c>
      <c r="X503" s="47" t="s">
        <v>9305</v>
      </c>
      <c r="Y503" s="46" t="s">
        <v>4988</v>
      </c>
      <c r="Z503" s="46" t="s">
        <v>4820</v>
      </c>
      <c r="AA503" s="46" t="s">
        <v>4837</v>
      </c>
      <c r="AB503" s="47" t="s">
        <v>9305</v>
      </c>
      <c r="AC503" s="48" t="s">
        <v>4989</v>
      </c>
      <c r="AD503" s="30"/>
      <c r="AE503" s="197"/>
      <c r="AF503" s="47"/>
    </row>
    <row r="504" spans="1:32" s="29" customFormat="1" ht="69.95" hidden="1" customHeight="1">
      <c r="A504" s="29" t="s">
        <v>4978</v>
      </c>
      <c r="B504" s="29" t="s">
        <v>3769</v>
      </c>
      <c r="C504" s="40" t="s">
        <v>40</v>
      </c>
      <c r="D504" s="40"/>
      <c r="E504" s="57" t="s">
        <v>146</v>
      </c>
      <c r="F504" s="57" t="s">
        <v>146</v>
      </c>
      <c r="G504" s="29" t="s">
        <v>1314</v>
      </c>
      <c r="J504" s="29">
        <f t="shared" si="31"/>
        <v>1</v>
      </c>
      <c r="K504" s="42">
        <v>497</v>
      </c>
      <c r="L504" s="43" t="s">
        <v>1315</v>
      </c>
      <c r="M504" s="44" t="s">
        <v>405</v>
      </c>
      <c r="N504" s="44" t="s">
        <v>536</v>
      </c>
      <c r="O504" s="44" t="str">
        <f t="shared" si="30"/>
        <v>PE-L1-4C4-07</v>
      </c>
      <c r="P504" s="45">
        <v>1</v>
      </c>
      <c r="Q504" s="44">
        <v>400</v>
      </c>
      <c r="R504" s="44" t="s">
        <v>49</v>
      </c>
      <c r="S504" s="44">
        <v>40</v>
      </c>
      <c r="T504" s="46" t="s">
        <v>4546</v>
      </c>
      <c r="U504" s="46" t="s">
        <v>4978</v>
      </c>
      <c r="V504" s="46" t="s">
        <v>4979</v>
      </c>
      <c r="W504" s="46" t="s">
        <v>4549</v>
      </c>
      <c r="X504" s="47" t="s">
        <v>9305</v>
      </c>
      <c r="Y504" s="46" t="s">
        <v>4990</v>
      </c>
      <c r="Z504" s="46" t="s">
        <v>4823</v>
      </c>
      <c r="AA504" s="46" t="s">
        <v>4549</v>
      </c>
      <c r="AB504" s="47" t="s">
        <v>9305</v>
      </c>
      <c r="AC504" s="48" t="s">
        <v>4991</v>
      </c>
      <c r="AD504" s="30"/>
      <c r="AE504" s="197"/>
      <c r="AF504" s="47"/>
    </row>
    <row r="505" spans="1:32" s="29" customFormat="1" ht="69.95" hidden="1" customHeight="1">
      <c r="A505" s="29" t="s">
        <v>4978</v>
      </c>
      <c r="B505" s="29" t="s">
        <v>3769</v>
      </c>
      <c r="C505" s="40" t="s">
        <v>41</v>
      </c>
      <c r="D505" s="40"/>
      <c r="E505" s="57" t="s">
        <v>147</v>
      </c>
      <c r="F505" s="57" t="s">
        <v>147</v>
      </c>
      <c r="G505" s="29" t="s">
        <v>1316</v>
      </c>
      <c r="J505" s="29">
        <f t="shared" si="31"/>
        <v>1</v>
      </c>
      <c r="K505" s="42">
        <v>498</v>
      </c>
      <c r="L505" s="43" t="s">
        <v>1317</v>
      </c>
      <c r="M505" s="44" t="s">
        <v>405</v>
      </c>
      <c r="N505" s="44" t="s">
        <v>536</v>
      </c>
      <c r="O505" s="44" t="str">
        <f t="shared" si="30"/>
        <v>PE-L1-4C4-09</v>
      </c>
      <c r="P505" s="45">
        <v>1</v>
      </c>
      <c r="Q505" s="44">
        <v>400</v>
      </c>
      <c r="R505" s="44" t="s">
        <v>49</v>
      </c>
      <c r="S505" s="44">
        <v>40</v>
      </c>
      <c r="T505" s="46" t="s">
        <v>4546</v>
      </c>
      <c r="U505" s="46" t="s">
        <v>4978</v>
      </c>
      <c r="V505" s="46" t="s">
        <v>4979</v>
      </c>
      <c r="W505" s="46" t="s">
        <v>4549</v>
      </c>
      <c r="X505" s="47" t="s">
        <v>9305</v>
      </c>
      <c r="Y505" s="46" t="s">
        <v>4992</v>
      </c>
      <c r="Z505" s="46" t="s">
        <v>4826</v>
      </c>
      <c r="AA505" s="46" t="s">
        <v>4549</v>
      </c>
      <c r="AB505" s="47" t="s">
        <v>9305</v>
      </c>
      <c r="AC505" s="48" t="s">
        <v>4993</v>
      </c>
      <c r="AD505" s="30"/>
      <c r="AE505" s="197"/>
      <c r="AF505" s="47"/>
    </row>
    <row r="506" spans="1:32" s="29" customFormat="1" ht="69.95" hidden="1" customHeight="1">
      <c r="A506" s="29" t="s">
        <v>4978</v>
      </c>
      <c r="B506" s="29" t="s">
        <v>3769</v>
      </c>
      <c r="C506" s="40" t="s">
        <v>42</v>
      </c>
      <c r="D506" s="40"/>
      <c r="E506" s="57" t="s">
        <v>148</v>
      </c>
      <c r="F506" s="57" t="s">
        <v>148</v>
      </c>
      <c r="G506" s="29" t="s">
        <v>1318</v>
      </c>
      <c r="J506" s="29">
        <f t="shared" si="31"/>
        <v>1</v>
      </c>
      <c r="K506" s="42">
        <v>499</v>
      </c>
      <c r="L506" s="43" t="s">
        <v>1319</v>
      </c>
      <c r="M506" s="44" t="s">
        <v>405</v>
      </c>
      <c r="N506" s="44" t="s">
        <v>536</v>
      </c>
      <c r="O506" s="44" t="str">
        <f t="shared" si="30"/>
        <v>PE-L1-4C4-10</v>
      </c>
      <c r="P506" s="45">
        <v>1</v>
      </c>
      <c r="Q506" s="44">
        <v>400</v>
      </c>
      <c r="R506" s="44" t="s">
        <v>49</v>
      </c>
      <c r="S506" s="44">
        <v>50</v>
      </c>
      <c r="T506" s="46" t="s">
        <v>4546</v>
      </c>
      <c r="U506" s="46" t="s">
        <v>4978</v>
      </c>
      <c r="V506" s="46" t="s">
        <v>4979</v>
      </c>
      <c r="W506" s="46" t="s">
        <v>4549</v>
      </c>
      <c r="X506" s="47" t="s">
        <v>9305</v>
      </c>
      <c r="Y506" s="46" t="s">
        <v>4994</v>
      </c>
      <c r="Z506" s="46" t="s">
        <v>4829</v>
      </c>
      <c r="AA506" s="46" t="s">
        <v>4549</v>
      </c>
      <c r="AB506" s="47" t="s">
        <v>9305</v>
      </c>
      <c r="AC506" s="48" t="s">
        <v>4995</v>
      </c>
      <c r="AD506" s="30"/>
      <c r="AE506" s="197"/>
      <c r="AF506" s="47"/>
    </row>
    <row r="507" spans="1:32" s="29" customFormat="1" ht="69.95" hidden="1" customHeight="1">
      <c r="A507" s="29" t="s">
        <v>4974</v>
      </c>
      <c r="B507" s="29" t="s">
        <v>3769</v>
      </c>
      <c r="C507" s="40" t="s">
        <v>40</v>
      </c>
      <c r="D507" s="40"/>
      <c r="E507" s="57" t="s">
        <v>149</v>
      </c>
      <c r="F507" s="57" t="s">
        <v>149</v>
      </c>
      <c r="G507" s="29" t="s">
        <v>1320</v>
      </c>
      <c r="J507" s="29">
        <f t="shared" si="31"/>
        <v>1</v>
      </c>
      <c r="K507" s="42">
        <v>500</v>
      </c>
      <c r="L507" s="43" t="s">
        <v>1321</v>
      </c>
      <c r="M507" s="44" t="s">
        <v>405</v>
      </c>
      <c r="N507" s="44" t="s">
        <v>536</v>
      </c>
      <c r="O507" s="44" t="str">
        <f t="shared" si="30"/>
        <v>PE-L1-4C4-04</v>
      </c>
      <c r="P507" s="45">
        <v>1</v>
      </c>
      <c r="Q507" s="44">
        <v>400</v>
      </c>
      <c r="R507" s="44" t="s">
        <v>49</v>
      </c>
      <c r="S507" s="44">
        <v>50</v>
      </c>
      <c r="T507" s="46" t="s">
        <v>4546</v>
      </c>
      <c r="U507" s="46" t="s">
        <v>4974</v>
      </c>
      <c r="V507" s="46" t="s">
        <v>4975</v>
      </c>
      <c r="W507" s="46" t="s">
        <v>4549</v>
      </c>
      <c r="X507" s="47" t="s">
        <v>9305</v>
      </c>
      <c r="Y507" s="46" t="s">
        <v>4996</v>
      </c>
      <c r="Z507" s="46" t="s">
        <v>4778</v>
      </c>
      <c r="AA507" s="46" t="s">
        <v>4549</v>
      </c>
      <c r="AB507" s="47" t="s">
        <v>9305</v>
      </c>
      <c r="AC507" s="48" t="s">
        <v>4997</v>
      </c>
      <c r="AD507" s="30"/>
      <c r="AE507" s="197"/>
      <c r="AF507" s="47"/>
    </row>
    <row r="508" spans="1:32" s="29" customFormat="1" ht="69.95" hidden="1" customHeight="1">
      <c r="A508" s="29" t="s">
        <v>4974</v>
      </c>
      <c r="B508" s="29" t="s">
        <v>3769</v>
      </c>
      <c r="C508" s="40" t="s">
        <v>41</v>
      </c>
      <c r="D508" s="40"/>
      <c r="E508" s="57" t="s">
        <v>149</v>
      </c>
      <c r="F508" s="57" t="s">
        <v>149</v>
      </c>
      <c r="G508" s="29" t="s">
        <v>1322</v>
      </c>
      <c r="J508" s="29">
        <f t="shared" si="31"/>
        <v>1</v>
      </c>
      <c r="K508" s="42">
        <v>501</v>
      </c>
      <c r="L508" s="43" t="s">
        <v>1323</v>
      </c>
      <c r="M508" s="44" t="s">
        <v>405</v>
      </c>
      <c r="N508" s="44" t="s">
        <v>536</v>
      </c>
      <c r="O508" s="44" t="str">
        <f t="shared" si="30"/>
        <v>PE-L1-4C4-04</v>
      </c>
      <c r="P508" s="45">
        <v>1</v>
      </c>
      <c r="Q508" s="44">
        <v>400</v>
      </c>
      <c r="R508" s="44" t="s">
        <v>49</v>
      </c>
      <c r="S508" s="44">
        <v>50</v>
      </c>
      <c r="T508" s="46" t="s">
        <v>4546</v>
      </c>
      <c r="U508" s="46" t="s">
        <v>4974</v>
      </c>
      <c r="V508" s="46" t="s">
        <v>4975</v>
      </c>
      <c r="W508" s="46" t="s">
        <v>4549</v>
      </c>
      <c r="X508" s="47" t="s">
        <v>9305</v>
      </c>
      <c r="Y508" s="46" t="s">
        <v>4998</v>
      </c>
      <c r="Z508" s="46" t="s">
        <v>4781</v>
      </c>
      <c r="AA508" s="46" t="s">
        <v>4549</v>
      </c>
      <c r="AB508" s="47" t="s">
        <v>9305</v>
      </c>
      <c r="AC508" s="48" t="s">
        <v>4999</v>
      </c>
      <c r="AD508" s="30"/>
      <c r="AE508" s="197"/>
      <c r="AF508" s="47"/>
    </row>
    <row r="509" spans="1:32" s="29" customFormat="1" ht="69.95" hidden="1" customHeight="1">
      <c r="A509" s="29" t="s">
        <v>4978</v>
      </c>
      <c r="B509" s="29" t="s">
        <v>3769</v>
      </c>
      <c r="C509" s="40" t="s">
        <v>43</v>
      </c>
      <c r="D509" s="40"/>
      <c r="E509" s="57" t="s">
        <v>149</v>
      </c>
      <c r="F509" s="57" t="s">
        <v>149</v>
      </c>
      <c r="G509" s="29" t="s">
        <v>1324</v>
      </c>
      <c r="J509" s="29">
        <f t="shared" si="31"/>
        <v>1</v>
      </c>
      <c r="K509" s="42">
        <v>502</v>
      </c>
      <c r="L509" s="43" t="s">
        <v>1325</v>
      </c>
      <c r="M509" s="44" t="s">
        <v>405</v>
      </c>
      <c r="N509" s="44" t="s">
        <v>536</v>
      </c>
      <c r="O509" s="44" t="str">
        <f t="shared" si="30"/>
        <v>PE-L1-4C4-04</v>
      </c>
      <c r="P509" s="45">
        <v>1</v>
      </c>
      <c r="Q509" s="44">
        <v>400</v>
      </c>
      <c r="R509" s="44" t="s">
        <v>49</v>
      </c>
      <c r="S509" s="44">
        <v>50</v>
      </c>
      <c r="T509" s="46" t="s">
        <v>4546</v>
      </c>
      <c r="U509" s="46" t="s">
        <v>4978</v>
      </c>
      <c r="V509" s="46" t="s">
        <v>4979</v>
      </c>
      <c r="W509" s="46" t="s">
        <v>4549</v>
      </c>
      <c r="X509" s="47" t="s">
        <v>9305</v>
      </c>
      <c r="Y509" s="46" t="s">
        <v>5000</v>
      </c>
      <c r="Z509" s="46" t="s">
        <v>4786</v>
      </c>
      <c r="AA509" s="46" t="s">
        <v>4549</v>
      </c>
      <c r="AB509" s="47" t="s">
        <v>9305</v>
      </c>
      <c r="AC509" s="48" t="s">
        <v>5001</v>
      </c>
      <c r="AD509" s="30"/>
      <c r="AE509" s="197"/>
      <c r="AF509" s="47"/>
    </row>
    <row r="510" spans="1:32" s="29" customFormat="1" ht="69.95" hidden="1" customHeight="1">
      <c r="A510" s="29" t="s">
        <v>4974</v>
      </c>
      <c r="B510" s="29" t="s">
        <v>3769</v>
      </c>
      <c r="C510" s="40" t="s">
        <v>42</v>
      </c>
      <c r="D510" s="40"/>
      <c r="E510" s="57" t="s">
        <v>82</v>
      </c>
      <c r="F510" s="57" t="s">
        <v>82</v>
      </c>
      <c r="G510" s="29" t="s">
        <v>1326</v>
      </c>
      <c r="J510" s="29">
        <f t="shared" si="31"/>
        <v>1</v>
      </c>
      <c r="K510" s="42">
        <v>503</v>
      </c>
      <c r="L510" s="43" t="s">
        <v>1327</v>
      </c>
      <c r="M510" s="44" t="s">
        <v>405</v>
      </c>
      <c r="N510" s="44" t="s">
        <v>536</v>
      </c>
      <c r="O510" s="44" t="str">
        <f t="shared" si="30"/>
        <v>PE-L1-4C4-18</v>
      </c>
      <c r="P510" s="45">
        <v>0.3</v>
      </c>
      <c r="Q510" s="44">
        <v>400</v>
      </c>
      <c r="R510" s="44" t="s">
        <v>49</v>
      </c>
      <c r="S510" s="44">
        <v>60</v>
      </c>
      <c r="T510" s="46" t="s">
        <v>4546</v>
      </c>
      <c r="U510" s="46" t="s">
        <v>4974</v>
      </c>
      <c r="V510" s="46" t="s">
        <v>4975</v>
      </c>
      <c r="W510" s="46" t="s">
        <v>4549</v>
      </c>
      <c r="X510" s="47" t="s">
        <v>9305</v>
      </c>
      <c r="Y510" s="46" t="s">
        <v>5002</v>
      </c>
      <c r="Z510" s="46" t="s">
        <v>4789</v>
      </c>
      <c r="AA510" s="46" t="s">
        <v>4549</v>
      </c>
      <c r="AB510" s="47" t="s">
        <v>9305</v>
      </c>
      <c r="AC510" s="48" t="s">
        <v>5003</v>
      </c>
      <c r="AD510" s="30"/>
      <c r="AE510" s="197"/>
      <c r="AF510" s="47"/>
    </row>
    <row r="511" spans="1:32" s="29" customFormat="1" ht="69.95" hidden="1" customHeight="1">
      <c r="A511" s="29" t="s">
        <v>4974</v>
      </c>
      <c r="B511" s="29" t="s">
        <v>3769</v>
      </c>
      <c r="C511" s="40" t="s">
        <v>43</v>
      </c>
      <c r="D511" s="40"/>
      <c r="E511" s="57" t="s">
        <v>82</v>
      </c>
      <c r="F511" s="57" t="s">
        <v>82</v>
      </c>
      <c r="G511" s="29" t="s">
        <v>1328</v>
      </c>
      <c r="J511" s="29">
        <f t="shared" si="31"/>
        <v>1</v>
      </c>
      <c r="K511" s="42">
        <v>504</v>
      </c>
      <c r="L511" s="43" t="s">
        <v>1329</v>
      </c>
      <c r="M511" s="44" t="s">
        <v>405</v>
      </c>
      <c r="N511" s="44" t="s">
        <v>536</v>
      </c>
      <c r="O511" s="44" t="str">
        <f t="shared" ref="O511:O574" si="32">F511</f>
        <v>PE-L1-4C4-18</v>
      </c>
      <c r="P511" s="45">
        <v>0.3</v>
      </c>
      <c r="Q511" s="44">
        <v>400</v>
      </c>
      <c r="R511" s="44" t="s">
        <v>49</v>
      </c>
      <c r="S511" s="44">
        <v>60</v>
      </c>
      <c r="T511" s="46" t="s">
        <v>4546</v>
      </c>
      <c r="U511" s="46" t="s">
        <v>4974</v>
      </c>
      <c r="V511" s="46" t="s">
        <v>4975</v>
      </c>
      <c r="W511" s="46" t="s">
        <v>4549</v>
      </c>
      <c r="X511" s="47" t="s">
        <v>9305</v>
      </c>
      <c r="Y511" s="46" t="s">
        <v>5004</v>
      </c>
      <c r="Z511" s="46" t="s">
        <v>4792</v>
      </c>
      <c r="AA511" s="46" t="s">
        <v>4549</v>
      </c>
      <c r="AB511" s="47" t="s">
        <v>9305</v>
      </c>
      <c r="AC511" s="48" t="s">
        <v>5005</v>
      </c>
      <c r="AD511" s="30"/>
      <c r="AE511" s="197"/>
      <c r="AF511" s="47"/>
    </row>
    <row r="512" spans="1:32" s="29" customFormat="1" ht="69.95" hidden="1" customHeight="1">
      <c r="A512" s="29" t="s">
        <v>4978</v>
      </c>
      <c r="B512" s="29" t="s">
        <v>3769</v>
      </c>
      <c r="C512" s="40" t="s">
        <v>73</v>
      </c>
      <c r="D512" s="40"/>
      <c r="E512" s="57" t="s">
        <v>82</v>
      </c>
      <c r="F512" s="57" t="s">
        <v>82</v>
      </c>
      <c r="G512" s="29" t="s">
        <v>1330</v>
      </c>
      <c r="J512" s="29">
        <f t="shared" si="31"/>
        <v>1</v>
      </c>
      <c r="K512" s="42">
        <v>505</v>
      </c>
      <c r="L512" s="43" t="s">
        <v>1331</v>
      </c>
      <c r="M512" s="44" t="s">
        <v>405</v>
      </c>
      <c r="N512" s="44" t="s">
        <v>536</v>
      </c>
      <c r="O512" s="44" t="str">
        <f t="shared" si="32"/>
        <v>PE-L1-4C4-18</v>
      </c>
      <c r="P512" s="45">
        <v>0.3</v>
      </c>
      <c r="Q512" s="44">
        <v>400</v>
      </c>
      <c r="R512" s="44" t="s">
        <v>49</v>
      </c>
      <c r="S512" s="44">
        <v>50</v>
      </c>
      <c r="T512" s="46" t="s">
        <v>4546</v>
      </c>
      <c r="U512" s="46" t="s">
        <v>4978</v>
      </c>
      <c r="V512" s="46" t="s">
        <v>4979</v>
      </c>
      <c r="W512" s="46" t="s">
        <v>4549</v>
      </c>
      <c r="X512" s="47" t="s">
        <v>9305</v>
      </c>
      <c r="Y512" s="46" t="s">
        <v>5006</v>
      </c>
      <c r="Z512" s="46" t="s">
        <v>4795</v>
      </c>
      <c r="AA512" s="46" t="s">
        <v>4549</v>
      </c>
      <c r="AB512" s="47" t="s">
        <v>9305</v>
      </c>
      <c r="AC512" s="48" t="s">
        <v>5007</v>
      </c>
      <c r="AD512" s="30"/>
      <c r="AE512" s="197"/>
      <c r="AF512" s="47"/>
    </row>
    <row r="513" spans="1:32" s="29" customFormat="1" ht="69.95" hidden="1" customHeight="1">
      <c r="A513" s="29" t="s">
        <v>4978</v>
      </c>
      <c r="B513" s="29" t="s">
        <v>3769</v>
      </c>
      <c r="C513" s="40" t="s">
        <v>75</v>
      </c>
      <c r="D513" s="40"/>
      <c r="E513" s="57" t="s">
        <v>194</v>
      </c>
      <c r="F513" s="57" t="s">
        <v>194</v>
      </c>
      <c r="G513" s="29" t="s">
        <v>1332</v>
      </c>
      <c r="J513" s="29">
        <f t="shared" si="31"/>
        <v>1</v>
      </c>
      <c r="K513" s="42">
        <v>506</v>
      </c>
      <c r="L513" s="43" t="s">
        <v>1333</v>
      </c>
      <c r="M513" s="44" t="s">
        <v>405</v>
      </c>
      <c r="N513" s="44" t="s">
        <v>536</v>
      </c>
      <c r="O513" s="44" t="str">
        <f t="shared" si="32"/>
        <v>PE-L1-4C4-14</v>
      </c>
      <c r="P513" s="45">
        <v>1</v>
      </c>
      <c r="Q513" s="44">
        <v>400</v>
      </c>
      <c r="R513" s="44" t="s">
        <v>49</v>
      </c>
      <c r="S513" s="44">
        <v>260</v>
      </c>
      <c r="T513" s="46" t="s">
        <v>4546</v>
      </c>
      <c r="U513" s="46" t="s">
        <v>4978</v>
      </c>
      <c r="V513" s="46" t="s">
        <v>4979</v>
      </c>
      <c r="W513" s="46" t="s">
        <v>4549</v>
      </c>
      <c r="X513" s="47" t="s">
        <v>9305</v>
      </c>
      <c r="Y513" s="46" t="s">
        <v>5008</v>
      </c>
      <c r="Z513" s="46" t="s">
        <v>4832</v>
      </c>
      <c r="AA513" s="46" t="s">
        <v>4837</v>
      </c>
      <c r="AB513" s="47" t="s">
        <v>9305</v>
      </c>
      <c r="AC513" s="48" t="s">
        <v>5009</v>
      </c>
      <c r="AD513" s="30"/>
      <c r="AE513" s="197"/>
      <c r="AF513" s="47"/>
    </row>
    <row r="514" spans="1:32" s="29" customFormat="1" ht="69.95" hidden="1" customHeight="1">
      <c r="A514" s="29" t="s">
        <v>4412</v>
      </c>
      <c r="B514" s="29" t="s">
        <v>3769</v>
      </c>
      <c r="C514" s="40" t="s">
        <v>41</v>
      </c>
      <c r="D514" s="40"/>
      <c r="E514" s="57" t="s">
        <v>8298</v>
      </c>
      <c r="F514" s="57" t="s">
        <v>8602</v>
      </c>
      <c r="G514" s="29" t="s">
        <v>1334</v>
      </c>
      <c r="J514" s="29">
        <f t="shared" si="31"/>
        <v>1</v>
      </c>
      <c r="K514" s="42">
        <v>507</v>
      </c>
      <c r="L514" s="43" t="s">
        <v>1335</v>
      </c>
      <c r="M514" s="44" t="s">
        <v>405</v>
      </c>
      <c r="N514" s="44" t="s">
        <v>8605</v>
      </c>
      <c r="O514" s="44" t="str">
        <f t="shared" si="32"/>
        <v>PE-L1-4C50/25-03</v>
      </c>
      <c r="P514" s="45">
        <v>45</v>
      </c>
      <c r="Q514" s="44">
        <v>400</v>
      </c>
      <c r="R514" s="44" t="s">
        <v>49</v>
      </c>
      <c r="S514" s="44">
        <v>140</v>
      </c>
      <c r="T514" s="46" t="s">
        <v>5010</v>
      </c>
      <c r="U514" s="46" t="s">
        <v>4412</v>
      </c>
      <c r="V514" s="46" t="s">
        <v>4413</v>
      </c>
      <c r="W514" s="46" t="s">
        <v>335</v>
      </c>
      <c r="X514" s="47" t="s">
        <v>9305</v>
      </c>
      <c r="Y514" s="46" t="s">
        <v>5011</v>
      </c>
      <c r="Z514" s="46" t="s">
        <v>5012</v>
      </c>
      <c r="AA514" s="46" t="s">
        <v>5013</v>
      </c>
      <c r="AB514" s="47" t="s">
        <v>9305</v>
      </c>
      <c r="AC514" s="48" t="s">
        <v>5014</v>
      </c>
      <c r="AD514" s="30"/>
      <c r="AE514" s="197"/>
      <c r="AF514" s="47"/>
    </row>
    <row r="515" spans="1:32" s="29" customFormat="1" ht="69.95" hidden="1" customHeight="1">
      <c r="A515" s="29" t="s">
        <v>4407</v>
      </c>
      <c r="B515" s="29" t="s">
        <v>3769</v>
      </c>
      <c r="C515" s="40" t="s">
        <v>73</v>
      </c>
      <c r="D515" s="40"/>
      <c r="E515" s="57" t="s">
        <v>8298</v>
      </c>
      <c r="F515" s="57" t="s">
        <v>8602</v>
      </c>
      <c r="G515" s="29" t="s">
        <v>1336</v>
      </c>
      <c r="J515" s="29">
        <f t="shared" si="31"/>
        <v>1</v>
      </c>
      <c r="K515" s="42">
        <v>508</v>
      </c>
      <c r="L515" s="43" t="s">
        <v>1337</v>
      </c>
      <c r="M515" s="44" t="s">
        <v>405</v>
      </c>
      <c r="N515" s="44" t="s">
        <v>686</v>
      </c>
      <c r="O515" s="44" t="str">
        <f t="shared" si="32"/>
        <v>PE-L1-4C50/25-03</v>
      </c>
      <c r="P515" s="45">
        <v>45</v>
      </c>
      <c r="Q515" s="44">
        <v>400</v>
      </c>
      <c r="R515" s="44" t="s">
        <v>49</v>
      </c>
      <c r="S515" s="44">
        <v>150</v>
      </c>
      <c r="T515" s="46" t="s">
        <v>5010</v>
      </c>
      <c r="U515" s="46" t="s">
        <v>4407</v>
      </c>
      <c r="V515" s="46" t="s">
        <v>4408</v>
      </c>
      <c r="W515" s="46" t="s">
        <v>335</v>
      </c>
      <c r="X515" s="47" t="s">
        <v>9305</v>
      </c>
      <c r="Y515" s="46" t="s">
        <v>5015</v>
      </c>
      <c r="Z515" s="46" t="s">
        <v>5016</v>
      </c>
      <c r="AA515" s="46" t="s">
        <v>5013</v>
      </c>
      <c r="AB515" s="47" t="s">
        <v>9305</v>
      </c>
      <c r="AC515" s="48" t="s">
        <v>5017</v>
      </c>
      <c r="AD515" s="30"/>
      <c r="AE515" s="197"/>
      <c r="AF515" s="47"/>
    </row>
    <row r="516" spans="1:32" s="29" customFormat="1" ht="69.95" hidden="1" customHeight="1">
      <c r="A516" s="29" t="s">
        <v>4412</v>
      </c>
      <c r="B516" s="29" t="s">
        <v>3769</v>
      </c>
      <c r="C516" s="40" t="s">
        <v>42</v>
      </c>
      <c r="D516" s="40"/>
      <c r="E516" s="57" t="s">
        <v>8298</v>
      </c>
      <c r="F516" s="57" t="s">
        <v>8602</v>
      </c>
      <c r="G516" s="29" t="s">
        <v>1338</v>
      </c>
      <c r="H516" s="124" t="s">
        <v>9509</v>
      </c>
      <c r="I516" s="124" t="s">
        <v>9121</v>
      </c>
      <c r="J516" s="29">
        <f t="shared" si="31"/>
        <v>1</v>
      </c>
      <c r="K516" s="42">
        <v>509</v>
      </c>
      <c r="L516" s="152" t="s">
        <v>1339</v>
      </c>
      <c r="M516" s="44" t="s">
        <v>405</v>
      </c>
      <c r="N516" s="44" t="s">
        <v>686</v>
      </c>
      <c r="O516" s="101" t="str">
        <f t="shared" si="32"/>
        <v>PE-L1-4C50/25-03</v>
      </c>
      <c r="P516" s="45">
        <v>45</v>
      </c>
      <c r="Q516" s="44">
        <v>400</v>
      </c>
      <c r="R516" s="44" t="s">
        <v>49</v>
      </c>
      <c r="S516" s="101">
        <v>140</v>
      </c>
      <c r="T516" s="46" t="s">
        <v>5010</v>
      </c>
      <c r="U516" s="46" t="s">
        <v>4412</v>
      </c>
      <c r="V516" s="46" t="s">
        <v>4413</v>
      </c>
      <c r="W516" s="46" t="s">
        <v>335</v>
      </c>
      <c r="X516" s="47" t="s">
        <v>9305</v>
      </c>
      <c r="Y516" s="46" t="s">
        <v>5018</v>
      </c>
      <c r="Z516" s="46" t="s">
        <v>5019</v>
      </c>
      <c r="AA516" s="46" t="s">
        <v>5013</v>
      </c>
      <c r="AB516" s="47" t="s">
        <v>9305</v>
      </c>
      <c r="AC516" s="48" t="s">
        <v>5020</v>
      </c>
      <c r="AD516" s="30"/>
      <c r="AE516" s="197"/>
      <c r="AF516" s="47"/>
    </row>
    <row r="517" spans="1:32" s="29" customFormat="1" ht="69.95" hidden="1" customHeight="1">
      <c r="A517" s="29" t="s">
        <v>4407</v>
      </c>
      <c r="B517" s="29" t="s">
        <v>3769</v>
      </c>
      <c r="C517" s="40" t="s">
        <v>75</v>
      </c>
      <c r="D517" s="40"/>
      <c r="E517" s="57" t="s">
        <v>8298</v>
      </c>
      <c r="F517" s="57" t="s">
        <v>8602</v>
      </c>
      <c r="G517" s="29" t="s">
        <v>1340</v>
      </c>
      <c r="H517" s="124" t="s">
        <v>9509</v>
      </c>
      <c r="I517" s="124" t="s">
        <v>9121</v>
      </c>
      <c r="J517" s="29">
        <f t="shared" si="31"/>
        <v>1</v>
      </c>
      <c r="K517" s="42">
        <v>510</v>
      </c>
      <c r="L517" s="152" t="s">
        <v>1341</v>
      </c>
      <c r="M517" s="44" t="s">
        <v>405</v>
      </c>
      <c r="N517" s="44" t="s">
        <v>686</v>
      </c>
      <c r="O517" s="101" t="str">
        <f t="shared" si="32"/>
        <v>PE-L1-4C50/25-03</v>
      </c>
      <c r="P517" s="45">
        <v>45</v>
      </c>
      <c r="Q517" s="44">
        <v>400</v>
      </c>
      <c r="R517" s="44" t="s">
        <v>49</v>
      </c>
      <c r="S517" s="101">
        <v>140</v>
      </c>
      <c r="T517" s="46" t="s">
        <v>5010</v>
      </c>
      <c r="U517" s="46" t="s">
        <v>4407</v>
      </c>
      <c r="V517" s="46" t="s">
        <v>4408</v>
      </c>
      <c r="W517" s="46" t="s">
        <v>335</v>
      </c>
      <c r="X517" s="47" t="s">
        <v>9305</v>
      </c>
      <c r="Y517" s="46" t="s">
        <v>5021</v>
      </c>
      <c r="Z517" s="46" t="s">
        <v>5022</v>
      </c>
      <c r="AA517" s="46" t="s">
        <v>5013</v>
      </c>
      <c r="AB517" s="47" t="s">
        <v>9305</v>
      </c>
      <c r="AC517" s="48" t="s">
        <v>5023</v>
      </c>
      <c r="AD517" s="30"/>
      <c r="AE517" s="197"/>
      <c r="AF517" s="47"/>
    </row>
    <row r="518" spans="1:32" s="29" customFormat="1" ht="69.95" hidden="1" customHeight="1">
      <c r="A518" s="29" t="s">
        <v>4412</v>
      </c>
      <c r="B518" s="29" t="s">
        <v>3769</v>
      </c>
      <c r="C518" s="40" t="s">
        <v>43</v>
      </c>
      <c r="D518" s="40"/>
      <c r="E518" s="57" t="s">
        <v>8603</v>
      </c>
      <c r="F518" s="57" t="s">
        <v>8603</v>
      </c>
      <c r="G518" s="29" t="s">
        <v>1342</v>
      </c>
      <c r="H518" s="124" t="s">
        <v>9445</v>
      </c>
      <c r="I518" s="124" t="s">
        <v>9121</v>
      </c>
      <c r="J518" s="29">
        <f t="shared" si="31"/>
        <v>1</v>
      </c>
      <c r="K518" s="42">
        <v>511</v>
      </c>
      <c r="L518" s="152" t="s">
        <v>1343</v>
      </c>
      <c r="M518" s="44" t="s">
        <v>405</v>
      </c>
      <c r="N518" s="44" t="s">
        <v>686</v>
      </c>
      <c r="O518" s="101" t="str">
        <f t="shared" si="32"/>
        <v>PE-L1-4C50/25-04</v>
      </c>
      <c r="P518" s="45">
        <v>45</v>
      </c>
      <c r="Q518" s="44">
        <v>400</v>
      </c>
      <c r="R518" s="44" t="s">
        <v>49</v>
      </c>
      <c r="S518" s="101">
        <v>140</v>
      </c>
      <c r="T518" s="46" t="s">
        <v>5010</v>
      </c>
      <c r="U518" s="46" t="s">
        <v>4412</v>
      </c>
      <c r="V518" s="46" t="s">
        <v>4413</v>
      </c>
      <c r="W518" s="46" t="s">
        <v>335</v>
      </c>
      <c r="X518" s="47" t="s">
        <v>9305</v>
      </c>
      <c r="Y518" s="46" t="s">
        <v>5024</v>
      </c>
      <c r="Z518" s="46" t="s">
        <v>5025</v>
      </c>
      <c r="AA518" s="46" t="s">
        <v>5013</v>
      </c>
      <c r="AB518" s="47" t="s">
        <v>9305</v>
      </c>
      <c r="AC518" s="48" t="s">
        <v>5026</v>
      </c>
      <c r="AD518" s="30"/>
      <c r="AE518" s="197"/>
      <c r="AF518" s="47"/>
    </row>
    <row r="519" spans="1:32" s="29" customFormat="1" ht="69.95" hidden="1" customHeight="1">
      <c r="A519" s="29" t="s">
        <v>4407</v>
      </c>
      <c r="B519" s="29" t="s">
        <v>3769</v>
      </c>
      <c r="C519" s="40">
        <v>10</v>
      </c>
      <c r="D519" s="40"/>
      <c r="E519" s="57" t="s">
        <v>8603</v>
      </c>
      <c r="F519" s="57" t="s">
        <v>8603</v>
      </c>
      <c r="G519" s="29" t="s">
        <v>1344</v>
      </c>
      <c r="H519" s="124" t="s">
        <v>9445</v>
      </c>
      <c r="I519" s="124" t="s">
        <v>9121</v>
      </c>
      <c r="J519" s="29">
        <f t="shared" si="31"/>
        <v>1</v>
      </c>
      <c r="K519" s="42">
        <v>512</v>
      </c>
      <c r="L519" s="152" t="s">
        <v>1345</v>
      </c>
      <c r="M519" s="44" t="s">
        <v>405</v>
      </c>
      <c r="N519" s="44" t="s">
        <v>686</v>
      </c>
      <c r="O519" s="101" t="str">
        <f t="shared" si="32"/>
        <v>PE-L1-4C50/25-04</v>
      </c>
      <c r="P519" s="45">
        <v>45</v>
      </c>
      <c r="Q519" s="44">
        <v>400</v>
      </c>
      <c r="R519" s="44" t="s">
        <v>49</v>
      </c>
      <c r="S519" s="101">
        <v>150</v>
      </c>
      <c r="T519" s="46" t="s">
        <v>5010</v>
      </c>
      <c r="U519" s="46" t="s">
        <v>4407</v>
      </c>
      <c r="V519" s="46" t="s">
        <v>4408</v>
      </c>
      <c r="W519" s="46" t="s">
        <v>335</v>
      </c>
      <c r="X519" s="47" t="s">
        <v>9305</v>
      </c>
      <c r="Y519" s="46" t="s">
        <v>5027</v>
      </c>
      <c r="Z519" s="46" t="s">
        <v>5028</v>
      </c>
      <c r="AA519" s="46" t="s">
        <v>5013</v>
      </c>
      <c r="AB519" s="47" t="s">
        <v>9305</v>
      </c>
      <c r="AC519" s="48" t="s">
        <v>5029</v>
      </c>
      <c r="AD519" s="30"/>
      <c r="AE519" s="197"/>
      <c r="AF519" s="47"/>
    </row>
    <row r="520" spans="1:32" s="29" customFormat="1" ht="69.95" hidden="1" customHeight="1">
      <c r="A520" s="29" t="s">
        <v>4412</v>
      </c>
      <c r="B520" s="29" t="s">
        <v>3769</v>
      </c>
      <c r="C520" s="40" t="s">
        <v>73</v>
      </c>
      <c r="D520" s="40"/>
      <c r="E520" s="57" t="s">
        <v>8603</v>
      </c>
      <c r="F520" s="57" t="s">
        <v>8603</v>
      </c>
      <c r="G520" s="29" t="s">
        <v>1346</v>
      </c>
      <c r="H520" s="124" t="s">
        <v>9445</v>
      </c>
      <c r="I520" s="124" t="s">
        <v>9121</v>
      </c>
      <c r="J520" s="29">
        <f t="shared" ref="J520:J583" si="33">COUNTIF(L:L,L520)</f>
        <v>1</v>
      </c>
      <c r="K520" s="42">
        <v>513</v>
      </c>
      <c r="L520" s="152" t="s">
        <v>1347</v>
      </c>
      <c r="M520" s="44" t="s">
        <v>405</v>
      </c>
      <c r="N520" s="44" t="s">
        <v>686</v>
      </c>
      <c r="O520" s="101" t="str">
        <f t="shared" si="32"/>
        <v>PE-L1-4C50/25-04</v>
      </c>
      <c r="P520" s="45">
        <v>45</v>
      </c>
      <c r="Q520" s="44">
        <v>400</v>
      </c>
      <c r="R520" s="44" t="s">
        <v>49</v>
      </c>
      <c r="S520" s="101">
        <v>150</v>
      </c>
      <c r="T520" s="46" t="s">
        <v>5010</v>
      </c>
      <c r="U520" s="46" t="s">
        <v>4412</v>
      </c>
      <c r="V520" s="46" t="s">
        <v>4413</v>
      </c>
      <c r="W520" s="46" t="s">
        <v>335</v>
      </c>
      <c r="X520" s="47" t="s">
        <v>9305</v>
      </c>
      <c r="Y520" s="46" t="s">
        <v>5030</v>
      </c>
      <c r="Z520" s="46" t="s">
        <v>5031</v>
      </c>
      <c r="AA520" s="46" t="s">
        <v>5013</v>
      </c>
      <c r="AB520" s="47" t="s">
        <v>9305</v>
      </c>
      <c r="AC520" s="48" t="s">
        <v>5032</v>
      </c>
      <c r="AD520" s="30"/>
      <c r="AE520" s="197"/>
      <c r="AF520" s="47"/>
    </row>
    <row r="521" spans="1:32" s="29" customFormat="1" ht="69.95" hidden="1" customHeight="1">
      <c r="A521" s="29" t="s">
        <v>4407</v>
      </c>
      <c r="B521" s="29" t="s">
        <v>3769</v>
      </c>
      <c r="C521" s="40">
        <v>11</v>
      </c>
      <c r="D521" s="40"/>
      <c r="E521" s="57" t="s">
        <v>8603</v>
      </c>
      <c r="F521" s="57" t="s">
        <v>8603</v>
      </c>
      <c r="G521" s="29" t="s">
        <v>1348</v>
      </c>
      <c r="H521" s="124" t="s">
        <v>9445</v>
      </c>
      <c r="I521" s="124" t="s">
        <v>9121</v>
      </c>
      <c r="J521" s="29">
        <f t="shared" si="33"/>
        <v>1</v>
      </c>
      <c r="K521" s="42">
        <v>514</v>
      </c>
      <c r="L521" s="152" t="s">
        <v>1349</v>
      </c>
      <c r="M521" s="44" t="s">
        <v>405</v>
      </c>
      <c r="N521" s="44" t="s">
        <v>686</v>
      </c>
      <c r="O521" s="101" t="str">
        <f t="shared" si="32"/>
        <v>PE-L1-4C50/25-04</v>
      </c>
      <c r="P521" s="45">
        <v>45</v>
      </c>
      <c r="Q521" s="44">
        <v>400</v>
      </c>
      <c r="R521" s="44" t="s">
        <v>49</v>
      </c>
      <c r="S521" s="101">
        <v>160</v>
      </c>
      <c r="T521" s="46" t="s">
        <v>5010</v>
      </c>
      <c r="U521" s="46" t="s">
        <v>4407</v>
      </c>
      <c r="V521" s="46" t="s">
        <v>4408</v>
      </c>
      <c r="W521" s="46" t="s">
        <v>335</v>
      </c>
      <c r="X521" s="47" t="s">
        <v>9305</v>
      </c>
      <c r="Y521" s="46" t="s">
        <v>5033</v>
      </c>
      <c r="Z521" s="46" t="s">
        <v>5034</v>
      </c>
      <c r="AA521" s="46" t="s">
        <v>5013</v>
      </c>
      <c r="AB521" s="47" t="s">
        <v>9305</v>
      </c>
      <c r="AC521" s="48" t="s">
        <v>5035</v>
      </c>
      <c r="AD521" s="30"/>
      <c r="AE521" s="197"/>
      <c r="AF521" s="47"/>
    </row>
    <row r="522" spans="1:32" s="29" customFormat="1" ht="69.95" hidden="1" customHeight="1">
      <c r="A522" s="29" t="s">
        <v>4412</v>
      </c>
      <c r="B522" s="29" t="s">
        <v>3769</v>
      </c>
      <c r="C522" s="40" t="s">
        <v>75</v>
      </c>
      <c r="D522" s="40"/>
      <c r="E522" s="57" t="s">
        <v>8603</v>
      </c>
      <c r="F522" s="57" t="s">
        <v>8603</v>
      </c>
      <c r="G522" s="29" t="s">
        <v>1350</v>
      </c>
      <c r="H522" s="124" t="s">
        <v>9445</v>
      </c>
      <c r="I522" s="124" t="s">
        <v>9121</v>
      </c>
      <c r="J522" s="29">
        <f t="shared" si="33"/>
        <v>1</v>
      </c>
      <c r="K522" s="42">
        <v>515</v>
      </c>
      <c r="L522" s="152" t="s">
        <v>1351</v>
      </c>
      <c r="M522" s="44" t="s">
        <v>405</v>
      </c>
      <c r="N522" s="44" t="s">
        <v>686</v>
      </c>
      <c r="O522" s="101" t="str">
        <f t="shared" si="32"/>
        <v>PE-L1-4C50/25-04</v>
      </c>
      <c r="P522" s="45">
        <v>45</v>
      </c>
      <c r="Q522" s="44">
        <v>400</v>
      </c>
      <c r="R522" s="44" t="s">
        <v>49</v>
      </c>
      <c r="S522" s="101">
        <v>160</v>
      </c>
      <c r="T522" s="46" t="s">
        <v>5010</v>
      </c>
      <c r="U522" s="46" t="s">
        <v>4412</v>
      </c>
      <c r="V522" s="46" t="s">
        <v>4413</v>
      </c>
      <c r="W522" s="46" t="s">
        <v>335</v>
      </c>
      <c r="X522" s="47" t="s">
        <v>9305</v>
      </c>
      <c r="Y522" s="46" t="s">
        <v>5036</v>
      </c>
      <c r="Z522" s="46" t="s">
        <v>5037</v>
      </c>
      <c r="AA522" s="46" t="s">
        <v>5013</v>
      </c>
      <c r="AB522" s="47" t="s">
        <v>9305</v>
      </c>
      <c r="AC522" s="48" t="s">
        <v>5038</v>
      </c>
      <c r="AD522" s="30"/>
      <c r="AE522" s="197"/>
      <c r="AF522" s="47"/>
    </row>
    <row r="523" spans="1:32" s="29" customFormat="1" ht="69.95" hidden="1" customHeight="1">
      <c r="A523" s="29" t="s">
        <v>4407</v>
      </c>
      <c r="B523" s="29" t="s">
        <v>3769</v>
      </c>
      <c r="C523" s="40">
        <v>12</v>
      </c>
      <c r="D523" s="40"/>
      <c r="E523" s="57" t="s">
        <v>8603</v>
      </c>
      <c r="F523" s="57" t="s">
        <v>8603</v>
      </c>
      <c r="G523" s="29" t="s">
        <v>1352</v>
      </c>
      <c r="H523" s="124" t="s">
        <v>9445</v>
      </c>
      <c r="I523" s="124" t="s">
        <v>9121</v>
      </c>
      <c r="J523" s="29">
        <f t="shared" si="33"/>
        <v>1</v>
      </c>
      <c r="K523" s="42">
        <v>516</v>
      </c>
      <c r="L523" s="152" t="s">
        <v>1353</v>
      </c>
      <c r="M523" s="44" t="s">
        <v>405</v>
      </c>
      <c r="N523" s="44" t="s">
        <v>686</v>
      </c>
      <c r="O523" s="101" t="str">
        <f t="shared" si="32"/>
        <v>PE-L1-4C50/25-04</v>
      </c>
      <c r="P523" s="45">
        <v>45</v>
      </c>
      <c r="Q523" s="44">
        <v>400</v>
      </c>
      <c r="R523" s="44" t="s">
        <v>49</v>
      </c>
      <c r="S523" s="101">
        <v>170</v>
      </c>
      <c r="T523" s="46" t="s">
        <v>5010</v>
      </c>
      <c r="U523" s="46" t="s">
        <v>4407</v>
      </c>
      <c r="V523" s="46" t="s">
        <v>4408</v>
      </c>
      <c r="W523" s="46" t="s">
        <v>335</v>
      </c>
      <c r="X523" s="47" t="s">
        <v>9305</v>
      </c>
      <c r="Y523" s="46" t="s">
        <v>5039</v>
      </c>
      <c r="Z523" s="46" t="s">
        <v>5040</v>
      </c>
      <c r="AA523" s="46" t="s">
        <v>5013</v>
      </c>
      <c r="AB523" s="47" t="s">
        <v>9305</v>
      </c>
      <c r="AC523" s="48" t="s">
        <v>5041</v>
      </c>
      <c r="AD523" s="30"/>
      <c r="AE523" s="197"/>
      <c r="AF523" s="47"/>
    </row>
    <row r="524" spans="1:32" s="29" customFormat="1" ht="69.95" hidden="1" customHeight="1">
      <c r="A524" s="29" t="s">
        <v>4412</v>
      </c>
      <c r="B524" s="29" t="s">
        <v>3769</v>
      </c>
      <c r="C524" s="40">
        <v>10</v>
      </c>
      <c r="D524" s="40"/>
      <c r="E524" s="57" t="s">
        <v>8603</v>
      </c>
      <c r="F524" s="57" t="s">
        <v>8603</v>
      </c>
      <c r="G524" s="29" t="s">
        <v>1354</v>
      </c>
      <c r="H524" s="124" t="s">
        <v>9445</v>
      </c>
      <c r="I524" s="124" t="s">
        <v>9121</v>
      </c>
      <c r="J524" s="29">
        <f t="shared" si="33"/>
        <v>1</v>
      </c>
      <c r="K524" s="42">
        <v>517</v>
      </c>
      <c r="L524" s="152" t="s">
        <v>1355</v>
      </c>
      <c r="M524" s="44" t="s">
        <v>405</v>
      </c>
      <c r="N524" s="44" t="s">
        <v>686</v>
      </c>
      <c r="O524" s="101" t="str">
        <f t="shared" si="32"/>
        <v>PE-L1-4C50/25-04</v>
      </c>
      <c r="P524" s="45">
        <v>45</v>
      </c>
      <c r="Q524" s="44">
        <v>400</v>
      </c>
      <c r="R524" s="44" t="s">
        <v>49</v>
      </c>
      <c r="S524" s="101">
        <v>170</v>
      </c>
      <c r="T524" s="46" t="s">
        <v>5010</v>
      </c>
      <c r="U524" s="46" t="s">
        <v>4412</v>
      </c>
      <c r="V524" s="46" t="s">
        <v>4413</v>
      </c>
      <c r="W524" s="46" t="s">
        <v>335</v>
      </c>
      <c r="X524" s="47" t="s">
        <v>9305</v>
      </c>
      <c r="Y524" s="46" t="s">
        <v>5042</v>
      </c>
      <c r="Z524" s="46" t="s">
        <v>5043</v>
      </c>
      <c r="AA524" s="46" t="s">
        <v>5013</v>
      </c>
      <c r="AB524" s="47" t="s">
        <v>9305</v>
      </c>
      <c r="AC524" s="48" t="s">
        <v>5044</v>
      </c>
      <c r="AD524" s="30"/>
      <c r="AE524" s="197"/>
      <c r="AF524" s="47"/>
    </row>
    <row r="525" spans="1:32" s="29" customFormat="1" ht="69.95" hidden="1" customHeight="1">
      <c r="A525" s="29" t="s">
        <v>4407</v>
      </c>
      <c r="B525" s="29" t="s">
        <v>3769</v>
      </c>
      <c r="C525" s="40">
        <v>13</v>
      </c>
      <c r="D525" s="40"/>
      <c r="E525" s="57" t="s">
        <v>8604</v>
      </c>
      <c r="F525" s="57" t="s">
        <v>8604</v>
      </c>
      <c r="G525" s="29" t="s">
        <v>1356</v>
      </c>
      <c r="H525" s="124" t="s">
        <v>9445</v>
      </c>
      <c r="I525" s="124" t="s">
        <v>9121</v>
      </c>
      <c r="J525" s="29">
        <f t="shared" si="33"/>
        <v>1</v>
      </c>
      <c r="K525" s="42">
        <v>518</v>
      </c>
      <c r="L525" s="152" t="s">
        <v>1357</v>
      </c>
      <c r="M525" s="44" t="s">
        <v>405</v>
      </c>
      <c r="N525" s="44" t="s">
        <v>686</v>
      </c>
      <c r="O525" s="101" t="str">
        <f t="shared" si="32"/>
        <v>PE-L1-4C50/25-05</v>
      </c>
      <c r="P525" s="45">
        <v>45</v>
      </c>
      <c r="Q525" s="44">
        <v>400</v>
      </c>
      <c r="R525" s="44" t="s">
        <v>49</v>
      </c>
      <c r="S525" s="101">
        <v>180</v>
      </c>
      <c r="T525" s="46" t="s">
        <v>5010</v>
      </c>
      <c r="U525" s="46" t="s">
        <v>4407</v>
      </c>
      <c r="V525" s="46" t="s">
        <v>4408</v>
      </c>
      <c r="W525" s="46" t="s">
        <v>335</v>
      </c>
      <c r="X525" s="47" t="s">
        <v>9305</v>
      </c>
      <c r="Y525" s="46" t="s">
        <v>5045</v>
      </c>
      <c r="Z525" s="46" t="s">
        <v>5046</v>
      </c>
      <c r="AA525" s="46" t="s">
        <v>5013</v>
      </c>
      <c r="AB525" s="47" t="s">
        <v>9305</v>
      </c>
      <c r="AC525" s="48" t="s">
        <v>5047</v>
      </c>
      <c r="AD525" s="30"/>
      <c r="AE525" s="197"/>
      <c r="AF525" s="47"/>
    </row>
    <row r="526" spans="1:32" s="29" customFormat="1" ht="69.95" hidden="1" customHeight="1">
      <c r="A526" s="29" t="s">
        <v>4412</v>
      </c>
      <c r="B526" s="29" t="s">
        <v>3769</v>
      </c>
      <c r="C526" s="40">
        <v>11</v>
      </c>
      <c r="D526" s="40"/>
      <c r="E526" s="57" t="s">
        <v>8595</v>
      </c>
      <c r="F526" s="57" t="s">
        <v>8595</v>
      </c>
      <c r="G526" s="29" t="s">
        <v>1358</v>
      </c>
      <c r="J526" s="29">
        <f t="shared" si="33"/>
        <v>1</v>
      </c>
      <c r="K526" s="42">
        <v>519</v>
      </c>
      <c r="L526" s="43" t="s">
        <v>1359</v>
      </c>
      <c r="M526" s="44" t="s">
        <v>405</v>
      </c>
      <c r="N526" s="44" t="s">
        <v>426</v>
      </c>
      <c r="O526" s="44" t="str">
        <f t="shared" si="32"/>
        <v>PE-L1-3C4-26</v>
      </c>
      <c r="P526" s="45">
        <v>0.11</v>
      </c>
      <c r="Q526" s="44">
        <v>230</v>
      </c>
      <c r="R526" s="44" t="s">
        <v>49</v>
      </c>
      <c r="S526" s="44">
        <v>140</v>
      </c>
      <c r="T526" s="46" t="s">
        <v>5010</v>
      </c>
      <c r="U526" s="46" t="s">
        <v>4412</v>
      </c>
      <c r="V526" s="46" t="s">
        <v>4413</v>
      </c>
      <c r="W526" s="46" t="s">
        <v>335</v>
      </c>
      <c r="X526" s="172" t="s">
        <v>9167</v>
      </c>
      <c r="Y526" s="46" t="s">
        <v>5048</v>
      </c>
      <c r="Z526" s="46" t="s">
        <v>5049</v>
      </c>
      <c r="AA526" s="46" t="s">
        <v>5013</v>
      </c>
      <c r="AB526" s="172" t="s">
        <v>9167</v>
      </c>
      <c r="AC526" s="48" t="s">
        <v>5050</v>
      </c>
      <c r="AD526" s="30"/>
      <c r="AE526" s="197"/>
      <c r="AF526" s="47"/>
    </row>
    <row r="527" spans="1:32" s="29" customFormat="1" ht="69.95" hidden="1" customHeight="1">
      <c r="A527" s="29" t="s">
        <v>4407</v>
      </c>
      <c r="B527" s="29" t="s">
        <v>3769</v>
      </c>
      <c r="C527" s="40">
        <v>14</v>
      </c>
      <c r="D527" s="40"/>
      <c r="E527" s="57" t="s">
        <v>8595</v>
      </c>
      <c r="F527" s="57" t="s">
        <v>8595</v>
      </c>
      <c r="G527" s="29" t="s">
        <v>1360</v>
      </c>
      <c r="J527" s="29">
        <f t="shared" si="33"/>
        <v>1</v>
      </c>
      <c r="K527" s="42">
        <v>520</v>
      </c>
      <c r="L527" s="43" t="s">
        <v>1361</v>
      </c>
      <c r="M527" s="44" t="s">
        <v>405</v>
      </c>
      <c r="N527" s="44" t="s">
        <v>426</v>
      </c>
      <c r="O527" s="44" t="str">
        <f t="shared" si="32"/>
        <v>PE-L1-3C4-26</v>
      </c>
      <c r="P527" s="45">
        <v>0.11</v>
      </c>
      <c r="Q527" s="44">
        <v>230</v>
      </c>
      <c r="R527" s="44" t="s">
        <v>49</v>
      </c>
      <c r="S527" s="44">
        <v>140</v>
      </c>
      <c r="T527" s="46" t="s">
        <v>5010</v>
      </c>
      <c r="U527" s="46" t="s">
        <v>4407</v>
      </c>
      <c r="V527" s="46" t="s">
        <v>4408</v>
      </c>
      <c r="W527" s="46" t="s">
        <v>335</v>
      </c>
      <c r="X527" s="172" t="s">
        <v>9167</v>
      </c>
      <c r="Y527" s="46" t="s">
        <v>5051</v>
      </c>
      <c r="Z527" s="46" t="s">
        <v>5052</v>
      </c>
      <c r="AA527" s="46" t="s">
        <v>5013</v>
      </c>
      <c r="AB527" s="172" t="s">
        <v>9167</v>
      </c>
      <c r="AC527" s="48" t="s">
        <v>5053</v>
      </c>
      <c r="AD527" s="30"/>
      <c r="AE527" s="197"/>
      <c r="AF527" s="47"/>
    </row>
    <row r="528" spans="1:32" s="29" customFormat="1" ht="69.95" hidden="1" customHeight="1">
      <c r="A528" s="29" t="s">
        <v>4412</v>
      </c>
      <c r="B528" s="29" t="s">
        <v>3769</v>
      </c>
      <c r="C528" s="40">
        <v>12</v>
      </c>
      <c r="D528" s="40"/>
      <c r="E528" s="57" t="s">
        <v>286</v>
      </c>
      <c r="F528" s="57" t="s">
        <v>286</v>
      </c>
      <c r="G528" s="29" t="s">
        <v>1362</v>
      </c>
      <c r="J528" s="29">
        <f t="shared" si="33"/>
        <v>1</v>
      </c>
      <c r="K528" s="42">
        <v>521</v>
      </c>
      <c r="L528" s="43" t="s">
        <v>1363</v>
      </c>
      <c r="M528" s="44" t="s">
        <v>405</v>
      </c>
      <c r="N528" s="44" t="s">
        <v>8596</v>
      </c>
      <c r="O528" s="44" t="str">
        <f t="shared" si="32"/>
        <v>PE-L1-3C4-25</v>
      </c>
      <c r="P528" s="45">
        <v>0.11</v>
      </c>
      <c r="Q528" s="44">
        <v>230</v>
      </c>
      <c r="R528" s="44" t="s">
        <v>49</v>
      </c>
      <c r="S528" s="44">
        <v>130</v>
      </c>
      <c r="T528" s="46" t="s">
        <v>5010</v>
      </c>
      <c r="U528" s="46" t="s">
        <v>4412</v>
      </c>
      <c r="V528" s="46" t="s">
        <v>4413</v>
      </c>
      <c r="W528" s="46" t="s">
        <v>335</v>
      </c>
      <c r="X528" s="172" t="s">
        <v>9167</v>
      </c>
      <c r="Y528" s="46" t="s">
        <v>5054</v>
      </c>
      <c r="Z528" s="46" t="s">
        <v>5055</v>
      </c>
      <c r="AA528" s="46" t="s">
        <v>5013</v>
      </c>
      <c r="AB528" s="172" t="s">
        <v>9167</v>
      </c>
      <c r="AC528" s="48" t="s">
        <v>5056</v>
      </c>
      <c r="AD528" s="30"/>
      <c r="AE528" s="197"/>
      <c r="AF528" s="47"/>
    </row>
    <row r="529" spans="1:32" s="29" customFormat="1" ht="69.95" hidden="1" customHeight="1">
      <c r="A529" s="29" t="s">
        <v>4407</v>
      </c>
      <c r="B529" s="29" t="s">
        <v>3769</v>
      </c>
      <c r="C529" s="40">
        <v>15</v>
      </c>
      <c r="D529" s="40"/>
      <c r="E529" s="57" t="s">
        <v>286</v>
      </c>
      <c r="F529" s="57" t="s">
        <v>286</v>
      </c>
      <c r="G529" s="29" t="s">
        <v>1364</v>
      </c>
      <c r="J529" s="29">
        <f t="shared" si="33"/>
        <v>1</v>
      </c>
      <c r="K529" s="42">
        <v>522</v>
      </c>
      <c r="L529" s="43" t="s">
        <v>1365</v>
      </c>
      <c r="M529" s="44" t="s">
        <v>405</v>
      </c>
      <c r="N529" s="44" t="s">
        <v>426</v>
      </c>
      <c r="O529" s="44" t="str">
        <f t="shared" si="32"/>
        <v>PE-L1-3C4-25</v>
      </c>
      <c r="P529" s="45">
        <v>0.11</v>
      </c>
      <c r="Q529" s="44">
        <v>230</v>
      </c>
      <c r="R529" s="44" t="s">
        <v>49</v>
      </c>
      <c r="S529" s="44">
        <v>140</v>
      </c>
      <c r="T529" s="46" t="s">
        <v>5010</v>
      </c>
      <c r="U529" s="46" t="s">
        <v>4407</v>
      </c>
      <c r="V529" s="46" t="s">
        <v>4408</v>
      </c>
      <c r="W529" s="46" t="s">
        <v>335</v>
      </c>
      <c r="X529" s="172" t="s">
        <v>9167</v>
      </c>
      <c r="Y529" s="46" t="s">
        <v>5057</v>
      </c>
      <c r="Z529" s="46" t="s">
        <v>5058</v>
      </c>
      <c r="AA529" s="46" t="s">
        <v>5013</v>
      </c>
      <c r="AB529" s="172" t="s">
        <v>9167</v>
      </c>
      <c r="AC529" s="48" t="s">
        <v>5059</v>
      </c>
      <c r="AD529" s="30"/>
      <c r="AE529" s="197"/>
      <c r="AF529" s="47"/>
    </row>
    <row r="530" spans="1:32" s="29" customFormat="1" ht="69.95" hidden="1" customHeight="1">
      <c r="A530" s="29" t="s">
        <v>4412</v>
      </c>
      <c r="B530" s="29" t="s">
        <v>3769</v>
      </c>
      <c r="C530" s="40">
        <v>13</v>
      </c>
      <c r="D530" s="40"/>
      <c r="E530" s="57" t="s">
        <v>8595</v>
      </c>
      <c r="F530" s="57" t="s">
        <v>8595</v>
      </c>
      <c r="G530" s="29" t="s">
        <v>1366</v>
      </c>
      <c r="J530" s="29">
        <f t="shared" si="33"/>
        <v>1</v>
      </c>
      <c r="K530" s="42">
        <v>523</v>
      </c>
      <c r="L530" s="43" t="s">
        <v>1367</v>
      </c>
      <c r="M530" s="44" t="s">
        <v>405</v>
      </c>
      <c r="N530" s="44" t="s">
        <v>426</v>
      </c>
      <c r="O530" s="44" t="str">
        <f t="shared" si="32"/>
        <v>PE-L1-3C4-26</v>
      </c>
      <c r="P530" s="45">
        <v>0.11</v>
      </c>
      <c r="Q530" s="44">
        <v>230</v>
      </c>
      <c r="R530" s="44" t="s">
        <v>49</v>
      </c>
      <c r="S530" s="44">
        <v>140</v>
      </c>
      <c r="T530" s="46" t="s">
        <v>5010</v>
      </c>
      <c r="U530" s="46" t="s">
        <v>4412</v>
      </c>
      <c r="V530" s="46" t="s">
        <v>4413</v>
      </c>
      <c r="W530" s="46" t="s">
        <v>335</v>
      </c>
      <c r="X530" s="172" t="s">
        <v>9167</v>
      </c>
      <c r="Y530" s="46" t="s">
        <v>5060</v>
      </c>
      <c r="Z530" s="46" t="s">
        <v>5061</v>
      </c>
      <c r="AA530" s="46" t="s">
        <v>5013</v>
      </c>
      <c r="AB530" s="172" t="s">
        <v>9167</v>
      </c>
      <c r="AC530" s="48" t="s">
        <v>5062</v>
      </c>
      <c r="AD530" s="30"/>
      <c r="AE530" s="197"/>
      <c r="AF530" s="47"/>
    </row>
    <row r="531" spans="1:32" s="29" customFormat="1" ht="69.95" hidden="1" customHeight="1">
      <c r="A531" s="29" t="s">
        <v>4407</v>
      </c>
      <c r="B531" s="29" t="s">
        <v>3769</v>
      </c>
      <c r="C531" s="40">
        <v>16</v>
      </c>
      <c r="D531" s="40"/>
      <c r="E531" s="57" t="s">
        <v>8595</v>
      </c>
      <c r="F531" s="57" t="s">
        <v>8595</v>
      </c>
      <c r="G531" s="29" t="s">
        <v>1368</v>
      </c>
      <c r="J531" s="29">
        <f t="shared" si="33"/>
        <v>1</v>
      </c>
      <c r="K531" s="42">
        <v>524</v>
      </c>
      <c r="L531" s="43" t="s">
        <v>1369</v>
      </c>
      <c r="M531" s="44" t="s">
        <v>405</v>
      </c>
      <c r="N531" s="44" t="s">
        <v>426</v>
      </c>
      <c r="O531" s="44" t="str">
        <f t="shared" si="32"/>
        <v>PE-L1-3C4-26</v>
      </c>
      <c r="P531" s="45">
        <v>0.11</v>
      </c>
      <c r="Q531" s="44">
        <v>230</v>
      </c>
      <c r="R531" s="44" t="s">
        <v>49</v>
      </c>
      <c r="S531" s="44">
        <v>150</v>
      </c>
      <c r="T531" s="46" t="s">
        <v>5010</v>
      </c>
      <c r="U531" s="46" t="s">
        <v>4407</v>
      </c>
      <c r="V531" s="46" t="s">
        <v>4408</v>
      </c>
      <c r="W531" s="46" t="s">
        <v>335</v>
      </c>
      <c r="X531" s="172" t="s">
        <v>9167</v>
      </c>
      <c r="Y531" s="46" t="s">
        <v>5063</v>
      </c>
      <c r="Z531" s="46" t="s">
        <v>5064</v>
      </c>
      <c r="AA531" s="46" t="s">
        <v>5013</v>
      </c>
      <c r="AB531" s="172" t="s">
        <v>9167</v>
      </c>
      <c r="AC531" s="48" t="s">
        <v>5065</v>
      </c>
      <c r="AD531" s="30"/>
      <c r="AE531" s="197"/>
      <c r="AF531" s="47"/>
    </row>
    <row r="532" spans="1:32" s="29" customFormat="1" ht="69.95" hidden="1" customHeight="1">
      <c r="A532" s="29" t="s">
        <v>4412</v>
      </c>
      <c r="B532" s="29" t="s">
        <v>3769</v>
      </c>
      <c r="C532" s="40">
        <v>14</v>
      </c>
      <c r="D532" s="40"/>
      <c r="E532" s="57" t="s">
        <v>8595</v>
      </c>
      <c r="F532" s="57" t="s">
        <v>8595</v>
      </c>
      <c r="G532" s="29" t="s">
        <v>1370</v>
      </c>
      <c r="J532" s="29">
        <f t="shared" si="33"/>
        <v>1</v>
      </c>
      <c r="K532" s="42">
        <v>525</v>
      </c>
      <c r="L532" s="43" t="s">
        <v>1371</v>
      </c>
      <c r="M532" s="44" t="s">
        <v>405</v>
      </c>
      <c r="N532" s="44" t="s">
        <v>426</v>
      </c>
      <c r="O532" s="44" t="str">
        <f t="shared" si="32"/>
        <v>PE-L1-3C4-26</v>
      </c>
      <c r="P532" s="45">
        <v>0.11</v>
      </c>
      <c r="Q532" s="44">
        <v>230</v>
      </c>
      <c r="R532" s="44" t="s">
        <v>49</v>
      </c>
      <c r="S532" s="44">
        <v>150</v>
      </c>
      <c r="T532" s="46" t="s">
        <v>5010</v>
      </c>
      <c r="U532" s="46" t="s">
        <v>4412</v>
      </c>
      <c r="V532" s="46" t="s">
        <v>4413</v>
      </c>
      <c r="W532" s="46" t="s">
        <v>335</v>
      </c>
      <c r="X532" s="172" t="s">
        <v>9167</v>
      </c>
      <c r="Y532" s="46" t="s">
        <v>5066</v>
      </c>
      <c r="Z532" s="46" t="s">
        <v>5067</v>
      </c>
      <c r="AA532" s="46" t="s">
        <v>5013</v>
      </c>
      <c r="AB532" s="172" t="s">
        <v>9167</v>
      </c>
      <c r="AC532" s="48" t="s">
        <v>5068</v>
      </c>
      <c r="AD532" s="30"/>
      <c r="AE532" s="197"/>
      <c r="AF532" s="47"/>
    </row>
    <row r="533" spans="1:32" s="29" customFormat="1" ht="69.95" hidden="1" customHeight="1">
      <c r="A533" s="29" t="s">
        <v>4407</v>
      </c>
      <c r="B533" s="29" t="s">
        <v>3769</v>
      </c>
      <c r="C533" s="40">
        <v>17</v>
      </c>
      <c r="D533" s="40"/>
      <c r="E533" s="57" t="s">
        <v>8595</v>
      </c>
      <c r="F533" s="57" t="s">
        <v>8595</v>
      </c>
      <c r="G533" s="29" t="s">
        <v>1372</v>
      </c>
      <c r="J533" s="29">
        <f t="shared" si="33"/>
        <v>1</v>
      </c>
      <c r="K533" s="42">
        <v>526</v>
      </c>
      <c r="L533" s="43" t="s">
        <v>1373</v>
      </c>
      <c r="M533" s="44" t="s">
        <v>405</v>
      </c>
      <c r="N533" s="44" t="s">
        <v>426</v>
      </c>
      <c r="O533" s="44" t="str">
        <f t="shared" si="32"/>
        <v>PE-L1-3C4-26</v>
      </c>
      <c r="P533" s="45">
        <v>0.11</v>
      </c>
      <c r="Q533" s="44">
        <v>230</v>
      </c>
      <c r="R533" s="44" t="s">
        <v>49</v>
      </c>
      <c r="S533" s="44">
        <v>150</v>
      </c>
      <c r="T533" s="46" t="s">
        <v>5010</v>
      </c>
      <c r="U533" s="46" t="s">
        <v>4407</v>
      </c>
      <c r="V533" s="46" t="s">
        <v>4408</v>
      </c>
      <c r="W533" s="46" t="s">
        <v>335</v>
      </c>
      <c r="X533" s="172" t="s">
        <v>9167</v>
      </c>
      <c r="Y533" s="46" t="s">
        <v>5069</v>
      </c>
      <c r="Z533" s="46" t="s">
        <v>5070</v>
      </c>
      <c r="AA533" s="46" t="s">
        <v>5013</v>
      </c>
      <c r="AB533" s="172" t="s">
        <v>9167</v>
      </c>
      <c r="AC533" s="48" t="s">
        <v>5071</v>
      </c>
      <c r="AD533" s="30"/>
      <c r="AE533" s="197"/>
      <c r="AF533" s="47"/>
    </row>
    <row r="534" spans="1:32" s="29" customFormat="1" ht="69.95" hidden="1" customHeight="1">
      <c r="A534" s="29" t="s">
        <v>4412</v>
      </c>
      <c r="B534" s="29" t="s">
        <v>3769</v>
      </c>
      <c r="C534" s="40">
        <v>15</v>
      </c>
      <c r="D534" s="40"/>
      <c r="E534" s="57" t="s">
        <v>8595</v>
      </c>
      <c r="F534" s="57" t="s">
        <v>8595</v>
      </c>
      <c r="G534" s="29" t="s">
        <v>1374</v>
      </c>
      <c r="J534" s="29">
        <f t="shared" si="33"/>
        <v>1</v>
      </c>
      <c r="K534" s="42">
        <v>527</v>
      </c>
      <c r="L534" s="43" t="s">
        <v>1375</v>
      </c>
      <c r="M534" s="44" t="s">
        <v>405</v>
      </c>
      <c r="N534" s="44" t="s">
        <v>426</v>
      </c>
      <c r="O534" s="44" t="str">
        <f t="shared" si="32"/>
        <v>PE-L1-3C4-26</v>
      </c>
      <c r="P534" s="45">
        <v>0.11</v>
      </c>
      <c r="Q534" s="44">
        <v>230</v>
      </c>
      <c r="R534" s="44" t="s">
        <v>49</v>
      </c>
      <c r="S534" s="44">
        <v>160</v>
      </c>
      <c r="T534" s="46" t="s">
        <v>5010</v>
      </c>
      <c r="U534" s="46" t="s">
        <v>4412</v>
      </c>
      <c r="V534" s="46" t="s">
        <v>4413</v>
      </c>
      <c r="W534" s="46" t="s">
        <v>335</v>
      </c>
      <c r="X534" s="172" t="s">
        <v>9167</v>
      </c>
      <c r="Y534" s="46" t="s">
        <v>5072</v>
      </c>
      <c r="Z534" s="46" t="s">
        <v>5073</v>
      </c>
      <c r="AA534" s="46" t="s">
        <v>5013</v>
      </c>
      <c r="AB534" s="172" t="s">
        <v>9167</v>
      </c>
      <c r="AC534" s="48" t="s">
        <v>5074</v>
      </c>
      <c r="AD534" s="30"/>
      <c r="AE534" s="197"/>
      <c r="AF534" s="47"/>
    </row>
    <row r="535" spans="1:32" s="29" customFormat="1" ht="69.95" hidden="1" customHeight="1">
      <c r="A535" s="29" t="s">
        <v>4407</v>
      </c>
      <c r="B535" s="29" t="s">
        <v>3769</v>
      </c>
      <c r="C535" s="40">
        <v>18</v>
      </c>
      <c r="D535" s="40"/>
      <c r="E535" s="57" t="s">
        <v>8595</v>
      </c>
      <c r="F535" s="57" t="s">
        <v>8595</v>
      </c>
      <c r="G535" s="29" t="s">
        <v>1376</v>
      </c>
      <c r="J535" s="29">
        <f t="shared" si="33"/>
        <v>1</v>
      </c>
      <c r="K535" s="42">
        <v>528</v>
      </c>
      <c r="L535" s="43" t="s">
        <v>1377</v>
      </c>
      <c r="M535" s="44" t="s">
        <v>405</v>
      </c>
      <c r="N535" s="44" t="s">
        <v>426</v>
      </c>
      <c r="O535" s="44" t="str">
        <f t="shared" si="32"/>
        <v>PE-L1-3C4-26</v>
      </c>
      <c r="P535" s="45">
        <v>0.11</v>
      </c>
      <c r="Q535" s="44">
        <v>230</v>
      </c>
      <c r="R535" s="44" t="s">
        <v>49</v>
      </c>
      <c r="S535" s="44">
        <v>160</v>
      </c>
      <c r="T535" s="46" t="s">
        <v>5010</v>
      </c>
      <c r="U535" s="46" t="s">
        <v>4407</v>
      </c>
      <c r="V535" s="46" t="s">
        <v>4408</v>
      </c>
      <c r="W535" s="46" t="s">
        <v>335</v>
      </c>
      <c r="X535" s="172" t="s">
        <v>9167</v>
      </c>
      <c r="Y535" s="46" t="s">
        <v>5075</v>
      </c>
      <c r="Z535" s="46" t="s">
        <v>5076</v>
      </c>
      <c r="AA535" s="46" t="s">
        <v>5013</v>
      </c>
      <c r="AB535" s="172" t="s">
        <v>9167</v>
      </c>
      <c r="AC535" s="48" t="s">
        <v>5077</v>
      </c>
      <c r="AD535" s="30"/>
      <c r="AE535" s="197"/>
      <c r="AF535" s="47"/>
    </row>
    <row r="536" spans="1:32" s="29" customFormat="1" ht="69.95" hidden="1" customHeight="1">
      <c r="A536" s="29" t="s">
        <v>4412</v>
      </c>
      <c r="B536" s="29" t="s">
        <v>3769</v>
      </c>
      <c r="C536" s="40">
        <v>16</v>
      </c>
      <c r="D536" s="40"/>
      <c r="E536" s="57" t="s">
        <v>8595</v>
      </c>
      <c r="F536" s="57" t="s">
        <v>8595</v>
      </c>
      <c r="G536" s="29" t="s">
        <v>1378</v>
      </c>
      <c r="H536" s="124" t="s">
        <v>9509</v>
      </c>
      <c r="I536" s="124" t="s">
        <v>9121</v>
      </c>
      <c r="J536" s="29">
        <f t="shared" si="33"/>
        <v>1</v>
      </c>
      <c r="K536" s="42">
        <v>529</v>
      </c>
      <c r="L536" s="152" t="s">
        <v>1379</v>
      </c>
      <c r="M536" s="44" t="s">
        <v>405</v>
      </c>
      <c r="N536" s="44" t="s">
        <v>426</v>
      </c>
      <c r="O536" s="101" t="str">
        <f t="shared" si="32"/>
        <v>PE-L1-3C4-26</v>
      </c>
      <c r="P536" s="45">
        <v>0.11</v>
      </c>
      <c r="Q536" s="44">
        <v>230</v>
      </c>
      <c r="R536" s="44" t="s">
        <v>49</v>
      </c>
      <c r="S536" s="101">
        <v>170</v>
      </c>
      <c r="T536" s="46" t="s">
        <v>5010</v>
      </c>
      <c r="U536" s="46" t="s">
        <v>4412</v>
      </c>
      <c r="V536" s="46" t="s">
        <v>4413</v>
      </c>
      <c r="W536" s="46" t="s">
        <v>335</v>
      </c>
      <c r="X536" s="172" t="s">
        <v>9167</v>
      </c>
      <c r="Y536" s="46" t="s">
        <v>5078</v>
      </c>
      <c r="Z536" s="46" t="s">
        <v>5079</v>
      </c>
      <c r="AA536" s="46" t="s">
        <v>5013</v>
      </c>
      <c r="AB536" s="172" t="s">
        <v>9167</v>
      </c>
      <c r="AC536" s="48" t="s">
        <v>5080</v>
      </c>
      <c r="AD536" s="30"/>
      <c r="AE536" s="197"/>
      <c r="AF536" s="47"/>
    </row>
    <row r="537" spans="1:32" s="29" customFormat="1" ht="69.95" hidden="1" customHeight="1">
      <c r="A537" s="29" t="s">
        <v>4407</v>
      </c>
      <c r="B537" s="29" t="s">
        <v>3769</v>
      </c>
      <c r="C537" s="40">
        <v>19</v>
      </c>
      <c r="D537" s="40"/>
      <c r="E537" s="57" t="s">
        <v>8595</v>
      </c>
      <c r="F537" s="57" t="s">
        <v>8595</v>
      </c>
      <c r="G537" s="29" t="s">
        <v>1380</v>
      </c>
      <c r="H537" s="124" t="s">
        <v>9509</v>
      </c>
      <c r="I537" s="124" t="s">
        <v>9121</v>
      </c>
      <c r="J537" s="29">
        <f t="shared" si="33"/>
        <v>1</v>
      </c>
      <c r="K537" s="42">
        <v>530</v>
      </c>
      <c r="L537" s="152" t="s">
        <v>1381</v>
      </c>
      <c r="M537" s="44" t="s">
        <v>405</v>
      </c>
      <c r="N537" s="44" t="s">
        <v>426</v>
      </c>
      <c r="O537" s="101" t="str">
        <f t="shared" si="32"/>
        <v>PE-L1-3C4-26</v>
      </c>
      <c r="P537" s="45">
        <v>0.11</v>
      </c>
      <c r="Q537" s="44">
        <v>230</v>
      </c>
      <c r="R537" s="44" t="s">
        <v>49</v>
      </c>
      <c r="S537" s="101">
        <v>170</v>
      </c>
      <c r="T537" s="46" t="s">
        <v>5010</v>
      </c>
      <c r="U537" s="46" t="s">
        <v>4407</v>
      </c>
      <c r="V537" s="46" t="s">
        <v>4408</v>
      </c>
      <c r="W537" s="46" t="s">
        <v>335</v>
      </c>
      <c r="X537" s="172" t="s">
        <v>9167</v>
      </c>
      <c r="Y537" s="46" t="s">
        <v>5081</v>
      </c>
      <c r="Z537" s="46" t="s">
        <v>5082</v>
      </c>
      <c r="AA537" s="46" t="s">
        <v>5013</v>
      </c>
      <c r="AB537" s="172" t="s">
        <v>9167</v>
      </c>
      <c r="AC537" s="48" t="s">
        <v>5083</v>
      </c>
      <c r="AD537" s="30"/>
      <c r="AE537" s="197"/>
      <c r="AF537" s="47"/>
    </row>
    <row r="538" spans="1:32" s="29" customFormat="1" ht="69.95" hidden="1" customHeight="1">
      <c r="A538" s="29" t="s">
        <v>4412</v>
      </c>
      <c r="B538" s="29" t="s">
        <v>3769</v>
      </c>
      <c r="C538" s="40">
        <v>17</v>
      </c>
      <c r="D538" s="40"/>
      <c r="E538" s="57" t="s">
        <v>154</v>
      </c>
      <c r="F538" s="57" t="s">
        <v>154</v>
      </c>
      <c r="G538" s="29" t="s">
        <v>1382</v>
      </c>
      <c r="H538" s="124" t="s">
        <v>9445</v>
      </c>
      <c r="I538" s="124" t="s">
        <v>9121</v>
      </c>
      <c r="J538" s="29">
        <f t="shared" si="33"/>
        <v>1</v>
      </c>
      <c r="K538" s="42">
        <v>531</v>
      </c>
      <c r="L538" s="152" t="s">
        <v>1383</v>
      </c>
      <c r="M538" s="44" t="s">
        <v>405</v>
      </c>
      <c r="N538" s="44" t="s">
        <v>832</v>
      </c>
      <c r="O538" s="101" t="str">
        <f t="shared" si="32"/>
        <v>PE-L1-4C25/16-03</v>
      </c>
      <c r="P538" s="45">
        <v>18.5</v>
      </c>
      <c r="Q538" s="44">
        <v>400</v>
      </c>
      <c r="R538" s="44" t="s">
        <v>49</v>
      </c>
      <c r="S538" s="101">
        <v>190</v>
      </c>
      <c r="T538" s="46" t="s">
        <v>5010</v>
      </c>
      <c r="U538" s="46" t="s">
        <v>4412</v>
      </c>
      <c r="V538" s="46" t="s">
        <v>4413</v>
      </c>
      <c r="W538" s="46" t="s">
        <v>335</v>
      </c>
      <c r="X538" s="47" t="s">
        <v>9305</v>
      </c>
      <c r="Y538" s="46" t="s">
        <v>5084</v>
      </c>
      <c r="Z538" s="46" t="s">
        <v>5085</v>
      </c>
      <c r="AA538" s="46" t="s">
        <v>5013</v>
      </c>
      <c r="AB538" s="47" t="s">
        <v>9305</v>
      </c>
      <c r="AC538" s="48" t="s">
        <v>5086</v>
      </c>
      <c r="AD538" s="30"/>
      <c r="AE538" s="197"/>
      <c r="AF538" s="47"/>
    </row>
    <row r="539" spans="1:32" s="29" customFormat="1" ht="69.95" hidden="1" customHeight="1">
      <c r="A539" s="29" t="s">
        <v>4407</v>
      </c>
      <c r="B539" s="29" t="s">
        <v>3769</v>
      </c>
      <c r="C539" s="40">
        <v>20</v>
      </c>
      <c r="D539" s="40"/>
      <c r="E539" s="57" t="s">
        <v>154</v>
      </c>
      <c r="F539" s="57" t="s">
        <v>154</v>
      </c>
      <c r="G539" s="29" t="s">
        <v>1384</v>
      </c>
      <c r="H539" s="124" t="s">
        <v>9445</v>
      </c>
      <c r="I539" s="124" t="s">
        <v>9121</v>
      </c>
      <c r="J539" s="29">
        <f t="shared" si="33"/>
        <v>1</v>
      </c>
      <c r="K539" s="42">
        <v>532</v>
      </c>
      <c r="L539" s="152" t="s">
        <v>1385</v>
      </c>
      <c r="M539" s="44" t="s">
        <v>405</v>
      </c>
      <c r="N539" s="44" t="s">
        <v>832</v>
      </c>
      <c r="O539" s="101" t="str">
        <f t="shared" si="32"/>
        <v>PE-L1-4C25/16-03</v>
      </c>
      <c r="P539" s="45">
        <v>18.5</v>
      </c>
      <c r="Q539" s="44">
        <v>400</v>
      </c>
      <c r="R539" s="44" t="s">
        <v>49</v>
      </c>
      <c r="S539" s="101">
        <v>190</v>
      </c>
      <c r="T539" s="46" t="s">
        <v>5010</v>
      </c>
      <c r="U539" s="46" t="s">
        <v>4407</v>
      </c>
      <c r="V539" s="46" t="s">
        <v>4408</v>
      </c>
      <c r="W539" s="46" t="s">
        <v>335</v>
      </c>
      <c r="X539" s="47" t="s">
        <v>9305</v>
      </c>
      <c r="Y539" s="46" t="s">
        <v>5087</v>
      </c>
      <c r="Z539" s="46" t="s">
        <v>5088</v>
      </c>
      <c r="AA539" s="46" t="s">
        <v>5013</v>
      </c>
      <c r="AB539" s="47" t="s">
        <v>9305</v>
      </c>
      <c r="AC539" s="48" t="s">
        <v>5089</v>
      </c>
      <c r="AD539" s="30"/>
      <c r="AE539" s="197"/>
      <c r="AF539" s="47"/>
    </row>
    <row r="540" spans="1:32" s="29" customFormat="1" ht="69.95" hidden="1" customHeight="1">
      <c r="A540" s="29" t="s">
        <v>4407</v>
      </c>
      <c r="B540" s="29" t="s">
        <v>3769</v>
      </c>
      <c r="C540" s="40">
        <v>21</v>
      </c>
      <c r="D540" s="40"/>
      <c r="E540" s="56" t="s">
        <v>124</v>
      </c>
      <c r="F540" s="56" t="s">
        <v>124</v>
      </c>
      <c r="G540" s="29" t="s">
        <v>1386</v>
      </c>
      <c r="J540" s="29">
        <f t="shared" si="33"/>
        <v>1</v>
      </c>
      <c r="K540" s="42">
        <v>533</v>
      </c>
      <c r="L540" s="43" t="s">
        <v>1387</v>
      </c>
      <c r="M540" s="44" t="s">
        <v>405</v>
      </c>
      <c r="N540" s="44" t="s">
        <v>1101</v>
      </c>
      <c r="O540" s="44" t="str">
        <f t="shared" si="32"/>
        <v>PE-L1-5C50/25-01</v>
      </c>
      <c r="P540" s="45">
        <v>40</v>
      </c>
      <c r="Q540" s="44">
        <v>400</v>
      </c>
      <c r="R540" s="44" t="s">
        <v>49</v>
      </c>
      <c r="S540" s="44">
        <v>120</v>
      </c>
      <c r="T540" s="46" t="s">
        <v>5010</v>
      </c>
      <c r="U540" s="46" t="s">
        <v>4407</v>
      </c>
      <c r="V540" s="46" t="s">
        <v>4408</v>
      </c>
      <c r="W540" s="46" t="s">
        <v>335</v>
      </c>
      <c r="X540" s="47" t="s">
        <v>9310</v>
      </c>
      <c r="Y540" s="46" t="s">
        <v>5090</v>
      </c>
      <c r="Z540" s="46" t="s">
        <v>5091</v>
      </c>
      <c r="AA540" s="46" t="s">
        <v>5013</v>
      </c>
      <c r="AB540" s="47" t="s">
        <v>9310</v>
      </c>
      <c r="AC540" s="48" t="s">
        <v>5092</v>
      </c>
      <c r="AD540" s="30"/>
      <c r="AE540" s="197"/>
      <c r="AF540" s="47"/>
    </row>
    <row r="541" spans="1:32" s="29" customFormat="1" ht="69.95" hidden="1" customHeight="1">
      <c r="A541" s="29" t="s">
        <v>4407</v>
      </c>
      <c r="B541" s="29" t="s">
        <v>3769</v>
      </c>
      <c r="C541" s="40">
        <v>22</v>
      </c>
      <c r="D541" s="40"/>
      <c r="E541" s="57" t="s">
        <v>126</v>
      </c>
      <c r="F541" s="57" t="s">
        <v>126</v>
      </c>
      <c r="G541" s="29" t="s">
        <v>1388</v>
      </c>
      <c r="H541" s="124" t="s">
        <v>9509</v>
      </c>
      <c r="I541" s="124" t="s">
        <v>9121</v>
      </c>
      <c r="J541" s="29">
        <f t="shared" si="33"/>
        <v>1</v>
      </c>
      <c r="K541" s="42">
        <v>534</v>
      </c>
      <c r="L541" s="152" t="s">
        <v>1389</v>
      </c>
      <c r="M541" s="44" t="s">
        <v>405</v>
      </c>
      <c r="N541" s="44" t="s">
        <v>536</v>
      </c>
      <c r="O541" s="101" t="str">
        <f t="shared" si="32"/>
        <v>PE-L1-4C4-04</v>
      </c>
      <c r="P541" s="45">
        <v>0.2</v>
      </c>
      <c r="Q541" s="44">
        <v>400</v>
      </c>
      <c r="R541" s="44" t="s">
        <v>49</v>
      </c>
      <c r="S541" s="101">
        <v>190</v>
      </c>
      <c r="T541" s="46" t="s">
        <v>5010</v>
      </c>
      <c r="U541" s="46" t="s">
        <v>4407</v>
      </c>
      <c r="V541" s="46" t="s">
        <v>4408</v>
      </c>
      <c r="W541" s="46" t="s">
        <v>335</v>
      </c>
      <c r="X541" s="47" t="s">
        <v>9305</v>
      </c>
      <c r="Y541" s="46" t="s">
        <v>5093</v>
      </c>
      <c r="Z541" s="46" t="s">
        <v>5094</v>
      </c>
      <c r="AA541" s="46" t="s">
        <v>5013</v>
      </c>
      <c r="AB541" s="47" t="s">
        <v>9305</v>
      </c>
      <c r="AC541" s="48" t="s">
        <v>5095</v>
      </c>
      <c r="AD541" s="30"/>
      <c r="AE541" s="197"/>
      <c r="AF541" s="47"/>
    </row>
    <row r="542" spans="1:32" s="29" customFormat="1" ht="69.95" hidden="1" customHeight="1">
      <c r="A542" s="29" t="s">
        <v>5096</v>
      </c>
      <c r="B542" s="29" t="s">
        <v>3769</v>
      </c>
      <c r="C542" s="40">
        <v>17</v>
      </c>
      <c r="D542" s="40"/>
      <c r="E542" s="56" t="s">
        <v>70</v>
      </c>
      <c r="F542" s="56" t="s">
        <v>70</v>
      </c>
      <c r="G542" s="29" t="s">
        <v>1390</v>
      </c>
      <c r="H542" s="124" t="s">
        <v>9509</v>
      </c>
      <c r="I542" s="124" t="s">
        <v>9121</v>
      </c>
      <c r="J542" s="29">
        <f t="shared" si="33"/>
        <v>1</v>
      </c>
      <c r="K542" s="42">
        <v>535</v>
      </c>
      <c r="L542" s="152" t="s">
        <v>1391</v>
      </c>
      <c r="M542" s="44" t="s">
        <v>405</v>
      </c>
      <c r="N542" s="44" t="s">
        <v>549</v>
      </c>
      <c r="O542" s="101" t="str">
        <f t="shared" si="32"/>
        <v>PE-L1-3C10-01</v>
      </c>
      <c r="P542" s="45">
        <v>1.1100000000000001</v>
      </c>
      <c r="Q542" s="44">
        <v>230</v>
      </c>
      <c r="R542" s="44" t="s">
        <v>49</v>
      </c>
      <c r="S542" s="101">
        <v>180</v>
      </c>
      <c r="T542" s="46" t="s">
        <v>5010</v>
      </c>
      <c r="U542" s="46" t="s">
        <v>5096</v>
      </c>
      <c r="V542" s="46" t="s">
        <v>5097</v>
      </c>
      <c r="W542" s="46" t="s">
        <v>335</v>
      </c>
      <c r="X542" s="172" t="s">
        <v>9167</v>
      </c>
      <c r="Y542" s="46" t="s">
        <v>5098</v>
      </c>
      <c r="Z542" s="46" t="s">
        <v>8588</v>
      </c>
      <c r="AA542" s="46" t="s">
        <v>5013</v>
      </c>
      <c r="AB542" s="172" t="s">
        <v>9167</v>
      </c>
      <c r="AC542" s="48" t="s">
        <v>5100</v>
      </c>
      <c r="AD542" s="165"/>
      <c r="AE542" s="197"/>
      <c r="AF542" s="47"/>
    </row>
    <row r="543" spans="1:32" s="29" customFormat="1" ht="69.95" hidden="1" customHeight="1">
      <c r="A543" s="29" t="s">
        <v>4480</v>
      </c>
      <c r="B543" s="29" t="s">
        <v>3769</v>
      </c>
      <c r="C543" s="40" t="s">
        <v>42</v>
      </c>
      <c r="D543" s="40"/>
      <c r="E543" s="57" t="s">
        <v>8604</v>
      </c>
      <c r="F543" s="57" t="s">
        <v>8604</v>
      </c>
      <c r="G543" s="29" t="s">
        <v>1392</v>
      </c>
      <c r="J543" s="29">
        <f t="shared" si="33"/>
        <v>1</v>
      </c>
      <c r="K543" s="42">
        <v>536</v>
      </c>
      <c r="L543" s="43" t="s">
        <v>1393</v>
      </c>
      <c r="M543" s="44" t="s">
        <v>405</v>
      </c>
      <c r="N543" s="44" t="s">
        <v>686</v>
      </c>
      <c r="O543" s="44" t="str">
        <f t="shared" si="32"/>
        <v>PE-L1-4C50/25-05</v>
      </c>
      <c r="P543" s="45">
        <v>45</v>
      </c>
      <c r="Q543" s="44">
        <v>400</v>
      </c>
      <c r="R543" s="44" t="s">
        <v>49</v>
      </c>
      <c r="S543" s="44">
        <v>150</v>
      </c>
      <c r="T543" s="46" t="s">
        <v>5010</v>
      </c>
      <c r="U543" s="46" t="s">
        <v>4480</v>
      </c>
      <c r="V543" s="46" t="s">
        <v>4481</v>
      </c>
      <c r="W543" s="46" t="s">
        <v>347</v>
      </c>
      <c r="X543" s="47" t="s">
        <v>9305</v>
      </c>
      <c r="Y543" s="46" t="s">
        <v>5101</v>
      </c>
      <c r="Z543" s="46" t="s">
        <v>8601</v>
      </c>
      <c r="AA543" s="46" t="s">
        <v>5102</v>
      </c>
      <c r="AB543" s="47" t="s">
        <v>9305</v>
      </c>
      <c r="AC543" s="48" t="s">
        <v>5103</v>
      </c>
      <c r="AD543" s="30"/>
      <c r="AE543" s="197"/>
      <c r="AF543" s="47"/>
    </row>
    <row r="544" spans="1:32" s="29" customFormat="1" ht="69.95" hidden="1" customHeight="1">
      <c r="A544" s="29" t="s">
        <v>4474</v>
      </c>
      <c r="B544" s="29" t="s">
        <v>3769</v>
      </c>
      <c r="C544" s="40" t="s">
        <v>43</v>
      </c>
      <c r="D544" s="40"/>
      <c r="E544" s="57" t="s">
        <v>8604</v>
      </c>
      <c r="F544" s="57" t="s">
        <v>8604</v>
      </c>
      <c r="G544" s="29" t="s">
        <v>1394</v>
      </c>
      <c r="J544" s="29">
        <f t="shared" si="33"/>
        <v>1</v>
      </c>
      <c r="K544" s="42">
        <v>537</v>
      </c>
      <c r="L544" s="43" t="s">
        <v>1395</v>
      </c>
      <c r="M544" s="44" t="s">
        <v>405</v>
      </c>
      <c r="N544" s="44" t="s">
        <v>686</v>
      </c>
      <c r="O544" s="44" t="str">
        <f t="shared" si="32"/>
        <v>PE-L1-4C50/25-05</v>
      </c>
      <c r="P544" s="45">
        <v>45</v>
      </c>
      <c r="Q544" s="44">
        <v>400</v>
      </c>
      <c r="R544" s="44" t="s">
        <v>49</v>
      </c>
      <c r="S544" s="44">
        <v>170</v>
      </c>
      <c r="T544" s="46" t="s">
        <v>5010</v>
      </c>
      <c r="U544" s="46" t="s">
        <v>4474</v>
      </c>
      <c r="V544" s="46" t="s">
        <v>4475</v>
      </c>
      <c r="W544" s="46" t="s">
        <v>347</v>
      </c>
      <c r="X544" s="47" t="s">
        <v>9305</v>
      </c>
      <c r="Y544" s="46" t="s">
        <v>5104</v>
      </c>
      <c r="Z544" s="46" t="s">
        <v>5016</v>
      </c>
      <c r="AA544" s="46" t="s">
        <v>5102</v>
      </c>
      <c r="AB544" s="47" t="s">
        <v>9305</v>
      </c>
      <c r="AC544" s="48" t="s">
        <v>5105</v>
      </c>
      <c r="AD544" s="30"/>
      <c r="AE544" s="197"/>
      <c r="AF544" s="47"/>
    </row>
    <row r="545" spans="1:32" s="29" customFormat="1" ht="69.95" hidden="1" customHeight="1">
      <c r="A545" s="29" t="s">
        <v>4480</v>
      </c>
      <c r="B545" s="29" t="s">
        <v>3769</v>
      </c>
      <c r="C545" s="40" t="s">
        <v>43</v>
      </c>
      <c r="D545" s="40"/>
      <c r="E545" s="57" t="s">
        <v>8604</v>
      </c>
      <c r="F545" s="57" t="s">
        <v>8604</v>
      </c>
      <c r="G545" s="29" t="s">
        <v>1396</v>
      </c>
      <c r="J545" s="29">
        <f t="shared" si="33"/>
        <v>1</v>
      </c>
      <c r="K545" s="42">
        <v>538</v>
      </c>
      <c r="L545" s="43" t="s">
        <v>1397</v>
      </c>
      <c r="M545" s="44" t="s">
        <v>405</v>
      </c>
      <c r="N545" s="44" t="s">
        <v>686</v>
      </c>
      <c r="O545" s="44" t="str">
        <f t="shared" si="32"/>
        <v>PE-L1-4C50/25-05</v>
      </c>
      <c r="P545" s="45">
        <v>45</v>
      </c>
      <c r="Q545" s="44">
        <v>400</v>
      </c>
      <c r="R545" s="44" t="s">
        <v>49</v>
      </c>
      <c r="S545" s="44">
        <v>140</v>
      </c>
      <c r="T545" s="46" t="s">
        <v>5010</v>
      </c>
      <c r="U545" s="46" t="s">
        <v>4480</v>
      </c>
      <c r="V545" s="46" t="s">
        <v>4481</v>
      </c>
      <c r="W545" s="46" t="s">
        <v>347</v>
      </c>
      <c r="X545" s="47" t="s">
        <v>9305</v>
      </c>
      <c r="Y545" s="46" t="s">
        <v>5106</v>
      </c>
      <c r="Z545" s="46" t="s">
        <v>5019</v>
      </c>
      <c r="AA545" s="46" t="s">
        <v>5102</v>
      </c>
      <c r="AB545" s="47" t="s">
        <v>9305</v>
      </c>
      <c r="AC545" s="48" t="s">
        <v>5107</v>
      </c>
      <c r="AD545" s="30"/>
      <c r="AE545" s="197"/>
      <c r="AF545" s="47"/>
    </row>
    <row r="546" spans="1:32" s="29" customFormat="1" ht="69.95" hidden="1" customHeight="1">
      <c r="A546" s="29" t="s">
        <v>4474</v>
      </c>
      <c r="B546" s="29" t="s">
        <v>3769</v>
      </c>
      <c r="C546" s="40" t="s">
        <v>73</v>
      </c>
      <c r="D546" s="40"/>
      <c r="E546" s="57" t="s">
        <v>8604</v>
      </c>
      <c r="F546" s="57" t="s">
        <v>8604</v>
      </c>
      <c r="G546" s="29" t="s">
        <v>1398</v>
      </c>
      <c r="J546" s="29">
        <f t="shared" si="33"/>
        <v>1</v>
      </c>
      <c r="K546" s="42">
        <v>539</v>
      </c>
      <c r="L546" s="43" t="s">
        <v>1399</v>
      </c>
      <c r="M546" s="44" t="s">
        <v>405</v>
      </c>
      <c r="N546" s="44" t="s">
        <v>686</v>
      </c>
      <c r="O546" s="44" t="str">
        <f t="shared" si="32"/>
        <v>PE-L1-4C50/25-05</v>
      </c>
      <c r="P546" s="45">
        <v>45</v>
      </c>
      <c r="Q546" s="44">
        <v>400</v>
      </c>
      <c r="R546" s="44" t="s">
        <v>49</v>
      </c>
      <c r="S546" s="44">
        <v>160</v>
      </c>
      <c r="T546" s="46" t="s">
        <v>5010</v>
      </c>
      <c r="U546" s="46" t="s">
        <v>4474</v>
      </c>
      <c r="V546" s="46" t="s">
        <v>4475</v>
      </c>
      <c r="W546" s="46" t="s">
        <v>347</v>
      </c>
      <c r="X546" s="47" t="s">
        <v>9305</v>
      </c>
      <c r="Y546" s="46" t="s">
        <v>5108</v>
      </c>
      <c r="Z546" s="46" t="s">
        <v>5022</v>
      </c>
      <c r="AA546" s="46" t="s">
        <v>5102</v>
      </c>
      <c r="AB546" s="47" t="s">
        <v>9305</v>
      </c>
      <c r="AC546" s="48" t="s">
        <v>5109</v>
      </c>
      <c r="AD546" s="30"/>
      <c r="AE546" s="197"/>
      <c r="AF546" s="47"/>
    </row>
    <row r="547" spans="1:32" s="29" customFormat="1" ht="69.95" hidden="1" customHeight="1">
      <c r="A547" s="29" t="s">
        <v>4480</v>
      </c>
      <c r="B547" s="29" t="s">
        <v>3769</v>
      </c>
      <c r="C547" s="40" t="s">
        <v>73</v>
      </c>
      <c r="D547" s="40"/>
      <c r="E547" s="57" t="s">
        <v>8604</v>
      </c>
      <c r="F547" s="57" t="s">
        <v>8604</v>
      </c>
      <c r="G547" s="29" t="s">
        <v>1400</v>
      </c>
      <c r="J547" s="29">
        <f t="shared" si="33"/>
        <v>1</v>
      </c>
      <c r="K547" s="42">
        <v>540</v>
      </c>
      <c r="L547" s="43" t="s">
        <v>1401</v>
      </c>
      <c r="M547" s="44" t="s">
        <v>405</v>
      </c>
      <c r="N547" s="44" t="s">
        <v>686</v>
      </c>
      <c r="O547" s="44" t="str">
        <f t="shared" si="32"/>
        <v>PE-L1-4C50/25-05</v>
      </c>
      <c r="P547" s="45">
        <v>45</v>
      </c>
      <c r="Q547" s="44">
        <v>400</v>
      </c>
      <c r="R547" s="44" t="s">
        <v>49</v>
      </c>
      <c r="S547" s="44">
        <v>150</v>
      </c>
      <c r="T547" s="46" t="s">
        <v>5010</v>
      </c>
      <c r="U547" s="46" t="s">
        <v>4480</v>
      </c>
      <c r="V547" s="46" t="s">
        <v>4481</v>
      </c>
      <c r="W547" s="46" t="s">
        <v>347</v>
      </c>
      <c r="X547" s="47" t="s">
        <v>9305</v>
      </c>
      <c r="Y547" s="46" t="s">
        <v>5110</v>
      </c>
      <c r="Z547" s="46" t="s">
        <v>5025</v>
      </c>
      <c r="AA547" s="46" t="s">
        <v>5102</v>
      </c>
      <c r="AB547" s="47" t="s">
        <v>9305</v>
      </c>
      <c r="AC547" s="48" t="s">
        <v>5111</v>
      </c>
      <c r="AD547" s="30"/>
      <c r="AE547" s="197"/>
      <c r="AF547" s="47"/>
    </row>
    <row r="548" spans="1:32" s="29" customFormat="1" ht="69.95" hidden="1" customHeight="1">
      <c r="A548" s="29" t="s">
        <v>4474</v>
      </c>
      <c r="B548" s="29" t="s">
        <v>3769</v>
      </c>
      <c r="C548" s="40" t="s">
        <v>75</v>
      </c>
      <c r="D548" s="40"/>
      <c r="E548" s="57" t="s">
        <v>8604</v>
      </c>
      <c r="F548" s="57" t="s">
        <v>8604</v>
      </c>
      <c r="G548" s="29" t="s">
        <v>1402</v>
      </c>
      <c r="J548" s="29">
        <f t="shared" si="33"/>
        <v>1</v>
      </c>
      <c r="K548" s="42">
        <v>541</v>
      </c>
      <c r="L548" s="43" t="s">
        <v>1403</v>
      </c>
      <c r="M548" s="44" t="s">
        <v>405</v>
      </c>
      <c r="N548" s="44" t="s">
        <v>686</v>
      </c>
      <c r="O548" s="44" t="str">
        <f t="shared" si="32"/>
        <v>PE-L1-4C50/25-05</v>
      </c>
      <c r="P548" s="45">
        <v>45</v>
      </c>
      <c r="Q548" s="44">
        <v>400</v>
      </c>
      <c r="R548" s="44" t="s">
        <v>49</v>
      </c>
      <c r="S548" s="44">
        <v>170</v>
      </c>
      <c r="T548" s="46" t="s">
        <v>5010</v>
      </c>
      <c r="U548" s="46" t="s">
        <v>4474</v>
      </c>
      <c r="V548" s="46" t="s">
        <v>4475</v>
      </c>
      <c r="W548" s="46" t="s">
        <v>347</v>
      </c>
      <c r="X548" s="47" t="s">
        <v>9305</v>
      </c>
      <c r="Y548" s="46" t="s">
        <v>5112</v>
      </c>
      <c r="Z548" s="46" t="s">
        <v>5028</v>
      </c>
      <c r="AA548" s="46" t="s">
        <v>5102</v>
      </c>
      <c r="AB548" s="47" t="s">
        <v>9305</v>
      </c>
      <c r="AC548" s="48" t="s">
        <v>5113</v>
      </c>
      <c r="AD548" s="30"/>
      <c r="AE548" s="197"/>
      <c r="AF548" s="47"/>
    </row>
    <row r="549" spans="1:32" s="29" customFormat="1" ht="69.95" hidden="1" customHeight="1">
      <c r="A549" s="29" t="s">
        <v>4480</v>
      </c>
      <c r="B549" s="29" t="s">
        <v>3769</v>
      </c>
      <c r="C549" s="40" t="s">
        <v>75</v>
      </c>
      <c r="D549" s="40"/>
      <c r="E549" s="57" t="s">
        <v>8607</v>
      </c>
      <c r="F549" s="57" t="s">
        <v>8607</v>
      </c>
      <c r="G549" s="29" t="s">
        <v>1404</v>
      </c>
      <c r="J549" s="29">
        <f t="shared" si="33"/>
        <v>1</v>
      </c>
      <c r="K549" s="42">
        <v>542</v>
      </c>
      <c r="L549" s="43" t="s">
        <v>1405</v>
      </c>
      <c r="M549" s="44" t="s">
        <v>405</v>
      </c>
      <c r="N549" s="44" t="s">
        <v>686</v>
      </c>
      <c r="O549" s="44" t="str">
        <f t="shared" si="32"/>
        <v>PE-L1-4C50/25-06</v>
      </c>
      <c r="P549" s="45">
        <v>45</v>
      </c>
      <c r="Q549" s="44">
        <v>400</v>
      </c>
      <c r="R549" s="44" t="s">
        <v>49</v>
      </c>
      <c r="S549" s="44">
        <v>160</v>
      </c>
      <c r="T549" s="46" t="s">
        <v>5010</v>
      </c>
      <c r="U549" s="46" t="s">
        <v>4480</v>
      </c>
      <c r="V549" s="46" t="s">
        <v>4481</v>
      </c>
      <c r="W549" s="46" t="s">
        <v>347</v>
      </c>
      <c r="X549" s="47" t="s">
        <v>9305</v>
      </c>
      <c r="Y549" s="46" t="s">
        <v>5114</v>
      </c>
      <c r="Z549" s="46" t="s">
        <v>5031</v>
      </c>
      <c r="AA549" s="46" t="s">
        <v>5102</v>
      </c>
      <c r="AB549" s="47" t="s">
        <v>9305</v>
      </c>
      <c r="AC549" s="48" t="s">
        <v>5115</v>
      </c>
      <c r="AD549" s="30"/>
      <c r="AE549" s="197"/>
      <c r="AF549" s="47"/>
    </row>
    <row r="550" spans="1:32" s="29" customFormat="1" ht="69.95" hidden="1" customHeight="1">
      <c r="A550" s="29" t="s">
        <v>4474</v>
      </c>
      <c r="B550" s="29" t="s">
        <v>3769</v>
      </c>
      <c r="C550" s="40">
        <v>10</v>
      </c>
      <c r="D550" s="40"/>
      <c r="E550" s="57" t="s">
        <v>8607</v>
      </c>
      <c r="F550" s="57" t="s">
        <v>8607</v>
      </c>
      <c r="G550" s="29" t="s">
        <v>1406</v>
      </c>
      <c r="J550" s="29">
        <f t="shared" si="33"/>
        <v>1</v>
      </c>
      <c r="K550" s="42">
        <v>543</v>
      </c>
      <c r="L550" s="43" t="s">
        <v>1407</v>
      </c>
      <c r="M550" s="44" t="s">
        <v>405</v>
      </c>
      <c r="N550" s="44" t="s">
        <v>686</v>
      </c>
      <c r="O550" s="44" t="str">
        <f t="shared" si="32"/>
        <v>PE-L1-4C50/25-06</v>
      </c>
      <c r="P550" s="45">
        <v>45</v>
      </c>
      <c r="Q550" s="44">
        <v>400</v>
      </c>
      <c r="R550" s="44" t="s">
        <v>49</v>
      </c>
      <c r="S550" s="44">
        <v>180</v>
      </c>
      <c r="T550" s="46" t="s">
        <v>5010</v>
      </c>
      <c r="U550" s="46" t="s">
        <v>4474</v>
      </c>
      <c r="V550" s="46" t="s">
        <v>4475</v>
      </c>
      <c r="W550" s="46" t="s">
        <v>347</v>
      </c>
      <c r="X550" s="47" t="s">
        <v>9305</v>
      </c>
      <c r="Y550" s="46" t="s">
        <v>5116</v>
      </c>
      <c r="Z550" s="46" t="s">
        <v>5034</v>
      </c>
      <c r="AA550" s="46" t="s">
        <v>5102</v>
      </c>
      <c r="AB550" s="47" t="s">
        <v>9305</v>
      </c>
      <c r="AC550" s="48" t="s">
        <v>5117</v>
      </c>
      <c r="AD550" s="30"/>
      <c r="AE550" s="197"/>
      <c r="AF550" s="47"/>
    </row>
    <row r="551" spans="1:32" s="29" customFormat="1" ht="69.95" hidden="1" customHeight="1">
      <c r="A551" s="29" t="s">
        <v>4480</v>
      </c>
      <c r="B551" s="29" t="s">
        <v>3769</v>
      </c>
      <c r="C551" s="40">
        <v>10</v>
      </c>
      <c r="D551" s="40"/>
      <c r="E551" s="57" t="s">
        <v>8607</v>
      </c>
      <c r="F551" s="57" t="s">
        <v>8607</v>
      </c>
      <c r="G551" s="29" t="s">
        <v>1408</v>
      </c>
      <c r="J551" s="29">
        <f t="shared" si="33"/>
        <v>1</v>
      </c>
      <c r="K551" s="42">
        <v>544</v>
      </c>
      <c r="L551" s="43" t="s">
        <v>1409</v>
      </c>
      <c r="M551" s="44" t="s">
        <v>405</v>
      </c>
      <c r="N551" s="44" t="s">
        <v>686</v>
      </c>
      <c r="O551" s="44" t="str">
        <f t="shared" si="32"/>
        <v>PE-L1-4C50/25-06</v>
      </c>
      <c r="P551" s="45">
        <v>45</v>
      </c>
      <c r="Q551" s="44">
        <v>400</v>
      </c>
      <c r="R551" s="44" t="s">
        <v>49</v>
      </c>
      <c r="S551" s="44">
        <v>170</v>
      </c>
      <c r="T551" s="46" t="s">
        <v>5010</v>
      </c>
      <c r="U551" s="46" t="s">
        <v>4480</v>
      </c>
      <c r="V551" s="46" t="s">
        <v>4481</v>
      </c>
      <c r="W551" s="46" t="s">
        <v>347</v>
      </c>
      <c r="X551" s="47" t="s">
        <v>9305</v>
      </c>
      <c r="Y551" s="46" t="s">
        <v>5118</v>
      </c>
      <c r="Z551" s="46" t="s">
        <v>5037</v>
      </c>
      <c r="AA551" s="46" t="s">
        <v>5102</v>
      </c>
      <c r="AB551" s="47" t="s">
        <v>9305</v>
      </c>
      <c r="AC551" s="48" t="s">
        <v>5119</v>
      </c>
      <c r="AD551" s="30"/>
      <c r="AE551" s="197"/>
      <c r="AF551" s="47"/>
    </row>
    <row r="552" spans="1:32" s="29" customFormat="1" ht="69.95" hidden="1" customHeight="1">
      <c r="A552" s="29" t="s">
        <v>4474</v>
      </c>
      <c r="B552" s="29" t="s">
        <v>3769</v>
      </c>
      <c r="C552" s="40">
        <v>11</v>
      </c>
      <c r="D552" s="40"/>
      <c r="E552" s="57" t="s">
        <v>8607</v>
      </c>
      <c r="F552" s="57" t="s">
        <v>8607</v>
      </c>
      <c r="G552" s="29" t="s">
        <v>1410</v>
      </c>
      <c r="J552" s="29">
        <f t="shared" si="33"/>
        <v>1</v>
      </c>
      <c r="K552" s="42">
        <v>545</v>
      </c>
      <c r="L552" s="43" t="s">
        <v>1411</v>
      </c>
      <c r="M552" s="44" t="s">
        <v>405</v>
      </c>
      <c r="N552" s="44" t="s">
        <v>686</v>
      </c>
      <c r="O552" s="44" t="str">
        <f t="shared" si="32"/>
        <v>PE-L1-4C50/25-06</v>
      </c>
      <c r="P552" s="45">
        <v>45</v>
      </c>
      <c r="Q552" s="44">
        <v>400</v>
      </c>
      <c r="R552" s="44" t="s">
        <v>49</v>
      </c>
      <c r="S552" s="44">
        <v>190</v>
      </c>
      <c r="T552" s="46" t="s">
        <v>5010</v>
      </c>
      <c r="U552" s="46" t="s">
        <v>4474</v>
      </c>
      <c r="V552" s="46" t="s">
        <v>4475</v>
      </c>
      <c r="W552" s="46" t="s">
        <v>347</v>
      </c>
      <c r="X552" s="47" t="s">
        <v>9305</v>
      </c>
      <c r="Y552" s="46" t="s">
        <v>5120</v>
      </c>
      <c r="Z552" s="46" t="s">
        <v>5040</v>
      </c>
      <c r="AA552" s="46" t="s">
        <v>5102</v>
      </c>
      <c r="AB552" s="47" t="s">
        <v>9305</v>
      </c>
      <c r="AC552" s="48" t="s">
        <v>5121</v>
      </c>
      <c r="AD552" s="30"/>
      <c r="AE552" s="197"/>
      <c r="AF552" s="47"/>
    </row>
    <row r="553" spans="1:32" s="29" customFormat="1" ht="69.95" hidden="1" customHeight="1">
      <c r="A553" s="29" t="s">
        <v>4480</v>
      </c>
      <c r="B553" s="29" t="s">
        <v>3769</v>
      </c>
      <c r="C553" s="40">
        <v>11</v>
      </c>
      <c r="D553" s="40"/>
      <c r="E553" s="57" t="s">
        <v>8607</v>
      </c>
      <c r="F553" s="57" t="s">
        <v>8607</v>
      </c>
      <c r="G553" s="29" t="s">
        <v>1412</v>
      </c>
      <c r="J553" s="29">
        <f t="shared" si="33"/>
        <v>1</v>
      </c>
      <c r="K553" s="42">
        <v>546</v>
      </c>
      <c r="L553" s="43" t="s">
        <v>1413</v>
      </c>
      <c r="M553" s="44" t="s">
        <v>405</v>
      </c>
      <c r="N553" s="44" t="s">
        <v>686</v>
      </c>
      <c r="O553" s="44" t="str">
        <f t="shared" si="32"/>
        <v>PE-L1-4C50/25-06</v>
      </c>
      <c r="P553" s="45">
        <v>45</v>
      </c>
      <c r="Q553" s="44">
        <v>400</v>
      </c>
      <c r="R553" s="44" t="s">
        <v>49</v>
      </c>
      <c r="S553" s="44">
        <v>180</v>
      </c>
      <c r="T553" s="46" t="s">
        <v>5010</v>
      </c>
      <c r="U553" s="46" t="s">
        <v>4480</v>
      </c>
      <c r="V553" s="46" t="s">
        <v>4481</v>
      </c>
      <c r="W553" s="46" t="s">
        <v>347</v>
      </c>
      <c r="X553" s="47" t="s">
        <v>9305</v>
      </c>
      <c r="Y553" s="46" t="s">
        <v>5122</v>
      </c>
      <c r="Z553" s="46" t="s">
        <v>5043</v>
      </c>
      <c r="AA553" s="46" t="s">
        <v>5102</v>
      </c>
      <c r="AB553" s="47" t="s">
        <v>9305</v>
      </c>
      <c r="AC553" s="48" t="s">
        <v>5123</v>
      </c>
      <c r="AD553" s="30"/>
      <c r="AE553" s="197"/>
      <c r="AF553" s="47"/>
    </row>
    <row r="554" spans="1:32" s="29" customFormat="1" ht="69.95" hidden="1" customHeight="1">
      <c r="A554" s="29" t="s">
        <v>4474</v>
      </c>
      <c r="B554" s="29" t="s">
        <v>3769</v>
      </c>
      <c r="C554" s="40">
        <v>12</v>
      </c>
      <c r="D554" s="40"/>
      <c r="E554" s="57" t="s">
        <v>8607</v>
      </c>
      <c r="F554" s="57" t="s">
        <v>8607</v>
      </c>
      <c r="G554" s="29" t="s">
        <v>1414</v>
      </c>
      <c r="J554" s="29">
        <f t="shared" si="33"/>
        <v>1</v>
      </c>
      <c r="K554" s="42">
        <v>547</v>
      </c>
      <c r="L554" s="43" t="s">
        <v>1415</v>
      </c>
      <c r="M554" s="44" t="s">
        <v>405</v>
      </c>
      <c r="N554" s="44" t="s">
        <v>686</v>
      </c>
      <c r="O554" s="44" t="str">
        <f t="shared" si="32"/>
        <v>PE-L1-4C50/25-06</v>
      </c>
      <c r="P554" s="45">
        <v>45</v>
      </c>
      <c r="Q554" s="44">
        <v>400</v>
      </c>
      <c r="R554" s="44" t="s">
        <v>49</v>
      </c>
      <c r="S554" s="44">
        <v>200</v>
      </c>
      <c r="T554" s="46" t="s">
        <v>5010</v>
      </c>
      <c r="U554" s="46" t="s">
        <v>4474</v>
      </c>
      <c r="V554" s="46" t="s">
        <v>4475</v>
      </c>
      <c r="W554" s="46" t="s">
        <v>347</v>
      </c>
      <c r="X554" s="47" t="s">
        <v>9305</v>
      </c>
      <c r="Y554" s="46" t="s">
        <v>5124</v>
      </c>
      <c r="Z554" s="46" t="s">
        <v>5046</v>
      </c>
      <c r="AA554" s="46" t="s">
        <v>5102</v>
      </c>
      <c r="AB554" s="47" t="s">
        <v>9305</v>
      </c>
      <c r="AC554" s="48" t="s">
        <v>5125</v>
      </c>
      <c r="AD554" s="30"/>
      <c r="AE554" s="197"/>
      <c r="AF554" s="47"/>
    </row>
    <row r="555" spans="1:32" s="29" customFormat="1" ht="69.95" hidden="1" customHeight="1">
      <c r="A555" s="29" t="s">
        <v>4480</v>
      </c>
      <c r="B555" s="29" t="s">
        <v>3769</v>
      </c>
      <c r="C555" s="40">
        <v>12</v>
      </c>
      <c r="D555" s="40"/>
      <c r="E555" s="57" t="s">
        <v>8595</v>
      </c>
      <c r="F555" s="57" t="s">
        <v>8595</v>
      </c>
      <c r="G555" s="29" t="s">
        <v>1416</v>
      </c>
      <c r="J555" s="29">
        <f t="shared" si="33"/>
        <v>1</v>
      </c>
      <c r="K555" s="42">
        <v>548</v>
      </c>
      <c r="L555" s="43" t="s">
        <v>1417</v>
      </c>
      <c r="M555" s="44" t="s">
        <v>405</v>
      </c>
      <c r="N555" s="44" t="s">
        <v>426</v>
      </c>
      <c r="O555" s="44" t="str">
        <f t="shared" si="32"/>
        <v>PE-L1-3C4-26</v>
      </c>
      <c r="P555" s="45">
        <v>0.11</v>
      </c>
      <c r="Q555" s="44">
        <v>230</v>
      </c>
      <c r="R555" s="44" t="s">
        <v>49</v>
      </c>
      <c r="S555" s="44">
        <v>150</v>
      </c>
      <c r="T555" s="46" t="s">
        <v>5010</v>
      </c>
      <c r="U555" s="46" t="s">
        <v>4480</v>
      </c>
      <c r="V555" s="46" t="s">
        <v>4481</v>
      </c>
      <c r="W555" s="46" t="s">
        <v>347</v>
      </c>
      <c r="X555" s="172" t="s">
        <v>9167</v>
      </c>
      <c r="Y555" s="46" t="s">
        <v>5126</v>
      </c>
      <c r="Z555" s="46" t="s">
        <v>5049</v>
      </c>
      <c r="AA555" s="46" t="s">
        <v>5102</v>
      </c>
      <c r="AB555" s="172" t="s">
        <v>9167</v>
      </c>
      <c r="AC555" s="48" t="s">
        <v>5103</v>
      </c>
      <c r="AD555" s="30"/>
      <c r="AE555" s="197"/>
      <c r="AF555" s="47"/>
    </row>
    <row r="556" spans="1:32" s="29" customFormat="1" ht="69.95" hidden="1" customHeight="1">
      <c r="A556" s="29" t="s">
        <v>4474</v>
      </c>
      <c r="B556" s="29" t="s">
        <v>3769</v>
      </c>
      <c r="C556" s="40">
        <v>13</v>
      </c>
      <c r="D556" s="179" t="s">
        <v>9131</v>
      </c>
      <c r="E556" s="57" t="s">
        <v>8598</v>
      </c>
      <c r="F556" s="121" t="s">
        <v>8806</v>
      </c>
      <c r="G556" s="29" t="s">
        <v>1418</v>
      </c>
      <c r="J556" s="29">
        <f t="shared" si="33"/>
        <v>1</v>
      </c>
      <c r="K556" s="42">
        <v>549</v>
      </c>
      <c r="L556" s="43" t="s">
        <v>1419</v>
      </c>
      <c r="M556" s="44" t="s">
        <v>405</v>
      </c>
      <c r="N556" s="44" t="s">
        <v>426</v>
      </c>
      <c r="O556" s="44" t="str">
        <f t="shared" si="32"/>
        <v>PE-L1-3C4-29</v>
      </c>
      <c r="P556" s="45">
        <v>0.11</v>
      </c>
      <c r="Q556" s="44">
        <v>230</v>
      </c>
      <c r="R556" s="44" t="s">
        <v>49</v>
      </c>
      <c r="S556" s="44">
        <v>170</v>
      </c>
      <c r="T556" s="46" t="s">
        <v>5010</v>
      </c>
      <c r="U556" s="46" t="s">
        <v>4474</v>
      </c>
      <c r="V556" s="46" t="s">
        <v>4475</v>
      </c>
      <c r="W556" s="46" t="s">
        <v>347</v>
      </c>
      <c r="X556" s="172" t="s">
        <v>9167</v>
      </c>
      <c r="Y556" s="46" t="s">
        <v>5127</v>
      </c>
      <c r="Z556" s="46" t="s">
        <v>5052</v>
      </c>
      <c r="AA556" s="46" t="s">
        <v>5102</v>
      </c>
      <c r="AB556" s="172" t="s">
        <v>9167</v>
      </c>
      <c r="AC556" s="48" t="s">
        <v>5105</v>
      </c>
      <c r="AD556" s="30"/>
      <c r="AE556" s="197"/>
      <c r="AF556" s="47"/>
    </row>
    <row r="557" spans="1:32" s="29" customFormat="1" ht="69.95" hidden="1" customHeight="1">
      <c r="A557" s="29" t="s">
        <v>4480</v>
      </c>
      <c r="B557" s="29" t="s">
        <v>3769</v>
      </c>
      <c r="C557" s="40">
        <v>13</v>
      </c>
      <c r="D557" s="40"/>
      <c r="E557" s="57" t="s">
        <v>8598</v>
      </c>
      <c r="F557" s="121" t="s">
        <v>8806</v>
      </c>
      <c r="G557" s="29" t="s">
        <v>1420</v>
      </c>
      <c r="J557" s="29">
        <f t="shared" si="33"/>
        <v>1</v>
      </c>
      <c r="K557" s="42">
        <v>550</v>
      </c>
      <c r="L557" s="43" t="s">
        <v>1421</v>
      </c>
      <c r="M557" s="44" t="s">
        <v>405</v>
      </c>
      <c r="N557" s="44" t="s">
        <v>426</v>
      </c>
      <c r="O557" s="44" t="str">
        <f t="shared" si="32"/>
        <v>PE-L1-3C4-29</v>
      </c>
      <c r="P557" s="45">
        <v>0.11</v>
      </c>
      <c r="Q557" s="44">
        <v>230</v>
      </c>
      <c r="R557" s="44" t="s">
        <v>49</v>
      </c>
      <c r="S557" s="44">
        <v>140</v>
      </c>
      <c r="T557" s="46" t="s">
        <v>5010</v>
      </c>
      <c r="U557" s="46" t="s">
        <v>4480</v>
      </c>
      <c r="V557" s="46" t="s">
        <v>4481</v>
      </c>
      <c r="W557" s="46" t="s">
        <v>347</v>
      </c>
      <c r="X557" s="172" t="s">
        <v>9167</v>
      </c>
      <c r="Y557" s="46" t="s">
        <v>5128</v>
      </c>
      <c r="Z557" s="46" t="s">
        <v>5055</v>
      </c>
      <c r="AA557" s="46" t="s">
        <v>5102</v>
      </c>
      <c r="AB557" s="172" t="s">
        <v>9167</v>
      </c>
      <c r="AC557" s="48" t="s">
        <v>5107</v>
      </c>
      <c r="AD557" s="30"/>
      <c r="AE557" s="197"/>
      <c r="AF557" s="47"/>
    </row>
    <row r="558" spans="1:32" s="29" customFormat="1" ht="69.95" hidden="1" customHeight="1">
      <c r="A558" s="29" t="s">
        <v>4474</v>
      </c>
      <c r="B558" s="29" t="s">
        <v>3769</v>
      </c>
      <c r="C558" s="40">
        <v>14</v>
      </c>
      <c r="D558" s="40"/>
      <c r="E558" s="57" t="s">
        <v>8598</v>
      </c>
      <c r="F558" s="121" t="s">
        <v>8806</v>
      </c>
      <c r="G558" s="29" t="s">
        <v>1422</v>
      </c>
      <c r="J558" s="29">
        <f t="shared" si="33"/>
        <v>1</v>
      </c>
      <c r="K558" s="42">
        <v>551</v>
      </c>
      <c r="L558" s="43" t="s">
        <v>1423</v>
      </c>
      <c r="M558" s="44" t="s">
        <v>405</v>
      </c>
      <c r="N558" s="44" t="s">
        <v>426</v>
      </c>
      <c r="O558" s="44" t="str">
        <f t="shared" si="32"/>
        <v>PE-L1-3C4-29</v>
      </c>
      <c r="P558" s="45">
        <v>0.11</v>
      </c>
      <c r="Q558" s="44">
        <v>230</v>
      </c>
      <c r="R558" s="44" t="s">
        <v>49</v>
      </c>
      <c r="S558" s="44">
        <v>160</v>
      </c>
      <c r="T558" s="46" t="s">
        <v>5010</v>
      </c>
      <c r="U558" s="46" t="s">
        <v>4474</v>
      </c>
      <c r="V558" s="46" t="s">
        <v>4475</v>
      </c>
      <c r="W558" s="46" t="s">
        <v>347</v>
      </c>
      <c r="X558" s="172" t="s">
        <v>9167</v>
      </c>
      <c r="Y558" s="46" t="s">
        <v>5129</v>
      </c>
      <c r="Z558" s="46" t="s">
        <v>5058</v>
      </c>
      <c r="AA558" s="46" t="s">
        <v>5102</v>
      </c>
      <c r="AB558" s="172" t="s">
        <v>9167</v>
      </c>
      <c r="AC558" s="48" t="s">
        <v>5109</v>
      </c>
      <c r="AD558" s="30"/>
      <c r="AE558" s="197"/>
      <c r="AF558" s="47"/>
    </row>
    <row r="559" spans="1:32" s="29" customFormat="1" ht="69.95" hidden="1" customHeight="1">
      <c r="A559" s="29" t="s">
        <v>4480</v>
      </c>
      <c r="B559" s="29" t="s">
        <v>3769</v>
      </c>
      <c r="C559" s="40">
        <v>14</v>
      </c>
      <c r="D559" s="40"/>
      <c r="E559" s="57" t="s">
        <v>8598</v>
      </c>
      <c r="F559" s="121" t="s">
        <v>8806</v>
      </c>
      <c r="G559" s="29" t="s">
        <v>1424</v>
      </c>
      <c r="J559" s="29">
        <f t="shared" si="33"/>
        <v>1</v>
      </c>
      <c r="K559" s="42">
        <v>552</v>
      </c>
      <c r="L559" s="43" t="s">
        <v>1425</v>
      </c>
      <c r="M559" s="44" t="s">
        <v>405</v>
      </c>
      <c r="N559" s="44" t="s">
        <v>426</v>
      </c>
      <c r="O559" s="44" t="str">
        <f t="shared" si="32"/>
        <v>PE-L1-3C4-29</v>
      </c>
      <c r="P559" s="45">
        <v>0.11</v>
      </c>
      <c r="Q559" s="44">
        <v>230</v>
      </c>
      <c r="R559" s="44" t="s">
        <v>49</v>
      </c>
      <c r="S559" s="44">
        <v>150</v>
      </c>
      <c r="T559" s="46" t="s">
        <v>5010</v>
      </c>
      <c r="U559" s="46" t="s">
        <v>4480</v>
      </c>
      <c r="V559" s="46" t="s">
        <v>4481</v>
      </c>
      <c r="W559" s="46" t="s">
        <v>347</v>
      </c>
      <c r="X559" s="172" t="s">
        <v>9167</v>
      </c>
      <c r="Y559" s="46" t="s">
        <v>5130</v>
      </c>
      <c r="Z559" s="46" t="s">
        <v>5061</v>
      </c>
      <c r="AA559" s="46" t="s">
        <v>5102</v>
      </c>
      <c r="AB559" s="172" t="s">
        <v>9167</v>
      </c>
      <c r="AC559" s="48" t="s">
        <v>5111</v>
      </c>
      <c r="AD559" s="30"/>
      <c r="AE559" s="197"/>
      <c r="AF559" s="47"/>
    </row>
    <row r="560" spans="1:32" s="29" customFormat="1" ht="69.95" hidden="1" customHeight="1">
      <c r="A560" s="29" t="s">
        <v>4474</v>
      </c>
      <c r="B560" s="29" t="s">
        <v>3769</v>
      </c>
      <c r="C560" s="40">
        <v>15</v>
      </c>
      <c r="D560" s="40"/>
      <c r="E560" s="57" t="s">
        <v>8598</v>
      </c>
      <c r="F560" s="121" t="s">
        <v>8806</v>
      </c>
      <c r="G560" s="29" t="s">
        <v>1426</v>
      </c>
      <c r="J560" s="29">
        <f t="shared" si="33"/>
        <v>1</v>
      </c>
      <c r="K560" s="42">
        <v>553</v>
      </c>
      <c r="L560" s="43" t="s">
        <v>1427</v>
      </c>
      <c r="M560" s="44" t="s">
        <v>405</v>
      </c>
      <c r="N560" s="44" t="s">
        <v>426</v>
      </c>
      <c r="O560" s="44" t="str">
        <f t="shared" si="32"/>
        <v>PE-L1-3C4-29</v>
      </c>
      <c r="P560" s="45">
        <v>0.11</v>
      </c>
      <c r="Q560" s="44">
        <v>230</v>
      </c>
      <c r="R560" s="44" t="s">
        <v>49</v>
      </c>
      <c r="S560" s="44">
        <v>170</v>
      </c>
      <c r="T560" s="46" t="s">
        <v>5010</v>
      </c>
      <c r="U560" s="46" t="s">
        <v>4474</v>
      </c>
      <c r="V560" s="46" t="s">
        <v>4475</v>
      </c>
      <c r="W560" s="46" t="s">
        <v>347</v>
      </c>
      <c r="X560" s="172" t="s">
        <v>9167</v>
      </c>
      <c r="Y560" s="46" t="s">
        <v>5131</v>
      </c>
      <c r="Z560" s="46" t="s">
        <v>5064</v>
      </c>
      <c r="AA560" s="46" t="s">
        <v>5102</v>
      </c>
      <c r="AB560" s="172" t="s">
        <v>9167</v>
      </c>
      <c r="AC560" s="48" t="s">
        <v>5113</v>
      </c>
      <c r="AD560" s="30"/>
      <c r="AE560" s="197"/>
      <c r="AF560" s="47"/>
    </row>
    <row r="561" spans="1:32" s="29" customFormat="1" ht="69.95" hidden="1" customHeight="1">
      <c r="A561" s="29" t="s">
        <v>4480</v>
      </c>
      <c r="B561" s="29" t="s">
        <v>3769</v>
      </c>
      <c r="C561" s="40">
        <v>15</v>
      </c>
      <c r="D561" s="40"/>
      <c r="E561" s="57" t="s">
        <v>8598</v>
      </c>
      <c r="F561" s="121" t="s">
        <v>8806</v>
      </c>
      <c r="G561" s="29" t="s">
        <v>1428</v>
      </c>
      <c r="J561" s="29">
        <f t="shared" si="33"/>
        <v>1</v>
      </c>
      <c r="K561" s="42">
        <v>554</v>
      </c>
      <c r="L561" s="43" t="s">
        <v>1429</v>
      </c>
      <c r="M561" s="44" t="s">
        <v>405</v>
      </c>
      <c r="N561" s="44" t="s">
        <v>426</v>
      </c>
      <c r="O561" s="44" t="str">
        <f t="shared" si="32"/>
        <v>PE-L1-3C4-29</v>
      </c>
      <c r="P561" s="45">
        <v>0.11</v>
      </c>
      <c r="Q561" s="44">
        <v>230</v>
      </c>
      <c r="R561" s="44" t="s">
        <v>49</v>
      </c>
      <c r="S561" s="44">
        <v>160</v>
      </c>
      <c r="T561" s="46" t="s">
        <v>5010</v>
      </c>
      <c r="U561" s="46" t="s">
        <v>4480</v>
      </c>
      <c r="V561" s="46" t="s">
        <v>4481</v>
      </c>
      <c r="W561" s="46" t="s">
        <v>347</v>
      </c>
      <c r="X561" s="172" t="s">
        <v>9167</v>
      </c>
      <c r="Y561" s="46" t="s">
        <v>5132</v>
      </c>
      <c r="Z561" s="46" t="s">
        <v>5067</v>
      </c>
      <c r="AA561" s="46" t="s">
        <v>5102</v>
      </c>
      <c r="AB561" s="172" t="s">
        <v>9167</v>
      </c>
      <c r="AC561" s="48" t="s">
        <v>5115</v>
      </c>
      <c r="AD561" s="30"/>
      <c r="AE561" s="197"/>
      <c r="AF561" s="47"/>
    </row>
    <row r="562" spans="1:32" s="29" customFormat="1" ht="69.95" hidden="1" customHeight="1">
      <c r="A562" s="29" t="s">
        <v>4474</v>
      </c>
      <c r="B562" s="29" t="s">
        <v>3769</v>
      </c>
      <c r="C562" s="40">
        <v>16</v>
      </c>
      <c r="D562" s="40"/>
      <c r="E562" s="57" t="s">
        <v>8598</v>
      </c>
      <c r="F562" s="58" t="s">
        <v>8598</v>
      </c>
      <c r="G562" s="29" t="s">
        <v>1430</v>
      </c>
      <c r="J562" s="29">
        <f t="shared" si="33"/>
        <v>1</v>
      </c>
      <c r="K562" s="42">
        <v>555</v>
      </c>
      <c r="L562" s="43" t="s">
        <v>1431</v>
      </c>
      <c r="M562" s="44" t="s">
        <v>405</v>
      </c>
      <c r="N562" s="44" t="s">
        <v>426</v>
      </c>
      <c r="O562" s="44" t="str">
        <f t="shared" si="32"/>
        <v>PE-L1-3C4-27</v>
      </c>
      <c r="P562" s="45">
        <v>0.11</v>
      </c>
      <c r="Q562" s="44">
        <v>230</v>
      </c>
      <c r="R562" s="44" t="s">
        <v>49</v>
      </c>
      <c r="S562" s="44">
        <v>180</v>
      </c>
      <c r="T562" s="46" t="s">
        <v>5010</v>
      </c>
      <c r="U562" s="46" t="s">
        <v>4474</v>
      </c>
      <c r="V562" s="46" t="s">
        <v>4475</v>
      </c>
      <c r="W562" s="46" t="s">
        <v>347</v>
      </c>
      <c r="X562" s="172" t="s">
        <v>9167</v>
      </c>
      <c r="Y562" s="46" t="s">
        <v>5133</v>
      </c>
      <c r="Z562" s="46" t="s">
        <v>5070</v>
      </c>
      <c r="AA562" s="46" t="s">
        <v>5102</v>
      </c>
      <c r="AB562" s="172" t="s">
        <v>9167</v>
      </c>
      <c r="AC562" s="48" t="s">
        <v>5117</v>
      </c>
      <c r="AD562" s="30"/>
      <c r="AE562" s="197"/>
      <c r="AF562" s="47"/>
    </row>
    <row r="563" spans="1:32" s="29" customFormat="1" ht="69.95" hidden="1" customHeight="1">
      <c r="A563" s="29" t="s">
        <v>4480</v>
      </c>
      <c r="B563" s="29" t="s">
        <v>3769</v>
      </c>
      <c r="C563" s="40">
        <v>16</v>
      </c>
      <c r="D563" s="179" t="s">
        <v>9131</v>
      </c>
      <c r="E563" s="57" t="s">
        <v>8598</v>
      </c>
      <c r="F563" s="121" t="s">
        <v>8806</v>
      </c>
      <c r="G563" s="29" t="s">
        <v>1432</v>
      </c>
      <c r="J563" s="29">
        <f t="shared" si="33"/>
        <v>1</v>
      </c>
      <c r="K563" s="42">
        <v>556</v>
      </c>
      <c r="L563" s="43" t="s">
        <v>1433</v>
      </c>
      <c r="M563" s="44" t="s">
        <v>405</v>
      </c>
      <c r="N563" s="44" t="s">
        <v>426</v>
      </c>
      <c r="O563" s="44" t="str">
        <f t="shared" si="32"/>
        <v>PE-L1-3C4-29</v>
      </c>
      <c r="P563" s="45">
        <v>0.11</v>
      </c>
      <c r="Q563" s="44">
        <v>230</v>
      </c>
      <c r="R563" s="44" t="s">
        <v>49</v>
      </c>
      <c r="S563" s="44">
        <v>170</v>
      </c>
      <c r="T563" s="46" t="s">
        <v>5010</v>
      </c>
      <c r="U563" s="46" t="s">
        <v>4480</v>
      </c>
      <c r="V563" s="46" t="s">
        <v>4481</v>
      </c>
      <c r="W563" s="46" t="s">
        <v>347</v>
      </c>
      <c r="X563" s="172" t="s">
        <v>9167</v>
      </c>
      <c r="Y563" s="46" t="s">
        <v>5134</v>
      </c>
      <c r="Z563" s="46" t="s">
        <v>5073</v>
      </c>
      <c r="AA563" s="46" t="s">
        <v>5102</v>
      </c>
      <c r="AB563" s="172" t="s">
        <v>9167</v>
      </c>
      <c r="AC563" s="48" t="s">
        <v>5119</v>
      </c>
      <c r="AD563" s="30"/>
      <c r="AE563" s="197"/>
      <c r="AF563" s="47"/>
    </row>
    <row r="564" spans="1:32" s="29" customFormat="1" ht="69.95" hidden="1" customHeight="1">
      <c r="A564" s="29" t="s">
        <v>4474</v>
      </c>
      <c r="B564" s="29" t="s">
        <v>3769</v>
      </c>
      <c r="C564" s="40">
        <v>17</v>
      </c>
      <c r="D564" s="40"/>
      <c r="E564" s="57" t="s">
        <v>8598</v>
      </c>
      <c r="F564" s="58" t="s">
        <v>8598</v>
      </c>
      <c r="G564" s="29" t="s">
        <v>1434</v>
      </c>
      <c r="J564" s="29">
        <f t="shared" si="33"/>
        <v>1</v>
      </c>
      <c r="K564" s="42">
        <v>557</v>
      </c>
      <c r="L564" s="43" t="s">
        <v>1435</v>
      </c>
      <c r="M564" s="44" t="s">
        <v>405</v>
      </c>
      <c r="N564" s="44" t="s">
        <v>426</v>
      </c>
      <c r="O564" s="44" t="str">
        <f t="shared" si="32"/>
        <v>PE-L1-3C4-27</v>
      </c>
      <c r="P564" s="45">
        <v>0.11</v>
      </c>
      <c r="Q564" s="44">
        <v>230</v>
      </c>
      <c r="R564" s="44" t="s">
        <v>49</v>
      </c>
      <c r="S564" s="44">
        <v>190</v>
      </c>
      <c r="T564" s="46" t="s">
        <v>5010</v>
      </c>
      <c r="U564" s="46" t="s">
        <v>4474</v>
      </c>
      <c r="V564" s="46" t="s">
        <v>4475</v>
      </c>
      <c r="W564" s="46" t="s">
        <v>347</v>
      </c>
      <c r="X564" s="172" t="s">
        <v>9167</v>
      </c>
      <c r="Y564" s="46" t="s">
        <v>5135</v>
      </c>
      <c r="Z564" s="46" t="s">
        <v>5076</v>
      </c>
      <c r="AA564" s="46" t="s">
        <v>5102</v>
      </c>
      <c r="AB564" s="172" t="s">
        <v>9167</v>
      </c>
      <c r="AC564" s="48" t="s">
        <v>5121</v>
      </c>
      <c r="AD564" s="30"/>
      <c r="AE564" s="197"/>
      <c r="AF564" s="47"/>
    </row>
    <row r="565" spans="1:32" s="29" customFormat="1" ht="69.95" hidden="1" customHeight="1">
      <c r="A565" s="29" t="s">
        <v>4480</v>
      </c>
      <c r="B565" s="29" t="s">
        <v>3769</v>
      </c>
      <c r="C565" s="40">
        <v>17</v>
      </c>
      <c r="D565" s="40"/>
      <c r="E565" s="57" t="s">
        <v>8598</v>
      </c>
      <c r="F565" s="58" t="s">
        <v>8598</v>
      </c>
      <c r="G565" s="29" t="s">
        <v>1436</v>
      </c>
      <c r="J565" s="29">
        <f t="shared" si="33"/>
        <v>1</v>
      </c>
      <c r="K565" s="42">
        <v>558</v>
      </c>
      <c r="L565" s="43" t="s">
        <v>1437</v>
      </c>
      <c r="M565" s="44" t="s">
        <v>405</v>
      </c>
      <c r="N565" s="44" t="s">
        <v>426</v>
      </c>
      <c r="O565" s="44" t="str">
        <f t="shared" si="32"/>
        <v>PE-L1-3C4-27</v>
      </c>
      <c r="P565" s="45">
        <v>0.11</v>
      </c>
      <c r="Q565" s="44">
        <v>230</v>
      </c>
      <c r="R565" s="44" t="s">
        <v>49</v>
      </c>
      <c r="S565" s="44">
        <v>180</v>
      </c>
      <c r="T565" s="46" t="s">
        <v>5010</v>
      </c>
      <c r="U565" s="46" t="s">
        <v>4480</v>
      </c>
      <c r="V565" s="46" t="s">
        <v>4481</v>
      </c>
      <c r="W565" s="46" t="s">
        <v>347</v>
      </c>
      <c r="X565" s="172" t="s">
        <v>9167</v>
      </c>
      <c r="Y565" s="46" t="s">
        <v>5136</v>
      </c>
      <c r="Z565" s="46" t="s">
        <v>5079</v>
      </c>
      <c r="AA565" s="46" t="s">
        <v>5102</v>
      </c>
      <c r="AB565" s="172" t="s">
        <v>9167</v>
      </c>
      <c r="AC565" s="48" t="s">
        <v>5123</v>
      </c>
      <c r="AD565" s="30"/>
      <c r="AE565" s="197"/>
      <c r="AF565" s="47"/>
    </row>
    <row r="566" spans="1:32" s="29" customFormat="1" ht="69.95" hidden="1" customHeight="1">
      <c r="A566" s="29" t="s">
        <v>4474</v>
      </c>
      <c r="B566" s="29" t="s">
        <v>3769</v>
      </c>
      <c r="C566" s="40">
        <v>18</v>
      </c>
      <c r="D566" s="40"/>
      <c r="E566" s="57" t="s">
        <v>8598</v>
      </c>
      <c r="F566" s="58" t="s">
        <v>8598</v>
      </c>
      <c r="G566" s="29" t="s">
        <v>1438</v>
      </c>
      <c r="J566" s="29">
        <f t="shared" si="33"/>
        <v>1</v>
      </c>
      <c r="K566" s="42">
        <v>559</v>
      </c>
      <c r="L566" s="43" t="s">
        <v>1439</v>
      </c>
      <c r="M566" s="44" t="s">
        <v>405</v>
      </c>
      <c r="N566" s="44" t="s">
        <v>426</v>
      </c>
      <c r="O566" s="44" t="str">
        <f t="shared" si="32"/>
        <v>PE-L1-3C4-27</v>
      </c>
      <c r="P566" s="45">
        <v>0.11</v>
      </c>
      <c r="Q566" s="44">
        <v>230</v>
      </c>
      <c r="R566" s="44" t="s">
        <v>49</v>
      </c>
      <c r="S566" s="44">
        <v>200</v>
      </c>
      <c r="T566" s="46" t="s">
        <v>5010</v>
      </c>
      <c r="U566" s="46" t="s">
        <v>4474</v>
      </c>
      <c r="V566" s="46" t="s">
        <v>4475</v>
      </c>
      <c r="W566" s="46" t="s">
        <v>347</v>
      </c>
      <c r="X566" s="172" t="s">
        <v>9167</v>
      </c>
      <c r="Y566" s="46" t="s">
        <v>5137</v>
      </c>
      <c r="Z566" s="46" t="s">
        <v>5082</v>
      </c>
      <c r="AA566" s="46" t="s">
        <v>5102</v>
      </c>
      <c r="AB566" s="172" t="s">
        <v>9167</v>
      </c>
      <c r="AC566" s="48" t="s">
        <v>5138</v>
      </c>
      <c r="AD566" s="30"/>
      <c r="AE566" s="197"/>
      <c r="AF566" s="47"/>
    </row>
    <row r="567" spans="1:32" s="29" customFormat="1" ht="69.95" hidden="1" customHeight="1">
      <c r="A567" s="29" t="s">
        <v>4474</v>
      </c>
      <c r="B567" s="29" t="s">
        <v>3769</v>
      </c>
      <c r="C567" s="40">
        <v>19</v>
      </c>
      <c r="D567" s="40"/>
      <c r="E567" s="57" t="s">
        <v>153</v>
      </c>
      <c r="F567" s="57" t="s">
        <v>153</v>
      </c>
      <c r="G567" s="29" t="s">
        <v>1440</v>
      </c>
      <c r="J567" s="29">
        <f t="shared" si="33"/>
        <v>1</v>
      </c>
      <c r="K567" s="42">
        <v>560</v>
      </c>
      <c r="L567" s="43" t="s">
        <v>1441</v>
      </c>
      <c r="M567" s="44" t="s">
        <v>405</v>
      </c>
      <c r="N567" s="44" t="s">
        <v>832</v>
      </c>
      <c r="O567" s="44" t="str">
        <f t="shared" si="32"/>
        <v>PE-L1-4C25/16-02</v>
      </c>
      <c r="P567" s="45">
        <v>18.5</v>
      </c>
      <c r="Q567" s="44">
        <v>400</v>
      </c>
      <c r="R567" s="44" t="s">
        <v>49</v>
      </c>
      <c r="S567" s="44">
        <v>210</v>
      </c>
      <c r="T567" s="46" t="s">
        <v>5010</v>
      </c>
      <c r="U567" s="46" t="s">
        <v>4474</v>
      </c>
      <c r="V567" s="46" t="s">
        <v>4475</v>
      </c>
      <c r="W567" s="46" t="s">
        <v>347</v>
      </c>
      <c r="X567" s="47" t="s">
        <v>9305</v>
      </c>
      <c r="Y567" s="46" t="s">
        <v>5139</v>
      </c>
      <c r="Z567" s="46" t="s">
        <v>5085</v>
      </c>
      <c r="AA567" s="46" t="s">
        <v>5102</v>
      </c>
      <c r="AB567" s="47" t="s">
        <v>9305</v>
      </c>
      <c r="AC567" s="48" t="s">
        <v>5140</v>
      </c>
      <c r="AD567" s="30"/>
      <c r="AE567" s="197"/>
      <c r="AF567" s="47"/>
    </row>
    <row r="568" spans="1:32" s="29" customFormat="1" ht="69.95" hidden="1" customHeight="1">
      <c r="A568" s="29" t="s">
        <v>4480</v>
      </c>
      <c r="B568" s="29" t="s">
        <v>3769</v>
      </c>
      <c r="C568" s="40">
        <v>18</v>
      </c>
      <c r="D568" s="40"/>
      <c r="E568" s="57" t="s">
        <v>153</v>
      </c>
      <c r="F568" s="57" t="s">
        <v>153</v>
      </c>
      <c r="G568" s="29" t="s">
        <v>1442</v>
      </c>
      <c r="J568" s="29">
        <f t="shared" si="33"/>
        <v>1</v>
      </c>
      <c r="K568" s="42">
        <v>561</v>
      </c>
      <c r="L568" s="43" t="s">
        <v>1443</v>
      </c>
      <c r="M568" s="44" t="s">
        <v>405</v>
      </c>
      <c r="N568" s="44" t="s">
        <v>8593</v>
      </c>
      <c r="O568" s="44" t="str">
        <f t="shared" si="32"/>
        <v>PE-L1-4C25/16-02</v>
      </c>
      <c r="P568" s="45">
        <v>18.5</v>
      </c>
      <c r="Q568" s="44">
        <v>400</v>
      </c>
      <c r="R568" s="44" t="s">
        <v>49</v>
      </c>
      <c r="S568" s="44">
        <v>190</v>
      </c>
      <c r="T568" s="46" t="s">
        <v>5010</v>
      </c>
      <c r="U568" s="46" t="s">
        <v>4480</v>
      </c>
      <c r="V568" s="46" t="s">
        <v>4481</v>
      </c>
      <c r="W568" s="46" t="s">
        <v>347</v>
      </c>
      <c r="X568" s="47" t="s">
        <v>9305</v>
      </c>
      <c r="Y568" s="46" t="s">
        <v>5141</v>
      </c>
      <c r="Z568" s="46" t="s">
        <v>8591</v>
      </c>
      <c r="AA568" s="46" t="s">
        <v>5102</v>
      </c>
      <c r="AB568" s="47" t="s">
        <v>9305</v>
      </c>
      <c r="AC568" s="48" t="s">
        <v>5142</v>
      </c>
      <c r="AD568" s="30"/>
      <c r="AE568" s="197"/>
      <c r="AF568" s="47"/>
    </row>
    <row r="569" spans="1:32" s="29" customFormat="1" ht="69.95" hidden="1" customHeight="1">
      <c r="A569" s="29" t="s">
        <v>4474</v>
      </c>
      <c r="B569" s="29" t="s">
        <v>3769</v>
      </c>
      <c r="C569" s="40">
        <v>20</v>
      </c>
      <c r="D569" s="40"/>
      <c r="E569" s="57" t="s">
        <v>175</v>
      </c>
      <c r="F569" s="57" t="s">
        <v>175</v>
      </c>
      <c r="G569" s="29" t="s">
        <v>1444</v>
      </c>
      <c r="J569" s="29">
        <f t="shared" si="33"/>
        <v>1</v>
      </c>
      <c r="K569" s="42">
        <v>562</v>
      </c>
      <c r="L569" s="43" t="s">
        <v>1445</v>
      </c>
      <c r="M569" s="44" t="s">
        <v>405</v>
      </c>
      <c r="N569" s="44" t="s">
        <v>1101</v>
      </c>
      <c r="O569" s="44" t="str">
        <f t="shared" si="32"/>
        <v>PE-L1-5C50/25-02</v>
      </c>
      <c r="P569" s="45">
        <v>40</v>
      </c>
      <c r="Q569" s="44">
        <v>400</v>
      </c>
      <c r="R569" s="44" t="s">
        <v>49</v>
      </c>
      <c r="S569" s="44">
        <v>140</v>
      </c>
      <c r="T569" s="46" t="s">
        <v>5010</v>
      </c>
      <c r="U569" s="46" t="s">
        <v>4474</v>
      </c>
      <c r="V569" s="46" t="s">
        <v>4475</v>
      </c>
      <c r="W569" s="46" t="s">
        <v>347</v>
      </c>
      <c r="X569" s="47" t="s">
        <v>9310</v>
      </c>
      <c r="Y569" s="46" t="s">
        <v>5143</v>
      </c>
      <c r="Z569" s="46" t="s">
        <v>5091</v>
      </c>
      <c r="AA569" s="46" t="s">
        <v>5102</v>
      </c>
      <c r="AB569" s="47" t="s">
        <v>9310</v>
      </c>
      <c r="AC569" s="48" t="s">
        <v>5144</v>
      </c>
      <c r="AD569" s="30"/>
      <c r="AE569" s="197"/>
      <c r="AF569" s="47"/>
    </row>
    <row r="570" spans="1:32" s="29" customFormat="1" ht="69.95" hidden="1" customHeight="1">
      <c r="A570" s="29" t="s">
        <v>4474</v>
      </c>
      <c r="B570" s="29" t="s">
        <v>3769</v>
      </c>
      <c r="C570" s="40">
        <v>21</v>
      </c>
      <c r="D570" s="40"/>
      <c r="E570" s="57" t="s">
        <v>8611</v>
      </c>
      <c r="F570" s="57" t="s">
        <v>8611</v>
      </c>
      <c r="G570" s="29" t="s">
        <v>1446</v>
      </c>
      <c r="J570" s="29">
        <f t="shared" si="33"/>
        <v>1</v>
      </c>
      <c r="K570" s="42">
        <v>563</v>
      </c>
      <c r="L570" s="43" t="s">
        <v>1447</v>
      </c>
      <c r="M570" s="44" t="s">
        <v>405</v>
      </c>
      <c r="N570" s="44" t="s">
        <v>536</v>
      </c>
      <c r="O570" s="44" t="str">
        <f t="shared" si="32"/>
        <v>PE-L1-4C4-26</v>
      </c>
      <c r="P570" s="45">
        <v>0.2</v>
      </c>
      <c r="Q570" s="44">
        <v>400</v>
      </c>
      <c r="R570" s="44" t="s">
        <v>49</v>
      </c>
      <c r="S570" s="44">
        <v>210</v>
      </c>
      <c r="T570" s="46" t="s">
        <v>5010</v>
      </c>
      <c r="U570" s="46" t="s">
        <v>4474</v>
      </c>
      <c r="V570" s="46" t="s">
        <v>4475</v>
      </c>
      <c r="W570" s="46" t="s">
        <v>347</v>
      </c>
      <c r="X570" s="47" t="s">
        <v>9305</v>
      </c>
      <c r="Y570" s="46" t="s">
        <v>5145</v>
      </c>
      <c r="Z570" s="46" t="s">
        <v>5094</v>
      </c>
      <c r="AA570" s="46" t="s">
        <v>5102</v>
      </c>
      <c r="AB570" s="47" t="s">
        <v>9305</v>
      </c>
      <c r="AC570" s="48" t="s">
        <v>5146</v>
      </c>
      <c r="AD570" s="30"/>
      <c r="AE570" s="197"/>
      <c r="AF570" s="47"/>
    </row>
    <row r="571" spans="1:32" s="29" customFormat="1" ht="69.95" hidden="1" customHeight="1">
      <c r="A571" s="29" t="s">
        <v>5147</v>
      </c>
      <c r="B571" s="29" t="s">
        <v>3769</v>
      </c>
      <c r="C571" s="40" t="s">
        <v>73</v>
      </c>
      <c r="D571" s="40"/>
      <c r="E571" s="56" t="s">
        <v>70</v>
      </c>
      <c r="F571" s="56" t="s">
        <v>70</v>
      </c>
      <c r="G571" s="29" t="s">
        <v>1448</v>
      </c>
      <c r="J571" s="29">
        <f t="shared" si="33"/>
        <v>1</v>
      </c>
      <c r="K571" s="42">
        <v>564</v>
      </c>
      <c r="L571" s="43" t="s">
        <v>1449</v>
      </c>
      <c r="M571" s="44" t="s">
        <v>405</v>
      </c>
      <c r="N571" s="44" t="s">
        <v>549</v>
      </c>
      <c r="O571" s="44" t="str">
        <f t="shared" si="32"/>
        <v>PE-L1-3C10-01</v>
      </c>
      <c r="P571" s="45">
        <v>1.1100000000000001</v>
      </c>
      <c r="Q571" s="44">
        <v>230</v>
      </c>
      <c r="R571" s="44" t="s">
        <v>49</v>
      </c>
      <c r="S571" s="44">
        <v>210</v>
      </c>
      <c r="T571" s="46" t="s">
        <v>5010</v>
      </c>
      <c r="U571" s="46" t="s">
        <v>5147</v>
      </c>
      <c r="V571" s="46" t="s">
        <v>5148</v>
      </c>
      <c r="W571" s="46" t="s">
        <v>347</v>
      </c>
      <c r="X571" s="172" t="s">
        <v>9167</v>
      </c>
      <c r="Y571" s="46" t="s">
        <v>5149</v>
      </c>
      <c r="Z571" s="46" t="s">
        <v>5099</v>
      </c>
      <c r="AA571" s="46" t="s">
        <v>5102</v>
      </c>
      <c r="AB571" s="172" t="s">
        <v>9167</v>
      </c>
      <c r="AC571" s="48" t="s">
        <v>5150</v>
      </c>
      <c r="AD571" s="165" t="s">
        <v>151</v>
      </c>
      <c r="AE571" s="197"/>
      <c r="AF571" s="47"/>
    </row>
    <row r="572" spans="1:32" s="29" customFormat="1" ht="69.95" hidden="1" customHeight="1">
      <c r="A572" s="29" t="s">
        <v>5152</v>
      </c>
      <c r="B572" s="29" t="s">
        <v>3769</v>
      </c>
      <c r="C572" s="40" t="s">
        <v>32</v>
      </c>
      <c r="D572" s="40"/>
      <c r="E572" s="57" t="s">
        <v>93</v>
      </c>
      <c r="F572" s="57" t="s">
        <v>93</v>
      </c>
      <c r="G572" s="29" t="s">
        <v>1450</v>
      </c>
      <c r="H572" s="124" t="s">
        <v>9563</v>
      </c>
      <c r="I572" s="124" t="s">
        <v>9121</v>
      </c>
      <c r="J572" s="29">
        <f t="shared" si="33"/>
        <v>1</v>
      </c>
      <c r="K572" s="42">
        <v>565</v>
      </c>
      <c r="L572" s="152" t="s">
        <v>1451</v>
      </c>
      <c r="M572" s="44" t="s">
        <v>405</v>
      </c>
      <c r="N572" s="44" t="s">
        <v>573</v>
      </c>
      <c r="O572" s="101" t="str">
        <f t="shared" si="32"/>
        <v>PE-L1-4C16-01</v>
      </c>
      <c r="P572" s="45">
        <v>15</v>
      </c>
      <c r="Q572" s="44">
        <v>400</v>
      </c>
      <c r="R572" s="44" t="s">
        <v>49</v>
      </c>
      <c r="S572" s="101">
        <v>220</v>
      </c>
      <c r="T572" s="46" t="s">
        <v>5151</v>
      </c>
      <c r="U572" s="46" t="s">
        <v>5152</v>
      </c>
      <c r="V572" s="46" t="s">
        <v>5153</v>
      </c>
      <c r="W572" s="46" t="s">
        <v>5154</v>
      </c>
      <c r="X572" s="47" t="s">
        <v>9305</v>
      </c>
      <c r="Y572" s="46" t="s">
        <v>5155</v>
      </c>
      <c r="Z572" s="46" t="s">
        <v>5156</v>
      </c>
      <c r="AA572" s="46" t="s">
        <v>5157</v>
      </c>
      <c r="AB572" s="47" t="s">
        <v>9305</v>
      </c>
      <c r="AC572" s="48" t="s">
        <v>5158</v>
      </c>
      <c r="AD572" s="30"/>
      <c r="AE572" s="197"/>
      <c r="AF572" s="47"/>
    </row>
    <row r="573" spans="1:32" s="29" customFormat="1" ht="69.95" hidden="1" customHeight="1">
      <c r="A573" s="29" t="s">
        <v>5159</v>
      </c>
      <c r="B573" s="29" t="s">
        <v>3769</v>
      </c>
      <c r="C573" s="40" t="s">
        <v>32</v>
      </c>
      <c r="D573" s="40"/>
      <c r="E573" s="57" t="s">
        <v>93</v>
      </c>
      <c r="F573" s="57" t="s">
        <v>93</v>
      </c>
      <c r="G573" s="29" t="s">
        <v>1452</v>
      </c>
      <c r="H573" s="124" t="s">
        <v>9563</v>
      </c>
      <c r="I573" s="124" t="s">
        <v>9121</v>
      </c>
      <c r="J573" s="29">
        <f t="shared" si="33"/>
        <v>1</v>
      </c>
      <c r="K573" s="42">
        <v>566</v>
      </c>
      <c r="L573" s="152" t="s">
        <v>1453</v>
      </c>
      <c r="M573" s="44" t="s">
        <v>405</v>
      </c>
      <c r="N573" s="44" t="s">
        <v>573</v>
      </c>
      <c r="O573" s="101" t="str">
        <f t="shared" si="32"/>
        <v>PE-L1-4C16-01</v>
      </c>
      <c r="P573" s="45">
        <v>15</v>
      </c>
      <c r="Q573" s="44">
        <v>400</v>
      </c>
      <c r="R573" s="44" t="s">
        <v>49</v>
      </c>
      <c r="S573" s="101">
        <v>230</v>
      </c>
      <c r="T573" s="46" t="s">
        <v>5151</v>
      </c>
      <c r="U573" s="46" t="s">
        <v>5159</v>
      </c>
      <c r="V573" s="46" t="s">
        <v>5160</v>
      </c>
      <c r="W573" s="46" t="s">
        <v>5154</v>
      </c>
      <c r="X573" s="47" t="s">
        <v>9305</v>
      </c>
      <c r="Y573" s="46" t="s">
        <v>5161</v>
      </c>
      <c r="Z573" s="46" t="s">
        <v>5162</v>
      </c>
      <c r="AA573" s="46" t="s">
        <v>5157</v>
      </c>
      <c r="AB573" s="47" t="s">
        <v>9305</v>
      </c>
      <c r="AC573" s="48" t="s">
        <v>5163</v>
      </c>
      <c r="AD573" s="30"/>
      <c r="AE573" s="197"/>
      <c r="AF573" s="47"/>
    </row>
    <row r="574" spans="1:32" s="29" customFormat="1" ht="69.95" hidden="1" customHeight="1">
      <c r="A574" s="29" t="s">
        <v>5152</v>
      </c>
      <c r="B574" s="29" t="s">
        <v>3769</v>
      </c>
      <c r="C574" s="40" t="s">
        <v>36</v>
      </c>
      <c r="D574" s="40"/>
      <c r="E574" s="57" t="s">
        <v>93</v>
      </c>
      <c r="F574" s="57" t="s">
        <v>93</v>
      </c>
      <c r="G574" s="29" t="s">
        <v>1454</v>
      </c>
      <c r="H574" s="124" t="s">
        <v>9563</v>
      </c>
      <c r="I574" s="124" t="s">
        <v>9121</v>
      </c>
      <c r="J574" s="29">
        <f t="shared" si="33"/>
        <v>1</v>
      </c>
      <c r="K574" s="42">
        <v>567</v>
      </c>
      <c r="L574" s="152" t="s">
        <v>1455</v>
      </c>
      <c r="M574" s="44" t="s">
        <v>405</v>
      </c>
      <c r="N574" s="44" t="s">
        <v>573</v>
      </c>
      <c r="O574" s="101" t="str">
        <f t="shared" si="32"/>
        <v>PE-L1-4C16-01</v>
      </c>
      <c r="P574" s="45">
        <v>15</v>
      </c>
      <c r="Q574" s="44">
        <v>400</v>
      </c>
      <c r="R574" s="44" t="s">
        <v>49</v>
      </c>
      <c r="S574" s="101">
        <v>220</v>
      </c>
      <c r="T574" s="46" t="s">
        <v>5151</v>
      </c>
      <c r="U574" s="46" t="s">
        <v>5152</v>
      </c>
      <c r="V574" s="46" t="s">
        <v>5153</v>
      </c>
      <c r="W574" s="46" t="s">
        <v>5154</v>
      </c>
      <c r="X574" s="47" t="s">
        <v>9305</v>
      </c>
      <c r="Y574" s="46" t="s">
        <v>5164</v>
      </c>
      <c r="Z574" s="46" t="s">
        <v>5165</v>
      </c>
      <c r="AA574" s="46" t="s">
        <v>5157</v>
      </c>
      <c r="AB574" s="47" t="s">
        <v>9305</v>
      </c>
      <c r="AC574" s="48" t="s">
        <v>5166</v>
      </c>
      <c r="AD574" s="30"/>
      <c r="AE574" s="197"/>
      <c r="AF574" s="47"/>
    </row>
    <row r="575" spans="1:32" s="29" customFormat="1" ht="69.95" hidden="1" customHeight="1">
      <c r="A575" s="29" t="s">
        <v>5159</v>
      </c>
      <c r="B575" s="29" t="s">
        <v>3769</v>
      </c>
      <c r="C575" s="40" t="s">
        <v>36</v>
      </c>
      <c r="D575" s="40"/>
      <c r="E575" s="57" t="s">
        <v>93</v>
      </c>
      <c r="F575" s="57" t="s">
        <v>93</v>
      </c>
      <c r="G575" s="29" t="s">
        <v>1456</v>
      </c>
      <c r="H575" s="124" t="s">
        <v>9563</v>
      </c>
      <c r="I575" s="124" t="s">
        <v>9121</v>
      </c>
      <c r="J575" s="29">
        <f t="shared" si="33"/>
        <v>1</v>
      </c>
      <c r="K575" s="42">
        <v>568</v>
      </c>
      <c r="L575" s="152" t="s">
        <v>1457</v>
      </c>
      <c r="M575" s="44" t="s">
        <v>405</v>
      </c>
      <c r="N575" s="44" t="s">
        <v>573</v>
      </c>
      <c r="O575" s="101" t="str">
        <f t="shared" ref="O575:O618" si="34">F575</f>
        <v>PE-L1-4C16-01</v>
      </c>
      <c r="P575" s="45">
        <v>15</v>
      </c>
      <c r="Q575" s="44">
        <v>400</v>
      </c>
      <c r="R575" s="44" t="s">
        <v>49</v>
      </c>
      <c r="S575" s="101">
        <v>220</v>
      </c>
      <c r="T575" s="46" t="s">
        <v>5151</v>
      </c>
      <c r="U575" s="46" t="s">
        <v>5159</v>
      </c>
      <c r="V575" s="46" t="s">
        <v>5160</v>
      </c>
      <c r="W575" s="46" t="s">
        <v>5154</v>
      </c>
      <c r="X575" s="47" t="s">
        <v>9305</v>
      </c>
      <c r="Y575" s="46" t="s">
        <v>5167</v>
      </c>
      <c r="Z575" s="46" t="s">
        <v>5168</v>
      </c>
      <c r="AA575" s="46" t="s">
        <v>5157</v>
      </c>
      <c r="AB575" s="47" t="s">
        <v>9305</v>
      </c>
      <c r="AC575" s="48" t="s">
        <v>5169</v>
      </c>
      <c r="AD575" s="30"/>
      <c r="AE575" s="197"/>
      <c r="AF575" s="47"/>
    </row>
    <row r="576" spans="1:32" s="29" customFormat="1" ht="69.95" hidden="1" customHeight="1">
      <c r="A576" s="29" t="s">
        <v>5152</v>
      </c>
      <c r="B576" s="29" t="s">
        <v>3769</v>
      </c>
      <c r="C576" s="40" t="s">
        <v>38</v>
      </c>
      <c r="D576" s="40"/>
      <c r="E576" s="57" t="s">
        <v>153</v>
      </c>
      <c r="F576" s="57" t="s">
        <v>153</v>
      </c>
      <c r="G576" s="29" t="s">
        <v>1458</v>
      </c>
      <c r="H576" s="124" t="s">
        <v>9509</v>
      </c>
      <c r="I576" s="124" t="s">
        <v>9121</v>
      </c>
      <c r="J576" s="29">
        <f t="shared" si="33"/>
        <v>1</v>
      </c>
      <c r="K576" s="42">
        <v>569</v>
      </c>
      <c r="L576" s="152" t="s">
        <v>1459</v>
      </c>
      <c r="M576" s="44" t="s">
        <v>405</v>
      </c>
      <c r="N576" s="44" t="s">
        <v>832</v>
      </c>
      <c r="O576" s="101" t="str">
        <f t="shared" si="34"/>
        <v>PE-L1-4C25/16-02</v>
      </c>
      <c r="P576" s="45">
        <v>15</v>
      </c>
      <c r="Q576" s="44">
        <v>400</v>
      </c>
      <c r="R576" s="44" t="s">
        <v>49</v>
      </c>
      <c r="S576" s="101">
        <v>330</v>
      </c>
      <c r="T576" s="46" t="s">
        <v>5170</v>
      </c>
      <c r="U576" s="46" t="s">
        <v>5152</v>
      </c>
      <c r="V576" s="46" t="s">
        <v>5153</v>
      </c>
      <c r="W576" s="46" t="s">
        <v>5154</v>
      </c>
      <c r="X576" s="47" t="s">
        <v>9305</v>
      </c>
      <c r="Y576" s="46" t="s">
        <v>5171</v>
      </c>
      <c r="Z576" s="46" t="s">
        <v>5172</v>
      </c>
      <c r="AA576" s="46" t="s">
        <v>5173</v>
      </c>
      <c r="AB576" s="47" t="s">
        <v>9305</v>
      </c>
      <c r="AC576" s="48" t="s">
        <v>5174</v>
      </c>
      <c r="AD576" s="30"/>
      <c r="AE576" s="197"/>
      <c r="AF576" s="47"/>
    </row>
    <row r="577" spans="1:32" s="29" customFormat="1" ht="69.95" hidden="1" customHeight="1">
      <c r="A577" s="29" t="s">
        <v>5159</v>
      </c>
      <c r="B577" s="29" t="s">
        <v>3769</v>
      </c>
      <c r="C577" s="40" t="s">
        <v>38</v>
      </c>
      <c r="D577" s="40"/>
      <c r="E577" s="57" t="s">
        <v>153</v>
      </c>
      <c r="F577" s="57" t="s">
        <v>153</v>
      </c>
      <c r="G577" s="29" t="s">
        <v>1460</v>
      </c>
      <c r="H577" s="124" t="s">
        <v>9509</v>
      </c>
      <c r="I577" s="124" t="s">
        <v>9121</v>
      </c>
      <c r="J577" s="29">
        <f t="shared" si="33"/>
        <v>1</v>
      </c>
      <c r="K577" s="42">
        <v>570</v>
      </c>
      <c r="L577" s="152" t="s">
        <v>1461</v>
      </c>
      <c r="M577" s="44" t="s">
        <v>405</v>
      </c>
      <c r="N577" s="44" t="s">
        <v>832</v>
      </c>
      <c r="O577" s="101" t="str">
        <f t="shared" si="34"/>
        <v>PE-L1-4C25/16-02</v>
      </c>
      <c r="P577" s="45">
        <v>15</v>
      </c>
      <c r="Q577" s="44">
        <v>400</v>
      </c>
      <c r="R577" s="44" t="s">
        <v>49</v>
      </c>
      <c r="S577" s="101">
        <v>340</v>
      </c>
      <c r="T577" s="46" t="s">
        <v>5170</v>
      </c>
      <c r="U577" s="46" t="s">
        <v>5159</v>
      </c>
      <c r="V577" s="46" t="s">
        <v>5160</v>
      </c>
      <c r="W577" s="46" t="s">
        <v>5154</v>
      </c>
      <c r="X577" s="47" t="s">
        <v>9305</v>
      </c>
      <c r="Y577" s="46" t="s">
        <v>5175</v>
      </c>
      <c r="Z577" s="46" t="s">
        <v>8039</v>
      </c>
      <c r="AA577" s="46" t="s">
        <v>5173</v>
      </c>
      <c r="AB577" s="47" t="s">
        <v>9305</v>
      </c>
      <c r="AC577" s="48" t="s">
        <v>5176</v>
      </c>
      <c r="AD577" s="30"/>
      <c r="AE577" s="197"/>
      <c r="AF577" s="47"/>
    </row>
    <row r="578" spans="1:32" s="29" customFormat="1" ht="69.95" hidden="1" customHeight="1">
      <c r="A578" s="29" t="s">
        <v>5152</v>
      </c>
      <c r="B578" s="29" t="s">
        <v>3769</v>
      </c>
      <c r="C578" s="40" t="s">
        <v>40</v>
      </c>
      <c r="D578" s="40"/>
      <c r="E578" s="57" t="s">
        <v>8592</v>
      </c>
      <c r="F578" s="57" t="s">
        <v>8592</v>
      </c>
      <c r="G578" s="29" t="s">
        <v>1462</v>
      </c>
      <c r="H578" s="124" t="s">
        <v>9509</v>
      </c>
      <c r="I578" s="124" t="s">
        <v>9121</v>
      </c>
      <c r="J578" s="29">
        <f t="shared" si="33"/>
        <v>1</v>
      </c>
      <c r="K578" s="42">
        <v>571</v>
      </c>
      <c r="L578" s="152" t="s">
        <v>1463</v>
      </c>
      <c r="M578" s="44" t="s">
        <v>405</v>
      </c>
      <c r="N578" s="44" t="s">
        <v>8632</v>
      </c>
      <c r="O578" s="101" t="str">
        <f t="shared" si="34"/>
        <v>PE-L1-4C25/16-04</v>
      </c>
      <c r="P578" s="45">
        <v>15</v>
      </c>
      <c r="Q578" s="44">
        <v>400</v>
      </c>
      <c r="R578" s="44" t="s">
        <v>49</v>
      </c>
      <c r="S578" s="101">
        <v>340</v>
      </c>
      <c r="T578" s="46" t="s">
        <v>5170</v>
      </c>
      <c r="U578" s="46" t="s">
        <v>5152</v>
      </c>
      <c r="V578" s="46" t="s">
        <v>5153</v>
      </c>
      <c r="W578" s="46" t="s">
        <v>5154</v>
      </c>
      <c r="X578" s="47" t="s">
        <v>9305</v>
      </c>
      <c r="Y578" s="46" t="s">
        <v>5177</v>
      </c>
      <c r="Z578" s="46" t="s">
        <v>5178</v>
      </c>
      <c r="AA578" s="46" t="s">
        <v>5173</v>
      </c>
      <c r="AB578" s="47" t="s">
        <v>9305</v>
      </c>
      <c r="AC578" s="48" t="s">
        <v>5179</v>
      </c>
      <c r="AD578" s="30"/>
      <c r="AE578" s="197"/>
      <c r="AF578" s="47"/>
    </row>
    <row r="579" spans="1:32" s="29" customFormat="1" ht="69.95" hidden="1" customHeight="1">
      <c r="A579" s="29" t="s">
        <v>5159</v>
      </c>
      <c r="B579" s="29" t="s">
        <v>3769</v>
      </c>
      <c r="C579" s="40" t="s">
        <v>40</v>
      </c>
      <c r="D579" s="40"/>
      <c r="E579" s="57" t="s">
        <v>8592</v>
      </c>
      <c r="F579" s="57" t="s">
        <v>8592</v>
      </c>
      <c r="G579" s="29" t="s">
        <v>1464</v>
      </c>
      <c r="H579" s="124" t="s">
        <v>9509</v>
      </c>
      <c r="I579" s="124" t="s">
        <v>9121</v>
      </c>
      <c r="J579" s="29">
        <f t="shared" si="33"/>
        <v>1</v>
      </c>
      <c r="K579" s="42">
        <v>572</v>
      </c>
      <c r="L579" s="152" t="s">
        <v>1465</v>
      </c>
      <c r="M579" s="44" t="s">
        <v>405</v>
      </c>
      <c r="N579" s="44" t="s">
        <v>832</v>
      </c>
      <c r="O579" s="101" t="str">
        <f t="shared" si="34"/>
        <v>PE-L1-4C25/16-04</v>
      </c>
      <c r="P579" s="45">
        <v>15</v>
      </c>
      <c r="Q579" s="44">
        <v>400</v>
      </c>
      <c r="R579" s="44" t="s">
        <v>49</v>
      </c>
      <c r="S579" s="101">
        <v>350</v>
      </c>
      <c r="T579" s="46" t="s">
        <v>5170</v>
      </c>
      <c r="U579" s="46" t="s">
        <v>5159</v>
      </c>
      <c r="V579" s="46" t="s">
        <v>5160</v>
      </c>
      <c r="W579" s="46" t="s">
        <v>5154</v>
      </c>
      <c r="X579" s="47" t="s">
        <v>9305</v>
      </c>
      <c r="Y579" s="46" t="s">
        <v>5180</v>
      </c>
      <c r="Z579" s="46" t="s">
        <v>5181</v>
      </c>
      <c r="AA579" s="46" t="s">
        <v>5173</v>
      </c>
      <c r="AB579" s="47" t="s">
        <v>9305</v>
      </c>
      <c r="AC579" s="48" t="s">
        <v>5182</v>
      </c>
      <c r="AD579" s="30"/>
      <c r="AE579" s="197"/>
      <c r="AF579" s="47"/>
    </row>
    <row r="580" spans="1:32" s="29" customFormat="1" ht="69.95" hidden="1" customHeight="1">
      <c r="A580" s="29" t="s">
        <v>5159</v>
      </c>
      <c r="B580" s="29" t="s">
        <v>3769</v>
      </c>
      <c r="C580" s="40" t="s">
        <v>41</v>
      </c>
      <c r="D580" s="40"/>
      <c r="E580" s="57" t="s">
        <v>8592</v>
      </c>
      <c r="F580" s="57" t="s">
        <v>8592</v>
      </c>
      <c r="G580" s="29" t="s">
        <v>1466</v>
      </c>
      <c r="J580" s="29">
        <f t="shared" si="33"/>
        <v>1</v>
      </c>
      <c r="K580" s="42">
        <v>573</v>
      </c>
      <c r="L580" s="43" t="s">
        <v>1467</v>
      </c>
      <c r="M580" s="44" t="s">
        <v>405</v>
      </c>
      <c r="N580" s="44" t="s">
        <v>832</v>
      </c>
      <c r="O580" s="44" t="str">
        <f t="shared" si="34"/>
        <v>PE-L1-4C25/16-04</v>
      </c>
      <c r="P580" s="45">
        <v>30</v>
      </c>
      <c r="Q580" s="44">
        <v>400</v>
      </c>
      <c r="R580" s="44" t="s">
        <v>49</v>
      </c>
      <c r="S580" s="44">
        <v>160</v>
      </c>
      <c r="T580" s="46" t="s">
        <v>5183</v>
      </c>
      <c r="U580" s="46" t="s">
        <v>5159</v>
      </c>
      <c r="V580" s="46" t="s">
        <v>5160</v>
      </c>
      <c r="W580" s="46" t="s">
        <v>5154</v>
      </c>
      <c r="X580" s="47" t="s">
        <v>9305</v>
      </c>
      <c r="Y580" s="46" t="s">
        <v>5184</v>
      </c>
      <c r="Z580" s="46" t="s">
        <v>8040</v>
      </c>
      <c r="AA580" s="46" t="s">
        <v>5185</v>
      </c>
      <c r="AB580" s="47" t="s">
        <v>9305</v>
      </c>
      <c r="AC580" s="48" t="s">
        <v>5186</v>
      </c>
      <c r="AD580" s="30"/>
      <c r="AE580" s="197"/>
      <c r="AF580" s="47"/>
    </row>
    <row r="581" spans="1:32" s="29" customFormat="1" ht="69.95" hidden="1" customHeight="1">
      <c r="A581" s="29" t="s">
        <v>5152</v>
      </c>
      <c r="B581" s="29" t="s">
        <v>3769</v>
      </c>
      <c r="C581" s="40" t="s">
        <v>41</v>
      </c>
      <c r="D581" s="40"/>
      <c r="E581" s="57" t="s">
        <v>8592</v>
      </c>
      <c r="F581" s="57" t="s">
        <v>8592</v>
      </c>
      <c r="G581" s="29" t="s">
        <v>1468</v>
      </c>
      <c r="J581" s="29">
        <f t="shared" si="33"/>
        <v>1</v>
      </c>
      <c r="K581" s="42">
        <v>574</v>
      </c>
      <c r="L581" s="43" t="s">
        <v>1469</v>
      </c>
      <c r="M581" s="44" t="s">
        <v>405</v>
      </c>
      <c r="N581" s="44" t="s">
        <v>832</v>
      </c>
      <c r="O581" s="44" t="str">
        <f t="shared" si="34"/>
        <v>PE-L1-4C25/16-04</v>
      </c>
      <c r="P581" s="45">
        <v>30</v>
      </c>
      <c r="Q581" s="44">
        <v>400</v>
      </c>
      <c r="R581" s="44" t="s">
        <v>49</v>
      </c>
      <c r="S581" s="44">
        <v>160</v>
      </c>
      <c r="T581" s="46" t="s">
        <v>5183</v>
      </c>
      <c r="U581" s="46" t="s">
        <v>5152</v>
      </c>
      <c r="V581" s="46" t="s">
        <v>5153</v>
      </c>
      <c r="W581" s="46" t="s">
        <v>5154</v>
      </c>
      <c r="X581" s="47" t="s">
        <v>9305</v>
      </c>
      <c r="Y581" s="46" t="s">
        <v>5187</v>
      </c>
      <c r="Z581" s="46" t="s">
        <v>5188</v>
      </c>
      <c r="AA581" s="46" t="s">
        <v>5185</v>
      </c>
      <c r="AB581" s="47" t="s">
        <v>9305</v>
      </c>
      <c r="AC581" s="48" t="s">
        <v>5189</v>
      </c>
      <c r="AD581" s="30"/>
      <c r="AE581" s="197"/>
      <c r="AF581" s="47"/>
    </row>
    <row r="582" spans="1:32" s="29" customFormat="1" ht="69.95" hidden="1" customHeight="1">
      <c r="A582" s="29" t="s">
        <v>5159</v>
      </c>
      <c r="B582" s="29" t="s">
        <v>3769</v>
      </c>
      <c r="C582" s="40" t="s">
        <v>42</v>
      </c>
      <c r="D582" s="40"/>
      <c r="E582" s="57" t="s">
        <v>8592</v>
      </c>
      <c r="F582" s="57" t="s">
        <v>8592</v>
      </c>
      <c r="G582" s="29" t="s">
        <v>1470</v>
      </c>
      <c r="J582" s="29">
        <f t="shared" si="33"/>
        <v>1</v>
      </c>
      <c r="K582" s="42">
        <v>575</v>
      </c>
      <c r="L582" s="43" t="s">
        <v>1471</v>
      </c>
      <c r="M582" s="44" t="s">
        <v>405</v>
      </c>
      <c r="N582" s="44" t="s">
        <v>832</v>
      </c>
      <c r="O582" s="44" t="str">
        <f t="shared" si="34"/>
        <v>PE-L1-4C25/16-04</v>
      </c>
      <c r="P582" s="45">
        <v>30</v>
      </c>
      <c r="Q582" s="44">
        <v>400</v>
      </c>
      <c r="R582" s="44" t="s">
        <v>49</v>
      </c>
      <c r="S582" s="44">
        <v>170</v>
      </c>
      <c r="T582" s="46" t="s">
        <v>5183</v>
      </c>
      <c r="U582" s="46" t="s">
        <v>5159</v>
      </c>
      <c r="V582" s="46" t="s">
        <v>5160</v>
      </c>
      <c r="W582" s="46" t="s">
        <v>5154</v>
      </c>
      <c r="X582" s="47" t="s">
        <v>9305</v>
      </c>
      <c r="Y582" s="46" t="s">
        <v>5190</v>
      </c>
      <c r="Z582" s="46" t="s">
        <v>5191</v>
      </c>
      <c r="AA582" s="46" t="s">
        <v>5185</v>
      </c>
      <c r="AB582" s="47" t="s">
        <v>9305</v>
      </c>
      <c r="AC582" s="48" t="s">
        <v>5192</v>
      </c>
      <c r="AD582" s="30"/>
      <c r="AE582" s="197"/>
      <c r="AF582" s="47"/>
    </row>
    <row r="583" spans="1:32" s="29" customFormat="1" ht="69.95" hidden="1" customHeight="1">
      <c r="A583" s="29" t="s">
        <v>5152</v>
      </c>
      <c r="B583" s="29" t="s">
        <v>3769</v>
      </c>
      <c r="C583" s="40" t="s">
        <v>42</v>
      </c>
      <c r="D583" s="40"/>
      <c r="E583" s="57" t="s">
        <v>8592</v>
      </c>
      <c r="F583" s="57" t="s">
        <v>8592</v>
      </c>
      <c r="G583" s="29" t="s">
        <v>1472</v>
      </c>
      <c r="J583" s="29">
        <f t="shared" si="33"/>
        <v>1</v>
      </c>
      <c r="K583" s="42">
        <v>576</v>
      </c>
      <c r="L583" s="43" t="s">
        <v>1473</v>
      </c>
      <c r="M583" s="44" t="s">
        <v>405</v>
      </c>
      <c r="N583" s="44" t="s">
        <v>832</v>
      </c>
      <c r="O583" s="44" t="str">
        <f t="shared" si="34"/>
        <v>PE-L1-4C25/16-04</v>
      </c>
      <c r="P583" s="45">
        <v>30</v>
      </c>
      <c r="Q583" s="44">
        <v>400</v>
      </c>
      <c r="R583" s="44" t="s">
        <v>49</v>
      </c>
      <c r="S583" s="44">
        <v>170</v>
      </c>
      <c r="T583" s="46" t="s">
        <v>5183</v>
      </c>
      <c r="U583" s="46" t="s">
        <v>5152</v>
      </c>
      <c r="V583" s="46" t="s">
        <v>5153</v>
      </c>
      <c r="W583" s="46" t="s">
        <v>5154</v>
      </c>
      <c r="X583" s="47" t="s">
        <v>9305</v>
      </c>
      <c r="Y583" s="46" t="s">
        <v>5193</v>
      </c>
      <c r="Z583" s="46" t="s">
        <v>5194</v>
      </c>
      <c r="AA583" s="46" t="s">
        <v>5185</v>
      </c>
      <c r="AB583" s="47" t="s">
        <v>9305</v>
      </c>
      <c r="AC583" s="48" t="s">
        <v>5195</v>
      </c>
      <c r="AD583" s="30"/>
      <c r="AE583" s="197"/>
      <c r="AF583" s="47"/>
    </row>
    <row r="584" spans="1:32" s="29" customFormat="1" ht="69.95" hidden="1" customHeight="1">
      <c r="A584" s="29" t="s">
        <v>5159</v>
      </c>
      <c r="B584" s="29" t="s">
        <v>3769</v>
      </c>
      <c r="C584" s="40" t="s">
        <v>43</v>
      </c>
      <c r="D584" s="40"/>
      <c r="E584" s="57" t="s">
        <v>150</v>
      </c>
      <c r="F584" s="57" t="s">
        <v>150</v>
      </c>
      <c r="G584" s="29" t="s">
        <v>1474</v>
      </c>
      <c r="J584" s="29">
        <f t="shared" ref="J584:J647" si="35">COUNTIF(L:L,L584)</f>
        <v>1</v>
      </c>
      <c r="K584" s="42">
        <v>577</v>
      </c>
      <c r="L584" s="43" t="s">
        <v>1475</v>
      </c>
      <c r="M584" s="44" t="s">
        <v>405</v>
      </c>
      <c r="N584" s="44" t="s">
        <v>426</v>
      </c>
      <c r="O584" s="44" t="str">
        <f t="shared" si="34"/>
        <v>PE-L1-3C4-07</v>
      </c>
      <c r="P584" s="45">
        <v>0.06</v>
      </c>
      <c r="Q584" s="44">
        <v>230</v>
      </c>
      <c r="R584" s="44" t="s">
        <v>49</v>
      </c>
      <c r="S584" s="44">
        <v>160</v>
      </c>
      <c r="T584" s="46" t="s">
        <v>5183</v>
      </c>
      <c r="U584" s="46" t="s">
        <v>5159</v>
      </c>
      <c r="V584" s="46" t="s">
        <v>5160</v>
      </c>
      <c r="W584" s="46" t="s">
        <v>5154</v>
      </c>
      <c r="X584" s="172" t="s">
        <v>9167</v>
      </c>
      <c r="Y584" s="46" t="s">
        <v>5184</v>
      </c>
      <c r="Z584" s="46" t="s">
        <v>5196</v>
      </c>
      <c r="AA584" s="46" t="s">
        <v>5185</v>
      </c>
      <c r="AB584" s="172" t="s">
        <v>9167</v>
      </c>
      <c r="AC584" s="48" t="s">
        <v>5197</v>
      </c>
      <c r="AD584" s="30"/>
      <c r="AE584" s="197"/>
      <c r="AF584" s="47"/>
    </row>
    <row r="585" spans="1:32" s="29" customFormat="1" ht="69.95" hidden="1" customHeight="1">
      <c r="A585" s="29" t="s">
        <v>5152</v>
      </c>
      <c r="B585" s="29" t="s">
        <v>3769</v>
      </c>
      <c r="C585" s="40" t="s">
        <v>43</v>
      </c>
      <c r="D585" s="40"/>
      <c r="E585" s="57" t="s">
        <v>150</v>
      </c>
      <c r="F585" s="57" t="s">
        <v>150</v>
      </c>
      <c r="G585" s="29" t="s">
        <v>1476</v>
      </c>
      <c r="J585" s="29">
        <f t="shared" si="35"/>
        <v>1</v>
      </c>
      <c r="K585" s="42">
        <v>578</v>
      </c>
      <c r="L585" s="43" t="s">
        <v>1477</v>
      </c>
      <c r="M585" s="44" t="s">
        <v>405</v>
      </c>
      <c r="N585" s="44" t="s">
        <v>426</v>
      </c>
      <c r="O585" s="44" t="str">
        <f t="shared" si="34"/>
        <v>PE-L1-3C4-07</v>
      </c>
      <c r="P585" s="45">
        <v>0.06</v>
      </c>
      <c r="Q585" s="44">
        <v>230</v>
      </c>
      <c r="R585" s="44" t="s">
        <v>49</v>
      </c>
      <c r="S585" s="44">
        <v>160</v>
      </c>
      <c r="T585" s="46" t="s">
        <v>5183</v>
      </c>
      <c r="U585" s="46" t="s">
        <v>5152</v>
      </c>
      <c r="V585" s="46" t="s">
        <v>5153</v>
      </c>
      <c r="W585" s="46" t="s">
        <v>5154</v>
      </c>
      <c r="X585" s="172" t="s">
        <v>9167</v>
      </c>
      <c r="Y585" s="46" t="s">
        <v>5187</v>
      </c>
      <c r="Z585" s="46" t="s">
        <v>5198</v>
      </c>
      <c r="AA585" s="46" t="s">
        <v>5185</v>
      </c>
      <c r="AB585" s="172" t="s">
        <v>9167</v>
      </c>
      <c r="AC585" s="48" t="s">
        <v>5199</v>
      </c>
      <c r="AD585" s="30"/>
      <c r="AE585" s="197"/>
      <c r="AF585" s="47"/>
    </row>
    <row r="586" spans="1:32" s="29" customFormat="1" ht="69.95" hidden="1" customHeight="1">
      <c r="A586" s="29" t="s">
        <v>5159</v>
      </c>
      <c r="B586" s="29" t="s">
        <v>3769</v>
      </c>
      <c r="C586" s="40" t="s">
        <v>73</v>
      </c>
      <c r="D586" s="40"/>
      <c r="E586" s="57" t="s">
        <v>150</v>
      </c>
      <c r="F586" s="57" t="s">
        <v>150</v>
      </c>
      <c r="G586" s="29" t="s">
        <v>1478</v>
      </c>
      <c r="J586" s="29">
        <f t="shared" si="35"/>
        <v>1</v>
      </c>
      <c r="K586" s="42">
        <v>579</v>
      </c>
      <c r="L586" s="43" t="s">
        <v>1479</v>
      </c>
      <c r="M586" s="44" t="s">
        <v>405</v>
      </c>
      <c r="N586" s="44" t="s">
        <v>426</v>
      </c>
      <c r="O586" s="44" t="str">
        <f t="shared" si="34"/>
        <v>PE-L1-3C4-07</v>
      </c>
      <c r="P586" s="45">
        <v>0.06</v>
      </c>
      <c r="Q586" s="44">
        <v>230</v>
      </c>
      <c r="R586" s="44" t="s">
        <v>49</v>
      </c>
      <c r="S586" s="44">
        <v>170</v>
      </c>
      <c r="T586" s="46" t="s">
        <v>5183</v>
      </c>
      <c r="U586" s="46" t="s">
        <v>5159</v>
      </c>
      <c r="V586" s="46" t="s">
        <v>5160</v>
      </c>
      <c r="W586" s="46" t="s">
        <v>5154</v>
      </c>
      <c r="X586" s="172" t="s">
        <v>9167</v>
      </c>
      <c r="Y586" s="46" t="s">
        <v>5190</v>
      </c>
      <c r="Z586" s="46" t="s">
        <v>5200</v>
      </c>
      <c r="AA586" s="46" t="s">
        <v>5185</v>
      </c>
      <c r="AB586" s="172" t="s">
        <v>9167</v>
      </c>
      <c r="AC586" s="48" t="s">
        <v>5201</v>
      </c>
      <c r="AD586" s="30"/>
      <c r="AE586" s="197"/>
      <c r="AF586" s="47"/>
    </row>
    <row r="587" spans="1:32" s="29" customFormat="1" ht="69.95" hidden="1" customHeight="1">
      <c r="A587" s="29" t="s">
        <v>5152</v>
      </c>
      <c r="B587" s="29" t="s">
        <v>3769</v>
      </c>
      <c r="C587" s="40" t="s">
        <v>73</v>
      </c>
      <c r="D587" s="40"/>
      <c r="E587" s="56" t="s">
        <v>150</v>
      </c>
      <c r="F587" s="56" t="s">
        <v>150</v>
      </c>
      <c r="G587" s="29" t="s">
        <v>1480</v>
      </c>
      <c r="J587" s="29">
        <f t="shared" si="35"/>
        <v>1</v>
      </c>
      <c r="K587" s="42">
        <v>580</v>
      </c>
      <c r="L587" s="43" t="s">
        <v>1481</v>
      </c>
      <c r="M587" s="44" t="s">
        <v>405</v>
      </c>
      <c r="N587" s="44" t="s">
        <v>426</v>
      </c>
      <c r="O587" s="44" t="str">
        <f t="shared" si="34"/>
        <v>PE-L1-3C4-07</v>
      </c>
      <c r="P587" s="45">
        <v>0.06</v>
      </c>
      <c r="Q587" s="44">
        <v>230</v>
      </c>
      <c r="R587" s="44" t="s">
        <v>49</v>
      </c>
      <c r="S587" s="44">
        <v>170</v>
      </c>
      <c r="T587" s="46" t="s">
        <v>5183</v>
      </c>
      <c r="U587" s="46" t="s">
        <v>5152</v>
      </c>
      <c r="V587" s="46" t="s">
        <v>5153</v>
      </c>
      <c r="W587" s="46" t="s">
        <v>5154</v>
      </c>
      <c r="X587" s="172" t="s">
        <v>9167</v>
      </c>
      <c r="Y587" s="46" t="s">
        <v>5193</v>
      </c>
      <c r="Z587" s="46" t="s">
        <v>5202</v>
      </c>
      <c r="AA587" s="46" t="s">
        <v>5185</v>
      </c>
      <c r="AB587" s="172" t="s">
        <v>9167</v>
      </c>
      <c r="AC587" s="48" t="s">
        <v>5203</v>
      </c>
      <c r="AD587" s="30"/>
      <c r="AE587" s="197"/>
      <c r="AF587" s="47"/>
    </row>
    <row r="588" spans="1:32" s="29" customFormat="1" ht="69.95" hidden="1" customHeight="1">
      <c r="A588" s="29" t="s">
        <v>5152</v>
      </c>
      <c r="B588" s="29" t="s">
        <v>3769</v>
      </c>
      <c r="C588" s="40" t="s">
        <v>75</v>
      </c>
      <c r="D588" s="40"/>
      <c r="E588" s="57" t="s">
        <v>126</v>
      </c>
      <c r="F588" s="57" t="s">
        <v>126</v>
      </c>
      <c r="G588" s="29" t="s">
        <v>1482</v>
      </c>
      <c r="H588" s="124" t="s">
        <v>9509</v>
      </c>
      <c r="I588" s="124" t="s">
        <v>9121</v>
      </c>
      <c r="J588" s="29">
        <f t="shared" si="35"/>
        <v>1</v>
      </c>
      <c r="K588" s="42">
        <v>581</v>
      </c>
      <c r="L588" s="152" t="s">
        <v>1483</v>
      </c>
      <c r="M588" s="44" t="s">
        <v>405</v>
      </c>
      <c r="N588" s="44" t="s">
        <v>536</v>
      </c>
      <c r="O588" s="101" t="str">
        <f t="shared" si="34"/>
        <v>PE-L1-4C4-04</v>
      </c>
      <c r="P588" s="45">
        <v>0.75</v>
      </c>
      <c r="Q588" s="44">
        <v>400</v>
      </c>
      <c r="R588" s="44" t="s">
        <v>49</v>
      </c>
      <c r="S588" s="101">
        <v>230</v>
      </c>
      <c r="T588" s="46" t="s">
        <v>5151</v>
      </c>
      <c r="U588" s="46" t="s">
        <v>5152</v>
      </c>
      <c r="V588" s="46" t="s">
        <v>5153</v>
      </c>
      <c r="W588" s="46" t="s">
        <v>5154</v>
      </c>
      <c r="X588" s="47" t="s">
        <v>9305</v>
      </c>
      <c r="Y588" s="46" t="s">
        <v>5204</v>
      </c>
      <c r="Z588" s="46" t="s">
        <v>5205</v>
      </c>
      <c r="AA588" s="46" t="s">
        <v>5157</v>
      </c>
      <c r="AB588" s="47" t="s">
        <v>9305</v>
      </c>
      <c r="AC588" s="48" t="s">
        <v>5206</v>
      </c>
      <c r="AD588" s="30"/>
      <c r="AE588" s="197"/>
      <c r="AF588" s="47"/>
    </row>
    <row r="589" spans="1:32" s="29" customFormat="1" ht="69.95" hidden="1" customHeight="1">
      <c r="A589" s="29" t="s">
        <v>5159</v>
      </c>
      <c r="B589" s="29" t="s">
        <v>3769</v>
      </c>
      <c r="C589" s="40" t="s">
        <v>75</v>
      </c>
      <c r="D589" s="40"/>
      <c r="E589" s="57" t="s">
        <v>126</v>
      </c>
      <c r="F589" s="57" t="s">
        <v>126</v>
      </c>
      <c r="G589" s="29" t="s">
        <v>1484</v>
      </c>
      <c r="H589" s="124" t="s">
        <v>9509</v>
      </c>
      <c r="I589" s="124" t="s">
        <v>9121</v>
      </c>
      <c r="J589" s="29">
        <f t="shared" si="35"/>
        <v>1</v>
      </c>
      <c r="K589" s="42">
        <v>582</v>
      </c>
      <c r="L589" s="152" t="s">
        <v>1485</v>
      </c>
      <c r="M589" s="44" t="s">
        <v>405</v>
      </c>
      <c r="N589" s="44" t="s">
        <v>536</v>
      </c>
      <c r="O589" s="101" t="str">
        <f t="shared" si="34"/>
        <v>PE-L1-4C4-04</v>
      </c>
      <c r="P589" s="45">
        <v>0.75</v>
      </c>
      <c r="Q589" s="44">
        <v>400</v>
      </c>
      <c r="R589" s="44" t="s">
        <v>49</v>
      </c>
      <c r="S589" s="101">
        <v>250</v>
      </c>
      <c r="T589" s="46" t="s">
        <v>5151</v>
      </c>
      <c r="U589" s="46" t="s">
        <v>5159</v>
      </c>
      <c r="V589" s="46" t="s">
        <v>5160</v>
      </c>
      <c r="W589" s="46" t="s">
        <v>5154</v>
      </c>
      <c r="X589" s="47" t="s">
        <v>9305</v>
      </c>
      <c r="Y589" s="46" t="s">
        <v>5207</v>
      </c>
      <c r="Z589" s="46" t="s">
        <v>5208</v>
      </c>
      <c r="AA589" s="46" t="s">
        <v>5157</v>
      </c>
      <c r="AB589" s="47" t="s">
        <v>9305</v>
      </c>
      <c r="AC589" s="48" t="s">
        <v>5209</v>
      </c>
      <c r="AD589" s="30"/>
      <c r="AE589" s="197"/>
      <c r="AF589" s="47"/>
    </row>
    <row r="590" spans="1:32" s="29" customFormat="1" ht="69.95" hidden="1" customHeight="1">
      <c r="A590" s="29" t="s">
        <v>5152</v>
      </c>
      <c r="B590" s="29" t="s">
        <v>3769</v>
      </c>
      <c r="C590" s="40">
        <v>10</v>
      </c>
      <c r="D590" s="40"/>
      <c r="E590" s="57" t="s">
        <v>126</v>
      </c>
      <c r="F590" s="57" t="s">
        <v>126</v>
      </c>
      <c r="G590" s="29" t="s">
        <v>1486</v>
      </c>
      <c r="H590" s="124" t="s">
        <v>9509</v>
      </c>
      <c r="I590" s="124" t="s">
        <v>9121</v>
      </c>
      <c r="J590" s="29">
        <f t="shared" si="35"/>
        <v>1</v>
      </c>
      <c r="K590" s="42">
        <v>583</v>
      </c>
      <c r="L590" s="152" t="s">
        <v>1487</v>
      </c>
      <c r="M590" s="44" t="s">
        <v>405</v>
      </c>
      <c r="N590" s="44" t="s">
        <v>536</v>
      </c>
      <c r="O590" s="101" t="str">
        <f t="shared" si="34"/>
        <v>PE-L1-4C4-04</v>
      </c>
      <c r="P590" s="45">
        <v>0.3</v>
      </c>
      <c r="Q590" s="44">
        <v>400</v>
      </c>
      <c r="R590" s="44" t="s">
        <v>49</v>
      </c>
      <c r="S590" s="101">
        <v>220</v>
      </c>
      <c r="T590" s="46" t="s">
        <v>5151</v>
      </c>
      <c r="U590" s="46" t="s">
        <v>5152</v>
      </c>
      <c r="V590" s="46" t="s">
        <v>5153</v>
      </c>
      <c r="W590" s="46" t="s">
        <v>5154</v>
      </c>
      <c r="X590" s="47" t="s">
        <v>9305</v>
      </c>
      <c r="Y590" s="46" t="s">
        <v>5210</v>
      </c>
      <c r="Z590" s="46" t="s">
        <v>5211</v>
      </c>
      <c r="AA590" s="46" t="s">
        <v>5157</v>
      </c>
      <c r="AB590" s="47" t="s">
        <v>9305</v>
      </c>
      <c r="AC590" s="48" t="s">
        <v>5212</v>
      </c>
      <c r="AD590" s="30"/>
      <c r="AE590" s="197"/>
      <c r="AF590" s="47"/>
    </row>
    <row r="591" spans="1:32" s="29" customFormat="1" ht="69.95" hidden="1" customHeight="1">
      <c r="A591" s="29" t="s">
        <v>5159</v>
      </c>
      <c r="B591" s="29" t="s">
        <v>3769</v>
      </c>
      <c r="C591" s="40">
        <v>10</v>
      </c>
      <c r="D591" s="40"/>
      <c r="E591" s="57" t="s">
        <v>126</v>
      </c>
      <c r="F591" s="57" t="s">
        <v>126</v>
      </c>
      <c r="G591" s="29" t="s">
        <v>1488</v>
      </c>
      <c r="H591" s="124" t="s">
        <v>9509</v>
      </c>
      <c r="I591" s="124" t="s">
        <v>9121</v>
      </c>
      <c r="J591" s="29">
        <f t="shared" si="35"/>
        <v>1</v>
      </c>
      <c r="K591" s="42">
        <v>584</v>
      </c>
      <c r="L591" s="152" t="s">
        <v>1489</v>
      </c>
      <c r="M591" s="44" t="s">
        <v>405</v>
      </c>
      <c r="N591" s="44" t="s">
        <v>536</v>
      </c>
      <c r="O591" s="101" t="str">
        <f t="shared" si="34"/>
        <v>PE-L1-4C4-04</v>
      </c>
      <c r="P591" s="45">
        <v>0.3</v>
      </c>
      <c r="Q591" s="44">
        <v>400</v>
      </c>
      <c r="R591" s="44" t="s">
        <v>49</v>
      </c>
      <c r="S591" s="101">
        <v>230</v>
      </c>
      <c r="T591" s="46" t="s">
        <v>5151</v>
      </c>
      <c r="U591" s="46" t="s">
        <v>5159</v>
      </c>
      <c r="V591" s="46" t="s">
        <v>5160</v>
      </c>
      <c r="W591" s="46" t="s">
        <v>5154</v>
      </c>
      <c r="X591" s="47" t="s">
        <v>9305</v>
      </c>
      <c r="Y591" s="46" t="s">
        <v>5213</v>
      </c>
      <c r="Z591" s="46" t="s">
        <v>5214</v>
      </c>
      <c r="AA591" s="46" t="s">
        <v>5157</v>
      </c>
      <c r="AB591" s="47" t="s">
        <v>9305</v>
      </c>
      <c r="AC591" s="48" t="s">
        <v>5215</v>
      </c>
      <c r="AD591" s="30"/>
      <c r="AE591" s="197"/>
      <c r="AF591" s="47"/>
    </row>
    <row r="592" spans="1:32" s="29" customFormat="1" ht="69.95" hidden="1" customHeight="1">
      <c r="A592" s="29" t="s">
        <v>5152</v>
      </c>
      <c r="B592" s="29" t="s">
        <v>3769</v>
      </c>
      <c r="C592" s="40">
        <v>11</v>
      </c>
      <c r="D592" s="40"/>
      <c r="E592" s="57" t="s">
        <v>126</v>
      </c>
      <c r="F592" s="57" t="s">
        <v>126</v>
      </c>
      <c r="G592" s="29" t="s">
        <v>1490</v>
      </c>
      <c r="H592" s="124" t="s">
        <v>9509</v>
      </c>
      <c r="I592" s="124" t="s">
        <v>9121</v>
      </c>
      <c r="J592" s="29">
        <f t="shared" si="35"/>
        <v>1</v>
      </c>
      <c r="K592" s="42">
        <v>585</v>
      </c>
      <c r="L592" s="152" t="s">
        <v>1491</v>
      </c>
      <c r="M592" s="44" t="s">
        <v>405</v>
      </c>
      <c r="N592" s="44" t="s">
        <v>536</v>
      </c>
      <c r="O592" s="101" t="str">
        <f t="shared" si="34"/>
        <v>PE-L1-4C4-04</v>
      </c>
      <c r="P592" s="45">
        <v>0.3</v>
      </c>
      <c r="Q592" s="44">
        <v>400</v>
      </c>
      <c r="R592" s="44" t="s">
        <v>49</v>
      </c>
      <c r="S592" s="101">
        <v>220</v>
      </c>
      <c r="T592" s="46" t="s">
        <v>5151</v>
      </c>
      <c r="U592" s="46" t="s">
        <v>5152</v>
      </c>
      <c r="V592" s="46" t="s">
        <v>5153</v>
      </c>
      <c r="W592" s="46" t="s">
        <v>5154</v>
      </c>
      <c r="X592" s="47" t="s">
        <v>9305</v>
      </c>
      <c r="Y592" s="46" t="s">
        <v>5216</v>
      </c>
      <c r="Z592" s="46" t="s">
        <v>5217</v>
      </c>
      <c r="AA592" s="46" t="s">
        <v>5157</v>
      </c>
      <c r="AB592" s="47" t="s">
        <v>9305</v>
      </c>
      <c r="AC592" s="48" t="s">
        <v>5218</v>
      </c>
      <c r="AD592" s="30"/>
      <c r="AE592" s="197"/>
      <c r="AF592" s="47"/>
    </row>
    <row r="593" spans="1:32" s="29" customFormat="1" ht="69.95" hidden="1" customHeight="1">
      <c r="A593" s="29" t="s">
        <v>5159</v>
      </c>
      <c r="B593" s="29" t="s">
        <v>3769</v>
      </c>
      <c r="C593" s="40">
        <v>11</v>
      </c>
      <c r="D593" s="40"/>
      <c r="E593" s="57" t="s">
        <v>126</v>
      </c>
      <c r="F593" s="57" t="s">
        <v>126</v>
      </c>
      <c r="G593" s="29" t="s">
        <v>1492</v>
      </c>
      <c r="H593" s="124" t="s">
        <v>9509</v>
      </c>
      <c r="I593" s="124" t="s">
        <v>9121</v>
      </c>
      <c r="J593" s="29">
        <f t="shared" si="35"/>
        <v>1</v>
      </c>
      <c r="K593" s="42">
        <v>586</v>
      </c>
      <c r="L593" s="152" t="s">
        <v>1493</v>
      </c>
      <c r="M593" s="44" t="s">
        <v>405</v>
      </c>
      <c r="N593" s="44" t="s">
        <v>536</v>
      </c>
      <c r="O593" s="101" t="str">
        <f t="shared" si="34"/>
        <v>PE-L1-4C4-04</v>
      </c>
      <c r="P593" s="45">
        <v>0.3</v>
      </c>
      <c r="Q593" s="44">
        <v>400</v>
      </c>
      <c r="R593" s="44" t="s">
        <v>49</v>
      </c>
      <c r="S593" s="101">
        <v>220</v>
      </c>
      <c r="T593" s="46" t="s">
        <v>5151</v>
      </c>
      <c r="U593" s="46" t="s">
        <v>5159</v>
      </c>
      <c r="V593" s="46" t="s">
        <v>5160</v>
      </c>
      <c r="W593" s="46" t="s">
        <v>5154</v>
      </c>
      <c r="X593" s="47" t="s">
        <v>9305</v>
      </c>
      <c r="Y593" s="46" t="s">
        <v>5219</v>
      </c>
      <c r="Z593" s="46" t="s">
        <v>5220</v>
      </c>
      <c r="AA593" s="46" t="s">
        <v>5157</v>
      </c>
      <c r="AB593" s="47" t="s">
        <v>9305</v>
      </c>
      <c r="AC593" s="48" t="s">
        <v>5221</v>
      </c>
      <c r="AD593" s="30"/>
      <c r="AE593" s="197"/>
      <c r="AF593" s="47"/>
    </row>
    <row r="594" spans="1:32" s="29" customFormat="1" ht="69.95" hidden="1" customHeight="1">
      <c r="A594" s="29" t="s">
        <v>5152</v>
      </c>
      <c r="B594" s="29" t="s">
        <v>3769</v>
      </c>
      <c r="C594" s="40">
        <v>12</v>
      </c>
      <c r="D594" s="40"/>
      <c r="E594" s="57" t="s">
        <v>155</v>
      </c>
      <c r="F594" s="57" t="s">
        <v>155</v>
      </c>
      <c r="G594" s="29" t="s">
        <v>1494</v>
      </c>
      <c r="J594" s="29">
        <f t="shared" si="35"/>
        <v>1</v>
      </c>
      <c r="K594" s="42">
        <v>587</v>
      </c>
      <c r="L594" s="43" t="s">
        <v>1495</v>
      </c>
      <c r="M594" s="44" t="s">
        <v>405</v>
      </c>
      <c r="N594" s="44" t="s">
        <v>536</v>
      </c>
      <c r="O594" s="44" t="str">
        <f t="shared" si="34"/>
        <v>PE-L1-4C4-06</v>
      </c>
      <c r="P594" s="45">
        <v>0.4</v>
      </c>
      <c r="Q594" s="44">
        <v>400</v>
      </c>
      <c r="R594" s="44" t="s">
        <v>49</v>
      </c>
      <c r="S594" s="44">
        <v>140</v>
      </c>
      <c r="T594" s="46" t="s">
        <v>5170</v>
      </c>
      <c r="U594" s="46" t="s">
        <v>5152</v>
      </c>
      <c r="V594" s="46" t="s">
        <v>5153</v>
      </c>
      <c r="W594" s="46" t="s">
        <v>5154</v>
      </c>
      <c r="X594" s="47" t="s">
        <v>9305</v>
      </c>
      <c r="Y594" s="46" t="s">
        <v>5222</v>
      </c>
      <c r="Z594" s="46" t="s">
        <v>5223</v>
      </c>
      <c r="AA594" s="46" t="s">
        <v>5173</v>
      </c>
      <c r="AB594" s="47" t="s">
        <v>9305</v>
      </c>
      <c r="AC594" s="48" t="s">
        <v>5224</v>
      </c>
      <c r="AD594" s="30"/>
      <c r="AE594" s="197"/>
      <c r="AF594" s="47"/>
    </row>
    <row r="595" spans="1:32" s="29" customFormat="1" ht="69.95" hidden="1" customHeight="1">
      <c r="A595" s="29" t="s">
        <v>5159</v>
      </c>
      <c r="B595" s="29" t="s">
        <v>3769</v>
      </c>
      <c r="C595" s="40">
        <v>12</v>
      </c>
      <c r="D595" s="40"/>
      <c r="E595" s="57" t="s">
        <v>156</v>
      </c>
      <c r="F595" s="57" t="s">
        <v>156</v>
      </c>
      <c r="G595" s="29" t="s">
        <v>1496</v>
      </c>
      <c r="H595" s="124" t="s">
        <v>9509</v>
      </c>
      <c r="I595" s="124" t="s">
        <v>9121</v>
      </c>
      <c r="J595" s="29">
        <f t="shared" si="35"/>
        <v>1</v>
      </c>
      <c r="K595" s="42">
        <v>588</v>
      </c>
      <c r="L595" s="152" t="s">
        <v>1497</v>
      </c>
      <c r="M595" s="44" t="s">
        <v>405</v>
      </c>
      <c r="N595" s="44" t="s">
        <v>536</v>
      </c>
      <c r="O595" s="101" t="str">
        <f t="shared" si="34"/>
        <v>PE-L1-4C4-05</v>
      </c>
      <c r="P595" s="45">
        <v>0.4</v>
      </c>
      <c r="Q595" s="44">
        <v>400</v>
      </c>
      <c r="R595" s="44" t="s">
        <v>49</v>
      </c>
      <c r="S595" s="101">
        <v>130</v>
      </c>
      <c r="T595" s="46" t="s">
        <v>5170</v>
      </c>
      <c r="U595" s="46" t="s">
        <v>5159</v>
      </c>
      <c r="V595" s="46" t="s">
        <v>5160</v>
      </c>
      <c r="W595" s="46" t="s">
        <v>5154</v>
      </c>
      <c r="X595" s="47" t="s">
        <v>9305</v>
      </c>
      <c r="Y595" s="46" t="s">
        <v>5225</v>
      </c>
      <c r="Z595" s="46" t="s">
        <v>5226</v>
      </c>
      <c r="AA595" s="46" t="s">
        <v>5173</v>
      </c>
      <c r="AB595" s="47" t="s">
        <v>9305</v>
      </c>
      <c r="AC595" s="48" t="s">
        <v>5227</v>
      </c>
      <c r="AD595" s="30"/>
      <c r="AE595" s="197"/>
      <c r="AF595" s="47"/>
    </row>
    <row r="596" spans="1:32" s="29" customFormat="1" ht="69.95" hidden="1" customHeight="1">
      <c r="A596" s="29" t="s">
        <v>5152</v>
      </c>
      <c r="B596" s="29" t="s">
        <v>3769</v>
      </c>
      <c r="C596" s="40">
        <v>13</v>
      </c>
      <c r="D596" s="40"/>
      <c r="E596" s="57" t="s">
        <v>156</v>
      </c>
      <c r="F596" s="57" t="s">
        <v>156</v>
      </c>
      <c r="G596" s="29" t="s">
        <v>1498</v>
      </c>
      <c r="H596" s="124" t="s">
        <v>9509</v>
      </c>
      <c r="I596" s="124" t="s">
        <v>9121</v>
      </c>
      <c r="J596" s="29">
        <f t="shared" si="35"/>
        <v>1</v>
      </c>
      <c r="K596" s="42">
        <v>589</v>
      </c>
      <c r="L596" s="152" t="s">
        <v>1499</v>
      </c>
      <c r="M596" s="44" t="s">
        <v>405</v>
      </c>
      <c r="N596" s="44" t="s">
        <v>536</v>
      </c>
      <c r="O596" s="101" t="str">
        <f t="shared" si="34"/>
        <v>PE-L1-4C4-05</v>
      </c>
      <c r="P596" s="45">
        <v>0.3</v>
      </c>
      <c r="Q596" s="44">
        <v>400</v>
      </c>
      <c r="R596" s="44" t="s">
        <v>49</v>
      </c>
      <c r="S596" s="101">
        <v>340</v>
      </c>
      <c r="T596" s="46" t="s">
        <v>5170</v>
      </c>
      <c r="U596" s="46" t="s">
        <v>5152</v>
      </c>
      <c r="V596" s="46" t="s">
        <v>5153</v>
      </c>
      <c r="W596" s="46" t="s">
        <v>5154</v>
      </c>
      <c r="X596" s="47" t="s">
        <v>9305</v>
      </c>
      <c r="Y596" s="46" t="s">
        <v>5228</v>
      </c>
      <c r="Z596" s="46" t="s">
        <v>5229</v>
      </c>
      <c r="AA596" s="46" t="s">
        <v>5173</v>
      </c>
      <c r="AB596" s="47" t="s">
        <v>9305</v>
      </c>
      <c r="AC596" s="48" t="s">
        <v>5230</v>
      </c>
      <c r="AD596" s="30"/>
      <c r="AE596" s="197"/>
      <c r="AF596" s="47"/>
    </row>
    <row r="597" spans="1:32" s="29" customFormat="1" ht="69.95" hidden="1" customHeight="1">
      <c r="A597" s="29" t="s">
        <v>5159</v>
      </c>
      <c r="B597" s="29" t="s">
        <v>3769</v>
      </c>
      <c r="C597" s="40">
        <v>13</v>
      </c>
      <c r="D597" s="40"/>
      <c r="E597" s="57" t="s">
        <v>156</v>
      </c>
      <c r="F597" s="57" t="s">
        <v>156</v>
      </c>
      <c r="G597" s="29" t="s">
        <v>1500</v>
      </c>
      <c r="H597" s="124" t="s">
        <v>9509</v>
      </c>
      <c r="I597" s="124" t="s">
        <v>9121</v>
      </c>
      <c r="J597" s="29">
        <f t="shared" si="35"/>
        <v>1</v>
      </c>
      <c r="K597" s="42">
        <v>590</v>
      </c>
      <c r="L597" s="152" t="s">
        <v>1501</v>
      </c>
      <c r="M597" s="44" t="s">
        <v>405</v>
      </c>
      <c r="N597" s="44" t="s">
        <v>536</v>
      </c>
      <c r="O597" s="101" t="str">
        <f t="shared" si="34"/>
        <v>PE-L1-4C4-05</v>
      </c>
      <c r="P597" s="45">
        <v>0.3</v>
      </c>
      <c r="Q597" s="44">
        <v>400</v>
      </c>
      <c r="R597" s="44" t="s">
        <v>49</v>
      </c>
      <c r="S597" s="101">
        <v>350</v>
      </c>
      <c r="T597" s="46" t="s">
        <v>5170</v>
      </c>
      <c r="U597" s="46" t="s">
        <v>5159</v>
      </c>
      <c r="V597" s="46" t="s">
        <v>5160</v>
      </c>
      <c r="W597" s="46" t="s">
        <v>5154</v>
      </c>
      <c r="X597" s="47" t="s">
        <v>9305</v>
      </c>
      <c r="Y597" s="46" t="s">
        <v>5231</v>
      </c>
      <c r="Z597" s="46" t="s">
        <v>5232</v>
      </c>
      <c r="AA597" s="46" t="s">
        <v>5173</v>
      </c>
      <c r="AB597" s="47" t="s">
        <v>9305</v>
      </c>
      <c r="AC597" s="48" t="s">
        <v>5233</v>
      </c>
      <c r="AD597" s="30"/>
      <c r="AE597" s="197"/>
      <c r="AF597" s="47"/>
    </row>
    <row r="598" spans="1:32" s="29" customFormat="1" ht="69.95" hidden="1" customHeight="1">
      <c r="A598" s="29" t="s">
        <v>5152</v>
      </c>
      <c r="B598" s="29" t="s">
        <v>3769</v>
      </c>
      <c r="C598" s="40">
        <v>14</v>
      </c>
      <c r="D598" s="40"/>
      <c r="E598" s="57" t="s">
        <v>156</v>
      </c>
      <c r="F598" s="57" t="s">
        <v>156</v>
      </c>
      <c r="G598" s="29" t="s">
        <v>1502</v>
      </c>
      <c r="H598" s="124" t="s">
        <v>9509</v>
      </c>
      <c r="I598" s="124" t="s">
        <v>9121</v>
      </c>
      <c r="J598" s="29">
        <f t="shared" si="35"/>
        <v>1</v>
      </c>
      <c r="K598" s="42">
        <v>591</v>
      </c>
      <c r="L598" s="152" t="s">
        <v>1503</v>
      </c>
      <c r="M598" s="44" t="s">
        <v>405</v>
      </c>
      <c r="N598" s="44" t="s">
        <v>536</v>
      </c>
      <c r="O598" s="101" t="str">
        <f t="shared" si="34"/>
        <v>PE-L1-4C4-05</v>
      </c>
      <c r="P598" s="45">
        <v>0.3</v>
      </c>
      <c r="Q598" s="44">
        <v>400</v>
      </c>
      <c r="R598" s="44" t="s">
        <v>49</v>
      </c>
      <c r="S598" s="101">
        <v>340</v>
      </c>
      <c r="T598" s="46" t="s">
        <v>5170</v>
      </c>
      <c r="U598" s="46" t="s">
        <v>5152</v>
      </c>
      <c r="V598" s="46" t="s">
        <v>5153</v>
      </c>
      <c r="W598" s="46" t="s">
        <v>5154</v>
      </c>
      <c r="X598" s="47" t="s">
        <v>9305</v>
      </c>
      <c r="Y598" s="46" t="s">
        <v>5234</v>
      </c>
      <c r="Z598" s="46" t="s">
        <v>5235</v>
      </c>
      <c r="AA598" s="46" t="s">
        <v>5173</v>
      </c>
      <c r="AB598" s="47" t="s">
        <v>9305</v>
      </c>
      <c r="AC598" s="48" t="s">
        <v>5236</v>
      </c>
      <c r="AD598" s="30"/>
      <c r="AE598" s="197"/>
      <c r="AF598" s="47"/>
    </row>
    <row r="599" spans="1:32" s="29" customFormat="1" ht="69.95" hidden="1" customHeight="1">
      <c r="A599" s="29" t="s">
        <v>5159</v>
      </c>
      <c r="B599" s="29" t="s">
        <v>3769</v>
      </c>
      <c r="C599" s="40">
        <v>14</v>
      </c>
      <c r="D599" s="40"/>
      <c r="E599" s="57" t="s">
        <v>156</v>
      </c>
      <c r="F599" s="57" t="s">
        <v>156</v>
      </c>
      <c r="G599" s="29" t="s">
        <v>1504</v>
      </c>
      <c r="H599" s="124" t="s">
        <v>9509</v>
      </c>
      <c r="I599" s="124" t="s">
        <v>9121</v>
      </c>
      <c r="J599" s="29">
        <f t="shared" si="35"/>
        <v>1</v>
      </c>
      <c r="K599" s="42">
        <v>592</v>
      </c>
      <c r="L599" s="152" t="s">
        <v>1505</v>
      </c>
      <c r="M599" s="44" t="s">
        <v>405</v>
      </c>
      <c r="N599" s="44" t="s">
        <v>536</v>
      </c>
      <c r="O599" s="101" t="str">
        <f t="shared" si="34"/>
        <v>PE-L1-4C4-05</v>
      </c>
      <c r="P599" s="45">
        <v>0.3</v>
      </c>
      <c r="Q599" s="44">
        <v>400</v>
      </c>
      <c r="R599" s="44" t="s">
        <v>49</v>
      </c>
      <c r="S599" s="101">
        <v>350</v>
      </c>
      <c r="T599" s="46" t="s">
        <v>5170</v>
      </c>
      <c r="U599" s="46" t="s">
        <v>5159</v>
      </c>
      <c r="V599" s="46" t="s">
        <v>5160</v>
      </c>
      <c r="W599" s="46" t="s">
        <v>5154</v>
      </c>
      <c r="X599" s="47" t="s">
        <v>9305</v>
      </c>
      <c r="Y599" s="46" t="s">
        <v>5237</v>
      </c>
      <c r="Z599" s="46" t="s">
        <v>5238</v>
      </c>
      <c r="AA599" s="46" t="s">
        <v>5173</v>
      </c>
      <c r="AB599" s="47" t="s">
        <v>9305</v>
      </c>
      <c r="AC599" s="48" t="s">
        <v>5239</v>
      </c>
      <c r="AD599" s="30"/>
      <c r="AE599" s="197"/>
      <c r="AF599" s="47"/>
    </row>
    <row r="600" spans="1:32" s="29" customFormat="1" ht="69.95" hidden="1" customHeight="1">
      <c r="A600" s="29" t="s">
        <v>5152</v>
      </c>
      <c r="B600" s="29" t="s">
        <v>3769</v>
      </c>
      <c r="C600" s="40">
        <v>15</v>
      </c>
      <c r="D600" s="40"/>
      <c r="E600" s="57" t="s">
        <v>156</v>
      </c>
      <c r="F600" s="57" t="s">
        <v>156</v>
      </c>
      <c r="G600" s="29" t="s">
        <v>1506</v>
      </c>
      <c r="J600" s="29">
        <f t="shared" si="35"/>
        <v>1</v>
      </c>
      <c r="K600" s="42">
        <v>593</v>
      </c>
      <c r="L600" s="43" t="s">
        <v>1507</v>
      </c>
      <c r="M600" s="44" t="s">
        <v>405</v>
      </c>
      <c r="N600" s="44" t="s">
        <v>536</v>
      </c>
      <c r="O600" s="44" t="str">
        <f t="shared" si="34"/>
        <v>PE-L1-4C4-05</v>
      </c>
      <c r="P600" s="45">
        <v>0.3</v>
      </c>
      <c r="Q600" s="44">
        <v>400</v>
      </c>
      <c r="R600" s="44" t="s">
        <v>49</v>
      </c>
      <c r="S600" s="44">
        <v>170</v>
      </c>
      <c r="T600" s="46" t="s">
        <v>5183</v>
      </c>
      <c r="U600" s="46" t="s">
        <v>5152</v>
      </c>
      <c r="V600" s="46" t="s">
        <v>5153</v>
      </c>
      <c r="W600" s="46" t="s">
        <v>5154</v>
      </c>
      <c r="X600" s="47" t="s">
        <v>9305</v>
      </c>
      <c r="Y600" s="46" t="s">
        <v>5240</v>
      </c>
      <c r="Z600" s="46" t="s">
        <v>5241</v>
      </c>
      <c r="AA600" s="46" t="s">
        <v>5185</v>
      </c>
      <c r="AB600" s="47" t="s">
        <v>9305</v>
      </c>
      <c r="AC600" s="48" t="s">
        <v>5242</v>
      </c>
      <c r="AD600" s="30"/>
      <c r="AE600" s="197"/>
      <c r="AF600" s="47"/>
    </row>
    <row r="601" spans="1:32" s="29" customFormat="1" ht="69.95" hidden="1" customHeight="1">
      <c r="A601" s="29" t="s">
        <v>5159</v>
      </c>
      <c r="B601" s="29" t="s">
        <v>3769</v>
      </c>
      <c r="C601" s="40">
        <v>15</v>
      </c>
      <c r="D601" s="40"/>
      <c r="E601" s="57" t="s">
        <v>155</v>
      </c>
      <c r="F601" s="57" t="s">
        <v>155</v>
      </c>
      <c r="G601" s="29" t="s">
        <v>1508</v>
      </c>
      <c r="J601" s="29">
        <f t="shared" si="35"/>
        <v>1</v>
      </c>
      <c r="K601" s="42">
        <v>594</v>
      </c>
      <c r="L601" s="43" t="s">
        <v>1509</v>
      </c>
      <c r="M601" s="44" t="s">
        <v>405</v>
      </c>
      <c r="N601" s="44" t="s">
        <v>536</v>
      </c>
      <c r="O601" s="44" t="str">
        <f t="shared" si="34"/>
        <v>PE-L1-4C4-06</v>
      </c>
      <c r="P601" s="45">
        <v>0.3</v>
      </c>
      <c r="Q601" s="44">
        <v>400</v>
      </c>
      <c r="R601" s="44" t="s">
        <v>49</v>
      </c>
      <c r="S601" s="44">
        <v>160</v>
      </c>
      <c r="T601" s="46" t="s">
        <v>5183</v>
      </c>
      <c r="U601" s="46" t="s">
        <v>5159</v>
      </c>
      <c r="V601" s="46" t="s">
        <v>5160</v>
      </c>
      <c r="W601" s="46" t="s">
        <v>5154</v>
      </c>
      <c r="X601" s="47" t="s">
        <v>9305</v>
      </c>
      <c r="Y601" s="46" t="s">
        <v>5243</v>
      </c>
      <c r="Z601" s="46" t="s">
        <v>5244</v>
      </c>
      <c r="AA601" s="46" t="s">
        <v>5185</v>
      </c>
      <c r="AB601" s="47" t="s">
        <v>9305</v>
      </c>
      <c r="AC601" s="48" t="s">
        <v>5245</v>
      </c>
      <c r="AD601" s="30"/>
      <c r="AE601" s="197"/>
      <c r="AF601" s="47"/>
    </row>
    <row r="602" spans="1:32" s="29" customFormat="1" ht="69.95" hidden="1" customHeight="1">
      <c r="A602" s="29" t="s">
        <v>5159</v>
      </c>
      <c r="B602" s="29" t="s">
        <v>3769</v>
      </c>
      <c r="C602" s="40">
        <v>16</v>
      </c>
      <c r="D602" s="40"/>
      <c r="E602" s="57" t="s">
        <v>155</v>
      </c>
      <c r="F602" s="57" t="s">
        <v>155</v>
      </c>
      <c r="G602" s="29" t="s">
        <v>1510</v>
      </c>
      <c r="J602" s="29">
        <f t="shared" si="35"/>
        <v>1</v>
      </c>
      <c r="K602" s="42">
        <v>595</v>
      </c>
      <c r="L602" s="43" t="s">
        <v>1511</v>
      </c>
      <c r="M602" s="44" t="s">
        <v>405</v>
      </c>
      <c r="N602" s="44" t="s">
        <v>536</v>
      </c>
      <c r="O602" s="44" t="str">
        <f t="shared" si="34"/>
        <v>PE-L1-4C4-06</v>
      </c>
      <c r="P602" s="45">
        <v>0.3</v>
      </c>
      <c r="Q602" s="44">
        <v>400</v>
      </c>
      <c r="R602" s="44" t="s">
        <v>49</v>
      </c>
      <c r="S602" s="44">
        <v>170</v>
      </c>
      <c r="T602" s="46" t="s">
        <v>5183</v>
      </c>
      <c r="U602" s="46" t="s">
        <v>5159</v>
      </c>
      <c r="V602" s="46" t="s">
        <v>5160</v>
      </c>
      <c r="W602" s="46" t="s">
        <v>5154</v>
      </c>
      <c r="X602" s="47" t="s">
        <v>9305</v>
      </c>
      <c r="Y602" s="46" t="s">
        <v>5246</v>
      </c>
      <c r="Z602" s="46" t="s">
        <v>5247</v>
      </c>
      <c r="AA602" s="46" t="s">
        <v>5185</v>
      </c>
      <c r="AB602" s="47" t="s">
        <v>9305</v>
      </c>
      <c r="AC602" s="48" t="s">
        <v>5248</v>
      </c>
      <c r="AD602" s="30"/>
      <c r="AE602" s="197"/>
      <c r="AF602" s="47"/>
    </row>
    <row r="603" spans="1:32" s="29" customFormat="1" ht="69.95" hidden="1" customHeight="1">
      <c r="A603" s="29" t="s">
        <v>5152</v>
      </c>
      <c r="B603" s="29" t="s">
        <v>3769</v>
      </c>
      <c r="C603" s="40">
        <v>16</v>
      </c>
      <c r="D603" s="40"/>
      <c r="E603" s="57" t="s">
        <v>155</v>
      </c>
      <c r="F603" s="57" t="s">
        <v>155</v>
      </c>
      <c r="G603" s="29" t="s">
        <v>1512</v>
      </c>
      <c r="J603" s="29">
        <f t="shared" si="35"/>
        <v>1</v>
      </c>
      <c r="K603" s="42">
        <v>596</v>
      </c>
      <c r="L603" s="43" t="s">
        <v>1513</v>
      </c>
      <c r="M603" s="44" t="s">
        <v>405</v>
      </c>
      <c r="N603" s="44" t="s">
        <v>536</v>
      </c>
      <c r="O603" s="44" t="str">
        <f t="shared" si="34"/>
        <v>PE-L1-4C4-06</v>
      </c>
      <c r="P603" s="45">
        <v>0.3</v>
      </c>
      <c r="Q603" s="44">
        <v>400</v>
      </c>
      <c r="R603" s="44" t="s">
        <v>49</v>
      </c>
      <c r="S603" s="44">
        <v>160</v>
      </c>
      <c r="T603" s="46" t="s">
        <v>5183</v>
      </c>
      <c r="U603" s="46" t="s">
        <v>5152</v>
      </c>
      <c r="V603" s="46" t="s">
        <v>5153</v>
      </c>
      <c r="W603" s="46" t="s">
        <v>5154</v>
      </c>
      <c r="X603" s="47" t="s">
        <v>9305</v>
      </c>
      <c r="Y603" s="46" t="s">
        <v>5249</v>
      </c>
      <c r="Z603" s="46" t="s">
        <v>5250</v>
      </c>
      <c r="AA603" s="46" t="s">
        <v>5185</v>
      </c>
      <c r="AB603" s="47" t="s">
        <v>9305</v>
      </c>
      <c r="AC603" s="48" t="s">
        <v>5251</v>
      </c>
      <c r="AD603" s="30"/>
      <c r="AE603" s="197"/>
      <c r="AF603" s="47"/>
    </row>
    <row r="604" spans="1:32" s="29" customFormat="1" ht="69.95" hidden="1" customHeight="1">
      <c r="A604" s="29" t="s">
        <v>5159</v>
      </c>
      <c r="B604" s="29" t="s">
        <v>3769</v>
      </c>
      <c r="C604" s="40">
        <v>17</v>
      </c>
      <c r="D604" s="40"/>
      <c r="E604" s="57" t="s">
        <v>155</v>
      </c>
      <c r="F604" s="57" t="s">
        <v>155</v>
      </c>
      <c r="G604" s="29" t="s">
        <v>1514</v>
      </c>
      <c r="J604" s="29">
        <f t="shared" si="35"/>
        <v>1</v>
      </c>
      <c r="K604" s="42">
        <v>597</v>
      </c>
      <c r="L604" s="43" t="s">
        <v>1515</v>
      </c>
      <c r="M604" s="44" t="s">
        <v>405</v>
      </c>
      <c r="N604" s="44" t="s">
        <v>536</v>
      </c>
      <c r="O604" s="44" t="str">
        <f t="shared" si="34"/>
        <v>PE-L1-4C4-06</v>
      </c>
      <c r="P604" s="45">
        <v>0.3</v>
      </c>
      <c r="Q604" s="44">
        <v>400</v>
      </c>
      <c r="R604" s="44" t="s">
        <v>49</v>
      </c>
      <c r="S604" s="44">
        <v>170</v>
      </c>
      <c r="T604" s="46" t="s">
        <v>5183</v>
      </c>
      <c r="U604" s="46" t="s">
        <v>5159</v>
      </c>
      <c r="V604" s="46" t="s">
        <v>5160</v>
      </c>
      <c r="W604" s="46" t="s">
        <v>5154</v>
      </c>
      <c r="X604" s="47" t="s">
        <v>9305</v>
      </c>
      <c r="Y604" s="46" t="s">
        <v>5252</v>
      </c>
      <c r="Z604" s="46" t="s">
        <v>5253</v>
      </c>
      <c r="AA604" s="46" t="s">
        <v>5185</v>
      </c>
      <c r="AB604" s="47" t="s">
        <v>9305</v>
      </c>
      <c r="AC604" s="48" t="s">
        <v>5254</v>
      </c>
      <c r="AD604" s="30"/>
      <c r="AE604" s="197"/>
      <c r="AF604" s="47"/>
    </row>
    <row r="605" spans="1:32" s="29" customFormat="1" ht="69.95" hidden="1" customHeight="1">
      <c r="A605" s="29" t="s">
        <v>5152</v>
      </c>
      <c r="B605" s="29" t="s">
        <v>3769</v>
      </c>
      <c r="C605" s="40">
        <v>17</v>
      </c>
      <c r="D605" s="40"/>
      <c r="E605" s="57" t="s">
        <v>155</v>
      </c>
      <c r="F605" s="57" t="s">
        <v>155</v>
      </c>
      <c r="G605" s="29" t="s">
        <v>1516</v>
      </c>
      <c r="J605" s="29">
        <f t="shared" si="35"/>
        <v>1</v>
      </c>
      <c r="K605" s="42">
        <v>598</v>
      </c>
      <c r="L605" s="43" t="s">
        <v>1517</v>
      </c>
      <c r="M605" s="44" t="s">
        <v>405</v>
      </c>
      <c r="N605" s="44" t="s">
        <v>536</v>
      </c>
      <c r="O605" s="44" t="str">
        <f t="shared" si="34"/>
        <v>PE-L1-4C4-06</v>
      </c>
      <c r="P605" s="45">
        <v>0.3</v>
      </c>
      <c r="Q605" s="44">
        <v>400</v>
      </c>
      <c r="R605" s="44" t="s">
        <v>49</v>
      </c>
      <c r="S605" s="44">
        <v>160</v>
      </c>
      <c r="T605" s="46" t="s">
        <v>5183</v>
      </c>
      <c r="U605" s="46" t="s">
        <v>5152</v>
      </c>
      <c r="V605" s="46" t="s">
        <v>5153</v>
      </c>
      <c r="W605" s="46" t="s">
        <v>5154</v>
      </c>
      <c r="X605" s="47" t="s">
        <v>9305</v>
      </c>
      <c r="Y605" s="46" t="s">
        <v>5255</v>
      </c>
      <c r="Z605" s="46" t="s">
        <v>5256</v>
      </c>
      <c r="AA605" s="46" t="s">
        <v>5185</v>
      </c>
      <c r="AB605" s="47" t="s">
        <v>9305</v>
      </c>
      <c r="AC605" s="48" t="s">
        <v>5257</v>
      </c>
      <c r="AD605" s="30"/>
      <c r="AE605" s="197"/>
      <c r="AF605" s="47"/>
    </row>
    <row r="606" spans="1:32" s="29" customFormat="1" ht="69.95" hidden="1" customHeight="1">
      <c r="A606" s="29" t="s">
        <v>5152</v>
      </c>
      <c r="B606" s="29" t="s">
        <v>3769</v>
      </c>
      <c r="C606" s="40">
        <v>18</v>
      </c>
      <c r="D606" s="40"/>
      <c r="E606" s="58" t="s">
        <v>186</v>
      </c>
      <c r="F606" s="58" t="s">
        <v>186</v>
      </c>
      <c r="G606" s="29" t="s">
        <v>9495</v>
      </c>
      <c r="H606" s="124" t="s">
        <v>9509</v>
      </c>
      <c r="I606" s="124" t="s">
        <v>9121</v>
      </c>
      <c r="J606" s="29">
        <f t="shared" si="35"/>
        <v>1</v>
      </c>
      <c r="K606" s="42">
        <v>599</v>
      </c>
      <c r="L606" s="152" t="s">
        <v>1518</v>
      </c>
      <c r="M606" s="44" t="s">
        <v>405</v>
      </c>
      <c r="N606" s="44" t="s">
        <v>521</v>
      </c>
      <c r="O606" s="101" t="str">
        <f t="shared" si="34"/>
        <v>PE-L1-4C70/35-03</v>
      </c>
      <c r="P606" s="45">
        <v>55</v>
      </c>
      <c r="Q606" s="44">
        <v>400</v>
      </c>
      <c r="R606" s="44" t="s">
        <v>49</v>
      </c>
      <c r="S606" s="101">
        <v>330</v>
      </c>
      <c r="T606" s="46" t="s">
        <v>5258</v>
      </c>
      <c r="U606" s="46" t="s">
        <v>5152</v>
      </c>
      <c r="V606" s="46" t="s">
        <v>5153</v>
      </c>
      <c r="W606" s="46" t="s">
        <v>5154</v>
      </c>
      <c r="X606" s="47" t="s">
        <v>9305</v>
      </c>
      <c r="Y606" s="46" t="s">
        <v>5259</v>
      </c>
      <c r="Z606" s="46" t="s">
        <v>5260</v>
      </c>
      <c r="AA606" s="46" t="s">
        <v>5173</v>
      </c>
      <c r="AB606" s="47" t="s">
        <v>9305</v>
      </c>
      <c r="AC606" s="48" t="s">
        <v>5261</v>
      </c>
      <c r="AD606" s="30"/>
      <c r="AE606" s="197"/>
      <c r="AF606" s="47"/>
    </row>
    <row r="607" spans="1:32" s="29" customFormat="1" ht="69.95" hidden="1" customHeight="1">
      <c r="A607" s="29" t="s">
        <v>5159</v>
      </c>
      <c r="B607" s="29" t="s">
        <v>3769</v>
      </c>
      <c r="C607" s="40">
        <v>18</v>
      </c>
      <c r="D607" s="40"/>
      <c r="E607" s="58" t="s">
        <v>8634</v>
      </c>
      <c r="F607" s="58" t="s">
        <v>8634</v>
      </c>
      <c r="G607" s="29" t="s">
        <v>1519</v>
      </c>
      <c r="H607" s="124" t="s">
        <v>9509</v>
      </c>
      <c r="I607" s="124" t="s">
        <v>9121</v>
      </c>
      <c r="J607" s="29">
        <f t="shared" si="35"/>
        <v>1</v>
      </c>
      <c r="K607" s="42">
        <v>600</v>
      </c>
      <c r="L607" s="152" t="s">
        <v>1520</v>
      </c>
      <c r="M607" s="44" t="s">
        <v>405</v>
      </c>
      <c r="N607" s="44" t="s">
        <v>521</v>
      </c>
      <c r="O607" s="101" t="str">
        <f t="shared" si="34"/>
        <v>PE-L1-4C70/35-04</v>
      </c>
      <c r="P607" s="45">
        <v>55</v>
      </c>
      <c r="Q607" s="44">
        <v>400</v>
      </c>
      <c r="R607" s="44" t="s">
        <v>49</v>
      </c>
      <c r="S607" s="101">
        <v>340</v>
      </c>
      <c r="T607" s="46" t="s">
        <v>5258</v>
      </c>
      <c r="U607" s="46" t="s">
        <v>5159</v>
      </c>
      <c r="V607" s="46" t="s">
        <v>5160</v>
      </c>
      <c r="W607" s="46" t="s">
        <v>5154</v>
      </c>
      <c r="X607" s="47" t="s">
        <v>9305</v>
      </c>
      <c r="Y607" s="46" t="s">
        <v>5262</v>
      </c>
      <c r="Z607" s="46" t="s">
        <v>5263</v>
      </c>
      <c r="AA607" s="46" t="s">
        <v>5173</v>
      </c>
      <c r="AB607" s="47" t="s">
        <v>9305</v>
      </c>
      <c r="AC607" s="48" t="s">
        <v>5264</v>
      </c>
      <c r="AD607" s="30"/>
      <c r="AE607" s="197"/>
      <c r="AF607" s="47"/>
    </row>
    <row r="608" spans="1:32" s="29" customFormat="1" ht="69.95" hidden="1" customHeight="1">
      <c r="A608" s="29" t="s">
        <v>5152</v>
      </c>
      <c r="B608" s="29" t="s">
        <v>3769</v>
      </c>
      <c r="C608" s="40">
        <v>19</v>
      </c>
      <c r="D608" s="40"/>
      <c r="E608" s="58" t="s">
        <v>8634</v>
      </c>
      <c r="F608" s="58" t="s">
        <v>8634</v>
      </c>
      <c r="G608" s="29" t="s">
        <v>1521</v>
      </c>
      <c r="H608" s="124" t="s">
        <v>9509</v>
      </c>
      <c r="I608" s="124" t="s">
        <v>9121</v>
      </c>
      <c r="J608" s="29">
        <f t="shared" si="35"/>
        <v>1</v>
      </c>
      <c r="K608" s="42">
        <v>601</v>
      </c>
      <c r="L608" s="152" t="s">
        <v>1522</v>
      </c>
      <c r="M608" s="44" t="s">
        <v>405</v>
      </c>
      <c r="N608" s="44" t="s">
        <v>521</v>
      </c>
      <c r="O608" s="101" t="str">
        <f t="shared" si="34"/>
        <v>PE-L1-4C70/35-04</v>
      </c>
      <c r="P608" s="45">
        <v>55</v>
      </c>
      <c r="Q608" s="44">
        <v>400</v>
      </c>
      <c r="R608" s="44" t="s">
        <v>49</v>
      </c>
      <c r="S608" s="101">
        <v>330</v>
      </c>
      <c r="T608" s="46" t="s">
        <v>5258</v>
      </c>
      <c r="U608" s="46" t="s">
        <v>5152</v>
      </c>
      <c r="V608" s="46" t="s">
        <v>5153</v>
      </c>
      <c r="W608" s="46" t="s">
        <v>5154</v>
      </c>
      <c r="X608" s="47" t="s">
        <v>9305</v>
      </c>
      <c r="Y608" s="46" t="s">
        <v>5265</v>
      </c>
      <c r="Z608" s="46" t="s">
        <v>5266</v>
      </c>
      <c r="AA608" s="46" t="s">
        <v>5173</v>
      </c>
      <c r="AB608" s="47" t="s">
        <v>9305</v>
      </c>
      <c r="AC608" s="48" t="s">
        <v>5267</v>
      </c>
      <c r="AD608" s="30"/>
      <c r="AE608" s="197"/>
      <c r="AF608" s="47"/>
    </row>
    <row r="609" spans="1:45" s="29" customFormat="1" ht="69.95" hidden="1" customHeight="1">
      <c r="A609" s="29" t="s">
        <v>5159</v>
      </c>
      <c r="B609" s="29" t="s">
        <v>3769</v>
      </c>
      <c r="C609" s="40">
        <v>19</v>
      </c>
      <c r="D609" s="40"/>
      <c r="E609" s="58" t="s">
        <v>8324</v>
      </c>
      <c r="F609" s="58" t="s">
        <v>8324</v>
      </c>
      <c r="G609" s="29" t="s">
        <v>1523</v>
      </c>
      <c r="H609" s="124" t="s">
        <v>9509</v>
      </c>
      <c r="I609" s="124" t="s">
        <v>9121</v>
      </c>
      <c r="J609" s="29">
        <f t="shared" si="35"/>
        <v>1</v>
      </c>
      <c r="K609" s="42">
        <v>602</v>
      </c>
      <c r="L609" s="152" t="s">
        <v>1524</v>
      </c>
      <c r="M609" s="44" t="s">
        <v>405</v>
      </c>
      <c r="N609" s="44" t="s">
        <v>521</v>
      </c>
      <c r="O609" s="101" t="str">
        <f t="shared" si="34"/>
        <v>PE-L1-4C70/35-05</v>
      </c>
      <c r="P609" s="45">
        <v>55</v>
      </c>
      <c r="Q609" s="44">
        <v>400</v>
      </c>
      <c r="R609" s="44" t="s">
        <v>49</v>
      </c>
      <c r="S609" s="101">
        <v>340</v>
      </c>
      <c r="T609" s="46" t="s">
        <v>5258</v>
      </c>
      <c r="U609" s="46" t="s">
        <v>5159</v>
      </c>
      <c r="V609" s="46" t="s">
        <v>5160</v>
      </c>
      <c r="W609" s="46" t="s">
        <v>5154</v>
      </c>
      <c r="X609" s="47" t="s">
        <v>9305</v>
      </c>
      <c r="Y609" s="46" t="s">
        <v>5268</v>
      </c>
      <c r="Z609" s="46" t="s">
        <v>5269</v>
      </c>
      <c r="AA609" s="46" t="s">
        <v>5173</v>
      </c>
      <c r="AB609" s="47" t="s">
        <v>9305</v>
      </c>
      <c r="AC609" s="48" t="s">
        <v>5270</v>
      </c>
      <c r="AD609" s="30"/>
      <c r="AE609" s="197"/>
      <c r="AF609" s="47"/>
    </row>
    <row r="610" spans="1:45" s="29" customFormat="1" ht="69.95" hidden="1" customHeight="1">
      <c r="A610" s="29" t="s">
        <v>5152</v>
      </c>
      <c r="B610" s="29" t="s">
        <v>3769</v>
      </c>
      <c r="C610" s="40">
        <v>20</v>
      </c>
      <c r="D610" s="40"/>
      <c r="E610" s="57" t="s">
        <v>150</v>
      </c>
      <c r="F610" s="57" t="s">
        <v>150</v>
      </c>
      <c r="G610" s="29" t="s">
        <v>1525</v>
      </c>
      <c r="J610" s="29">
        <f t="shared" si="35"/>
        <v>1</v>
      </c>
      <c r="K610" s="42">
        <v>603</v>
      </c>
      <c r="L610" s="43" t="s">
        <v>1526</v>
      </c>
      <c r="M610" s="44" t="s">
        <v>405</v>
      </c>
      <c r="N610" s="44" t="s">
        <v>426</v>
      </c>
      <c r="O610" s="44" t="str">
        <f t="shared" si="34"/>
        <v>PE-L1-3C4-07</v>
      </c>
      <c r="P610" s="60">
        <v>0.12</v>
      </c>
      <c r="Q610" s="44">
        <v>230</v>
      </c>
      <c r="R610" s="44" t="s">
        <v>49</v>
      </c>
      <c r="S610" s="44">
        <v>330</v>
      </c>
      <c r="T610" s="46" t="s">
        <v>5258</v>
      </c>
      <c r="U610" s="46" t="s">
        <v>5152</v>
      </c>
      <c r="V610" s="46" t="s">
        <v>5153</v>
      </c>
      <c r="W610" s="46" t="s">
        <v>5154</v>
      </c>
      <c r="X610" s="172" t="s">
        <v>9167</v>
      </c>
      <c r="Y610" s="46" t="s">
        <v>5259</v>
      </c>
      <c r="Z610" s="46" t="s">
        <v>5271</v>
      </c>
      <c r="AA610" s="46" t="s">
        <v>5173</v>
      </c>
      <c r="AB610" s="172" t="s">
        <v>9167</v>
      </c>
      <c r="AC610" s="48" t="s">
        <v>5272</v>
      </c>
      <c r="AD610" s="30"/>
      <c r="AE610" s="197"/>
      <c r="AF610" s="47"/>
    </row>
    <row r="611" spans="1:45" s="29" customFormat="1" ht="69.95" hidden="1" customHeight="1">
      <c r="A611" s="29" t="s">
        <v>5159</v>
      </c>
      <c r="B611" s="29" t="s">
        <v>3769</v>
      </c>
      <c r="C611" s="40">
        <v>20</v>
      </c>
      <c r="D611" s="40"/>
      <c r="E611" s="57" t="s">
        <v>159</v>
      </c>
      <c r="F611" s="57" t="s">
        <v>159</v>
      </c>
      <c r="G611" s="29" t="s">
        <v>1527</v>
      </c>
      <c r="H611" s="124" t="s">
        <v>9509</v>
      </c>
      <c r="I611" s="124" t="s">
        <v>9121</v>
      </c>
      <c r="J611" s="29">
        <f t="shared" si="35"/>
        <v>1</v>
      </c>
      <c r="K611" s="42">
        <v>604</v>
      </c>
      <c r="L611" s="152" t="s">
        <v>1528</v>
      </c>
      <c r="M611" s="44" t="s">
        <v>405</v>
      </c>
      <c r="N611" s="44" t="s">
        <v>426</v>
      </c>
      <c r="O611" s="101" t="str">
        <f t="shared" si="34"/>
        <v>PE-L1-3C4-08</v>
      </c>
      <c r="P611" s="60">
        <v>0.12</v>
      </c>
      <c r="Q611" s="44">
        <v>230</v>
      </c>
      <c r="R611" s="44" t="s">
        <v>49</v>
      </c>
      <c r="S611" s="101">
        <v>340</v>
      </c>
      <c r="T611" s="46" t="s">
        <v>5258</v>
      </c>
      <c r="U611" s="46" t="s">
        <v>5159</v>
      </c>
      <c r="V611" s="46" t="s">
        <v>5160</v>
      </c>
      <c r="W611" s="46" t="s">
        <v>5154</v>
      </c>
      <c r="X611" s="172" t="s">
        <v>9167</v>
      </c>
      <c r="Y611" s="46" t="s">
        <v>5262</v>
      </c>
      <c r="Z611" s="46" t="s">
        <v>5273</v>
      </c>
      <c r="AA611" s="46" t="s">
        <v>5173</v>
      </c>
      <c r="AB611" s="172" t="s">
        <v>9167</v>
      </c>
      <c r="AC611" s="48" t="s">
        <v>5274</v>
      </c>
      <c r="AD611" s="30"/>
      <c r="AE611" s="197"/>
      <c r="AF611" s="47"/>
    </row>
    <row r="612" spans="1:45" s="29" customFormat="1" ht="69.95" hidden="1" customHeight="1">
      <c r="A612" s="29" t="s">
        <v>5152</v>
      </c>
      <c r="B612" s="29" t="s">
        <v>3769</v>
      </c>
      <c r="C612" s="40">
        <v>21</v>
      </c>
      <c r="D612" s="40"/>
      <c r="E612" s="57" t="s">
        <v>159</v>
      </c>
      <c r="F612" s="57" t="s">
        <v>159</v>
      </c>
      <c r="G612" s="29" t="s">
        <v>1529</v>
      </c>
      <c r="H612" s="124" t="s">
        <v>9509</v>
      </c>
      <c r="I612" s="124" t="s">
        <v>9121</v>
      </c>
      <c r="J612" s="29">
        <f t="shared" si="35"/>
        <v>1</v>
      </c>
      <c r="K612" s="42">
        <v>605</v>
      </c>
      <c r="L612" s="152" t="s">
        <v>1530</v>
      </c>
      <c r="M612" s="44" t="s">
        <v>405</v>
      </c>
      <c r="N612" s="44" t="s">
        <v>426</v>
      </c>
      <c r="O612" s="101" t="str">
        <f t="shared" si="34"/>
        <v>PE-L1-3C4-08</v>
      </c>
      <c r="P612" s="60">
        <v>0.12</v>
      </c>
      <c r="Q612" s="44">
        <v>230</v>
      </c>
      <c r="R612" s="44" t="s">
        <v>49</v>
      </c>
      <c r="S612" s="101">
        <v>330</v>
      </c>
      <c r="T612" s="46" t="s">
        <v>5258</v>
      </c>
      <c r="U612" s="46" t="s">
        <v>5152</v>
      </c>
      <c r="V612" s="46" t="s">
        <v>5153</v>
      </c>
      <c r="W612" s="46" t="s">
        <v>5154</v>
      </c>
      <c r="X612" s="172" t="s">
        <v>9167</v>
      </c>
      <c r="Y612" s="46" t="s">
        <v>5265</v>
      </c>
      <c r="Z612" s="46" t="s">
        <v>5275</v>
      </c>
      <c r="AA612" s="46" t="s">
        <v>5173</v>
      </c>
      <c r="AB612" s="172" t="s">
        <v>9167</v>
      </c>
      <c r="AC612" s="48" t="s">
        <v>5276</v>
      </c>
      <c r="AD612" s="30"/>
      <c r="AE612" s="197"/>
      <c r="AF612" s="47"/>
    </row>
    <row r="613" spans="1:45" s="29" customFormat="1" ht="69.95" hidden="1" customHeight="1">
      <c r="A613" s="29" t="s">
        <v>5159</v>
      </c>
      <c r="B613" s="29" t="s">
        <v>3769</v>
      </c>
      <c r="C613" s="40">
        <v>21</v>
      </c>
      <c r="D613" s="40"/>
      <c r="E613" s="57" t="s">
        <v>122</v>
      </c>
      <c r="F613" s="57" t="s">
        <v>122</v>
      </c>
      <c r="G613" s="29" t="s">
        <v>1531</v>
      </c>
      <c r="H613" s="124" t="s">
        <v>9509</v>
      </c>
      <c r="I613" s="124" t="s">
        <v>9121</v>
      </c>
      <c r="J613" s="29">
        <f t="shared" si="35"/>
        <v>1</v>
      </c>
      <c r="K613" s="42">
        <v>606</v>
      </c>
      <c r="L613" s="152" t="s">
        <v>1532</v>
      </c>
      <c r="M613" s="44" t="s">
        <v>405</v>
      </c>
      <c r="N613" s="44" t="s">
        <v>426</v>
      </c>
      <c r="O613" s="101" t="str">
        <f t="shared" si="34"/>
        <v>PE-L1-3C4-06</v>
      </c>
      <c r="P613" s="60">
        <v>0.12</v>
      </c>
      <c r="Q613" s="44">
        <v>230</v>
      </c>
      <c r="R613" s="44" t="s">
        <v>49</v>
      </c>
      <c r="S613" s="101">
        <v>340</v>
      </c>
      <c r="T613" s="46" t="s">
        <v>5258</v>
      </c>
      <c r="U613" s="46" t="s">
        <v>5159</v>
      </c>
      <c r="V613" s="46" t="s">
        <v>5160</v>
      </c>
      <c r="W613" s="46" t="s">
        <v>5154</v>
      </c>
      <c r="X613" s="172" t="s">
        <v>9167</v>
      </c>
      <c r="Y613" s="46" t="s">
        <v>5268</v>
      </c>
      <c r="Z613" s="46" t="s">
        <v>5277</v>
      </c>
      <c r="AA613" s="46" t="s">
        <v>5173</v>
      </c>
      <c r="AB613" s="172" t="s">
        <v>9167</v>
      </c>
      <c r="AC613" s="48" t="s">
        <v>5278</v>
      </c>
      <c r="AD613" s="30"/>
      <c r="AE613" s="197"/>
      <c r="AF613" s="47"/>
    </row>
    <row r="614" spans="1:45" s="29" customFormat="1" ht="69.95" hidden="1" customHeight="1">
      <c r="A614" s="29" t="s">
        <v>5280</v>
      </c>
      <c r="B614" s="29" t="s">
        <v>8652</v>
      </c>
      <c r="C614" s="40" t="s">
        <v>32</v>
      </c>
      <c r="D614" s="40"/>
      <c r="E614" s="56" t="s">
        <v>160</v>
      </c>
      <c r="F614" s="56" t="s">
        <v>160</v>
      </c>
      <c r="G614" s="29" t="s">
        <v>1533</v>
      </c>
      <c r="J614" s="29">
        <f t="shared" si="35"/>
        <v>1</v>
      </c>
      <c r="K614" s="42">
        <v>607</v>
      </c>
      <c r="L614" s="43" t="s">
        <v>1534</v>
      </c>
      <c r="M614" s="44" t="s">
        <v>417</v>
      </c>
      <c r="N614" s="44" t="s">
        <v>418</v>
      </c>
      <c r="O614" s="44" t="str">
        <f t="shared" si="34"/>
        <v>PE-M1-3C120-04</v>
      </c>
      <c r="P614" s="45">
        <v>350</v>
      </c>
      <c r="Q614" s="44">
        <v>10000</v>
      </c>
      <c r="R614" s="44" t="s">
        <v>49</v>
      </c>
      <c r="S614" s="44">
        <v>510</v>
      </c>
      <c r="T614" s="46" t="s">
        <v>5279</v>
      </c>
      <c r="U614" s="46" t="s">
        <v>5280</v>
      </c>
      <c r="V614" s="46" t="s">
        <v>338</v>
      </c>
      <c r="W614" s="46" t="s">
        <v>335</v>
      </c>
      <c r="X614" s="47" t="s">
        <v>51</v>
      </c>
      <c r="Y614" s="46" t="s">
        <v>5281</v>
      </c>
      <c r="Z614" s="46" t="s">
        <v>5282</v>
      </c>
      <c r="AA614" s="46" t="s">
        <v>4549</v>
      </c>
      <c r="AB614" s="47" t="s">
        <v>3941</v>
      </c>
      <c r="AC614" s="48" t="s">
        <v>5283</v>
      </c>
      <c r="AD614" s="30"/>
      <c r="AE614" s="197"/>
      <c r="AF614" s="47"/>
      <c r="AR614" s="241">
        <v>2</v>
      </c>
      <c r="AS614" s="241" t="s">
        <v>9587</v>
      </c>
    </row>
    <row r="615" spans="1:45" s="29" customFormat="1" ht="69.95" hidden="1" customHeight="1">
      <c r="A615" s="29" t="s">
        <v>5280</v>
      </c>
      <c r="B615" s="29" t="s">
        <v>3769</v>
      </c>
      <c r="C615" s="40" t="s">
        <v>32</v>
      </c>
      <c r="D615" s="40"/>
      <c r="E615" s="57" t="s">
        <v>159</v>
      </c>
      <c r="F615" s="57" t="s">
        <v>159</v>
      </c>
      <c r="G615" s="29" t="s">
        <v>1535</v>
      </c>
      <c r="J615" s="29">
        <f t="shared" si="35"/>
        <v>1</v>
      </c>
      <c r="K615" s="42">
        <v>608</v>
      </c>
      <c r="L615" s="43" t="s">
        <v>1536</v>
      </c>
      <c r="M615" s="44" t="s">
        <v>405</v>
      </c>
      <c r="N615" s="44" t="s">
        <v>426</v>
      </c>
      <c r="O615" s="44" t="str">
        <f t="shared" si="34"/>
        <v>PE-L1-3C4-08</v>
      </c>
      <c r="P615" s="45">
        <v>0.25</v>
      </c>
      <c r="Q615" s="44">
        <v>230</v>
      </c>
      <c r="R615" s="44" t="s">
        <v>49</v>
      </c>
      <c r="S615" s="44">
        <v>520</v>
      </c>
      <c r="T615" s="46" t="s">
        <v>5279</v>
      </c>
      <c r="U615" s="46" t="s">
        <v>5280</v>
      </c>
      <c r="V615" s="46" t="s">
        <v>338</v>
      </c>
      <c r="W615" s="46" t="s">
        <v>335</v>
      </c>
      <c r="X615" s="172" t="s">
        <v>9167</v>
      </c>
      <c r="Y615" s="46" t="s">
        <v>5281</v>
      </c>
      <c r="Z615" s="46" t="s">
        <v>5284</v>
      </c>
      <c r="AA615" s="46" t="s">
        <v>4549</v>
      </c>
      <c r="AB615" s="172" t="s">
        <v>9167</v>
      </c>
      <c r="AC615" s="48" t="s">
        <v>5285</v>
      </c>
      <c r="AD615" s="30"/>
      <c r="AE615" s="197"/>
      <c r="AF615" s="47"/>
    </row>
    <row r="616" spans="1:45" s="29" customFormat="1" ht="69.95" hidden="1" customHeight="1">
      <c r="A616" s="29" t="s">
        <v>4688</v>
      </c>
      <c r="B616" s="29" t="s">
        <v>3769</v>
      </c>
      <c r="C616" s="40">
        <v>13</v>
      </c>
      <c r="D616" s="40"/>
      <c r="E616" s="57" t="s">
        <v>159</v>
      </c>
      <c r="F616" s="57" t="s">
        <v>159</v>
      </c>
      <c r="G616" s="29" t="s">
        <v>1537</v>
      </c>
      <c r="J616" s="29">
        <f t="shared" si="35"/>
        <v>1</v>
      </c>
      <c r="K616" s="42">
        <v>609</v>
      </c>
      <c r="L616" s="43" t="s">
        <v>1538</v>
      </c>
      <c r="M616" s="44" t="s">
        <v>405</v>
      </c>
      <c r="N616" s="44" t="s">
        <v>426</v>
      </c>
      <c r="O616" s="44" t="str">
        <f t="shared" si="34"/>
        <v>PE-L1-3C4-08</v>
      </c>
      <c r="P616" s="45">
        <v>0.03</v>
      </c>
      <c r="Q616" s="44">
        <v>230</v>
      </c>
      <c r="R616" s="44" t="s">
        <v>49</v>
      </c>
      <c r="S616" s="44">
        <v>40</v>
      </c>
      <c r="T616" s="46" t="s">
        <v>5279</v>
      </c>
      <c r="U616" s="46" t="s">
        <v>4688</v>
      </c>
      <c r="V616" s="46" t="s">
        <v>4689</v>
      </c>
      <c r="W616" s="46" t="s">
        <v>4549</v>
      </c>
      <c r="X616" s="172" t="s">
        <v>9167</v>
      </c>
      <c r="Y616" s="46" t="s">
        <v>5281</v>
      </c>
      <c r="Z616" s="46" t="s">
        <v>5286</v>
      </c>
      <c r="AA616" s="46" t="s">
        <v>4549</v>
      </c>
      <c r="AB616" s="172" t="s">
        <v>9167</v>
      </c>
      <c r="AC616" s="48" t="s">
        <v>5287</v>
      </c>
      <c r="AD616" s="30"/>
      <c r="AE616" s="197"/>
      <c r="AF616" s="47"/>
    </row>
    <row r="617" spans="1:45" s="29" customFormat="1" ht="69.95" hidden="1" customHeight="1">
      <c r="A617" s="29" t="s">
        <v>5288</v>
      </c>
      <c r="B617" s="29" t="s">
        <v>8652</v>
      </c>
      <c r="C617" s="40" t="s">
        <v>32</v>
      </c>
      <c r="D617" s="40"/>
      <c r="E617" s="59" t="s">
        <v>161</v>
      </c>
      <c r="F617" s="59" t="s">
        <v>161</v>
      </c>
      <c r="G617" s="29" t="s">
        <v>1539</v>
      </c>
      <c r="J617" s="29">
        <f t="shared" si="35"/>
        <v>1</v>
      </c>
      <c r="K617" s="42">
        <v>610</v>
      </c>
      <c r="L617" s="43" t="s">
        <v>1540</v>
      </c>
      <c r="M617" s="44" t="s">
        <v>417</v>
      </c>
      <c r="N617" s="44" t="s">
        <v>418</v>
      </c>
      <c r="O617" s="44" t="str">
        <f t="shared" si="34"/>
        <v>PE-M1-3C120-05</v>
      </c>
      <c r="P617" s="45">
        <v>350</v>
      </c>
      <c r="Q617" s="44">
        <v>10000</v>
      </c>
      <c r="R617" s="44" t="s">
        <v>49</v>
      </c>
      <c r="S617" s="44">
        <v>510</v>
      </c>
      <c r="T617" s="46" t="s">
        <v>5279</v>
      </c>
      <c r="U617" s="46" t="s">
        <v>5288</v>
      </c>
      <c r="V617" s="46" t="s">
        <v>344</v>
      </c>
      <c r="W617" s="46" t="s">
        <v>335</v>
      </c>
      <c r="X617" s="47" t="s">
        <v>51</v>
      </c>
      <c r="Y617" s="46" t="s">
        <v>5289</v>
      </c>
      <c r="Z617" s="46" t="s">
        <v>5290</v>
      </c>
      <c r="AA617" s="46" t="s">
        <v>4549</v>
      </c>
      <c r="AB617" s="47" t="s">
        <v>3941</v>
      </c>
      <c r="AC617" s="48" t="s">
        <v>5291</v>
      </c>
      <c r="AD617" s="30"/>
      <c r="AE617" s="197"/>
      <c r="AF617" s="47"/>
      <c r="AR617" s="241">
        <v>2</v>
      </c>
      <c r="AS617" s="241" t="s">
        <v>9587</v>
      </c>
    </row>
    <row r="618" spans="1:45" s="29" customFormat="1" ht="69.95" hidden="1" customHeight="1">
      <c r="A618" s="29" t="s">
        <v>5288</v>
      </c>
      <c r="B618" s="29" t="s">
        <v>3769</v>
      </c>
      <c r="C618" s="40" t="s">
        <v>32</v>
      </c>
      <c r="D618" s="40"/>
      <c r="E618" s="56" t="s">
        <v>159</v>
      </c>
      <c r="F618" s="57" t="s">
        <v>159</v>
      </c>
      <c r="G618" s="29" t="s">
        <v>1541</v>
      </c>
      <c r="J618" s="29">
        <f t="shared" si="35"/>
        <v>1</v>
      </c>
      <c r="K618" s="42">
        <v>611</v>
      </c>
      <c r="L618" s="43" t="s">
        <v>1542</v>
      </c>
      <c r="M618" s="44" t="s">
        <v>405</v>
      </c>
      <c r="N618" s="44" t="s">
        <v>426</v>
      </c>
      <c r="O618" s="44" t="str">
        <f t="shared" si="34"/>
        <v>PE-L1-3C4-08</v>
      </c>
      <c r="P618" s="45">
        <v>0.25</v>
      </c>
      <c r="Q618" s="44">
        <v>230</v>
      </c>
      <c r="R618" s="44" t="s">
        <v>49</v>
      </c>
      <c r="S618" s="44">
        <v>520</v>
      </c>
      <c r="T618" s="46" t="s">
        <v>5279</v>
      </c>
      <c r="U618" s="46" t="s">
        <v>5288</v>
      </c>
      <c r="V618" s="46" t="s">
        <v>344</v>
      </c>
      <c r="W618" s="46" t="s">
        <v>335</v>
      </c>
      <c r="X618" s="172" t="s">
        <v>9167</v>
      </c>
      <c r="Y618" s="46" t="s">
        <v>5289</v>
      </c>
      <c r="Z618" s="46" t="s">
        <v>5292</v>
      </c>
      <c r="AA618" s="46" t="s">
        <v>4549</v>
      </c>
      <c r="AB618" s="172" t="s">
        <v>9167</v>
      </c>
      <c r="AC618" s="48" t="s">
        <v>5293</v>
      </c>
      <c r="AD618" s="30"/>
      <c r="AE618" s="197"/>
      <c r="AF618" s="47"/>
    </row>
    <row r="619" spans="1:45" s="29" customFormat="1" ht="69.95" hidden="1" customHeight="1">
      <c r="A619" s="29" t="s">
        <v>4719</v>
      </c>
      <c r="B619" s="29" t="s">
        <v>3769</v>
      </c>
      <c r="C619" s="40">
        <v>13</v>
      </c>
      <c r="D619" s="173" t="s">
        <v>9131</v>
      </c>
      <c r="E619" s="57" t="s">
        <v>122</v>
      </c>
      <c r="F619" s="121" t="s">
        <v>233</v>
      </c>
      <c r="G619" s="29" t="s">
        <v>1543</v>
      </c>
      <c r="J619" s="29">
        <f t="shared" si="35"/>
        <v>1</v>
      </c>
      <c r="K619" s="42">
        <v>612</v>
      </c>
      <c r="L619" s="43" t="s">
        <v>1544</v>
      </c>
      <c r="M619" s="44" t="s">
        <v>405</v>
      </c>
      <c r="N619" s="44" t="s">
        <v>426</v>
      </c>
      <c r="O619" s="121" t="str">
        <f>F619</f>
        <v>PE-L1-3C4-14</v>
      </c>
      <c r="P619" s="45">
        <v>0.03</v>
      </c>
      <c r="Q619" s="44">
        <v>230</v>
      </c>
      <c r="R619" s="44" t="s">
        <v>49</v>
      </c>
      <c r="S619" s="44">
        <v>20</v>
      </c>
      <c r="T619" s="46" t="s">
        <v>5279</v>
      </c>
      <c r="U619" s="46" t="s">
        <v>4719</v>
      </c>
      <c r="V619" s="46" t="s">
        <v>4720</v>
      </c>
      <c r="W619" s="46" t="s">
        <v>4549</v>
      </c>
      <c r="X619" s="172" t="s">
        <v>9167</v>
      </c>
      <c r="Y619" s="46" t="s">
        <v>5289</v>
      </c>
      <c r="Z619" s="46" t="s">
        <v>5294</v>
      </c>
      <c r="AA619" s="46" t="s">
        <v>4549</v>
      </c>
      <c r="AB619" s="172" t="s">
        <v>9167</v>
      </c>
      <c r="AC619" s="48" t="s">
        <v>5295</v>
      </c>
      <c r="AD619" s="30"/>
      <c r="AE619" s="197"/>
      <c r="AF619" s="47"/>
    </row>
    <row r="620" spans="1:45" s="29" customFormat="1" ht="69.95" hidden="1" customHeight="1">
      <c r="A620" s="29" t="s">
        <v>5280</v>
      </c>
      <c r="B620" s="29" t="s">
        <v>8652</v>
      </c>
      <c r="C620" s="40" t="s">
        <v>36</v>
      </c>
      <c r="D620" s="40"/>
      <c r="E620" s="59" t="s">
        <v>162</v>
      </c>
      <c r="F620" s="59" t="s">
        <v>162</v>
      </c>
      <c r="G620" s="29" t="s">
        <v>1545</v>
      </c>
      <c r="J620" s="29">
        <f t="shared" si="35"/>
        <v>1</v>
      </c>
      <c r="K620" s="42">
        <v>613</v>
      </c>
      <c r="L620" s="43" t="s">
        <v>1546</v>
      </c>
      <c r="M620" s="44" t="s">
        <v>417</v>
      </c>
      <c r="N620" s="44" t="s">
        <v>418</v>
      </c>
      <c r="O620" s="44" t="str">
        <f t="shared" ref="O620:O621" si="36">F620</f>
        <v>PE-M1-3C120-06</v>
      </c>
      <c r="P620" s="45">
        <v>350</v>
      </c>
      <c r="Q620" s="44">
        <v>10000</v>
      </c>
      <c r="R620" s="44" t="s">
        <v>49</v>
      </c>
      <c r="S620" s="44">
        <v>490</v>
      </c>
      <c r="T620" s="46" t="s">
        <v>5279</v>
      </c>
      <c r="U620" s="46" t="s">
        <v>5280</v>
      </c>
      <c r="V620" s="46" t="s">
        <v>338</v>
      </c>
      <c r="W620" s="46" t="s">
        <v>335</v>
      </c>
      <c r="X620" s="47" t="s">
        <v>51</v>
      </c>
      <c r="Y620" s="46" t="s">
        <v>5296</v>
      </c>
      <c r="Z620" s="46" t="s">
        <v>5297</v>
      </c>
      <c r="AA620" s="46" t="s">
        <v>4549</v>
      </c>
      <c r="AB620" s="47" t="s">
        <v>3941</v>
      </c>
      <c r="AC620" s="48" t="s">
        <v>5298</v>
      </c>
      <c r="AD620" s="30"/>
      <c r="AE620" s="197"/>
      <c r="AF620" s="47"/>
      <c r="AR620" s="241">
        <v>2</v>
      </c>
      <c r="AS620" s="241" t="s">
        <v>9587</v>
      </c>
    </row>
    <row r="621" spans="1:45" s="29" customFormat="1" ht="69.95" hidden="1" customHeight="1">
      <c r="A621" s="29" t="s">
        <v>5280</v>
      </c>
      <c r="B621" s="29" t="s">
        <v>3769</v>
      </c>
      <c r="C621" s="40" t="s">
        <v>36</v>
      </c>
      <c r="D621" s="40"/>
      <c r="E621" s="56" t="s">
        <v>163</v>
      </c>
      <c r="F621" s="57" t="s">
        <v>163</v>
      </c>
      <c r="G621" s="29" t="s">
        <v>1547</v>
      </c>
      <c r="J621" s="29">
        <f t="shared" si="35"/>
        <v>1</v>
      </c>
      <c r="K621" s="42">
        <v>614</v>
      </c>
      <c r="L621" s="43" t="s">
        <v>1548</v>
      </c>
      <c r="M621" s="44" t="s">
        <v>405</v>
      </c>
      <c r="N621" s="44" t="s">
        <v>426</v>
      </c>
      <c r="O621" s="44" t="str">
        <f t="shared" si="36"/>
        <v>PE-L1-3C4-09</v>
      </c>
      <c r="P621" s="45">
        <v>0.25</v>
      </c>
      <c r="Q621" s="44">
        <v>230</v>
      </c>
      <c r="R621" s="44" t="s">
        <v>49</v>
      </c>
      <c r="S621" s="44">
        <v>520</v>
      </c>
      <c r="T621" s="46" t="s">
        <v>5279</v>
      </c>
      <c r="U621" s="46" t="s">
        <v>5280</v>
      </c>
      <c r="V621" s="46" t="s">
        <v>338</v>
      </c>
      <c r="W621" s="46" t="s">
        <v>335</v>
      </c>
      <c r="X621" s="172" t="s">
        <v>9167</v>
      </c>
      <c r="Y621" s="46" t="s">
        <v>5296</v>
      </c>
      <c r="Z621" s="46" t="s">
        <v>5299</v>
      </c>
      <c r="AA621" s="46" t="s">
        <v>4549</v>
      </c>
      <c r="AB621" s="172" t="s">
        <v>9167</v>
      </c>
      <c r="AC621" s="48" t="s">
        <v>5300</v>
      </c>
      <c r="AD621" s="30"/>
      <c r="AE621" s="197"/>
      <c r="AF621" s="47"/>
    </row>
    <row r="622" spans="1:45" s="29" customFormat="1" ht="69.95" hidden="1" customHeight="1">
      <c r="A622" s="29" t="s">
        <v>4688</v>
      </c>
      <c r="B622" s="29" t="s">
        <v>3769</v>
      </c>
      <c r="C622" s="40">
        <v>14</v>
      </c>
      <c r="D622" s="173" t="s">
        <v>9131</v>
      </c>
      <c r="E622" s="57" t="s">
        <v>122</v>
      </c>
      <c r="F622" s="121" t="s">
        <v>233</v>
      </c>
      <c r="G622" s="29" t="s">
        <v>1549</v>
      </c>
      <c r="J622" s="29">
        <f t="shared" si="35"/>
        <v>1</v>
      </c>
      <c r="K622" s="42">
        <v>615</v>
      </c>
      <c r="L622" s="43" t="s">
        <v>1550</v>
      </c>
      <c r="M622" s="44" t="s">
        <v>405</v>
      </c>
      <c r="N622" s="44" t="s">
        <v>426</v>
      </c>
      <c r="O622" s="121" t="str">
        <f>F622</f>
        <v>PE-L1-3C4-14</v>
      </c>
      <c r="P622" s="45">
        <v>0.03</v>
      </c>
      <c r="Q622" s="44">
        <v>230</v>
      </c>
      <c r="R622" s="44" t="s">
        <v>49</v>
      </c>
      <c r="S622" s="44">
        <v>40</v>
      </c>
      <c r="T622" s="46" t="s">
        <v>5279</v>
      </c>
      <c r="U622" s="46" t="s">
        <v>4688</v>
      </c>
      <c r="V622" s="46" t="s">
        <v>4689</v>
      </c>
      <c r="W622" s="46" t="s">
        <v>4549</v>
      </c>
      <c r="X622" s="172" t="s">
        <v>9167</v>
      </c>
      <c r="Y622" s="46" t="s">
        <v>5296</v>
      </c>
      <c r="Z622" s="46" t="s">
        <v>5301</v>
      </c>
      <c r="AA622" s="46" t="s">
        <v>4549</v>
      </c>
      <c r="AB622" s="172" t="s">
        <v>9167</v>
      </c>
      <c r="AC622" s="48" t="s">
        <v>5302</v>
      </c>
      <c r="AD622" s="30"/>
      <c r="AE622" s="197"/>
      <c r="AF622" s="47"/>
    </row>
    <row r="623" spans="1:45" s="29" customFormat="1" ht="69.95" hidden="1" customHeight="1">
      <c r="A623" s="29" t="s">
        <v>5303</v>
      </c>
      <c r="B623" s="29" t="s">
        <v>8652</v>
      </c>
      <c r="C623" s="40" t="s">
        <v>32</v>
      </c>
      <c r="D623" s="40"/>
      <c r="E623" s="59" t="s">
        <v>164</v>
      </c>
      <c r="F623" s="56" t="s">
        <v>164</v>
      </c>
      <c r="G623" s="29" t="s">
        <v>1551</v>
      </c>
      <c r="J623" s="29">
        <f t="shared" si="35"/>
        <v>1</v>
      </c>
      <c r="K623" s="42">
        <v>616</v>
      </c>
      <c r="L623" s="43" t="s">
        <v>1552</v>
      </c>
      <c r="M623" s="44" t="s">
        <v>417</v>
      </c>
      <c r="N623" s="44" t="s">
        <v>418</v>
      </c>
      <c r="O623" s="44" t="str">
        <f t="shared" ref="O623:O630" si="37">F623</f>
        <v>PE-M1-3C120-20</v>
      </c>
      <c r="P623" s="45">
        <v>350</v>
      </c>
      <c r="Q623" s="44">
        <v>10000</v>
      </c>
      <c r="R623" s="44" t="s">
        <v>49</v>
      </c>
      <c r="S623" s="44">
        <v>490</v>
      </c>
      <c r="T623" s="46" t="s">
        <v>5279</v>
      </c>
      <c r="U623" s="46" t="s">
        <v>5303</v>
      </c>
      <c r="V623" s="46" t="s">
        <v>353</v>
      </c>
      <c r="W623" s="46" t="s">
        <v>347</v>
      </c>
      <c r="X623" s="47" t="s">
        <v>51</v>
      </c>
      <c r="Y623" s="46" t="s">
        <v>5304</v>
      </c>
      <c r="Z623" s="46" t="s">
        <v>5282</v>
      </c>
      <c r="AA623" s="46" t="s">
        <v>4549</v>
      </c>
      <c r="AB623" s="47" t="s">
        <v>3941</v>
      </c>
      <c r="AC623" s="48" t="s">
        <v>5305</v>
      </c>
      <c r="AD623" s="30"/>
      <c r="AE623" s="197"/>
      <c r="AF623" s="47"/>
      <c r="AR623" s="241">
        <v>2</v>
      </c>
      <c r="AS623" s="241" t="s">
        <v>9587</v>
      </c>
    </row>
    <row r="624" spans="1:45" s="29" customFormat="1" ht="69.95" hidden="1" customHeight="1">
      <c r="A624" s="29" t="s">
        <v>5303</v>
      </c>
      <c r="B624" s="29" t="s">
        <v>3769</v>
      </c>
      <c r="C624" s="40" t="s">
        <v>32</v>
      </c>
      <c r="D624" s="40"/>
      <c r="E624" s="57" t="s">
        <v>165</v>
      </c>
      <c r="F624" s="57" t="s">
        <v>165</v>
      </c>
      <c r="G624" s="29" t="s">
        <v>1553</v>
      </c>
      <c r="J624" s="29">
        <f t="shared" si="35"/>
        <v>1</v>
      </c>
      <c r="K624" s="42">
        <v>617</v>
      </c>
      <c r="L624" s="43" t="s">
        <v>1554</v>
      </c>
      <c r="M624" s="44" t="s">
        <v>405</v>
      </c>
      <c r="N624" s="44" t="s">
        <v>426</v>
      </c>
      <c r="O624" s="44" t="str">
        <f t="shared" si="37"/>
        <v>PE-L1-3C4-05</v>
      </c>
      <c r="P624" s="45">
        <v>0.25</v>
      </c>
      <c r="Q624" s="44">
        <v>230</v>
      </c>
      <c r="R624" s="44" t="s">
        <v>49</v>
      </c>
      <c r="S624" s="44">
        <v>510</v>
      </c>
      <c r="T624" s="46" t="s">
        <v>5279</v>
      </c>
      <c r="U624" s="46" t="s">
        <v>5303</v>
      </c>
      <c r="V624" s="46" t="s">
        <v>353</v>
      </c>
      <c r="W624" s="46" t="s">
        <v>347</v>
      </c>
      <c r="X624" s="172" t="s">
        <v>9167</v>
      </c>
      <c r="Y624" s="46" t="s">
        <v>5304</v>
      </c>
      <c r="Z624" s="46" t="s">
        <v>5284</v>
      </c>
      <c r="AA624" s="46" t="s">
        <v>4549</v>
      </c>
      <c r="AB624" s="172" t="s">
        <v>9167</v>
      </c>
      <c r="AC624" s="48" t="s">
        <v>5306</v>
      </c>
      <c r="AD624" s="30"/>
      <c r="AE624" s="197"/>
      <c r="AF624" s="47"/>
    </row>
    <row r="625" spans="1:45" s="29" customFormat="1" ht="69.95" hidden="1" customHeight="1">
      <c r="A625" s="29" t="s">
        <v>4923</v>
      </c>
      <c r="B625" s="29" t="s">
        <v>3769</v>
      </c>
      <c r="C625" s="40">
        <v>13</v>
      </c>
      <c r="D625" s="40"/>
      <c r="E625" s="57" t="s">
        <v>165</v>
      </c>
      <c r="F625" s="57" t="s">
        <v>165</v>
      </c>
      <c r="G625" s="29" t="s">
        <v>1555</v>
      </c>
      <c r="J625" s="29">
        <f t="shared" si="35"/>
        <v>1</v>
      </c>
      <c r="K625" s="42">
        <v>618</v>
      </c>
      <c r="L625" s="43" t="s">
        <v>1556</v>
      </c>
      <c r="M625" s="44" t="s">
        <v>405</v>
      </c>
      <c r="N625" s="44" t="s">
        <v>426</v>
      </c>
      <c r="O625" s="44" t="str">
        <f t="shared" si="37"/>
        <v>PE-L1-3C4-05</v>
      </c>
      <c r="P625" s="45">
        <v>0.03</v>
      </c>
      <c r="Q625" s="44">
        <v>230</v>
      </c>
      <c r="R625" s="44" t="s">
        <v>49</v>
      </c>
      <c r="S625" s="44">
        <v>70</v>
      </c>
      <c r="T625" s="46" t="s">
        <v>5279</v>
      </c>
      <c r="U625" s="46" t="s">
        <v>4923</v>
      </c>
      <c r="V625" s="46" t="s">
        <v>4924</v>
      </c>
      <c r="W625" s="46" t="s">
        <v>4549</v>
      </c>
      <c r="X625" s="172" t="s">
        <v>9167</v>
      </c>
      <c r="Y625" s="46" t="s">
        <v>5304</v>
      </c>
      <c r="Z625" s="46" t="s">
        <v>5286</v>
      </c>
      <c r="AA625" s="46" t="s">
        <v>4549</v>
      </c>
      <c r="AB625" s="172" t="s">
        <v>9167</v>
      </c>
      <c r="AC625" s="48" t="s">
        <v>5307</v>
      </c>
      <c r="AD625" s="30"/>
      <c r="AE625" s="197"/>
      <c r="AF625" s="47"/>
    </row>
    <row r="626" spans="1:45" s="29" customFormat="1" ht="69.95" hidden="1" customHeight="1">
      <c r="A626" s="29" t="s">
        <v>5308</v>
      </c>
      <c r="B626" s="29" t="s">
        <v>8652</v>
      </c>
      <c r="C626" s="40" t="s">
        <v>32</v>
      </c>
      <c r="D626" s="40"/>
      <c r="E626" s="59" t="s">
        <v>166</v>
      </c>
      <c r="F626" s="59" t="s">
        <v>166</v>
      </c>
      <c r="G626" s="29" t="s">
        <v>1557</v>
      </c>
      <c r="J626" s="29">
        <f t="shared" si="35"/>
        <v>1</v>
      </c>
      <c r="K626" s="42">
        <v>619</v>
      </c>
      <c r="L626" s="43" t="s">
        <v>1558</v>
      </c>
      <c r="M626" s="44" t="s">
        <v>417</v>
      </c>
      <c r="N626" s="44" t="s">
        <v>418</v>
      </c>
      <c r="O626" s="44" t="str">
        <f t="shared" si="37"/>
        <v>PE-M1-3C120-21</v>
      </c>
      <c r="P626" s="45">
        <v>350</v>
      </c>
      <c r="Q626" s="44">
        <v>10000</v>
      </c>
      <c r="R626" s="44" t="s">
        <v>49</v>
      </c>
      <c r="S626" s="44">
        <v>490</v>
      </c>
      <c r="T626" s="46" t="s">
        <v>5279</v>
      </c>
      <c r="U626" s="46" t="s">
        <v>5308</v>
      </c>
      <c r="V626" s="46" t="s">
        <v>360</v>
      </c>
      <c r="W626" s="46" t="s">
        <v>347</v>
      </c>
      <c r="X626" s="47" t="s">
        <v>51</v>
      </c>
      <c r="Y626" s="46" t="s">
        <v>5309</v>
      </c>
      <c r="Z626" s="46" t="s">
        <v>5290</v>
      </c>
      <c r="AA626" s="46" t="s">
        <v>4549</v>
      </c>
      <c r="AB626" s="47" t="s">
        <v>3941</v>
      </c>
      <c r="AC626" s="48" t="s">
        <v>5310</v>
      </c>
      <c r="AD626" s="30"/>
      <c r="AE626" s="197"/>
      <c r="AF626" s="47"/>
      <c r="AR626" s="241">
        <v>2</v>
      </c>
      <c r="AS626" s="241" t="s">
        <v>9587</v>
      </c>
    </row>
    <row r="627" spans="1:45" s="29" customFormat="1" ht="69.95" hidden="1" customHeight="1">
      <c r="A627" s="29" t="s">
        <v>5308</v>
      </c>
      <c r="B627" s="29" t="s">
        <v>3769</v>
      </c>
      <c r="C627" s="40" t="s">
        <v>32</v>
      </c>
      <c r="D627" s="40"/>
      <c r="E627" s="57" t="s">
        <v>165</v>
      </c>
      <c r="F627" s="57" t="s">
        <v>165</v>
      </c>
      <c r="G627" s="29" t="s">
        <v>1559</v>
      </c>
      <c r="J627" s="29">
        <f t="shared" si="35"/>
        <v>1</v>
      </c>
      <c r="K627" s="42">
        <v>620</v>
      </c>
      <c r="L627" s="43" t="s">
        <v>1560</v>
      </c>
      <c r="M627" s="44" t="s">
        <v>405</v>
      </c>
      <c r="N627" s="44" t="s">
        <v>426</v>
      </c>
      <c r="O627" s="44" t="str">
        <f t="shared" si="37"/>
        <v>PE-L1-3C4-05</v>
      </c>
      <c r="P627" s="45">
        <v>0.25</v>
      </c>
      <c r="Q627" s="44">
        <v>230</v>
      </c>
      <c r="R627" s="44" t="s">
        <v>49</v>
      </c>
      <c r="S627" s="44">
        <v>500</v>
      </c>
      <c r="T627" s="46" t="s">
        <v>5279</v>
      </c>
      <c r="U627" s="46" t="s">
        <v>5308</v>
      </c>
      <c r="V627" s="46" t="s">
        <v>360</v>
      </c>
      <c r="W627" s="46" t="s">
        <v>347</v>
      </c>
      <c r="X627" s="172" t="s">
        <v>9167</v>
      </c>
      <c r="Y627" s="46" t="s">
        <v>5309</v>
      </c>
      <c r="Z627" s="46" t="s">
        <v>5292</v>
      </c>
      <c r="AA627" s="46" t="s">
        <v>4549</v>
      </c>
      <c r="AB627" s="172" t="s">
        <v>9167</v>
      </c>
      <c r="AC627" s="48" t="s">
        <v>5311</v>
      </c>
      <c r="AD627" s="30"/>
      <c r="AE627" s="197"/>
      <c r="AF627" s="47"/>
    </row>
    <row r="628" spans="1:45" s="29" customFormat="1" ht="69.95" hidden="1" customHeight="1">
      <c r="A628" s="29" t="s">
        <v>4937</v>
      </c>
      <c r="B628" s="29" t="s">
        <v>3769</v>
      </c>
      <c r="C628" s="40">
        <v>13</v>
      </c>
      <c r="D628" s="40"/>
      <c r="E628" s="57" t="s">
        <v>165</v>
      </c>
      <c r="F628" s="57" t="s">
        <v>165</v>
      </c>
      <c r="G628" s="29" t="s">
        <v>1561</v>
      </c>
      <c r="J628" s="29">
        <f t="shared" si="35"/>
        <v>1</v>
      </c>
      <c r="K628" s="42">
        <v>621</v>
      </c>
      <c r="L628" s="43" t="s">
        <v>1562</v>
      </c>
      <c r="M628" s="44" t="s">
        <v>405</v>
      </c>
      <c r="N628" s="44" t="s">
        <v>426</v>
      </c>
      <c r="O628" s="44" t="str">
        <f t="shared" si="37"/>
        <v>PE-L1-3C4-05</v>
      </c>
      <c r="P628" s="45">
        <v>0.03</v>
      </c>
      <c r="Q628" s="44">
        <v>230</v>
      </c>
      <c r="R628" s="44" t="s">
        <v>49</v>
      </c>
      <c r="S628" s="44">
        <v>40</v>
      </c>
      <c r="T628" s="46" t="s">
        <v>5279</v>
      </c>
      <c r="U628" s="46" t="s">
        <v>4937</v>
      </c>
      <c r="V628" s="46" t="s">
        <v>4938</v>
      </c>
      <c r="W628" s="46" t="s">
        <v>4549</v>
      </c>
      <c r="X628" s="172" t="s">
        <v>9167</v>
      </c>
      <c r="Y628" s="46" t="s">
        <v>5309</v>
      </c>
      <c r="Z628" s="46" t="s">
        <v>5294</v>
      </c>
      <c r="AA628" s="46" t="s">
        <v>4549</v>
      </c>
      <c r="AB628" s="172" t="s">
        <v>9167</v>
      </c>
      <c r="AC628" s="48" t="s">
        <v>5312</v>
      </c>
      <c r="AD628" s="30"/>
      <c r="AE628" s="197"/>
      <c r="AF628" s="47"/>
    </row>
    <row r="629" spans="1:45" s="29" customFormat="1" ht="69.95" hidden="1" customHeight="1">
      <c r="A629" s="29" t="s">
        <v>5303</v>
      </c>
      <c r="B629" s="29" t="s">
        <v>8652</v>
      </c>
      <c r="C629" s="40" t="s">
        <v>36</v>
      </c>
      <c r="D629" s="40"/>
      <c r="E629" s="59" t="s">
        <v>167</v>
      </c>
      <c r="F629" s="59" t="s">
        <v>167</v>
      </c>
      <c r="G629" s="29" t="s">
        <v>1563</v>
      </c>
      <c r="J629" s="29">
        <f t="shared" si="35"/>
        <v>1</v>
      </c>
      <c r="K629" s="42">
        <v>622</v>
      </c>
      <c r="L629" s="43" t="s">
        <v>1564</v>
      </c>
      <c r="M629" s="44" t="s">
        <v>417</v>
      </c>
      <c r="N629" s="44" t="s">
        <v>418</v>
      </c>
      <c r="O629" s="44" t="str">
        <f t="shared" si="37"/>
        <v>PE-M1-3C120-22</v>
      </c>
      <c r="P629" s="45">
        <v>350</v>
      </c>
      <c r="Q629" s="44">
        <v>10000</v>
      </c>
      <c r="R629" s="44" t="s">
        <v>49</v>
      </c>
      <c r="S629" s="44">
        <v>480</v>
      </c>
      <c r="T629" s="46" t="s">
        <v>5279</v>
      </c>
      <c r="U629" s="46" t="s">
        <v>5303</v>
      </c>
      <c r="V629" s="46" t="s">
        <v>353</v>
      </c>
      <c r="W629" s="46" t="s">
        <v>347</v>
      </c>
      <c r="X629" s="47" t="s">
        <v>51</v>
      </c>
      <c r="Y629" s="46" t="s">
        <v>5313</v>
      </c>
      <c r="Z629" s="46" t="s">
        <v>5297</v>
      </c>
      <c r="AA629" s="46" t="s">
        <v>4549</v>
      </c>
      <c r="AB629" s="47" t="s">
        <v>3941</v>
      </c>
      <c r="AC629" s="48" t="s">
        <v>5314</v>
      </c>
      <c r="AD629" s="30"/>
      <c r="AE629" s="197"/>
      <c r="AF629" s="47"/>
      <c r="AR629" s="241">
        <v>2</v>
      </c>
      <c r="AS629" s="241" t="s">
        <v>9587</v>
      </c>
    </row>
    <row r="630" spans="1:45" s="29" customFormat="1" ht="69.95" hidden="1" customHeight="1">
      <c r="A630" s="29" t="s">
        <v>5303</v>
      </c>
      <c r="B630" s="29" t="s">
        <v>3769</v>
      </c>
      <c r="C630" s="40" t="s">
        <v>36</v>
      </c>
      <c r="D630" s="40"/>
      <c r="E630" s="56" t="s">
        <v>165</v>
      </c>
      <c r="F630" s="57" t="s">
        <v>165</v>
      </c>
      <c r="G630" s="29" t="s">
        <v>1565</v>
      </c>
      <c r="J630" s="29">
        <f t="shared" si="35"/>
        <v>1</v>
      </c>
      <c r="K630" s="42">
        <v>623</v>
      </c>
      <c r="L630" s="43" t="s">
        <v>1566</v>
      </c>
      <c r="M630" s="44" t="s">
        <v>405</v>
      </c>
      <c r="N630" s="44" t="s">
        <v>426</v>
      </c>
      <c r="O630" s="44" t="str">
        <f t="shared" si="37"/>
        <v>PE-L1-3C4-05</v>
      </c>
      <c r="P630" s="45">
        <v>0.25</v>
      </c>
      <c r="Q630" s="44">
        <v>230</v>
      </c>
      <c r="R630" s="44" t="s">
        <v>49</v>
      </c>
      <c r="S630" s="44">
        <v>500</v>
      </c>
      <c r="T630" s="46" t="s">
        <v>5279</v>
      </c>
      <c r="U630" s="46" t="s">
        <v>5303</v>
      </c>
      <c r="V630" s="46" t="s">
        <v>353</v>
      </c>
      <c r="W630" s="46" t="s">
        <v>347</v>
      </c>
      <c r="X630" s="172" t="s">
        <v>9167</v>
      </c>
      <c r="Y630" s="46" t="s">
        <v>5313</v>
      </c>
      <c r="Z630" s="46" t="s">
        <v>5299</v>
      </c>
      <c r="AA630" s="46" t="s">
        <v>4549</v>
      </c>
      <c r="AB630" s="172" t="s">
        <v>9167</v>
      </c>
      <c r="AC630" s="48" t="s">
        <v>5315</v>
      </c>
      <c r="AD630" s="30"/>
      <c r="AE630" s="197"/>
      <c r="AF630" s="47"/>
    </row>
    <row r="631" spans="1:45" s="29" customFormat="1" ht="69.95" hidden="1" customHeight="1">
      <c r="A631" s="29" t="s">
        <v>4923</v>
      </c>
      <c r="B631" s="29" t="s">
        <v>3769</v>
      </c>
      <c r="C631" s="40">
        <v>14</v>
      </c>
      <c r="D631" s="173" t="s">
        <v>9131</v>
      </c>
      <c r="E631" s="57" t="s">
        <v>165</v>
      </c>
      <c r="F631" s="121" t="s">
        <v>8180</v>
      </c>
      <c r="G631" s="29" t="s">
        <v>1567</v>
      </c>
      <c r="J631" s="29">
        <f t="shared" si="35"/>
        <v>1</v>
      </c>
      <c r="K631" s="42">
        <v>624</v>
      </c>
      <c r="L631" s="43" t="s">
        <v>1568</v>
      </c>
      <c r="M631" s="44" t="s">
        <v>405</v>
      </c>
      <c r="N631" s="44" t="s">
        <v>426</v>
      </c>
      <c r="O631" s="121" t="str">
        <f>F631</f>
        <v>PE-L1-3C4-17</v>
      </c>
      <c r="P631" s="45">
        <v>0.03</v>
      </c>
      <c r="Q631" s="44">
        <v>230</v>
      </c>
      <c r="R631" s="44" t="s">
        <v>49</v>
      </c>
      <c r="S631" s="44">
        <v>50</v>
      </c>
      <c r="T631" s="46" t="s">
        <v>5279</v>
      </c>
      <c r="U631" s="46" t="s">
        <v>4923</v>
      </c>
      <c r="V631" s="46" t="s">
        <v>4924</v>
      </c>
      <c r="W631" s="46" t="s">
        <v>4549</v>
      </c>
      <c r="X631" s="172" t="s">
        <v>9167</v>
      </c>
      <c r="Y631" s="46" t="s">
        <v>5313</v>
      </c>
      <c r="Z631" s="46" t="s">
        <v>5301</v>
      </c>
      <c r="AA631" s="46" t="s">
        <v>4549</v>
      </c>
      <c r="AB631" s="172" t="s">
        <v>9167</v>
      </c>
      <c r="AC631" s="48" t="s">
        <v>5316</v>
      </c>
      <c r="AD631" s="30"/>
      <c r="AE631" s="197"/>
      <c r="AF631" s="47"/>
    </row>
    <row r="632" spans="1:45" s="29" customFormat="1" ht="69.95" hidden="1" customHeight="1">
      <c r="A632" s="29" t="s">
        <v>393</v>
      </c>
      <c r="B632" s="29" t="s">
        <v>3769</v>
      </c>
      <c r="C632" s="40">
        <v>16</v>
      </c>
      <c r="D632" s="40"/>
      <c r="E632" s="58" t="s">
        <v>155</v>
      </c>
      <c r="F632" s="57" t="s">
        <v>155</v>
      </c>
      <c r="G632" s="29" t="s">
        <v>1569</v>
      </c>
      <c r="J632" s="29">
        <f t="shared" si="35"/>
        <v>1</v>
      </c>
      <c r="K632" s="42">
        <v>625</v>
      </c>
      <c r="L632" s="43" t="s">
        <v>1570</v>
      </c>
      <c r="M632" s="44" t="s">
        <v>405</v>
      </c>
      <c r="N632" s="44" t="s">
        <v>536</v>
      </c>
      <c r="O632" s="44" t="str">
        <f t="shared" ref="O632:O663" si="38">F632</f>
        <v>PE-L1-4C4-06</v>
      </c>
      <c r="P632" s="45">
        <v>7.5</v>
      </c>
      <c r="Q632" s="44">
        <v>400</v>
      </c>
      <c r="R632" s="44" t="s">
        <v>49</v>
      </c>
      <c r="S632" s="44">
        <v>140</v>
      </c>
      <c r="T632" s="46" t="s">
        <v>5317</v>
      </c>
      <c r="U632" s="46" t="s">
        <v>393</v>
      </c>
      <c r="V632" s="46" t="s">
        <v>394</v>
      </c>
      <c r="W632" s="46" t="s">
        <v>391</v>
      </c>
      <c r="X632" s="47" t="s">
        <v>9305</v>
      </c>
      <c r="Y632" s="46" t="s">
        <v>5318</v>
      </c>
      <c r="Z632" s="46" t="s">
        <v>5319</v>
      </c>
      <c r="AA632" s="46" t="s">
        <v>4147</v>
      </c>
      <c r="AB632" s="47" t="s">
        <v>9305</v>
      </c>
      <c r="AC632" s="48" t="s">
        <v>5320</v>
      </c>
      <c r="AD632" s="30"/>
      <c r="AE632" s="197"/>
      <c r="AF632" s="47"/>
    </row>
    <row r="633" spans="1:45" s="29" customFormat="1" ht="69.95" hidden="1" customHeight="1">
      <c r="A633" s="29" t="s">
        <v>389</v>
      </c>
      <c r="B633" s="29" t="s">
        <v>3769</v>
      </c>
      <c r="C633" s="40">
        <v>15</v>
      </c>
      <c r="D633" s="40"/>
      <c r="E633" s="57" t="s">
        <v>155</v>
      </c>
      <c r="F633" s="57" t="s">
        <v>155</v>
      </c>
      <c r="G633" s="29" t="s">
        <v>1571</v>
      </c>
      <c r="J633" s="29">
        <f t="shared" si="35"/>
        <v>1</v>
      </c>
      <c r="K633" s="42">
        <v>626</v>
      </c>
      <c r="L633" s="43" t="s">
        <v>1572</v>
      </c>
      <c r="M633" s="44" t="s">
        <v>405</v>
      </c>
      <c r="N633" s="44" t="s">
        <v>536</v>
      </c>
      <c r="O633" s="44" t="str">
        <f t="shared" si="38"/>
        <v>PE-L1-4C4-06</v>
      </c>
      <c r="P633" s="45">
        <v>7.5</v>
      </c>
      <c r="Q633" s="44">
        <v>400</v>
      </c>
      <c r="R633" s="44" t="s">
        <v>49</v>
      </c>
      <c r="S633" s="44">
        <v>140</v>
      </c>
      <c r="T633" s="46" t="s">
        <v>5317</v>
      </c>
      <c r="U633" s="46" t="s">
        <v>389</v>
      </c>
      <c r="V633" s="46" t="s">
        <v>390</v>
      </c>
      <c r="W633" s="46" t="s">
        <v>391</v>
      </c>
      <c r="X633" s="47" t="s">
        <v>9305</v>
      </c>
      <c r="Y633" s="46" t="s">
        <v>5321</v>
      </c>
      <c r="Z633" s="46" t="s">
        <v>5322</v>
      </c>
      <c r="AA633" s="46" t="s">
        <v>4147</v>
      </c>
      <c r="AB633" s="47" t="s">
        <v>9305</v>
      </c>
      <c r="AC633" s="48" t="s">
        <v>5323</v>
      </c>
      <c r="AD633" s="30"/>
      <c r="AE633" s="197"/>
      <c r="AF633" s="47"/>
    </row>
    <row r="634" spans="1:45" s="29" customFormat="1" ht="69.95" hidden="1" customHeight="1">
      <c r="A634" s="29" t="s">
        <v>395</v>
      </c>
      <c r="B634" s="29" t="s">
        <v>3769</v>
      </c>
      <c r="C634" s="40">
        <v>15</v>
      </c>
      <c r="D634" s="124" t="s">
        <v>9045</v>
      </c>
      <c r="E634" s="57" t="s">
        <v>82</v>
      </c>
      <c r="F634" s="57" t="s">
        <v>82</v>
      </c>
      <c r="G634" s="131" t="s">
        <v>9069</v>
      </c>
      <c r="H634" s="43" t="s">
        <v>9070</v>
      </c>
      <c r="J634" s="29">
        <f t="shared" si="35"/>
        <v>1</v>
      </c>
      <c r="K634" s="127">
        <v>627</v>
      </c>
      <c r="L634" s="123" t="s">
        <v>9453</v>
      </c>
      <c r="M634" s="44" t="s">
        <v>405</v>
      </c>
      <c r="N634" s="44" t="s">
        <v>536</v>
      </c>
      <c r="O634" s="44" t="str">
        <f t="shared" si="38"/>
        <v>PE-L1-4C4-18</v>
      </c>
      <c r="P634" s="45">
        <v>7.5</v>
      </c>
      <c r="Q634" s="44">
        <v>400</v>
      </c>
      <c r="R634" s="44" t="s">
        <v>49</v>
      </c>
      <c r="S634" s="125">
        <v>125</v>
      </c>
      <c r="T634" s="46" t="s">
        <v>5317</v>
      </c>
      <c r="U634" s="122" t="s">
        <v>398</v>
      </c>
      <c r="V634" s="122" t="s">
        <v>399</v>
      </c>
      <c r="W634" s="46" t="s">
        <v>397</v>
      </c>
      <c r="X634" s="47" t="s">
        <v>9305</v>
      </c>
      <c r="Y634" s="46" t="s">
        <v>5324</v>
      </c>
      <c r="Z634" s="46" t="s">
        <v>5325</v>
      </c>
      <c r="AA634" s="46" t="s">
        <v>4147</v>
      </c>
      <c r="AB634" s="47" t="s">
        <v>9305</v>
      </c>
      <c r="AC634" s="76" t="s">
        <v>9213</v>
      </c>
      <c r="AD634" s="30"/>
      <c r="AE634" s="197"/>
      <c r="AF634" s="47"/>
    </row>
    <row r="635" spans="1:45" s="29" customFormat="1" ht="69.95" hidden="1" customHeight="1">
      <c r="A635" s="29" t="s">
        <v>398</v>
      </c>
      <c r="B635" s="29" t="s">
        <v>3769</v>
      </c>
      <c r="C635" s="40">
        <v>16</v>
      </c>
      <c r="D635" s="124" t="s">
        <v>9045</v>
      </c>
      <c r="E635" s="57" t="s">
        <v>82</v>
      </c>
      <c r="F635" s="57" t="s">
        <v>82</v>
      </c>
      <c r="G635" s="131" t="s">
        <v>9071</v>
      </c>
      <c r="H635" s="43" t="s">
        <v>1573</v>
      </c>
      <c r="J635" s="29">
        <f t="shared" si="35"/>
        <v>1</v>
      </c>
      <c r="K635" s="127">
        <v>628</v>
      </c>
      <c r="L635" s="123" t="s">
        <v>8945</v>
      </c>
      <c r="M635" s="44" t="s">
        <v>405</v>
      </c>
      <c r="N635" s="44" t="s">
        <v>536</v>
      </c>
      <c r="O635" s="44" t="str">
        <f t="shared" si="38"/>
        <v>PE-L1-4C4-18</v>
      </c>
      <c r="P635" s="45">
        <v>7.5</v>
      </c>
      <c r="Q635" s="44">
        <v>400</v>
      </c>
      <c r="R635" s="44" t="s">
        <v>49</v>
      </c>
      <c r="S635" s="125">
        <v>125</v>
      </c>
      <c r="T635" s="46" t="s">
        <v>5317</v>
      </c>
      <c r="U635" s="122" t="s">
        <v>395</v>
      </c>
      <c r="V635" s="122" t="s">
        <v>396</v>
      </c>
      <c r="W635" s="46" t="s">
        <v>397</v>
      </c>
      <c r="X635" s="47" t="s">
        <v>9305</v>
      </c>
      <c r="Y635" s="46" t="s">
        <v>5326</v>
      </c>
      <c r="Z635" s="46" t="s">
        <v>5327</v>
      </c>
      <c r="AA635" s="46" t="s">
        <v>4147</v>
      </c>
      <c r="AB635" s="47" t="s">
        <v>9305</v>
      </c>
      <c r="AC635" s="76" t="s">
        <v>9020</v>
      </c>
      <c r="AD635" s="30"/>
      <c r="AE635" s="197"/>
      <c r="AF635" s="47"/>
    </row>
    <row r="636" spans="1:45" s="29" customFormat="1" ht="69.95" hidden="1" customHeight="1">
      <c r="A636" s="29" t="s">
        <v>393</v>
      </c>
      <c r="B636" s="29" t="s">
        <v>3769</v>
      </c>
      <c r="C636" s="40">
        <v>17</v>
      </c>
      <c r="D636" s="40"/>
      <c r="E636" s="57" t="s">
        <v>155</v>
      </c>
      <c r="F636" s="57" t="s">
        <v>155</v>
      </c>
      <c r="G636" s="29" t="s">
        <v>1574</v>
      </c>
      <c r="J636" s="29">
        <f t="shared" si="35"/>
        <v>1</v>
      </c>
      <c r="K636" s="42">
        <v>629</v>
      </c>
      <c r="L636" s="43" t="s">
        <v>1575</v>
      </c>
      <c r="M636" s="44" t="s">
        <v>405</v>
      </c>
      <c r="N636" s="44" t="s">
        <v>536</v>
      </c>
      <c r="O636" s="44" t="str">
        <f t="shared" si="38"/>
        <v>PE-L1-4C4-06</v>
      </c>
      <c r="P636" s="45">
        <v>0.2</v>
      </c>
      <c r="Q636" s="44">
        <v>400</v>
      </c>
      <c r="R636" s="44" t="s">
        <v>49</v>
      </c>
      <c r="S636" s="44">
        <v>140</v>
      </c>
      <c r="T636" s="46" t="s">
        <v>5317</v>
      </c>
      <c r="U636" s="46" t="s">
        <v>393</v>
      </c>
      <c r="V636" s="46" t="s">
        <v>394</v>
      </c>
      <c r="W636" s="46" t="s">
        <v>391</v>
      </c>
      <c r="X636" s="47" t="s">
        <v>9305</v>
      </c>
      <c r="Y636" s="46" t="s">
        <v>5328</v>
      </c>
      <c r="Z636" s="46" t="s">
        <v>5329</v>
      </c>
      <c r="AA636" s="46" t="s">
        <v>4147</v>
      </c>
      <c r="AB636" s="47" t="s">
        <v>9305</v>
      </c>
      <c r="AC636" s="48" t="s">
        <v>5330</v>
      </c>
      <c r="AD636" s="30"/>
      <c r="AE636" s="197"/>
      <c r="AF636" s="47"/>
    </row>
    <row r="637" spans="1:45" s="29" customFormat="1" ht="69.95" hidden="1" customHeight="1">
      <c r="A637" s="29" t="s">
        <v>395</v>
      </c>
      <c r="B637" s="29" t="s">
        <v>3769</v>
      </c>
      <c r="C637" s="40">
        <v>16</v>
      </c>
      <c r="D637" s="40"/>
      <c r="E637" s="57" t="s">
        <v>8611</v>
      </c>
      <c r="F637" s="57" t="s">
        <v>8611</v>
      </c>
      <c r="G637" s="29" t="s">
        <v>1576</v>
      </c>
      <c r="J637" s="29">
        <f t="shared" si="35"/>
        <v>1</v>
      </c>
      <c r="K637" s="42">
        <v>630</v>
      </c>
      <c r="L637" s="43" t="s">
        <v>1577</v>
      </c>
      <c r="M637" s="44" t="s">
        <v>405</v>
      </c>
      <c r="N637" s="44" t="s">
        <v>536</v>
      </c>
      <c r="O637" s="44" t="str">
        <f t="shared" si="38"/>
        <v>PE-L1-4C4-26</v>
      </c>
      <c r="P637" s="45">
        <v>0.2</v>
      </c>
      <c r="Q637" s="44">
        <v>400</v>
      </c>
      <c r="R637" s="44" t="s">
        <v>49</v>
      </c>
      <c r="S637" s="44">
        <v>130</v>
      </c>
      <c r="T637" s="46" t="s">
        <v>5317</v>
      </c>
      <c r="U637" s="46" t="s">
        <v>395</v>
      </c>
      <c r="V637" s="46" t="s">
        <v>396</v>
      </c>
      <c r="W637" s="46" t="s">
        <v>397</v>
      </c>
      <c r="X637" s="47" t="s">
        <v>9305</v>
      </c>
      <c r="Y637" s="46" t="s">
        <v>5331</v>
      </c>
      <c r="Z637" s="46" t="s">
        <v>5332</v>
      </c>
      <c r="AA637" s="46" t="s">
        <v>4147</v>
      </c>
      <c r="AB637" s="47" t="s">
        <v>9305</v>
      </c>
      <c r="AC637" s="48" t="s">
        <v>5333</v>
      </c>
      <c r="AD637" s="30"/>
      <c r="AE637" s="197"/>
      <c r="AF637" s="47"/>
    </row>
    <row r="638" spans="1:45" s="29" customFormat="1" ht="69.95" hidden="1" customHeight="1">
      <c r="A638" s="29" t="s">
        <v>5152</v>
      </c>
      <c r="B638" s="29" t="s">
        <v>3769</v>
      </c>
      <c r="C638" s="40">
        <v>22</v>
      </c>
      <c r="D638" s="40"/>
      <c r="E638" s="57" t="s">
        <v>168</v>
      </c>
      <c r="F638" s="57" t="s">
        <v>168</v>
      </c>
      <c r="G638" s="29" t="s">
        <v>1578</v>
      </c>
      <c r="J638" s="29">
        <f t="shared" si="35"/>
        <v>1</v>
      </c>
      <c r="K638" s="42">
        <v>631</v>
      </c>
      <c r="L638" s="43" t="s">
        <v>1579</v>
      </c>
      <c r="M638" s="44" t="s">
        <v>405</v>
      </c>
      <c r="N638" s="44" t="s">
        <v>686</v>
      </c>
      <c r="O638" s="44" t="str">
        <f t="shared" si="38"/>
        <v>PE-L1-4C50/25-01</v>
      </c>
      <c r="P638" s="45">
        <v>30</v>
      </c>
      <c r="Q638" s="44">
        <v>400</v>
      </c>
      <c r="R638" s="44" t="s">
        <v>49</v>
      </c>
      <c r="S638" s="44">
        <v>380</v>
      </c>
      <c r="T638" s="46" t="s">
        <v>5334</v>
      </c>
      <c r="U638" s="46" t="s">
        <v>5152</v>
      </c>
      <c r="V638" s="46" t="s">
        <v>5153</v>
      </c>
      <c r="W638" s="46" t="s">
        <v>5154</v>
      </c>
      <c r="X638" s="47" t="s">
        <v>9305</v>
      </c>
      <c r="Y638" s="46" t="s">
        <v>5335</v>
      </c>
      <c r="Z638" s="46" t="s">
        <v>5336</v>
      </c>
      <c r="AA638" s="46" t="s">
        <v>5337</v>
      </c>
      <c r="AB638" s="47" t="s">
        <v>9305</v>
      </c>
      <c r="AC638" s="48" t="s">
        <v>5338</v>
      </c>
      <c r="AD638" s="30"/>
      <c r="AE638" s="197"/>
      <c r="AF638" s="47"/>
    </row>
    <row r="639" spans="1:45" s="29" customFormat="1" ht="69.95" hidden="1" customHeight="1">
      <c r="A639" s="29" t="s">
        <v>5159</v>
      </c>
      <c r="B639" s="29" t="s">
        <v>3769</v>
      </c>
      <c r="C639" s="40">
        <v>22</v>
      </c>
      <c r="D639" s="40"/>
      <c r="E639" s="57" t="s">
        <v>168</v>
      </c>
      <c r="F639" s="57" t="s">
        <v>168</v>
      </c>
      <c r="G639" s="29" t="s">
        <v>1580</v>
      </c>
      <c r="J639" s="29">
        <f t="shared" si="35"/>
        <v>1</v>
      </c>
      <c r="K639" s="42">
        <v>632</v>
      </c>
      <c r="L639" s="43" t="s">
        <v>1581</v>
      </c>
      <c r="M639" s="44" t="s">
        <v>405</v>
      </c>
      <c r="N639" s="44" t="s">
        <v>686</v>
      </c>
      <c r="O639" s="44" t="str">
        <f t="shared" si="38"/>
        <v>PE-L1-4C50/25-01</v>
      </c>
      <c r="P639" s="45">
        <v>30</v>
      </c>
      <c r="Q639" s="44">
        <v>400</v>
      </c>
      <c r="R639" s="44" t="s">
        <v>49</v>
      </c>
      <c r="S639" s="44">
        <v>390</v>
      </c>
      <c r="T639" s="46" t="s">
        <v>5334</v>
      </c>
      <c r="U639" s="46" t="s">
        <v>5159</v>
      </c>
      <c r="V639" s="46" t="s">
        <v>5160</v>
      </c>
      <c r="W639" s="46" t="s">
        <v>5154</v>
      </c>
      <c r="X639" s="47" t="s">
        <v>9305</v>
      </c>
      <c r="Y639" s="46" t="s">
        <v>5339</v>
      </c>
      <c r="Z639" s="46" t="s">
        <v>5340</v>
      </c>
      <c r="AA639" s="46" t="s">
        <v>5337</v>
      </c>
      <c r="AB639" s="47" t="s">
        <v>9305</v>
      </c>
      <c r="AC639" s="48" t="s">
        <v>5341</v>
      </c>
      <c r="AD639" s="30"/>
      <c r="AE639" s="197"/>
      <c r="AF639" s="47"/>
    </row>
    <row r="640" spans="1:45" s="29" customFormat="1" ht="69.95" hidden="1" customHeight="1">
      <c r="A640" s="29" t="s">
        <v>5152</v>
      </c>
      <c r="B640" s="29" t="s">
        <v>3769</v>
      </c>
      <c r="C640" s="40">
        <v>23</v>
      </c>
      <c r="D640" s="40"/>
      <c r="E640" s="56" t="s">
        <v>169</v>
      </c>
      <c r="F640" s="56" t="s">
        <v>169</v>
      </c>
      <c r="G640" s="29" t="s">
        <v>1582</v>
      </c>
      <c r="J640" s="29">
        <f t="shared" si="35"/>
        <v>1</v>
      </c>
      <c r="K640" s="42">
        <v>633</v>
      </c>
      <c r="L640" s="43" t="s">
        <v>1583</v>
      </c>
      <c r="M640" s="44" t="s">
        <v>405</v>
      </c>
      <c r="N640" s="44" t="s">
        <v>686</v>
      </c>
      <c r="O640" s="44" t="str">
        <f t="shared" si="38"/>
        <v>PE-L1-4C50/25-02</v>
      </c>
      <c r="P640" s="45">
        <v>30</v>
      </c>
      <c r="Q640" s="44">
        <v>400</v>
      </c>
      <c r="R640" s="44" t="s">
        <v>49</v>
      </c>
      <c r="S640" s="44">
        <v>390</v>
      </c>
      <c r="T640" s="46" t="s">
        <v>5334</v>
      </c>
      <c r="U640" s="46" t="s">
        <v>5152</v>
      </c>
      <c r="V640" s="46" t="s">
        <v>5153</v>
      </c>
      <c r="W640" s="46" t="s">
        <v>5154</v>
      </c>
      <c r="X640" s="47" t="s">
        <v>9305</v>
      </c>
      <c r="Y640" s="46" t="s">
        <v>5342</v>
      </c>
      <c r="Z640" s="46" t="s">
        <v>5343</v>
      </c>
      <c r="AA640" s="46" t="s">
        <v>5337</v>
      </c>
      <c r="AB640" s="47" t="s">
        <v>9305</v>
      </c>
      <c r="AC640" s="76" t="s">
        <v>9214</v>
      </c>
      <c r="AD640" s="30"/>
      <c r="AE640" s="197"/>
      <c r="AF640" s="47"/>
    </row>
    <row r="641" spans="1:32" s="29" customFormat="1" ht="69.95" hidden="1" customHeight="1">
      <c r="A641" s="29" t="s">
        <v>5152</v>
      </c>
      <c r="B641" s="29" t="s">
        <v>3769</v>
      </c>
      <c r="C641" s="40">
        <v>24</v>
      </c>
      <c r="D641" s="40"/>
      <c r="E641" s="57" t="s">
        <v>163</v>
      </c>
      <c r="F641" s="57" t="s">
        <v>163</v>
      </c>
      <c r="G641" s="29" t="s">
        <v>1584</v>
      </c>
      <c r="J641" s="29">
        <f t="shared" si="35"/>
        <v>1</v>
      </c>
      <c r="K641" s="42">
        <v>634</v>
      </c>
      <c r="L641" s="43" t="s">
        <v>1585</v>
      </c>
      <c r="M641" s="44" t="s">
        <v>405</v>
      </c>
      <c r="N641" s="44" t="s">
        <v>426</v>
      </c>
      <c r="O641" s="44" t="str">
        <f t="shared" si="38"/>
        <v>PE-L1-3C4-09</v>
      </c>
      <c r="P641" s="45">
        <v>0.06</v>
      </c>
      <c r="Q641" s="44">
        <v>230</v>
      </c>
      <c r="R641" s="44" t="s">
        <v>49</v>
      </c>
      <c r="S641" s="44">
        <v>380</v>
      </c>
      <c r="T641" s="46" t="s">
        <v>5334</v>
      </c>
      <c r="U641" s="46" t="s">
        <v>5152</v>
      </c>
      <c r="V641" s="46" t="s">
        <v>5153</v>
      </c>
      <c r="W641" s="46" t="s">
        <v>5154</v>
      </c>
      <c r="X641" s="172" t="s">
        <v>9167</v>
      </c>
      <c r="Y641" s="46" t="s">
        <v>5335</v>
      </c>
      <c r="Z641" s="46" t="s">
        <v>5344</v>
      </c>
      <c r="AA641" s="46" t="s">
        <v>5337</v>
      </c>
      <c r="AB641" s="172" t="s">
        <v>9167</v>
      </c>
      <c r="AC641" s="48" t="s">
        <v>5345</v>
      </c>
      <c r="AD641" s="30"/>
      <c r="AE641" s="197"/>
      <c r="AF641" s="47"/>
    </row>
    <row r="642" spans="1:32" s="29" customFormat="1" ht="69.95" hidden="1" customHeight="1">
      <c r="A642" s="29" t="s">
        <v>5159</v>
      </c>
      <c r="B642" s="29" t="s">
        <v>3769</v>
      </c>
      <c r="C642" s="40">
        <v>23</v>
      </c>
      <c r="D642" s="40"/>
      <c r="E642" s="57" t="s">
        <v>163</v>
      </c>
      <c r="F642" s="57" t="s">
        <v>163</v>
      </c>
      <c r="G642" s="29" t="s">
        <v>1586</v>
      </c>
      <c r="J642" s="29">
        <f t="shared" si="35"/>
        <v>1</v>
      </c>
      <c r="K642" s="42">
        <v>635</v>
      </c>
      <c r="L642" s="43" t="s">
        <v>1587</v>
      </c>
      <c r="M642" s="44" t="s">
        <v>405</v>
      </c>
      <c r="N642" s="44" t="s">
        <v>426</v>
      </c>
      <c r="O642" s="44" t="str">
        <f t="shared" si="38"/>
        <v>PE-L1-3C4-09</v>
      </c>
      <c r="P642" s="45">
        <v>0.06</v>
      </c>
      <c r="Q642" s="44">
        <v>230</v>
      </c>
      <c r="R642" s="44" t="s">
        <v>49</v>
      </c>
      <c r="S642" s="44">
        <v>390</v>
      </c>
      <c r="T642" s="46" t="s">
        <v>5334</v>
      </c>
      <c r="U642" s="46" t="s">
        <v>5159</v>
      </c>
      <c r="V642" s="46" t="s">
        <v>5160</v>
      </c>
      <c r="W642" s="46" t="s">
        <v>5154</v>
      </c>
      <c r="X642" s="172" t="s">
        <v>9167</v>
      </c>
      <c r="Y642" s="46" t="s">
        <v>5339</v>
      </c>
      <c r="Z642" s="46" t="s">
        <v>5346</v>
      </c>
      <c r="AA642" s="46" t="s">
        <v>5337</v>
      </c>
      <c r="AB642" s="172" t="s">
        <v>9167</v>
      </c>
      <c r="AC642" s="48" t="s">
        <v>5347</v>
      </c>
      <c r="AD642" s="30"/>
      <c r="AE642" s="197"/>
      <c r="AF642" s="47"/>
    </row>
    <row r="643" spans="1:32" s="29" customFormat="1" ht="69.95" hidden="1" customHeight="1">
      <c r="A643" s="29" t="s">
        <v>5152</v>
      </c>
      <c r="B643" s="29" t="s">
        <v>3769</v>
      </c>
      <c r="C643" s="40">
        <v>25</v>
      </c>
      <c r="D643" s="40"/>
      <c r="E643" s="56" t="s">
        <v>163</v>
      </c>
      <c r="F643" s="56" t="s">
        <v>163</v>
      </c>
      <c r="G643" s="29" t="s">
        <v>1588</v>
      </c>
      <c r="J643" s="29">
        <f t="shared" si="35"/>
        <v>1</v>
      </c>
      <c r="K643" s="42">
        <v>636</v>
      </c>
      <c r="L643" s="43" t="s">
        <v>1589</v>
      </c>
      <c r="M643" s="44" t="s">
        <v>405</v>
      </c>
      <c r="N643" s="44" t="s">
        <v>426</v>
      </c>
      <c r="O643" s="44" t="str">
        <f t="shared" si="38"/>
        <v>PE-L1-3C4-09</v>
      </c>
      <c r="P643" s="45">
        <v>0.06</v>
      </c>
      <c r="Q643" s="44">
        <v>230</v>
      </c>
      <c r="R643" s="44" t="s">
        <v>49</v>
      </c>
      <c r="S643" s="44">
        <v>390</v>
      </c>
      <c r="T643" s="46" t="s">
        <v>5334</v>
      </c>
      <c r="U643" s="46" t="s">
        <v>5152</v>
      </c>
      <c r="V643" s="46" t="s">
        <v>5153</v>
      </c>
      <c r="W643" s="46" t="s">
        <v>5154</v>
      </c>
      <c r="X643" s="172" t="s">
        <v>9167</v>
      </c>
      <c r="Y643" s="46" t="s">
        <v>5342</v>
      </c>
      <c r="Z643" s="46" t="s">
        <v>5348</v>
      </c>
      <c r="AA643" s="46" t="s">
        <v>5337</v>
      </c>
      <c r="AB643" s="172" t="s">
        <v>9167</v>
      </c>
      <c r="AC643" s="48" t="s">
        <v>5349</v>
      </c>
      <c r="AD643" s="30"/>
      <c r="AE643" s="197"/>
      <c r="AF643" s="47"/>
    </row>
    <row r="644" spans="1:32" s="29" customFormat="1" ht="69.95" hidden="1" customHeight="1">
      <c r="A644" s="29" t="s">
        <v>5350</v>
      </c>
      <c r="B644" s="29" t="s">
        <v>3769</v>
      </c>
      <c r="C644" s="40" t="s">
        <v>32</v>
      </c>
      <c r="D644" s="124" t="s">
        <v>9045</v>
      </c>
      <c r="E644" s="57" t="s">
        <v>170</v>
      </c>
      <c r="F644" s="57" t="s">
        <v>170</v>
      </c>
      <c r="G644" s="131" t="s">
        <v>9072</v>
      </c>
      <c r="H644" s="43" t="s">
        <v>1590</v>
      </c>
      <c r="J644" s="29">
        <f t="shared" si="35"/>
        <v>1</v>
      </c>
      <c r="K644" s="127">
        <v>637</v>
      </c>
      <c r="L644" s="123" t="s">
        <v>1593</v>
      </c>
      <c r="M644" s="44" t="s">
        <v>405</v>
      </c>
      <c r="N644" s="44" t="s">
        <v>895</v>
      </c>
      <c r="O644" s="44" t="str">
        <f t="shared" si="38"/>
        <v>PE-L1-4C95/50-15</v>
      </c>
      <c r="P644" s="45">
        <v>132</v>
      </c>
      <c r="Q644" s="44">
        <v>400</v>
      </c>
      <c r="R644" s="44" t="s">
        <v>49</v>
      </c>
      <c r="S644" s="125">
        <v>370</v>
      </c>
      <c r="T644" s="46" t="s">
        <v>5334</v>
      </c>
      <c r="U644" s="122" t="s">
        <v>5354</v>
      </c>
      <c r="V644" s="122" t="s">
        <v>5355</v>
      </c>
      <c r="W644" s="46" t="s">
        <v>5154</v>
      </c>
      <c r="X644" s="47" t="s">
        <v>9305</v>
      </c>
      <c r="Y644" s="46" t="s">
        <v>5352</v>
      </c>
      <c r="Z644" s="46" t="s">
        <v>5353</v>
      </c>
      <c r="AA644" s="46" t="s">
        <v>5337</v>
      </c>
      <c r="AB644" s="47" t="s">
        <v>9305</v>
      </c>
      <c r="AC644" s="76" t="s">
        <v>9021</v>
      </c>
      <c r="AD644" s="30"/>
      <c r="AE644" s="197"/>
      <c r="AF644" s="47"/>
    </row>
    <row r="645" spans="1:32" s="29" customFormat="1" ht="69.95" hidden="1" customHeight="1">
      <c r="A645" s="49" t="s">
        <v>5350</v>
      </c>
      <c r="B645" s="49" t="s">
        <v>3769</v>
      </c>
      <c r="C645" s="50" t="s">
        <v>36</v>
      </c>
      <c r="D645" s="124" t="s">
        <v>9045</v>
      </c>
      <c r="E645" s="57" t="s">
        <v>171</v>
      </c>
      <c r="F645" s="57" t="s">
        <v>171</v>
      </c>
      <c r="G645" s="131"/>
      <c r="H645" s="43" t="s">
        <v>1591</v>
      </c>
      <c r="J645" s="29">
        <f t="shared" si="35"/>
        <v>1</v>
      </c>
      <c r="K645" s="127">
        <v>638</v>
      </c>
      <c r="L645" s="123" t="s">
        <v>1594</v>
      </c>
      <c r="M645" s="43" t="s">
        <v>405</v>
      </c>
      <c r="N645" s="43" t="s">
        <v>895</v>
      </c>
      <c r="O645" s="44" t="str">
        <f t="shared" si="38"/>
        <v>PE-L1-4C95/50-08</v>
      </c>
      <c r="P645" s="51">
        <v>132</v>
      </c>
      <c r="Q645" s="43">
        <v>400</v>
      </c>
      <c r="R645" s="43" t="s">
        <v>49</v>
      </c>
      <c r="S645" s="125">
        <v>370</v>
      </c>
      <c r="T645" s="43" t="s">
        <v>5334</v>
      </c>
      <c r="U645" s="128" t="s">
        <v>5354</v>
      </c>
      <c r="V645" s="128" t="s">
        <v>5355</v>
      </c>
      <c r="W645" s="43" t="s">
        <v>5154</v>
      </c>
      <c r="X645" s="47" t="s">
        <v>9305</v>
      </c>
      <c r="Y645" s="43" t="s">
        <v>5352</v>
      </c>
      <c r="Z645" s="43" t="s">
        <v>5353</v>
      </c>
      <c r="AA645" s="43" t="s">
        <v>5337</v>
      </c>
      <c r="AB645" s="47" t="s">
        <v>9305</v>
      </c>
      <c r="AC645" s="76" t="s">
        <v>9021</v>
      </c>
      <c r="AD645" s="30"/>
      <c r="AE645" s="197"/>
      <c r="AF645" s="47"/>
    </row>
    <row r="646" spans="1:32" s="29" customFormat="1" ht="69.95" hidden="1" customHeight="1">
      <c r="A646" s="29" t="s">
        <v>5354</v>
      </c>
      <c r="B646" s="29" t="s">
        <v>3769</v>
      </c>
      <c r="C646" s="40" t="s">
        <v>32</v>
      </c>
      <c r="D646" s="124" t="s">
        <v>9045</v>
      </c>
      <c r="E646" s="57" t="s">
        <v>172</v>
      </c>
      <c r="F646" s="57" t="s">
        <v>172</v>
      </c>
      <c r="G646" s="131" t="s">
        <v>1592</v>
      </c>
      <c r="H646" s="43" t="s">
        <v>1593</v>
      </c>
      <c r="J646" s="29">
        <f t="shared" si="35"/>
        <v>1</v>
      </c>
      <c r="K646" s="127">
        <v>639</v>
      </c>
      <c r="L646" s="123" t="s">
        <v>1590</v>
      </c>
      <c r="M646" s="44" t="s">
        <v>405</v>
      </c>
      <c r="N646" s="44" t="s">
        <v>895</v>
      </c>
      <c r="O646" s="44" t="str">
        <f t="shared" si="38"/>
        <v>PE-L1-4C95/50-16</v>
      </c>
      <c r="P646" s="45">
        <v>132</v>
      </c>
      <c r="Q646" s="44">
        <v>400</v>
      </c>
      <c r="R646" s="44" t="s">
        <v>49</v>
      </c>
      <c r="S646" s="125">
        <v>375</v>
      </c>
      <c r="T646" s="46" t="s">
        <v>5334</v>
      </c>
      <c r="U646" s="122" t="s">
        <v>5350</v>
      </c>
      <c r="V646" s="122" t="s">
        <v>5351</v>
      </c>
      <c r="W646" s="46" t="s">
        <v>5154</v>
      </c>
      <c r="X646" s="47" t="s">
        <v>9305</v>
      </c>
      <c r="Y646" s="46" t="s">
        <v>5356</v>
      </c>
      <c r="Z646" s="46" t="s">
        <v>5357</v>
      </c>
      <c r="AA646" s="46" t="s">
        <v>5337</v>
      </c>
      <c r="AB646" s="47" t="s">
        <v>9305</v>
      </c>
      <c r="AC646" s="76" t="s">
        <v>9022</v>
      </c>
      <c r="AD646" s="30"/>
      <c r="AE646" s="197"/>
      <c r="AF646" s="47"/>
    </row>
    <row r="647" spans="1:32" s="29" customFormat="1" ht="69.95" hidden="1" customHeight="1">
      <c r="A647" s="49" t="s">
        <v>5354</v>
      </c>
      <c r="B647" s="49" t="s">
        <v>3769</v>
      </c>
      <c r="C647" s="50" t="s">
        <v>36</v>
      </c>
      <c r="D647" s="124" t="s">
        <v>9045</v>
      </c>
      <c r="E647" s="57" t="s">
        <v>172</v>
      </c>
      <c r="F647" s="57" t="s">
        <v>172</v>
      </c>
      <c r="G647" s="131"/>
      <c r="H647" s="43" t="s">
        <v>1594</v>
      </c>
      <c r="J647" s="29">
        <f t="shared" si="35"/>
        <v>1</v>
      </c>
      <c r="K647" s="127">
        <v>640</v>
      </c>
      <c r="L647" s="123" t="s">
        <v>9454</v>
      </c>
      <c r="M647" s="43" t="s">
        <v>405</v>
      </c>
      <c r="N647" s="43" t="s">
        <v>895</v>
      </c>
      <c r="O647" s="44" t="str">
        <f t="shared" si="38"/>
        <v>PE-L1-4C95/50-16</v>
      </c>
      <c r="P647" s="51">
        <v>132</v>
      </c>
      <c r="Q647" s="43">
        <v>400</v>
      </c>
      <c r="R647" s="43" t="s">
        <v>49</v>
      </c>
      <c r="S647" s="125">
        <v>375</v>
      </c>
      <c r="T647" s="43" t="s">
        <v>5334</v>
      </c>
      <c r="U647" s="128" t="s">
        <v>5350</v>
      </c>
      <c r="V647" s="128" t="s">
        <v>5351</v>
      </c>
      <c r="W647" s="43" t="s">
        <v>5154</v>
      </c>
      <c r="X647" s="47" t="s">
        <v>9305</v>
      </c>
      <c r="Y647" s="43" t="s">
        <v>5356</v>
      </c>
      <c r="Z647" s="43" t="s">
        <v>5357</v>
      </c>
      <c r="AA647" s="43" t="s">
        <v>5337</v>
      </c>
      <c r="AB647" s="47" t="s">
        <v>9305</v>
      </c>
      <c r="AC647" s="76" t="s">
        <v>9023</v>
      </c>
      <c r="AD647" s="30"/>
      <c r="AE647" s="197"/>
      <c r="AF647" s="47"/>
    </row>
    <row r="648" spans="1:32" s="29" customFormat="1" ht="69.95" hidden="1" customHeight="1">
      <c r="A648" s="29" t="s">
        <v>5350</v>
      </c>
      <c r="B648" s="29" t="s">
        <v>3769</v>
      </c>
      <c r="C648" s="40" t="s">
        <v>38</v>
      </c>
      <c r="D648" s="124" t="s">
        <v>9045</v>
      </c>
      <c r="E648" s="57" t="s">
        <v>173</v>
      </c>
      <c r="F648" s="57" t="s">
        <v>173</v>
      </c>
      <c r="G648" s="131" t="s">
        <v>9073</v>
      </c>
      <c r="H648" s="43" t="s">
        <v>1595</v>
      </c>
      <c r="J648" s="29">
        <f t="shared" ref="J648:J711" si="39">COUNTIF(L:L,L648)</f>
        <v>1</v>
      </c>
      <c r="K648" s="127">
        <v>641</v>
      </c>
      <c r="L648" s="123" t="s">
        <v>1596</v>
      </c>
      <c r="M648" s="44" t="s">
        <v>405</v>
      </c>
      <c r="N648" s="44" t="s">
        <v>426</v>
      </c>
      <c r="O648" s="44" t="str">
        <f t="shared" si="38"/>
        <v>PE-L1-3C4-10</v>
      </c>
      <c r="P648" s="45">
        <v>0.2</v>
      </c>
      <c r="Q648" s="44">
        <v>230</v>
      </c>
      <c r="R648" s="44" t="s">
        <v>49</v>
      </c>
      <c r="S648" s="44">
        <v>380</v>
      </c>
      <c r="T648" s="46" t="s">
        <v>5334</v>
      </c>
      <c r="U648" s="122" t="s">
        <v>5354</v>
      </c>
      <c r="V648" s="122" t="s">
        <v>5355</v>
      </c>
      <c r="W648" s="46" t="s">
        <v>5154</v>
      </c>
      <c r="X648" s="172" t="s">
        <v>9167</v>
      </c>
      <c r="Y648" s="46" t="s">
        <v>5352</v>
      </c>
      <c r="Z648" s="46" t="s">
        <v>5358</v>
      </c>
      <c r="AA648" s="46" t="s">
        <v>5337</v>
      </c>
      <c r="AB648" s="172" t="s">
        <v>9167</v>
      </c>
      <c r="AC648" s="76" t="s">
        <v>9024</v>
      </c>
      <c r="AD648" s="30"/>
      <c r="AE648" s="197"/>
      <c r="AF648" s="47"/>
    </row>
    <row r="649" spans="1:32" s="29" customFormat="1" ht="69.95" hidden="1" customHeight="1">
      <c r="A649" s="29" t="s">
        <v>5354</v>
      </c>
      <c r="B649" s="29" t="s">
        <v>3769</v>
      </c>
      <c r="C649" s="40" t="s">
        <v>38</v>
      </c>
      <c r="D649" s="124" t="s">
        <v>9045</v>
      </c>
      <c r="E649" s="57" t="s">
        <v>173</v>
      </c>
      <c r="F649" s="57" t="s">
        <v>173</v>
      </c>
      <c r="G649" s="131" t="s">
        <v>9074</v>
      </c>
      <c r="H649" s="43" t="s">
        <v>1596</v>
      </c>
      <c r="J649" s="29">
        <f t="shared" si="39"/>
        <v>1</v>
      </c>
      <c r="K649" s="127">
        <v>642</v>
      </c>
      <c r="L649" s="123" t="s">
        <v>1595</v>
      </c>
      <c r="M649" s="44" t="s">
        <v>405</v>
      </c>
      <c r="N649" s="44" t="s">
        <v>426</v>
      </c>
      <c r="O649" s="44" t="str">
        <f t="shared" si="38"/>
        <v>PE-L1-3C4-10</v>
      </c>
      <c r="P649" s="45">
        <v>0.2</v>
      </c>
      <c r="Q649" s="44">
        <v>230</v>
      </c>
      <c r="R649" s="44" t="s">
        <v>49</v>
      </c>
      <c r="S649" s="125">
        <v>380</v>
      </c>
      <c r="T649" s="46" t="s">
        <v>5334</v>
      </c>
      <c r="U649" s="122" t="s">
        <v>5350</v>
      </c>
      <c r="V649" s="122" t="s">
        <v>5351</v>
      </c>
      <c r="W649" s="46" t="s">
        <v>5154</v>
      </c>
      <c r="X649" s="172" t="s">
        <v>9167</v>
      </c>
      <c r="Y649" s="46" t="s">
        <v>5356</v>
      </c>
      <c r="Z649" s="46" t="s">
        <v>5359</v>
      </c>
      <c r="AA649" s="46" t="s">
        <v>5337</v>
      </c>
      <c r="AB649" s="172" t="s">
        <v>9167</v>
      </c>
      <c r="AC649" s="76" t="s">
        <v>9025</v>
      </c>
      <c r="AD649" s="30"/>
      <c r="AE649" s="197"/>
      <c r="AF649" s="47"/>
    </row>
    <row r="650" spans="1:32" s="29" customFormat="1" ht="69.95" hidden="1" customHeight="1">
      <c r="A650" s="29" t="s">
        <v>5159</v>
      </c>
      <c r="B650" s="29" t="s">
        <v>3769</v>
      </c>
      <c r="C650" s="40">
        <v>24</v>
      </c>
      <c r="D650" s="40"/>
      <c r="E650" s="58" t="s">
        <v>68</v>
      </c>
      <c r="F650" s="58" t="s">
        <v>68</v>
      </c>
      <c r="G650" s="29" t="s">
        <v>1597</v>
      </c>
      <c r="J650" s="29">
        <f t="shared" si="39"/>
        <v>1</v>
      </c>
      <c r="K650" s="42">
        <v>643</v>
      </c>
      <c r="L650" s="43" t="s">
        <v>1598</v>
      </c>
      <c r="M650" s="44" t="s">
        <v>405</v>
      </c>
      <c r="N650" s="44" t="s">
        <v>543</v>
      </c>
      <c r="O650" s="44" t="str">
        <f t="shared" si="38"/>
        <v>PE-L1-4C10-01</v>
      </c>
      <c r="P650" s="45">
        <v>5.5</v>
      </c>
      <c r="Q650" s="44">
        <v>400</v>
      </c>
      <c r="R650" s="44" t="s">
        <v>49</v>
      </c>
      <c r="S650" s="44">
        <v>390</v>
      </c>
      <c r="T650" s="46" t="s">
        <v>5334</v>
      </c>
      <c r="U650" s="46" t="s">
        <v>5159</v>
      </c>
      <c r="V650" s="46" t="s">
        <v>5160</v>
      </c>
      <c r="W650" s="46" t="s">
        <v>5154</v>
      </c>
      <c r="X650" s="47" t="s">
        <v>9305</v>
      </c>
      <c r="Y650" s="46" t="s">
        <v>5360</v>
      </c>
      <c r="Z650" s="46" t="s">
        <v>5361</v>
      </c>
      <c r="AA650" s="46" t="s">
        <v>5362</v>
      </c>
      <c r="AB650" s="47" t="s">
        <v>9305</v>
      </c>
      <c r="AC650" s="48" t="s">
        <v>5363</v>
      </c>
      <c r="AD650" s="30"/>
      <c r="AE650" s="197"/>
      <c r="AF650" s="47"/>
    </row>
    <row r="651" spans="1:32" s="29" customFormat="1" ht="69.95" hidden="1" customHeight="1">
      <c r="A651" s="29" t="s">
        <v>5152</v>
      </c>
      <c r="B651" s="29" t="s">
        <v>3769</v>
      </c>
      <c r="C651" s="40">
        <v>26</v>
      </c>
      <c r="D651" s="40"/>
      <c r="E651" s="56" t="s">
        <v>68</v>
      </c>
      <c r="F651" s="56" t="s">
        <v>68</v>
      </c>
      <c r="G651" s="29" t="s">
        <v>1599</v>
      </c>
      <c r="J651" s="29">
        <f t="shared" si="39"/>
        <v>1</v>
      </c>
      <c r="K651" s="42">
        <v>644</v>
      </c>
      <c r="L651" s="43" t="s">
        <v>1600</v>
      </c>
      <c r="M651" s="44" t="s">
        <v>405</v>
      </c>
      <c r="N651" s="44" t="s">
        <v>543</v>
      </c>
      <c r="O651" s="44" t="str">
        <f t="shared" si="38"/>
        <v>PE-L1-4C10-01</v>
      </c>
      <c r="P651" s="45">
        <v>5.5</v>
      </c>
      <c r="Q651" s="44">
        <v>400</v>
      </c>
      <c r="R651" s="44" t="s">
        <v>49</v>
      </c>
      <c r="S651" s="44">
        <v>335</v>
      </c>
      <c r="T651" s="46" t="s">
        <v>5334</v>
      </c>
      <c r="U651" s="46" t="s">
        <v>5152</v>
      </c>
      <c r="V651" s="46" t="s">
        <v>5153</v>
      </c>
      <c r="W651" s="46" t="s">
        <v>5154</v>
      </c>
      <c r="X651" s="47" t="s">
        <v>9305</v>
      </c>
      <c r="Y651" s="46" t="s">
        <v>5364</v>
      </c>
      <c r="Z651" s="46" t="s">
        <v>5365</v>
      </c>
      <c r="AA651" s="46" t="s">
        <v>5362</v>
      </c>
      <c r="AB651" s="47" t="s">
        <v>9305</v>
      </c>
      <c r="AC651" s="48" t="s">
        <v>5366</v>
      </c>
      <c r="AD651" s="30"/>
      <c r="AE651" s="197"/>
      <c r="AF651" s="47"/>
    </row>
    <row r="652" spans="1:32" s="29" customFormat="1" ht="69.95" hidden="1" customHeight="1">
      <c r="A652" s="29" t="s">
        <v>5159</v>
      </c>
      <c r="B652" s="29" t="s">
        <v>3769</v>
      </c>
      <c r="C652" s="40">
        <v>25</v>
      </c>
      <c r="D652" s="40"/>
      <c r="E652" s="57" t="s">
        <v>174</v>
      </c>
      <c r="F652" s="57" t="s">
        <v>174</v>
      </c>
      <c r="G652" s="29" t="s">
        <v>1601</v>
      </c>
      <c r="J652" s="29">
        <f t="shared" si="39"/>
        <v>1</v>
      </c>
      <c r="K652" s="42">
        <v>645</v>
      </c>
      <c r="L652" s="43" t="s">
        <v>1602</v>
      </c>
      <c r="M652" s="44" t="s">
        <v>405</v>
      </c>
      <c r="N652" s="44" t="s">
        <v>536</v>
      </c>
      <c r="O652" s="44" t="str">
        <f t="shared" si="38"/>
        <v>PE-L1-4C4-07</v>
      </c>
      <c r="P652" s="45">
        <v>1.5</v>
      </c>
      <c r="Q652" s="44">
        <v>400</v>
      </c>
      <c r="R652" s="44" t="s">
        <v>49</v>
      </c>
      <c r="S652" s="44">
        <v>400</v>
      </c>
      <c r="T652" s="46" t="s">
        <v>5334</v>
      </c>
      <c r="U652" s="46" t="s">
        <v>5159</v>
      </c>
      <c r="V652" s="46" t="s">
        <v>5160</v>
      </c>
      <c r="W652" s="46" t="s">
        <v>5154</v>
      </c>
      <c r="X652" s="47" t="s">
        <v>9305</v>
      </c>
      <c r="Y652" s="46" t="s">
        <v>5367</v>
      </c>
      <c r="Z652" s="46" t="s">
        <v>5368</v>
      </c>
      <c r="AA652" s="46" t="s">
        <v>5337</v>
      </c>
      <c r="AB652" s="47" t="s">
        <v>9305</v>
      </c>
      <c r="AC652" s="48" t="s">
        <v>5369</v>
      </c>
      <c r="AD652" s="30"/>
      <c r="AE652" s="197"/>
      <c r="AF652" s="47"/>
    </row>
    <row r="653" spans="1:32" s="29" customFormat="1" ht="69.95" hidden="1" customHeight="1">
      <c r="A653" s="29" t="s">
        <v>5152</v>
      </c>
      <c r="B653" s="29" t="s">
        <v>3769</v>
      </c>
      <c r="C653" s="40">
        <v>27</v>
      </c>
      <c r="D653" s="40"/>
      <c r="E653" s="57" t="s">
        <v>174</v>
      </c>
      <c r="F653" s="57" t="s">
        <v>174</v>
      </c>
      <c r="G653" s="29" t="s">
        <v>1603</v>
      </c>
      <c r="J653" s="29">
        <f t="shared" si="39"/>
        <v>1</v>
      </c>
      <c r="K653" s="42">
        <v>646</v>
      </c>
      <c r="L653" s="43" t="s">
        <v>1604</v>
      </c>
      <c r="M653" s="44" t="s">
        <v>405</v>
      </c>
      <c r="N653" s="44" t="s">
        <v>536</v>
      </c>
      <c r="O653" s="44" t="str">
        <f t="shared" si="38"/>
        <v>PE-L1-4C4-07</v>
      </c>
      <c r="P653" s="45">
        <v>1.5</v>
      </c>
      <c r="Q653" s="44">
        <v>400</v>
      </c>
      <c r="R653" s="44" t="s">
        <v>49</v>
      </c>
      <c r="S653" s="44">
        <v>380</v>
      </c>
      <c r="T653" s="46" t="s">
        <v>5334</v>
      </c>
      <c r="U653" s="46" t="s">
        <v>5152</v>
      </c>
      <c r="V653" s="46" t="s">
        <v>5153</v>
      </c>
      <c r="W653" s="46" t="s">
        <v>5154</v>
      </c>
      <c r="X653" s="47" t="s">
        <v>9305</v>
      </c>
      <c r="Y653" s="46" t="s">
        <v>5370</v>
      </c>
      <c r="Z653" s="46" t="s">
        <v>5371</v>
      </c>
      <c r="AA653" s="46" t="s">
        <v>5337</v>
      </c>
      <c r="AB653" s="47" t="s">
        <v>9305</v>
      </c>
      <c r="AC653" s="48" t="s">
        <v>5372</v>
      </c>
      <c r="AD653" s="30"/>
      <c r="AE653" s="197"/>
      <c r="AF653" s="47"/>
    </row>
    <row r="654" spans="1:32" s="29" customFormat="1" ht="69.95" hidden="1" customHeight="1">
      <c r="A654" s="29" t="s">
        <v>5374</v>
      </c>
      <c r="B654" s="29" t="s">
        <v>3769</v>
      </c>
      <c r="C654" s="40" t="s">
        <v>32</v>
      </c>
      <c r="D654" s="40"/>
      <c r="E654" s="57" t="s">
        <v>155</v>
      </c>
      <c r="F654" s="57" t="s">
        <v>155</v>
      </c>
      <c r="G654" s="29" t="s">
        <v>1605</v>
      </c>
      <c r="J654" s="29">
        <f t="shared" si="39"/>
        <v>1</v>
      </c>
      <c r="K654" s="42">
        <v>647</v>
      </c>
      <c r="L654" s="43" t="s">
        <v>1606</v>
      </c>
      <c r="M654" s="44" t="s">
        <v>405</v>
      </c>
      <c r="N654" s="44" t="s">
        <v>536</v>
      </c>
      <c r="O654" s="44" t="str">
        <f t="shared" si="38"/>
        <v>PE-L1-4C4-06</v>
      </c>
      <c r="P654" s="45">
        <v>3.7</v>
      </c>
      <c r="Q654" s="44">
        <v>400</v>
      </c>
      <c r="R654" s="44" t="s">
        <v>49</v>
      </c>
      <c r="S654" s="44">
        <v>150</v>
      </c>
      <c r="T654" s="46" t="s">
        <v>5373</v>
      </c>
      <c r="U654" s="46" t="s">
        <v>5374</v>
      </c>
      <c r="V654" s="46" t="s">
        <v>5375</v>
      </c>
      <c r="W654" s="46" t="s">
        <v>5376</v>
      </c>
      <c r="X654" s="47" t="s">
        <v>9305</v>
      </c>
      <c r="Y654" s="46" t="s">
        <v>5377</v>
      </c>
      <c r="Z654" s="46" t="s">
        <v>5378</v>
      </c>
      <c r="AA654" s="46" t="s">
        <v>5379</v>
      </c>
      <c r="AB654" s="47" t="s">
        <v>9305</v>
      </c>
      <c r="AC654" s="48" t="s">
        <v>5380</v>
      </c>
      <c r="AD654" s="30"/>
      <c r="AE654" s="197"/>
      <c r="AF654" s="47"/>
    </row>
    <row r="655" spans="1:32" s="29" customFormat="1" ht="69.95" hidden="1" customHeight="1">
      <c r="A655" s="29" t="s">
        <v>5381</v>
      </c>
      <c r="B655" s="29" t="s">
        <v>3769</v>
      </c>
      <c r="C655" s="40" t="s">
        <v>32</v>
      </c>
      <c r="D655" s="40"/>
      <c r="E655" s="57" t="s">
        <v>155</v>
      </c>
      <c r="F655" s="57" t="s">
        <v>155</v>
      </c>
      <c r="G655" s="29" t="s">
        <v>1607</v>
      </c>
      <c r="J655" s="29">
        <f t="shared" si="39"/>
        <v>1</v>
      </c>
      <c r="K655" s="42">
        <v>648</v>
      </c>
      <c r="L655" s="43" t="s">
        <v>1608</v>
      </c>
      <c r="M655" s="44" t="s">
        <v>405</v>
      </c>
      <c r="N655" s="44" t="s">
        <v>536</v>
      </c>
      <c r="O655" s="44" t="str">
        <f t="shared" si="38"/>
        <v>PE-L1-4C4-06</v>
      </c>
      <c r="P655" s="45">
        <v>3.7</v>
      </c>
      <c r="Q655" s="44">
        <v>400</v>
      </c>
      <c r="R655" s="44" t="s">
        <v>49</v>
      </c>
      <c r="S655" s="44">
        <v>150</v>
      </c>
      <c r="T655" s="46" t="s">
        <v>5373</v>
      </c>
      <c r="U655" s="46" t="s">
        <v>5381</v>
      </c>
      <c r="V655" s="46" t="s">
        <v>5382</v>
      </c>
      <c r="W655" s="46" t="s">
        <v>5376</v>
      </c>
      <c r="X655" s="47" t="s">
        <v>9305</v>
      </c>
      <c r="Y655" s="46" t="s">
        <v>5383</v>
      </c>
      <c r="Z655" s="46" t="s">
        <v>5384</v>
      </c>
      <c r="AA655" s="46" t="s">
        <v>5379</v>
      </c>
      <c r="AB655" s="47" t="s">
        <v>9305</v>
      </c>
      <c r="AC655" s="48" t="s">
        <v>5385</v>
      </c>
      <c r="AD655" s="30"/>
      <c r="AE655" s="197"/>
      <c r="AF655" s="47"/>
    </row>
    <row r="656" spans="1:32" s="29" customFormat="1" ht="69.95" hidden="1" customHeight="1">
      <c r="A656" s="29" t="s">
        <v>5374</v>
      </c>
      <c r="B656" s="29" t="s">
        <v>3769</v>
      </c>
      <c r="C656" s="40" t="s">
        <v>36</v>
      </c>
      <c r="D656" s="40"/>
      <c r="E656" s="58" t="s">
        <v>93</v>
      </c>
      <c r="F656" s="58" t="s">
        <v>93</v>
      </c>
      <c r="G656" s="29" t="s">
        <v>1609</v>
      </c>
      <c r="J656" s="29">
        <f t="shared" si="39"/>
        <v>1</v>
      </c>
      <c r="K656" s="42">
        <v>649</v>
      </c>
      <c r="L656" s="43" t="s">
        <v>1610</v>
      </c>
      <c r="M656" s="44" t="s">
        <v>405</v>
      </c>
      <c r="N656" s="44" t="s">
        <v>573</v>
      </c>
      <c r="O656" s="44" t="str">
        <f t="shared" si="38"/>
        <v>PE-L1-4C16-01</v>
      </c>
      <c r="P656" s="45">
        <v>18.5</v>
      </c>
      <c r="Q656" s="44">
        <v>400</v>
      </c>
      <c r="R656" s="44" t="s">
        <v>49</v>
      </c>
      <c r="S656" s="44">
        <v>160</v>
      </c>
      <c r="T656" s="46" t="s">
        <v>5373</v>
      </c>
      <c r="U656" s="46" t="s">
        <v>5374</v>
      </c>
      <c r="V656" s="46" t="s">
        <v>5375</v>
      </c>
      <c r="W656" s="46" t="s">
        <v>5376</v>
      </c>
      <c r="X656" s="47" t="s">
        <v>9305</v>
      </c>
      <c r="Y656" s="46" t="s">
        <v>5386</v>
      </c>
      <c r="Z656" s="46" t="s">
        <v>5387</v>
      </c>
      <c r="AA656" s="46" t="s">
        <v>5379</v>
      </c>
      <c r="AB656" s="47" t="s">
        <v>9305</v>
      </c>
      <c r="AC656" s="48" t="s">
        <v>5388</v>
      </c>
      <c r="AD656" s="30"/>
      <c r="AE656" s="197"/>
      <c r="AF656" s="47"/>
    </row>
    <row r="657" spans="1:45" s="29" customFormat="1" ht="69.95" hidden="1" customHeight="1">
      <c r="A657" s="29" t="s">
        <v>5381</v>
      </c>
      <c r="B657" s="29" t="s">
        <v>3769</v>
      </c>
      <c r="C657" s="40" t="s">
        <v>36</v>
      </c>
      <c r="D657" s="40"/>
      <c r="E657" s="57" t="s">
        <v>93</v>
      </c>
      <c r="F657" s="57" t="s">
        <v>93</v>
      </c>
      <c r="G657" s="29" t="s">
        <v>1611</v>
      </c>
      <c r="J657" s="29">
        <f t="shared" si="39"/>
        <v>1</v>
      </c>
      <c r="K657" s="42">
        <v>650</v>
      </c>
      <c r="L657" s="43" t="s">
        <v>1612</v>
      </c>
      <c r="M657" s="44" t="s">
        <v>405</v>
      </c>
      <c r="N657" s="44" t="s">
        <v>573</v>
      </c>
      <c r="O657" s="44" t="str">
        <f t="shared" si="38"/>
        <v>PE-L1-4C16-01</v>
      </c>
      <c r="P657" s="45">
        <v>18.5</v>
      </c>
      <c r="Q657" s="44">
        <v>400</v>
      </c>
      <c r="R657" s="44" t="s">
        <v>49</v>
      </c>
      <c r="S657" s="44">
        <v>160</v>
      </c>
      <c r="T657" s="46" t="s">
        <v>5373</v>
      </c>
      <c r="U657" s="46" t="s">
        <v>5381</v>
      </c>
      <c r="V657" s="46" t="s">
        <v>5382</v>
      </c>
      <c r="W657" s="46" t="s">
        <v>5376</v>
      </c>
      <c r="X657" s="47" t="s">
        <v>9305</v>
      </c>
      <c r="Y657" s="46" t="s">
        <v>5389</v>
      </c>
      <c r="Z657" s="46" t="s">
        <v>5390</v>
      </c>
      <c r="AA657" s="46" t="s">
        <v>5379</v>
      </c>
      <c r="AB657" s="47" t="s">
        <v>9305</v>
      </c>
      <c r="AC657" s="48" t="s">
        <v>5391</v>
      </c>
      <c r="AD657" s="30"/>
      <c r="AE657" s="197"/>
      <c r="AF657" s="47"/>
    </row>
    <row r="658" spans="1:45" s="29" customFormat="1" ht="69.95" hidden="1" customHeight="1">
      <c r="A658" s="29" t="s">
        <v>5381</v>
      </c>
      <c r="B658" s="29" t="s">
        <v>3769</v>
      </c>
      <c r="C658" s="40" t="s">
        <v>38</v>
      </c>
      <c r="D658" s="40"/>
      <c r="E658" s="57" t="s">
        <v>174</v>
      </c>
      <c r="F658" s="57" t="s">
        <v>174</v>
      </c>
      <c r="G658" s="29" t="s">
        <v>1614</v>
      </c>
      <c r="J658" s="29">
        <f t="shared" si="39"/>
        <v>1</v>
      </c>
      <c r="K658" s="42">
        <v>651</v>
      </c>
      <c r="L658" s="43" t="s">
        <v>1615</v>
      </c>
      <c r="M658" s="44" t="s">
        <v>405</v>
      </c>
      <c r="N658" s="44" t="s">
        <v>536</v>
      </c>
      <c r="O658" s="44" t="str">
        <f t="shared" si="38"/>
        <v>PE-L1-4C4-07</v>
      </c>
      <c r="P658" s="45">
        <v>3.7</v>
      </c>
      <c r="Q658" s="44">
        <v>400</v>
      </c>
      <c r="R658" s="44" t="s">
        <v>49</v>
      </c>
      <c r="S658" s="44">
        <v>170</v>
      </c>
      <c r="T658" s="46" t="s">
        <v>5373</v>
      </c>
      <c r="U658" s="46" t="s">
        <v>5381</v>
      </c>
      <c r="V658" s="46" t="s">
        <v>5382</v>
      </c>
      <c r="W658" s="46" t="s">
        <v>5376</v>
      </c>
      <c r="X658" s="47" t="s">
        <v>9305</v>
      </c>
      <c r="Y658" s="46" t="s">
        <v>5396</v>
      </c>
      <c r="Z658" s="46" t="s">
        <v>5397</v>
      </c>
      <c r="AA658" s="46" t="s">
        <v>5398</v>
      </c>
      <c r="AB658" s="47" t="s">
        <v>9305</v>
      </c>
      <c r="AC658" s="48" t="s">
        <v>5399</v>
      </c>
      <c r="AD658" s="30"/>
      <c r="AE658" s="197"/>
      <c r="AF658" s="47"/>
    </row>
    <row r="659" spans="1:45" s="29" customFormat="1" ht="69.95" hidden="1" customHeight="1">
      <c r="A659" s="29" t="s">
        <v>5374</v>
      </c>
      <c r="B659" s="29" t="s">
        <v>3769</v>
      </c>
      <c r="C659" s="40" t="s">
        <v>38</v>
      </c>
      <c r="D659" s="40"/>
      <c r="E659" s="57" t="s">
        <v>174</v>
      </c>
      <c r="F659" s="57" t="s">
        <v>174</v>
      </c>
      <c r="G659" s="29" t="s">
        <v>1616</v>
      </c>
      <c r="J659" s="29">
        <f t="shared" si="39"/>
        <v>1</v>
      </c>
      <c r="K659" s="42">
        <v>652</v>
      </c>
      <c r="L659" s="43" t="s">
        <v>1617</v>
      </c>
      <c r="M659" s="44" t="s">
        <v>405</v>
      </c>
      <c r="N659" s="44" t="s">
        <v>536</v>
      </c>
      <c r="O659" s="44" t="str">
        <f t="shared" si="38"/>
        <v>PE-L1-4C4-07</v>
      </c>
      <c r="P659" s="45">
        <v>3.7</v>
      </c>
      <c r="Q659" s="44">
        <v>400</v>
      </c>
      <c r="R659" s="44" t="s">
        <v>49</v>
      </c>
      <c r="S659" s="44">
        <v>170</v>
      </c>
      <c r="T659" s="46" t="s">
        <v>5373</v>
      </c>
      <c r="U659" s="46" t="s">
        <v>5374</v>
      </c>
      <c r="V659" s="46" t="s">
        <v>5375</v>
      </c>
      <c r="W659" s="46" t="s">
        <v>5376</v>
      </c>
      <c r="X659" s="47" t="s">
        <v>9305</v>
      </c>
      <c r="Y659" s="46" t="s">
        <v>5400</v>
      </c>
      <c r="Z659" s="46" t="s">
        <v>5401</v>
      </c>
      <c r="AA659" s="46" t="s">
        <v>5398</v>
      </c>
      <c r="AB659" s="47" t="s">
        <v>9305</v>
      </c>
      <c r="AC659" s="48" t="s">
        <v>5402</v>
      </c>
      <c r="AD659" s="30"/>
      <c r="AE659" s="197"/>
      <c r="AF659" s="47"/>
    </row>
    <row r="660" spans="1:45" s="29" customFormat="1" ht="110.1" hidden="1" customHeight="1">
      <c r="A660" s="29" t="s">
        <v>5392</v>
      </c>
      <c r="B660" s="29" t="s">
        <v>3769</v>
      </c>
      <c r="C660" s="40" t="s">
        <v>38</v>
      </c>
      <c r="D660" s="40"/>
      <c r="E660" s="57" t="s">
        <v>176</v>
      </c>
      <c r="F660" s="57" t="s">
        <v>176</v>
      </c>
      <c r="G660" s="29" t="s">
        <v>1618</v>
      </c>
      <c r="H660" s="124" t="s">
        <v>9563</v>
      </c>
      <c r="I660" s="124" t="s">
        <v>9121</v>
      </c>
      <c r="J660" s="29">
        <f t="shared" si="39"/>
        <v>1</v>
      </c>
      <c r="K660" s="42">
        <v>653</v>
      </c>
      <c r="L660" s="152" t="s">
        <v>1619</v>
      </c>
      <c r="M660" s="44" t="s">
        <v>405</v>
      </c>
      <c r="N660" s="44" t="s">
        <v>388</v>
      </c>
      <c r="O660" s="101" t="str">
        <f t="shared" si="38"/>
        <v>PE-L1-5C150/95-01</v>
      </c>
      <c r="P660" s="45">
        <v>69.900000000000006</v>
      </c>
      <c r="Q660" s="44">
        <v>400</v>
      </c>
      <c r="R660" s="44" t="s">
        <v>49</v>
      </c>
      <c r="S660" s="126">
        <v>510</v>
      </c>
      <c r="T660" s="46" t="s">
        <v>5403</v>
      </c>
      <c r="U660" s="46" t="s">
        <v>5392</v>
      </c>
      <c r="V660" s="46" t="s">
        <v>5393</v>
      </c>
      <c r="W660" s="46" t="s">
        <v>335</v>
      </c>
      <c r="X660" s="47" t="s">
        <v>9310</v>
      </c>
      <c r="Y660" s="46" t="s">
        <v>5404</v>
      </c>
      <c r="Z660" s="46" t="s">
        <v>5405</v>
      </c>
      <c r="AA660" s="46" t="s">
        <v>5406</v>
      </c>
      <c r="AB660" s="47" t="s">
        <v>9310</v>
      </c>
      <c r="AC660" s="76" t="s">
        <v>9215</v>
      </c>
      <c r="AD660" s="30"/>
      <c r="AE660" s="197"/>
      <c r="AF660" s="47"/>
    </row>
    <row r="661" spans="1:45" s="29" customFormat="1" ht="110.1" hidden="1" customHeight="1">
      <c r="A661" s="29" t="s">
        <v>5407</v>
      </c>
      <c r="B661" s="29" t="s">
        <v>3769</v>
      </c>
      <c r="C661" s="40" t="s">
        <v>32</v>
      </c>
      <c r="D661" s="181" t="s">
        <v>9517</v>
      </c>
      <c r="E661" s="57" t="s">
        <v>227</v>
      </c>
      <c r="F661" s="57" t="s">
        <v>9505</v>
      </c>
      <c r="G661" s="29" t="s">
        <v>1620</v>
      </c>
      <c r="H661" s="124" t="s">
        <v>9563</v>
      </c>
      <c r="I661" s="124" t="s">
        <v>9121</v>
      </c>
      <c r="J661" s="29">
        <f t="shared" si="39"/>
        <v>1</v>
      </c>
      <c r="K661" s="189">
        <v>654</v>
      </c>
      <c r="L661" s="152" t="s">
        <v>9428</v>
      </c>
      <c r="M661" s="44" t="s">
        <v>405</v>
      </c>
      <c r="N661" s="44" t="s">
        <v>8582</v>
      </c>
      <c r="O661" s="101" t="str">
        <f t="shared" si="38"/>
        <v>PE-L1-3C25/16-02</v>
      </c>
      <c r="P661" s="45">
        <v>1</v>
      </c>
      <c r="Q661" s="44">
        <v>230</v>
      </c>
      <c r="R661" s="44" t="s">
        <v>428</v>
      </c>
      <c r="S661" s="188">
        <v>470</v>
      </c>
      <c r="T661" s="46" t="s">
        <v>5403</v>
      </c>
      <c r="U661" s="46" t="s">
        <v>5407</v>
      </c>
      <c r="V661" s="46" t="s">
        <v>5408</v>
      </c>
      <c r="W661" s="46" t="s">
        <v>335</v>
      </c>
      <c r="X661" s="172" t="s">
        <v>9167</v>
      </c>
      <c r="Y661" s="46" t="s">
        <v>5409</v>
      </c>
      <c r="Z661" s="46" t="s">
        <v>5410</v>
      </c>
      <c r="AA661" s="46" t="s">
        <v>5406</v>
      </c>
      <c r="AB661" s="172" t="s">
        <v>9167</v>
      </c>
      <c r="AC661" s="76" t="s">
        <v>9216</v>
      </c>
      <c r="AD661" s="30"/>
      <c r="AE661" s="197"/>
      <c r="AF661" s="47"/>
    </row>
    <row r="662" spans="1:45" s="29" customFormat="1" ht="90" hidden="1" customHeight="1">
      <c r="A662" s="29" t="s">
        <v>5411</v>
      </c>
      <c r="B662" s="29" t="s">
        <v>3769</v>
      </c>
      <c r="C662" s="40" t="s">
        <v>32</v>
      </c>
      <c r="D662" s="181" t="s">
        <v>9518</v>
      </c>
      <c r="E662" s="57" t="s">
        <v>227</v>
      </c>
      <c r="F662" s="57" t="s">
        <v>227</v>
      </c>
      <c r="G662" s="29" t="s">
        <v>1621</v>
      </c>
      <c r="H662" s="124" t="s">
        <v>9563</v>
      </c>
      <c r="I662" s="124" t="s">
        <v>9121</v>
      </c>
      <c r="J662" s="29">
        <f t="shared" si="39"/>
        <v>1</v>
      </c>
      <c r="K662" s="189">
        <v>655</v>
      </c>
      <c r="L662" s="152" t="s">
        <v>9429</v>
      </c>
      <c r="M662" s="44" t="s">
        <v>405</v>
      </c>
      <c r="N662" s="44" t="s">
        <v>423</v>
      </c>
      <c r="O662" s="101" t="str">
        <f t="shared" si="38"/>
        <v>PE-L1-3C25/16-02</v>
      </c>
      <c r="P662" s="45">
        <v>1</v>
      </c>
      <c r="Q662" s="44">
        <v>230</v>
      </c>
      <c r="R662" s="44" t="s">
        <v>428</v>
      </c>
      <c r="S662" s="188">
        <v>470</v>
      </c>
      <c r="T662" s="46" t="s">
        <v>5403</v>
      </c>
      <c r="U662" s="46" t="s">
        <v>5411</v>
      </c>
      <c r="V662" s="46" t="s">
        <v>5412</v>
      </c>
      <c r="W662" s="46" t="s">
        <v>335</v>
      </c>
      <c r="X662" s="172" t="s">
        <v>9167</v>
      </c>
      <c r="Y662" s="46" t="s">
        <v>5409</v>
      </c>
      <c r="Z662" s="46" t="s">
        <v>5413</v>
      </c>
      <c r="AA662" s="46" t="s">
        <v>5406</v>
      </c>
      <c r="AB662" s="172" t="s">
        <v>9167</v>
      </c>
      <c r="AC662" s="76" t="s">
        <v>9217</v>
      </c>
      <c r="AD662" s="30"/>
      <c r="AE662" s="197"/>
      <c r="AF662" s="47"/>
    </row>
    <row r="663" spans="1:45" s="29" customFormat="1" ht="69.95" hidden="1" customHeight="1">
      <c r="A663" s="29" t="s">
        <v>4407</v>
      </c>
      <c r="B663" s="29" t="s">
        <v>3769</v>
      </c>
      <c r="C663" s="40">
        <v>23</v>
      </c>
      <c r="D663" s="40"/>
      <c r="E663" s="57" t="s">
        <v>72</v>
      </c>
      <c r="F663" s="57" t="s">
        <v>72</v>
      </c>
      <c r="G663" s="29" t="s">
        <v>1622</v>
      </c>
      <c r="J663" s="29">
        <f t="shared" si="39"/>
        <v>1</v>
      </c>
      <c r="K663" s="42">
        <v>656</v>
      </c>
      <c r="L663" s="43" t="s">
        <v>1623</v>
      </c>
      <c r="M663" s="44" t="s">
        <v>405</v>
      </c>
      <c r="N663" s="44" t="s">
        <v>566</v>
      </c>
      <c r="O663" s="44" t="str">
        <f t="shared" si="38"/>
        <v>PE-L1-5C4-01</v>
      </c>
      <c r="P663" s="45">
        <v>1.6</v>
      </c>
      <c r="Q663" s="44">
        <v>400</v>
      </c>
      <c r="R663" s="44" t="s">
        <v>49</v>
      </c>
      <c r="S663" s="44">
        <v>330</v>
      </c>
      <c r="T663" s="46" t="s">
        <v>5403</v>
      </c>
      <c r="U663" s="46" t="s">
        <v>4407</v>
      </c>
      <c r="V663" s="46" t="s">
        <v>4408</v>
      </c>
      <c r="W663" s="46" t="s">
        <v>335</v>
      </c>
      <c r="X663" s="47" t="s">
        <v>9310</v>
      </c>
      <c r="Y663" s="46" t="s">
        <v>5414</v>
      </c>
      <c r="Z663" s="46" t="s">
        <v>5415</v>
      </c>
      <c r="AA663" s="46" t="s">
        <v>5416</v>
      </c>
      <c r="AB663" s="47" t="s">
        <v>9310</v>
      </c>
      <c r="AC663" s="48" t="s">
        <v>5417</v>
      </c>
      <c r="AD663" s="30"/>
      <c r="AE663" s="197"/>
      <c r="AF663" s="47"/>
    </row>
    <row r="664" spans="1:45" s="29" customFormat="1" ht="69.95" hidden="1" customHeight="1">
      <c r="A664" s="29" t="s">
        <v>4444</v>
      </c>
      <c r="B664" s="29" t="s">
        <v>3769</v>
      </c>
      <c r="C664" s="40" t="s">
        <v>42</v>
      </c>
      <c r="D664" s="40"/>
      <c r="E664" s="57" t="s">
        <v>72</v>
      </c>
      <c r="F664" s="57" t="s">
        <v>72</v>
      </c>
      <c r="G664" s="29" t="s">
        <v>1624</v>
      </c>
      <c r="I664" s="124" t="s">
        <v>9121</v>
      </c>
      <c r="J664" s="29">
        <f t="shared" si="39"/>
        <v>1</v>
      </c>
      <c r="K664" s="42">
        <v>657</v>
      </c>
      <c r="L664" s="152" t="s">
        <v>1625</v>
      </c>
      <c r="M664" s="44" t="s">
        <v>405</v>
      </c>
      <c r="N664" s="44" t="s">
        <v>566</v>
      </c>
      <c r="O664" s="101" t="str">
        <f t="shared" ref="O664:O679" si="40">F664</f>
        <v>PE-L1-5C4-01</v>
      </c>
      <c r="P664" s="45">
        <v>1.6</v>
      </c>
      <c r="Q664" s="44">
        <v>400</v>
      </c>
      <c r="R664" s="44" t="s">
        <v>49</v>
      </c>
      <c r="S664" s="101">
        <v>400</v>
      </c>
      <c r="T664" s="46" t="s">
        <v>5403</v>
      </c>
      <c r="U664" s="46" t="s">
        <v>4444</v>
      </c>
      <c r="V664" s="46" t="s">
        <v>4445</v>
      </c>
      <c r="W664" s="46" t="s">
        <v>335</v>
      </c>
      <c r="X664" s="47" t="s">
        <v>9310</v>
      </c>
      <c r="Y664" s="46" t="s">
        <v>5418</v>
      </c>
      <c r="Z664" s="46" t="s">
        <v>5419</v>
      </c>
      <c r="AA664" s="46" t="s">
        <v>5420</v>
      </c>
      <c r="AB664" s="47" t="s">
        <v>9310</v>
      </c>
      <c r="AC664" s="48" t="s">
        <v>5421</v>
      </c>
      <c r="AD664" s="30"/>
      <c r="AE664" s="197"/>
      <c r="AF664" s="47"/>
    </row>
    <row r="665" spans="1:45" s="29" customFormat="1" ht="69.95" hidden="1" customHeight="1">
      <c r="A665" s="29" t="s">
        <v>4480</v>
      </c>
      <c r="B665" s="29" t="s">
        <v>3769</v>
      </c>
      <c r="C665" s="40">
        <v>19</v>
      </c>
      <c r="D665" s="40"/>
      <c r="E665" s="94" t="s">
        <v>8828</v>
      </c>
      <c r="F665" s="94" t="s">
        <v>8828</v>
      </c>
      <c r="G665" s="29" t="s">
        <v>8827</v>
      </c>
      <c r="J665" s="29">
        <f t="shared" si="39"/>
        <v>1</v>
      </c>
      <c r="K665" s="42">
        <v>658</v>
      </c>
      <c r="L665" s="43" t="s">
        <v>1626</v>
      </c>
      <c r="M665" s="44" t="s">
        <v>405</v>
      </c>
      <c r="N665" s="44" t="s">
        <v>566</v>
      </c>
      <c r="O665" s="90" t="str">
        <f t="shared" si="40"/>
        <v>PE-L1-5C4-04</v>
      </c>
      <c r="P665" s="45">
        <v>1.6</v>
      </c>
      <c r="Q665" s="44">
        <v>400</v>
      </c>
      <c r="R665" s="44" t="s">
        <v>49</v>
      </c>
      <c r="S665" s="44">
        <v>360</v>
      </c>
      <c r="T665" s="46" t="s">
        <v>5403</v>
      </c>
      <c r="U665" s="46" t="s">
        <v>4480</v>
      </c>
      <c r="V665" s="46" t="s">
        <v>4481</v>
      </c>
      <c r="W665" s="46" t="s">
        <v>347</v>
      </c>
      <c r="X665" s="47" t="s">
        <v>9310</v>
      </c>
      <c r="Y665" s="46" t="s">
        <v>5422</v>
      </c>
      <c r="Z665" s="46" t="s">
        <v>5423</v>
      </c>
      <c r="AA665" s="46" t="s">
        <v>5424</v>
      </c>
      <c r="AB665" s="47" t="s">
        <v>9310</v>
      </c>
      <c r="AC665" s="48" t="s">
        <v>5425</v>
      </c>
      <c r="AD665" s="30"/>
      <c r="AE665" s="197"/>
      <c r="AF665" s="47"/>
    </row>
    <row r="666" spans="1:45" s="29" customFormat="1" ht="69.95" hidden="1" customHeight="1">
      <c r="A666" s="29" t="s">
        <v>4511</v>
      </c>
      <c r="B666" s="29" t="s">
        <v>3769</v>
      </c>
      <c r="C666" s="40" t="s">
        <v>42</v>
      </c>
      <c r="D666" s="40"/>
      <c r="E666" s="94" t="s">
        <v>8828</v>
      </c>
      <c r="F666" s="94" t="s">
        <v>8828</v>
      </c>
      <c r="G666" s="29" t="s">
        <v>1627</v>
      </c>
      <c r="J666" s="29">
        <f t="shared" si="39"/>
        <v>1</v>
      </c>
      <c r="K666" s="42">
        <v>659</v>
      </c>
      <c r="L666" s="43" t="s">
        <v>1628</v>
      </c>
      <c r="M666" s="44" t="s">
        <v>405</v>
      </c>
      <c r="N666" s="44" t="s">
        <v>566</v>
      </c>
      <c r="O666" s="90" t="str">
        <f t="shared" si="40"/>
        <v>PE-L1-5C4-04</v>
      </c>
      <c r="P666" s="45">
        <v>1.6</v>
      </c>
      <c r="Q666" s="44">
        <v>400</v>
      </c>
      <c r="R666" s="44" t="s">
        <v>49</v>
      </c>
      <c r="S666" s="44">
        <v>120</v>
      </c>
      <c r="T666" s="46" t="s">
        <v>5403</v>
      </c>
      <c r="U666" s="46" t="s">
        <v>4511</v>
      </c>
      <c r="V666" s="46" t="s">
        <v>4512</v>
      </c>
      <c r="W666" s="46" t="s">
        <v>347</v>
      </c>
      <c r="X666" s="47" t="s">
        <v>9310</v>
      </c>
      <c r="Y666" s="46" t="s">
        <v>5426</v>
      </c>
      <c r="Z666" s="46" t="s">
        <v>5427</v>
      </c>
      <c r="AA666" s="46" t="s">
        <v>5428</v>
      </c>
      <c r="AB666" s="47" t="s">
        <v>9310</v>
      </c>
      <c r="AC666" s="48" t="s">
        <v>5429</v>
      </c>
      <c r="AD666" s="30"/>
      <c r="AE666" s="197"/>
      <c r="AF666" s="47"/>
    </row>
    <row r="667" spans="1:45" s="29" customFormat="1" ht="99.95" hidden="1" customHeight="1">
      <c r="A667" s="29" t="s">
        <v>5411</v>
      </c>
      <c r="B667" s="29" t="s">
        <v>3769</v>
      </c>
      <c r="C667" s="40" t="s">
        <v>36</v>
      </c>
      <c r="D667" s="40"/>
      <c r="E667" s="57" t="s">
        <v>8378</v>
      </c>
      <c r="F667" s="57" t="s">
        <v>8378</v>
      </c>
      <c r="G667" s="29" t="s">
        <v>1629</v>
      </c>
      <c r="H667" s="124" t="s">
        <v>9563</v>
      </c>
      <c r="I667" s="124" t="s">
        <v>9121</v>
      </c>
      <c r="J667" s="29">
        <f t="shared" si="39"/>
        <v>1</v>
      </c>
      <c r="K667" s="42">
        <v>660</v>
      </c>
      <c r="L667" s="152" t="s">
        <v>1630</v>
      </c>
      <c r="M667" s="44" t="s">
        <v>405</v>
      </c>
      <c r="N667" s="44" t="s">
        <v>8626</v>
      </c>
      <c r="O667" s="101" t="str">
        <f t="shared" si="40"/>
        <v>PE-L1-3C70/35-01</v>
      </c>
      <c r="P667" s="45">
        <v>4.3</v>
      </c>
      <c r="Q667" s="44">
        <v>230</v>
      </c>
      <c r="R667" s="44" t="s">
        <v>428</v>
      </c>
      <c r="S667" s="126">
        <v>490</v>
      </c>
      <c r="T667" s="46" t="s">
        <v>5403</v>
      </c>
      <c r="U667" s="46" t="s">
        <v>5411</v>
      </c>
      <c r="V667" s="46" t="s">
        <v>5412</v>
      </c>
      <c r="W667" s="46" t="s">
        <v>335</v>
      </c>
      <c r="X667" s="172" t="s">
        <v>9167</v>
      </c>
      <c r="Y667" s="46" t="s">
        <v>5430</v>
      </c>
      <c r="Z667" s="46" t="s">
        <v>5431</v>
      </c>
      <c r="AA667" s="46" t="s">
        <v>5406</v>
      </c>
      <c r="AB667" s="172" t="s">
        <v>9167</v>
      </c>
      <c r="AC667" s="76" t="s">
        <v>9218</v>
      </c>
      <c r="AD667" s="30"/>
      <c r="AE667" s="197"/>
      <c r="AF667" s="47"/>
    </row>
    <row r="668" spans="1:45" s="29" customFormat="1" ht="69.95" hidden="1" customHeight="1">
      <c r="A668" s="29" t="s">
        <v>5280</v>
      </c>
      <c r="B668" s="29" t="s">
        <v>8652</v>
      </c>
      <c r="C668" s="40" t="s">
        <v>38</v>
      </c>
      <c r="D668" s="40"/>
      <c r="E668" s="56" t="s">
        <v>177</v>
      </c>
      <c r="F668" s="56" t="s">
        <v>177</v>
      </c>
      <c r="G668" s="29" t="s">
        <v>1631</v>
      </c>
      <c r="H668" s="124" t="s">
        <v>9154</v>
      </c>
      <c r="I668" s="124" t="s">
        <v>9121</v>
      </c>
      <c r="J668" s="29">
        <f t="shared" si="39"/>
        <v>1</v>
      </c>
      <c r="K668" s="42">
        <v>661</v>
      </c>
      <c r="L668" s="152" t="s">
        <v>1632</v>
      </c>
      <c r="M668" s="44" t="s">
        <v>417</v>
      </c>
      <c r="N668" s="44" t="s">
        <v>418</v>
      </c>
      <c r="O668" s="101" t="str">
        <f t="shared" si="40"/>
        <v>PE-M1-3C120-07</v>
      </c>
      <c r="P668" s="45">
        <v>1300</v>
      </c>
      <c r="Q668" s="44">
        <v>10000</v>
      </c>
      <c r="R668" s="44" t="s">
        <v>49</v>
      </c>
      <c r="S668" s="101">
        <v>290</v>
      </c>
      <c r="T668" s="46" t="s">
        <v>5432</v>
      </c>
      <c r="U668" s="46" t="s">
        <v>5280</v>
      </c>
      <c r="V668" s="46" t="s">
        <v>338</v>
      </c>
      <c r="W668" s="46" t="s">
        <v>335</v>
      </c>
      <c r="X668" s="47" t="s">
        <v>51</v>
      </c>
      <c r="Y668" s="46" t="s">
        <v>9591</v>
      </c>
      <c r="Z668" s="46" t="s">
        <v>5434</v>
      </c>
      <c r="AA668" s="46" t="s">
        <v>392</v>
      </c>
      <c r="AB668" s="47" t="s">
        <v>3941</v>
      </c>
      <c r="AC668" s="48" t="s">
        <v>5435</v>
      </c>
      <c r="AD668" s="30"/>
      <c r="AE668" s="197"/>
      <c r="AF668" s="47"/>
      <c r="AR668" s="241">
        <v>2</v>
      </c>
      <c r="AS668" s="241" t="s">
        <v>9587</v>
      </c>
    </row>
    <row r="669" spans="1:45" s="29" customFormat="1" ht="69.95" hidden="1" customHeight="1">
      <c r="A669" s="29" t="s">
        <v>5280</v>
      </c>
      <c r="B669" s="29" t="s">
        <v>3769</v>
      </c>
      <c r="C669" s="40" t="s">
        <v>38</v>
      </c>
      <c r="D669" s="40"/>
      <c r="E669" s="57" t="s">
        <v>173</v>
      </c>
      <c r="F669" s="57" t="s">
        <v>173</v>
      </c>
      <c r="G669" s="29" t="s">
        <v>1633</v>
      </c>
      <c r="H669" s="124" t="s">
        <v>9154</v>
      </c>
      <c r="I669" s="124" t="s">
        <v>9121</v>
      </c>
      <c r="J669" s="29">
        <f t="shared" si="39"/>
        <v>1</v>
      </c>
      <c r="K669" s="42">
        <v>662</v>
      </c>
      <c r="L669" s="152" t="s">
        <v>1634</v>
      </c>
      <c r="M669" s="44" t="s">
        <v>405</v>
      </c>
      <c r="N669" s="44" t="s">
        <v>426</v>
      </c>
      <c r="O669" s="101" t="str">
        <f t="shared" si="40"/>
        <v>PE-L1-3C4-10</v>
      </c>
      <c r="P669" s="45">
        <v>0.5</v>
      </c>
      <c r="Q669" s="44">
        <v>230</v>
      </c>
      <c r="R669" s="44" t="s">
        <v>49</v>
      </c>
      <c r="S669" s="101">
        <v>300</v>
      </c>
      <c r="T669" s="46" t="s">
        <v>5432</v>
      </c>
      <c r="U669" s="46" t="s">
        <v>5280</v>
      </c>
      <c r="V669" s="46" t="s">
        <v>338</v>
      </c>
      <c r="W669" s="46" t="s">
        <v>335</v>
      </c>
      <c r="X669" s="172" t="s">
        <v>9167</v>
      </c>
      <c r="Y669" s="46" t="s">
        <v>5433</v>
      </c>
      <c r="Z669" s="46" t="s">
        <v>5436</v>
      </c>
      <c r="AA669" s="46" t="s">
        <v>392</v>
      </c>
      <c r="AB669" s="172" t="s">
        <v>9167</v>
      </c>
      <c r="AC669" s="48" t="s">
        <v>5437</v>
      </c>
      <c r="AD669" s="30"/>
      <c r="AE669" s="197"/>
      <c r="AF669" s="47"/>
    </row>
    <row r="670" spans="1:45" s="29" customFormat="1" ht="69.95" hidden="1" customHeight="1">
      <c r="A670" s="29" t="s">
        <v>3948</v>
      </c>
      <c r="B670" s="29" t="s">
        <v>3769</v>
      </c>
      <c r="C670" s="40" t="s">
        <v>36</v>
      </c>
      <c r="D670" s="40"/>
      <c r="E670" s="57" t="s">
        <v>173</v>
      </c>
      <c r="F670" s="57" t="s">
        <v>173</v>
      </c>
      <c r="G670" s="29" t="s">
        <v>1635</v>
      </c>
      <c r="H670" s="124" t="s">
        <v>9154</v>
      </c>
      <c r="I670" s="124" t="s">
        <v>9121</v>
      </c>
      <c r="J670" s="29">
        <f t="shared" si="39"/>
        <v>1</v>
      </c>
      <c r="K670" s="42">
        <v>663</v>
      </c>
      <c r="L670" s="152" t="s">
        <v>1636</v>
      </c>
      <c r="M670" s="44" t="s">
        <v>405</v>
      </c>
      <c r="N670" s="44" t="s">
        <v>426</v>
      </c>
      <c r="O670" s="101" t="str">
        <f t="shared" si="40"/>
        <v>PE-L1-3C4-10</v>
      </c>
      <c r="P670" s="45">
        <v>0.05</v>
      </c>
      <c r="Q670" s="44">
        <v>230</v>
      </c>
      <c r="R670" s="44" t="s">
        <v>49</v>
      </c>
      <c r="S670" s="101">
        <v>310</v>
      </c>
      <c r="T670" s="46" t="s">
        <v>5432</v>
      </c>
      <c r="U670" s="46" t="s">
        <v>3948</v>
      </c>
      <c r="V670" s="46" t="s">
        <v>3949</v>
      </c>
      <c r="W670" s="46" t="s">
        <v>335</v>
      </c>
      <c r="X670" s="172" t="s">
        <v>9167</v>
      </c>
      <c r="Y670" s="46" t="s">
        <v>5433</v>
      </c>
      <c r="Z670" s="46" t="s">
        <v>5438</v>
      </c>
      <c r="AA670" s="46" t="s">
        <v>392</v>
      </c>
      <c r="AB670" s="172" t="s">
        <v>9167</v>
      </c>
      <c r="AC670" s="48" t="s">
        <v>5439</v>
      </c>
      <c r="AD670" s="30"/>
      <c r="AE670" s="197"/>
      <c r="AF670" s="47"/>
    </row>
    <row r="671" spans="1:45" s="29" customFormat="1" ht="69.95" hidden="1" customHeight="1">
      <c r="A671" s="29" t="s">
        <v>5288</v>
      </c>
      <c r="B671" s="29" t="s">
        <v>8652</v>
      </c>
      <c r="C671" s="40" t="s">
        <v>36</v>
      </c>
      <c r="D671" s="174"/>
      <c r="E671" s="56" t="s">
        <v>178</v>
      </c>
      <c r="F671" s="56" t="s">
        <v>178</v>
      </c>
      <c r="G671" s="169" t="s">
        <v>1637</v>
      </c>
      <c r="H671" s="124" t="s">
        <v>9154</v>
      </c>
      <c r="I671" s="124" t="s">
        <v>9121</v>
      </c>
      <c r="J671" s="29">
        <f t="shared" si="39"/>
        <v>1</v>
      </c>
      <c r="K671" s="183">
        <v>664</v>
      </c>
      <c r="L671" s="152" t="s">
        <v>1638</v>
      </c>
      <c r="M671" s="44" t="s">
        <v>417</v>
      </c>
      <c r="N671" s="44" t="s">
        <v>418</v>
      </c>
      <c r="O671" s="101" t="str">
        <f t="shared" si="40"/>
        <v>PE-M1-3C120-08</v>
      </c>
      <c r="P671" s="45">
        <v>1300</v>
      </c>
      <c r="Q671" s="44">
        <v>10000</v>
      </c>
      <c r="R671" s="44" t="s">
        <v>49</v>
      </c>
      <c r="S671" s="101">
        <v>300</v>
      </c>
      <c r="T671" s="46" t="s">
        <v>5432</v>
      </c>
      <c r="U671" s="46" t="s">
        <v>5288</v>
      </c>
      <c r="V671" s="46" t="s">
        <v>344</v>
      </c>
      <c r="W671" s="46" t="s">
        <v>335</v>
      </c>
      <c r="X671" s="47" t="s">
        <v>51</v>
      </c>
      <c r="Y671" s="46" t="s">
        <v>5440</v>
      </c>
      <c r="Z671" s="46" t="s">
        <v>5441</v>
      </c>
      <c r="AA671" s="46" t="s">
        <v>392</v>
      </c>
      <c r="AB671" s="47" t="s">
        <v>3941</v>
      </c>
      <c r="AC671" s="48" t="s">
        <v>5442</v>
      </c>
      <c r="AD671" s="30"/>
      <c r="AE671" s="197"/>
      <c r="AF671" s="47"/>
      <c r="AR671" s="241">
        <v>2</v>
      </c>
      <c r="AS671" s="241" t="s">
        <v>9587</v>
      </c>
    </row>
    <row r="672" spans="1:45" s="29" customFormat="1" ht="69.95" hidden="1" customHeight="1">
      <c r="A672" s="29" t="s">
        <v>5288</v>
      </c>
      <c r="B672" s="29" t="s">
        <v>3769</v>
      </c>
      <c r="C672" s="40" t="s">
        <v>40</v>
      </c>
      <c r="D672" s="174"/>
      <c r="E672" s="57" t="s">
        <v>173</v>
      </c>
      <c r="F672" s="57" t="s">
        <v>173</v>
      </c>
      <c r="G672" s="29" t="s">
        <v>1639</v>
      </c>
      <c r="H672" s="124" t="s">
        <v>9154</v>
      </c>
      <c r="I672" s="124" t="s">
        <v>9121</v>
      </c>
      <c r="J672" s="29">
        <f t="shared" si="39"/>
        <v>1</v>
      </c>
      <c r="K672" s="183">
        <v>665</v>
      </c>
      <c r="L672" s="152" t="s">
        <v>1640</v>
      </c>
      <c r="M672" s="44" t="s">
        <v>405</v>
      </c>
      <c r="N672" s="44" t="s">
        <v>426</v>
      </c>
      <c r="O672" s="101" t="str">
        <f t="shared" si="40"/>
        <v>PE-L1-3C4-10</v>
      </c>
      <c r="P672" s="45">
        <v>0.5</v>
      </c>
      <c r="Q672" s="44">
        <v>230</v>
      </c>
      <c r="R672" s="44" t="s">
        <v>49</v>
      </c>
      <c r="S672" s="101">
        <v>310</v>
      </c>
      <c r="T672" s="46" t="s">
        <v>5432</v>
      </c>
      <c r="U672" s="46" t="s">
        <v>5288</v>
      </c>
      <c r="V672" s="46" t="s">
        <v>344</v>
      </c>
      <c r="W672" s="46" t="s">
        <v>335</v>
      </c>
      <c r="X672" s="172" t="s">
        <v>9167</v>
      </c>
      <c r="Y672" s="46" t="s">
        <v>5440</v>
      </c>
      <c r="Z672" s="46" t="s">
        <v>5443</v>
      </c>
      <c r="AA672" s="46" t="s">
        <v>392</v>
      </c>
      <c r="AB672" s="172" t="s">
        <v>9167</v>
      </c>
      <c r="AC672" s="48" t="s">
        <v>5444</v>
      </c>
      <c r="AD672" s="30"/>
      <c r="AE672" s="197"/>
      <c r="AF672" s="47"/>
    </row>
    <row r="673" spans="1:45" s="29" customFormat="1" ht="69.95" hidden="1" customHeight="1">
      <c r="A673" s="29" t="s">
        <v>5096</v>
      </c>
      <c r="B673" s="29" t="s">
        <v>3769</v>
      </c>
      <c r="C673" s="40" t="s">
        <v>32</v>
      </c>
      <c r="D673" s="40"/>
      <c r="E673" s="57" t="s">
        <v>84</v>
      </c>
      <c r="F673" s="57" t="s">
        <v>84</v>
      </c>
      <c r="G673" s="29" t="s">
        <v>1641</v>
      </c>
      <c r="H673" s="124" t="s">
        <v>9154</v>
      </c>
      <c r="I673" s="124" t="s">
        <v>9121</v>
      </c>
      <c r="J673" s="29">
        <f t="shared" si="39"/>
        <v>1</v>
      </c>
      <c r="K673" s="42">
        <v>666</v>
      </c>
      <c r="L673" s="152" t="s">
        <v>1642</v>
      </c>
      <c r="M673" s="44" t="s">
        <v>405</v>
      </c>
      <c r="N673" s="44" t="s">
        <v>426</v>
      </c>
      <c r="O673" s="101" t="str">
        <f t="shared" si="40"/>
        <v>PE-L1-3C4-11</v>
      </c>
      <c r="P673" s="45">
        <v>0.05</v>
      </c>
      <c r="Q673" s="44">
        <v>230</v>
      </c>
      <c r="R673" s="44" t="s">
        <v>49</v>
      </c>
      <c r="S673" s="101">
        <v>300</v>
      </c>
      <c r="T673" s="46" t="s">
        <v>5432</v>
      </c>
      <c r="U673" s="46" t="s">
        <v>5096</v>
      </c>
      <c r="V673" s="46" t="s">
        <v>5097</v>
      </c>
      <c r="W673" s="46" t="s">
        <v>335</v>
      </c>
      <c r="X673" s="172" t="s">
        <v>9167</v>
      </c>
      <c r="Y673" s="46" t="s">
        <v>5440</v>
      </c>
      <c r="Z673" s="46" t="s">
        <v>5445</v>
      </c>
      <c r="AA673" s="46" t="s">
        <v>392</v>
      </c>
      <c r="AB673" s="172" t="s">
        <v>9167</v>
      </c>
      <c r="AC673" s="48" t="s">
        <v>5446</v>
      </c>
      <c r="AD673" s="30"/>
      <c r="AE673" s="197"/>
      <c r="AF673" s="47"/>
    </row>
    <row r="674" spans="1:45" s="29" customFormat="1" ht="69.95" hidden="1" customHeight="1">
      <c r="A674" s="29" t="s">
        <v>5288</v>
      </c>
      <c r="B674" s="29" t="s">
        <v>8652</v>
      </c>
      <c r="C674" s="40" t="s">
        <v>38</v>
      </c>
      <c r="D674" s="40"/>
      <c r="E674" s="56" t="s">
        <v>179</v>
      </c>
      <c r="F674" s="56" t="s">
        <v>179</v>
      </c>
      <c r="G674" s="29" t="s">
        <v>1643</v>
      </c>
      <c r="H674" s="124" t="s">
        <v>9154</v>
      </c>
      <c r="I674" s="124" t="s">
        <v>9121</v>
      </c>
      <c r="J674" s="29">
        <f t="shared" si="39"/>
        <v>1</v>
      </c>
      <c r="K674" s="42">
        <v>667</v>
      </c>
      <c r="L674" s="152" t="s">
        <v>1644</v>
      </c>
      <c r="M674" s="44" t="s">
        <v>417</v>
      </c>
      <c r="N674" s="44" t="s">
        <v>418</v>
      </c>
      <c r="O674" s="101" t="str">
        <f t="shared" si="40"/>
        <v>PE-M1-3C120-09</v>
      </c>
      <c r="P674" s="45">
        <v>1300</v>
      </c>
      <c r="Q674" s="44">
        <v>10000</v>
      </c>
      <c r="R674" s="44" t="s">
        <v>49</v>
      </c>
      <c r="S674" s="101">
        <v>340</v>
      </c>
      <c r="T674" s="46" t="s">
        <v>5432</v>
      </c>
      <c r="U674" s="46" t="s">
        <v>5288</v>
      </c>
      <c r="V674" s="46" t="s">
        <v>344</v>
      </c>
      <c r="W674" s="46" t="s">
        <v>335</v>
      </c>
      <c r="X674" s="47" t="s">
        <v>51</v>
      </c>
      <c r="Y674" s="46" t="s">
        <v>5447</v>
      </c>
      <c r="Z674" s="46" t="s">
        <v>9590</v>
      </c>
      <c r="AA674" s="46" t="s">
        <v>392</v>
      </c>
      <c r="AB674" s="47" t="s">
        <v>3941</v>
      </c>
      <c r="AC674" s="48" t="s">
        <v>5448</v>
      </c>
      <c r="AD674" s="30"/>
      <c r="AE674" s="197"/>
      <c r="AF674" s="47"/>
      <c r="AR674" s="241">
        <v>2</v>
      </c>
      <c r="AS674" s="241" t="s">
        <v>9587</v>
      </c>
    </row>
    <row r="675" spans="1:45" s="29" customFormat="1" ht="69.95" hidden="1" customHeight="1">
      <c r="A675" s="29" t="s">
        <v>5288</v>
      </c>
      <c r="B675" s="29" t="s">
        <v>3769</v>
      </c>
      <c r="C675" s="40" t="s">
        <v>36</v>
      </c>
      <c r="D675" s="40"/>
      <c r="E675" s="57" t="s">
        <v>84</v>
      </c>
      <c r="F675" s="57" t="s">
        <v>84</v>
      </c>
      <c r="G675" s="29" t="s">
        <v>1645</v>
      </c>
      <c r="H675" s="124" t="s">
        <v>9154</v>
      </c>
      <c r="I675" s="124" t="s">
        <v>9121</v>
      </c>
      <c r="J675" s="29">
        <f t="shared" si="39"/>
        <v>1</v>
      </c>
      <c r="K675" s="42">
        <v>668</v>
      </c>
      <c r="L675" s="152" t="s">
        <v>1646</v>
      </c>
      <c r="M675" s="44" t="s">
        <v>405</v>
      </c>
      <c r="N675" s="44" t="s">
        <v>426</v>
      </c>
      <c r="O675" s="101" t="str">
        <f t="shared" si="40"/>
        <v>PE-L1-3C4-11</v>
      </c>
      <c r="P675" s="45">
        <v>0.5</v>
      </c>
      <c r="Q675" s="44">
        <v>230</v>
      </c>
      <c r="R675" s="44" t="s">
        <v>49</v>
      </c>
      <c r="S675" s="101">
        <v>350</v>
      </c>
      <c r="T675" s="46" t="s">
        <v>5432</v>
      </c>
      <c r="U675" s="46" t="s">
        <v>5288</v>
      </c>
      <c r="V675" s="46" t="s">
        <v>344</v>
      </c>
      <c r="W675" s="46" t="s">
        <v>335</v>
      </c>
      <c r="X675" s="172" t="s">
        <v>9167</v>
      </c>
      <c r="Y675" s="46" t="s">
        <v>5447</v>
      </c>
      <c r="Z675" s="46" t="s">
        <v>5436</v>
      </c>
      <c r="AA675" s="46" t="s">
        <v>392</v>
      </c>
      <c r="AB675" s="172" t="s">
        <v>9167</v>
      </c>
      <c r="AC675" s="48" t="s">
        <v>5449</v>
      </c>
      <c r="AD675" s="30"/>
      <c r="AE675" s="197"/>
      <c r="AF675" s="47"/>
    </row>
    <row r="676" spans="1:45" s="29" customFormat="1" ht="69.95" hidden="1" customHeight="1">
      <c r="A676" s="29" t="s">
        <v>5450</v>
      </c>
      <c r="B676" s="29" t="s">
        <v>3769</v>
      </c>
      <c r="C676" s="40" t="s">
        <v>32</v>
      </c>
      <c r="D676" s="40"/>
      <c r="E676" s="57" t="s">
        <v>84</v>
      </c>
      <c r="F676" s="57" t="s">
        <v>84</v>
      </c>
      <c r="G676" s="29" t="s">
        <v>1647</v>
      </c>
      <c r="H676" s="124" t="s">
        <v>9154</v>
      </c>
      <c r="I676" s="124" t="s">
        <v>9121</v>
      </c>
      <c r="J676" s="29">
        <f t="shared" si="39"/>
        <v>1</v>
      </c>
      <c r="K676" s="42">
        <v>669</v>
      </c>
      <c r="L676" s="152" t="s">
        <v>1648</v>
      </c>
      <c r="M676" s="44" t="s">
        <v>405</v>
      </c>
      <c r="N676" s="44" t="s">
        <v>426</v>
      </c>
      <c r="O676" s="101" t="str">
        <f t="shared" si="40"/>
        <v>PE-L1-3C4-11</v>
      </c>
      <c r="P676" s="45">
        <v>0.05</v>
      </c>
      <c r="Q676" s="44">
        <v>230</v>
      </c>
      <c r="R676" s="44" t="s">
        <v>49</v>
      </c>
      <c r="S676" s="101">
        <v>360</v>
      </c>
      <c r="T676" s="46" t="s">
        <v>5432</v>
      </c>
      <c r="U676" s="46" t="s">
        <v>5450</v>
      </c>
      <c r="V676" s="46" t="s">
        <v>5451</v>
      </c>
      <c r="W676" s="46" t="s">
        <v>335</v>
      </c>
      <c r="X676" s="172" t="s">
        <v>9167</v>
      </c>
      <c r="Y676" s="46" t="s">
        <v>5447</v>
      </c>
      <c r="Z676" s="46" t="s">
        <v>5438</v>
      </c>
      <c r="AA676" s="46" t="s">
        <v>392</v>
      </c>
      <c r="AB676" s="172" t="s">
        <v>9167</v>
      </c>
      <c r="AC676" s="48" t="s">
        <v>5452</v>
      </c>
      <c r="AD676" s="30"/>
      <c r="AE676" s="197"/>
      <c r="AF676" s="47"/>
    </row>
    <row r="677" spans="1:45" s="29" customFormat="1" ht="69.95" hidden="1" customHeight="1">
      <c r="A677" s="29" t="s">
        <v>5280</v>
      </c>
      <c r="B677" s="29" t="s">
        <v>8652</v>
      </c>
      <c r="C677" s="40" t="s">
        <v>40</v>
      </c>
      <c r="D677" s="174"/>
      <c r="E677" s="56" t="s">
        <v>180</v>
      </c>
      <c r="F677" s="56" t="s">
        <v>180</v>
      </c>
      <c r="G677" s="169" t="s">
        <v>1649</v>
      </c>
      <c r="H677" s="124" t="s">
        <v>9154</v>
      </c>
      <c r="I677" s="124" t="s">
        <v>9121</v>
      </c>
      <c r="J677" s="29">
        <f t="shared" si="39"/>
        <v>1</v>
      </c>
      <c r="K677" s="183">
        <v>670</v>
      </c>
      <c r="L677" s="152" t="s">
        <v>1650</v>
      </c>
      <c r="M677" s="44" t="s">
        <v>417</v>
      </c>
      <c r="N677" s="44" t="s">
        <v>418</v>
      </c>
      <c r="O677" s="101" t="str">
        <f t="shared" si="40"/>
        <v>PE-M1-3C120-10</v>
      </c>
      <c r="P677" s="45">
        <v>1300</v>
      </c>
      <c r="Q677" s="44">
        <v>10000</v>
      </c>
      <c r="R677" s="44" t="s">
        <v>49</v>
      </c>
      <c r="S677" s="101">
        <v>330</v>
      </c>
      <c r="T677" s="46" t="s">
        <v>5432</v>
      </c>
      <c r="U677" s="46" t="s">
        <v>5280</v>
      </c>
      <c r="V677" s="46" t="s">
        <v>338</v>
      </c>
      <c r="W677" s="46" t="s">
        <v>335</v>
      </c>
      <c r="X677" s="47" t="s">
        <v>51</v>
      </c>
      <c r="Y677" s="46" t="s">
        <v>5453</v>
      </c>
      <c r="Z677" s="46" t="s">
        <v>5441</v>
      </c>
      <c r="AA677" s="46" t="s">
        <v>392</v>
      </c>
      <c r="AB677" s="47" t="s">
        <v>3941</v>
      </c>
      <c r="AC677" s="48" t="s">
        <v>5454</v>
      </c>
      <c r="AD677" s="30"/>
      <c r="AE677" s="197"/>
      <c r="AF677" s="47"/>
      <c r="AR677" s="241">
        <v>2</v>
      </c>
      <c r="AS677" s="241" t="s">
        <v>9587</v>
      </c>
    </row>
    <row r="678" spans="1:45" s="29" customFormat="1" ht="69.95" hidden="1" customHeight="1">
      <c r="A678" s="29" t="s">
        <v>5280</v>
      </c>
      <c r="B678" s="29" t="s">
        <v>3769</v>
      </c>
      <c r="C678" s="40" t="s">
        <v>40</v>
      </c>
      <c r="D678" s="174"/>
      <c r="E678" s="57" t="s">
        <v>84</v>
      </c>
      <c r="F678" s="57" t="s">
        <v>84</v>
      </c>
      <c r="G678" s="29" t="s">
        <v>1651</v>
      </c>
      <c r="H678" s="124" t="s">
        <v>9154</v>
      </c>
      <c r="I678" s="124" t="s">
        <v>9121</v>
      </c>
      <c r="J678" s="29">
        <f t="shared" si="39"/>
        <v>1</v>
      </c>
      <c r="K678" s="183">
        <v>671</v>
      </c>
      <c r="L678" s="152" t="s">
        <v>1652</v>
      </c>
      <c r="M678" s="44" t="s">
        <v>405</v>
      </c>
      <c r="N678" s="44" t="s">
        <v>426</v>
      </c>
      <c r="O678" s="101" t="str">
        <f t="shared" si="40"/>
        <v>PE-L1-3C4-11</v>
      </c>
      <c r="P678" s="45">
        <v>0.5</v>
      </c>
      <c r="Q678" s="44">
        <v>230</v>
      </c>
      <c r="R678" s="44" t="s">
        <v>49</v>
      </c>
      <c r="S678" s="101">
        <v>350</v>
      </c>
      <c r="T678" s="46" t="s">
        <v>5432</v>
      </c>
      <c r="U678" s="46" t="s">
        <v>5280</v>
      </c>
      <c r="V678" s="46" t="s">
        <v>338</v>
      </c>
      <c r="W678" s="46" t="s">
        <v>335</v>
      </c>
      <c r="X678" s="172" t="s">
        <v>9167</v>
      </c>
      <c r="Y678" s="46" t="s">
        <v>5453</v>
      </c>
      <c r="Z678" s="46" t="s">
        <v>5443</v>
      </c>
      <c r="AA678" s="46" t="s">
        <v>392</v>
      </c>
      <c r="AB678" s="172" t="s">
        <v>9167</v>
      </c>
      <c r="AC678" s="48" t="s">
        <v>5455</v>
      </c>
      <c r="AD678" s="30"/>
      <c r="AE678" s="197"/>
      <c r="AF678" s="47"/>
    </row>
    <row r="679" spans="1:45" s="29" customFormat="1" ht="69.95" hidden="1" customHeight="1">
      <c r="A679" s="29" t="s">
        <v>3985</v>
      </c>
      <c r="B679" s="29" t="s">
        <v>3769</v>
      </c>
      <c r="C679" s="40" t="s">
        <v>36</v>
      </c>
      <c r="D679" s="40"/>
      <c r="E679" s="57" t="s">
        <v>84</v>
      </c>
      <c r="F679" s="57" t="s">
        <v>84</v>
      </c>
      <c r="G679" s="29" t="s">
        <v>1653</v>
      </c>
      <c r="H679" s="124" t="s">
        <v>9154</v>
      </c>
      <c r="I679" s="124" t="s">
        <v>9121</v>
      </c>
      <c r="J679" s="29">
        <f t="shared" si="39"/>
        <v>1</v>
      </c>
      <c r="K679" s="42">
        <v>672</v>
      </c>
      <c r="L679" s="152" t="s">
        <v>1654</v>
      </c>
      <c r="M679" s="44" t="s">
        <v>405</v>
      </c>
      <c r="N679" s="44" t="s">
        <v>426</v>
      </c>
      <c r="O679" s="101" t="str">
        <f t="shared" si="40"/>
        <v>PE-L1-3C4-11</v>
      </c>
      <c r="P679" s="45">
        <v>0.05</v>
      </c>
      <c r="Q679" s="44">
        <v>230</v>
      </c>
      <c r="R679" s="44" t="s">
        <v>49</v>
      </c>
      <c r="S679" s="101">
        <v>370</v>
      </c>
      <c r="T679" s="46" t="s">
        <v>5432</v>
      </c>
      <c r="U679" s="46" t="s">
        <v>3985</v>
      </c>
      <c r="V679" s="46" t="s">
        <v>3986</v>
      </c>
      <c r="W679" s="46" t="s">
        <v>335</v>
      </c>
      <c r="X679" s="172" t="s">
        <v>9167</v>
      </c>
      <c r="Y679" s="46" t="s">
        <v>5453</v>
      </c>
      <c r="Z679" s="46" t="s">
        <v>5445</v>
      </c>
      <c r="AA679" s="46" t="s">
        <v>392</v>
      </c>
      <c r="AB679" s="172" t="s">
        <v>9167</v>
      </c>
      <c r="AC679" s="48" t="s">
        <v>5456</v>
      </c>
      <c r="AD679" s="30"/>
      <c r="AE679" s="197"/>
      <c r="AF679" s="47"/>
    </row>
    <row r="680" spans="1:45" s="29" customFormat="1" ht="69.95" hidden="1" customHeight="1">
      <c r="A680" s="29" t="s">
        <v>5303</v>
      </c>
      <c r="B680" s="29" t="s">
        <v>8652</v>
      </c>
      <c r="C680" s="40" t="s">
        <v>38</v>
      </c>
      <c r="D680" s="40"/>
      <c r="E680" s="56" t="s">
        <v>181</v>
      </c>
      <c r="F680" s="56" t="s">
        <v>181</v>
      </c>
      <c r="G680" s="29" t="s">
        <v>1655</v>
      </c>
      <c r="J680" s="29">
        <f t="shared" si="39"/>
        <v>1</v>
      </c>
      <c r="K680" s="42">
        <v>673</v>
      </c>
      <c r="L680" s="43" t="s">
        <v>1656</v>
      </c>
      <c r="M680" s="44" t="s">
        <v>417</v>
      </c>
      <c r="N680" s="44" t="s">
        <v>418</v>
      </c>
      <c r="O680" s="44" t="str">
        <f t="shared" ref="O680:O691" si="41">F680</f>
        <v>PE-M1-3C120-23</v>
      </c>
      <c r="P680" s="45">
        <v>1300</v>
      </c>
      <c r="Q680" s="44">
        <v>10000</v>
      </c>
      <c r="R680" s="44" t="s">
        <v>49</v>
      </c>
      <c r="S680" s="44">
        <v>290</v>
      </c>
      <c r="T680" s="46" t="s">
        <v>5432</v>
      </c>
      <c r="U680" s="46" t="s">
        <v>5303</v>
      </c>
      <c r="V680" s="46" t="s">
        <v>353</v>
      </c>
      <c r="W680" s="46" t="s">
        <v>347</v>
      </c>
      <c r="X680" s="47" t="s">
        <v>51</v>
      </c>
      <c r="Y680" s="46" t="s">
        <v>5457</v>
      </c>
      <c r="Z680" s="46" t="s">
        <v>5434</v>
      </c>
      <c r="AA680" s="46" t="s">
        <v>392</v>
      </c>
      <c r="AB680" s="47" t="s">
        <v>3941</v>
      </c>
      <c r="AC680" s="48" t="s">
        <v>5458</v>
      </c>
      <c r="AD680" s="30"/>
      <c r="AE680" s="197"/>
      <c r="AF680" s="47"/>
      <c r="AR680" s="241">
        <v>2</v>
      </c>
      <c r="AS680" s="241" t="s">
        <v>9587</v>
      </c>
    </row>
    <row r="681" spans="1:45" s="29" customFormat="1" ht="69.95" hidden="1" customHeight="1">
      <c r="A681" s="29" t="s">
        <v>5303</v>
      </c>
      <c r="B681" s="29" t="s">
        <v>3769</v>
      </c>
      <c r="C681" s="40" t="s">
        <v>38</v>
      </c>
      <c r="D681" s="40"/>
      <c r="E681" s="57" t="s">
        <v>8026</v>
      </c>
      <c r="F681" s="57" t="s">
        <v>8026</v>
      </c>
      <c r="G681" s="29" t="s">
        <v>1657</v>
      </c>
      <c r="J681" s="29">
        <f t="shared" si="39"/>
        <v>1</v>
      </c>
      <c r="K681" s="42">
        <v>674</v>
      </c>
      <c r="L681" s="43" t="s">
        <v>1658</v>
      </c>
      <c r="M681" s="44" t="s">
        <v>405</v>
      </c>
      <c r="N681" s="44" t="s">
        <v>426</v>
      </c>
      <c r="O681" s="44" t="str">
        <f t="shared" si="41"/>
        <v>PE-L1-3C4-20</v>
      </c>
      <c r="P681" s="45">
        <v>0.5</v>
      </c>
      <c r="Q681" s="44">
        <v>230</v>
      </c>
      <c r="R681" s="44" t="s">
        <v>49</v>
      </c>
      <c r="S681" s="44">
        <v>300</v>
      </c>
      <c r="T681" s="46" t="s">
        <v>5432</v>
      </c>
      <c r="U681" s="46" t="s">
        <v>5303</v>
      </c>
      <c r="V681" s="46" t="s">
        <v>353</v>
      </c>
      <c r="W681" s="46" t="s">
        <v>347</v>
      </c>
      <c r="X681" s="172" t="s">
        <v>9167</v>
      </c>
      <c r="Y681" s="46" t="s">
        <v>5457</v>
      </c>
      <c r="Z681" s="46" t="s">
        <v>5436</v>
      </c>
      <c r="AA681" s="46" t="s">
        <v>392</v>
      </c>
      <c r="AB681" s="172" t="s">
        <v>9167</v>
      </c>
      <c r="AC681" s="48" t="s">
        <v>5459</v>
      </c>
      <c r="AD681" s="30"/>
      <c r="AE681" s="197"/>
      <c r="AF681" s="47"/>
    </row>
    <row r="682" spans="1:45" s="29" customFormat="1" ht="69.95" hidden="1" customHeight="1">
      <c r="A682" s="29" t="s">
        <v>4020</v>
      </c>
      <c r="B682" s="29" t="s">
        <v>3769</v>
      </c>
      <c r="C682" s="40" t="s">
        <v>36</v>
      </c>
      <c r="D682" s="40"/>
      <c r="E682" s="57" t="s">
        <v>8026</v>
      </c>
      <c r="F682" s="57" t="s">
        <v>8026</v>
      </c>
      <c r="G682" s="29" t="s">
        <v>1659</v>
      </c>
      <c r="J682" s="29">
        <f t="shared" si="39"/>
        <v>1</v>
      </c>
      <c r="K682" s="42">
        <v>675</v>
      </c>
      <c r="L682" s="43" t="s">
        <v>1660</v>
      </c>
      <c r="M682" s="44" t="s">
        <v>405</v>
      </c>
      <c r="N682" s="44" t="s">
        <v>426</v>
      </c>
      <c r="O682" s="44" t="str">
        <f t="shared" si="41"/>
        <v>PE-L1-3C4-20</v>
      </c>
      <c r="P682" s="45">
        <v>0.05</v>
      </c>
      <c r="Q682" s="44">
        <v>230</v>
      </c>
      <c r="R682" s="44" t="s">
        <v>49</v>
      </c>
      <c r="S682" s="44">
        <v>320</v>
      </c>
      <c r="T682" s="46" t="s">
        <v>5432</v>
      </c>
      <c r="U682" s="46" t="s">
        <v>4020</v>
      </c>
      <c r="V682" s="46" t="s">
        <v>4021</v>
      </c>
      <c r="W682" s="46" t="s">
        <v>347</v>
      </c>
      <c r="X682" s="172" t="s">
        <v>9167</v>
      </c>
      <c r="Y682" s="46" t="s">
        <v>5457</v>
      </c>
      <c r="Z682" s="46" t="s">
        <v>5438</v>
      </c>
      <c r="AA682" s="46" t="s">
        <v>392</v>
      </c>
      <c r="AB682" s="172" t="s">
        <v>9167</v>
      </c>
      <c r="AC682" s="48" t="s">
        <v>5460</v>
      </c>
      <c r="AD682" s="30"/>
      <c r="AE682" s="197"/>
      <c r="AF682" s="47"/>
    </row>
    <row r="683" spans="1:45" s="29" customFormat="1" ht="69.95" hidden="1" customHeight="1">
      <c r="A683" s="29" t="s">
        <v>5308</v>
      </c>
      <c r="B683" s="29" t="s">
        <v>8652</v>
      </c>
      <c r="C683" s="40" t="s">
        <v>36</v>
      </c>
      <c r="D683" s="40" t="s">
        <v>9384</v>
      </c>
      <c r="E683" s="56" t="s">
        <v>182</v>
      </c>
      <c r="F683" s="56" t="s">
        <v>182</v>
      </c>
      <c r="G683" s="29" t="s">
        <v>1661</v>
      </c>
      <c r="H683" s="43" t="s">
        <v>1662</v>
      </c>
      <c r="J683" s="29">
        <f t="shared" si="39"/>
        <v>1</v>
      </c>
      <c r="K683" s="42">
        <v>676</v>
      </c>
      <c r="L683" s="128" t="s">
        <v>9455</v>
      </c>
      <c r="M683" s="44" t="s">
        <v>417</v>
      </c>
      <c r="N683" s="44" t="s">
        <v>418</v>
      </c>
      <c r="O683" s="44" t="str">
        <f t="shared" si="41"/>
        <v>PE-M1-3C120-24</v>
      </c>
      <c r="P683" s="45">
        <v>1300</v>
      </c>
      <c r="Q683" s="44">
        <v>10000</v>
      </c>
      <c r="R683" s="44" t="s">
        <v>49</v>
      </c>
      <c r="S683" s="126">
        <v>300</v>
      </c>
      <c r="T683" s="46" t="s">
        <v>5432</v>
      </c>
      <c r="U683" s="122" t="s">
        <v>5303</v>
      </c>
      <c r="V683" s="122" t="s">
        <v>353</v>
      </c>
      <c r="W683" s="46" t="s">
        <v>347</v>
      </c>
      <c r="X683" s="47" t="s">
        <v>51</v>
      </c>
      <c r="Y683" s="46" t="s">
        <v>5461</v>
      </c>
      <c r="Z683" s="46" t="s">
        <v>5441</v>
      </c>
      <c r="AA683" s="46" t="s">
        <v>392</v>
      </c>
      <c r="AB683" s="47" t="s">
        <v>3941</v>
      </c>
      <c r="AC683" s="76" t="s">
        <v>9219</v>
      </c>
      <c r="AD683" s="30"/>
      <c r="AE683" s="197"/>
      <c r="AF683" s="47"/>
      <c r="AR683" s="241">
        <v>2</v>
      </c>
      <c r="AS683" s="241" t="s">
        <v>9587</v>
      </c>
    </row>
    <row r="684" spans="1:45" s="29" customFormat="1" ht="69.95" hidden="1" customHeight="1">
      <c r="A684" s="29" t="s">
        <v>5308</v>
      </c>
      <c r="B684" s="29" t="s">
        <v>3769</v>
      </c>
      <c r="C684" s="40" t="s">
        <v>38</v>
      </c>
      <c r="D684" s="40" t="s">
        <v>9384</v>
      </c>
      <c r="E684" s="57" t="s">
        <v>79</v>
      </c>
      <c r="F684" s="57" t="s">
        <v>79</v>
      </c>
      <c r="G684" s="29" t="s">
        <v>9438</v>
      </c>
      <c r="H684" s="43" t="s">
        <v>1663</v>
      </c>
      <c r="J684" s="29">
        <f t="shared" si="39"/>
        <v>1</v>
      </c>
      <c r="K684" s="42">
        <v>677</v>
      </c>
      <c r="L684" s="128" t="s">
        <v>9220</v>
      </c>
      <c r="M684" s="44" t="s">
        <v>405</v>
      </c>
      <c r="N684" s="44" t="s">
        <v>426</v>
      </c>
      <c r="O684" s="44" t="str">
        <f t="shared" si="41"/>
        <v>PE-L1-3C4-21</v>
      </c>
      <c r="P684" s="45">
        <v>0.5</v>
      </c>
      <c r="Q684" s="44">
        <v>230</v>
      </c>
      <c r="R684" s="44" t="s">
        <v>49</v>
      </c>
      <c r="S684" s="126">
        <v>300</v>
      </c>
      <c r="T684" s="46" t="s">
        <v>5432</v>
      </c>
      <c r="U684" s="122" t="s">
        <v>5303</v>
      </c>
      <c r="V684" s="122" t="s">
        <v>353</v>
      </c>
      <c r="W684" s="46" t="s">
        <v>347</v>
      </c>
      <c r="X684" s="172" t="s">
        <v>9167</v>
      </c>
      <c r="Y684" s="46" t="s">
        <v>5461</v>
      </c>
      <c r="Z684" s="46" t="s">
        <v>5443</v>
      </c>
      <c r="AA684" s="46" t="s">
        <v>392</v>
      </c>
      <c r="AB684" s="172" t="s">
        <v>9167</v>
      </c>
      <c r="AC684" s="76" t="s">
        <v>9221</v>
      </c>
      <c r="AD684" s="30"/>
      <c r="AE684" s="197"/>
      <c r="AF684" s="47"/>
    </row>
    <row r="685" spans="1:45" s="29" customFormat="1" ht="69.95" hidden="1" customHeight="1">
      <c r="A685" s="29" t="s">
        <v>5147</v>
      </c>
      <c r="B685" s="29" t="s">
        <v>3769</v>
      </c>
      <c r="C685" s="40" t="s">
        <v>32</v>
      </c>
      <c r="D685" s="40"/>
      <c r="E685" s="57" t="s">
        <v>79</v>
      </c>
      <c r="F685" s="57" t="s">
        <v>79</v>
      </c>
      <c r="G685" s="29" t="s">
        <v>1664</v>
      </c>
      <c r="J685" s="29">
        <f t="shared" si="39"/>
        <v>1</v>
      </c>
      <c r="K685" s="42">
        <v>678</v>
      </c>
      <c r="L685" s="43" t="s">
        <v>9457</v>
      </c>
      <c r="M685" s="44" t="s">
        <v>405</v>
      </c>
      <c r="N685" s="44" t="s">
        <v>426</v>
      </c>
      <c r="O685" s="44" t="str">
        <f t="shared" si="41"/>
        <v>PE-L1-3C4-21</v>
      </c>
      <c r="P685" s="45">
        <v>0.05</v>
      </c>
      <c r="Q685" s="44">
        <v>230</v>
      </c>
      <c r="R685" s="44" t="s">
        <v>49</v>
      </c>
      <c r="S685" s="126">
        <v>330</v>
      </c>
      <c r="T685" s="46" t="s">
        <v>5432</v>
      </c>
      <c r="U685" s="46" t="s">
        <v>5147</v>
      </c>
      <c r="V685" s="46" t="s">
        <v>5148</v>
      </c>
      <c r="W685" s="46" t="s">
        <v>347</v>
      </c>
      <c r="X685" s="172" t="s">
        <v>9167</v>
      </c>
      <c r="Y685" s="46" t="s">
        <v>5461</v>
      </c>
      <c r="Z685" s="46" t="s">
        <v>5445</v>
      </c>
      <c r="AA685" s="46" t="s">
        <v>392</v>
      </c>
      <c r="AB685" s="172" t="s">
        <v>9167</v>
      </c>
      <c r="AC685" s="48" t="s">
        <v>5462</v>
      </c>
      <c r="AD685" s="203"/>
      <c r="AE685" s="197"/>
      <c r="AF685" s="47"/>
    </row>
    <row r="686" spans="1:45" s="29" customFormat="1" ht="69.95" hidden="1" customHeight="1">
      <c r="A686" s="29" t="s">
        <v>5308</v>
      </c>
      <c r="B686" s="29" t="s">
        <v>8652</v>
      </c>
      <c r="C686" s="40" t="s">
        <v>38</v>
      </c>
      <c r="D686" s="40"/>
      <c r="E686" s="56" t="s">
        <v>181</v>
      </c>
      <c r="F686" s="56" t="s">
        <v>181</v>
      </c>
      <c r="G686" s="29" t="s">
        <v>1665</v>
      </c>
      <c r="J686" s="29">
        <f t="shared" si="39"/>
        <v>1</v>
      </c>
      <c r="K686" s="42">
        <v>679</v>
      </c>
      <c r="L686" s="43" t="s">
        <v>1666</v>
      </c>
      <c r="M686" s="44" t="s">
        <v>417</v>
      </c>
      <c r="N686" s="44" t="s">
        <v>418</v>
      </c>
      <c r="O686" s="44" t="str">
        <f t="shared" si="41"/>
        <v>PE-M1-3C120-23</v>
      </c>
      <c r="P686" s="45">
        <v>1300</v>
      </c>
      <c r="Q686" s="44">
        <v>10000</v>
      </c>
      <c r="R686" s="44" t="s">
        <v>49</v>
      </c>
      <c r="S686" s="44">
        <v>210</v>
      </c>
      <c r="T686" s="46" t="s">
        <v>5432</v>
      </c>
      <c r="U686" s="46" t="s">
        <v>5308</v>
      </c>
      <c r="V686" s="46" t="s">
        <v>360</v>
      </c>
      <c r="W686" s="46" t="s">
        <v>347</v>
      </c>
      <c r="X686" s="47" t="s">
        <v>51</v>
      </c>
      <c r="Y686" s="46" t="s">
        <v>5463</v>
      </c>
      <c r="Z686" s="46" t="s">
        <v>5434</v>
      </c>
      <c r="AA686" s="46" t="s">
        <v>392</v>
      </c>
      <c r="AB686" s="47" t="s">
        <v>3941</v>
      </c>
      <c r="AC686" s="48" t="s">
        <v>5464</v>
      </c>
      <c r="AD686" s="30"/>
      <c r="AE686" s="197"/>
      <c r="AF686" s="47"/>
      <c r="AR686" s="241">
        <v>2</v>
      </c>
      <c r="AS686" s="241" t="s">
        <v>9587</v>
      </c>
    </row>
    <row r="687" spans="1:45" s="29" customFormat="1" ht="69.95" hidden="1" customHeight="1">
      <c r="A687" s="29" t="s">
        <v>5308</v>
      </c>
      <c r="B687" s="29" t="s">
        <v>3769</v>
      </c>
      <c r="C687" s="40" t="s">
        <v>36</v>
      </c>
      <c r="D687" s="40"/>
      <c r="E687" s="57" t="s">
        <v>79</v>
      </c>
      <c r="F687" s="57" t="s">
        <v>79</v>
      </c>
      <c r="G687" s="29" t="s">
        <v>1667</v>
      </c>
      <c r="J687" s="29">
        <f t="shared" si="39"/>
        <v>1</v>
      </c>
      <c r="K687" s="42">
        <v>680</v>
      </c>
      <c r="L687" s="43" t="s">
        <v>1668</v>
      </c>
      <c r="M687" s="44" t="s">
        <v>405</v>
      </c>
      <c r="N687" s="44" t="s">
        <v>426</v>
      </c>
      <c r="O687" s="44" t="str">
        <f t="shared" si="41"/>
        <v>PE-L1-3C4-21</v>
      </c>
      <c r="P687" s="45">
        <v>0.5</v>
      </c>
      <c r="Q687" s="44">
        <v>230</v>
      </c>
      <c r="R687" s="44" t="s">
        <v>49</v>
      </c>
      <c r="S687" s="44">
        <v>190</v>
      </c>
      <c r="T687" s="46" t="s">
        <v>5432</v>
      </c>
      <c r="U687" s="46" t="s">
        <v>5308</v>
      </c>
      <c r="V687" s="46" t="s">
        <v>360</v>
      </c>
      <c r="W687" s="46" t="s">
        <v>347</v>
      </c>
      <c r="X687" s="172" t="s">
        <v>9167</v>
      </c>
      <c r="Y687" s="46" t="s">
        <v>5463</v>
      </c>
      <c r="Z687" s="46" t="s">
        <v>5436</v>
      </c>
      <c r="AA687" s="46" t="s">
        <v>392</v>
      </c>
      <c r="AB687" s="172" t="s">
        <v>9167</v>
      </c>
      <c r="AC687" s="48" t="s">
        <v>5465</v>
      </c>
      <c r="AD687" s="30"/>
      <c r="AE687" s="197"/>
      <c r="AF687" s="47"/>
    </row>
    <row r="688" spans="1:45" s="29" customFormat="1" ht="69.95" hidden="1" customHeight="1">
      <c r="A688" s="29" t="s">
        <v>5466</v>
      </c>
      <c r="B688" s="29" t="s">
        <v>3769</v>
      </c>
      <c r="C688" s="40" t="s">
        <v>32</v>
      </c>
      <c r="D688" s="40"/>
      <c r="E688" s="57" t="s">
        <v>8026</v>
      </c>
      <c r="F688" s="57" t="s">
        <v>8026</v>
      </c>
      <c r="G688" s="29" t="s">
        <v>1669</v>
      </c>
      <c r="J688" s="29">
        <f t="shared" si="39"/>
        <v>1</v>
      </c>
      <c r="K688" s="42">
        <v>681</v>
      </c>
      <c r="L688" s="43" t="s">
        <v>1670</v>
      </c>
      <c r="M688" s="44" t="s">
        <v>405</v>
      </c>
      <c r="N688" s="44" t="s">
        <v>426</v>
      </c>
      <c r="O688" s="44" t="str">
        <f t="shared" si="41"/>
        <v>PE-L1-3C4-20</v>
      </c>
      <c r="P688" s="45">
        <v>0.05</v>
      </c>
      <c r="Q688" s="44">
        <v>230</v>
      </c>
      <c r="R688" s="44" t="s">
        <v>49</v>
      </c>
      <c r="S688" s="44">
        <v>220</v>
      </c>
      <c r="T688" s="46" t="s">
        <v>5432</v>
      </c>
      <c r="U688" s="46" t="s">
        <v>5466</v>
      </c>
      <c r="V688" s="46" t="s">
        <v>5467</v>
      </c>
      <c r="W688" s="46" t="s">
        <v>347</v>
      </c>
      <c r="X688" s="172" t="s">
        <v>9167</v>
      </c>
      <c r="Y688" s="46" t="s">
        <v>5463</v>
      </c>
      <c r="Z688" s="46" t="s">
        <v>5438</v>
      </c>
      <c r="AA688" s="46" t="s">
        <v>392</v>
      </c>
      <c r="AB688" s="172" t="s">
        <v>9167</v>
      </c>
      <c r="AC688" s="48" t="s">
        <v>5468</v>
      </c>
      <c r="AD688" s="30"/>
      <c r="AE688" s="197"/>
      <c r="AF688" s="47"/>
    </row>
    <row r="689" spans="1:45" s="29" customFormat="1" ht="69.95" hidden="1" customHeight="1">
      <c r="A689" s="29" t="s">
        <v>5303</v>
      </c>
      <c r="B689" s="29" t="s">
        <v>8652</v>
      </c>
      <c r="C689" s="40" t="s">
        <v>40</v>
      </c>
      <c r="D689" s="40" t="s">
        <v>9384</v>
      </c>
      <c r="E689" s="56" t="s">
        <v>182</v>
      </c>
      <c r="F689" s="56" t="s">
        <v>182</v>
      </c>
      <c r="G689" s="29" t="s">
        <v>1671</v>
      </c>
      <c r="H689" s="43" t="s">
        <v>1672</v>
      </c>
      <c r="J689" s="29">
        <f t="shared" si="39"/>
        <v>1</v>
      </c>
      <c r="K689" s="42">
        <v>682</v>
      </c>
      <c r="L689" s="128" t="s">
        <v>9222</v>
      </c>
      <c r="M689" s="44" t="s">
        <v>417</v>
      </c>
      <c r="N689" s="44" t="s">
        <v>418</v>
      </c>
      <c r="O689" s="44" t="str">
        <f t="shared" si="41"/>
        <v>PE-M1-3C120-24</v>
      </c>
      <c r="P689" s="45">
        <v>1300</v>
      </c>
      <c r="Q689" s="44">
        <v>10000</v>
      </c>
      <c r="R689" s="44" t="s">
        <v>49</v>
      </c>
      <c r="S689" s="44">
        <v>210</v>
      </c>
      <c r="T689" s="46" t="s">
        <v>5432</v>
      </c>
      <c r="U689" s="122" t="s">
        <v>5308</v>
      </c>
      <c r="V689" s="122" t="s">
        <v>360</v>
      </c>
      <c r="W689" s="46" t="s">
        <v>347</v>
      </c>
      <c r="X689" s="47" t="s">
        <v>51</v>
      </c>
      <c r="Y689" s="46" t="s">
        <v>5469</v>
      </c>
      <c r="Z689" s="46" t="s">
        <v>5441</v>
      </c>
      <c r="AA689" s="46" t="s">
        <v>392</v>
      </c>
      <c r="AB689" s="47" t="s">
        <v>3941</v>
      </c>
      <c r="AC689" s="76" t="s">
        <v>9223</v>
      </c>
      <c r="AD689" s="30"/>
      <c r="AE689" s="197"/>
      <c r="AF689" s="47"/>
      <c r="AR689" s="241">
        <v>2</v>
      </c>
      <c r="AS689" s="241" t="s">
        <v>9587</v>
      </c>
    </row>
    <row r="690" spans="1:45" s="29" customFormat="1" ht="69.95" hidden="1" customHeight="1">
      <c r="A690" s="29" t="s">
        <v>5303</v>
      </c>
      <c r="B690" s="29" t="s">
        <v>3769</v>
      </c>
      <c r="C690" s="40" t="s">
        <v>40</v>
      </c>
      <c r="D690" s="40" t="s">
        <v>9384</v>
      </c>
      <c r="E690" s="57" t="s">
        <v>79</v>
      </c>
      <c r="F690" s="57" t="s">
        <v>79</v>
      </c>
      <c r="G690" s="29" t="s">
        <v>1673</v>
      </c>
      <c r="H690" s="43" t="s">
        <v>1674</v>
      </c>
      <c r="J690" s="29">
        <f t="shared" si="39"/>
        <v>1</v>
      </c>
      <c r="K690" s="42">
        <v>683</v>
      </c>
      <c r="L690" s="128" t="s">
        <v>9224</v>
      </c>
      <c r="M690" s="44" t="s">
        <v>405</v>
      </c>
      <c r="N690" s="44" t="s">
        <v>426</v>
      </c>
      <c r="O690" s="44" t="str">
        <f t="shared" si="41"/>
        <v>PE-L1-3C4-21</v>
      </c>
      <c r="P690" s="45">
        <v>0.5</v>
      </c>
      <c r="Q690" s="44">
        <v>230</v>
      </c>
      <c r="R690" s="44" t="s">
        <v>49</v>
      </c>
      <c r="S690" s="44">
        <v>190</v>
      </c>
      <c r="T690" s="46" t="s">
        <v>5432</v>
      </c>
      <c r="U690" s="122" t="s">
        <v>5308</v>
      </c>
      <c r="V690" s="122" t="s">
        <v>360</v>
      </c>
      <c r="W690" s="46" t="s">
        <v>347</v>
      </c>
      <c r="X690" s="172" t="s">
        <v>9167</v>
      </c>
      <c r="Y690" s="46" t="s">
        <v>5469</v>
      </c>
      <c r="Z690" s="46" t="s">
        <v>5443</v>
      </c>
      <c r="AA690" s="46" t="s">
        <v>392</v>
      </c>
      <c r="AB690" s="172" t="s">
        <v>9167</v>
      </c>
      <c r="AC690" s="76" t="s">
        <v>5470</v>
      </c>
      <c r="AD690" s="30"/>
      <c r="AE690" s="197"/>
      <c r="AF690" s="47"/>
    </row>
    <row r="691" spans="1:45" s="29" customFormat="1" ht="69.95" hidden="1" customHeight="1">
      <c r="A691" s="29" t="s">
        <v>5466</v>
      </c>
      <c r="B691" s="29" t="s">
        <v>3769</v>
      </c>
      <c r="C691" s="40" t="s">
        <v>36</v>
      </c>
      <c r="D691" s="40"/>
      <c r="E691" s="57" t="s">
        <v>8027</v>
      </c>
      <c r="F691" s="57" t="s">
        <v>8027</v>
      </c>
      <c r="G691" s="29" t="s">
        <v>1675</v>
      </c>
      <c r="J691" s="29">
        <f t="shared" si="39"/>
        <v>1</v>
      </c>
      <c r="K691" s="42">
        <v>684</v>
      </c>
      <c r="L691" s="43" t="s">
        <v>1676</v>
      </c>
      <c r="M691" s="44" t="s">
        <v>405</v>
      </c>
      <c r="N691" s="44" t="s">
        <v>426</v>
      </c>
      <c r="O691" s="44" t="str">
        <f t="shared" si="41"/>
        <v>PE-L1-3C4-12</v>
      </c>
      <c r="P691" s="45">
        <v>0.05</v>
      </c>
      <c r="Q691" s="44">
        <v>230</v>
      </c>
      <c r="R691" s="44" t="s">
        <v>49</v>
      </c>
      <c r="S691" s="44">
        <v>220</v>
      </c>
      <c r="T691" s="46" t="s">
        <v>5432</v>
      </c>
      <c r="U691" s="46" t="s">
        <v>5466</v>
      </c>
      <c r="V691" s="46" t="s">
        <v>5467</v>
      </c>
      <c r="W691" s="46" t="s">
        <v>347</v>
      </c>
      <c r="X691" s="172" t="s">
        <v>9167</v>
      </c>
      <c r="Y691" s="46" t="s">
        <v>5469</v>
      </c>
      <c r="Z691" s="46" t="s">
        <v>5445</v>
      </c>
      <c r="AA691" s="46" t="s">
        <v>392</v>
      </c>
      <c r="AB691" s="172" t="s">
        <v>9167</v>
      </c>
      <c r="AC691" s="48" t="s">
        <v>5471</v>
      </c>
      <c r="AD691" s="30"/>
      <c r="AE691" s="197"/>
      <c r="AF691" s="47"/>
    </row>
    <row r="692" spans="1:45" s="29" customFormat="1" ht="69.95" hidden="1" customHeight="1">
      <c r="A692" s="29" t="s">
        <v>5473</v>
      </c>
      <c r="B692" s="29" t="s">
        <v>8652</v>
      </c>
      <c r="C692" s="40" t="s">
        <v>32</v>
      </c>
      <c r="D692" s="40"/>
      <c r="E692" s="57" t="s">
        <v>58</v>
      </c>
      <c r="F692" s="57" t="s">
        <v>58</v>
      </c>
      <c r="G692" s="29" t="s">
        <v>1677</v>
      </c>
      <c r="I692" s="124" t="s">
        <v>9121</v>
      </c>
      <c r="J692" s="29">
        <f t="shared" si="39"/>
        <v>1</v>
      </c>
      <c r="K692" s="42">
        <v>685</v>
      </c>
      <c r="L692" s="152" t="s">
        <v>1678</v>
      </c>
      <c r="M692" s="44" t="s">
        <v>417</v>
      </c>
      <c r="N692" s="44" t="s">
        <v>418</v>
      </c>
      <c r="O692" s="101" t="str">
        <f t="shared" ref="O692:O704" si="42">F692</f>
        <v>PE-M1-3C120-03</v>
      </c>
      <c r="P692" s="45">
        <v>2000</v>
      </c>
      <c r="Q692" s="44">
        <v>10000</v>
      </c>
      <c r="R692" s="44" t="s">
        <v>49</v>
      </c>
      <c r="S692" s="101">
        <v>160</v>
      </c>
      <c r="T692" s="46" t="s">
        <v>5472</v>
      </c>
      <c r="U692" s="46" t="s">
        <v>5473</v>
      </c>
      <c r="V692" s="46" t="s">
        <v>5474</v>
      </c>
      <c r="W692" s="46" t="s">
        <v>335</v>
      </c>
      <c r="X692" s="47" t="s">
        <v>51</v>
      </c>
      <c r="Y692" s="46" t="s">
        <v>5475</v>
      </c>
      <c r="Z692" s="46" t="s">
        <v>5476</v>
      </c>
      <c r="AA692" s="46" t="s">
        <v>5477</v>
      </c>
      <c r="AB692" s="47" t="s">
        <v>3941</v>
      </c>
      <c r="AC692" s="48" t="s">
        <v>5478</v>
      </c>
      <c r="AD692" s="30"/>
      <c r="AE692" s="197"/>
      <c r="AF692" s="47"/>
      <c r="AR692" s="241">
        <v>2</v>
      </c>
      <c r="AS692" s="241" t="s">
        <v>9587</v>
      </c>
    </row>
    <row r="693" spans="1:45" s="29" customFormat="1" ht="69.95" hidden="1" customHeight="1">
      <c r="A693" s="29" t="s">
        <v>5473</v>
      </c>
      <c r="B693" s="29" t="s">
        <v>8652</v>
      </c>
      <c r="C693" s="40" t="s">
        <v>36</v>
      </c>
      <c r="D693" s="40"/>
      <c r="E693" s="57" t="s">
        <v>177</v>
      </c>
      <c r="F693" s="57" t="s">
        <v>177</v>
      </c>
      <c r="G693" s="29" t="s">
        <v>1679</v>
      </c>
      <c r="I693" s="124" t="s">
        <v>9121</v>
      </c>
      <c r="J693" s="29">
        <f t="shared" si="39"/>
        <v>1</v>
      </c>
      <c r="K693" s="42">
        <v>686</v>
      </c>
      <c r="L693" s="152" t="s">
        <v>1680</v>
      </c>
      <c r="M693" s="44" t="s">
        <v>417</v>
      </c>
      <c r="N693" s="44" t="s">
        <v>418</v>
      </c>
      <c r="O693" s="101" t="str">
        <f t="shared" si="42"/>
        <v>PE-M1-3C120-07</v>
      </c>
      <c r="P693" s="45">
        <v>2000</v>
      </c>
      <c r="Q693" s="44">
        <v>10000</v>
      </c>
      <c r="R693" s="44" t="s">
        <v>49</v>
      </c>
      <c r="S693" s="101">
        <v>180</v>
      </c>
      <c r="T693" s="46" t="s">
        <v>5472</v>
      </c>
      <c r="U693" s="46" t="s">
        <v>5473</v>
      </c>
      <c r="V693" s="46" t="s">
        <v>5474</v>
      </c>
      <c r="W693" s="46" t="s">
        <v>335</v>
      </c>
      <c r="X693" s="47" t="s">
        <v>51</v>
      </c>
      <c r="Y693" s="46" t="s">
        <v>5479</v>
      </c>
      <c r="Z693" s="46" t="s">
        <v>5480</v>
      </c>
      <c r="AA693" s="46" t="s">
        <v>5477</v>
      </c>
      <c r="AB693" s="47" t="s">
        <v>3941</v>
      </c>
      <c r="AC693" s="48" t="s">
        <v>5481</v>
      </c>
      <c r="AD693" s="30"/>
      <c r="AE693" s="197"/>
      <c r="AF693" s="47"/>
      <c r="AR693" s="241">
        <v>2</v>
      </c>
      <c r="AS693" s="241" t="s">
        <v>9587</v>
      </c>
    </row>
    <row r="694" spans="1:45" s="29" customFormat="1" ht="69.95" hidden="1" customHeight="1">
      <c r="A694" s="29" t="s">
        <v>5482</v>
      </c>
      <c r="B694" s="29" t="s">
        <v>8652</v>
      </c>
      <c r="C694" s="40" t="s">
        <v>32</v>
      </c>
      <c r="D694" s="40"/>
      <c r="E694" s="57" t="s">
        <v>178</v>
      </c>
      <c r="F694" s="57" t="s">
        <v>178</v>
      </c>
      <c r="G694" s="29" t="s">
        <v>1681</v>
      </c>
      <c r="I694" s="124" t="s">
        <v>9121</v>
      </c>
      <c r="J694" s="29">
        <f t="shared" si="39"/>
        <v>1</v>
      </c>
      <c r="K694" s="42">
        <v>687</v>
      </c>
      <c r="L694" s="152" t="s">
        <v>1682</v>
      </c>
      <c r="M694" s="44" t="s">
        <v>417</v>
      </c>
      <c r="N694" s="44" t="s">
        <v>418</v>
      </c>
      <c r="O694" s="101" t="str">
        <f t="shared" si="42"/>
        <v>PE-M1-3C120-08</v>
      </c>
      <c r="P694" s="45">
        <v>2000</v>
      </c>
      <c r="Q694" s="44">
        <v>10000</v>
      </c>
      <c r="R694" s="44" t="s">
        <v>49</v>
      </c>
      <c r="S694" s="101">
        <v>180</v>
      </c>
      <c r="T694" s="46" t="s">
        <v>5472</v>
      </c>
      <c r="U694" s="46" t="s">
        <v>5482</v>
      </c>
      <c r="V694" s="46" t="s">
        <v>5483</v>
      </c>
      <c r="W694" s="46" t="s">
        <v>335</v>
      </c>
      <c r="X694" s="47" t="s">
        <v>51</v>
      </c>
      <c r="Y694" s="46" t="s">
        <v>5484</v>
      </c>
      <c r="Z694" s="46" t="s">
        <v>5485</v>
      </c>
      <c r="AA694" s="46" t="s">
        <v>5477</v>
      </c>
      <c r="AB694" s="47" t="s">
        <v>3941</v>
      </c>
      <c r="AC694" s="48" t="s">
        <v>5486</v>
      </c>
      <c r="AD694" s="30"/>
      <c r="AE694" s="197"/>
      <c r="AF694" s="47"/>
      <c r="AR694" s="241">
        <v>2</v>
      </c>
      <c r="AS694" s="241" t="s">
        <v>9587</v>
      </c>
    </row>
    <row r="695" spans="1:45" s="29" customFormat="1" ht="69.95" hidden="1" customHeight="1">
      <c r="A695" s="29" t="s">
        <v>5482</v>
      </c>
      <c r="B695" s="29" t="s">
        <v>8652</v>
      </c>
      <c r="C695" s="40" t="s">
        <v>36</v>
      </c>
      <c r="D695" s="40"/>
      <c r="E695" s="57" t="s">
        <v>183</v>
      </c>
      <c r="F695" s="57" t="s">
        <v>183</v>
      </c>
      <c r="G695" s="29" t="s">
        <v>1683</v>
      </c>
      <c r="I695" s="124" t="s">
        <v>9121</v>
      </c>
      <c r="J695" s="29">
        <f t="shared" si="39"/>
        <v>1</v>
      </c>
      <c r="K695" s="42">
        <v>688</v>
      </c>
      <c r="L695" s="152" t="s">
        <v>1684</v>
      </c>
      <c r="M695" s="44" t="s">
        <v>417</v>
      </c>
      <c r="N695" s="44" t="s">
        <v>418</v>
      </c>
      <c r="O695" s="101" t="str">
        <f t="shared" si="42"/>
        <v>PE-M1-3C120-13</v>
      </c>
      <c r="P695" s="45">
        <v>2000</v>
      </c>
      <c r="Q695" s="44">
        <v>10000</v>
      </c>
      <c r="R695" s="44" t="s">
        <v>49</v>
      </c>
      <c r="S695" s="101">
        <v>200</v>
      </c>
      <c r="T695" s="46" t="s">
        <v>5472</v>
      </c>
      <c r="U695" s="46" t="s">
        <v>5482</v>
      </c>
      <c r="V695" s="46" t="s">
        <v>5483</v>
      </c>
      <c r="W695" s="46" t="s">
        <v>335</v>
      </c>
      <c r="X695" s="47" t="s">
        <v>51</v>
      </c>
      <c r="Y695" s="46" t="s">
        <v>5487</v>
      </c>
      <c r="Z695" s="46" t="s">
        <v>5488</v>
      </c>
      <c r="AA695" s="46" t="s">
        <v>5477</v>
      </c>
      <c r="AB695" s="47" t="s">
        <v>3941</v>
      </c>
      <c r="AC695" s="48" t="s">
        <v>5489</v>
      </c>
      <c r="AD695" s="30"/>
      <c r="AE695" s="197"/>
      <c r="AF695" s="47"/>
      <c r="AR695" s="241">
        <v>2</v>
      </c>
      <c r="AS695" s="241" t="s">
        <v>9587</v>
      </c>
    </row>
    <row r="696" spans="1:45" s="29" customFormat="1" ht="69.95" hidden="1" customHeight="1">
      <c r="A696" s="29" t="s">
        <v>5490</v>
      </c>
      <c r="B696" s="29" t="s">
        <v>3769</v>
      </c>
      <c r="C696" s="40" t="s">
        <v>32</v>
      </c>
      <c r="D696" s="173" t="s">
        <v>9131</v>
      </c>
      <c r="E696" s="80" t="s">
        <v>8038</v>
      </c>
      <c r="F696" s="137" t="s">
        <v>8946</v>
      </c>
      <c r="G696" s="29" t="s">
        <v>1685</v>
      </c>
      <c r="I696" s="124" t="s">
        <v>9121</v>
      </c>
      <c r="J696" s="29">
        <f t="shared" si="39"/>
        <v>1</v>
      </c>
      <c r="K696" s="127">
        <v>689</v>
      </c>
      <c r="L696" s="43" t="s">
        <v>9456</v>
      </c>
      <c r="M696" s="44" t="s">
        <v>405</v>
      </c>
      <c r="N696" s="44" t="s">
        <v>388</v>
      </c>
      <c r="O696" s="121" t="str">
        <f t="shared" si="42"/>
        <v>PE-L1-5C150/95-02</v>
      </c>
      <c r="P696" s="45">
        <v>106.8</v>
      </c>
      <c r="Q696" s="44">
        <v>400</v>
      </c>
      <c r="R696" s="44" t="s">
        <v>412</v>
      </c>
      <c r="S696" s="44">
        <v>160</v>
      </c>
      <c r="T696" s="46" t="s">
        <v>5472</v>
      </c>
      <c r="U696" s="46" t="s">
        <v>5490</v>
      </c>
      <c r="V696" s="46" t="s">
        <v>5491</v>
      </c>
      <c r="W696" s="46" t="s">
        <v>335</v>
      </c>
      <c r="X696" s="47" t="s">
        <v>9310</v>
      </c>
      <c r="Y696" s="46" t="s">
        <v>5492</v>
      </c>
      <c r="Z696" s="46" t="s">
        <v>5493</v>
      </c>
      <c r="AA696" s="46" t="s">
        <v>5477</v>
      </c>
      <c r="AB696" s="47" t="s">
        <v>9310</v>
      </c>
      <c r="AC696" s="48" t="s">
        <v>5494</v>
      </c>
      <c r="AD696" s="30"/>
      <c r="AE696" s="197"/>
      <c r="AF696" s="47"/>
    </row>
    <row r="697" spans="1:45" s="29" customFormat="1" ht="69.95" hidden="1" customHeight="1">
      <c r="A697" s="29" t="s">
        <v>5490</v>
      </c>
      <c r="B697" s="29" t="s">
        <v>3769</v>
      </c>
      <c r="C697" s="40" t="s">
        <v>36</v>
      </c>
      <c r="D697" s="173" t="s">
        <v>9131</v>
      </c>
      <c r="E697" s="80" t="s">
        <v>8038</v>
      </c>
      <c r="F697" s="137" t="s">
        <v>8946</v>
      </c>
      <c r="G697" s="29" t="s">
        <v>1686</v>
      </c>
      <c r="I697" s="124" t="s">
        <v>9121</v>
      </c>
      <c r="J697" s="29">
        <f t="shared" si="39"/>
        <v>1</v>
      </c>
      <c r="K697" s="127">
        <v>690</v>
      </c>
      <c r="L697" s="43" t="s">
        <v>1687</v>
      </c>
      <c r="M697" s="44" t="s">
        <v>405</v>
      </c>
      <c r="N697" s="44" t="s">
        <v>388</v>
      </c>
      <c r="O697" s="121" t="str">
        <f t="shared" si="42"/>
        <v>PE-L1-5C150/95-02</v>
      </c>
      <c r="P697" s="45">
        <v>106.8</v>
      </c>
      <c r="Q697" s="44">
        <v>400</v>
      </c>
      <c r="R697" s="44" t="s">
        <v>412</v>
      </c>
      <c r="S697" s="44">
        <v>180</v>
      </c>
      <c r="T697" s="46" t="s">
        <v>5472</v>
      </c>
      <c r="U697" s="46" t="s">
        <v>5490</v>
      </c>
      <c r="V697" s="46" t="s">
        <v>5491</v>
      </c>
      <c r="W697" s="46" t="s">
        <v>335</v>
      </c>
      <c r="X697" s="47" t="s">
        <v>9310</v>
      </c>
      <c r="Y697" s="46" t="s">
        <v>5495</v>
      </c>
      <c r="Z697" s="46" t="s">
        <v>5496</v>
      </c>
      <c r="AA697" s="46" t="s">
        <v>5477</v>
      </c>
      <c r="AB697" s="47" t="s">
        <v>9310</v>
      </c>
      <c r="AC697" s="48" t="s">
        <v>5497</v>
      </c>
      <c r="AD697" s="30"/>
      <c r="AE697" s="197"/>
      <c r="AF697" s="47"/>
    </row>
    <row r="698" spans="1:45" s="29" customFormat="1" ht="69.95" hidden="1" customHeight="1">
      <c r="A698" s="29" t="s">
        <v>5498</v>
      </c>
      <c r="B698" s="29" t="s">
        <v>3769</v>
      </c>
      <c r="C698" s="40" t="s">
        <v>32</v>
      </c>
      <c r="D698" s="173" t="s">
        <v>9131</v>
      </c>
      <c r="E698" s="80" t="s">
        <v>8713</v>
      </c>
      <c r="F698" s="137" t="s">
        <v>8038</v>
      </c>
      <c r="G698" s="29" t="s">
        <v>1688</v>
      </c>
      <c r="I698" s="124" t="s">
        <v>9121</v>
      </c>
      <c r="J698" s="29">
        <f t="shared" si="39"/>
        <v>1</v>
      </c>
      <c r="K698" s="127">
        <v>691</v>
      </c>
      <c r="L698" s="43" t="s">
        <v>1689</v>
      </c>
      <c r="M698" s="44" t="s">
        <v>405</v>
      </c>
      <c r="N698" s="44" t="s">
        <v>388</v>
      </c>
      <c r="O698" s="121" t="str">
        <f t="shared" si="42"/>
        <v>PE-L1-5C150/95-03</v>
      </c>
      <c r="P698" s="45">
        <v>106.8</v>
      </c>
      <c r="Q698" s="44">
        <v>400</v>
      </c>
      <c r="R698" s="44" t="s">
        <v>412</v>
      </c>
      <c r="S698" s="44">
        <v>190</v>
      </c>
      <c r="T698" s="46" t="s">
        <v>5472</v>
      </c>
      <c r="U698" s="46" t="s">
        <v>5498</v>
      </c>
      <c r="V698" s="46" t="s">
        <v>5499</v>
      </c>
      <c r="W698" s="46" t="s">
        <v>335</v>
      </c>
      <c r="X698" s="47" t="s">
        <v>9310</v>
      </c>
      <c r="Y698" s="46" t="s">
        <v>5500</v>
      </c>
      <c r="Z698" s="46" t="s">
        <v>5501</v>
      </c>
      <c r="AA698" s="46" t="s">
        <v>5477</v>
      </c>
      <c r="AB698" s="47" t="s">
        <v>9310</v>
      </c>
      <c r="AC698" s="48" t="s">
        <v>5502</v>
      </c>
      <c r="AD698" s="30"/>
      <c r="AE698" s="197"/>
      <c r="AF698" s="47"/>
    </row>
    <row r="699" spans="1:45" s="29" customFormat="1" ht="69.95" hidden="1" customHeight="1">
      <c r="A699" s="29" t="s">
        <v>5498</v>
      </c>
      <c r="B699" s="29" t="s">
        <v>3769</v>
      </c>
      <c r="C699" s="40" t="s">
        <v>36</v>
      </c>
      <c r="D699" s="173" t="s">
        <v>9131</v>
      </c>
      <c r="E699" s="80" t="s">
        <v>8713</v>
      </c>
      <c r="F699" s="137" t="s">
        <v>8038</v>
      </c>
      <c r="G699" s="29" t="s">
        <v>1690</v>
      </c>
      <c r="I699" s="124" t="s">
        <v>9121</v>
      </c>
      <c r="J699" s="29">
        <f t="shared" si="39"/>
        <v>1</v>
      </c>
      <c r="K699" s="127">
        <v>692</v>
      </c>
      <c r="L699" s="43" t="s">
        <v>1691</v>
      </c>
      <c r="M699" s="44" t="s">
        <v>405</v>
      </c>
      <c r="N699" s="44" t="s">
        <v>388</v>
      </c>
      <c r="O699" s="121" t="str">
        <f t="shared" si="42"/>
        <v>PE-L1-5C150/95-03</v>
      </c>
      <c r="P699" s="45">
        <v>106.8</v>
      </c>
      <c r="Q699" s="44">
        <v>400</v>
      </c>
      <c r="R699" s="44" t="s">
        <v>412</v>
      </c>
      <c r="S699" s="44">
        <v>200</v>
      </c>
      <c r="T699" s="46" t="s">
        <v>5472</v>
      </c>
      <c r="U699" s="46" t="s">
        <v>5498</v>
      </c>
      <c r="V699" s="46" t="s">
        <v>5499</v>
      </c>
      <c r="W699" s="46" t="s">
        <v>335</v>
      </c>
      <c r="X699" s="47" t="s">
        <v>9310</v>
      </c>
      <c r="Y699" s="46" t="s">
        <v>5503</v>
      </c>
      <c r="Z699" s="46" t="s">
        <v>5504</v>
      </c>
      <c r="AA699" s="46" t="s">
        <v>5477</v>
      </c>
      <c r="AB699" s="47" t="s">
        <v>9310</v>
      </c>
      <c r="AC699" s="48" t="s">
        <v>5505</v>
      </c>
      <c r="AD699" s="30"/>
      <c r="AE699" s="197"/>
      <c r="AF699" s="47"/>
    </row>
    <row r="700" spans="1:45" s="29" customFormat="1" ht="69.95" hidden="1" customHeight="1">
      <c r="A700" s="29" t="s">
        <v>5407</v>
      </c>
      <c r="B700" s="29" t="s">
        <v>3769</v>
      </c>
      <c r="C700" s="40" t="s">
        <v>36</v>
      </c>
      <c r="D700" s="40"/>
      <c r="E700" s="57" t="s">
        <v>59</v>
      </c>
      <c r="F700" s="57" t="s">
        <v>9508</v>
      </c>
      <c r="G700" s="29" t="s">
        <v>1692</v>
      </c>
      <c r="I700" s="124" t="s">
        <v>9121</v>
      </c>
      <c r="J700" s="29">
        <f t="shared" si="39"/>
        <v>1</v>
      </c>
      <c r="K700" s="42">
        <v>693</v>
      </c>
      <c r="L700" s="152" t="s">
        <v>9430</v>
      </c>
      <c r="M700" s="44" t="s">
        <v>405</v>
      </c>
      <c r="N700" s="44" t="s">
        <v>423</v>
      </c>
      <c r="O700" s="101" t="str">
        <f t="shared" si="42"/>
        <v>PE-L1-3C25/16-01</v>
      </c>
      <c r="P700" s="45">
        <v>3</v>
      </c>
      <c r="Q700" s="44">
        <v>230</v>
      </c>
      <c r="R700" s="44" t="s">
        <v>428</v>
      </c>
      <c r="S700" s="101">
        <v>270</v>
      </c>
      <c r="T700" s="46" t="s">
        <v>5472</v>
      </c>
      <c r="U700" s="46" t="s">
        <v>5407</v>
      </c>
      <c r="V700" s="46" t="s">
        <v>5408</v>
      </c>
      <c r="W700" s="46" t="s">
        <v>335</v>
      </c>
      <c r="X700" s="172" t="s">
        <v>9167</v>
      </c>
      <c r="Y700" s="46" t="s">
        <v>5506</v>
      </c>
      <c r="Z700" s="46" t="s">
        <v>5507</v>
      </c>
      <c r="AA700" s="46" t="s">
        <v>5477</v>
      </c>
      <c r="AB700" s="172" t="s">
        <v>9167</v>
      </c>
      <c r="AC700" s="48" t="s">
        <v>5508</v>
      </c>
      <c r="AD700" s="30"/>
      <c r="AE700" s="197"/>
      <c r="AF700" s="47"/>
    </row>
    <row r="701" spans="1:45" s="29" customFormat="1" ht="69.95" hidden="1" customHeight="1">
      <c r="A701" s="29" t="s">
        <v>5411</v>
      </c>
      <c r="B701" s="29" t="s">
        <v>3769</v>
      </c>
      <c r="C701" s="40" t="s">
        <v>38</v>
      </c>
      <c r="D701" s="40"/>
      <c r="E701" s="57" t="s">
        <v>59</v>
      </c>
      <c r="F701" s="57" t="s">
        <v>59</v>
      </c>
      <c r="G701" s="29" t="s">
        <v>1693</v>
      </c>
      <c r="I701" s="124" t="s">
        <v>9121</v>
      </c>
      <c r="J701" s="29">
        <f t="shared" si="39"/>
        <v>1</v>
      </c>
      <c r="K701" s="42">
        <v>694</v>
      </c>
      <c r="L701" s="152" t="s">
        <v>1694</v>
      </c>
      <c r="M701" s="44" t="s">
        <v>405</v>
      </c>
      <c r="N701" s="44" t="s">
        <v>423</v>
      </c>
      <c r="O701" s="101" t="str">
        <f t="shared" si="42"/>
        <v>PE-L1-3C25/16-01</v>
      </c>
      <c r="P701" s="45">
        <v>3</v>
      </c>
      <c r="Q701" s="44">
        <v>230</v>
      </c>
      <c r="R701" s="44" t="s">
        <v>428</v>
      </c>
      <c r="S701" s="101">
        <v>290</v>
      </c>
      <c r="T701" s="46" t="s">
        <v>5472</v>
      </c>
      <c r="U701" s="46" t="s">
        <v>5411</v>
      </c>
      <c r="V701" s="46" t="s">
        <v>5412</v>
      </c>
      <c r="W701" s="46" t="s">
        <v>335</v>
      </c>
      <c r="X701" s="172" t="s">
        <v>9167</v>
      </c>
      <c r="Y701" s="46" t="s">
        <v>5506</v>
      </c>
      <c r="Z701" s="46" t="s">
        <v>5509</v>
      </c>
      <c r="AA701" s="46" t="s">
        <v>5477</v>
      </c>
      <c r="AB701" s="172" t="s">
        <v>9167</v>
      </c>
      <c r="AC701" s="48" t="s">
        <v>5510</v>
      </c>
      <c r="AD701" s="30"/>
      <c r="AE701" s="197"/>
      <c r="AF701" s="47"/>
    </row>
    <row r="702" spans="1:45" s="29" customFormat="1" ht="69.95" hidden="1" customHeight="1">
      <c r="A702" s="29" t="s">
        <v>5511</v>
      </c>
      <c r="B702" s="29" t="s">
        <v>3769</v>
      </c>
      <c r="C702" s="40" t="s">
        <v>32</v>
      </c>
      <c r="D702" s="40"/>
      <c r="E702" s="57" t="s">
        <v>185</v>
      </c>
      <c r="F702" s="57" t="s">
        <v>185</v>
      </c>
      <c r="G702" s="29" t="s">
        <v>1695</v>
      </c>
      <c r="I702" s="124" t="s">
        <v>9121</v>
      </c>
      <c r="J702" s="29">
        <f t="shared" si="39"/>
        <v>1</v>
      </c>
      <c r="K702" s="42">
        <v>695</v>
      </c>
      <c r="L702" s="152" t="s">
        <v>1696</v>
      </c>
      <c r="M702" s="44" t="s">
        <v>405</v>
      </c>
      <c r="N702" s="44" t="s">
        <v>8621</v>
      </c>
      <c r="O702" s="101" t="str">
        <f t="shared" si="42"/>
        <v>PE-L1-2C50-01</v>
      </c>
      <c r="P702" s="45">
        <v>7</v>
      </c>
      <c r="Q702" s="44">
        <v>220</v>
      </c>
      <c r="R702" s="44" t="s">
        <v>509</v>
      </c>
      <c r="S702" s="101">
        <v>270</v>
      </c>
      <c r="T702" s="46" t="s">
        <v>5472</v>
      </c>
      <c r="U702" s="46" t="s">
        <v>5511</v>
      </c>
      <c r="V702" s="46" t="s">
        <v>5512</v>
      </c>
      <c r="W702" s="46" t="s">
        <v>335</v>
      </c>
      <c r="X702" s="172" t="s">
        <v>8942</v>
      </c>
      <c r="Y702" s="46" t="s">
        <v>5506</v>
      </c>
      <c r="Z702" s="46" t="s">
        <v>5513</v>
      </c>
      <c r="AA702" s="46" t="s">
        <v>5477</v>
      </c>
      <c r="AB702" s="172" t="s">
        <v>8942</v>
      </c>
      <c r="AC702" s="48" t="s">
        <v>5514</v>
      </c>
      <c r="AD702" s="30"/>
      <c r="AE702" s="197"/>
      <c r="AF702" s="47"/>
    </row>
    <row r="703" spans="1:45" s="29" customFormat="1" ht="69.95" hidden="1" customHeight="1">
      <c r="A703" s="29" t="s">
        <v>5515</v>
      </c>
      <c r="B703" s="29" t="s">
        <v>3769</v>
      </c>
      <c r="C703" s="40" t="s">
        <v>32</v>
      </c>
      <c r="D703" s="40"/>
      <c r="E703" s="57" t="s">
        <v>185</v>
      </c>
      <c r="F703" s="57" t="s">
        <v>185</v>
      </c>
      <c r="G703" s="29" t="s">
        <v>1698</v>
      </c>
      <c r="I703" s="124" t="s">
        <v>9121</v>
      </c>
      <c r="J703" s="29">
        <f t="shared" si="39"/>
        <v>1</v>
      </c>
      <c r="K703" s="42">
        <v>696</v>
      </c>
      <c r="L703" s="152" t="s">
        <v>1699</v>
      </c>
      <c r="M703" s="44" t="s">
        <v>405</v>
      </c>
      <c r="N703" s="44" t="s">
        <v>1697</v>
      </c>
      <c r="O703" s="101" t="str">
        <f t="shared" si="42"/>
        <v>PE-L1-2C50-01</v>
      </c>
      <c r="P703" s="45">
        <v>7</v>
      </c>
      <c r="Q703" s="44">
        <v>220</v>
      </c>
      <c r="R703" s="44" t="s">
        <v>509</v>
      </c>
      <c r="S703" s="101">
        <v>280</v>
      </c>
      <c r="T703" s="46" t="s">
        <v>5472</v>
      </c>
      <c r="U703" s="46" t="s">
        <v>5515</v>
      </c>
      <c r="V703" s="46" t="s">
        <v>5516</v>
      </c>
      <c r="W703" s="46" t="s">
        <v>335</v>
      </c>
      <c r="X703" s="172" t="s">
        <v>8942</v>
      </c>
      <c r="Y703" s="46" t="s">
        <v>5506</v>
      </c>
      <c r="Z703" s="46" t="s">
        <v>5517</v>
      </c>
      <c r="AA703" s="46" t="s">
        <v>5477</v>
      </c>
      <c r="AB703" s="172" t="s">
        <v>8942</v>
      </c>
      <c r="AC703" s="48" t="s">
        <v>5518</v>
      </c>
      <c r="AD703" s="30"/>
      <c r="AE703" s="197"/>
      <c r="AF703" s="47"/>
    </row>
    <row r="704" spans="1:45" s="29" customFormat="1" ht="69.95" hidden="1" customHeight="1">
      <c r="A704" s="29" t="s">
        <v>5490</v>
      </c>
      <c r="B704" s="29" t="s">
        <v>3769</v>
      </c>
      <c r="C704" s="40" t="s">
        <v>38</v>
      </c>
      <c r="D704" s="40"/>
      <c r="E704" s="57" t="s">
        <v>175</v>
      </c>
      <c r="F704" s="57" t="s">
        <v>175</v>
      </c>
      <c r="G704" s="29" t="s">
        <v>1700</v>
      </c>
      <c r="I704" s="124" t="s">
        <v>9121</v>
      </c>
      <c r="J704" s="29">
        <f t="shared" si="39"/>
        <v>1</v>
      </c>
      <c r="K704" s="42">
        <v>697</v>
      </c>
      <c r="L704" s="152" t="s">
        <v>1701</v>
      </c>
      <c r="M704" s="44" t="s">
        <v>405</v>
      </c>
      <c r="N704" s="44" t="s">
        <v>1101</v>
      </c>
      <c r="O704" s="101" t="str">
        <f t="shared" si="42"/>
        <v>PE-L1-5C50/25-02</v>
      </c>
      <c r="P704" s="45">
        <v>28.2</v>
      </c>
      <c r="Q704" s="44">
        <v>400</v>
      </c>
      <c r="R704" s="44" t="s">
        <v>412</v>
      </c>
      <c r="S704" s="101">
        <v>240</v>
      </c>
      <c r="T704" s="46" t="s">
        <v>5472</v>
      </c>
      <c r="U704" s="46" t="s">
        <v>5490</v>
      </c>
      <c r="V704" s="46" t="s">
        <v>5491</v>
      </c>
      <c r="W704" s="46" t="s">
        <v>335</v>
      </c>
      <c r="X704" s="47" t="s">
        <v>9310</v>
      </c>
      <c r="Y704" s="46" t="s">
        <v>5519</v>
      </c>
      <c r="Z704" s="46" t="s">
        <v>5520</v>
      </c>
      <c r="AA704" s="46" t="s">
        <v>5477</v>
      </c>
      <c r="AB704" s="47" t="s">
        <v>9310</v>
      </c>
      <c r="AC704" s="48" t="s">
        <v>5521</v>
      </c>
      <c r="AD704" s="30"/>
      <c r="AE704" s="197"/>
      <c r="AF704" s="47"/>
    </row>
    <row r="705" spans="1:32" s="29" customFormat="1" ht="69.95" hidden="1" customHeight="1">
      <c r="A705" s="29" t="s">
        <v>5522</v>
      </c>
      <c r="B705" s="29" t="s">
        <v>3769</v>
      </c>
      <c r="C705" s="40" t="s">
        <v>32</v>
      </c>
      <c r="D705" s="40"/>
      <c r="E705" s="58" t="s">
        <v>8324</v>
      </c>
      <c r="F705" s="58" t="s">
        <v>8324</v>
      </c>
      <c r="G705" s="29" t="s">
        <v>1702</v>
      </c>
      <c r="H705" s="124" t="s">
        <v>9445</v>
      </c>
      <c r="I705" s="124" t="s">
        <v>9121</v>
      </c>
      <c r="J705" s="29">
        <f t="shared" si="39"/>
        <v>1</v>
      </c>
      <c r="K705" s="42">
        <v>698</v>
      </c>
      <c r="L705" s="152" t="s">
        <v>1703</v>
      </c>
      <c r="M705" s="44" t="s">
        <v>405</v>
      </c>
      <c r="N705" s="44" t="s">
        <v>521</v>
      </c>
      <c r="O705" s="101" t="str">
        <f t="shared" ref="O705:O716" si="43">F705</f>
        <v>PE-L1-4C70/35-05</v>
      </c>
      <c r="P705" s="45">
        <v>160</v>
      </c>
      <c r="Q705" s="44">
        <v>400</v>
      </c>
      <c r="R705" s="44" t="s">
        <v>49</v>
      </c>
      <c r="S705" s="101">
        <v>200</v>
      </c>
      <c r="T705" s="46" t="s">
        <v>5010</v>
      </c>
      <c r="U705" s="46" t="s">
        <v>5522</v>
      </c>
      <c r="V705" s="46" t="s">
        <v>5523</v>
      </c>
      <c r="W705" s="46" t="s">
        <v>335</v>
      </c>
      <c r="X705" s="47" t="s">
        <v>9305</v>
      </c>
      <c r="Y705" s="46" t="s">
        <v>5524</v>
      </c>
      <c r="Z705" s="46" t="s">
        <v>5525</v>
      </c>
      <c r="AA705" s="46" t="s">
        <v>5526</v>
      </c>
      <c r="AB705" s="47" t="s">
        <v>9305</v>
      </c>
      <c r="AC705" s="48" t="s">
        <v>5527</v>
      </c>
      <c r="AD705" s="30"/>
      <c r="AE705" s="197"/>
      <c r="AF705" s="47"/>
    </row>
    <row r="706" spans="1:32" s="29" customFormat="1" ht="69.95" hidden="1" customHeight="1">
      <c r="A706" s="49" t="s">
        <v>5522</v>
      </c>
      <c r="B706" s="49" t="s">
        <v>3769</v>
      </c>
      <c r="C706" s="50" t="s">
        <v>36</v>
      </c>
      <c r="D706" s="50"/>
      <c r="E706" s="58" t="s">
        <v>8324</v>
      </c>
      <c r="F706" s="58" t="s">
        <v>8324</v>
      </c>
      <c r="H706" s="124" t="s">
        <v>9445</v>
      </c>
      <c r="I706" s="124" t="s">
        <v>9121</v>
      </c>
      <c r="J706" s="29">
        <f t="shared" si="39"/>
        <v>1</v>
      </c>
      <c r="K706" s="42">
        <v>699</v>
      </c>
      <c r="L706" s="152" t="s">
        <v>1704</v>
      </c>
      <c r="M706" s="43" t="s">
        <v>405</v>
      </c>
      <c r="N706" s="43" t="s">
        <v>521</v>
      </c>
      <c r="O706" s="101" t="str">
        <f t="shared" si="43"/>
        <v>PE-L1-4C70/35-05</v>
      </c>
      <c r="P706" s="51">
        <v>160</v>
      </c>
      <c r="Q706" s="43">
        <v>400</v>
      </c>
      <c r="R706" s="43" t="s">
        <v>49</v>
      </c>
      <c r="S706" s="152">
        <v>200</v>
      </c>
      <c r="T706" s="43" t="s">
        <v>5010</v>
      </c>
      <c r="U706" s="43" t="s">
        <v>5522</v>
      </c>
      <c r="V706" s="43" t="s">
        <v>5523</v>
      </c>
      <c r="W706" s="43" t="s">
        <v>335</v>
      </c>
      <c r="X706" s="47" t="s">
        <v>9305</v>
      </c>
      <c r="Y706" s="43" t="s">
        <v>5524</v>
      </c>
      <c r="Z706" s="43" t="s">
        <v>5525</v>
      </c>
      <c r="AA706" s="43" t="s">
        <v>5526</v>
      </c>
      <c r="AB706" s="47" t="s">
        <v>9305</v>
      </c>
      <c r="AC706" s="48" t="s">
        <v>5527</v>
      </c>
      <c r="AD706" s="30"/>
      <c r="AE706" s="197"/>
      <c r="AF706" s="47"/>
    </row>
    <row r="707" spans="1:32" s="29" customFormat="1" ht="69.95" hidden="1" customHeight="1">
      <c r="A707" s="29" t="s">
        <v>5522</v>
      </c>
      <c r="B707" s="29" t="s">
        <v>3769</v>
      </c>
      <c r="C707" s="40" t="s">
        <v>38</v>
      </c>
      <c r="D707" s="40"/>
      <c r="E707" s="57" t="s">
        <v>187</v>
      </c>
      <c r="F707" s="57" t="s">
        <v>187</v>
      </c>
      <c r="G707" s="29" t="s">
        <v>1705</v>
      </c>
      <c r="H707" s="124" t="s">
        <v>9445</v>
      </c>
      <c r="I707" s="124" t="s">
        <v>9121</v>
      </c>
      <c r="J707" s="29">
        <f t="shared" si="39"/>
        <v>1</v>
      </c>
      <c r="K707" s="42">
        <v>700</v>
      </c>
      <c r="L707" s="152" t="s">
        <v>1706</v>
      </c>
      <c r="M707" s="44" t="s">
        <v>405</v>
      </c>
      <c r="N707" s="44" t="s">
        <v>426</v>
      </c>
      <c r="O707" s="101" t="str">
        <f t="shared" si="43"/>
        <v>PE-L1-3C4-12</v>
      </c>
      <c r="P707" s="45">
        <v>0.2</v>
      </c>
      <c r="Q707" s="44">
        <v>230</v>
      </c>
      <c r="R707" s="44" t="s">
        <v>49</v>
      </c>
      <c r="S707" s="101">
        <v>200</v>
      </c>
      <c r="T707" s="46" t="s">
        <v>5010</v>
      </c>
      <c r="U707" s="46" t="s">
        <v>5522</v>
      </c>
      <c r="V707" s="46" t="s">
        <v>5523</v>
      </c>
      <c r="W707" s="46" t="s">
        <v>335</v>
      </c>
      <c r="X707" s="172" t="s">
        <v>9167</v>
      </c>
      <c r="Y707" s="46" t="s">
        <v>5524</v>
      </c>
      <c r="Z707" s="46" t="s">
        <v>5528</v>
      </c>
      <c r="AA707" s="46" t="s">
        <v>5526</v>
      </c>
      <c r="AB707" s="172" t="s">
        <v>9167</v>
      </c>
      <c r="AC707" s="48" t="s">
        <v>5529</v>
      </c>
      <c r="AD707" s="30"/>
      <c r="AE707" s="197"/>
      <c r="AF707" s="47"/>
    </row>
    <row r="708" spans="1:32" s="29" customFormat="1" ht="69.95" hidden="1" customHeight="1">
      <c r="A708" s="29" t="s">
        <v>3927</v>
      </c>
      <c r="B708" s="29" t="s">
        <v>3769</v>
      </c>
      <c r="C708" s="40" t="s">
        <v>73</v>
      </c>
      <c r="D708" s="40"/>
      <c r="E708" s="58" t="s">
        <v>8324</v>
      </c>
      <c r="F708" s="58" t="s">
        <v>8324</v>
      </c>
      <c r="G708" s="29" t="s">
        <v>1707</v>
      </c>
      <c r="H708" s="124" t="s">
        <v>9445</v>
      </c>
      <c r="I708" s="124" t="s">
        <v>9121</v>
      </c>
      <c r="J708" s="29">
        <f t="shared" si="39"/>
        <v>1</v>
      </c>
      <c r="K708" s="42">
        <v>701</v>
      </c>
      <c r="L708" s="152" t="s">
        <v>1708</v>
      </c>
      <c r="M708" s="43" t="s">
        <v>405</v>
      </c>
      <c r="N708" s="44" t="s">
        <v>521</v>
      </c>
      <c r="O708" s="101" t="str">
        <f t="shared" si="43"/>
        <v>PE-L1-4C70/35-05</v>
      </c>
      <c r="P708" s="45">
        <v>160</v>
      </c>
      <c r="Q708" s="44">
        <v>400</v>
      </c>
      <c r="R708" s="44" t="s">
        <v>49</v>
      </c>
      <c r="S708" s="101">
        <v>200</v>
      </c>
      <c r="T708" s="46" t="s">
        <v>5010</v>
      </c>
      <c r="U708" s="46" t="s">
        <v>3927</v>
      </c>
      <c r="V708" s="46" t="s">
        <v>3928</v>
      </c>
      <c r="W708" s="46" t="s">
        <v>335</v>
      </c>
      <c r="X708" s="47" t="s">
        <v>9305</v>
      </c>
      <c r="Y708" s="46" t="s">
        <v>5530</v>
      </c>
      <c r="Z708" s="46" t="s">
        <v>5531</v>
      </c>
      <c r="AA708" s="46" t="s">
        <v>5526</v>
      </c>
      <c r="AB708" s="47" t="s">
        <v>9305</v>
      </c>
      <c r="AC708" s="48" t="s">
        <v>5532</v>
      </c>
      <c r="AD708" s="30"/>
      <c r="AE708" s="197"/>
      <c r="AF708" s="47"/>
    </row>
    <row r="709" spans="1:32" s="29" customFormat="1" ht="69.95" hidden="1" customHeight="1">
      <c r="A709" s="49" t="s">
        <v>3927</v>
      </c>
      <c r="B709" s="49" t="s">
        <v>3769</v>
      </c>
      <c r="C709" s="50" t="s">
        <v>75</v>
      </c>
      <c r="D709" s="50"/>
      <c r="E709" s="58" t="s">
        <v>8634</v>
      </c>
      <c r="F709" s="58" t="s">
        <v>8634</v>
      </c>
      <c r="H709" s="124" t="s">
        <v>9445</v>
      </c>
      <c r="I709" s="124" t="s">
        <v>9121</v>
      </c>
      <c r="J709" s="29">
        <f t="shared" si="39"/>
        <v>1</v>
      </c>
      <c r="K709" s="42">
        <v>702</v>
      </c>
      <c r="L709" s="152" t="s">
        <v>1709</v>
      </c>
      <c r="M709" s="43" t="s">
        <v>405</v>
      </c>
      <c r="N709" s="43" t="s">
        <v>521</v>
      </c>
      <c r="O709" s="101" t="str">
        <f t="shared" si="43"/>
        <v>PE-L1-4C70/35-04</v>
      </c>
      <c r="P709" s="51">
        <v>160</v>
      </c>
      <c r="Q709" s="43">
        <v>400</v>
      </c>
      <c r="R709" s="43" t="s">
        <v>49</v>
      </c>
      <c r="S709" s="152">
        <v>190</v>
      </c>
      <c r="T709" s="43" t="s">
        <v>5010</v>
      </c>
      <c r="U709" s="43" t="s">
        <v>3927</v>
      </c>
      <c r="V709" s="43" t="s">
        <v>3928</v>
      </c>
      <c r="W709" s="43" t="s">
        <v>335</v>
      </c>
      <c r="X709" s="47" t="s">
        <v>9305</v>
      </c>
      <c r="Y709" s="43" t="s">
        <v>5530</v>
      </c>
      <c r="Z709" s="43" t="s">
        <v>5531</v>
      </c>
      <c r="AA709" s="43" t="s">
        <v>5526</v>
      </c>
      <c r="AB709" s="47" t="s">
        <v>9305</v>
      </c>
      <c r="AC709" s="48" t="s">
        <v>5533</v>
      </c>
      <c r="AD709" s="30"/>
      <c r="AE709" s="197"/>
      <c r="AF709" s="47"/>
    </row>
    <row r="710" spans="1:32" s="29" customFormat="1" ht="69.95" hidden="1" customHeight="1">
      <c r="A710" s="29" t="s">
        <v>3927</v>
      </c>
      <c r="B710" s="29" t="s">
        <v>3769</v>
      </c>
      <c r="C710" s="40">
        <v>10</v>
      </c>
      <c r="D710" s="40"/>
      <c r="E710" s="57" t="s">
        <v>187</v>
      </c>
      <c r="F710" s="57" t="s">
        <v>187</v>
      </c>
      <c r="G710" s="29" t="s">
        <v>1710</v>
      </c>
      <c r="H710" s="124" t="s">
        <v>9445</v>
      </c>
      <c r="I710" s="124" t="s">
        <v>9121</v>
      </c>
      <c r="J710" s="29">
        <f t="shared" si="39"/>
        <v>1</v>
      </c>
      <c r="K710" s="42">
        <v>703</v>
      </c>
      <c r="L710" s="152" t="s">
        <v>1711</v>
      </c>
      <c r="M710" s="43" t="s">
        <v>405</v>
      </c>
      <c r="N710" s="44" t="s">
        <v>426</v>
      </c>
      <c r="O710" s="101" t="str">
        <f t="shared" si="43"/>
        <v>PE-L1-3C4-12</v>
      </c>
      <c r="P710" s="45">
        <v>0.2</v>
      </c>
      <c r="Q710" s="44">
        <v>230</v>
      </c>
      <c r="R710" s="44" t="s">
        <v>49</v>
      </c>
      <c r="S710" s="101">
        <v>200</v>
      </c>
      <c r="T710" s="46" t="s">
        <v>5010</v>
      </c>
      <c r="U710" s="46" t="s">
        <v>3927</v>
      </c>
      <c r="V710" s="46" t="s">
        <v>3928</v>
      </c>
      <c r="W710" s="46" t="s">
        <v>335</v>
      </c>
      <c r="X710" s="172" t="s">
        <v>9167</v>
      </c>
      <c r="Y710" s="46" t="s">
        <v>5530</v>
      </c>
      <c r="Z710" s="46" t="s">
        <v>5534</v>
      </c>
      <c r="AA710" s="46" t="s">
        <v>5526</v>
      </c>
      <c r="AB710" s="172" t="s">
        <v>9167</v>
      </c>
      <c r="AC710" s="48" t="s">
        <v>5535</v>
      </c>
      <c r="AD710" s="30"/>
      <c r="AE710" s="197"/>
      <c r="AF710" s="47"/>
    </row>
    <row r="711" spans="1:32" s="29" customFormat="1" ht="69.95" hidden="1" customHeight="1">
      <c r="A711" s="29" t="s">
        <v>5522</v>
      </c>
      <c r="B711" s="29" t="s">
        <v>3769</v>
      </c>
      <c r="C711" s="40" t="s">
        <v>40</v>
      </c>
      <c r="D711" s="40"/>
      <c r="E711" s="58" t="s">
        <v>8325</v>
      </c>
      <c r="F711" s="58" t="s">
        <v>8325</v>
      </c>
      <c r="G711" s="29" t="s">
        <v>1712</v>
      </c>
      <c r="H711" s="124" t="s">
        <v>9445</v>
      </c>
      <c r="I711" s="124" t="s">
        <v>9121</v>
      </c>
      <c r="J711" s="29">
        <f t="shared" si="39"/>
        <v>1</v>
      </c>
      <c r="K711" s="42">
        <v>704</v>
      </c>
      <c r="L711" s="152" t="s">
        <v>1713</v>
      </c>
      <c r="M711" s="44" t="s">
        <v>405</v>
      </c>
      <c r="N711" s="44" t="s">
        <v>521</v>
      </c>
      <c r="O711" s="101" t="str">
        <f t="shared" si="43"/>
        <v>PE-L1-4C70/35-06</v>
      </c>
      <c r="P711" s="45">
        <v>160</v>
      </c>
      <c r="Q711" s="44">
        <v>400</v>
      </c>
      <c r="R711" s="44" t="s">
        <v>49</v>
      </c>
      <c r="S711" s="101">
        <v>230</v>
      </c>
      <c r="T711" s="46" t="s">
        <v>5010</v>
      </c>
      <c r="U711" s="46" t="s">
        <v>5522</v>
      </c>
      <c r="V711" s="46" t="s">
        <v>5523</v>
      </c>
      <c r="W711" s="46" t="s">
        <v>335</v>
      </c>
      <c r="X711" s="47" t="s">
        <v>9305</v>
      </c>
      <c r="Y711" s="46" t="s">
        <v>5536</v>
      </c>
      <c r="Z711" s="46" t="s">
        <v>5537</v>
      </c>
      <c r="AA711" s="46" t="s">
        <v>5526</v>
      </c>
      <c r="AB711" s="47" t="s">
        <v>9305</v>
      </c>
      <c r="AC711" s="48" t="s">
        <v>5538</v>
      </c>
      <c r="AD711" s="30"/>
      <c r="AE711" s="197"/>
      <c r="AF711" s="47"/>
    </row>
    <row r="712" spans="1:32" s="29" customFormat="1" ht="69.95" hidden="1" customHeight="1">
      <c r="A712" s="49" t="s">
        <v>5522</v>
      </c>
      <c r="B712" s="49" t="s">
        <v>3769</v>
      </c>
      <c r="C712" s="50" t="s">
        <v>41</v>
      </c>
      <c r="D712" s="50"/>
      <c r="E712" s="58" t="s">
        <v>8325</v>
      </c>
      <c r="F712" s="58" t="s">
        <v>8325</v>
      </c>
      <c r="H712" s="124" t="s">
        <v>9445</v>
      </c>
      <c r="I712" s="124" t="s">
        <v>9121</v>
      </c>
      <c r="J712" s="29">
        <f t="shared" ref="J712:J775" si="44">COUNTIF(L:L,L712)</f>
        <v>1</v>
      </c>
      <c r="K712" s="42">
        <v>705</v>
      </c>
      <c r="L712" s="152" t="s">
        <v>1714</v>
      </c>
      <c r="M712" s="43" t="s">
        <v>405</v>
      </c>
      <c r="N712" s="43" t="s">
        <v>521</v>
      </c>
      <c r="O712" s="101" t="str">
        <f t="shared" si="43"/>
        <v>PE-L1-4C70/35-06</v>
      </c>
      <c r="P712" s="51">
        <v>160</v>
      </c>
      <c r="Q712" s="43">
        <v>400</v>
      </c>
      <c r="R712" s="43" t="s">
        <v>49</v>
      </c>
      <c r="S712" s="152">
        <v>230</v>
      </c>
      <c r="T712" s="43" t="s">
        <v>5010</v>
      </c>
      <c r="U712" s="43" t="s">
        <v>5522</v>
      </c>
      <c r="V712" s="43" t="s">
        <v>5523</v>
      </c>
      <c r="W712" s="43" t="s">
        <v>335</v>
      </c>
      <c r="X712" s="47" t="s">
        <v>9305</v>
      </c>
      <c r="Y712" s="43" t="s">
        <v>5536</v>
      </c>
      <c r="Z712" s="43" t="s">
        <v>5537</v>
      </c>
      <c r="AA712" s="43" t="s">
        <v>5526</v>
      </c>
      <c r="AB712" s="47" t="s">
        <v>9305</v>
      </c>
      <c r="AC712" s="48" t="s">
        <v>5539</v>
      </c>
      <c r="AD712" s="30"/>
      <c r="AE712" s="197"/>
      <c r="AF712" s="47"/>
    </row>
    <row r="713" spans="1:32" s="29" customFormat="1" ht="69.95" hidden="1" customHeight="1">
      <c r="A713" s="29" t="s">
        <v>5522</v>
      </c>
      <c r="B713" s="29" t="s">
        <v>3769</v>
      </c>
      <c r="C713" s="40" t="s">
        <v>42</v>
      </c>
      <c r="D713" s="40"/>
      <c r="E713" s="56" t="s">
        <v>8327</v>
      </c>
      <c r="F713" s="56" t="s">
        <v>8327</v>
      </c>
      <c r="G713" s="29" t="s">
        <v>1715</v>
      </c>
      <c r="H713" s="124" t="s">
        <v>9445</v>
      </c>
      <c r="I713" s="124" t="s">
        <v>9121</v>
      </c>
      <c r="J713" s="29">
        <f t="shared" si="44"/>
        <v>1</v>
      </c>
      <c r="K713" s="42">
        <v>706</v>
      </c>
      <c r="L713" s="152" t="s">
        <v>1716</v>
      </c>
      <c r="M713" s="44" t="s">
        <v>405</v>
      </c>
      <c r="N713" s="44" t="s">
        <v>426</v>
      </c>
      <c r="O713" s="101" t="str">
        <f t="shared" si="43"/>
        <v>PE-L1-3C4-25</v>
      </c>
      <c r="P713" s="45">
        <v>0.2</v>
      </c>
      <c r="Q713" s="44">
        <v>230</v>
      </c>
      <c r="R713" s="44" t="s">
        <v>49</v>
      </c>
      <c r="S713" s="101">
        <v>210</v>
      </c>
      <c r="T713" s="46" t="s">
        <v>5010</v>
      </c>
      <c r="U713" s="46" t="s">
        <v>5522</v>
      </c>
      <c r="V713" s="46" t="s">
        <v>5523</v>
      </c>
      <c r="W713" s="46" t="s">
        <v>335</v>
      </c>
      <c r="X713" s="172" t="s">
        <v>9167</v>
      </c>
      <c r="Y713" s="46" t="s">
        <v>5536</v>
      </c>
      <c r="Z713" s="46" t="s">
        <v>5540</v>
      </c>
      <c r="AA713" s="46" t="s">
        <v>5526</v>
      </c>
      <c r="AB713" s="172" t="s">
        <v>9167</v>
      </c>
      <c r="AC713" s="48" t="s">
        <v>5541</v>
      </c>
      <c r="AD713" s="30"/>
      <c r="AE713" s="197"/>
      <c r="AF713" s="47"/>
    </row>
    <row r="714" spans="1:32" s="29" customFormat="1" ht="69.95" hidden="1" customHeight="1">
      <c r="A714" s="29" t="s">
        <v>4407</v>
      </c>
      <c r="B714" s="29" t="s">
        <v>3769</v>
      </c>
      <c r="C714" s="40">
        <v>24</v>
      </c>
      <c r="D714" s="40"/>
      <c r="E714" s="57" t="s">
        <v>174</v>
      </c>
      <c r="F714" s="57" t="s">
        <v>174</v>
      </c>
      <c r="G714" s="29" t="s">
        <v>1717</v>
      </c>
      <c r="H714" s="124" t="s">
        <v>9445</v>
      </c>
      <c r="I714" s="124" t="s">
        <v>9121</v>
      </c>
      <c r="J714" s="29">
        <f t="shared" si="44"/>
        <v>1</v>
      </c>
      <c r="K714" s="42">
        <v>707</v>
      </c>
      <c r="L714" s="152" t="s">
        <v>1718</v>
      </c>
      <c r="M714" s="43" t="s">
        <v>405</v>
      </c>
      <c r="N714" s="44" t="s">
        <v>536</v>
      </c>
      <c r="O714" s="101" t="str">
        <f t="shared" si="43"/>
        <v>PE-L1-4C4-07</v>
      </c>
      <c r="P714" s="45">
        <v>0.75</v>
      </c>
      <c r="Q714" s="44">
        <v>400</v>
      </c>
      <c r="R714" s="44" t="s">
        <v>49</v>
      </c>
      <c r="S714" s="101">
        <v>200</v>
      </c>
      <c r="T714" s="46" t="s">
        <v>5010</v>
      </c>
      <c r="U714" s="46" t="s">
        <v>4407</v>
      </c>
      <c r="V714" s="46" t="s">
        <v>4408</v>
      </c>
      <c r="W714" s="46" t="s">
        <v>335</v>
      </c>
      <c r="X714" s="47" t="s">
        <v>9305</v>
      </c>
      <c r="Y714" s="46" t="s">
        <v>5542</v>
      </c>
      <c r="Z714" s="46" t="s">
        <v>5543</v>
      </c>
      <c r="AA714" s="46" t="s">
        <v>5526</v>
      </c>
      <c r="AB714" s="47" t="s">
        <v>9305</v>
      </c>
      <c r="AC714" s="48" t="s">
        <v>5544</v>
      </c>
      <c r="AD714" s="30"/>
      <c r="AE714" s="197"/>
      <c r="AF714" s="47"/>
    </row>
    <row r="715" spans="1:32" s="29" customFormat="1" ht="69.95" hidden="1" customHeight="1">
      <c r="A715" s="29" t="s">
        <v>4412</v>
      </c>
      <c r="B715" s="29" t="s">
        <v>3769</v>
      </c>
      <c r="C715" s="40">
        <v>18</v>
      </c>
      <c r="D715" s="40"/>
      <c r="E715" s="57" t="s">
        <v>174</v>
      </c>
      <c r="F715" s="57" t="s">
        <v>174</v>
      </c>
      <c r="G715" s="29" t="s">
        <v>1719</v>
      </c>
      <c r="H715" s="124" t="s">
        <v>9445</v>
      </c>
      <c r="I715" s="124" t="s">
        <v>9121</v>
      </c>
      <c r="J715" s="29">
        <f t="shared" si="44"/>
        <v>1</v>
      </c>
      <c r="K715" s="42">
        <v>708</v>
      </c>
      <c r="L715" s="152" t="s">
        <v>1720</v>
      </c>
      <c r="M715" s="44" t="s">
        <v>405</v>
      </c>
      <c r="N715" s="44" t="s">
        <v>536</v>
      </c>
      <c r="O715" s="101" t="str">
        <f t="shared" si="43"/>
        <v>PE-L1-4C4-07</v>
      </c>
      <c r="P715" s="45">
        <v>0.75</v>
      </c>
      <c r="Q715" s="44">
        <v>400</v>
      </c>
      <c r="R715" s="44" t="s">
        <v>49</v>
      </c>
      <c r="S715" s="101">
        <v>190</v>
      </c>
      <c r="T715" s="46" t="s">
        <v>5010</v>
      </c>
      <c r="U715" s="46" t="s">
        <v>4412</v>
      </c>
      <c r="V715" s="46" t="s">
        <v>4413</v>
      </c>
      <c r="W715" s="46" t="s">
        <v>335</v>
      </c>
      <c r="X715" s="47" t="s">
        <v>9305</v>
      </c>
      <c r="Y715" s="46" t="s">
        <v>5545</v>
      </c>
      <c r="Z715" s="46" t="s">
        <v>5546</v>
      </c>
      <c r="AA715" s="46" t="s">
        <v>5526</v>
      </c>
      <c r="AB715" s="47" t="s">
        <v>9305</v>
      </c>
      <c r="AC715" s="48" t="s">
        <v>5547</v>
      </c>
      <c r="AD715" s="30"/>
      <c r="AE715" s="197"/>
      <c r="AF715" s="47"/>
    </row>
    <row r="716" spans="1:32" s="29" customFormat="1" ht="69.95" hidden="1" customHeight="1">
      <c r="A716" s="29" t="s">
        <v>4407</v>
      </c>
      <c r="B716" s="29" t="s">
        <v>3769</v>
      </c>
      <c r="C716" s="40">
        <v>25</v>
      </c>
      <c r="D716" s="40"/>
      <c r="E716" s="57" t="s">
        <v>174</v>
      </c>
      <c r="F716" s="57" t="s">
        <v>174</v>
      </c>
      <c r="G716" s="29" t="s">
        <v>1721</v>
      </c>
      <c r="H716" s="124" t="s">
        <v>9445</v>
      </c>
      <c r="I716" s="124" t="s">
        <v>9121</v>
      </c>
      <c r="J716" s="29">
        <f t="shared" si="44"/>
        <v>1</v>
      </c>
      <c r="K716" s="42">
        <v>709</v>
      </c>
      <c r="L716" s="152" t="s">
        <v>1722</v>
      </c>
      <c r="M716" s="43" t="s">
        <v>405</v>
      </c>
      <c r="N716" s="44" t="s">
        <v>536</v>
      </c>
      <c r="O716" s="101" t="str">
        <f t="shared" si="43"/>
        <v>PE-L1-4C4-07</v>
      </c>
      <c r="P716" s="45">
        <v>0.75</v>
      </c>
      <c r="Q716" s="44">
        <v>400</v>
      </c>
      <c r="R716" s="44" t="s">
        <v>49</v>
      </c>
      <c r="S716" s="101">
        <v>210</v>
      </c>
      <c r="T716" s="46" t="s">
        <v>5010</v>
      </c>
      <c r="U716" s="46" t="s">
        <v>4407</v>
      </c>
      <c r="V716" s="46" t="s">
        <v>4408</v>
      </c>
      <c r="W716" s="46" t="s">
        <v>335</v>
      </c>
      <c r="X716" s="47" t="s">
        <v>9305</v>
      </c>
      <c r="Y716" s="46" t="s">
        <v>5548</v>
      </c>
      <c r="Z716" s="46" t="s">
        <v>5549</v>
      </c>
      <c r="AA716" s="46" t="s">
        <v>5526</v>
      </c>
      <c r="AB716" s="47" t="s">
        <v>9305</v>
      </c>
      <c r="AC716" s="48" t="s">
        <v>5550</v>
      </c>
      <c r="AD716" s="30"/>
      <c r="AE716" s="197"/>
      <c r="AF716" s="47"/>
    </row>
    <row r="717" spans="1:32" s="29" customFormat="1" ht="69.95" hidden="1" customHeight="1">
      <c r="A717" s="29" t="s">
        <v>4407</v>
      </c>
      <c r="B717" s="29" t="s">
        <v>3769</v>
      </c>
      <c r="C717" s="40">
        <v>26</v>
      </c>
      <c r="D717" s="40"/>
      <c r="E717" s="57" t="s">
        <v>188</v>
      </c>
      <c r="F717" s="57" t="s">
        <v>188</v>
      </c>
      <c r="G717" s="29" t="s">
        <v>1723</v>
      </c>
      <c r="H717" s="124" t="s">
        <v>9154</v>
      </c>
      <c r="I717" s="124" t="s">
        <v>9121</v>
      </c>
      <c r="J717" s="29">
        <f t="shared" si="44"/>
        <v>1</v>
      </c>
      <c r="K717" s="42">
        <v>710</v>
      </c>
      <c r="L717" s="152" t="s">
        <v>1724</v>
      </c>
      <c r="M717" s="44" t="s">
        <v>405</v>
      </c>
      <c r="N717" s="44" t="s">
        <v>536</v>
      </c>
      <c r="O717" s="101" t="str">
        <f>F717</f>
        <v>PE-L1-4C4-08</v>
      </c>
      <c r="P717" s="45">
        <v>0.2</v>
      </c>
      <c r="Q717" s="44">
        <v>400</v>
      </c>
      <c r="R717" s="44" t="s">
        <v>49</v>
      </c>
      <c r="S717" s="101">
        <v>230</v>
      </c>
      <c r="T717" s="46" t="s">
        <v>5010</v>
      </c>
      <c r="U717" s="46" t="s">
        <v>4407</v>
      </c>
      <c r="V717" s="46" t="s">
        <v>4408</v>
      </c>
      <c r="W717" s="46" t="s">
        <v>335</v>
      </c>
      <c r="X717" s="47" t="s">
        <v>9305</v>
      </c>
      <c r="Y717" s="46" t="s">
        <v>5551</v>
      </c>
      <c r="Z717" s="46" t="s">
        <v>5552</v>
      </c>
      <c r="AA717" s="46" t="s">
        <v>392</v>
      </c>
      <c r="AB717" s="47" t="s">
        <v>9305</v>
      </c>
      <c r="AC717" s="48" t="s">
        <v>5553</v>
      </c>
      <c r="AD717" s="30"/>
      <c r="AE717" s="197"/>
      <c r="AF717" s="47"/>
    </row>
    <row r="718" spans="1:32" s="29" customFormat="1" ht="69.95" hidden="1" customHeight="1">
      <c r="A718" s="29" t="s">
        <v>4412</v>
      </c>
      <c r="B718" s="29" t="s">
        <v>3769</v>
      </c>
      <c r="C718" s="40">
        <v>19</v>
      </c>
      <c r="D718" s="40"/>
      <c r="E718" s="57" t="s">
        <v>188</v>
      </c>
      <c r="F718" s="57" t="s">
        <v>188</v>
      </c>
      <c r="G718" s="29" t="s">
        <v>1725</v>
      </c>
      <c r="H718" s="124" t="s">
        <v>9509</v>
      </c>
      <c r="I718" s="124" t="s">
        <v>9121</v>
      </c>
      <c r="J718" s="29">
        <f t="shared" si="44"/>
        <v>1</v>
      </c>
      <c r="K718" s="42">
        <v>711</v>
      </c>
      <c r="L718" s="152" t="s">
        <v>1726</v>
      </c>
      <c r="M718" s="44" t="s">
        <v>405</v>
      </c>
      <c r="N718" s="44" t="s">
        <v>536</v>
      </c>
      <c r="O718" s="101" t="str">
        <f t="shared" ref="O718:O771" si="45">F718</f>
        <v>PE-L1-4C4-08</v>
      </c>
      <c r="P718" s="45">
        <v>0.75</v>
      </c>
      <c r="Q718" s="44">
        <v>400</v>
      </c>
      <c r="R718" s="44" t="s">
        <v>49</v>
      </c>
      <c r="S718" s="101">
        <v>190</v>
      </c>
      <c r="T718" s="46" t="s">
        <v>5010</v>
      </c>
      <c r="U718" s="46" t="s">
        <v>4412</v>
      </c>
      <c r="V718" s="46" t="s">
        <v>4413</v>
      </c>
      <c r="W718" s="46" t="s">
        <v>335</v>
      </c>
      <c r="X718" s="47" t="s">
        <v>9305</v>
      </c>
      <c r="Y718" s="46" t="s">
        <v>5554</v>
      </c>
      <c r="Z718" s="46" t="s">
        <v>5555</v>
      </c>
      <c r="AA718" s="46" t="s">
        <v>5556</v>
      </c>
      <c r="AB718" s="47" t="s">
        <v>9305</v>
      </c>
      <c r="AC718" s="48" t="s">
        <v>5557</v>
      </c>
      <c r="AD718" s="30"/>
      <c r="AE718" s="197"/>
      <c r="AF718" s="47"/>
    </row>
    <row r="719" spans="1:32" s="29" customFormat="1" ht="69.95" hidden="1" customHeight="1">
      <c r="A719" s="29" t="s">
        <v>5558</v>
      </c>
      <c r="B719" s="29" t="s">
        <v>3769</v>
      </c>
      <c r="C719" s="40" t="s">
        <v>32</v>
      </c>
      <c r="D719" s="40"/>
      <c r="E719" s="58" t="s">
        <v>8325</v>
      </c>
      <c r="F719" s="58" t="s">
        <v>8325</v>
      </c>
      <c r="G719" s="29" t="s">
        <v>1727</v>
      </c>
      <c r="J719" s="29">
        <f t="shared" si="44"/>
        <v>1</v>
      </c>
      <c r="K719" s="42">
        <v>712</v>
      </c>
      <c r="L719" s="43" t="s">
        <v>1728</v>
      </c>
      <c r="M719" s="44" t="s">
        <v>405</v>
      </c>
      <c r="N719" s="44" t="s">
        <v>521</v>
      </c>
      <c r="O719" s="44" t="str">
        <f t="shared" si="45"/>
        <v>PE-L1-4C70/35-06</v>
      </c>
      <c r="P719" s="45">
        <v>160</v>
      </c>
      <c r="Q719" s="44">
        <v>400</v>
      </c>
      <c r="R719" s="44" t="s">
        <v>49</v>
      </c>
      <c r="S719" s="44">
        <v>150</v>
      </c>
      <c r="T719" s="46" t="s">
        <v>5010</v>
      </c>
      <c r="U719" s="46" t="s">
        <v>5558</v>
      </c>
      <c r="V719" s="46" t="s">
        <v>5559</v>
      </c>
      <c r="W719" s="46" t="s">
        <v>347</v>
      </c>
      <c r="X719" s="47" t="s">
        <v>9305</v>
      </c>
      <c r="Y719" s="46" t="s">
        <v>5560</v>
      </c>
      <c r="Z719" s="46" t="s">
        <v>5561</v>
      </c>
      <c r="AA719" s="46" t="s">
        <v>5562</v>
      </c>
      <c r="AB719" s="47" t="s">
        <v>9305</v>
      </c>
      <c r="AC719" s="48" t="s">
        <v>5563</v>
      </c>
      <c r="AD719" s="30"/>
      <c r="AE719" s="197"/>
      <c r="AF719" s="47"/>
    </row>
    <row r="720" spans="1:32" s="29" customFormat="1" ht="69.95" hidden="1" customHeight="1">
      <c r="A720" s="49" t="s">
        <v>5558</v>
      </c>
      <c r="B720" s="49" t="s">
        <v>3769</v>
      </c>
      <c r="C720" s="50" t="s">
        <v>36</v>
      </c>
      <c r="D720" s="50"/>
      <c r="E720" s="58" t="s">
        <v>8325</v>
      </c>
      <c r="F720" s="58" t="s">
        <v>8325</v>
      </c>
      <c r="J720" s="29">
        <f t="shared" si="44"/>
        <v>1</v>
      </c>
      <c r="K720" s="42">
        <v>713</v>
      </c>
      <c r="L720" s="43" t="s">
        <v>1729</v>
      </c>
      <c r="M720" s="43" t="s">
        <v>405</v>
      </c>
      <c r="N720" s="43" t="s">
        <v>521</v>
      </c>
      <c r="O720" s="44" t="str">
        <f t="shared" si="45"/>
        <v>PE-L1-4C70/35-06</v>
      </c>
      <c r="P720" s="51">
        <v>160</v>
      </c>
      <c r="Q720" s="43">
        <v>400</v>
      </c>
      <c r="R720" s="43" t="s">
        <v>49</v>
      </c>
      <c r="S720" s="43">
        <v>150</v>
      </c>
      <c r="T720" s="43" t="s">
        <v>5010</v>
      </c>
      <c r="U720" s="43" t="s">
        <v>5558</v>
      </c>
      <c r="V720" s="43" t="s">
        <v>5559</v>
      </c>
      <c r="W720" s="43" t="s">
        <v>347</v>
      </c>
      <c r="X720" s="47" t="s">
        <v>9305</v>
      </c>
      <c r="Y720" s="43" t="s">
        <v>5560</v>
      </c>
      <c r="Z720" s="43" t="s">
        <v>5561</v>
      </c>
      <c r="AA720" s="43" t="s">
        <v>5562</v>
      </c>
      <c r="AB720" s="47" t="s">
        <v>9305</v>
      </c>
      <c r="AC720" s="48" t="s">
        <v>5564</v>
      </c>
      <c r="AD720" s="30"/>
      <c r="AE720" s="197"/>
      <c r="AF720" s="47"/>
    </row>
    <row r="721" spans="1:32" s="29" customFormat="1" ht="69.95" hidden="1" customHeight="1">
      <c r="A721" s="29" t="s">
        <v>5558</v>
      </c>
      <c r="B721" s="29" t="s">
        <v>3769</v>
      </c>
      <c r="C721" s="40" t="s">
        <v>38</v>
      </c>
      <c r="D721" s="40"/>
      <c r="E721" s="57" t="s">
        <v>189</v>
      </c>
      <c r="F721" s="57" t="s">
        <v>189</v>
      </c>
      <c r="G721" s="29" t="s">
        <v>1730</v>
      </c>
      <c r="J721" s="29">
        <f t="shared" si="44"/>
        <v>1</v>
      </c>
      <c r="K721" s="42">
        <v>714</v>
      </c>
      <c r="L721" s="43" t="s">
        <v>1731</v>
      </c>
      <c r="M721" s="44" t="s">
        <v>405</v>
      </c>
      <c r="N721" s="44" t="s">
        <v>426</v>
      </c>
      <c r="O721" s="44" t="str">
        <f t="shared" si="45"/>
        <v>PE-L1-3C4-13</v>
      </c>
      <c r="P721" s="45">
        <v>0.2</v>
      </c>
      <c r="Q721" s="44">
        <v>230</v>
      </c>
      <c r="R721" s="44" t="s">
        <v>49</v>
      </c>
      <c r="S721" s="44">
        <v>150</v>
      </c>
      <c r="T721" s="46" t="s">
        <v>5010</v>
      </c>
      <c r="U721" s="46" t="s">
        <v>5558</v>
      </c>
      <c r="V721" s="46" t="s">
        <v>5559</v>
      </c>
      <c r="W721" s="46" t="s">
        <v>347</v>
      </c>
      <c r="X721" s="172" t="s">
        <v>9167</v>
      </c>
      <c r="Y721" s="46" t="s">
        <v>5560</v>
      </c>
      <c r="Z721" s="46" t="s">
        <v>5565</v>
      </c>
      <c r="AA721" s="46" t="s">
        <v>5562</v>
      </c>
      <c r="AB721" s="172" t="s">
        <v>9167</v>
      </c>
      <c r="AC721" s="48" t="s">
        <v>5566</v>
      </c>
      <c r="AD721" s="30"/>
      <c r="AE721" s="197"/>
      <c r="AF721" s="47"/>
    </row>
    <row r="722" spans="1:32" s="29" customFormat="1" ht="69.95" hidden="1" customHeight="1">
      <c r="A722" s="29" t="s">
        <v>3999</v>
      </c>
      <c r="B722" s="29" t="s">
        <v>3769</v>
      </c>
      <c r="C722" s="40" t="s">
        <v>73</v>
      </c>
      <c r="D722" s="40"/>
      <c r="E722" s="58" t="s">
        <v>8325</v>
      </c>
      <c r="F722" s="58" t="s">
        <v>8325</v>
      </c>
      <c r="G722" s="29" t="s">
        <v>1732</v>
      </c>
      <c r="J722" s="29">
        <f t="shared" si="44"/>
        <v>1</v>
      </c>
      <c r="K722" s="42">
        <v>715</v>
      </c>
      <c r="L722" s="43" t="s">
        <v>1733</v>
      </c>
      <c r="M722" s="44" t="s">
        <v>405</v>
      </c>
      <c r="N722" s="44" t="s">
        <v>8635</v>
      </c>
      <c r="O722" s="44" t="str">
        <f t="shared" si="45"/>
        <v>PE-L1-4C70/35-06</v>
      </c>
      <c r="P722" s="45">
        <v>160</v>
      </c>
      <c r="Q722" s="44">
        <v>400</v>
      </c>
      <c r="R722" s="44" t="s">
        <v>49</v>
      </c>
      <c r="S722" s="44">
        <v>140</v>
      </c>
      <c r="T722" s="46" t="s">
        <v>5010</v>
      </c>
      <c r="U722" s="46" t="s">
        <v>3999</v>
      </c>
      <c r="V722" s="46" t="s">
        <v>4000</v>
      </c>
      <c r="W722" s="46" t="s">
        <v>347</v>
      </c>
      <c r="X722" s="47" t="s">
        <v>9305</v>
      </c>
      <c r="Y722" s="46" t="s">
        <v>5567</v>
      </c>
      <c r="Z722" s="46" t="s">
        <v>5568</v>
      </c>
      <c r="AA722" s="46" t="s">
        <v>5562</v>
      </c>
      <c r="AB722" s="47" t="s">
        <v>9305</v>
      </c>
      <c r="AC722" s="76" t="s">
        <v>9225</v>
      </c>
      <c r="AD722" s="30"/>
      <c r="AE722" s="197"/>
      <c r="AF722" s="47"/>
    </row>
    <row r="723" spans="1:32" s="29" customFormat="1" ht="69.95" hidden="1" customHeight="1">
      <c r="A723" s="49" t="s">
        <v>3999</v>
      </c>
      <c r="B723" s="49" t="s">
        <v>3769</v>
      </c>
      <c r="C723" s="50" t="s">
        <v>75</v>
      </c>
      <c r="D723" s="50"/>
      <c r="E723" s="58" t="s">
        <v>8634</v>
      </c>
      <c r="F723" s="58" t="s">
        <v>8634</v>
      </c>
      <c r="J723" s="29">
        <f t="shared" si="44"/>
        <v>1</v>
      </c>
      <c r="K723" s="42">
        <v>716</v>
      </c>
      <c r="L723" s="43" t="s">
        <v>1734</v>
      </c>
      <c r="M723" s="43" t="s">
        <v>405</v>
      </c>
      <c r="N723" s="43" t="s">
        <v>521</v>
      </c>
      <c r="O723" s="44" t="str">
        <f t="shared" si="45"/>
        <v>PE-L1-4C70/35-04</v>
      </c>
      <c r="P723" s="51">
        <v>160</v>
      </c>
      <c r="Q723" s="43">
        <v>400</v>
      </c>
      <c r="R723" s="43" t="s">
        <v>49</v>
      </c>
      <c r="S723" s="43">
        <v>140</v>
      </c>
      <c r="T723" s="43" t="s">
        <v>5010</v>
      </c>
      <c r="U723" s="43" t="s">
        <v>3999</v>
      </c>
      <c r="V723" s="43" t="s">
        <v>4000</v>
      </c>
      <c r="W723" s="43" t="s">
        <v>347</v>
      </c>
      <c r="X723" s="47" t="s">
        <v>9305</v>
      </c>
      <c r="Y723" s="43" t="s">
        <v>5567</v>
      </c>
      <c r="Z723" s="43" t="s">
        <v>5568</v>
      </c>
      <c r="AA723" s="43" t="s">
        <v>5562</v>
      </c>
      <c r="AB723" s="47" t="s">
        <v>9305</v>
      </c>
      <c r="AC723" s="48" t="s">
        <v>5569</v>
      </c>
      <c r="AD723" s="30"/>
      <c r="AE723" s="197"/>
      <c r="AF723" s="47"/>
    </row>
    <row r="724" spans="1:32" s="29" customFormat="1" ht="69.95" hidden="1" customHeight="1">
      <c r="A724" s="29" t="s">
        <v>3999</v>
      </c>
      <c r="B724" s="29" t="s">
        <v>3769</v>
      </c>
      <c r="C724" s="40">
        <v>10</v>
      </c>
      <c r="D724" s="40"/>
      <c r="E724" s="57" t="s">
        <v>189</v>
      </c>
      <c r="F724" s="57" t="s">
        <v>189</v>
      </c>
      <c r="G724" s="29" t="s">
        <v>1735</v>
      </c>
      <c r="J724" s="29">
        <f t="shared" si="44"/>
        <v>1</v>
      </c>
      <c r="K724" s="42">
        <v>717</v>
      </c>
      <c r="L724" s="43" t="s">
        <v>1736</v>
      </c>
      <c r="M724" s="44" t="s">
        <v>405</v>
      </c>
      <c r="N724" s="44" t="s">
        <v>426</v>
      </c>
      <c r="O724" s="44" t="str">
        <f t="shared" si="45"/>
        <v>PE-L1-3C4-13</v>
      </c>
      <c r="P724" s="45">
        <v>0.2</v>
      </c>
      <c r="Q724" s="44">
        <v>230</v>
      </c>
      <c r="R724" s="44" t="s">
        <v>49</v>
      </c>
      <c r="S724" s="44">
        <v>140</v>
      </c>
      <c r="T724" s="46" t="s">
        <v>5010</v>
      </c>
      <c r="U724" s="46" t="s">
        <v>3999</v>
      </c>
      <c r="V724" s="46" t="s">
        <v>4000</v>
      </c>
      <c r="W724" s="46" t="s">
        <v>347</v>
      </c>
      <c r="X724" s="172" t="s">
        <v>9167</v>
      </c>
      <c r="Y724" s="46" t="s">
        <v>5567</v>
      </c>
      <c r="Z724" s="46" t="s">
        <v>5570</v>
      </c>
      <c r="AA724" s="46" t="s">
        <v>5562</v>
      </c>
      <c r="AB724" s="172" t="s">
        <v>9167</v>
      </c>
      <c r="AC724" s="48" t="s">
        <v>5571</v>
      </c>
      <c r="AD724" s="30"/>
      <c r="AE724" s="197"/>
      <c r="AF724" s="47"/>
    </row>
    <row r="725" spans="1:32" s="29" customFormat="1" ht="69.95" hidden="1" customHeight="1">
      <c r="A725" s="29" t="s">
        <v>5558</v>
      </c>
      <c r="B725" s="29" t="s">
        <v>3769</v>
      </c>
      <c r="C725" s="40" t="s">
        <v>40</v>
      </c>
      <c r="D725" s="40"/>
      <c r="E725" s="58" t="s">
        <v>158</v>
      </c>
      <c r="F725" s="58" t="s">
        <v>158</v>
      </c>
      <c r="G725" s="29" t="s">
        <v>1737</v>
      </c>
      <c r="J725" s="29">
        <f t="shared" si="44"/>
        <v>1</v>
      </c>
      <c r="K725" s="42">
        <v>718</v>
      </c>
      <c r="L725" s="43" t="s">
        <v>1738</v>
      </c>
      <c r="M725" s="44" t="s">
        <v>405</v>
      </c>
      <c r="N725" s="44" t="s">
        <v>521</v>
      </c>
      <c r="O725" s="44" t="str">
        <f t="shared" si="45"/>
        <v>PE-L1-4C70/35-01</v>
      </c>
      <c r="P725" s="45">
        <v>160</v>
      </c>
      <c r="Q725" s="44">
        <v>400</v>
      </c>
      <c r="R725" s="44" t="s">
        <v>49</v>
      </c>
      <c r="S725" s="44">
        <v>160</v>
      </c>
      <c r="T725" s="46" t="s">
        <v>5010</v>
      </c>
      <c r="U725" s="46" t="s">
        <v>5558</v>
      </c>
      <c r="V725" s="46" t="s">
        <v>5559</v>
      </c>
      <c r="W725" s="46" t="s">
        <v>347</v>
      </c>
      <c r="X725" s="47" t="s">
        <v>9305</v>
      </c>
      <c r="Y725" s="46" t="s">
        <v>5572</v>
      </c>
      <c r="Z725" s="46" t="s">
        <v>5573</v>
      </c>
      <c r="AA725" s="46" t="s">
        <v>5562</v>
      </c>
      <c r="AB725" s="47" t="s">
        <v>9305</v>
      </c>
      <c r="AC725" s="76" t="s">
        <v>9226</v>
      </c>
      <c r="AD725" s="30"/>
      <c r="AE725" s="197"/>
      <c r="AF725" s="47"/>
    </row>
    <row r="726" spans="1:32" s="29" customFormat="1" ht="69.95" hidden="1" customHeight="1">
      <c r="A726" s="49" t="s">
        <v>5558</v>
      </c>
      <c r="B726" s="49" t="s">
        <v>3769</v>
      </c>
      <c r="C726" s="50" t="s">
        <v>41</v>
      </c>
      <c r="D726" s="50"/>
      <c r="E726" s="58" t="s">
        <v>157</v>
      </c>
      <c r="F726" s="58" t="s">
        <v>157</v>
      </c>
      <c r="J726" s="29">
        <f t="shared" si="44"/>
        <v>1</v>
      </c>
      <c r="K726" s="42">
        <v>719</v>
      </c>
      <c r="L726" s="43" t="s">
        <v>1739</v>
      </c>
      <c r="M726" s="43" t="s">
        <v>405</v>
      </c>
      <c r="N726" s="43" t="s">
        <v>521</v>
      </c>
      <c r="O726" s="44" t="str">
        <f t="shared" si="45"/>
        <v>PE-L1-4C70/35-02</v>
      </c>
      <c r="P726" s="51">
        <v>160</v>
      </c>
      <c r="Q726" s="43">
        <v>400</v>
      </c>
      <c r="R726" s="43" t="s">
        <v>49</v>
      </c>
      <c r="S726" s="43">
        <v>160</v>
      </c>
      <c r="T726" s="43" t="s">
        <v>5010</v>
      </c>
      <c r="U726" s="43" t="s">
        <v>5558</v>
      </c>
      <c r="V726" s="43" t="s">
        <v>5559</v>
      </c>
      <c r="W726" s="43" t="s">
        <v>347</v>
      </c>
      <c r="X726" s="47" t="s">
        <v>9305</v>
      </c>
      <c r="Y726" s="43" t="s">
        <v>5572</v>
      </c>
      <c r="Z726" s="43" t="s">
        <v>5573</v>
      </c>
      <c r="AA726" s="43" t="s">
        <v>5562</v>
      </c>
      <c r="AB726" s="47" t="s">
        <v>9305</v>
      </c>
      <c r="AC726" s="48" t="s">
        <v>5574</v>
      </c>
      <c r="AD726" s="30"/>
      <c r="AE726" s="197"/>
      <c r="AF726" s="47"/>
    </row>
    <row r="727" spans="1:32" s="29" customFormat="1" ht="69.95" hidden="1" customHeight="1">
      <c r="A727" s="29" t="s">
        <v>5558</v>
      </c>
      <c r="B727" s="29" t="s">
        <v>3769</v>
      </c>
      <c r="C727" s="40" t="s">
        <v>42</v>
      </c>
      <c r="D727" s="40"/>
      <c r="E727" s="56" t="s">
        <v>189</v>
      </c>
      <c r="F727" s="56" t="s">
        <v>189</v>
      </c>
      <c r="G727" s="29" t="s">
        <v>1740</v>
      </c>
      <c r="J727" s="29">
        <f t="shared" si="44"/>
        <v>1</v>
      </c>
      <c r="K727" s="42">
        <v>720</v>
      </c>
      <c r="L727" s="43" t="s">
        <v>1741</v>
      </c>
      <c r="M727" s="44" t="s">
        <v>405</v>
      </c>
      <c r="N727" s="44" t="s">
        <v>426</v>
      </c>
      <c r="O727" s="44" t="str">
        <f t="shared" si="45"/>
        <v>PE-L1-3C4-13</v>
      </c>
      <c r="P727" s="45">
        <v>0.2</v>
      </c>
      <c r="Q727" s="44">
        <v>230</v>
      </c>
      <c r="R727" s="44" t="s">
        <v>49</v>
      </c>
      <c r="S727" s="44">
        <v>160</v>
      </c>
      <c r="T727" s="46" t="s">
        <v>5010</v>
      </c>
      <c r="U727" s="46" t="s">
        <v>5558</v>
      </c>
      <c r="V727" s="46" t="s">
        <v>5559</v>
      </c>
      <c r="W727" s="46" t="s">
        <v>347</v>
      </c>
      <c r="X727" s="172" t="s">
        <v>9167</v>
      </c>
      <c r="Y727" s="46" t="s">
        <v>5572</v>
      </c>
      <c r="Z727" s="46" t="s">
        <v>5575</v>
      </c>
      <c r="AA727" s="46" t="s">
        <v>5562</v>
      </c>
      <c r="AB727" s="172" t="s">
        <v>9167</v>
      </c>
      <c r="AC727" s="48" t="s">
        <v>5576</v>
      </c>
      <c r="AD727" s="30"/>
      <c r="AE727" s="197"/>
      <c r="AF727" s="47"/>
    </row>
    <row r="728" spans="1:32" s="29" customFormat="1" ht="69.95" hidden="1" customHeight="1">
      <c r="A728" s="29" t="s">
        <v>4474</v>
      </c>
      <c r="B728" s="29" t="s">
        <v>3769</v>
      </c>
      <c r="C728" s="40">
        <v>22</v>
      </c>
      <c r="D728" s="40"/>
      <c r="E728" s="57" t="s">
        <v>190</v>
      </c>
      <c r="F728" s="57" t="s">
        <v>190</v>
      </c>
      <c r="G728" s="29" t="s">
        <v>1742</v>
      </c>
      <c r="J728" s="29">
        <f t="shared" si="44"/>
        <v>1</v>
      </c>
      <c r="K728" s="42">
        <v>721</v>
      </c>
      <c r="L728" s="43" t="s">
        <v>1743</v>
      </c>
      <c r="M728" s="44" t="s">
        <v>405</v>
      </c>
      <c r="N728" s="44" t="s">
        <v>536</v>
      </c>
      <c r="O728" s="44" t="str">
        <f t="shared" si="45"/>
        <v>PE-L1-4C4-08</v>
      </c>
      <c r="P728" s="45">
        <v>0.75</v>
      </c>
      <c r="Q728" s="44">
        <v>400</v>
      </c>
      <c r="R728" s="44" t="s">
        <v>49</v>
      </c>
      <c r="S728" s="44">
        <v>150</v>
      </c>
      <c r="T728" s="46" t="s">
        <v>5010</v>
      </c>
      <c r="U728" s="46" t="s">
        <v>4474</v>
      </c>
      <c r="V728" s="46" t="s">
        <v>4475</v>
      </c>
      <c r="W728" s="46" t="s">
        <v>347</v>
      </c>
      <c r="X728" s="47" t="s">
        <v>9305</v>
      </c>
      <c r="Y728" s="46" t="s">
        <v>5577</v>
      </c>
      <c r="Z728" s="46" t="s">
        <v>5578</v>
      </c>
      <c r="AA728" s="46" t="s">
        <v>5562</v>
      </c>
      <c r="AB728" s="47" t="s">
        <v>9305</v>
      </c>
      <c r="AC728" s="48" t="s">
        <v>5579</v>
      </c>
      <c r="AD728" s="30"/>
      <c r="AE728" s="197"/>
      <c r="AF728" s="47"/>
    </row>
    <row r="729" spans="1:32" s="29" customFormat="1" ht="69.95" hidden="1" customHeight="1">
      <c r="A729" s="29" t="s">
        <v>4480</v>
      </c>
      <c r="B729" s="29" t="s">
        <v>3769</v>
      </c>
      <c r="C729" s="40">
        <v>20</v>
      </c>
      <c r="D729" s="40"/>
      <c r="E729" s="57" t="s">
        <v>193</v>
      </c>
      <c r="F729" s="57" t="s">
        <v>193</v>
      </c>
      <c r="G729" s="29" t="s">
        <v>1744</v>
      </c>
      <c r="J729" s="29">
        <f t="shared" si="44"/>
        <v>1</v>
      </c>
      <c r="K729" s="42">
        <v>722</v>
      </c>
      <c r="L729" s="43" t="s">
        <v>1745</v>
      </c>
      <c r="M729" s="44" t="s">
        <v>405</v>
      </c>
      <c r="N729" s="44" t="s">
        <v>536</v>
      </c>
      <c r="O729" s="44" t="str">
        <f t="shared" si="45"/>
        <v>PE-L1-4C4-15</v>
      </c>
      <c r="P729" s="45">
        <v>0.75</v>
      </c>
      <c r="Q729" s="44">
        <v>400</v>
      </c>
      <c r="R729" s="44" t="s">
        <v>49</v>
      </c>
      <c r="S729" s="44">
        <v>150</v>
      </c>
      <c r="T729" s="46" t="s">
        <v>5010</v>
      </c>
      <c r="U729" s="46" t="s">
        <v>4480</v>
      </c>
      <c r="V729" s="46" t="s">
        <v>4481</v>
      </c>
      <c r="W729" s="46" t="s">
        <v>347</v>
      </c>
      <c r="X729" s="47" t="s">
        <v>9305</v>
      </c>
      <c r="Y729" s="46" t="s">
        <v>5580</v>
      </c>
      <c r="Z729" s="46" t="s">
        <v>5581</v>
      </c>
      <c r="AA729" s="46" t="s">
        <v>5562</v>
      </c>
      <c r="AB729" s="47" t="s">
        <v>9305</v>
      </c>
      <c r="AC729" s="48" t="s">
        <v>5582</v>
      </c>
      <c r="AD729" s="30"/>
      <c r="AE729" s="197"/>
      <c r="AF729" s="47"/>
    </row>
    <row r="730" spans="1:32" s="29" customFormat="1" ht="69.95" hidden="1" customHeight="1">
      <c r="A730" s="29" t="s">
        <v>4474</v>
      </c>
      <c r="B730" s="29" t="s">
        <v>3769</v>
      </c>
      <c r="C730" s="40">
        <v>23</v>
      </c>
      <c r="D730" s="40"/>
      <c r="E730" s="57" t="s">
        <v>191</v>
      </c>
      <c r="F730" s="57" t="s">
        <v>191</v>
      </c>
      <c r="G730" s="29" t="s">
        <v>1746</v>
      </c>
      <c r="J730" s="29">
        <f t="shared" si="44"/>
        <v>1</v>
      </c>
      <c r="K730" s="42">
        <v>723</v>
      </c>
      <c r="L730" s="43" t="s">
        <v>1747</v>
      </c>
      <c r="M730" s="44" t="s">
        <v>405</v>
      </c>
      <c r="N730" s="44" t="s">
        <v>536</v>
      </c>
      <c r="O730" s="44" t="str">
        <f t="shared" si="45"/>
        <v>PE-L1-4C4-21</v>
      </c>
      <c r="P730" s="45">
        <v>0.75</v>
      </c>
      <c r="Q730" s="44">
        <v>400</v>
      </c>
      <c r="R730" s="44" t="s">
        <v>49</v>
      </c>
      <c r="S730" s="44">
        <v>160</v>
      </c>
      <c r="T730" s="46" t="s">
        <v>5010</v>
      </c>
      <c r="U730" s="46" t="s">
        <v>4474</v>
      </c>
      <c r="V730" s="46" t="s">
        <v>4475</v>
      </c>
      <c r="W730" s="46" t="s">
        <v>347</v>
      </c>
      <c r="X730" s="47" t="s">
        <v>9305</v>
      </c>
      <c r="Y730" s="46" t="s">
        <v>5583</v>
      </c>
      <c r="Z730" s="46" t="s">
        <v>5584</v>
      </c>
      <c r="AA730" s="46" t="s">
        <v>5562</v>
      </c>
      <c r="AB730" s="47" t="s">
        <v>9305</v>
      </c>
      <c r="AC730" s="48" t="s">
        <v>5585</v>
      </c>
      <c r="AD730" s="30"/>
      <c r="AE730" s="197"/>
      <c r="AF730" s="47"/>
    </row>
    <row r="731" spans="1:32" s="29" customFormat="1" ht="69.95" hidden="1" customHeight="1">
      <c r="A731" s="29" t="s">
        <v>4474</v>
      </c>
      <c r="B731" s="29" t="s">
        <v>3769</v>
      </c>
      <c r="C731" s="40">
        <v>24</v>
      </c>
      <c r="D731" s="40"/>
      <c r="E731" s="57" t="s">
        <v>191</v>
      </c>
      <c r="F731" s="57" t="s">
        <v>191</v>
      </c>
      <c r="G731" s="29" t="s">
        <v>1748</v>
      </c>
      <c r="J731" s="29">
        <f t="shared" si="44"/>
        <v>1</v>
      </c>
      <c r="K731" s="42">
        <v>724</v>
      </c>
      <c r="L731" s="43" t="s">
        <v>1749</v>
      </c>
      <c r="M731" s="44" t="s">
        <v>405</v>
      </c>
      <c r="N731" s="44" t="s">
        <v>536</v>
      </c>
      <c r="O731" s="44" t="str">
        <f t="shared" si="45"/>
        <v>PE-L1-4C4-21</v>
      </c>
      <c r="P731" s="45">
        <v>0.2</v>
      </c>
      <c r="Q731" s="44">
        <v>400</v>
      </c>
      <c r="R731" s="44" t="s">
        <v>49</v>
      </c>
      <c r="S731" s="44">
        <v>300</v>
      </c>
      <c r="T731" s="46" t="s">
        <v>5010</v>
      </c>
      <c r="U731" s="46" t="s">
        <v>4474</v>
      </c>
      <c r="V731" s="46" t="s">
        <v>4475</v>
      </c>
      <c r="W731" s="46" t="s">
        <v>347</v>
      </c>
      <c r="X731" s="47" t="s">
        <v>9305</v>
      </c>
      <c r="Y731" s="46" t="s">
        <v>5586</v>
      </c>
      <c r="Z731" s="46" t="s">
        <v>5587</v>
      </c>
      <c r="AA731" s="46" t="s">
        <v>392</v>
      </c>
      <c r="AB731" s="47" t="s">
        <v>9305</v>
      </c>
      <c r="AC731" s="48" t="s">
        <v>5588</v>
      </c>
      <c r="AD731" s="30"/>
      <c r="AE731" s="197"/>
      <c r="AF731" s="47"/>
    </row>
    <row r="732" spans="1:32" s="29" customFormat="1" ht="69.95" hidden="1" customHeight="1">
      <c r="A732" s="29" t="s">
        <v>4480</v>
      </c>
      <c r="B732" s="29" t="s">
        <v>3769</v>
      </c>
      <c r="C732" s="40">
        <v>21</v>
      </c>
      <c r="D732" s="40"/>
      <c r="E732" s="57" t="s">
        <v>8611</v>
      </c>
      <c r="F732" s="57" t="s">
        <v>8611</v>
      </c>
      <c r="G732" s="29" t="s">
        <v>1750</v>
      </c>
      <c r="J732" s="29">
        <f t="shared" si="44"/>
        <v>1</v>
      </c>
      <c r="K732" s="42">
        <v>725</v>
      </c>
      <c r="L732" s="43" t="s">
        <v>1751</v>
      </c>
      <c r="M732" s="44" t="s">
        <v>405</v>
      </c>
      <c r="N732" s="44" t="s">
        <v>536</v>
      </c>
      <c r="O732" s="44" t="str">
        <f t="shared" si="45"/>
        <v>PE-L1-4C4-26</v>
      </c>
      <c r="P732" s="45">
        <v>0.75</v>
      </c>
      <c r="Q732" s="44">
        <v>400</v>
      </c>
      <c r="R732" s="44" t="s">
        <v>49</v>
      </c>
      <c r="S732" s="44">
        <v>200</v>
      </c>
      <c r="T732" s="46" t="s">
        <v>5010</v>
      </c>
      <c r="U732" s="46" t="s">
        <v>4480</v>
      </c>
      <c r="V732" s="46" t="s">
        <v>4481</v>
      </c>
      <c r="W732" s="46" t="s">
        <v>347</v>
      </c>
      <c r="X732" s="47" t="s">
        <v>9305</v>
      </c>
      <c r="Y732" s="46" t="s">
        <v>5589</v>
      </c>
      <c r="Z732" s="46" t="s">
        <v>5590</v>
      </c>
      <c r="AA732" s="46" t="s">
        <v>5591</v>
      </c>
      <c r="AB732" s="47" t="s">
        <v>9305</v>
      </c>
      <c r="AC732" s="48" t="s">
        <v>5592</v>
      </c>
      <c r="AD732" s="30"/>
      <c r="AE732" s="197"/>
      <c r="AF732" s="47"/>
    </row>
    <row r="733" spans="1:32" s="29" customFormat="1" ht="69.95" hidden="1" customHeight="1">
      <c r="A733" s="29" t="s">
        <v>5152</v>
      </c>
      <c r="B733" s="29" t="s">
        <v>3769</v>
      </c>
      <c r="C733" s="40">
        <v>28</v>
      </c>
      <c r="D733" s="40"/>
      <c r="E733" s="57" t="s">
        <v>188</v>
      </c>
      <c r="F733" s="57" t="s">
        <v>188</v>
      </c>
      <c r="G733" s="29" t="s">
        <v>1752</v>
      </c>
      <c r="J733" s="29">
        <f t="shared" si="44"/>
        <v>1</v>
      </c>
      <c r="K733" s="42">
        <v>726</v>
      </c>
      <c r="L733" s="43" t="s">
        <v>1753</v>
      </c>
      <c r="M733" s="44" t="s">
        <v>405</v>
      </c>
      <c r="N733" s="44" t="s">
        <v>536</v>
      </c>
      <c r="O733" s="44" t="str">
        <f t="shared" si="45"/>
        <v>PE-L1-4C4-08</v>
      </c>
      <c r="P733" s="45">
        <v>0.4</v>
      </c>
      <c r="Q733" s="44">
        <v>400</v>
      </c>
      <c r="R733" s="44" t="s">
        <v>49</v>
      </c>
      <c r="S733" s="44">
        <v>320</v>
      </c>
      <c r="T733" s="46" t="s">
        <v>5593</v>
      </c>
      <c r="U733" s="46" t="s">
        <v>5152</v>
      </c>
      <c r="V733" s="46" t="s">
        <v>5153</v>
      </c>
      <c r="W733" s="46" t="s">
        <v>5154</v>
      </c>
      <c r="X733" s="47" t="s">
        <v>9305</v>
      </c>
      <c r="Y733" s="46" t="s">
        <v>5594</v>
      </c>
      <c r="Z733" s="46" t="s">
        <v>5595</v>
      </c>
      <c r="AA733" s="46" t="s">
        <v>5596</v>
      </c>
      <c r="AB733" s="47" t="s">
        <v>9305</v>
      </c>
      <c r="AC733" s="48" t="s">
        <v>5597</v>
      </c>
      <c r="AD733" s="30"/>
      <c r="AE733" s="197"/>
      <c r="AF733" s="47"/>
    </row>
    <row r="734" spans="1:32" s="29" customFormat="1" ht="69.95" hidden="1" customHeight="1">
      <c r="A734" s="29" t="s">
        <v>5159</v>
      </c>
      <c r="B734" s="29" t="s">
        <v>3769</v>
      </c>
      <c r="C734" s="40">
        <v>26</v>
      </c>
      <c r="D734" s="40"/>
      <c r="E734" s="57" t="s">
        <v>188</v>
      </c>
      <c r="F734" s="57" t="s">
        <v>188</v>
      </c>
      <c r="G734" s="29" t="s">
        <v>1754</v>
      </c>
      <c r="J734" s="29">
        <f t="shared" si="44"/>
        <v>1</v>
      </c>
      <c r="K734" s="42">
        <v>727</v>
      </c>
      <c r="L734" s="43" t="s">
        <v>1755</v>
      </c>
      <c r="M734" s="44" t="s">
        <v>405</v>
      </c>
      <c r="N734" s="44" t="s">
        <v>536</v>
      </c>
      <c r="O734" s="44" t="str">
        <f t="shared" si="45"/>
        <v>PE-L1-4C4-08</v>
      </c>
      <c r="P734" s="45">
        <v>0.4</v>
      </c>
      <c r="Q734" s="44">
        <v>400</v>
      </c>
      <c r="R734" s="44" t="s">
        <v>49</v>
      </c>
      <c r="S734" s="44">
        <v>320</v>
      </c>
      <c r="T734" s="46" t="s">
        <v>5593</v>
      </c>
      <c r="U734" s="46" t="s">
        <v>5159</v>
      </c>
      <c r="V734" s="46" t="s">
        <v>5160</v>
      </c>
      <c r="W734" s="46" t="s">
        <v>5154</v>
      </c>
      <c r="X734" s="47" t="s">
        <v>9305</v>
      </c>
      <c r="Y734" s="46" t="s">
        <v>5598</v>
      </c>
      <c r="Z734" s="46" t="s">
        <v>5599</v>
      </c>
      <c r="AA734" s="46" t="s">
        <v>5600</v>
      </c>
      <c r="AB734" s="47" t="s">
        <v>9305</v>
      </c>
      <c r="AC734" s="48" t="s">
        <v>5601</v>
      </c>
      <c r="AD734" s="30"/>
      <c r="AE734" s="197"/>
      <c r="AF734" s="47"/>
    </row>
    <row r="735" spans="1:32" s="29" customFormat="1" ht="69.95" hidden="1" customHeight="1">
      <c r="A735" s="29" t="s">
        <v>4783</v>
      </c>
      <c r="B735" s="29" t="s">
        <v>3769</v>
      </c>
      <c r="C735" s="40" t="s">
        <v>73</v>
      </c>
      <c r="D735" s="40"/>
      <c r="E735" s="57" t="s">
        <v>188</v>
      </c>
      <c r="F735" s="57" t="s">
        <v>188</v>
      </c>
      <c r="G735" s="29" t="s">
        <v>1756</v>
      </c>
      <c r="J735" s="29">
        <f t="shared" si="44"/>
        <v>1</v>
      </c>
      <c r="K735" s="42">
        <v>728</v>
      </c>
      <c r="L735" s="43" t="s">
        <v>1757</v>
      </c>
      <c r="M735" s="44" t="s">
        <v>405</v>
      </c>
      <c r="N735" s="44" t="s">
        <v>536</v>
      </c>
      <c r="O735" s="44" t="str">
        <f t="shared" si="45"/>
        <v>PE-L1-4C4-08</v>
      </c>
      <c r="P735" s="45">
        <v>0.75</v>
      </c>
      <c r="Q735" s="44">
        <v>400</v>
      </c>
      <c r="R735" s="44" t="s">
        <v>49</v>
      </c>
      <c r="S735" s="44">
        <v>40</v>
      </c>
      <c r="T735" s="46" t="s">
        <v>5279</v>
      </c>
      <c r="U735" s="46" t="s">
        <v>4783</v>
      </c>
      <c r="V735" s="46" t="s">
        <v>4784</v>
      </c>
      <c r="W735" s="46" t="s">
        <v>4549</v>
      </c>
      <c r="X735" s="47" t="s">
        <v>9305</v>
      </c>
      <c r="Y735" s="46" t="s">
        <v>5602</v>
      </c>
      <c r="Z735" s="46" t="s">
        <v>5603</v>
      </c>
      <c r="AA735" s="46" t="s">
        <v>4549</v>
      </c>
      <c r="AB735" s="47" t="s">
        <v>9305</v>
      </c>
      <c r="AC735" s="48" t="s">
        <v>5604</v>
      </c>
      <c r="AD735" s="30"/>
      <c r="AE735" s="197"/>
      <c r="AF735" s="47"/>
    </row>
    <row r="736" spans="1:32" s="29" customFormat="1" ht="69.95" hidden="1" customHeight="1">
      <c r="A736" s="29" t="s">
        <v>4775</v>
      </c>
      <c r="B736" s="29" t="s">
        <v>3769</v>
      </c>
      <c r="C736" s="40">
        <v>10</v>
      </c>
      <c r="D736" s="40"/>
      <c r="E736" s="57" t="s">
        <v>174</v>
      </c>
      <c r="F736" s="57" t="s">
        <v>174</v>
      </c>
      <c r="G736" s="29" t="s">
        <v>1758</v>
      </c>
      <c r="J736" s="29">
        <f t="shared" si="44"/>
        <v>1</v>
      </c>
      <c r="K736" s="42">
        <v>729</v>
      </c>
      <c r="L736" s="43" t="s">
        <v>1759</v>
      </c>
      <c r="M736" s="44" t="s">
        <v>405</v>
      </c>
      <c r="N736" s="44" t="s">
        <v>536</v>
      </c>
      <c r="O736" s="44" t="str">
        <f t="shared" si="45"/>
        <v>PE-L1-4C4-07</v>
      </c>
      <c r="P736" s="45">
        <v>0.75</v>
      </c>
      <c r="Q736" s="44">
        <v>400</v>
      </c>
      <c r="R736" s="44" t="s">
        <v>49</v>
      </c>
      <c r="S736" s="44">
        <v>30</v>
      </c>
      <c r="T736" s="46" t="s">
        <v>5279</v>
      </c>
      <c r="U736" s="46" t="s">
        <v>4775</v>
      </c>
      <c r="V736" s="46" t="s">
        <v>4776</v>
      </c>
      <c r="W736" s="46" t="s">
        <v>4549</v>
      </c>
      <c r="X736" s="47" t="s">
        <v>9305</v>
      </c>
      <c r="Y736" s="46" t="s">
        <v>5605</v>
      </c>
      <c r="Z736" s="46" t="s">
        <v>5606</v>
      </c>
      <c r="AA736" s="46" t="s">
        <v>4549</v>
      </c>
      <c r="AB736" s="47" t="s">
        <v>9305</v>
      </c>
      <c r="AC736" s="48" t="s">
        <v>5607</v>
      </c>
      <c r="AD736" s="30"/>
      <c r="AE736" s="197"/>
      <c r="AF736" s="47"/>
    </row>
    <row r="737" spans="1:32" s="29" customFormat="1" ht="69.95" hidden="1" customHeight="1">
      <c r="A737" s="29" t="s">
        <v>4783</v>
      </c>
      <c r="B737" s="29" t="s">
        <v>3769</v>
      </c>
      <c r="C737" s="40" t="s">
        <v>75</v>
      </c>
      <c r="D737" s="40"/>
      <c r="E737" s="57" t="s">
        <v>188</v>
      </c>
      <c r="F737" s="57" t="s">
        <v>188</v>
      </c>
      <c r="G737" s="29" t="s">
        <v>1760</v>
      </c>
      <c r="J737" s="29">
        <f t="shared" si="44"/>
        <v>1</v>
      </c>
      <c r="K737" s="42">
        <v>730</v>
      </c>
      <c r="L737" s="43" t="s">
        <v>1761</v>
      </c>
      <c r="M737" s="44" t="s">
        <v>405</v>
      </c>
      <c r="N737" s="44" t="s">
        <v>536</v>
      </c>
      <c r="O737" s="44" t="str">
        <f t="shared" si="45"/>
        <v>PE-L1-4C4-08</v>
      </c>
      <c r="P737" s="45">
        <v>0.75</v>
      </c>
      <c r="Q737" s="44">
        <v>400</v>
      </c>
      <c r="R737" s="44" t="s">
        <v>49</v>
      </c>
      <c r="S737" s="44">
        <v>50</v>
      </c>
      <c r="T737" s="46" t="s">
        <v>5279</v>
      </c>
      <c r="U737" s="46" t="s">
        <v>4783</v>
      </c>
      <c r="V737" s="46" t="s">
        <v>4784</v>
      </c>
      <c r="W737" s="46" t="s">
        <v>4549</v>
      </c>
      <c r="X737" s="47" t="s">
        <v>9305</v>
      </c>
      <c r="Y737" s="46" t="s">
        <v>5608</v>
      </c>
      <c r="Z737" s="46" t="s">
        <v>5609</v>
      </c>
      <c r="AA737" s="46" t="s">
        <v>4549</v>
      </c>
      <c r="AB737" s="47" t="s">
        <v>9305</v>
      </c>
      <c r="AC737" s="48" t="s">
        <v>5610</v>
      </c>
      <c r="AD737" s="30"/>
      <c r="AE737" s="197"/>
      <c r="AF737" s="47"/>
    </row>
    <row r="738" spans="1:32" s="29" customFormat="1" ht="69.95" hidden="1" customHeight="1">
      <c r="A738" s="29" t="s">
        <v>4978</v>
      </c>
      <c r="B738" s="29" t="s">
        <v>3769</v>
      </c>
      <c r="C738" s="40">
        <v>10</v>
      </c>
      <c r="D738" s="40"/>
      <c r="E738" s="57" t="s">
        <v>192</v>
      </c>
      <c r="F738" s="57" t="s">
        <v>192</v>
      </c>
      <c r="G738" s="29" t="s">
        <v>1762</v>
      </c>
      <c r="J738" s="29">
        <f t="shared" si="44"/>
        <v>1</v>
      </c>
      <c r="K738" s="42">
        <v>731</v>
      </c>
      <c r="L738" s="43" t="s">
        <v>1763</v>
      </c>
      <c r="M738" s="44" t="s">
        <v>405</v>
      </c>
      <c r="N738" s="44" t="s">
        <v>536</v>
      </c>
      <c r="O738" s="44" t="str">
        <f t="shared" si="45"/>
        <v>PE-L1-4C4-11</v>
      </c>
      <c r="P738" s="45">
        <v>0.75</v>
      </c>
      <c r="Q738" s="44">
        <v>400</v>
      </c>
      <c r="R738" s="44" t="s">
        <v>49</v>
      </c>
      <c r="S738" s="44">
        <v>80</v>
      </c>
      <c r="T738" s="46" t="s">
        <v>5279</v>
      </c>
      <c r="U738" s="46" t="s">
        <v>4978</v>
      </c>
      <c r="V738" s="46" t="s">
        <v>4979</v>
      </c>
      <c r="W738" s="46" t="s">
        <v>4549</v>
      </c>
      <c r="X738" s="47" t="s">
        <v>9305</v>
      </c>
      <c r="Y738" s="46" t="s">
        <v>5611</v>
      </c>
      <c r="Z738" s="46" t="s">
        <v>5612</v>
      </c>
      <c r="AA738" s="46" t="s">
        <v>4549</v>
      </c>
      <c r="AB738" s="47" t="s">
        <v>9305</v>
      </c>
      <c r="AC738" s="48" t="s">
        <v>5613</v>
      </c>
      <c r="AD738" s="30"/>
      <c r="AE738" s="197"/>
      <c r="AF738" s="47"/>
    </row>
    <row r="739" spans="1:32" s="29" customFormat="1" ht="69.95" hidden="1" customHeight="1">
      <c r="A739" s="29" t="s">
        <v>4974</v>
      </c>
      <c r="B739" s="29" t="s">
        <v>3769</v>
      </c>
      <c r="C739" s="40" t="s">
        <v>73</v>
      </c>
      <c r="D739" s="40"/>
      <c r="E739" s="57" t="s">
        <v>192</v>
      </c>
      <c r="F739" s="57" t="s">
        <v>192</v>
      </c>
      <c r="G739" s="29" t="s">
        <v>1764</v>
      </c>
      <c r="J739" s="29">
        <f t="shared" si="44"/>
        <v>1</v>
      </c>
      <c r="K739" s="42">
        <v>732</v>
      </c>
      <c r="L739" s="43" t="s">
        <v>1765</v>
      </c>
      <c r="M739" s="44" t="s">
        <v>405</v>
      </c>
      <c r="N739" s="44" t="s">
        <v>536</v>
      </c>
      <c r="O739" s="44" t="str">
        <f t="shared" si="45"/>
        <v>PE-L1-4C4-11</v>
      </c>
      <c r="P739" s="45">
        <v>0.75</v>
      </c>
      <c r="Q739" s="44">
        <v>400</v>
      </c>
      <c r="R739" s="44" t="s">
        <v>49</v>
      </c>
      <c r="S739" s="44">
        <v>50</v>
      </c>
      <c r="T739" s="46" t="s">
        <v>5279</v>
      </c>
      <c r="U739" s="46" t="s">
        <v>4974</v>
      </c>
      <c r="V739" s="46" t="s">
        <v>4975</v>
      </c>
      <c r="W739" s="46" t="s">
        <v>4549</v>
      </c>
      <c r="X739" s="47" t="s">
        <v>9305</v>
      </c>
      <c r="Y739" s="46" t="s">
        <v>5614</v>
      </c>
      <c r="Z739" s="46" t="s">
        <v>5615</v>
      </c>
      <c r="AA739" s="46" t="s">
        <v>4549</v>
      </c>
      <c r="AB739" s="47" t="s">
        <v>9305</v>
      </c>
      <c r="AC739" s="48" t="s">
        <v>5616</v>
      </c>
      <c r="AD739" s="30"/>
      <c r="AE739" s="197"/>
      <c r="AF739" s="47"/>
    </row>
    <row r="740" spans="1:32" s="29" customFormat="1" ht="69.95" hidden="1" customHeight="1">
      <c r="A740" s="29" t="s">
        <v>4978</v>
      </c>
      <c r="B740" s="29" t="s">
        <v>3769</v>
      </c>
      <c r="C740" s="40">
        <v>11</v>
      </c>
      <c r="D740" s="40"/>
      <c r="E740" s="57" t="s">
        <v>82</v>
      </c>
      <c r="F740" s="57" t="s">
        <v>82</v>
      </c>
      <c r="G740" s="29" t="s">
        <v>1766</v>
      </c>
      <c r="J740" s="29">
        <f t="shared" si="44"/>
        <v>1</v>
      </c>
      <c r="K740" s="42">
        <v>733</v>
      </c>
      <c r="L740" s="43" t="s">
        <v>1767</v>
      </c>
      <c r="M740" s="44" t="s">
        <v>405</v>
      </c>
      <c r="N740" s="44" t="s">
        <v>536</v>
      </c>
      <c r="O740" s="44" t="str">
        <f t="shared" si="45"/>
        <v>PE-L1-4C4-18</v>
      </c>
      <c r="P740" s="45">
        <v>0.75</v>
      </c>
      <c r="Q740" s="44">
        <v>400</v>
      </c>
      <c r="R740" s="44" t="s">
        <v>49</v>
      </c>
      <c r="S740" s="44">
        <v>60</v>
      </c>
      <c r="T740" s="46" t="s">
        <v>5279</v>
      </c>
      <c r="U740" s="46" t="s">
        <v>4978</v>
      </c>
      <c r="V740" s="46" t="s">
        <v>4979</v>
      </c>
      <c r="W740" s="46" t="s">
        <v>4549</v>
      </c>
      <c r="X740" s="47" t="s">
        <v>9305</v>
      </c>
      <c r="Y740" s="46" t="s">
        <v>5617</v>
      </c>
      <c r="Z740" s="46" t="s">
        <v>5618</v>
      </c>
      <c r="AA740" s="46" t="s">
        <v>4549</v>
      </c>
      <c r="AB740" s="47" t="s">
        <v>9305</v>
      </c>
      <c r="AC740" s="48" t="s">
        <v>5619</v>
      </c>
      <c r="AD740" s="30"/>
      <c r="AE740" s="197"/>
      <c r="AF740" s="47"/>
    </row>
    <row r="741" spans="1:32" s="29" customFormat="1" ht="69.95" hidden="1" customHeight="1">
      <c r="A741" s="29" t="s">
        <v>4412</v>
      </c>
      <c r="B741" s="29" t="s">
        <v>3769</v>
      </c>
      <c r="C741" s="40">
        <v>20</v>
      </c>
      <c r="D741" s="40"/>
      <c r="E741" s="57" t="s">
        <v>188</v>
      </c>
      <c r="F741" s="57" t="s">
        <v>188</v>
      </c>
      <c r="G741" s="29" t="s">
        <v>1768</v>
      </c>
      <c r="J741" s="29">
        <f t="shared" si="44"/>
        <v>1</v>
      </c>
      <c r="K741" s="42">
        <v>734</v>
      </c>
      <c r="L741" s="43" t="s">
        <v>1769</v>
      </c>
      <c r="M741" s="44" t="s">
        <v>405</v>
      </c>
      <c r="N741" s="44" t="s">
        <v>536</v>
      </c>
      <c r="O741" s="44" t="str">
        <f t="shared" si="45"/>
        <v>PE-L1-4C4-08</v>
      </c>
      <c r="P741" s="45">
        <v>0.4</v>
      </c>
      <c r="Q741" s="44">
        <v>400</v>
      </c>
      <c r="R741" s="44" t="s">
        <v>49</v>
      </c>
      <c r="S741" s="44">
        <v>280</v>
      </c>
      <c r="T741" s="46" t="s">
        <v>5620</v>
      </c>
      <c r="U741" s="46" t="s">
        <v>4412</v>
      </c>
      <c r="V741" s="46" t="s">
        <v>4413</v>
      </c>
      <c r="W741" s="46" t="s">
        <v>335</v>
      </c>
      <c r="X741" s="47" t="s">
        <v>9305</v>
      </c>
      <c r="Y741" s="46" t="s">
        <v>5621</v>
      </c>
      <c r="Z741" s="46" t="s">
        <v>5622</v>
      </c>
      <c r="AA741" s="46" t="s">
        <v>5623</v>
      </c>
      <c r="AB741" s="47" t="s">
        <v>9305</v>
      </c>
      <c r="AC741" s="48" t="s">
        <v>5624</v>
      </c>
      <c r="AD741" s="30"/>
      <c r="AE741" s="197"/>
      <c r="AF741" s="47"/>
    </row>
    <row r="742" spans="1:32" s="29" customFormat="1" ht="69.95" hidden="1" customHeight="1">
      <c r="A742" s="29" t="s">
        <v>4412</v>
      </c>
      <c r="B742" s="29" t="s">
        <v>3769</v>
      </c>
      <c r="C742" s="40">
        <v>21</v>
      </c>
      <c r="D742" s="40"/>
      <c r="E742" s="57" t="s">
        <v>188</v>
      </c>
      <c r="F742" s="57" t="s">
        <v>188</v>
      </c>
      <c r="G742" s="29" t="s">
        <v>1770</v>
      </c>
      <c r="J742" s="29">
        <f t="shared" si="44"/>
        <v>1</v>
      </c>
      <c r="K742" s="42">
        <v>735</v>
      </c>
      <c r="L742" s="43" t="s">
        <v>1771</v>
      </c>
      <c r="M742" s="44" t="s">
        <v>405</v>
      </c>
      <c r="N742" s="44" t="s">
        <v>536</v>
      </c>
      <c r="O742" s="44" t="str">
        <f t="shared" si="45"/>
        <v>PE-L1-4C4-08</v>
      </c>
      <c r="P742" s="45">
        <v>0.4</v>
      </c>
      <c r="Q742" s="44">
        <v>400</v>
      </c>
      <c r="R742" s="44" t="s">
        <v>49</v>
      </c>
      <c r="S742" s="44">
        <v>290</v>
      </c>
      <c r="T742" s="46" t="s">
        <v>5620</v>
      </c>
      <c r="U742" s="46" t="s">
        <v>4412</v>
      </c>
      <c r="V742" s="46" t="s">
        <v>4413</v>
      </c>
      <c r="W742" s="46" t="s">
        <v>335</v>
      </c>
      <c r="X742" s="47" t="s">
        <v>9305</v>
      </c>
      <c r="Y742" s="46" t="s">
        <v>5625</v>
      </c>
      <c r="Z742" s="46" t="s">
        <v>5626</v>
      </c>
      <c r="AA742" s="46" t="s">
        <v>5623</v>
      </c>
      <c r="AB742" s="47" t="s">
        <v>9305</v>
      </c>
      <c r="AC742" s="48" t="s">
        <v>5627</v>
      </c>
      <c r="AD742" s="30"/>
      <c r="AE742" s="197"/>
      <c r="AF742" s="47"/>
    </row>
    <row r="743" spans="1:32" s="29" customFormat="1" ht="69.95" hidden="1" customHeight="1">
      <c r="A743" s="29" t="s">
        <v>4412</v>
      </c>
      <c r="B743" s="29" t="s">
        <v>3769</v>
      </c>
      <c r="C743" s="40">
        <v>22</v>
      </c>
      <c r="D743" s="40"/>
      <c r="E743" s="57" t="s">
        <v>193</v>
      </c>
      <c r="F743" s="57" t="s">
        <v>193</v>
      </c>
      <c r="G743" s="29" t="s">
        <v>1772</v>
      </c>
      <c r="J743" s="29">
        <f t="shared" si="44"/>
        <v>1</v>
      </c>
      <c r="K743" s="42">
        <v>736</v>
      </c>
      <c r="L743" s="43" t="s">
        <v>1773</v>
      </c>
      <c r="M743" s="44" t="s">
        <v>405</v>
      </c>
      <c r="N743" s="44" t="s">
        <v>536</v>
      </c>
      <c r="O743" s="44" t="str">
        <f t="shared" si="45"/>
        <v>PE-L1-4C4-15</v>
      </c>
      <c r="P743" s="45">
        <v>0.4</v>
      </c>
      <c r="Q743" s="44">
        <v>400</v>
      </c>
      <c r="R743" s="44" t="s">
        <v>49</v>
      </c>
      <c r="S743" s="44">
        <v>290</v>
      </c>
      <c r="T743" s="46" t="s">
        <v>5620</v>
      </c>
      <c r="U743" s="46" t="s">
        <v>4412</v>
      </c>
      <c r="V743" s="46" t="s">
        <v>4413</v>
      </c>
      <c r="W743" s="46" t="s">
        <v>335</v>
      </c>
      <c r="X743" s="47" t="s">
        <v>9305</v>
      </c>
      <c r="Y743" s="46" t="s">
        <v>5628</v>
      </c>
      <c r="Z743" s="46" t="s">
        <v>5629</v>
      </c>
      <c r="AA743" s="46" t="s">
        <v>5623</v>
      </c>
      <c r="AB743" s="47" t="s">
        <v>9305</v>
      </c>
      <c r="AC743" s="48" t="s">
        <v>5630</v>
      </c>
      <c r="AD743" s="30"/>
      <c r="AE743" s="197"/>
      <c r="AF743" s="47"/>
    </row>
    <row r="744" spans="1:32" s="29" customFormat="1" ht="69.95" hidden="1" customHeight="1">
      <c r="A744" s="29" t="s">
        <v>4412</v>
      </c>
      <c r="B744" s="29" t="s">
        <v>3769</v>
      </c>
      <c r="C744" s="40">
        <v>23</v>
      </c>
      <c r="D744" s="40"/>
      <c r="E744" s="57" t="s">
        <v>193</v>
      </c>
      <c r="F744" s="57" t="s">
        <v>193</v>
      </c>
      <c r="G744" s="29" t="s">
        <v>1774</v>
      </c>
      <c r="J744" s="29">
        <f t="shared" si="44"/>
        <v>1</v>
      </c>
      <c r="K744" s="42">
        <v>737</v>
      </c>
      <c r="L744" s="43" t="s">
        <v>1775</v>
      </c>
      <c r="M744" s="44" t="s">
        <v>405</v>
      </c>
      <c r="N744" s="44" t="s">
        <v>536</v>
      </c>
      <c r="O744" s="44" t="str">
        <f t="shared" si="45"/>
        <v>PE-L1-4C4-15</v>
      </c>
      <c r="P744" s="45">
        <v>0.4</v>
      </c>
      <c r="Q744" s="44">
        <v>400</v>
      </c>
      <c r="R744" s="44" t="s">
        <v>49</v>
      </c>
      <c r="S744" s="44">
        <v>280</v>
      </c>
      <c r="T744" s="46" t="s">
        <v>5620</v>
      </c>
      <c r="U744" s="46" t="s">
        <v>4412</v>
      </c>
      <c r="V744" s="46" t="s">
        <v>4413</v>
      </c>
      <c r="W744" s="46" t="s">
        <v>335</v>
      </c>
      <c r="X744" s="47" t="s">
        <v>9305</v>
      </c>
      <c r="Y744" s="46" t="s">
        <v>5631</v>
      </c>
      <c r="Z744" s="46" t="s">
        <v>5632</v>
      </c>
      <c r="AA744" s="46" t="s">
        <v>5623</v>
      </c>
      <c r="AB744" s="47" t="s">
        <v>9305</v>
      </c>
      <c r="AC744" s="48" t="s">
        <v>5633</v>
      </c>
      <c r="AD744" s="30"/>
      <c r="AE744" s="197"/>
      <c r="AF744" s="47"/>
    </row>
    <row r="745" spans="1:32" s="29" customFormat="1" ht="69.95" hidden="1" customHeight="1">
      <c r="A745" s="29" t="s">
        <v>4444</v>
      </c>
      <c r="B745" s="29" t="s">
        <v>3769</v>
      </c>
      <c r="C745" s="40" t="s">
        <v>73</v>
      </c>
      <c r="D745" s="40"/>
      <c r="E745" s="57" t="s">
        <v>193</v>
      </c>
      <c r="F745" s="57" t="s">
        <v>193</v>
      </c>
      <c r="G745" s="29" t="s">
        <v>1776</v>
      </c>
      <c r="J745" s="29">
        <f t="shared" si="44"/>
        <v>1</v>
      </c>
      <c r="K745" s="42">
        <v>738</v>
      </c>
      <c r="L745" s="43" t="s">
        <v>1777</v>
      </c>
      <c r="M745" s="44" t="s">
        <v>405</v>
      </c>
      <c r="N745" s="44" t="s">
        <v>536</v>
      </c>
      <c r="O745" s="44" t="str">
        <f t="shared" si="45"/>
        <v>PE-L1-4C4-15</v>
      </c>
      <c r="P745" s="45">
        <v>0.4</v>
      </c>
      <c r="Q745" s="44">
        <v>400</v>
      </c>
      <c r="R745" s="44" t="s">
        <v>49</v>
      </c>
      <c r="S745" s="44">
        <v>340</v>
      </c>
      <c r="T745" s="46" t="s">
        <v>5620</v>
      </c>
      <c r="U745" s="46" t="s">
        <v>4444</v>
      </c>
      <c r="V745" s="46" t="s">
        <v>4445</v>
      </c>
      <c r="W745" s="46" t="s">
        <v>335</v>
      </c>
      <c r="X745" s="47" t="s">
        <v>9305</v>
      </c>
      <c r="Y745" s="46" t="s">
        <v>5635</v>
      </c>
      <c r="Z745" s="46" t="s">
        <v>5636</v>
      </c>
      <c r="AA745" s="46" t="s">
        <v>5634</v>
      </c>
      <c r="AB745" s="47" t="s">
        <v>9305</v>
      </c>
      <c r="AC745" s="48" t="s">
        <v>5637</v>
      </c>
      <c r="AD745" s="30"/>
      <c r="AE745" s="197"/>
      <c r="AF745" s="47"/>
    </row>
    <row r="746" spans="1:32" s="29" customFormat="1" ht="69.95" hidden="1" customHeight="1">
      <c r="A746" s="29" t="s">
        <v>4444</v>
      </c>
      <c r="B746" s="29" t="s">
        <v>3769</v>
      </c>
      <c r="C746" s="40" t="s">
        <v>75</v>
      </c>
      <c r="D746" s="40"/>
      <c r="E746" s="57" t="s">
        <v>193</v>
      </c>
      <c r="F746" s="57" t="s">
        <v>193</v>
      </c>
      <c r="G746" s="29" t="s">
        <v>1778</v>
      </c>
      <c r="J746" s="29">
        <f t="shared" si="44"/>
        <v>1</v>
      </c>
      <c r="K746" s="42">
        <v>739</v>
      </c>
      <c r="L746" s="43" t="s">
        <v>1779</v>
      </c>
      <c r="M746" s="44" t="s">
        <v>405</v>
      </c>
      <c r="N746" s="44" t="s">
        <v>536</v>
      </c>
      <c r="O746" s="44" t="str">
        <f t="shared" si="45"/>
        <v>PE-L1-4C4-15</v>
      </c>
      <c r="P746" s="45">
        <v>0.4</v>
      </c>
      <c r="Q746" s="44">
        <v>400</v>
      </c>
      <c r="R746" s="44" t="s">
        <v>49</v>
      </c>
      <c r="S746" s="44">
        <v>340</v>
      </c>
      <c r="T746" s="46" t="s">
        <v>5620</v>
      </c>
      <c r="U746" s="46" t="s">
        <v>4444</v>
      </c>
      <c r="V746" s="46" t="s">
        <v>4445</v>
      </c>
      <c r="W746" s="46" t="s">
        <v>335</v>
      </c>
      <c r="X746" s="47" t="s">
        <v>9305</v>
      </c>
      <c r="Y746" s="46" t="s">
        <v>5638</v>
      </c>
      <c r="Z746" s="46" t="s">
        <v>5639</v>
      </c>
      <c r="AA746" s="46" t="s">
        <v>5634</v>
      </c>
      <c r="AB746" s="47" t="s">
        <v>9305</v>
      </c>
      <c r="AC746" s="48" t="s">
        <v>5640</v>
      </c>
      <c r="AD746" s="30"/>
      <c r="AE746" s="197"/>
      <c r="AF746" s="47"/>
    </row>
    <row r="747" spans="1:32" s="29" customFormat="1" ht="69.95" hidden="1" customHeight="1">
      <c r="A747" s="29" t="s">
        <v>4444</v>
      </c>
      <c r="B747" s="29" t="s">
        <v>3769</v>
      </c>
      <c r="C747" s="40">
        <v>10</v>
      </c>
      <c r="D747" s="40"/>
      <c r="E747" s="57" t="s">
        <v>194</v>
      </c>
      <c r="F747" s="57" t="s">
        <v>194</v>
      </c>
      <c r="G747" s="29" t="s">
        <v>1780</v>
      </c>
      <c r="J747" s="29">
        <f t="shared" si="44"/>
        <v>1</v>
      </c>
      <c r="K747" s="42">
        <v>740</v>
      </c>
      <c r="L747" s="43" t="s">
        <v>1781</v>
      </c>
      <c r="M747" s="44" t="s">
        <v>405</v>
      </c>
      <c r="N747" s="44" t="s">
        <v>536</v>
      </c>
      <c r="O747" s="44" t="str">
        <f t="shared" si="45"/>
        <v>PE-L1-4C4-14</v>
      </c>
      <c r="P747" s="45">
        <v>0.4</v>
      </c>
      <c r="Q747" s="44">
        <v>400</v>
      </c>
      <c r="R747" s="44" t="s">
        <v>49</v>
      </c>
      <c r="S747" s="44">
        <v>340</v>
      </c>
      <c r="T747" s="46" t="s">
        <v>5620</v>
      </c>
      <c r="U747" s="46" t="s">
        <v>4444</v>
      </c>
      <c r="V747" s="46" t="s">
        <v>4445</v>
      </c>
      <c r="W747" s="46" t="s">
        <v>335</v>
      </c>
      <c r="X747" s="47" t="s">
        <v>9305</v>
      </c>
      <c r="Y747" s="46" t="s">
        <v>5641</v>
      </c>
      <c r="Z747" s="46" t="s">
        <v>5642</v>
      </c>
      <c r="AA747" s="46" t="s">
        <v>5634</v>
      </c>
      <c r="AB747" s="47" t="s">
        <v>9305</v>
      </c>
      <c r="AC747" s="48" t="s">
        <v>5643</v>
      </c>
      <c r="AD747" s="30"/>
      <c r="AE747" s="197"/>
      <c r="AF747" s="47"/>
    </row>
    <row r="748" spans="1:32" s="29" customFormat="1" ht="69.95" hidden="1" customHeight="1">
      <c r="A748" s="29" t="s">
        <v>4480</v>
      </c>
      <c r="B748" s="29" t="s">
        <v>3769</v>
      </c>
      <c r="C748" s="40">
        <v>23</v>
      </c>
      <c r="D748" s="40"/>
      <c r="E748" s="57" t="s">
        <v>82</v>
      </c>
      <c r="F748" s="57" t="s">
        <v>82</v>
      </c>
      <c r="G748" s="29" t="s">
        <v>1782</v>
      </c>
      <c r="J748" s="29">
        <f t="shared" si="44"/>
        <v>1</v>
      </c>
      <c r="K748" s="42">
        <v>741</v>
      </c>
      <c r="L748" s="43" t="s">
        <v>1783</v>
      </c>
      <c r="M748" s="44" t="s">
        <v>405</v>
      </c>
      <c r="N748" s="44" t="s">
        <v>536</v>
      </c>
      <c r="O748" s="44" t="str">
        <f t="shared" si="45"/>
        <v>PE-L1-4C4-18</v>
      </c>
      <c r="P748" s="45">
        <v>0.4</v>
      </c>
      <c r="Q748" s="44">
        <v>400</v>
      </c>
      <c r="R748" s="44" t="s">
        <v>49</v>
      </c>
      <c r="S748" s="44">
        <v>290</v>
      </c>
      <c r="T748" s="46" t="s">
        <v>5620</v>
      </c>
      <c r="U748" s="46" t="s">
        <v>4480</v>
      </c>
      <c r="V748" s="46" t="s">
        <v>4481</v>
      </c>
      <c r="W748" s="46" t="s">
        <v>347</v>
      </c>
      <c r="X748" s="47" t="s">
        <v>9305</v>
      </c>
      <c r="Y748" s="46" t="s">
        <v>5645</v>
      </c>
      <c r="Z748" s="46" t="s">
        <v>5646</v>
      </c>
      <c r="AA748" s="46" t="s">
        <v>5644</v>
      </c>
      <c r="AB748" s="47" t="s">
        <v>9305</v>
      </c>
      <c r="AC748" s="48" t="s">
        <v>5647</v>
      </c>
      <c r="AD748" s="30"/>
      <c r="AE748" s="197"/>
      <c r="AF748" s="47"/>
    </row>
    <row r="749" spans="1:32" s="29" customFormat="1" ht="69.95" hidden="1" customHeight="1">
      <c r="A749" s="29" t="s">
        <v>4480</v>
      </c>
      <c r="B749" s="29" t="s">
        <v>3769</v>
      </c>
      <c r="C749" s="40">
        <v>24</v>
      </c>
      <c r="D749" s="40"/>
      <c r="E749" s="57" t="s">
        <v>195</v>
      </c>
      <c r="F749" s="57" t="s">
        <v>195</v>
      </c>
      <c r="G749" s="29" t="s">
        <v>1784</v>
      </c>
      <c r="J749" s="29">
        <f t="shared" si="44"/>
        <v>1</v>
      </c>
      <c r="K749" s="42">
        <v>742</v>
      </c>
      <c r="L749" s="43" t="s">
        <v>1785</v>
      </c>
      <c r="M749" s="44" t="s">
        <v>405</v>
      </c>
      <c r="N749" s="44" t="s">
        <v>536</v>
      </c>
      <c r="O749" s="44" t="str">
        <f t="shared" si="45"/>
        <v>PE-L1-4C4-17</v>
      </c>
      <c r="P749" s="45">
        <v>0.4</v>
      </c>
      <c r="Q749" s="44">
        <v>400</v>
      </c>
      <c r="R749" s="44" t="s">
        <v>49</v>
      </c>
      <c r="S749" s="44">
        <v>290</v>
      </c>
      <c r="T749" s="46" t="s">
        <v>5620</v>
      </c>
      <c r="U749" s="46" t="s">
        <v>4480</v>
      </c>
      <c r="V749" s="46" t="s">
        <v>4481</v>
      </c>
      <c r="W749" s="46" t="s">
        <v>347</v>
      </c>
      <c r="X749" s="47" t="s">
        <v>9305</v>
      </c>
      <c r="Y749" s="46" t="s">
        <v>5648</v>
      </c>
      <c r="Z749" s="46" t="s">
        <v>5649</v>
      </c>
      <c r="AA749" s="46" t="s">
        <v>5644</v>
      </c>
      <c r="AB749" s="47" t="s">
        <v>9305</v>
      </c>
      <c r="AC749" s="48" t="s">
        <v>5650</v>
      </c>
      <c r="AD749" s="30"/>
      <c r="AE749" s="197"/>
      <c r="AF749" s="47"/>
    </row>
    <row r="750" spans="1:32" s="29" customFormat="1" ht="69.95" hidden="1" customHeight="1">
      <c r="A750" s="29" t="s">
        <v>4480</v>
      </c>
      <c r="B750" s="29" t="s">
        <v>3769</v>
      </c>
      <c r="C750" s="40">
        <v>25</v>
      </c>
      <c r="D750" s="40"/>
      <c r="E750" s="57" t="s">
        <v>195</v>
      </c>
      <c r="F750" s="57" t="s">
        <v>195</v>
      </c>
      <c r="G750" s="29" t="s">
        <v>1786</v>
      </c>
      <c r="J750" s="29">
        <f t="shared" si="44"/>
        <v>1</v>
      </c>
      <c r="K750" s="42">
        <v>743</v>
      </c>
      <c r="L750" s="43" t="s">
        <v>1787</v>
      </c>
      <c r="M750" s="44" t="s">
        <v>405</v>
      </c>
      <c r="N750" s="44" t="s">
        <v>536</v>
      </c>
      <c r="O750" s="44" t="str">
        <f t="shared" si="45"/>
        <v>PE-L1-4C4-17</v>
      </c>
      <c r="P750" s="45">
        <v>0.4</v>
      </c>
      <c r="Q750" s="44">
        <v>400</v>
      </c>
      <c r="R750" s="44" t="s">
        <v>49</v>
      </c>
      <c r="S750" s="44">
        <v>290</v>
      </c>
      <c r="T750" s="46" t="s">
        <v>5620</v>
      </c>
      <c r="U750" s="46" t="s">
        <v>4480</v>
      </c>
      <c r="V750" s="46" t="s">
        <v>4481</v>
      </c>
      <c r="W750" s="46" t="s">
        <v>347</v>
      </c>
      <c r="X750" s="47" t="s">
        <v>9305</v>
      </c>
      <c r="Y750" s="46" t="s">
        <v>5651</v>
      </c>
      <c r="Z750" s="46" t="s">
        <v>5652</v>
      </c>
      <c r="AA750" s="46" t="s">
        <v>5644</v>
      </c>
      <c r="AB750" s="47" t="s">
        <v>9305</v>
      </c>
      <c r="AC750" s="48" t="s">
        <v>5653</v>
      </c>
      <c r="AD750" s="30"/>
      <c r="AE750" s="197"/>
      <c r="AF750" s="47"/>
    </row>
    <row r="751" spans="1:32" s="29" customFormat="1" ht="69.95" hidden="1" customHeight="1">
      <c r="A751" s="29" t="s">
        <v>4516</v>
      </c>
      <c r="B751" s="29" t="s">
        <v>3769</v>
      </c>
      <c r="C751" s="40" t="s">
        <v>41</v>
      </c>
      <c r="D751" s="40"/>
      <c r="E751" s="57" t="s">
        <v>8611</v>
      </c>
      <c r="F751" s="57" t="s">
        <v>8611</v>
      </c>
      <c r="G751" s="29" t="s">
        <v>1788</v>
      </c>
      <c r="J751" s="29">
        <f t="shared" si="44"/>
        <v>1</v>
      </c>
      <c r="K751" s="42">
        <v>744</v>
      </c>
      <c r="L751" s="43" t="s">
        <v>1789</v>
      </c>
      <c r="M751" s="44" t="s">
        <v>405</v>
      </c>
      <c r="N751" s="44" t="s">
        <v>536</v>
      </c>
      <c r="O751" s="44" t="str">
        <f t="shared" si="45"/>
        <v>PE-L1-4C4-26</v>
      </c>
      <c r="P751" s="45">
        <v>0.4</v>
      </c>
      <c r="Q751" s="44">
        <v>400</v>
      </c>
      <c r="R751" s="44" t="s">
        <v>49</v>
      </c>
      <c r="S751" s="44">
        <v>270</v>
      </c>
      <c r="T751" s="46" t="s">
        <v>5620</v>
      </c>
      <c r="U751" s="46" t="s">
        <v>4516</v>
      </c>
      <c r="V751" s="46" t="s">
        <v>4517</v>
      </c>
      <c r="W751" s="46" t="s">
        <v>347</v>
      </c>
      <c r="X751" s="47" t="s">
        <v>9305</v>
      </c>
      <c r="Y751" s="46" t="s">
        <v>5654</v>
      </c>
      <c r="Z751" s="46" t="s">
        <v>5655</v>
      </c>
      <c r="AA751" s="46" t="s">
        <v>5656</v>
      </c>
      <c r="AB751" s="47" t="s">
        <v>9305</v>
      </c>
      <c r="AC751" s="48" t="s">
        <v>5657</v>
      </c>
      <c r="AD751" s="30"/>
      <c r="AE751" s="197"/>
      <c r="AF751" s="47"/>
    </row>
    <row r="752" spans="1:32" s="29" customFormat="1" ht="69.95" hidden="1" customHeight="1">
      <c r="A752" s="29" t="s">
        <v>4516</v>
      </c>
      <c r="B752" s="29" t="s">
        <v>3769</v>
      </c>
      <c r="C752" s="40" t="s">
        <v>42</v>
      </c>
      <c r="D752" s="40"/>
      <c r="E752" s="57" t="s">
        <v>195</v>
      </c>
      <c r="F752" s="57" t="s">
        <v>195</v>
      </c>
      <c r="G752" s="29" t="s">
        <v>1790</v>
      </c>
      <c r="J752" s="29">
        <f t="shared" si="44"/>
        <v>1</v>
      </c>
      <c r="K752" s="42">
        <v>745</v>
      </c>
      <c r="L752" s="43" t="s">
        <v>1791</v>
      </c>
      <c r="M752" s="44" t="s">
        <v>405</v>
      </c>
      <c r="N752" s="44" t="s">
        <v>536</v>
      </c>
      <c r="O752" s="44" t="str">
        <f t="shared" si="45"/>
        <v>PE-L1-4C4-17</v>
      </c>
      <c r="P752" s="45">
        <v>0.4</v>
      </c>
      <c r="Q752" s="44">
        <v>400</v>
      </c>
      <c r="R752" s="44" t="s">
        <v>49</v>
      </c>
      <c r="S752" s="44">
        <v>240</v>
      </c>
      <c r="T752" s="46" t="s">
        <v>5620</v>
      </c>
      <c r="U752" s="46" t="s">
        <v>4516</v>
      </c>
      <c r="V752" s="46" t="s">
        <v>4517</v>
      </c>
      <c r="W752" s="46" t="s">
        <v>347</v>
      </c>
      <c r="X752" s="47" t="s">
        <v>9305</v>
      </c>
      <c r="Y752" s="46" t="s">
        <v>5658</v>
      </c>
      <c r="Z752" s="46" t="s">
        <v>5659</v>
      </c>
      <c r="AA752" s="46" t="s">
        <v>5656</v>
      </c>
      <c r="AB752" s="47" t="s">
        <v>9305</v>
      </c>
      <c r="AC752" s="48" t="s">
        <v>5660</v>
      </c>
      <c r="AD752" s="30"/>
      <c r="AE752" s="197"/>
      <c r="AF752" s="47"/>
    </row>
    <row r="753" spans="1:32" s="29" customFormat="1" ht="69.95" hidden="1" customHeight="1">
      <c r="A753" s="29" t="s">
        <v>4516</v>
      </c>
      <c r="B753" s="29" t="s">
        <v>3769</v>
      </c>
      <c r="C753" s="40" t="s">
        <v>43</v>
      </c>
      <c r="D753" s="40"/>
      <c r="E753" s="57" t="s">
        <v>195</v>
      </c>
      <c r="F753" s="57" t="s">
        <v>195</v>
      </c>
      <c r="G753" s="29" t="s">
        <v>1792</v>
      </c>
      <c r="J753" s="29">
        <f t="shared" si="44"/>
        <v>1</v>
      </c>
      <c r="K753" s="42">
        <v>746</v>
      </c>
      <c r="L753" s="43" t="s">
        <v>1793</v>
      </c>
      <c r="M753" s="44" t="s">
        <v>405</v>
      </c>
      <c r="N753" s="44" t="s">
        <v>536</v>
      </c>
      <c r="O753" s="44" t="str">
        <f t="shared" si="45"/>
        <v>PE-L1-4C4-17</v>
      </c>
      <c r="P753" s="45">
        <v>0.4</v>
      </c>
      <c r="Q753" s="44">
        <v>400</v>
      </c>
      <c r="R753" s="44" t="s">
        <v>49</v>
      </c>
      <c r="S753" s="44">
        <v>240</v>
      </c>
      <c r="T753" s="46" t="s">
        <v>5620</v>
      </c>
      <c r="U753" s="46" t="s">
        <v>4516</v>
      </c>
      <c r="V753" s="46" t="s">
        <v>4517</v>
      </c>
      <c r="W753" s="46" t="s">
        <v>347</v>
      </c>
      <c r="X753" s="47" t="s">
        <v>9305</v>
      </c>
      <c r="Y753" s="46" t="s">
        <v>5661</v>
      </c>
      <c r="Z753" s="46" t="s">
        <v>5662</v>
      </c>
      <c r="AA753" s="46" t="s">
        <v>5656</v>
      </c>
      <c r="AB753" s="47" t="s">
        <v>9305</v>
      </c>
      <c r="AC753" s="48" t="s">
        <v>5663</v>
      </c>
      <c r="AD753" s="30"/>
      <c r="AE753" s="197"/>
      <c r="AF753" s="47"/>
    </row>
    <row r="754" spans="1:32" s="29" customFormat="1" ht="69.95" hidden="1" customHeight="1">
      <c r="A754" s="29" t="s">
        <v>4516</v>
      </c>
      <c r="B754" s="29" t="s">
        <v>3769</v>
      </c>
      <c r="C754" s="40" t="s">
        <v>73</v>
      </c>
      <c r="D754" s="40"/>
      <c r="E754" s="57" t="s">
        <v>195</v>
      </c>
      <c r="F754" s="57" t="s">
        <v>195</v>
      </c>
      <c r="G754" s="29" t="s">
        <v>1794</v>
      </c>
      <c r="J754" s="29">
        <f t="shared" si="44"/>
        <v>1</v>
      </c>
      <c r="K754" s="42">
        <v>747</v>
      </c>
      <c r="L754" s="43" t="s">
        <v>1795</v>
      </c>
      <c r="M754" s="44" t="s">
        <v>405</v>
      </c>
      <c r="N754" s="44" t="s">
        <v>536</v>
      </c>
      <c r="O754" s="44" t="str">
        <f t="shared" si="45"/>
        <v>PE-L1-4C4-17</v>
      </c>
      <c r="P754" s="45">
        <v>0.4</v>
      </c>
      <c r="Q754" s="44">
        <v>400</v>
      </c>
      <c r="R754" s="44" t="s">
        <v>49</v>
      </c>
      <c r="S754" s="44">
        <v>240</v>
      </c>
      <c r="T754" s="46" t="s">
        <v>5620</v>
      </c>
      <c r="U754" s="46" t="s">
        <v>4516</v>
      </c>
      <c r="V754" s="46" t="s">
        <v>4517</v>
      </c>
      <c r="W754" s="46" t="s">
        <v>347</v>
      </c>
      <c r="X754" s="47" t="s">
        <v>9305</v>
      </c>
      <c r="Y754" s="46" t="s">
        <v>5664</v>
      </c>
      <c r="Z754" s="46" t="s">
        <v>5665</v>
      </c>
      <c r="AA754" s="46" t="s">
        <v>5656</v>
      </c>
      <c r="AB754" s="47" t="s">
        <v>9305</v>
      </c>
      <c r="AC754" s="48" t="s">
        <v>5666</v>
      </c>
      <c r="AD754" s="30"/>
      <c r="AE754" s="197"/>
      <c r="AF754" s="47"/>
    </row>
    <row r="755" spans="1:32" s="29" customFormat="1" ht="69.95" hidden="1" customHeight="1">
      <c r="A755" s="29" t="s">
        <v>389</v>
      </c>
      <c r="B755" s="29" t="s">
        <v>3769</v>
      </c>
      <c r="C755" s="40">
        <v>16</v>
      </c>
      <c r="D755" s="40"/>
      <c r="E755" s="57" t="s">
        <v>188</v>
      </c>
      <c r="F755" s="57" t="s">
        <v>188</v>
      </c>
      <c r="G755" s="29" t="s">
        <v>1796</v>
      </c>
      <c r="J755" s="29">
        <f t="shared" si="44"/>
        <v>1</v>
      </c>
      <c r="K755" s="42">
        <v>748</v>
      </c>
      <c r="L755" s="43" t="s">
        <v>1797</v>
      </c>
      <c r="M755" s="44" t="s">
        <v>405</v>
      </c>
      <c r="N755" s="44" t="s">
        <v>536</v>
      </c>
      <c r="O755" s="44" t="str">
        <f t="shared" si="45"/>
        <v>PE-L1-4C4-08</v>
      </c>
      <c r="P755" s="45">
        <v>0.4</v>
      </c>
      <c r="Q755" s="44">
        <v>400</v>
      </c>
      <c r="R755" s="44" t="s">
        <v>49</v>
      </c>
      <c r="S755" s="44">
        <v>80</v>
      </c>
      <c r="T755" s="46" t="s">
        <v>5620</v>
      </c>
      <c r="U755" s="46" t="s">
        <v>389</v>
      </c>
      <c r="V755" s="46" t="s">
        <v>390</v>
      </c>
      <c r="W755" s="46" t="s">
        <v>391</v>
      </c>
      <c r="X755" s="47" t="s">
        <v>9305</v>
      </c>
      <c r="Y755" s="46" t="s">
        <v>5667</v>
      </c>
      <c r="Z755" s="46" t="s">
        <v>5668</v>
      </c>
      <c r="AA755" s="46" t="s">
        <v>392</v>
      </c>
      <c r="AB755" s="47" t="s">
        <v>9305</v>
      </c>
      <c r="AC755" s="48" t="s">
        <v>5669</v>
      </c>
      <c r="AD755" s="30"/>
      <c r="AE755" s="197"/>
      <c r="AF755" s="47"/>
    </row>
    <row r="756" spans="1:32" s="29" customFormat="1" ht="69.95" hidden="1" customHeight="1">
      <c r="A756" s="29" t="s">
        <v>389</v>
      </c>
      <c r="B756" s="29" t="s">
        <v>3769</v>
      </c>
      <c r="C756" s="40">
        <v>17</v>
      </c>
      <c r="D756" s="40"/>
      <c r="E756" s="57" t="s">
        <v>148</v>
      </c>
      <c r="F756" s="57" t="s">
        <v>148</v>
      </c>
      <c r="G756" s="29" t="s">
        <v>1798</v>
      </c>
      <c r="J756" s="29">
        <f t="shared" si="44"/>
        <v>1</v>
      </c>
      <c r="K756" s="42">
        <v>749</v>
      </c>
      <c r="L756" s="43" t="s">
        <v>1799</v>
      </c>
      <c r="M756" s="44" t="s">
        <v>405</v>
      </c>
      <c r="N756" s="44" t="s">
        <v>536</v>
      </c>
      <c r="O756" s="44" t="str">
        <f t="shared" si="45"/>
        <v>PE-L1-4C4-10</v>
      </c>
      <c r="P756" s="45">
        <v>0.75</v>
      </c>
      <c r="Q756" s="44">
        <v>400</v>
      </c>
      <c r="R756" s="44" t="s">
        <v>49</v>
      </c>
      <c r="S756" s="44">
        <v>190</v>
      </c>
      <c r="T756" s="46" t="s">
        <v>5620</v>
      </c>
      <c r="U756" s="46" t="s">
        <v>389</v>
      </c>
      <c r="V756" s="46" t="s">
        <v>390</v>
      </c>
      <c r="W756" s="46" t="s">
        <v>391</v>
      </c>
      <c r="X756" s="47" t="s">
        <v>9305</v>
      </c>
      <c r="Y756" s="46" t="s">
        <v>5670</v>
      </c>
      <c r="Z756" s="46" t="s">
        <v>5671</v>
      </c>
      <c r="AA756" s="46" t="s">
        <v>392</v>
      </c>
      <c r="AB756" s="47" t="s">
        <v>9305</v>
      </c>
      <c r="AC756" s="48" t="s">
        <v>5672</v>
      </c>
      <c r="AD756" s="30"/>
      <c r="AE756" s="197"/>
      <c r="AF756" s="47"/>
    </row>
    <row r="757" spans="1:32" s="29" customFormat="1" ht="69.95" hidden="1" customHeight="1">
      <c r="A757" s="29" t="s">
        <v>389</v>
      </c>
      <c r="B757" s="29" t="s">
        <v>3769</v>
      </c>
      <c r="C757" s="40">
        <v>18</v>
      </c>
      <c r="D757" s="40"/>
      <c r="E757" s="57" t="s">
        <v>196</v>
      </c>
      <c r="F757" s="57" t="s">
        <v>196</v>
      </c>
      <c r="G757" s="29" t="s">
        <v>1800</v>
      </c>
      <c r="J757" s="29">
        <f t="shared" si="44"/>
        <v>1</v>
      </c>
      <c r="K757" s="42">
        <v>750</v>
      </c>
      <c r="L757" s="43" t="s">
        <v>1801</v>
      </c>
      <c r="M757" s="44" t="s">
        <v>405</v>
      </c>
      <c r="N757" s="44" t="s">
        <v>536</v>
      </c>
      <c r="O757" s="44" t="str">
        <f t="shared" si="45"/>
        <v>PE-L1-4C4-09</v>
      </c>
      <c r="P757" s="45">
        <v>0.75</v>
      </c>
      <c r="Q757" s="44">
        <v>400</v>
      </c>
      <c r="R757" s="44" t="s">
        <v>49</v>
      </c>
      <c r="S757" s="44">
        <v>120</v>
      </c>
      <c r="T757" s="46" t="s">
        <v>5620</v>
      </c>
      <c r="U757" s="46" t="s">
        <v>389</v>
      </c>
      <c r="V757" s="46" t="s">
        <v>390</v>
      </c>
      <c r="W757" s="46" t="s">
        <v>391</v>
      </c>
      <c r="X757" s="47" t="s">
        <v>9305</v>
      </c>
      <c r="Y757" s="46" t="s">
        <v>5673</v>
      </c>
      <c r="Z757" s="46" t="s">
        <v>5674</v>
      </c>
      <c r="AA757" s="46" t="s">
        <v>5675</v>
      </c>
      <c r="AB757" s="47" t="s">
        <v>9305</v>
      </c>
      <c r="AC757" s="48" t="s">
        <v>5676</v>
      </c>
      <c r="AD757" s="30"/>
      <c r="AE757" s="197"/>
      <c r="AF757" s="47"/>
    </row>
    <row r="758" spans="1:32" s="29" customFormat="1" ht="69.95" hidden="1" customHeight="1">
      <c r="A758" s="29" t="s">
        <v>389</v>
      </c>
      <c r="B758" s="29" t="s">
        <v>3769</v>
      </c>
      <c r="C758" s="40">
        <v>19</v>
      </c>
      <c r="D758" s="40"/>
      <c r="E758" s="57" t="s">
        <v>196</v>
      </c>
      <c r="F758" s="57" t="s">
        <v>196</v>
      </c>
      <c r="G758" s="29" t="s">
        <v>1802</v>
      </c>
      <c r="J758" s="29">
        <f t="shared" si="44"/>
        <v>1</v>
      </c>
      <c r="K758" s="42">
        <v>751</v>
      </c>
      <c r="L758" s="43" t="s">
        <v>1803</v>
      </c>
      <c r="M758" s="44" t="s">
        <v>405</v>
      </c>
      <c r="N758" s="44" t="s">
        <v>536</v>
      </c>
      <c r="O758" s="44" t="str">
        <f t="shared" si="45"/>
        <v>PE-L1-4C4-09</v>
      </c>
      <c r="P758" s="45">
        <v>0.4</v>
      </c>
      <c r="Q758" s="44">
        <v>400</v>
      </c>
      <c r="R758" s="44" t="s">
        <v>49</v>
      </c>
      <c r="S758" s="44">
        <v>150</v>
      </c>
      <c r="T758" s="46" t="s">
        <v>5620</v>
      </c>
      <c r="U758" s="46" t="s">
        <v>389</v>
      </c>
      <c r="V758" s="46" t="s">
        <v>390</v>
      </c>
      <c r="W758" s="46" t="s">
        <v>391</v>
      </c>
      <c r="X758" s="47" t="s">
        <v>9305</v>
      </c>
      <c r="Y758" s="46" t="s">
        <v>5677</v>
      </c>
      <c r="Z758" s="46" t="s">
        <v>5678</v>
      </c>
      <c r="AA758" s="46" t="s">
        <v>392</v>
      </c>
      <c r="AB758" s="47" t="s">
        <v>9305</v>
      </c>
      <c r="AC758" s="76" t="s">
        <v>9227</v>
      </c>
      <c r="AD758" s="30"/>
      <c r="AE758" s="197"/>
      <c r="AF758" s="47"/>
    </row>
    <row r="759" spans="1:32" s="29" customFormat="1" ht="69.95" hidden="1" customHeight="1">
      <c r="A759" s="29" t="s">
        <v>389</v>
      </c>
      <c r="B759" s="29" t="s">
        <v>3769</v>
      </c>
      <c r="C759" s="40">
        <v>20</v>
      </c>
      <c r="D759" s="40"/>
      <c r="E759" s="57" t="s">
        <v>156</v>
      </c>
      <c r="F759" s="57" t="s">
        <v>156</v>
      </c>
      <c r="G759" s="29" t="s">
        <v>1804</v>
      </c>
      <c r="J759" s="29">
        <f t="shared" si="44"/>
        <v>1</v>
      </c>
      <c r="K759" s="42">
        <v>752</v>
      </c>
      <c r="L759" s="43" t="s">
        <v>1805</v>
      </c>
      <c r="M759" s="44" t="s">
        <v>405</v>
      </c>
      <c r="N759" s="44" t="s">
        <v>536</v>
      </c>
      <c r="O759" s="44" t="str">
        <f t="shared" si="45"/>
        <v>PE-L1-4C4-05</v>
      </c>
      <c r="P759" s="45">
        <v>0.4</v>
      </c>
      <c r="Q759" s="44">
        <v>400</v>
      </c>
      <c r="R759" s="44" t="s">
        <v>49</v>
      </c>
      <c r="S759" s="44">
        <v>200</v>
      </c>
      <c r="T759" s="46" t="s">
        <v>5620</v>
      </c>
      <c r="U759" s="46" t="s">
        <v>389</v>
      </c>
      <c r="V759" s="46" t="s">
        <v>390</v>
      </c>
      <c r="W759" s="46" t="s">
        <v>391</v>
      </c>
      <c r="X759" s="47" t="s">
        <v>9305</v>
      </c>
      <c r="Y759" s="46" t="s">
        <v>5679</v>
      </c>
      <c r="Z759" s="46" t="s">
        <v>5680</v>
      </c>
      <c r="AA759" s="46" t="s">
        <v>392</v>
      </c>
      <c r="AB759" s="47" t="s">
        <v>9305</v>
      </c>
      <c r="AC759" s="48" t="s">
        <v>5681</v>
      </c>
      <c r="AD759" s="30"/>
      <c r="AE759" s="197"/>
      <c r="AF759" s="47"/>
    </row>
    <row r="760" spans="1:32" s="29" customFormat="1" ht="69.95" hidden="1" customHeight="1">
      <c r="A760" s="29" t="s">
        <v>393</v>
      </c>
      <c r="B760" s="29" t="s">
        <v>3769</v>
      </c>
      <c r="C760" s="40">
        <v>18</v>
      </c>
      <c r="D760" s="40"/>
      <c r="E760" s="57" t="s">
        <v>196</v>
      </c>
      <c r="F760" s="57" t="s">
        <v>196</v>
      </c>
      <c r="G760" s="29" t="s">
        <v>1806</v>
      </c>
      <c r="J760" s="29">
        <f t="shared" si="44"/>
        <v>1</v>
      </c>
      <c r="K760" s="42">
        <v>753</v>
      </c>
      <c r="L760" s="43" t="s">
        <v>1807</v>
      </c>
      <c r="M760" s="44" t="s">
        <v>405</v>
      </c>
      <c r="N760" s="44" t="s">
        <v>536</v>
      </c>
      <c r="O760" s="44" t="str">
        <f t="shared" si="45"/>
        <v>PE-L1-4C4-09</v>
      </c>
      <c r="P760" s="45">
        <v>0.4</v>
      </c>
      <c r="Q760" s="44">
        <v>400</v>
      </c>
      <c r="R760" s="44" t="s">
        <v>49</v>
      </c>
      <c r="S760" s="44">
        <v>190</v>
      </c>
      <c r="T760" s="46" t="s">
        <v>5620</v>
      </c>
      <c r="U760" s="46" t="s">
        <v>393</v>
      </c>
      <c r="V760" s="46" t="s">
        <v>394</v>
      </c>
      <c r="W760" s="46" t="s">
        <v>391</v>
      </c>
      <c r="X760" s="47" t="s">
        <v>9305</v>
      </c>
      <c r="Y760" s="46" t="s">
        <v>5682</v>
      </c>
      <c r="Z760" s="46" t="s">
        <v>5683</v>
      </c>
      <c r="AA760" s="46" t="s">
        <v>392</v>
      </c>
      <c r="AB760" s="47" t="s">
        <v>9305</v>
      </c>
      <c r="AC760" s="48" t="s">
        <v>5684</v>
      </c>
      <c r="AD760" s="30"/>
      <c r="AE760" s="197"/>
      <c r="AF760" s="47"/>
    </row>
    <row r="761" spans="1:32" s="29" customFormat="1" ht="69.95" hidden="1" customHeight="1">
      <c r="A761" s="29" t="s">
        <v>393</v>
      </c>
      <c r="B761" s="29" t="s">
        <v>3769</v>
      </c>
      <c r="C761" s="40">
        <v>19</v>
      </c>
      <c r="D761" s="40"/>
      <c r="E761" s="57" t="s">
        <v>196</v>
      </c>
      <c r="F761" s="57" t="s">
        <v>196</v>
      </c>
      <c r="G761" s="29" t="s">
        <v>1808</v>
      </c>
      <c r="J761" s="29">
        <f t="shared" si="44"/>
        <v>1</v>
      </c>
      <c r="K761" s="42">
        <v>754</v>
      </c>
      <c r="L761" s="43" t="s">
        <v>1809</v>
      </c>
      <c r="M761" s="44" t="s">
        <v>405</v>
      </c>
      <c r="N761" s="44" t="s">
        <v>536</v>
      </c>
      <c r="O761" s="44" t="str">
        <f t="shared" si="45"/>
        <v>PE-L1-4C4-09</v>
      </c>
      <c r="P761" s="45">
        <v>0.2</v>
      </c>
      <c r="Q761" s="44">
        <v>400</v>
      </c>
      <c r="R761" s="44" t="s">
        <v>49</v>
      </c>
      <c r="S761" s="44">
        <v>120</v>
      </c>
      <c r="T761" s="46" t="s">
        <v>5620</v>
      </c>
      <c r="U761" s="46" t="s">
        <v>393</v>
      </c>
      <c r="V761" s="46" t="s">
        <v>394</v>
      </c>
      <c r="W761" s="46" t="s">
        <v>391</v>
      </c>
      <c r="X761" s="47" t="s">
        <v>9305</v>
      </c>
      <c r="Y761" s="46" t="s">
        <v>5685</v>
      </c>
      <c r="Z761" s="46" t="s">
        <v>5686</v>
      </c>
      <c r="AA761" s="46" t="s">
        <v>392</v>
      </c>
      <c r="AB761" s="47" t="s">
        <v>9305</v>
      </c>
      <c r="AC761" s="48" t="s">
        <v>5687</v>
      </c>
      <c r="AD761" s="30"/>
      <c r="AE761" s="197"/>
      <c r="AF761" s="47"/>
    </row>
    <row r="762" spans="1:32" s="29" customFormat="1" ht="69.95" hidden="1" customHeight="1">
      <c r="A762" s="29" t="s">
        <v>393</v>
      </c>
      <c r="B762" s="29" t="s">
        <v>3769</v>
      </c>
      <c r="C762" s="40">
        <v>20</v>
      </c>
      <c r="D762" s="40"/>
      <c r="E762" s="57" t="s">
        <v>196</v>
      </c>
      <c r="F762" s="57" t="s">
        <v>196</v>
      </c>
      <c r="G762" s="29" t="s">
        <v>1810</v>
      </c>
      <c r="J762" s="29">
        <f t="shared" si="44"/>
        <v>1</v>
      </c>
      <c r="K762" s="42">
        <v>755</v>
      </c>
      <c r="L762" s="43" t="s">
        <v>1811</v>
      </c>
      <c r="M762" s="44" t="s">
        <v>405</v>
      </c>
      <c r="N762" s="44" t="s">
        <v>536</v>
      </c>
      <c r="O762" s="44" t="str">
        <f t="shared" si="45"/>
        <v>PE-L1-4C4-09</v>
      </c>
      <c r="P762" s="45">
        <v>0.2</v>
      </c>
      <c r="Q762" s="44">
        <v>400</v>
      </c>
      <c r="R762" s="44" t="s">
        <v>49</v>
      </c>
      <c r="S762" s="44">
        <v>110</v>
      </c>
      <c r="T762" s="46" t="s">
        <v>5620</v>
      </c>
      <c r="U762" s="46" t="s">
        <v>393</v>
      </c>
      <c r="V762" s="46" t="s">
        <v>394</v>
      </c>
      <c r="W762" s="46" t="s">
        <v>391</v>
      </c>
      <c r="X762" s="47" t="s">
        <v>9305</v>
      </c>
      <c r="Y762" s="46" t="s">
        <v>5688</v>
      </c>
      <c r="Z762" s="46" t="s">
        <v>5689</v>
      </c>
      <c r="AA762" s="46" t="s">
        <v>392</v>
      </c>
      <c r="AB762" s="47" t="s">
        <v>9305</v>
      </c>
      <c r="AC762" s="48" t="s">
        <v>5690</v>
      </c>
      <c r="AD762" s="30"/>
      <c r="AE762" s="197"/>
      <c r="AF762" s="47"/>
    </row>
    <row r="763" spans="1:32" s="29" customFormat="1" ht="69.95" hidden="1" customHeight="1">
      <c r="A763" s="29" t="s">
        <v>393</v>
      </c>
      <c r="B763" s="29" t="s">
        <v>3769</v>
      </c>
      <c r="C763" s="40">
        <v>21</v>
      </c>
      <c r="D763" s="40"/>
      <c r="E763" s="57" t="s">
        <v>174</v>
      </c>
      <c r="F763" s="57" t="s">
        <v>174</v>
      </c>
      <c r="G763" s="29" t="s">
        <v>1812</v>
      </c>
      <c r="J763" s="29">
        <f t="shared" si="44"/>
        <v>1</v>
      </c>
      <c r="K763" s="42">
        <v>756</v>
      </c>
      <c r="L763" s="43" t="s">
        <v>1813</v>
      </c>
      <c r="M763" s="44" t="s">
        <v>405</v>
      </c>
      <c r="N763" s="44" t="s">
        <v>536</v>
      </c>
      <c r="O763" s="44" t="str">
        <f t="shared" si="45"/>
        <v>PE-L1-4C4-07</v>
      </c>
      <c r="P763" s="45">
        <v>0.2</v>
      </c>
      <c r="Q763" s="44">
        <v>400</v>
      </c>
      <c r="R763" s="44" t="s">
        <v>49</v>
      </c>
      <c r="S763" s="44">
        <v>190</v>
      </c>
      <c r="T763" s="46" t="s">
        <v>5620</v>
      </c>
      <c r="U763" s="46" t="s">
        <v>393</v>
      </c>
      <c r="V763" s="46" t="s">
        <v>394</v>
      </c>
      <c r="W763" s="46" t="s">
        <v>391</v>
      </c>
      <c r="X763" s="47" t="s">
        <v>9305</v>
      </c>
      <c r="Y763" s="46" t="s">
        <v>5691</v>
      </c>
      <c r="Z763" s="46" t="s">
        <v>5692</v>
      </c>
      <c r="AA763" s="46" t="s">
        <v>392</v>
      </c>
      <c r="AB763" s="47" t="s">
        <v>9305</v>
      </c>
      <c r="AC763" s="48" t="s">
        <v>5693</v>
      </c>
      <c r="AD763" s="30"/>
      <c r="AE763" s="197"/>
      <c r="AF763" s="47"/>
    </row>
    <row r="764" spans="1:32" s="29" customFormat="1" ht="69.95" hidden="1" customHeight="1">
      <c r="A764" s="29" t="s">
        <v>395</v>
      </c>
      <c r="B764" s="29" t="s">
        <v>3769</v>
      </c>
      <c r="C764" s="40">
        <v>17</v>
      </c>
      <c r="D764" s="40"/>
      <c r="E764" s="57" t="s">
        <v>197</v>
      </c>
      <c r="F764" s="57" t="s">
        <v>197</v>
      </c>
      <c r="G764" s="29" t="s">
        <v>1814</v>
      </c>
      <c r="J764" s="29">
        <f t="shared" si="44"/>
        <v>1</v>
      </c>
      <c r="K764" s="42">
        <v>757</v>
      </c>
      <c r="L764" s="43" t="s">
        <v>1815</v>
      </c>
      <c r="M764" s="44" t="s">
        <v>405</v>
      </c>
      <c r="N764" s="44" t="s">
        <v>536</v>
      </c>
      <c r="O764" s="44" t="str">
        <f t="shared" si="45"/>
        <v>PE-L1-4C4-13</v>
      </c>
      <c r="P764" s="45">
        <v>0.4</v>
      </c>
      <c r="Q764" s="44">
        <v>400</v>
      </c>
      <c r="R764" s="44" t="s">
        <v>49</v>
      </c>
      <c r="S764" s="44">
        <v>80</v>
      </c>
      <c r="T764" s="46" t="s">
        <v>5620</v>
      </c>
      <c r="U764" s="46" t="s">
        <v>395</v>
      </c>
      <c r="V764" s="46" t="s">
        <v>396</v>
      </c>
      <c r="W764" s="46" t="s">
        <v>397</v>
      </c>
      <c r="X764" s="47" t="s">
        <v>9305</v>
      </c>
      <c r="Y764" s="46" t="s">
        <v>5694</v>
      </c>
      <c r="Z764" s="46" t="s">
        <v>5668</v>
      </c>
      <c r="AA764" s="46" t="s">
        <v>392</v>
      </c>
      <c r="AB764" s="47" t="s">
        <v>9305</v>
      </c>
      <c r="AC764" s="48" t="s">
        <v>5695</v>
      </c>
      <c r="AD764" s="30"/>
      <c r="AE764" s="197"/>
      <c r="AF764" s="47"/>
    </row>
    <row r="765" spans="1:32" s="29" customFormat="1" ht="69.95" hidden="1" customHeight="1">
      <c r="A765" s="29" t="s">
        <v>395</v>
      </c>
      <c r="B765" s="29" t="s">
        <v>3769</v>
      </c>
      <c r="C765" s="40">
        <v>18</v>
      </c>
      <c r="D765" s="40"/>
      <c r="E765" s="57" t="s">
        <v>195</v>
      </c>
      <c r="F765" s="57" t="s">
        <v>195</v>
      </c>
      <c r="G765" s="29" t="s">
        <v>1816</v>
      </c>
      <c r="J765" s="29">
        <f t="shared" si="44"/>
        <v>1</v>
      </c>
      <c r="K765" s="42">
        <v>758</v>
      </c>
      <c r="L765" s="43" t="s">
        <v>1817</v>
      </c>
      <c r="M765" s="44" t="s">
        <v>405</v>
      </c>
      <c r="N765" s="44" t="s">
        <v>536</v>
      </c>
      <c r="O765" s="44" t="str">
        <f t="shared" si="45"/>
        <v>PE-L1-4C4-17</v>
      </c>
      <c r="P765" s="45">
        <v>0.75</v>
      </c>
      <c r="Q765" s="44">
        <v>400</v>
      </c>
      <c r="R765" s="44" t="s">
        <v>49</v>
      </c>
      <c r="S765" s="44">
        <v>130</v>
      </c>
      <c r="T765" s="46" t="s">
        <v>5620</v>
      </c>
      <c r="U765" s="46" t="s">
        <v>395</v>
      </c>
      <c r="V765" s="46" t="s">
        <v>396</v>
      </c>
      <c r="W765" s="46" t="s">
        <v>397</v>
      </c>
      <c r="X765" s="47" t="s">
        <v>9305</v>
      </c>
      <c r="Y765" s="46" t="s">
        <v>5696</v>
      </c>
      <c r="Z765" s="46" t="s">
        <v>5671</v>
      </c>
      <c r="AA765" s="46" t="s">
        <v>392</v>
      </c>
      <c r="AB765" s="47" t="s">
        <v>9305</v>
      </c>
      <c r="AC765" s="48" t="s">
        <v>5697</v>
      </c>
      <c r="AD765" s="30"/>
      <c r="AE765" s="197"/>
      <c r="AF765" s="47"/>
    </row>
    <row r="766" spans="1:32" s="29" customFormat="1" ht="69.95" hidden="1" customHeight="1">
      <c r="A766" s="29" t="s">
        <v>395</v>
      </c>
      <c r="B766" s="29" t="s">
        <v>3769</v>
      </c>
      <c r="C766" s="40">
        <v>19</v>
      </c>
      <c r="D766" s="40"/>
      <c r="E766" s="57" t="s">
        <v>195</v>
      </c>
      <c r="F766" s="57" t="s">
        <v>195</v>
      </c>
      <c r="G766" s="29" t="s">
        <v>1818</v>
      </c>
      <c r="J766" s="29">
        <f t="shared" si="44"/>
        <v>1</v>
      </c>
      <c r="K766" s="42">
        <v>759</v>
      </c>
      <c r="L766" s="43" t="s">
        <v>1819</v>
      </c>
      <c r="M766" s="44" t="s">
        <v>405</v>
      </c>
      <c r="N766" s="44" t="s">
        <v>536</v>
      </c>
      <c r="O766" s="44" t="str">
        <f t="shared" si="45"/>
        <v>PE-L1-4C4-17</v>
      </c>
      <c r="P766" s="45">
        <v>0.75</v>
      </c>
      <c r="Q766" s="44">
        <v>400</v>
      </c>
      <c r="R766" s="44" t="s">
        <v>49</v>
      </c>
      <c r="S766" s="44">
        <v>110</v>
      </c>
      <c r="T766" s="46" t="s">
        <v>5620</v>
      </c>
      <c r="U766" s="46" t="s">
        <v>395</v>
      </c>
      <c r="V766" s="46" t="s">
        <v>396</v>
      </c>
      <c r="W766" s="46" t="s">
        <v>397</v>
      </c>
      <c r="X766" s="47" t="s">
        <v>9305</v>
      </c>
      <c r="Y766" s="46" t="s">
        <v>5698</v>
      </c>
      <c r="Z766" s="46" t="s">
        <v>5674</v>
      </c>
      <c r="AA766" s="46" t="s">
        <v>5699</v>
      </c>
      <c r="AB766" s="47" t="s">
        <v>9305</v>
      </c>
      <c r="AC766" s="48" t="s">
        <v>5700</v>
      </c>
      <c r="AD766" s="30"/>
      <c r="AE766" s="197"/>
      <c r="AF766" s="47"/>
    </row>
    <row r="767" spans="1:32" s="29" customFormat="1" ht="69.95" hidden="1" customHeight="1">
      <c r="A767" s="29" t="s">
        <v>395</v>
      </c>
      <c r="B767" s="29" t="s">
        <v>3769</v>
      </c>
      <c r="C767" s="40">
        <v>20</v>
      </c>
      <c r="D767" s="40"/>
      <c r="E767" s="57" t="s">
        <v>198</v>
      </c>
      <c r="F767" s="57" t="s">
        <v>198</v>
      </c>
      <c r="G767" s="29" t="s">
        <v>1820</v>
      </c>
      <c r="J767" s="29">
        <f t="shared" si="44"/>
        <v>1</v>
      </c>
      <c r="K767" s="42">
        <v>760</v>
      </c>
      <c r="L767" s="43" t="s">
        <v>1821</v>
      </c>
      <c r="M767" s="44" t="s">
        <v>405</v>
      </c>
      <c r="N767" s="44" t="s">
        <v>536</v>
      </c>
      <c r="O767" s="44" t="str">
        <f t="shared" si="45"/>
        <v>PE-L1-4C4-12</v>
      </c>
      <c r="P767" s="45">
        <v>0.4</v>
      </c>
      <c r="Q767" s="44">
        <v>400</v>
      </c>
      <c r="R767" s="44" t="s">
        <v>49</v>
      </c>
      <c r="S767" s="44">
        <v>140</v>
      </c>
      <c r="T767" s="46" t="s">
        <v>5620</v>
      </c>
      <c r="U767" s="46" t="s">
        <v>395</v>
      </c>
      <c r="V767" s="46" t="s">
        <v>396</v>
      </c>
      <c r="W767" s="46" t="s">
        <v>397</v>
      </c>
      <c r="X767" s="47" t="s">
        <v>9305</v>
      </c>
      <c r="Y767" s="46" t="s">
        <v>5701</v>
      </c>
      <c r="Z767" s="46" t="s">
        <v>5678</v>
      </c>
      <c r="AA767" s="46" t="s">
        <v>392</v>
      </c>
      <c r="AB767" s="47" t="s">
        <v>9305</v>
      </c>
      <c r="AC767" s="48" t="s">
        <v>5702</v>
      </c>
      <c r="AD767" s="30"/>
      <c r="AE767" s="197"/>
      <c r="AF767" s="47"/>
    </row>
    <row r="768" spans="1:32" s="29" customFormat="1" ht="69.95" hidden="1" customHeight="1">
      <c r="A768" s="29" t="s">
        <v>395</v>
      </c>
      <c r="B768" s="29" t="s">
        <v>3769</v>
      </c>
      <c r="C768" s="40">
        <v>21</v>
      </c>
      <c r="D768" s="40"/>
      <c r="E768" s="57" t="s">
        <v>195</v>
      </c>
      <c r="F768" s="57" t="s">
        <v>195</v>
      </c>
      <c r="G768" s="29" t="s">
        <v>1822</v>
      </c>
      <c r="J768" s="29">
        <f t="shared" si="44"/>
        <v>1</v>
      </c>
      <c r="K768" s="42">
        <v>761</v>
      </c>
      <c r="L768" s="43" t="s">
        <v>1823</v>
      </c>
      <c r="M768" s="44" t="s">
        <v>405</v>
      </c>
      <c r="N768" s="44" t="s">
        <v>536</v>
      </c>
      <c r="O768" s="44" t="str">
        <f t="shared" si="45"/>
        <v>PE-L1-4C4-17</v>
      </c>
      <c r="P768" s="45">
        <v>0.4</v>
      </c>
      <c r="Q768" s="44">
        <v>400</v>
      </c>
      <c r="R768" s="44" t="s">
        <v>49</v>
      </c>
      <c r="S768" s="44">
        <v>290</v>
      </c>
      <c r="T768" s="46" t="s">
        <v>5620</v>
      </c>
      <c r="U768" s="46" t="s">
        <v>395</v>
      </c>
      <c r="V768" s="46" t="s">
        <v>396</v>
      </c>
      <c r="W768" s="46" t="s">
        <v>397</v>
      </c>
      <c r="X768" s="47" t="s">
        <v>9305</v>
      </c>
      <c r="Y768" s="46" t="s">
        <v>5703</v>
      </c>
      <c r="Z768" s="46" t="s">
        <v>5704</v>
      </c>
      <c r="AA768" s="46" t="s">
        <v>392</v>
      </c>
      <c r="AB768" s="47" t="s">
        <v>9305</v>
      </c>
      <c r="AC768" s="48" t="s">
        <v>5705</v>
      </c>
      <c r="AD768" s="30"/>
      <c r="AE768" s="197"/>
      <c r="AF768" s="47"/>
    </row>
    <row r="769" spans="1:32" s="29" customFormat="1" ht="69.95" hidden="1" customHeight="1">
      <c r="A769" s="29" t="s">
        <v>398</v>
      </c>
      <c r="B769" s="29" t="s">
        <v>3769</v>
      </c>
      <c r="C769" s="40">
        <v>17</v>
      </c>
      <c r="D769" s="40"/>
      <c r="E769" s="57" t="s">
        <v>86</v>
      </c>
      <c r="F769" s="57" t="s">
        <v>86</v>
      </c>
      <c r="G769" s="29" t="s">
        <v>1824</v>
      </c>
      <c r="J769" s="29">
        <f t="shared" si="44"/>
        <v>1</v>
      </c>
      <c r="K769" s="42">
        <v>762</v>
      </c>
      <c r="L769" s="43" t="s">
        <v>1825</v>
      </c>
      <c r="M769" s="44" t="s">
        <v>405</v>
      </c>
      <c r="N769" s="44" t="s">
        <v>536</v>
      </c>
      <c r="O769" s="44" t="str">
        <f t="shared" si="45"/>
        <v>PE-L1-4C4-06</v>
      </c>
      <c r="P769" s="45">
        <v>0.2</v>
      </c>
      <c r="Q769" s="44">
        <v>400</v>
      </c>
      <c r="R769" s="44" t="s">
        <v>49</v>
      </c>
      <c r="S769" s="44">
        <v>110</v>
      </c>
      <c r="T769" s="46" t="s">
        <v>5620</v>
      </c>
      <c r="U769" s="46" t="s">
        <v>398</v>
      </c>
      <c r="V769" s="46" t="s">
        <v>399</v>
      </c>
      <c r="W769" s="46" t="s">
        <v>397</v>
      </c>
      <c r="X769" s="47" t="s">
        <v>9305</v>
      </c>
      <c r="Y769" s="46" t="s">
        <v>5706</v>
      </c>
      <c r="Z769" s="46" t="s">
        <v>5686</v>
      </c>
      <c r="AA769" s="46" t="s">
        <v>392</v>
      </c>
      <c r="AB769" s="47" t="s">
        <v>9305</v>
      </c>
      <c r="AC769" s="48" t="s">
        <v>5707</v>
      </c>
      <c r="AD769" s="30"/>
      <c r="AE769" s="197"/>
      <c r="AF769" s="47"/>
    </row>
    <row r="770" spans="1:32" s="29" customFormat="1" ht="69.95" hidden="1" customHeight="1">
      <c r="A770" s="29" t="s">
        <v>398</v>
      </c>
      <c r="B770" s="29" t="s">
        <v>3769</v>
      </c>
      <c r="C770" s="40">
        <v>18</v>
      </c>
      <c r="D770" s="40"/>
      <c r="E770" s="57" t="s">
        <v>195</v>
      </c>
      <c r="F770" s="57" t="s">
        <v>195</v>
      </c>
      <c r="G770" s="29" t="s">
        <v>1826</v>
      </c>
      <c r="J770" s="29">
        <f t="shared" si="44"/>
        <v>1</v>
      </c>
      <c r="K770" s="42">
        <v>763</v>
      </c>
      <c r="L770" s="43" t="s">
        <v>1827</v>
      </c>
      <c r="M770" s="44" t="s">
        <v>405</v>
      </c>
      <c r="N770" s="44" t="s">
        <v>536</v>
      </c>
      <c r="O770" s="44" t="str">
        <f t="shared" si="45"/>
        <v>PE-L1-4C4-17</v>
      </c>
      <c r="P770" s="45">
        <v>0.2</v>
      </c>
      <c r="Q770" s="44">
        <v>400</v>
      </c>
      <c r="R770" s="44" t="s">
        <v>49</v>
      </c>
      <c r="S770" s="44">
        <v>110</v>
      </c>
      <c r="T770" s="46" t="s">
        <v>5620</v>
      </c>
      <c r="U770" s="46" t="s">
        <v>398</v>
      </c>
      <c r="V770" s="46" t="s">
        <v>399</v>
      </c>
      <c r="W770" s="46" t="s">
        <v>397</v>
      </c>
      <c r="X770" s="47" t="s">
        <v>9305</v>
      </c>
      <c r="Y770" s="46" t="s">
        <v>5708</v>
      </c>
      <c r="Z770" s="46" t="s">
        <v>5689</v>
      </c>
      <c r="AA770" s="46" t="s">
        <v>392</v>
      </c>
      <c r="AB770" s="47" t="s">
        <v>9305</v>
      </c>
      <c r="AC770" s="48" t="s">
        <v>5709</v>
      </c>
      <c r="AD770" s="30"/>
      <c r="AE770" s="197"/>
      <c r="AF770" s="47"/>
    </row>
    <row r="771" spans="1:32" s="29" customFormat="1" ht="69.95" hidden="1" customHeight="1">
      <c r="A771" s="29" t="s">
        <v>398</v>
      </c>
      <c r="B771" s="29" t="s">
        <v>3769</v>
      </c>
      <c r="C771" s="40">
        <v>19</v>
      </c>
      <c r="D771" s="40"/>
      <c r="E771" s="57" t="s">
        <v>194</v>
      </c>
      <c r="F771" s="57" t="s">
        <v>194</v>
      </c>
      <c r="G771" s="29" t="s">
        <v>1828</v>
      </c>
      <c r="J771" s="29">
        <f t="shared" si="44"/>
        <v>1</v>
      </c>
      <c r="K771" s="42">
        <v>764</v>
      </c>
      <c r="L771" s="43" t="s">
        <v>1829</v>
      </c>
      <c r="M771" s="44" t="s">
        <v>405</v>
      </c>
      <c r="N771" s="44" t="s">
        <v>536</v>
      </c>
      <c r="O771" s="44" t="str">
        <f t="shared" si="45"/>
        <v>PE-L1-4C4-14</v>
      </c>
      <c r="P771" s="45">
        <v>0.2</v>
      </c>
      <c r="Q771" s="44">
        <v>400</v>
      </c>
      <c r="R771" s="44" t="s">
        <v>49</v>
      </c>
      <c r="S771" s="44">
        <v>130</v>
      </c>
      <c r="T771" s="46" t="s">
        <v>5620</v>
      </c>
      <c r="U771" s="46" t="s">
        <v>398</v>
      </c>
      <c r="V771" s="46" t="s">
        <v>399</v>
      </c>
      <c r="W771" s="46" t="s">
        <v>397</v>
      </c>
      <c r="X771" s="47" t="s">
        <v>9305</v>
      </c>
      <c r="Y771" s="46" t="s">
        <v>5710</v>
      </c>
      <c r="Z771" s="46" t="s">
        <v>5692</v>
      </c>
      <c r="AA771" s="46" t="s">
        <v>392</v>
      </c>
      <c r="AB771" s="47" t="s">
        <v>9305</v>
      </c>
      <c r="AC771" s="48" t="s">
        <v>5711</v>
      </c>
      <c r="AD771" s="30"/>
      <c r="AE771" s="197"/>
      <c r="AF771" s="47"/>
    </row>
    <row r="772" spans="1:32" s="29" customFormat="1" ht="69.95" hidden="1" customHeight="1">
      <c r="A772" s="29" t="s">
        <v>5394</v>
      </c>
      <c r="B772" s="29" t="s">
        <v>3769</v>
      </c>
      <c r="C772" s="40" t="s">
        <v>36</v>
      </c>
      <c r="D772" s="40"/>
      <c r="E772" s="57" t="s">
        <v>152</v>
      </c>
      <c r="F772" s="57" t="s">
        <v>152</v>
      </c>
      <c r="G772" s="29" t="s">
        <v>1830</v>
      </c>
      <c r="H772" s="124" t="s">
        <v>9154</v>
      </c>
      <c r="I772" s="124" t="s">
        <v>9121</v>
      </c>
      <c r="J772" s="29">
        <f t="shared" si="44"/>
        <v>1</v>
      </c>
      <c r="K772" s="42">
        <v>765</v>
      </c>
      <c r="L772" s="152" t="s">
        <v>1831</v>
      </c>
      <c r="M772" s="44" t="s">
        <v>405</v>
      </c>
      <c r="N772" s="44" t="s">
        <v>832</v>
      </c>
      <c r="O772" s="101" t="str">
        <f>F772</f>
        <v>PE-L1-4C25/16-01</v>
      </c>
      <c r="P772" s="45">
        <v>15</v>
      </c>
      <c r="Q772" s="44">
        <v>400</v>
      </c>
      <c r="R772" s="44" t="s">
        <v>49</v>
      </c>
      <c r="S772" s="101">
        <v>340</v>
      </c>
      <c r="T772" s="46" t="s">
        <v>5620</v>
      </c>
      <c r="U772" s="46" t="s">
        <v>9546</v>
      </c>
      <c r="V772" s="46" t="s">
        <v>5395</v>
      </c>
      <c r="W772" s="46" t="s">
        <v>335</v>
      </c>
      <c r="X772" s="47" t="s">
        <v>9305</v>
      </c>
      <c r="Y772" s="46" t="s">
        <v>5712</v>
      </c>
      <c r="Z772" s="46" t="s">
        <v>8594</v>
      </c>
      <c r="AA772" s="46" t="s">
        <v>8705</v>
      </c>
      <c r="AB772" s="47" t="s">
        <v>9305</v>
      </c>
      <c r="AC772" s="48" t="s">
        <v>5713</v>
      </c>
      <c r="AD772" s="30"/>
      <c r="AE772" s="197"/>
      <c r="AF772" s="47"/>
    </row>
    <row r="773" spans="1:32" s="29" customFormat="1" ht="69.95" hidden="1" customHeight="1">
      <c r="A773" s="29" t="s">
        <v>5394</v>
      </c>
      <c r="B773" s="29" t="s">
        <v>3769</v>
      </c>
      <c r="C773" s="40" t="s">
        <v>38</v>
      </c>
      <c r="D773" s="40"/>
      <c r="E773" s="57" t="s">
        <v>89</v>
      </c>
      <c r="F773" s="57" t="s">
        <v>89</v>
      </c>
      <c r="G773" s="29" t="s">
        <v>1832</v>
      </c>
      <c r="J773" s="29">
        <f t="shared" si="44"/>
        <v>1</v>
      </c>
      <c r="K773" s="42">
        <v>766</v>
      </c>
      <c r="L773" s="43" t="s">
        <v>1833</v>
      </c>
      <c r="M773" s="44" t="s">
        <v>405</v>
      </c>
      <c r="N773" s="44" t="s">
        <v>832</v>
      </c>
      <c r="O773" s="44" t="str">
        <f t="shared" ref="O773:O814" si="46">F773</f>
        <v>PE-L1-4C25/16-01</v>
      </c>
      <c r="P773" s="45">
        <v>11</v>
      </c>
      <c r="Q773" s="44">
        <v>400</v>
      </c>
      <c r="R773" s="44" t="s">
        <v>49</v>
      </c>
      <c r="S773" s="44">
        <v>430</v>
      </c>
      <c r="T773" s="46" t="s">
        <v>5620</v>
      </c>
      <c r="U773" s="46" t="s">
        <v>5394</v>
      </c>
      <c r="V773" s="46" t="s">
        <v>5395</v>
      </c>
      <c r="W773" s="46" t="s">
        <v>335</v>
      </c>
      <c r="X773" s="47" t="s">
        <v>9305</v>
      </c>
      <c r="Y773" s="46" t="s">
        <v>5714</v>
      </c>
      <c r="Z773" s="46" t="s">
        <v>5715</v>
      </c>
      <c r="AA773" s="46" t="s">
        <v>8706</v>
      </c>
      <c r="AB773" s="47" t="s">
        <v>9305</v>
      </c>
      <c r="AC773" s="48" t="s">
        <v>5716</v>
      </c>
      <c r="AD773" s="30"/>
      <c r="AE773" s="197"/>
      <c r="AF773" s="47"/>
    </row>
    <row r="774" spans="1:32" s="29" customFormat="1" ht="69.95" hidden="1" customHeight="1">
      <c r="A774" s="29" t="s">
        <v>4412</v>
      </c>
      <c r="B774" s="29" t="s">
        <v>3769</v>
      </c>
      <c r="C774" s="40">
        <v>24</v>
      </c>
      <c r="D774" s="40"/>
      <c r="E774" s="57" t="s">
        <v>196</v>
      </c>
      <c r="F774" s="57" t="s">
        <v>196</v>
      </c>
      <c r="G774" s="29" t="s">
        <v>1834</v>
      </c>
      <c r="J774" s="29">
        <f t="shared" si="44"/>
        <v>1</v>
      </c>
      <c r="K774" s="42">
        <v>767</v>
      </c>
      <c r="L774" s="43" t="s">
        <v>1835</v>
      </c>
      <c r="M774" s="44" t="s">
        <v>405</v>
      </c>
      <c r="N774" s="44" t="s">
        <v>536</v>
      </c>
      <c r="O774" s="44" t="str">
        <f t="shared" si="46"/>
        <v>PE-L1-4C4-09</v>
      </c>
      <c r="P774" s="45">
        <v>0.2</v>
      </c>
      <c r="Q774" s="44">
        <v>400</v>
      </c>
      <c r="R774" s="44" t="s">
        <v>49</v>
      </c>
      <c r="S774" s="44">
        <v>290</v>
      </c>
      <c r="T774" s="46" t="s">
        <v>5432</v>
      </c>
      <c r="U774" s="46" t="s">
        <v>4412</v>
      </c>
      <c r="V774" s="46" t="s">
        <v>4413</v>
      </c>
      <c r="W774" s="46" t="s">
        <v>335</v>
      </c>
      <c r="X774" s="47" t="s">
        <v>9305</v>
      </c>
      <c r="Y774" s="46" t="s">
        <v>5717</v>
      </c>
      <c r="Z774" s="46" t="s">
        <v>5718</v>
      </c>
      <c r="AA774" s="46" t="s">
        <v>5623</v>
      </c>
      <c r="AB774" s="47" t="s">
        <v>9305</v>
      </c>
      <c r="AC774" s="48" t="s">
        <v>5719</v>
      </c>
      <c r="AD774" s="30"/>
      <c r="AE774" s="197"/>
      <c r="AF774" s="47"/>
    </row>
    <row r="775" spans="1:32" s="29" customFormat="1" ht="69.95" hidden="1" customHeight="1">
      <c r="A775" s="29" t="s">
        <v>4407</v>
      </c>
      <c r="B775" s="29" t="s">
        <v>3769</v>
      </c>
      <c r="C775" s="40">
        <v>27</v>
      </c>
      <c r="D775" s="40"/>
      <c r="E775" s="57" t="s">
        <v>196</v>
      </c>
      <c r="F775" s="57" t="s">
        <v>196</v>
      </c>
      <c r="G775" s="29" t="s">
        <v>1836</v>
      </c>
      <c r="J775" s="29">
        <f t="shared" si="44"/>
        <v>1</v>
      </c>
      <c r="K775" s="42">
        <v>768</v>
      </c>
      <c r="L775" s="43" t="s">
        <v>1837</v>
      </c>
      <c r="M775" s="44" t="s">
        <v>405</v>
      </c>
      <c r="N775" s="44" t="s">
        <v>536</v>
      </c>
      <c r="O775" s="44" t="str">
        <f t="shared" si="46"/>
        <v>PE-L1-4C4-09</v>
      </c>
      <c r="P775" s="45">
        <v>0.2</v>
      </c>
      <c r="Q775" s="44">
        <v>400</v>
      </c>
      <c r="R775" s="44" t="s">
        <v>49</v>
      </c>
      <c r="S775" s="44">
        <v>280</v>
      </c>
      <c r="T775" s="46" t="s">
        <v>5432</v>
      </c>
      <c r="U775" s="46" t="s">
        <v>4407</v>
      </c>
      <c r="V775" s="46" t="s">
        <v>4408</v>
      </c>
      <c r="W775" s="46" t="s">
        <v>335</v>
      </c>
      <c r="X775" s="47" t="s">
        <v>9305</v>
      </c>
      <c r="Y775" s="46" t="s">
        <v>5720</v>
      </c>
      <c r="Z775" s="46" t="s">
        <v>5721</v>
      </c>
      <c r="AA775" s="46" t="s">
        <v>5623</v>
      </c>
      <c r="AB775" s="47" t="s">
        <v>9305</v>
      </c>
      <c r="AC775" s="48" t="s">
        <v>5722</v>
      </c>
      <c r="AD775" s="30"/>
      <c r="AE775" s="197"/>
      <c r="AF775" s="47"/>
    </row>
    <row r="776" spans="1:32" s="29" customFormat="1" ht="69.95" hidden="1" customHeight="1">
      <c r="A776" s="29" t="s">
        <v>4407</v>
      </c>
      <c r="B776" s="29" t="s">
        <v>3769</v>
      </c>
      <c r="C776" s="40">
        <v>28</v>
      </c>
      <c r="D776" s="40"/>
      <c r="E776" s="57" t="s">
        <v>196</v>
      </c>
      <c r="F776" s="57" t="s">
        <v>196</v>
      </c>
      <c r="G776" s="29" t="s">
        <v>1838</v>
      </c>
      <c r="J776" s="29">
        <f t="shared" ref="J776:J839" si="47">COUNTIF(L:L,L776)</f>
        <v>1</v>
      </c>
      <c r="K776" s="42">
        <v>769</v>
      </c>
      <c r="L776" s="43" t="s">
        <v>1839</v>
      </c>
      <c r="M776" s="44" t="s">
        <v>405</v>
      </c>
      <c r="N776" s="44" t="s">
        <v>536</v>
      </c>
      <c r="O776" s="44" t="str">
        <f t="shared" si="46"/>
        <v>PE-L1-4C4-09</v>
      </c>
      <c r="P776" s="45">
        <v>2.2000000000000002</v>
      </c>
      <c r="Q776" s="44">
        <v>400</v>
      </c>
      <c r="R776" s="44" t="s">
        <v>49</v>
      </c>
      <c r="S776" s="44">
        <v>290</v>
      </c>
      <c r="T776" s="46" t="s">
        <v>5432</v>
      </c>
      <c r="U776" s="46" t="s">
        <v>4407</v>
      </c>
      <c r="V776" s="46" t="s">
        <v>4408</v>
      </c>
      <c r="W776" s="46" t="s">
        <v>335</v>
      </c>
      <c r="X776" s="47" t="s">
        <v>9305</v>
      </c>
      <c r="Y776" s="46" t="s">
        <v>5723</v>
      </c>
      <c r="Z776" s="46" t="s">
        <v>5724</v>
      </c>
      <c r="AA776" s="46" t="s">
        <v>5623</v>
      </c>
      <c r="AB776" s="47" t="s">
        <v>9305</v>
      </c>
      <c r="AC776" s="48" t="s">
        <v>5725</v>
      </c>
      <c r="AD776" s="30"/>
      <c r="AE776" s="197"/>
      <c r="AF776" s="47"/>
    </row>
    <row r="777" spans="1:32" s="29" customFormat="1" ht="69.95" hidden="1" customHeight="1">
      <c r="A777" s="29" t="s">
        <v>4412</v>
      </c>
      <c r="B777" s="29" t="s">
        <v>3769</v>
      </c>
      <c r="C777" s="40">
        <v>25</v>
      </c>
      <c r="D777" s="40"/>
      <c r="E777" s="57" t="s">
        <v>196</v>
      </c>
      <c r="F777" s="57" t="s">
        <v>196</v>
      </c>
      <c r="G777" s="29" t="s">
        <v>1840</v>
      </c>
      <c r="J777" s="29">
        <f t="shared" si="47"/>
        <v>1</v>
      </c>
      <c r="K777" s="42">
        <v>770</v>
      </c>
      <c r="L777" s="43" t="s">
        <v>1841</v>
      </c>
      <c r="M777" s="44" t="s">
        <v>405</v>
      </c>
      <c r="N777" s="44" t="s">
        <v>536</v>
      </c>
      <c r="O777" s="44" t="str">
        <f t="shared" si="46"/>
        <v>PE-L1-4C4-09</v>
      </c>
      <c r="P777" s="45">
        <v>2.2000000000000002</v>
      </c>
      <c r="Q777" s="44">
        <v>400</v>
      </c>
      <c r="R777" s="44" t="s">
        <v>49</v>
      </c>
      <c r="S777" s="44">
        <v>290</v>
      </c>
      <c r="T777" s="46" t="s">
        <v>5432</v>
      </c>
      <c r="U777" s="46" t="s">
        <v>4412</v>
      </c>
      <c r="V777" s="46" t="s">
        <v>4413</v>
      </c>
      <c r="W777" s="46" t="s">
        <v>335</v>
      </c>
      <c r="X777" s="47" t="s">
        <v>9305</v>
      </c>
      <c r="Y777" s="46" t="s">
        <v>5726</v>
      </c>
      <c r="Z777" s="46" t="s">
        <v>5727</v>
      </c>
      <c r="AA777" s="46" t="s">
        <v>5623</v>
      </c>
      <c r="AB777" s="47" t="s">
        <v>9305</v>
      </c>
      <c r="AC777" s="48" t="s">
        <v>5728</v>
      </c>
      <c r="AD777" s="30"/>
      <c r="AE777" s="197"/>
      <c r="AF777" s="47"/>
    </row>
    <row r="778" spans="1:32" s="29" customFormat="1" ht="69.95" hidden="1" customHeight="1">
      <c r="A778" s="29" t="s">
        <v>4412</v>
      </c>
      <c r="B778" s="29" t="s">
        <v>3769</v>
      </c>
      <c r="C778" s="40">
        <v>26</v>
      </c>
      <c r="D778" s="40"/>
      <c r="E778" s="57" t="s">
        <v>199</v>
      </c>
      <c r="F778" s="57" t="s">
        <v>199</v>
      </c>
      <c r="G778" s="29" t="s">
        <v>1842</v>
      </c>
      <c r="J778" s="29">
        <f t="shared" si="47"/>
        <v>1</v>
      </c>
      <c r="K778" s="42">
        <v>771</v>
      </c>
      <c r="L778" s="43" t="s">
        <v>1843</v>
      </c>
      <c r="M778" s="44" t="s">
        <v>405</v>
      </c>
      <c r="N778" s="44" t="s">
        <v>536</v>
      </c>
      <c r="O778" s="44" t="str">
        <f t="shared" si="46"/>
        <v>PE-L1-4C4-10</v>
      </c>
      <c r="P778" s="45">
        <v>0.2</v>
      </c>
      <c r="Q778" s="44">
        <v>400</v>
      </c>
      <c r="R778" s="44" t="s">
        <v>49</v>
      </c>
      <c r="S778" s="44">
        <v>290</v>
      </c>
      <c r="T778" s="46" t="s">
        <v>5432</v>
      </c>
      <c r="U778" s="46" t="s">
        <v>4412</v>
      </c>
      <c r="V778" s="46" t="s">
        <v>4413</v>
      </c>
      <c r="W778" s="46" t="s">
        <v>335</v>
      </c>
      <c r="X778" s="47" t="s">
        <v>9305</v>
      </c>
      <c r="Y778" s="46" t="s">
        <v>5729</v>
      </c>
      <c r="Z778" s="46" t="s">
        <v>5730</v>
      </c>
      <c r="AA778" s="46" t="s">
        <v>5623</v>
      </c>
      <c r="AB778" s="47" t="s">
        <v>9305</v>
      </c>
      <c r="AC778" s="48" t="s">
        <v>5731</v>
      </c>
      <c r="AD778" s="30"/>
      <c r="AE778" s="197"/>
      <c r="AF778" s="47"/>
    </row>
    <row r="779" spans="1:32" s="29" customFormat="1" ht="69.95" hidden="1" customHeight="1">
      <c r="A779" s="29" t="s">
        <v>4407</v>
      </c>
      <c r="B779" s="29" t="s">
        <v>3769</v>
      </c>
      <c r="C779" s="40">
        <v>29</v>
      </c>
      <c r="D779" s="40"/>
      <c r="E779" s="57" t="s">
        <v>199</v>
      </c>
      <c r="F779" s="57" t="s">
        <v>199</v>
      </c>
      <c r="G779" s="29" t="s">
        <v>1844</v>
      </c>
      <c r="J779" s="29">
        <f t="shared" si="47"/>
        <v>1</v>
      </c>
      <c r="K779" s="42">
        <v>772</v>
      </c>
      <c r="L779" s="43" t="s">
        <v>1845</v>
      </c>
      <c r="M779" s="44" t="s">
        <v>405</v>
      </c>
      <c r="N779" s="44" t="s">
        <v>536</v>
      </c>
      <c r="O779" s="44" t="str">
        <f t="shared" si="46"/>
        <v>PE-L1-4C4-10</v>
      </c>
      <c r="P779" s="45">
        <v>0.2</v>
      </c>
      <c r="Q779" s="44">
        <v>400</v>
      </c>
      <c r="R779" s="44" t="s">
        <v>49</v>
      </c>
      <c r="S779" s="44">
        <v>290</v>
      </c>
      <c r="T779" s="46" t="s">
        <v>5432</v>
      </c>
      <c r="U779" s="46" t="s">
        <v>4407</v>
      </c>
      <c r="V779" s="46" t="s">
        <v>4408</v>
      </c>
      <c r="W779" s="46" t="s">
        <v>335</v>
      </c>
      <c r="X779" s="47" t="s">
        <v>9305</v>
      </c>
      <c r="Y779" s="46" t="s">
        <v>5732</v>
      </c>
      <c r="Z779" s="46" t="s">
        <v>5733</v>
      </c>
      <c r="AA779" s="46" t="s">
        <v>5623</v>
      </c>
      <c r="AB779" s="47" t="s">
        <v>9305</v>
      </c>
      <c r="AC779" s="48" t="s">
        <v>5734</v>
      </c>
      <c r="AD779" s="30"/>
      <c r="AE779" s="197"/>
      <c r="AF779" s="47"/>
    </row>
    <row r="780" spans="1:32" s="29" customFormat="1" ht="69.95" hidden="1" customHeight="1">
      <c r="A780" s="29" t="s">
        <v>4439</v>
      </c>
      <c r="B780" s="29" t="s">
        <v>3769</v>
      </c>
      <c r="C780" s="40" t="s">
        <v>41</v>
      </c>
      <c r="D780" s="40"/>
      <c r="E780" s="57" t="s">
        <v>199</v>
      </c>
      <c r="F780" s="57" t="s">
        <v>199</v>
      </c>
      <c r="G780" s="29" t="s">
        <v>1846</v>
      </c>
      <c r="H780" s="124" t="s">
        <v>9445</v>
      </c>
      <c r="I780" s="124" t="s">
        <v>9121</v>
      </c>
      <c r="J780" s="29">
        <f t="shared" si="47"/>
        <v>1</v>
      </c>
      <c r="K780" s="42">
        <v>773</v>
      </c>
      <c r="L780" s="152" t="s">
        <v>1847</v>
      </c>
      <c r="M780" s="44" t="s">
        <v>405</v>
      </c>
      <c r="N780" s="44" t="s">
        <v>536</v>
      </c>
      <c r="O780" s="101" t="str">
        <f t="shared" si="46"/>
        <v>PE-L1-4C4-10</v>
      </c>
      <c r="P780" s="45">
        <v>0.2</v>
      </c>
      <c r="Q780" s="44">
        <v>400</v>
      </c>
      <c r="R780" s="44" t="s">
        <v>49</v>
      </c>
      <c r="S780" s="101">
        <v>350</v>
      </c>
      <c r="T780" s="46" t="s">
        <v>5432</v>
      </c>
      <c r="U780" s="46" t="s">
        <v>4439</v>
      </c>
      <c r="V780" s="46" t="s">
        <v>4440</v>
      </c>
      <c r="W780" s="46" t="s">
        <v>335</v>
      </c>
      <c r="X780" s="47" t="s">
        <v>9305</v>
      </c>
      <c r="Y780" s="46" t="s">
        <v>5735</v>
      </c>
      <c r="Z780" s="46" t="s">
        <v>5736</v>
      </c>
      <c r="AA780" s="46" t="s">
        <v>5634</v>
      </c>
      <c r="AB780" s="47" t="s">
        <v>9305</v>
      </c>
      <c r="AC780" s="48" t="s">
        <v>5737</v>
      </c>
      <c r="AD780" s="30"/>
      <c r="AE780" s="197"/>
      <c r="AF780" s="47"/>
    </row>
    <row r="781" spans="1:32" s="29" customFormat="1" ht="69.95" hidden="1" customHeight="1">
      <c r="A781" s="29" t="s">
        <v>4439</v>
      </c>
      <c r="B781" s="29" t="s">
        <v>3769</v>
      </c>
      <c r="C781" s="40" t="s">
        <v>42</v>
      </c>
      <c r="D781" s="40"/>
      <c r="E781" s="57" t="s">
        <v>199</v>
      </c>
      <c r="F781" s="57" t="s">
        <v>199</v>
      </c>
      <c r="G781" s="29" t="s">
        <v>1848</v>
      </c>
      <c r="H781" s="124" t="s">
        <v>9445</v>
      </c>
      <c r="I781" s="124" t="s">
        <v>9121</v>
      </c>
      <c r="J781" s="29">
        <f t="shared" si="47"/>
        <v>1</v>
      </c>
      <c r="K781" s="42">
        <v>774</v>
      </c>
      <c r="L781" s="152" t="s">
        <v>1849</v>
      </c>
      <c r="M781" s="44" t="s">
        <v>405</v>
      </c>
      <c r="N781" s="44" t="s">
        <v>536</v>
      </c>
      <c r="O781" s="101" t="str">
        <f t="shared" si="46"/>
        <v>PE-L1-4C4-10</v>
      </c>
      <c r="P781" s="45">
        <v>0.2</v>
      </c>
      <c r="Q781" s="44">
        <v>400</v>
      </c>
      <c r="R781" s="44" t="s">
        <v>49</v>
      </c>
      <c r="S781" s="101">
        <v>360</v>
      </c>
      <c r="T781" s="46" t="s">
        <v>5432</v>
      </c>
      <c r="U781" s="46" t="s">
        <v>4439</v>
      </c>
      <c r="V781" s="46" t="s">
        <v>4440</v>
      </c>
      <c r="W781" s="46" t="s">
        <v>335</v>
      </c>
      <c r="X781" s="47" t="s">
        <v>9305</v>
      </c>
      <c r="Y781" s="46" t="s">
        <v>5738</v>
      </c>
      <c r="Z781" s="46" t="s">
        <v>5739</v>
      </c>
      <c r="AA781" s="46" t="s">
        <v>5634</v>
      </c>
      <c r="AB781" s="47" t="s">
        <v>9305</v>
      </c>
      <c r="AC781" s="48" t="s">
        <v>5740</v>
      </c>
      <c r="AD781" s="30"/>
      <c r="AE781" s="197"/>
      <c r="AF781" s="47"/>
    </row>
    <row r="782" spans="1:32" s="29" customFormat="1" ht="69.95" hidden="1" customHeight="1">
      <c r="A782" s="29" t="s">
        <v>4439</v>
      </c>
      <c r="B782" s="29" t="s">
        <v>3769</v>
      </c>
      <c r="C782" s="40" t="s">
        <v>43</v>
      </c>
      <c r="D782" s="40"/>
      <c r="E782" s="57" t="s">
        <v>199</v>
      </c>
      <c r="F782" s="57" t="s">
        <v>199</v>
      </c>
      <c r="G782" s="29" t="s">
        <v>1850</v>
      </c>
      <c r="H782" s="124" t="s">
        <v>9445</v>
      </c>
      <c r="I782" s="124" t="s">
        <v>9121</v>
      </c>
      <c r="J782" s="29">
        <f t="shared" si="47"/>
        <v>1</v>
      </c>
      <c r="K782" s="42">
        <v>775</v>
      </c>
      <c r="L782" s="152" t="s">
        <v>1851</v>
      </c>
      <c r="M782" s="44" t="s">
        <v>405</v>
      </c>
      <c r="N782" s="44" t="s">
        <v>536</v>
      </c>
      <c r="O782" s="101" t="str">
        <f t="shared" si="46"/>
        <v>PE-L1-4C4-10</v>
      </c>
      <c r="P782" s="45">
        <v>2.2000000000000002</v>
      </c>
      <c r="Q782" s="44">
        <v>400</v>
      </c>
      <c r="R782" s="44" t="s">
        <v>49</v>
      </c>
      <c r="S782" s="101">
        <v>350</v>
      </c>
      <c r="T782" s="46" t="s">
        <v>5432</v>
      </c>
      <c r="U782" s="46" t="s">
        <v>4439</v>
      </c>
      <c r="V782" s="46" t="s">
        <v>4440</v>
      </c>
      <c r="W782" s="46" t="s">
        <v>335</v>
      </c>
      <c r="X782" s="47" t="s">
        <v>9305</v>
      </c>
      <c r="Y782" s="46" t="s">
        <v>5741</v>
      </c>
      <c r="Z782" s="46" t="s">
        <v>5742</v>
      </c>
      <c r="AA782" s="46" t="s">
        <v>5634</v>
      </c>
      <c r="AB782" s="47" t="s">
        <v>9305</v>
      </c>
      <c r="AC782" s="48" t="s">
        <v>5743</v>
      </c>
      <c r="AD782" s="30"/>
      <c r="AE782" s="197"/>
      <c r="AF782" s="47"/>
    </row>
    <row r="783" spans="1:32" s="29" customFormat="1" ht="69.95" hidden="1" customHeight="1">
      <c r="A783" s="29" t="s">
        <v>4439</v>
      </c>
      <c r="B783" s="29" t="s">
        <v>3769</v>
      </c>
      <c r="C783" s="40" t="s">
        <v>73</v>
      </c>
      <c r="D783" s="40"/>
      <c r="E783" s="57" t="s">
        <v>200</v>
      </c>
      <c r="F783" s="57" t="s">
        <v>200</v>
      </c>
      <c r="G783" s="29" t="s">
        <v>1852</v>
      </c>
      <c r="J783" s="29">
        <f t="shared" si="47"/>
        <v>1</v>
      </c>
      <c r="K783" s="42">
        <v>776</v>
      </c>
      <c r="L783" s="43" t="s">
        <v>1853</v>
      </c>
      <c r="M783" s="44" t="s">
        <v>405</v>
      </c>
      <c r="N783" s="44" t="s">
        <v>536</v>
      </c>
      <c r="O783" s="44" t="str">
        <f t="shared" si="46"/>
        <v>PE-L1-4C4-11</v>
      </c>
      <c r="P783" s="45">
        <v>2.2000000000000002</v>
      </c>
      <c r="Q783" s="44">
        <v>400</v>
      </c>
      <c r="R783" s="44" t="s">
        <v>49</v>
      </c>
      <c r="S783" s="44">
        <v>350</v>
      </c>
      <c r="T783" s="46" t="s">
        <v>5432</v>
      </c>
      <c r="U783" s="46" t="s">
        <v>4439</v>
      </c>
      <c r="V783" s="46" t="s">
        <v>4440</v>
      </c>
      <c r="W783" s="46" t="s">
        <v>335</v>
      </c>
      <c r="X783" s="47" t="s">
        <v>9305</v>
      </c>
      <c r="Y783" s="46" t="s">
        <v>5744</v>
      </c>
      <c r="Z783" s="46" t="s">
        <v>5745</v>
      </c>
      <c r="AA783" s="46" t="s">
        <v>5634</v>
      </c>
      <c r="AB783" s="47" t="s">
        <v>9305</v>
      </c>
      <c r="AC783" s="48" t="s">
        <v>5746</v>
      </c>
      <c r="AD783" s="30"/>
      <c r="AE783" s="197"/>
      <c r="AF783" s="47"/>
    </row>
    <row r="784" spans="1:32" s="29" customFormat="1" ht="69.95" hidden="1" customHeight="1">
      <c r="A784" s="29" t="s">
        <v>4439</v>
      </c>
      <c r="B784" s="29" t="s">
        <v>3769</v>
      </c>
      <c r="C784" s="40" t="s">
        <v>75</v>
      </c>
      <c r="D784" s="40"/>
      <c r="E784" s="57" t="s">
        <v>200</v>
      </c>
      <c r="F784" s="57" t="s">
        <v>200</v>
      </c>
      <c r="G784" s="29" t="s">
        <v>1854</v>
      </c>
      <c r="J784" s="29">
        <f t="shared" si="47"/>
        <v>1</v>
      </c>
      <c r="K784" s="42">
        <v>777</v>
      </c>
      <c r="L784" s="43" t="s">
        <v>1855</v>
      </c>
      <c r="M784" s="44" t="s">
        <v>405</v>
      </c>
      <c r="N784" s="44" t="s">
        <v>536</v>
      </c>
      <c r="O784" s="44" t="str">
        <f t="shared" si="46"/>
        <v>PE-L1-4C4-11</v>
      </c>
      <c r="P784" s="45">
        <v>0.2</v>
      </c>
      <c r="Q784" s="44">
        <v>400</v>
      </c>
      <c r="R784" s="44" t="s">
        <v>49</v>
      </c>
      <c r="S784" s="44">
        <v>360</v>
      </c>
      <c r="T784" s="46" t="s">
        <v>5432</v>
      </c>
      <c r="U784" s="46" t="s">
        <v>4439</v>
      </c>
      <c r="V784" s="46" t="s">
        <v>4440</v>
      </c>
      <c r="W784" s="46" t="s">
        <v>335</v>
      </c>
      <c r="X784" s="47" t="s">
        <v>9305</v>
      </c>
      <c r="Y784" s="46" t="s">
        <v>5747</v>
      </c>
      <c r="Z784" s="46" t="s">
        <v>5748</v>
      </c>
      <c r="AA784" s="46" t="s">
        <v>5634</v>
      </c>
      <c r="AB784" s="47" t="s">
        <v>9305</v>
      </c>
      <c r="AC784" s="48" t="s">
        <v>5749</v>
      </c>
      <c r="AD784" s="30"/>
      <c r="AE784" s="197"/>
      <c r="AF784" s="47"/>
    </row>
    <row r="785" spans="1:32" s="29" customFormat="1" ht="69.95" hidden="1" customHeight="1">
      <c r="A785" s="29" t="s">
        <v>4439</v>
      </c>
      <c r="B785" s="29" t="s">
        <v>3769</v>
      </c>
      <c r="C785" s="40">
        <v>10</v>
      </c>
      <c r="D785" s="40"/>
      <c r="E785" s="57" t="s">
        <v>200</v>
      </c>
      <c r="F785" s="57" t="s">
        <v>200</v>
      </c>
      <c r="G785" s="29" t="s">
        <v>1856</v>
      </c>
      <c r="J785" s="29">
        <f t="shared" si="47"/>
        <v>1</v>
      </c>
      <c r="K785" s="42">
        <v>778</v>
      </c>
      <c r="L785" s="43" t="s">
        <v>1857</v>
      </c>
      <c r="M785" s="44" t="s">
        <v>405</v>
      </c>
      <c r="N785" s="44" t="s">
        <v>536</v>
      </c>
      <c r="O785" s="44" t="str">
        <f t="shared" si="46"/>
        <v>PE-L1-4C4-11</v>
      </c>
      <c r="P785" s="45">
        <v>0.2</v>
      </c>
      <c r="Q785" s="44">
        <v>400</v>
      </c>
      <c r="R785" s="44" t="s">
        <v>49</v>
      </c>
      <c r="S785" s="44">
        <v>360</v>
      </c>
      <c r="T785" s="46" t="s">
        <v>5432</v>
      </c>
      <c r="U785" s="46" t="s">
        <v>4439</v>
      </c>
      <c r="V785" s="46" t="s">
        <v>4440</v>
      </c>
      <c r="W785" s="46" t="s">
        <v>335</v>
      </c>
      <c r="X785" s="47" t="s">
        <v>9305</v>
      </c>
      <c r="Y785" s="46" t="s">
        <v>5750</v>
      </c>
      <c r="Z785" s="46" t="s">
        <v>5751</v>
      </c>
      <c r="AA785" s="46" t="s">
        <v>5634</v>
      </c>
      <c r="AB785" s="47" t="s">
        <v>9305</v>
      </c>
      <c r="AC785" s="48" t="s">
        <v>5752</v>
      </c>
      <c r="AD785" s="30"/>
      <c r="AE785" s="197"/>
      <c r="AF785" s="47"/>
    </row>
    <row r="786" spans="1:32" s="29" customFormat="1" ht="69.95" hidden="1" customHeight="1">
      <c r="A786" s="29" t="s">
        <v>4480</v>
      </c>
      <c r="B786" s="29" t="s">
        <v>3769</v>
      </c>
      <c r="C786" s="40">
        <v>26</v>
      </c>
      <c r="D786" s="40"/>
      <c r="E786" s="57" t="s">
        <v>8028</v>
      </c>
      <c r="F786" s="57" t="s">
        <v>8028</v>
      </c>
      <c r="G786" s="29" t="s">
        <v>1858</v>
      </c>
      <c r="J786" s="29">
        <f t="shared" si="47"/>
        <v>1</v>
      </c>
      <c r="K786" s="42">
        <v>779</v>
      </c>
      <c r="L786" s="43" t="s">
        <v>1859</v>
      </c>
      <c r="M786" s="44" t="s">
        <v>405</v>
      </c>
      <c r="N786" s="44" t="s">
        <v>536</v>
      </c>
      <c r="O786" s="44" t="str">
        <f t="shared" si="46"/>
        <v>PE-L1-4C4-16</v>
      </c>
      <c r="P786" s="45">
        <v>0.2</v>
      </c>
      <c r="Q786" s="44">
        <v>400</v>
      </c>
      <c r="R786" s="44" t="s">
        <v>49</v>
      </c>
      <c r="S786" s="44">
        <v>310</v>
      </c>
      <c r="T786" s="46" t="s">
        <v>5432</v>
      </c>
      <c r="U786" s="46" t="s">
        <v>4480</v>
      </c>
      <c r="V786" s="46" t="s">
        <v>4481</v>
      </c>
      <c r="W786" s="46" t="s">
        <v>347</v>
      </c>
      <c r="X786" s="47" t="s">
        <v>9305</v>
      </c>
      <c r="Y786" s="46" t="s">
        <v>5753</v>
      </c>
      <c r="Z786" s="46" t="s">
        <v>5754</v>
      </c>
      <c r="AA786" s="46" t="s">
        <v>5644</v>
      </c>
      <c r="AB786" s="47" t="s">
        <v>9305</v>
      </c>
      <c r="AC786" s="48" t="s">
        <v>5755</v>
      </c>
      <c r="AD786" s="30"/>
      <c r="AE786" s="197"/>
      <c r="AF786" s="47"/>
    </row>
    <row r="787" spans="1:32" s="29" customFormat="1" ht="69.95" hidden="1" customHeight="1">
      <c r="A787" s="29" t="s">
        <v>4474</v>
      </c>
      <c r="B787" s="29" t="s">
        <v>3769</v>
      </c>
      <c r="C787" s="40">
        <v>25</v>
      </c>
      <c r="D787" s="40"/>
      <c r="E787" s="57" t="s">
        <v>8028</v>
      </c>
      <c r="F787" s="57" t="s">
        <v>8028</v>
      </c>
      <c r="G787" s="29" t="s">
        <v>1860</v>
      </c>
      <c r="J787" s="29">
        <f t="shared" si="47"/>
        <v>1</v>
      </c>
      <c r="K787" s="42">
        <v>780</v>
      </c>
      <c r="L787" s="43" t="s">
        <v>1861</v>
      </c>
      <c r="M787" s="44" t="s">
        <v>405</v>
      </c>
      <c r="N787" s="44" t="s">
        <v>536</v>
      </c>
      <c r="O787" s="44" t="str">
        <f t="shared" si="46"/>
        <v>PE-L1-4C4-16</v>
      </c>
      <c r="P787" s="45">
        <v>0.2</v>
      </c>
      <c r="Q787" s="44">
        <v>400</v>
      </c>
      <c r="R787" s="44" t="s">
        <v>49</v>
      </c>
      <c r="S787" s="44">
        <v>320</v>
      </c>
      <c r="T787" s="46" t="s">
        <v>5432</v>
      </c>
      <c r="U787" s="46" t="s">
        <v>4474</v>
      </c>
      <c r="V787" s="46" t="s">
        <v>4475</v>
      </c>
      <c r="W787" s="46" t="s">
        <v>347</v>
      </c>
      <c r="X787" s="47" t="s">
        <v>9305</v>
      </c>
      <c r="Y787" s="46" t="s">
        <v>5756</v>
      </c>
      <c r="Z787" s="46" t="s">
        <v>5757</v>
      </c>
      <c r="AA787" s="46" t="s">
        <v>5644</v>
      </c>
      <c r="AB787" s="47" t="s">
        <v>9305</v>
      </c>
      <c r="AC787" s="48" t="s">
        <v>5758</v>
      </c>
      <c r="AD787" s="30"/>
      <c r="AE787" s="197"/>
      <c r="AF787" s="47"/>
    </row>
    <row r="788" spans="1:32" s="29" customFormat="1" ht="69.95" hidden="1" customHeight="1">
      <c r="A788" s="29" t="s">
        <v>4474</v>
      </c>
      <c r="B788" s="29" t="s">
        <v>3769</v>
      </c>
      <c r="C788" s="40">
        <v>26</v>
      </c>
      <c r="D788" s="40"/>
      <c r="E788" s="57" t="s">
        <v>8028</v>
      </c>
      <c r="F788" s="57" t="s">
        <v>8028</v>
      </c>
      <c r="G788" s="29" t="s">
        <v>1862</v>
      </c>
      <c r="J788" s="29">
        <f t="shared" si="47"/>
        <v>1</v>
      </c>
      <c r="K788" s="42">
        <v>781</v>
      </c>
      <c r="L788" s="43" t="s">
        <v>1863</v>
      </c>
      <c r="M788" s="44" t="s">
        <v>405</v>
      </c>
      <c r="N788" s="44" t="s">
        <v>536</v>
      </c>
      <c r="O788" s="44" t="str">
        <f t="shared" si="46"/>
        <v>PE-L1-4C4-16</v>
      </c>
      <c r="P788" s="45">
        <v>2.2000000000000002</v>
      </c>
      <c r="Q788" s="44">
        <v>400</v>
      </c>
      <c r="R788" s="44" t="s">
        <v>49</v>
      </c>
      <c r="S788" s="44">
        <v>320</v>
      </c>
      <c r="T788" s="46" t="s">
        <v>5432</v>
      </c>
      <c r="U788" s="46" t="s">
        <v>4474</v>
      </c>
      <c r="V788" s="46" t="s">
        <v>4475</v>
      </c>
      <c r="W788" s="46" t="s">
        <v>347</v>
      </c>
      <c r="X788" s="47" t="s">
        <v>9305</v>
      </c>
      <c r="Y788" s="46" t="s">
        <v>5759</v>
      </c>
      <c r="Z788" s="46" t="s">
        <v>5760</v>
      </c>
      <c r="AA788" s="46" t="s">
        <v>5644</v>
      </c>
      <c r="AB788" s="47" t="s">
        <v>9305</v>
      </c>
      <c r="AC788" s="48" t="s">
        <v>5761</v>
      </c>
      <c r="AD788" s="30"/>
      <c r="AE788" s="197"/>
      <c r="AF788" s="47"/>
    </row>
    <row r="789" spans="1:32" s="29" customFormat="1" ht="69.95" hidden="1" customHeight="1">
      <c r="A789" s="29" t="s">
        <v>4480</v>
      </c>
      <c r="B789" s="29" t="s">
        <v>3769</v>
      </c>
      <c r="C789" s="40">
        <v>27</v>
      </c>
      <c r="D789" s="40"/>
      <c r="E789" s="57" t="s">
        <v>8028</v>
      </c>
      <c r="F789" s="57" t="s">
        <v>8028</v>
      </c>
      <c r="G789" s="29" t="s">
        <v>1864</v>
      </c>
      <c r="J789" s="29">
        <f t="shared" si="47"/>
        <v>1</v>
      </c>
      <c r="K789" s="42">
        <v>782</v>
      </c>
      <c r="L789" s="43" t="s">
        <v>1865</v>
      </c>
      <c r="M789" s="44" t="s">
        <v>405</v>
      </c>
      <c r="N789" s="44" t="s">
        <v>536</v>
      </c>
      <c r="O789" s="44" t="str">
        <f t="shared" si="46"/>
        <v>PE-L1-4C4-16</v>
      </c>
      <c r="P789" s="45">
        <v>2.2000000000000002</v>
      </c>
      <c r="Q789" s="44">
        <v>400</v>
      </c>
      <c r="R789" s="44" t="s">
        <v>49</v>
      </c>
      <c r="S789" s="44">
        <v>310</v>
      </c>
      <c r="T789" s="46" t="s">
        <v>5432</v>
      </c>
      <c r="U789" s="46" t="s">
        <v>4480</v>
      </c>
      <c r="V789" s="46" t="s">
        <v>4481</v>
      </c>
      <c r="W789" s="46" t="s">
        <v>347</v>
      </c>
      <c r="X789" s="47" t="s">
        <v>9305</v>
      </c>
      <c r="Y789" s="46" t="s">
        <v>5762</v>
      </c>
      <c r="Z789" s="46" t="s">
        <v>5763</v>
      </c>
      <c r="AA789" s="46" t="s">
        <v>5644</v>
      </c>
      <c r="AB789" s="47" t="s">
        <v>9305</v>
      </c>
      <c r="AC789" s="48" t="s">
        <v>5764</v>
      </c>
      <c r="AD789" s="30"/>
      <c r="AE789" s="197"/>
      <c r="AF789" s="47"/>
    </row>
    <row r="790" spans="1:32" s="29" customFormat="1" ht="69.95" hidden="1" customHeight="1">
      <c r="A790" s="29" t="s">
        <v>4480</v>
      </c>
      <c r="B790" s="29" t="s">
        <v>3769</v>
      </c>
      <c r="C790" s="40">
        <v>28</v>
      </c>
      <c r="D790" s="40"/>
      <c r="E790" s="57" t="s">
        <v>8028</v>
      </c>
      <c r="F790" s="57" t="s">
        <v>8028</v>
      </c>
      <c r="G790" s="29" t="s">
        <v>1866</v>
      </c>
      <c r="J790" s="29">
        <f t="shared" si="47"/>
        <v>1</v>
      </c>
      <c r="K790" s="42">
        <v>783</v>
      </c>
      <c r="L790" s="43" t="s">
        <v>1867</v>
      </c>
      <c r="M790" s="44" t="s">
        <v>405</v>
      </c>
      <c r="N790" s="44" t="s">
        <v>536</v>
      </c>
      <c r="O790" s="44" t="str">
        <f t="shared" si="46"/>
        <v>PE-L1-4C4-16</v>
      </c>
      <c r="P790" s="45">
        <v>0.2</v>
      </c>
      <c r="Q790" s="44">
        <v>400</v>
      </c>
      <c r="R790" s="44" t="s">
        <v>49</v>
      </c>
      <c r="S790" s="44">
        <v>310</v>
      </c>
      <c r="T790" s="46" t="s">
        <v>5432</v>
      </c>
      <c r="U790" s="46" t="s">
        <v>4480</v>
      </c>
      <c r="V790" s="46" t="s">
        <v>4481</v>
      </c>
      <c r="W790" s="46" t="s">
        <v>347</v>
      </c>
      <c r="X790" s="47" t="s">
        <v>9305</v>
      </c>
      <c r="Y790" s="46" t="s">
        <v>5765</v>
      </c>
      <c r="Z790" s="46" t="s">
        <v>5766</v>
      </c>
      <c r="AA790" s="46" t="s">
        <v>5644</v>
      </c>
      <c r="AB790" s="47" t="s">
        <v>9305</v>
      </c>
      <c r="AC790" s="48" t="s">
        <v>5767</v>
      </c>
      <c r="AD790" s="30"/>
      <c r="AE790" s="197"/>
      <c r="AF790" s="47"/>
    </row>
    <row r="791" spans="1:32" s="29" customFormat="1" ht="69.95" hidden="1" customHeight="1">
      <c r="A791" s="29" t="s">
        <v>4474</v>
      </c>
      <c r="B791" s="29" t="s">
        <v>3769</v>
      </c>
      <c r="C791" s="40">
        <v>27</v>
      </c>
      <c r="D791" s="40"/>
      <c r="E791" s="57" t="s">
        <v>8028</v>
      </c>
      <c r="F791" s="57" t="s">
        <v>8028</v>
      </c>
      <c r="G791" s="29" t="s">
        <v>1868</v>
      </c>
      <c r="J791" s="29">
        <f t="shared" si="47"/>
        <v>1</v>
      </c>
      <c r="K791" s="42">
        <v>784</v>
      </c>
      <c r="L791" s="43" t="s">
        <v>1869</v>
      </c>
      <c r="M791" s="44" t="s">
        <v>405</v>
      </c>
      <c r="N791" s="44" t="s">
        <v>536</v>
      </c>
      <c r="O791" s="44" t="str">
        <f t="shared" si="46"/>
        <v>PE-L1-4C4-16</v>
      </c>
      <c r="P791" s="45">
        <v>0.2</v>
      </c>
      <c r="Q791" s="44">
        <v>400</v>
      </c>
      <c r="R791" s="44" t="s">
        <v>49</v>
      </c>
      <c r="S791" s="44">
        <v>320</v>
      </c>
      <c r="T791" s="46" t="s">
        <v>5432</v>
      </c>
      <c r="U791" s="46" t="s">
        <v>4474</v>
      </c>
      <c r="V791" s="46" t="s">
        <v>4475</v>
      </c>
      <c r="W791" s="46" t="s">
        <v>347</v>
      </c>
      <c r="X791" s="47" t="s">
        <v>9305</v>
      </c>
      <c r="Y791" s="46" t="s">
        <v>5768</v>
      </c>
      <c r="Z791" s="46" t="s">
        <v>5769</v>
      </c>
      <c r="AA791" s="46" t="s">
        <v>5644</v>
      </c>
      <c r="AB791" s="47" t="s">
        <v>9305</v>
      </c>
      <c r="AC791" s="48" t="s">
        <v>5770</v>
      </c>
      <c r="AD791" s="30"/>
      <c r="AE791" s="197"/>
      <c r="AF791" s="47"/>
    </row>
    <row r="792" spans="1:32" s="29" customFormat="1" ht="69.95" hidden="1" customHeight="1">
      <c r="A792" s="29" t="s">
        <v>4511</v>
      </c>
      <c r="B792" s="29" t="s">
        <v>3769</v>
      </c>
      <c r="C792" s="40" t="s">
        <v>43</v>
      </c>
      <c r="D792" s="40"/>
      <c r="E792" s="57" t="s">
        <v>194</v>
      </c>
      <c r="F792" s="57" t="s">
        <v>194</v>
      </c>
      <c r="G792" s="29" t="s">
        <v>1870</v>
      </c>
      <c r="J792" s="29">
        <f t="shared" si="47"/>
        <v>1</v>
      </c>
      <c r="K792" s="42">
        <v>785</v>
      </c>
      <c r="L792" s="43" t="s">
        <v>1871</v>
      </c>
      <c r="M792" s="44" t="s">
        <v>405</v>
      </c>
      <c r="N792" s="44" t="s">
        <v>536</v>
      </c>
      <c r="O792" s="44" t="str">
        <f t="shared" si="46"/>
        <v>PE-L1-4C4-14</v>
      </c>
      <c r="P792" s="45">
        <v>0.2</v>
      </c>
      <c r="Q792" s="44">
        <v>400</v>
      </c>
      <c r="R792" s="44" t="s">
        <v>49</v>
      </c>
      <c r="S792" s="44">
        <v>220</v>
      </c>
      <c r="T792" s="46" t="s">
        <v>5432</v>
      </c>
      <c r="U792" s="46" t="s">
        <v>4511</v>
      </c>
      <c r="V792" s="46" t="s">
        <v>4512</v>
      </c>
      <c r="W792" s="46" t="s">
        <v>347</v>
      </c>
      <c r="X792" s="47" t="s">
        <v>9305</v>
      </c>
      <c r="Y792" s="46" t="s">
        <v>5771</v>
      </c>
      <c r="Z792" s="46" t="s">
        <v>5772</v>
      </c>
      <c r="AA792" s="46" t="s">
        <v>5656</v>
      </c>
      <c r="AB792" s="47" t="s">
        <v>9305</v>
      </c>
      <c r="AC792" s="48" t="s">
        <v>5773</v>
      </c>
      <c r="AD792" s="30"/>
      <c r="AE792" s="197"/>
      <c r="AF792" s="47"/>
    </row>
    <row r="793" spans="1:32" s="29" customFormat="1" ht="69.95" hidden="1" customHeight="1">
      <c r="A793" s="29" t="s">
        <v>4511</v>
      </c>
      <c r="B793" s="29" t="s">
        <v>3769</v>
      </c>
      <c r="C793" s="40" t="s">
        <v>73</v>
      </c>
      <c r="D793" s="40"/>
      <c r="E793" s="57" t="s">
        <v>194</v>
      </c>
      <c r="F793" s="57" t="s">
        <v>194</v>
      </c>
      <c r="G793" s="29" t="s">
        <v>9148</v>
      </c>
      <c r="H793" s="43"/>
      <c r="J793" s="29">
        <f t="shared" si="47"/>
        <v>1</v>
      </c>
      <c r="K793" s="42">
        <v>786</v>
      </c>
      <c r="L793" s="43" t="s">
        <v>9144</v>
      </c>
      <c r="M793" s="44" t="s">
        <v>405</v>
      </c>
      <c r="N793" s="44" t="s">
        <v>536</v>
      </c>
      <c r="O793" s="44" t="str">
        <f t="shared" si="46"/>
        <v>PE-L1-4C4-14</v>
      </c>
      <c r="P793" s="45">
        <v>0.2</v>
      </c>
      <c r="Q793" s="44">
        <v>400</v>
      </c>
      <c r="R793" s="44" t="s">
        <v>49</v>
      </c>
      <c r="S793" s="44">
        <v>220</v>
      </c>
      <c r="T793" s="46" t="s">
        <v>5432</v>
      </c>
      <c r="U793" s="46" t="s">
        <v>4511</v>
      </c>
      <c r="V793" s="46" t="s">
        <v>4512</v>
      </c>
      <c r="W793" s="46" t="s">
        <v>347</v>
      </c>
      <c r="X793" s="47" t="s">
        <v>9305</v>
      </c>
      <c r="Y793" s="46" t="s">
        <v>5774</v>
      </c>
      <c r="Z793" s="46" t="s">
        <v>5775</v>
      </c>
      <c r="AA793" s="46" t="s">
        <v>5656</v>
      </c>
      <c r="AB793" s="47" t="s">
        <v>9305</v>
      </c>
      <c r="AC793" s="48" t="s">
        <v>5776</v>
      </c>
      <c r="AD793" s="30"/>
      <c r="AE793" s="197"/>
      <c r="AF793" s="47"/>
    </row>
    <row r="794" spans="1:32" s="29" customFormat="1" ht="69.95" hidden="1" customHeight="1">
      <c r="A794" s="29" t="s">
        <v>4511</v>
      </c>
      <c r="B794" s="29" t="s">
        <v>3769</v>
      </c>
      <c r="C794" s="40" t="s">
        <v>75</v>
      </c>
      <c r="D794" s="40"/>
      <c r="E794" s="57" t="s">
        <v>194</v>
      </c>
      <c r="F794" s="57" t="s">
        <v>194</v>
      </c>
      <c r="G794" s="29" t="s">
        <v>1872</v>
      </c>
      <c r="J794" s="29">
        <f t="shared" si="47"/>
        <v>1</v>
      </c>
      <c r="K794" s="42">
        <v>787</v>
      </c>
      <c r="L794" s="43" t="s">
        <v>1873</v>
      </c>
      <c r="M794" s="44" t="s">
        <v>405</v>
      </c>
      <c r="N794" s="44" t="s">
        <v>536</v>
      </c>
      <c r="O794" s="44" t="str">
        <f t="shared" si="46"/>
        <v>PE-L1-4C4-14</v>
      </c>
      <c r="P794" s="45">
        <v>2.2000000000000002</v>
      </c>
      <c r="Q794" s="44">
        <v>400</v>
      </c>
      <c r="R794" s="44" t="s">
        <v>49</v>
      </c>
      <c r="S794" s="44">
        <v>220</v>
      </c>
      <c r="T794" s="46" t="s">
        <v>5432</v>
      </c>
      <c r="U794" s="46" t="s">
        <v>4511</v>
      </c>
      <c r="V794" s="46" t="s">
        <v>4512</v>
      </c>
      <c r="W794" s="46" t="s">
        <v>347</v>
      </c>
      <c r="X794" s="47" t="s">
        <v>9305</v>
      </c>
      <c r="Y794" s="46" t="s">
        <v>5777</v>
      </c>
      <c r="Z794" s="46" t="s">
        <v>5778</v>
      </c>
      <c r="AA794" s="46" t="s">
        <v>5656</v>
      </c>
      <c r="AB794" s="47" t="s">
        <v>9305</v>
      </c>
      <c r="AC794" s="48" t="s">
        <v>5779</v>
      </c>
      <c r="AD794" s="30"/>
      <c r="AE794" s="197"/>
      <c r="AF794" s="47"/>
    </row>
    <row r="795" spans="1:32" s="29" customFormat="1" ht="69.95" hidden="1" customHeight="1">
      <c r="A795" s="29" t="s">
        <v>4511</v>
      </c>
      <c r="B795" s="29" t="s">
        <v>3769</v>
      </c>
      <c r="C795" s="40">
        <v>10</v>
      </c>
      <c r="D795" s="40"/>
      <c r="E795" s="57" t="s">
        <v>194</v>
      </c>
      <c r="F795" s="57" t="s">
        <v>194</v>
      </c>
      <c r="G795" s="29" t="s">
        <v>1874</v>
      </c>
      <c r="J795" s="29">
        <f t="shared" si="47"/>
        <v>1</v>
      </c>
      <c r="K795" s="42">
        <v>788</v>
      </c>
      <c r="L795" s="43" t="s">
        <v>1875</v>
      </c>
      <c r="M795" s="44" t="s">
        <v>405</v>
      </c>
      <c r="N795" s="44" t="s">
        <v>536</v>
      </c>
      <c r="O795" s="44" t="str">
        <f t="shared" si="46"/>
        <v>PE-L1-4C4-14</v>
      </c>
      <c r="P795" s="45">
        <v>2.2000000000000002</v>
      </c>
      <c r="Q795" s="44">
        <v>400</v>
      </c>
      <c r="R795" s="44" t="s">
        <v>49</v>
      </c>
      <c r="S795" s="44">
        <v>210</v>
      </c>
      <c r="T795" s="46" t="s">
        <v>5432</v>
      </c>
      <c r="U795" s="46" t="s">
        <v>4511</v>
      </c>
      <c r="V795" s="46" t="s">
        <v>4512</v>
      </c>
      <c r="W795" s="46" t="s">
        <v>347</v>
      </c>
      <c r="X795" s="47" t="s">
        <v>9305</v>
      </c>
      <c r="Y795" s="46" t="s">
        <v>5780</v>
      </c>
      <c r="Z795" s="46" t="s">
        <v>5781</v>
      </c>
      <c r="AA795" s="46" t="s">
        <v>5656</v>
      </c>
      <c r="AB795" s="47" t="s">
        <v>9305</v>
      </c>
      <c r="AC795" s="48" t="s">
        <v>5782</v>
      </c>
      <c r="AD795" s="30"/>
      <c r="AE795" s="197"/>
      <c r="AF795" s="47"/>
    </row>
    <row r="796" spans="1:32" s="29" customFormat="1" ht="69.95" hidden="1" customHeight="1">
      <c r="A796" s="29" t="s">
        <v>4511</v>
      </c>
      <c r="B796" s="29" t="s">
        <v>3769</v>
      </c>
      <c r="C796" s="40">
        <v>11</v>
      </c>
      <c r="D796" s="40"/>
      <c r="E796" s="57" t="s">
        <v>193</v>
      </c>
      <c r="F796" s="57" t="s">
        <v>193</v>
      </c>
      <c r="G796" s="29" t="s">
        <v>1876</v>
      </c>
      <c r="J796" s="29">
        <f t="shared" si="47"/>
        <v>1</v>
      </c>
      <c r="K796" s="42">
        <v>789</v>
      </c>
      <c r="L796" s="43" t="s">
        <v>1877</v>
      </c>
      <c r="M796" s="44" t="s">
        <v>405</v>
      </c>
      <c r="N796" s="44" t="s">
        <v>536</v>
      </c>
      <c r="O796" s="44" t="str">
        <f t="shared" si="46"/>
        <v>PE-L1-4C4-15</v>
      </c>
      <c r="P796" s="45">
        <v>0.2</v>
      </c>
      <c r="Q796" s="44">
        <v>400</v>
      </c>
      <c r="R796" s="44" t="s">
        <v>49</v>
      </c>
      <c r="S796" s="44">
        <v>220</v>
      </c>
      <c r="T796" s="46" t="s">
        <v>5432</v>
      </c>
      <c r="U796" s="46" t="s">
        <v>4511</v>
      </c>
      <c r="V796" s="46" t="s">
        <v>4512</v>
      </c>
      <c r="W796" s="46" t="s">
        <v>347</v>
      </c>
      <c r="X796" s="47" t="s">
        <v>9305</v>
      </c>
      <c r="Y796" s="46" t="s">
        <v>5783</v>
      </c>
      <c r="Z796" s="46" t="s">
        <v>5784</v>
      </c>
      <c r="AA796" s="46" t="s">
        <v>5656</v>
      </c>
      <c r="AB796" s="47" t="s">
        <v>9305</v>
      </c>
      <c r="AC796" s="48" t="s">
        <v>5785</v>
      </c>
      <c r="AD796" s="30"/>
      <c r="AE796" s="197"/>
      <c r="AF796" s="47"/>
    </row>
    <row r="797" spans="1:32" s="29" customFormat="1" ht="69.95" hidden="1" customHeight="1">
      <c r="A797" s="29" t="s">
        <v>4511</v>
      </c>
      <c r="B797" s="29" t="s">
        <v>3769</v>
      </c>
      <c r="C797" s="40">
        <v>12</v>
      </c>
      <c r="D797" s="40"/>
      <c r="E797" s="57" t="s">
        <v>95</v>
      </c>
      <c r="F797" s="57" t="s">
        <v>95</v>
      </c>
      <c r="G797" s="29" t="s">
        <v>1878</v>
      </c>
      <c r="J797" s="29">
        <f t="shared" si="47"/>
        <v>1</v>
      </c>
      <c r="K797" s="42">
        <v>790</v>
      </c>
      <c r="L797" s="43" t="s">
        <v>1879</v>
      </c>
      <c r="M797" s="44" t="s">
        <v>405</v>
      </c>
      <c r="N797" s="44" t="s">
        <v>536</v>
      </c>
      <c r="O797" s="44" t="str">
        <f t="shared" si="46"/>
        <v>PE-L1-4C4-23</v>
      </c>
      <c r="P797" s="45">
        <v>0.2</v>
      </c>
      <c r="Q797" s="44">
        <v>400</v>
      </c>
      <c r="R797" s="44" t="s">
        <v>49</v>
      </c>
      <c r="S797" s="44">
        <v>220</v>
      </c>
      <c r="T797" s="46" t="s">
        <v>5432</v>
      </c>
      <c r="U797" s="46" t="s">
        <v>4511</v>
      </c>
      <c r="V797" s="46" t="s">
        <v>4512</v>
      </c>
      <c r="W797" s="46" t="s">
        <v>347</v>
      </c>
      <c r="X797" s="47" t="s">
        <v>9305</v>
      </c>
      <c r="Y797" s="46" t="s">
        <v>5786</v>
      </c>
      <c r="Z797" s="46" t="s">
        <v>5787</v>
      </c>
      <c r="AA797" s="46" t="s">
        <v>5656</v>
      </c>
      <c r="AB797" s="47" t="s">
        <v>9305</v>
      </c>
      <c r="AC797" s="48" t="s">
        <v>5788</v>
      </c>
      <c r="AD797" s="30"/>
      <c r="AE797" s="197"/>
      <c r="AF797" s="47"/>
    </row>
    <row r="798" spans="1:32" s="29" customFormat="1" ht="69.95" hidden="1" customHeight="1">
      <c r="A798" s="29" t="s">
        <v>5394</v>
      </c>
      <c r="B798" s="29" t="s">
        <v>3769</v>
      </c>
      <c r="C798" s="40" t="s">
        <v>40</v>
      </c>
      <c r="D798" s="40"/>
      <c r="E798" s="57" t="s">
        <v>170</v>
      </c>
      <c r="F798" s="163" t="s">
        <v>9560</v>
      </c>
      <c r="G798" s="29" t="s">
        <v>1880</v>
      </c>
      <c r="J798" s="29">
        <f t="shared" si="47"/>
        <v>1</v>
      </c>
      <c r="K798" s="189">
        <v>791</v>
      </c>
      <c r="L798" s="43" t="s">
        <v>1881</v>
      </c>
      <c r="M798" s="44" t="s">
        <v>405</v>
      </c>
      <c r="N798" s="44" t="s">
        <v>895</v>
      </c>
      <c r="O798" s="44" t="str">
        <f t="shared" si="46"/>
        <v>HOLD
(B1,B2위치 정정에 따른 Route 변경필요)</v>
      </c>
      <c r="P798" s="45">
        <v>75</v>
      </c>
      <c r="Q798" s="44">
        <v>400</v>
      </c>
      <c r="R798" s="44" t="s">
        <v>49</v>
      </c>
      <c r="S798" s="44">
        <v>350</v>
      </c>
      <c r="T798" s="46" t="s">
        <v>5789</v>
      </c>
      <c r="U798" s="46" t="s">
        <v>5394</v>
      </c>
      <c r="V798" s="46" t="s">
        <v>5395</v>
      </c>
      <c r="W798" s="46" t="s">
        <v>335</v>
      </c>
      <c r="X798" s="47" t="s">
        <v>9305</v>
      </c>
      <c r="Y798" s="46" t="s">
        <v>5790</v>
      </c>
      <c r="Z798" s="238" t="s">
        <v>9551</v>
      </c>
      <c r="AA798" s="46" t="s">
        <v>5791</v>
      </c>
      <c r="AB798" s="47" t="s">
        <v>9305</v>
      </c>
      <c r="AC798" s="76" t="s">
        <v>9228</v>
      </c>
      <c r="AD798" s="30"/>
      <c r="AE798" s="197"/>
      <c r="AF798" s="47"/>
    </row>
    <row r="799" spans="1:32" s="29" customFormat="1" ht="69.95" hidden="1" customHeight="1">
      <c r="A799" s="29" t="s">
        <v>5394</v>
      </c>
      <c r="B799" s="29" t="s">
        <v>3769</v>
      </c>
      <c r="C799" s="40" t="s">
        <v>41</v>
      </c>
      <c r="D799" s="40"/>
      <c r="E799" s="56" t="s">
        <v>187</v>
      </c>
      <c r="F799" s="163" t="s">
        <v>9560</v>
      </c>
      <c r="G799" s="29" t="s">
        <v>1882</v>
      </c>
      <c r="J799" s="29">
        <f t="shared" si="47"/>
        <v>1</v>
      </c>
      <c r="K799" s="42">
        <v>792</v>
      </c>
      <c r="L799" s="43" t="s">
        <v>1883</v>
      </c>
      <c r="M799" s="44" t="s">
        <v>405</v>
      </c>
      <c r="N799" s="44" t="s">
        <v>426</v>
      </c>
      <c r="O799" s="44" t="str">
        <f t="shared" si="46"/>
        <v>HOLD
(B1,B2위치 정정에 따른 Route 변경필요)</v>
      </c>
      <c r="P799" s="45">
        <v>0.11</v>
      </c>
      <c r="Q799" s="44">
        <v>230</v>
      </c>
      <c r="R799" s="44" t="s">
        <v>49</v>
      </c>
      <c r="S799" s="44">
        <v>350</v>
      </c>
      <c r="T799" s="46" t="s">
        <v>5789</v>
      </c>
      <c r="U799" s="46" t="s">
        <v>5394</v>
      </c>
      <c r="V799" s="46" t="s">
        <v>5395</v>
      </c>
      <c r="W799" s="46" t="s">
        <v>335</v>
      </c>
      <c r="X799" s="172" t="s">
        <v>9167</v>
      </c>
      <c r="Y799" s="46" t="s">
        <v>5790</v>
      </c>
      <c r="Z799" s="46" t="s">
        <v>9552</v>
      </c>
      <c r="AA799" s="46" t="s">
        <v>5791</v>
      </c>
      <c r="AB799" s="172" t="s">
        <v>9167</v>
      </c>
      <c r="AC799" s="48" t="s">
        <v>5792</v>
      </c>
      <c r="AD799" s="30"/>
      <c r="AE799" s="197"/>
      <c r="AF799" s="47"/>
    </row>
    <row r="800" spans="1:32" s="29" customFormat="1" ht="69.95" hidden="1" customHeight="1">
      <c r="A800" s="29" t="s">
        <v>5392</v>
      </c>
      <c r="B800" s="29" t="s">
        <v>3769</v>
      </c>
      <c r="C800" s="40" t="s">
        <v>40</v>
      </c>
      <c r="D800" s="40"/>
      <c r="E800" s="57" t="s">
        <v>171</v>
      </c>
      <c r="F800" s="163" t="s">
        <v>9560</v>
      </c>
      <c r="G800" s="29" t="s">
        <v>1884</v>
      </c>
      <c r="J800" s="29">
        <f t="shared" si="47"/>
        <v>1</v>
      </c>
      <c r="K800" s="189">
        <v>793</v>
      </c>
      <c r="L800" s="43" t="s">
        <v>1885</v>
      </c>
      <c r="M800" s="44" t="s">
        <v>405</v>
      </c>
      <c r="N800" s="44" t="s">
        <v>895</v>
      </c>
      <c r="O800" s="44" t="str">
        <f t="shared" si="46"/>
        <v>HOLD
(B1,B2위치 정정에 따른 Route 변경필요)</v>
      </c>
      <c r="P800" s="45">
        <v>75</v>
      </c>
      <c r="Q800" s="44">
        <v>400</v>
      </c>
      <c r="R800" s="44" t="s">
        <v>49</v>
      </c>
      <c r="S800" s="126">
        <v>340</v>
      </c>
      <c r="T800" s="46" t="s">
        <v>5789</v>
      </c>
      <c r="U800" s="46" t="s">
        <v>5392</v>
      </c>
      <c r="V800" s="46" t="s">
        <v>5393</v>
      </c>
      <c r="W800" s="46" t="s">
        <v>335</v>
      </c>
      <c r="X800" s="47" t="s">
        <v>9305</v>
      </c>
      <c r="Y800" s="46" t="s">
        <v>5793</v>
      </c>
      <c r="Z800" s="238" t="s">
        <v>5794</v>
      </c>
      <c r="AA800" s="46" t="s">
        <v>9561</v>
      </c>
      <c r="AB800" s="47" t="s">
        <v>9305</v>
      </c>
      <c r="AC800" s="76" t="s">
        <v>9229</v>
      </c>
      <c r="AD800" s="30"/>
      <c r="AE800" s="197"/>
      <c r="AF800" s="47"/>
    </row>
    <row r="801" spans="1:32" s="29" customFormat="1" ht="69.95" hidden="1" customHeight="1">
      <c r="A801" s="29" t="s">
        <v>5392</v>
      </c>
      <c r="B801" s="29" t="s">
        <v>3769</v>
      </c>
      <c r="C801" s="40" t="s">
        <v>41</v>
      </c>
      <c r="D801" s="40"/>
      <c r="E801" s="57" t="s">
        <v>187</v>
      </c>
      <c r="F801" s="163" t="s">
        <v>9560</v>
      </c>
      <c r="G801" s="29" t="s">
        <v>1886</v>
      </c>
      <c r="J801" s="29">
        <f t="shared" si="47"/>
        <v>1</v>
      </c>
      <c r="K801" s="42">
        <v>794</v>
      </c>
      <c r="L801" s="43" t="s">
        <v>1887</v>
      </c>
      <c r="M801" s="44" t="s">
        <v>405</v>
      </c>
      <c r="N801" s="44" t="s">
        <v>426</v>
      </c>
      <c r="O801" s="44" t="str">
        <f t="shared" si="46"/>
        <v>HOLD
(B1,B2위치 정정에 따른 Route 변경필요)</v>
      </c>
      <c r="P801" s="45">
        <v>0.11</v>
      </c>
      <c r="Q801" s="44">
        <v>230</v>
      </c>
      <c r="R801" s="44" t="s">
        <v>49</v>
      </c>
      <c r="S801" s="44">
        <v>330</v>
      </c>
      <c r="T801" s="46" t="s">
        <v>5789</v>
      </c>
      <c r="U801" s="46" t="s">
        <v>5392</v>
      </c>
      <c r="V801" s="46" t="s">
        <v>5393</v>
      </c>
      <c r="W801" s="46" t="s">
        <v>335</v>
      </c>
      <c r="X801" s="172" t="s">
        <v>9167</v>
      </c>
      <c r="Y801" s="46" t="s">
        <v>5793</v>
      </c>
      <c r="Z801" s="46" t="s">
        <v>9553</v>
      </c>
      <c r="AA801" s="46" t="s">
        <v>9561</v>
      </c>
      <c r="AB801" s="172" t="s">
        <v>9167</v>
      </c>
      <c r="AC801" s="48" t="s">
        <v>5795</v>
      </c>
      <c r="AD801" s="30"/>
      <c r="AE801" s="197"/>
      <c r="AF801" s="47"/>
    </row>
    <row r="802" spans="1:32" s="29" customFormat="1" ht="84.95" hidden="1" customHeight="1">
      <c r="A802" s="29" t="s">
        <v>5394</v>
      </c>
      <c r="B802" s="29" t="s">
        <v>3769</v>
      </c>
      <c r="C802" s="40" t="s">
        <v>42</v>
      </c>
      <c r="D802" s="40"/>
      <c r="E802" s="57" t="s">
        <v>201</v>
      </c>
      <c r="F802" s="163" t="s">
        <v>9560</v>
      </c>
      <c r="G802" s="29" t="s">
        <v>1888</v>
      </c>
      <c r="J802" s="29">
        <f t="shared" si="47"/>
        <v>1</v>
      </c>
      <c r="K802" s="42">
        <v>795</v>
      </c>
      <c r="L802" s="43" t="s">
        <v>1889</v>
      </c>
      <c r="M802" s="44" t="s">
        <v>405</v>
      </c>
      <c r="N802" s="44" t="s">
        <v>8637</v>
      </c>
      <c r="O802" s="44" t="str">
        <f t="shared" si="46"/>
        <v>HOLD
(B1,B2위치 정정에 따른 Route 변경필요)</v>
      </c>
      <c r="P802" s="45">
        <v>75</v>
      </c>
      <c r="Q802" s="44">
        <v>400</v>
      </c>
      <c r="R802" s="44" t="s">
        <v>49</v>
      </c>
      <c r="S802" s="44">
        <v>370</v>
      </c>
      <c r="T802" s="46" t="s">
        <v>5789</v>
      </c>
      <c r="U802" s="46" t="s">
        <v>5394</v>
      </c>
      <c r="V802" s="46" t="s">
        <v>5395</v>
      </c>
      <c r="W802" s="46" t="s">
        <v>335</v>
      </c>
      <c r="X802" s="47" t="s">
        <v>9305</v>
      </c>
      <c r="Y802" s="46" t="s">
        <v>5796</v>
      </c>
      <c r="Z802" s="238" t="s">
        <v>8589</v>
      </c>
      <c r="AA802" s="46" t="s">
        <v>5791</v>
      </c>
      <c r="AB802" s="47" t="s">
        <v>9305</v>
      </c>
      <c r="AC802" s="48" t="s">
        <v>5797</v>
      </c>
      <c r="AD802" s="30"/>
      <c r="AE802" s="197"/>
      <c r="AF802" s="47"/>
    </row>
    <row r="803" spans="1:32" s="29" customFormat="1" ht="69.95" hidden="1" customHeight="1">
      <c r="A803" s="29" t="s">
        <v>5394</v>
      </c>
      <c r="B803" s="29" t="s">
        <v>3769</v>
      </c>
      <c r="C803" s="40" t="s">
        <v>43</v>
      </c>
      <c r="D803" s="40"/>
      <c r="E803" s="56" t="s">
        <v>187</v>
      </c>
      <c r="F803" s="163" t="s">
        <v>9560</v>
      </c>
      <c r="G803" s="29" t="s">
        <v>1891</v>
      </c>
      <c r="J803" s="29">
        <f t="shared" si="47"/>
        <v>1</v>
      </c>
      <c r="K803" s="42">
        <v>796</v>
      </c>
      <c r="L803" s="43" t="s">
        <v>1892</v>
      </c>
      <c r="M803" s="44" t="s">
        <v>405</v>
      </c>
      <c r="N803" s="44" t="s">
        <v>426</v>
      </c>
      <c r="O803" s="44" t="str">
        <f t="shared" si="46"/>
        <v>HOLD
(B1,B2위치 정정에 따른 Route 변경필요)</v>
      </c>
      <c r="P803" s="45">
        <v>0.11</v>
      </c>
      <c r="Q803" s="44">
        <v>230</v>
      </c>
      <c r="R803" s="44" t="s">
        <v>49</v>
      </c>
      <c r="S803" s="44">
        <v>340</v>
      </c>
      <c r="T803" s="46" t="s">
        <v>5789</v>
      </c>
      <c r="U803" s="46" t="s">
        <v>5394</v>
      </c>
      <c r="V803" s="46" t="s">
        <v>5395</v>
      </c>
      <c r="W803" s="46" t="s">
        <v>335</v>
      </c>
      <c r="X803" s="172" t="s">
        <v>9167</v>
      </c>
      <c r="Y803" s="46" t="s">
        <v>5796</v>
      </c>
      <c r="Z803" s="46" t="s">
        <v>9554</v>
      </c>
      <c r="AA803" s="46" t="s">
        <v>5791</v>
      </c>
      <c r="AB803" s="172" t="s">
        <v>9167</v>
      </c>
      <c r="AC803" s="48" t="s">
        <v>5798</v>
      </c>
      <c r="AD803" s="30"/>
      <c r="AE803" s="197"/>
      <c r="AF803" s="47"/>
    </row>
    <row r="804" spans="1:32" s="29" customFormat="1" ht="69.95" hidden="1" customHeight="1">
      <c r="A804" s="29" t="s">
        <v>5394</v>
      </c>
      <c r="B804" s="29" t="s">
        <v>3769</v>
      </c>
      <c r="C804" s="40" t="s">
        <v>73</v>
      </c>
      <c r="D804" s="40"/>
      <c r="E804" s="57" t="s">
        <v>200</v>
      </c>
      <c r="F804" s="57" t="s">
        <v>200</v>
      </c>
      <c r="G804" s="29" t="s">
        <v>1893</v>
      </c>
      <c r="H804" s="124" t="s">
        <v>9509</v>
      </c>
      <c r="I804" s="124" t="s">
        <v>9121</v>
      </c>
      <c r="J804" s="29">
        <f t="shared" si="47"/>
        <v>1</v>
      </c>
      <c r="K804" s="42">
        <v>797</v>
      </c>
      <c r="L804" s="152" t="s">
        <v>1894</v>
      </c>
      <c r="M804" s="44" t="s">
        <v>405</v>
      </c>
      <c r="N804" s="44" t="s">
        <v>536</v>
      </c>
      <c r="O804" s="101" t="str">
        <f t="shared" si="46"/>
        <v>PE-L1-4C4-11</v>
      </c>
      <c r="P804" s="45">
        <v>0.75</v>
      </c>
      <c r="Q804" s="44">
        <v>400</v>
      </c>
      <c r="R804" s="44" t="s">
        <v>49</v>
      </c>
      <c r="S804" s="101">
        <v>350</v>
      </c>
      <c r="T804" s="46" t="s">
        <v>5789</v>
      </c>
      <c r="U804" s="46" t="s">
        <v>5394</v>
      </c>
      <c r="V804" s="46" t="s">
        <v>5395</v>
      </c>
      <c r="W804" s="46" t="s">
        <v>335</v>
      </c>
      <c r="X804" s="47" t="s">
        <v>9305</v>
      </c>
      <c r="Y804" s="46" t="s">
        <v>5799</v>
      </c>
      <c r="Z804" s="46" t="s">
        <v>5800</v>
      </c>
      <c r="AA804" s="46" t="s">
        <v>5791</v>
      </c>
      <c r="AB804" s="47" t="s">
        <v>9305</v>
      </c>
      <c r="AC804" s="239" t="s">
        <v>5801</v>
      </c>
      <c r="AD804" s="30"/>
      <c r="AE804" s="197"/>
      <c r="AF804" s="47"/>
    </row>
    <row r="805" spans="1:32" s="29" customFormat="1" ht="69.95" hidden="1" customHeight="1">
      <c r="A805" s="29" t="s">
        <v>5392</v>
      </c>
      <c r="B805" s="29" t="s">
        <v>3769</v>
      </c>
      <c r="C805" s="40" t="s">
        <v>42</v>
      </c>
      <c r="D805" s="40"/>
      <c r="E805" s="57" t="s">
        <v>200</v>
      </c>
      <c r="F805" s="57" t="s">
        <v>200</v>
      </c>
      <c r="G805" s="29" t="s">
        <v>1895</v>
      </c>
      <c r="H805" s="124" t="s">
        <v>9563</v>
      </c>
      <c r="I805" s="124" t="s">
        <v>9121</v>
      </c>
      <c r="J805" s="29">
        <f t="shared" si="47"/>
        <v>1</v>
      </c>
      <c r="K805" s="42">
        <v>798</v>
      </c>
      <c r="L805" s="152" t="s">
        <v>1896</v>
      </c>
      <c r="M805" s="44" t="s">
        <v>405</v>
      </c>
      <c r="N805" s="44" t="s">
        <v>536</v>
      </c>
      <c r="O805" s="101" t="str">
        <f t="shared" si="46"/>
        <v>PE-L1-4C4-11</v>
      </c>
      <c r="P805" s="45">
        <v>0.75</v>
      </c>
      <c r="Q805" s="44">
        <v>400</v>
      </c>
      <c r="R805" s="44" t="s">
        <v>49</v>
      </c>
      <c r="S805" s="101">
        <v>330</v>
      </c>
      <c r="T805" s="46" t="s">
        <v>5789</v>
      </c>
      <c r="U805" s="46" t="s">
        <v>5392</v>
      </c>
      <c r="V805" s="46" t="s">
        <v>5393</v>
      </c>
      <c r="W805" s="46" t="s">
        <v>335</v>
      </c>
      <c r="X805" s="47" t="s">
        <v>9305</v>
      </c>
      <c r="Y805" s="46" t="s">
        <v>5802</v>
      </c>
      <c r="Z805" s="46" t="s">
        <v>5803</v>
      </c>
      <c r="AA805" s="46" t="s">
        <v>5791</v>
      </c>
      <c r="AB805" s="47" t="s">
        <v>9305</v>
      </c>
      <c r="AC805" s="48" t="s">
        <v>5804</v>
      </c>
      <c r="AD805" s="30"/>
      <c r="AE805" s="197"/>
      <c r="AF805" s="47"/>
    </row>
    <row r="806" spans="1:32" s="29" customFormat="1" ht="69.95" hidden="1" customHeight="1">
      <c r="A806" s="29" t="s">
        <v>5394</v>
      </c>
      <c r="B806" s="29" t="s">
        <v>3769</v>
      </c>
      <c r="C806" s="40" t="s">
        <v>75</v>
      </c>
      <c r="D806" s="40"/>
      <c r="E806" s="57" t="s">
        <v>202</v>
      </c>
      <c r="F806" s="57" t="s">
        <v>202</v>
      </c>
      <c r="G806" s="29" t="s">
        <v>1897</v>
      </c>
      <c r="H806" s="124" t="s">
        <v>9563</v>
      </c>
      <c r="I806" s="124" t="s">
        <v>9121</v>
      </c>
      <c r="J806" s="29">
        <f t="shared" si="47"/>
        <v>1</v>
      </c>
      <c r="K806" s="42">
        <v>799</v>
      </c>
      <c r="L806" s="152" t="s">
        <v>1898</v>
      </c>
      <c r="M806" s="44" t="s">
        <v>405</v>
      </c>
      <c r="N806" s="44" t="s">
        <v>536</v>
      </c>
      <c r="O806" s="101" t="str">
        <f t="shared" si="46"/>
        <v>PE-L1-4C4-12</v>
      </c>
      <c r="P806" s="45">
        <v>0.75</v>
      </c>
      <c r="Q806" s="44">
        <v>400</v>
      </c>
      <c r="R806" s="44" t="s">
        <v>49</v>
      </c>
      <c r="S806" s="101">
        <v>340</v>
      </c>
      <c r="T806" s="46" t="s">
        <v>5789</v>
      </c>
      <c r="U806" s="46" t="s">
        <v>5394</v>
      </c>
      <c r="V806" s="46" t="s">
        <v>5395</v>
      </c>
      <c r="W806" s="46" t="s">
        <v>335</v>
      </c>
      <c r="X806" s="47" t="s">
        <v>9305</v>
      </c>
      <c r="Y806" s="46" t="s">
        <v>5805</v>
      </c>
      <c r="Z806" s="46" t="s">
        <v>5806</v>
      </c>
      <c r="AA806" s="46" t="s">
        <v>5791</v>
      </c>
      <c r="AB806" s="47" t="s">
        <v>9305</v>
      </c>
      <c r="AC806" s="48" t="s">
        <v>5807</v>
      </c>
      <c r="AD806" s="30"/>
      <c r="AE806" s="197"/>
      <c r="AF806" s="47"/>
    </row>
    <row r="807" spans="1:32" s="29" customFormat="1" ht="69.95" hidden="1" customHeight="1">
      <c r="A807" s="29" t="s">
        <v>4407</v>
      </c>
      <c r="B807" s="29" t="s">
        <v>3769</v>
      </c>
      <c r="C807" s="40">
        <v>30</v>
      </c>
      <c r="D807" s="40"/>
      <c r="E807" s="57" t="s">
        <v>202</v>
      </c>
      <c r="F807" s="57" t="s">
        <v>202</v>
      </c>
      <c r="G807" s="29" t="s">
        <v>1899</v>
      </c>
      <c r="J807" s="29">
        <f t="shared" si="47"/>
        <v>1</v>
      </c>
      <c r="K807" s="42">
        <v>800</v>
      </c>
      <c r="L807" s="43" t="s">
        <v>1900</v>
      </c>
      <c r="M807" s="44" t="s">
        <v>405</v>
      </c>
      <c r="N807" s="44" t="s">
        <v>536</v>
      </c>
      <c r="O807" s="44" t="str">
        <f t="shared" si="46"/>
        <v>PE-L1-4C4-12</v>
      </c>
      <c r="P807" s="45">
        <v>0.2</v>
      </c>
      <c r="Q807" s="44">
        <v>400</v>
      </c>
      <c r="R807" s="44" t="s">
        <v>49</v>
      </c>
      <c r="S807" s="44">
        <v>240</v>
      </c>
      <c r="T807" s="46" t="s">
        <v>5789</v>
      </c>
      <c r="U807" s="46" t="s">
        <v>4407</v>
      </c>
      <c r="V807" s="46" t="s">
        <v>4408</v>
      </c>
      <c r="W807" s="46" t="s">
        <v>335</v>
      </c>
      <c r="X807" s="47" t="s">
        <v>9305</v>
      </c>
      <c r="Y807" s="46" t="s">
        <v>5808</v>
      </c>
      <c r="Z807" s="46" t="s">
        <v>5809</v>
      </c>
      <c r="AA807" s="46" t="s">
        <v>392</v>
      </c>
      <c r="AB807" s="47" t="s">
        <v>9305</v>
      </c>
      <c r="AC807" s="48" t="s">
        <v>5810</v>
      </c>
      <c r="AD807" s="30"/>
      <c r="AE807" s="197"/>
      <c r="AF807" s="47"/>
    </row>
    <row r="808" spans="1:32" s="29" customFormat="1" ht="69.95" hidden="1" customHeight="1">
      <c r="A808" s="29" t="s">
        <v>5394</v>
      </c>
      <c r="B808" s="29" t="s">
        <v>3769</v>
      </c>
      <c r="C808" s="40">
        <v>10</v>
      </c>
      <c r="D808" s="40"/>
      <c r="E808" s="57" t="s">
        <v>202</v>
      </c>
      <c r="F808" s="57" t="s">
        <v>202</v>
      </c>
      <c r="G808" s="29" t="s">
        <v>1901</v>
      </c>
      <c r="H808" s="124" t="s">
        <v>9563</v>
      </c>
      <c r="I808" s="124" t="s">
        <v>9121</v>
      </c>
      <c r="J808" s="29">
        <f t="shared" si="47"/>
        <v>1</v>
      </c>
      <c r="K808" s="42">
        <v>801</v>
      </c>
      <c r="L808" s="152" t="s">
        <v>1902</v>
      </c>
      <c r="M808" s="44" t="s">
        <v>405</v>
      </c>
      <c r="N808" s="44" t="s">
        <v>536</v>
      </c>
      <c r="O808" s="101" t="str">
        <f t="shared" si="46"/>
        <v>PE-L1-4C4-12</v>
      </c>
      <c r="P808" s="45">
        <v>0.4</v>
      </c>
      <c r="Q808" s="44">
        <v>400</v>
      </c>
      <c r="R808" s="44" t="s">
        <v>49</v>
      </c>
      <c r="S808" s="101">
        <v>360</v>
      </c>
      <c r="T808" s="46" t="s">
        <v>5789</v>
      </c>
      <c r="U808" s="46" t="s">
        <v>5394</v>
      </c>
      <c r="V808" s="46" t="s">
        <v>5395</v>
      </c>
      <c r="W808" s="46" t="s">
        <v>335</v>
      </c>
      <c r="X808" s="47" t="s">
        <v>9305</v>
      </c>
      <c r="Y808" s="46" t="s">
        <v>5811</v>
      </c>
      <c r="Z808" s="46" t="s">
        <v>5812</v>
      </c>
      <c r="AA808" s="46" t="s">
        <v>5791</v>
      </c>
      <c r="AB808" s="47" t="s">
        <v>9305</v>
      </c>
      <c r="AC808" s="48" t="s">
        <v>5813</v>
      </c>
      <c r="AD808" s="30"/>
      <c r="AE808" s="197"/>
      <c r="AF808" s="47"/>
    </row>
    <row r="809" spans="1:32" s="29" customFormat="1" ht="69.95" hidden="1" customHeight="1">
      <c r="A809" s="29" t="s">
        <v>5394</v>
      </c>
      <c r="B809" s="29" t="s">
        <v>3769</v>
      </c>
      <c r="C809" s="40">
        <v>11</v>
      </c>
      <c r="D809" s="40"/>
      <c r="E809" s="57" t="s">
        <v>202</v>
      </c>
      <c r="F809" s="57" t="s">
        <v>202</v>
      </c>
      <c r="G809" s="29" t="s">
        <v>1903</v>
      </c>
      <c r="H809" s="124" t="s">
        <v>9563</v>
      </c>
      <c r="I809" s="124" t="s">
        <v>9121</v>
      </c>
      <c r="J809" s="29">
        <f t="shared" si="47"/>
        <v>1</v>
      </c>
      <c r="K809" s="42">
        <v>802</v>
      </c>
      <c r="L809" s="152" t="s">
        <v>1904</v>
      </c>
      <c r="M809" s="44" t="s">
        <v>405</v>
      </c>
      <c r="N809" s="44" t="s">
        <v>536</v>
      </c>
      <c r="O809" s="101" t="str">
        <f t="shared" si="46"/>
        <v>PE-L1-4C4-12</v>
      </c>
      <c r="P809" s="45">
        <v>0.4</v>
      </c>
      <c r="Q809" s="44">
        <v>400</v>
      </c>
      <c r="R809" s="44" t="s">
        <v>49</v>
      </c>
      <c r="S809" s="101">
        <v>360</v>
      </c>
      <c r="T809" s="46" t="s">
        <v>5789</v>
      </c>
      <c r="U809" s="46" t="s">
        <v>5394</v>
      </c>
      <c r="V809" s="46" t="s">
        <v>5395</v>
      </c>
      <c r="W809" s="46" t="s">
        <v>335</v>
      </c>
      <c r="X809" s="47" t="s">
        <v>9305</v>
      </c>
      <c r="Y809" s="46" t="s">
        <v>5814</v>
      </c>
      <c r="Z809" s="46" t="s">
        <v>5815</v>
      </c>
      <c r="AA809" s="46" t="s">
        <v>5791</v>
      </c>
      <c r="AB809" s="47" t="s">
        <v>9305</v>
      </c>
      <c r="AC809" s="48" t="s">
        <v>5816</v>
      </c>
      <c r="AD809" s="30"/>
      <c r="AE809" s="197"/>
      <c r="AF809" s="47"/>
    </row>
    <row r="810" spans="1:32" s="29" customFormat="1" ht="69.95" hidden="1" customHeight="1">
      <c r="A810" s="29" t="s">
        <v>5394</v>
      </c>
      <c r="B810" s="29" t="s">
        <v>3769</v>
      </c>
      <c r="C810" s="40">
        <v>12</v>
      </c>
      <c r="D810" s="40"/>
      <c r="E810" s="57" t="s">
        <v>202</v>
      </c>
      <c r="F810" s="57" t="s">
        <v>202</v>
      </c>
      <c r="G810" s="29" t="s">
        <v>1905</v>
      </c>
      <c r="H810" s="124" t="s">
        <v>9563</v>
      </c>
      <c r="I810" s="124" t="s">
        <v>9121</v>
      </c>
      <c r="J810" s="29">
        <f t="shared" si="47"/>
        <v>1</v>
      </c>
      <c r="K810" s="42">
        <v>803</v>
      </c>
      <c r="L810" s="152" t="s">
        <v>1906</v>
      </c>
      <c r="M810" s="44" t="s">
        <v>405</v>
      </c>
      <c r="N810" s="44" t="s">
        <v>536</v>
      </c>
      <c r="O810" s="101" t="str">
        <f t="shared" si="46"/>
        <v>PE-L1-4C4-12</v>
      </c>
      <c r="P810" s="45">
        <v>0.4</v>
      </c>
      <c r="Q810" s="44">
        <v>400</v>
      </c>
      <c r="R810" s="44" t="s">
        <v>49</v>
      </c>
      <c r="S810" s="101">
        <v>360</v>
      </c>
      <c r="T810" s="46" t="s">
        <v>5789</v>
      </c>
      <c r="U810" s="46" t="s">
        <v>5394</v>
      </c>
      <c r="V810" s="46" t="s">
        <v>5395</v>
      </c>
      <c r="W810" s="46" t="s">
        <v>335</v>
      </c>
      <c r="X810" s="47" t="s">
        <v>9305</v>
      </c>
      <c r="Y810" s="46" t="s">
        <v>5817</v>
      </c>
      <c r="Z810" s="46" t="s">
        <v>5818</v>
      </c>
      <c r="AA810" s="46" t="s">
        <v>5791</v>
      </c>
      <c r="AB810" s="47" t="s">
        <v>9305</v>
      </c>
      <c r="AC810" s="48" t="s">
        <v>5819</v>
      </c>
      <c r="AD810" s="30"/>
      <c r="AE810" s="197"/>
      <c r="AF810" s="47"/>
    </row>
    <row r="811" spans="1:32" s="29" customFormat="1" ht="69.95" hidden="1" customHeight="1">
      <c r="A811" s="29" t="s">
        <v>5394</v>
      </c>
      <c r="B811" s="29" t="s">
        <v>3769</v>
      </c>
      <c r="C811" s="40">
        <v>13</v>
      </c>
      <c r="D811" s="40"/>
      <c r="E811" s="57" t="s">
        <v>203</v>
      </c>
      <c r="F811" s="57" t="s">
        <v>203</v>
      </c>
      <c r="G811" s="29" t="s">
        <v>1907</v>
      </c>
      <c r="H811" s="124" t="s">
        <v>9563</v>
      </c>
      <c r="I811" s="124" t="s">
        <v>9121</v>
      </c>
      <c r="J811" s="29">
        <f t="shared" si="47"/>
        <v>1</v>
      </c>
      <c r="K811" s="42">
        <v>804</v>
      </c>
      <c r="L811" s="152" t="s">
        <v>1908</v>
      </c>
      <c r="M811" s="44" t="s">
        <v>405</v>
      </c>
      <c r="N811" s="44" t="s">
        <v>536</v>
      </c>
      <c r="O811" s="101" t="str">
        <f t="shared" si="46"/>
        <v>PE-L1-4C4-13</v>
      </c>
      <c r="P811" s="45">
        <v>0.4</v>
      </c>
      <c r="Q811" s="44">
        <v>400</v>
      </c>
      <c r="R811" s="44" t="s">
        <v>49</v>
      </c>
      <c r="S811" s="101">
        <v>360</v>
      </c>
      <c r="T811" s="46" t="s">
        <v>5789</v>
      </c>
      <c r="U811" s="46" t="s">
        <v>5394</v>
      </c>
      <c r="V811" s="46" t="s">
        <v>5395</v>
      </c>
      <c r="W811" s="46" t="s">
        <v>335</v>
      </c>
      <c r="X811" s="47" t="s">
        <v>9305</v>
      </c>
      <c r="Y811" s="46" t="s">
        <v>5820</v>
      </c>
      <c r="Z811" s="46" t="s">
        <v>5821</v>
      </c>
      <c r="AA811" s="46" t="s">
        <v>5791</v>
      </c>
      <c r="AB811" s="47" t="s">
        <v>9305</v>
      </c>
      <c r="AC811" s="48" t="s">
        <v>5822</v>
      </c>
      <c r="AD811" s="30"/>
      <c r="AE811" s="197"/>
      <c r="AF811" s="47"/>
    </row>
    <row r="812" spans="1:32" s="29" customFormat="1" ht="69.95" hidden="1" customHeight="1">
      <c r="A812" s="29" t="s">
        <v>5394</v>
      </c>
      <c r="B812" s="29" t="s">
        <v>3769</v>
      </c>
      <c r="C812" s="40">
        <v>14</v>
      </c>
      <c r="D812" s="40"/>
      <c r="E812" s="57" t="s">
        <v>203</v>
      </c>
      <c r="F812" s="57" t="s">
        <v>203</v>
      </c>
      <c r="G812" s="29" t="s">
        <v>1909</v>
      </c>
      <c r="H812" s="124" t="s">
        <v>9563</v>
      </c>
      <c r="I812" s="124" t="s">
        <v>9121</v>
      </c>
      <c r="J812" s="29">
        <f t="shared" si="47"/>
        <v>1</v>
      </c>
      <c r="K812" s="42">
        <v>805</v>
      </c>
      <c r="L812" s="152" t="s">
        <v>1910</v>
      </c>
      <c r="M812" s="44" t="s">
        <v>405</v>
      </c>
      <c r="N812" s="44" t="s">
        <v>536</v>
      </c>
      <c r="O812" s="101" t="str">
        <f t="shared" si="46"/>
        <v>PE-L1-4C4-13</v>
      </c>
      <c r="P812" s="45">
        <v>0.4</v>
      </c>
      <c r="Q812" s="44">
        <v>400</v>
      </c>
      <c r="R812" s="44" t="s">
        <v>49</v>
      </c>
      <c r="S812" s="101">
        <v>360</v>
      </c>
      <c r="T812" s="46" t="s">
        <v>5789</v>
      </c>
      <c r="U812" s="46" t="s">
        <v>5394</v>
      </c>
      <c r="V812" s="46" t="s">
        <v>5395</v>
      </c>
      <c r="W812" s="46" t="s">
        <v>335</v>
      </c>
      <c r="X812" s="47" t="s">
        <v>9305</v>
      </c>
      <c r="Y812" s="46" t="s">
        <v>5823</v>
      </c>
      <c r="Z812" s="46" t="s">
        <v>5824</v>
      </c>
      <c r="AA812" s="46" t="s">
        <v>5791</v>
      </c>
      <c r="AB812" s="47" t="s">
        <v>9305</v>
      </c>
      <c r="AC812" s="48" t="s">
        <v>5825</v>
      </c>
      <c r="AD812" s="30"/>
      <c r="AE812" s="197"/>
      <c r="AF812" s="47"/>
    </row>
    <row r="813" spans="1:32" s="29" customFormat="1" ht="69.95" hidden="1" customHeight="1">
      <c r="A813" s="29" t="s">
        <v>5394</v>
      </c>
      <c r="B813" s="29" t="s">
        <v>3769</v>
      </c>
      <c r="C813" s="40">
        <v>15</v>
      </c>
      <c r="D813" s="40"/>
      <c r="E813" s="57" t="s">
        <v>203</v>
      </c>
      <c r="F813" s="57" t="s">
        <v>203</v>
      </c>
      <c r="G813" s="29" t="s">
        <v>1911</v>
      </c>
      <c r="H813" s="124" t="s">
        <v>9563</v>
      </c>
      <c r="I813" s="124" t="s">
        <v>9121</v>
      </c>
      <c r="J813" s="29">
        <f t="shared" si="47"/>
        <v>1</v>
      </c>
      <c r="K813" s="42">
        <v>806</v>
      </c>
      <c r="L813" s="152" t="s">
        <v>1912</v>
      </c>
      <c r="M813" s="44" t="s">
        <v>405</v>
      </c>
      <c r="N813" s="44" t="s">
        <v>536</v>
      </c>
      <c r="O813" s="101" t="str">
        <f t="shared" si="46"/>
        <v>PE-L1-4C4-13</v>
      </c>
      <c r="P813" s="45">
        <v>0.4</v>
      </c>
      <c r="Q813" s="44">
        <v>400</v>
      </c>
      <c r="R813" s="44" t="s">
        <v>49</v>
      </c>
      <c r="S813" s="101">
        <v>360</v>
      </c>
      <c r="T813" s="46" t="s">
        <v>5789</v>
      </c>
      <c r="U813" s="46" t="s">
        <v>5394</v>
      </c>
      <c r="V813" s="46" t="s">
        <v>5395</v>
      </c>
      <c r="W813" s="46" t="s">
        <v>335</v>
      </c>
      <c r="X813" s="47" t="s">
        <v>9305</v>
      </c>
      <c r="Y813" s="46" t="s">
        <v>5826</v>
      </c>
      <c r="Z813" s="46" t="s">
        <v>5827</v>
      </c>
      <c r="AA813" s="46" t="s">
        <v>5791</v>
      </c>
      <c r="AB813" s="47" t="s">
        <v>9305</v>
      </c>
      <c r="AC813" s="48" t="s">
        <v>5828</v>
      </c>
      <c r="AD813" s="30"/>
      <c r="AE813" s="197"/>
      <c r="AF813" s="47"/>
    </row>
    <row r="814" spans="1:32" s="29" customFormat="1" ht="69.95" hidden="1" customHeight="1">
      <c r="A814" s="29" t="s">
        <v>4407</v>
      </c>
      <c r="B814" s="29" t="s">
        <v>3769</v>
      </c>
      <c r="C814" s="40">
        <v>31</v>
      </c>
      <c r="D814" s="40"/>
      <c r="E814" s="57" t="s">
        <v>202</v>
      </c>
      <c r="F814" s="57" t="s">
        <v>202</v>
      </c>
      <c r="G814" s="29" t="s">
        <v>1913</v>
      </c>
      <c r="J814" s="29">
        <f t="shared" si="47"/>
        <v>1</v>
      </c>
      <c r="K814" s="42">
        <v>807</v>
      </c>
      <c r="L814" s="43" t="s">
        <v>1914</v>
      </c>
      <c r="M814" s="44" t="s">
        <v>405</v>
      </c>
      <c r="N814" s="44" t="s">
        <v>536</v>
      </c>
      <c r="O814" s="44" t="str">
        <f t="shared" si="46"/>
        <v>PE-L1-4C4-12</v>
      </c>
      <c r="P814" s="45">
        <v>0.75</v>
      </c>
      <c r="Q814" s="44">
        <v>400</v>
      </c>
      <c r="R814" s="44" t="s">
        <v>49</v>
      </c>
      <c r="S814" s="44">
        <v>160</v>
      </c>
      <c r="T814" s="46" t="s">
        <v>5789</v>
      </c>
      <c r="U814" s="46" t="s">
        <v>4407</v>
      </c>
      <c r="V814" s="46" t="s">
        <v>4408</v>
      </c>
      <c r="W814" s="46" t="s">
        <v>335</v>
      </c>
      <c r="X814" s="47" t="s">
        <v>9305</v>
      </c>
      <c r="Y814" s="46" t="s">
        <v>5829</v>
      </c>
      <c r="Z814" s="46" t="s">
        <v>5830</v>
      </c>
      <c r="AA814" s="46" t="s">
        <v>5831</v>
      </c>
      <c r="AB814" s="47" t="s">
        <v>9305</v>
      </c>
      <c r="AC814" s="48" t="s">
        <v>5832</v>
      </c>
      <c r="AD814" s="30"/>
      <c r="AE814" s="197"/>
      <c r="AF814" s="47"/>
    </row>
    <row r="815" spans="1:32" s="29" customFormat="1" ht="69.95" hidden="1" customHeight="1">
      <c r="A815" s="29" t="s">
        <v>4439</v>
      </c>
      <c r="B815" s="29" t="s">
        <v>3769</v>
      </c>
      <c r="C815" s="40">
        <v>11</v>
      </c>
      <c r="D815" s="40"/>
      <c r="E815" s="57" t="s">
        <v>203</v>
      </c>
      <c r="F815" s="57" t="s">
        <v>203</v>
      </c>
      <c r="G815" s="29" t="s">
        <v>1915</v>
      </c>
      <c r="I815" s="124" t="s">
        <v>9121</v>
      </c>
      <c r="J815" s="29">
        <f t="shared" si="47"/>
        <v>1</v>
      </c>
      <c r="K815" s="42">
        <v>808</v>
      </c>
      <c r="L815" s="152" t="s">
        <v>1916</v>
      </c>
      <c r="M815" s="44" t="s">
        <v>405</v>
      </c>
      <c r="N815" s="44" t="s">
        <v>536</v>
      </c>
      <c r="O815" s="101" t="str">
        <f>F815</f>
        <v>PE-L1-4C4-13</v>
      </c>
      <c r="P815" s="45">
        <v>0.75</v>
      </c>
      <c r="Q815" s="44">
        <v>400</v>
      </c>
      <c r="R815" s="44" t="s">
        <v>49</v>
      </c>
      <c r="S815" s="101">
        <v>220</v>
      </c>
      <c r="T815" s="46" t="s">
        <v>5789</v>
      </c>
      <c r="U815" s="46" t="s">
        <v>4439</v>
      </c>
      <c r="V815" s="46" t="s">
        <v>4440</v>
      </c>
      <c r="W815" s="46" t="s">
        <v>335</v>
      </c>
      <c r="X815" s="47" t="s">
        <v>9305</v>
      </c>
      <c r="Y815" s="46" t="s">
        <v>5833</v>
      </c>
      <c r="Z815" s="46" t="s">
        <v>5834</v>
      </c>
      <c r="AA815" s="46" t="s">
        <v>5835</v>
      </c>
      <c r="AB815" s="47" t="s">
        <v>9305</v>
      </c>
      <c r="AC815" s="48" t="s">
        <v>5836</v>
      </c>
      <c r="AD815" s="30"/>
      <c r="AE815" s="197"/>
      <c r="AF815" s="47"/>
    </row>
    <row r="816" spans="1:32" s="29" customFormat="1" ht="69.95" hidden="1" customHeight="1">
      <c r="A816" s="29" t="s">
        <v>5394</v>
      </c>
      <c r="B816" s="29" t="s">
        <v>3769</v>
      </c>
      <c r="C816" s="40">
        <v>16</v>
      </c>
      <c r="D816" s="40"/>
      <c r="E816" s="57" t="s">
        <v>203</v>
      </c>
      <c r="F816" s="57" t="s">
        <v>203</v>
      </c>
      <c r="G816" s="29" t="s">
        <v>1917</v>
      </c>
      <c r="H816" s="124" t="s">
        <v>9563</v>
      </c>
      <c r="I816" s="124" t="s">
        <v>9121</v>
      </c>
      <c r="J816" s="29">
        <f t="shared" si="47"/>
        <v>1</v>
      </c>
      <c r="K816" s="42">
        <v>809</v>
      </c>
      <c r="L816" s="152" t="s">
        <v>1918</v>
      </c>
      <c r="M816" s="44" t="s">
        <v>405</v>
      </c>
      <c r="N816" s="44" t="s">
        <v>536</v>
      </c>
      <c r="O816" s="101" t="str">
        <f t="shared" ref="O816:O841" si="48">F816</f>
        <v>PE-L1-4C4-13</v>
      </c>
      <c r="P816" s="45">
        <v>0.2</v>
      </c>
      <c r="Q816" s="44">
        <v>400</v>
      </c>
      <c r="R816" s="44" t="s">
        <v>49</v>
      </c>
      <c r="S816" s="101">
        <v>370</v>
      </c>
      <c r="T816" s="46" t="s">
        <v>5789</v>
      </c>
      <c r="U816" s="46" t="s">
        <v>5394</v>
      </c>
      <c r="V816" s="46" t="s">
        <v>5395</v>
      </c>
      <c r="W816" s="46" t="s">
        <v>335</v>
      </c>
      <c r="X816" s="47" t="s">
        <v>9305</v>
      </c>
      <c r="Y816" s="46" t="s">
        <v>5837</v>
      </c>
      <c r="Z816" s="46" t="s">
        <v>5838</v>
      </c>
      <c r="AA816" s="46" t="s">
        <v>5791</v>
      </c>
      <c r="AB816" s="47" t="s">
        <v>9305</v>
      </c>
      <c r="AC816" s="48" t="s">
        <v>5839</v>
      </c>
      <c r="AD816" s="30"/>
      <c r="AE816" s="197"/>
      <c r="AF816" s="47"/>
    </row>
    <row r="817" spans="1:32" s="29" customFormat="1" ht="69.95" hidden="1" customHeight="1">
      <c r="A817" s="29" t="s">
        <v>5394</v>
      </c>
      <c r="B817" s="29" t="s">
        <v>3769</v>
      </c>
      <c r="C817" s="40">
        <v>17</v>
      </c>
      <c r="D817" s="40"/>
      <c r="E817" s="57" t="s">
        <v>8165</v>
      </c>
      <c r="F817" s="57" t="s">
        <v>8165</v>
      </c>
      <c r="G817" s="29" t="s">
        <v>1919</v>
      </c>
      <c r="H817" s="124" t="s">
        <v>9563</v>
      </c>
      <c r="I817" s="124" t="s">
        <v>9121</v>
      </c>
      <c r="J817" s="29">
        <f t="shared" si="47"/>
        <v>1</v>
      </c>
      <c r="K817" s="42">
        <v>810</v>
      </c>
      <c r="L817" s="152" t="s">
        <v>1920</v>
      </c>
      <c r="M817" s="44" t="s">
        <v>405</v>
      </c>
      <c r="N817" s="44" t="s">
        <v>536</v>
      </c>
      <c r="O817" s="101" t="str">
        <f t="shared" si="48"/>
        <v>PE-L1-4C4-24</v>
      </c>
      <c r="P817" s="45">
        <v>0.2</v>
      </c>
      <c r="Q817" s="44">
        <v>400</v>
      </c>
      <c r="R817" s="44" t="s">
        <v>49</v>
      </c>
      <c r="S817" s="101">
        <v>380</v>
      </c>
      <c r="T817" s="46" t="s">
        <v>5789</v>
      </c>
      <c r="U817" s="46" t="s">
        <v>5394</v>
      </c>
      <c r="V817" s="46" t="s">
        <v>5395</v>
      </c>
      <c r="W817" s="46" t="s">
        <v>335</v>
      </c>
      <c r="X817" s="47" t="s">
        <v>9305</v>
      </c>
      <c r="Y817" s="46" t="s">
        <v>5840</v>
      </c>
      <c r="Z817" s="46" t="s">
        <v>5841</v>
      </c>
      <c r="AA817" s="46" t="s">
        <v>5791</v>
      </c>
      <c r="AB817" s="47" t="s">
        <v>9305</v>
      </c>
      <c r="AC817" s="48" t="s">
        <v>5842</v>
      </c>
      <c r="AD817" s="30"/>
      <c r="AE817" s="197"/>
      <c r="AF817" s="47"/>
    </row>
    <row r="818" spans="1:32" s="29" customFormat="1" ht="69.95" hidden="1" customHeight="1">
      <c r="A818" s="29" t="s">
        <v>5394</v>
      </c>
      <c r="B818" s="29" t="s">
        <v>3769</v>
      </c>
      <c r="C818" s="40">
        <v>18</v>
      </c>
      <c r="D818" s="40"/>
      <c r="E818" s="57" t="s">
        <v>8165</v>
      </c>
      <c r="F818" s="57" t="s">
        <v>8165</v>
      </c>
      <c r="G818" s="29" t="s">
        <v>1921</v>
      </c>
      <c r="H818" s="124" t="s">
        <v>9563</v>
      </c>
      <c r="I818" s="124" t="s">
        <v>9121</v>
      </c>
      <c r="J818" s="29">
        <f t="shared" si="47"/>
        <v>1</v>
      </c>
      <c r="K818" s="42">
        <v>811</v>
      </c>
      <c r="L818" s="152" t="s">
        <v>1922</v>
      </c>
      <c r="M818" s="44" t="s">
        <v>405</v>
      </c>
      <c r="N818" s="44" t="s">
        <v>536</v>
      </c>
      <c r="O818" s="101" t="str">
        <f t="shared" si="48"/>
        <v>PE-L1-4C4-24</v>
      </c>
      <c r="P818" s="45">
        <v>0.2</v>
      </c>
      <c r="Q818" s="44">
        <v>400</v>
      </c>
      <c r="R818" s="44" t="s">
        <v>49</v>
      </c>
      <c r="S818" s="101">
        <v>370</v>
      </c>
      <c r="T818" s="46" t="s">
        <v>5789</v>
      </c>
      <c r="U818" s="46" t="s">
        <v>5394</v>
      </c>
      <c r="V818" s="46" t="s">
        <v>5395</v>
      </c>
      <c r="W818" s="46" t="s">
        <v>335</v>
      </c>
      <c r="X818" s="47" t="s">
        <v>9305</v>
      </c>
      <c r="Y818" s="46" t="s">
        <v>5843</v>
      </c>
      <c r="Z818" s="46" t="s">
        <v>5844</v>
      </c>
      <c r="AA818" s="46" t="s">
        <v>5791</v>
      </c>
      <c r="AB818" s="47" t="s">
        <v>9305</v>
      </c>
      <c r="AC818" s="48" t="s">
        <v>5845</v>
      </c>
      <c r="AD818" s="30"/>
      <c r="AE818" s="197"/>
      <c r="AF818" s="47"/>
    </row>
    <row r="819" spans="1:32" s="29" customFormat="1" ht="69.95" hidden="1" customHeight="1">
      <c r="A819" s="29" t="s">
        <v>5394</v>
      </c>
      <c r="B819" s="29" t="s">
        <v>3769</v>
      </c>
      <c r="C819" s="40">
        <v>19</v>
      </c>
      <c r="D819" s="40"/>
      <c r="E819" s="57" t="s">
        <v>194</v>
      </c>
      <c r="F819" s="57" t="s">
        <v>194</v>
      </c>
      <c r="G819" s="29" t="s">
        <v>1923</v>
      </c>
      <c r="H819" s="124" t="s">
        <v>9563</v>
      </c>
      <c r="I819" s="124" t="s">
        <v>9121</v>
      </c>
      <c r="J819" s="29">
        <f t="shared" si="47"/>
        <v>1</v>
      </c>
      <c r="K819" s="42">
        <v>812</v>
      </c>
      <c r="L819" s="152" t="s">
        <v>1924</v>
      </c>
      <c r="M819" s="44" t="s">
        <v>405</v>
      </c>
      <c r="N819" s="44" t="s">
        <v>536</v>
      </c>
      <c r="O819" s="101" t="str">
        <f t="shared" si="48"/>
        <v>PE-L1-4C4-14</v>
      </c>
      <c r="P819" s="45">
        <v>0.2</v>
      </c>
      <c r="Q819" s="44">
        <v>400</v>
      </c>
      <c r="R819" s="44" t="s">
        <v>49</v>
      </c>
      <c r="S819" s="101">
        <v>380</v>
      </c>
      <c r="T819" s="46" t="s">
        <v>5789</v>
      </c>
      <c r="U819" s="46" t="s">
        <v>5394</v>
      </c>
      <c r="V819" s="46" t="s">
        <v>5395</v>
      </c>
      <c r="W819" s="46" t="s">
        <v>335</v>
      </c>
      <c r="X819" s="47" t="s">
        <v>9305</v>
      </c>
      <c r="Y819" s="46" t="s">
        <v>5846</v>
      </c>
      <c r="Z819" s="46" t="s">
        <v>5847</v>
      </c>
      <c r="AA819" s="46" t="s">
        <v>5791</v>
      </c>
      <c r="AB819" s="47" t="s">
        <v>9305</v>
      </c>
      <c r="AC819" s="48" t="s">
        <v>5848</v>
      </c>
      <c r="AD819" s="30"/>
      <c r="AE819" s="197"/>
      <c r="AF819" s="47"/>
    </row>
    <row r="820" spans="1:32" s="29" customFormat="1" ht="69.95" hidden="1" customHeight="1">
      <c r="A820" s="29" t="s">
        <v>5392</v>
      </c>
      <c r="B820" s="29" t="s">
        <v>3769</v>
      </c>
      <c r="C820" s="40" t="s">
        <v>43</v>
      </c>
      <c r="D820" s="40"/>
      <c r="E820" s="57" t="s">
        <v>142</v>
      </c>
      <c r="F820" s="163" t="s">
        <v>9560</v>
      </c>
      <c r="G820" s="29" t="s">
        <v>1925</v>
      </c>
      <c r="J820" s="29">
        <f t="shared" si="47"/>
        <v>1</v>
      </c>
      <c r="K820" s="42">
        <v>813</v>
      </c>
      <c r="L820" s="43" t="s">
        <v>1926</v>
      </c>
      <c r="M820" s="44" t="s">
        <v>405</v>
      </c>
      <c r="N820" s="44" t="s">
        <v>895</v>
      </c>
      <c r="O820" s="44" t="str">
        <f t="shared" si="48"/>
        <v>HOLD
(B1,B2위치 정정에 따른 Route 변경필요)</v>
      </c>
      <c r="P820" s="45">
        <v>75</v>
      </c>
      <c r="Q820" s="44">
        <v>400</v>
      </c>
      <c r="R820" s="44" t="s">
        <v>49</v>
      </c>
      <c r="S820" s="44">
        <v>350</v>
      </c>
      <c r="T820" s="46" t="s">
        <v>5789</v>
      </c>
      <c r="U820" s="46" t="s">
        <v>5392</v>
      </c>
      <c r="V820" s="46" t="s">
        <v>5393</v>
      </c>
      <c r="W820" s="46" t="s">
        <v>335</v>
      </c>
      <c r="X820" s="47" t="s">
        <v>9305</v>
      </c>
      <c r="Y820" s="46" t="s">
        <v>5849</v>
      </c>
      <c r="Z820" s="238" t="s">
        <v>5850</v>
      </c>
      <c r="AA820" s="46" t="s">
        <v>5791</v>
      </c>
      <c r="AB820" s="47" t="s">
        <v>9305</v>
      </c>
      <c r="AC820" s="48" t="s">
        <v>5851</v>
      </c>
      <c r="AD820" s="30"/>
      <c r="AE820" s="197"/>
      <c r="AF820" s="47"/>
    </row>
    <row r="821" spans="1:32" s="29" customFormat="1" ht="69.95" hidden="1" customHeight="1">
      <c r="A821" s="29" t="s">
        <v>5392</v>
      </c>
      <c r="B821" s="29" t="s">
        <v>3769</v>
      </c>
      <c r="C821" s="40" t="s">
        <v>73</v>
      </c>
      <c r="D821" s="163" t="s">
        <v>9560</v>
      </c>
      <c r="E821" s="56" t="s">
        <v>187</v>
      </c>
      <c r="F821" s="56" t="s">
        <v>187</v>
      </c>
      <c r="G821" s="29" t="s">
        <v>1927</v>
      </c>
      <c r="H821" s="124" t="s">
        <v>9563</v>
      </c>
      <c r="I821" s="124" t="s">
        <v>9121</v>
      </c>
      <c r="J821" s="29">
        <f t="shared" si="47"/>
        <v>1</v>
      </c>
      <c r="K821" s="158">
        <v>814</v>
      </c>
      <c r="L821" s="152" t="s">
        <v>1928</v>
      </c>
      <c r="M821" s="44" t="s">
        <v>405</v>
      </c>
      <c r="N821" s="44" t="s">
        <v>426</v>
      </c>
      <c r="O821" s="101" t="str">
        <f t="shared" si="48"/>
        <v>PE-L1-3C4-12</v>
      </c>
      <c r="P821" s="45">
        <v>0.11</v>
      </c>
      <c r="Q821" s="44">
        <v>230</v>
      </c>
      <c r="R821" s="44" t="s">
        <v>49</v>
      </c>
      <c r="S821" s="101">
        <v>350</v>
      </c>
      <c r="T821" s="46" t="s">
        <v>5789</v>
      </c>
      <c r="U821" s="46" t="s">
        <v>5392</v>
      </c>
      <c r="V821" s="46" t="s">
        <v>5393</v>
      </c>
      <c r="W821" s="46" t="s">
        <v>335</v>
      </c>
      <c r="X821" s="172" t="s">
        <v>9167</v>
      </c>
      <c r="Y821" s="46" t="s">
        <v>5849</v>
      </c>
      <c r="Z821" s="46" t="s">
        <v>9555</v>
      </c>
      <c r="AA821" s="46" t="s">
        <v>5791</v>
      </c>
      <c r="AB821" s="172" t="s">
        <v>9167</v>
      </c>
      <c r="AC821" s="48" t="s">
        <v>5852</v>
      </c>
      <c r="AD821" s="30"/>
      <c r="AE821" s="197"/>
      <c r="AF821" s="47"/>
    </row>
    <row r="822" spans="1:32" s="29" customFormat="1" ht="69.95" hidden="1" customHeight="1">
      <c r="A822" s="29" t="s">
        <v>5394</v>
      </c>
      <c r="B822" s="29" t="s">
        <v>3769</v>
      </c>
      <c r="C822" s="40">
        <v>20</v>
      </c>
      <c r="D822" s="40"/>
      <c r="E822" s="57" t="s">
        <v>204</v>
      </c>
      <c r="F822" s="163" t="s">
        <v>9560</v>
      </c>
      <c r="G822" s="29" t="s">
        <v>1929</v>
      </c>
      <c r="J822" s="29">
        <f t="shared" si="47"/>
        <v>1</v>
      </c>
      <c r="K822" s="42">
        <v>815</v>
      </c>
      <c r="L822" s="43" t="s">
        <v>1930</v>
      </c>
      <c r="M822" s="44" t="s">
        <v>405</v>
      </c>
      <c r="N822" s="44" t="s">
        <v>895</v>
      </c>
      <c r="O822" s="44" t="str">
        <f t="shared" si="48"/>
        <v>HOLD
(B1,B2위치 정정에 따른 Route 변경필요)</v>
      </c>
      <c r="P822" s="45">
        <v>75</v>
      </c>
      <c r="Q822" s="44">
        <v>400</v>
      </c>
      <c r="R822" s="44" t="s">
        <v>49</v>
      </c>
      <c r="S822" s="44">
        <v>350</v>
      </c>
      <c r="T822" s="46" t="s">
        <v>5789</v>
      </c>
      <c r="U822" s="46" t="s">
        <v>5394</v>
      </c>
      <c r="V822" s="46" t="s">
        <v>5395</v>
      </c>
      <c r="W822" s="46" t="s">
        <v>335</v>
      </c>
      <c r="X822" s="47" t="s">
        <v>9305</v>
      </c>
      <c r="Y822" s="46" t="s">
        <v>5853</v>
      </c>
      <c r="Z822" s="238" t="s">
        <v>5854</v>
      </c>
      <c r="AA822" s="46" t="s">
        <v>5791</v>
      </c>
      <c r="AB822" s="47" t="s">
        <v>9305</v>
      </c>
      <c r="AC822" s="48" t="s">
        <v>5855</v>
      </c>
      <c r="AD822" s="30"/>
      <c r="AE822" s="197"/>
      <c r="AF822" s="47"/>
    </row>
    <row r="823" spans="1:32" s="29" customFormat="1" ht="69.95" hidden="1" customHeight="1">
      <c r="A823" s="29" t="s">
        <v>5394</v>
      </c>
      <c r="B823" s="29" t="s">
        <v>3769</v>
      </c>
      <c r="C823" s="40">
        <v>21</v>
      </c>
      <c r="D823" s="40"/>
      <c r="E823" s="57" t="s">
        <v>189</v>
      </c>
      <c r="F823" s="163" t="s">
        <v>9560</v>
      </c>
      <c r="G823" s="29" t="s">
        <v>1931</v>
      </c>
      <c r="J823" s="29">
        <f t="shared" si="47"/>
        <v>1</v>
      </c>
      <c r="K823" s="42">
        <v>816</v>
      </c>
      <c r="L823" s="43" t="s">
        <v>1932</v>
      </c>
      <c r="M823" s="44" t="s">
        <v>405</v>
      </c>
      <c r="N823" s="44" t="s">
        <v>426</v>
      </c>
      <c r="O823" s="44" t="str">
        <f t="shared" si="48"/>
        <v>HOLD
(B1,B2위치 정정에 따른 Route 변경필요)</v>
      </c>
      <c r="P823" s="45">
        <v>0.11</v>
      </c>
      <c r="Q823" s="44">
        <v>230</v>
      </c>
      <c r="R823" s="44" t="s">
        <v>49</v>
      </c>
      <c r="S823" s="44">
        <v>360</v>
      </c>
      <c r="T823" s="46" t="s">
        <v>5789</v>
      </c>
      <c r="U823" s="46" t="s">
        <v>5394</v>
      </c>
      <c r="V823" s="46" t="s">
        <v>5395</v>
      </c>
      <c r="W823" s="46" t="s">
        <v>335</v>
      </c>
      <c r="X823" s="172" t="s">
        <v>9167</v>
      </c>
      <c r="Y823" s="46" t="s">
        <v>5853</v>
      </c>
      <c r="Z823" s="46" t="s">
        <v>9556</v>
      </c>
      <c r="AA823" s="46" t="s">
        <v>5791</v>
      </c>
      <c r="AB823" s="172" t="s">
        <v>9167</v>
      </c>
      <c r="AC823" s="48" t="s">
        <v>5856</v>
      </c>
      <c r="AD823" s="30"/>
      <c r="AE823" s="197"/>
      <c r="AF823" s="47"/>
    </row>
    <row r="824" spans="1:32" s="29" customFormat="1" ht="84.95" hidden="1" customHeight="1">
      <c r="A824" s="29" t="s">
        <v>5392</v>
      </c>
      <c r="B824" s="29" t="s">
        <v>3769</v>
      </c>
      <c r="C824" s="40" t="s">
        <v>75</v>
      </c>
      <c r="D824" s="40"/>
      <c r="E824" s="57" t="s">
        <v>8590</v>
      </c>
      <c r="F824" s="163" t="s">
        <v>9560</v>
      </c>
      <c r="G824" s="29" t="s">
        <v>1933</v>
      </c>
      <c r="J824" s="29">
        <f t="shared" si="47"/>
        <v>1</v>
      </c>
      <c r="K824" s="42">
        <v>817</v>
      </c>
      <c r="L824" s="43" t="s">
        <v>1934</v>
      </c>
      <c r="M824" s="44" t="s">
        <v>405</v>
      </c>
      <c r="N824" s="44" t="s">
        <v>1890</v>
      </c>
      <c r="O824" s="44" t="str">
        <f t="shared" si="48"/>
        <v>HOLD
(B1,B2위치 정정에 따른 Route 변경필요)</v>
      </c>
      <c r="P824" s="45">
        <v>75</v>
      </c>
      <c r="Q824" s="44">
        <v>400</v>
      </c>
      <c r="R824" s="44" t="s">
        <v>49</v>
      </c>
      <c r="S824" s="126">
        <v>360</v>
      </c>
      <c r="T824" s="46" t="s">
        <v>5789</v>
      </c>
      <c r="U824" s="46" t="s">
        <v>5392</v>
      </c>
      <c r="V824" s="46" t="s">
        <v>5393</v>
      </c>
      <c r="W824" s="46" t="s">
        <v>335</v>
      </c>
      <c r="X824" s="47" t="s">
        <v>9305</v>
      </c>
      <c r="Y824" s="46" t="s">
        <v>5857</v>
      </c>
      <c r="Z824" s="238" t="s">
        <v>9559</v>
      </c>
      <c r="AA824" s="46" t="s">
        <v>5791</v>
      </c>
      <c r="AB824" s="47" t="s">
        <v>9305</v>
      </c>
      <c r="AC824" s="76" t="s">
        <v>9230</v>
      </c>
      <c r="AD824" s="30"/>
      <c r="AE824" s="197"/>
      <c r="AF824" s="47"/>
    </row>
    <row r="825" spans="1:32" s="29" customFormat="1" ht="69.95" hidden="1" customHeight="1">
      <c r="A825" s="29" t="s">
        <v>5392</v>
      </c>
      <c r="B825" s="29" t="s">
        <v>3769</v>
      </c>
      <c r="C825" s="40" t="s">
        <v>205</v>
      </c>
      <c r="D825" s="40"/>
      <c r="E825" s="56" t="s">
        <v>189</v>
      </c>
      <c r="F825" s="163" t="s">
        <v>9560</v>
      </c>
      <c r="G825" s="29" t="s">
        <v>1935</v>
      </c>
      <c r="J825" s="29">
        <f t="shared" si="47"/>
        <v>1</v>
      </c>
      <c r="K825" s="42">
        <v>818</v>
      </c>
      <c r="L825" s="43" t="s">
        <v>1936</v>
      </c>
      <c r="M825" s="44" t="s">
        <v>405</v>
      </c>
      <c r="N825" s="44" t="s">
        <v>426</v>
      </c>
      <c r="O825" s="44" t="str">
        <f t="shared" si="48"/>
        <v>HOLD
(B1,B2위치 정정에 따른 Route 변경필요)</v>
      </c>
      <c r="P825" s="45">
        <v>0.11</v>
      </c>
      <c r="Q825" s="44">
        <v>230</v>
      </c>
      <c r="R825" s="44" t="s">
        <v>49</v>
      </c>
      <c r="S825" s="44">
        <v>340</v>
      </c>
      <c r="T825" s="46" t="s">
        <v>5789</v>
      </c>
      <c r="U825" s="46" t="s">
        <v>5392</v>
      </c>
      <c r="V825" s="46" t="s">
        <v>5393</v>
      </c>
      <c r="W825" s="46" t="s">
        <v>335</v>
      </c>
      <c r="X825" s="172" t="s">
        <v>9167</v>
      </c>
      <c r="Y825" s="46" t="s">
        <v>5857</v>
      </c>
      <c r="Z825" s="46" t="s">
        <v>9557</v>
      </c>
      <c r="AA825" s="46" t="s">
        <v>5791</v>
      </c>
      <c r="AB825" s="172" t="s">
        <v>9167</v>
      </c>
      <c r="AC825" s="48" t="s">
        <v>5858</v>
      </c>
      <c r="AD825" s="30"/>
      <c r="AE825" s="197"/>
      <c r="AF825" s="47"/>
    </row>
    <row r="826" spans="1:32" s="29" customFormat="1" ht="69.95" hidden="1" customHeight="1">
      <c r="A826" s="29" t="s">
        <v>5392</v>
      </c>
      <c r="B826" s="29" t="s">
        <v>3769</v>
      </c>
      <c r="C826" s="40" t="s">
        <v>206</v>
      </c>
      <c r="D826" s="40"/>
      <c r="E826" s="57" t="s">
        <v>191</v>
      </c>
      <c r="F826" s="57" t="s">
        <v>191</v>
      </c>
      <c r="G826" s="29" t="s">
        <v>1937</v>
      </c>
      <c r="H826" s="124" t="s">
        <v>9509</v>
      </c>
      <c r="I826" s="124" t="s">
        <v>9121</v>
      </c>
      <c r="J826" s="29">
        <f t="shared" si="47"/>
        <v>1</v>
      </c>
      <c r="K826" s="42">
        <v>819</v>
      </c>
      <c r="L826" s="152" t="s">
        <v>1938</v>
      </c>
      <c r="M826" s="44" t="s">
        <v>405</v>
      </c>
      <c r="N826" s="44" t="s">
        <v>536</v>
      </c>
      <c r="O826" s="101" t="str">
        <f t="shared" si="48"/>
        <v>PE-L1-4C4-21</v>
      </c>
      <c r="P826" s="45">
        <v>0.75</v>
      </c>
      <c r="Q826" s="44">
        <v>400</v>
      </c>
      <c r="R826" s="44" t="s">
        <v>49</v>
      </c>
      <c r="S826" s="101">
        <v>340</v>
      </c>
      <c r="T826" s="46" t="s">
        <v>5789</v>
      </c>
      <c r="U826" s="46" t="s">
        <v>5392</v>
      </c>
      <c r="V826" s="46" t="s">
        <v>5393</v>
      </c>
      <c r="W826" s="46" t="s">
        <v>335</v>
      </c>
      <c r="X826" s="47" t="s">
        <v>9305</v>
      </c>
      <c r="Y826" s="46" t="s">
        <v>5859</v>
      </c>
      <c r="Z826" s="46" t="s">
        <v>9558</v>
      </c>
      <c r="AA826" s="46" t="s">
        <v>5791</v>
      </c>
      <c r="AB826" s="47" t="s">
        <v>9305</v>
      </c>
      <c r="AC826" s="239" t="s">
        <v>9562</v>
      </c>
      <c r="AD826" s="30"/>
      <c r="AE826" s="197"/>
      <c r="AF826" s="47"/>
    </row>
    <row r="827" spans="1:32" s="29" customFormat="1" ht="69.95" hidden="1" customHeight="1">
      <c r="A827" s="29" t="s">
        <v>5394</v>
      </c>
      <c r="B827" s="29" t="s">
        <v>3769</v>
      </c>
      <c r="C827" s="40">
        <v>22</v>
      </c>
      <c r="D827" s="40"/>
      <c r="E827" s="57" t="s">
        <v>191</v>
      </c>
      <c r="F827" s="57" t="s">
        <v>191</v>
      </c>
      <c r="G827" s="29" t="s">
        <v>1939</v>
      </c>
      <c r="H827" s="124" t="s">
        <v>9509</v>
      </c>
      <c r="I827" s="124" t="s">
        <v>9121</v>
      </c>
      <c r="J827" s="29">
        <f t="shared" si="47"/>
        <v>1</v>
      </c>
      <c r="K827" s="42">
        <v>820</v>
      </c>
      <c r="L827" s="152" t="s">
        <v>1940</v>
      </c>
      <c r="M827" s="44" t="s">
        <v>405</v>
      </c>
      <c r="N827" s="44" t="s">
        <v>536</v>
      </c>
      <c r="O827" s="101" t="str">
        <f t="shared" si="48"/>
        <v>PE-L1-4C4-21</v>
      </c>
      <c r="P827" s="45">
        <v>0.75</v>
      </c>
      <c r="Q827" s="44">
        <v>400</v>
      </c>
      <c r="R827" s="44" t="s">
        <v>49</v>
      </c>
      <c r="S827" s="101">
        <v>350</v>
      </c>
      <c r="T827" s="46" t="s">
        <v>5789</v>
      </c>
      <c r="U827" s="46" t="s">
        <v>5394</v>
      </c>
      <c r="V827" s="46" t="s">
        <v>5395</v>
      </c>
      <c r="W827" s="46" t="s">
        <v>335</v>
      </c>
      <c r="X827" s="47" t="s">
        <v>9305</v>
      </c>
      <c r="Y827" s="46" t="s">
        <v>5860</v>
      </c>
      <c r="Z827" s="46" t="s">
        <v>5861</v>
      </c>
      <c r="AA827" s="46" t="s">
        <v>5791</v>
      </c>
      <c r="AB827" s="47" t="s">
        <v>9305</v>
      </c>
      <c r="AC827" s="48" t="s">
        <v>5862</v>
      </c>
      <c r="AD827" s="30"/>
      <c r="AE827" s="197"/>
      <c r="AF827" s="47"/>
    </row>
    <row r="828" spans="1:32" s="29" customFormat="1" ht="69.95" hidden="1" customHeight="1">
      <c r="A828" s="29" t="s">
        <v>5392</v>
      </c>
      <c r="B828" s="29" t="s">
        <v>3769</v>
      </c>
      <c r="C828" s="40" t="s">
        <v>207</v>
      </c>
      <c r="D828" s="40"/>
      <c r="E828" s="57" t="s">
        <v>191</v>
      </c>
      <c r="F828" s="57" t="s">
        <v>191</v>
      </c>
      <c r="G828" s="29" t="s">
        <v>1941</v>
      </c>
      <c r="H828" s="124" t="s">
        <v>9509</v>
      </c>
      <c r="I828" s="124" t="s">
        <v>9121</v>
      </c>
      <c r="J828" s="29">
        <f t="shared" si="47"/>
        <v>1</v>
      </c>
      <c r="K828" s="42">
        <v>821</v>
      </c>
      <c r="L828" s="152" t="s">
        <v>1942</v>
      </c>
      <c r="M828" s="44" t="s">
        <v>405</v>
      </c>
      <c r="N828" s="44" t="s">
        <v>536</v>
      </c>
      <c r="O828" s="101" t="str">
        <f t="shared" si="48"/>
        <v>PE-L1-4C4-21</v>
      </c>
      <c r="P828" s="45">
        <v>0.75</v>
      </c>
      <c r="Q828" s="44">
        <v>400</v>
      </c>
      <c r="R828" s="44" t="s">
        <v>49</v>
      </c>
      <c r="S828" s="101">
        <v>340</v>
      </c>
      <c r="T828" s="46" t="s">
        <v>5789</v>
      </c>
      <c r="U828" s="46" t="s">
        <v>5392</v>
      </c>
      <c r="V828" s="46" t="s">
        <v>5393</v>
      </c>
      <c r="W828" s="46" t="s">
        <v>335</v>
      </c>
      <c r="X828" s="47" t="s">
        <v>9305</v>
      </c>
      <c r="Y828" s="46" t="s">
        <v>5863</v>
      </c>
      <c r="Z828" s="46" t="s">
        <v>5864</v>
      </c>
      <c r="AA828" s="46" t="s">
        <v>5791</v>
      </c>
      <c r="AB828" s="47" t="s">
        <v>9305</v>
      </c>
      <c r="AC828" s="48" t="s">
        <v>5865</v>
      </c>
      <c r="AD828" s="30"/>
      <c r="AE828" s="197"/>
      <c r="AF828" s="47"/>
    </row>
    <row r="829" spans="1:32" s="29" customFormat="1" ht="69.95" hidden="1" customHeight="1">
      <c r="A829" s="29" t="s">
        <v>4480</v>
      </c>
      <c r="B829" s="29" t="s">
        <v>3769</v>
      </c>
      <c r="C829" s="40">
        <v>29</v>
      </c>
      <c r="D829" s="40"/>
      <c r="E829" s="57" t="s">
        <v>191</v>
      </c>
      <c r="F829" s="57" t="s">
        <v>191</v>
      </c>
      <c r="G829" s="29" t="s">
        <v>1943</v>
      </c>
      <c r="J829" s="29">
        <f t="shared" si="47"/>
        <v>1</v>
      </c>
      <c r="K829" s="42">
        <v>822</v>
      </c>
      <c r="L829" s="43" t="s">
        <v>1944</v>
      </c>
      <c r="M829" s="44" t="s">
        <v>405</v>
      </c>
      <c r="N829" s="44" t="s">
        <v>536</v>
      </c>
      <c r="O829" s="44" t="str">
        <f t="shared" si="48"/>
        <v>PE-L1-4C4-21</v>
      </c>
      <c r="P829" s="45">
        <v>0.2</v>
      </c>
      <c r="Q829" s="44">
        <v>400</v>
      </c>
      <c r="R829" s="44" t="s">
        <v>49</v>
      </c>
      <c r="S829" s="44">
        <v>280</v>
      </c>
      <c r="T829" s="46" t="s">
        <v>5789</v>
      </c>
      <c r="U829" s="46" t="s">
        <v>4480</v>
      </c>
      <c r="V829" s="46" t="s">
        <v>4481</v>
      </c>
      <c r="W829" s="46" t="s">
        <v>347</v>
      </c>
      <c r="X829" s="47" t="s">
        <v>9305</v>
      </c>
      <c r="Y829" s="46" t="s">
        <v>5866</v>
      </c>
      <c r="Z829" s="46" t="s">
        <v>5867</v>
      </c>
      <c r="AA829" s="46" t="s">
        <v>392</v>
      </c>
      <c r="AB829" s="47" t="s">
        <v>9305</v>
      </c>
      <c r="AC829" s="48" t="s">
        <v>5868</v>
      </c>
      <c r="AD829" s="30"/>
      <c r="AE829" s="197"/>
      <c r="AF829" s="47"/>
    </row>
    <row r="830" spans="1:32" s="29" customFormat="1" ht="69.95" hidden="1" customHeight="1">
      <c r="A830" s="29" t="s">
        <v>5392</v>
      </c>
      <c r="B830" s="29" t="s">
        <v>3769</v>
      </c>
      <c r="C830" s="40" t="s">
        <v>208</v>
      </c>
      <c r="D830" s="40"/>
      <c r="E830" s="57" t="s">
        <v>209</v>
      </c>
      <c r="F830" s="57" t="s">
        <v>209</v>
      </c>
      <c r="G830" s="29" t="s">
        <v>1945</v>
      </c>
      <c r="H830" s="124" t="s">
        <v>9563</v>
      </c>
      <c r="I830" s="124" t="s">
        <v>9121</v>
      </c>
      <c r="J830" s="29">
        <f t="shared" si="47"/>
        <v>1</v>
      </c>
      <c r="K830" s="42">
        <v>823</v>
      </c>
      <c r="L830" s="152" t="s">
        <v>1946</v>
      </c>
      <c r="M830" s="44" t="s">
        <v>405</v>
      </c>
      <c r="N830" s="44" t="s">
        <v>536</v>
      </c>
      <c r="O830" s="101" t="str">
        <f t="shared" si="48"/>
        <v>PE-L1-4C4-20</v>
      </c>
      <c r="P830" s="45">
        <v>0.4</v>
      </c>
      <c r="Q830" s="44">
        <v>400</v>
      </c>
      <c r="R830" s="44" t="s">
        <v>49</v>
      </c>
      <c r="S830" s="101">
        <v>360</v>
      </c>
      <c r="T830" s="46" t="s">
        <v>5789</v>
      </c>
      <c r="U830" s="46" t="s">
        <v>5392</v>
      </c>
      <c r="V830" s="46" t="s">
        <v>5393</v>
      </c>
      <c r="W830" s="46" t="s">
        <v>335</v>
      </c>
      <c r="X830" s="47" t="s">
        <v>9305</v>
      </c>
      <c r="Y830" s="46" t="s">
        <v>5869</v>
      </c>
      <c r="Z830" s="46" t="s">
        <v>5870</v>
      </c>
      <c r="AA830" s="46" t="s">
        <v>5791</v>
      </c>
      <c r="AB830" s="47" t="s">
        <v>9305</v>
      </c>
      <c r="AC830" s="48" t="s">
        <v>5871</v>
      </c>
      <c r="AD830" s="30"/>
      <c r="AE830" s="197"/>
      <c r="AF830" s="47"/>
    </row>
    <row r="831" spans="1:32" s="29" customFormat="1" ht="69.95" hidden="1" customHeight="1">
      <c r="A831" s="29" t="s">
        <v>5392</v>
      </c>
      <c r="B831" s="29" t="s">
        <v>3769</v>
      </c>
      <c r="C831" s="40" t="s">
        <v>210</v>
      </c>
      <c r="D831" s="40"/>
      <c r="E831" s="57" t="s">
        <v>209</v>
      </c>
      <c r="F831" s="57" t="s">
        <v>209</v>
      </c>
      <c r="G831" s="29" t="s">
        <v>1947</v>
      </c>
      <c r="H831" s="124" t="s">
        <v>9563</v>
      </c>
      <c r="I831" s="124" t="s">
        <v>9121</v>
      </c>
      <c r="J831" s="29">
        <f t="shared" si="47"/>
        <v>1</v>
      </c>
      <c r="K831" s="42">
        <v>824</v>
      </c>
      <c r="L831" s="152" t="s">
        <v>1948</v>
      </c>
      <c r="M831" s="44" t="s">
        <v>405</v>
      </c>
      <c r="N831" s="44" t="s">
        <v>536</v>
      </c>
      <c r="O831" s="101" t="str">
        <f t="shared" si="48"/>
        <v>PE-L1-4C4-20</v>
      </c>
      <c r="P831" s="45">
        <v>0.4</v>
      </c>
      <c r="Q831" s="44">
        <v>400</v>
      </c>
      <c r="R831" s="44" t="s">
        <v>49</v>
      </c>
      <c r="S831" s="101">
        <v>360</v>
      </c>
      <c r="T831" s="46" t="s">
        <v>5789</v>
      </c>
      <c r="U831" s="46" t="s">
        <v>5392</v>
      </c>
      <c r="V831" s="46" t="s">
        <v>5393</v>
      </c>
      <c r="W831" s="46" t="s">
        <v>335</v>
      </c>
      <c r="X831" s="47" t="s">
        <v>9305</v>
      </c>
      <c r="Y831" s="46" t="s">
        <v>5872</v>
      </c>
      <c r="Z831" s="46" t="s">
        <v>5873</v>
      </c>
      <c r="AA831" s="46" t="s">
        <v>5791</v>
      </c>
      <c r="AB831" s="47" t="s">
        <v>9305</v>
      </c>
      <c r="AC831" s="48" t="s">
        <v>5874</v>
      </c>
      <c r="AD831" s="30"/>
      <c r="AE831" s="197"/>
      <c r="AF831" s="47"/>
    </row>
    <row r="832" spans="1:32" s="29" customFormat="1" ht="69.95" hidden="1" customHeight="1">
      <c r="A832" s="29" t="s">
        <v>5392</v>
      </c>
      <c r="B832" s="29" t="s">
        <v>3769</v>
      </c>
      <c r="C832" s="40" t="s">
        <v>211</v>
      </c>
      <c r="D832" s="40"/>
      <c r="E832" s="57" t="s">
        <v>209</v>
      </c>
      <c r="F832" s="57" t="s">
        <v>209</v>
      </c>
      <c r="G832" s="29" t="s">
        <v>1949</v>
      </c>
      <c r="H832" s="124" t="s">
        <v>9563</v>
      </c>
      <c r="I832" s="124" t="s">
        <v>9121</v>
      </c>
      <c r="J832" s="29">
        <f t="shared" si="47"/>
        <v>1</v>
      </c>
      <c r="K832" s="42">
        <v>825</v>
      </c>
      <c r="L832" s="152" t="s">
        <v>1950</v>
      </c>
      <c r="M832" s="44" t="s">
        <v>405</v>
      </c>
      <c r="N832" s="44" t="s">
        <v>536</v>
      </c>
      <c r="O832" s="101" t="str">
        <f t="shared" si="48"/>
        <v>PE-L1-4C4-20</v>
      </c>
      <c r="P832" s="45">
        <v>0.4</v>
      </c>
      <c r="Q832" s="44">
        <v>400</v>
      </c>
      <c r="R832" s="44" t="s">
        <v>49</v>
      </c>
      <c r="S832" s="101">
        <v>360</v>
      </c>
      <c r="T832" s="46" t="s">
        <v>5789</v>
      </c>
      <c r="U832" s="46" t="s">
        <v>5392</v>
      </c>
      <c r="V832" s="46" t="s">
        <v>5393</v>
      </c>
      <c r="W832" s="46" t="s">
        <v>335</v>
      </c>
      <c r="X832" s="47" t="s">
        <v>9305</v>
      </c>
      <c r="Y832" s="46" t="s">
        <v>5875</v>
      </c>
      <c r="Z832" s="46" t="s">
        <v>5876</v>
      </c>
      <c r="AA832" s="46" t="s">
        <v>5791</v>
      </c>
      <c r="AB832" s="47" t="s">
        <v>9305</v>
      </c>
      <c r="AC832" s="48" t="s">
        <v>5877</v>
      </c>
      <c r="AD832" s="30"/>
      <c r="AE832" s="197"/>
      <c r="AF832" s="47"/>
    </row>
    <row r="833" spans="1:32" s="29" customFormat="1" ht="69.95" hidden="1" customHeight="1">
      <c r="A833" s="29" t="s">
        <v>5392</v>
      </c>
      <c r="B833" s="29" t="s">
        <v>3769</v>
      </c>
      <c r="C833" s="40" t="s">
        <v>212</v>
      </c>
      <c r="D833" s="40"/>
      <c r="E833" s="57" t="s">
        <v>209</v>
      </c>
      <c r="F833" s="57" t="s">
        <v>209</v>
      </c>
      <c r="G833" s="29" t="s">
        <v>1951</v>
      </c>
      <c r="H833" s="124" t="s">
        <v>9563</v>
      </c>
      <c r="I833" s="124" t="s">
        <v>9121</v>
      </c>
      <c r="J833" s="29">
        <f t="shared" si="47"/>
        <v>1</v>
      </c>
      <c r="K833" s="42">
        <v>826</v>
      </c>
      <c r="L833" s="152" t="s">
        <v>1952</v>
      </c>
      <c r="M833" s="44" t="s">
        <v>405</v>
      </c>
      <c r="N833" s="44" t="s">
        <v>536</v>
      </c>
      <c r="O833" s="101" t="str">
        <f t="shared" si="48"/>
        <v>PE-L1-4C4-20</v>
      </c>
      <c r="P833" s="45">
        <v>0.4</v>
      </c>
      <c r="Q833" s="44">
        <v>400</v>
      </c>
      <c r="R833" s="44" t="s">
        <v>49</v>
      </c>
      <c r="S833" s="101">
        <v>360</v>
      </c>
      <c r="T833" s="46" t="s">
        <v>5789</v>
      </c>
      <c r="U833" s="46" t="s">
        <v>5392</v>
      </c>
      <c r="V833" s="46" t="s">
        <v>5393</v>
      </c>
      <c r="W833" s="46" t="s">
        <v>335</v>
      </c>
      <c r="X833" s="47" t="s">
        <v>9305</v>
      </c>
      <c r="Y833" s="46" t="s">
        <v>5878</v>
      </c>
      <c r="Z833" s="46" t="s">
        <v>5879</v>
      </c>
      <c r="AA833" s="46" t="s">
        <v>5791</v>
      </c>
      <c r="AB833" s="47" t="s">
        <v>9305</v>
      </c>
      <c r="AC833" s="48" t="s">
        <v>5880</v>
      </c>
      <c r="AD833" s="30"/>
      <c r="AE833" s="197"/>
      <c r="AF833" s="47"/>
    </row>
    <row r="834" spans="1:32" s="29" customFormat="1" ht="69.95" hidden="1" customHeight="1">
      <c r="A834" s="29" t="s">
        <v>5392</v>
      </c>
      <c r="B834" s="29" t="s">
        <v>3769</v>
      </c>
      <c r="C834" s="40" t="s">
        <v>213</v>
      </c>
      <c r="D834" s="40"/>
      <c r="E834" s="57" t="s">
        <v>209</v>
      </c>
      <c r="F834" s="57" t="s">
        <v>209</v>
      </c>
      <c r="G834" s="29" t="s">
        <v>1953</v>
      </c>
      <c r="H834" s="124" t="s">
        <v>9563</v>
      </c>
      <c r="I834" s="124" t="s">
        <v>9121</v>
      </c>
      <c r="J834" s="29">
        <f t="shared" si="47"/>
        <v>1</v>
      </c>
      <c r="K834" s="42">
        <v>827</v>
      </c>
      <c r="L834" s="152" t="s">
        <v>1954</v>
      </c>
      <c r="M834" s="44" t="s">
        <v>405</v>
      </c>
      <c r="N834" s="44" t="s">
        <v>536</v>
      </c>
      <c r="O834" s="101" t="str">
        <f t="shared" si="48"/>
        <v>PE-L1-4C4-20</v>
      </c>
      <c r="P834" s="45">
        <v>0.4</v>
      </c>
      <c r="Q834" s="44">
        <v>400</v>
      </c>
      <c r="R834" s="44" t="s">
        <v>49</v>
      </c>
      <c r="S834" s="101">
        <v>360</v>
      </c>
      <c r="T834" s="46" t="s">
        <v>5789</v>
      </c>
      <c r="U834" s="46" t="s">
        <v>5392</v>
      </c>
      <c r="V834" s="46" t="s">
        <v>5393</v>
      </c>
      <c r="W834" s="46" t="s">
        <v>335</v>
      </c>
      <c r="X834" s="47" t="s">
        <v>9305</v>
      </c>
      <c r="Y834" s="46" t="s">
        <v>5881</v>
      </c>
      <c r="Z834" s="46" t="s">
        <v>5882</v>
      </c>
      <c r="AA834" s="46" t="s">
        <v>5791</v>
      </c>
      <c r="AB834" s="47" t="s">
        <v>9305</v>
      </c>
      <c r="AC834" s="48" t="s">
        <v>5883</v>
      </c>
      <c r="AD834" s="30"/>
      <c r="AE834" s="197"/>
      <c r="AF834" s="47"/>
    </row>
    <row r="835" spans="1:32" s="29" customFormat="1" ht="69.95" hidden="1" customHeight="1">
      <c r="A835" s="29" t="s">
        <v>5392</v>
      </c>
      <c r="B835" s="29" t="s">
        <v>3769</v>
      </c>
      <c r="C835" s="40" t="s">
        <v>214</v>
      </c>
      <c r="D835" s="40"/>
      <c r="E835" s="57" t="s">
        <v>215</v>
      </c>
      <c r="F835" s="57" t="s">
        <v>215</v>
      </c>
      <c r="G835" s="29" t="s">
        <v>1955</v>
      </c>
      <c r="H835" s="124" t="s">
        <v>9563</v>
      </c>
      <c r="I835" s="124" t="s">
        <v>9121</v>
      </c>
      <c r="J835" s="29">
        <f t="shared" si="47"/>
        <v>1</v>
      </c>
      <c r="K835" s="42">
        <v>828</v>
      </c>
      <c r="L835" s="152" t="s">
        <v>1956</v>
      </c>
      <c r="M835" s="44" t="s">
        <v>405</v>
      </c>
      <c r="N835" s="44" t="s">
        <v>536</v>
      </c>
      <c r="O835" s="101" t="str">
        <f t="shared" si="48"/>
        <v>PE-L1-4C4-19</v>
      </c>
      <c r="P835" s="45">
        <v>0.4</v>
      </c>
      <c r="Q835" s="44">
        <v>400</v>
      </c>
      <c r="R835" s="44" t="s">
        <v>49</v>
      </c>
      <c r="S835" s="101">
        <v>360</v>
      </c>
      <c r="T835" s="46" t="s">
        <v>5789</v>
      </c>
      <c r="U835" s="46" t="s">
        <v>5392</v>
      </c>
      <c r="V835" s="46" t="s">
        <v>5393</v>
      </c>
      <c r="W835" s="46" t="s">
        <v>335</v>
      </c>
      <c r="X835" s="47" t="s">
        <v>9305</v>
      </c>
      <c r="Y835" s="46" t="s">
        <v>5884</v>
      </c>
      <c r="Z835" s="46" t="s">
        <v>5885</v>
      </c>
      <c r="AA835" s="46" t="s">
        <v>5791</v>
      </c>
      <c r="AB835" s="47" t="s">
        <v>9305</v>
      </c>
      <c r="AC835" s="48" t="s">
        <v>5886</v>
      </c>
      <c r="AD835" s="30"/>
      <c r="AE835" s="197"/>
      <c r="AF835" s="47"/>
    </row>
    <row r="836" spans="1:32" s="29" customFormat="1" ht="69.95" hidden="1" customHeight="1">
      <c r="A836" s="29" t="s">
        <v>4480</v>
      </c>
      <c r="B836" s="29" t="s">
        <v>3769</v>
      </c>
      <c r="C836" s="40">
        <v>30</v>
      </c>
      <c r="D836" s="40"/>
      <c r="E836" s="57" t="s">
        <v>215</v>
      </c>
      <c r="F836" s="57" t="s">
        <v>215</v>
      </c>
      <c r="G836" s="29" t="s">
        <v>1957</v>
      </c>
      <c r="J836" s="29">
        <f t="shared" si="47"/>
        <v>1</v>
      </c>
      <c r="K836" s="42">
        <v>829</v>
      </c>
      <c r="L836" s="43" t="s">
        <v>1958</v>
      </c>
      <c r="M836" s="44" t="s">
        <v>405</v>
      </c>
      <c r="N836" s="44" t="s">
        <v>536</v>
      </c>
      <c r="O836" s="44" t="str">
        <f t="shared" si="48"/>
        <v>PE-L1-4C4-19</v>
      </c>
      <c r="P836" s="45">
        <v>0.75</v>
      </c>
      <c r="Q836" s="44">
        <v>400</v>
      </c>
      <c r="R836" s="44" t="s">
        <v>49</v>
      </c>
      <c r="S836" s="44">
        <v>130</v>
      </c>
      <c r="T836" s="46" t="s">
        <v>5789</v>
      </c>
      <c r="U836" s="46" t="s">
        <v>4480</v>
      </c>
      <c r="V836" s="46" t="s">
        <v>4481</v>
      </c>
      <c r="W836" s="46" t="s">
        <v>347</v>
      </c>
      <c r="X836" s="47" t="s">
        <v>9305</v>
      </c>
      <c r="Y836" s="46" t="s">
        <v>5887</v>
      </c>
      <c r="Z836" s="46" t="s">
        <v>5888</v>
      </c>
      <c r="AA836" s="46" t="s">
        <v>5889</v>
      </c>
      <c r="AB836" s="47" t="s">
        <v>9305</v>
      </c>
      <c r="AC836" s="48" t="s">
        <v>5890</v>
      </c>
      <c r="AD836" s="30"/>
      <c r="AE836" s="197"/>
      <c r="AF836" s="47"/>
    </row>
    <row r="837" spans="1:32" s="29" customFormat="1" ht="69.95" hidden="1" customHeight="1">
      <c r="A837" s="29" t="s">
        <v>4516</v>
      </c>
      <c r="B837" s="29" t="s">
        <v>3769</v>
      </c>
      <c r="C837" s="40" t="s">
        <v>75</v>
      </c>
      <c r="D837" s="40"/>
      <c r="E837" s="57" t="s">
        <v>215</v>
      </c>
      <c r="F837" s="57" t="s">
        <v>215</v>
      </c>
      <c r="G837" s="29" t="s">
        <v>1959</v>
      </c>
      <c r="J837" s="29">
        <f t="shared" si="47"/>
        <v>1</v>
      </c>
      <c r="K837" s="42">
        <v>830</v>
      </c>
      <c r="L837" s="43" t="s">
        <v>1960</v>
      </c>
      <c r="M837" s="44" t="s">
        <v>405</v>
      </c>
      <c r="N837" s="44" t="s">
        <v>536</v>
      </c>
      <c r="O837" s="44" t="str">
        <f t="shared" si="48"/>
        <v>PE-L1-4C4-19</v>
      </c>
      <c r="P837" s="45">
        <v>0.75</v>
      </c>
      <c r="Q837" s="44">
        <v>400</v>
      </c>
      <c r="R837" s="44" t="s">
        <v>49</v>
      </c>
      <c r="S837" s="44">
        <v>60</v>
      </c>
      <c r="T837" s="46" t="s">
        <v>5789</v>
      </c>
      <c r="U837" s="46" t="s">
        <v>4516</v>
      </c>
      <c r="V837" s="46" t="s">
        <v>4517</v>
      </c>
      <c r="W837" s="46" t="s">
        <v>347</v>
      </c>
      <c r="X837" s="47" t="s">
        <v>9305</v>
      </c>
      <c r="Y837" s="46" t="s">
        <v>5891</v>
      </c>
      <c r="Z837" s="46" t="s">
        <v>5892</v>
      </c>
      <c r="AA837" s="46" t="s">
        <v>5893</v>
      </c>
      <c r="AB837" s="47" t="s">
        <v>9305</v>
      </c>
      <c r="AC837" s="48" t="s">
        <v>5894</v>
      </c>
      <c r="AD837" s="30"/>
      <c r="AE837" s="197"/>
      <c r="AF837" s="47"/>
    </row>
    <row r="838" spans="1:32" s="29" customFormat="1" ht="69.95" hidden="1" customHeight="1">
      <c r="A838" s="29" t="s">
        <v>5392</v>
      </c>
      <c r="B838" s="29" t="s">
        <v>3769</v>
      </c>
      <c r="C838" s="40" t="s">
        <v>216</v>
      </c>
      <c r="D838" s="40"/>
      <c r="E838" s="57" t="s">
        <v>215</v>
      </c>
      <c r="F838" s="57" t="s">
        <v>215</v>
      </c>
      <c r="G838" s="29" t="s">
        <v>1961</v>
      </c>
      <c r="H838" s="124" t="s">
        <v>9563</v>
      </c>
      <c r="I838" s="124" t="s">
        <v>9121</v>
      </c>
      <c r="J838" s="29">
        <f t="shared" si="47"/>
        <v>1</v>
      </c>
      <c r="K838" s="42">
        <v>831</v>
      </c>
      <c r="L838" s="152" t="s">
        <v>1962</v>
      </c>
      <c r="M838" s="44" t="s">
        <v>405</v>
      </c>
      <c r="N838" s="44" t="s">
        <v>536</v>
      </c>
      <c r="O838" s="101" t="str">
        <f t="shared" si="48"/>
        <v>PE-L1-4C4-19</v>
      </c>
      <c r="P838" s="45">
        <v>0.2</v>
      </c>
      <c r="Q838" s="44">
        <v>400</v>
      </c>
      <c r="R838" s="44" t="s">
        <v>49</v>
      </c>
      <c r="S838" s="101">
        <v>350</v>
      </c>
      <c r="T838" s="46" t="s">
        <v>5789</v>
      </c>
      <c r="U838" s="46" t="s">
        <v>5392</v>
      </c>
      <c r="V838" s="46" t="s">
        <v>5393</v>
      </c>
      <c r="W838" s="46" t="s">
        <v>335</v>
      </c>
      <c r="X838" s="47" t="s">
        <v>9305</v>
      </c>
      <c r="Y838" s="46" t="s">
        <v>5895</v>
      </c>
      <c r="Z838" s="46" t="s">
        <v>5896</v>
      </c>
      <c r="AA838" s="46" t="s">
        <v>5791</v>
      </c>
      <c r="AB838" s="47" t="s">
        <v>9305</v>
      </c>
      <c r="AC838" s="48" t="s">
        <v>5897</v>
      </c>
      <c r="AD838" s="30"/>
      <c r="AE838" s="197"/>
      <c r="AF838" s="47"/>
    </row>
    <row r="839" spans="1:32" s="29" customFormat="1" ht="69.95" hidden="1" customHeight="1">
      <c r="A839" s="29" t="s">
        <v>5392</v>
      </c>
      <c r="B839" s="29" t="s">
        <v>3769</v>
      </c>
      <c r="C839" s="40" t="s">
        <v>217</v>
      </c>
      <c r="D839" s="40"/>
      <c r="E839" s="57" t="s">
        <v>215</v>
      </c>
      <c r="F839" s="57" t="s">
        <v>215</v>
      </c>
      <c r="G839" s="29" t="s">
        <v>1963</v>
      </c>
      <c r="H839" s="124" t="s">
        <v>9563</v>
      </c>
      <c r="I839" s="124" t="s">
        <v>9121</v>
      </c>
      <c r="J839" s="29">
        <f t="shared" si="47"/>
        <v>1</v>
      </c>
      <c r="K839" s="42">
        <v>832</v>
      </c>
      <c r="L839" s="152" t="s">
        <v>1964</v>
      </c>
      <c r="M839" s="44" t="s">
        <v>405</v>
      </c>
      <c r="N839" s="44" t="s">
        <v>536</v>
      </c>
      <c r="O839" s="101" t="str">
        <f t="shared" si="48"/>
        <v>PE-L1-4C4-19</v>
      </c>
      <c r="P839" s="45">
        <v>0.2</v>
      </c>
      <c r="Q839" s="44">
        <v>400</v>
      </c>
      <c r="R839" s="44" t="s">
        <v>49</v>
      </c>
      <c r="S839" s="101">
        <v>350</v>
      </c>
      <c r="T839" s="46" t="s">
        <v>5789</v>
      </c>
      <c r="U839" s="46" t="s">
        <v>5392</v>
      </c>
      <c r="V839" s="46" t="s">
        <v>5393</v>
      </c>
      <c r="W839" s="46" t="s">
        <v>335</v>
      </c>
      <c r="X839" s="47" t="s">
        <v>9305</v>
      </c>
      <c r="Y839" s="46" t="s">
        <v>5898</v>
      </c>
      <c r="Z839" s="46" t="s">
        <v>5899</v>
      </c>
      <c r="AA839" s="46" t="s">
        <v>5791</v>
      </c>
      <c r="AB839" s="47" t="s">
        <v>9305</v>
      </c>
      <c r="AC839" s="48" t="s">
        <v>5900</v>
      </c>
      <c r="AD839" s="30"/>
      <c r="AE839" s="197"/>
      <c r="AF839" s="47"/>
    </row>
    <row r="840" spans="1:32" s="29" customFormat="1" ht="69.95" hidden="1" customHeight="1">
      <c r="A840" s="29" t="s">
        <v>5392</v>
      </c>
      <c r="B840" s="29" t="s">
        <v>3769</v>
      </c>
      <c r="C840" s="40" t="s">
        <v>218</v>
      </c>
      <c r="D840" s="40"/>
      <c r="E840" s="57" t="s">
        <v>215</v>
      </c>
      <c r="F840" s="57" t="s">
        <v>215</v>
      </c>
      <c r="G840" s="29" t="s">
        <v>1965</v>
      </c>
      <c r="H840" s="124" t="s">
        <v>9563</v>
      </c>
      <c r="I840" s="124" t="s">
        <v>9121</v>
      </c>
      <c r="J840" s="29">
        <f t="shared" ref="J840:J903" si="49">COUNTIF(L:L,L840)</f>
        <v>1</v>
      </c>
      <c r="K840" s="42">
        <v>833</v>
      </c>
      <c r="L840" s="152" t="s">
        <v>1966</v>
      </c>
      <c r="M840" s="44" t="s">
        <v>405</v>
      </c>
      <c r="N840" s="44" t="s">
        <v>536</v>
      </c>
      <c r="O840" s="101" t="str">
        <f t="shared" si="48"/>
        <v>PE-L1-4C4-19</v>
      </c>
      <c r="P840" s="45">
        <v>0.2</v>
      </c>
      <c r="Q840" s="44">
        <v>400</v>
      </c>
      <c r="R840" s="44" t="s">
        <v>49</v>
      </c>
      <c r="S840" s="101">
        <v>350</v>
      </c>
      <c r="T840" s="46" t="s">
        <v>5789</v>
      </c>
      <c r="U840" s="46" t="s">
        <v>5392</v>
      </c>
      <c r="V840" s="46" t="s">
        <v>5393</v>
      </c>
      <c r="W840" s="46" t="s">
        <v>335</v>
      </c>
      <c r="X840" s="47" t="s">
        <v>9305</v>
      </c>
      <c r="Y840" s="46" t="s">
        <v>5901</v>
      </c>
      <c r="Z840" s="46" t="s">
        <v>5902</v>
      </c>
      <c r="AA840" s="46" t="s">
        <v>5791</v>
      </c>
      <c r="AB840" s="47" t="s">
        <v>9305</v>
      </c>
      <c r="AC840" s="48" t="s">
        <v>5903</v>
      </c>
      <c r="AD840" s="30"/>
      <c r="AE840" s="197"/>
      <c r="AF840" s="47"/>
    </row>
    <row r="841" spans="1:32" s="29" customFormat="1" ht="69.95" hidden="1" customHeight="1">
      <c r="A841" s="29" t="s">
        <v>5392</v>
      </c>
      <c r="B841" s="29" t="s">
        <v>3769</v>
      </c>
      <c r="C841" s="40" t="s">
        <v>219</v>
      </c>
      <c r="D841" s="40"/>
      <c r="E841" s="57" t="s">
        <v>215</v>
      </c>
      <c r="F841" s="57" t="s">
        <v>215</v>
      </c>
      <c r="G841" s="29" t="s">
        <v>1967</v>
      </c>
      <c r="H841" s="124" t="s">
        <v>9563</v>
      </c>
      <c r="I841" s="124" t="s">
        <v>9121</v>
      </c>
      <c r="J841" s="29">
        <f t="shared" si="49"/>
        <v>1</v>
      </c>
      <c r="K841" s="42">
        <v>834</v>
      </c>
      <c r="L841" s="152" t="s">
        <v>1968</v>
      </c>
      <c r="M841" s="44" t="s">
        <v>405</v>
      </c>
      <c r="N841" s="44" t="s">
        <v>536</v>
      </c>
      <c r="O841" s="101" t="str">
        <f t="shared" si="48"/>
        <v>PE-L1-4C4-19</v>
      </c>
      <c r="P841" s="45">
        <v>0.2</v>
      </c>
      <c r="Q841" s="44">
        <v>400</v>
      </c>
      <c r="R841" s="44" t="s">
        <v>49</v>
      </c>
      <c r="S841" s="101">
        <v>350</v>
      </c>
      <c r="T841" s="46" t="s">
        <v>5789</v>
      </c>
      <c r="U841" s="46" t="s">
        <v>5392</v>
      </c>
      <c r="V841" s="46" t="s">
        <v>5393</v>
      </c>
      <c r="W841" s="46" t="s">
        <v>335</v>
      </c>
      <c r="X841" s="47" t="s">
        <v>9305</v>
      </c>
      <c r="Y841" s="46" t="s">
        <v>5904</v>
      </c>
      <c r="Z841" s="46" t="s">
        <v>5905</v>
      </c>
      <c r="AA841" s="46" t="s">
        <v>5791</v>
      </c>
      <c r="AB841" s="47" t="s">
        <v>9305</v>
      </c>
      <c r="AC841" s="48" t="s">
        <v>5906</v>
      </c>
      <c r="AD841" s="30"/>
      <c r="AE841" s="197"/>
      <c r="AF841" s="47"/>
    </row>
    <row r="842" spans="1:32" s="29" customFormat="1" ht="69.95" hidden="1" customHeight="1">
      <c r="A842" s="29" t="s">
        <v>4444</v>
      </c>
      <c r="B842" s="29" t="s">
        <v>3769</v>
      </c>
      <c r="C842" s="40">
        <v>11</v>
      </c>
      <c r="D842" s="184" t="s">
        <v>9460</v>
      </c>
      <c r="E842" s="80" t="s">
        <v>90</v>
      </c>
      <c r="F842" s="80" t="s">
        <v>9278</v>
      </c>
      <c r="G842" s="29" t="s">
        <v>1969</v>
      </c>
      <c r="J842" s="29">
        <f t="shared" si="49"/>
        <v>1</v>
      </c>
      <c r="K842" s="127">
        <v>835</v>
      </c>
      <c r="L842" s="43" t="s">
        <v>9458</v>
      </c>
      <c r="M842" s="44" t="s">
        <v>405</v>
      </c>
      <c r="N842" s="44" t="s">
        <v>8364</v>
      </c>
      <c r="O842" s="79" t="str">
        <f>F842</f>
        <v>PE-L1-5C120/70-03</v>
      </c>
      <c r="P842" s="45">
        <v>57.75</v>
      </c>
      <c r="Q842" s="44">
        <v>400</v>
      </c>
      <c r="R842" s="44" t="s">
        <v>49</v>
      </c>
      <c r="S842" s="126">
        <v>360</v>
      </c>
      <c r="T842" s="46" t="s">
        <v>5907</v>
      </c>
      <c r="U842" s="46" t="s">
        <v>4444</v>
      </c>
      <c r="V842" s="46" t="s">
        <v>4445</v>
      </c>
      <c r="W842" s="46" t="s">
        <v>335</v>
      </c>
      <c r="X842" s="47" t="s">
        <v>9310</v>
      </c>
      <c r="Y842" s="46" t="s">
        <v>5908</v>
      </c>
      <c r="Z842" s="46" t="s">
        <v>8370</v>
      </c>
      <c r="AA842" s="46" t="s">
        <v>392</v>
      </c>
      <c r="AB842" s="47" t="s">
        <v>9310</v>
      </c>
      <c r="AC842" s="76" t="s">
        <v>9231</v>
      </c>
      <c r="AD842" s="30"/>
      <c r="AE842" s="197"/>
      <c r="AF842" s="47"/>
    </row>
    <row r="843" spans="1:32" s="29" customFormat="1" ht="69.95" hidden="1" customHeight="1">
      <c r="A843" s="29" t="s">
        <v>4407</v>
      </c>
      <c r="B843" s="29" t="s">
        <v>3769</v>
      </c>
      <c r="C843" s="40">
        <v>32</v>
      </c>
      <c r="D843" s="40"/>
      <c r="E843" s="57" t="s">
        <v>72</v>
      </c>
      <c r="F843" s="57" t="s">
        <v>72</v>
      </c>
      <c r="G843" s="29" t="s">
        <v>1970</v>
      </c>
      <c r="I843" s="124" t="s">
        <v>9121</v>
      </c>
      <c r="J843" s="29">
        <f t="shared" si="49"/>
        <v>1</v>
      </c>
      <c r="K843" s="42">
        <v>836</v>
      </c>
      <c r="L843" s="152" t="s">
        <v>1971</v>
      </c>
      <c r="M843" s="44" t="s">
        <v>405</v>
      </c>
      <c r="N843" s="44" t="s">
        <v>566</v>
      </c>
      <c r="O843" s="101" t="str">
        <f>F843</f>
        <v>PE-L1-5C4-01</v>
      </c>
      <c r="P843" s="45">
        <v>4.57</v>
      </c>
      <c r="Q843" s="44">
        <v>400</v>
      </c>
      <c r="R843" s="44" t="s">
        <v>49</v>
      </c>
      <c r="S843" s="101">
        <v>110</v>
      </c>
      <c r="T843" s="46" t="s">
        <v>5907</v>
      </c>
      <c r="U843" s="46" t="s">
        <v>4407</v>
      </c>
      <c r="V843" s="46" t="s">
        <v>4408</v>
      </c>
      <c r="W843" s="46" t="s">
        <v>335</v>
      </c>
      <c r="X843" s="47" t="s">
        <v>9310</v>
      </c>
      <c r="Y843" s="46" t="s">
        <v>5909</v>
      </c>
      <c r="Z843" s="46" t="s">
        <v>5910</v>
      </c>
      <c r="AA843" s="46" t="s">
        <v>5911</v>
      </c>
      <c r="AB843" s="47" t="s">
        <v>9310</v>
      </c>
      <c r="AC843" s="48" t="s">
        <v>5912</v>
      </c>
      <c r="AD843" s="30"/>
      <c r="AE843" s="197"/>
      <c r="AF843" s="47"/>
    </row>
    <row r="844" spans="1:32" s="29" customFormat="1" ht="69.95" hidden="1" customHeight="1">
      <c r="A844" s="29" t="s">
        <v>4474</v>
      </c>
      <c r="B844" s="29" t="s">
        <v>3769</v>
      </c>
      <c r="C844" s="40">
        <v>28</v>
      </c>
      <c r="D844" s="124" t="s">
        <v>9045</v>
      </c>
      <c r="E844" s="57" t="s">
        <v>8289</v>
      </c>
      <c r="F844" s="57" t="s">
        <v>8289</v>
      </c>
      <c r="G844" s="131" t="s">
        <v>9075</v>
      </c>
      <c r="H844" s="43" t="s">
        <v>9076</v>
      </c>
      <c r="J844" s="29">
        <f t="shared" si="49"/>
        <v>1</v>
      </c>
      <c r="K844" s="127">
        <v>837</v>
      </c>
      <c r="L844" s="123" t="s">
        <v>8947</v>
      </c>
      <c r="M844" s="44" t="s">
        <v>405</v>
      </c>
      <c r="N844" s="44" t="s">
        <v>8639</v>
      </c>
      <c r="O844" s="44" t="str">
        <f t="shared" ref="O844:O847" si="50">F844</f>
        <v>PE-L1-5C6-02</v>
      </c>
      <c r="P844" s="45">
        <v>4.57</v>
      </c>
      <c r="Q844" s="44">
        <v>400</v>
      </c>
      <c r="R844" s="44" t="s">
        <v>49</v>
      </c>
      <c r="S844" s="125">
        <v>80</v>
      </c>
      <c r="T844" s="46" t="s">
        <v>5907</v>
      </c>
      <c r="U844" s="122" t="s">
        <v>4516</v>
      </c>
      <c r="V844" s="122" t="s">
        <v>4517</v>
      </c>
      <c r="W844" s="46" t="s">
        <v>347</v>
      </c>
      <c r="X844" s="47" t="s">
        <v>9310</v>
      </c>
      <c r="Y844" s="46" t="s">
        <v>5913</v>
      </c>
      <c r="Z844" s="46" t="s">
        <v>5914</v>
      </c>
      <c r="AA844" s="46" t="s">
        <v>5911</v>
      </c>
      <c r="AB844" s="47" t="s">
        <v>9310</v>
      </c>
      <c r="AC844" s="76" t="s">
        <v>9026</v>
      </c>
      <c r="AD844" s="30"/>
      <c r="AE844" s="197"/>
      <c r="AF844" s="47"/>
    </row>
    <row r="845" spans="1:32" s="29" customFormat="1" ht="69.95" hidden="1" customHeight="1">
      <c r="A845" s="29" t="s">
        <v>393</v>
      </c>
      <c r="B845" s="29" t="s">
        <v>3769</v>
      </c>
      <c r="C845" s="40">
        <v>22</v>
      </c>
      <c r="D845" s="181" t="s">
        <v>9464</v>
      </c>
      <c r="E845" s="58" t="s">
        <v>8613</v>
      </c>
      <c r="F845" s="164" t="s">
        <v>8020</v>
      </c>
      <c r="G845" s="29" t="s">
        <v>1973</v>
      </c>
      <c r="J845" s="29">
        <f t="shared" si="49"/>
        <v>1</v>
      </c>
      <c r="K845" s="127">
        <v>838</v>
      </c>
      <c r="L845" s="43" t="s">
        <v>1974</v>
      </c>
      <c r="M845" s="44" t="s">
        <v>405</v>
      </c>
      <c r="N845" s="44" t="s">
        <v>8612</v>
      </c>
      <c r="O845" s="137" t="str">
        <f t="shared" si="50"/>
        <v>PE-L1-5C70/35-01</v>
      </c>
      <c r="P845" s="45">
        <v>61.75</v>
      </c>
      <c r="Q845" s="44">
        <v>400</v>
      </c>
      <c r="R845" s="44" t="s">
        <v>49</v>
      </c>
      <c r="S845" s="126">
        <v>130</v>
      </c>
      <c r="T845" s="46" t="s">
        <v>5907</v>
      </c>
      <c r="U845" s="46" t="s">
        <v>393</v>
      </c>
      <c r="V845" s="46" t="s">
        <v>394</v>
      </c>
      <c r="W845" s="46" t="s">
        <v>391</v>
      </c>
      <c r="X845" s="47" t="s">
        <v>9310</v>
      </c>
      <c r="Y845" s="46" t="s">
        <v>5915</v>
      </c>
      <c r="Z845" s="46" t="s">
        <v>5916</v>
      </c>
      <c r="AA845" s="46" t="s">
        <v>5917</v>
      </c>
      <c r="AB845" s="47" t="s">
        <v>9310</v>
      </c>
      <c r="AC845" s="76" t="s">
        <v>9232</v>
      </c>
      <c r="AD845" s="30"/>
      <c r="AE845" s="197"/>
      <c r="AF845" s="47"/>
    </row>
    <row r="846" spans="1:32" s="29" customFormat="1" ht="69.95" hidden="1" customHeight="1">
      <c r="A846" s="29" t="s">
        <v>5381</v>
      </c>
      <c r="B846" s="29" t="s">
        <v>3769</v>
      </c>
      <c r="C846" s="40" t="s">
        <v>40</v>
      </c>
      <c r="D846" s="40"/>
      <c r="E846" s="57" t="s">
        <v>8289</v>
      </c>
      <c r="F846" s="57" t="s">
        <v>8289</v>
      </c>
      <c r="G846" s="29" t="s">
        <v>1975</v>
      </c>
      <c r="J846" s="29">
        <f t="shared" si="49"/>
        <v>1</v>
      </c>
      <c r="K846" s="42">
        <v>839</v>
      </c>
      <c r="L846" s="43" t="s">
        <v>1976</v>
      </c>
      <c r="M846" s="44" t="s">
        <v>405</v>
      </c>
      <c r="N846" s="44" t="s">
        <v>1972</v>
      </c>
      <c r="O846" s="44" t="str">
        <f t="shared" si="50"/>
        <v>PE-L1-5C6-02</v>
      </c>
      <c r="P846" s="45">
        <v>8.15</v>
      </c>
      <c r="Q846" s="44">
        <v>400</v>
      </c>
      <c r="R846" s="44" t="s">
        <v>49</v>
      </c>
      <c r="S846" s="44">
        <v>100</v>
      </c>
      <c r="T846" s="46" t="s">
        <v>5907</v>
      </c>
      <c r="U846" s="46" t="s">
        <v>5381</v>
      </c>
      <c r="V846" s="46" t="s">
        <v>5382</v>
      </c>
      <c r="W846" s="46" t="s">
        <v>5376</v>
      </c>
      <c r="X846" s="47" t="s">
        <v>9310</v>
      </c>
      <c r="Y846" s="46" t="s">
        <v>5918</v>
      </c>
      <c r="Z846" s="46" t="s">
        <v>5919</v>
      </c>
      <c r="AA846" s="46" t="s">
        <v>5376</v>
      </c>
      <c r="AB846" s="47" t="s">
        <v>9310</v>
      </c>
      <c r="AC846" s="48" t="s">
        <v>5920</v>
      </c>
      <c r="AD846" s="30"/>
      <c r="AE846" s="197"/>
      <c r="AF846" s="47"/>
    </row>
    <row r="847" spans="1:32" s="29" customFormat="1" ht="69.95" hidden="1" customHeight="1">
      <c r="A847" s="29" t="s">
        <v>4407</v>
      </c>
      <c r="B847" s="29" t="s">
        <v>3769</v>
      </c>
      <c r="C847" s="40">
        <v>33</v>
      </c>
      <c r="D847" s="40"/>
      <c r="E847" s="57" t="s">
        <v>220</v>
      </c>
      <c r="F847" s="57" t="s">
        <v>220</v>
      </c>
      <c r="G847" s="29" t="s">
        <v>1977</v>
      </c>
      <c r="J847" s="29">
        <f t="shared" si="49"/>
        <v>1</v>
      </c>
      <c r="K847" s="42">
        <v>840</v>
      </c>
      <c r="L847" s="43" t="s">
        <v>1978</v>
      </c>
      <c r="M847" s="44" t="s">
        <v>405</v>
      </c>
      <c r="N847" s="44" t="s">
        <v>1972</v>
      </c>
      <c r="O847" s="44" t="str">
        <f t="shared" si="50"/>
        <v>PE-L1-5C6-01</v>
      </c>
      <c r="P847" s="45">
        <v>7.75</v>
      </c>
      <c r="Q847" s="44">
        <v>400</v>
      </c>
      <c r="R847" s="44" t="s">
        <v>49</v>
      </c>
      <c r="S847" s="44">
        <v>155</v>
      </c>
      <c r="T847" s="46" t="s">
        <v>5907</v>
      </c>
      <c r="U847" s="46" t="s">
        <v>4407</v>
      </c>
      <c r="V847" s="46" t="s">
        <v>4408</v>
      </c>
      <c r="W847" s="46" t="s">
        <v>335</v>
      </c>
      <c r="X847" s="47" t="s">
        <v>9310</v>
      </c>
      <c r="Y847" s="46" t="s">
        <v>5921</v>
      </c>
      <c r="Z847" s="46" t="s">
        <v>5922</v>
      </c>
      <c r="AA847" s="46" t="s">
        <v>3931</v>
      </c>
      <c r="AB847" s="47" t="s">
        <v>9310</v>
      </c>
      <c r="AC847" s="48" t="s">
        <v>5923</v>
      </c>
      <c r="AD847" s="30"/>
      <c r="AE847" s="197"/>
      <c r="AF847" s="47"/>
    </row>
    <row r="848" spans="1:32" s="29" customFormat="1" ht="69.95" hidden="1" customHeight="1">
      <c r="A848" s="29" t="s">
        <v>4439</v>
      </c>
      <c r="B848" s="29" t="s">
        <v>3769</v>
      </c>
      <c r="C848" s="40">
        <v>12</v>
      </c>
      <c r="D848" s="40"/>
      <c r="E848" s="57" t="s">
        <v>221</v>
      </c>
      <c r="F848" s="57" t="s">
        <v>221</v>
      </c>
      <c r="G848" s="29" t="s">
        <v>1979</v>
      </c>
      <c r="I848" s="124" t="s">
        <v>9121</v>
      </c>
      <c r="J848" s="29">
        <f t="shared" si="49"/>
        <v>1</v>
      </c>
      <c r="K848" s="42">
        <v>841</v>
      </c>
      <c r="L848" s="152" t="s">
        <v>1980</v>
      </c>
      <c r="M848" s="44" t="s">
        <v>405</v>
      </c>
      <c r="N848" s="44" t="s">
        <v>8641</v>
      </c>
      <c r="O848" s="101" t="str">
        <f>F848</f>
        <v>PE-L1-5C10-01</v>
      </c>
      <c r="P848" s="45">
        <v>7.75</v>
      </c>
      <c r="Q848" s="44">
        <v>400</v>
      </c>
      <c r="R848" s="44" t="s">
        <v>49</v>
      </c>
      <c r="S848" s="101">
        <v>210</v>
      </c>
      <c r="T848" s="46" t="s">
        <v>5907</v>
      </c>
      <c r="U848" s="46" t="s">
        <v>4439</v>
      </c>
      <c r="V848" s="46" t="s">
        <v>4440</v>
      </c>
      <c r="W848" s="46" t="s">
        <v>335</v>
      </c>
      <c r="X848" s="47" t="s">
        <v>9310</v>
      </c>
      <c r="Y848" s="46" t="s">
        <v>5924</v>
      </c>
      <c r="Z848" s="46" t="s">
        <v>5925</v>
      </c>
      <c r="AA848" s="46" t="s">
        <v>3968</v>
      </c>
      <c r="AB848" s="47" t="s">
        <v>9310</v>
      </c>
      <c r="AC848" s="48" t="s">
        <v>5926</v>
      </c>
      <c r="AD848" s="30"/>
      <c r="AE848" s="197"/>
      <c r="AF848" s="47"/>
    </row>
    <row r="849" spans="1:32" s="29" customFormat="1" ht="69.95" hidden="1" customHeight="1">
      <c r="A849" s="29" t="s">
        <v>4474</v>
      </c>
      <c r="B849" s="29" t="s">
        <v>3769</v>
      </c>
      <c r="C849" s="40">
        <v>29</v>
      </c>
      <c r="D849" s="40"/>
      <c r="E849" s="57" t="s">
        <v>8640</v>
      </c>
      <c r="F849" s="57" t="s">
        <v>8640</v>
      </c>
      <c r="G849" s="29" t="s">
        <v>1982</v>
      </c>
      <c r="J849" s="29">
        <f t="shared" si="49"/>
        <v>1</v>
      </c>
      <c r="K849" s="42">
        <v>842</v>
      </c>
      <c r="L849" s="43" t="s">
        <v>1983</v>
      </c>
      <c r="M849" s="44" t="s">
        <v>405</v>
      </c>
      <c r="N849" s="44" t="s">
        <v>1981</v>
      </c>
      <c r="O849" s="44" t="str">
        <f t="shared" ref="O849:O855" si="51">F849</f>
        <v>PE-L1-5C10-02</v>
      </c>
      <c r="P849" s="45">
        <v>7.75</v>
      </c>
      <c r="Q849" s="44">
        <v>400</v>
      </c>
      <c r="R849" s="44" t="s">
        <v>49</v>
      </c>
      <c r="S849" s="44">
        <v>150</v>
      </c>
      <c r="T849" s="46" t="s">
        <v>5907</v>
      </c>
      <c r="U849" s="46" t="s">
        <v>4474</v>
      </c>
      <c r="V849" s="46" t="s">
        <v>4475</v>
      </c>
      <c r="W849" s="46" t="s">
        <v>347</v>
      </c>
      <c r="X849" s="47" t="s">
        <v>9310</v>
      </c>
      <c r="Y849" s="46" t="s">
        <v>5927</v>
      </c>
      <c r="Z849" s="46" t="s">
        <v>5928</v>
      </c>
      <c r="AA849" s="46" t="s">
        <v>4003</v>
      </c>
      <c r="AB849" s="47" t="s">
        <v>9310</v>
      </c>
      <c r="AC849" s="48" t="s">
        <v>5929</v>
      </c>
      <c r="AD849" s="30"/>
      <c r="AE849" s="197"/>
      <c r="AF849" s="47"/>
    </row>
    <row r="850" spans="1:32" s="29" customFormat="1" ht="69.95" hidden="1" customHeight="1">
      <c r="A850" s="29" t="s">
        <v>4516</v>
      </c>
      <c r="B850" s="29" t="s">
        <v>3769</v>
      </c>
      <c r="C850" s="40">
        <v>10</v>
      </c>
      <c r="D850" s="40"/>
      <c r="E850" s="57" t="s">
        <v>8289</v>
      </c>
      <c r="F850" s="57" t="s">
        <v>8289</v>
      </c>
      <c r="G850" s="29" t="s">
        <v>1984</v>
      </c>
      <c r="J850" s="29">
        <f t="shared" si="49"/>
        <v>1</v>
      </c>
      <c r="K850" s="42">
        <v>843</v>
      </c>
      <c r="L850" s="43" t="s">
        <v>1985</v>
      </c>
      <c r="M850" s="44" t="s">
        <v>405</v>
      </c>
      <c r="N850" s="44" t="s">
        <v>1972</v>
      </c>
      <c r="O850" s="44" t="str">
        <f t="shared" si="51"/>
        <v>PE-L1-5C6-02</v>
      </c>
      <c r="P850" s="45">
        <v>7.75</v>
      </c>
      <c r="Q850" s="44">
        <v>400</v>
      </c>
      <c r="R850" s="44" t="s">
        <v>49</v>
      </c>
      <c r="S850" s="44">
        <v>70</v>
      </c>
      <c r="T850" s="46" t="s">
        <v>5907</v>
      </c>
      <c r="U850" s="46" t="s">
        <v>4516</v>
      </c>
      <c r="V850" s="46" t="s">
        <v>4517</v>
      </c>
      <c r="W850" s="46" t="s">
        <v>347</v>
      </c>
      <c r="X850" s="47" t="s">
        <v>9310</v>
      </c>
      <c r="Y850" s="46" t="s">
        <v>5930</v>
      </c>
      <c r="Z850" s="46" t="s">
        <v>5931</v>
      </c>
      <c r="AA850" s="46" t="s">
        <v>401</v>
      </c>
      <c r="AB850" s="47" t="s">
        <v>9310</v>
      </c>
      <c r="AC850" s="48" t="s">
        <v>5932</v>
      </c>
      <c r="AD850" s="30"/>
      <c r="AE850" s="197"/>
      <c r="AF850" s="47"/>
    </row>
    <row r="851" spans="1:32" s="29" customFormat="1" ht="69.95" hidden="1" customHeight="1">
      <c r="A851" s="29" t="s">
        <v>4407</v>
      </c>
      <c r="B851" s="29" t="s">
        <v>3769</v>
      </c>
      <c r="C851" s="40">
        <v>34</v>
      </c>
      <c r="D851" s="124" t="s">
        <v>9045</v>
      </c>
      <c r="E851" s="57" t="s">
        <v>222</v>
      </c>
      <c r="F851" s="57" t="s">
        <v>222</v>
      </c>
      <c r="G851" s="131" t="s">
        <v>9077</v>
      </c>
      <c r="H851" s="43" t="s">
        <v>9078</v>
      </c>
      <c r="J851" s="29">
        <f t="shared" si="49"/>
        <v>1</v>
      </c>
      <c r="K851" s="127">
        <v>844</v>
      </c>
      <c r="L851" s="123" t="s">
        <v>8948</v>
      </c>
      <c r="M851" s="44" t="s">
        <v>405</v>
      </c>
      <c r="N851" s="44" t="s">
        <v>1986</v>
      </c>
      <c r="O851" s="44" t="str">
        <f t="shared" si="51"/>
        <v>PE-L1-5C16-01</v>
      </c>
      <c r="P851" s="45">
        <v>9.5500000000000007</v>
      </c>
      <c r="Q851" s="44">
        <v>400</v>
      </c>
      <c r="R851" s="44" t="s">
        <v>49</v>
      </c>
      <c r="S851" s="126">
        <v>280</v>
      </c>
      <c r="T851" s="46" t="s">
        <v>5907</v>
      </c>
      <c r="U851" s="122" t="s">
        <v>4412</v>
      </c>
      <c r="V851" s="122" t="s">
        <v>4413</v>
      </c>
      <c r="W851" s="46" t="s">
        <v>335</v>
      </c>
      <c r="X851" s="47" t="s">
        <v>9310</v>
      </c>
      <c r="Y851" s="46" t="s">
        <v>5933</v>
      </c>
      <c r="Z851" s="46" t="s">
        <v>5934</v>
      </c>
      <c r="AA851" s="46" t="s">
        <v>4410</v>
      </c>
      <c r="AB851" s="47" t="s">
        <v>9310</v>
      </c>
      <c r="AC851" s="76" t="s">
        <v>9027</v>
      </c>
      <c r="AD851" s="30"/>
      <c r="AE851" s="197"/>
      <c r="AF851" s="47"/>
    </row>
    <row r="852" spans="1:32" s="29" customFormat="1" ht="69.95" hidden="1" customHeight="1">
      <c r="A852" s="29" t="s">
        <v>4444</v>
      </c>
      <c r="B852" s="29" t="s">
        <v>3769</v>
      </c>
      <c r="C852" s="40">
        <v>12</v>
      </c>
      <c r="D852" s="40"/>
      <c r="E852" s="57" t="s">
        <v>222</v>
      </c>
      <c r="F852" s="57" t="s">
        <v>222</v>
      </c>
      <c r="G852" s="29" t="s">
        <v>1987</v>
      </c>
      <c r="J852" s="29">
        <f t="shared" si="49"/>
        <v>1</v>
      </c>
      <c r="K852" s="42">
        <v>845</v>
      </c>
      <c r="L852" s="43" t="s">
        <v>1988</v>
      </c>
      <c r="M852" s="44" t="s">
        <v>405</v>
      </c>
      <c r="N852" s="44" t="s">
        <v>1986</v>
      </c>
      <c r="O852" s="44" t="str">
        <f t="shared" si="51"/>
        <v>PE-L1-5C16-01</v>
      </c>
      <c r="P852" s="45">
        <v>9.5500000000000007</v>
      </c>
      <c r="Q852" s="44">
        <v>400</v>
      </c>
      <c r="R852" s="44" t="s">
        <v>49</v>
      </c>
      <c r="S852" s="44">
        <v>340</v>
      </c>
      <c r="T852" s="46" t="s">
        <v>5907</v>
      </c>
      <c r="U852" s="46" t="s">
        <v>4444</v>
      </c>
      <c r="V852" s="46" t="s">
        <v>4445</v>
      </c>
      <c r="W852" s="46" t="s">
        <v>335</v>
      </c>
      <c r="X852" s="47" t="s">
        <v>9310</v>
      </c>
      <c r="Y852" s="46" t="s">
        <v>5935</v>
      </c>
      <c r="Z852" s="46" t="s">
        <v>5936</v>
      </c>
      <c r="AA852" s="46" t="s">
        <v>4443</v>
      </c>
      <c r="AB852" s="47" t="s">
        <v>9310</v>
      </c>
      <c r="AC852" s="48" t="s">
        <v>5937</v>
      </c>
      <c r="AD852" s="30"/>
      <c r="AE852" s="197"/>
      <c r="AF852" s="47"/>
    </row>
    <row r="853" spans="1:32" s="29" customFormat="1" ht="69.95" hidden="1" customHeight="1">
      <c r="A853" s="29" t="s">
        <v>4474</v>
      </c>
      <c r="B853" s="29" t="s">
        <v>3769</v>
      </c>
      <c r="C853" s="40">
        <v>30</v>
      </c>
      <c r="D853" s="40"/>
      <c r="E853" s="56" t="s">
        <v>222</v>
      </c>
      <c r="F853" s="56" t="s">
        <v>222</v>
      </c>
      <c r="G853" s="29" t="s">
        <v>1989</v>
      </c>
      <c r="J853" s="29">
        <f t="shared" si="49"/>
        <v>1</v>
      </c>
      <c r="K853" s="42">
        <v>846</v>
      </c>
      <c r="L853" s="43" t="s">
        <v>1990</v>
      </c>
      <c r="M853" s="44" t="s">
        <v>405</v>
      </c>
      <c r="N853" s="44" t="s">
        <v>1986</v>
      </c>
      <c r="O853" s="44" t="str">
        <f t="shared" si="51"/>
        <v>PE-L1-5C16-01</v>
      </c>
      <c r="P853" s="45">
        <v>9.5500000000000007</v>
      </c>
      <c r="Q853" s="44">
        <v>400</v>
      </c>
      <c r="R853" s="44" t="s">
        <v>49</v>
      </c>
      <c r="S853" s="44">
        <v>310</v>
      </c>
      <c r="T853" s="46" t="s">
        <v>5907</v>
      </c>
      <c r="U853" s="46" t="s">
        <v>4474</v>
      </c>
      <c r="V853" s="46" t="s">
        <v>4475</v>
      </c>
      <c r="W853" s="46" t="s">
        <v>347</v>
      </c>
      <c r="X853" s="47" t="s">
        <v>9310</v>
      </c>
      <c r="Y853" s="46" t="s">
        <v>5938</v>
      </c>
      <c r="Z853" s="46" t="s">
        <v>5939</v>
      </c>
      <c r="AA853" s="46" t="s">
        <v>4478</v>
      </c>
      <c r="AB853" s="47" t="s">
        <v>9310</v>
      </c>
      <c r="AC853" s="48" t="s">
        <v>5940</v>
      </c>
      <c r="AD853" s="30"/>
      <c r="AE853" s="197"/>
      <c r="AF853" s="47"/>
    </row>
    <row r="854" spans="1:32" s="29" customFormat="1" ht="69.95" hidden="1" customHeight="1">
      <c r="A854" s="29" t="s">
        <v>4516</v>
      </c>
      <c r="B854" s="29" t="s">
        <v>3769</v>
      </c>
      <c r="C854" s="40">
        <v>11</v>
      </c>
      <c r="D854" s="40"/>
      <c r="E854" s="57" t="s">
        <v>223</v>
      </c>
      <c r="F854" s="57" t="s">
        <v>223</v>
      </c>
      <c r="G854" s="29" t="s">
        <v>1991</v>
      </c>
      <c r="J854" s="29">
        <f t="shared" si="49"/>
        <v>1</v>
      </c>
      <c r="K854" s="42">
        <v>847</v>
      </c>
      <c r="L854" s="43" t="s">
        <v>1992</v>
      </c>
      <c r="M854" s="44" t="s">
        <v>405</v>
      </c>
      <c r="N854" s="44" t="s">
        <v>1986</v>
      </c>
      <c r="O854" s="44" t="str">
        <f t="shared" si="51"/>
        <v>PE-L1-5C16-02</v>
      </c>
      <c r="P854" s="45">
        <v>9.5500000000000007</v>
      </c>
      <c r="Q854" s="44">
        <v>400</v>
      </c>
      <c r="R854" s="44" t="s">
        <v>49</v>
      </c>
      <c r="S854" s="44">
        <v>250</v>
      </c>
      <c r="T854" s="46" t="s">
        <v>5907</v>
      </c>
      <c r="U854" s="46" t="s">
        <v>4516</v>
      </c>
      <c r="V854" s="46" t="s">
        <v>4517</v>
      </c>
      <c r="W854" s="46" t="s">
        <v>347</v>
      </c>
      <c r="X854" s="47" t="s">
        <v>9310</v>
      </c>
      <c r="Y854" s="46" t="s">
        <v>5941</v>
      </c>
      <c r="Z854" s="46" t="s">
        <v>5942</v>
      </c>
      <c r="AA854" s="46" t="s">
        <v>4514</v>
      </c>
      <c r="AB854" s="47" t="s">
        <v>9310</v>
      </c>
      <c r="AC854" s="48" t="s">
        <v>5943</v>
      </c>
      <c r="AD854" s="30"/>
      <c r="AE854" s="197"/>
      <c r="AF854" s="47"/>
    </row>
    <row r="855" spans="1:32" s="29" customFormat="1" ht="69.95" hidden="1" customHeight="1">
      <c r="A855" s="29" t="s">
        <v>4775</v>
      </c>
      <c r="B855" s="29" t="s">
        <v>3769</v>
      </c>
      <c r="C855" s="40">
        <v>11</v>
      </c>
      <c r="D855" s="40"/>
      <c r="E855" s="57" t="s">
        <v>72</v>
      </c>
      <c r="F855" s="57" t="s">
        <v>72</v>
      </c>
      <c r="G855" s="29" t="s">
        <v>1993</v>
      </c>
      <c r="J855" s="29">
        <f t="shared" si="49"/>
        <v>1</v>
      </c>
      <c r="K855" s="42">
        <v>848</v>
      </c>
      <c r="L855" s="43" t="s">
        <v>1994</v>
      </c>
      <c r="M855" s="44" t="s">
        <v>405</v>
      </c>
      <c r="N855" s="44" t="s">
        <v>566</v>
      </c>
      <c r="O855" s="44" t="str">
        <f t="shared" si="51"/>
        <v>PE-L1-5C4-01</v>
      </c>
      <c r="P855" s="45">
        <v>9.5500000000000007</v>
      </c>
      <c r="Q855" s="44">
        <v>400</v>
      </c>
      <c r="R855" s="44" t="s">
        <v>49</v>
      </c>
      <c r="S855" s="44">
        <v>80</v>
      </c>
      <c r="T855" s="46" t="s">
        <v>5907</v>
      </c>
      <c r="U855" s="46" t="s">
        <v>4775</v>
      </c>
      <c r="V855" s="46" t="s">
        <v>4776</v>
      </c>
      <c r="W855" s="46" t="s">
        <v>4549</v>
      </c>
      <c r="X855" s="47" t="s">
        <v>9310</v>
      </c>
      <c r="Y855" s="46" t="s">
        <v>5944</v>
      </c>
      <c r="Z855" s="46" t="s">
        <v>5945</v>
      </c>
      <c r="AA855" s="46" t="s">
        <v>4549</v>
      </c>
      <c r="AB855" s="47" t="s">
        <v>9310</v>
      </c>
      <c r="AC855" s="48" t="s">
        <v>5946</v>
      </c>
      <c r="AD855" s="30"/>
      <c r="AE855" s="197"/>
      <c r="AF855" s="47"/>
    </row>
    <row r="856" spans="1:32" s="29" customFormat="1" ht="69.95" hidden="1" customHeight="1">
      <c r="A856" s="29" t="s">
        <v>4978</v>
      </c>
      <c r="B856" s="29" t="s">
        <v>3769</v>
      </c>
      <c r="C856" s="40">
        <v>12</v>
      </c>
      <c r="D856" s="40"/>
      <c r="E856" s="94" t="s">
        <v>8756</v>
      </c>
      <c r="F856" s="94" t="s">
        <v>8756</v>
      </c>
      <c r="G856" s="29" t="s">
        <v>1995</v>
      </c>
      <c r="J856" s="29">
        <f t="shared" si="49"/>
        <v>1</v>
      </c>
      <c r="K856" s="42">
        <v>849</v>
      </c>
      <c r="L856" s="43" t="s">
        <v>1996</v>
      </c>
      <c r="M856" s="44" t="s">
        <v>405</v>
      </c>
      <c r="N856" s="44" t="s">
        <v>566</v>
      </c>
      <c r="O856" s="90" t="str">
        <f>F856</f>
        <v>PE-L1-5C4-03</v>
      </c>
      <c r="P856" s="45">
        <v>9.5500000000000007</v>
      </c>
      <c r="Q856" s="44">
        <v>400</v>
      </c>
      <c r="R856" s="44" t="s">
        <v>49</v>
      </c>
      <c r="S856" s="44">
        <v>50</v>
      </c>
      <c r="T856" s="46" t="s">
        <v>5907</v>
      </c>
      <c r="U856" s="46" t="s">
        <v>4978</v>
      </c>
      <c r="V856" s="46" t="s">
        <v>4979</v>
      </c>
      <c r="W856" s="46" t="s">
        <v>4549</v>
      </c>
      <c r="X856" s="47" t="s">
        <v>9310</v>
      </c>
      <c r="Y856" s="46" t="s">
        <v>5947</v>
      </c>
      <c r="Z856" s="46" t="s">
        <v>5948</v>
      </c>
      <c r="AA856" s="46" t="s">
        <v>4549</v>
      </c>
      <c r="AB856" s="47" t="s">
        <v>9310</v>
      </c>
      <c r="AC856" s="48" t="s">
        <v>5949</v>
      </c>
      <c r="AD856" s="30"/>
      <c r="AE856" s="197"/>
      <c r="AF856" s="47"/>
    </row>
    <row r="857" spans="1:32" s="29" customFormat="1" ht="69.95" hidden="1" customHeight="1">
      <c r="A857" s="29" t="s">
        <v>4407</v>
      </c>
      <c r="B857" s="29" t="s">
        <v>3769</v>
      </c>
      <c r="C857" s="40">
        <v>35</v>
      </c>
      <c r="D857" s="124" t="s">
        <v>9045</v>
      </c>
      <c r="E857" s="57" t="s">
        <v>220</v>
      </c>
      <c r="F857" s="57" t="s">
        <v>220</v>
      </c>
      <c r="G857" s="131" t="s">
        <v>9079</v>
      </c>
      <c r="H857" s="43" t="s">
        <v>9080</v>
      </c>
      <c r="J857" s="29">
        <f t="shared" si="49"/>
        <v>1</v>
      </c>
      <c r="K857" s="127">
        <v>850</v>
      </c>
      <c r="L857" s="123" t="s">
        <v>8949</v>
      </c>
      <c r="M857" s="44" t="s">
        <v>405</v>
      </c>
      <c r="N857" s="44" t="s">
        <v>1972</v>
      </c>
      <c r="O857" s="44" t="str">
        <f t="shared" ref="O857:O910" si="52">F857</f>
        <v>PE-L1-5C6-01</v>
      </c>
      <c r="P857" s="45">
        <v>3.97</v>
      </c>
      <c r="Q857" s="44">
        <v>400</v>
      </c>
      <c r="R857" s="44" t="s">
        <v>49</v>
      </c>
      <c r="S857" s="44">
        <v>255</v>
      </c>
      <c r="T857" s="46" t="s">
        <v>5907</v>
      </c>
      <c r="U857" s="122" t="s">
        <v>4412</v>
      </c>
      <c r="V857" s="122" t="s">
        <v>4413</v>
      </c>
      <c r="W857" s="46" t="s">
        <v>335</v>
      </c>
      <c r="X857" s="47" t="s">
        <v>9310</v>
      </c>
      <c r="Y857" s="46" t="s">
        <v>5950</v>
      </c>
      <c r="Z857" s="46" t="s">
        <v>5951</v>
      </c>
      <c r="AA857" s="46" t="s">
        <v>5952</v>
      </c>
      <c r="AB857" s="47" t="s">
        <v>9310</v>
      </c>
      <c r="AC857" s="76" t="s">
        <v>9048</v>
      </c>
      <c r="AD857" s="30"/>
      <c r="AE857" s="197"/>
      <c r="AF857" s="47"/>
    </row>
    <row r="858" spans="1:32" s="29" customFormat="1" ht="69.95" hidden="1" customHeight="1">
      <c r="A858" s="29" t="s">
        <v>4439</v>
      </c>
      <c r="B858" s="29" t="s">
        <v>3769</v>
      </c>
      <c r="C858" s="40">
        <v>13</v>
      </c>
      <c r="D858" s="40"/>
      <c r="E858" s="57" t="s">
        <v>221</v>
      </c>
      <c r="F858" s="57" t="s">
        <v>221</v>
      </c>
      <c r="G858" s="29" t="s">
        <v>1997</v>
      </c>
      <c r="J858" s="29">
        <f t="shared" si="49"/>
        <v>1</v>
      </c>
      <c r="K858" s="42">
        <v>851</v>
      </c>
      <c r="L858" s="43" t="s">
        <v>1998</v>
      </c>
      <c r="M858" s="44" t="s">
        <v>405</v>
      </c>
      <c r="N858" s="44" t="s">
        <v>1981</v>
      </c>
      <c r="O858" s="44" t="str">
        <f t="shared" si="52"/>
        <v>PE-L1-5C10-01</v>
      </c>
      <c r="P858" s="45">
        <v>3.97</v>
      </c>
      <c r="Q858" s="44">
        <v>400</v>
      </c>
      <c r="R858" s="44" t="s">
        <v>49</v>
      </c>
      <c r="S858" s="44">
        <v>350</v>
      </c>
      <c r="T858" s="46" t="s">
        <v>5907</v>
      </c>
      <c r="U858" s="46" t="s">
        <v>4439</v>
      </c>
      <c r="V858" s="46" t="s">
        <v>4440</v>
      </c>
      <c r="W858" s="46" t="s">
        <v>335</v>
      </c>
      <c r="X858" s="47" t="s">
        <v>9310</v>
      </c>
      <c r="Y858" s="46" t="s">
        <v>5953</v>
      </c>
      <c r="Z858" s="46" t="s">
        <v>5954</v>
      </c>
      <c r="AA858" s="46" t="s">
        <v>5955</v>
      </c>
      <c r="AB858" s="47" t="s">
        <v>9310</v>
      </c>
      <c r="AC858" s="48" t="s">
        <v>5956</v>
      </c>
      <c r="AD858" s="30"/>
      <c r="AE858" s="197"/>
      <c r="AF858" s="47"/>
    </row>
    <row r="859" spans="1:32" s="29" customFormat="1" ht="69.95" hidden="1" customHeight="1">
      <c r="A859" s="29" t="s">
        <v>4474</v>
      </c>
      <c r="B859" s="29" t="s">
        <v>3769</v>
      </c>
      <c r="C859" s="40">
        <v>31</v>
      </c>
      <c r="D859" s="124" t="s">
        <v>9045</v>
      </c>
      <c r="E859" s="57" t="s">
        <v>8640</v>
      </c>
      <c r="F859" s="57" t="s">
        <v>8640</v>
      </c>
      <c r="G859" s="131" t="s">
        <v>9081</v>
      </c>
      <c r="H859" s="43" t="s">
        <v>9082</v>
      </c>
      <c r="J859" s="29">
        <f t="shared" si="49"/>
        <v>1</v>
      </c>
      <c r="K859" s="127">
        <v>852</v>
      </c>
      <c r="L859" s="123" t="s">
        <v>8950</v>
      </c>
      <c r="M859" s="44" t="s">
        <v>405</v>
      </c>
      <c r="N859" s="44" t="s">
        <v>1981</v>
      </c>
      <c r="O859" s="44" t="str">
        <f t="shared" si="52"/>
        <v>PE-L1-5C10-02</v>
      </c>
      <c r="P859" s="45">
        <v>3.97</v>
      </c>
      <c r="Q859" s="44">
        <v>400</v>
      </c>
      <c r="R859" s="44" t="s">
        <v>49</v>
      </c>
      <c r="S859" s="126">
        <v>310</v>
      </c>
      <c r="T859" s="46" t="s">
        <v>5907</v>
      </c>
      <c r="U859" s="122" t="s">
        <v>4516</v>
      </c>
      <c r="V859" s="122" t="s">
        <v>4517</v>
      </c>
      <c r="W859" s="46" t="s">
        <v>347</v>
      </c>
      <c r="X859" s="47" t="s">
        <v>9310</v>
      </c>
      <c r="Y859" s="46" t="s">
        <v>5957</v>
      </c>
      <c r="Z859" s="46" t="s">
        <v>5958</v>
      </c>
      <c r="AA859" s="46" t="s">
        <v>5959</v>
      </c>
      <c r="AB859" s="47" t="s">
        <v>9310</v>
      </c>
      <c r="AC859" s="76" t="s">
        <v>9028</v>
      </c>
      <c r="AD859" s="30"/>
      <c r="AE859" s="197"/>
      <c r="AF859" s="47"/>
    </row>
    <row r="860" spans="1:32" s="29" customFormat="1" ht="69.95" hidden="1" customHeight="1">
      <c r="A860" s="29" t="s">
        <v>4516</v>
      </c>
      <c r="B860" s="29" t="s">
        <v>3769</v>
      </c>
      <c r="C860" s="40">
        <v>12</v>
      </c>
      <c r="D860" s="40"/>
      <c r="E860" s="57" t="s">
        <v>8289</v>
      </c>
      <c r="F860" s="57" t="s">
        <v>8289</v>
      </c>
      <c r="G860" s="29" t="s">
        <v>1999</v>
      </c>
      <c r="J860" s="29">
        <f t="shared" si="49"/>
        <v>1</v>
      </c>
      <c r="K860" s="42">
        <v>853</v>
      </c>
      <c r="L860" s="43" t="s">
        <v>2000</v>
      </c>
      <c r="M860" s="44" t="s">
        <v>405</v>
      </c>
      <c r="N860" s="44" t="s">
        <v>1972</v>
      </c>
      <c r="O860" s="44" t="str">
        <f t="shared" si="52"/>
        <v>PE-L1-5C6-02</v>
      </c>
      <c r="P860" s="45">
        <v>3.97</v>
      </c>
      <c r="Q860" s="44">
        <v>400</v>
      </c>
      <c r="R860" s="44" t="s">
        <v>49</v>
      </c>
      <c r="S860" s="44">
        <v>220</v>
      </c>
      <c r="T860" s="46" t="s">
        <v>5907</v>
      </c>
      <c r="U860" s="46" t="s">
        <v>4516</v>
      </c>
      <c r="V860" s="46" t="s">
        <v>4517</v>
      </c>
      <c r="W860" s="46" t="s">
        <v>347</v>
      </c>
      <c r="X860" s="47" t="s">
        <v>9310</v>
      </c>
      <c r="Y860" s="46" t="s">
        <v>5960</v>
      </c>
      <c r="Z860" s="46" t="s">
        <v>5961</v>
      </c>
      <c r="AA860" s="46" t="s">
        <v>5962</v>
      </c>
      <c r="AB860" s="47" t="s">
        <v>9310</v>
      </c>
      <c r="AC860" s="48" t="s">
        <v>5963</v>
      </c>
      <c r="AD860" s="30"/>
      <c r="AE860" s="197"/>
      <c r="AF860" s="47"/>
    </row>
    <row r="861" spans="1:32" s="29" customFormat="1" ht="69.95" hidden="1" customHeight="1">
      <c r="A861" s="29" t="s">
        <v>5159</v>
      </c>
      <c r="B861" s="29" t="s">
        <v>3769</v>
      </c>
      <c r="C861" s="40">
        <v>27</v>
      </c>
      <c r="D861" s="40"/>
      <c r="E861" s="57" t="s">
        <v>223</v>
      </c>
      <c r="F861" s="57" t="s">
        <v>223</v>
      </c>
      <c r="G861" s="29" t="s">
        <v>2001</v>
      </c>
      <c r="H861" s="124" t="s">
        <v>9509</v>
      </c>
      <c r="I861" s="124" t="s">
        <v>9121</v>
      </c>
      <c r="J861" s="29">
        <f t="shared" si="49"/>
        <v>1</v>
      </c>
      <c r="K861" s="42">
        <v>854</v>
      </c>
      <c r="L861" s="152" t="s">
        <v>2002</v>
      </c>
      <c r="M861" s="44" t="s">
        <v>405</v>
      </c>
      <c r="N861" s="44" t="s">
        <v>1986</v>
      </c>
      <c r="O861" s="101" t="str">
        <f t="shared" si="52"/>
        <v>PE-L1-5C16-02</v>
      </c>
      <c r="P861" s="45">
        <v>7.75</v>
      </c>
      <c r="Q861" s="44">
        <v>400</v>
      </c>
      <c r="R861" s="44" t="s">
        <v>49</v>
      </c>
      <c r="S861" s="101">
        <v>350</v>
      </c>
      <c r="T861" s="46" t="s">
        <v>5907</v>
      </c>
      <c r="U861" s="46" t="s">
        <v>5159</v>
      </c>
      <c r="V861" s="46" t="s">
        <v>5160</v>
      </c>
      <c r="W861" s="46" t="s">
        <v>5154</v>
      </c>
      <c r="X861" s="47" t="s">
        <v>9310</v>
      </c>
      <c r="Y861" s="46" t="s">
        <v>5964</v>
      </c>
      <c r="Z861" s="46" t="s">
        <v>5965</v>
      </c>
      <c r="AA861" s="46" t="s">
        <v>5173</v>
      </c>
      <c r="AB861" s="47" t="s">
        <v>9310</v>
      </c>
      <c r="AC861" s="48" t="s">
        <v>5966</v>
      </c>
      <c r="AD861" s="30"/>
      <c r="AE861" s="197"/>
      <c r="AF861" s="47"/>
    </row>
    <row r="862" spans="1:32" s="29" customFormat="1" ht="69.95" hidden="1" customHeight="1">
      <c r="A862" s="29" t="s">
        <v>5159</v>
      </c>
      <c r="B862" s="29" t="s">
        <v>3769</v>
      </c>
      <c r="C862" s="40">
        <v>28</v>
      </c>
      <c r="D862" s="40"/>
      <c r="E862" s="57" t="s">
        <v>221</v>
      </c>
      <c r="F862" s="57" t="s">
        <v>221</v>
      </c>
      <c r="G862" s="29" t="s">
        <v>2003</v>
      </c>
      <c r="J862" s="29">
        <f t="shared" si="49"/>
        <v>1</v>
      </c>
      <c r="K862" s="42">
        <v>855</v>
      </c>
      <c r="L862" s="43" t="s">
        <v>2004</v>
      </c>
      <c r="M862" s="44" t="s">
        <v>405</v>
      </c>
      <c r="N862" s="44" t="s">
        <v>1981</v>
      </c>
      <c r="O862" s="44" t="str">
        <f t="shared" si="52"/>
        <v>PE-L1-5C10-01</v>
      </c>
      <c r="P862" s="45">
        <v>5.19</v>
      </c>
      <c r="Q862" s="44">
        <v>400</v>
      </c>
      <c r="R862" s="44" t="s">
        <v>49</v>
      </c>
      <c r="S862" s="44">
        <v>180</v>
      </c>
      <c r="T862" s="46" t="s">
        <v>5907</v>
      </c>
      <c r="U862" s="46" t="s">
        <v>5159</v>
      </c>
      <c r="V862" s="46" t="s">
        <v>5160</v>
      </c>
      <c r="W862" s="46" t="s">
        <v>5154</v>
      </c>
      <c r="X862" s="47" t="s">
        <v>9310</v>
      </c>
      <c r="Y862" s="46" t="s">
        <v>5967</v>
      </c>
      <c r="Z862" s="46" t="s">
        <v>5968</v>
      </c>
      <c r="AA862" s="46" t="s">
        <v>5185</v>
      </c>
      <c r="AB862" s="47" t="s">
        <v>9310</v>
      </c>
      <c r="AC862" s="48" t="s">
        <v>5969</v>
      </c>
      <c r="AD862" s="30"/>
      <c r="AE862" s="197"/>
      <c r="AF862" s="47"/>
    </row>
    <row r="863" spans="1:32" s="29" customFormat="1" ht="69.95" hidden="1" customHeight="1">
      <c r="A863" s="29" t="s">
        <v>5159</v>
      </c>
      <c r="B863" s="29" t="s">
        <v>3769</v>
      </c>
      <c r="C863" s="40">
        <v>29</v>
      </c>
      <c r="D863" s="40"/>
      <c r="E863" s="57" t="s">
        <v>221</v>
      </c>
      <c r="F863" s="57" t="s">
        <v>221</v>
      </c>
      <c r="G863" s="29" t="s">
        <v>2005</v>
      </c>
      <c r="H863" s="124" t="s">
        <v>9563</v>
      </c>
      <c r="I863" s="124" t="s">
        <v>9121</v>
      </c>
      <c r="J863" s="29">
        <f t="shared" si="49"/>
        <v>1</v>
      </c>
      <c r="K863" s="42">
        <v>856</v>
      </c>
      <c r="L863" s="152" t="s">
        <v>2006</v>
      </c>
      <c r="M863" s="44" t="s">
        <v>405</v>
      </c>
      <c r="N863" s="44" t="s">
        <v>1981</v>
      </c>
      <c r="O863" s="101" t="str">
        <f t="shared" si="52"/>
        <v>PE-L1-5C10-01</v>
      </c>
      <c r="P863" s="45">
        <v>7.75</v>
      </c>
      <c r="Q863" s="44">
        <v>400</v>
      </c>
      <c r="R863" s="44" t="s">
        <v>49</v>
      </c>
      <c r="S863" s="101">
        <v>210</v>
      </c>
      <c r="T863" s="46" t="s">
        <v>5907</v>
      </c>
      <c r="U863" s="46" t="s">
        <v>5159</v>
      </c>
      <c r="V863" s="46" t="s">
        <v>5160</v>
      </c>
      <c r="W863" s="46" t="s">
        <v>5154</v>
      </c>
      <c r="X863" s="47" t="s">
        <v>9310</v>
      </c>
      <c r="Y863" s="46" t="s">
        <v>5970</v>
      </c>
      <c r="Z863" s="46" t="s">
        <v>5971</v>
      </c>
      <c r="AA863" s="46" t="s">
        <v>5157</v>
      </c>
      <c r="AB863" s="47" t="s">
        <v>9310</v>
      </c>
      <c r="AC863" s="48" t="s">
        <v>5972</v>
      </c>
      <c r="AD863" s="30"/>
      <c r="AE863" s="197"/>
      <c r="AF863" s="47"/>
    </row>
    <row r="864" spans="1:32" s="29" customFormat="1" ht="69.95" hidden="1" customHeight="1">
      <c r="A864" s="29" t="s">
        <v>4412</v>
      </c>
      <c r="B864" s="29" t="s">
        <v>3769</v>
      </c>
      <c r="C864" s="40">
        <v>27</v>
      </c>
      <c r="D864" s="40"/>
      <c r="E864" s="57" t="s">
        <v>221</v>
      </c>
      <c r="F864" s="57" t="s">
        <v>221</v>
      </c>
      <c r="G864" s="29" t="s">
        <v>2007</v>
      </c>
      <c r="H864" s="124" t="s">
        <v>9445</v>
      </c>
      <c r="I864" s="124" t="s">
        <v>9121</v>
      </c>
      <c r="J864" s="29">
        <f t="shared" si="49"/>
        <v>1</v>
      </c>
      <c r="K864" s="42">
        <v>857</v>
      </c>
      <c r="L864" s="152" t="s">
        <v>2008</v>
      </c>
      <c r="M864" s="44" t="s">
        <v>405</v>
      </c>
      <c r="N864" s="44" t="s">
        <v>1981</v>
      </c>
      <c r="O864" s="101" t="str">
        <f t="shared" si="52"/>
        <v>PE-L1-5C10-01</v>
      </c>
      <c r="P864" s="45">
        <v>7.75</v>
      </c>
      <c r="Q864" s="44">
        <v>400</v>
      </c>
      <c r="R864" s="44" t="s">
        <v>49</v>
      </c>
      <c r="S864" s="101">
        <v>180</v>
      </c>
      <c r="T864" s="46" t="s">
        <v>5907</v>
      </c>
      <c r="U864" s="46" t="s">
        <v>4412</v>
      </c>
      <c r="V864" s="46" t="s">
        <v>4413</v>
      </c>
      <c r="W864" s="46" t="s">
        <v>335</v>
      </c>
      <c r="X864" s="47" t="s">
        <v>9310</v>
      </c>
      <c r="Y864" s="46" t="s">
        <v>5973</v>
      </c>
      <c r="Z864" s="46" t="s">
        <v>5974</v>
      </c>
      <c r="AA864" s="46" t="s">
        <v>5526</v>
      </c>
      <c r="AB864" s="47" t="s">
        <v>9310</v>
      </c>
      <c r="AC864" s="48" t="s">
        <v>5975</v>
      </c>
      <c r="AD864" s="30"/>
      <c r="AE864" s="197"/>
      <c r="AF864" s="47"/>
    </row>
    <row r="865" spans="1:32" s="29" customFormat="1" ht="69.95" hidden="1" customHeight="1">
      <c r="A865" s="29" t="s">
        <v>4474</v>
      </c>
      <c r="B865" s="29" t="s">
        <v>3769</v>
      </c>
      <c r="C865" s="40">
        <v>32</v>
      </c>
      <c r="D865" s="40"/>
      <c r="E865" s="57" t="s">
        <v>8289</v>
      </c>
      <c r="F865" s="57" t="s">
        <v>8289</v>
      </c>
      <c r="G865" s="29" t="s">
        <v>2009</v>
      </c>
      <c r="J865" s="29">
        <f t="shared" si="49"/>
        <v>1</v>
      </c>
      <c r="K865" s="42">
        <v>858</v>
      </c>
      <c r="L865" s="43" t="s">
        <v>2010</v>
      </c>
      <c r="M865" s="44" t="s">
        <v>405</v>
      </c>
      <c r="N865" s="44" t="s">
        <v>1972</v>
      </c>
      <c r="O865" s="44" t="str">
        <f t="shared" si="52"/>
        <v>PE-L1-5C6-02</v>
      </c>
      <c r="P865" s="45">
        <v>7.75</v>
      </c>
      <c r="Q865" s="44">
        <v>400</v>
      </c>
      <c r="R865" s="44" t="s">
        <v>49</v>
      </c>
      <c r="S865" s="44">
        <v>160</v>
      </c>
      <c r="T865" s="46" t="s">
        <v>5907</v>
      </c>
      <c r="U865" s="46" t="s">
        <v>4474</v>
      </c>
      <c r="V865" s="46" t="s">
        <v>4475</v>
      </c>
      <c r="W865" s="46" t="s">
        <v>347</v>
      </c>
      <c r="X865" s="47" t="s">
        <v>9310</v>
      </c>
      <c r="Y865" s="46" t="s">
        <v>5976</v>
      </c>
      <c r="Z865" s="46" t="s">
        <v>5974</v>
      </c>
      <c r="AA865" s="46" t="s">
        <v>5562</v>
      </c>
      <c r="AB865" s="47" t="s">
        <v>9310</v>
      </c>
      <c r="AC865" s="48" t="s">
        <v>5977</v>
      </c>
      <c r="AD865" s="30"/>
      <c r="AE865" s="197"/>
      <c r="AF865" s="47"/>
    </row>
    <row r="866" spans="1:32" s="29" customFormat="1" ht="69.95" hidden="1" customHeight="1">
      <c r="A866" s="29" t="s">
        <v>5159</v>
      </c>
      <c r="B866" s="29" t="s">
        <v>3769</v>
      </c>
      <c r="C866" s="40">
        <v>30</v>
      </c>
      <c r="D866" s="40"/>
      <c r="E866" s="57" t="s">
        <v>123</v>
      </c>
      <c r="F866" s="57" t="s">
        <v>123</v>
      </c>
      <c r="G866" s="29" t="s">
        <v>2011</v>
      </c>
      <c r="J866" s="29">
        <f t="shared" si="49"/>
        <v>1</v>
      </c>
      <c r="K866" s="42">
        <v>859</v>
      </c>
      <c r="L866" s="43" t="s">
        <v>2012</v>
      </c>
      <c r="M866" s="44" t="s">
        <v>405</v>
      </c>
      <c r="N866" s="44" t="s">
        <v>1098</v>
      </c>
      <c r="O866" s="44" t="str">
        <f t="shared" si="52"/>
        <v>PE-L1-5C25/16-01</v>
      </c>
      <c r="P866" s="45">
        <v>8.15</v>
      </c>
      <c r="Q866" s="44">
        <v>400</v>
      </c>
      <c r="R866" s="44" t="s">
        <v>49</v>
      </c>
      <c r="S866" s="44">
        <v>400</v>
      </c>
      <c r="T866" s="46" t="s">
        <v>5907</v>
      </c>
      <c r="U866" s="46" t="s">
        <v>5159</v>
      </c>
      <c r="V866" s="46" t="s">
        <v>5160</v>
      </c>
      <c r="W866" s="46" t="s">
        <v>5154</v>
      </c>
      <c r="X866" s="47" t="s">
        <v>9310</v>
      </c>
      <c r="Y866" s="46" t="s">
        <v>5978</v>
      </c>
      <c r="Z866" s="46" t="s">
        <v>5979</v>
      </c>
      <c r="AA866" s="46" t="s">
        <v>5337</v>
      </c>
      <c r="AB866" s="47" t="s">
        <v>9310</v>
      </c>
      <c r="AC866" s="48" t="s">
        <v>5980</v>
      </c>
      <c r="AD866" s="30"/>
      <c r="AE866" s="197"/>
      <c r="AF866" s="47"/>
    </row>
    <row r="867" spans="1:32" s="29" customFormat="1" ht="69.95" hidden="1" customHeight="1">
      <c r="A867" s="29" t="s">
        <v>4407</v>
      </c>
      <c r="B867" s="29" t="s">
        <v>3769</v>
      </c>
      <c r="C867" s="40">
        <v>36</v>
      </c>
      <c r="D867" s="40"/>
      <c r="E867" s="57" t="s">
        <v>72</v>
      </c>
      <c r="F867" s="57" t="s">
        <v>72</v>
      </c>
      <c r="G867" s="29" t="s">
        <v>2013</v>
      </c>
      <c r="J867" s="29">
        <f t="shared" si="49"/>
        <v>1</v>
      </c>
      <c r="K867" s="42">
        <v>860</v>
      </c>
      <c r="L867" s="43" t="s">
        <v>2014</v>
      </c>
      <c r="M867" s="44" t="s">
        <v>405</v>
      </c>
      <c r="N867" s="44" t="s">
        <v>566</v>
      </c>
      <c r="O867" s="44" t="str">
        <f t="shared" si="52"/>
        <v>PE-L1-5C4-01</v>
      </c>
      <c r="P867" s="45">
        <v>4.87</v>
      </c>
      <c r="Q867" s="44">
        <v>400</v>
      </c>
      <c r="R867" s="44" t="s">
        <v>49</v>
      </c>
      <c r="S867" s="44">
        <v>120</v>
      </c>
      <c r="T867" s="46" t="s">
        <v>5907</v>
      </c>
      <c r="U867" s="46" t="s">
        <v>4407</v>
      </c>
      <c r="V867" s="46" t="s">
        <v>4408</v>
      </c>
      <c r="W867" s="46" t="s">
        <v>335</v>
      </c>
      <c r="X867" s="47" t="s">
        <v>9310</v>
      </c>
      <c r="Y867" s="46" t="s">
        <v>5981</v>
      </c>
      <c r="Z867" s="46" t="s">
        <v>5982</v>
      </c>
      <c r="AA867" s="46" t="s">
        <v>3931</v>
      </c>
      <c r="AB867" s="47" t="s">
        <v>9310</v>
      </c>
      <c r="AC867" s="48" t="s">
        <v>5983</v>
      </c>
      <c r="AD867" s="30"/>
      <c r="AE867" s="197"/>
      <c r="AF867" s="47"/>
    </row>
    <row r="868" spans="1:32" s="29" customFormat="1" ht="69.95" hidden="1" customHeight="1">
      <c r="A868" s="29" t="s">
        <v>4474</v>
      </c>
      <c r="B868" s="29" t="s">
        <v>3769</v>
      </c>
      <c r="C868" s="40">
        <v>33</v>
      </c>
      <c r="D868" s="124" t="s">
        <v>9045</v>
      </c>
      <c r="E868" s="57" t="s">
        <v>8289</v>
      </c>
      <c r="F868" s="57" t="s">
        <v>8289</v>
      </c>
      <c r="G868" s="131" t="s">
        <v>9083</v>
      </c>
      <c r="H868" s="43" t="s">
        <v>9084</v>
      </c>
      <c r="J868" s="29">
        <f t="shared" si="49"/>
        <v>1</v>
      </c>
      <c r="K868" s="127">
        <v>861</v>
      </c>
      <c r="L868" s="123" t="s">
        <v>8951</v>
      </c>
      <c r="M868" s="44" t="s">
        <v>405</v>
      </c>
      <c r="N868" s="44" t="s">
        <v>1972</v>
      </c>
      <c r="O868" s="44" t="str">
        <f t="shared" si="52"/>
        <v>PE-L1-5C6-02</v>
      </c>
      <c r="P868" s="45">
        <v>4.87</v>
      </c>
      <c r="Q868" s="44">
        <v>400</v>
      </c>
      <c r="R868" s="44" t="s">
        <v>49</v>
      </c>
      <c r="S868" s="125">
        <v>100</v>
      </c>
      <c r="T868" s="46" t="s">
        <v>5907</v>
      </c>
      <c r="U868" s="122" t="s">
        <v>4516</v>
      </c>
      <c r="V868" s="122" t="s">
        <v>4517</v>
      </c>
      <c r="W868" s="46" t="s">
        <v>347</v>
      </c>
      <c r="X868" s="47" t="s">
        <v>9310</v>
      </c>
      <c r="Y868" s="46" t="s">
        <v>5984</v>
      </c>
      <c r="Z868" s="46" t="s">
        <v>5985</v>
      </c>
      <c r="AA868" s="46" t="s">
        <v>4003</v>
      </c>
      <c r="AB868" s="47" t="s">
        <v>9310</v>
      </c>
      <c r="AC868" s="76" t="s">
        <v>9029</v>
      </c>
      <c r="AD868" s="30"/>
      <c r="AE868" s="197"/>
      <c r="AF868" s="47"/>
    </row>
    <row r="869" spans="1:32" s="29" customFormat="1" ht="69.95" hidden="1" customHeight="1">
      <c r="A869" s="29" t="s">
        <v>4407</v>
      </c>
      <c r="B869" s="29" t="s">
        <v>3769</v>
      </c>
      <c r="C869" s="40">
        <v>37</v>
      </c>
      <c r="D869" s="40"/>
      <c r="E869" s="56" t="s">
        <v>222</v>
      </c>
      <c r="F869" s="56" t="s">
        <v>222</v>
      </c>
      <c r="G869" s="29" t="s">
        <v>2015</v>
      </c>
      <c r="J869" s="29">
        <f t="shared" si="49"/>
        <v>1</v>
      </c>
      <c r="K869" s="42">
        <v>862</v>
      </c>
      <c r="L869" s="43" t="s">
        <v>2016</v>
      </c>
      <c r="M869" s="44" t="s">
        <v>405</v>
      </c>
      <c r="N869" s="44" t="s">
        <v>1986</v>
      </c>
      <c r="O869" s="44" t="str">
        <f t="shared" si="52"/>
        <v>PE-L1-5C16-01</v>
      </c>
      <c r="P869" s="45">
        <v>15.5</v>
      </c>
      <c r="Q869" s="44">
        <v>400</v>
      </c>
      <c r="R869" s="44" t="s">
        <v>49</v>
      </c>
      <c r="S869" s="44">
        <v>200</v>
      </c>
      <c r="T869" s="46" t="s">
        <v>5986</v>
      </c>
      <c r="U869" s="46" t="s">
        <v>4407</v>
      </c>
      <c r="V869" s="46" t="s">
        <v>4408</v>
      </c>
      <c r="W869" s="46" t="s">
        <v>335</v>
      </c>
      <c r="X869" s="47" t="s">
        <v>9310</v>
      </c>
      <c r="Y869" s="46" t="s">
        <v>5987</v>
      </c>
      <c r="Z869" s="46" t="s">
        <v>5988</v>
      </c>
      <c r="AA869" s="46" t="s">
        <v>5989</v>
      </c>
      <c r="AB869" s="47" t="s">
        <v>9310</v>
      </c>
      <c r="AC869" s="48" t="s">
        <v>5990</v>
      </c>
      <c r="AD869" s="30"/>
      <c r="AE869" s="197"/>
      <c r="AF869" s="47"/>
    </row>
    <row r="870" spans="1:32" s="29" customFormat="1" ht="69.95" hidden="1" customHeight="1">
      <c r="A870" s="29" t="s">
        <v>5987</v>
      </c>
      <c r="B870" s="29" t="s">
        <v>3769</v>
      </c>
      <c r="C870" s="40" t="s">
        <v>32</v>
      </c>
      <c r="D870" s="40"/>
      <c r="E870" s="58" t="s">
        <v>8611</v>
      </c>
      <c r="F870" s="58" t="s">
        <v>8611</v>
      </c>
      <c r="G870" s="29" t="s">
        <v>2017</v>
      </c>
      <c r="J870" s="29">
        <f t="shared" si="49"/>
        <v>1</v>
      </c>
      <c r="K870" s="42">
        <v>863</v>
      </c>
      <c r="L870" s="43" t="s">
        <v>2018</v>
      </c>
      <c r="M870" s="44" t="s">
        <v>405</v>
      </c>
      <c r="N870" s="44" t="s">
        <v>8608</v>
      </c>
      <c r="O870" s="44" t="str">
        <f t="shared" si="52"/>
        <v>PE-L1-4C4-26</v>
      </c>
      <c r="P870" s="45">
        <v>7.5</v>
      </c>
      <c r="Q870" s="44">
        <v>400</v>
      </c>
      <c r="R870" s="44" t="s">
        <v>49</v>
      </c>
      <c r="S870" s="44">
        <v>20</v>
      </c>
      <c r="T870" s="46" t="s">
        <v>5986</v>
      </c>
      <c r="U870" s="46" t="s">
        <v>5987</v>
      </c>
      <c r="V870" s="46" t="s">
        <v>8609</v>
      </c>
      <c r="W870" s="46" t="s">
        <v>5988</v>
      </c>
      <c r="X870" s="47" t="s">
        <v>9305</v>
      </c>
      <c r="Y870" s="46" t="s">
        <v>5991</v>
      </c>
      <c r="Z870" s="46" t="s">
        <v>5992</v>
      </c>
      <c r="AA870" s="46" t="s">
        <v>5989</v>
      </c>
      <c r="AB870" s="47" t="s">
        <v>9305</v>
      </c>
      <c r="AC870" s="48" t="s">
        <v>5993</v>
      </c>
      <c r="AD870" s="30"/>
      <c r="AE870" s="197"/>
      <c r="AF870" s="47"/>
    </row>
    <row r="871" spans="1:32" s="29" customFormat="1" ht="69.95" hidden="1" customHeight="1">
      <c r="A871" s="29" t="s">
        <v>5987</v>
      </c>
      <c r="B871" s="29" t="s">
        <v>3769</v>
      </c>
      <c r="C871" s="40" t="s">
        <v>36</v>
      </c>
      <c r="D871" s="40"/>
      <c r="E871" s="59" t="s">
        <v>139</v>
      </c>
      <c r="F871" s="59" t="s">
        <v>139</v>
      </c>
      <c r="G871" s="29" t="s">
        <v>2019</v>
      </c>
      <c r="J871" s="29">
        <f t="shared" si="49"/>
        <v>1</v>
      </c>
      <c r="K871" s="42">
        <v>864</v>
      </c>
      <c r="L871" s="43" t="s">
        <v>2020</v>
      </c>
      <c r="M871" s="44" t="s">
        <v>405</v>
      </c>
      <c r="N871" s="44" t="s">
        <v>426</v>
      </c>
      <c r="O871" s="44" t="str">
        <f t="shared" si="52"/>
        <v>PE-L1-3C4-24</v>
      </c>
      <c r="P871" s="45">
        <v>0.03</v>
      </c>
      <c r="Q871" s="44">
        <v>230</v>
      </c>
      <c r="R871" s="44" t="s">
        <v>49</v>
      </c>
      <c r="S871" s="44">
        <v>20</v>
      </c>
      <c r="T871" s="46" t="s">
        <v>5986</v>
      </c>
      <c r="U871" s="46" t="s">
        <v>5987</v>
      </c>
      <c r="V871" s="46" t="s">
        <v>225</v>
      </c>
      <c r="W871" s="46" t="s">
        <v>5988</v>
      </c>
      <c r="X871" s="172" t="s">
        <v>9167</v>
      </c>
      <c r="Y871" s="46" t="s">
        <v>5991</v>
      </c>
      <c r="Z871" s="46" t="s">
        <v>5994</v>
      </c>
      <c r="AA871" s="46" t="s">
        <v>5989</v>
      </c>
      <c r="AB871" s="172" t="s">
        <v>9167</v>
      </c>
      <c r="AC871" s="48" t="s">
        <v>5995</v>
      </c>
      <c r="AD871" s="30"/>
      <c r="AE871" s="197"/>
      <c r="AF871" s="47"/>
    </row>
    <row r="872" spans="1:32" s="29" customFormat="1" ht="69.95" hidden="1" customHeight="1">
      <c r="A872" s="29" t="s">
        <v>5987</v>
      </c>
      <c r="B872" s="29" t="s">
        <v>3769</v>
      </c>
      <c r="C872" s="40" t="s">
        <v>38</v>
      </c>
      <c r="D872" s="40"/>
      <c r="E872" s="57" t="s">
        <v>8611</v>
      </c>
      <c r="F872" s="57" t="s">
        <v>8611</v>
      </c>
      <c r="G872" s="29" t="s">
        <v>2021</v>
      </c>
      <c r="J872" s="29">
        <f t="shared" si="49"/>
        <v>1</v>
      </c>
      <c r="K872" s="42">
        <v>865</v>
      </c>
      <c r="L872" s="43" t="s">
        <v>2022</v>
      </c>
      <c r="M872" s="44" t="s">
        <v>405</v>
      </c>
      <c r="N872" s="44" t="s">
        <v>536</v>
      </c>
      <c r="O872" s="44" t="str">
        <f t="shared" si="52"/>
        <v>PE-L1-4C4-26</v>
      </c>
      <c r="P872" s="45">
        <v>7.5</v>
      </c>
      <c r="Q872" s="44">
        <v>400</v>
      </c>
      <c r="R872" s="44" t="s">
        <v>49</v>
      </c>
      <c r="S872" s="44">
        <v>20</v>
      </c>
      <c r="T872" s="46" t="s">
        <v>5986</v>
      </c>
      <c r="U872" s="46" t="s">
        <v>5987</v>
      </c>
      <c r="V872" s="46" t="s">
        <v>225</v>
      </c>
      <c r="W872" s="46" t="s">
        <v>5988</v>
      </c>
      <c r="X872" s="47" t="s">
        <v>9305</v>
      </c>
      <c r="Y872" s="46" t="s">
        <v>5996</v>
      </c>
      <c r="Z872" s="46" t="s">
        <v>5997</v>
      </c>
      <c r="AA872" s="46" t="s">
        <v>5989</v>
      </c>
      <c r="AB872" s="47" t="s">
        <v>9305</v>
      </c>
      <c r="AC872" s="48" t="s">
        <v>5998</v>
      </c>
      <c r="AD872" s="30"/>
      <c r="AE872" s="197"/>
      <c r="AF872" s="47"/>
    </row>
    <row r="873" spans="1:32" s="29" customFormat="1" ht="69.95" hidden="1" customHeight="1">
      <c r="A873" s="29" t="s">
        <v>5987</v>
      </c>
      <c r="B873" s="29" t="s">
        <v>3769</v>
      </c>
      <c r="C873" s="40" t="s">
        <v>40</v>
      </c>
      <c r="D873" s="40"/>
      <c r="E873" s="58" t="s">
        <v>139</v>
      </c>
      <c r="F873" s="58" t="s">
        <v>139</v>
      </c>
      <c r="G873" s="29" t="s">
        <v>2023</v>
      </c>
      <c r="J873" s="29">
        <f t="shared" si="49"/>
        <v>1</v>
      </c>
      <c r="K873" s="42">
        <v>866</v>
      </c>
      <c r="L873" s="43" t="s">
        <v>2024</v>
      </c>
      <c r="M873" s="44" t="s">
        <v>405</v>
      </c>
      <c r="N873" s="44" t="s">
        <v>426</v>
      </c>
      <c r="O873" s="44" t="str">
        <f t="shared" si="52"/>
        <v>PE-L1-3C4-24</v>
      </c>
      <c r="P873" s="45">
        <v>0.03</v>
      </c>
      <c r="Q873" s="44">
        <v>230</v>
      </c>
      <c r="R873" s="44" t="s">
        <v>49</v>
      </c>
      <c r="S873" s="44">
        <v>20</v>
      </c>
      <c r="T873" s="46" t="s">
        <v>5986</v>
      </c>
      <c r="U873" s="46" t="s">
        <v>5987</v>
      </c>
      <c r="V873" s="46" t="s">
        <v>225</v>
      </c>
      <c r="W873" s="46" t="s">
        <v>5988</v>
      </c>
      <c r="X873" s="172" t="s">
        <v>9167</v>
      </c>
      <c r="Y873" s="46" t="s">
        <v>5996</v>
      </c>
      <c r="Z873" s="46" t="s">
        <v>5999</v>
      </c>
      <c r="AA873" s="46" t="s">
        <v>5989</v>
      </c>
      <c r="AB873" s="172" t="s">
        <v>9167</v>
      </c>
      <c r="AC873" s="48" t="s">
        <v>6000</v>
      </c>
      <c r="AD873" s="30"/>
      <c r="AE873" s="197"/>
      <c r="AF873" s="47"/>
    </row>
    <row r="874" spans="1:32" s="29" customFormat="1" ht="69.95" hidden="1" customHeight="1">
      <c r="A874" s="29" t="s">
        <v>4444</v>
      </c>
      <c r="B874" s="29" t="s">
        <v>3769</v>
      </c>
      <c r="C874" s="40">
        <v>13</v>
      </c>
      <c r="D874" s="40"/>
      <c r="E874" s="56" t="s">
        <v>123</v>
      </c>
      <c r="F874" s="56" t="s">
        <v>123</v>
      </c>
      <c r="G874" s="29" t="s">
        <v>2025</v>
      </c>
      <c r="J874" s="29">
        <f t="shared" si="49"/>
        <v>1</v>
      </c>
      <c r="K874" s="42">
        <v>867</v>
      </c>
      <c r="L874" s="43" t="s">
        <v>2026</v>
      </c>
      <c r="M874" s="44" t="s">
        <v>405</v>
      </c>
      <c r="N874" s="44" t="s">
        <v>1098</v>
      </c>
      <c r="O874" s="44" t="str">
        <f t="shared" si="52"/>
        <v>PE-L1-5C25/16-01</v>
      </c>
      <c r="P874" s="45">
        <v>15.5</v>
      </c>
      <c r="Q874" s="44">
        <v>400</v>
      </c>
      <c r="R874" s="44" t="s">
        <v>49</v>
      </c>
      <c r="S874" s="44">
        <v>310</v>
      </c>
      <c r="T874" s="46" t="s">
        <v>5986</v>
      </c>
      <c r="U874" s="46" t="s">
        <v>4444</v>
      </c>
      <c r="V874" s="46" t="s">
        <v>4445</v>
      </c>
      <c r="W874" s="46" t="s">
        <v>335</v>
      </c>
      <c r="X874" s="47" t="s">
        <v>9310</v>
      </c>
      <c r="Y874" s="46" t="s">
        <v>6001</v>
      </c>
      <c r="Z874" s="46" t="s">
        <v>6002</v>
      </c>
      <c r="AA874" s="46" t="s">
        <v>5989</v>
      </c>
      <c r="AB874" s="47" t="s">
        <v>9310</v>
      </c>
      <c r="AC874" s="48" t="s">
        <v>6003</v>
      </c>
      <c r="AD874" s="30"/>
      <c r="AE874" s="197"/>
      <c r="AF874" s="47"/>
    </row>
    <row r="875" spans="1:32" s="29" customFormat="1" ht="69.95" hidden="1" customHeight="1">
      <c r="A875" s="29" t="s">
        <v>6001</v>
      </c>
      <c r="B875" s="29" t="s">
        <v>3769</v>
      </c>
      <c r="C875" s="40" t="s">
        <v>32</v>
      </c>
      <c r="D875" s="40"/>
      <c r="E875" s="57" t="s">
        <v>8611</v>
      </c>
      <c r="F875" s="57" t="s">
        <v>8611</v>
      </c>
      <c r="G875" s="29" t="s">
        <v>2027</v>
      </c>
      <c r="J875" s="29">
        <f t="shared" si="49"/>
        <v>1</v>
      </c>
      <c r="K875" s="42">
        <v>868</v>
      </c>
      <c r="L875" s="43" t="s">
        <v>2028</v>
      </c>
      <c r="M875" s="44" t="s">
        <v>405</v>
      </c>
      <c r="N875" s="44" t="s">
        <v>536</v>
      </c>
      <c r="O875" s="44" t="str">
        <f t="shared" si="52"/>
        <v>PE-L1-4C4-26</v>
      </c>
      <c r="P875" s="45">
        <v>7.5</v>
      </c>
      <c r="Q875" s="44">
        <v>400</v>
      </c>
      <c r="R875" s="44" t="s">
        <v>49</v>
      </c>
      <c r="S875" s="44">
        <v>20</v>
      </c>
      <c r="T875" s="46" t="s">
        <v>5986</v>
      </c>
      <c r="U875" s="46" t="s">
        <v>6001</v>
      </c>
      <c r="V875" s="46" t="s">
        <v>225</v>
      </c>
      <c r="W875" s="46" t="s">
        <v>6002</v>
      </c>
      <c r="X875" s="47" t="s">
        <v>9305</v>
      </c>
      <c r="Y875" s="46" t="s">
        <v>6004</v>
      </c>
      <c r="Z875" s="46" t="s">
        <v>6005</v>
      </c>
      <c r="AA875" s="46" t="s">
        <v>5989</v>
      </c>
      <c r="AB875" s="47" t="s">
        <v>9305</v>
      </c>
      <c r="AC875" s="48" t="s">
        <v>6006</v>
      </c>
      <c r="AD875" s="30"/>
      <c r="AE875" s="197"/>
      <c r="AF875" s="47"/>
    </row>
    <row r="876" spans="1:32" s="29" customFormat="1" ht="69.95" hidden="1" customHeight="1">
      <c r="A876" s="29" t="s">
        <v>6001</v>
      </c>
      <c r="B876" s="29" t="s">
        <v>3769</v>
      </c>
      <c r="C876" s="40" t="s">
        <v>36</v>
      </c>
      <c r="D876" s="40"/>
      <c r="E876" s="59" t="s">
        <v>139</v>
      </c>
      <c r="F876" s="59" t="s">
        <v>139</v>
      </c>
      <c r="G876" s="29" t="s">
        <v>2029</v>
      </c>
      <c r="J876" s="29">
        <f t="shared" si="49"/>
        <v>1</v>
      </c>
      <c r="K876" s="42">
        <v>869</v>
      </c>
      <c r="L876" s="43" t="s">
        <v>2030</v>
      </c>
      <c r="M876" s="44" t="s">
        <v>405</v>
      </c>
      <c r="N876" s="44" t="s">
        <v>426</v>
      </c>
      <c r="O876" s="44" t="str">
        <f t="shared" si="52"/>
        <v>PE-L1-3C4-24</v>
      </c>
      <c r="P876" s="45">
        <v>0.03</v>
      </c>
      <c r="Q876" s="44">
        <v>230</v>
      </c>
      <c r="R876" s="44" t="s">
        <v>49</v>
      </c>
      <c r="S876" s="44">
        <v>20</v>
      </c>
      <c r="T876" s="46" t="s">
        <v>5986</v>
      </c>
      <c r="U876" s="46" t="s">
        <v>6001</v>
      </c>
      <c r="V876" s="46" t="s">
        <v>225</v>
      </c>
      <c r="W876" s="46" t="s">
        <v>6002</v>
      </c>
      <c r="X876" s="172" t="s">
        <v>9167</v>
      </c>
      <c r="Y876" s="46" t="s">
        <v>6004</v>
      </c>
      <c r="Z876" s="46" t="s">
        <v>6007</v>
      </c>
      <c r="AA876" s="46" t="s">
        <v>5989</v>
      </c>
      <c r="AB876" s="172" t="s">
        <v>9167</v>
      </c>
      <c r="AC876" s="48" t="s">
        <v>6008</v>
      </c>
      <c r="AD876" s="30"/>
      <c r="AE876" s="197"/>
      <c r="AF876" s="47"/>
    </row>
    <row r="877" spans="1:32" s="29" customFormat="1" ht="69.95" hidden="1" customHeight="1">
      <c r="A877" s="29" t="s">
        <v>6001</v>
      </c>
      <c r="B877" s="29" t="s">
        <v>3769</v>
      </c>
      <c r="C877" s="40" t="s">
        <v>38</v>
      </c>
      <c r="D877" s="40"/>
      <c r="E877" s="57" t="s">
        <v>8611</v>
      </c>
      <c r="F877" s="57" t="s">
        <v>8611</v>
      </c>
      <c r="G877" s="29" t="s">
        <v>2031</v>
      </c>
      <c r="J877" s="29">
        <f t="shared" si="49"/>
        <v>1</v>
      </c>
      <c r="K877" s="42">
        <v>870</v>
      </c>
      <c r="L877" s="43" t="s">
        <v>2032</v>
      </c>
      <c r="M877" s="44" t="s">
        <v>405</v>
      </c>
      <c r="N877" s="44" t="s">
        <v>536</v>
      </c>
      <c r="O877" s="44" t="str">
        <f t="shared" si="52"/>
        <v>PE-L1-4C4-26</v>
      </c>
      <c r="P877" s="45">
        <v>7.5</v>
      </c>
      <c r="Q877" s="44">
        <v>400</v>
      </c>
      <c r="R877" s="44" t="s">
        <v>49</v>
      </c>
      <c r="S877" s="44">
        <v>20</v>
      </c>
      <c r="T877" s="46" t="s">
        <v>5986</v>
      </c>
      <c r="U877" s="46" t="s">
        <v>6001</v>
      </c>
      <c r="V877" s="46" t="s">
        <v>225</v>
      </c>
      <c r="W877" s="46" t="s">
        <v>6002</v>
      </c>
      <c r="X877" s="47" t="s">
        <v>9305</v>
      </c>
      <c r="Y877" s="46" t="s">
        <v>6009</v>
      </c>
      <c r="Z877" s="46" t="s">
        <v>6010</v>
      </c>
      <c r="AA877" s="46" t="s">
        <v>5989</v>
      </c>
      <c r="AB877" s="47" t="s">
        <v>9305</v>
      </c>
      <c r="AC877" s="48" t="s">
        <v>6011</v>
      </c>
      <c r="AD877" s="30"/>
      <c r="AE877" s="197"/>
      <c r="AF877" s="47"/>
    </row>
    <row r="878" spans="1:32" s="29" customFormat="1" ht="69.95" hidden="1" customHeight="1">
      <c r="A878" s="29" t="s">
        <v>6001</v>
      </c>
      <c r="B878" s="29" t="s">
        <v>3769</v>
      </c>
      <c r="C878" s="40" t="s">
        <v>40</v>
      </c>
      <c r="D878" s="40"/>
      <c r="E878" s="58" t="s">
        <v>286</v>
      </c>
      <c r="F878" s="58" t="s">
        <v>286</v>
      </c>
      <c r="G878" s="29" t="s">
        <v>2033</v>
      </c>
      <c r="J878" s="29">
        <f t="shared" si="49"/>
        <v>1</v>
      </c>
      <c r="K878" s="42">
        <v>871</v>
      </c>
      <c r="L878" s="43" t="s">
        <v>2034</v>
      </c>
      <c r="M878" s="44" t="s">
        <v>405</v>
      </c>
      <c r="N878" s="44" t="s">
        <v>426</v>
      </c>
      <c r="O878" s="44" t="str">
        <f t="shared" si="52"/>
        <v>PE-L1-3C4-25</v>
      </c>
      <c r="P878" s="45">
        <v>0.03</v>
      </c>
      <c r="Q878" s="44">
        <v>230</v>
      </c>
      <c r="R878" s="44" t="s">
        <v>49</v>
      </c>
      <c r="S878" s="44">
        <v>20</v>
      </c>
      <c r="T878" s="46" t="s">
        <v>5986</v>
      </c>
      <c r="U878" s="46" t="s">
        <v>6001</v>
      </c>
      <c r="V878" s="46" t="s">
        <v>225</v>
      </c>
      <c r="W878" s="46" t="s">
        <v>6002</v>
      </c>
      <c r="X878" s="172" t="s">
        <v>9167</v>
      </c>
      <c r="Y878" s="46" t="s">
        <v>6009</v>
      </c>
      <c r="Z878" s="46" t="s">
        <v>6012</v>
      </c>
      <c r="AA878" s="46" t="s">
        <v>5989</v>
      </c>
      <c r="AB878" s="172" t="s">
        <v>9167</v>
      </c>
      <c r="AC878" s="48" t="s">
        <v>6013</v>
      </c>
      <c r="AD878" s="30"/>
      <c r="AE878" s="197"/>
      <c r="AF878" s="47"/>
    </row>
    <row r="879" spans="1:32" s="29" customFormat="1" ht="69.95" hidden="1" customHeight="1">
      <c r="A879" s="29" t="s">
        <v>4474</v>
      </c>
      <c r="B879" s="29" t="s">
        <v>3769</v>
      </c>
      <c r="C879" s="40">
        <v>34</v>
      </c>
      <c r="D879" s="40"/>
      <c r="E879" s="56" t="s">
        <v>8290</v>
      </c>
      <c r="F879" s="56" t="s">
        <v>8290</v>
      </c>
      <c r="G879" s="29" t="s">
        <v>2035</v>
      </c>
      <c r="J879" s="29">
        <f t="shared" si="49"/>
        <v>1</v>
      </c>
      <c r="K879" s="42">
        <v>872</v>
      </c>
      <c r="L879" s="43" t="s">
        <v>2036</v>
      </c>
      <c r="M879" s="44" t="s">
        <v>405</v>
      </c>
      <c r="N879" s="44" t="s">
        <v>1098</v>
      </c>
      <c r="O879" s="44" t="str">
        <f t="shared" si="52"/>
        <v>PE-L1-5C25/16-04</v>
      </c>
      <c r="P879" s="45">
        <v>15.5</v>
      </c>
      <c r="Q879" s="44">
        <v>400</v>
      </c>
      <c r="R879" s="44" t="s">
        <v>49</v>
      </c>
      <c r="S879" s="44">
        <v>340</v>
      </c>
      <c r="T879" s="46" t="s">
        <v>5986</v>
      </c>
      <c r="U879" s="46" t="s">
        <v>4474</v>
      </c>
      <c r="V879" s="46" t="s">
        <v>4475</v>
      </c>
      <c r="W879" s="46" t="s">
        <v>347</v>
      </c>
      <c r="X879" s="47" t="s">
        <v>9310</v>
      </c>
      <c r="Y879" s="46" t="s">
        <v>6014</v>
      </c>
      <c r="Z879" s="46" t="s">
        <v>6015</v>
      </c>
      <c r="AA879" s="46" t="s">
        <v>5989</v>
      </c>
      <c r="AB879" s="47" t="s">
        <v>9310</v>
      </c>
      <c r="AC879" s="48" t="s">
        <v>6016</v>
      </c>
      <c r="AD879" s="30"/>
      <c r="AE879" s="197"/>
      <c r="AF879" s="47"/>
    </row>
    <row r="880" spans="1:32" s="29" customFormat="1" ht="69.95" hidden="1" customHeight="1">
      <c r="A880" s="29" t="s">
        <v>6014</v>
      </c>
      <c r="B880" s="29" t="s">
        <v>3769</v>
      </c>
      <c r="C880" s="40" t="s">
        <v>32</v>
      </c>
      <c r="D880" s="40"/>
      <c r="E880" s="57" t="s">
        <v>8611</v>
      </c>
      <c r="F880" s="57" t="s">
        <v>8611</v>
      </c>
      <c r="G880" s="29" t="s">
        <v>2037</v>
      </c>
      <c r="J880" s="29">
        <f t="shared" si="49"/>
        <v>1</v>
      </c>
      <c r="K880" s="42">
        <v>873</v>
      </c>
      <c r="L880" s="43" t="s">
        <v>2038</v>
      </c>
      <c r="M880" s="44" t="s">
        <v>405</v>
      </c>
      <c r="N880" s="44" t="s">
        <v>536</v>
      </c>
      <c r="O880" s="44" t="str">
        <f t="shared" si="52"/>
        <v>PE-L1-4C4-26</v>
      </c>
      <c r="P880" s="45">
        <v>7.5</v>
      </c>
      <c r="Q880" s="44">
        <v>400</v>
      </c>
      <c r="R880" s="44" t="s">
        <v>49</v>
      </c>
      <c r="S880" s="44">
        <v>20</v>
      </c>
      <c r="T880" s="46" t="s">
        <v>5986</v>
      </c>
      <c r="U880" s="46" t="s">
        <v>6014</v>
      </c>
      <c r="V880" s="46" t="s">
        <v>225</v>
      </c>
      <c r="W880" s="46" t="s">
        <v>6015</v>
      </c>
      <c r="X880" s="47" t="s">
        <v>9305</v>
      </c>
      <c r="Y880" s="46" t="s">
        <v>6017</v>
      </c>
      <c r="Z880" s="46" t="s">
        <v>6018</v>
      </c>
      <c r="AA880" s="46" t="s">
        <v>5989</v>
      </c>
      <c r="AB880" s="47" t="s">
        <v>9305</v>
      </c>
      <c r="AC880" s="48" t="s">
        <v>6019</v>
      </c>
      <c r="AD880" s="30"/>
      <c r="AE880" s="197"/>
      <c r="AF880" s="47"/>
    </row>
    <row r="881" spans="1:32" s="29" customFormat="1" ht="69.95" hidden="1" customHeight="1">
      <c r="A881" s="29" t="s">
        <v>6014</v>
      </c>
      <c r="B881" s="29" t="s">
        <v>3769</v>
      </c>
      <c r="C881" s="40" t="s">
        <v>36</v>
      </c>
      <c r="D881" s="40"/>
      <c r="E881" s="59" t="s">
        <v>286</v>
      </c>
      <c r="F881" s="59" t="s">
        <v>286</v>
      </c>
      <c r="G881" s="29" t="s">
        <v>2039</v>
      </c>
      <c r="J881" s="29">
        <f t="shared" si="49"/>
        <v>1</v>
      </c>
      <c r="K881" s="42">
        <v>874</v>
      </c>
      <c r="L881" s="43" t="s">
        <v>2040</v>
      </c>
      <c r="M881" s="44" t="s">
        <v>405</v>
      </c>
      <c r="N881" s="44" t="s">
        <v>426</v>
      </c>
      <c r="O881" s="44" t="str">
        <f t="shared" si="52"/>
        <v>PE-L1-3C4-25</v>
      </c>
      <c r="P881" s="45">
        <v>0.03</v>
      </c>
      <c r="Q881" s="44">
        <v>230</v>
      </c>
      <c r="R881" s="44" t="s">
        <v>49</v>
      </c>
      <c r="S881" s="44">
        <v>20</v>
      </c>
      <c r="T881" s="46" t="s">
        <v>5986</v>
      </c>
      <c r="U881" s="46" t="s">
        <v>6014</v>
      </c>
      <c r="V881" s="46" t="s">
        <v>225</v>
      </c>
      <c r="W881" s="46" t="s">
        <v>6015</v>
      </c>
      <c r="X881" s="172" t="s">
        <v>9167</v>
      </c>
      <c r="Y881" s="46" t="s">
        <v>6017</v>
      </c>
      <c r="Z881" s="46" t="s">
        <v>6020</v>
      </c>
      <c r="AA881" s="46" t="s">
        <v>5989</v>
      </c>
      <c r="AB881" s="172" t="s">
        <v>9167</v>
      </c>
      <c r="AC881" s="48" t="s">
        <v>6021</v>
      </c>
      <c r="AD881" s="30"/>
      <c r="AE881" s="197"/>
      <c r="AF881" s="47"/>
    </row>
    <row r="882" spans="1:32" s="29" customFormat="1" ht="69.95" hidden="1" customHeight="1">
      <c r="A882" s="29" t="s">
        <v>6014</v>
      </c>
      <c r="B882" s="29" t="s">
        <v>3769</v>
      </c>
      <c r="C882" s="40" t="s">
        <v>38</v>
      </c>
      <c r="D882" s="40"/>
      <c r="E882" s="57" t="s">
        <v>8611</v>
      </c>
      <c r="F882" s="57" t="s">
        <v>8611</v>
      </c>
      <c r="G882" s="29" t="s">
        <v>2041</v>
      </c>
      <c r="J882" s="29">
        <f t="shared" si="49"/>
        <v>1</v>
      </c>
      <c r="K882" s="42">
        <v>875</v>
      </c>
      <c r="L882" s="43" t="s">
        <v>2042</v>
      </c>
      <c r="M882" s="44" t="s">
        <v>405</v>
      </c>
      <c r="N882" s="44" t="s">
        <v>536</v>
      </c>
      <c r="O882" s="44" t="str">
        <f t="shared" si="52"/>
        <v>PE-L1-4C4-26</v>
      </c>
      <c r="P882" s="45">
        <v>7.5</v>
      </c>
      <c r="Q882" s="44">
        <v>400</v>
      </c>
      <c r="R882" s="44" t="s">
        <v>49</v>
      </c>
      <c r="S882" s="44">
        <v>20</v>
      </c>
      <c r="T882" s="46" t="s">
        <v>5986</v>
      </c>
      <c r="U882" s="46" t="s">
        <v>6014</v>
      </c>
      <c r="V882" s="46" t="s">
        <v>225</v>
      </c>
      <c r="W882" s="46" t="s">
        <v>6015</v>
      </c>
      <c r="X882" s="47" t="s">
        <v>9305</v>
      </c>
      <c r="Y882" s="46" t="s">
        <v>6022</v>
      </c>
      <c r="Z882" s="46" t="s">
        <v>6023</v>
      </c>
      <c r="AA882" s="46" t="s">
        <v>5989</v>
      </c>
      <c r="AB882" s="47" t="s">
        <v>9305</v>
      </c>
      <c r="AC882" s="48" t="s">
        <v>6024</v>
      </c>
      <c r="AD882" s="30"/>
      <c r="AE882" s="197"/>
      <c r="AF882" s="47"/>
    </row>
    <row r="883" spans="1:32" s="29" customFormat="1" ht="69.95" hidden="1" customHeight="1">
      <c r="A883" s="29" t="s">
        <v>6014</v>
      </c>
      <c r="B883" s="29" t="s">
        <v>3769</v>
      </c>
      <c r="C883" s="40" t="s">
        <v>40</v>
      </c>
      <c r="D883" s="40"/>
      <c r="E883" s="59" t="s">
        <v>286</v>
      </c>
      <c r="F883" s="59" t="s">
        <v>286</v>
      </c>
      <c r="G883" s="29" t="s">
        <v>2043</v>
      </c>
      <c r="J883" s="29">
        <f t="shared" si="49"/>
        <v>1</v>
      </c>
      <c r="K883" s="42">
        <v>876</v>
      </c>
      <c r="L883" s="43" t="s">
        <v>2044</v>
      </c>
      <c r="M883" s="44" t="s">
        <v>405</v>
      </c>
      <c r="N883" s="44" t="s">
        <v>426</v>
      </c>
      <c r="O883" s="44" t="str">
        <f t="shared" si="52"/>
        <v>PE-L1-3C4-25</v>
      </c>
      <c r="P883" s="45">
        <v>0.03</v>
      </c>
      <c r="Q883" s="44">
        <v>230</v>
      </c>
      <c r="R883" s="44" t="s">
        <v>49</v>
      </c>
      <c r="S883" s="44">
        <v>20</v>
      </c>
      <c r="T883" s="46" t="s">
        <v>5986</v>
      </c>
      <c r="U883" s="46" t="s">
        <v>6014</v>
      </c>
      <c r="V883" s="46" t="s">
        <v>225</v>
      </c>
      <c r="W883" s="46" t="s">
        <v>6015</v>
      </c>
      <c r="X883" s="172" t="s">
        <v>9167</v>
      </c>
      <c r="Y883" s="46" t="s">
        <v>6022</v>
      </c>
      <c r="Z883" s="46" t="s">
        <v>6025</v>
      </c>
      <c r="AA883" s="46" t="s">
        <v>5989</v>
      </c>
      <c r="AB883" s="172" t="s">
        <v>9167</v>
      </c>
      <c r="AC883" s="48" t="s">
        <v>6026</v>
      </c>
      <c r="AD883" s="30"/>
      <c r="AE883" s="197"/>
      <c r="AF883" s="47"/>
    </row>
    <row r="884" spans="1:32" s="29" customFormat="1" ht="69.95" hidden="1" customHeight="1">
      <c r="A884" s="29" t="s">
        <v>4511</v>
      </c>
      <c r="B884" s="29" t="s">
        <v>3769</v>
      </c>
      <c r="C884" s="40">
        <v>13</v>
      </c>
      <c r="D884" s="40"/>
      <c r="E884" s="56" t="s">
        <v>222</v>
      </c>
      <c r="F884" s="56" t="s">
        <v>222</v>
      </c>
      <c r="G884" s="29" t="s">
        <v>2045</v>
      </c>
      <c r="J884" s="29">
        <f t="shared" si="49"/>
        <v>1</v>
      </c>
      <c r="K884" s="42">
        <v>877</v>
      </c>
      <c r="L884" s="43" t="s">
        <v>2046</v>
      </c>
      <c r="M884" s="44" t="s">
        <v>405</v>
      </c>
      <c r="N884" s="44" t="s">
        <v>1986</v>
      </c>
      <c r="O884" s="44" t="str">
        <f t="shared" si="52"/>
        <v>PE-L1-5C16-01</v>
      </c>
      <c r="P884" s="45">
        <v>15.5</v>
      </c>
      <c r="Q884" s="44">
        <v>400</v>
      </c>
      <c r="R884" s="44" t="s">
        <v>49</v>
      </c>
      <c r="S884" s="44">
        <v>270</v>
      </c>
      <c r="T884" s="46" t="s">
        <v>5986</v>
      </c>
      <c r="U884" s="46" t="s">
        <v>4511</v>
      </c>
      <c r="V884" s="46" t="s">
        <v>4512</v>
      </c>
      <c r="W884" s="46" t="s">
        <v>347</v>
      </c>
      <c r="X884" s="47" t="s">
        <v>9310</v>
      </c>
      <c r="Y884" s="46" t="s">
        <v>6027</v>
      </c>
      <c r="Z884" s="46" t="s">
        <v>6028</v>
      </c>
      <c r="AA884" s="46" t="s">
        <v>5989</v>
      </c>
      <c r="AB884" s="47" t="s">
        <v>9310</v>
      </c>
      <c r="AC884" s="48" t="s">
        <v>6029</v>
      </c>
      <c r="AD884" s="30"/>
      <c r="AE884" s="197"/>
      <c r="AF884" s="47"/>
    </row>
    <row r="885" spans="1:32" s="29" customFormat="1" ht="69.95" hidden="1" customHeight="1">
      <c r="A885" s="29" t="s">
        <v>6027</v>
      </c>
      <c r="B885" s="29" t="s">
        <v>3769</v>
      </c>
      <c r="C885" s="40" t="s">
        <v>32</v>
      </c>
      <c r="D885" s="40"/>
      <c r="E885" s="58" t="s">
        <v>8611</v>
      </c>
      <c r="F885" s="58" t="s">
        <v>8611</v>
      </c>
      <c r="G885" s="29" t="s">
        <v>2047</v>
      </c>
      <c r="J885" s="29">
        <f t="shared" si="49"/>
        <v>1</v>
      </c>
      <c r="K885" s="42">
        <v>878</v>
      </c>
      <c r="L885" s="43" t="s">
        <v>2048</v>
      </c>
      <c r="M885" s="44" t="s">
        <v>405</v>
      </c>
      <c r="N885" s="44" t="s">
        <v>536</v>
      </c>
      <c r="O885" s="44" t="str">
        <f t="shared" si="52"/>
        <v>PE-L1-4C4-26</v>
      </c>
      <c r="P885" s="45">
        <v>7.5</v>
      </c>
      <c r="Q885" s="44">
        <v>400</v>
      </c>
      <c r="R885" s="44" t="s">
        <v>49</v>
      </c>
      <c r="S885" s="44">
        <v>20</v>
      </c>
      <c r="T885" s="46" t="s">
        <v>5986</v>
      </c>
      <c r="U885" s="46" t="s">
        <v>6027</v>
      </c>
      <c r="V885" s="46" t="s">
        <v>225</v>
      </c>
      <c r="W885" s="46" t="s">
        <v>6028</v>
      </c>
      <c r="X885" s="47" t="s">
        <v>9305</v>
      </c>
      <c r="Y885" s="46" t="s">
        <v>6030</v>
      </c>
      <c r="Z885" s="46" t="s">
        <v>6031</v>
      </c>
      <c r="AA885" s="46" t="s">
        <v>5989</v>
      </c>
      <c r="AB885" s="47" t="s">
        <v>9305</v>
      </c>
      <c r="AC885" s="48" t="s">
        <v>6032</v>
      </c>
      <c r="AD885" s="30"/>
      <c r="AE885" s="197"/>
      <c r="AF885" s="47"/>
    </row>
    <row r="886" spans="1:32" s="29" customFormat="1" ht="69.95" hidden="1" customHeight="1">
      <c r="A886" s="29" t="s">
        <v>6027</v>
      </c>
      <c r="B886" s="29" t="s">
        <v>3769</v>
      </c>
      <c r="C886" s="40" t="s">
        <v>36</v>
      </c>
      <c r="D886" s="40"/>
      <c r="E886" s="59" t="s">
        <v>286</v>
      </c>
      <c r="F886" s="59" t="s">
        <v>286</v>
      </c>
      <c r="G886" s="29" t="s">
        <v>2049</v>
      </c>
      <c r="J886" s="29">
        <f t="shared" si="49"/>
        <v>1</v>
      </c>
      <c r="K886" s="42">
        <v>879</v>
      </c>
      <c r="L886" s="43" t="s">
        <v>2050</v>
      </c>
      <c r="M886" s="44" t="s">
        <v>405</v>
      </c>
      <c r="N886" s="44" t="s">
        <v>426</v>
      </c>
      <c r="O886" s="44" t="str">
        <f t="shared" si="52"/>
        <v>PE-L1-3C4-25</v>
      </c>
      <c r="P886" s="45">
        <v>0.03</v>
      </c>
      <c r="Q886" s="44">
        <v>230</v>
      </c>
      <c r="R886" s="44" t="s">
        <v>49</v>
      </c>
      <c r="S886" s="44">
        <v>20</v>
      </c>
      <c r="T886" s="46" t="s">
        <v>5986</v>
      </c>
      <c r="U886" s="46" t="s">
        <v>6027</v>
      </c>
      <c r="V886" s="46" t="s">
        <v>225</v>
      </c>
      <c r="W886" s="46" t="s">
        <v>6028</v>
      </c>
      <c r="X886" s="172" t="s">
        <v>9167</v>
      </c>
      <c r="Y886" s="46" t="s">
        <v>6030</v>
      </c>
      <c r="Z886" s="46" t="s">
        <v>6033</v>
      </c>
      <c r="AA886" s="46" t="s">
        <v>5989</v>
      </c>
      <c r="AB886" s="172" t="s">
        <v>9167</v>
      </c>
      <c r="AC886" s="48" t="s">
        <v>6034</v>
      </c>
      <c r="AD886" s="30"/>
      <c r="AE886" s="197"/>
      <c r="AF886" s="47"/>
    </row>
    <row r="887" spans="1:32" s="29" customFormat="1" ht="69.95" hidden="1" customHeight="1">
      <c r="A887" s="29" t="s">
        <v>6027</v>
      </c>
      <c r="B887" s="29" t="s">
        <v>3769</v>
      </c>
      <c r="C887" s="40" t="s">
        <v>38</v>
      </c>
      <c r="D887" s="40"/>
      <c r="E887" s="57" t="s">
        <v>8611</v>
      </c>
      <c r="F887" s="57" t="s">
        <v>8611</v>
      </c>
      <c r="G887" s="29" t="s">
        <v>2051</v>
      </c>
      <c r="J887" s="29">
        <f t="shared" si="49"/>
        <v>1</v>
      </c>
      <c r="K887" s="42">
        <v>880</v>
      </c>
      <c r="L887" s="43" t="s">
        <v>2052</v>
      </c>
      <c r="M887" s="44" t="s">
        <v>405</v>
      </c>
      <c r="N887" s="44" t="s">
        <v>536</v>
      </c>
      <c r="O887" s="44" t="str">
        <f t="shared" si="52"/>
        <v>PE-L1-4C4-26</v>
      </c>
      <c r="P887" s="45">
        <v>7.5</v>
      </c>
      <c r="Q887" s="44">
        <v>400</v>
      </c>
      <c r="R887" s="44" t="s">
        <v>49</v>
      </c>
      <c r="S887" s="44">
        <v>20</v>
      </c>
      <c r="T887" s="46" t="s">
        <v>5986</v>
      </c>
      <c r="U887" s="46" t="s">
        <v>6027</v>
      </c>
      <c r="V887" s="46" t="s">
        <v>225</v>
      </c>
      <c r="W887" s="46" t="s">
        <v>6028</v>
      </c>
      <c r="X887" s="47" t="s">
        <v>9305</v>
      </c>
      <c r="Y887" s="46" t="s">
        <v>6035</v>
      </c>
      <c r="Z887" s="46" t="s">
        <v>6036</v>
      </c>
      <c r="AA887" s="46" t="s">
        <v>5989</v>
      </c>
      <c r="AB887" s="47" t="s">
        <v>9305</v>
      </c>
      <c r="AC887" s="48" t="s">
        <v>6037</v>
      </c>
      <c r="AD887" s="30"/>
      <c r="AE887" s="197"/>
      <c r="AF887" s="47"/>
    </row>
    <row r="888" spans="1:32" s="29" customFormat="1" ht="69.95" hidden="1" customHeight="1">
      <c r="A888" s="29" t="s">
        <v>6027</v>
      </c>
      <c r="B888" s="29" t="s">
        <v>3769</v>
      </c>
      <c r="C888" s="40" t="s">
        <v>40</v>
      </c>
      <c r="D888" s="40"/>
      <c r="E888" s="58" t="s">
        <v>286</v>
      </c>
      <c r="F888" s="58" t="s">
        <v>286</v>
      </c>
      <c r="G888" s="29" t="s">
        <v>2053</v>
      </c>
      <c r="J888" s="29">
        <f t="shared" si="49"/>
        <v>1</v>
      </c>
      <c r="K888" s="42">
        <v>881</v>
      </c>
      <c r="L888" s="43" t="s">
        <v>2054</v>
      </c>
      <c r="M888" s="44" t="s">
        <v>405</v>
      </c>
      <c r="N888" s="44" t="s">
        <v>426</v>
      </c>
      <c r="O888" s="44" t="str">
        <f t="shared" si="52"/>
        <v>PE-L1-3C4-25</v>
      </c>
      <c r="P888" s="45">
        <v>0.03</v>
      </c>
      <c r="Q888" s="44">
        <v>230</v>
      </c>
      <c r="R888" s="44" t="s">
        <v>49</v>
      </c>
      <c r="S888" s="44">
        <v>20</v>
      </c>
      <c r="T888" s="46" t="s">
        <v>5986</v>
      </c>
      <c r="U888" s="46" t="s">
        <v>6027</v>
      </c>
      <c r="V888" s="46" t="s">
        <v>225</v>
      </c>
      <c r="W888" s="46" t="s">
        <v>6028</v>
      </c>
      <c r="X888" s="172" t="s">
        <v>9167</v>
      </c>
      <c r="Y888" s="46" t="s">
        <v>6035</v>
      </c>
      <c r="Z888" s="46" t="s">
        <v>6038</v>
      </c>
      <c r="AA888" s="46" t="s">
        <v>5989</v>
      </c>
      <c r="AB888" s="172" t="s">
        <v>9167</v>
      </c>
      <c r="AC888" s="48" t="s">
        <v>6039</v>
      </c>
      <c r="AD888" s="30"/>
      <c r="AE888" s="197"/>
      <c r="AF888" s="47"/>
    </row>
    <row r="889" spans="1:32" s="29" customFormat="1" ht="69.95" hidden="1" customHeight="1">
      <c r="A889" s="29" t="s">
        <v>389</v>
      </c>
      <c r="B889" s="29" t="s">
        <v>3769</v>
      </c>
      <c r="C889" s="40">
        <v>21</v>
      </c>
      <c r="D889" s="40"/>
      <c r="E889" s="57" t="s">
        <v>221</v>
      </c>
      <c r="F889" s="57" t="s">
        <v>221</v>
      </c>
      <c r="G889" s="29" t="s">
        <v>2055</v>
      </c>
      <c r="J889" s="29">
        <f t="shared" si="49"/>
        <v>1</v>
      </c>
      <c r="K889" s="42">
        <v>882</v>
      </c>
      <c r="L889" s="43" t="s">
        <v>2056</v>
      </c>
      <c r="M889" s="44" t="s">
        <v>405</v>
      </c>
      <c r="N889" s="44" t="s">
        <v>1981</v>
      </c>
      <c r="O889" s="44" t="str">
        <f t="shared" si="52"/>
        <v>PE-L1-5C10-01</v>
      </c>
      <c r="P889" s="45">
        <v>15.5</v>
      </c>
      <c r="Q889" s="44">
        <v>400</v>
      </c>
      <c r="R889" s="44" t="s">
        <v>49</v>
      </c>
      <c r="S889" s="44">
        <v>120</v>
      </c>
      <c r="T889" s="46" t="s">
        <v>5986</v>
      </c>
      <c r="U889" s="46" t="s">
        <v>389</v>
      </c>
      <c r="V889" s="46" t="s">
        <v>390</v>
      </c>
      <c r="W889" s="46" t="s">
        <v>391</v>
      </c>
      <c r="X889" s="47" t="s">
        <v>9310</v>
      </c>
      <c r="Y889" s="46" t="s">
        <v>6040</v>
      </c>
      <c r="Z889" s="46" t="s">
        <v>6041</v>
      </c>
      <c r="AA889" s="46" t="s">
        <v>6042</v>
      </c>
      <c r="AB889" s="47" t="s">
        <v>9310</v>
      </c>
      <c r="AC889" s="48" t="s">
        <v>6043</v>
      </c>
      <c r="AD889" s="30"/>
      <c r="AE889" s="197"/>
      <c r="AF889" s="47"/>
    </row>
    <row r="890" spans="1:32" s="29" customFormat="1" ht="69.95" hidden="1" customHeight="1">
      <c r="A890" s="29" t="s">
        <v>6040</v>
      </c>
      <c r="B890" s="29" t="s">
        <v>3769</v>
      </c>
      <c r="C890" s="40" t="s">
        <v>32</v>
      </c>
      <c r="D890" s="40"/>
      <c r="E890" s="57" t="s">
        <v>8611</v>
      </c>
      <c r="F890" s="57" t="s">
        <v>8611</v>
      </c>
      <c r="G890" s="29" t="s">
        <v>2057</v>
      </c>
      <c r="J890" s="29">
        <f t="shared" si="49"/>
        <v>1</v>
      </c>
      <c r="K890" s="42">
        <v>883</v>
      </c>
      <c r="L890" s="43" t="s">
        <v>2058</v>
      </c>
      <c r="M890" s="44" t="s">
        <v>405</v>
      </c>
      <c r="N890" s="44" t="s">
        <v>536</v>
      </c>
      <c r="O890" s="44" t="str">
        <f t="shared" si="52"/>
        <v>PE-L1-4C4-26</v>
      </c>
      <c r="P890" s="45">
        <v>7.5</v>
      </c>
      <c r="Q890" s="44">
        <v>400</v>
      </c>
      <c r="R890" s="44" t="s">
        <v>49</v>
      </c>
      <c r="S890" s="44">
        <v>20</v>
      </c>
      <c r="T890" s="46" t="s">
        <v>5986</v>
      </c>
      <c r="U890" s="46" t="s">
        <v>6040</v>
      </c>
      <c r="V890" s="46" t="s">
        <v>225</v>
      </c>
      <c r="W890" s="46" t="s">
        <v>6041</v>
      </c>
      <c r="X890" s="47" t="s">
        <v>9305</v>
      </c>
      <c r="Y890" s="46" t="s">
        <v>6044</v>
      </c>
      <c r="Z890" s="46" t="s">
        <v>6045</v>
      </c>
      <c r="AA890" s="46" t="s">
        <v>6042</v>
      </c>
      <c r="AB890" s="47" t="s">
        <v>9305</v>
      </c>
      <c r="AC890" s="48" t="s">
        <v>6046</v>
      </c>
      <c r="AD890" s="30"/>
      <c r="AE890" s="197"/>
      <c r="AF890" s="47"/>
    </row>
    <row r="891" spans="1:32" s="29" customFormat="1" ht="69.95" hidden="1" customHeight="1">
      <c r="A891" s="29" t="s">
        <v>6040</v>
      </c>
      <c r="B891" s="29" t="s">
        <v>3769</v>
      </c>
      <c r="C891" s="40" t="s">
        <v>36</v>
      </c>
      <c r="D891" s="40"/>
      <c r="E891" s="59" t="s">
        <v>8595</v>
      </c>
      <c r="F891" s="59" t="s">
        <v>8595</v>
      </c>
      <c r="G891" s="29" t="s">
        <v>2059</v>
      </c>
      <c r="J891" s="29">
        <f t="shared" si="49"/>
        <v>1</v>
      </c>
      <c r="K891" s="42">
        <v>884</v>
      </c>
      <c r="L891" s="43" t="s">
        <v>2060</v>
      </c>
      <c r="M891" s="44" t="s">
        <v>405</v>
      </c>
      <c r="N891" s="44" t="s">
        <v>426</v>
      </c>
      <c r="O891" s="44" t="str">
        <f t="shared" si="52"/>
        <v>PE-L1-3C4-26</v>
      </c>
      <c r="P891" s="45">
        <v>0.03</v>
      </c>
      <c r="Q891" s="44">
        <v>230</v>
      </c>
      <c r="R891" s="44" t="s">
        <v>49</v>
      </c>
      <c r="S891" s="44">
        <v>20</v>
      </c>
      <c r="T891" s="46" t="s">
        <v>5986</v>
      </c>
      <c r="U891" s="46" t="s">
        <v>6040</v>
      </c>
      <c r="V891" s="46" t="s">
        <v>225</v>
      </c>
      <c r="W891" s="46" t="s">
        <v>6041</v>
      </c>
      <c r="X891" s="172" t="s">
        <v>9167</v>
      </c>
      <c r="Y891" s="46" t="s">
        <v>6044</v>
      </c>
      <c r="Z891" s="46" t="s">
        <v>6047</v>
      </c>
      <c r="AA891" s="46" t="s">
        <v>6042</v>
      </c>
      <c r="AB891" s="172" t="s">
        <v>9167</v>
      </c>
      <c r="AC891" s="48" t="s">
        <v>6048</v>
      </c>
      <c r="AD891" s="30"/>
      <c r="AE891" s="197"/>
      <c r="AF891" s="47"/>
    </row>
    <row r="892" spans="1:32" s="29" customFormat="1" ht="69.95" hidden="1" customHeight="1">
      <c r="A892" s="29" t="s">
        <v>6040</v>
      </c>
      <c r="B892" s="29" t="s">
        <v>3769</v>
      </c>
      <c r="C892" s="40" t="s">
        <v>38</v>
      </c>
      <c r="D892" s="40"/>
      <c r="E892" s="57" t="s">
        <v>8611</v>
      </c>
      <c r="F892" s="57" t="s">
        <v>8611</v>
      </c>
      <c r="G892" s="29" t="s">
        <v>2061</v>
      </c>
      <c r="J892" s="29">
        <f t="shared" si="49"/>
        <v>1</v>
      </c>
      <c r="K892" s="42">
        <v>885</v>
      </c>
      <c r="L892" s="43" t="s">
        <v>2062</v>
      </c>
      <c r="M892" s="44" t="s">
        <v>405</v>
      </c>
      <c r="N892" s="44" t="s">
        <v>536</v>
      </c>
      <c r="O892" s="44" t="str">
        <f t="shared" si="52"/>
        <v>PE-L1-4C4-26</v>
      </c>
      <c r="P892" s="45">
        <v>7.5</v>
      </c>
      <c r="Q892" s="44">
        <v>400</v>
      </c>
      <c r="R892" s="44" t="s">
        <v>49</v>
      </c>
      <c r="S892" s="44">
        <v>20</v>
      </c>
      <c r="T892" s="46" t="s">
        <v>5986</v>
      </c>
      <c r="U892" s="46" t="s">
        <v>6040</v>
      </c>
      <c r="V892" s="46" t="s">
        <v>225</v>
      </c>
      <c r="W892" s="46" t="s">
        <v>6041</v>
      </c>
      <c r="X892" s="47" t="s">
        <v>9305</v>
      </c>
      <c r="Y892" s="46" t="s">
        <v>6049</v>
      </c>
      <c r="Z892" s="46" t="s">
        <v>6050</v>
      </c>
      <c r="AA892" s="46" t="s">
        <v>6042</v>
      </c>
      <c r="AB892" s="47" t="s">
        <v>9305</v>
      </c>
      <c r="AC892" s="48" t="s">
        <v>6051</v>
      </c>
      <c r="AD892" s="30"/>
      <c r="AE892" s="197"/>
      <c r="AF892" s="47"/>
    </row>
    <row r="893" spans="1:32" s="29" customFormat="1" ht="69.95" hidden="1" customHeight="1">
      <c r="A893" s="29" t="s">
        <v>6040</v>
      </c>
      <c r="B893" s="29" t="s">
        <v>3769</v>
      </c>
      <c r="C893" s="40" t="s">
        <v>40</v>
      </c>
      <c r="D893" s="40"/>
      <c r="E893" s="58" t="s">
        <v>8598</v>
      </c>
      <c r="F893" s="121" t="s">
        <v>8806</v>
      </c>
      <c r="G893" s="29" t="s">
        <v>2063</v>
      </c>
      <c r="J893" s="29">
        <f t="shared" si="49"/>
        <v>1</v>
      </c>
      <c r="K893" s="42">
        <v>886</v>
      </c>
      <c r="L893" s="43" t="s">
        <v>9437</v>
      </c>
      <c r="M893" s="44" t="s">
        <v>405</v>
      </c>
      <c r="N893" s="44" t="s">
        <v>426</v>
      </c>
      <c r="O893" s="44" t="str">
        <f t="shared" si="52"/>
        <v>PE-L1-3C4-29</v>
      </c>
      <c r="P893" s="45">
        <v>0.03</v>
      </c>
      <c r="Q893" s="44">
        <v>230</v>
      </c>
      <c r="R893" s="44" t="s">
        <v>49</v>
      </c>
      <c r="S893" s="44">
        <v>20</v>
      </c>
      <c r="T893" s="46" t="s">
        <v>5986</v>
      </c>
      <c r="U893" s="46" t="s">
        <v>6040</v>
      </c>
      <c r="V893" s="46" t="s">
        <v>225</v>
      </c>
      <c r="W893" s="46" t="s">
        <v>6041</v>
      </c>
      <c r="X893" s="172" t="s">
        <v>9167</v>
      </c>
      <c r="Y893" s="46" t="s">
        <v>6049</v>
      </c>
      <c r="Z893" s="46" t="s">
        <v>6052</v>
      </c>
      <c r="AA893" s="46" t="s">
        <v>6042</v>
      </c>
      <c r="AB893" s="172" t="s">
        <v>9167</v>
      </c>
      <c r="AC893" s="48" t="s">
        <v>6053</v>
      </c>
      <c r="AD893" s="30"/>
      <c r="AE893" s="197"/>
      <c r="AF893" s="47"/>
    </row>
    <row r="894" spans="1:32" s="29" customFormat="1" ht="69.95" hidden="1" customHeight="1">
      <c r="A894" s="29" t="s">
        <v>398</v>
      </c>
      <c r="B894" s="29" t="s">
        <v>3769</v>
      </c>
      <c r="C894" s="40">
        <v>20</v>
      </c>
      <c r="D894" s="40"/>
      <c r="E894" s="57" t="s">
        <v>8640</v>
      </c>
      <c r="F894" s="57" t="s">
        <v>8640</v>
      </c>
      <c r="G894" s="29" t="s">
        <v>2064</v>
      </c>
      <c r="J894" s="29">
        <f t="shared" si="49"/>
        <v>1</v>
      </c>
      <c r="K894" s="42">
        <v>887</v>
      </c>
      <c r="L894" s="43" t="s">
        <v>2065</v>
      </c>
      <c r="M894" s="44" t="s">
        <v>405</v>
      </c>
      <c r="N894" s="44" t="s">
        <v>1981</v>
      </c>
      <c r="O894" s="44" t="str">
        <f t="shared" si="52"/>
        <v>PE-L1-5C10-02</v>
      </c>
      <c r="P894" s="45">
        <v>15.5</v>
      </c>
      <c r="Q894" s="44">
        <v>400</v>
      </c>
      <c r="R894" s="44" t="s">
        <v>49</v>
      </c>
      <c r="S894" s="44">
        <v>120</v>
      </c>
      <c r="T894" s="46" t="s">
        <v>5986</v>
      </c>
      <c r="U894" s="46" t="s">
        <v>398</v>
      </c>
      <c r="V894" s="46" t="s">
        <v>399</v>
      </c>
      <c r="W894" s="46" t="s">
        <v>397</v>
      </c>
      <c r="X894" s="47" t="s">
        <v>9310</v>
      </c>
      <c r="Y894" s="46" t="s">
        <v>6054</v>
      </c>
      <c r="Z894" s="46" t="s">
        <v>6055</v>
      </c>
      <c r="AA894" s="46" t="s">
        <v>6042</v>
      </c>
      <c r="AB894" s="47" t="s">
        <v>9310</v>
      </c>
      <c r="AC894" s="48" t="s">
        <v>6056</v>
      </c>
      <c r="AD894" s="30"/>
      <c r="AE894" s="197"/>
      <c r="AF894" s="47"/>
    </row>
    <row r="895" spans="1:32" s="29" customFormat="1" ht="69.95" hidden="1" customHeight="1">
      <c r="A895" s="29" t="s">
        <v>6054</v>
      </c>
      <c r="B895" s="29" t="s">
        <v>3769</v>
      </c>
      <c r="C895" s="40" t="s">
        <v>32</v>
      </c>
      <c r="D895" s="40"/>
      <c r="E895" s="57" t="s">
        <v>8611</v>
      </c>
      <c r="F895" s="57" t="s">
        <v>8611</v>
      </c>
      <c r="G895" s="29" t="s">
        <v>2066</v>
      </c>
      <c r="J895" s="29">
        <f t="shared" si="49"/>
        <v>1</v>
      </c>
      <c r="K895" s="42">
        <v>888</v>
      </c>
      <c r="L895" s="43" t="s">
        <v>2067</v>
      </c>
      <c r="M895" s="44" t="s">
        <v>405</v>
      </c>
      <c r="N895" s="44" t="s">
        <v>536</v>
      </c>
      <c r="O895" s="44" t="str">
        <f t="shared" si="52"/>
        <v>PE-L1-4C4-26</v>
      </c>
      <c r="P895" s="45">
        <v>7.5</v>
      </c>
      <c r="Q895" s="44">
        <v>400</v>
      </c>
      <c r="R895" s="44" t="s">
        <v>49</v>
      </c>
      <c r="S895" s="44">
        <v>20</v>
      </c>
      <c r="T895" s="46" t="s">
        <v>5986</v>
      </c>
      <c r="U895" s="46" t="s">
        <v>6054</v>
      </c>
      <c r="V895" s="46" t="s">
        <v>225</v>
      </c>
      <c r="W895" s="46" t="s">
        <v>6055</v>
      </c>
      <c r="X895" s="47" t="s">
        <v>9305</v>
      </c>
      <c r="Y895" s="46" t="s">
        <v>6057</v>
      </c>
      <c r="Z895" s="46" t="s">
        <v>6058</v>
      </c>
      <c r="AA895" s="46" t="s">
        <v>6042</v>
      </c>
      <c r="AB895" s="47" t="s">
        <v>9305</v>
      </c>
      <c r="AC895" s="48" t="s">
        <v>6059</v>
      </c>
      <c r="AD895" s="30"/>
      <c r="AE895" s="197"/>
      <c r="AF895" s="47"/>
    </row>
    <row r="896" spans="1:32" s="29" customFormat="1" ht="69.95" hidden="1" customHeight="1">
      <c r="A896" s="29" t="s">
        <v>6054</v>
      </c>
      <c r="B896" s="29" t="s">
        <v>3769</v>
      </c>
      <c r="C896" s="40" t="s">
        <v>36</v>
      </c>
      <c r="D896" s="40"/>
      <c r="E896" s="59" t="s">
        <v>8598</v>
      </c>
      <c r="F896" s="121" t="s">
        <v>8806</v>
      </c>
      <c r="G896" s="29" t="s">
        <v>2068</v>
      </c>
      <c r="J896" s="29">
        <f t="shared" si="49"/>
        <v>1</v>
      </c>
      <c r="K896" s="42">
        <v>889</v>
      </c>
      <c r="L896" s="43" t="s">
        <v>2069</v>
      </c>
      <c r="M896" s="44" t="s">
        <v>405</v>
      </c>
      <c r="N896" s="44" t="s">
        <v>426</v>
      </c>
      <c r="O896" s="44" t="str">
        <f t="shared" si="52"/>
        <v>PE-L1-3C4-29</v>
      </c>
      <c r="P896" s="45">
        <v>0.03</v>
      </c>
      <c r="Q896" s="44">
        <v>230</v>
      </c>
      <c r="R896" s="44" t="s">
        <v>49</v>
      </c>
      <c r="S896" s="44">
        <v>20</v>
      </c>
      <c r="T896" s="46" t="s">
        <v>5986</v>
      </c>
      <c r="U896" s="46" t="s">
        <v>6054</v>
      </c>
      <c r="V896" s="46" t="s">
        <v>225</v>
      </c>
      <c r="W896" s="46" t="s">
        <v>6055</v>
      </c>
      <c r="X896" s="172" t="s">
        <v>9167</v>
      </c>
      <c r="Y896" s="46" t="s">
        <v>6057</v>
      </c>
      <c r="Z896" s="46" t="s">
        <v>6060</v>
      </c>
      <c r="AA896" s="46" t="s">
        <v>6042</v>
      </c>
      <c r="AB896" s="172" t="s">
        <v>9167</v>
      </c>
      <c r="AC896" s="48" t="s">
        <v>6061</v>
      </c>
      <c r="AD896" s="30"/>
      <c r="AE896" s="197"/>
      <c r="AF896" s="47"/>
    </row>
    <row r="897" spans="1:32" s="29" customFormat="1" ht="69.95" hidden="1" customHeight="1">
      <c r="A897" s="29" t="s">
        <v>6054</v>
      </c>
      <c r="B897" s="29" t="s">
        <v>3769</v>
      </c>
      <c r="C897" s="40" t="s">
        <v>38</v>
      </c>
      <c r="D897" s="40"/>
      <c r="E897" s="57" t="s">
        <v>8611</v>
      </c>
      <c r="F897" s="57" t="s">
        <v>8611</v>
      </c>
      <c r="G897" s="29" t="s">
        <v>2070</v>
      </c>
      <c r="J897" s="29">
        <f t="shared" si="49"/>
        <v>1</v>
      </c>
      <c r="K897" s="42">
        <v>890</v>
      </c>
      <c r="L897" s="43" t="s">
        <v>2071</v>
      </c>
      <c r="M897" s="44" t="s">
        <v>405</v>
      </c>
      <c r="N897" s="44" t="s">
        <v>536</v>
      </c>
      <c r="O897" s="44" t="str">
        <f t="shared" si="52"/>
        <v>PE-L1-4C4-26</v>
      </c>
      <c r="P897" s="45">
        <v>7.5</v>
      </c>
      <c r="Q897" s="44">
        <v>400</v>
      </c>
      <c r="R897" s="44" t="s">
        <v>49</v>
      </c>
      <c r="S897" s="44">
        <v>20</v>
      </c>
      <c r="T897" s="46" t="s">
        <v>5986</v>
      </c>
      <c r="U897" s="46" t="s">
        <v>6054</v>
      </c>
      <c r="V897" s="46" t="s">
        <v>225</v>
      </c>
      <c r="W897" s="46" t="s">
        <v>6055</v>
      </c>
      <c r="X897" s="47" t="s">
        <v>9305</v>
      </c>
      <c r="Y897" s="46" t="s">
        <v>6062</v>
      </c>
      <c r="Z897" s="46" t="s">
        <v>6063</v>
      </c>
      <c r="AA897" s="46" t="s">
        <v>6042</v>
      </c>
      <c r="AB897" s="47" t="s">
        <v>9305</v>
      </c>
      <c r="AC897" s="48" t="s">
        <v>6064</v>
      </c>
      <c r="AD897" s="30"/>
      <c r="AE897" s="197"/>
      <c r="AF897" s="47"/>
    </row>
    <row r="898" spans="1:32" s="29" customFormat="1" ht="69.95" hidden="1" customHeight="1">
      <c r="A898" s="29" t="s">
        <v>6054</v>
      </c>
      <c r="B898" s="29" t="s">
        <v>3769</v>
      </c>
      <c r="C898" s="40" t="s">
        <v>40</v>
      </c>
      <c r="D898" s="40"/>
      <c r="E898" s="58" t="s">
        <v>8598</v>
      </c>
      <c r="F898" s="121" t="s">
        <v>8806</v>
      </c>
      <c r="G898" s="29" t="s">
        <v>2072</v>
      </c>
      <c r="J898" s="29">
        <f t="shared" si="49"/>
        <v>1</v>
      </c>
      <c r="K898" s="42">
        <v>891</v>
      </c>
      <c r="L898" s="43" t="s">
        <v>2073</v>
      </c>
      <c r="M898" s="44" t="s">
        <v>405</v>
      </c>
      <c r="N898" s="44" t="s">
        <v>426</v>
      </c>
      <c r="O898" s="44" t="str">
        <f t="shared" si="52"/>
        <v>PE-L1-3C4-29</v>
      </c>
      <c r="P898" s="45">
        <v>0.03</v>
      </c>
      <c r="Q898" s="44">
        <v>230</v>
      </c>
      <c r="R898" s="44" t="s">
        <v>49</v>
      </c>
      <c r="S898" s="44">
        <v>20</v>
      </c>
      <c r="T898" s="46" t="s">
        <v>5986</v>
      </c>
      <c r="U898" s="46" t="s">
        <v>6054</v>
      </c>
      <c r="V898" s="46" t="s">
        <v>225</v>
      </c>
      <c r="W898" s="46" t="s">
        <v>6055</v>
      </c>
      <c r="X898" s="172" t="s">
        <v>9167</v>
      </c>
      <c r="Y898" s="46" t="s">
        <v>6062</v>
      </c>
      <c r="Z898" s="46" t="s">
        <v>6065</v>
      </c>
      <c r="AA898" s="46" t="s">
        <v>6042</v>
      </c>
      <c r="AB898" s="172" t="s">
        <v>9167</v>
      </c>
      <c r="AC898" s="48" t="s">
        <v>6066</v>
      </c>
      <c r="AD898" s="30"/>
      <c r="AE898" s="197"/>
      <c r="AF898" s="47"/>
    </row>
    <row r="899" spans="1:32" s="29" customFormat="1" ht="69.95" hidden="1" customHeight="1">
      <c r="A899" s="29" t="s">
        <v>4407</v>
      </c>
      <c r="B899" s="29" t="s">
        <v>3769</v>
      </c>
      <c r="C899" s="40">
        <v>38</v>
      </c>
      <c r="D899" s="40"/>
      <c r="E899" s="57" t="s">
        <v>123</v>
      </c>
      <c r="F899" s="57" t="s">
        <v>123</v>
      </c>
      <c r="G899" s="29" t="s">
        <v>2074</v>
      </c>
      <c r="J899" s="29">
        <f t="shared" si="49"/>
        <v>1</v>
      </c>
      <c r="K899" s="42">
        <v>892</v>
      </c>
      <c r="L899" s="43" t="s">
        <v>2075</v>
      </c>
      <c r="M899" s="44" t="s">
        <v>405</v>
      </c>
      <c r="N899" s="44" t="s">
        <v>1098</v>
      </c>
      <c r="O899" s="44" t="str">
        <f t="shared" si="52"/>
        <v>PE-L1-5C25/16-01</v>
      </c>
      <c r="P899" s="45">
        <v>22</v>
      </c>
      <c r="Q899" s="44">
        <v>400</v>
      </c>
      <c r="R899" s="44" t="s">
        <v>49</v>
      </c>
      <c r="S899" s="44">
        <v>290</v>
      </c>
      <c r="T899" s="46" t="s">
        <v>6067</v>
      </c>
      <c r="U899" s="46" t="s">
        <v>4407</v>
      </c>
      <c r="V899" s="46" t="s">
        <v>4408</v>
      </c>
      <c r="W899" s="46" t="s">
        <v>335</v>
      </c>
      <c r="X899" s="47" t="s">
        <v>9310</v>
      </c>
      <c r="Y899" s="46" t="s">
        <v>6068</v>
      </c>
      <c r="Z899" s="46" t="s">
        <v>6069</v>
      </c>
      <c r="AA899" s="46" t="s">
        <v>6070</v>
      </c>
      <c r="AB899" s="47" t="s">
        <v>9310</v>
      </c>
      <c r="AC899" s="48" t="s">
        <v>6071</v>
      </c>
      <c r="AD899" s="30"/>
      <c r="AE899" s="197"/>
      <c r="AF899" s="47"/>
    </row>
    <row r="900" spans="1:32" s="29" customFormat="1" ht="69.95" hidden="1" customHeight="1">
      <c r="A900" s="29" t="s">
        <v>4474</v>
      </c>
      <c r="B900" s="29" t="s">
        <v>3769</v>
      </c>
      <c r="C900" s="40">
        <v>35</v>
      </c>
      <c r="D900" s="40"/>
      <c r="E900" s="57" t="s">
        <v>145</v>
      </c>
      <c r="F900" s="57" t="s">
        <v>145</v>
      </c>
      <c r="G900" s="29" t="s">
        <v>2076</v>
      </c>
      <c r="J900" s="29">
        <f t="shared" si="49"/>
        <v>1</v>
      </c>
      <c r="K900" s="42">
        <v>893</v>
      </c>
      <c r="L900" s="43" t="s">
        <v>2077</v>
      </c>
      <c r="M900" s="44" t="s">
        <v>405</v>
      </c>
      <c r="N900" s="44" t="s">
        <v>1098</v>
      </c>
      <c r="O900" s="44" t="str">
        <f t="shared" si="52"/>
        <v>PE-L1-5C25/16-03</v>
      </c>
      <c r="P900" s="45">
        <v>22</v>
      </c>
      <c r="Q900" s="44">
        <v>400</v>
      </c>
      <c r="R900" s="44" t="s">
        <v>49</v>
      </c>
      <c r="S900" s="44">
        <v>330</v>
      </c>
      <c r="T900" s="46" t="s">
        <v>6067</v>
      </c>
      <c r="U900" s="46" t="s">
        <v>4474</v>
      </c>
      <c r="V900" s="46" t="s">
        <v>4475</v>
      </c>
      <c r="W900" s="46" t="s">
        <v>347</v>
      </c>
      <c r="X900" s="47" t="s">
        <v>9310</v>
      </c>
      <c r="Y900" s="46" t="s">
        <v>6072</v>
      </c>
      <c r="Z900" s="46" t="s">
        <v>6073</v>
      </c>
      <c r="AA900" s="46" t="s">
        <v>6070</v>
      </c>
      <c r="AB900" s="47" t="s">
        <v>9310</v>
      </c>
      <c r="AC900" s="48" t="s">
        <v>6074</v>
      </c>
      <c r="AD900" s="30"/>
      <c r="AE900" s="197"/>
      <c r="AF900" s="47"/>
    </row>
    <row r="901" spans="1:32" s="29" customFormat="1" ht="69.95" hidden="1" customHeight="1">
      <c r="A901" s="29" t="s">
        <v>4412</v>
      </c>
      <c r="B901" s="29" t="s">
        <v>3769</v>
      </c>
      <c r="C901" s="40">
        <v>28</v>
      </c>
      <c r="D901" s="124" t="s">
        <v>9045</v>
      </c>
      <c r="E901" s="57" t="s">
        <v>224</v>
      </c>
      <c r="F901" s="57" t="s">
        <v>224</v>
      </c>
      <c r="G901" s="131" t="s">
        <v>9085</v>
      </c>
      <c r="H901" s="43" t="s">
        <v>9086</v>
      </c>
      <c r="J901" s="29">
        <f t="shared" si="49"/>
        <v>1</v>
      </c>
      <c r="K901" s="127">
        <v>894</v>
      </c>
      <c r="L901" s="123" t="s">
        <v>8952</v>
      </c>
      <c r="M901" s="44" t="s">
        <v>405</v>
      </c>
      <c r="N901" s="44" t="s">
        <v>1986</v>
      </c>
      <c r="O901" s="44" t="str">
        <f t="shared" si="52"/>
        <v>PE-L1-5C16-02</v>
      </c>
      <c r="P901" s="45">
        <v>18</v>
      </c>
      <c r="Q901" s="44">
        <v>400</v>
      </c>
      <c r="R901" s="44" t="s">
        <v>49</v>
      </c>
      <c r="S901" s="125">
        <v>270</v>
      </c>
      <c r="T901" s="46" t="s">
        <v>6075</v>
      </c>
      <c r="U901" s="122" t="s">
        <v>4407</v>
      </c>
      <c r="V901" s="122" t="s">
        <v>4408</v>
      </c>
      <c r="W901" s="46" t="s">
        <v>335</v>
      </c>
      <c r="X901" s="47" t="s">
        <v>9310</v>
      </c>
      <c r="Y901" s="46" t="s">
        <v>6076</v>
      </c>
      <c r="Z901" s="46" t="s">
        <v>6077</v>
      </c>
      <c r="AA901" s="46" t="s">
        <v>6078</v>
      </c>
      <c r="AB901" s="47" t="s">
        <v>9310</v>
      </c>
      <c r="AC901" s="76" t="s">
        <v>9030</v>
      </c>
      <c r="AD901" s="30"/>
      <c r="AE901" s="197"/>
      <c r="AF901" s="47"/>
    </row>
    <row r="902" spans="1:32" s="29" customFormat="1" ht="69.95" hidden="1" customHeight="1">
      <c r="A902" s="29" t="s">
        <v>3959</v>
      </c>
      <c r="B902" s="29" t="s">
        <v>3769</v>
      </c>
      <c r="C902" s="40" t="s">
        <v>40</v>
      </c>
      <c r="D902" s="40"/>
      <c r="E902" s="57" t="s">
        <v>226</v>
      </c>
      <c r="F902" s="57" t="s">
        <v>226</v>
      </c>
      <c r="G902" s="29" t="s">
        <v>2078</v>
      </c>
      <c r="J902" s="29">
        <f t="shared" si="49"/>
        <v>1</v>
      </c>
      <c r="K902" s="42">
        <v>895</v>
      </c>
      <c r="L902" s="43" t="s">
        <v>2079</v>
      </c>
      <c r="M902" s="44" t="s">
        <v>405</v>
      </c>
      <c r="N902" s="44" t="s">
        <v>2080</v>
      </c>
      <c r="O902" s="44" t="str">
        <f t="shared" si="52"/>
        <v>PE-L1-3C16-02</v>
      </c>
      <c r="P902" s="45">
        <v>2</v>
      </c>
      <c r="Q902" s="44">
        <v>230</v>
      </c>
      <c r="R902" s="44" t="s">
        <v>428</v>
      </c>
      <c r="S902" s="44">
        <v>260</v>
      </c>
      <c r="T902" s="46" t="s">
        <v>6075</v>
      </c>
      <c r="U902" s="46" t="s">
        <v>3959</v>
      </c>
      <c r="V902" s="46" t="s">
        <v>3960</v>
      </c>
      <c r="W902" s="46" t="s">
        <v>335</v>
      </c>
      <c r="X902" s="172" t="s">
        <v>9167</v>
      </c>
      <c r="Y902" s="46" t="s">
        <v>6076</v>
      </c>
      <c r="Z902" s="46" t="s">
        <v>6077</v>
      </c>
      <c r="AA902" s="46" t="s">
        <v>6078</v>
      </c>
      <c r="AB902" s="172" t="s">
        <v>9167</v>
      </c>
      <c r="AC902" s="48" t="s">
        <v>6079</v>
      </c>
      <c r="AD902" s="30"/>
      <c r="AE902" s="197"/>
      <c r="AF902" s="47"/>
    </row>
    <row r="903" spans="1:32" s="29" customFormat="1" ht="90" hidden="1" customHeight="1">
      <c r="A903" s="29" t="s">
        <v>5407</v>
      </c>
      <c r="B903" s="29" t="s">
        <v>3769</v>
      </c>
      <c r="C903" s="40" t="s">
        <v>38</v>
      </c>
      <c r="D903" s="40"/>
      <c r="E903" s="57" t="s">
        <v>226</v>
      </c>
      <c r="F903" s="57" t="s">
        <v>226</v>
      </c>
      <c r="G903" s="29" t="s">
        <v>2081</v>
      </c>
      <c r="J903" s="29">
        <f t="shared" si="49"/>
        <v>1</v>
      </c>
      <c r="K903" s="42">
        <v>896</v>
      </c>
      <c r="L903" s="43" t="s">
        <v>2082</v>
      </c>
      <c r="M903" s="44" t="s">
        <v>405</v>
      </c>
      <c r="N903" s="44" t="s">
        <v>2080</v>
      </c>
      <c r="O903" s="44" t="str">
        <f t="shared" si="52"/>
        <v>PE-L1-3C16-02</v>
      </c>
      <c r="P903" s="45">
        <v>1.5</v>
      </c>
      <c r="Q903" s="44">
        <v>230</v>
      </c>
      <c r="R903" s="44" t="s">
        <v>428</v>
      </c>
      <c r="S903" s="44">
        <v>380</v>
      </c>
      <c r="T903" s="46" t="s">
        <v>8585</v>
      </c>
      <c r="U903" s="46" t="s">
        <v>5407</v>
      </c>
      <c r="V903" s="46" t="s">
        <v>5408</v>
      </c>
      <c r="W903" s="46" t="s">
        <v>335</v>
      </c>
      <c r="X903" s="172" t="s">
        <v>9167</v>
      </c>
      <c r="Y903" s="46" t="s">
        <v>6080</v>
      </c>
      <c r="Z903" s="46" t="s">
        <v>6081</v>
      </c>
      <c r="AA903" s="46" t="s">
        <v>5791</v>
      </c>
      <c r="AB903" s="172" t="s">
        <v>9167</v>
      </c>
      <c r="AC903" s="48" t="s">
        <v>6082</v>
      </c>
      <c r="AD903" s="30"/>
      <c r="AE903" s="197"/>
      <c r="AF903" s="47"/>
    </row>
    <row r="904" spans="1:32" s="29" customFormat="1" ht="69.95" hidden="1" customHeight="1">
      <c r="A904" s="29" t="s">
        <v>4474</v>
      </c>
      <c r="B904" s="29" t="s">
        <v>3769</v>
      </c>
      <c r="C904" s="40">
        <v>36</v>
      </c>
      <c r="D904" s="40"/>
      <c r="E904" s="57" t="s">
        <v>145</v>
      </c>
      <c r="F904" s="57" t="s">
        <v>145</v>
      </c>
      <c r="G904" s="29" t="s">
        <v>2083</v>
      </c>
      <c r="J904" s="29">
        <f t="shared" ref="J904:J967" si="53">COUNTIF(L:L,L904)</f>
        <v>1</v>
      </c>
      <c r="K904" s="42">
        <v>897</v>
      </c>
      <c r="L904" s="43" t="s">
        <v>2084</v>
      </c>
      <c r="M904" s="44" t="s">
        <v>405</v>
      </c>
      <c r="N904" s="44" t="s">
        <v>1098</v>
      </c>
      <c r="O904" s="44" t="str">
        <f t="shared" si="52"/>
        <v>PE-L1-5C25/16-03</v>
      </c>
      <c r="P904" s="45">
        <v>18</v>
      </c>
      <c r="Q904" s="44">
        <v>400</v>
      </c>
      <c r="R904" s="44" t="s">
        <v>49</v>
      </c>
      <c r="S904" s="44">
        <v>330</v>
      </c>
      <c r="T904" s="46" t="s">
        <v>4474</v>
      </c>
      <c r="U904" s="46" t="s">
        <v>4474</v>
      </c>
      <c r="V904" s="46" t="s">
        <v>4475</v>
      </c>
      <c r="W904" s="46" t="s">
        <v>347</v>
      </c>
      <c r="X904" s="47" t="s">
        <v>9310</v>
      </c>
      <c r="Y904" s="46" t="s">
        <v>6083</v>
      </c>
      <c r="Z904" s="46" t="s">
        <v>6084</v>
      </c>
      <c r="AA904" s="46" t="s">
        <v>6085</v>
      </c>
      <c r="AB904" s="47" t="s">
        <v>9310</v>
      </c>
      <c r="AC904" s="48" t="s">
        <v>6086</v>
      </c>
      <c r="AD904" s="30"/>
      <c r="AE904" s="197"/>
      <c r="AF904" s="47"/>
    </row>
    <row r="905" spans="1:32" s="29" customFormat="1" ht="69.95" hidden="1" customHeight="1">
      <c r="A905" s="29" t="s">
        <v>4030</v>
      </c>
      <c r="B905" s="29" t="s">
        <v>3769</v>
      </c>
      <c r="C905" s="40" t="s">
        <v>40</v>
      </c>
      <c r="D905" s="40"/>
      <c r="E905" s="57" t="s">
        <v>226</v>
      </c>
      <c r="F905" s="57" t="s">
        <v>226</v>
      </c>
      <c r="G905" s="29" t="s">
        <v>2085</v>
      </c>
      <c r="J905" s="29">
        <f t="shared" si="53"/>
        <v>1</v>
      </c>
      <c r="K905" s="42">
        <v>898</v>
      </c>
      <c r="L905" s="43" t="s">
        <v>2086</v>
      </c>
      <c r="M905" s="44" t="s">
        <v>405</v>
      </c>
      <c r="N905" s="44" t="s">
        <v>2080</v>
      </c>
      <c r="O905" s="44" t="str">
        <f t="shared" si="52"/>
        <v>PE-L1-3C16-02</v>
      </c>
      <c r="P905" s="45">
        <v>2</v>
      </c>
      <c r="Q905" s="44">
        <v>230</v>
      </c>
      <c r="R905" s="44" t="s">
        <v>428</v>
      </c>
      <c r="S905" s="44">
        <v>330</v>
      </c>
      <c r="T905" s="46" t="s">
        <v>6075</v>
      </c>
      <c r="U905" s="46" t="s">
        <v>4030</v>
      </c>
      <c r="V905" s="46" t="s">
        <v>4031</v>
      </c>
      <c r="W905" s="46" t="s">
        <v>347</v>
      </c>
      <c r="X905" s="172" t="s">
        <v>9167</v>
      </c>
      <c r="Y905" s="46" t="s">
        <v>6083</v>
      </c>
      <c r="Z905" s="46" t="s">
        <v>6084</v>
      </c>
      <c r="AA905" s="46" t="s">
        <v>6085</v>
      </c>
      <c r="AB905" s="172" t="s">
        <v>9167</v>
      </c>
      <c r="AC905" s="48" t="s">
        <v>6087</v>
      </c>
      <c r="AD905" s="30"/>
      <c r="AE905" s="197"/>
      <c r="AF905" s="47"/>
    </row>
    <row r="906" spans="1:32" s="29" customFormat="1" ht="69.95" hidden="1" customHeight="1">
      <c r="A906" s="29" t="s">
        <v>5159</v>
      </c>
      <c r="B906" s="29" t="s">
        <v>3769</v>
      </c>
      <c r="C906" s="40">
        <v>31</v>
      </c>
      <c r="D906" s="40"/>
      <c r="E906" s="57" t="s">
        <v>145</v>
      </c>
      <c r="F906" s="57" t="s">
        <v>145</v>
      </c>
      <c r="G906" s="29" t="s">
        <v>2087</v>
      </c>
      <c r="J906" s="29">
        <f t="shared" si="53"/>
        <v>1</v>
      </c>
      <c r="K906" s="42">
        <v>899</v>
      </c>
      <c r="L906" s="43" t="s">
        <v>2088</v>
      </c>
      <c r="M906" s="44" t="s">
        <v>405</v>
      </c>
      <c r="N906" s="44" t="s">
        <v>1098</v>
      </c>
      <c r="O906" s="44" t="str">
        <f t="shared" si="52"/>
        <v>PE-L1-5C25/16-03</v>
      </c>
      <c r="P906" s="45">
        <v>35</v>
      </c>
      <c r="Q906" s="44">
        <v>400</v>
      </c>
      <c r="R906" s="44" t="s">
        <v>49</v>
      </c>
      <c r="S906" s="44">
        <v>170</v>
      </c>
      <c r="T906" s="46" t="s">
        <v>5183</v>
      </c>
      <c r="U906" s="46" t="s">
        <v>5159</v>
      </c>
      <c r="V906" s="46" t="s">
        <v>5160</v>
      </c>
      <c r="W906" s="46" t="s">
        <v>5154</v>
      </c>
      <c r="X906" s="47" t="s">
        <v>9310</v>
      </c>
      <c r="Y906" s="46" t="s">
        <v>6088</v>
      </c>
      <c r="Z906" s="46" t="s">
        <v>6089</v>
      </c>
      <c r="AA906" s="46" t="s">
        <v>5185</v>
      </c>
      <c r="AB906" s="47" t="s">
        <v>9310</v>
      </c>
      <c r="AC906" s="48" t="s">
        <v>6090</v>
      </c>
      <c r="AD906" s="30"/>
      <c r="AE906" s="197"/>
      <c r="AF906" s="47"/>
    </row>
    <row r="907" spans="1:32" s="29" customFormat="1" ht="90" hidden="1" customHeight="1">
      <c r="A907" s="29" t="s">
        <v>5411</v>
      </c>
      <c r="B907" s="29" t="s">
        <v>3769</v>
      </c>
      <c r="C907" s="40" t="s">
        <v>40</v>
      </c>
      <c r="D907" s="40"/>
      <c r="E907" s="57" t="s">
        <v>8586</v>
      </c>
      <c r="F907" s="57" t="s">
        <v>8586</v>
      </c>
      <c r="G907" s="29" t="s">
        <v>2089</v>
      </c>
      <c r="J907" s="29">
        <f t="shared" si="53"/>
        <v>1</v>
      </c>
      <c r="K907" s="42">
        <v>900</v>
      </c>
      <c r="L907" s="43" t="s">
        <v>2090</v>
      </c>
      <c r="M907" s="44" t="s">
        <v>405</v>
      </c>
      <c r="N907" s="44" t="s">
        <v>2080</v>
      </c>
      <c r="O907" s="44" t="str">
        <f t="shared" si="52"/>
        <v>PE-L1-3C16-03</v>
      </c>
      <c r="P907" s="45">
        <v>1.5</v>
      </c>
      <c r="Q907" s="44">
        <v>230</v>
      </c>
      <c r="R907" s="44" t="s">
        <v>428</v>
      </c>
      <c r="S907" s="44">
        <v>360</v>
      </c>
      <c r="T907" s="46" t="s">
        <v>8585</v>
      </c>
      <c r="U907" s="46" t="s">
        <v>5411</v>
      </c>
      <c r="V907" s="46" t="s">
        <v>5412</v>
      </c>
      <c r="W907" s="46" t="s">
        <v>335</v>
      </c>
      <c r="X907" s="172" t="s">
        <v>9167</v>
      </c>
      <c r="Y907" s="46" t="s">
        <v>6091</v>
      </c>
      <c r="Z907" s="46" t="s">
        <v>8584</v>
      </c>
      <c r="AA907" s="46" t="s">
        <v>5791</v>
      </c>
      <c r="AB907" s="172" t="s">
        <v>9167</v>
      </c>
      <c r="AC907" s="48" t="s">
        <v>6092</v>
      </c>
      <c r="AD907" s="30"/>
      <c r="AE907" s="197"/>
      <c r="AF907" s="47"/>
    </row>
    <row r="908" spans="1:32" s="29" customFormat="1" ht="69.95" hidden="1" customHeight="1">
      <c r="A908" s="29" t="s">
        <v>5374</v>
      </c>
      <c r="B908" s="29" t="s">
        <v>3769</v>
      </c>
      <c r="C908" s="40" t="s">
        <v>40</v>
      </c>
      <c r="D908" s="40"/>
      <c r="E908" s="56" t="s">
        <v>8289</v>
      </c>
      <c r="F908" s="56" t="s">
        <v>8289</v>
      </c>
      <c r="G908" s="29" t="s">
        <v>2091</v>
      </c>
      <c r="J908" s="29">
        <f t="shared" si="53"/>
        <v>1</v>
      </c>
      <c r="K908" s="42">
        <v>901</v>
      </c>
      <c r="L908" s="43" t="s">
        <v>2092</v>
      </c>
      <c r="M908" s="44" t="s">
        <v>405</v>
      </c>
      <c r="N908" s="44" t="s">
        <v>1972</v>
      </c>
      <c r="O908" s="44" t="str">
        <f t="shared" si="52"/>
        <v>PE-L1-5C6-02</v>
      </c>
      <c r="P908" s="45">
        <v>11.2</v>
      </c>
      <c r="Q908" s="44">
        <v>400</v>
      </c>
      <c r="R908" s="44" t="s">
        <v>49</v>
      </c>
      <c r="S908" s="44">
        <v>80</v>
      </c>
      <c r="T908" s="46" t="s">
        <v>6093</v>
      </c>
      <c r="U908" s="46" t="s">
        <v>5374</v>
      </c>
      <c r="V908" s="46" t="s">
        <v>5375</v>
      </c>
      <c r="W908" s="46" t="s">
        <v>5376</v>
      </c>
      <c r="X908" s="47" t="s">
        <v>9310</v>
      </c>
      <c r="Y908" s="46" t="s">
        <v>2091</v>
      </c>
      <c r="Z908" s="46" t="s">
        <v>6094</v>
      </c>
      <c r="AA908" s="46" t="s">
        <v>5376</v>
      </c>
      <c r="AB908" s="47" t="s">
        <v>9310</v>
      </c>
      <c r="AC908" s="48" t="s">
        <v>6095</v>
      </c>
      <c r="AD908" s="30"/>
      <c r="AE908" s="197"/>
      <c r="AF908" s="47"/>
    </row>
    <row r="909" spans="1:32" s="29" customFormat="1" ht="69.95" hidden="1" customHeight="1">
      <c r="A909" s="29" t="s">
        <v>5381</v>
      </c>
      <c r="B909" s="29" t="s">
        <v>3769</v>
      </c>
      <c r="C909" s="40" t="s">
        <v>41</v>
      </c>
      <c r="D909" s="40"/>
      <c r="E909" s="57" t="s">
        <v>72</v>
      </c>
      <c r="F909" s="57" t="s">
        <v>72</v>
      </c>
      <c r="G909" s="29" t="s">
        <v>2093</v>
      </c>
      <c r="J909" s="29">
        <f t="shared" si="53"/>
        <v>1</v>
      </c>
      <c r="K909" s="42">
        <v>902</v>
      </c>
      <c r="L909" s="43" t="s">
        <v>2094</v>
      </c>
      <c r="M909" s="44" t="s">
        <v>405</v>
      </c>
      <c r="N909" s="44" t="s">
        <v>566</v>
      </c>
      <c r="O909" s="44" t="str">
        <f t="shared" si="52"/>
        <v>PE-L1-5C4-01</v>
      </c>
      <c r="P909" s="45">
        <v>5</v>
      </c>
      <c r="Q909" s="44">
        <v>400</v>
      </c>
      <c r="R909" s="44" t="s">
        <v>49</v>
      </c>
      <c r="S909" s="44">
        <v>80</v>
      </c>
      <c r="T909" s="46" t="s">
        <v>6093</v>
      </c>
      <c r="U909" s="46" t="s">
        <v>5381</v>
      </c>
      <c r="V909" s="46" t="s">
        <v>5382</v>
      </c>
      <c r="W909" s="46" t="s">
        <v>5376</v>
      </c>
      <c r="X909" s="47" t="s">
        <v>9310</v>
      </c>
      <c r="Y909" s="46" t="s">
        <v>2093</v>
      </c>
      <c r="Z909" s="46" t="s">
        <v>6096</v>
      </c>
      <c r="AA909" s="46" t="s">
        <v>5376</v>
      </c>
      <c r="AB909" s="47" t="s">
        <v>9310</v>
      </c>
      <c r="AC909" s="48" t="s">
        <v>6097</v>
      </c>
      <c r="AD909" s="30"/>
      <c r="AE909" s="197"/>
      <c r="AF909" s="47"/>
    </row>
    <row r="910" spans="1:32" s="29" customFormat="1" ht="69.95" hidden="1" customHeight="1">
      <c r="A910" s="29" t="s">
        <v>5381</v>
      </c>
      <c r="B910" s="29" t="s">
        <v>3769</v>
      </c>
      <c r="C910" s="40" t="s">
        <v>42</v>
      </c>
      <c r="D910" s="40"/>
      <c r="E910" s="56" t="s">
        <v>72</v>
      </c>
      <c r="F910" s="57" t="s">
        <v>72</v>
      </c>
      <c r="G910" s="29" t="s">
        <v>2095</v>
      </c>
      <c r="J910" s="29">
        <f t="shared" si="53"/>
        <v>1</v>
      </c>
      <c r="K910" s="42">
        <v>903</v>
      </c>
      <c r="L910" s="43" t="s">
        <v>2096</v>
      </c>
      <c r="M910" s="44" t="s">
        <v>405</v>
      </c>
      <c r="N910" s="44" t="s">
        <v>566</v>
      </c>
      <c r="O910" s="44" t="str">
        <f t="shared" si="52"/>
        <v>PE-L1-5C4-01</v>
      </c>
      <c r="P910" s="45">
        <v>1.5</v>
      </c>
      <c r="Q910" s="44">
        <v>400</v>
      </c>
      <c r="R910" s="44" t="s">
        <v>49</v>
      </c>
      <c r="S910" s="44">
        <v>110</v>
      </c>
      <c r="T910" s="46" t="s">
        <v>6093</v>
      </c>
      <c r="U910" s="46" t="s">
        <v>5381</v>
      </c>
      <c r="V910" s="46" t="s">
        <v>5382</v>
      </c>
      <c r="W910" s="46" t="s">
        <v>5376</v>
      </c>
      <c r="X910" s="47" t="s">
        <v>9310</v>
      </c>
      <c r="Y910" s="46" t="s">
        <v>2095</v>
      </c>
      <c r="Z910" s="46" t="s">
        <v>6098</v>
      </c>
      <c r="AA910" s="46" t="s">
        <v>5376</v>
      </c>
      <c r="AB910" s="47" t="s">
        <v>9310</v>
      </c>
      <c r="AC910" s="48" t="s">
        <v>6099</v>
      </c>
      <c r="AD910" s="30"/>
      <c r="AE910" s="197"/>
      <c r="AF910" s="47"/>
    </row>
    <row r="911" spans="1:32" s="29" customFormat="1" ht="69.95" hidden="1" customHeight="1">
      <c r="A911" s="29" t="s">
        <v>5374</v>
      </c>
      <c r="B911" s="29" t="s">
        <v>3769</v>
      </c>
      <c r="C911" s="40" t="s">
        <v>41</v>
      </c>
      <c r="D911" s="173" t="s">
        <v>9131</v>
      </c>
      <c r="E911" s="57" t="s">
        <v>72</v>
      </c>
      <c r="F911" s="121" t="s">
        <v>229</v>
      </c>
      <c r="G911" s="29" t="s">
        <v>2097</v>
      </c>
      <c r="J911" s="29">
        <f t="shared" si="53"/>
        <v>1</v>
      </c>
      <c r="K911" s="42">
        <v>904</v>
      </c>
      <c r="L911" s="43" t="s">
        <v>2098</v>
      </c>
      <c r="M911" s="44" t="s">
        <v>405</v>
      </c>
      <c r="N911" s="44" t="s">
        <v>566</v>
      </c>
      <c r="O911" s="121" t="str">
        <f>F911</f>
        <v>PE-L1-5C4-02</v>
      </c>
      <c r="P911" s="45">
        <v>2</v>
      </c>
      <c r="Q911" s="44">
        <v>400</v>
      </c>
      <c r="R911" s="44" t="s">
        <v>49</v>
      </c>
      <c r="S911" s="44">
        <v>80</v>
      </c>
      <c r="T911" s="46" t="s">
        <v>6093</v>
      </c>
      <c r="U911" s="46" t="s">
        <v>5374</v>
      </c>
      <c r="V911" s="46" t="s">
        <v>5375</v>
      </c>
      <c r="W911" s="46" t="s">
        <v>5376</v>
      </c>
      <c r="X911" s="47" t="s">
        <v>9310</v>
      </c>
      <c r="Y911" s="46" t="s">
        <v>2097</v>
      </c>
      <c r="Z911" s="46" t="s">
        <v>6100</v>
      </c>
      <c r="AA911" s="46" t="s">
        <v>5376</v>
      </c>
      <c r="AB911" s="47" t="s">
        <v>9310</v>
      </c>
      <c r="AC911" s="48" t="s">
        <v>6101</v>
      </c>
      <c r="AD911" s="30"/>
      <c r="AE911" s="197"/>
      <c r="AF911" s="47"/>
    </row>
    <row r="912" spans="1:32" s="29" customFormat="1" ht="69.95" hidden="1" customHeight="1">
      <c r="A912" s="29" t="s">
        <v>6102</v>
      </c>
      <c r="B912" s="29" t="s">
        <v>3769</v>
      </c>
      <c r="C912" s="40" t="s">
        <v>32</v>
      </c>
      <c r="D912" s="40"/>
      <c r="E912" s="58" t="s">
        <v>79</v>
      </c>
      <c r="F912" s="58" t="s">
        <v>79</v>
      </c>
      <c r="G912" s="29" t="s">
        <v>2099</v>
      </c>
      <c r="J912" s="29">
        <f t="shared" si="53"/>
        <v>1</v>
      </c>
      <c r="K912" s="42">
        <v>905</v>
      </c>
      <c r="L912" s="43" t="s">
        <v>2100</v>
      </c>
      <c r="M912" s="44" t="s">
        <v>405</v>
      </c>
      <c r="N912" s="44" t="s">
        <v>426</v>
      </c>
      <c r="O912" s="44" t="str">
        <f t="shared" ref="O912:O923" si="54">F912</f>
        <v>PE-L1-3C4-21</v>
      </c>
      <c r="P912" s="45">
        <v>1</v>
      </c>
      <c r="Q912" s="44">
        <v>230</v>
      </c>
      <c r="R912" s="44" t="s">
        <v>49</v>
      </c>
      <c r="S912" s="44">
        <v>80</v>
      </c>
      <c r="T912" s="46" t="s">
        <v>6093</v>
      </c>
      <c r="U912" s="46" t="s">
        <v>6102</v>
      </c>
      <c r="V912" s="46" t="s">
        <v>6103</v>
      </c>
      <c r="W912" s="46" t="s">
        <v>5376</v>
      </c>
      <c r="X912" s="172" t="s">
        <v>9167</v>
      </c>
      <c r="Y912" s="46" t="s">
        <v>2099</v>
      </c>
      <c r="Z912" s="46" t="s">
        <v>6104</v>
      </c>
      <c r="AA912" s="46" t="s">
        <v>5376</v>
      </c>
      <c r="AB912" s="172" t="s">
        <v>9167</v>
      </c>
      <c r="AC912" s="48" t="s">
        <v>6105</v>
      </c>
      <c r="AD912" s="30"/>
      <c r="AE912" s="197"/>
      <c r="AF912" s="47"/>
    </row>
    <row r="913" spans="1:32" s="29" customFormat="1" ht="69.95" hidden="1" customHeight="1">
      <c r="A913" s="29" t="s">
        <v>5381</v>
      </c>
      <c r="B913" s="29" t="s">
        <v>3769</v>
      </c>
      <c r="C913" s="40" t="s">
        <v>43</v>
      </c>
      <c r="D913" s="40"/>
      <c r="E913" s="57" t="s">
        <v>8289</v>
      </c>
      <c r="F913" s="57" t="s">
        <v>8289</v>
      </c>
      <c r="G913" s="29" t="s">
        <v>2101</v>
      </c>
      <c r="J913" s="29">
        <f t="shared" si="53"/>
        <v>1</v>
      </c>
      <c r="K913" s="42">
        <v>906</v>
      </c>
      <c r="L913" s="43" t="s">
        <v>2102</v>
      </c>
      <c r="M913" s="44" t="s">
        <v>405</v>
      </c>
      <c r="N913" s="44" t="s">
        <v>1972</v>
      </c>
      <c r="O913" s="44" t="str">
        <f t="shared" si="54"/>
        <v>PE-L1-5C6-02</v>
      </c>
      <c r="P913" s="45">
        <v>11</v>
      </c>
      <c r="Q913" s="44">
        <v>400</v>
      </c>
      <c r="R913" s="44" t="s">
        <v>49</v>
      </c>
      <c r="S913" s="44">
        <v>140</v>
      </c>
      <c r="T913" s="46" t="s">
        <v>6093</v>
      </c>
      <c r="U913" s="46" t="s">
        <v>5381</v>
      </c>
      <c r="V913" s="46" t="s">
        <v>5382</v>
      </c>
      <c r="W913" s="46" t="s">
        <v>5376</v>
      </c>
      <c r="X913" s="47" t="s">
        <v>9310</v>
      </c>
      <c r="Y913" s="46" t="s">
        <v>2101</v>
      </c>
      <c r="Z913" s="46" t="s">
        <v>6106</v>
      </c>
      <c r="AA913" s="46" t="s">
        <v>5376</v>
      </c>
      <c r="AB913" s="47" t="s">
        <v>9310</v>
      </c>
      <c r="AC913" s="48" t="s">
        <v>6107</v>
      </c>
      <c r="AD913" s="30"/>
      <c r="AE913" s="197"/>
      <c r="AF913" s="47"/>
    </row>
    <row r="914" spans="1:32" s="29" customFormat="1" ht="69.95" hidden="1" customHeight="1">
      <c r="A914" s="29" t="s">
        <v>5374</v>
      </c>
      <c r="B914" s="29" t="s">
        <v>3769</v>
      </c>
      <c r="C914" s="40" t="s">
        <v>42</v>
      </c>
      <c r="D914" s="40"/>
      <c r="E914" s="57" t="s">
        <v>8289</v>
      </c>
      <c r="F914" s="57" t="s">
        <v>8289</v>
      </c>
      <c r="G914" s="29" t="s">
        <v>2103</v>
      </c>
      <c r="J914" s="29">
        <f t="shared" si="53"/>
        <v>1</v>
      </c>
      <c r="K914" s="42">
        <v>907</v>
      </c>
      <c r="L914" s="43" t="s">
        <v>2104</v>
      </c>
      <c r="M914" s="44" t="s">
        <v>405</v>
      </c>
      <c r="N914" s="44" t="s">
        <v>1972</v>
      </c>
      <c r="O914" s="44" t="str">
        <f t="shared" si="54"/>
        <v>PE-L1-5C6-02</v>
      </c>
      <c r="P914" s="45">
        <v>12</v>
      </c>
      <c r="Q914" s="44">
        <v>400</v>
      </c>
      <c r="R914" s="44" t="s">
        <v>49</v>
      </c>
      <c r="S914" s="44">
        <v>120</v>
      </c>
      <c r="T914" s="46" t="s">
        <v>6093</v>
      </c>
      <c r="U914" s="46" t="s">
        <v>5374</v>
      </c>
      <c r="V914" s="46" t="s">
        <v>5375</v>
      </c>
      <c r="W914" s="46" t="s">
        <v>5376</v>
      </c>
      <c r="X914" s="47" t="s">
        <v>9310</v>
      </c>
      <c r="Y914" s="46" t="s">
        <v>2103</v>
      </c>
      <c r="Z914" s="46" t="s">
        <v>6108</v>
      </c>
      <c r="AA914" s="46" t="s">
        <v>5376</v>
      </c>
      <c r="AB914" s="47" t="s">
        <v>9310</v>
      </c>
      <c r="AC914" s="48" t="s">
        <v>6109</v>
      </c>
      <c r="AD914" s="30"/>
      <c r="AE914" s="197"/>
      <c r="AF914" s="47"/>
    </row>
    <row r="915" spans="1:32" s="29" customFormat="1" ht="69.95" hidden="1" customHeight="1">
      <c r="A915" s="29" t="s">
        <v>6102</v>
      </c>
      <c r="B915" s="29" t="s">
        <v>3769</v>
      </c>
      <c r="C915" s="40" t="s">
        <v>36</v>
      </c>
      <c r="D915" s="40"/>
      <c r="E915" s="57" t="s">
        <v>79</v>
      </c>
      <c r="F915" s="57" t="s">
        <v>79</v>
      </c>
      <c r="G915" s="29" t="s">
        <v>2105</v>
      </c>
      <c r="J915" s="29">
        <f t="shared" si="53"/>
        <v>1</v>
      </c>
      <c r="K915" s="42">
        <v>908</v>
      </c>
      <c r="L915" s="43" t="s">
        <v>2106</v>
      </c>
      <c r="M915" s="44" t="s">
        <v>405</v>
      </c>
      <c r="N915" s="44" t="s">
        <v>426</v>
      </c>
      <c r="O915" s="44" t="str">
        <f t="shared" si="54"/>
        <v>PE-L1-3C4-21</v>
      </c>
      <c r="P915" s="45">
        <v>1</v>
      </c>
      <c r="Q915" s="44">
        <v>230</v>
      </c>
      <c r="R915" s="44" t="s">
        <v>49</v>
      </c>
      <c r="S915" s="44">
        <v>140</v>
      </c>
      <c r="T915" s="46" t="s">
        <v>6093</v>
      </c>
      <c r="U915" s="46" t="s">
        <v>6102</v>
      </c>
      <c r="V915" s="46" t="s">
        <v>6103</v>
      </c>
      <c r="W915" s="46" t="s">
        <v>5376</v>
      </c>
      <c r="X915" s="172" t="s">
        <v>9167</v>
      </c>
      <c r="Y915" s="46" t="s">
        <v>2105</v>
      </c>
      <c r="Z915" s="46" t="s">
        <v>6110</v>
      </c>
      <c r="AA915" s="46" t="s">
        <v>5376</v>
      </c>
      <c r="AB915" s="172" t="s">
        <v>9167</v>
      </c>
      <c r="AC915" s="48" t="s">
        <v>6111</v>
      </c>
      <c r="AD915" s="30"/>
      <c r="AE915" s="197"/>
      <c r="AF915" s="47"/>
    </row>
    <row r="916" spans="1:32" s="29" customFormat="1" ht="69.95" hidden="1" customHeight="1">
      <c r="A916" s="29" t="s">
        <v>6112</v>
      </c>
      <c r="B916" s="29" t="s">
        <v>3769</v>
      </c>
      <c r="C916" s="40" t="s">
        <v>32</v>
      </c>
      <c r="D916" s="40"/>
      <c r="E916" s="57" t="s">
        <v>63</v>
      </c>
      <c r="F916" s="57" t="s">
        <v>63</v>
      </c>
      <c r="G916" s="29" t="s">
        <v>2107</v>
      </c>
      <c r="J916" s="29">
        <f t="shared" si="53"/>
        <v>1</v>
      </c>
      <c r="K916" s="42">
        <v>909</v>
      </c>
      <c r="L916" s="43" t="s">
        <v>2108</v>
      </c>
      <c r="M916" s="44" t="s">
        <v>405</v>
      </c>
      <c r="N916" s="44" t="s">
        <v>456</v>
      </c>
      <c r="O916" s="44" t="str">
        <f t="shared" si="54"/>
        <v>PE-L1-3C6-05</v>
      </c>
      <c r="P916" s="45">
        <v>2.2000000000000002</v>
      </c>
      <c r="Q916" s="44">
        <v>230</v>
      </c>
      <c r="R916" s="44" t="s">
        <v>49</v>
      </c>
      <c r="S916" s="44">
        <v>110</v>
      </c>
      <c r="T916" s="46" t="s">
        <v>6093</v>
      </c>
      <c r="U916" s="46" t="s">
        <v>6112</v>
      </c>
      <c r="V916" s="46" t="s">
        <v>6113</v>
      </c>
      <c r="W916" s="46" t="s">
        <v>5376</v>
      </c>
      <c r="X916" s="172" t="s">
        <v>9167</v>
      </c>
      <c r="Y916" s="46" t="s">
        <v>2107</v>
      </c>
      <c r="Z916" s="46" t="s">
        <v>6114</v>
      </c>
      <c r="AA916" s="46" t="s">
        <v>5376</v>
      </c>
      <c r="AB916" s="172" t="s">
        <v>9167</v>
      </c>
      <c r="AC916" s="48" t="s">
        <v>6115</v>
      </c>
      <c r="AD916" s="30"/>
      <c r="AE916" s="197"/>
      <c r="AF916" s="47"/>
    </row>
    <row r="917" spans="1:32" s="29" customFormat="1" ht="69.95" hidden="1" customHeight="1">
      <c r="A917" s="29" t="s">
        <v>6102</v>
      </c>
      <c r="B917" s="29" t="s">
        <v>3769</v>
      </c>
      <c r="C917" s="40" t="s">
        <v>38</v>
      </c>
      <c r="D917" s="40"/>
      <c r="E917" s="57" t="s">
        <v>63</v>
      </c>
      <c r="F917" s="57" t="s">
        <v>63</v>
      </c>
      <c r="G917" s="29" t="s">
        <v>2109</v>
      </c>
      <c r="J917" s="29">
        <f t="shared" si="53"/>
        <v>1</v>
      </c>
      <c r="K917" s="42">
        <v>910</v>
      </c>
      <c r="L917" s="43" t="s">
        <v>2110</v>
      </c>
      <c r="M917" s="44" t="s">
        <v>405</v>
      </c>
      <c r="N917" s="44" t="s">
        <v>456</v>
      </c>
      <c r="O917" s="44" t="str">
        <f t="shared" si="54"/>
        <v>PE-L1-3C6-05</v>
      </c>
      <c r="P917" s="45">
        <v>2</v>
      </c>
      <c r="Q917" s="44">
        <v>230</v>
      </c>
      <c r="R917" s="44" t="s">
        <v>49</v>
      </c>
      <c r="S917" s="44">
        <v>110</v>
      </c>
      <c r="T917" s="46" t="s">
        <v>6093</v>
      </c>
      <c r="U917" s="46" t="s">
        <v>6102</v>
      </c>
      <c r="V917" s="46" t="s">
        <v>6103</v>
      </c>
      <c r="W917" s="46" t="s">
        <v>5376</v>
      </c>
      <c r="X917" s="172" t="s">
        <v>9167</v>
      </c>
      <c r="Y917" s="46" t="s">
        <v>2109</v>
      </c>
      <c r="Z917" s="46" t="s">
        <v>6116</v>
      </c>
      <c r="AA917" s="46" t="s">
        <v>5376</v>
      </c>
      <c r="AB917" s="172" t="s">
        <v>9167</v>
      </c>
      <c r="AC917" s="48" t="s">
        <v>6117</v>
      </c>
      <c r="AD917" s="30"/>
      <c r="AE917" s="197"/>
      <c r="AF917" s="47"/>
    </row>
    <row r="918" spans="1:32" s="29" customFormat="1" ht="69.95" hidden="1" customHeight="1">
      <c r="A918" s="29" t="s">
        <v>6112</v>
      </c>
      <c r="B918" s="29" t="s">
        <v>3769</v>
      </c>
      <c r="C918" s="40" t="s">
        <v>36</v>
      </c>
      <c r="D918" s="40"/>
      <c r="E918" s="57" t="s">
        <v>63</v>
      </c>
      <c r="F918" s="57" t="s">
        <v>63</v>
      </c>
      <c r="G918" s="29" t="s">
        <v>2111</v>
      </c>
      <c r="J918" s="29">
        <f t="shared" si="53"/>
        <v>1</v>
      </c>
      <c r="K918" s="42">
        <v>911</v>
      </c>
      <c r="L918" s="43" t="s">
        <v>2112</v>
      </c>
      <c r="M918" s="44" t="s">
        <v>405</v>
      </c>
      <c r="N918" s="44" t="s">
        <v>456</v>
      </c>
      <c r="O918" s="44" t="str">
        <f t="shared" si="54"/>
        <v>PE-L1-3C6-05</v>
      </c>
      <c r="P918" s="45">
        <v>2</v>
      </c>
      <c r="Q918" s="44">
        <v>230</v>
      </c>
      <c r="R918" s="44" t="s">
        <v>49</v>
      </c>
      <c r="S918" s="44">
        <v>110</v>
      </c>
      <c r="T918" s="46" t="s">
        <v>6093</v>
      </c>
      <c r="U918" s="46" t="s">
        <v>6112</v>
      </c>
      <c r="V918" s="46" t="s">
        <v>6113</v>
      </c>
      <c r="W918" s="46" t="s">
        <v>5376</v>
      </c>
      <c r="X918" s="172" t="s">
        <v>9167</v>
      </c>
      <c r="Y918" s="46" t="s">
        <v>2111</v>
      </c>
      <c r="Z918" s="46" t="s">
        <v>6118</v>
      </c>
      <c r="AA918" s="46" t="s">
        <v>5376</v>
      </c>
      <c r="AB918" s="172" t="s">
        <v>9167</v>
      </c>
      <c r="AC918" s="48" t="s">
        <v>6119</v>
      </c>
      <c r="AD918" s="30"/>
      <c r="AE918" s="197"/>
      <c r="AF918" s="47"/>
    </row>
    <row r="919" spans="1:32" s="29" customFormat="1" ht="69.95" hidden="1" customHeight="1">
      <c r="A919" s="29" t="s">
        <v>6102</v>
      </c>
      <c r="B919" s="29" t="s">
        <v>3769</v>
      </c>
      <c r="C919" s="40" t="s">
        <v>40</v>
      </c>
      <c r="D919" s="40"/>
      <c r="E919" s="57" t="s">
        <v>79</v>
      </c>
      <c r="F919" s="57" t="s">
        <v>79</v>
      </c>
      <c r="G919" s="29" t="s">
        <v>2113</v>
      </c>
      <c r="J919" s="29">
        <f t="shared" si="53"/>
        <v>1</v>
      </c>
      <c r="K919" s="42">
        <v>912</v>
      </c>
      <c r="L919" s="43" t="s">
        <v>2114</v>
      </c>
      <c r="M919" s="44" t="s">
        <v>405</v>
      </c>
      <c r="N919" s="44" t="s">
        <v>426</v>
      </c>
      <c r="O919" s="44" t="str">
        <f t="shared" si="54"/>
        <v>PE-L1-3C4-21</v>
      </c>
      <c r="P919" s="45">
        <v>1</v>
      </c>
      <c r="Q919" s="44">
        <v>230</v>
      </c>
      <c r="R919" s="44" t="s">
        <v>49</v>
      </c>
      <c r="S919" s="44">
        <v>110</v>
      </c>
      <c r="T919" s="46" t="s">
        <v>6093</v>
      </c>
      <c r="U919" s="46" t="s">
        <v>6102</v>
      </c>
      <c r="V919" s="46" t="s">
        <v>6103</v>
      </c>
      <c r="W919" s="46" t="s">
        <v>5376</v>
      </c>
      <c r="X919" s="172" t="s">
        <v>9167</v>
      </c>
      <c r="Y919" s="46" t="s">
        <v>2113</v>
      </c>
      <c r="Z919" s="46" t="s">
        <v>6120</v>
      </c>
      <c r="AA919" s="46" t="s">
        <v>5376</v>
      </c>
      <c r="AB919" s="172" t="s">
        <v>9167</v>
      </c>
      <c r="AC919" s="48" t="s">
        <v>6121</v>
      </c>
      <c r="AD919" s="30"/>
      <c r="AE919" s="197"/>
      <c r="AF919" s="47"/>
    </row>
    <row r="920" spans="1:32" s="29" customFormat="1" ht="69.95" hidden="1" customHeight="1">
      <c r="A920" s="29" t="s">
        <v>6112</v>
      </c>
      <c r="B920" s="29" t="s">
        <v>3769</v>
      </c>
      <c r="C920" s="40" t="s">
        <v>38</v>
      </c>
      <c r="D920" s="40"/>
      <c r="E920" s="57" t="s">
        <v>79</v>
      </c>
      <c r="F920" s="57" t="s">
        <v>79</v>
      </c>
      <c r="G920" s="29" t="s">
        <v>2115</v>
      </c>
      <c r="J920" s="29">
        <f t="shared" si="53"/>
        <v>1</v>
      </c>
      <c r="K920" s="42">
        <v>913</v>
      </c>
      <c r="L920" s="43" t="s">
        <v>2116</v>
      </c>
      <c r="M920" s="44" t="s">
        <v>405</v>
      </c>
      <c r="N920" s="44" t="s">
        <v>426</v>
      </c>
      <c r="O920" s="44" t="str">
        <f t="shared" si="54"/>
        <v>PE-L1-3C4-21</v>
      </c>
      <c r="P920" s="45">
        <v>1</v>
      </c>
      <c r="Q920" s="44">
        <v>230</v>
      </c>
      <c r="R920" s="44" t="s">
        <v>49</v>
      </c>
      <c r="S920" s="44">
        <v>110</v>
      </c>
      <c r="T920" s="46" t="s">
        <v>6093</v>
      </c>
      <c r="U920" s="46" t="s">
        <v>6112</v>
      </c>
      <c r="V920" s="46" t="s">
        <v>6113</v>
      </c>
      <c r="W920" s="46" t="s">
        <v>5376</v>
      </c>
      <c r="X920" s="172" t="s">
        <v>9167</v>
      </c>
      <c r="Y920" s="46" t="s">
        <v>2115</v>
      </c>
      <c r="Z920" s="46" t="s">
        <v>6122</v>
      </c>
      <c r="AA920" s="46" t="s">
        <v>5376</v>
      </c>
      <c r="AB920" s="172" t="s">
        <v>9167</v>
      </c>
      <c r="AC920" s="48" t="s">
        <v>6123</v>
      </c>
      <c r="AD920" s="30"/>
      <c r="AE920" s="197"/>
      <c r="AF920" s="47"/>
    </row>
    <row r="921" spans="1:32" s="29" customFormat="1" ht="69.95" hidden="1" customHeight="1">
      <c r="A921" s="29" t="s">
        <v>6102</v>
      </c>
      <c r="B921" s="29" t="s">
        <v>3769</v>
      </c>
      <c r="C921" s="40" t="s">
        <v>41</v>
      </c>
      <c r="D921" s="40"/>
      <c r="E921" s="57" t="s">
        <v>63</v>
      </c>
      <c r="F921" s="57" t="s">
        <v>63</v>
      </c>
      <c r="G921" s="29" t="s">
        <v>2117</v>
      </c>
      <c r="J921" s="29">
        <f t="shared" si="53"/>
        <v>1</v>
      </c>
      <c r="K921" s="42">
        <v>914</v>
      </c>
      <c r="L921" s="43" t="s">
        <v>2118</v>
      </c>
      <c r="M921" s="44" t="s">
        <v>405</v>
      </c>
      <c r="N921" s="44" t="s">
        <v>456</v>
      </c>
      <c r="O921" s="44" t="str">
        <f t="shared" si="54"/>
        <v>PE-L1-3C6-05</v>
      </c>
      <c r="P921" s="45">
        <v>2</v>
      </c>
      <c r="Q921" s="44">
        <v>230</v>
      </c>
      <c r="R921" s="44" t="s">
        <v>49</v>
      </c>
      <c r="S921" s="44">
        <v>140</v>
      </c>
      <c r="T921" s="46" t="s">
        <v>6093</v>
      </c>
      <c r="U921" s="46" t="s">
        <v>6102</v>
      </c>
      <c r="V921" s="46" t="s">
        <v>6103</v>
      </c>
      <c r="W921" s="46" t="s">
        <v>5376</v>
      </c>
      <c r="X921" s="172" t="s">
        <v>9167</v>
      </c>
      <c r="Y921" s="46" t="s">
        <v>2117</v>
      </c>
      <c r="Z921" s="46" t="s">
        <v>6124</v>
      </c>
      <c r="AA921" s="46" t="s">
        <v>5376</v>
      </c>
      <c r="AB921" s="172" t="s">
        <v>9167</v>
      </c>
      <c r="AC921" s="48" t="s">
        <v>6125</v>
      </c>
      <c r="AD921" s="30"/>
      <c r="AE921" s="197"/>
      <c r="AF921" s="47"/>
    </row>
    <row r="922" spans="1:32" s="29" customFormat="1" ht="69.95" hidden="1" customHeight="1">
      <c r="A922" s="29" t="s">
        <v>6112</v>
      </c>
      <c r="B922" s="29" t="s">
        <v>3769</v>
      </c>
      <c r="C922" s="40" t="s">
        <v>40</v>
      </c>
      <c r="D922" s="40"/>
      <c r="E922" s="57" t="s">
        <v>228</v>
      </c>
      <c r="F922" s="57" t="s">
        <v>228</v>
      </c>
      <c r="G922" s="29" t="s">
        <v>2119</v>
      </c>
      <c r="J922" s="29">
        <f t="shared" si="53"/>
        <v>1</v>
      </c>
      <c r="K922" s="42">
        <v>915</v>
      </c>
      <c r="L922" s="43" t="s">
        <v>2120</v>
      </c>
      <c r="M922" s="44" t="s">
        <v>405</v>
      </c>
      <c r="N922" s="44" t="s">
        <v>2080</v>
      </c>
      <c r="O922" s="44" t="str">
        <f t="shared" si="54"/>
        <v>PE-L1-3C16-01</v>
      </c>
      <c r="P922" s="45">
        <v>5</v>
      </c>
      <c r="Q922" s="44">
        <v>230</v>
      </c>
      <c r="R922" s="44" t="s">
        <v>49</v>
      </c>
      <c r="S922" s="44">
        <v>90</v>
      </c>
      <c r="T922" s="46" t="s">
        <v>6093</v>
      </c>
      <c r="U922" s="46" t="s">
        <v>6112</v>
      </c>
      <c r="V922" s="46" t="s">
        <v>6113</v>
      </c>
      <c r="W922" s="46" t="s">
        <v>5376</v>
      </c>
      <c r="X922" s="172" t="s">
        <v>9167</v>
      </c>
      <c r="Y922" s="46" t="s">
        <v>2119</v>
      </c>
      <c r="Z922" s="46" t="s">
        <v>6126</v>
      </c>
      <c r="AA922" s="46" t="s">
        <v>5376</v>
      </c>
      <c r="AB922" s="172" t="s">
        <v>9167</v>
      </c>
      <c r="AC922" s="48" t="s">
        <v>6127</v>
      </c>
      <c r="AD922" s="30"/>
      <c r="AE922" s="197"/>
      <c r="AF922" s="47"/>
    </row>
    <row r="923" spans="1:32" s="29" customFormat="1" ht="69.95" hidden="1" customHeight="1">
      <c r="A923" s="29" t="s">
        <v>6102</v>
      </c>
      <c r="B923" s="29" t="s">
        <v>3769</v>
      </c>
      <c r="C923" s="40" t="s">
        <v>42</v>
      </c>
      <c r="D923" s="40"/>
      <c r="E923" s="57" t="s">
        <v>228</v>
      </c>
      <c r="F923" s="57" t="s">
        <v>228</v>
      </c>
      <c r="G923" s="29" t="s">
        <v>2121</v>
      </c>
      <c r="J923" s="29">
        <f t="shared" si="53"/>
        <v>1</v>
      </c>
      <c r="K923" s="42">
        <v>916</v>
      </c>
      <c r="L923" s="43" t="s">
        <v>2122</v>
      </c>
      <c r="M923" s="44" t="s">
        <v>405</v>
      </c>
      <c r="N923" s="44" t="s">
        <v>2080</v>
      </c>
      <c r="O923" s="44" t="str">
        <f t="shared" si="54"/>
        <v>PE-L1-3C16-01</v>
      </c>
      <c r="P923" s="45">
        <v>5</v>
      </c>
      <c r="Q923" s="44">
        <v>230</v>
      </c>
      <c r="R923" s="44" t="s">
        <v>49</v>
      </c>
      <c r="S923" s="44">
        <v>100</v>
      </c>
      <c r="T923" s="46" t="s">
        <v>6093</v>
      </c>
      <c r="U923" s="46" t="s">
        <v>6102</v>
      </c>
      <c r="V923" s="46" t="s">
        <v>6103</v>
      </c>
      <c r="W923" s="46" t="s">
        <v>5376</v>
      </c>
      <c r="X923" s="172" t="s">
        <v>9167</v>
      </c>
      <c r="Y923" s="46" t="s">
        <v>2121</v>
      </c>
      <c r="Z923" s="46" t="s">
        <v>6128</v>
      </c>
      <c r="AA923" s="46" t="s">
        <v>5376</v>
      </c>
      <c r="AB923" s="172" t="s">
        <v>9167</v>
      </c>
      <c r="AC923" s="48" t="s">
        <v>6129</v>
      </c>
      <c r="AD923" s="30"/>
      <c r="AE923" s="197"/>
      <c r="AF923" s="47"/>
    </row>
    <row r="924" spans="1:32" s="29" customFormat="1" ht="69.95" hidden="1" customHeight="1">
      <c r="A924" s="29" t="s">
        <v>5411</v>
      </c>
      <c r="B924" s="29" t="s">
        <v>3769</v>
      </c>
      <c r="C924" s="40" t="s">
        <v>41</v>
      </c>
      <c r="D924" s="40"/>
      <c r="E924" s="57" t="s">
        <v>59</v>
      </c>
      <c r="F924" s="57" t="s">
        <v>59</v>
      </c>
      <c r="G924" s="29" t="s">
        <v>2123</v>
      </c>
      <c r="I924" s="124" t="s">
        <v>9121</v>
      </c>
      <c r="J924" s="29">
        <f t="shared" si="53"/>
        <v>1</v>
      </c>
      <c r="K924" s="42">
        <v>917</v>
      </c>
      <c r="L924" s="152" t="s">
        <v>2124</v>
      </c>
      <c r="M924" s="44" t="s">
        <v>405</v>
      </c>
      <c r="N924" s="44" t="s">
        <v>423</v>
      </c>
      <c r="O924" s="101" t="str">
        <f>F924</f>
        <v>PE-L1-3C25/16-01</v>
      </c>
      <c r="P924" s="45">
        <v>5.5</v>
      </c>
      <c r="Q924" s="44">
        <v>230</v>
      </c>
      <c r="R924" s="44" t="s">
        <v>428</v>
      </c>
      <c r="S924" s="101">
        <v>120</v>
      </c>
      <c r="T924" s="46" t="s">
        <v>6130</v>
      </c>
      <c r="U924" s="46" t="s">
        <v>5411</v>
      </c>
      <c r="V924" s="46" t="s">
        <v>5412</v>
      </c>
      <c r="W924" s="46" t="s">
        <v>335</v>
      </c>
      <c r="X924" s="172" t="s">
        <v>9167</v>
      </c>
      <c r="Y924" s="46" t="s">
        <v>6131</v>
      </c>
      <c r="Z924" s="46" t="s">
        <v>6132</v>
      </c>
      <c r="AA924" s="46" t="s">
        <v>335</v>
      </c>
      <c r="AB924" s="172" t="s">
        <v>9167</v>
      </c>
      <c r="AC924" s="48" t="s">
        <v>6133</v>
      </c>
      <c r="AD924" s="30"/>
      <c r="AE924" s="197"/>
      <c r="AF924" s="47"/>
    </row>
    <row r="925" spans="1:32" s="29" customFormat="1" ht="69.95" hidden="1" customHeight="1">
      <c r="A925" s="29" t="s">
        <v>5407</v>
      </c>
      <c r="B925" s="29" t="s">
        <v>3769</v>
      </c>
      <c r="C925" s="40" t="s">
        <v>40</v>
      </c>
      <c r="D925" s="40"/>
      <c r="E925" s="57" t="s">
        <v>59</v>
      </c>
      <c r="F925" s="57" t="s">
        <v>59</v>
      </c>
      <c r="G925" s="29" t="s">
        <v>2126</v>
      </c>
      <c r="I925" s="124" t="s">
        <v>9121</v>
      </c>
      <c r="J925" s="29">
        <f t="shared" si="53"/>
        <v>1</v>
      </c>
      <c r="K925" s="42">
        <v>918</v>
      </c>
      <c r="L925" s="152" t="s">
        <v>2127</v>
      </c>
      <c r="M925" s="44" t="s">
        <v>405</v>
      </c>
      <c r="N925" s="44" t="s">
        <v>423</v>
      </c>
      <c r="O925" s="101" t="str">
        <f>F925</f>
        <v>PE-L1-3C25/16-01</v>
      </c>
      <c r="P925" s="45">
        <v>5.5</v>
      </c>
      <c r="Q925" s="44">
        <v>230</v>
      </c>
      <c r="R925" s="44" t="s">
        <v>428</v>
      </c>
      <c r="S925" s="101">
        <v>80</v>
      </c>
      <c r="T925" s="46" t="s">
        <v>6130</v>
      </c>
      <c r="U925" s="46" t="s">
        <v>5407</v>
      </c>
      <c r="V925" s="46" t="s">
        <v>5408</v>
      </c>
      <c r="W925" s="46" t="s">
        <v>335</v>
      </c>
      <c r="X925" s="172" t="s">
        <v>9167</v>
      </c>
      <c r="Y925" s="46" t="s">
        <v>6131</v>
      </c>
      <c r="Z925" s="46" t="s">
        <v>6134</v>
      </c>
      <c r="AA925" s="46" t="s">
        <v>335</v>
      </c>
      <c r="AB925" s="172" t="s">
        <v>9167</v>
      </c>
      <c r="AC925" s="48" t="s">
        <v>6135</v>
      </c>
      <c r="AD925" s="30"/>
      <c r="AE925" s="197"/>
      <c r="AF925" s="47"/>
    </row>
    <row r="926" spans="1:32" s="29" customFormat="1" ht="69.95" hidden="1" customHeight="1">
      <c r="A926" s="29" t="s">
        <v>6136</v>
      </c>
      <c r="B926" s="29" t="s">
        <v>3769</v>
      </c>
      <c r="C926" s="40" t="s">
        <v>32</v>
      </c>
      <c r="D926" s="40"/>
      <c r="E926" s="57" t="s">
        <v>59</v>
      </c>
      <c r="F926" s="57" t="s">
        <v>59</v>
      </c>
      <c r="G926" s="29" t="s">
        <v>2128</v>
      </c>
      <c r="I926" s="124" t="s">
        <v>9121</v>
      </c>
      <c r="J926" s="29">
        <f t="shared" si="53"/>
        <v>1</v>
      </c>
      <c r="K926" s="42">
        <v>919</v>
      </c>
      <c r="L926" s="152" t="s">
        <v>2129</v>
      </c>
      <c r="M926" s="44" t="s">
        <v>405</v>
      </c>
      <c r="N926" s="44" t="s">
        <v>423</v>
      </c>
      <c r="O926" s="101" t="str">
        <f>F926</f>
        <v>PE-L1-3C25/16-01</v>
      </c>
      <c r="P926" s="45">
        <v>11</v>
      </c>
      <c r="Q926" s="44">
        <v>230</v>
      </c>
      <c r="R926" s="44" t="s">
        <v>49</v>
      </c>
      <c r="S926" s="101">
        <v>90</v>
      </c>
      <c r="T926" s="46" t="s">
        <v>6130</v>
      </c>
      <c r="U926" s="46" t="s">
        <v>6136</v>
      </c>
      <c r="V926" s="46" t="s">
        <v>6137</v>
      </c>
      <c r="W926" s="46" t="s">
        <v>335</v>
      </c>
      <c r="X926" s="172" t="s">
        <v>9167</v>
      </c>
      <c r="Y926" s="46" t="s">
        <v>6131</v>
      </c>
      <c r="Z926" s="46" t="s">
        <v>6138</v>
      </c>
      <c r="AA926" s="46" t="s">
        <v>335</v>
      </c>
      <c r="AB926" s="172" t="s">
        <v>9167</v>
      </c>
      <c r="AC926" s="48" t="s">
        <v>6139</v>
      </c>
      <c r="AD926" s="30"/>
      <c r="AE926" s="197"/>
      <c r="AF926" s="47"/>
    </row>
    <row r="927" spans="1:32" s="29" customFormat="1" ht="84.95" hidden="1" customHeight="1">
      <c r="A927" s="29" t="s">
        <v>5407</v>
      </c>
      <c r="B927" s="29" t="s">
        <v>3769</v>
      </c>
      <c r="C927" s="40" t="s">
        <v>41</v>
      </c>
      <c r="D927" s="40"/>
      <c r="E927" s="57" t="s">
        <v>8380</v>
      </c>
      <c r="F927" s="57" t="s">
        <v>8380</v>
      </c>
      <c r="G927" s="29" t="s">
        <v>2130</v>
      </c>
      <c r="J927" s="29">
        <f t="shared" si="53"/>
        <v>1</v>
      </c>
      <c r="K927" s="127">
        <v>920</v>
      </c>
      <c r="L927" s="43" t="s">
        <v>9433</v>
      </c>
      <c r="M927" s="44" t="s">
        <v>405</v>
      </c>
      <c r="N927" s="44" t="s">
        <v>2125</v>
      </c>
      <c r="O927" s="44" t="str">
        <f t="shared" ref="O927:O933" si="55">F927</f>
        <v>PE-L1-3C50/25-02</v>
      </c>
      <c r="P927" s="45">
        <v>3</v>
      </c>
      <c r="Q927" s="44">
        <v>230</v>
      </c>
      <c r="R927" s="44" t="s">
        <v>428</v>
      </c>
      <c r="S927" s="126">
        <v>580</v>
      </c>
      <c r="T927" s="46" t="s">
        <v>6130</v>
      </c>
      <c r="U927" s="46" t="s">
        <v>5407</v>
      </c>
      <c r="V927" s="46" t="s">
        <v>5408</v>
      </c>
      <c r="W927" s="46" t="s">
        <v>335</v>
      </c>
      <c r="X927" s="172" t="s">
        <v>9167</v>
      </c>
      <c r="Y927" s="46" t="s">
        <v>6140</v>
      </c>
      <c r="Z927" s="46" t="s">
        <v>8625</v>
      </c>
      <c r="AA927" s="46" t="s">
        <v>5154</v>
      </c>
      <c r="AB927" s="172" t="s">
        <v>9167</v>
      </c>
      <c r="AC927" s="76" t="s">
        <v>9233</v>
      </c>
      <c r="AD927" s="30"/>
      <c r="AE927" s="197"/>
      <c r="AF927" s="47"/>
    </row>
    <row r="928" spans="1:32" s="29" customFormat="1" ht="99.95" hidden="1" customHeight="1">
      <c r="A928" s="29" t="s">
        <v>5411</v>
      </c>
      <c r="B928" s="29" t="s">
        <v>3769</v>
      </c>
      <c r="C928" s="40" t="s">
        <v>42</v>
      </c>
      <c r="D928" s="40"/>
      <c r="E928" s="57" t="s">
        <v>8379</v>
      </c>
      <c r="F928" s="57" t="s">
        <v>8379</v>
      </c>
      <c r="G928" s="29" t="s">
        <v>2131</v>
      </c>
      <c r="J928" s="29">
        <f t="shared" si="53"/>
        <v>1</v>
      </c>
      <c r="K928" s="42">
        <v>921</v>
      </c>
      <c r="L928" s="43" t="s">
        <v>9434</v>
      </c>
      <c r="M928" s="44" t="s">
        <v>405</v>
      </c>
      <c r="N928" s="44" t="s">
        <v>2125</v>
      </c>
      <c r="O928" s="44" t="str">
        <f t="shared" si="55"/>
        <v>PE-L1-3C50/25-03</v>
      </c>
      <c r="P928" s="45">
        <v>3</v>
      </c>
      <c r="Q928" s="44">
        <v>230</v>
      </c>
      <c r="R928" s="44" t="s">
        <v>428</v>
      </c>
      <c r="S928" s="44">
        <v>590</v>
      </c>
      <c r="T928" s="46" t="s">
        <v>6130</v>
      </c>
      <c r="U928" s="46" t="s">
        <v>5411</v>
      </c>
      <c r="V928" s="46" t="s">
        <v>5412</v>
      </c>
      <c r="W928" s="46" t="s">
        <v>335</v>
      </c>
      <c r="X928" s="172" t="s">
        <v>9167</v>
      </c>
      <c r="Y928" s="46" t="s">
        <v>6140</v>
      </c>
      <c r="Z928" s="46" t="s">
        <v>6141</v>
      </c>
      <c r="AA928" s="46" t="s">
        <v>5154</v>
      </c>
      <c r="AB928" s="172" t="s">
        <v>9167</v>
      </c>
      <c r="AC928" s="48" t="s">
        <v>6142</v>
      </c>
      <c r="AD928" s="30"/>
      <c r="AE928" s="197"/>
      <c r="AF928" s="47"/>
    </row>
    <row r="929" spans="1:32" s="29" customFormat="1" ht="69.95" hidden="1" customHeight="1">
      <c r="A929" s="29" t="s">
        <v>6143</v>
      </c>
      <c r="B929" s="29" t="s">
        <v>3769</v>
      </c>
      <c r="C929" s="40" t="s">
        <v>32</v>
      </c>
      <c r="D929" s="40"/>
      <c r="E929" s="57" t="s">
        <v>189</v>
      </c>
      <c r="F929" s="57" t="s">
        <v>189</v>
      </c>
      <c r="G929" s="29" t="s">
        <v>2132</v>
      </c>
      <c r="J929" s="29">
        <f t="shared" si="53"/>
        <v>1</v>
      </c>
      <c r="K929" s="42">
        <v>922</v>
      </c>
      <c r="L929" s="43" t="s">
        <v>2133</v>
      </c>
      <c r="M929" s="44" t="s">
        <v>405</v>
      </c>
      <c r="N929" s="44" t="s">
        <v>426</v>
      </c>
      <c r="O929" s="44" t="str">
        <f t="shared" si="55"/>
        <v>PE-L1-3C4-13</v>
      </c>
      <c r="P929" s="45">
        <v>2</v>
      </c>
      <c r="Q929" s="44">
        <v>230</v>
      </c>
      <c r="R929" s="44" t="s">
        <v>49</v>
      </c>
      <c r="S929" s="44">
        <v>60</v>
      </c>
      <c r="T929" s="46" t="s">
        <v>6130</v>
      </c>
      <c r="U929" s="46" t="s">
        <v>6143</v>
      </c>
      <c r="V929" s="46" t="s">
        <v>6144</v>
      </c>
      <c r="W929" s="46" t="s">
        <v>5154</v>
      </c>
      <c r="X929" s="172" t="s">
        <v>9167</v>
      </c>
      <c r="Y929" s="46" t="s">
        <v>6140</v>
      </c>
      <c r="Z929" s="46" t="s">
        <v>6145</v>
      </c>
      <c r="AA929" s="46" t="s">
        <v>5154</v>
      </c>
      <c r="AB929" s="172" t="s">
        <v>9167</v>
      </c>
      <c r="AC929" s="48" t="s">
        <v>6146</v>
      </c>
      <c r="AD929" s="30"/>
      <c r="AE929" s="197"/>
      <c r="AF929" s="47"/>
    </row>
    <row r="930" spans="1:32" s="29" customFormat="1" ht="69.95" hidden="1" customHeight="1">
      <c r="A930" s="29" t="s">
        <v>3953</v>
      </c>
      <c r="B930" s="29" t="s">
        <v>3769</v>
      </c>
      <c r="C930" s="40" t="s">
        <v>40</v>
      </c>
      <c r="D930" s="40"/>
      <c r="E930" s="57" t="s">
        <v>228</v>
      </c>
      <c r="F930" s="57" t="s">
        <v>228</v>
      </c>
      <c r="G930" s="29" t="s">
        <v>2134</v>
      </c>
      <c r="J930" s="29">
        <f t="shared" si="53"/>
        <v>1</v>
      </c>
      <c r="K930" s="42">
        <v>923</v>
      </c>
      <c r="L930" s="43" t="s">
        <v>2135</v>
      </c>
      <c r="M930" s="44" t="s">
        <v>405</v>
      </c>
      <c r="N930" s="44" t="s">
        <v>2080</v>
      </c>
      <c r="O930" s="44" t="str">
        <f t="shared" si="55"/>
        <v>PE-L1-3C16-01</v>
      </c>
      <c r="P930" s="45">
        <v>10</v>
      </c>
      <c r="Q930" s="44">
        <v>230</v>
      </c>
      <c r="R930" s="44" t="s">
        <v>428</v>
      </c>
      <c r="S930" s="44">
        <v>20</v>
      </c>
      <c r="T930" s="46" t="s">
        <v>6130</v>
      </c>
      <c r="U930" s="46" t="s">
        <v>3953</v>
      </c>
      <c r="V930" s="46" t="s">
        <v>3954</v>
      </c>
      <c r="W930" s="46" t="s">
        <v>55</v>
      </c>
      <c r="X930" s="172" t="s">
        <v>9167</v>
      </c>
      <c r="Y930" s="46" t="s">
        <v>6147</v>
      </c>
      <c r="Z930" s="46" t="s">
        <v>6148</v>
      </c>
      <c r="AA930" s="46" t="s">
        <v>6149</v>
      </c>
      <c r="AB930" s="172" t="s">
        <v>9167</v>
      </c>
      <c r="AC930" s="48" t="s">
        <v>4399</v>
      </c>
      <c r="AD930" s="30"/>
      <c r="AE930" s="197"/>
      <c r="AF930" s="47"/>
    </row>
    <row r="931" spans="1:32" s="29" customFormat="1" ht="69.95" hidden="1" customHeight="1">
      <c r="A931" s="29" t="s">
        <v>3990</v>
      </c>
      <c r="B931" s="29" t="s">
        <v>3769</v>
      </c>
      <c r="C931" s="40" t="s">
        <v>40</v>
      </c>
      <c r="D931" s="40"/>
      <c r="E931" s="57" t="s">
        <v>228</v>
      </c>
      <c r="F931" s="57" t="s">
        <v>228</v>
      </c>
      <c r="G931" s="29" t="s">
        <v>2136</v>
      </c>
      <c r="J931" s="29">
        <f t="shared" si="53"/>
        <v>1</v>
      </c>
      <c r="K931" s="42">
        <v>924</v>
      </c>
      <c r="L931" s="43" t="s">
        <v>2137</v>
      </c>
      <c r="M931" s="44" t="s">
        <v>405</v>
      </c>
      <c r="N931" s="44" t="s">
        <v>2080</v>
      </c>
      <c r="O931" s="44" t="str">
        <f t="shared" si="55"/>
        <v>PE-L1-3C16-01</v>
      </c>
      <c r="P931" s="45">
        <v>10</v>
      </c>
      <c r="Q931" s="44">
        <v>230</v>
      </c>
      <c r="R931" s="44" t="s">
        <v>428</v>
      </c>
      <c r="S931" s="44">
        <v>20</v>
      </c>
      <c r="T931" s="46" t="s">
        <v>6130</v>
      </c>
      <c r="U931" s="46" t="s">
        <v>3990</v>
      </c>
      <c r="V931" s="46" t="s">
        <v>3991</v>
      </c>
      <c r="W931" s="46" t="s">
        <v>55</v>
      </c>
      <c r="X931" s="172" t="s">
        <v>9167</v>
      </c>
      <c r="Y931" s="46" t="s">
        <v>6147</v>
      </c>
      <c r="Z931" s="46" t="s">
        <v>6150</v>
      </c>
      <c r="AA931" s="46" t="s">
        <v>6149</v>
      </c>
      <c r="AB931" s="172" t="s">
        <v>9167</v>
      </c>
      <c r="AC931" s="48" t="s">
        <v>4029</v>
      </c>
      <c r="AD931" s="30"/>
      <c r="AE931" s="197"/>
      <c r="AF931" s="47"/>
    </row>
    <row r="932" spans="1:32" s="29" customFormat="1" ht="69.95" hidden="1" customHeight="1">
      <c r="A932" s="29" t="s">
        <v>4025</v>
      </c>
      <c r="B932" s="29" t="s">
        <v>3769</v>
      </c>
      <c r="C932" s="40" t="s">
        <v>38</v>
      </c>
      <c r="D932" s="40"/>
      <c r="E932" s="57" t="s">
        <v>228</v>
      </c>
      <c r="F932" s="57" t="s">
        <v>228</v>
      </c>
      <c r="G932" s="29" t="s">
        <v>2138</v>
      </c>
      <c r="J932" s="29">
        <f t="shared" si="53"/>
        <v>1</v>
      </c>
      <c r="K932" s="42">
        <v>925</v>
      </c>
      <c r="L932" s="43" t="s">
        <v>2139</v>
      </c>
      <c r="M932" s="44" t="s">
        <v>405</v>
      </c>
      <c r="N932" s="44" t="s">
        <v>2080</v>
      </c>
      <c r="O932" s="44" t="str">
        <f t="shared" si="55"/>
        <v>PE-L1-3C16-01</v>
      </c>
      <c r="P932" s="45">
        <v>10</v>
      </c>
      <c r="Q932" s="44">
        <v>230</v>
      </c>
      <c r="R932" s="44" t="s">
        <v>428</v>
      </c>
      <c r="S932" s="44">
        <v>20</v>
      </c>
      <c r="T932" s="46" t="s">
        <v>6130</v>
      </c>
      <c r="U932" s="46" t="s">
        <v>4025</v>
      </c>
      <c r="V932" s="46" t="s">
        <v>4026</v>
      </c>
      <c r="W932" s="46" t="s">
        <v>55</v>
      </c>
      <c r="X932" s="172" t="s">
        <v>9167</v>
      </c>
      <c r="Y932" s="46" t="s">
        <v>6151</v>
      </c>
      <c r="Z932" s="46" t="s">
        <v>6152</v>
      </c>
      <c r="AA932" s="46" t="s">
        <v>6149</v>
      </c>
      <c r="AB932" s="172" t="s">
        <v>9167</v>
      </c>
      <c r="AC932" s="48" t="s">
        <v>4399</v>
      </c>
      <c r="AD932" s="30"/>
      <c r="AE932" s="197"/>
      <c r="AF932" s="47"/>
    </row>
    <row r="933" spans="1:32" s="29" customFormat="1" ht="69.95" hidden="1" customHeight="1">
      <c r="A933" s="29" t="s">
        <v>4059</v>
      </c>
      <c r="B933" s="29" t="s">
        <v>3769</v>
      </c>
      <c r="C933" s="40" t="s">
        <v>38</v>
      </c>
      <c r="D933" s="40"/>
      <c r="E933" s="57" t="s">
        <v>228</v>
      </c>
      <c r="F933" s="57" t="s">
        <v>228</v>
      </c>
      <c r="G933" s="29" t="s">
        <v>2140</v>
      </c>
      <c r="J933" s="29">
        <f t="shared" si="53"/>
        <v>1</v>
      </c>
      <c r="K933" s="42">
        <v>926</v>
      </c>
      <c r="L933" s="43" t="s">
        <v>2141</v>
      </c>
      <c r="M933" s="44" t="s">
        <v>405</v>
      </c>
      <c r="N933" s="44" t="s">
        <v>2080</v>
      </c>
      <c r="O933" s="44" t="str">
        <f t="shared" si="55"/>
        <v>PE-L1-3C16-01</v>
      </c>
      <c r="P933" s="45">
        <v>10</v>
      </c>
      <c r="Q933" s="44">
        <v>230</v>
      </c>
      <c r="R933" s="44" t="s">
        <v>428</v>
      </c>
      <c r="S933" s="44">
        <v>20</v>
      </c>
      <c r="T933" s="46" t="s">
        <v>6130</v>
      </c>
      <c r="U933" s="46" t="s">
        <v>4059</v>
      </c>
      <c r="V933" s="46" t="s">
        <v>4060</v>
      </c>
      <c r="W933" s="46" t="s">
        <v>55</v>
      </c>
      <c r="X933" s="172" t="s">
        <v>9167</v>
      </c>
      <c r="Y933" s="46" t="s">
        <v>6151</v>
      </c>
      <c r="Z933" s="46" t="s">
        <v>6153</v>
      </c>
      <c r="AA933" s="46" t="s">
        <v>6149</v>
      </c>
      <c r="AB933" s="172" t="s">
        <v>9167</v>
      </c>
      <c r="AC933" s="48" t="s">
        <v>4029</v>
      </c>
      <c r="AD933" s="30"/>
      <c r="AE933" s="197"/>
      <c r="AF933" s="47"/>
    </row>
    <row r="934" spans="1:32" s="29" customFormat="1" ht="69.95" hidden="1" customHeight="1">
      <c r="A934" s="29" t="s">
        <v>3994</v>
      </c>
      <c r="B934" s="29" t="s">
        <v>3769</v>
      </c>
      <c r="C934" s="40" t="s">
        <v>40</v>
      </c>
      <c r="D934" s="40"/>
      <c r="E934" s="57" t="s">
        <v>59</v>
      </c>
      <c r="F934" s="57" t="s">
        <v>59</v>
      </c>
      <c r="G934" s="29" t="s">
        <v>2142</v>
      </c>
      <c r="I934" s="124" t="s">
        <v>9121</v>
      </c>
      <c r="J934" s="29">
        <f t="shared" si="53"/>
        <v>1</v>
      </c>
      <c r="K934" s="42">
        <v>927</v>
      </c>
      <c r="L934" s="152" t="s">
        <v>2143</v>
      </c>
      <c r="M934" s="44" t="s">
        <v>405</v>
      </c>
      <c r="N934" s="44" t="s">
        <v>423</v>
      </c>
      <c r="O934" s="101" t="str">
        <f>F934</f>
        <v>PE-L1-3C25/16-01</v>
      </c>
      <c r="P934" s="45">
        <v>6</v>
      </c>
      <c r="Q934" s="44">
        <v>230</v>
      </c>
      <c r="R934" s="44" t="s">
        <v>428</v>
      </c>
      <c r="S934" s="101">
        <v>140</v>
      </c>
      <c r="T934" s="46" t="s">
        <v>6130</v>
      </c>
      <c r="U934" s="46" t="s">
        <v>3994</v>
      </c>
      <c r="V934" s="46" t="s">
        <v>3995</v>
      </c>
      <c r="W934" s="46" t="s">
        <v>335</v>
      </c>
      <c r="X934" s="172" t="s">
        <v>9167</v>
      </c>
      <c r="Y934" s="46" t="s">
        <v>6154</v>
      </c>
      <c r="Z934" s="46" t="s">
        <v>8583</v>
      </c>
      <c r="AA934" s="46" t="s">
        <v>335</v>
      </c>
      <c r="AB934" s="172" t="s">
        <v>9167</v>
      </c>
      <c r="AC934" s="48" t="s">
        <v>6155</v>
      </c>
      <c r="AD934" s="30"/>
      <c r="AE934" s="197"/>
      <c r="AF934" s="47"/>
    </row>
    <row r="935" spans="1:32" s="29" customFormat="1" ht="69.95" hidden="1" customHeight="1">
      <c r="A935" s="29" t="s">
        <v>3959</v>
      </c>
      <c r="B935" s="29" t="s">
        <v>3769</v>
      </c>
      <c r="C935" s="40" t="s">
        <v>41</v>
      </c>
      <c r="D935" s="40"/>
      <c r="E935" s="57" t="s">
        <v>59</v>
      </c>
      <c r="F935" s="57" t="s">
        <v>59</v>
      </c>
      <c r="G935" s="29" t="s">
        <v>2144</v>
      </c>
      <c r="I935" s="124" t="s">
        <v>9121</v>
      </c>
      <c r="J935" s="29">
        <f t="shared" si="53"/>
        <v>1</v>
      </c>
      <c r="K935" s="42">
        <v>928</v>
      </c>
      <c r="L935" s="152" t="s">
        <v>2145</v>
      </c>
      <c r="M935" s="44" t="s">
        <v>405</v>
      </c>
      <c r="N935" s="44" t="s">
        <v>423</v>
      </c>
      <c r="O935" s="101" t="str">
        <f>F935</f>
        <v>PE-L1-3C25/16-01</v>
      </c>
      <c r="P935" s="45">
        <v>6</v>
      </c>
      <c r="Q935" s="44">
        <v>230</v>
      </c>
      <c r="R935" s="44" t="s">
        <v>428</v>
      </c>
      <c r="S935" s="101">
        <v>110</v>
      </c>
      <c r="T935" s="46" t="s">
        <v>6130</v>
      </c>
      <c r="U935" s="46" t="s">
        <v>3959</v>
      </c>
      <c r="V935" s="46" t="s">
        <v>3960</v>
      </c>
      <c r="W935" s="46" t="s">
        <v>335</v>
      </c>
      <c r="X935" s="172" t="s">
        <v>9167</v>
      </c>
      <c r="Y935" s="46" t="s">
        <v>6154</v>
      </c>
      <c r="Z935" s="46" t="s">
        <v>6156</v>
      </c>
      <c r="AA935" s="46" t="s">
        <v>335</v>
      </c>
      <c r="AB935" s="172" t="s">
        <v>9167</v>
      </c>
      <c r="AC935" s="48" t="s">
        <v>6157</v>
      </c>
      <c r="AD935" s="30"/>
      <c r="AE935" s="197"/>
      <c r="AF935" s="47"/>
    </row>
    <row r="936" spans="1:32" s="29" customFormat="1" ht="69.95" hidden="1" customHeight="1">
      <c r="A936" s="29" t="s">
        <v>5450</v>
      </c>
      <c r="B936" s="29" t="s">
        <v>3769</v>
      </c>
      <c r="C936" s="40" t="s">
        <v>36</v>
      </c>
      <c r="D936" s="40"/>
      <c r="E936" s="57" t="s">
        <v>59</v>
      </c>
      <c r="F936" s="57" t="s">
        <v>59</v>
      </c>
      <c r="G936" s="29" t="s">
        <v>2146</v>
      </c>
      <c r="I936" s="124" t="s">
        <v>9121</v>
      </c>
      <c r="J936" s="29">
        <f t="shared" si="53"/>
        <v>1</v>
      </c>
      <c r="K936" s="42">
        <v>929</v>
      </c>
      <c r="L936" s="152" t="s">
        <v>2147</v>
      </c>
      <c r="M936" s="44" t="s">
        <v>405</v>
      </c>
      <c r="N936" s="44" t="s">
        <v>423</v>
      </c>
      <c r="O936" s="101" t="str">
        <f>F936</f>
        <v>PE-L1-3C25/16-01</v>
      </c>
      <c r="P936" s="45">
        <v>6</v>
      </c>
      <c r="Q936" s="44">
        <v>230</v>
      </c>
      <c r="R936" s="44" t="s">
        <v>49</v>
      </c>
      <c r="S936" s="101">
        <v>160</v>
      </c>
      <c r="T936" s="46" t="s">
        <v>6130</v>
      </c>
      <c r="U936" s="46" t="s">
        <v>5450</v>
      </c>
      <c r="V936" s="46" t="s">
        <v>5451</v>
      </c>
      <c r="W936" s="46" t="s">
        <v>335</v>
      </c>
      <c r="X936" s="172" t="s">
        <v>9167</v>
      </c>
      <c r="Y936" s="46" t="s">
        <v>6154</v>
      </c>
      <c r="Z936" s="46" t="s">
        <v>6158</v>
      </c>
      <c r="AA936" s="46" t="s">
        <v>335</v>
      </c>
      <c r="AB936" s="172" t="s">
        <v>9167</v>
      </c>
      <c r="AC936" s="48" t="s">
        <v>6159</v>
      </c>
      <c r="AD936" s="30"/>
      <c r="AE936" s="197"/>
      <c r="AF936" s="47"/>
    </row>
    <row r="937" spans="1:32" s="29" customFormat="1" ht="69.95" hidden="1" customHeight="1">
      <c r="A937" s="29" t="s">
        <v>4063</v>
      </c>
      <c r="B937" s="29" t="s">
        <v>3769</v>
      </c>
      <c r="C937" s="40" t="s">
        <v>40</v>
      </c>
      <c r="D937" s="40"/>
      <c r="E937" s="57" t="s">
        <v>59</v>
      </c>
      <c r="F937" s="121" t="s">
        <v>9427</v>
      </c>
      <c r="G937" s="29" t="s">
        <v>2148</v>
      </c>
      <c r="J937" s="29">
        <f t="shared" si="53"/>
        <v>1</v>
      </c>
      <c r="K937" s="42">
        <v>930</v>
      </c>
      <c r="L937" s="43" t="s">
        <v>2149</v>
      </c>
      <c r="M937" s="44" t="s">
        <v>405</v>
      </c>
      <c r="N937" s="44" t="s">
        <v>423</v>
      </c>
      <c r="O937" s="44" t="str">
        <f t="shared" ref="O937:O950" si="56">F937</f>
        <v>PE-L1-3C25/16-03</v>
      </c>
      <c r="P937" s="45">
        <v>8</v>
      </c>
      <c r="Q937" s="44">
        <v>230</v>
      </c>
      <c r="R937" s="44" t="s">
        <v>428</v>
      </c>
      <c r="S937" s="44">
        <v>90</v>
      </c>
      <c r="T937" s="46" t="s">
        <v>6130</v>
      </c>
      <c r="U937" s="46" t="s">
        <v>4063</v>
      </c>
      <c r="V937" s="46" t="s">
        <v>4064</v>
      </c>
      <c r="W937" s="46" t="s">
        <v>347</v>
      </c>
      <c r="X937" s="172" t="s">
        <v>9167</v>
      </c>
      <c r="Y937" s="46" t="s">
        <v>6160</v>
      </c>
      <c r="Z937" s="46" t="s">
        <v>6161</v>
      </c>
      <c r="AA937" s="46" t="s">
        <v>347</v>
      </c>
      <c r="AB937" s="172" t="s">
        <v>9167</v>
      </c>
      <c r="AC937" s="48" t="s">
        <v>6162</v>
      </c>
      <c r="AD937" s="30"/>
      <c r="AE937" s="197"/>
      <c r="AF937" s="47"/>
    </row>
    <row r="938" spans="1:32" s="29" customFormat="1" ht="69.95" hidden="1" customHeight="1">
      <c r="A938" s="29" t="s">
        <v>4030</v>
      </c>
      <c r="B938" s="29" t="s">
        <v>3769</v>
      </c>
      <c r="C938" s="40" t="s">
        <v>41</v>
      </c>
      <c r="D938" s="40"/>
      <c r="E938" s="57" t="s">
        <v>59</v>
      </c>
      <c r="F938" s="121" t="s">
        <v>9427</v>
      </c>
      <c r="G938" s="29" t="s">
        <v>2150</v>
      </c>
      <c r="J938" s="29">
        <f t="shared" si="53"/>
        <v>1</v>
      </c>
      <c r="K938" s="42">
        <v>931</v>
      </c>
      <c r="L938" s="43" t="s">
        <v>2151</v>
      </c>
      <c r="M938" s="44" t="s">
        <v>405</v>
      </c>
      <c r="N938" s="44" t="s">
        <v>423</v>
      </c>
      <c r="O938" s="44" t="str">
        <f t="shared" si="56"/>
        <v>PE-L1-3C25/16-03</v>
      </c>
      <c r="P938" s="45">
        <v>8</v>
      </c>
      <c r="Q938" s="44">
        <v>230</v>
      </c>
      <c r="R938" s="44" t="s">
        <v>428</v>
      </c>
      <c r="S938" s="44">
        <v>100</v>
      </c>
      <c r="T938" s="46" t="s">
        <v>6130</v>
      </c>
      <c r="U938" s="46" t="s">
        <v>4030</v>
      </c>
      <c r="V938" s="46" t="s">
        <v>4031</v>
      </c>
      <c r="W938" s="46" t="s">
        <v>347</v>
      </c>
      <c r="X938" s="172" t="s">
        <v>9167</v>
      </c>
      <c r="Y938" s="46" t="s">
        <v>6160</v>
      </c>
      <c r="Z938" s="46" t="s">
        <v>6163</v>
      </c>
      <c r="AA938" s="46" t="s">
        <v>347</v>
      </c>
      <c r="AB938" s="172" t="s">
        <v>9167</v>
      </c>
      <c r="AC938" s="48" t="s">
        <v>6164</v>
      </c>
      <c r="AD938" s="30"/>
      <c r="AE938" s="197"/>
      <c r="AF938" s="47"/>
    </row>
    <row r="939" spans="1:32" s="29" customFormat="1" ht="69.95" hidden="1" customHeight="1">
      <c r="A939" s="29" t="s">
        <v>5466</v>
      </c>
      <c r="B939" s="29" t="s">
        <v>3769</v>
      </c>
      <c r="C939" s="40" t="s">
        <v>38</v>
      </c>
      <c r="D939" s="124" t="s">
        <v>9045</v>
      </c>
      <c r="E939" s="57" t="s">
        <v>232</v>
      </c>
      <c r="F939" s="57" t="s">
        <v>232</v>
      </c>
      <c r="G939" s="131" t="s">
        <v>9087</v>
      </c>
      <c r="H939" s="43" t="s">
        <v>9088</v>
      </c>
      <c r="J939" s="29">
        <f t="shared" si="53"/>
        <v>1</v>
      </c>
      <c r="K939" s="127">
        <v>932</v>
      </c>
      <c r="L939" s="123" t="s">
        <v>8953</v>
      </c>
      <c r="M939" s="44" t="s">
        <v>405</v>
      </c>
      <c r="N939" s="44" t="s">
        <v>2080</v>
      </c>
      <c r="O939" s="44" t="str">
        <f t="shared" si="56"/>
        <v>PE-L1-3C16-01</v>
      </c>
      <c r="P939" s="45">
        <v>8</v>
      </c>
      <c r="Q939" s="44">
        <v>230</v>
      </c>
      <c r="R939" s="44" t="s">
        <v>49</v>
      </c>
      <c r="S939" s="126">
        <v>40</v>
      </c>
      <c r="T939" s="46" t="s">
        <v>6130</v>
      </c>
      <c r="U939" s="122" t="s">
        <v>4054</v>
      </c>
      <c r="V939" s="122" t="s">
        <v>4055</v>
      </c>
      <c r="W939" s="46" t="s">
        <v>347</v>
      </c>
      <c r="X939" s="172" t="s">
        <v>9167</v>
      </c>
      <c r="Y939" s="46" t="s">
        <v>6160</v>
      </c>
      <c r="Z939" s="46" t="s">
        <v>6165</v>
      </c>
      <c r="AA939" s="46" t="s">
        <v>347</v>
      </c>
      <c r="AB939" s="172" t="s">
        <v>9167</v>
      </c>
      <c r="AC939" s="76" t="s">
        <v>9031</v>
      </c>
      <c r="AD939" s="30"/>
      <c r="AE939" s="197"/>
      <c r="AF939" s="47"/>
    </row>
    <row r="940" spans="1:32" s="29" customFormat="1" ht="69.95" hidden="1" customHeight="1">
      <c r="A940" s="29" t="s">
        <v>4221</v>
      </c>
      <c r="B940" s="29" t="s">
        <v>3769</v>
      </c>
      <c r="C940" s="40" t="s">
        <v>38</v>
      </c>
      <c r="D940" s="40"/>
      <c r="E940" s="58" t="s">
        <v>189</v>
      </c>
      <c r="F940" s="58" t="s">
        <v>189</v>
      </c>
      <c r="G940" s="29" t="s">
        <v>2152</v>
      </c>
      <c r="J940" s="29">
        <f t="shared" si="53"/>
        <v>1</v>
      </c>
      <c r="K940" s="42">
        <v>933</v>
      </c>
      <c r="L940" s="43" t="s">
        <v>2153</v>
      </c>
      <c r="M940" s="44" t="s">
        <v>405</v>
      </c>
      <c r="N940" s="44" t="s">
        <v>426</v>
      </c>
      <c r="O940" s="44" t="str">
        <f t="shared" si="56"/>
        <v>PE-L1-3C4-13</v>
      </c>
      <c r="P940" s="45">
        <v>1</v>
      </c>
      <c r="Q940" s="44">
        <v>230</v>
      </c>
      <c r="R940" s="44" t="s">
        <v>428</v>
      </c>
      <c r="S940" s="44">
        <v>40</v>
      </c>
      <c r="T940" s="46" t="s">
        <v>6130</v>
      </c>
      <c r="U940" s="46" t="s">
        <v>4221</v>
      </c>
      <c r="V940" s="46" t="s">
        <v>4222</v>
      </c>
      <c r="W940" s="46" t="s">
        <v>391</v>
      </c>
      <c r="X940" s="172" t="s">
        <v>9167</v>
      </c>
      <c r="Y940" s="46" t="s">
        <v>6166</v>
      </c>
      <c r="Z940" s="46" t="s">
        <v>6167</v>
      </c>
      <c r="AA940" s="46" t="s">
        <v>6168</v>
      </c>
      <c r="AB940" s="172" t="s">
        <v>9167</v>
      </c>
      <c r="AC940" s="48" t="s">
        <v>6169</v>
      </c>
      <c r="AD940" s="30"/>
      <c r="AE940" s="197"/>
      <c r="AF940" s="47"/>
    </row>
    <row r="941" spans="1:32" s="29" customFormat="1" ht="69.95" hidden="1" customHeight="1">
      <c r="A941" s="29" t="s">
        <v>4237</v>
      </c>
      <c r="B941" s="29" t="s">
        <v>3769</v>
      </c>
      <c r="C941" s="40" t="s">
        <v>38</v>
      </c>
      <c r="D941" s="40"/>
      <c r="E941" s="57" t="s">
        <v>189</v>
      </c>
      <c r="F941" s="57" t="s">
        <v>189</v>
      </c>
      <c r="G941" s="29" t="s">
        <v>2154</v>
      </c>
      <c r="J941" s="29">
        <f t="shared" si="53"/>
        <v>1</v>
      </c>
      <c r="K941" s="42">
        <v>934</v>
      </c>
      <c r="L941" s="43" t="s">
        <v>2155</v>
      </c>
      <c r="M941" s="44" t="s">
        <v>405</v>
      </c>
      <c r="N941" s="44" t="s">
        <v>426</v>
      </c>
      <c r="O941" s="44" t="str">
        <f t="shared" si="56"/>
        <v>PE-L1-3C4-13</v>
      </c>
      <c r="P941" s="45">
        <v>1</v>
      </c>
      <c r="Q941" s="44">
        <v>230</v>
      </c>
      <c r="R941" s="44" t="s">
        <v>428</v>
      </c>
      <c r="S941" s="44">
        <v>50</v>
      </c>
      <c r="T941" s="46" t="s">
        <v>6130</v>
      </c>
      <c r="U941" s="46" t="s">
        <v>4237</v>
      </c>
      <c r="V941" s="46" t="s">
        <v>4238</v>
      </c>
      <c r="W941" s="46" t="s">
        <v>391</v>
      </c>
      <c r="X941" s="172" t="s">
        <v>9167</v>
      </c>
      <c r="Y941" s="46" t="s">
        <v>6166</v>
      </c>
      <c r="Z941" s="46" t="s">
        <v>6170</v>
      </c>
      <c r="AA941" s="46" t="s">
        <v>6168</v>
      </c>
      <c r="AB941" s="172" t="s">
        <v>9167</v>
      </c>
      <c r="AC941" s="48" t="s">
        <v>6171</v>
      </c>
      <c r="AD941" s="30"/>
      <c r="AE941" s="197"/>
      <c r="AF941" s="47"/>
    </row>
    <row r="942" spans="1:32" s="29" customFormat="1" ht="69.95" hidden="1" customHeight="1">
      <c r="A942" s="29" t="s">
        <v>4079</v>
      </c>
      <c r="B942" s="29" t="s">
        <v>3769</v>
      </c>
      <c r="C942" s="40">
        <v>11</v>
      </c>
      <c r="D942" s="40"/>
      <c r="E942" s="57" t="s">
        <v>189</v>
      </c>
      <c r="F942" s="57" t="s">
        <v>189</v>
      </c>
      <c r="G942" s="29" t="s">
        <v>2156</v>
      </c>
      <c r="J942" s="29">
        <f t="shared" si="53"/>
        <v>1</v>
      </c>
      <c r="K942" s="42">
        <v>935</v>
      </c>
      <c r="L942" s="43" t="s">
        <v>2157</v>
      </c>
      <c r="M942" s="44" t="s">
        <v>405</v>
      </c>
      <c r="N942" s="44" t="s">
        <v>426</v>
      </c>
      <c r="O942" s="44" t="str">
        <f t="shared" si="56"/>
        <v>PE-L1-3C4-13</v>
      </c>
      <c r="P942" s="45">
        <v>1</v>
      </c>
      <c r="Q942" s="44">
        <v>230</v>
      </c>
      <c r="R942" s="44" t="s">
        <v>49</v>
      </c>
      <c r="S942" s="44">
        <v>50</v>
      </c>
      <c r="T942" s="46" t="s">
        <v>6130</v>
      </c>
      <c r="U942" s="46" t="s">
        <v>4079</v>
      </c>
      <c r="V942" s="46" t="s">
        <v>4080</v>
      </c>
      <c r="W942" s="46" t="s">
        <v>391</v>
      </c>
      <c r="X942" s="172" t="s">
        <v>9167</v>
      </c>
      <c r="Y942" s="46" t="s">
        <v>6166</v>
      </c>
      <c r="Z942" s="46" t="s">
        <v>6172</v>
      </c>
      <c r="AA942" s="46" t="s">
        <v>6168</v>
      </c>
      <c r="AB942" s="172" t="s">
        <v>9167</v>
      </c>
      <c r="AC942" s="48" t="s">
        <v>6171</v>
      </c>
      <c r="AD942" s="30"/>
      <c r="AE942" s="197"/>
      <c r="AF942" s="47"/>
    </row>
    <row r="943" spans="1:32" s="29" customFormat="1" ht="69.95" hidden="1" customHeight="1">
      <c r="A943" s="29" t="s">
        <v>4374</v>
      </c>
      <c r="B943" s="29" t="s">
        <v>3769</v>
      </c>
      <c r="C943" s="40" t="s">
        <v>38</v>
      </c>
      <c r="D943" s="40"/>
      <c r="E943" s="57" t="s">
        <v>233</v>
      </c>
      <c r="F943" s="57" t="s">
        <v>233</v>
      </c>
      <c r="G943" s="29" t="s">
        <v>2158</v>
      </c>
      <c r="J943" s="29">
        <f t="shared" si="53"/>
        <v>1</v>
      </c>
      <c r="K943" s="42">
        <v>936</v>
      </c>
      <c r="L943" s="43" t="s">
        <v>2159</v>
      </c>
      <c r="M943" s="44" t="s">
        <v>405</v>
      </c>
      <c r="N943" s="44" t="s">
        <v>426</v>
      </c>
      <c r="O943" s="44" t="str">
        <f t="shared" si="56"/>
        <v>PE-L1-3C4-14</v>
      </c>
      <c r="P943" s="45">
        <v>1</v>
      </c>
      <c r="Q943" s="44">
        <v>230</v>
      </c>
      <c r="R943" s="44" t="s">
        <v>428</v>
      </c>
      <c r="S943" s="44">
        <v>50</v>
      </c>
      <c r="T943" s="46" t="s">
        <v>6130</v>
      </c>
      <c r="U943" s="46" t="s">
        <v>4374</v>
      </c>
      <c r="V943" s="46" t="s">
        <v>4375</v>
      </c>
      <c r="W943" s="46" t="s">
        <v>397</v>
      </c>
      <c r="X943" s="172" t="s">
        <v>9167</v>
      </c>
      <c r="Y943" s="46" t="s">
        <v>6173</v>
      </c>
      <c r="Z943" s="46" t="s">
        <v>6174</v>
      </c>
      <c r="AA943" s="46" t="s">
        <v>6175</v>
      </c>
      <c r="AB943" s="172" t="s">
        <v>9167</v>
      </c>
      <c r="AC943" s="48" t="s">
        <v>6176</v>
      </c>
      <c r="AD943" s="30"/>
      <c r="AE943" s="197"/>
      <c r="AF943" s="47"/>
    </row>
    <row r="944" spans="1:32" s="29" customFormat="1" ht="69.95" hidden="1" customHeight="1">
      <c r="A944" s="29" t="s">
        <v>4383</v>
      </c>
      <c r="B944" s="29" t="s">
        <v>3769</v>
      </c>
      <c r="C944" s="40" t="s">
        <v>36</v>
      </c>
      <c r="D944" s="40"/>
      <c r="E944" s="57" t="s">
        <v>233</v>
      </c>
      <c r="F944" s="57" t="s">
        <v>233</v>
      </c>
      <c r="G944" s="29" t="s">
        <v>2160</v>
      </c>
      <c r="J944" s="29">
        <f t="shared" si="53"/>
        <v>1</v>
      </c>
      <c r="K944" s="42">
        <v>937</v>
      </c>
      <c r="L944" s="43" t="s">
        <v>2161</v>
      </c>
      <c r="M944" s="44" t="s">
        <v>405</v>
      </c>
      <c r="N944" s="44" t="s">
        <v>426</v>
      </c>
      <c r="O944" s="44" t="str">
        <f t="shared" si="56"/>
        <v>PE-L1-3C4-14</v>
      </c>
      <c r="P944" s="45">
        <v>1</v>
      </c>
      <c r="Q944" s="44">
        <v>230</v>
      </c>
      <c r="R944" s="44" t="s">
        <v>428</v>
      </c>
      <c r="S944" s="44">
        <v>50</v>
      </c>
      <c r="T944" s="46" t="s">
        <v>6130</v>
      </c>
      <c r="U944" s="46" t="s">
        <v>4383</v>
      </c>
      <c r="V944" s="46" t="s">
        <v>4384</v>
      </c>
      <c r="W944" s="46" t="s">
        <v>397</v>
      </c>
      <c r="X944" s="172" t="s">
        <v>9167</v>
      </c>
      <c r="Y944" s="46" t="s">
        <v>6173</v>
      </c>
      <c r="Z944" s="46" t="s">
        <v>6177</v>
      </c>
      <c r="AA944" s="46" t="s">
        <v>6175</v>
      </c>
      <c r="AB944" s="172" t="s">
        <v>9167</v>
      </c>
      <c r="AC944" s="48" t="s">
        <v>6178</v>
      </c>
      <c r="AD944" s="30"/>
      <c r="AE944" s="197"/>
      <c r="AF944" s="47"/>
    </row>
    <row r="945" spans="1:32" s="29" customFormat="1" ht="69.95" hidden="1" customHeight="1">
      <c r="A945" s="29" t="s">
        <v>4286</v>
      </c>
      <c r="B945" s="29" t="s">
        <v>3769</v>
      </c>
      <c r="C945" s="40">
        <v>10</v>
      </c>
      <c r="D945" s="40"/>
      <c r="E945" s="57" t="s">
        <v>233</v>
      </c>
      <c r="F945" s="57" t="s">
        <v>233</v>
      </c>
      <c r="G945" s="29" t="s">
        <v>2162</v>
      </c>
      <c r="J945" s="29">
        <f t="shared" si="53"/>
        <v>1</v>
      </c>
      <c r="K945" s="42">
        <v>938</v>
      </c>
      <c r="L945" s="43" t="s">
        <v>2163</v>
      </c>
      <c r="M945" s="44" t="s">
        <v>405</v>
      </c>
      <c r="N945" s="44" t="s">
        <v>426</v>
      </c>
      <c r="O945" s="44" t="str">
        <f t="shared" si="56"/>
        <v>PE-L1-3C4-14</v>
      </c>
      <c r="P945" s="45">
        <v>1</v>
      </c>
      <c r="Q945" s="44">
        <v>230</v>
      </c>
      <c r="R945" s="44" t="s">
        <v>49</v>
      </c>
      <c r="S945" s="44">
        <v>50</v>
      </c>
      <c r="T945" s="46" t="s">
        <v>6130</v>
      </c>
      <c r="U945" s="46" t="s">
        <v>4286</v>
      </c>
      <c r="V945" s="46" t="s">
        <v>4287</v>
      </c>
      <c r="W945" s="46" t="s">
        <v>397</v>
      </c>
      <c r="X945" s="172" t="s">
        <v>9167</v>
      </c>
      <c r="Y945" s="46" t="s">
        <v>6173</v>
      </c>
      <c r="Z945" s="46" t="s">
        <v>6179</v>
      </c>
      <c r="AA945" s="46" t="s">
        <v>6175</v>
      </c>
      <c r="AB945" s="172" t="s">
        <v>9167</v>
      </c>
      <c r="AC945" s="48" t="s">
        <v>6178</v>
      </c>
      <c r="AD945" s="30"/>
      <c r="AE945" s="197"/>
      <c r="AF945" s="47"/>
    </row>
    <row r="946" spans="1:32" s="29" customFormat="1" ht="69.95" hidden="1" customHeight="1">
      <c r="A946" s="29" t="s">
        <v>6180</v>
      </c>
      <c r="B946" s="29" t="s">
        <v>3769</v>
      </c>
      <c r="C946" s="40" t="s">
        <v>32</v>
      </c>
      <c r="D946" s="40"/>
      <c r="E946" s="57" t="s">
        <v>60</v>
      </c>
      <c r="F946" s="57" t="s">
        <v>60</v>
      </c>
      <c r="G946" s="29" t="s">
        <v>2164</v>
      </c>
      <c r="J946" s="29">
        <f t="shared" si="53"/>
        <v>1</v>
      </c>
      <c r="K946" s="42">
        <v>939</v>
      </c>
      <c r="L946" s="43" t="s">
        <v>2165</v>
      </c>
      <c r="M946" s="44" t="s">
        <v>405</v>
      </c>
      <c r="N946" s="44" t="s">
        <v>456</v>
      </c>
      <c r="O946" s="44" t="str">
        <f t="shared" si="56"/>
        <v>PE-L1-3C6-03</v>
      </c>
      <c r="P946" s="45">
        <v>3</v>
      </c>
      <c r="Q946" s="44">
        <v>230</v>
      </c>
      <c r="R946" s="44" t="s">
        <v>428</v>
      </c>
      <c r="S946" s="44">
        <v>60</v>
      </c>
      <c r="T946" s="46" t="s">
        <v>6130</v>
      </c>
      <c r="U946" s="46" t="s">
        <v>6180</v>
      </c>
      <c r="V946" s="46" t="s">
        <v>6181</v>
      </c>
      <c r="W946" s="46" t="s">
        <v>4549</v>
      </c>
      <c r="X946" s="172" t="s">
        <v>9167</v>
      </c>
      <c r="Y946" s="46" t="s">
        <v>6182</v>
      </c>
      <c r="Z946" s="46" t="s">
        <v>6183</v>
      </c>
      <c r="AA946" s="46" t="s">
        <v>4549</v>
      </c>
      <c r="AB946" s="172" t="s">
        <v>9167</v>
      </c>
      <c r="AC946" s="48" t="s">
        <v>6184</v>
      </c>
      <c r="AD946" s="30"/>
      <c r="AE946" s="197"/>
      <c r="AF946" s="47"/>
    </row>
    <row r="947" spans="1:32" s="29" customFormat="1" ht="69.95" hidden="1" customHeight="1">
      <c r="A947" s="29" t="s">
        <v>6185</v>
      </c>
      <c r="B947" s="29" t="s">
        <v>3769</v>
      </c>
      <c r="C947" s="40" t="s">
        <v>32</v>
      </c>
      <c r="D947" s="40"/>
      <c r="E947" s="57" t="s">
        <v>60</v>
      </c>
      <c r="F947" s="57" t="s">
        <v>60</v>
      </c>
      <c r="G947" s="29" t="s">
        <v>2166</v>
      </c>
      <c r="J947" s="29">
        <f t="shared" si="53"/>
        <v>1</v>
      </c>
      <c r="K947" s="42">
        <v>940</v>
      </c>
      <c r="L947" s="43" t="s">
        <v>2167</v>
      </c>
      <c r="M947" s="44" t="s">
        <v>405</v>
      </c>
      <c r="N947" s="44" t="s">
        <v>456</v>
      </c>
      <c r="O947" s="44" t="str">
        <f t="shared" si="56"/>
        <v>PE-L1-3C6-03</v>
      </c>
      <c r="P947" s="45">
        <v>3</v>
      </c>
      <c r="Q947" s="44">
        <v>230</v>
      </c>
      <c r="R947" s="44" t="s">
        <v>428</v>
      </c>
      <c r="S947" s="44">
        <v>40</v>
      </c>
      <c r="T947" s="46" t="s">
        <v>6130</v>
      </c>
      <c r="U947" s="46" t="s">
        <v>6185</v>
      </c>
      <c r="V947" s="46" t="s">
        <v>6186</v>
      </c>
      <c r="W947" s="46" t="s">
        <v>4549</v>
      </c>
      <c r="X947" s="172" t="s">
        <v>9167</v>
      </c>
      <c r="Y947" s="46" t="s">
        <v>6182</v>
      </c>
      <c r="Z947" s="46" t="s">
        <v>6187</v>
      </c>
      <c r="AA947" s="46" t="s">
        <v>4549</v>
      </c>
      <c r="AB947" s="172" t="s">
        <v>9167</v>
      </c>
      <c r="AC947" s="48" t="s">
        <v>6188</v>
      </c>
      <c r="AD947" s="30"/>
      <c r="AE947" s="197"/>
      <c r="AF947" s="47"/>
    </row>
    <row r="948" spans="1:32" s="29" customFormat="1" ht="69.95" hidden="1" customHeight="1">
      <c r="A948" s="29" t="s">
        <v>4688</v>
      </c>
      <c r="B948" s="29" t="s">
        <v>3769</v>
      </c>
      <c r="C948" s="40">
        <v>15</v>
      </c>
      <c r="D948" s="40"/>
      <c r="E948" s="57" t="s">
        <v>189</v>
      </c>
      <c r="F948" s="57" t="s">
        <v>189</v>
      </c>
      <c r="G948" s="29" t="s">
        <v>2168</v>
      </c>
      <c r="J948" s="29">
        <f t="shared" si="53"/>
        <v>1</v>
      </c>
      <c r="K948" s="42">
        <v>941</v>
      </c>
      <c r="L948" s="43" t="s">
        <v>2169</v>
      </c>
      <c r="M948" s="44" t="s">
        <v>405</v>
      </c>
      <c r="N948" s="44" t="s">
        <v>426</v>
      </c>
      <c r="O948" s="44" t="str">
        <f t="shared" si="56"/>
        <v>PE-L1-3C4-13</v>
      </c>
      <c r="P948" s="45">
        <v>2</v>
      </c>
      <c r="Q948" s="44">
        <v>230</v>
      </c>
      <c r="R948" s="44" t="s">
        <v>49</v>
      </c>
      <c r="S948" s="44">
        <v>80</v>
      </c>
      <c r="T948" s="46" t="s">
        <v>6130</v>
      </c>
      <c r="U948" s="46" t="s">
        <v>4688</v>
      </c>
      <c r="V948" s="46" t="s">
        <v>4689</v>
      </c>
      <c r="W948" s="46" t="s">
        <v>4549</v>
      </c>
      <c r="X948" s="172" t="s">
        <v>9167</v>
      </c>
      <c r="Y948" s="46" t="s">
        <v>6182</v>
      </c>
      <c r="Z948" s="46" t="s">
        <v>6189</v>
      </c>
      <c r="AA948" s="46" t="s">
        <v>4549</v>
      </c>
      <c r="AB948" s="172" t="s">
        <v>9167</v>
      </c>
      <c r="AC948" s="48" t="s">
        <v>6190</v>
      </c>
      <c r="AD948" s="30"/>
      <c r="AE948" s="197"/>
      <c r="AF948" s="47"/>
    </row>
    <row r="949" spans="1:32" s="29" customFormat="1" ht="69.95" hidden="1" customHeight="1">
      <c r="A949" s="29" t="s">
        <v>6185</v>
      </c>
      <c r="B949" s="29" t="s">
        <v>3769</v>
      </c>
      <c r="C949" s="40" t="s">
        <v>36</v>
      </c>
      <c r="D949" s="40"/>
      <c r="E949" s="57" t="s">
        <v>119</v>
      </c>
      <c r="F949" s="57" t="s">
        <v>119</v>
      </c>
      <c r="G949" s="29" t="s">
        <v>2170</v>
      </c>
      <c r="J949" s="29">
        <f t="shared" si="53"/>
        <v>1</v>
      </c>
      <c r="K949" s="42">
        <v>942</v>
      </c>
      <c r="L949" s="43" t="s">
        <v>2171</v>
      </c>
      <c r="M949" s="44" t="s">
        <v>405</v>
      </c>
      <c r="N949" s="44" t="s">
        <v>456</v>
      </c>
      <c r="O949" s="44" t="str">
        <f t="shared" si="56"/>
        <v>PE-L1-3C6-02</v>
      </c>
      <c r="P949" s="45">
        <v>3</v>
      </c>
      <c r="Q949" s="44">
        <v>230</v>
      </c>
      <c r="R949" s="44" t="s">
        <v>428</v>
      </c>
      <c r="S949" s="44">
        <v>60</v>
      </c>
      <c r="T949" s="46" t="s">
        <v>6130</v>
      </c>
      <c r="U949" s="46" t="s">
        <v>6185</v>
      </c>
      <c r="V949" s="46" t="s">
        <v>6186</v>
      </c>
      <c r="W949" s="46" t="s">
        <v>4549</v>
      </c>
      <c r="X949" s="172" t="s">
        <v>9167</v>
      </c>
      <c r="Y949" s="46" t="s">
        <v>6191</v>
      </c>
      <c r="Z949" s="46" t="s">
        <v>6192</v>
      </c>
      <c r="AA949" s="46" t="s">
        <v>4549</v>
      </c>
      <c r="AB949" s="172" t="s">
        <v>9167</v>
      </c>
      <c r="AC949" s="48" t="s">
        <v>6193</v>
      </c>
      <c r="AD949" s="30"/>
      <c r="AE949" s="197"/>
      <c r="AF949" s="47"/>
    </row>
    <row r="950" spans="1:32" s="29" customFormat="1" ht="69.95" hidden="1" customHeight="1">
      <c r="A950" s="29" t="s">
        <v>6180</v>
      </c>
      <c r="B950" s="29" t="s">
        <v>3769</v>
      </c>
      <c r="C950" s="40" t="s">
        <v>36</v>
      </c>
      <c r="D950" s="40"/>
      <c r="E950" s="56" t="s">
        <v>119</v>
      </c>
      <c r="F950" s="57" t="s">
        <v>119</v>
      </c>
      <c r="G950" s="29" t="s">
        <v>2172</v>
      </c>
      <c r="J950" s="29">
        <f t="shared" si="53"/>
        <v>1</v>
      </c>
      <c r="K950" s="42">
        <v>943</v>
      </c>
      <c r="L950" s="43" t="s">
        <v>2173</v>
      </c>
      <c r="M950" s="44" t="s">
        <v>405</v>
      </c>
      <c r="N950" s="44" t="s">
        <v>456</v>
      </c>
      <c r="O950" s="44" t="str">
        <f t="shared" si="56"/>
        <v>PE-L1-3C6-02</v>
      </c>
      <c r="P950" s="45">
        <v>3</v>
      </c>
      <c r="Q950" s="44">
        <v>230</v>
      </c>
      <c r="R950" s="44" t="s">
        <v>428</v>
      </c>
      <c r="S950" s="44">
        <v>50</v>
      </c>
      <c r="T950" s="46" t="s">
        <v>6130</v>
      </c>
      <c r="U950" s="46" t="s">
        <v>6180</v>
      </c>
      <c r="V950" s="46" t="s">
        <v>6181</v>
      </c>
      <c r="W950" s="46" t="s">
        <v>4549</v>
      </c>
      <c r="X950" s="172" t="s">
        <v>9167</v>
      </c>
      <c r="Y950" s="46" t="s">
        <v>6191</v>
      </c>
      <c r="Z950" s="46" t="s">
        <v>6194</v>
      </c>
      <c r="AA950" s="46" t="s">
        <v>4549</v>
      </c>
      <c r="AB950" s="172" t="s">
        <v>9167</v>
      </c>
      <c r="AC950" s="48" t="s">
        <v>6195</v>
      </c>
      <c r="AD950" s="30"/>
      <c r="AE950" s="197"/>
      <c r="AF950" s="47"/>
    </row>
    <row r="951" spans="1:32" s="29" customFormat="1" ht="69.95" hidden="1" customHeight="1">
      <c r="A951" s="29" t="s">
        <v>4923</v>
      </c>
      <c r="B951" s="29" t="s">
        <v>3769</v>
      </c>
      <c r="C951" s="40">
        <v>15</v>
      </c>
      <c r="D951" s="173" t="s">
        <v>9131</v>
      </c>
      <c r="E951" s="57" t="s">
        <v>163</v>
      </c>
      <c r="F951" s="121" t="s">
        <v>8307</v>
      </c>
      <c r="G951" s="29" t="s">
        <v>2174</v>
      </c>
      <c r="J951" s="29">
        <f t="shared" si="53"/>
        <v>1</v>
      </c>
      <c r="K951" s="42">
        <v>944</v>
      </c>
      <c r="L951" s="43" t="s">
        <v>2175</v>
      </c>
      <c r="M951" s="44" t="s">
        <v>405</v>
      </c>
      <c r="N951" s="44" t="s">
        <v>426</v>
      </c>
      <c r="O951" s="121" t="str">
        <f>F951</f>
        <v>PE-L1-3C4-15</v>
      </c>
      <c r="P951" s="45">
        <v>2</v>
      </c>
      <c r="Q951" s="44">
        <v>230</v>
      </c>
      <c r="R951" s="44" t="s">
        <v>49</v>
      </c>
      <c r="S951" s="44">
        <v>40</v>
      </c>
      <c r="T951" s="46" t="s">
        <v>6130</v>
      </c>
      <c r="U951" s="46" t="s">
        <v>4923</v>
      </c>
      <c r="V951" s="46" t="s">
        <v>4924</v>
      </c>
      <c r="W951" s="46" t="s">
        <v>4549</v>
      </c>
      <c r="X951" s="172" t="s">
        <v>9167</v>
      </c>
      <c r="Y951" s="46" t="s">
        <v>6191</v>
      </c>
      <c r="Z951" s="46" t="s">
        <v>6196</v>
      </c>
      <c r="AA951" s="46" t="s">
        <v>4549</v>
      </c>
      <c r="AB951" s="172" t="s">
        <v>9167</v>
      </c>
      <c r="AC951" s="48" t="s">
        <v>6197</v>
      </c>
      <c r="AD951" s="30"/>
      <c r="AE951" s="197"/>
      <c r="AF951" s="47"/>
    </row>
    <row r="952" spans="1:32" s="29" customFormat="1" ht="84.95" hidden="1" customHeight="1">
      <c r="A952" s="29" t="s">
        <v>5407</v>
      </c>
      <c r="B952" s="29" t="s">
        <v>3769</v>
      </c>
      <c r="C952" s="40" t="s">
        <v>42</v>
      </c>
      <c r="D952" s="40"/>
      <c r="E952" s="58" t="s">
        <v>8375</v>
      </c>
      <c r="F952" s="57" t="s">
        <v>8375</v>
      </c>
      <c r="G952" s="29" t="s">
        <v>2176</v>
      </c>
      <c r="H952" s="124" t="s">
        <v>9563</v>
      </c>
      <c r="I952" s="124" t="s">
        <v>9121</v>
      </c>
      <c r="J952" s="29">
        <f t="shared" si="53"/>
        <v>1</v>
      </c>
      <c r="K952" s="127">
        <v>945</v>
      </c>
      <c r="L952" s="152" t="s">
        <v>9431</v>
      </c>
      <c r="M952" s="44" t="s">
        <v>405</v>
      </c>
      <c r="N952" s="44" t="s">
        <v>8374</v>
      </c>
      <c r="O952" s="101" t="str">
        <f t="shared" ref="O952:O954" si="57">F952</f>
        <v>PE-L1-3C35/25-01</v>
      </c>
      <c r="P952" s="45">
        <v>3</v>
      </c>
      <c r="Q952" s="44">
        <v>230</v>
      </c>
      <c r="R952" s="44" t="s">
        <v>428</v>
      </c>
      <c r="S952" s="126">
        <v>450</v>
      </c>
      <c r="T952" s="46" t="s">
        <v>6198</v>
      </c>
      <c r="U952" s="46" t="s">
        <v>5407</v>
      </c>
      <c r="V952" s="46" t="s">
        <v>5408</v>
      </c>
      <c r="W952" s="46" t="s">
        <v>335</v>
      </c>
      <c r="X952" s="172" t="s">
        <v>9167</v>
      </c>
      <c r="Y952" s="46" t="s">
        <v>6199</v>
      </c>
      <c r="Z952" s="46" t="s">
        <v>6200</v>
      </c>
      <c r="AA952" s="46" t="s">
        <v>5406</v>
      </c>
      <c r="AB952" s="172" t="s">
        <v>9167</v>
      </c>
      <c r="AC952" s="76" t="s">
        <v>9255</v>
      </c>
      <c r="AD952" s="30"/>
      <c r="AE952" s="197"/>
      <c r="AF952" s="47"/>
    </row>
    <row r="953" spans="1:32" s="29" customFormat="1" ht="120" hidden="1" customHeight="1">
      <c r="A953" s="29" t="s">
        <v>5411</v>
      </c>
      <c r="B953" s="29" t="s">
        <v>3769</v>
      </c>
      <c r="C953" s="40" t="s">
        <v>43</v>
      </c>
      <c r="D953" s="40"/>
      <c r="E953" s="57" t="s">
        <v>8375</v>
      </c>
      <c r="F953" s="57" t="s">
        <v>8375</v>
      </c>
      <c r="G953" s="29" t="s">
        <v>2177</v>
      </c>
      <c r="H953" s="124" t="s">
        <v>9563</v>
      </c>
      <c r="I953" s="124" t="s">
        <v>9121</v>
      </c>
      <c r="J953" s="29">
        <f t="shared" si="53"/>
        <v>1</v>
      </c>
      <c r="K953" s="127">
        <v>946</v>
      </c>
      <c r="L953" s="152" t="s">
        <v>9432</v>
      </c>
      <c r="M953" s="44" t="s">
        <v>405</v>
      </c>
      <c r="N953" s="44" t="s">
        <v>8374</v>
      </c>
      <c r="O953" s="101" t="str">
        <f t="shared" si="57"/>
        <v>PE-L1-3C35/25-01</v>
      </c>
      <c r="P953" s="45">
        <v>3</v>
      </c>
      <c r="Q953" s="44">
        <v>230</v>
      </c>
      <c r="R953" s="44" t="s">
        <v>428</v>
      </c>
      <c r="S953" s="126">
        <v>520</v>
      </c>
      <c r="T953" s="46" t="s">
        <v>6198</v>
      </c>
      <c r="U953" s="46" t="s">
        <v>5411</v>
      </c>
      <c r="V953" s="46" t="s">
        <v>5412</v>
      </c>
      <c r="W953" s="46" t="s">
        <v>335</v>
      </c>
      <c r="X953" s="172" t="s">
        <v>9167</v>
      </c>
      <c r="Y953" s="46" t="s">
        <v>6199</v>
      </c>
      <c r="Z953" s="46" t="s">
        <v>6201</v>
      </c>
      <c r="AA953" s="46" t="s">
        <v>5406</v>
      </c>
      <c r="AB953" s="172" t="s">
        <v>9167</v>
      </c>
      <c r="AC953" s="76" t="s">
        <v>9256</v>
      </c>
      <c r="AD953" s="30"/>
      <c r="AE953" s="197"/>
      <c r="AF953" s="47"/>
    </row>
    <row r="954" spans="1:32" s="29" customFormat="1" ht="120" hidden="1" customHeight="1">
      <c r="A954" s="29" t="s">
        <v>6202</v>
      </c>
      <c r="B954" s="29" t="s">
        <v>3769</v>
      </c>
      <c r="C954" s="40" t="s">
        <v>32</v>
      </c>
      <c r="D954" s="40"/>
      <c r="E954" s="57" t="s">
        <v>228</v>
      </c>
      <c r="F954" s="57" t="s">
        <v>228</v>
      </c>
      <c r="G954" s="29" t="s">
        <v>2178</v>
      </c>
      <c r="J954" s="29">
        <f t="shared" si="53"/>
        <v>1</v>
      </c>
      <c r="K954" s="127">
        <v>947</v>
      </c>
      <c r="L954" s="43" t="s">
        <v>2179</v>
      </c>
      <c r="M954" s="44" t="s">
        <v>405</v>
      </c>
      <c r="N954" s="44" t="s">
        <v>2080</v>
      </c>
      <c r="O954" s="44" t="str">
        <f t="shared" si="57"/>
        <v>PE-L1-3C16-01</v>
      </c>
      <c r="P954" s="45">
        <v>1</v>
      </c>
      <c r="Q954" s="44">
        <v>230</v>
      </c>
      <c r="R954" s="44" t="s">
        <v>49</v>
      </c>
      <c r="S954" s="44">
        <v>520</v>
      </c>
      <c r="T954" s="46" t="s">
        <v>6198</v>
      </c>
      <c r="U954" s="46" t="s">
        <v>6202</v>
      </c>
      <c r="V954" s="46" t="s">
        <v>6203</v>
      </c>
      <c r="W954" s="46" t="s">
        <v>335</v>
      </c>
      <c r="X954" s="172" t="s">
        <v>9167</v>
      </c>
      <c r="Y954" s="46" t="s">
        <v>6199</v>
      </c>
      <c r="Z954" s="46" t="s">
        <v>6204</v>
      </c>
      <c r="AA954" s="46" t="s">
        <v>5406</v>
      </c>
      <c r="AB954" s="172" t="s">
        <v>9167</v>
      </c>
      <c r="AC954" s="76" t="s">
        <v>9257</v>
      </c>
      <c r="AD954" s="30"/>
      <c r="AE954" s="197"/>
      <c r="AF954" s="47"/>
    </row>
    <row r="955" spans="1:32" s="29" customFormat="1" ht="69.95" hidden="1" customHeight="1">
      <c r="A955" s="29" t="s">
        <v>3959</v>
      </c>
      <c r="B955" s="29" t="s">
        <v>3769</v>
      </c>
      <c r="C955" s="40" t="s">
        <v>42</v>
      </c>
      <c r="D955" s="40"/>
      <c r="E955" s="57" t="s">
        <v>80</v>
      </c>
      <c r="F955" s="57" t="s">
        <v>80</v>
      </c>
      <c r="G955" s="29" t="s">
        <v>2180</v>
      </c>
      <c r="I955" s="124" t="s">
        <v>9121</v>
      </c>
      <c r="J955" s="29">
        <f t="shared" si="53"/>
        <v>1</v>
      </c>
      <c r="K955" s="42">
        <v>948</v>
      </c>
      <c r="L955" s="152" t="s">
        <v>2181</v>
      </c>
      <c r="M955" s="44" t="s">
        <v>405</v>
      </c>
      <c r="N955" s="44" t="s">
        <v>549</v>
      </c>
      <c r="O955" s="101" t="str">
        <f>F955</f>
        <v>PE-L1-3C10-02</v>
      </c>
      <c r="P955" s="45">
        <v>3</v>
      </c>
      <c r="Q955" s="44">
        <v>230</v>
      </c>
      <c r="R955" s="44" t="s">
        <v>428</v>
      </c>
      <c r="S955" s="101">
        <v>110</v>
      </c>
      <c r="T955" s="46" t="s">
        <v>6198</v>
      </c>
      <c r="U955" s="46" t="s">
        <v>3959</v>
      </c>
      <c r="V955" s="46" t="s">
        <v>3960</v>
      </c>
      <c r="W955" s="46" t="s">
        <v>335</v>
      </c>
      <c r="X955" s="172" t="s">
        <v>9167</v>
      </c>
      <c r="Y955" s="46" t="s">
        <v>6205</v>
      </c>
      <c r="Z955" s="46" t="s">
        <v>6206</v>
      </c>
      <c r="AA955" s="46" t="s">
        <v>335</v>
      </c>
      <c r="AB955" s="172" t="s">
        <v>9167</v>
      </c>
      <c r="AC955" s="48" t="s">
        <v>6207</v>
      </c>
      <c r="AD955" s="30"/>
      <c r="AE955" s="197"/>
      <c r="AF955" s="47"/>
    </row>
    <row r="956" spans="1:32" s="29" customFormat="1" ht="69.95" hidden="1" customHeight="1">
      <c r="A956" s="29" t="s">
        <v>3994</v>
      </c>
      <c r="B956" s="29" t="s">
        <v>3769</v>
      </c>
      <c r="C956" s="40" t="s">
        <v>41</v>
      </c>
      <c r="D956" s="40"/>
      <c r="E956" s="57" t="s">
        <v>234</v>
      </c>
      <c r="F956" s="57" t="s">
        <v>234</v>
      </c>
      <c r="G956" s="29" t="s">
        <v>2182</v>
      </c>
      <c r="I956" s="124" t="s">
        <v>9121</v>
      </c>
      <c r="J956" s="29">
        <f t="shared" si="53"/>
        <v>1</v>
      </c>
      <c r="K956" s="42">
        <v>949</v>
      </c>
      <c r="L956" s="152" t="s">
        <v>2183</v>
      </c>
      <c r="M956" s="44" t="s">
        <v>405</v>
      </c>
      <c r="N956" s="44" t="s">
        <v>549</v>
      </c>
      <c r="O956" s="101" t="str">
        <f>F956</f>
        <v>PE-L1-3C10-02</v>
      </c>
      <c r="P956" s="45">
        <v>3</v>
      </c>
      <c r="Q956" s="44">
        <v>230</v>
      </c>
      <c r="R956" s="44" t="s">
        <v>428</v>
      </c>
      <c r="S956" s="101">
        <v>120</v>
      </c>
      <c r="T956" s="46" t="s">
        <v>6198</v>
      </c>
      <c r="U956" s="46" t="s">
        <v>3994</v>
      </c>
      <c r="V956" s="46" t="s">
        <v>3995</v>
      </c>
      <c r="W956" s="46" t="s">
        <v>335</v>
      </c>
      <c r="X956" s="172" t="s">
        <v>9167</v>
      </c>
      <c r="Y956" s="46" t="s">
        <v>6205</v>
      </c>
      <c r="Z956" s="46" t="s">
        <v>6208</v>
      </c>
      <c r="AA956" s="46" t="s">
        <v>335</v>
      </c>
      <c r="AB956" s="172" t="s">
        <v>9167</v>
      </c>
      <c r="AC956" s="48" t="s">
        <v>6209</v>
      </c>
      <c r="AD956" s="30"/>
      <c r="AE956" s="197"/>
      <c r="AF956" s="47"/>
    </row>
    <row r="957" spans="1:32" s="29" customFormat="1" ht="69.95" hidden="1" customHeight="1">
      <c r="A957" s="29" t="s">
        <v>3985</v>
      </c>
      <c r="B957" s="29" t="s">
        <v>3769</v>
      </c>
      <c r="C957" s="40" t="s">
        <v>38</v>
      </c>
      <c r="D957" s="173" t="s">
        <v>9131</v>
      </c>
      <c r="E957" s="59" t="s">
        <v>189</v>
      </c>
      <c r="F957" s="143" t="s">
        <v>85</v>
      </c>
      <c r="G957" s="29" t="s">
        <v>2184</v>
      </c>
      <c r="I957" s="124" t="s">
        <v>9121</v>
      </c>
      <c r="J957" s="29">
        <f t="shared" si="53"/>
        <v>1</v>
      </c>
      <c r="K957" s="127">
        <v>950</v>
      </c>
      <c r="L957" s="43" t="s">
        <v>2185</v>
      </c>
      <c r="M957" s="44" t="s">
        <v>405</v>
      </c>
      <c r="N957" s="44" t="s">
        <v>426</v>
      </c>
      <c r="O957" s="121" t="str">
        <f>F957</f>
        <v>PE-L1-3C4-16</v>
      </c>
      <c r="P957" s="45">
        <v>1</v>
      </c>
      <c r="Q957" s="44">
        <v>230</v>
      </c>
      <c r="R957" s="44" t="s">
        <v>49</v>
      </c>
      <c r="S957" s="44">
        <v>160</v>
      </c>
      <c r="T957" s="46" t="s">
        <v>6198</v>
      </c>
      <c r="U957" s="46" t="s">
        <v>3985</v>
      </c>
      <c r="V957" s="46" t="s">
        <v>3986</v>
      </c>
      <c r="W957" s="46" t="s">
        <v>335</v>
      </c>
      <c r="X957" s="172" t="s">
        <v>9167</v>
      </c>
      <c r="Y957" s="46" t="s">
        <v>6205</v>
      </c>
      <c r="Z957" s="46" t="s">
        <v>6210</v>
      </c>
      <c r="AA957" s="46" t="s">
        <v>335</v>
      </c>
      <c r="AB957" s="172" t="s">
        <v>9167</v>
      </c>
      <c r="AC957" s="48" t="s">
        <v>6211</v>
      </c>
      <c r="AD957" s="30"/>
      <c r="AE957" s="197"/>
      <c r="AF957" s="47"/>
    </row>
    <row r="958" spans="1:32" s="29" customFormat="1" ht="69.95" hidden="1" customHeight="1">
      <c r="A958" s="29" t="s">
        <v>4030</v>
      </c>
      <c r="B958" s="29" t="s">
        <v>3769</v>
      </c>
      <c r="C958" s="40" t="s">
        <v>42</v>
      </c>
      <c r="D958" s="40"/>
      <c r="E958" s="57" t="s">
        <v>228</v>
      </c>
      <c r="F958" s="57" t="s">
        <v>228</v>
      </c>
      <c r="G958" s="29" t="s">
        <v>2186</v>
      </c>
      <c r="J958" s="29">
        <f t="shared" si="53"/>
        <v>1</v>
      </c>
      <c r="K958" s="42">
        <v>951</v>
      </c>
      <c r="L958" s="43" t="s">
        <v>2187</v>
      </c>
      <c r="M958" s="44" t="s">
        <v>405</v>
      </c>
      <c r="N958" s="44" t="s">
        <v>2080</v>
      </c>
      <c r="O958" s="44" t="str">
        <f t="shared" ref="O958:O963" si="58">F958</f>
        <v>PE-L1-3C16-01</v>
      </c>
      <c r="P958" s="45">
        <v>3</v>
      </c>
      <c r="Q958" s="44">
        <v>230</v>
      </c>
      <c r="R958" s="44" t="s">
        <v>428</v>
      </c>
      <c r="S958" s="44">
        <v>100</v>
      </c>
      <c r="T958" s="46" t="s">
        <v>6198</v>
      </c>
      <c r="U958" s="46" t="s">
        <v>4030</v>
      </c>
      <c r="V958" s="46" t="s">
        <v>4031</v>
      </c>
      <c r="W958" s="46" t="s">
        <v>347</v>
      </c>
      <c r="X958" s="172" t="s">
        <v>9167</v>
      </c>
      <c r="Y958" s="46" t="s">
        <v>6212</v>
      </c>
      <c r="Z958" s="46" t="s">
        <v>6213</v>
      </c>
      <c r="AA958" s="46" t="s">
        <v>347</v>
      </c>
      <c r="AB958" s="172" t="s">
        <v>9167</v>
      </c>
      <c r="AC958" s="48" t="s">
        <v>6214</v>
      </c>
      <c r="AD958" s="30"/>
      <c r="AE958" s="197"/>
      <c r="AF958" s="47"/>
    </row>
    <row r="959" spans="1:32" s="29" customFormat="1" ht="69.95" hidden="1" customHeight="1">
      <c r="A959" s="29" t="s">
        <v>4063</v>
      </c>
      <c r="B959" s="29" t="s">
        <v>3769</v>
      </c>
      <c r="C959" s="40" t="s">
        <v>41</v>
      </c>
      <c r="D959" s="40"/>
      <c r="E959" s="58" t="s">
        <v>80</v>
      </c>
      <c r="F959" s="58" t="s">
        <v>80</v>
      </c>
      <c r="G959" s="29" t="s">
        <v>2188</v>
      </c>
      <c r="H959" s="124" t="s">
        <v>9563</v>
      </c>
      <c r="I959" s="124" t="s">
        <v>9121</v>
      </c>
      <c r="J959" s="29">
        <f t="shared" si="53"/>
        <v>1</v>
      </c>
      <c r="K959" s="42">
        <v>952</v>
      </c>
      <c r="L959" s="152" t="s">
        <v>2189</v>
      </c>
      <c r="M959" s="44" t="s">
        <v>405</v>
      </c>
      <c r="N959" s="44" t="s">
        <v>549</v>
      </c>
      <c r="O959" s="101" t="str">
        <f t="shared" si="58"/>
        <v>PE-L1-3C10-02</v>
      </c>
      <c r="P959" s="45">
        <v>3</v>
      </c>
      <c r="Q959" s="44">
        <v>230</v>
      </c>
      <c r="R959" s="44" t="s">
        <v>428</v>
      </c>
      <c r="S959" s="101">
        <v>100</v>
      </c>
      <c r="T959" s="46" t="s">
        <v>6198</v>
      </c>
      <c r="U959" s="46" t="s">
        <v>4063</v>
      </c>
      <c r="V959" s="46" t="s">
        <v>4064</v>
      </c>
      <c r="W959" s="46" t="s">
        <v>347</v>
      </c>
      <c r="X959" s="172" t="s">
        <v>9167</v>
      </c>
      <c r="Y959" s="46" t="s">
        <v>6212</v>
      </c>
      <c r="Z959" s="46" t="s">
        <v>6215</v>
      </c>
      <c r="AA959" s="46" t="s">
        <v>347</v>
      </c>
      <c r="AB959" s="172" t="s">
        <v>9167</v>
      </c>
      <c r="AC959" s="48" t="s">
        <v>6216</v>
      </c>
      <c r="AD959" s="30"/>
      <c r="AE959" s="197"/>
      <c r="AF959" s="47"/>
    </row>
    <row r="960" spans="1:32" s="29" customFormat="1" ht="69.95" hidden="1" customHeight="1">
      <c r="A960" s="29" t="s">
        <v>4054</v>
      </c>
      <c r="B960" s="29" t="s">
        <v>3769</v>
      </c>
      <c r="C960" s="40" t="s">
        <v>36</v>
      </c>
      <c r="D960" s="40"/>
      <c r="E960" s="58" t="s">
        <v>235</v>
      </c>
      <c r="F960" s="58" t="s">
        <v>235</v>
      </c>
      <c r="G960" s="29" t="s">
        <v>2190</v>
      </c>
      <c r="J960" s="29">
        <f t="shared" si="53"/>
        <v>1</v>
      </c>
      <c r="K960" s="42">
        <v>953</v>
      </c>
      <c r="L960" s="43" t="s">
        <v>2191</v>
      </c>
      <c r="M960" s="44" t="s">
        <v>405</v>
      </c>
      <c r="N960" s="44" t="s">
        <v>426</v>
      </c>
      <c r="O960" s="44" t="str">
        <f t="shared" si="58"/>
        <v>PE-L1-3C4-19</v>
      </c>
      <c r="P960" s="45">
        <v>1</v>
      </c>
      <c r="Q960" s="44">
        <v>230</v>
      </c>
      <c r="R960" s="44" t="s">
        <v>49</v>
      </c>
      <c r="S960" s="44">
        <v>50</v>
      </c>
      <c r="T960" s="46" t="s">
        <v>6198</v>
      </c>
      <c r="U960" s="46" t="s">
        <v>4054</v>
      </c>
      <c r="V960" s="46" t="s">
        <v>4055</v>
      </c>
      <c r="W960" s="46" t="s">
        <v>347</v>
      </c>
      <c r="X960" s="172" t="s">
        <v>9167</v>
      </c>
      <c r="Y960" s="46" t="s">
        <v>6212</v>
      </c>
      <c r="Z960" s="46" t="s">
        <v>6217</v>
      </c>
      <c r="AA960" s="46" t="s">
        <v>347</v>
      </c>
      <c r="AB960" s="172" t="s">
        <v>9167</v>
      </c>
      <c r="AC960" s="48" t="s">
        <v>6218</v>
      </c>
      <c r="AD960" s="30"/>
      <c r="AE960" s="197"/>
      <c r="AF960" s="47"/>
    </row>
    <row r="961" spans="1:32" s="29" customFormat="1" ht="69.95" hidden="1" customHeight="1">
      <c r="A961" s="29" t="s">
        <v>5411</v>
      </c>
      <c r="B961" s="29" t="s">
        <v>3769</v>
      </c>
      <c r="C961" s="40" t="s">
        <v>73</v>
      </c>
      <c r="D961" s="40"/>
      <c r="E961" s="57" t="s">
        <v>8034</v>
      </c>
      <c r="F961" s="57" t="s">
        <v>8034</v>
      </c>
      <c r="G961" s="29" t="s">
        <v>2192</v>
      </c>
      <c r="J961" s="29">
        <f t="shared" si="53"/>
        <v>1</v>
      </c>
      <c r="K961" s="42">
        <v>954</v>
      </c>
      <c r="L961" s="43" t="s">
        <v>9435</v>
      </c>
      <c r="M961" s="44" t="s">
        <v>405</v>
      </c>
      <c r="N961" s="44" t="s">
        <v>2125</v>
      </c>
      <c r="O961" s="44" t="str">
        <f t="shared" si="58"/>
        <v>PE-L1-3C50/25-01</v>
      </c>
      <c r="P961" s="45">
        <v>3</v>
      </c>
      <c r="Q961" s="44">
        <v>230</v>
      </c>
      <c r="R961" s="44" t="s">
        <v>428</v>
      </c>
      <c r="S961" s="44">
        <v>480</v>
      </c>
      <c r="T961" s="46" t="s">
        <v>6219</v>
      </c>
      <c r="U961" s="46" t="s">
        <v>5411</v>
      </c>
      <c r="V961" s="46" t="s">
        <v>5412</v>
      </c>
      <c r="W961" s="46" t="s">
        <v>335</v>
      </c>
      <c r="X961" s="172" t="s">
        <v>9167</v>
      </c>
      <c r="Y961" s="46" t="s">
        <v>6220</v>
      </c>
      <c r="Z961" s="46" t="s">
        <v>8376</v>
      </c>
      <c r="AA961" s="46" t="s">
        <v>5337</v>
      </c>
      <c r="AB961" s="172" t="s">
        <v>9167</v>
      </c>
      <c r="AC961" s="48" t="s">
        <v>6221</v>
      </c>
      <c r="AD961" s="30"/>
      <c r="AE961" s="197"/>
      <c r="AF961" s="47"/>
    </row>
    <row r="962" spans="1:32" s="29" customFormat="1" ht="69.95" hidden="1" customHeight="1">
      <c r="A962" s="29" t="s">
        <v>5407</v>
      </c>
      <c r="B962" s="29" t="s">
        <v>3769</v>
      </c>
      <c r="C962" s="40" t="s">
        <v>43</v>
      </c>
      <c r="D962" s="40"/>
      <c r="E962" s="57" t="s">
        <v>231</v>
      </c>
      <c r="F962" s="57" t="s">
        <v>231</v>
      </c>
      <c r="G962" s="29" t="s">
        <v>2193</v>
      </c>
      <c r="J962" s="29">
        <f t="shared" si="53"/>
        <v>1</v>
      </c>
      <c r="K962" s="42">
        <v>955</v>
      </c>
      <c r="L962" s="43" t="s">
        <v>9436</v>
      </c>
      <c r="M962" s="44" t="s">
        <v>405</v>
      </c>
      <c r="N962" s="44" t="s">
        <v>2125</v>
      </c>
      <c r="O962" s="44" t="str">
        <f t="shared" si="58"/>
        <v>PE-L1-3C50/25-02</v>
      </c>
      <c r="P962" s="45">
        <v>3</v>
      </c>
      <c r="Q962" s="44">
        <v>230</v>
      </c>
      <c r="R962" s="44" t="s">
        <v>428</v>
      </c>
      <c r="S962" s="44">
        <v>580</v>
      </c>
      <c r="T962" s="46" t="s">
        <v>6219</v>
      </c>
      <c r="U962" s="46" t="s">
        <v>5407</v>
      </c>
      <c r="V962" s="46" t="s">
        <v>5408</v>
      </c>
      <c r="W962" s="46" t="s">
        <v>335</v>
      </c>
      <c r="X962" s="172" t="s">
        <v>9167</v>
      </c>
      <c r="Y962" s="46" t="s">
        <v>6220</v>
      </c>
      <c r="Z962" s="46" t="s">
        <v>6222</v>
      </c>
      <c r="AA962" s="46" t="s">
        <v>5337</v>
      </c>
      <c r="AB962" s="172" t="s">
        <v>9167</v>
      </c>
      <c r="AC962" s="48" t="s">
        <v>6223</v>
      </c>
      <c r="AD962" s="30"/>
      <c r="AE962" s="197"/>
      <c r="AF962" s="47"/>
    </row>
    <row r="963" spans="1:32" s="29" customFormat="1" ht="69.95" hidden="1" customHeight="1">
      <c r="A963" s="29" t="s">
        <v>6224</v>
      </c>
      <c r="B963" s="29" t="s">
        <v>3769</v>
      </c>
      <c r="C963" s="40" t="s">
        <v>32</v>
      </c>
      <c r="D963" s="40"/>
      <c r="E963" s="57" t="s">
        <v>228</v>
      </c>
      <c r="F963" s="57" t="s">
        <v>228</v>
      </c>
      <c r="G963" s="29" t="s">
        <v>2194</v>
      </c>
      <c r="J963" s="29">
        <f t="shared" si="53"/>
        <v>1</v>
      </c>
      <c r="K963" s="42">
        <v>956</v>
      </c>
      <c r="L963" s="43" t="s">
        <v>2195</v>
      </c>
      <c r="M963" s="44" t="s">
        <v>405</v>
      </c>
      <c r="N963" s="44" t="s">
        <v>2080</v>
      </c>
      <c r="O963" s="44" t="str">
        <f t="shared" si="58"/>
        <v>PE-L1-3C16-01</v>
      </c>
      <c r="P963" s="45">
        <v>1</v>
      </c>
      <c r="Q963" s="44">
        <v>230</v>
      </c>
      <c r="R963" s="44" t="s">
        <v>49</v>
      </c>
      <c r="S963" s="44">
        <v>400</v>
      </c>
      <c r="T963" s="46" t="s">
        <v>6219</v>
      </c>
      <c r="U963" s="46" t="s">
        <v>6224</v>
      </c>
      <c r="V963" s="46" t="s">
        <v>6225</v>
      </c>
      <c r="W963" s="46" t="s">
        <v>5154</v>
      </c>
      <c r="X963" s="172" t="s">
        <v>9167</v>
      </c>
      <c r="Y963" s="46" t="s">
        <v>6220</v>
      </c>
      <c r="Z963" s="46" t="s">
        <v>6226</v>
      </c>
      <c r="AA963" s="46" t="s">
        <v>5337</v>
      </c>
      <c r="AB963" s="172" t="s">
        <v>9167</v>
      </c>
      <c r="AC963" s="48" t="s">
        <v>6227</v>
      </c>
      <c r="AD963" s="30"/>
      <c r="AE963" s="197"/>
      <c r="AF963" s="47"/>
    </row>
    <row r="964" spans="1:32" s="29" customFormat="1" ht="69.95" hidden="1" customHeight="1">
      <c r="A964" s="29" t="s">
        <v>3959</v>
      </c>
      <c r="B964" s="29" t="s">
        <v>3769</v>
      </c>
      <c r="C964" s="40" t="s">
        <v>43</v>
      </c>
      <c r="D964" s="40"/>
      <c r="E964" s="57" t="s">
        <v>60</v>
      </c>
      <c r="F964" s="57" t="s">
        <v>60</v>
      </c>
      <c r="G964" s="29" t="s">
        <v>2196</v>
      </c>
      <c r="I964" s="124" t="s">
        <v>9121</v>
      </c>
      <c r="J964" s="29">
        <f t="shared" si="53"/>
        <v>1</v>
      </c>
      <c r="K964" s="42">
        <v>957</v>
      </c>
      <c r="L964" s="152" t="s">
        <v>2197</v>
      </c>
      <c r="M964" s="44" t="s">
        <v>405</v>
      </c>
      <c r="N964" s="44" t="s">
        <v>456</v>
      </c>
      <c r="O964" s="101" t="str">
        <f t="shared" ref="O964:O969" si="59">F964</f>
        <v>PE-L1-3C6-03</v>
      </c>
      <c r="P964" s="45">
        <v>1.5</v>
      </c>
      <c r="Q964" s="44">
        <v>230</v>
      </c>
      <c r="R964" s="44" t="s">
        <v>428</v>
      </c>
      <c r="S964" s="101">
        <v>120</v>
      </c>
      <c r="T964" s="46" t="s">
        <v>6228</v>
      </c>
      <c r="U964" s="46" t="s">
        <v>3959</v>
      </c>
      <c r="V964" s="46" t="s">
        <v>3960</v>
      </c>
      <c r="W964" s="46" t="s">
        <v>335</v>
      </c>
      <c r="X964" s="172" t="s">
        <v>9167</v>
      </c>
      <c r="Y964" s="46" t="s">
        <v>6229</v>
      </c>
      <c r="Z964" s="46" t="s">
        <v>6230</v>
      </c>
      <c r="AA964" s="46" t="s">
        <v>335</v>
      </c>
      <c r="AB964" s="172" t="s">
        <v>9167</v>
      </c>
      <c r="AC964" s="48" t="s">
        <v>6231</v>
      </c>
      <c r="AD964" s="30"/>
      <c r="AE964" s="197"/>
      <c r="AF964" s="47"/>
    </row>
    <row r="965" spans="1:32" s="29" customFormat="1" ht="69.95" hidden="1" customHeight="1">
      <c r="A965" s="29" t="s">
        <v>3994</v>
      </c>
      <c r="B965" s="29" t="s">
        <v>3769</v>
      </c>
      <c r="C965" s="40" t="s">
        <v>42</v>
      </c>
      <c r="D965" s="40"/>
      <c r="E965" s="57" t="s">
        <v>78</v>
      </c>
      <c r="F965" s="57" t="s">
        <v>78</v>
      </c>
      <c r="G965" s="29" t="s">
        <v>2198</v>
      </c>
      <c r="I965" s="124" t="s">
        <v>9121</v>
      </c>
      <c r="J965" s="29">
        <f t="shared" si="53"/>
        <v>1</v>
      </c>
      <c r="K965" s="42">
        <v>958</v>
      </c>
      <c r="L965" s="152" t="s">
        <v>2199</v>
      </c>
      <c r="M965" s="44" t="s">
        <v>405</v>
      </c>
      <c r="N965" s="44" t="s">
        <v>456</v>
      </c>
      <c r="O965" s="101" t="str">
        <f t="shared" si="59"/>
        <v>PE-L1-3C6-01</v>
      </c>
      <c r="P965" s="45">
        <v>1.5</v>
      </c>
      <c r="Q965" s="44">
        <v>230</v>
      </c>
      <c r="R965" s="44" t="s">
        <v>428</v>
      </c>
      <c r="S965" s="101">
        <v>110</v>
      </c>
      <c r="T965" s="46" t="s">
        <v>6228</v>
      </c>
      <c r="U965" s="46" t="s">
        <v>3994</v>
      </c>
      <c r="V965" s="46" t="s">
        <v>3995</v>
      </c>
      <c r="W965" s="46" t="s">
        <v>335</v>
      </c>
      <c r="X965" s="172" t="s">
        <v>9167</v>
      </c>
      <c r="Y965" s="46" t="s">
        <v>6229</v>
      </c>
      <c r="Z965" s="46" t="s">
        <v>6232</v>
      </c>
      <c r="AA965" s="46" t="s">
        <v>335</v>
      </c>
      <c r="AB965" s="172" t="s">
        <v>9167</v>
      </c>
      <c r="AC965" s="48" t="s">
        <v>6233</v>
      </c>
      <c r="AD965" s="30"/>
      <c r="AE965" s="197"/>
      <c r="AF965" s="47"/>
    </row>
    <row r="966" spans="1:32" s="29" customFormat="1" ht="69.95" hidden="1" customHeight="1">
      <c r="A966" s="29" t="s">
        <v>3985</v>
      </c>
      <c r="B966" s="29" t="s">
        <v>3769</v>
      </c>
      <c r="C966" s="40" t="s">
        <v>40</v>
      </c>
      <c r="D966" s="173" t="s">
        <v>9131</v>
      </c>
      <c r="E966" s="57" t="s">
        <v>189</v>
      </c>
      <c r="F966" s="121" t="s">
        <v>85</v>
      </c>
      <c r="G966" s="29" t="s">
        <v>2200</v>
      </c>
      <c r="I966" s="124" t="s">
        <v>9121</v>
      </c>
      <c r="J966" s="29">
        <f t="shared" si="53"/>
        <v>1</v>
      </c>
      <c r="K966" s="127">
        <v>959</v>
      </c>
      <c r="L966" s="43" t="s">
        <v>2201</v>
      </c>
      <c r="M966" s="44" t="s">
        <v>405</v>
      </c>
      <c r="N966" s="44" t="s">
        <v>426</v>
      </c>
      <c r="O966" s="121" t="str">
        <f t="shared" si="59"/>
        <v>PE-L1-3C4-16</v>
      </c>
      <c r="P966" s="45">
        <v>0.5</v>
      </c>
      <c r="Q966" s="44">
        <v>230</v>
      </c>
      <c r="R966" s="44" t="s">
        <v>49</v>
      </c>
      <c r="S966" s="44">
        <v>160</v>
      </c>
      <c r="T966" s="46" t="s">
        <v>6228</v>
      </c>
      <c r="U966" s="46" t="s">
        <v>3985</v>
      </c>
      <c r="V966" s="46" t="s">
        <v>3986</v>
      </c>
      <c r="W966" s="46" t="s">
        <v>335</v>
      </c>
      <c r="X966" s="172" t="s">
        <v>9167</v>
      </c>
      <c r="Y966" s="46" t="s">
        <v>6229</v>
      </c>
      <c r="Z966" s="46" t="s">
        <v>6234</v>
      </c>
      <c r="AA966" s="46" t="s">
        <v>335</v>
      </c>
      <c r="AB966" s="172" t="s">
        <v>9167</v>
      </c>
      <c r="AC966" s="48" t="s">
        <v>6235</v>
      </c>
      <c r="AD966" s="30"/>
      <c r="AE966" s="197"/>
      <c r="AF966" s="47"/>
    </row>
    <row r="967" spans="1:32" s="29" customFormat="1" ht="69.95" hidden="1" customHeight="1">
      <c r="A967" s="29" t="s">
        <v>3994</v>
      </c>
      <c r="B967" s="29" t="s">
        <v>3769</v>
      </c>
      <c r="C967" s="40" t="s">
        <v>207</v>
      </c>
      <c r="D967" s="40"/>
      <c r="E967" s="57" t="s">
        <v>63</v>
      </c>
      <c r="F967" s="57" t="s">
        <v>63</v>
      </c>
      <c r="G967" s="29" t="s">
        <v>2202</v>
      </c>
      <c r="I967" s="124" t="s">
        <v>9121</v>
      </c>
      <c r="J967" s="29">
        <f t="shared" si="53"/>
        <v>1</v>
      </c>
      <c r="K967" s="42">
        <v>960</v>
      </c>
      <c r="L967" s="152" t="s">
        <v>2203</v>
      </c>
      <c r="M967" s="44" t="s">
        <v>405</v>
      </c>
      <c r="N967" s="44" t="s">
        <v>456</v>
      </c>
      <c r="O967" s="101" t="str">
        <f t="shared" si="59"/>
        <v>PE-L1-3C6-05</v>
      </c>
      <c r="P967" s="45">
        <v>1.5</v>
      </c>
      <c r="Q967" s="44">
        <v>230</v>
      </c>
      <c r="R967" s="44" t="s">
        <v>428</v>
      </c>
      <c r="S967" s="101">
        <v>110</v>
      </c>
      <c r="T967" s="46" t="s">
        <v>6228</v>
      </c>
      <c r="U967" s="46" t="s">
        <v>3994</v>
      </c>
      <c r="V967" s="46" t="s">
        <v>3995</v>
      </c>
      <c r="W967" s="46" t="s">
        <v>335</v>
      </c>
      <c r="X967" s="172" t="s">
        <v>9167</v>
      </c>
      <c r="Y967" s="46" t="s">
        <v>6236</v>
      </c>
      <c r="Z967" s="46" t="s">
        <v>6230</v>
      </c>
      <c r="AA967" s="46" t="s">
        <v>335</v>
      </c>
      <c r="AB967" s="172" t="s">
        <v>9167</v>
      </c>
      <c r="AC967" s="48" t="s">
        <v>6233</v>
      </c>
      <c r="AD967" s="165"/>
      <c r="AE967" s="197"/>
      <c r="AF967" s="47"/>
    </row>
    <row r="968" spans="1:32" s="29" customFormat="1" ht="69.95" hidden="1" customHeight="1">
      <c r="A968" s="29" t="s">
        <v>3959</v>
      </c>
      <c r="B968" s="29" t="s">
        <v>3769</v>
      </c>
      <c r="C968" s="40" t="s">
        <v>208</v>
      </c>
      <c r="D968" s="40"/>
      <c r="E968" s="57" t="s">
        <v>63</v>
      </c>
      <c r="F968" s="57" t="s">
        <v>63</v>
      </c>
      <c r="G968" s="29" t="s">
        <v>2204</v>
      </c>
      <c r="I968" s="124" t="s">
        <v>9121</v>
      </c>
      <c r="J968" s="29">
        <f t="shared" ref="J968:J1031" si="60">COUNTIF(L:L,L968)</f>
        <v>1</v>
      </c>
      <c r="K968" s="42">
        <v>961</v>
      </c>
      <c r="L968" s="152" t="s">
        <v>2205</v>
      </c>
      <c r="M968" s="44" t="s">
        <v>405</v>
      </c>
      <c r="N968" s="44" t="s">
        <v>456</v>
      </c>
      <c r="O968" s="101" t="str">
        <f t="shared" si="59"/>
        <v>PE-L1-3C6-05</v>
      </c>
      <c r="P968" s="45">
        <v>1.5</v>
      </c>
      <c r="Q968" s="44">
        <v>230</v>
      </c>
      <c r="R968" s="44" t="s">
        <v>428</v>
      </c>
      <c r="S968" s="101">
        <v>120</v>
      </c>
      <c r="T968" s="46" t="s">
        <v>6228</v>
      </c>
      <c r="U968" s="46" t="s">
        <v>3959</v>
      </c>
      <c r="V968" s="46" t="s">
        <v>3960</v>
      </c>
      <c r="W968" s="46" t="s">
        <v>335</v>
      </c>
      <c r="X968" s="172" t="s">
        <v>9167</v>
      </c>
      <c r="Y968" s="46" t="s">
        <v>6236</v>
      </c>
      <c r="Z968" s="46" t="s">
        <v>6232</v>
      </c>
      <c r="AA968" s="46" t="s">
        <v>335</v>
      </c>
      <c r="AB968" s="172" t="s">
        <v>9167</v>
      </c>
      <c r="AC968" s="48" t="s">
        <v>6237</v>
      </c>
      <c r="AD968" s="165"/>
      <c r="AE968" s="197"/>
      <c r="AF968" s="47"/>
    </row>
    <row r="969" spans="1:32" s="29" customFormat="1" ht="69.95" hidden="1" customHeight="1">
      <c r="A969" s="29" t="s">
        <v>3985</v>
      </c>
      <c r="B969" s="29" t="s">
        <v>3769</v>
      </c>
      <c r="C969" s="40" t="s">
        <v>211</v>
      </c>
      <c r="D969" s="40"/>
      <c r="E969" s="57" t="s">
        <v>63</v>
      </c>
      <c r="F969" s="57" t="s">
        <v>63</v>
      </c>
      <c r="G969" s="29" t="s">
        <v>2206</v>
      </c>
      <c r="I969" s="124" t="s">
        <v>9121</v>
      </c>
      <c r="J969" s="29">
        <f t="shared" si="60"/>
        <v>1</v>
      </c>
      <c r="K969" s="42">
        <v>962</v>
      </c>
      <c r="L969" s="152" t="s">
        <v>2207</v>
      </c>
      <c r="M969" s="44" t="s">
        <v>405</v>
      </c>
      <c r="N969" s="44" t="s">
        <v>456</v>
      </c>
      <c r="O969" s="101" t="str">
        <f t="shared" si="59"/>
        <v>PE-L1-3C6-05</v>
      </c>
      <c r="P969" s="45">
        <v>0.5</v>
      </c>
      <c r="Q969" s="44">
        <v>230</v>
      </c>
      <c r="R969" s="44" t="s">
        <v>49</v>
      </c>
      <c r="S969" s="101">
        <v>160</v>
      </c>
      <c r="T969" s="46" t="s">
        <v>6228</v>
      </c>
      <c r="U969" s="46" t="s">
        <v>3985</v>
      </c>
      <c r="V969" s="46" t="s">
        <v>3986</v>
      </c>
      <c r="W969" s="46" t="s">
        <v>335</v>
      </c>
      <c r="X969" s="172" t="s">
        <v>9167</v>
      </c>
      <c r="Y969" s="46" t="s">
        <v>6236</v>
      </c>
      <c r="Z969" s="46" t="s">
        <v>6234</v>
      </c>
      <c r="AA969" s="46" t="s">
        <v>335</v>
      </c>
      <c r="AB969" s="172" t="s">
        <v>9167</v>
      </c>
      <c r="AC969" s="48" t="s">
        <v>6235</v>
      </c>
      <c r="AD969" s="165"/>
      <c r="AE969" s="197"/>
      <c r="AF969" s="47"/>
    </row>
    <row r="970" spans="1:32" s="29" customFormat="1" ht="69.95" hidden="1" customHeight="1">
      <c r="A970" s="29" t="s">
        <v>4030</v>
      </c>
      <c r="B970" s="29" t="s">
        <v>3769</v>
      </c>
      <c r="C970" s="40" t="s">
        <v>43</v>
      </c>
      <c r="D970" s="40"/>
      <c r="E970" s="57" t="s">
        <v>8025</v>
      </c>
      <c r="F970" s="57" t="s">
        <v>8025</v>
      </c>
      <c r="G970" s="29" t="s">
        <v>2208</v>
      </c>
      <c r="J970" s="29">
        <f t="shared" si="60"/>
        <v>1</v>
      </c>
      <c r="K970" s="42">
        <v>963</v>
      </c>
      <c r="L970" s="43" t="s">
        <v>2209</v>
      </c>
      <c r="M970" s="44" t="s">
        <v>405</v>
      </c>
      <c r="N970" s="44" t="s">
        <v>426</v>
      </c>
      <c r="O970" s="44" t="str">
        <f t="shared" ref="O970:O982" si="61">F970</f>
        <v>PE-L1-3C4-07</v>
      </c>
      <c r="P970" s="45">
        <v>1.5</v>
      </c>
      <c r="Q970" s="44">
        <v>230</v>
      </c>
      <c r="R970" s="44" t="s">
        <v>428</v>
      </c>
      <c r="S970" s="44">
        <v>100</v>
      </c>
      <c r="T970" s="46" t="s">
        <v>6228</v>
      </c>
      <c r="U970" s="46" t="s">
        <v>4030</v>
      </c>
      <c r="V970" s="46" t="s">
        <v>4031</v>
      </c>
      <c r="W970" s="46" t="s">
        <v>347</v>
      </c>
      <c r="X970" s="172" t="s">
        <v>9167</v>
      </c>
      <c r="Y970" s="46" t="s">
        <v>6238</v>
      </c>
      <c r="Z970" s="46" t="s">
        <v>6239</v>
      </c>
      <c r="AA970" s="46" t="s">
        <v>347</v>
      </c>
      <c r="AB970" s="172" t="s">
        <v>9167</v>
      </c>
      <c r="AC970" s="48" t="s">
        <v>6240</v>
      </c>
      <c r="AD970" s="30"/>
      <c r="AE970" s="197"/>
      <c r="AF970" s="47"/>
    </row>
    <row r="971" spans="1:32" s="29" customFormat="1" ht="69.95" hidden="1" customHeight="1">
      <c r="A971" s="29" t="s">
        <v>4063</v>
      </c>
      <c r="B971" s="29" t="s">
        <v>3769</v>
      </c>
      <c r="C971" s="40" t="s">
        <v>42</v>
      </c>
      <c r="D971" s="40"/>
      <c r="E971" s="57" t="s">
        <v>286</v>
      </c>
      <c r="F971" s="57" t="s">
        <v>286</v>
      </c>
      <c r="G971" s="29" t="s">
        <v>2210</v>
      </c>
      <c r="J971" s="29">
        <f t="shared" si="60"/>
        <v>1</v>
      </c>
      <c r="K971" s="42">
        <v>964</v>
      </c>
      <c r="L971" s="43" t="s">
        <v>2211</v>
      </c>
      <c r="M971" s="44" t="s">
        <v>405</v>
      </c>
      <c r="N971" s="44" t="s">
        <v>426</v>
      </c>
      <c r="O971" s="44" t="str">
        <f t="shared" si="61"/>
        <v>PE-L1-3C4-25</v>
      </c>
      <c r="P971" s="45">
        <v>1.5</v>
      </c>
      <c r="Q971" s="44">
        <v>230</v>
      </c>
      <c r="R971" s="44" t="s">
        <v>428</v>
      </c>
      <c r="S971" s="44">
        <v>100</v>
      </c>
      <c r="T971" s="46" t="s">
        <v>6228</v>
      </c>
      <c r="U971" s="46" t="s">
        <v>4063</v>
      </c>
      <c r="V971" s="46" t="s">
        <v>4064</v>
      </c>
      <c r="W971" s="46" t="s">
        <v>347</v>
      </c>
      <c r="X971" s="172" t="s">
        <v>9167</v>
      </c>
      <c r="Y971" s="46" t="s">
        <v>6238</v>
      </c>
      <c r="Z971" s="46" t="s">
        <v>6241</v>
      </c>
      <c r="AA971" s="46" t="s">
        <v>347</v>
      </c>
      <c r="AB971" s="172" t="s">
        <v>9167</v>
      </c>
      <c r="AC971" s="48" t="s">
        <v>6242</v>
      </c>
      <c r="AD971" s="30"/>
      <c r="AE971" s="197"/>
      <c r="AF971" s="47"/>
    </row>
    <row r="972" spans="1:32" s="29" customFormat="1" ht="69.95" hidden="1" customHeight="1">
      <c r="A972" s="29" t="s">
        <v>4054</v>
      </c>
      <c r="B972" s="29" t="s">
        <v>3769</v>
      </c>
      <c r="C972" s="40" t="s">
        <v>38</v>
      </c>
      <c r="D972" s="40"/>
      <c r="E972" s="57" t="s">
        <v>235</v>
      </c>
      <c r="F972" s="57" t="s">
        <v>235</v>
      </c>
      <c r="G972" s="29" t="s">
        <v>2212</v>
      </c>
      <c r="J972" s="29">
        <f t="shared" si="60"/>
        <v>1</v>
      </c>
      <c r="K972" s="42">
        <v>965</v>
      </c>
      <c r="L972" s="43" t="s">
        <v>2213</v>
      </c>
      <c r="M972" s="44" t="s">
        <v>405</v>
      </c>
      <c r="N972" s="44" t="s">
        <v>426</v>
      </c>
      <c r="O972" s="44" t="str">
        <f t="shared" si="61"/>
        <v>PE-L1-3C4-19</v>
      </c>
      <c r="P972" s="45">
        <v>0.5</v>
      </c>
      <c r="Q972" s="44">
        <v>230</v>
      </c>
      <c r="R972" s="44" t="s">
        <v>49</v>
      </c>
      <c r="S972" s="44">
        <v>60</v>
      </c>
      <c r="T972" s="46" t="s">
        <v>6228</v>
      </c>
      <c r="U972" s="46" t="s">
        <v>4054</v>
      </c>
      <c r="V972" s="46" t="s">
        <v>4055</v>
      </c>
      <c r="W972" s="46" t="s">
        <v>347</v>
      </c>
      <c r="X972" s="172" t="s">
        <v>9167</v>
      </c>
      <c r="Y972" s="46" t="s">
        <v>6238</v>
      </c>
      <c r="Z972" s="46" t="s">
        <v>6243</v>
      </c>
      <c r="AA972" s="46" t="s">
        <v>347</v>
      </c>
      <c r="AB972" s="172" t="s">
        <v>9167</v>
      </c>
      <c r="AC972" s="48" t="s">
        <v>6244</v>
      </c>
      <c r="AD972" s="30"/>
      <c r="AE972" s="197"/>
      <c r="AF972" s="47"/>
    </row>
    <row r="973" spans="1:32" s="29" customFormat="1" ht="69.95" hidden="1" customHeight="1">
      <c r="A973" s="29" t="s">
        <v>4063</v>
      </c>
      <c r="B973" s="29" t="s">
        <v>3769</v>
      </c>
      <c r="C973" s="40" t="s">
        <v>208</v>
      </c>
      <c r="D973" s="40"/>
      <c r="E973" s="57" t="s">
        <v>63</v>
      </c>
      <c r="F973" s="57" t="s">
        <v>63</v>
      </c>
      <c r="G973" s="29" t="s">
        <v>2214</v>
      </c>
      <c r="J973" s="29">
        <f t="shared" si="60"/>
        <v>1</v>
      </c>
      <c r="K973" s="42">
        <v>966</v>
      </c>
      <c r="L973" s="43" t="s">
        <v>9010</v>
      </c>
      <c r="M973" s="44" t="s">
        <v>405</v>
      </c>
      <c r="N973" s="44" t="s">
        <v>456</v>
      </c>
      <c r="O973" s="44" t="str">
        <f t="shared" si="61"/>
        <v>PE-L1-3C6-05</v>
      </c>
      <c r="P973" s="45">
        <v>1.5</v>
      </c>
      <c r="Q973" s="44">
        <v>230</v>
      </c>
      <c r="R973" s="44" t="s">
        <v>428</v>
      </c>
      <c r="S973" s="44">
        <v>100</v>
      </c>
      <c r="T973" s="46" t="s">
        <v>6228</v>
      </c>
      <c r="U973" s="46" t="s">
        <v>4063</v>
      </c>
      <c r="V973" s="46" t="s">
        <v>4064</v>
      </c>
      <c r="W973" s="46" t="s">
        <v>347</v>
      </c>
      <c r="X973" s="172" t="s">
        <v>9167</v>
      </c>
      <c r="Y973" s="46" t="s">
        <v>6245</v>
      </c>
      <c r="Z973" s="46" t="s">
        <v>6239</v>
      </c>
      <c r="AA973" s="46" t="s">
        <v>347</v>
      </c>
      <c r="AB973" s="172" t="s">
        <v>9167</v>
      </c>
      <c r="AC973" s="48" t="s">
        <v>6242</v>
      </c>
      <c r="AD973" s="165" t="s">
        <v>151</v>
      </c>
      <c r="AE973" s="197"/>
      <c r="AF973" s="47"/>
    </row>
    <row r="974" spans="1:32" s="29" customFormat="1" ht="69.95" hidden="1" customHeight="1">
      <c r="A974" s="29" t="s">
        <v>4030</v>
      </c>
      <c r="B974" s="29" t="s">
        <v>3769</v>
      </c>
      <c r="C974" s="40" t="s">
        <v>210</v>
      </c>
      <c r="D974" s="40"/>
      <c r="E974" s="57" t="s">
        <v>63</v>
      </c>
      <c r="F974" s="57" t="s">
        <v>63</v>
      </c>
      <c r="G974" s="29" t="s">
        <v>2215</v>
      </c>
      <c r="J974" s="29">
        <f t="shared" si="60"/>
        <v>1</v>
      </c>
      <c r="K974" s="42">
        <v>967</v>
      </c>
      <c r="L974" s="43" t="s">
        <v>2216</v>
      </c>
      <c r="M974" s="44" t="s">
        <v>405</v>
      </c>
      <c r="N974" s="44" t="s">
        <v>456</v>
      </c>
      <c r="O974" s="44" t="str">
        <f t="shared" si="61"/>
        <v>PE-L1-3C6-05</v>
      </c>
      <c r="P974" s="45">
        <v>1.5</v>
      </c>
      <c r="Q974" s="44">
        <v>230</v>
      </c>
      <c r="R974" s="44" t="s">
        <v>428</v>
      </c>
      <c r="S974" s="44">
        <v>100</v>
      </c>
      <c r="T974" s="46" t="s">
        <v>6228</v>
      </c>
      <c r="U974" s="46" t="s">
        <v>4030</v>
      </c>
      <c r="V974" s="46" t="s">
        <v>4031</v>
      </c>
      <c r="W974" s="46" t="s">
        <v>347</v>
      </c>
      <c r="X974" s="172" t="s">
        <v>9167</v>
      </c>
      <c r="Y974" s="46" t="s">
        <v>6245</v>
      </c>
      <c r="Z974" s="46" t="s">
        <v>6241</v>
      </c>
      <c r="AA974" s="46" t="s">
        <v>347</v>
      </c>
      <c r="AB974" s="172" t="s">
        <v>9167</v>
      </c>
      <c r="AC974" s="48" t="s">
        <v>6240</v>
      </c>
      <c r="AD974" s="165" t="s">
        <v>151</v>
      </c>
      <c r="AE974" s="197"/>
      <c r="AF974" s="47"/>
    </row>
    <row r="975" spans="1:32" s="29" customFormat="1" ht="69.95" hidden="1" customHeight="1">
      <c r="A975" s="29" t="s">
        <v>4054</v>
      </c>
      <c r="B975" s="29" t="s">
        <v>3769</v>
      </c>
      <c r="C975" s="40" t="s">
        <v>212</v>
      </c>
      <c r="D975" s="40"/>
      <c r="E975" s="57" t="s">
        <v>63</v>
      </c>
      <c r="F975" s="57" t="s">
        <v>63</v>
      </c>
      <c r="G975" s="29" t="s">
        <v>2217</v>
      </c>
      <c r="J975" s="29">
        <f t="shared" si="60"/>
        <v>1</v>
      </c>
      <c r="K975" s="42">
        <v>968</v>
      </c>
      <c r="L975" s="43" t="s">
        <v>2218</v>
      </c>
      <c r="M975" s="44" t="s">
        <v>405</v>
      </c>
      <c r="N975" s="44" t="s">
        <v>456</v>
      </c>
      <c r="O975" s="44" t="str">
        <f t="shared" si="61"/>
        <v>PE-L1-3C6-05</v>
      </c>
      <c r="P975" s="45">
        <v>0.5</v>
      </c>
      <c r="Q975" s="44">
        <v>230</v>
      </c>
      <c r="R975" s="44" t="s">
        <v>49</v>
      </c>
      <c r="S975" s="44">
        <v>60</v>
      </c>
      <c r="T975" s="46" t="s">
        <v>6228</v>
      </c>
      <c r="U975" s="46" t="s">
        <v>4054</v>
      </c>
      <c r="V975" s="46" t="s">
        <v>4055</v>
      </c>
      <c r="W975" s="46" t="s">
        <v>347</v>
      </c>
      <c r="X975" s="172" t="s">
        <v>9167</v>
      </c>
      <c r="Y975" s="46" t="s">
        <v>6245</v>
      </c>
      <c r="Z975" s="46" t="s">
        <v>6243</v>
      </c>
      <c r="AA975" s="46" t="s">
        <v>347</v>
      </c>
      <c r="AB975" s="172" t="s">
        <v>9167</v>
      </c>
      <c r="AC975" s="48" t="s">
        <v>6244</v>
      </c>
      <c r="AD975" s="165" t="s">
        <v>151</v>
      </c>
      <c r="AE975" s="197"/>
      <c r="AF975" s="47"/>
    </row>
    <row r="976" spans="1:32" s="29" customFormat="1" ht="69.95" hidden="1" customHeight="1">
      <c r="A976" s="29" t="s">
        <v>6185</v>
      </c>
      <c r="B976" s="29" t="s">
        <v>3769</v>
      </c>
      <c r="C976" s="40" t="s">
        <v>38</v>
      </c>
      <c r="D976" s="40"/>
      <c r="E976" s="57" t="s">
        <v>189</v>
      </c>
      <c r="F976" s="57" t="s">
        <v>189</v>
      </c>
      <c r="G976" s="29" t="s">
        <v>2219</v>
      </c>
      <c r="J976" s="29">
        <f t="shared" si="60"/>
        <v>1</v>
      </c>
      <c r="K976" s="42">
        <v>969</v>
      </c>
      <c r="L976" s="43" t="s">
        <v>2220</v>
      </c>
      <c r="M976" s="44" t="s">
        <v>405</v>
      </c>
      <c r="N976" s="44" t="s">
        <v>426</v>
      </c>
      <c r="O976" s="44" t="str">
        <f t="shared" si="61"/>
        <v>PE-L1-3C4-13</v>
      </c>
      <c r="P976" s="45">
        <v>1</v>
      </c>
      <c r="Q976" s="44">
        <v>230</v>
      </c>
      <c r="R976" s="44" t="s">
        <v>428</v>
      </c>
      <c r="S976" s="44">
        <v>50</v>
      </c>
      <c r="T976" s="46" t="s">
        <v>6228</v>
      </c>
      <c r="U976" s="46" t="s">
        <v>6185</v>
      </c>
      <c r="V976" s="46" t="s">
        <v>6186</v>
      </c>
      <c r="W976" s="46" t="s">
        <v>4549</v>
      </c>
      <c r="X976" s="172" t="s">
        <v>9167</v>
      </c>
      <c r="Y976" s="46" t="s">
        <v>6246</v>
      </c>
      <c r="Z976" s="46" t="s">
        <v>6247</v>
      </c>
      <c r="AA976" s="46" t="s">
        <v>4549</v>
      </c>
      <c r="AB976" s="172" t="s">
        <v>9167</v>
      </c>
      <c r="AC976" s="48" t="s">
        <v>6248</v>
      </c>
      <c r="AD976" s="30"/>
      <c r="AE976" s="197"/>
      <c r="AF976" s="47"/>
    </row>
    <row r="977" spans="1:32" s="29" customFormat="1" ht="69.95" hidden="1" customHeight="1">
      <c r="A977" s="29" t="s">
        <v>6180</v>
      </c>
      <c r="B977" s="29" t="s">
        <v>3769</v>
      </c>
      <c r="C977" s="40" t="s">
        <v>38</v>
      </c>
      <c r="D977" s="40"/>
      <c r="E977" s="57" t="s">
        <v>189</v>
      </c>
      <c r="F977" s="57" t="s">
        <v>189</v>
      </c>
      <c r="G977" s="29" t="s">
        <v>2221</v>
      </c>
      <c r="J977" s="29">
        <f t="shared" si="60"/>
        <v>1</v>
      </c>
      <c r="K977" s="42">
        <v>970</v>
      </c>
      <c r="L977" s="43" t="s">
        <v>2222</v>
      </c>
      <c r="M977" s="44" t="s">
        <v>405</v>
      </c>
      <c r="N977" s="44" t="s">
        <v>426</v>
      </c>
      <c r="O977" s="44" t="str">
        <f t="shared" si="61"/>
        <v>PE-L1-3C4-13</v>
      </c>
      <c r="P977" s="45">
        <v>1</v>
      </c>
      <c r="Q977" s="44">
        <v>230</v>
      </c>
      <c r="R977" s="44" t="s">
        <v>428</v>
      </c>
      <c r="S977" s="44">
        <v>30</v>
      </c>
      <c r="T977" s="46" t="s">
        <v>6228</v>
      </c>
      <c r="U977" s="46" t="s">
        <v>6180</v>
      </c>
      <c r="V977" s="46" t="s">
        <v>6181</v>
      </c>
      <c r="W977" s="46" t="s">
        <v>4549</v>
      </c>
      <c r="X977" s="172" t="s">
        <v>9167</v>
      </c>
      <c r="Y977" s="46" t="s">
        <v>6246</v>
      </c>
      <c r="Z977" s="46" t="s">
        <v>6249</v>
      </c>
      <c r="AA977" s="46" t="s">
        <v>4549</v>
      </c>
      <c r="AB977" s="172" t="s">
        <v>9167</v>
      </c>
      <c r="AC977" s="48" t="s">
        <v>6250</v>
      </c>
      <c r="AD977" s="30"/>
      <c r="AE977" s="197"/>
      <c r="AF977" s="47"/>
    </row>
    <row r="978" spans="1:32" s="29" customFormat="1" ht="69.95" hidden="1" customHeight="1">
      <c r="A978" s="29" t="s">
        <v>4719</v>
      </c>
      <c r="B978" s="29" t="s">
        <v>3769</v>
      </c>
      <c r="C978" s="40">
        <v>14</v>
      </c>
      <c r="D978" s="40"/>
      <c r="E978" s="57" t="s">
        <v>189</v>
      </c>
      <c r="F978" s="57" t="s">
        <v>189</v>
      </c>
      <c r="G978" s="29" t="s">
        <v>2223</v>
      </c>
      <c r="J978" s="29">
        <f t="shared" si="60"/>
        <v>1</v>
      </c>
      <c r="K978" s="42">
        <v>971</v>
      </c>
      <c r="L978" s="43" t="s">
        <v>2224</v>
      </c>
      <c r="M978" s="44" t="s">
        <v>405</v>
      </c>
      <c r="N978" s="44" t="s">
        <v>426</v>
      </c>
      <c r="O978" s="44" t="str">
        <f t="shared" si="61"/>
        <v>PE-L1-3C4-13</v>
      </c>
      <c r="P978" s="45">
        <v>0.5</v>
      </c>
      <c r="Q978" s="44">
        <v>230</v>
      </c>
      <c r="R978" s="44" t="s">
        <v>49</v>
      </c>
      <c r="S978" s="44">
        <v>70</v>
      </c>
      <c r="T978" s="46" t="s">
        <v>6228</v>
      </c>
      <c r="U978" s="46" t="s">
        <v>4719</v>
      </c>
      <c r="V978" s="46" t="s">
        <v>4720</v>
      </c>
      <c r="W978" s="46" t="s">
        <v>4549</v>
      </c>
      <c r="X978" s="172" t="s">
        <v>9167</v>
      </c>
      <c r="Y978" s="46" t="s">
        <v>6246</v>
      </c>
      <c r="Z978" s="46" t="s">
        <v>6251</v>
      </c>
      <c r="AA978" s="46" t="s">
        <v>4549</v>
      </c>
      <c r="AB978" s="172" t="s">
        <v>9167</v>
      </c>
      <c r="AC978" s="48" t="s">
        <v>6252</v>
      </c>
      <c r="AD978" s="30"/>
      <c r="AE978" s="197"/>
      <c r="AF978" s="47"/>
    </row>
    <row r="979" spans="1:32" s="29" customFormat="1" ht="69.95" hidden="1" customHeight="1">
      <c r="A979" s="29" t="s">
        <v>6180</v>
      </c>
      <c r="B979" s="29" t="s">
        <v>3769</v>
      </c>
      <c r="C979" s="40" t="s">
        <v>40</v>
      </c>
      <c r="D979" s="40"/>
      <c r="E979" s="57" t="s">
        <v>189</v>
      </c>
      <c r="F979" s="57" t="s">
        <v>189</v>
      </c>
      <c r="G979" s="29" t="s">
        <v>2225</v>
      </c>
      <c r="J979" s="29">
        <f t="shared" si="60"/>
        <v>1</v>
      </c>
      <c r="K979" s="42">
        <v>972</v>
      </c>
      <c r="L979" s="43" t="s">
        <v>2226</v>
      </c>
      <c r="M979" s="44" t="s">
        <v>405</v>
      </c>
      <c r="N979" s="44" t="s">
        <v>426</v>
      </c>
      <c r="O979" s="44" t="str">
        <f t="shared" si="61"/>
        <v>PE-L1-3C4-13</v>
      </c>
      <c r="P979" s="45">
        <v>1</v>
      </c>
      <c r="Q979" s="44">
        <v>230</v>
      </c>
      <c r="R979" s="44" t="s">
        <v>428</v>
      </c>
      <c r="S979" s="44">
        <v>50</v>
      </c>
      <c r="T979" s="46" t="s">
        <v>6228</v>
      </c>
      <c r="U979" s="46" t="s">
        <v>6180</v>
      </c>
      <c r="V979" s="46" t="s">
        <v>6181</v>
      </c>
      <c r="W979" s="46" t="s">
        <v>4549</v>
      </c>
      <c r="X979" s="172" t="s">
        <v>9167</v>
      </c>
      <c r="Y979" s="46" t="s">
        <v>6253</v>
      </c>
      <c r="Z979" s="46" t="s">
        <v>6254</v>
      </c>
      <c r="AA979" s="46" t="s">
        <v>4549</v>
      </c>
      <c r="AB979" s="172" t="s">
        <v>9167</v>
      </c>
      <c r="AC979" s="48" t="s">
        <v>6255</v>
      </c>
      <c r="AD979" s="30"/>
      <c r="AE979" s="197"/>
      <c r="AF979" s="47"/>
    </row>
    <row r="980" spans="1:32" s="29" customFormat="1" ht="69.95" hidden="1" customHeight="1">
      <c r="A980" s="29" t="s">
        <v>6185</v>
      </c>
      <c r="B980" s="29" t="s">
        <v>3769</v>
      </c>
      <c r="C980" s="40" t="s">
        <v>40</v>
      </c>
      <c r="D980" s="40"/>
      <c r="E980" s="57" t="s">
        <v>233</v>
      </c>
      <c r="F980" s="57" t="s">
        <v>233</v>
      </c>
      <c r="G980" s="29" t="s">
        <v>2227</v>
      </c>
      <c r="J980" s="29">
        <f t="shared" si="60"/>
        <v>1</v>
      </c>
      <c r="K980" s="42">
        <v>973</v>
      </c>
      <c r="L980" s="43" t="s">
        <v>2228</v>
      </c>
      <c r="M980" s="44" t="s">
        <v>405</v>
      </c>
      <c r="N980" s="44" t="s">
        <v>426</v>
      </c>
      <c r="O980" s="44" t="str">
        <f t="shared" si="61"/>
        <v>PE-L1-3C4-14</v>
      </c>
      <c r="P980" s="45">
        <v>1</v>
      </c>
      <c r="Q980" s="44">
        <v>230</v>
      </c>
      <c r="R980" s="44" t="s">
        <v>428</v>
      </c>
      <c r="S980" s="44">
        <v>40</v>
      </c>
      <c r="T980" s="46" t="s">
        <v>6228</v>
      </c>
      <c r="U980" s="46" t="s">
        <v>6185</v>
      </c>
      <c r="V980" s="46" t="s">
        <v>6186</v>
      </c>
      <c r="W980" s="46" t="s">
        <v>4549</v>
      </c>
      <c r="X980" s="172" t="s">
        <v>9167</v>
      </c>
      <c r="Y980" s="46" t="s">
        <v>6253</v>
      </c>
      <c r="Z980" s="46" t="s">
        <v>6256</v>
      </c>
      <c r="AA980" s="46" t="s">
        <v>4549</v>
      </c>
      <c r="AB980" s="172" t="s">
        <v>9167</v>
      </c>
      <c r="AC980" s="48" t="s">
        <v>6257</v>
      </c>
      <c r="AD980" s="30"/>
      <c r="AE980" s="197"/>
      <c r="AF980" s="47"/>
    </row>
    <row r="981" spans="1:32" s="29" customFormat="1" ht="69.95" hidden="1" customHeight="1">
      <c r="A981" s="29" t="s">
        <v>4937</v>
      </c>
      <c r="B981" s="29" t="s">
        <v>3769</v>
      </c>
      <c r="C981" s="40">
        <v>14</v>
      </c>
      <c r="D981" s="40"/>
      <c r="E981" s="57" t="s">
        <v>286</v>
      </c>
      <c r="F981" s="57" t="s">
        <v>286</v>
      </c>
      <c r="G981" s="29" t="s">
        <v>2229</v>
      </c>
      <c r="J981" s="29">
        <f t="shared" si="60"/>
        <v>1</v>
      </c>
      <c r="K981" s="42">
        <v>974</v>
      </c>
      <c r="L981" s="43" t="s">
        <v>2230</v>
      </c>
      <c r="M981" s="44" t="s">
        <v>405</v>
      </c>
      <c r="N981" s="44" t="s">
        <v>426</v>
      </c>
      <c r="O981" s="44" t="str">
        <f t="shared" si="61"/>
        <v>PE-L1-3C4-25</v>
      </c>
      <c r="P981" s="45">
        <v>0.5</v>
      </c>
      <c r="Q981" s="44">
        <v>230</v>
      </c>
      <c r="R981" s="44" t="s">
        <v>49</v>
      </c>
      <c r="S981" s="44">
        <v>40</v>
      </c>
      <c r="T981" s="46" t="s">
        <v>6228</v>
      </c>
      <c r="U981" s="46" t="s">
        <v>4937</v>
      </c>
      <c r="V981" s="46" t="s">
        <v>4938</v>
      </c>
      <c r="W981" s="46" t="s">
        <v>4549</v>
      </c>
      <c r="X981" s="172" t="s">
        <v>9167</v>
      </c>
      <c r="Y981" s="46" t="s">
        <v>6253</v>
      </c>
      <c r="Z981" s="46" t="s">
        <v>6258</v>
      </c>
      <c r="AA981" s="46" t="s">
        <v>4549</v>
      </c>
      <c r="AB981" s="172" t="s">
        <v>9167</v>
      </c>
      <c r="AC981" s="48" t="s">
        <v>6257</v>
      </c>
      <c r="AD981" s="30"/>
      <c r="AE981" s="197"/>
      <c r="AF981" s="47"/>
    </row>
    <row r="982" spans="1:32" s="29" customFormat="1" ht="69.95" hidden="1" customHeight="1">
      <c r="A982" s="29" t="s">
        <v>5152</v>
      </c>
      <c r="B982" s="29" t="s">
        <v>3769</v>
      </c>
      <c r="C982" s="40">
        <v>29</v>
      </c>
      <c r="D982" s="191" t="s">
        <v>9504</v>
      </c>
      <c r="E982" s="57" t="s">
        <v>8356</v>
      </c>
      <c r="F982" s="218" t="s">
        <v>8719</v>
      </c>
      <c r="G982" s="29" t="s">
        <v>9156</v>
      </c>
      <c r="H982" s="159"/>
      <c r="J982" s="29">
        <f t="shared" si="60"/>
        <v>1</v>
      </c>
      <c r="K982" s="189">
        <v>975</v>
      </c>
      <c r="L982" s="43" t="s">
        <v>9465</v>
      </c>
      <c r="M982" s="44" t="s">
        <v>405</v>
      </c>
      <c r="N982" s="188" t="s">
        <v>673</v>
      </c>
      <c r="O982" s="219" t="str">
        <f t="shared" si="61"/>
        <v>PE-L1-5C95/50-03</v>
      </c>
      <c r="P982" s="221">
        <v>108</v>
      </c>
      <c r="Q982" s="44">
        <v>400</v>
      </c>
      <c r="R982" s="44" t="s">
        <v>49</v>
      </c>
      <c r="S982" s="44">
        <v>30</v>
      </c>
      <c r="T982" s="46" t="s">
        <v>6259</v>
      </c>
      <c r="U982" s="46" t="s">
        <v>5152</v>
      </c>
      <c r="V982" s="46" t="s">
        <v>5153</v>
      </c>
      <c r="W982" s="46" t="s">
        <v>5154</v>
      </c>
      <c r="X982" s="222" t="s">
        <v>9310</v>
      </c>
      <c r="Y982" s="46" t="s">
        <v>9596</v>
      </c>
      <c r="Z982" s="46" t="s">
        <v>9595</v>
      </c>
      <c r="AA982" s="46" t="s">
        <v>5154</v>
      </c>
      <c r="AB982" s="222" t="s">
        <v>9310</v>
      </c>
      <c r="AC982" s="48" t="s">
        <v>6262</v>
      </c>
      <c r="AD982" s="30"/>
      <c r="AE982" s="197"/>
      <c r="AF982" s="47"/>
    </row>
    <row r="983" spans="1:32" s="29" customFormat="1" ht="69.95" hidden="1" customHeight="1">
      <c r="A983" s="49" t="s">
        <v>5152</v>
      </c>
      <c r="B983" s="49" t="s">
        <v>3769</v>
      </c>
      <c r="C983" s="49">
        <v>30</v>
      </c>
      <c r="D983" s="49"/>
      <c r="E983" s="57" t="s">
        <v>8356</v>
      </c>
      <c r="F983" s="57" t="s">
        <v>9049</v>
      </c>
      <c r="J983" s="29">
        <f t="shared" si="60"/>
        <v>1</v>
      </c>
      <c r="K983" s="189" t="s">
        <v>9049</v>
      </c>
      <c r="L983" s="223" t="s">
        <v>2231</v>
      </c>
      <c r="M983" s="223" t="s">
        <v>405</v>
      </c>
      <c r="N983" s="223" t="s">
        <v>56</v>
      </c>
      <c r="O983" s="219" t="str">
        <f>F983</f>
        <v>DEL</v>
      </c>
      <c r="P983" s="224"/>
      <c r="Q983" s="223">
        <v>400</v>
      </c>
      <c r="R983" s="223" t="s">
        <v>49</v>
      </c>
      <c r="S983" s="223"/>
      <c r="T983" s="223" t="s">
        <v>6259</v>
      </c>
      <c r="U983" s="223" t="s">
        <v>5152</v>
      </c>
      <c r="V983" s="223" t="s">
        <v>5153</v>
      </c>
      <c r="W983" s="223" t="s">
        <v>5154</v>
      </c>
      <c r="X983" s="225" t="s">
        <v>37</v>
      </c>
      <c r="Y983" s="223" t="s">
        <v>6260</v>
      </c>
      <c r="Z983" s="223" t="s">
        <v>6261</v>
      </c>
      <c r="AA983" s="223" t="s">
        <v>5154</v>
      </c>
      <c r="AB983" s="225" t="s">
        <v>45</v>
      </c>
      <c r="AC983" s="226" t="s">
        <v>6262</v>
      </c>
      <c r="AD983" s="30"/>
      <c r="AE983" s="197"/>
      <c r="AF983" s="47"/>
    </row>
    <row r="984" spans="1:32" s="29" customFormat="1" ht="69.95" hidden="1" customHeight="1">
      <c r="A984" s="49" t="s">
        <v>5152</v>
      </c>
      <c r="B984" s="49" t="s">
        <v>3769</v>
      </c>
      <c r="C984" s="49">
        <v>31</v>
      </c>
      <c r="D984" s="49"/>
      <c r="E984" s="57" t="s">
        <v>8356</v>
      </c>
      <c r="F984" s="57" t="s">
        <v>9049</v>
      </c>
      <c r="J984" s="29">
        <f t="shared" si="60"/>
        <v>1</v>
      </c>
      <c r="K984" s="189" t="s">
        <v>9049</v>
      </c>
      <c r="L984" s="223" t="s">
        <v>2232</v>
      </c>
      <c r="M984" s="223" t="s">
        <v>405</v>
      </c>
      <c r="N984" s="223" t="s">
        <v>56</v>
      </c>
      <c r="O984" s="219" t="str">
        <f>F984</f>
        <v>DEL</v>
      </c>
      <c r="P984" s="224"/>
      <c r="Q984" s="223">
        <v>400</v>
      </c>
      <c r="R984" s="223" t="s">
        <v>49</v>
      </c>
      <c r="S984" s="223"/>
      <c r="T984" s="223" t="s">
        <v>6259</v>
      </c>
      <c r="U984" s="223" t="s">
        <v>5152</v>
      </c>
      <c r="V984" s="223" t="s">
        <v>5153</v>
      </c>
      <c r="W984" s="223" t="s">
        <v>5154</v>
      </c>
      <c r="X984" s="225" t="s">
        <v>39</v>
      </c>
      <c r="Y984" s="223" t="s">
        <v>6260</v>
      </c>
      <c r="Z984" s="223" t="s">
        <v>6261</v>
      </c>
      <c r="AA984" s="223" t="s">
        <v>5154</v>
      </c>
      <c r="AB984" s="225" t="s">
        <v>46</v>
      </c>
      <c r="AC984" s="226" t="s">
        <v>6262</v>
      </c>
      <c r="AD984" s="30"/>
      <c r="AE984" s="197"/>
      <c r="AF984" s="47"/>
    </row>
    <row r="985" spans="1:32" s="29" customFormat="1" ht="69.95" hidden="1" customHeight="1">
      <c r="A985" s="49" t="s">
        <v>5152</v>
      </c>
      <c r="B985" s="49" t="s">
        <v>3769</v>
      </c>
      <c r="C985" s="49">
        <v>32</v>
      </c>
      <c r="D985" s="124"/>
      <c r="E985" s="137" t="s">
        <v>65</v>
      </c>
      <c r="F985" s="57" t="s">
        <v>9049</v>
      </c>
      <c r="J985" s="29">
        <f t="shared" si="60"/>
        <v>1</v>
      </c>
      <c r="K985" s="189" t="s">
        <v>9049</v>
      </c>
      <c r="L985" s="223" t="s">
        <v>2233</v>
      </c>
      <c r="M985" s="223" t="s">
        <v>405</v>
      </c>
      <c r="N985" s="223" t="s">
        <v>8937</v>
      </c>
      <c r="O985" s="219" t="str">
        <f>F985</f>
        <v>DEL</v>
      </c>
      <c r="P985" s="224"/>
      <c r="Q985" s="223">
        <v>400</v>
      </c>
      <c r="R985" s="223" t="s">
        <v>49</v>
      </c>
      <c r="S985" s="223"/>
      <c r="T985" s="223" t="s">
        <v>6259</v>
      </c>
      <c r="U985" s="223" t="s">
        <v>5152</v>
      </c>
      <c r="V985" s="223" t="s">
        <v>5153</v>
      </c>
      <c r="W985" s="227" t="s">
        <v>5154</v>
      </c>
      <c r="X985" s="225" t="s">
        <v>17</v>
      </c>
      <c r="Y985" s="223" t="s">
        <v>6260</v>
      </c>
      <c r="Z985" s="223" t="s">
        <v>6261</v>
      </c>
      <c r="AA985" s="223" t="s">
        <v>5154</v>
      </c>
      <c r="AB985" s="225" t="s">
        <v>49</v>
      </c>
      <c r="AC985" s="228" t="s">
        <v>6262</v>
      </c>
      <c r="AD985" s="30"/>
      <c r="AE985" s="197"/>
      <c r="AF985" s="47"/>
    </row>
    <row r="986" spans="1:32" s="29" customFormat="1" ht="69.95" hidden="1" customHeight="1">
      <c r="A986" s="49" t="s">
        <v>5152</v>
      </c>
      <c r="B986" s="49" t="s">
        <v>3769</v>
      </c>
      <c r="C986" s="49">
        <v>33</v>
      </c>
      <c r="D986" s="49"/>
      <c r="E986" s="56" t="s">
        <v>47</v>
      </c>
      <c r="F986" s="57" t="s">
        <v>9049</v>
      </c>
      <c r="J986" s="29">
        <f t="shared" si="60"/>
        <v>1</v>
      </c>
      <c r="K986" s="189" t="s">
        <v>9049</v>
      </c>
      <c r="L986" s="223" t="s">
        <v>2234</v>
      </c>
      <c r="M986" s="223" t="s">
        <v>405</v>
      </c>
      <c r="N986" s="223" t="s">
        <v>48</v>
      </c>
      <c r="O986" s="219" t="str">
        <f>F986</f>
        <v>DEL</v>
      </c>
      <c r="P986" s="224"/>
      <c r="Q986" s="223">
        <v>400</v>
      </c>
      <c r="R986" s="223" t="s">
        <v>49</v>
      </c>
      <c r="S986" s="223"/>
      <c r="T986" s="223" t="s">
        <v>6259</v>
      </c>
      <c r="U986" s="223" t="s">
        <v>5152</v>
      </c>
      <c r="V986" s="223" t="s">
        <v>5153</v>
      </c>
      <c r="W986" s="227" t="s">
        <v>5154</v>
      </c>
      <c r="X986" s="225" t="s">
        <v>18</v>
      </c>
      <c r="Y986" s="223" t="s">
        <v>6260</v>
      </c>
      <c r="Z986" s="223" t="s">
        <v>6261</v>
      </c>
      <c r="AA986" s="223" t="s">
        <v>5154</v>
      </c>
      <c r="AB986" s="225" t="s">
        <v>6263</v>
      </c>
      <c r="AC986" s="228" t="s">
        <v>6262</v>
      </c>
      <c r="AD986" s="30"/>
      <c r="AE986" s="197"/>
      <c r="AF986" s="47"/>
    </row>
    <row r="987" spans="1:32" s="29" customFormat="1" ht="69.95" hidden="1" customHeight="1">
      <c r="A987" s="29" t="s">
        <v>5152</v>
      </c>
      <c r="B987" s="29" t="s">
        <v>3769</v>
      </c>
      <c r="C987" s="40">
        <v>34</v>
      </c>
      <c r="D987" s="124" t="s">
        <v>9522</v>
      </c>
      <c r="E987" s="57" t="s">
        <v>237</v>
      </c>
      <c r="F987" s="57" t="s">
        <v>9521</v>
      </c>
      <c r="G987" s="131" t="s">
        <v>9089</v>
      </c>
      <c r="H987" s="43" t="s">
        <v>9090</v>
      </c>
      <c r="I987" s="116"/>
      <c r="J987" s="29">
        <f t="shared" si="60"/>
        <v>1</v>
      </c>
      <c r="K987" s="158">
        <v>976</v>
      </c>
      <c r="L987" s="123" t="s">
        <v>9520</v>
      </c>
      <c r="M987" s="44" t="s">
        <v>405</v>
      </c>
      <c r="N987" s="44" t="s">
        <v>9466</v>
      </c>
      <c r="O987" s="44" t="str">
        <f t="shared" ref="O987:O1002" si="62">F987</f>
        <v>HOLD</v>
      </c>
      <c r="P987" s="129">
        <v>142</v>
      </c>
      <c r="Q987" s="44">
        <v>400</v>
      </c>
      <c r="R987" s="44" t="s">
        <v>49</v>
      </c>
      <c r="S987" s="44">
        <v>390</v>
      </c>
      <c r="T987" s="46" t="s">
        <v>6259</v>
      </c>
      <c r="U987" s="122" t="s">
        <v>5159</v>
      </c>
      <c r="V987" s="122" t="s">
        <v>5160</v>
      </c>
      <c r="W987" s="46" t="s">
        <v>5154</v>
      </c>
      <c r="X987" s="61" t="s">
        <v>35</v>
      </c>
      <c r="Y987" s="46" t="s">
        <v>6264</v>
      </c>
      <c r="Z987" s="46" t="s">
        <v>6265</v>
      </c>
      <c r="AA987" s="46" t="s">
        <v>5337</v>
      </c>
      <c r="AB987" s="47" t="s">
        <v>44</v>
      </c>
      <c r="AC987" s="76" t="s">
        <v>9032</v>
      </c>
      <c r="AD987" s="30"/>
      <c r="AE987" s="197"/>
      <c r="AF987" s="47"/>
    </row>
    <row r="988" spans="1:32" s="29" customFormat="1" ht="69.95" hidden="1" customHeight="1">
      <c r="A988" s="49" t="s">
        <v>5152</v>
      </c>
      <c r="B988" s="49" t="s">
        <v>3769</v>
      </c>
      <c r="C988" s="49">
        <v>35</v>
      </c>
      <c r="D988" s="124" t="s">
        <v>9045</v>
      </c>
      <c r="E988" s="57" t="s">
        <v>237</v>
      </c>
      <c r="F988" s="57" t="s">
        <v>9521</v>
      </c>
      <c r="G988" s="116"/>
      <c r="H988" s="43" t="s">
        <v>9091</v>
      </c>
      <c r="I988" s="116"/>
      <c r="J988" s="29">
        <f t="shared" si="60"/>
        <v>1</v>
      </c>
      <c r="K988" s="189">
        <v>977</v>
      </c>
      <c r="L988" s="123" t="s">
        <v>8955</v>
      </c>
      <c r="M988" s="43" t="s">
        <v>405</v>
      </c>
      <c r="N988" s="43" t="s">
        <v>433</v>
      </c>
      <c r="O988" s="44" t="str">
        <f t="shared" si="62"/>
        <v>HOLD</v>
      </c>
      <c r="P988" s="129">
        <v>142</v>
      </c>
      <c r="Q988" s="43">
        <v>400</v>
      </c>
      <c r="R988" s="43" t="s">
        <v>49</v>
      </c>
      <c r="S988" s="43">
        <v>390</v>
      </c>
      <c r="T988" s="43" t="s">
        <v>6259</v>
      </c>
      <c r="U988" s="128" t="s">
        <v>5159</v>
      </c>
      <c r="V988" s="128" t="s">
        <v>5160</v>
      </c>
      <c r="W988" s="46" t="s">
        <v>5154</v>
      </c>
      <c r="X988" s="47" t="s">
        <v>37</v>
      </c>
      <c r="Y988" s="43" t="s">
        <v>6264</v>
      </c>
      <c r="Z988" s="43" t="s">
        <v>6265</v>
      </c>
      <c r="AA988" s="43" t="s">
        <v>5337</v>
      </c>
      <c r="AB988" s="47" t="s">
        <v>45</v>
      </c>
      <c r="AC988" s="76" t="s">
        <v>9032</v>
      </c>
      <c r="AD988" s="30"/>
      <c r="AE988" s="197"/>
      <c r="AF988" s="47"/>
    </row>
    <row r="989" spans="1:32" s="29" customFormat="1" ht="69.95" hidden="1" customHeight="1">
      <c r="A989" s="49" t="s">
        <v>5152</v>
      </c>
      <c r="B989" s="49" t="s">
        <v>3769</v>
      </c>
      <c r="C989" s="49">
        <v>36</v>
      </c>
      <c r="D989" s="124" t="s">
        <v>9045</v>
      </c>
      <c r="E989" s="57" t="s">
        <v>238</v>
      </c>
      <c r="F989" s="57" t="s">
        <v>9521</v>
      </c>
      <c r="G989" s="116"/>
      <c r="H989" s="43" t="s">
        <v>9092</v>
      </c>
      <c r="I989" s="116"/>
      <c r="J989" s="29">
        <f t="shared" si="60"/>
        <v>1</v>
      </c>
      <c r="K989" s="189">
        <v>978</v>
      </c>
      <c r="L989" s="123" t="s">
        <v>8956</v>
      </c>
      <c r="M989" s="43" t="s">
        <v>405</v>
      </c>
      <c r="N989" s="43" t="s">
        <v>433</v>
      </c>
      <c r="O989" s="44" t="str">
        <f t="shared" si="62"/>
        <v>HOLD</v>
      </c>
      <c r="P989" s="129">
        <v>142</v>
      </c>
      <c r="Q989" s="43">
        <v>400</v>
      </c>
      <c r="R989" s="43" t="s">
        <v>49</v>
      </c>
      <c r="S989" s="43">
        <v>390</v>
      </c>
      <c r="T989" s="43" t="s">
        <v>6259</v>
      </c>
      <c r="U989" s="128" t="s">
        <v>5159</v>
      </c>
      <c r="V989" s="128" t="s">
        <v>5160</v>
      </c>
      <c r="W989" s="46" t="s">
        <v>5154</v>
      </c>
      <c r="X989" s="47" t="s">
        <v>39</v>
      </c>
      <c r="Y989" s="43" t="s">
        <v>6264</v>
      </c>
      <c r="Z989" s="43" t="s">
        <v>6265</v>
      </c>
      <c r="AA989" s="43" t="s">
        <v>5337</v>
      </c>
      <c r="AB989" s="47" t="s">
        <v>46</v>
      </c>
      <c r="AC989" s="76" t="s">
        <v>9032</v>
      </c>
      <c r="AD989" s="30"/>
      <c r="AE989" s="197"/>
      <c r="AF989" s="47"/>
    </row>
    <row r="990" spans="1:32" s="29" customFormat="1" ht="69.95" hidden="1" customHeight="1">
      <c r="A990" s="49" t="s">
        <v>5152</v>
      </c>
      <c r="B990" s="49" t="s">
        <v>3769</v>
      </c>
      <c r="C990" s="49">
        <v>37</v>
      </c>
      <c r="D990" s="124" t="s">
        <v>9045</v>
      </c>
      <c r="E990" s="57" t="s">
        <v>238</v>
      </c>
      <c r="F990" s="57" t="s">
        <v>9521</v>
      </c>
      <c r="G990" s="116"/>
      <c r="H990" s="43" t="s">
        <v>9093</v>
      </c>
      <c r="I990" s="116"/>
      <c r="J990" s="29">
        <f t="shared" si="60"/>
        <v>1</v>
      </c>
      <c r="K990" s="189">
        <v>979</v>
      </c>
      <c r="L990" s="123" t="s">
        <v>8957</v>
      </c>
      <c r="M990" s="43" t="s">
        <v>405</v>
      </c>
      <c r="N990" s="43" t="s">
        <v>433</v>
      </c>
      <c r="O990" s="44" t="str">
        <f t="shared" si="62"/>
        <v>HOLD</v>
      </c>
      <c r="P990" s="129">
        <v>142</v>
      </c>
      <c r="Q990" s="43">
        <v>400</v>
      </c>
      <c r="R990" s="43" t="s">
        <v>49</v>
      </c>
      <c r="S990" s="43">
        <v>390</v>
      </c>
      <c r="T990" s="43" t="s">
        <v>6259</v>
      </c>
      <c r="U990" s="128" t="s">
        <v>5159</v>
      </c>
      <c r="V990" s="128" t="s">
        <v>5160</v>
      </c>
      <c r="W990" s="46" t="s">
        <v>5154</v>
      </c>
      <c r="X990" s="47" t="s">
        <v>35</v>
      </c>
      <c r="Y990" s="43" t="s">
        <v>6264</v>
      </c>
      <c r="Z990" s="43" t="s">
        <v>6265</v>
      </c>
      <c r="AA990" s="43" t="s">
        <v>5337</v>
      </c>
      <c r="AB990" s="47" t="s">
        <v>44</v>
      </c>
      <c r="AC990" s="76" t="s">
        <v>9033</v>
      </c>
      <c r="AD990" s="165"/>
      <c r="AE990" s="197"/>
      <c r="AF990" s="47"/>
    </row>
    <row r="991" spans="1:32" s="29" customFormat="1" ht="69.95" hidden="1" customHeight="1">
      <c r="A991" s="49" t="s">
        <v>5152</v>
      </c>
      <c r="B991" s="49" t="s">
        <v>3769</v>
      </c>
      <c r="C991" s="49">
        <v>38</v>
      </c>
      <c r="D991" s="124" t="s">
        <v>9045</v>
      </c>
      <c r="E991" s="57" t="s">
        <v>239</v>
      </c>
      <c r="F991" s="57" t="s">
        <v>9521</v>
      </c>
      <c r="G991" s="116"/>
      <c r="H991" s="43" t="s">
        <v>9094</v>
      </c>
      <c r="I991" s="116"/>
      <c r="J991" s="29">
        <f t="shared" si="60"/>
        <v>1</v>
      </c>
      <c r="K991" s="189">
        <v>980</v>
      </c>
      <c r="L991" s="123" t="s">
        <v>8958</v>
      </c>
      <c r="M991" s="43" t="s">
        <v>405</v>
      </c>
      <c r="N991" s="43" t="s">
        <v>433</v>
      </c>
      <c r="O991" s="44" t="str">
        <f t="shared" si="62"/>
        <v>HOLD</v>
      </c>
      <c r="P991" s="129">
        <v>142</v>
      </c>
      <c r="Q991" s="43">
        <v>400</v>
      </c>
      <c r="R991" s="43" t="s">
        <v>49</v>
      </c>
      <c r="S991" s="43">
        <v>390</v>
      </c>
      <c r="T991" s="43" t="s">
        <v>6259</v>
      </c>
      <c r="U991" s="128" t="s">
        <v>5159</v>
      </c>
      <c r="V991" s="128" t="s">
        <v>5160</v>
      </c>
      <c r="W991" s="46" t="s">
        <v>5154</v>
      </c>
      <c r="X991" s="47" t="s">
        <v>37</v>
      </c>
      <c r="Y991" s="43" t="s">
        <v>6264</v>
      </c>
      <c r="Z991" s="43" t="s">
        <v>6265</v>
      </c>
      <c r="AA991" s="43" t="s">
        <v>5337</v>
      </c>
      <c r="AB991" s="47" t="s">
        <v>45</v>
      </c>
      <c r="AC991" s="76" t="s">
        <v>9033</v>
      </c>
      <c r="AD991" s="165"/>
      <c r="AE991" s="197"/>
      <c r="AF991" s="47"/>
    </row>
    <row r="992" spans="1:32" s="29" customFormat="1" ht="69.95" hidden="1" customHeight="1">
      <c r="A992" s="49" t="s">
        <v>5152</v>
      </c>
      <c r="B992" s="49" t="s">
        <v>3769</v>
      </c>
      <c r="C992" s="49">
        <v>39</v>
      </c>
      <c r="D992" s="124" t="s">
        <v>9045</v>
      </c>
      <c r="E992" s="57" t="s">
        <v>239</v>
      </c>
      <c r="F992" s="57" t="s">
        <v>9521</v>
      </c>
      <c r="G992" s="116"/>
      <c r="H992" s="43" t="s">
        <v>9095</v>
      </c>
      <c r="I992" s="116"/>
      <c r="J992" s="29">
        <f t="shared" si="60"/>
        <v>1</v>
      </c>
      <c r="K992" s="189">
        <v>981</v>
      </c>
      <c r="L992" s="123" t="s">
        <v>8959</v>
      </c>
      <c r="M992" s="43" t="s">
        <v>405</v>
      </c>
      <c r="N992" s="43" t="s">
        <v>433</v>
      </c>
      <c r="O992" s="44" t="str">
        <f t="shared" si="62"/>
        <v>HOLD</v>
      </c>
      <c r="P992" s="129">
        <v>142</v>
      </c>
      <c r="Q992" s="43">
        <v>400</v>
      </c>
      <c r="R992" s="43" t="s">
        <v>49</v>
      </c>
      <c r="S992" s="43">
        <v>390</v>
      </c>
      <c r="T992" s="43" t="s">
        <v>6259</v>
      </c>
      <c r="U992" s="128" t="s">
        <v>5159</v>
      </c>
      <c r="V992" s="128" t="s">
        <v>5160</v>
      </c>
      <c r="W992" s="46" t="s">
        <v>5154</v>
      </c>
      <c r="X992" s="47" t="s">
        <v>39</v>
      </c>
      <c r="Y992" s="43" t="s">
        <v>6264</v>
      </c>
      <c r="Z992" s="43" t="s">
        <v>6265</v>
      </c>
      <c r="AA992" s="43" t="s">
        <v>5337</v>
      </c>
      <c r="AB992" s="47" t="s">
        <v>46</v>
      </c>
      <c r="AC992" s="76" t="s">
        <v>9033</v>
      </c>
      <c r="AD992" s="165"/>
      <c r="AE992" s="197"/>
      <c r="AF992" s="47"/>
    </row>
    <row r="993" spans="1:32" s="29" customFormat="1" ht="69.95" hidden="1" customHeight="1">
      <c r="A993" s="49" t="s">
        <v>5152</v>
      </c>
      <c r="B993" s="49" t="s">
        <v>3769</v>
      </c>
      <c r="C993" s="49">
        <v>40</v>
      </c>
      <c r="D993" s="124" t="s">
        <v>9045</v>
      </c>
      <c r="E993" s="57" t="s">
        <v>240</v>
      </c>
      <c r="F993" s="57" t="s">
        <v>9521</v>
      </c>
      <c r="G993" s="116"/>
      <c r="H993" s="43" t="s">
        <v>9096</v>
      </c>
      <c r="I993" s="116"/>
      <c r="J993" s="29">
        <f t="shared" si="60"/>
        <v>1</v>
      </c>
      <c r="K993" s="189">
        <v>982</v>
      </c>
      <c r="L993" s="123" t="s">
        <v>8960</v>
      </c>
      <c r="M993" s="43" t="s">
        <v>405</v>
      </c>
      <c r="N993" s="43" t="s">
        <v>433</v>
      </c>
      <c r="O993" s="44" t="str">
        <f t="shared" si="62"/>
        <v>HOLD</v>
      </c>
      <c r="P993" s="129">
        <v>142</v>
      </c>
      <c r="Q993" s="43">
        <v>400</v>
      </c>
      <c r="R993" s="43" t="s">
        <v>49</v>
      </c>
      <c r="S993" s="43">
        <v>390</v>
      </c>
      <c r="T993" s="43" t="s">
        <v>6259</v>
      </c>
      <c r="U993" s="128" t="s">
        <v>5159</v>
      </c>
      <c r="V993" s="128" t="s">
        <v>5160</v>
      </c>
      <c r="W993" s="53" t="s">
        <v>5154</v>
      </c>
      <c r="X993" s="47" t="s">
        <v>17</v>
      </c>
      <c r="Y993" s="43" t="s">
        <v>6264</v>
      </c>
      <c r="Z993" s="43" t="s">
        <v>6265</v>
      </c>
      <c r="AA993" s="43" t="s">
        <v>5337</v>
      </c>
      <c r="AB993" s="47" t="s">
        <v>49</v>
      </c>
      <c r="AC993" s="76" t="s">
        <v>9032</v>
      </c>
      <c r="AD993" s="165"/>
      <c r="AE993" s="197"/>
      <c r="AF993" s="47"/>
    </row>
    <row r="994" spans="1:32" s="29" customFormat="1" ht="69.95" hidden="1" customHeight="1">
      <c r="A994" s="49" t="s">
        <v>5152</v>
      </c>
      <c r="B994" s="49" t="s">
        <v>3769</v>
      </c>
      <c r="C994" s="49">
        <v>41</v>
      </c>
      <c r="D994" s="124" t="s">
        <v>9045</v>
      </c>
      <c r="E994" s="57" t="s">
        <v>240</v>
      </c>
      <c r="F994" s="57" t="s">
        <v>9521</v>
      </c>
      <c r="G994" s="116"/>
      <c r="H994" s="43" t="s">
        <v>9097</v>
      </c>
      <c r="I994" s="116"/>
      <c r="J994" s="29">
        <f t="shared" si="60"/>
        <v>1</v>
      </c>
      <c r="K994" s="189">
        <v>983</v>
      </c>
      <c r="L994" s="123" t="s">
        <v>8961</v>
      </c>
      <c r="M994" s="43" t="s">
        <v>405</v>
      </c>
      <c r="N994" s="43" t="s">
        <v>433</v>
      </c>
      <c r="O994" s="44" t="str">
        <f t="shared" si="62"/>
        <v>HOLD</v>
      </c>
      <c r="P994" s="129">
        <v>142</v>
      </c>
      <c r="Q994" s="43">
        <v>400</v>
      </c>
      <c r="R994" s="43" t="s">
        <v>49</v>
      </c>
      <c r="S994" s="43">
        <v>390</v>
      </c>
      <c r="T994" s="43" t="s">
        <v>6259</v>
      </c>
      <c r="U994" s="128" t="s">
        <v>5159</v>
      </c>
      <c r="V994" s="128" t="s">
        <v>5160</v>
      </c>
      <c r="W994" s="53" t="s">
        <v>5154</v>
      </c>
      <c r="X994" s="47" t="s">
        <v>18</v>
      </c>
      <c r="Y994" s="43" t="s">
        <v>6264</v>
      </c>
      <c r="Z994" s="43" t="s">
        <v>6265</v>
      </c>
      <c r="AA994" s="43" t="s">
        <v>5337</v>
      </c>
      <c r="AB994" s="47" t="s">
        <v>6263</v>
      </c>
      <c r="AC994" s="76" t="s">
        <v>9033</v>
      </c>
      <c r="AD994" s="165"/>
      <c r="AE994" s="197"/>
      <c r="AF994" s="47"/>
    </row>
    <row r="995" spans="1:32" s="29" customFormat="1" ht="69.95" hidden="1" customHeight="1">
      <c r="A995" s="29" t="s">
        <v>5394</v>
      </c>
      <c r="B995" s="29" t="s">
        <v>3769</v>
      </c>
      <c r="C995" s="40">
        <v>23</v>
      </c>
      <c r="D995" s="124" t="s">
        <v>9523</v>
      </c>
      <c r="E995" s="57" t="s">
        <v>9547</v>
      </c>
      <c r="F995" s="57" t="s">
        <v>9521</v>
      </c>
      <c r="G995" s="29" t="s">
        <v>2235</v>
      </c>
      <c r="H995" s="159" t="s">
        <v>9157</v>
      </c>
      <c r="J995" s="29">
        <f t="shared" si="60"/>
        <v>1</v>
      </c>
      <c r="K995" s="158">
        <v>984</v>
      </c>
      <c r="L995" s="43" t="s">
        <v>2236</v>
      </c>
      <c r="M995" s="44" t="s">
        <v>405</v>
      </c>
      <c r="N995" s="44" t="s">
        <v>433</v>
      </c>
      <c r="O995" s="44" t="str">
        <f t="shared" si="62"/>
        <v>HOLD</v>
      </c>
      <c r="P995" s="129">
        <v>172</v>
      </c>
      <c r="Q995" s="44">
        <v>400</v>
      </c>
      <c r="R995" s="44" t="s">
        <v>49</v>
      </c>
      <c r="S995" s="126">
        <v>370</v>
      </c>
      <c r="T995" s="46" t="s">
        <v>6259</v>
      </c>
      <c r="U995" s="46" t="s">
        <v>5394</v>
      </c>
      <c r="V995" s="46" t="s">
        <v>5395</v>
      </c>
      <c r="W995" s="46" t="s">
        <v>335</v>
      </c>
      <c r="X995" s="47" t="s">
        <v>44</v>
      </c>
      <c r="Y995" s="46" t="s">
        <v>6266</v>
      </c>
      <c r="Z995" s="46" t="s">
        <v>6267</v>
      </c>
      <c r="AA995" s="46" t="s">
        <v>5406</v>
      </c>
      <c r="AB995" s="47" t="s">
        <v>44</v>
      </c>
      <c r="AC995" s="76" t="s">
        <v>9267</v>
      </c>
      <c r="AD995" s="30"/>
      <c r="AE995" s="197"/>
      <c r="AF995" s="47"/>
    </row>
    <row r="996" spans="1:32" s="29" customFormat="1" ht="69.95" hidden="1" customHeight="1">
      <c r="A996" s="49" t="s">
        <v>5394</v>
      </c>
      <c r="B996" s="49" t="s">
        <v>3769</v>
      </c>
      <c r="C996" s="49">
        <v>24</v>
      </c>
      <c r="D996" s="49"/>
      <c r="E996" s="57" t="s">
        <v>241</v>
      </c>
      <c r="F996" s="57" t="s">
        <v>9521</v>
      </c>
      <c r="J996" s="29">
        <f t="shared" si="60"/>
        <v>1</v>
      </c>
      <c r="K996" s="42">
        <v>985</v>
      </c>
      <c r="L996" s="43" t="s">
        <v>2237</v>
      </c>
      <c r="M996" s="43" t="s">
        <v>405</v>
      </c>
      <c r="N996" s="43" t="s">
        <v>433</v>
      </c>
      <c r="O996" s="44" t="str">
        <f t="shared" si="62"/>
        <v>HOLD</v>
      </c>
      <c r="P996" s="217">
        <v>172</v>
      </c>
      <c r="Q996" s="43">
        <v>400</v>
      </c>
      <c r="R996" s="43" t="s">
        <v>49</v>
      </c>
      <c r="S996" s="126">
        <v>370</v>
      </c>
      <c r="T996" s="43" t="s">
        <v>6259</v>
      </c>
      <c r="U996" s="43" t="s">
        <v>5394</v>
      </c>
      <c r="V996" s="43" t="s">
        <v>5395</v>
      </c>
      <c r="W996" s="43" t="s">
        <v>335</v>
      </c>
      <c r="X996" s="47" t="s">
        <v>45</v>
      </c>
      <c r="Y996" s="43" t="s">
        <v>6266</v>
      </c>
      <c r="Z996" s="43" t="s">
        <v>6267</v>
      </c>
      <c r="AA996" s="43" t="s">
        <v>5406</v>
      </c>
      <c r="AB996" s="47" t="s">
        <v>45</v>
      </c>
      <c r="AC996" s="146" t="s">
        <v>9267</v>
      </c>
      <c r="AD996" s="30"/>
      <c r="AE996" s="197"/>
      <c r="AF996" s="47"/>
    </row>
    <row r="997" spans="1:32" s="29" customFormat="1" ht="69.95" hidden="1" customHeight="1">
      <c r="A997" s="49" t="s">
        <v>5394</v>
      </c>
      <c r="B997" s="49" t="s">
        <v>3769</v>
      </c>
      <c r="C997" s="49">
        <v>25</v>
      </c>
      <c r="D997" s="49"/>
      <c r="E997" s="57" t="s">
        <v>242</v>
      </c>
      <c r="F997" s="57" t="s">
        <v>9521</v>
      </c>
      <c r="J997" s="29">
        <f t="shared" si="60"/>
        <v>1</v>
      </c>
      <c r="K997" s="42">
        <v>986</v>
      </c>
      <c r="L997" s="43" t="s">
        <v>2238</v>
      </c>
      <c r="M997" s="43" t="s">
        <v>405</v>
      </c>
      <c r="N997" s="43" t="s">
        <v>433</v>
      </c>
      <c r="O997" s="44" t="str">
        <f t="shared" si="62"/>
        <v>HOLD</v>
      </c>
      <c r="P997" s="217">
        <v>172</v>
      </c>
      <c r="Q997" s="43">
        <v>400</v>
      </c>
      <c r="R997" s="43" t="s">
        <v>49</v>
      </c>
      <c r="S997" s="126">
        <v>370</v>
      </c>
      <c r="T997" s="43" t="s">
        <v>6259</v>
      </c>
      <c r="U997" s="43" t="s">
        <v>5394</v>
      </c>
      <c r="V997" s="43" t="s">
        <v>5395</v>
      </c>
      <c r="W997" s="43" t="s">
        <v>335</v>
      </c>
      <c r="X997" s="47" t="s">
        <v>46</v>
      </c>
      <c r="Y997" s="43" t="s">
        <v>6266</v>
      </c>
      <c r="Z997" s="43" t="s">
        <v>6267</v>
      </c>
      <c r="AA997" s="43" t="s">
        <v>5406</v>
      </c>
      <c r="AB997" s="47" t="s">
        <v>46</v>
      </c>
      <c r="AC997" s="146" t="s">
        <v>9267</v>
      </c>
      <c r="AD997" s="30"/>
      <c r="AE997" s="197"/>
      <c r="AF997" s="47"/>
    </row>
    <row r="998" spans="1:32" s="29" customFormat="1" ht="69.95" hidden="1" customHeight="1">
      <c r="A998" s="49" t="s">
        <v>5394</v>
      </c>
      <c r="B998" s="49" t="s">
        <v>3769</v>
      </c>
      <c r="C998" s="49">
        <v>26</v>
      </c>
      <c r="D998" s="49"/>
      <c r="E998" s="57" t="s">
        <v>242</v>
      </c>
      <c r="F998" s="57" t="s">
        <v>9521</v>
      </c>
      <c r="J998" s="29">
        <f t="shared" si="60"/>
        <v>1</v>
      </c>
      <c r="K998" s="42">
        <v>987</v>
      </c>
      <c r="L998" s="43" t="s">
        <v>2239</v>
      </c>
      <c r="M998" s="43" t="s">
        <v>405</v>
      </c>
      <c r="N998" s="43" t="s">
        <v>433</v>
      </c>
      <c r="O998" s="44" t="str">
        <f t="shared" si="62"/>
        <v>HOLD</v>
      </c>
      <c r="P998" s="217">
        <v>172</v>
      </c>
      <c r="Q998" s="43">
        <v>400</v>
      </c>
      <c r="R998" s="43" t="s">
        <v>49</v>
      </c>
      <c r="S998" s="126">
        <v>370</v>
      </c>
      <c r="T998" s="43" t="s">
        <v>6259</v>
      </c>
      <c r="U998" s="43" t="s">
        <v>5394</v>
      </c>
      <c r="V998" s="43" t="s">
        <v>5395</v>
      </c>
      <c r="W998" s="43" t="s">
        <v>335</v>
      </c>
      <c r="X998" s="47" t="s">
        <v>35</v>
      </c>
      <c r="Y998" s="43" t="s">
        <v>6266</v>
      </c>
      <c r="Z998" s="43" t="s">
        <v>6267</v>
      </c>
      <c r="AA998" s="43" t="s">
        <v>5406</v>
      </c>
      <c r="AB998" s="47" t="s">
        <v>44</v>
      </c>
      <c r="AC998" s="76" t="s">
        <v>9268</v>
      </c>
      <c r="AD998" s="30"/>
      <c r="AE998" s="197"/>
      <c r="AF998" s="47"/>
    </row>
    <row r="999" spans="1:32" s="29" customFormat="1" ht="69.95" hidden="1" customHeight="1">
      <c r="A999" s="49" t="s">
        <v>5394</v>
      </c>
      <c r="B999" s="49" t="s">
        <v>3769</v>
      </c>
      <c r="C999" s="49">
        <v>27</v>
      </c>
      <c r="D999" s="49"/>
      <c r="E999" s="57" t="s">
        <v>243</v>
      </c>
      <c r="F999" s="57" t="s">
        <v>9521</v>
      </c>
      <c r="J999" s="29">
        <f t="shared" si="60"/>
        <v>1</v>
      </c>
      <c r="K999" s="42">
        <v>988</v>
      </c>
      <c r="L999" s="43" t="s">
        <v>2240</v>
      </c>
      <c r="M999" s="43" t="s">
        <v>405</v>
      </c>
      <c r="N999" s="43" t="s">
        <v>433</v>
      </c>
      <c r="O999" s="44" t="str">
        <f t="shared" si="62"/>
        <v>HOLD</v>
      </c>
      <c r="P999" s="217">
        <v>172</v>
      </c>
      <c r="Q999" s="43">
        <v>400</v>
      </c>
      <c r="R999" s="43" t="s">
        <v>49</v>
      </c>
      <c r="S999" s="126">
        <v>370</v>
      </c>
      <c r="T999" s="43" t="s">
        <v>6259</v>
      </c>
      <c r="U999" s="43" t="s">
        <v>5394</v>
      </c>
      <c r="V999" s="43" t="s">
        <v>5395</v>
      </c>
      <c r="W999" s="43" t="s">
        <v>335</v>
      </c>
      <c r="X999" s="47" t="s">
        <v>37</v>
      </c>
      <c r="Y999" s="43" t="s">
        <v>6266</v>
      </c>
      <c r="Z999" s="43" t="s">
        <v>6267</v>
      </c>
      <c r="AA999" s="43" t="s">
        <v>5406</v>
      </c>
      <c r="AB999" s="47" t="s">
        <v>45</v>
      </c>
      <c r="AC999" s="146" t="s">
        <v>9268</v>
      </c>
      <c r="AD999" s="167"/>
      <c r="AE999" s="197"/>
      <c r="AF999" s="47"/>
    </row>
    <row r="1000" spans="1:32" s="29" customFormat="1" ht="69.95" hidden="1" customHeight="1">
      <c r="A1000" s="49" t="s">
        <v>5394</v>
      </c>
      <c r="B1000" s="49" t="s">
        <v>3769</v>
      </c>
      <c r="C1000" s="49">
        <v>28</v>
      </c>
      <c r="D1000" s="49"/>
      <c r="E1000" s="57" t="s">
        <v>243</v>
      </c>
      <c r="F1000" s="57" t="s">
        <v>9521</v>
      </c>
      <c r="J1000" s="29">
        <f t="shared" si="60"/>
        <v>1</v>
      </c>
      <c r="K1000" s="42">
        <v>989</v>
      </c>
      <c r="L1000" s="43" t="s">
        <v>2241</v>
      </c>
      <c r="M1000" s="43" t="s">
        <v>405</v>
      </c>
      <c r="N1000" s="43" t="s">
        <v>433</v>
      </c>
      <c r="O1000" s="44" t="str">
        <f t="shared" si="62"/>
        <v>HOLD</v>
      </c>
      <c r="P1000" s="217">
        <v>172</v>
      </c>
      <c r="Q1000" s="43">
        <v>400</v>
      </c>
      <c r="R1000" s="43" t="s">
        <v>49</v>
      </c>
      <c r="S1000" s="126">
        <v>370</v>
      </c>
      <c r="T1000" s="43" t="s">
        <v>6259</v>
      </c>
      <c r="U1000" s="43" t="s">
        <v>5394</v>
      </c>
      <c r="V1000" s="43" t="s">
        <v>5395</v>
      </c>
      <c r="W1000" s="43" t="s">
        <v>335</v>
      </c>
      <c r="X1000" s="47" t="s">
        <v>39</v>
      </c>
      <c r="Y1000" s="43" t="s">
        <v>6266</v>
      </c>
      <c r="Z1000" s="43" t="s">
        <v>6267</v>
      </c>
      <c r="AA1000" s="43" t="s">
        <v>5406</v>
      </c>
      <c r="AB1000" s="47" t="s">
        <v>46</v>
      </c>
      <c r="AC1000" s="146" t="s">
        <v>9268</v>
      </c>
      <c r="AD1000" s="30"/>
      <c r="AE1000" s="197"/>
      <c r="AF1000" s="47"/>
    </row>
    <row r="1001" spans="1:32" s="29" customFormat="1" ht="69.95" hidden="1" customHeight="1">
      <c r="A1001" s="49" t="s">
        <v>5394</v>
      </c>
      <c r="B1001" s="49" t="s">
        <v>3769</v>
      </c>
      <c r="C1001" s="49">
        <v>29</v>
      </c>
      <c r="D1001" s="141"/>
      <c r="E1001" s="57" t="s">
        <v>244</v>
      </c>
      <c r="F1001" s="57" t="s">
        <v>9521</v>
      </c>
      <c r="J1001" s="29">
        <f t="shared" si="60"/>
        <v>1</v>
      </c>
      <c r="K1001" s="42">
        <v>990</v>
      </c>
      <c r="L1001" s="43" t="s">
        <v>2242</v>
      </c>
      <c r="M1001" s="43" t="s">
        <v>405</v>
      </c>
      <c r="N1001" s="43" t="s">
        <v>433</v>
      </c>
      <c r="O1001" s="44" t="str">
        <f t="shared" si="62"/>
        <v>HOLD</v>
      </c>
      <c r="P1001" s="217">
        <v>172</v>
      </c>
      <c r="Q1001" s="43">
        <v>400</v>
      </c>
      <c r="R1001" s="43" t="s">
        <v>49</v>
      </c>
      <c r="S1001" s="126">
        <v>370</v>
      </c>
      <c r="T1001" s="43" t="s">
        <v>6259</v>
      </c>
      <c r="U1001" s="43" t="s">
        <v>5394</v>
      </c>
      <c r="V1001" s="43" t="s">
        <v>5395</v>
      </c>
      <c r="W1001" s="53" t="s">
        <v>335</v>
      </c>
      <c r="X1001" s="47" t="s">
        <v>17</v>
      </c>
      <c r="Y1001" s="43" t="s">
        <v>6266</v>
      </c>
      <c r="Z1001" s="43" t="s">
        <v>6267</v>
      </c>
      <c r="AA1001" s="43" t="s">
        <v>5406</v>
      </c>
      <c r="AB1001" s="47" t="s">
        <v>49</v>
      </c>
      <c r="AC1001" s="76" t="s">
        <v>9267</v>
      </c>
      <c r="AD1001" s="167"/>
      <c r="AE1001" s="197"/>
      <c r="AF1001" s="47"/>
    </row>
    <row r="1002" spans="1:32" s="29" customFormat="1" ht="69.95" hidden="1" customHeight="1">
      <c r="A1002" s="49" t="s">
        <v>5394</v>
      </c>
      <c r="B1002" s="49" t="s">
        <v>3769</v>
      </c>
      <c r="C1002" s="49">
        <v>30</v>
      </c>
      <c r="D1002" s="49"/>
      <c r="E1002" s="57" t="s">
        <v>244</v>
      </c>
      <c r="F1002" s="57" t="s">
        <v>9521</v>
      </c>
      <c r="J1002" s="29">
        <f t="shared" si="60"/>
        <v>1</v>
      </c>
      <c r="K1002" s="42">
        <v>991</v>
      </c>
      <c r="L1002" s="43" t="s">
        <v>2243</v>
      </c>
      <c r="M1002" s="43" t="s">
        <v>405</v>
      </c>
      <c r="N1002" s="43" t="s">
        <v>433</v>
      </c>
      <c r="O1002" s="44" t="str">
        <f t="shared" si="62"/>
        <v>HOLD</v>
      </c>
      <c r="P1002" s="217">
        <v>172</v>
      </c>
      <c r="Q1002" s="43">
        <v>400</v>
      </c>
      <c r="R1002" s="43" t="s">
        <v>49</v>
      </c>
      <c r="S1002" s="126">
        <v>370</v>
      </c>
      <c r="T1002" s="43" t="s">
        <v>6259</v>
      </c>
      <c r="U1002" s="43" t="s">
        <v>5394</v>
      </c>
      <c r="V1002" s="43" t="s">
        <v>5395</v>
      </c>
      <c r="W1002" s="53" t="s">
        <v>335</v>
      </c>
      <c r="X1002" s="47" t="s">
        <v>18</v>
      </c>
      <c r="Y1002" s="43" t="s">
        <v>6266</v>
      </c>
      <c r="Z1002" s="43" t="s">
        <v>6267</v>
      </c>
      <c r="AA1002" s="43" t="s">
        <v>5406</v>
      </c>
      <c r="AB1002" s="47" t="s">
        <v>6263</v>
      </c>
      <c r="AC1002" s="76" t="s">
        <v>9268</v>
      </c>
      <c r="AD1002" s="30"/>
      <c r="AE1002" s="197"/>
      <c r="AF1002" s="47"/>
    </row>
    <row r="1003" spans="1:32" s="29" customFormat="1" ht="69.95" hidden="1" customHeight="1">
      <c r="A1003" s="29" t="s">
        <v>5392</v>
      </c>
      <c r="B1003" s="29" t="s">
        <v>3769</v>
      </c>
      <c r="C1003" s="40">
        <v>23</v>
      </c>
      <c r="D1003" s="124" t="s">
        <v>9524</v>
      </c>
      <c r="E1003" s="126" t="s">
        <v>65</v>
      </c>
      <c r="F1003" s="126" t="s">
        <v>65</v>
      </c>
      <c r="G1003" s="131" t="s">
        <v>8381</v>
      </c>
      <c r="H1003" s="43" t="s">
        <v>9098</v>
      </c>
      <c r="I1003" s="116"/>
      <c r="J1003" s="29">
        <f t="shared" si="60"/>
        <v>1</v>
      </c>
      <c r="K1003" s="42">
        <v>992</v>
      </c>
      <c r="L1003" s="123" t="s">
        <v>8962</v>
      </c>
      <c r="M1003" s="44" t="s">
        <v>405</v>
      </c>
      <c r="N1003" s="126" t="s">
        <v>8937</v>
      </c>
      <c r="O1003" s="121" t="str">
        <f t="shared" ref="O1003:O1007" si="63">F1003</f>
        <v>PE-L1-1C185-04</v>
      </c>
      <c r="P1003" s="129">
        <v>132</v>
      </c>
      <c r="Q1003" s="44">
        <v>400</v>
      </c>
      <c r="R1003" s="44" t="s">
        <v>49</v>
      </c>
      <c r="S1003" s="126">
        <v>160</v>
      </c>
      <c r="T1003" s="46" t="s">
        <v>6259</v>
      </c>
      <c r="U1003" s="122" t="s">
        <v>8963</v>
      </c>
      <c r="V1003" s="122" t="s">
        <v>9050</v>
      </c>
      <c r="W1003" s="122" t="s">
        <v>9125</v>
      </c>
      <c r="X1003" s="47" t="s">
        <v>44</v>
      </c>
      <c r="Y1003" s="46" t="s">
        <v>6268</v>
      </c>
      <c r="Z1003" s="122" t="s">
        <v>9519</v>
      </c>
      <c r="AA1003" s="46" t="s">
        <v>6270</v>
      </c>
      <c r="AB1003" s="47" t="s">
        <v>44</v>
      </c>
      <c r="AC1003" s="76" t="s">
        <v>9034</v>
      </c>
      <c r="AD1003" s="30"/>
      <c r="AE1003" s="197"/>
      <c r="AF1003" s="47"/>
    </row>
    <row r="1004" spans="1:32" s="29" customFormat="1" ht="69.95" hidden="1" customHeight="1">
      <c r="A1004" s="49" t="s">
        <v>5392</v>
      </c>
      <c r="B1004" s="49" t="s">
        <v>3769</v>
      </c>
      <c r="C1004" s="49">
        <v>24</v>
      </c>
      <c r="D1004" s="124" t="s">
        <v>9045</v>
      </c>
      <c r="E1004" s="126" t="s">
        <v>65</v>
      </c>
      <c r="F1004" s="126" t="s">
        <v>65</v>
      </c>
      <c r="H1004" s="43" t="s">
        <v>9099</v>
      </c>
      <c r="J1004" s="29">
        <f t="shared" si="60"/>
        <v>1</v>
      </c>
      <c r="K1004" s="42">
        <v>993</v>
      </c>
      <c r="L1004" s="123" t="s">
        <v>8964</v>
      </c>
      <c r="M1004" s="43" t="s">
        <v>405</v>
      </c>
      <c r="N1004" s="126" t="s">
        <v>8937</v>
      </c>
      <c r="O1004" s="121" t="str">
        <f t="shared" si="63"/>
        <v>PE-L1-1C185-04</v>
      </c>
      <c r="P1004" s="129">
        <v>132</v>
      </c>
      <c r="Q1004" s="43">
        <v>400</v>
      </c>
      <c r="R1004" s="43" t="s">
        <v>49</v>
      </c>
      <c r="S1004" s="128">
        <v>160</v>
      </c>
      <c r="T1004" s="43" t="s">
        <v>6259</v>
      </c>
      <c r="U1004" s="122" t="s">
        <v>8963</v>
      </c>
      <c r="V1004" s="122" t="s">
        <v>9050</v>
      </c>
      <c r="W1004" s="122" t="s">
        <v>9125</v>
      </c>
      <c r="X1004" s="47" t="s">
        <v>45</v>
      </c>
      <c r="Y1004" s="43" t="s">
        <v>6268</v>
      </c>
      <c r="Z1004" s="43" t="s">
        <v>6269</v>
      </c>
      <c r="AA1004" s="43" t="s">
        <v>6270</v>
      </c>
      <c r="AB1004" s="47" t="s">
        <v>45</v>
      </c>
      <c r="AC1004" s="76" t="s">
        <v>9034</v>
      </c>
      <c r="AD1004" s="30"/>
      <c r="AE1004" s="197"/>
      <c r="AF1004" s="47"/>
    </row>
    <row r="1005" spans="1:32" s="29" customFormat="1" ht="69.95" hidden="1" customHeight="1">
      <c r="A1005" s="49" t="s">
        <v>5392</v>
      </c>
      <c r="B1005" s="49" t="s">
        <v>3769</v>
      </c>
      <c r="C1005" s="49">
        <v>25</v>
      </c>
      <c r="D1005" s="124" t="s">
        <v>9045</v>
      </c>
      <c r="E1005" s="126" t="s">
        <v>65</v>
      </c>
      <c r="F1005" s="126" t="s">
        <v>65</v>
      </c>
      <c r="H1005" s="43" t="s">
        <v>9100</v>
      </c>
      <c r="J1005" s="29">
        <f t="shared" si="60"/>
        <v>1</v>
      </c>
      <c r="K1005" s="42">
        <v>994</v>
      </c>
      <c r="L1005" s="123" t="s">
        <v>8965</v>
      </c>
      <c r="M1005" s="43" t="s">
        <v>405</v>
      </c>
      <c r="N1005" s="126" t="s">
        <v>8937</v>
      </c>
      <c r="O1005" s="121" t="str">
        <f t="shared" si="63"/>
        <v>PE-L1-1C185-04</v>
      </c>
      <c r="P1005" s="129">
        <v>132</v>
      </c>
      <c r="Q1005" s="43">
        <v>400</v>
      </c>
      <c r="R1005" s="43" t="s">
        <v>49</v>
      </c>
      <c r="S1005" s="128">
        <v>160</v>
      </c>
      <c r="T1005" s="43" t="s">
        <v>6259</v>
      </c>
      <c r="U1005" s="122" t="s">
        <v>8963</v>
      </c>
      <c r="V1005" s="122" t="s">
        <v>9050</v>
      </c>
      <c r="W1005" s="122" t="s">
        <v>9125</v>
      </c>
      <c r="X1005" s="47" t="s">
        <v>46</v>
      </c>
      <c r="Y1005" s="43" t="s">
        <v>6268</v>
      </c>
      <c r="Z1005" s="43" t="s">
        <v>6269</v>
      </c>
      <c r="AA1005" s="43" t="s">
        <v>6270</v>
      </c>
      <c r="AB1005" s="47" t="s">
        <v>46</v>
      </c>
      <c r="AC1005" s="76" t="s">
        <v>9034</v>
      </c>
      <c r="AD1005" s="30"/>
      <c r="AE1005" s="197"/>
      <c r="AF1005" s="47"/>
    </row>
    <row r="1006" spans="1:32" s="29" customFormat="1" ht="69.95" hidden="1" customHeight="1">
      <c r="A1006" s="49" t="s">
        <v>5392</v>
      </c>
      <c r="B1006" s="49" t="s">
        <v>3769</v>
      </c>
      <c r="C1006" s="49">
        <v>26</v>
      </c>
      <c r="D1006" s="124" t="s">
        <v>9045</v>
      </c>
      <c r="E1006" s="137" t="s">
        <v>65</v>
      </c>
      <c r="F1006" s="137" t="s">
        <v>65</v>
      </c>
      <c r="H1006" s="43" t="s">
        <v>9101</v>
      </c>
      <c r="J1006" s="29">
        <f t="shared" si="60"/>
        <v>1</v>
      </c>
      <c r="K1006" s="42">
        <v>995</v>
      </c>
      <c r="L1006" s="123" t="s">
        <v>9117</v>
      </c>
      <c r="M1006" s="43" t="s">
        <v>405</v>
      </c>
      <c r="N1006" s="128" t="s">
        <v>8937</v>
      </c>
      <c r="O1006" s="121" t="str">
        <f t="shared" si="63"/>
        <v>PE-L1-1C185-04</v>
      </c>
      <c r="P1006" s="129">
        <v>132</v>
      </c>
      <c r="Q1006" s="43">
        <v>400</v>
      </c>
      <c r="R1006" s="43" t="s">
        <v>49</v>
      </c>
      <c r="S1006" s="128">
        <v>160</v>
      </c>
      <c r="T1006" s="43" t="s">
        <v>6259</v>
      </c>
      <c r="U1006" s="122" t="s">
        <v>8963</v>
      </c>
      <c r="V1006" s="122" t="s">
        <v>9050</v>
      </c>
      <c r="W1006" s="122" t="s">
        <v>9125</v>
      </c>
      <c r="X1006" s="131" t="s">
        <v>49</v>
      </c>
      <c r="Y1006" s="43" t="s">
        <v>6268</v>
      </c>
      <c r="Z1006" s="43" t="s">
        <v>6269</v>
      </c>
      <c r="AA1006" s="43" t="s">
        <v>6270</v>
      </c>
      <c r="AB1006" s="131" t="s">
        <v>49</v>
      </c>
      <c r="AC1006" s="76" t="s">
        <v>9034</v>
      </c>
      <c r="AD1006" s="30"/>
      <c r="AE1006" s="197"/>
      <c r="AF1006" s="47"/>
    </row>
    <row r="1007" spans="1:32" s="29" customFormat="1" ht="69.95" hidden="1" customHeight="1">
      <c r="A1007" s="49" t="s">
        <v>5392</v>
      </c>
      <c r="B1007" s="49" t="s">
        <v>3769</v>
      </c>
      <c r="C1007" s="49">
        <v>27</v>
      </c>
      <c r="D1007" s="124" t="s">
        <v>9045</v>
      </c>
      <c r="E1007" s="137" t="s">
        <v>9118</v>
      </c>
      <c r="F1007" s="137" t="s">
        <v>9118</v>
      </c>
      <c r="H1007" s="43" t="s">
        <v>9102</v>
      </c>
      <c r="J1007" s="29">
        <f t="shared" si="60"/>
        <v>1</v>
      </c>
      <c r="K1007" s="42">
        <v>996</v>
      </c>
      <c r="L1007" s="123" t="s">
        <v>8966</v>
      </c>
      <c r="M1007" s="43" t="s">
        <v>405</v>
      </c>
      <c r="N1007" s="128" t="s">
        <v>48</v>
      </c>
      <c r="O1007" s="121" t="str">
        <f t="shared" si="63"/>
        <v>PE-L1-1C95-01</v>
      </c>
      <c r="P1007" s="129">
        <v>132</v>
      </c>
      <c r="Q1007" s="43">
        <v>400</v>
      </c>
      <c r="R1007" s="43" t="s">
        <v>49</v>
      </c>
      <c r="S1007" s="128">
        <v>160</v>
      </c>
      <c r="T1007" s="43" t="s">
        <v>6259</v>
      </c>
      <c r="U1007" s="122" t="s">
        <v>8963</v>
      </c>
      <c r="V1007" s="122" t="s">
        <v>9050</v>
      </c>
      <c r="W1007" s="122" t="s">
        <v>9125</v>
      </c>
      <c r="X1007" s="131" t="s">
        <v>6263</v>
      </c>
      <c r="Y1007" s="43" t="s">
        <v>6268</v>
      </c>
      <c r="Z1007" s="43" t="s">
        <v>6269</v>
      </c>
      <c r="AA1007" s="43" t="s">
        <v>6270</v>
      </c>
      <c r="AB1007" s="131" t="s">
        <v>6263</v>
      </c>
      <c r="AC1007" s="76" t="s">
        <v>9034</v>
      </c>
      <c r="AD1007" s="167"/>
      <c r="AE1007" s="197"/>
      <c r="AF1007" s="47"/>
    </row>
    <row r="1008" spans="1:32" s="29" customFormat="1" ht="69.95" hidden="1" customHeight="1">
      <c r="A1008" s="49" t="s">
        <v>5392</v>
      </c>
      <c r="B1008" s="49" t="s">
        <v>3769</v>
      </c>
      <c r="C1008" s="49">
        <v>28</v>
      </c>
      <c r="D1008" s="130" t="s">
        <v>9049</v>
      </c>
      <c r="E1008" s="57"/>
      <c r="F1008" s="57"/>
      <c r="H1008" s="43" t="s">
        <v>2245</v>
      </c>
      <c r="J1008" s="29">
        <f t="shared" si="60"/>
        <v>1</v>
      </c>
      <c r="K1008" s="127" t="s">
        <v>9049</v>
      </c>
      <c r="L1008" s="147" t="s">
        <v>2245</v>
      </c>
      <c r="M1008" s="147" t="s">
        <v>405</v>
      </c>
      <c r="N1008" s="147" t="s">
        <v>2244</v>
      </c>
      <c r="O1008" s="121"/>
      <c r="P1008" s="148">
        <v>200</v>
      </c>
      <c r="Q1008" s="147">
        <v>400</v>
      </c>
      <c r="R1008" s="147" t="s">
        <v>49</v>
      </c>
      <c r="S1008" s="147"/>
      <c r="T1008" s="147" t="s">
        <v>6259</v>
      </c>
      <c r="U1008" s="147" t="s">
        <v>5392</v>
      </c>
      <c r="V1008" s="147" t="s">
        <v>5393</v>
      </c>
      <c r="W1008" s="147" t="s">
        <v>335</v>
      </c>
      <c r="X1008" s="149" t="s">
        <v>46</v>
      </c>
      <c r="Y1008" s="147" t="s">
        <v>6268</v>
      </c>
      <c r="Z1008" s="147" t="s">
        <v>6269</v>
      </c>
      <c r="AA1008" s="147" t="s">
        <v>6270</v>
      </c>
      <c r="AB1008" s="149" t="s">
        <v>46</v>
      </c>
      <c r="AC1008" s="150" t="s">
        <v>8383</v>
      </c>
      <c r="AD1008" s="170" t="s">
        <v>9049</v>
      </c>
      <c r="AE1008" s="197"/>
      <c r="AF1008" s="47"/>
    </row>
    <row r="1009" spans="1:32" s="29" customFormat="1" ht="69.95" hidden="1" customHeight="1">
      <c r="A1009" s="49" t="s">
        <v>5392</v>
      </c>
      <c r="B1009" s="49" t="s">
        <v>3769</v>
      </c>
      <c r="C1009" s="49">
        <v>29</v>
      </c>
      <c r="D1009" s="130" t="s">
        <v>9049</v>
      </c>
      <c r="E1009" s="57"/>
      <c r="F1009" s="57"/>
      <c r="H1009" s="43" t="s">
        <v>2246</v>
      </c>
      <c r="J1009" s="29">
        <f t="shared" si="60"/>
        <v>1</v>
      </c>
      <c r="K1009" s="127" t="s">
        <v>9049</v>
      </c>
      <c r="L1009" s="147" t="s">
        <v>2246</v>
      </c>
      <c r="M1009" s="147" t="s">
        <v>405</v>
      </c>
      <c r="N1009" s="147" t="s">
        <v>2244</v>
      </c>
      <c r="O1009" s="121"/>
      <c r="P1009" s="148">
        <v>200</v>
      </c>
      <c r="Q1009" s="147">
        <v>400</v>
      </c>
      <c r="R1009" s="147" t="s">
        <v>49</v>
      </c>
      <c r="S1009" s="147"/>
      <c r="T1009" s="147" t="s">
        <v>6259</v>
      </c>
      <c r="U1009" s="147" t="s">
        <v>5392</v>
      </c>
      <c r="V1009" s="147" t="s">
        <v>5393</v>
      </c>
      <c r="W1009" s="151" t="s">
        <v>335</v>
      </c>
      <c r="X1009" s="149" t="s">
        <v>17</v>
      </c>
      <c r="Y1009" s="147" t="s">
        <v>6268</v>
      </c>
      <c r="Z1009" s="147" t="s">
        <v>6269</v>
      </c>
      <c r="AA1009" s="147" t="s">
        <v>6270</v>
      </c>
      <c r="AB1009" s="149" t="s">
        <v>49</v>
      </c>
      <c r="AC1009" s="150" t="s">
        <v>8382</v>
      </c>
      <c r="AD1009" s="170" t="s">
        <v>9049</v>
      </c>
      <c r="AE1009" s="197"/>
      <c r="AF1009" s="47"/>
    </row>
    <row r="1010" spans="1:32" s="29" customFormat="1" ht="69.95" hidden="1" customHeight="1">
      <c r="A1010" s="49" t="s">
        <v>5392</v>
      </c>
      <c r="B1010" s="49" t="s">
        <v>3769</v>
      </c>
      <c r="C1010" s="49">
        <v>30</v>
      </c>
      <c r="D1010" s="130" t="s">
        <v>9049</v>
      </c>
      <c r="E1010" s="57"/>
      <c r="F1010" s="57"/>
      <c r="H1010" s="43" t="s">
        <v>2247</v>
      </c>
      <c r="J1010" s="29">
        <f t="shared" si="60"/>
        <v>1</v>
      </c>
      <c r="K1010" s="127" t="s">
        <v>9049</v>
      </c>
      <c r="L1010" s="147" t="s">
        <v>2247</v>
      </c>
      <c r="M1010" s="147" t="s">
        <v>405</v>
      </c>
      <c r="N1010" s="147" t="s">
        <v>2244</v>
      </c>
      <c r="O1010" s="121"/>
      <c r="P1010" s="148">
        <v>200</v>
      </c>
      <c r="Q1010" s="147">
        <v>400</v>
      </c>
      <c r="R1010" s="147" t="s">
        <v>49</v>
      </c>
      <c r="S1010" s="147"/>
      <c r="T1010" s="147" t="s">
        <v>6259</v>
      </c>
      <c r="U1010" s="147" t="s">
        <v>5392</v>
      </c>
      <c r="V1010" s="147" t="s">
        <v>5393</v>
      </c>
      <c r="W1010" s="151" t="s">
        <v>335</v>
      </c>
      <c r="X1010" s="149" t="s">
        <v>18</v>
      </c>
      <c r="Y1010" s="147" t="s">
        <v>6268</v>
      </c>
      <c r="Z1010" s="147" t="s">
        <v>6269</v>
      </c>
      <c r="AA1010" s="147" t="s">
        <v>6270</v>
      </c>
      <c r="AB1010" s="149" t="s">
        <v>6263</v>
      </c>
      <c r="AC1010" s="150" t="s">
        <v>8383</v>
      </c>
      <c r="AD1010" s="170" t="s">
        <v>9049</v>
      </c>
      <c r="AE1010" s="197"/>
      <c r="AF1010" s="47"/>
    </row>
    <row r="1011" spans="1:32" s="29" customFormat="1" ht="69.95" hidden="1" customHeight="1">
      <c r="A1011" s="49" t="s">
        <v>4511</v>
      </c>
      <c r="B1011" s="49" t="s">
        <v>3769</v>
      </c>
      <c r="C1011" s="50" t="s">
        <v>32</v>
      </c>
      <c r="D1011" s="50"/>
      <c r="E1011" s="58" t="s">
        <v>8645</v>
      </c>
      <c r="F1011" s="58" t="s">
        <v>8645</v>
      </c>
      <c r="G1011" s="115" t="s">
        <v>9103</v>
      </c>
      <c r="H1011" s="43" t="s">
        <v>872</v>
      </c>
      <c r="J1011" s="29">
        <f t="shared" si="60"/>
        <v>1</v>
      </c>
      <c r="K1011" s="42">
        <v>997</v>
      </c>
      <c r="L1011" s="123" t="s">
        <v>8967</v>
      </c>
      <c r="M1011" s="44" t="s">
        <v>405</v>
      </c>
      <c r="N1011" s="44" t="s">
        <v>673</v>
      </c>
      <c r="O1011" s="44" t="str">
        <f t="shared" ref="O1011:O1012" si="64">F1011</f>
        <v>PE-L1-5C95/50-04</v>
      </c>
      <c r="P1011" s="129">
        <v>66</v>
      </c>
      <c r="Q1011" s="44">
        <v>400</v>
      </c>
      <c r="R1011" s="128" t="s">
        <v>49</v>
      </c>
      <c r="S1011" s="44">
        <v>150</v>
      </c>
      <c r="T1011" s="46" t="s">
        <v>6259</v>
      </c>
      <c r="U1011" s="46" t="s">
        <v>4511</v>
      </c>
      <c r="V1011" s="46" t="s">
        <v>4512</v>
      </c>
      <c r="W1011" s="46" t="s">
        <v>347</v>
      </c>
      <c r="X1011" s="47" t="s">
        <v>9310</v>
      </c>
      <c r="Y1011" s="46" t="s">
        <v>9012</v>
      </c>
      <c r="Z1011" s="122" t="s">
        <v>8968</v>
      </c>
      <c r="AA1011" s="46" t="s">
        <v>6271</v>
      </c>
      <c r="AB1011" s="47" t="s">
        <v>9310</v>
      </c>
      <c r="AC1011" s="76" t="s">
        <v>6272</v>
      </c>
      <c r="AD1011" s="30"/>
      <c r="AE1011" s="197"/>
      <c r="AF1011" s="47"/>
    </row>
    <row r="1012" spans="1:32" s="29" customFormat="1" ht="69.95" hidden="1" customHeight="1">
      <c r="A1012" s="49" t="s">
        <v>389</v>
      </c>
      <c r="B1012" s="49" t="s">
        <v>3769</v>
      </c>
      <c r="C1012" s="50" t="s">
        <v>32</v>
      </c>
      <c r="D1012" s="124" t="s">
        <v>9045</v>
      </c>
      <c r="E1012" s="58" t="s">
        <v>8645</v>
      </c>
      <c r="F1012" s="58" t="s">
        <v>8645</v>
      </c>
      <c r="G1012" s="115" t="s">
        <v>9104</v>
      </c>
      <c r="H1012" s="43" t="s">
        <v>2248</v>
      </c>
      <c r="I1012" s="29" t="s">
        <v>9150</v>
      </c>
      <c r="J1012" s="29">
        <f t="shared" si="60"/>
        <v>1</v>
      </c>
      <c r="K1012" s="42">
        <v>998</v>
      </c>
      <c r="L1012" s="156" t="s">
        <v>9149</v>
      </c>
      <c r="M1012" s="44" t="s">
        <v>405</v>
      </c>
      <c r="N1012" s="44" t="s">
        <v>673</v>
      </c>
      <c r="O1012" s="44" t="str">
        <f t="shared" si="64"/>
        <v>PE-L1-5C95/50-04</v>
      </c>
      <c r="P1012" s="129">
        <v>55</v>
      </c>
      <c r="Q1012" s="44">
        <v>400</v>
      </c>
      <c r="R1012" s="128" t="s">
        <v>49</v>
      </c>
      <c r="S1012" s="44">
        <v>180</v>
      </c>
      <c r="T1012" s="46" t="s">
        <v>6259</v>
      </c>
      <c r="U1012" s="122" t="s">
        <v>389</v>
      </c>
      <c r="V1012" s="122" t="s">
        <v>390</v>
      </c>
      <c r="W1012" s="46" t="s">
        <v>391</v>
      </c>
      <c r="X1012" s="47" t="s">
        <v>9310</v>
      </c>
      <c r="Y1012" s="46" t="s">
        <v>6274</v>
      </c>
      <c r="Z1012" s="122" t="s">
        <v>8969</v>
      </c>
      <c r="AA1012" s="46" t="s">
        <v>6275</v>
      </c>
      <c r="AB1012" s="47" t="s">
        <v>9310</v>
      </c>
      <c r="AC1012" s="76" t="s">
        <v>9051</v>
      </c>
      <c r="AD1012" s="30"/>
      <c r="AE1012" s="197"/>
      <c r="AF1012" s="47"/>
    </row>
    <row r="1013" spans="1:32" s="62" customFormat="1" ht="69.95" hidden="1" customHeight="1">
      <c r="A1013" s="29" t="s">
        <v>5381</v>
      </c>
      <c r="B1013" s="29" t="s">
        <v>3769</v>
      </c>
      <c r="C1013" s="40" t="s">
        <v>73</v>
      </c>
      <c r="D1013" s="124" t="s">
        <v>9527</v>
      </c>
      <c r="E1013" s="119" t="s">
        <v>8970</v>
      </c>
      <c r="F1013" s="229" t="s">
        <v>9526</v>
      </c>
      <c r="G1013" s="120" t="s">
        <v>9052</v>
      </c>
      <c r="H1013" s="43" t="s">
        <v>2249</v>
      </c>
      <c r="J1013" s="29">
        <f t="shared" si="60"/>
        <v>1</v>
      </c>
      <c r="K1013" s="189">
        <v>999</v>
      </c>
      <c r="L1013" s="123" t="s">
        <v>9141</v>
      </c>
      <c r="M1013" s="134" t="s">
        <v>405</v>
      </c>
      <c r="N1013" s="188" t="s">
        <v>1986</v>
      </c>
      <c r="O1013" s="218" t="str">
        <f>F1013</f>
        <v>PE-L1-5C16-03</v>
      </c>
      <c r="P1013" s="133">
        <v>10.199999999999999</v>
      </c>
      <c r="Q1013" s="63">
        <v>400</v>
      </c>
      <c r="R1013" s="128" t="s">
        <v>49</v>
      </c>
      <c r="S1013" s="44">
        <v>160</v>
      </c>
      <c r="T1013" s="46" t="s">
        <v>6259</v>
      </c>
      <c r="U1013" s="132" t="s">
        <v>5374</v>
      </c>
      <c r="V1013" s="132" t="s">
        <v>5375</v>
      </c>
      <c r="W1013" s="64" t="s">
        <v>5376</v>
      </c>
      <c r="X1013" s="65" t="s">
        <v>9310</v>
      </c>
      <c r="Y1013" s="132" t="s">
        <v>8971</v>
      </c>
      <c r="Z1013" s="132" t="s">
        <v>8972</v>
      </c>
      <c r="AA1013" s="64" t="s">
        <v>6276</v>
      </c>
      <c r="AB1013" s="65" t="s">
        <v>9310</v>
      </c>
      <c r="AC1013" s="76" t="s">
        <v>9035</v>
      </c>
      <c r="AD1013" s="168"/>
      <c r="AE1013" s="199"/>
      <c r="AF1013" s="65"/>
    </row>
    <row r="1014" spans="1:32" s="62" customFormat="1" ht="69.95" hidden="1" customHeight="1">
      <c r="A1014" s="29" t="s">
        <v>5374</v>
      </c>
      <c r="B1014" s="29" t="s">
        <v>3769</v>
      </c>
      <c r="C1014" s="40" t="s">
        <v>43</v>
      </c>
      <c r="D1014" s="173" t="s">
        <v>9461</v>
      </c>
      <c r="E1014" s="118" t="s">
        <v>8954</v>
      </c>
      <c r="F1014" s="121" t="s">
        <v>8650</v>
      </c>
      <c r="G1014" s="120" t="s">
        <v>8973</v>
      </c>
      <c r="H1014" s="43" t="s">
        <v>9130</v>
      </c>
      <c r="J1014" s="29">
        <f t="shared" si="60"/>
        <v>1</v>
      </c>
      <c r="K1014" s="127">
        <v>1000</v>
      </c>
      <c r="L1014" s="123" t="s">
        <v>2249</v>
      </c>
      <c r="M1014" s="134" t="s">
        <v>405</v>
      </c>
      <c r="N1014" s="126" t="s">
        <v>516</v>
      </c>
      <c r="O1014" s="121" t="str">
        <f>F1014</f>
        <v>PE-L1-5C120/70-01</v>
      </c>
      <c r="P1014" s="133">
        <v>113</v>
      </c>
      <c r="Q1014" s="63">
        <v>400</v>
      </c>
      <c r="R1014" s="128" t="s">
        <v>49</v>
      </c>
      <c r="S1014" s="126">
        <v>120</v>
      </c>
      <c r="T1014" s="46" t="s">
        <v>6259</v>
      </c>
      <c r="U1014" s="132" t="s">
        <v>5381</v>
      </c>
      <c r="V1014" s="132" t="s">
        <v>5382</v>
      </c>
      <c r="W1014" s="64" t="s">
        <v>5376</v>
      </c>
      <c r="X1014" s="65" t="s">
        <v>9310</v>
      </c>
      <c r="Y1014" s="64" t="s">
        <v>8974</v>
      </c>
      <c r="Z1014" s="64" t="s">
        <v>8975</v>
      </c>
      <c r="AA1014" s="64" t="s">
        <v>6277</v>
      </c>
      <c r="AB1014" s="65" t="s">
        <v>9310</v>
      </c>
      <c r="AC1014" s="76" t="s">
        <v>9036</v>
      </c>
      <c r="AD1014" s="168"/>
      <c r="AE1014" s="199"/>
      <c r="AF1014" s="65"/>
    </row>
    <row r="1015" spans="1:32" s="62" customFormat="1" ht="69.95" hidden="1" customHeight="1">
      <c r="A1015" s="29" t="s">
        <v>5374</v>
      </c>
      <c r="B1015" s="29" t="s">
        <v>3769</v>
      </c>
      <c r="C1015" s="40" t="s">
        <v>43</v>
      </c>
      <c r="D1015" s="124" t="s">
        <v>9528</v>
      </c>
      <c r="E1015" s="119" t="s">
        <v>8970</v>
      </c>
      <c r="F1015" s="229" t="s">
        <v>9525</v>
      </c>
      <c r="G1015" s="120" t="s">
        <v>8976</v>
      </c>
      <c r="H1015" s="43" t="s">
        <v>9105</v>
      </c>
      <c r="I1015" s="29" t="s">
        <v>9150</v>
      </c>
      <c r="J1015" s="29">
        <f t="shared" si="60"/>
        <v>1</v>
      </c>
      <c r="K1015" s="189">
        <v>1001</v>
      </c>
      <c r="L1015" s="157" t="s">
        <v>9152</v>
      </c>
      <c r="M1015" s="134" t="s">
        <v>405</v>
      </c>
      <c r="N1015" s="188" t="s">
        <v>1986</v>
      </c>
      <c r="O1015" s="218" t="str">
        <f>F1015</f>
        <v>PE-L1-5C16-03</v>
      </c>
      <c r="P1015" s="133">
        <v>16.2</v>
      </c>
      <c r="Q1015" s="134">
        <v>400</v>
      </c>
      <c r="R1015" s="128" t="s">
        <v>49</v>
      </c>
      <c r="S1015" s="126">
        <v>130</v>
      </c>
      <c r="T1015" s="46" t="s">
        <v>6259</v>
      </c>
      <c r="U1015" s="132" t="s">
        <v>4511</v>
      </c>
      <c r="V1015" s="122" t="s">
        <v>4512</v>
      </c>
      <c r="W1015" s="46" t="s">
        <v>347</v>
      </c>
      <c r="X1015" s="135" t="s">
        <v>9310</v>
      </c>
      <c r="Y1015" s="132" t="s">
        <v>8977</v>
      </c>
      <c r="Z1015" s="132" t="s">
        <v>8978</v>
      </c>
      <c r="AA1015" s="132" t="s">
        <v>8979</v>
      </c>
      <c r="AB1015" s="135" t="s">
        <v>9310</v>
      </c>
      <c r="AC1015" s="136" t="s">
        <v>9037</v>
      </c>
      <c r="AD1015" s="168"/>
      <c r="AE1015" s="199"/>
      <c r="AF1015" s="65"/>
    </row>
    <row r="1016" spans="1:32" s="29" customFormat="1" ht="69.95" hidden="1" customHeight="1">
      <c r="A1016" s="29" t="s">
        <v>4974</v>
      </c>
      <c r="B1016" s="29" t="s">
        <v>3769</v>
      </c>
      <c r="C1016" s="40" t="s">
        <v>75</v>
      </c>
      <c r="D1016" s="124" t="s">
        <v>9529</v>
      </c>
      <c r="E1016" s="57" t="s">
        <v>64</v>
      </c>
      <c r="F1016" s="57" t="s">
        <v>64</v>
      </c>
      <c r="G1016" s="116" t="s">
        <v>9106</v>
      </c>
      <c r="J1016" s="29">
        <f t="shared" si="60"/>
        <v>1</v>
      </c>
      <c r="K1016" s="127">
        <v>1002</v>
      </c>
      <c r="L1016" s="43" t="s">
        <v>9107</v>
      </c>
      <c r="M1016" s="44" t="s">
        <v>405</v>
      </c>
      <c r="N1016" s="44" t="s">
        <v>56</v>
      </c>
      <c r="O1016" s="44" t="str">
        <f t="shared" ref="O1016:O1019" si="65">F1016</f>
        <v>PE-L1-1C185-02</v>
      </c>
      <c r="P1016" s="129">
        <v>157</v>
      </c>
      <c r="Q1016" s="44">
        <v>400</v>
      </c>
      <c r="R1016" s="44" t="s">
        <v>49</v>
      </c>
      <c r="S1016" s="44">
        <v>60</v>
      </c>
      <c r="T1016" s="46" t="s">
        <v>6259</v>
      </c>
      <c r="U1016" s="46" t="s">
        <v>4974</v>
      </c>
      <c r="V1016" s="46" t="s">
        <v>4975</v>
      </c>
      <c r="W1016" s="46" t="s">
        <v>4549</v>
      </c>
      <c r="X1016" s="47" t="s">
        <v>35</v>
      </c>
      <c r="Y1016" s="46" t="s">
        <v>6279</v>
      </c>
      <c r="Z1016" s="46" t="s">
        <v>6278</v>
      </c>
      <c r="AA1016" s="46" t="s">
        <v>4549</v>
      </c>
      <c r="AB1016" s="47" t="s">
        <v>44</v>
      </c>
      <c r="AC1016" s="48" t="s">
        <v>6280</v>
      </c>
      <c r="AD1016" s="30"/>
      <c r="AE1016" s="197"/>
      <c r="AF1016" s="47"/>
    </row>
    <row r="1017" spans="1:32" s="29" customFormat="1" ht="69.95" hidden="1" customHeight="1">
      <c r="A1017" s="49" t="s">
        <v>4974</v>
      </c>
      <c r="B1017" s="49" t="s">
        <v>3769</v>
      </c>
      <c r="C1017" s="49">
        <v>10</v>
      </c>
      <c r="D1017" s="49"/>
      <c r="E1017" s="57" t="s">
        <v>64</v>
      </c>
      <c r="F1017" s="57" t="s">
        <v>64</v>
      </c>
      <c r="G1017" s="116"/>
      <c r="J1017" s="29">
        <f t="shared" si="60"/>
        <v>1</v>
      </c>
      <c r="K1017" s="127">
        <v>1003</v>
      </c>
      <c r="L1017" s="43" t="s">
        <v>2250</v>
      </c>
      <c r="M1017" s="43" t="s">
        <v>405</v>
      </c>
      <c r="N1017" s="43" t="s">
        <v>56</v>
      </c>
      <c r="O1017" s="44" t="str">
        <f t="shared" si="65"/>
        <v>PE-L1-1C185-02</v>
      </c>
      <c r="P1017" s="129">
        <v>157</v>
      </c>
      <c r="Q1017" s="43">
        <v>400</v>
      </c>
      <c r="R1017" s="43" t="s">
        <v>49</v>
      </c>
      <c r="S1017" s="43">
        <v>60</v>
      </c>
      <c r="T1017" s="43" t="s">
        <v>6259</v>
      </c>
      <c r="U1017" s="43" t="s">
        <v>4974</v>
      </c>
      <c r="V1017" s="43" t="s">
        <v>4975</v>
      </c>
      <c r="W1017" s="43" t="s">
        <v>4549</v>
      </c>
      <c r="X1017" s="47" t="s">
        <v>37</v>
      </c>
      <c r="Y1017" s="43" t="s">
        <v>6279</v>
      </c>
      <c r="Z1017" s="43" t="s">
        <v>6278</v>
      </c>
      <c r="AA1017" s="43" t="s">
        <v>4549</v>
      </c>
      <c r="AB1017" s="47" t="s">
        <v>45</v>
      </c>
      <c r="AC1017" s="52" t="s">
        <v>6280</v>
      </c>
      <c r="AD1017" s="30"/>
      <c r="AE1017" s="197"/>
      <c r="AF1017" s="47"/>
    </row>
    <row r="1018" spans="1:32" s="29" customFormat="1" ht="69.95" hidden="1" customHeight="1">
      <c r="A1018" s="49" t="s">
        <v>4974</v>
      </c>
      <c r="B1018" s="49" t="s">
        <v>3769</v>
      </c>
      <c r="C1018" s="49">
        <v>11</v>
      </c>
      <c r="D1018" s="49"/>
      <c r="E1018" s="57" t="s">
        <v>64</v>
      </c>
      <c r="F1018" s="57" t="s">
        <v>64</v>
      </c>
      <c r="G1018" s="116"/>
      <c r="J1018" s="29">
        <f t="shared" si="60"/>
        <v>1</v>
      </c>
      <c r="K1018" s="127">
        <v>1004</v>
      </c>
      <c r="L1018" s="43" t="s">
        <v>2251</v>
      </c>
      <c r="M1018" s="43" t="s">
        <v>405</v>
      </c>
      <c r="N1018" s="43" t="s">
        <v>56</v>
      </c>
      <c r="O1018" s="44" t="str">
        <f t="shared" si="65"/>
        <v>PE-L1-1C185-02</v>
      </c>
      <c r="P1018" s="129">
        <v>157</v>
      </c>
      <c r="Q1018" s="43">
        <v>400</v>
      </c>
      <c r="R1018" s="43" t="s">
        <v>49</v>
      </c>
      <c r="S1018" s="43">
        <v>60</v>
      </c>
      <c r="T1018" s="43" t="s">
        <v>6259</v>
      </c>
      <c r="U1018" s="43" t="s">
        <v>4974</v>
      </c>
      <c r="V1018" s="43" t="s">
        <v>4975</v>
      </c>
      <c r="W1018" s="43" t="s">
        <v>4549</v>
      </c>
      <c r="X1018" s="47" t="s">
        <v>39</v>
      </c>
      <c r="Y1018" s="43" t="s">
        <v>6279</v>
      </c>
      <c r="Z1018" s="43" t="s">
        <v>6278</v>
      </c>
      <c r="AA1018" s="43" t="s">
        <v>4549</v>
      </c>
      <c r="AB1018" s="47" t="s">
        <v>46</v>
      </c>
      <c r="AC1018" s="52" t="s">
        <v>6280</v>
      </c>
      <c r="AD1018" s="30"/>
      <c r="AE1018" s="197"/>
      <c r="AF1018" s="47"/>
    </row>
    <row r="1019" spans="1:32" s="29" customFormat="1" ht="69.95" hidden="1" customHeight="1">
      <c r="A1019" s="49" t="s">
        <v>4974</v>
      </c>
      <c r="B1019" s="49" t="s">
        <v>3769</v>
      </c>
      <c r="C1019" s="49">
        <v>12</v>
      </c>
      <c r="D1019" s="49"/>
      <c r="E1019" s="57" t="s">
        <v>64</v>
      </c>
      <c r="F1019" s="57" t="s">
        <v>64</v>
      </c>
      <c r="G1019" s="116"/>
      <c r="J1019" s="29">
        <f t="shared" si="60"/>
        <v>1</v>
      </c>
      <c r="K1019" s="127">
        <v>1005</v>
      </c>
      <c r="L1019" s="43" t="s">
        <v>2252</v>
      </c>
      <c r="M1019" s="43" t="s">
        <v>405</v>
      </c>
      <c r="N1019" s="43" t="s">
        <v>56</v>
      </c>
      <c r="O1019" s="44" t="str">
        <f t="shared" si="65"/>
        <v>PE-L1-1C185-02</v>
      </c>
      <c r="P1019" s="129">
        <v>157</v>
      </c>
      <c r="Q1019" s="43">
        <v>400</v>
      </c>
      <c r="R1019" s="43" t="s">
        <v>49</v>
      </c>
      <c r="S1019" s="43">
        <v>60</v>
      </c>
      <c r="T1019" s="43" t="s">
        <v>6259</v>
      </c>
      <c r="U1019" s="43" t="s">
        <v>4974</v>
      </c>
      <c r="V1019" s="43" t="s">
        <v>4975</v>
      </c>
      <c r="W1019" s="53" t="s">
        <v>4549</v>
      </c>
      <c r="X1019" s="47" t="s">
        <v>17</v>
      </c>
      <c r="Y1019" s="43" t="s">
        <v>6279</v>
      </c>
      <c r="Z1019" s="43" t="s">
        <v>6278</v>
      </c>
      <c r="AA1019" s="43" t="s">
        <v>4549</v>
      </c>
      <c r="AB1019" s="47" t="s">
        <v>49</v>
      </c>
      <c r="AC1019" s="48" t="s">
        <v>6280</v>
      </c>
      <c r="AD1019" s="30"/>
      <c r="AE1019" s="197"/>
      <c r="AF1019" s="47"/>
    </row>
    <row r="1020" spans="1:32" s="29" customFormat="1" ht="69.95" hidden="1" customHeight="1">
      <c r="A1020" s="49" t="s">
        <v>4974</v>
      </c>
      <c r="B1020" s="49" t="s">
        <v>3769</v>
      </c>
      <c r="C1020" s="49">
        <v>13</v>
      </c>
      <c r="D1020" s="49"/>
      <c r="E1020" s="37" t="s">
        <v>47</v>
      </c>
      <c r="F1020" s="37" t="s">
        <v>47</v>
      </c>
      <c r="G1020" s="116"/>
      <c r="J1020" s="29">
        <f t="shared" si="60"/>
        <v>1</v>
      </c>
      <c r="K1020" s="127">
        <v>1006</v>
      </c>
      <c r="L1020" s="43" t="s">
        <v>2253</v>
      </c>
      <c r="M1020" s="43" t="s">
        <v>405</v>
      </c>
      <c r="N1020" s="128" t="s">
        <v>48</v>
      </c>
      <c r="O1020" s="121" t="str">
        <f>F1020</f>
        <v>PE-L1-1C95-01</v>
      </c>
      <c r="P1020" s="129">
        <v>157</v>
      </c>
      <c r="Q1020" s="43">
        <v>400</v>
      </c>
      <c r="R1020" s="43" t="s">
        <v>49</v>
      </c>
      <c r="S1020" s="43">
        <v>60</v>
      </c>
      <c r="T1020" s="43" t="s">
        <v>6259</v>
      </c>
      <c r="U1020" s="43" t="s">
        <v>4974</v>
      </c>
      <c r="V1020" s="43" t="s">
        <v>4975</v>
      </c>
      <c r="W1020" s="53" t="s">
        <v>4549</v>
      </c>
      <c r="X1020" s="47" t="s">
        <v>18</v>
      </c>
      <c r="Y1020" s="43" t="s">
        <v>6279</v>
      </c>
      <c r="Z1020" s="43" t="s">
        <v>6278</v>
      </c>
      <c r="AA1020" s="43" t="s">
        <v>4549</v>
      </c>
      <c r="AB1020" s="47" t="s">
        <v>6263</v>
      </c>
      <c r="AC1020" s="48" t="s">
        <v>6280</v>
      </c>
      <c r="AD1020" s="30"/>
      <c r="AE1020" s="197"/>
      <c r="AF1020" s="47"/>
    </row>
    <row r="1021" spans="1:32" s="29" customFormat="1" ht="69.95" hidden="1" customHeight="1">
      <c r="A1021" s="29" t="s">
        <v>4079</v>
      </c>
      <c r="B1021" s="29" t="s">
        <v>3769</v>
      </c>
      <c r="C1021" s="40">
        <v>12</v>
      </c>
      <c r="D1021" s="40"/>
      <c r="E1021" s="57" t="s">
        <v>159</v>
      </c>
      <c r="F1021" s="57" t="s">
        <v>159</v>
      </c>
      <c r="G1021" s="29" t="s">
        <v>2254</v>
      </c>
      <c r="J1021" s="29">
        <f t="shared" si="60"/>
        <v>1</v>
      </c>
      <c r="K1021" s="42">
        <v>1007</v>
      </c>
      <c r="L1021" s="43" t="s">
        <v>2255</v>
      </c>
      <c r="M1021" s="44" t="s">
        <v>405</v>
      </c>
      <c r="N1021" s="44" t="s">
        <v>426</v>
      </c>
      <c r="O1021" s="44" t="str">
        <f t="shared" ref="O1021:O1032" si="66">F1021</f>
        <v>PE-L1-3C4-08</v>
      </c>
      <c r="P1021" s="45">
        <v>0.35</v>
      </c>
      <c r="Q1021" s="44">
        <v>230</v>
      </c>
      <c r="R1021" s="44" t="s">
        <v>49</v>
      </c>
      <c r="S1021" s="44">
        <v>230</v>
      </c>
      <c r="T1021" s="46" t="s">
        <v>6281</v>
      </c>
      <c r="U1021" s="46" t="s">
        <v>4079</v>
      </c>
      <c r="V1021" s="46" t="s">
        <v>4080</v>
      </c>
      <c r="W1021" s="46" t="s">
        <v>391</v>
      </c>
      <c r="X1021" s="172" t="s">
        <v>9167</v>
      </c>
      <c r="Y1021" s="46" t="s">
        <v>6282</v>
      </c>
      <c r="Z1021" s="46" t="s">
        <v>6283</v>
      </c>
      <c r="AA1021" s="46" t="s">
        <v>6284</v>
      </c>
      <c r="AB1021" s="172" t="s">
        <v>9167</v>
      </c>
      <c r="AC1021" s="48" t="s">
        <v>6285</v>
      </c>
      <c r="AD1021" s="30"/>
      <c r="AE1021" s="197"/>
      <c r="AF1021" s="47"/>
    </row>
    <row r="1022" spans="1:32" s="29" customFormat="1" ht="69.95" hidden="1" customHeight="1">
      <c r="A1022" s="29" t="s">
        <v>4079</v>
      </c>
      <c r="B1022" s="29" t="s">
        <v>3769</v>
      </c>
      <c r="C1022" s="40">
        <v>13</v>
      </c>
      <c r="D1022" s="40"/>
      <c r="E1022" s="57" t="s">
        <v>163</v>
      </c>
      <c r="F1022" s="57" t="s">
        <v>163</v>
      </c>
      <c r="G1022" s="29" t="s">
        <v>2256</v>
      </c>
      <c r="J1022" s="29">
        <f t="shared" si="60"/>
        <v>1</v>
      </c>
      <c r="K1022" s="42">
        <v>1008</v>
      </c>
      <c r="L1022" s="43" t="s">
        <v>2257</v>
      </c>
      <c r="M1022" s="44" t="s">
        <v>405</v>
      </c>
      <c r="N1022" s="44" t="s">
        <v>426</v>
      </c>
      <c r="O1022" s="44" t="str">
        <f t="shared" si="66"/>
        <v>PE-L1-3C4-09</v>
      </c>
      <c r="P1022" s="45">
        <v>0.35</v>
      </c>
      <c r="Q1022" s="44">
        <v>230</v>
      </c>
      <c r="R1022" s="44" t="s">
        <v>49</v>
      </c>
      <c r="S1022" s="44">
        <v>230</v>
      </c>
      <c r="T1022" s="46" t="s">
        <v>6281</v>
      </c>
      <c r="U1022" s="46" t="s">
        <v>4079</v>
      </c>
      <c r="V1022" s="46" t="s">
        <v>4080</v>
      </c>
      <c r="W1022" s="46" t="s">
        <v>391</v>
      </c>
      <c r="X1022" s="172" t="s">
        <v>9167</v>
      </c>
      <c r="Y1022" s="46" t="s">
        <v>6286</v>
      </c>
      <c r="Z1022" s="46" t="s">
        <v>6287</v>
      </c>
      <c r="AA1022" s="46" t="s">
        <v>6284</v>
      </c>
      <c r="AB1022" s="172" t="s">
        <v>9167</v>
      </c>
      <c r="AC1022" s="48" t="s">
        <v>6285</v>
      </c>
      <c r="AD1022" s="30"/>
      <c r="AE1022" s="197"/>
      <c r="AF1022" s="47"/>
    </row>
    <row r="1023" spans="1:32" s="29" customFormat="1" ht="69.95" hidden="1" customHeight="1">
      <c r="A1023" s="29" t="s">
        <v>4079</v>
      </c>
      <c r="B1023" s="29" t="s">
        <v>3769</v>
      </c>
      <c r="C1023" s="40">
        <v>14</v>
      </c>
      <c r="D1023" s="40"/>
      <c r="E1023" s="57" t="s">
        <v>233</v>
      </c>
      <c r="F1023" s="57" t="s">
        <v>233</v>
      </c>
      <c r="G1023" s="29" t="s">
        <v>2258</v>
      </c>
      <c r="J1023" s="29">
        <f t="shared" si="60"/>
        <v>1</v>
      </c>
      <c r="K1023" s="42">
        <v>1009</v>
      </c>
      <c r="L1023" s="43" t="s">
        <v>2259</v>
      </c>
      <c r="M1023" s="44" t="s">
        <v>405</v>
      </c>
      <c r="N1023" s="44" t="s">
        <v>426</v>
      </c>
      <c r="O1023" s="44" t="str">
        <f t="shared" si="66"/>
        <v>PE-L1-3C4-14</v>
      </c>
      <c r="P1023" s="45">
        <v>0.35</v>
      </c>
      <c r="Q1023" s="44">
        <v>230</v>
      </c>
      <c r="R1023" s="44" t="s">
        <v>49</v>
      </c>
      <c r="S1023" s="44">
        <v>250</v>
      </c>
      <c r="T1023" s="46" t="s">
        <v>6281</v>
      </c>
      <c r="U1023" s="46" t="s">
        <v>4079</v>
      </c>
      <c r="V1023" s="46" t="s">
        <v>4080</v>
      </c>
      <c r="W1023" s="46" t="s">
        <v>391</v>
      </c>
      <c r="X1023" s="172" t="s">
        <v>9167</v>
      </c>
      <c r="Y1023" s="46" t="s">
        <v>6288</v>
      </c>
      <c r="Z1023" s="46" t="s">
        <v>6289</v>
      </c>
      <c r="AA1023" s="46" t="s">
        <v>6284</v>
      </c>
      <c r="AB1023" s="172" t="s">
        <v>9167</v>
      </c>
      <c r="AC1023" s="48" t="s">
        <v>6290</v>
      </c>
      <c r="AD1023" s="30"/>
      <c r="AE1023" s="197"/>
      <c r="AF1023" s="47"/>
    </row>
    <row r="1024" spans="1:32" s="29" customFormat="1" ht="69.95" hidden="1" customHeight="1">
      <c r="A1024" s="29" t="s">
        <v>4079</v>
      </c>
      <c r="B1024" s="29" t="s">
        <v>3769</v>
      </c>
      <c r="C1024" s="40">
        <v>15</v>
      </c>
      <c r="D1024" s="40"/>
      <c r="E1024" s="57" t="s">
        <v>233</v>
      </c>
      <c r="F1024" s="57" t="s">
        <v>233</v>
      </c>
      <c r="G1024" s="29" t="s">
        <v>2260</v>
      </c>
      <c r="J1024" s="29">
        <f t="shared" si="60"/>
        <v>1</v>
      </c>
      <c r="K1024" s="42">
        <v>1010</v>
      </c>
      <c r="L1024" s="43" t="s">
        <v>2261</v>
      </c>
      <c r="M1024" s="44" t="s">
        <v>405</v>
      </c>
      <c r="N1024" s="44" t="s">
        <v>426</v>
      </c>
      <c r="O1024" s="44" t="str">
        <f t="shared" si="66"/>
        <v>PE-L1-3C4-14</v>
      </c>
      <c r="P1024" s="45">
        <v>0.35</v>
      </c>
      <c r="Q1024" s="44">
        <v>230</v>
      </c>
      <c r="R1024" s="44" t="s">
        <v>49</v>
      </c>
      <c r="S1024" s="44">
        <v>250</v>
      </c>
      <c r="T1024" s="46" t="s">
        <v>6281</v>
      </c>
      <c r="U1024" s="46" t="s">
        <v>4079</v>
      </c>
      <c r="V1024" s="46" t="s">
        <v>4080</v>
      </c>
      <c r="W1024" s="46" t="s">
        <v>391</v>
      </c>
      <c r="X1024" s="172" t="s">
        <v>9167</v>
      </c>
      <c r="Y1024" s="46" t="s">
        <v>6291</v>
      </c>
      <c r="Z1024" s="46" t="s">
        <v>6292</v>
      </c>
      <c r="AA1024" s="46" t="s">
        <v>6284</v>
      </c>
      <c r="AB1024" s="172" t="s">
        <v>9167</v>
      </c>
      <c r="AC1024" s="48" t="s">
        <v>6290</v>
      </c>
      <c r="AD1024" s="30"/>
      <c r="AE1024" s="197"/>
      <c r="AF1024" s="47"/>
    </row>
    <row r="1025" spans="1:32" s="29" customFormat="1" ht="69.95" hidden="1" customHeight="1">
      <c r="A1025" s="29" t="s">
        <v>5096</v>
      </c>
      <c r="B1025" s="29" t="s">
        <v>3769</v>
      </c>
      <c r="C1025" s="40" t="s">
        <v>36</v>
      </c>
      <c r="D1025" s="40"/>
      <c r="E1025" s="57" t="s">
        <v>8599</v>
      </c>
      <c r="F1025" s="57" t="s">
        <v>8599</v>
      </c>
      <c r="G1025" s="29" t="s">
        <v>2262</v>
      </c>
      <c r="H1025" s="124" t="s">
        <v>9509</v>
      </c>
      <c r="I1025" s="124" t="s">
        <v>9121</v>
      </c>
      <c r="J1025" s="29">
        <f t="shared" si="60"/>
        <v>1</v>
      </c>
      <c r="K1025" s="42">
        <v>1011</v>
      </c>
      <c r="L1025" s="152" t="s">
        <v>2263</v>
      </c>
      <c r="M1025" s="44" t="s">
        <v>405</v>
      </c>
      <c r="N1025" s="44" t="s">
        <v>426</v>
      </c>
      <c r="O1025" s="101" t="str">
        <f t="shared" si="66"/>
        <v>PE-L1-3C4-28</v>
      </c>
      <c r="P1025" s="45">
        <v>0.35</v>
      </c>
      <c r="Q1025" s="44">
        <v>230</v>
      </c>
      <c r="R1025" s="44" t="s">
        <v>49</v>
      </c>
      <c r="S1025" s="101">
        <v>190</v>
      </c>
      <c r="T1025" s="46" t="s">
        <v>6281</v>
      </c>
      <c r="U1025" s="46" t="s">
        <v>5096</v>
      </c>
      <c r="V1025" s="46" t="s">
        <v>5097</v>
      </c>
      <c r="W1025" s="46" t="s">
        <v>335</v>
      </c>
      <c r="X1025" s="172" t="s">
        <v>9167</v>
      </c>
      <c r="Y1025" s="46" t="s">
        <v>6293</v>
      </c>
      <c r="Z1025" s="46" t="s">
        <v>6294</v>
      </c>
      <c r="AA1025" s="46" t="s">
        <v>5556</v>
      </c>
      <c r="AB1025" s="172" t="s">
        <v>9167</v>
      </c>
      <c r="AC1025" s="48" t="s">
        <v>6295</v>
      </c>
      <c r="AD1025" s="30"/>
      <c r="AE1025" s="197"/>
      <c r="AF1025" s="47"/>
    </row>
    <row r="1026" spans="1:32" s="29" customFormat="1" ht="69.95" hidden="1" customHeight="1">
      <c r="A1026" s="29" t="s">
        <v>5096</v>
      </c>
      <c r="B1026" s="29" t="s">
        <v>3769</v>
      </c>
      <c r="C1026" s="40" t="s">
        <v>38</v>
      </c>
      <c r="D1026" s="40"/>
      <c r="E1026" s="57" t="s">
        <v>8599</v>
      </c>
      <c r="F1026" s="57" t="s">
        <v>8599</v>
      </c>
      <c r="G1026" s="29" t="s">
        <v>2264</v>
      </c>
      <c r="H1026" s="124" t="s">
        <v>9445</v>
      </c>
      <c r="I1026" s="124" t="s">
        <v>9121</v>
      </c>
      <c r="J1026" s="29">
        <f t="shared" si="60"/>
        <v>1</v>
      </c>
      <c r="K1026" s="42">
        <v>1012</v>
      </c>
      <c r="L1026" s="152" t="s">
        <v>2265</v>
      </c>
      <c r="M1026" s="44" t="s">
        <v>405</v>
      </c>
      <c r="N1026" s="44" t="s">
        <v>426</v>
      </c>
      <c r="O1026" s="101" t="str">
        <f t="shared" si="66"/>
        <v>PE-L1-3C4-28</v>
      </c>
      <c r="P1026" s="45">
        <v>0.35</v>
      </c>
      <c r="Q1026" s="44">
        <v>230</v>
      </c>
      <c r="R1026" s="44" t="s">
        <v>49</v>
      </c>
      <c r="S1026" s="101">
        <v>180</v>
      </c>
      <c r="T1026" s="46" t="s">
        <v>6281</v>
      </c>
      <c r="U1026" s="46" t="s">
        <v>5096</v>
      </c>
      <c r="V1026" s="46" t="s">
        <v>5097</v>
      </c>
      <c r="W1026" s="46" t="s">
        <v>335</v>
      </c>
      <c r="X1026" s="172" t="s">
        <v>9167</v>
      </c>
      <c r="Y1026" s="46" t="s">
        <v>6296</v>
      </c>
      <c r="Z1026" s="46" t="s">
        <v>6297</v>
      </c>
      <c r="AA1026" s="46" t="s">
        <v>5526</v>
      </c>
      <c r="AB1026" s="172" t="s">
        <v>9167</v>
      </c>
      <c r="AC1026" s="48" t="s">
        <v>6298</v>
      </c>
      <c r="AD1026" s="30"/>
      <c r="AE1026" s="197"/>
      <c r="AF1026" s="47"/>
    </row>
    <row r="1027" spans="1:32" s="29" customFormat="1" ht="69.95" hidden="1" customHeight="1">
      <c r="A1027" s="29" t="s">
        <v>4286</v>
      </c>
      <c r="B1027" s="29" t="s">
        <v>3769</v>
      </c>
      <c r="C1027" s="40">
        <v>11</v>
      </c>
      <c r="D1027" s="40"/>
      <c r="E1027" s="57" t="s">
        <v>8600</v>
      </c>
      <c r="F1027" s="57" t="s">
        <v>8600</v>
      </c>
      <c r="G1027" s="29" t="s">
        <v>2266</v>
      </c>
      <c r="J1027" s="29">
        <f t="shared" si="60"/>
        <v>1</v>
      </c>
      <c r="K1027" s="42">
        <v>1013</v>
      </c>
      <c r="L1027" s="43" t="s">
        <v>2267</v>
      </c>
      <c r="M1027" s="44" t="s">
        <v>405</v>
      </c>
      <c r="N1027" s="44" t="s">
        <v>426</v>
      </c>
      <c r="O1027" s="44" t="str">
        <f t="shared" si="66"/>
        <v>PE-L1-3C4-28</v>
      </c>
      <c r="P1027" s="45">
        <v>0.35</v>
      </c>
      <c r="Q1027" s="44">
        <v>230</v>
      </c>
      <c r="R1027" s="44" t="s">
        <v>49</v>
      </c>
      <c r="S1027" s="44">
        <v>190</v>
      </c>
      <c r="T1027" s="46" t="s">
        <v>6281</v>
      </c>
      <c r="U1027" s="46" t="s">
        <v>4286</v>
      </c>
      <c r="V1027" s="46" t="s">
        <v>4287</v>
      </c>
      <c r="W1027" s="46" t="s">
        <v>397</v>
      </c>
      <c r="X1027" s="172" t="s">
        <v>9167</v>
      </c>
      <c r="Y1027" s="46" t="s">
        <v>6299</v>
      </c>
      <c r="Z1027" s="46" t="s">
        <v>6300</v>
      </c>
      <c r="AA1027" s="46" t="s">
        <v>6301</v>
      </c>
      <c r="AB1027" s="172" t="s">
        <v>9167</v>
      </c>
      <c r="AC1027" s="48" t="s">
        <v>6302</v>
      </c>
      <c r="AD1027" s="30"/>
      <c r="AE1027" s="197"/>
      <c r="AF1027" s="47"/>
    </row>
    <row r="1028" spans="1:32" s="29" customFormat="1" ht="69.95" hidden="1" customHeight="1">
      <c r="A1028" s="29" t="s">
        <v>4286</v>
      </c>
      <c r="B1028" s="29" t="s">
        <v>3769</v>
      </c>
      <c r="C1028" s="40">
        <v>12</v>
      </c>
      <c r="D1028" s="40"/>
      <c r="E1028" s="57" t="s">
        <v>235</v>
      </c>
      <c r="F1028" s="57" t="s">
        <v>235</v>
      </c>
      <c r="G1028" s="29" t="s">
        <v>2268</v>
      </c>
      <c r="J1028" s="29">
        <f t="shared" si="60"/>
        <v>1</v>
      </c>
      <c r="K1028" s="42">
        <v>1014</v>
      </c>
      <c r="L1028" s="43" t="s">
        <v>2269</v>
      </c>
      <c r="M1028" s="44" t="s">
        <v>405</v>
      </c>
      <c r="N1028" s="44" t="s">
        <v>426</v>
      </c>
      <c r="O1028" s="44" t="str">
        <f t="shared" si="66"/>
        <v>PE-L1-3C4-19</v>
      </c>
      <c r="P1028" s="45">
        <v>0.35</v>
      </c>
      <c r="Q1028" s="44">
        <v>230</v>
      </c>
      <c r="R1028" s="44" t="s">
        <v>49</v>
      </c>
      <c r="S1028" s="44">
        <v>190</v>
      </c>
      <c r="T1028" s="46" t="s">
        <v>6281</v>
      </c>
      <c r="U1028" s="46" t="s">
        <v>4286</v>
      </c>
      <c r="V1028" s="46" t="s">
        <v>4287</v>
      </c>
      <c r="W1028" s="46" t="s">
        <v>397</v>
      </c>
      <c r="X1028" s="172" t="s">
        <v>9167</v>
      </c>
      <c r="Y1028" s="46" t="s">
        <v>6303</v>
      </c>
      <c r="Z1028" s="46" t="s">
        <v>6304</v>
      </c>
      <c r="AA1028" s="46" t="s">
        <v>6301</v>
      </c>
      <c r="AB1028" s="172" t="s">
        <v>9167</v>
      </c>
      <c r="AC1028" s="48" t="s">
        <v>6302</v>
      </c>
      <c r="AD1028" s="30"/>
      <c r="AE1028" s="197"/>
      <c r="AF1028" s="47"/>
    </row>
    <row r="1029" spans="1:32" s="29" customFormat="1" ht="69.95" hidden="1" customHeight="1">
      <c r="A1029" s="29" t="s">
        <v>4286</v>
      </c>
      <c r="B1029" s="29" t="s">
        <v>3769</v>
      </c>
      <c r="C1029" s="40">
        <v>13</v>
      </c>
      <c r="D1029" s="40"/>
      <c r="E1029" s="57" t="s">
        <v>235</v>
      </c>
      <c r="F1029" s="57" t="s">
        <v>235</v>
      </c>
      <c r="G1029" s="29" t="s">
        <v>2270</v>
      </c>
      <c r="J1029" s="29">
        <f t="shared" si="60"/>
        <v>1</v>
      </c>
      <c r="K1029" s="42">
        <v>1015</v>
      </c>
      <c r="L1029" s="43" t="s">
        <v>2271</v>
      </c>
      <c r="M1029" s="44" t="s">
        <v>405</v>
      </c>
      <c r="N1029" s="44" t="s">
        <v>426</v>
      </c>
      <c r="O1029" s="44" t="str">
        <f t="shared" si="66"/>
        <v>PE-L1-3C4-19</v>
      </c>
      <c r="P1029" s="45">
        <v>0.35</v>
      </c>
      <c r="Q1029" s="44">
        <v>230</v>
      </c>
      <c r="R1029" s="44" t="s">
        <v>49</v>
      </c>
      <c r="S1029" s="44">
        <v>210</v>
      </c>
      <c r="T1029" s="46" t="s">
        <v>6281</v>
      </c>
      <c r="U1029" s="46" t="s">
        <v>4286</v>
      </c>
      <c r="V1029" s="46" t="s">
        <v>4287</v>
      </c>
      <c r="W1029" s="46" t="s">
        <v>397</v>
      </c>
      <c r="X1029" s="172" t="s">
        <v>9167</v>
      </c>
      <c r="Y1029" s="46" t="s">
        <v>6305</v>
      </c>
      <c r="Z1029" s="46" t="s">
        <v>6306</v>
      </c>
      <c r="AA1029" s="46" t="s">
        <v>6301</v>
      </c>
      <c r="AB1029" s="172" t="s">
        <v>9167</v>
      </c>
      <c r="AC1029" s="48" t="s">
        <v>6307</v>
      </c>
      <c r="AD1029" s="30"/>
      <c r="AE1029" s="197"/>
      <c r="AF1029" s="47"/>
    </row>
    <row r="1030" spans="1:32" s="29" customFormat="1" ht="69.95" hidden="1" customHeight="1">
      <c r="A1030" s="29" t="s">
        <v>4286</v>
      </c>
      <c r="B1030" s="29" t="s">
        <v>3769</v>
      </c>
      <c r="C1030" s="40">
        <v>14</v>
      </c>
      <c r="D1030" s="40"/>
      <c r="E1030" s="57" t="s">
        <v>235</v>
      </c>
      <c r="F1030" s="57" t="s">
        <v>235</v>
      </c>
      <c r="G1030" s="29" t="s">
        <v>2272</v>
      </c>
      <c r="J1030" s="29">
        <f t="shared" si="60"/>
        <v>1</v>
      </c>
      <c r="K1030" s="42">
        <v>1016</v>
      </c>
      <c r="L1030" s="43" t="s">
        <v>2273</v>
      </c>
      <c r="M1030" s="44" t="s">
        <v>405</v>
      </c>
      <c r="N1030" s="44" t="s">
        <v>426</v>
      </c>
      <c r="O1030" s="44" t="str">
        <f t="shared" si="66"/>
        <v>PE-L1-3C4-19</v>
      </c>
      <c r="P1030" s="45">
        <v>0.35</v>
      </c>
      <c r="Q1030" s="44">
        <v>230</v>
      </c>
      <c r="R1030" s="44" t="s">
        <v>49</v>
      </c>
      <c r="S1030" s="44">
        <v>210</v>
      </c>
      <c r="T1030" s="46" t="s">
        <v>6281</v>
      </c>
      <c r="U1030" s="46" t="s">
        <v>4286</v>
      </c>
      <c r="V1030" s="46" t="s">
        <v>4287</v>
      </c>
      <c r="W1030" s="46" t="s">
        <v>397</v>
      </c>
      <c r="X1030" s="172" t="s">
        <v>9167</v>
      </c>
      <c r="Y1030" s="46" t="s">
        <v>6308</v>
      </c>
      <c r="Z1030" s="46" t="s">
        <v>6309</v>
      </c>
      <c r="AA1030" s="46" t="s">
        <v>6301</v>
      </c>
      <c r="AB1030" s="172" t="s">
        <v>9167</v>
      </c>
      <c r="AC1030" s="48" t="s">
        <v>6307</v>
      </c>
      <c r="AD1030" s="30"/>
      <c r="AE1030" s="197"/>
      <c r="AF1030" s="47"/>
    </row>
    <row r="1031" spans="1:32" s="29" customFormat="1" ht="69.95" hidden="1" customHeight="1">
      <c r="A1031" s="29" t="s">
        <v>4054</v>
      </c>
      <c r="B1031" s="29" t="s">
        <v>3769</v>
      </c>
      <c r="C1031" s="40" t="s">
        <v>40</v>
      </c>
      <c r="D1031" s="40"/>
      <c r="E1031" s="57" t="s">
        <v>8599</v>
      </c>
      <c r="F1031" s="57" t="s">
        <v>8599</v>
      </c>
      <c r="G1031" s="29" t="s">
        <v>2274</v>
      </c>
      <c r="J1031" s="29">
        <f t="shared" si="60"/>
        <v>1</v>
      </c>
      <c r="K1031" s="42">
        <v>1017</v>
      </c>
      <c r="L1031" s="43" t="s">
        <v>2275</v>
      </c>
      <c r="M1031" s="44" t="s">
        <v>405</v>
      </c>
      <c r="N1031" s="44" t="s">
        <v>426</v>
      </c>
      <c r="O1031" s="44" t="str">
        <f t="shared" si="66"/>
        <v>PE-L1-3C4-28</v>
      </c>
      <c r="P1031" s="45">
        <v>0.35</v>
      </c>
      <c r="Q1031" s="44">
        <v>230</v>
      </c>
      <c r="R1031" s="44" t="s">
        <v>49</v>
      </c>
      <c r="S1031" s="44">
        <v>220</v>
      </c>
      <c r="T1031" s="46" t="s">
        <v>6281</v>
      </c>
      <c r="U1031" s="46" t="s">
        <v>4054</v>
      </c>
      <c r="V1031" s="46" t="s">
        <v>4055</v>
      </c>
      <c r="W1031" s="46" t="s">
        <v>347</v>
      </c>
      <c r="X1031" s="172" t="s">
        <v>9167</v>
      </c>
      <c r="Y1031" s="46" t="s">
        <v>6310</v>
      </c>
      <c r="Z1031" s="46" t="s">
        <v>6311</v>
      </c>
      <c r="AA1031" s="46" t="s">
        <v>5591</v>
      </c>
      <c r="AB1031" s="172" t="s">
        <v>9167</v>
      </c>
      <c r="AC1031" s="48" t="s">
        <v>6312</v>
      </c>
      <c r="AD1031" s="30"/>
      <c r="AE1031" s="197"/>
      <c r="AF1031" s="47"/>
    </row>
    <row r="1032" spans="1:32" s="29" customFormat="1" ht="69.95" hidden="1" customHeight="1">
      <c r="A1032" s="29" t="s">
        <v>4054</v>
      </c>
      <c r="B1032" s="29" t="s">
        <v>3769</v>
      </c>
      <c r="C1032" s="40" t="s">
        <v>41</v>
      </c>
      <c r="D1032" s="40"/>
      <c r="E1032" s="57" t="s">
        <v>8599</v>
      </c>
      <c r="F1032" s="57" t="s">
        <v>8599</v>
      </c>
      <c r="G1032" s="29" t="s">
        <v>2276</v>
      </c>
      <c r="J1032" s="29">
        <f t="shared" ref="J1032:J1095" si="67">COUNTIF(L:L,L1032)</f>
        <v>1</v>
      </c>
      <c r="K1032" s="42">
        <v>1018</v>
      </c>
      <c r="L1032" s="43" t="s">
        <v>2277</v>
      </c>
      <c r="M1032" s="44" t="s">
        <v>405</v>
      </c>
      <c r="N1032" s="44" t="s">
        <v>426</v>
      </c>
      <c r="O1032" s="44" t="str">
        <f t="shared" si="66"/>
        <v>PE-L1-3C4-28</v>
      </c>
      <c r="P1032" s="45">
        <v>0.35</v>
      </c>
      <c r="Q1032" s="44">
        <v>230</v>
      </c>
      <c r="R1032" s="44" t="s">
        <v>49</v>
      </c>
      <c r="S1032" s="44">
        <v>210</v>
      </c>
      <c r="T1032" s="46" t="s">
        <v>6281</v>
      </c>
      <c r="U1032" s="46" t="s">
        <v>4054</v>
      </c>
      <c r="V1032" s="46" t="s">
        <v>4055</v>
      </c>
      <c r="W1032" s="46" t="s">
        <v>347</v>
      </c>
      <c r="X1032" s="172" t="s">
        <v>9167</v>
      </c>
      <c r="Y1032" s="46" t="s">
        <v>6313</v>
      </c>
      <c r="Z1032" s="46" t="s">
        <v>6314</v>
      </c>
      <c r="AA1032" s="46" t="s">
        <v>5562</v>
      </c>
      <c r="AB1032" s="172" t="s">
        <v>9167</v>
      </c>
      <c r="AC1032" s="48" t="s">
        <v>6315</v>
      </c>
      <c r="AD1032" s="30"/>
      <c r="AE1032" s="197"/>
      <c r="AF1032" s="47"/>
    </row>
    <row r="1033" spans="1:32" s="29" customFormat="1" ht="69.95" hidden="1" customHeight="1">
      <c r="A1033" s="29" t="s">
        <v>6317</v>
      </c>
      <c r="B1033" s="29" t="s">
        <v>3769</v>
      </c>
      <c r="C1033" s="40" t="s">
        <v>32</v>
      </c>
      <c r="D1033" s="40"/>
      <c r="E1033" s="57" t="s">
        <v>246</v>
      </c>
      <c r="F1033" s="57" t="s">
        <v>246</v>
      </c>
      <c r="G1033" s="29" t="s">
        <v>2278</v>
      </c>
      <c r="I1033" s="124" t="s">
        <v>9121</v>
      </c>
      <c r="J1033" s="29">
        <f t="shared" si="67"/>
        <v>1</v>
      </c>
      <c r="K1033" s="42">
        <v>1019</v>
      </c>
      <c r="L1033" s="152" t="s">
        <v>2279</v>
      </c>
      <c r="M1033" s="44" t="s">
        <v>405</v>
      </c>
      <c r="N1033" s="44" t="s">
        <v>8619</v>
      </c>
      <c r="O1033" s="101" t="str">
        <f t="shared" ref="O1033:O1040" si="68">F1033</f>
        <v>PE-L1-2C10-01</v>
      </c>
      <c r="P1033" s="45">
        <v>1.7</v>
      </c>
      <c r="Q1033" s="44">
        <v>220</v>
      </c>
      <c r="R1033" s="44" t="s">
        <v>509</v>
      </c>
      <c r="S1033" s="101">
        <v>130</v>
      </c>
      <c r="T1033" s="46" t="s">
        <v>6316</v>
      </c>
      <c r="U1033" s="46" t="s">
        <v>6317</v>
      </c>
      <c r="V1033" s="46" t="s">
        <v>6318</v>
      </c>
      <c r="W1033" s="46" t="s">
        <v>335</v>
      </c>
      <c r="X1033" s="172" t="s">
        <v>8942</v>
      </c>
      <c r="Y1033" s="46" t="s">
        <v>6319</v>
      </c>
      <c r="Z1033" s="46" t="s">
        <v>6320</v>
      </c>
      <c r="AA1033" s="46" t="s">
        <v>392</v>
      </c>
      <c r="AB1033" s="172" t="s">
        <v>8942</v>
      </c>
      <c r="AC1033" s="48" t="s">
        <v>6321</v>
      </c>
      <c r="AD1033" s="30"/>
      <c r="AE1033" s="197"/>
      <c r="AF1033" s="47"/>
    </row>
    <row r="1034" spans="1:32" s="29" customFormat="1" ht="69.95" hidden="1" customHeight="1">
      <c r="A1034" s="29" t="s">
        <v>6322</v>
      </c>
      <c r="B1034" s="29" t="s">
        <v>3769</v>
      </c>
      <c r="C1034" s="40" t="s">
        <v>32</v>
      </c>
      <c r="D1034" s="40"/>
      <c r="E1034" s="58" t="s">
        <v>247</v>
      </c>
      <c r="F1034" s="58" t="s">
        <v>247</v>
      </c>
      <c r="G1034" s="29" t="s">
        <v>2281</v>
      </c>
      <c r="I1034" s="124" t="s">
        <v>9121</v>
      </c>
      <c r="J1034" s="29">
        <f t="shared" si="67"/>
        <v>1</v>
      </c>
      <c r="K1034" s="42">
        <v>1020</v>
      </c>
      <c r="L1034" s="152" t="s">
        <v>2282</v>
      </c>
      <c r="M1034" s="44" t="s">
        <v>405</v>
      </c>
      <c r="N1034" s="44" t="s">
        <v>2280</v>
      </c>
      <c r="O1034" s="101" t="str">
        <f t="shared" si="68"/>
        <v>PE-L1-2C10-02</v>
      </c>
      <c r="P1034" s="45">
        <v>1.7</v>
      </c>
      <c r="Q1034" s="44">
        <v>220</v>
      </c>
      <c r="R1034" s="44" t="s">
        <v>509</v>
      </c>
      <c r="S1034" s="101">
        <v>140</v>
      </c>
      <c r="T1034" s="46" t="s">
        <v>6316</v>
      </c>
      <c r="U1034" s="46" t="s">
        <v>6322</v>
      </c>
      <c r="V1034" s="46" t="s">
        <v>6323</v>
      </c>
      <c r="W1034" s="46" t="s">
        <v>335</v>
      </c>
      <c r="X1034" s="172" t="s">
        <v>8942</v>
      </c>
      <c r="Y1034" s="46" t="s">
        <v>6319</v>
      </c>
      <c r="Z1034" s="46" t="s">
        <v>6320</v>
      </c>
      <c r="AA1034" s="46" t="s">
        <v>392</v>
      </c>
      <c r="AB1034" s="172" t="s">
        <v>8942</v>
      </c>
      <c r="AC1034" s="48" t="s">
        <v>6324</v>
      </c>
      <c r="AD1034" s="30"/>
      <c r="AE1034" s="197"/>
      <c r="AF1034" s="47"/>
    </row>
    <row r="1035" spans="1:32" s="29" customFormat="1" ht="69.95" hidden="1" customHeight="1">
      <c r="A1035" s="29" t="s">
        <v>5096</v>
      </c>
      <c r="B1035" s="29" t="s">
        <v>3769</v>
      </c>
      <c r="C1035" s="40" t="s">
        <v>40</v>
      </c>
      <c r="D1035" s="40"/>
      <c r="E1035" s="57" t="s">
        <v>119</v>
      </c>
      <c r="F1035" s="57" t="s">
        <v>119</v>
      </c>
      <c r="G1035" s="29" t="s">
        <v>2283</v>
      </c>
      <c r="I1035" s="124" t="s">
        <v>9121</v>
      </c>
      <c r="J1035" s="29">
        <f t="shared" si="67"/>
        <v>1</v>
      </c>
      <c r="K1035" s="42">
        <v>1021</v>
      </c>
      <c r="L1035" s="152" t="s">
        <v>2284</v>
      </c>
      <c r="M1035" s="44" t="s">
        <v>405</v>
      </c>
      <c r="N1035" s="44" t="s">
        <v>456</v>
      </c>
      <c r="O1035" s="101" t="str">
        <f t="shared" si="68"/>
        <v>PE-L1-3C6-02</v>
      </c>
      <c r="P1035" s="45">
        <v>1.71</v>
      </c>
      <c r="Q1035" s="44">
        <v>230</v>
      </c>
      <c r="R1035" s="44" t="s">
        <v>49</v>
      </c>
      <c r="S1035" s="101">
        <v>110</v>
      </c>
      <c r="T1035" s="46" t="s">
        <v>6316</v>
      </c>
      <c r="U1035" s="46" t="s">
        <v>5096</v>
      </c>
      <c r="V1035" s="46" t="s">
        <v>5097</v>
      </c>
      <c r="W1035" s="46" t="s">
        <v>335</v>
      </c>
      <c r="X1035" s="172" t="s">
        <v>9167</v>
      </c>
      <c r="Y1035" s="46" t="s">
        <v>6319</v>
      </c>
      <c r="Z1035" s="46" t="s">
        <v>6325</v>
      </c>
      <c r="AA1035" s="46" t="s">
        <v>392</v>
      </c>
      <c r="AB1035" s="172" t="s">
        <v>9167</v>
      </c>
      <c r="AC1035" s="48" t="s">
        <v>6326</v>
      </c>
      <c r="AD1035" s="30"/>
      <c r="AE1035" s="197"/>
      <c r="AF1035" s="47"/>
    </row>
    <row r="1036" spans="1:32" s="29" customFormat="1" ht="69.95" hidden="1" customHeight="1">
      <c r="A1036" s="29" t="s">
        <v>5096</v>
      </c>
      <c r="B1036" s="29" t="s">
        <v>3769</v>
      </c>
      <c r="C1036" s="40" t="s">
        <v>41</v>
      </c>
      <c r="D1036" s="40"/>
      <c r="E1036" s="57" t="s">
        <v>70</v>
      </c>
      <c r="F1036" s="57" t="s">
        <v>70</v>
      </c>
      <c r="G1036" s="29" t="s">
        <v>2285</v>
      </c>
      <c r="I1036" s="124" t="s">
        <v>9121</v>
      </c>
      <c r="J1036" s="29">
        <f t="shared" si="67"/>
        <v>1</v>
      </c>
      <c r="K1036" s="42">
        <v>1022</v>
      </c>
      <c r="L1036" s="152" t="s">
        <v>2286</v>
      </c>
      <c r="M1036" s="44" t="s">
        <v>405</v>
      </c>
      <c r="N1036" s="44" t="s">
        <v>549</v>
      </c>
      <c r="O1036" s="101" t="str">
        <f t="shared" si="68"/>
        <v>PE-L1-3C10-01</v>
      </c>
      <c r="P1036" s="45">
        <v>2.2999999999999998</v>
      </c>
      <c r="Q1036" s="44">
        <v>230</v>
      </c>
      <c r="R1036" s="44" t="s">
        <v>49</v>
      </c>
      <c r="S1036" s="101">
        <v>110</v>
      </c>
      <c r="T1036" s="46" t="s">
        <v>6316</v>
      </c>
      <c r="U1036" s="46" t="s">
        <v>5096</v>
      </c>
      <c r="V1036" s="46" t="s">
        <v>5097</v>
      </c>
      <c r="W1036" s="46" t="s">
        <v>335</v>
      </c>
      <c r="X1036" s="172" t="s">
        <v>9167</v>
      </c>
      <c r="Y1036" s="46" t="s">
        <v>6319</v>
      </c>
      <c r="Z1036" s="46" t="s">
        <v>6327</v>
      </c>
      <c r="AA1036" s="46" t="s">
        <v>392</v>
      </c>
      <c r="AB1036" s="172" t="s">
        <v>9167</v>
      </c>
      <c r="AC1036" s="48" t="s">
        <v>6326</v>
      </c>
      <c r="AD1036" s="30"/>
      <c r="AE1036" s="197"/>
      <c r="AF1036" s="47"/>
    </row>
    <row r="1037" spans="1:32" s="29" customFormat="1" ht="69.95" hidden="1" customHeight="1">
      <c r="A1037" s="29" t="s">
        <v>6317</v>
      </c>
      <c r="B1037" s="29" t="s">
        <v>3769</v>
      </c>
      <c r="C1037" s="40" t="s">
        <v>36</v>
      </c>
      <c r="D1037" s="40"/>
      <c r="E1037" s="57" t="s">
        <v>246</v>
      </c>
      <c r="F1037" s="57" t="s">
        <v>246</v>
      </c>
      <c r="G1037" s="29" t="s">
        <v>2287</v>
      </c>
      <c r="I1037" s="124" t="s">
        <v>9121</v>
      </c>
      <c r="J1037" s="29">
        <f t="shared" si="67"/>
        <v>1</v>
      </c>
      <c r="K1037" s="42">
        <v>1023</v>
      </c>
      <c r="L1037" s="152" t="s">
        <v>2288</v>
      </c>
      <c r="M1037" s="44" t="s">
        <v>405</v>
      </c>
      <c r="N1037" s="44" t="s">
        <v>2280</v>
      </c>
      <c r="O1037" s="101" t="str">
        <f t="shared" si="68"/>
        <v>PE-L1-2C10-01</v>
      </c>
      <c r="P1037" s="45">
        <v>1.7</v>
      </c>
      <c r="Q1037" s="44">
        <v>220</v>
      </c>
      <c r="R1037" s="44" t="s">
        <v>509</v>
      </c>
      <c r="S1037" s="101">
        <v>190</v>
      </c>
      <c r="T1037" s="46" t="s">
        <v>6316</v>
      </c>
      <c r="U1037" s="46" t="s">
        <v>6317</v>
      </c>
      <c r="V1037" s="46" t="s">
        <v>6318</v>
      </c>
      <c r="W1037" s="46" t="s">
        <v>335</v>
      </c>
      <c r="X1037" s="172" t="s">
        <v>8942</v>
      </c>
      <c r="Y1037" s="46" t="s">
        <v>6328</v>
      </c>
      <c r="Z1037" s="46" t="s">
        <v>6329</v>
      </c>
      <c r="AA1037" s="46" t="s">
        <v>392</v>
      </c>
      <c r="AB1037" s="172" t="s">
        <v>8942</v>
      </c>
      <c r="AC1037" s="48" t="s">
        <v>6330</v>
      </c>
      <c r="AD1037" s="30"/>
      <c r="AE1037" s="197"/>
      <c r="AF1037" s="47"/>
    </row>
    <row r="1038" spans="1:32" s="29" customFormat="1" ht="69.95" hidden="1" customHeight="1">
      <c r="A1038" s="29" t="s">
        <v>6322</v>
      </c>
      <c r="B1038" s="29" t="s">
        <v>3769</v>
      </c>
      <c r="C1038" s="40" t="s">
        <v>36</v>
      </c>
      <c r="D1038" s="40"/>
      <c r="E1038" s="56" t="s">
        <v>246</v>
      </c>
      <c r="F1038" s="56" t="s">
        <v>246</v>
      </c>
      <c r="G1038" s="29" t="s">
        <v>2289</v>
      </c>
      <c r="I1038" s="124" t="s">
        <v>9121</v>
      </c>
      <c r="J1038" s="29">
        <f t="shared" si="67"/>
        <v>1</v>
      </c>
      <c r="K1038" s="42">
        <v>1024</v>
      </c>
      <c r="L1038" s="152" t="s">
        <v>2290</v>
      </c>
      <c r="M1038" s="44" t="s">
        <v>405</v>
      </c>
      <c r="N1038" s="44" t="s">
        <v>2280</v>
      </c>
      <c r="O1038" s="101" t="str">
        <f t="shared" si="68"/>
        <v>PE-L1-2C10-01</v>
      </c>
      <c r="P1038" s="45">
        <v>1.7</v>
      </c>
      <c r="Q1038" s="44">
        <v>220</v>
      </c>
      <c r="R1038" s="44" t="s">
        <v>509</v>
      </c>
      <c r="S1038" s="101">
        <v>200</v>
      </c>
      <c r="T1038" s="46" t="s">
        <v>6316</v>
      </c>
      <c r="U1038" s="46" t="s">
        <v>6322</v>
      </c>
      <c r="V1038" s="46" t="s">
        <v>6323</v>
      </c>
      <c r="W1038" s="46" t="s">
        <v>335</v>
      </c>
      <c r="X1038" s="172" t="s">
        <v>8942</v>
      </c>
      <c r="Y1038" s="46" t="s">
        <v>6328</v>
      </c>
      <c r="Z1038" s="46" t="s">
        <v>6329</v>
      </c>
      <c r="AA1038" s="46" t="s">
        <v>392</v>
      </c>
      <c r="AB1038" s="172" t="s">
        <v>8942</v>
      </c>
      <c r="AC1038" s="48" t="s">
        <v>6331</v>
      </c>
      <c r="AD1038" s="30"/>
      <c r="AE1038" s="197"/>
      <c r="AF1038" s="47"/>
    </row>
    <row r="1039" spans="1:32" s="29" customFormat="1" ht="69.95" hidden="1" customHeight="1">
      <c r="A1039" s="29" t="s">
        <v>5450</v>
      </c>
      <c r="B1039" s="29" t="s">
        <v>3769</v>
      </c>
      <c r="C1039" s="40" t="s">
        <v>38</v>
      </c>
      <c r="D1039" s="40"/>
      <c r="E1039" s="56" t="s">
        <v>70</v>
      </c>
      <c r="F1039" s="56" t="s">
        <v>70</v>
      </c>
      <c r="G1039" s="29" t="s">
        <v>2291</v>
      </c>
      <c r="I1039" s="124" t="s">
        <v>9121</v>
      </c>
      <c r="J1039" s="29">
        <f t="shared" si="67"/>
        <v>1</v>
      </c>
      <c r="K1039" s="42">
        <v>1025</v>
      </c>
      <c r="L1039" s="152" t="s">
        <v>2292</v>
      </c>
      <c r="M1039" s="44" t="s">
        <v>405</v>
      </c>
      <c r="N1039" s="44" t="s">
        <v>549</v>
      </c>
      <c r="O1039" s="101" t="str">
        <f t="shared" si="68"/>
        <v>PE-L1-3C10-01</v>
      </c>
      <c r="P1039" s="45">
        <v>1.71</v>
      </c>
      <c r="Q1039" s="44">
        <v>230</v>
      </c>
      <c r="R1039" s="44" t="s">
        <v>49</v>
      </c>
      <c r="S1039" s="101">
        <v>180</v>
      </c>
      <c r="T1039" s="46" t="s">
        <v>6316</v>
      </c>
      <c r="U1039" s="46" t="s">
        <v>5450</v>
      </c>
      <c r="V1039" s="46" t="s">
        <v>5451</v>
      </c>
      <c r="W1039" s="46" t="s">
        <v>335</v>
      </c>
      <c r="X1039" s="172" t="s">
        <v>9167</v>
      </c>
      <c r="Y1039" s="46" t="s">
        <v>6328</v>
      </c>
      <c r="Z1039" s="46" t="s">
        <v>6332</v>
      </c>
      <c r="AA1039" s="46" t="s">
        <v>392</v>
      </c>
      <c r="AB1039" s="172" t="s">
        <v>9167</v>
      </c>
      <c r="AC1039" s="48" t="s">
        <v>6333</v>
      </c>
      <c r="AD1039" s="30"/>
      <c r="AE1039" s="197"/>
      <c r="AF1039" s="47"/>
    </row>
    <row r="1040" spans="1:32" s="29" customFormat="1" ht="69.95" hidden="1" customHeight="1">
      <c r="A1040" s="29" t="s">
        <v>3985</v>
      </c>
      <c r="B1040" s="29" t="s">
        <v>3769</v>
      </c>
      <c r="C1040" s="40" t="s">
        <v>41</v>
      </c>
      <c r="D1040" s="40"/>
      <c r="E1040" s="57" t="s">
        <v>228</v>
      </c>
      <c r="F1040" s="57" t="s">
        <v>228</v>
      </c>
      <c r="G1040" s="29" t="s">
        <v>2293</v>
      </c>
      <c r="I1040" s="124" t="s">
        <v>9121</v>
      </c>
      <c r="J1040" s="29">
        <f t="shared" si="67"/>
        <v>1</v>
      </c>
      <c r="K1040" s="42">
        <v>1026</v>
      </c>
      <c r="L1040" s="152" t="s">
        <v>2294</v>
      </c>
      <c r="M1040" s="44" t="s">
        <v>405</v>
      </c>
      <c r="N1040" s="44" t="s">
        <v>2080</v>
      </c>
      <c r="O1040" s="101" t="str">
        <f t="shared" si="68"/>
        <v>PE-L1-3C16-01</v>
      </c>
      <c r="P1040" s="45">
        <v>2.2999999999999998</v>
      </c>
      <c r="Q1040" s="44">
        <v>230</v>
      </c>
      <c r="R1040" s="44" t="s">
        <v>49</v>
      </c>
      <c r="S1040" s="101">
        <v>190</v>
      </c>
      <c r="T1040" s="46" t="s">
        <v>6316</v>
      </c>
      <c r="U1040" s="46" t="s">
        <v>3985</v>
      </c>
      <c r="V1040" s="46" t="s">
        <v>3986</v>
      </c>
      <c r="W1040" s="46" t="s">
        <v>335</v>
      </c>
      <c r="X1040" s="172" t="s">
        <v>9167</v>
      </c>
      <c r="Y1040" s="46" t="s">
        <v>6328</v>
      </c>
      <c r="Z1040" s="46" t="s">
        <v>6334</v>
      </c>
      <c r="AA1040" s="46" t="s">
        <v>392</v>
      </c>
      <c r="AB1040" s="172" t="s">
        <v>9167</v>
      </c>
      <c r="AC1040" s="48" t="s">
        <v>6335</v>
      </c>
      <c r="AD1040" s="30"/>
      <c r="AE1040" s="197"/>
      <c r="AF1040" s="47"/>
    </row>
    <row r="1041" spans="1:32" s="29" customFormat="1" ht="69.95" hidden="1" customHeight="1">
      <c r="A1041" s="29" t="s">
        <v>6336</v>
      </c>
      <c r="B1041" s="29" t="s">
        <v>3769</v>
      </c>
      <c r="C1041" s="40" t="s">
        <v>32</v>
      </c>
      <c r="D1041" s="40"/>
      <c r="E1041" s="57" t="s">
        <v>247</v>
      </c>
      <c r="F1041" s="57" t="s">
        <v>247</v>
      </c>
      <c r="G1041" s="29" t="s">
        <v>2295</v>
      </c>
      <c r="J1041" s="29">
        <f t="shared" si="67"/>
        <v>1</v>
      </c>
      <c r="K1041" s="42">
        <v>1027</v>
      </c>
      <c r="L1041" s="43" t="s">
        <v>2296</v>
      </c>
      <c r="M1041" s="44" t="s">
        <v>405</v>
      </c>
      <c r="N1041" s="44" t="s">
        <v>2280</v>
      </c>
      <c r="O1041" s="44" t="str">
        <f t="shared" ref="O1041:O1056" si="69">F1041</f>
        <v>PE-L1-2C10-02</v>
      </c>
      <c r="P1041" s="45">
        <v>1.7</v>
      </c>
      <c r="Q1041" s="44">
        <v>220</v>
      </c>
      <c r="R1041" s="44" t="s">
        <v>509</v>
      </c>
      <c r="S1041" s="44">
        <v>160</v>
      </c>
      <c r="T1041" s="46" t="s">
        <v>6316</v>
      </c>
      <c r="U1041" s="46" t="s">
        <v>6336</v>
      </c>
      <c r="V1041" s="46" t="s">
        <v>6337</v>
      </c>
      <c r="W1041" s="46" t="s">
        <v>347</v>
      </c>
      <c r="X1041" s="172" t="s">
        <v>8942</v>
      </c>
      <c r="Y1041" s="46" t="s">
        <v>6338</v>
      </c>
      <c r="Z1041" s="46" t="s">
        <v>6339</v>
      </c>
      <c r="AA1041" s="46" t="s">
        <v>392</v>
      </c>
      <c r="AB1041" s="172" t="s">
        <v>8942</v>
      </c>
      <c r="AC1041" s="48" t="s">
        <v>6340</v>
      </c>
      <c r="AD1041" s="30"/>
      <c r="AE1041" s="197"/>
      <c r="AF1041" s="47"/>
    </row>
    <row r="1042" spans="1:32" s="29" customFormat="1" ht="69.95" hidden="1" customHeight="1">
      <c r="A1042" s="29" t="s">
        <v>6341</v>
      </c>
      <c r="B1042" s="29" t="s">
        <v>3769</v>
      </c>
      <c r="C1042" s="40" t="s">
        <v>32</v>
      </c>
      <c r="D1042" s="40"/>
      <c r="E1042" s="56" t="s">
        <v>247</v>
      </c>
      <c r="F1042" s="56" t="s">
        <v>247</v>
      </c>
      <c r="G1042" s="29" t="s">
        <v>2297</v>
      </c>
      <c r="J1042" s="29">
        <f t="shared" si="67"/>
        <v>1</v>
      </c>
      <c r="K1042" s="42">
        <v>1028</v>
      </c>
      <c r="L1042" s="43" t="s">
        <v>2298</v>
      </c>
      <c r="M1042" s="44" t="s">
        <v>405</v>
      </c>
      <c r="N1042" s="44" t="s">
        <v>2280</v>
      </c>
      <c r="O1042" s="44" t="str">
        <f t="shared" si="69"/>
        <v>PE-L1-2C10-02</v>
      </c>
      <c r="P1042" s="45">
        <v>1.7</v>
      </c>
      <c r="Q1042" s="44">
        <v>220</v>
      </c>
      <c r="R1042" s="44" t="s">
        <v>509</v>
      </c>
      <c r="S1042" s="44">
        <v>160</v>
      </c>
      <c r="T1042" s="46" t="s">
        <v>6316</v>
      </c>
      <c r="U1042" s="46" t="s">
        <v>6341</v>
      </c>
      <c r="V1042" s="46" t="s">
        <v>6342</v>
      </c>
      <c r="W1042" s="46" t="s">
        <v>347</v>
      </c>
      <c r="X1042" s="172" t="s">
        <v>8942</v>
      </c>
      <c r="Y1042" s="46" t="s">
        <v>6338</v>
      </c>
      <c r="Z1042" s="46" t="s">
        <v>6339</v>
      </c>
      <c r="AA1042" s="46" t="s">
        <v>392</v>
      </c>
      <c r="AB1042" s="172" t="s">
        <v>8942</v>
      </c>
      <c r="AC1042" s="48" t="s">
        <v>6343</v>
      </c>
      <c r="AD1042" s="30"/>
      <c r="AE1042" s="197"/>
      <c r="AF1042" s="47"/>
    </row>
    <row r="1043" spans="1:32" s="29" customFormat="1" ht="69.95" hidden="1" customHeight="1">
      <c r="A1043" s="29" t="s">
        <v>4020</v>
      </c>
      <c r="B1043" s="29" t="s">
        <v>3769</v>
      </c>
      <c r="C1043" s="40" t="s">
        <v>38</v>
      </c>
      <c r="D1043" s="124" t="s">
        <v>9045</v>
      </c>
      <c r="E1043" s="56" t="s">
        <v>80</v>
      </c>
      <c r="F1043" s="56" t="s">
        <v>80</v>
      </c>
      <c r="G1043" s="116" t="s">
        <v>9108</v>
      </c>
      <c r="H1043" s="43" t="s">
        <v>9109</v>
      </c>
      <c r="J1043" s="29">
        <f t="shared" si="67"/>
        <v>1</v>
      </c>
      <c r="K1043" s="42">
        <v>1029</v>
      </c>
      <c r="L1043" s="123" t="s">
        <v>8980</v>
      </c>
      <c r="M1043" s="44" t="s">
        <v>405</v>
      </c>
      <c r="N1043" s="44" t="s">
        <v>549</v>
      </c>
      <c r="O1043" s="44" t="str">
        <f t="shared" si="69"/>
        <v>PE-L1-3C10-02</v>
      </c>
      <c r="P1043" s="45">
        <v>1.71</v>
      </c>
      <c r="Q1043" s="44">
        <v>230</v>
      </c>
      <c r="R1043" s="44" t="s">
        <v>49</v>
      </c>
      <c r="S1043" s="125">
        <v>170</v>
      </c>
      <c r="T1043" s="46" t="s">
        <v>6316</v>
      </c>
      <c r="U1043" s="122" t="s">
        <v>5147</v>
      </c>
      <c r="V1043" s="122" t="s">
        <v>5148</v>
      </c>
      <c r="W1043" s="46" t="s">
        <v>347</v>
      </c>
      <c r="X1043" s="131" t="s">
        <v>7985</v>
      </c>
      <c r="Y1043" s="46" t="s">
        <v>6338</v>
      </c>
      <c r="Z1043" s="46" t="s">
        <v>6344</v>
      </c>
      <c r="AA1043" s="46" t="s">
        <v>392</v>
      </c>
      <c r="AB1043" s="131" t="s">
        <v>7985</v>
      </c>
      <c r="AC1043" s="76" t="s">
        <v>9038</v>
      </c>
      <c r="AD1043" s="30"/>
      <c r="AE1043" s="197"/>
      <c r="AF1043" s="47"/>
    </row>
    <row r="1044" spans="1:32" s="29" customFormat="1" ht="69.95" hidden="1" customHeight="1">
      <c r="A1044" s="29" t="s">
        <v>4020</v>
      </c>
      <c r="B1044" s="29" t="s">
        <v>3769</v>
      </c>
      <c r="C1044" s="40" t="s">
        <v>40</v>
      </c>
      <c r="D1044" s="40"/>
      <c r="E1044" s="57" t="s">
        <v>228</v>
      </c>
      <c r="F1044" s="57" t="s">
        <v>228</v>
      </c>
      <c r="G1044" s="29" t="s">
        <v>2299</v>
      </c>
      <c r="J1044" s="29">
        <f t="shared" si="67"/>
        <v>1</v>
      </c>
      <c r="K1044" s="42">
        <v>1030</v>
      </c>
      <c r="L1044" s="43" t="s">
        <v>2300</v>
      </c>
      <c r="M1044" s="44" t="s">
        <v>405</v>
      </c>
      <c r="N1044" s="44" t="s">
        <v>2080</v>
      </c>
      <c r="O1044" s="44" t="str">
        <f t="shared" si="69"/>
        <v>PE-L1-3C16-01</v>
      </c>
      <c r="P1044" s="45">
        <v>2.2999999999999998</v>
      </c>
      <c r="Q1044" s="44">
        <v>230</v>
      </c>
      <c r="R1044" s="44" t="s">
        <v>49</v>
      </c>
      <c r="S1044" s="44">
        <v>160</v>
      </c>
      <c r="T1044" s="46" t="s">
        <v>6316</v>
      </c>
      <c r="U1044" s="46" t="s">
        <v>4020</v>
      </c>
      <c r="V1044" s="46" t="s">
        <v>4021</v>
      </c>
      <c r="W1044" s="46" t="s">
        <v>347</v>
      </c>
      <c r="X1044" s="172" t="s">
        <v>9167</v>
      </c>
      <c r="Y1044" s="46" t="s">
        <v>6338</v>
      </c>
      <c r="Z1044" s="46" t="s">
        <v>6346</v>
      </c>
      <c r="AA1044" s="46" t="s">
        <v>392</v>
      </c>
      <c r="AB1044" s="172" t="s">
        <v>9167</v>
      </c>
      <c r="AC1044" s="48" t="s">
        <v>6345</v>
      </c>
      <c r="AD1044" s="30"/>
      <c r="AE1044" s="197"/>
      <c r="AF1044" s="47"/>
    </row>
    <row r="1045" spans="1:32" s="29" customFormat="1" ht="69.95" hidden="1" customHeight="1">
      <c r="A1045" s="29" t="s">
        <v>6336</v>
      </c>
      <c r="B1045" s="29" t="s">
        <v>3769</v>
      </c>
      <c r="C1045" s="40" t="s">
        <v>36</v>
      </c>
      <c r="D1045" s="40"/>
      <c r="E1045" s="56" t="s">
        <v>247</v>
      </c>
      <c r="F1045" s="56" t="s">
        <v>247</v>
      </c>
      <c r="G1045" s="29" t="s">
        <v>2301</v>
      </c>
      <c r="J1045" s="29">
        <f t="shared" si="67"/>
        <v>1</v>
      </c>
      <c r="K1045" s="42">
        <v>1031</v>
      </c>
      <c r="L1045" s="43" t="s">
        <v>2302</v>
      </c>
      <c r="M1045" s="44" t="s">
        <v>405</v>
      </c>
      <c r="N1045" s="44" t="s">
        <v>2280</v>
      </c>
      <c r="O1045" s="44" t="str">
        <f t="shared" si="69"/>
        <v>PE-L1-2C10-02</v>
      </c>
      <c r="P1045" s="45">
        <v>1.7</v>
      </c>
      <c r="Q1045" s="44">
        <v>220</v>
      </c>
      <c r="R1045" s="44" t="s">
        <v>509</v>
      </c>
      <c r="S1045" s="44">
        <v>110</v>
      </c>
      <c r="T1045" s="46" t="s">
        <v>6316</v>
      </c>
      <c r="U1045" s="46" t="s">
        <v>6336</v>
      </c>
      <c r="V1045" s="46" t="s">
        <v>6337</v>
      </c>
      <c r="W1045" s="46" t="s">
        <v>347</v>
      </c>
      <c r="X1045" s="172" t="s">
        <v>8942</v>
      </c>
      <c r="Y1045" s="46" t="s">
        <v>6347</v>
      </c>
      <c r="Z1045" s="46" t="s">
        <v>6348</v>
      </c>
      <c r="AA1045" s="46" t="s">
        <v>392</v>
      </c>
      <c r="AB1045" s="172" t="s">
        <v>8942</v>
      </c>
      <c r="AC1045" s="48" t="s">
        <v>6349</v>
      </c>
      <c r="AD1045" s="30"/>
      <c r="AE1045" s="197"/>
      <c r="AF1045" s="47"/>
    </row>
    <row r="1046" spans="1:32" s="29" customFormat="1" ht="69.95" hidden="1" customHeight="1">
      <c r="A1046" s="29" t="s">
        <v>6341</v>
      </c>
      <c r="B1046" s="29" t="s">
        <v>3769</v>
      </c>
      <c r="C1046" s="40" t="s">
        <v>36</v>
      </c>
      <c r="D1046" s="40"/>
      <c r="E1046" s="58" t="s">
        <v>8019</v>
      </c>
      <c r="F1046" s="58" t="s">
        <v>8019</v>
      </c>
      <c r="G1046" s="29" t="s">
        <v>2303</v>
      </c>
      <c r="J1046" s="29">
        <f t="shared" si="67"/>
        <v>1</v>
      </c>
      <c r="K1046" s="42">
        <v>1032</v>
      </c>
      <c r="L1046" s="43" t="s">
        <v>2304</v>
      </c>
      <c r="M1046" s="44" t="s">
        <v>405</v>
      </c>
      <c r="N1046" s="44" t="s">
        <v>613</v>
      </c>
      <c r="O1046" s="44" t="str">
        <f t="shared" si="69"/>
        <v>PE-L1-2C6-02</v>
      </c>
      <c r="P1046" s="45">
        <v>1.74</v>
      </c>
      <c r="Q1046" s="44">
        <v>220</v>
      </c>
      <c r="R1046" s="44" t="s">
        <v>509</v>
      </c>
      <c r="S1046" s="44">
        <v>110</v>
      </c>
      <c r="T1046" s="46" t="s">
        <v>6316</v>
      </c>
      <c r="U1046" s="46" t="s">
        <v>6341</v>
      </c>
      <c r="V1046" s="46" t="s">
        <v>6342</v>
      </c>
      <c r="W1046" s="46" t="s">
        <v>347</v>
      </c>
      <c r="X1046" s="172" t="s">
        <v>8942</v>
      </c>
      <c r="Y1046" s="46" t="s">
        <v>6347</v>
      </c>
      <c r="Z1046" s="46" t="s">
        <v>6348</v>
      </c>
      <c r="AA1046" s="46" t="s">
        <v>392</v>
      </c>
      <c r="AB1046" s="172" t="s">
        <v>8942</v>
      </c>
      <c r="AC1046" s="48" t="s">
        <v>6350</v>
      </c>
      <c r="AD1046" s="30"/>
      <c r="AE1046" s="197"/>
      <c r="AF1046" s="47"/>
    </row>
    <row r="1047" spans="1:32" s="29" customFormat="1" ht="69.95" hidden="1" customHeight="1">
      <c r="A1047" s="29" t="s">
        <v>5466</v>
      </c>
      <c r="B1047" s="29" t="s">
        <v>3769</v>
      </c>
      <c r="C1047" s="40" t="s">
        <v>40</v>
      </c>
      <c r="D1047" s="40"/>
      <c r="E1047" s="57" t="s">
        <v>63</v>
      </c>
      <c r="F1047" s="57" t="s">
        <v>63</v>
      </c>
      <c r="G1047" s="29" t="s">
        <v>2305</v>
      </c>
      <c r="J1047" s="29">
        <f t="shared" si="67"/>
        <v>1</v>
      </c>
      <c r="K1047" s="42">
        <v>1033</v>
      </c>
      <c r="L1047" s="43" t="s">
        <v>2306</v>
      </c>
      <c r="M1047" s="44" t="s">
        <v>405</v>
      </c>
      <c r="N1047" s="44" t="s">
        <v>456</v>
      </c>
      <c r="O1047" s="44" t="str">
        <f t="shared" si="69"/>
        <v>PE-L1-3C6-05</v>
      </c>
      <c r="P1047" s="45">
        <v>1.71</v>
      </c>
      <c r="Q1047" s="44">
        <v>230</v>
      </c>
      <c r="R1047" s="44" t="s">
        <v>49</v>
      </c>
      <c r="S1047" s="44">
        <v>90</v>
      </c>
      <c r="T1047" s="46" t="s">
        <v>6316</v>
      </c>
      <c r="U1047" s="46" t="s">
        <v>5466</v>
      </c>
      <c r="V1047" s="46" t="s">
        <v>5467</v>
      </c>
      <c r="W1047" s="46" t="s">
        <v>347</v>
      </c>
      <c r="X1047" s="172" t="s">
        <v>9167</v>
      </c>
      <c r="Y1047" s="46" t="s">
        <v>6347</v>
      </c>
      <c r="Z1047" s="46" t="s">
        <v>6351</v>
      </c>
      <c r="AA1047" s="46" t="s">
        <v>392</v>
      </c>
      <c r="AB1047" s="172" t="s">
        <v>9167</v>
      </c>
      <c r="AC1047" s="48" t="s">
        <v>6352</v>
      </c>
      <c r="AD1047" s="30"/>
      <c r="AE1047" s="197"/>
      <c r="AF1047" s="47"/>
    </row>
    <row r="1048" spans="1:32" s="29" customFormat="1" ht="69.95" hidden="1" customHeight="1">
      <c r="A1048" s="29" t="s">
        <v>4054</v>
      </c>
      <c r="B1048" s="29" t="s">
        <v>3769</v>
      </c>
      <c r="C1048" s="40" t="s">
        <v>42</v>
      </c>
      <c r="D1048" s="40"/>
      <c r="E1048" s="57" t="s">
        <v>80</v>
      </c>
      <c r="F1048" s="57" t="s">
        <v>80</v>
      </c>
      <c r="G1048" s="29" t="s">
        <v>2307</v>
      </c>
      <c r="J1048" s="29">
        <f t="shared" si="67"/>
        <v>1</v>
      </c>
      <c r="K1048" s="42">
        <v>1034</v>
      </c>
      <c r="L1048" s="43" t="s">
        <v>2308</v>
      </c>
      <c r="M1048" s="44" t="s">
        <v>405</v>
      </c>
      <c r="N1048" s="44" t="s">
        <v>549</v>
      </c>
      <c r="O1048" s="44" t="str">
        <f t="shared" si="69"/>
        <v>PE-L1-3C10-02</v>
      </c>
      <c r="P1048" s="45">
        <v>2.2999999999999998</v>
      </c>
      <c r="Q1048" s="44">
        <v>230</v>
      </c>
      <c r="R1048" s="44" t="s">
        <v>49</v>
      </c>
      <c r="S1048" s="44">
        <v>90</v>
      </c>
      <c r="T1048" s="46" t="s">
        <v>6316</v>
      </c>
      <c r="U1048" s="46" t="s">
        <v>4054</v>
      </c>
      <c r="V1048" s="46" t="s">
        <v>4055</v>
      </c>
      <c r="W1048" s="46" t="s">
        <v>347</v>
      </c>
      <c r="X1048" s="172" t="s">
        <v>9167</v>
      </c>
      <c r="Y1048" s="46" t="s">
        <v>6347</v>
      </c>
      <c r="Z1048" s="46" t="s">
        <v>6353</v>
      </c>
      <c r="AA1048" s="46" t="s">
        <v>392</v>
      </c>
      <c r="AB1048" s="172" t="s">
        <v>9167</v>
      </c>
      <c r="AC1048" s="48" t="s">
        <v>6354</v>
      </c>
      <c r="AD1048" s="30"/>
      <c r="AE1048" s="197"/>
      <c r="AF1048" s="47"/>
    </row>
    <row r="1049" spans="1:32" s="29" customFormat="1" ht="69.95" hidden="1" customHeight="1">
      <c r="A1049" s="29" t="s">
        <v>4075</v>
      </c>
      <c r="B1049" s="29" t="s">
        <v>3769</v>
      </c>
      <c r="C1049" s="40" t="s">
        <v>73</v>
      </c>
      <c r="D1049" s="124" t="s">
        <v>9045</v>
      </c>
      <c r="E1049" s="57" t="s">
        <v>77</v>
      </c>
      <c r="F1049" s="57" t="s">
        <v>77</v>
      </c>
      <c r="G1049" s="116" t="s">
        <v>9110</v>
      </c>
      <c r="H1049" s="43" t="s">
        <v>2309</v>
      </c>
      <c r="J1049" s="29">
        <f t="shared" si="67"/>
        <v>1</v>
      </c>
      <c r="K1049" s="42">
        <v>1035</v>
      </c>
      <c r="L1049" s="123" t="s">
        <v>2310</v>
      </c>
      <c r="M1049" s="44" t="s">
        <v>405</v>
      </c>
      <c r="N1049" s="44" t="s">
        <v>613</v>
      </c>
      <c r="O1049" s="44" t="str">
        <f t="shared" si="69"/>
        <v>PE-L1-2C6-01</v>
      </c>
      <c r="P1049" s="45">
        <v>1.74</v>
      </c>
      <c r="Q1049" s="44">
        <v>220</v>
      </c>
      <c r="R1049" s="44" t="s">
        <v>509</v>
      </c>
      <c r="S1049" s="44">
        <v>100</v>
      </c>
      <c r="T1049" s="46" t="s">
        <v>6316</v>
      </c>
      <c r="U1049" s="122" t="s">
        <v>8351</v>
      </c>
      <c r="V1049" s="122" t="s">
        <v>4070</v>
      </c>
      <c r="W1049" s="46" t="s">
        <v>391</v>
      </c>
      <c r="X1049" s="131" t="s">
        <v>8942</v>
      </c>
      <c r="Y1049" s="46" t="s">
        <v>6355</v>
      </c>
      <c r="Z1049" s="46" t="s">
        <v>6356</v>
      </c>
      <c r="AA1049" s="46" t="s">
        <v>392</v>
      </c>
      <c r="AB1049" s="131" t="s">
        <v>8942</v>
      </c>
      <c r="AC1049" s="76" t="s">
        <v>6357</v>
      </c>
      <c r="AD1049" s="30"/>
      <c r="AE1049" s="197"/>
      <c r="AF1049" s="47"/>
    </row>
    <row r="1050" spans="1:32" s="29" customFormat="1" ht="69.95" hidden="1" customHeight="1">
      <c r="A1050" s="29" t="s">
        <v>4069</v>
      </c>
      <c r="B1050" s="29" t="s">
        <v>3769</v>
      </c>
      <c r="C1050" s="40" t="s">
        <v>73</v>
      </c>
      <c r="D1050" s="124" t="s">
        <v>9045</v>
      </c>
      <c r="E1050" s="57" t="s">
        <v>77</v>
      </c>
      <c r="F1050" s="57" t="s">
        <v>77</v>
      </c>
      <c r="G1050" s="116" t="s">
        <v>9111</v>
      </c>
      <c r="H1050" s="43" t="s">
        <v>2310</v>
      </c>
      <c r="J1050" s="29">
        <f t="shared" si="67"/>
        <v>1</v>
      </c>
      <c r="K1050" s="42">
        <v>1036</v>
      </c>
      <c r="L1050" s="123" t="s">
        <v>2309</v>
      </c>
      <c r="M1050" s="44" t="s">
        <v>405</v>
      </c>
      <c r="N1050" s="44" t="s">
        <v>613</v>
      </c>
      <c r="O1050" s="44" t="str">
        <f t="shared" si="69"/>
        <v>PE-L1-2C6-01</v>
      </c>
      <c r="P1050" s="45">
        <v>1.74</v>
      </c>
      <c r="Q1050" s="44">
        <v>220</v>
      </c>
      <c r="R1050" s="44" t="s">
        <v>509</v>
      </c>
      <c r="S1050" s="44">
        <v>110</v>
      </c>
      <c r="T1050" s="46" t="s">
        <v>6316</v>
      </c>
      <c r="U1050" s="122" t="s">
        <v>9053</v>
      </c>
      <c r="V1050" s="122" t="s">
        <v>4076</v>
      </c>
      <c r="W1050" s="46" t="s">
        <v>391</v>
      </c>
      <c r="X1050" s="131" t="s">
        <v>8942</v>
      </c>
      <c r="Y1050" s="46" t="s">
        <v>6355</v>
      </c>
      <c r="Z1050" s="46" t="s">
        <v>6356</v>
      </c>
      <c r="AA1050" s="46" t="s">
        <v>392</v>
      </c>
      <c r="AB1050" s="131" t="s">
        <v>8942</v>
      </c>
      <c r="AC1050" s="76" t="s">
        <v>6358</v>
      </c>
      <c r="AD1050" s="30"/>
      <c r="AE1050" s="197"/>
      <c r="AF1050" s="47"/>
    </row>
    <row r="1051" spans="1:32" s="29" customFormat="1" ht="69.95" hidden="1" customHeight="1">
      <c r="A1051" s="29" t="s">
        <v>4079</v>
      </c>
      <c r="B1051" s="29" t="s">
        <v>3769</v>
      </c>
      <c r="C1051" s="40">
        <v>16</v>
      </c>
      <c r="D1051" s="40"/>
      <c r="E1051" s="57" t="s">
        <v>78</v>
      </c>
      <c r="F1051" s="57" t="s">
        <v>78</v>
      </c>
      <c r="G1051" s="29" t="s">
        <v>2311</v>
      </c>
      <c r="J1051" s="29">
        <f t="shared" si="67"/>
        <v>1</v>
      </c>
      <c r="K1051" s="42">
        <v>1037</v>
      </c>
      <c r="L1051" s="43" t="s">
        <v>2312</v>
      </c>
      <c r="M1051" s="44" t="s">
        <v>405</v>
      </c>
      <c r="N1051" s="44" t="s">
        <v>456</v>
      </c>
      <c r="O1051" s="44" t="str">
        <f t="shared" si="69"/>
        <v>PE-L1-3C6-01</v>
      </c>
      <c r="P1051" s="45">
        <v>1.71</v>
      </c>
      <c r="Q1051" s="44">
        <v>230</v>
      </c>
      <c r="R1051" s="44" t="s">
        <v>49</v>
      </c>
      <c r="S1051" s="44">
        <v>120</v>
      </c>
      <c r="T1051" s="46" t="s">
        <v>6316</v>
      </c>
      <c r="U1051" s="46" t="s">
        <v>4079</v>
      </c>
      <c r="V1051" s="46" t="s">
        <v>4080</v>
      </c>
      <c r="W1051" s="46" t="s">
        <v>391</v>
      </c>
      <c r="X1051" s="172" t="s">
        <v>9167</v>
      </c>
      <c r="Y1051" s="46" t="s">
        <v>6355</v>
      </c>
      <c r="Z1051" s="46" t="s">
        <v>6359</v>
      </c>
      <c r="AA1051" s="46" t="s">
        <v>392</v>
      </c>
      <c r="AB1051" s="172" t="s">
        <v>9167</v>
      </c>
      <c r="AC1051" s="48" t="s">
        <v>6360</v>
      </c>
      <c r="AD1051" s="30"/>
      <c r="AE1051" s="197"/>
      <c r="AF1051" s="47"/>
    </row>
    <row r="1052" spans="1:32" s="29" customFormat="1" ht="69.95" hidden="1" customHeight="1">
      <c r="A1052" s="29" t="s">
        <v>4158</v>
      </c>
      <c r="B1052" s="29" t="s">
        <v>3769</v>
      </c>
      <c r="C1052" s="40" t="s">
        <v>41</v>
      </c>
      <c r="D1052" s="40"/>
      <c r="E1052" s="57" t="s">
        <v>119</v>
      </c>
      <c r="F1052" s="57" t="s">
        <v>119</v>
      </c>
      <c r="G1052" s="29" t="s">
        <v>2313</v>
      </c>
      <c r="J1052" s="29">
        <f t="shared" si="67"/>
        <v>1</v>
      </c>
      <c r="K1052" s="42">
        <v>1038</v>
      </c>
      <c r="L1052" s="43" t="s">
        <v>2314</v>
      </c>
      <c r="M1052" s="44" t="s">
        <v>405</v>
      </c>
      <c r="N1052" s="44" t="s">
        <v>456</v>
      </c>
      <c r="O1052" s="44" t="str">
        <f t="shared" si="69"/>
        <v>PE-L1-3C6-02</v>
      </c>
      <c r="P1052" s="45">
        <v>2.2999999999999998</v>
      </c>
      <c r="Q1052" s="44">
        <v>230</v>
      </c>
      <c r="R1052" s="44" t="s">
        <v>49</v>
      </c>
      <c r="S1052" s="44">
        <v>100</v>
      </c>
      <c r="T1052" s="46" t="s">
        <v>6316</v>
      </c>
      <c r="U1052" s="46" t="s">
        <v>4158</v>
      </c>
      <c r="V1052" s="46" t="s">
        <v>4159</v>
      </c>
      <c r="W1052" s="46" t="s">
        <v>391</v>
      </c>
      <c r="X1052" s="172" t="s">
        <v>9167</v>
      </c>
      <c r="Y1052" s="46" t="s">
        <v>6355</v>
      </c>
      <c r="Z1052" s="46" t="s">
        <v>6361</v>
      </c>
      <c r="AA1052" s="46" t="s">
        <v>392</v>
      </c>
      <c r="AB1052" s="172" t="s">
        <v>9167</v>
      </c>
      <c r="AC1052" s="48" t="s">
        <v>6362</v>
      </c>
      <c r="AD1052" s="30"/>
      <c r="AE1052" s="197"/>
      <c r="AF1052" s="47"/>
    </row>
    <row r="1053" spans="1:32" s="29" customFormat="1" ht="69.95" hidden="1" customHeight="1">
      <c r="A1053" s="29" t="s">
        <v>4283</v>
      </c>
      <c r="B1053" s="29" t="s">
        <v>3769</v>
      </c>
      <c r="C1053" s="40" t="s">
        <v>73</v>
      </c>
      <c r="D1053" s="124" t="s">
        <v>9045</v>
      </c>
      <c r="E1053" s="58" t="s">
        <v>8019</v>
      </c>
      <c r="F1053" s="58" t="s">
        <v>8019</v>
      </c>
      <c r="G1053" s="116" t="s">
        <v>9112</v>
      </c>
      <c r="H1053" s="43" t="s">
        <v>2315</v>
      </c>
      <c r="J1053" s="29">
        <f t="shared" si="67"/>
        <v>1</v>
      </c>
      <c r="K1053" s="42">
        <v>1039</v>
      </c>
      <c r="L1053" s="123" t="s">
        <v>9145</v>
      </c>
      <c r="M1053" s="44" t="s">
        <v>405</v>
      </c>
      <c r="N1053" s="44" t="s">
        <v>613</v>
      </c>
      <c r="O1053" s="44" t="str">
        <f t="shared" si="69"/>
        <v>PE-L1-2C6-02</v>
      </c>
      <c r="P1053" s="45">
        <v>1.74</v>
      </c>
      <c r="Q1053" s="44">
        <v>220</v>
      </c>
      <c r="R1053" s="44" t="s">
        <v>509</v>
      </c>
      <c r="S1053" s="44">
        <v>90</v>
      </c>
      <c r="T1053" s="46" t="s">
        <v>6316</v>
      </c>
      <c r="U1053" s="122" t="s">
        <v>9054</v>
      </c>
      <c r="V1053" s="122" t="s">
        <v>4279</v>
      </c>
      <c r="W1053" s="46" t="s">
        <v>397</v>
      </c>
      <c r="X1053" s="131" t="s">
        <v>8942</v>
      </c>
      <c r="Y1053" s="46" t="s">
        <v>6363</v>
      </c>
      <c r="Z1053" s="46" t="s">
        <v>6364</v>
      </c>
      <c r="AA1053" s="46" t="s">
        <v>392</v>
      </c>
      <c r="AB1053" s="131" t="s">
        <v>8942</v>
      </c>
      <c r="AC1053" s="76" t="s">
        <v>9055</v>
      </c>
      <c r="AD1053" s="30"/>
      <c r="AE1053" s="197"/>
      <c r="AF1053" s="47"/>
    </row>
    <row r="1054" spans="1:32" s="29" customFormat="1" ht="69.95" hidden="1" customHeight="1">
      <c r="A1054" s="29" t="s">
        <v>4278</v>
      </c>
      <c r="B1054" s="29" t="s">
        <v>3769</v>
      </c>
      <c r="C1054" s="40" t="s">
        <v>73</v>
      </c>
      <c r="D1054" s="40"/>
      <c r="E1054" s="58" t="s">
        <v>8019</v>
      </c>
      <c r="F1054" s="58" t="s">
        <v>8019</v>
      </c>
      <c r="G1054" s="29" t="s">
        <v>9151</v>
      </c>
      <c r="H1054" s="43" t="s">
        <v>2316</v>
      </c>
      <c r="I1054" s="29" t="s">
        <v>9150</v>
      </c>
      <c r="J1054" s="29">
        <f t="shared" si="67"/>
        <v>1</v>
      </c>
      <c r="K1054" s="42">
        <v>1040</v>
      </c>
      <c r="L1054" s="155" t="s">
        <v>9146</v>
      </c>
      <c r="M1054" s="44" t="s">
        <v>405</v>
      </c>
      <c r="N1054" s="44" t="s">
        <v>613</v>
      </c>
      <c r="O1054" s="44" t="str">
        <f t="shared" si="69"/>
        <v>PE-L1-2C6-02</v>
      </c>
      <c r="P1054" s="45">
        <v>1.74</v>
      </c>
      <c r="Q1054" s="44">
        <v>220</v>
      </c>
      <c r="R1054" s="44" t="s">
        <v>509</v>
      </c>
      <c r="S1054" s="44">
        <v>110</v>
      </c>
      <c r="T1054" s="46" t="s">
        <v>6316</v>
      </c>
      <c r="U1054" s="122" t="s">
        <v>4283</v>
      </c>
      <c r="V1054" s="122" t="s">
        <v>4284</v>
      </c>
      <c r="W1054" s="46" t="s">
        <v>397</v>
      </c>
      <c r="X1054" s="172" t="s">
        <v>8942</v>
      </c>
      <c r="Y1054" s="46" t="s">
        <v>6363</v>
      </c>
      <c r="Z1054" s="46" t="s">
        <v>6364</v>
      </c>
      <c r="AA1054" s="46" t="s">
        <v>392</v>
      </c>
      <c r="AB1054" s="172" t="s">
        <v>8942</v>
      </c>
      <c r="AC1054" s="48" t="s">
        <v>6365</v>
      </c>
      <c r="AD1054" s="30"/>
      <c r="AE1054" s="197"/>
      <c r="AF1054" s="47"/>
    </row>
    <row r="1055" spans="1:32" s="29" customFormat="1" ht="69.95" hidden="1" customHeight="1">
      <c r="A1055" s="29" t="s">
        <v>4286</v>
      </c>
      <c r="B1055" s="29" t="s">
        <v>3769</v>
      </c>
      <c r="C1055" s="40">
        <v>15</v>
      </c>
      <c r="D1055" s="40"/>
      <c r="E1055" s="57" t="s">
        <v>8622</v>
      </c>
      <c r="F1055" s="57" t="s">
        <v>8622</v>
      </c>
      <c r="G1055" s="29" t="s">
        <v>2317</v>
      </c>
      <c r="J1055" s="29">
        <f t="shared" si="67"/>
        <v>1</v>
      </c>
      <c r="K1055" s="42">
        <v>1041</v>
      </c>
      <c r="L1055" s="43" t="s">
        <v>2318</v>
      </c>
      <c r="M1055" s="44" t="s">
        <v>405</v>
      </c>
      <c r="N1055" s="44" t="s">
        <v>456</v>
      </c>
      <c r="O1055" s="44" t="str">
        <f t="shared" si="69"/>
        <v>PE-L1-3C6-07</v>
      </c>
      <c r="P1055" s="45">
        <v>1.71</v>
      </c>
      <c r="Q1055" s="44">
        <v>230</v>
      </c>
      <c r="R1055" s="44" t="s">
        <v>49</v>
      </c>
      <c r="S1055" s="44">
        <v>110</v>
      </c>
      <c r="T1055" s="46" t="s">
        <v>6316</v>
      </c>
      <c r="U1055" s="46" t="s">
        <v>4286</v>
      </c>
      <c r="V1055" s="46" t="s">
        <v>4287</v>
      </c>
      <c r="W1055" s="46" t="s">
        <v>397</v>
      </c>
      <c r="X1055" s="172" t="s">
        <v>9167</v>
      </c>
      <c r="Y1055" s="46" t="s">
        <v>6363</v>
      </c>
      <c r="Z1055" s="46" t="s">
        <v>6366</v>
      </c>
      <c r="AA1055" s="46" t="s">
        <v>392</v>
      </c>
      <c r="AB1055" s="172" t="s">
        <v>9167</v>
      </c>
      <c r="AC1055" s="48" t="s">
        <v>6367</v>
      </c>
      <c r="AD1055" s="30"/>
      <c r="AE1055" s="197"/>
      <c r="AF1055" s="47"/>
    </row>
    <row r="1056" spans="1:32" s="29" customFormat="1" ht="69.95" hidden="1" customHeight="1">
      <c r="A1056" s="29" t="s">
        <v>4286</v>
      </c>
      <c r="B1056" s="29" t="s">
        <v>3769</v>
      </c>
      <c r="C1056" s="40">
        <v>16</v>
      </c>
      <c r="D1056" s="40"/>
      <c r="E1056" s="57" t="s">
        <v>80</v>
      </c>
      <c r="F1056" s="57" t="s">
        <v>80</v>
      </c>
      <c r="G1056" s="29" t="s">
        <v>2319</v>
      </c>
      <c r="J1056" s="29">
        <f t="shared" si="67"/>
        <v>1</v>
      </c>
      <c r="K1056" s="42">
        <v>1042</v>
      </c>
      <c r="L1056" s="43" t="s">
        <v>2320</v>
      </c>
      <c r="M1056" s="44" t="s">
        <v>405</v>
      </c>
      <c r="N1056" s="44" t="s">
        <v>549</v>
      </c>
      <c r="O1056" s="44" t="str">
        <f t="shared" si="69"/>
        <v>PE-L1-3C10-02</v>
      </c>
      <c r="P1056" s="45">
        <v>2.2999999999999998</v>
      </c>
      <c r="Q1056" s="44">
        <v>230</v>
      </c>
      <c r="R1056" s="44" t="s">
        <v>49</v>
      </c>
      <c r="S1056" s="44">
        <v>100</v>
      </c>
      <c r="T1056" s="46" t="s">
        <v>6316</v>
      </c>
      <c r="U1056" s="46" t="s">
        <v>4286</v>
      </c>
      <c r="V1056" s="46" t="s">
        <v>4287</v>
      </c>
      <c r="W1056" s="46" t="s">
        <v>397</v>
      </c>
      <c r="X1056" s="172" t="s">
        <v>9167</v>
      </c>
      <c r="Y1056" s="46" t="s">
        <v>6363</v>
      </c>
      <c r="Z1056" s="46" t="s">
        <v>6368</v>
      </c>
      <c r="AA1056" s="46" t="s">
        <v>392</v>
      </c>
      <c r="AB1056" s="172" t="s">
        <v>9167</v>
      </c>
      <c r="AC1056" s="48" t="s">
        <v>6369</v>
      </c>
      <c r="AD1056" s="30"/>
      <c r="AE1056" s="197"/>
      <c r="AF1056" s="47"/>
    </row>
    <row r="1057" spans="1:32" s="29" customFormat="1" ht="69.95" hidden="1" customHeight="1">
      <c r="A1057" s="29" t="s">
        <v>3948</v>
      </c>
      <c r="B1057" s="29" t="s">
        <v>3769</v>
      </c>
      <c r="C1057" s="40" t="s">
        <v>38</v>
      </c>
      <c r="D1057" s="40"/>
      <c r="E1057" s="57" t="s">
        <v>233</v>
      </c>
      <c r="F1057" s="57" t="s">
        <v>233</v>
      </c>
      <c r="G1057" s="29" t="s">
        <v>2321</v>
      </c>
      <c r="I1057" s="124" t="s">
        <v>9121</v>
      </c>
      <c r="J1057" s="29">
        <f t="shared" si="67"/>
        <v>1</v>
      </c>
      <c r="K1057" s="42">
        <v>1043</v>
      </c>
      <c r="L1057" s="152" t="s">
        <v>2322</v>
      </c>
      <c r="M1057" s="44" t="s">
        <v>405</v>
      </c>
      <c r="N1057" s="44" t="s">
        <v>426</v>
      </c>
      <c r="O1057" s="101" t="str">
        <f>F1057</f>
        <v>PE-L1-3C4-14</v>
      </c>
      <c r="P1057" s="45">
        <v>0.2</v>
      </c>
      <c r="Q1057" s="44">
        <v>230</v>
      </c>
      <c r="R1057" s="44" t="s">
        <v>49</v>
      </c>
      <c r="S1057" s="101">
        <v>120</v>
      </c>
      <c r="T1057" s="46" t="s">
        <v>6370</v>
      </c>
      <c r="U1057" s="46" t="s">
        <v>3948</v>
      </c>
      <c r="V1057" s="46" t="s">
        <v>3949</v>
      </c>
      <c r="W1057" s="46" t="s">
        <v>335</v>
      </c>
      <c r="X1057" s="172" t="s">
        <v>9167</v>
      </c>
      <c r="Y1057" s="46" t="s">
        <v>6371</v>
      </c>
      <c r="Z1057" s="46" t="s">
        <v>6372</v>
      </c>
      <c r="AA1057" s="46" t="s">
        <v>392</v>
      </c>
      <c r="AB1057" s="172" t="s">
        <v>9167</v>
      </c>
      <c r="AC1057" s="48" t="s">
        <v>6373</v>
      </c>
      <c r="AD1057" s="30"/>
      <c r="AE1057" s="197"/>
      <c r="AF1057" s="47"/>
    </row>
    <row r="1058" spans="1:32" s="29" customFormat="1" ht="69.95" hidden="1" customHeight="1">
      <c r="A1058" s="29" t="s">
        <v>5450</v>
      </c>
      <c r="B1058" s="29" t="s">
        <v>3769</v>
      </c>
      <c r="C1058" s="40" t="s">
        <v>40</v>
      </c>
      <c r="D1058" s="40"/>
      <c r="E1058" s="57" t="s">
        <v>8024</v>
      </c>
      <c r="F1058" s="57" t="s">
        <v>8024</v>
      </c>
      <c r="G1058" s="29" t="s">
        <v>2323</v>
      </c>
      <c r="I1058" s="124" t="s">
        <v>9121</v>
      </c>
      <c r="J1058" s="29">
        <f t="shared" si="67"/>
        <v>1</v>
      </c>
      <c r="K1058" s="42">
        <v>1044</v>
      </c>
      <c r="L1058" s="152" t="s">
        <v>9137</v>
      </c>
      <c r="M1058" s="44" t="s">
        <v>405</v>
      </c>
      <c r="N1058" s="44" t="s">
        <v>426</v>
      </c>
      <c r="O1058" s="101" t="str">
        <f>F1058</f>
        <v>PE-L1-3C4-14</v>
      </c>
      <c r="P1058" s="45">
        <v>0.2</v>
      </c>
      <c r="Q1058" s="44">
        <v>230</v>
      </c>
      <c r="R1058" s="44" t="s">
        <v>49</v>
      </c>
      <c r="S1058" s="101">
        <v>180</v>
      </c>
      <c r="T1058" s="46" t="s">
        <v>6370</v>
      </c>
      <c r="U1058" s="46" t="s">
        <v>5450</v>
      </c>
      <c r="V1058" s="46" t="s">
        <v>5451</v>
      </c>
      <c r="W1058" s="46" t="s">
        <v>335</v>
      </c>
      <c r="X1058" s="172" t="s">
        <v>9167</v>
      </c>
      <c r="Y1058" s="46" t="s">
        <v>6374</v>
      </c>
      <c r="Z1058" s="46" t="s">
        <v>6375</v>
      </c>
      <c r="AA1058" s="46" t="s">
        <v>392</v>
      </c>
      <c r="AB1058" s="172" t="s">
        <v>9167</v>
      </c>
      <c r="AC1058" s="48" t="s">
        <v>6376</v>
      </c>
      <c r="AD1058" s="30"/>
      <c r="AE1058" s="197"/>
      <c r="AF1058" s="47"/>
    </row>
    <row r="1059" spans="1:32" s="29" customFormat="1" ht="69.95" hidden="1" customHeight="1">
      <c r="A1059" s="29" t="s">
        <v>4020</v>
      </c>
      <c r="B1059" s="29" t="s">
        <v>3769</v>
      </c>
      <c r="C1059" s="40" t="s">
        <v>41</v>
      </c>
      <c r="D1059" s="40"/>
      <c r="E1059" s="58" t="s">
        <v>79</v>
      </c>
      <c r="F1059" s="58" t="s">
        <v>79</v>
      </c>
      <c r="G1059" s="29" t="s">
        <v>2324</v>
      </c>
      <c r="J1059" s="29">
        <f t="shared" si="67"/>
        <v>1</v>
      </c>
      <c r="K1059" s="42">
        <v>1045</v>
      </c>
      <c r="L1059" s="43" t="s">
        <v>2325</v>
      </c>
      <c r="M1059" s="44" t="s">
        <v>405</v>
      </c>
      <c r="N1059" s="44" t="s">
        <v>426</v>
      </c>
      <c r="O1059" s="44" t="str">
        <f t="shared" ref="O1059:O1062" si="70">F1059</f>
        <v>PE-L1-3C4-21</v>
      </c>
      <c r="P1059" s="45">
        <v>0.2</v>
      </c>
      <c r="Q1059" s="44">
        <v>230</v>
      </c>
      <c r="R1059" s="44" t="s">
        <v>49</v>
      </c>
      <c r="S1059" s="44">
        <v>160</v>
      </c>
      <c r="T1059" s="46" t="s">
        <v>6370</v>
      </c>
      <c r="U1059" s="46" t="s">
        <v>4020</v>
      </c>
      <c r="V1059" s="46" t="s">
        <v>4021</v>
      </c>
      <c r="W1059" s="46" t="s">
        <v>347</v>
      </c>
      <c r="X1059" s="172" t="s">
        <v>9167</v>
      </c>
      <c r="Y1059" s="46" t="s">
        <v>6377</v>
      </c>
      <c r="Z1059" s="46" t="s">
        <v>6378</v>
      </c>
      <c r="AA1059" s="46" t="s">
        <v>392</v>
      </c>
      <c r="AB1059" s="172" t="s">
        <v>9167</v>
      </c>
      <c r="AC1059" s="48" t="s">
        <v>6345</v>
      </c>
      <c r="AD1059" s="30"/>
      <c r="AE1059" s="197"/>
      <c r="AF1059" s="47"/>
    </row>
    <row r="1060" spans="1:32" s="29" customFormat="1" ht="69.95" hidden="1" customHeight="1">
      <c r="A1060" s="29" t="s">
        <v>5466</v>
      </c>
      <c r="B1060" s="29" t="s">
        <v>3769</v>
      </c>
      <c r="C1060" s="40" t="s">
        <v>41</v>
      </c>
      <c r="D1060" s="40"/>
      <c r="E1060" s="58" t="s">
        <v>79</v>
      </c>
      <c r="F1060" s="58" t="s">
        <v>79</v>
      </c>
      <c r="G1060" s="29" t="s">
        <v>2326</v>
      </c>
      <c r="J1060" s="29">
        <f t="shared" si="67"/>
        <v>1</v>
      </c>
      <c r="K1060" s="42">
        <v>1046</v>
      </c>
      <c r="L1060" s="43" t="s">
        <v>2327</v>
      </c>
      <c r="M1060" s="44" t="s">
        <v>405</v>
      </c>
      <c r="N1060" s="44" t="s">
        <v>426</v>
      </c>
      <c r="O1060" s="44" t="str">
        <f t="shared" si="70"/>
        <v>PE-L1-3C4-21</v>
      </c>
      <c r="P1060" s="45">
        <v>0.2</v>
      </c>
      <c r="Q1060" s="44">
        <v>230</v>
      </c>
      <c r="R1060" s="44" t="s">
        <v>49</v>
      </c>
      <c r="S1060" s="44">
        <v>90</v>
      </c>
      <c r="T1060" s="46" t="s">
        <v>6370</v>
      </c>
      <c r="U1060" s="46" t="s">
        <v>5466</v>
      </c>
      <c r="V1060" s="46" t="s">
        <v>5467</v>
      </c>
      <c r="W1060" s="46" t="s">
        <v>347</v>
      </c>
      <c r="X1060" s="172" t="s">
        <v>9167</v>
      </c>
      <c r="Y1060" s="46" t="s">
        <v>6379</v>
      </c>
      <c r="Z1060" s="46" t="s">
        <v>6380</v>
      </c>
      <c r="AA1060" s="46" t="s">
        <v>392</v>
      </c>
      <c r="AB1060" s="172" t="s">
        <v>9167</v>
      </c>
      <c r="AC1060" s="48" t="s">
        <v>6352</v>
      </c>
      <c r="AD1060" s="30"/>
      <c r="AE1060" s="197"/>
      <c r="AF1060" s="47"/>
    </row>
    <row r="1061" spans="1:32" s="29" customFormat="1" ht="69.95" hidden="1" customHeight="1">
      <c r="A1061" s="29" t="s">
        <v>4079</v>
      </c>
      <c r="B1061" s="29" t="s">
        <v>3769</v>
      </c>
      <c r="C1061" s="40">
        <v>17</v>
      </c>
      <c r="D1061" s="40"/>
      <c r="E1061" s="57" t="s">
        <v>233</v>
      </c>
      <c r="F1061" s="57" t="s">
        <v>233</v>
      </c>
      <c r="G1061" s="29" t="s">
        <v>2328</v>
      </c>
      <c r="J1061" s="29">
        <f t="shared" si="67"/>
        <v>1</v>
      </c>
      <c r="K1061" s="42">
        <v>1047</v>
      </c>
      <c r="L1061" s="43" t="s">
        <v>2329</v>
      </c>
      <c r="M1061" s="44" t="s">
        <v>405</v>
      </c>
      <c r="N1061" s="44" t="s">
        <v>426</v>
      </c>
      <c r="O1061" s="44" t="str">
        <f t="shared" si="70"/>
        <v>PE-L1-3C4-14</v>
      </c>
      <c r="P1061" s="45">
        <v>0.2</v>
      </c>
      <c r="Q1061" s="44">
        <v>230</v>
      </c>
      <c r="R1061" s="44" t="s">
        <v>49</v>
      </c>
      <c r="S1061" s="44">
        <v>110</v>
      </c>
      <c r="T1061" s="46" t="s">
        <v>6370</v>
      </c>
      <c r="U1061" s="46" t="s">
        <v>4079</v>
      </c>
      <c r="V1061" s="46" t="s">
        <v>4080</v>
      </c>
      <c r="W1061" s="46" t="s">
        <v>391</v>
      </c>
      <c r="X1061" s="172" t="s">
        <v>9167</v>
      </c>
      <c r="Y1061" s="46" t="s">
        <v>6381</v>
      </c>
      <c r="Z1061" s="46" t="s">
        <v>6382</v>
      </c>
      <c r="AA1061" s="46" t="s">
        <v>392</v>
      </c>
      <c r="AB1061" s="172" t="s">
        <v>9167</v>
      </c>
      <c r="AC1061" s="48" t="s">
        <v>6383</v>
      </c>
      <c r="AD1061" s="30"/>
      <c r="AE1061" s="197"/>
      <c r="AF1061" s="47"/>
    </row>
    <row r="1062" spans="1:32" s="29" customFormat="1" ht="69.95" hidden="1" customHeight="1">
      <c r="A1062" s="29" t="s">
        <v>4286</v>
      </c>
      <c r="B1062" s="29" t="s">
        <v>3769</v>
      </c>
      <c r="C1062" s="40">
        <v>17</v>
      </c>
      <c r="D1062" s="40"/>
      <c r="E1062" s="57" t="s">
        <v>8599</v>
      </c>
      <c r="F1062" s="57" t="s">
        <v>8599</v>
      </c>
      <c r="G1062" s="29" t="s">
        <v>2330</v>
      </c>
      <c r="J1062" s="29">
        <f t="shared" si="67"/>
        <v>1</v>
      </c>
      <c r="K1062" s="42">
        <v>1048</v>
      </c>
      <c r="L1062" s="43" t="s">
        <v>2331</v>
      </c>
      <c r="M1062" s="44" t="s">
        <v>405</v>
      </c>
      <c r="N1062" s="44" t="s">
        <v>426</v>
      </c>
      <c r="O1062" s="44" t="str">
        <f t="shared" si="70"/>
        <v>PE-L1-3C4-28</v>
      </c>
      <c r="P1062" s="45">
        <v>0.2</v>
      </c>
      <c r="Q1062" s="44">
        <v>230</v>
      </c>
      <c r="R1062" s="44" t="s">
        <v>49</v>
      </c>
      <c r="S1062" s="44">
        <v>100</v>
      </c>
      <c r="T1062" s="46" t="s">
        <v>6370</v>
      </c>
      <c r="U1062" s="46" t="s">
        <v>4286</v>
      </c>
      <c r="V1062" s="46" t="s">
        <v>4287</v>
      </c>
      <c r="W1062" s="46" t="s">
        <v>397</v>
      </c>
      <c r="X1062" s="172" t="s">
        <v>9167</v>
      </c>
      <c r="Y1062" s="46" t="s">
        <v>6379</v>
      </c>
      <c r="Z1062" s="46" t="s">
        <v>6384</v>
      </c>
      <c r="AA1062" s="46" t="s">
        <v>392</v>
      </c>
      <c r="AB1062" s="172" t="s">
        <v>9167</v>
      </c>
      <c r="AC1062" s="48" t="s">
        <v>6385</v>
      </c>
      <c r="AD1062" s="30"/>
      <c r="AE1062" s="197"/>
      <c r="AF1062" s="47"/>
    </row>
    <row r="1063" spans="1:32" s="29" customFormat="1" ht="69.95" hidden="1" customHeight="1">
      <c r="A1063" s="29" t="s">
        <v>6317</v>
      </c>
      <c r="B1063" s="29" t="s">
        <v>3769</v>
      </c>
      <c r="C1063" s="40" t="s">
        <v>38</v>
      </c>
      <c r="D1063" s="40"/>
      <c r="E1063" s="56" t="s">
        <v>247</v>
      </c>
      <c r="F1063" s="56" t="s">
        <v>247</v>
      </c>
      <c r="G1063" s="29" t="s">
        <v>2332</v>
      </c>
      <c r="I1063" s="124" t="s">
        <v>9121</v>
      </c>
      <c r="J1063" s="29">
        <f t="shared" si="67"/>
        <v>1</v>
      </c>
      <c r="K1063" s="42">
        <v>1049</v>
      </c>
      <c r="L1063" s="152" t="s">
        <v>2333</v>
      </c>
      <c r="M1063" s="44" t="s">
        <v>405</v>
      </c>
      <c r="N1063" s="44" t="s">
        <v>2280</v>
      </c>
      <c r="O1063" s="101" t="str">
        <f t="shared" ref="O1063:O1102" si="71">F1063</f>
        <v>PE-L1-2C10-02</v>
      </c>
      <c r="P1063" s="45">
        <v>3.3600000000000003</v>
      </c>
      <c r="Q1063" s="44">
        <v>220</v>
      </c>
      <c r="R1063" s="44" t="s">
        <v>509</v>
      </c>
      <c r="S1063" s="101">
        <v>100</v>
      </c>
      <c r="T1063" s="46" t="s">
        <v>6386</v>
      </c>
      <c r="U1063" s="46" t="s">
        <v>6317</v>
      </c>
      <c r="V1063" s="46" t="s">
        <v>6318</v>
      </c>
      <c r="W1063" s="46" t="s">
        <v>335</v>
      </c>
      <c r="X1063" s="172" t="s">
        <v>8942</v>
      </c>
      <c r="Y1063" s="46" t="s">
        <v>3938</v>
      </c>
      <c r="Z1063" s="46" t="s">
        <v>6387</v>
      </c>
      <c r="AA1063" s="46" t="s">
        <v>335</v>
      </c>
      <c r="AB1063" s="172" t="s">
        <v>8942</v>
      </c>
      <c r="AC1063" s="48" t="s">
        <v>6388</v>
      </c>
      <c r="AD1063" s="30"/>
      <c r="AE1063" s="197"/>
      <c r="AF1063" s="47"/>
    </row>
    <row r="1064" spans="1:32" s="29" customFormat="1" ht="69.95" hidden="1" customHeight="1">
      <c r="A1064" s="29" t="s">
        <v>6322</v>
      </c>
      <c r="B1064" s="29" t="s">
        <v>3769</v>
      </c>
      <c r="C1064" s="40" t="s">
        <v>38</v>
      </c>
      <c r="D1064" s="40"/>
      <c r="E1064" s="56" t="s">
        <v>246</v>
      </c>
      <c r="F1064" s="56" t="s">
        <v>246</v>
      </c>
      <c r="G1064" s="29" t="s">
        <v>2334</v>
      </c>
      <c r="I1064" s="124" t="s">
        <v>9121</v>
      </c>
      <c r="J1064" s="29">
        <f t="shared" si="67"/>
        <v>1</v>
      </c>
      <c r="K1064" s="42">
        <v>1050</v>
      </c>
      <c r="L1064" s="152" t="s">
        <v>2335</v>
      </c>
      <c r="M1064" s="44" t="s">
        <v>405</v>
      </c>
      <c r="N1064" s="44" t="s">
        <v>2280</v>
      </c>
      <c r="O1064" s="101" t="str">
        <f t="shared" si="71"/>
        <v>PE-L1-2C10-01</v>
      </c>
      <c r="P1064" s="45">
        <v>3.3600000000000003</v>
      </c>
      <c r="Q1064" s="44">
        <v>220</v>
      </c>
      <c r="R1064" s="44" t="s">
        <v>509</v>
      </c>
      <c r="S1064" s="101">
        <v>110</v>
      </c>
      <c r="T1064" s="46" t="s">
        <v>6386</v>
      </c>
      <c r="U1064" s="46" t="s">
        <v>6322</v>
      </c>
      <c r="V1064" s="46" t="s">
        <v>6323</v>
      </c>
      <c r="W1064" s="46" t="s">
        <v>335</v>
      </c>
      <c r="X1064" s="172" t="s">
        <v>8942</v>
      </c>
      <c r="Y1064" s="46" t="s">
        <v>3938</v>
      </c>
      <c r="Z1064" s="46" t="s">
        <v>6389</v>
      </c>
      <c r="AA1064" s="46" t="s">
        <v>335</v>
      </c>
      <c r="AB1064" s="172" t="s">
        <v>8942</v>
      </c>
      <c r="AC1064" s="48" t="s">
        <v>6390</v>
      </c>
      <c r="AD1064" s="30"/>
      <c r="AE1064" s="197"/>
      <c r="AF1064" s="47"/>
    </row>
    <row r="1065" spans="1:32" s="29" customFormat="1" ht="69.95" hidden="1" customHeight="1">
      <c r="A1065" s="29" t="s">
        <v>5096</v>
      </c>
      <c r="B1065" s="29" t="s">
        <v>3769</v>
      </c>
      <c r="C1065" s="40" t="s">
        <v>42</v>
      </c>
      <c r="D1065" s="173" t="s">
        <v>9131</v>
      </c>
      <c r="E1065" s="57" t="s">
        <v>233</v>
      </c>
      <c r="F1065" s="121" t="s">
        <v>122</v>
      </c>
      <c r="G1065" s="29" t="s">
        <v>2336</v>
      </c>
      <c r="I1065" s="124" t="s">
        <v>9121</v>
      </c>
      <c r="J1065" s="29">
        <f t="shared" si="67"/>
        <v>1</v>
      </c>
      <c r="K1065" s="42">
        <v>1051</v>
      </c>
      <c r="L1065" s="152" t="s">
        <v>9440</v>
      </c>
      <c r="M1065" s="44" t="s">
        <v>405</v>
      </c>
      <c r="N1065" s="44" t="s">
        <v>426</v>
      </c>
      <c r="O1065" s="121" t="str">
        <f t="shared" si="71"/>
        <v>PE-L1-3C4-06</v>
      </c>
      <c r="P1065" s="45">
        <v>3.34</v>
      </c>
      <c r="Q1065" s="44">
        <v>230</v>
      </c>
      <c r="R1065" s="44" t="s">
        <v>49</v>
      </c>
      <c r="S1065" s="44">
        <v>50</v>
      </c>
      <c r="T1065" s="46" t="s">
        <v>6386</v>
      </c>
      <c r="U1065" s="46" t="s">
        <v>5096</v>
      </c>
      <c r="V1065" s="46" t="s">
        <v>5097</v>
      </c>
      <c r="W1065" s="46" t="s">
        <v>335</v>
      </c>
      <c r="X1065" s="172" t="s">
        <v>9167</v>
      </c>
      <c r="Y1065" s="46" t="s">
        <v>3938</v>
      </c>
      <c r="Z1065" s="46" t="s">
        <v>6391</v>
      </c>
      <c r="AA1065" s="46" t="s">
        <v>335</v>
      </c>
      <c r="AB1065" s="172" t="s">
        <v>9167</v>
      </c>
      <c r="AC1065" s="48" t="s">
        <v>6392</v>
      </c>
      <c r="AD1065" s="30"/>
      <c r="AE1065" s="197"/>
      <c r="AF1065" s="47"/>
    </row>
    <row r="1066" spans="1:32" s="29" customFormat="1" ht="69.95" hidden="1" customHeight="1">
      <c r="A1066" s="29" t="s">
        <v>6317</v>
      </c>
      <c r="B1066" s="29" t="s">
        <v>3769</v>
      </c>
      <c r="C1066" s="40" t="s">
        <v>40</v>
      </c>
      <c r="D1066" s="40"/>
      <c r="E1066" s="58" t="s">
        <v>8578</v>
      </c>
      <c r="F1066" s="58" t="s">
        <v>8579</v>
      </c>
      <c r="G1066" s="29" t="s">
        <v>2337</v>
      </c>
      <c r="I1066" s="124" t="s">
        <v>9121</v>
      </c>
      <c r="J1066" s="29">
        <f t="shared" si="67"/>
        <v>1</v>
      </c>
      <c r="K1066" s="42">
        <v>1052</v>
      </c>
      <c r="L1066" s="152" t="s">
        <v>2338</v>
      </c>
      <c r="M1066" s="44" t="s">
        <v>405</v>
      </c>
      <c r="N1066" s="44" t="s">
        <v>578</v>
      </c>
      <c r="O1066" s="101" t="str">
        <f t="shared" si="71"/>
        <v>PE-L1-2C4-03</v>
      </c>
      <c r="P1066" s="45">
        <v>0.17</v>
      </c>
      <c r="Q1066" s="44">
        <v>220</v>
      </c>
      <c r="R1066" s="44" t="s">
        <v>509</v>
      </c>
      <c r="S1066" s="101">
        <v>140</v>
      </c>
      <c r="T1066" s="46" t="s">
        <v>6386</v>
      </c>
      <c r="U1066" s="46" t="s">
        <v>6317</v>
      </c>
      <c r="V1066" s="46" t="s">
        <v>6318</v>
      </c>
      <c r="W1066" s="46" t="s">
        <v>335</v>
      </c>
      <c r="X1066" s="172" t="s">
        <v>8942</v>
      </c>
      <c r="Y1066" s="46" t="s">
        <v>6393</v>
      </c>
      <c r="Z1066" s="46" t="s">
        <v>6394</v>
      </c>
      <c r="AA1066" s="46" t="s">
        <v>335</v>
      </c>
      <c r="AB1066" s="172" t="s">
        <v>8942</v>
      </c>
      <c r="AC1066" s="48" t="s">
        <v>6395</v>
      </c>
      <c r="AD1066" s="30"/>
      <c r="AE1066" s="197"/>
      <c r="AF1066" s="47"/>
    </row>
    <row r="1067" spans="1:32" s="29" customFormat="1" ht="69.95" hidden="1" customHeight="1">
      <c r="A1067" s="29" t="s">
        <v>6322</v>
      </c>
      <c r="B1067" s="29" t="s">
        <v>3769</v>
      </c>
      <c r="C1067" s="40" t="s">
        <v>40</v>
      </c>
      <c r="D1067" s="40"/>
      <c r="E1067" s="58" t="s">
        <v>8578</v>
      </c>
      <c r="F1067" s="58" t="s">
        <v>8579</v>
      </c>
      <c r="G1067" s="29" t="s">
        <v>2339</v>
      </c>
      <c r="I1067" s="124" t="s">
        <v>9121</v>
      </c>
      <c r="J1067" s="29">
        <f t="shared" si="67"/>
        <v>1</v>
      </c>
      <c r="K1067" s="42">
        <v>1053</v>
      </c>
      <c r="L1067" s="152" t="s">
        <v>2340</v>
      </c>
      <c r="M1067" s="44" t="s">
        <v>405</v>
      </c>
      <c r="N1067" s="44" t="s">
        <v>578</v>
      </c>
      <c r="O1067" s="101" t="str">
        <f t="shared" si="71"/>
        <v>PE-L1-2C4-03</v>
      </c>
      <c r="P1067" s="45">
        <v>0.17</v>
      </c>
      <c r="Q1067" s="44">
        <v>220</v>
      </c>
      <c r="R1067" s="44" t="s">
        <v>509</v>
      </c>
      <c r="S1067" s="101">
        <v>100</v>
      </c>
      <c r="T1067" s="46" t="s">
        <v>6386</v>
      </c>
      <c r="U1067" s="46" t="s">
        <v>6322</v>
      </c>
      <c r="V1067" s="46" t="s">
        <v>6323</v>
      </c>
      <c r="W1067" s="46" t="s">
        <v>335</v>
      </c>
      <c r="X1067" s="172" t="s">
        <v>8942</v>
      </c>
      <c r="Y1067" s="46" t="s">
        <v>6393</v>
      </c>
      <c r="Z1067" s="46" t="s">
        <v>6396</v>
      </c>
      <c r="AA1067" s="46" t="s">
        <v>335</v>
      </c>
      <c r="AB1067" s="172" t="s">
        <v>8942</v>
      </c>
      <c r="AC1067" s="48" t="s">
        <v>6397</v>
      </c>
      <c r="AD1067" s="30"/>
      <c r="AE1067" s="197"/>
      <c r="AF1067" s="47"/>
    </row>
    <row r="1068" spans="1:32" s="29" customFormat="1" ht="69.95" hidden="1" customHeight="1">
      <c r="A1068" s="29" t="s">
        <v>5096</v>
      </c>
      <c r="B1068" s="29" t="s">
        <v>3769</v>
      </c>
      <c r="C1068" s="40">
        <v>15</v>
      </c>
      <c r="D1068" s="173" t="s">
        <v>9131</v>
      </c>
      <c r="E1068" s="57" t="s">
        <v>233</v>
      </c>
      <c r="F1068" s="121" t="s">
        <v>122</v>
      </c>
      <c r="G1068" s="29" t="s">
        <v>2341</v>
      </c>
      <c r="I1068" s="124" t="s">
        <v>9121</v>
      </c>
      <c r="J1068" s="29">
        <f t="shared" si="67"/>
        <v>1</v>
      </c>
      <c r="K1068" s="42">
        <v>1054</v>
      </c>
      <c r="L1068" s="152" t="s">
        <v>9441</v>
      </c>
      <c r="M1068" s="44" t="s">
        <v>405</v>
      </c>
      <c r="N1068" s="44" t="s">
        <v>426</v>
      </c>
      <c r="O1068" s="121" t="str">
        <f t="shared" si="71"/>
        <v>PE-L1-3C4-06</v>
      </c>
      <c r="P1068" s="45">
        <v>0.1</v>
      </c>
      <c r="Q1068" s="44">
        <v>230</v>
      </c>
      <c r="R1068" s="44" t="s">
        <v>49</v>
      </c>
      <c r="S1068" s="44">
        <v>40</v>
      </c>
      <c r="T1068" s="46" t="s">
        <v>6386</v>
      </c>
      <c r="U1068" s="46" t="s">
        <v>5096</v>
      </c>
      <c r="V1068" s="46" t="s">
        <v>5097</v>
      </c>
      <c r="W1068" s="46" t="s">
        <v>335</v>
      </c>
      <c r="X1068" s="172" t="s">
        <v>9167</v>
      </c>
      <c r="Y1068" s="46" t="s">
        <v>6393</v>
      </c>
      <c r="Z1068" s="46" t="s">
        <v>6398</v>
      </c>
      <c r="AA1068" s="46" t="s">
        <v>335</v>
      </c>
      <c r="AB1068" s="172" t="s">
        <v>9167</v>
      </c>
      <c r="AC1068" s="48" t="s">
        <v>6399</v>
      </c>
      <c r="AD1068" s="30"/>
      <c r="AE1068" s="197"/>
      <c r="AF1068" s="47"/>
    </row>
    <row r="1069" spans="1:32" s="29" customFormat="1" ht="69.95" hidden="1" customHeight="1">
      <c r="A1069" s="29" t="s">
        <v>6317</v>
      </c>
      <c r="B1069" s="29" t="s">
        <v>3769</v>
      </c>
      <c r="C1069" s="40" t="s">
        <v>41</v>
      </c>
      <c r="D1069" s="40"/>
      <c r="E1069" s="58" t="s">
        <v>77</v>
      </c>
      <c r="F1069" s="58" t="s">
        <v>77</v>
      </c>
      <c r="G1069" s="29" t="s">
        <v>2342</v>
      </c>
      <c r="I1069" s="124" t="s">
        <v>9121</v>
      </c>
      <c r="J1069" s="29">
        <f t="shared" si="67"/>
        <v>1</v>
      </c>
      <c r="K1069" s="42">
        <v>1055</v>
      </c>
      <c r="L1069" s="152" t="s">
        <v>2343</v>
      </c>
      <c r="M1069" s="44" t="s">
        <v>405</v>
      </c>
      <c r="N1069" s="44" t="s">
        <v>613</v>
      </c>
      <c r="O1069" s="101" t="str">
        <f t="shared" si="71"/>
        <v>PE-L1-2C6-01</v>
      </c>
      <c r="P1069" s="45">
        <v>1.3</v>
      </c>
      <c r="Q1069" s="44">
        <v>220</v>
      </c>
      <c r="R1069" s="44" t="s">
        <v>509</v>
      </c>
      <c r="S1069" s="101">
        <v>120</v>
      </c>
      <c r="T1069" s="46" t="s">
        <v>6386</v>
      </c>
      <c r="U1069" s="46" t="s">
        <v>6317</v>
      </c>
      <c r="V1069" s="46" t="s">
        <v>6318</v>
      </c>
      <c r="W1069" s="46" t="s">
        <v>335</v>
      </c>
      <c r="X1069" s="131" t="s">
        <v>8942</v>
      </c>
      <c r="Y1069" s="46" t="s">
        <v>3927</v>
      </c>
      <c r="Z1069" s="46" t="s">
        <v>6400</v>
      </c>
      <c r="AA1069" s="46" t="s">
        <v>335</v>
      </c>
      <c r="AB1069" s="131" t="s">
        <v>8942</v>
      </c>
      <c r="AC1069" s="48" t="s">
        <v>6401</v>
      </c>
      <c r="AD1069" s="30"/>
      <c r="AE1069" s="197"/>
      <c r="AF1069" s="47"/>
    </row>
    <row r="1070" spans="1:32" s="29" customFormat="1" ht="69.95" hidden="1" customHeight="1">
      <c r="A1070" s="29" t="s">
        <v>6322</v>
      </c>
      <c r="B1070" s="29" t="s">
        <v>3769</v>
      </c>
      <c r="C1070" s="40" t="s">
        <v>41</v>
      </c>
      <c r="D1070" s="40"/>
      <c r="E1070" s="58" t="s">
        <v>8578</v>
      </c>
      <c r="F1070" s="58" t="s">
        <v>8579</v>
      </c>
      <c r="G1070" s="29" t="s">
        <v>2344</v>
      </c>
      <c r="I1070" s="124" t="s">
        <v>9121</v>
      </c>
      <c r="J1070" s="29">
        <f t="shared" si="67"/>
        <v>1</v>
      </c>
      <c r="K1070" s="42">
        <v>1056</v>
      </c>
      <c r="L1070" s="152" t="s">
        <v>2345</v>
      </c>
      <c r="M1070" s="44" t="s">
        <v>405</v>
      </c>
      <c r="N1070" s="44" t="s">
        <v>578</v>
      </c>
      <c r="O1070" s="101" t="str">
        <f t="shared" si="71"/>
        <v>PE-L1-2C4-03</v>
      </c>
      <c r="P1070" s="45">
        <v>1.3</v>
      </c>
      <c r="Q1070" s="44">
        <v>220</v>
      </c>
      <c r="R1070" s="44" t="s">
        <v>509</v>
      </c>
      <c r="S1070" s="101">
        <v>100</v>
      </c>
      <c r="T1070" s="46" t="s">
        <v>6386</v>
      </c>
      <c r="U1070" s="46" t="s">
        <v>6322</v>
      </c>
      <c r="V1070" s="46" t="s">
        <v>6323</v>
      </c>
      <c r="W1070" s="46" t="s">
        <v>335</v>
      </c>
      <c r="X1070" s="172" t="s">
        <v>8942</v>
      </c>
      <c r="Y1070" s="46" t="s">
        <v>3927</v>
      </c>
      <c r="Z1070" s="46" t="s">
        <v>6402</v>
      </c>
      <c r="AA1070" s="46" t="s">
        <v>335</v>
      </c>
      <c r="AB1070" s="172" t="s">
        <v>8942</v>
      </c>
      <c r="AC1070" s="48" t="s">
        <v>6403</v>
      </c>
      <c r="AD1070" s="30"/>
      <c r="AE1070" s="197"/>
      <c r="AF1070" s="47"/>
    </row>
    <row r="1071" spans="1:32" s="29" customFormat="1" ht="69.95" hidden="1" customHeight="1">
      <c r="A1071" s="29" t="s">
        <v>5096</v>
      </c>
      <c r="B1071" s="29" t="s">
        <v>3769</v>
      </c>
      <c r="C1071" s="40" t="s">
        <v>43</v>
      </c>
      <c r="D1071" s="173" t="s">
        <v>9131</v>
      </c>
      <c r="E1071" s="57" t="s">
        <v>233</v>
      </c>
      <c r="F1071" s="121" t="s">
        <v>122</v>
      </c>
      <c r="G1071" s="29" t="s">
        <v>2346</v>
      </c>
      <c r="I1071" s="124" t="s">
        <v>9121</v>
      </c>
      <c r="J1071" s="29">
        <f t="shared" si="67"/>
        <v>1</v>
      </c>
      <c r="K1071" s="42">
        <v>1057</v>
      </c>
      <c r="L1071" s="152" t="s">
        <v>9442</v>
      </c>
      <c r="M1071" s="44" t="s">
        <v>405</v>
      </c>
      <c r="N1071" s="44" t="s">
        <v>426</v>
      </c>
      <c r="O1071" s="121" t="str">
        <f t="shared" si="71"/>
        <v>PE-L1-3C4-06</v>
      </c>
      <c r="P1071" s="45">
        <v>2.1</v>
      </c>
      <c r="Q1071" s="44">
        <v>230</v>
      </c>
      <c r="R1071" s="44" t="s">
        <v>49</v>
      </c>
      <c r="S1071" s="44">
        <v>40</v>
      </c>
      <c r="T1071" s="46" t="s">
        <v>6386</v>
      </c>
      <c r="U1071" s="46" t="s">
        <v>5096</v>
      </c>
      <c r="V1071" s="46" t="s">
        <v>5097</v>
      </c>
      <c r="W1071" s="46" t="s">
        <v>335</v>
      </c>
      <c r="X1071" s="172" t="s">
        <v>9167</v>
      </c>
      <c r="Y1071" s="46" t="s">
        <v>3927</v>
      </c>
      <c r="Z1071" s="46" t="s">
        <v>6404</v>
      </c>
      <c r="AA1071" s="46" t="s">
        <v>335</v>
      </c>
      <c r="AB1071" s="172" t="s">
        <v>9167</v>
      </c>
      <c r="AC1071" s="48" t="s">
        <v>6405</v>
      </c>
      <c r="AD1071" s="30"/>
      <c r="AE1071" s="197"/>
      <c r="AF1071" s="47"/>
    </row>
    <row r="1072" spans="1:32" s="29" customFormat="1" ht="69.95" hidden="1" customHeight="1">
      <c r="A1072" s="29" t="s">
        <v>5096</v>
      </c>
      <c r="B1072" s="29" t="s">
        <v>3769</v>
      </c>
      <c r="C1072" s="40" t="s">
        <v>73</v>
      </c>
      <c r="D1072" s="173" t="s">
        <v>9131</v>
      </c>
      <c r="E1072" s="57" t="s">
        <v>233</v>
      </c>
      <c r="F1072" s="121" t="s">
        <v>122</v>
      </c>
      <c r="G1072" s="29" t="s">
        <v>2347</v>
      </c>
      <c r="I1072" s="124" t="s">
        <v>9121</v>
      </c>
      <c r="J1072" s="29">
        <f t="shared" si="67"/>
        <v>1</v>
      </c>
      <c r="K1072" s="42">
        <v>1058</v>
      </c>
      <c r="L1072" s="152" t="s">
        <v>9443</v>
      </c>
      <c r="M1072" s="44" t="s">
        <v>405</v>
      </c>
      <c r="N1072" s="44" t="s">
        <v>426</v>
      </c>
      <c r="O1072" s="121" t="str">
        <f t="shared" si="71"/>
        <v>PE-L1-3C4-06</v>
      </c>
      <c r="P1072" s="45">
        <v>0.87</v>
      </c>
      <c r="Q1072" s="44">
        <v>230</v>
      </c>
      <c r="R1072" s="44" t="s">
        <v>49</v>
      </c>
      <c r="S1072" s="44">
        <v>40</v>
      </c>
      <c r="T1072" s="46" t="s">
        <v>6386</v>
      </c>
      <c r="U1072" s="46" t="s">
        <v>5096</v>
      </c>
      <c r="V1072" s="46" t="s">
        <v>5097</v>
      </c>
      <c r="W1072" s="46" t="s">
        <v>335</v>
      </c>
      <c r="X1072" s="172" t="s">
        <v>9167</v>
      </c>
      <c r="Y1072" s="46" t="s">
        <v>3927</v>
      </c>
      <c r="Z1072" s="46" t="s">
        <v>6406</v>
      </c>
      <c r="AA1072" s="46" t="s">
        <v>335</v>
      </c>
      <c r="AB1072" s="172" t="s">
        <v>9167</v>
      </c>
      <c r="AC1072" s="48" t="s">
        <v>6405</v>
      </c>
      <c r="AD1072" s="30"/>
      <c r="AE1072" s="197"/>
      <c r="AF1072" s="47"/>
    </row>
    <row r="1073" spans="1:32" s="29" customFormat="1" ht="69.95" hidden="1" customHeight="1">
      <c r="A1073" s="29" t="s">
        <v>6317</v>
      </c>
      <c r="B1073" s="29" t="s">
        <v>3769</v>
      </c>
      <c r="C1073" s="40" t="s">
        <v>42</v>
      </c>
      <c r="D1073" s="40"/>
      <c r="E1073" s="58" t="s">
        <v>8578</v>
      </c>
      <c r="F1073" s="58" t="s">
        <v>8579</v>
      </c>
      <c r="G1073" s="29" t="s">
        <v>2348</v>
      </c>
      <c r="I1073" s="124" t="s">
        <v>9121</v>
      </c>
      <c r="J1073" s="29">
        <f t="shared" si="67"/>
        <v>1</v>
      </c>
      <c r="K1073" s="42">
        <v>1059</v>
      </c>
      <c r="L1073" s="152" t="s">
        <v>2349</v>
      </c>
      <c r="M1073" s="44" t="s">
        <v>405</v>
      </c>
      <c r="N1073" s="44" t="s">
        <v>578</v>
      </c>
      <c r="O1073" s="101" t="str">
        <f t="shared" si="71"/>
        <v>PE-L1-2C4-03</v>
      </c>
      <c r="P1073" s="45">
        <v>0.67</v>
      </c>
      <c r="Q1073" s="44">
        <v>220</v>
      </c>
      <c r="R1073" s="44" t="s">
        <v>509</v>
      </c>
      <c r="S1073" s="101">
        <v>140</v>
      </c>
      <c r="T1073" s="46" t="s">
        <v>6386</v>
      </c>
      <c r="U1073" s="46" t="s">
        <v>6317</v>
      </c>
      <c r="V1073" s="46" t="s">
        <v>6318</v>
      </c>
      <c r="W1073" s="46" t="s">
        <v>335</v>
      </c>
      <c r="X1073" s="172" t="s">
        <v>8942</v>
      </c>
      <c r="Y1073" s="46" t="s">
        <v>5522</v>
      </c>
      <c r="Z1073" s="46" t="s">
        <v>6407</v>
      </c>
      <c r="AA1073" s="46" t="s">
        <v>335</v>
      </c>
      <c r="AB1073" s="172" t="s">
        <v>8942</v>
      </c>
      <c r="AC1073" s="48" t="s">
        <v>6408</v>
      </c>
      <c r="AD1073" s="30"/>
      <c r="AE1073" s="197"/>
      <c r="AF1073" s="47"/>
    </row>
    <row r="1074" spans="1:32" s="29" customFormat="1" ht="69.95" hidden="1" customHeight="1">
      <c r="A1074" s="29" t="s">
        <v>6322</v>
      </c>
      <c r="B1074" s="29" t="s">
        <v>3769</v>
      </c>
      <c r="C1074" s="40" t="s">
        <v>42</v>
      </c>
      <c r="D1074" s="40"/>
      <c r="E1074" s="58" t="s">
        <v>8578</v>
      </c>
      <c r="F1074" s="58" t="s">
        <v>8579</v>
      </c>
      <c r="G1074" s="29" t="s">
        <v>2350</v>
      </c>
      <c r="I1074" s="124" t="s">
        <v>9121</v>
      </c>
      <c r="J1074" s="29">
        <f t="shared" si="67"/>
        <v>1</v>
      </c>
      <c r="K1074" s="42">
        <v>1060</v>
      </c>
      <c r="L1074" s="152" t="s">
        <v>2351</v>
      </c>
      <c r="M1074" s="44" t="s">
        <v>405</v>
      </c>
      <c r="N1074" s="44" t="s">
        <v>578</v>
      </c>
      <c r="O1074" s="101" t="str">
        <f t="shared" si="71"/>
        <v>PE-L1-2C4-03</v>
      </c>
      <c r="P1074" s="45">
        <v>0.67</v>
      </c>
      <c r="Q1074" s="44">
        <v>220</v>
      </c>
      <c r="R1074" s="44" t="s">
        <v>509</v>
      </c>
      <c r="S1074" s="101">
        <v>120</v>
      </c>
      <c r="T1074" s="46" t="s">
        <v>6386</v>
      </c>
      <c r="U1074" s="46" t="s">
        <v>6322</v>
      </c>
      <c r="V1074" s="46" t="s">
        <v>6323</v>
      </c>
      <c r="W1074" s="46" t="s">
        <v>335</v>
      </c>
      <c r="X1074" s="172" t="s">
        <v>8942</v>
      </c>
      <c r="Y1074" s="46" t="s">
        <v>5522</v>
      </c>
      <c r="Z1074" s="46" t="s">
        <v>6409</v>
      </c>
      <c r="AA1074" s="46" t="s">
        <v>335</v>
      </c>
      <c r="AB1074" s="172" t="s">
        <v>8942</v>
      </c>
      <c r="AC1074" s="48" t="s">
        <v>6410</v>
      </c>
      <c r="AD1074" s="30"/>
      <c r="AE1074" s="197"/>
      <c r="AF1074" s="47"/>
    </row>
    <row r="1075" spans="1:32" s="29" customFormat="1" ht="69.95" hidden="1" customHeight="1">
      <c r="A1075" s="29" t="s">
        <v>3948</v>
      </c>
      <c r="B1075" s="29" t="s">
        <v>3769</v>
      </c>
      <c r="C1075" s="40" t="s">
        <v>40</v>
      </c>
      <c r="D1075" s="173" t="s">
        <v>9131</v>
      </c>
      <c r="E1075" s="57" t="s">
        <v>233</v>
      </c>
      <c r="F1075" s="121" t="s">
        <v>122</v>
      </c>
      <c r="G1075" s="29" t="s">
        <v>2352</v>
      </c>
      <c r="I1075" s="124" t="s">
        <v>9121</v>
      </c>
      <c r="J1075" s="29">
        <f t="shared" si="67"/>
        <v>1</v>
      </c>
      <c r="K1075" s="42">
        <v>1061</v>
      </c>
      <c r="L1075" s="43" t="s">
        <v>2353</v>
      </c>
      <c r="M1075" s="44" t="s">
        <v>405</v>
      </c>
      <c r="N1075" s="44" t="s">
        <v>426</v>
      </c>
      <c r="O1075" s="121" t="str">
        <f t="shared" si="71"/>
        <v>PE-L1-3C4-06</v>
      </c>
      <c r="P1075" s="45">
        <v>2.37</v>
      </c>
      <c r="Q1075" s="44">
        <v>230</v>
      </c>
      <c r="R1075" s="44" t="s">
        <v>49</v>
      </c>
      <c r="S1075" s="44">
        <v>40</v>
      </c>
      <c r="T1075" s="46" t="s">
        <v>6386</v>
      </c>
      <c r="U1075" s="46" t="s">
        <v>3948</v>
      </c>
      <c r="V1075" s="46" t="s">
        <v>3949</v>
      </c>
      <c r="W1075" s="46" t="s">
        <v>335</v>
      </c>
      <c r="X1075" s="172" t="s">
        <v>9167</v>
      </c>
      <c r="Y1075" s="46" t="s">
        <v>5522</v>
      </c>
      <c r="Z1075" s="46" t="s">
        <v>6411</v>
      </c>
      <c r="AA1075" s="46" t="s">
        <v>335</v>
      </c>
      <c r="AB1075" s="172" t="s">
        <v>9167</v>
      </c>
      <c r="AC1075" s="48" t="s">
        <v>6412</v>
      </c>
      <c r="AD1075" s="30"/>
      <c r="AE1075" s="197"/>
      <c r="AF1075" s="47"/>
    </row>
    <row r="1076" spans="1:32" s="29" customFormat="1" ht="69.95" hidden="1" customHeight="1">
      <c r="A1076" s="29" t="s">
        <v>3948</v>
      </c>
      <c r="B1076" s="29" t="s">
        <v>3769</v>
      </c>
      <c r="C1076" s="40" t="s">
        <v>41</v>
      </c>
      <c r="D1076" s="173" t="s">
        <v>9131</v>
      </c>
      <c r="E1076" s="57" t="s">
        <v>233</v>
      </c>
      <c r="F1076" s="121" t="s">
        <v>122</v>
      </c>
      <c r="G1076" s="29" t="s">
        <v>2354</v>
      </c>
      <c r="I1076" s="124" t="s">
        <v>9121</v>
      </c>
      <c r="J1076" s="29">
        <f t="shared" si="67"/>
        <v>1</v>
      </c>
      <c r="K1076" s="42">
        <v>1062</v>
      </c>
      <c r="L1076" s="43" t="s">
        <v>2355</v>
      </c>
      <c r="M1076" s="44" t="s">
        <v>405</v>
      </c>
      <c r="N1076" s="44" t="s">
        <v>426</v>
      </c>
      <c r="O1076" s="121" t="str">
        <f t="shared" si="71"/>
        <v>PE-L1-3C4-06</v>
      </c>
      <c r="P1076" s="45">
        <v>0.87</v>
      </c>
      <c r="Q1076" s="44">
        <v>230</v>
      </c>
      <c r="R1076" s="44" t="s">
        <v>49</v>
      </c>
      <c r="S1076" s="44">
        <v>40</v>
      </c>
      <c r="T1076" s="46" t="s">
        <v>6386</v>
      </c>
      <c r="U1076" s="46" t="s">
        <v>3948</v>
      </c>
      <c r="V1076" s="46" t="s">
        <v>3949</v>
      </c>
      <c r="W1076" s="46" t="s">
        <v>335</v>
      </c>
      <c r="X1076" s="172" t="s">
        <v>9167</v>
      </c>
      <c r="Y1076" s="46" t="s">
        <v>5522</v>
      </c>
      <c r="Z1076" s="46" t="s">
        <v>6413</v>
      </c>
      <c r="AA1076" s="46" t="s">
        <v>335</v>
      </c>
      <c r="AB1076" s="172" t="s">
        <v>9167</v>
      </c>
      <c r="AC1076" s="48" t="s">
        <v>6412</v>
      </c>
      <c r="AD1076" s="30"/>
      <c r="AE1076" s="197"/>
      <c r="AF1076" s="47"/>
    </row>
    <row r="1077" spans="1:32" s="29" customFormat="1" ht="69.95" hidden="1" customHeight="1">
      <c r="A1077" s="29" t="s">
        <v>6317</v>
      </c>
      <c r="B1077" s="29" t="s">
        <v>3769</v>
      </c>
      <c r="C1077" s="40" t="s">
        <v>43</v>
      </c>
      <c r="D1077" s="40"/>
      <c r="E1077" s="56" t="s">
        <v>247</v>
      </c>
      <c r="F1077" s="56" t="s">
        <v>247</v>
      </c>
      <c r="G1077" s="29" t="s">
        <v>2356</v>
      </c>
      <c r="I1077" s="124" t="s">
        <v>9121</v>
      </c>
      <c r="J1077" s="29">
        <f t="shared" si="67"/>
        <v>1</v>
      </c>
      <c r="K1077" s="42">
        <v>1063</v>
      </c>
      <c r="L1077" s="152" t="s">
        <v>2357</v>
      </c>
      <c r="M1077" s="44" t="s">
        <v>405</v>
      </c>
      <c r="N1077" s="44" t="s">
        <v>2280</v>
      </c>
      <c r="O1077" s="101" t="str">
        <f t="shared" si="71"/>
        <v>PE-L1-2C10-02</v>
      </c>
      <c r="P1077" s="45">
        <v>3.7000000000000006</v>
      </c>
      <c r="Q1077" s="44">
        <v>220</v>
      </c>
      <c r="R1077" s="44" t="s">
        <v>509</v>
      </c>
      <c r="S1077" s="101">
        <v>100</v>
      </c>
      <c r="T1077" s="46" t="s">
        <v>6386</v>
      </c>
      <c r="U1077" s="46" t="s">
        <v>6317</v>
      </c>
      <c r="V1077" s="46" t="s">
        <v>6318</v>
      </c>
      <c r="W1077" s="46" t="s">
        <v>335</v>
      </c>
      <c r="X1077" s="172" t="s">
        <v>8942</v>
      </c>
      <c r="Y1077" s="46" t="s">
        <v>5280</v>
      </c>
      <c r="Z1077" s="46" t="s">
        <v>6414</v>
      </c>
      <c r="AA1077" s="46" t="s">
        <v>335</v>
      </c>
      <c r="AB1077" s="172" t="s">
        <v>8942</v>
      </c>
      <c r="AC1077" s="48" t="s">
        <v>6415</v>
      </c>
      <c r="AD1077" s="30"/>
      <c r="AE1077" s="197"/>
      <c r="AF1077" s="47"/>
    </row>
    <row r="1078" spans="1:32" s="29" customFormat="1" ht="69.95" hidden="1" customHeight="1">
      <c r="A1078" s="29" t="s">
        <v>6322</v>
      </c>
      <c r="B1078" s="29" t="s">
        <v>3769</v>
      </c>
      <c r="C1078" s="40" t="s">
        <v>43</v>
      </c>
      <c r="D1078" s="40"/>
      <c r="E1078" s="57" t="s">
        <v>246</v>
      </c>
      <c r="F1078" s="57" t="s">
        <v>246</v>
      </c>
      <c r="G1078" s="29" t="s">
        <v>2358</v>
      </c>
      <c r="I1078" s="124" t="s">
        <v>9121</v>
      </c>
      <c r="J1078" s="29">
        <f t="shared" si="67"/>
        <v>1</v>
      </c>
      <c r="K1078" s="42">
        <v>1064</v>
      </c>
      <c r="L1078" s="152" t="s">
        <v>2359</v>
      </c>
      <c r="M1078" s="44" t="s">
        <v>405</v>
      </c>
      <c r="N1078" s="44" t="s">
        <v>2280</v>
      </c>
      <c r="O1078" s="101" t="str">
        <f t="shared" si="71"/>
        <v>PE-L1-2C10-01</v>
      </c>
      <c r="P1078" s="45">
        <v>3.7000000000000006</v>
      </c>
      <c r="Q1078" s="44">
        <v>220</v>
      </c>
      <c r="R1078" s="44" t="s">
        <v>509</v>
      </c>
      <c r="S1078" s="101">
        <v>120</v>
      </c>
      <c r="T1078" s="46" t="s">
        <v>6386</v>
      </c>
      <c r="U1078" s="46" t="s">
        <v>6322</v>
      </c>
      <c r="V1078" s="46" t="s">
        <v>6323</v>
      </c>
      <c r="W1078" s="46" t="s">
        <v>335</v>
      </c>
      <c r="X1078" s="172" t="s">
        <v>8942</v>
      </c>
      <c r="Y1078" s="46" t="s">
        <v>5280</v>
      </c>
      <c r="Z1078" s="46" t="s">
        <v>6416</v>
      </c>
      <c r="AA1078" s="46" t="s">
        <v>335</v>
      </c>
      <c r="AB1078" s="172" t="s">
        <v>8942</v>
      </c>
      <c r="AC1078" s="48" t="s">
        <v>6417</v>
      </c>
      <c r="AD1078" s="30"/>
      <c r="AE1078" s="197"/>
      <c r="AF1078" s="47"/>
    </row>
    <row r="1079" spans="1:32" s="29" customFormat="1" ht="69.95" hidden="1" customHeight="1">
      <c r="A1079" s="29" t="s">
        <v>5450</v>
      </c>
      <c r="B1079" s="29" t="s">
        <v>3769</v>
      </c>
      <c r="C1079" s="40" t="s">
        <v>41</v>
      </c>
      <c r="D1079" s="40"/>
      <c r="E1079" s="57" t="s">
        <v>78</v>
      </c>
      <c r="F1079" s="57" t="s">
        <v>78</v>
      </c>
      <c r="G1079" s="29" t="s">
        <v>2360</v>
      </c>
      <c r="I1079" s="124" t="s">
        <v>9121</v>
      </c>
      <c r="J1079" s="29">
        <f t="shared" si="67"/>
        <v>1</v>
      </c>
      <c r="K1079" s="42">
        <v>1065</v>
      </c>
      <c r="L1079" s="152" t="s">
        <v>2361</v>
      </c>
      <c r="M1079" s="44" t="s">
        <v>405</v>
      </c>
      <c r="N1079" s="44" t="s">
        <v>456</v>
      </c>
      <c r="O1079" s="101" t="str">
        <f t="shared" si="71"/>
        <v>PE-L1-3C6-01</v>
      </c>
      <c r="P1079" s="45">
        <v>3.32</v>
      </c>
      <c r="Q1079" s="44">
        <v>230</v>
      </c>
      <c r="R1079" s="44" t="s">
        <v>49</v>
      </c>
      <c r="S1079" s="101">
        <v>60</v>
      </c>
      <c r="T1079" s="46" t="s">
        <v>6386</v>
      </c>
      <c r="U1079" s="46" t="s">
        <v>5450</v>
      </c>
      <c r="V1079" s="46" t="s">
        <v>5451</v>
      </c>
      <c r="W1079" s="46" t="s">
        <v>335</v>
      </c>
      <c r="X1079" s="172" t="s">
        <v>9167</v>
      </c>
      <c r="Y1079" s="46" t="s">
        <v>5280</v>
      </c>
      <c r="Z1079" s="46" t="s">
        <v>6418</v>
      </c>
      <c r="AA1079" s="46" t="s">
        <v>335</v>
      </c>
      <c r="AB1079" s="172" t="s">
        <v>9167</v>
      </c>
      <c r="AC1079" s="48" t="s">
        <v>6419</v>
      </c>
      <c r="AD1079" s="30"/>
      <c r="AE1079" s="197"/>
      <c r="AF1079" s="47"/>
    </row>
    <row r="1080" spans="1:32" s="29" customFormat="1" ht="69.95" hidden="1" customHeight="1">
      <c r="A1080" s="29" t="s">
        <v>6317</v>
      </c>
      <c r="B1080" s="29" t="s">
        <v>3769</v>
      </c>
      <c r="C1080" s="40" t="s">
        <v>73</v>
      </c>
      <c r="D1080" s="40"/>
      <c r="E1080" s="57" t="s">
        <v>248</v>
      </c>
      <c r="F1080" s="57" t="s">
        <v>248</v>
      </c>
      <c r="G1080" s="29" t="s">
        <v>2362</v>
      </c>
      <c r="I1080" s="124" t="s">
        <v>9121</v>
      </c>
      <c r="J1080" s="29">
        <f t="shared" si="67"/>
        <v>1</v>
      </c>
      <c r="K1080" s="42">
        <v>1066</v>
      </c>
      <c r="L1080" s="152" t="s">
        <v>2363</v>
      </c>
      <c r="M1080" s="44" t="s">
        <v>405</v>
      </c>
      <c r="N1080" s="44" t="s">
        <v>578</v>
      </c>
      <c r="O1080" s="101" t="str">
        <f t="shared" si="71"/>
        <v>PE-L1-2C4-02</v>
      </c>
      <c r="P1080" s="45">
        <v>0.17</v>
      </c>
      <c r="Q1080" s="44">
        <v>220</v>
      </c>
      <c r="R1080" s="44" t="s">
        <v>509</v>
      </c>
      <c r="S1080" s="101">
        <v>140</v>
      </c>
      <c r="T1080" s="46" t="s">
        <v>6386</v>
      </c>
      <c r="U1080" s="46" t="s">
        <v>6317</v>
      </c>
      <c r="V1080" s="46" t="s">
        <v>6318</v>
      </c>
      <c r="W1080" s="46" t="s">
        <v>335</v>
      </c>
      <c r="X1080" s="172" t="s">
        <v>8942</v>
      </c>
      <c r="Y1080" s="46" t="s">
        <v>6420</v>
      </c>
      <c r="Z1080" s="46" t="s">
        <v>6421</v>
      </c>
      <c r="AA1080" s="46" t="s">
        <v>335</v>
      </c>
      <c r="AB1080" s="172" t="s">
        <v>8942</v>
      </c>
      <c r="AC1080" s="48" t="s">
        <v>6422</v>
      </c>
      <c r="AD1080" s="30"/>
      <c r="AE1080" s="197"/>
      <c r="AF1080" s="47"/>
    </row>
    <row r="1081" spans="1:32" s="29" customFormat="1" ht="69.95" hidden="1" customHeight="1">
      <c r="A1081" s="29" t="s">
        <v>6322</v>
      </c>
      <c r="B1081" s="29" t="s">
        <v>3769</v>
      </c>
      <c r="C1081" s="40" t="s">
        <v>73</v>
      </c>
      <c r="D1081" s="40"/>
      <c r="E1081" s="56" t="s">
        <v>248</v>
      </c>
      <c r="F1081" s="56" t="s">
        <v>248</v>
      </c>
      <c r="G1081" s="29" t="s">
        <v>2364</v>
      </c>
      <c r="I1081" s="124" t="s">
        <v>9121</v>
      </c>
      <c r="J1081" s="29">
        <f t="shared" si="67"/>
        <v>1</v>
      </c>
      <c r="K1081" s="42">
        <v>1067</v>
      </c>
      <c r="L1081" s="152" t="s">
        <v>2365</v>
      </c>
      <c r="M1081" s="44" t="s">
        <v>405</v>
      </c>
      <c r="N1081" s="44" t="s">
        <v>578</v>
      </c>
      <c r="O1081" s="101" t="str">
        <f t="shared" si="71"/>
        <v>PE-L1-2C4-02</v>
      </c>
      <c r="P1081" s="45">
        <v>0.17</v>
      </c>
      <c r="Q1081" s="44">
        <v>220</v>
      </c>
      <c r="R1081" s="44" t="s">
        <v>509</v>
      </c>
      <c r="S1081" s="101">
        <v>100</v>
      </c>
      <c r="T1081" s="46" t="s">
        <v>6386</v>
      </c>
      <c r="U1081" s="46" t="s">
        <v>6322</v>
      </c>
      <c r="V1081" s="46" t="s">
        <v>6323</v>
      </c>
      <c r="W1081" s="46" t="s">
        <v>335</v>
      </c>
      <c r="X1081" s="172" t="s">
        <v>8942</v>
      </c>
      <c r="Y1081" s="46" t="s">
        <v>6420</v>
      </c>
      <c r="Z1081" s="46" t="s">
        <v>6423</v>
      </c>
      <c r="AA1081" s="46" t="s">
        <v>335</v>
      </c>
      <c r="AB1081" s="172" t="s">
        <v>8942</v>
      </c>
      <c r="AC1081" s="48" t="s">
        <v>6424</v>
      </c>
      <c r="AD1081" s="30"/>
      <c r="AE1081" s="197"/>
      <c r="AF1081" s="47"/>
    </row>
    <row r="1082" spans="1:32" s="29" customFormat="1" ht="69.95" hidden="1" customHeight="1">
      <c r="A1082" s="29" t="s">
        <v>5096</v>
      </c>
      <c r="B1082" s="29" t="s">
        <v>3769</v>
      </c>
      <c r="C1082" s="40" t="s">
        <v>75</v>
      </c>
      <c r="D1082" s="173" t="s">
        <v>9131</v>
      </c>
      <c r="E1082" s="57" t="s">
        <v>233</v>
      </c>
      <c r="F1082" s="121" t="s">
        <v>122</v>
      </c>
      <c r="G1082" s="29" t="s">
        <v>2366</v>
      </c>
      <c r="I1082" s="124" t="s">
        <v>9121</v>
      </c>
      <c r="J1082" s="29">
        <f t="shared" si="67"/>
        <v>1</v>
      </c>
      <c r="K1082" s="42">
        <v>1068</v>
      </c>
      <c r="L1082" s="43" t="s">
        <v>2367</v>
      </c>
      <c r="M1082" s="44" t="s">
        <v>405</v>
      </c>
      <c r="N1082" s="44" t="s">
        <v>426</v>
      </c>
      <c r="O1082" s="121" t="str">
        <f t="shared" si="71"/>
        <v>PE-L1-3C4-06</v>
      </c>
      <c r="P1082" s="45">
        <v>0.1</v>
      </c>
      <c r="Q1082" s="44">
        <v>230</v>
      </c>
      <c r="R1082" s="44" t="s">
        <v>49</v>
      </c>
      <c r="S1082" s="44">
        <v>40</v>
      </c>
      <c r="T1082" s="46" t="s">
        <v>6386</v>
      </c>
      <c r="U1082" s="46" t="s">
        <v>5096</v>
      </c>
      <c r="V1082" s="46" t="s">
        <v>5097</v>
      </c>
      <c r="W1082" s="46" t="s">
        <v>335</v>
      </c>
      <c r="X1082" s="172" t="s">
        <v>9167</v>
      </c>
      <c r="Y1082" s="46" t="s">
        <v>6420</v>
      </c>
      <c r="Z1082" s="46" t="s">
        <v>6425</v>
      </c>
      <c r="AA1082" s="46" t="s">
        <v>335</v>
      </c>
      <c r="AB1082" s="172" t="s">
        <v>9167</v>
      </c>
      <c r="AC1082" s="48" t="s">
        <v>6426</v>
      </c>
      <c r="AD1082" s="30"/>
      <c r="AE1082" s="197"/>
      <c r="AF1082" s="47"/>
    </row>
    <row r="1083" spans="1:32" s="29" customFormat="1" ht="69.95" hidden="1" customHeight="1">
      <c r="A1083" s="29" t="s">
        <v>6317</v>
      </c>
      <c r="B1083" s="29" t="s">
        <v>3769</v>
      </c>
      <c r="C1083" s="40" t="s">
        <v>75</v>
      </c>
      <c r="D1083" s="40"/>
      <c r="E1083" s="57" t="s">
        <v>246</v>
      </c>
      <c r="F1083" s="57" t="s">
        <v>246</v>
      </c>
      <c r="G1083" s="29" t="s">
        <v>2368</v>
      </c>
      <c r="I1083" s="124" t="s">
        <v>9121</v>
      </c>
      <c r="J1083" s="29">
        <f t="shared" si="67"/>
        <v>1</v>
      </c>
      <c r="K1083" s="42">
        <v>1069</v>
      </c>
      <c r="L1083" s="152" t="s">
        <v>2369</v>
      </c>
      <c r="M1083" s="44" t="s">
        <v>405</v>
      </c>
      <c r="N1083" s="44" t="s">
        <v>2280</v>
      </c>
      <c r="O1083" s="101" t="str">
        <f t="shared" si="71"/>
        <v>PE-L1-2C10-01</v>
      </c>
      <c r="P1083" s="45">
        <v>3.3600000000000003</v>
      </c>
      <c r="Q1083" s="44">
        <v>220</v>
      </c>
      <c r="R1083" s="44" t="s">
        <v>509</v>
      </c>
      <c r="S1083" s="101">
        <v>100</v>
      </c>
      <c r="T1083" s="46" t="s">
        <v>6386</v>
      </c>
      <c r="U1083" s="46" t="s">
        <v>6317</v>
      </c>
      <c r="V1083" s="46" t="s">
        <v>6318</v>
      </c>
      <c r="W1083" s="46" t="s">
        <v>335</v>
      </c>
      <c r="X1083" s="172" t="s">
        <v>8942</v>
      </c>
      <c r="Y1083" s="46" t="s">
        <v>3975</v>
      </c>
      <c r="Z1083" s="46" t="s">
        <v>6427</v>
      </c>
      <c r="AA1083" s="46" t="s">
        <v>335</v>
      </c>
      <c r="AB1083" s="172" t="s">
        <v>8942</v>
      </c>
      <c r="AC1083" s="48" t="s">
        <v>6428</v>
      </c>
      <c r="AD1083" s="30"/>
      <c r="AE1083" s="197"/>
      <c r="AF1083" s="47"/>
    </row>
    <row r="1084" spans="1:32" s="29" customFormat="1" ht="69.95" hidden="1" customHeight="1">
      <c r="A1084" s="29" t="s">
        <v>6322</v>
      </c>
      <c r="B1084" s="29" t="s">
        <v>3769</v>
      </c>
      <c r="C1084" s="40" t="s">
        <v>75</v>
      </c>
      <c r="D1084" s="40"/>
      <c r="E1084" s="57" t="s">
        <v>246</v>
      </c>
      <c r="F1084" s="57" t="s">
        <v>246</v>
      </c>
      <c r="G1084" s="29" t="s">
        <v>2370</v>
      </c>
      <c r="I1084" s="124" t="s">
        <v>9121</v>
      </c>
      <c r="J1084" s="29">
        <f t="shared" si="67"/>
        <v>1</v>
      </c>
      <c r="K1084" s="42">
        <v>1070</v>
      </c>
      <c r="L1084" s="152" t="s">
        <v>2371</v>
      </c>
      <c r="M1084" s="44" t="s">
        <v>405</v>
      </c>
      <c r="N1084" s="44" t="s">
        <v>2280</v>
      </c>
      <c r="O1084" s="101" t="str">
        <f t="shared" si="71"/>
        <v>PE-L1-2C10-01</v>
      </c>
      <c r="P1084" s="45">
        <v>3.3600000000000003</v>
      </c>
      <c r="Q1084" s="44">
        <v>220</v>
      </c>
      <c r="R1084" s="44" t="s">
        <v>509</v>
      </c>
      <c r="S1084" s="101">
        <v>110</v>
      </c>
      <c r="T1084" s="46" t="s">
        <v>6386</v>
      </c>
      <c r="U1084" s="46" t="s">
        <v>6322</v>
      </c>
      <c r="V1084" s="46" t="s">
        <v>6323</v>
      </c>
      <c r="W1084" s="46" t="s">
        <v>335</v>
      </c>
      <c r="X1084" s="172" t="s">
        <v>8942</v>
      </c>
      <c r="Y1084" s="46" t="s">
        <v>3975</v>
      </c>
      <c r="Z1084" s="46" t="s">
        <v>6429</v>
      </c>
      <c r="AA1084" s="46" t="s">
        <v>335</v>
      </c>
      <c r="AB1084" s="172" t="s">
        <v>8942</v>
      </c>
      <c r="AC1084" s="48" t="s">
        <v>6430</v>
      </c>
      <c r="AD1084" s="30"/>
      <c r="AE1084" s="197"/>
      <c r="AF1084" s="47"/>
    </row>
    <row r="1085" spans="1:32" s="29" customFormat="1" ht="69.95" hidden="1" customHeight="1">
      <c r="A1085" s="29" t="s">
        <v>3948</v>
      </c>
      <c r="B1085" s="29" t="s">
        <v>3769</v>
      </c>
      <c r="C1085" s="40" t="s">
        <v>42</v>
      </c>
      <c r="D1085" s="40"/>
      <c r="E1085" s="57" t="s">
        <v>78</v>
      </c>
      <c r="F1085" s="57" t="s">
        <v>78</v>
      </c>
      <c r="G1085" s="29" t="s">
        <v>2372</v>
      </c>
      <c r="I1085" s="124" t="s">
        <v>9121</v>
      </c>
      <c r="J1085" s="29">
        <f t="shared" si="67"/>
        <v>1</v>
      </c>
      <c r="K1085" s="42">
        <v>1071</v>
      </c>
      <c r="L1085" s="152" t="s">
        <v>2373</v>
      </c>
      <c r="M1085" s="44" t="s">
        <v>405</v>
      </c>
      <c r="N1085" s="44" t="s">
        <v>456</v>
      </c>
      <c r="O1085" s="101" t="str">
        <f t="shared" si="71"/>
        <v>PE-L1-3C6-01</v>
      </c>
      <c r="P1085" s="45">
        <v>3.34</v>
      </c>
      <c r="Q1085" s="44">
        <v>230</v>
      </c>
      <c r="R1085" s="44" t="s">
        <v>49</v>
      </c>
      <c r="S1085" s="101">
        <v>50</v>
      </c>
      <c r="T1085" s="46" t="s">
        <v>6386</v>
      </c>
      <c r="U1085" s="46" t="s">
        <v>3948</v>
      </c>
      <c r="V1085" s="46" t="s">
        <v>3949</v>
      </c>
      <c r="W1085" s="46" t="s">
        <v>335</v>
      </c>
      <c r="X1085" s="172" t="s">
        <v>9167</v>
      </c>
      <c r="Y1085" s="46" t="s">
        <v>3975</v>
      </c>
      <c r="Z1085" s="46" t="s">
        <v>6431</v>
      </c>
      <c r="AA1085" s="46" t="s">
        <v>335</v>
      </c>
      <c r="AB1085" s="172" t="s">
        <v>9167</v>
      </c>
      <c r="AC1085" s="48" t="s">
        <v>6432</v>
      </c>
      <c r="AD1085" s="30"/>
      <c r="AE1085" s="197"/>
      <c r="AF1085" s="47"/>
    </row>
    <row r="1086" spans="1:32" s="29" customFormat="1" ht="69.95" hidden="1" customHeight="1">
      <c r="A1086" s="29" t="s">
        <v>6317</v>
      </c>
      <c r="B1086" s="29" t="s">
        <v>3769</v>
      </c>
      <c r="C1086" s="40">
        <v>10</v>
      </c>
      <c r="D1086" s="40"/>
      <c r="E1086" s="57" t="s">
        <v>248</v>
      </c>
      <c r="F1086" s="57" t="s">
        <v>248</v>
      </c>
      <c r="G1086" s="29" t="s">
        <v>2374</v>
      </c>
      <c r="I1086" s="124" t="s">
        <v>9121</v>
      </c>
      <c r="J1086" s="29">
        <f t="shared" si="67"/>
        <v>1</v>
      </c>
      <c r="K1086" s="42">
        <v>1072</v>
      </c>
      <c r="L1086" s="152" t="s">
        <v>2375</v>
      </c>
      <c r="M1086" s="44" t="s">
        <v>405</v>
      </c>
      <c r="N1086" s="44" t="s">
        <v>578</v>
      </c>
      <c r="O1086" s="101" t="str">
        <f t="shared" si="71"/>
        <v>PE-L1-2C4-02</v>
      </c>
      <c r="P1086" s="45">
        <v>0.17</v>
      </c>
      <c r="Q1086" s="44">
        <v>220</v>
      </c>
      <c r="R1086" s="44" t="s">
        <v>509</v>
      </c>
      <c r="S1086" s="101">
        <v>140</v>
      </c>
      <c r="T1086" s="46" t="s">
        <v>6386</v>
      </c>
      <c r="U1086" s="46" t="s">
        <v>6317</v>
      </c>
      <c r="V1086" s="46" t="s">
        <v>6318</v>
      </c>
      <c r="W1086" s="46" t="s">
        <v>335</v>
      </c>
      <c r="X1086" s="172" t="s">
        <v>8942</v>
      </c>
      <c r="Y1086" s="46" t="s">
        <v>6433</v>
      </c>
      <c r="Z1086" s="46" t="s">
        <v>6434</v>
      </c>
      <c r="AA1086" s="46" t="s">
        <v>335</v>
      </c>
      <c r="AB1086" s="172" t="s">
        <v>8942</v>
      </c>
      <c r="AC1086" s="48" t="s">
        <v>6435</v>
      </c>
      <c r="AD1086" s="30"/>
      <c r="AE1086" s="197"/>
      <c r="AF1086" s="47"/>
    </row>
    <row r="1087" spans="1:32" s="29" customFormat="1" ht="69.95" hidden="1" customHeight="1">
      <c r="A1087" s="29" t="s">
        <v>6322</v>
      </c>
      <c r="B1087" s="29" t="s">
        <v>3769</v>
      </c>
      <c r="C1087" s="40">
        <v>10</v>
      </c>
      <c r="D1087" s="40"/>
      <c r="E1087" s="56" t="s">
        <v>248</v>
      </c>
      <c r="F1087" s="56" t="s">
        <v>248</v>
      </c>
      <c r="G1087" s="29" t="s">
        <v>2376</v>
      </c>
      <c r="I1087" s="124" t="s">
        <v>9121</v>
      </c>
      <c r="J1087" s="29">
        <f t="shared" si="67"/>
        <v>1</v>
      </c>
      <c r="K1087" s="42">
        <v>1073</v>
      </c>
      <c r="L1087" s="152" t="s">
        <v>2377</v>
      </c>
      <c r="M1087" s="44" t="s">
        <v>405</v>
      </c>
      <c r="N1087" s="44" t="s">
        <v>578</v>
      </c>
      <c r="O1087" s="101" t="str">
        <f t="shared" si="71"/>
        <v>PE-L1-2C4-02</v>
      </c>
      <c r="P1087" s="45">
        <v>0.17</v>
      </c>
      <c r="Q1087" s="44">
        <v>220</v>
      </c>
      <c r="R1087" s="44" t="s">
        <v>509</v>
      </c>
      <c r="S1087" s="101">
        <v>100</v>
      </c>
      <c r="T1087" s="46" t="s">
        <v>6386</v>
      </c>
      <c r="U1087" s="46" t="s">
        <v>6322</v>
      </c>
      <c r="V1087" s="46" t="s">
        <v>6323</v>
      </c>
      <c r="W1087" s="46" t="s">
        <v>335</v>
      </c>
      <c r="X1087" s="172" t="s">
        <v>8942</v>
      </c>
      <c r="Y1087" s="46" t="s">
        <v>6433</v>
      </c>
      <c r="Z1087" s="46" t="s">
        <v>6436</v>
      </c>
      <c r="AA1087" s="46" t="s">
        <v>335</v>
      </c>
      <c r="AB1087" s="172" t="s">
        <v>8942</v>
      </c>
      <c r="AC1087" s="48" t="s">
        <v>6437</v>
      </c>
      <c r="AD1087" s="30"/>
      <c r="AE1087" s="197"/>
      <c r="AF1087" s="47"/>
    </row>
    <row r="1088" spans="1:32" s="29" customFormat="1" ht="69.95" hidden="1" customHeight="1">
      <c r="A1088" s="29" t="s">
        <v>3985</v>
      </c>
      <c r="B1088" s="29" t="s">
        <v>3769</v>
      </c>
      <c r="C1088" s="40" t="s">
        <v>42</v>
      </c>
      <c r="D1088" s="173" t="s">
        <v>9131</v>
      </c>
      <c r="E1088" s="57" t="s">
        <v>233</v>
      </c>
      <c r="F1088" s="121" t="s">
        <v>122</v>
      </c>
      <c r="G1088" s="29" t="s">
        <v>2378</v>
      </c>
      <c r="I1088" s="124" t="s">
        <v>9121</v>
      </c>
      <c r="J1088" s="29">
        <f t="shared" si="67"/>
        <v>1</v>
      </c>
      <c r="K1088" s="42">
        <v>1074</v>
      </c>
      <c r="L1088" s="43" t="s">
        <v>2379</v>
      </c>
      <c r="M1088" s="44" t="s">
        <v>405</v>
      </c>
      <c r="N1088" s="44" t="s">
        <v>426</v>
      </c>
      <c r="O1088" s="121" t="str">
        <f t="shared" si="71"/>
        <v>PE-L1-3C4-06</v>
      </c>
      <c r="P1088" s="45">
        <v>0.1</v>
      </c>
      <c r="Q1088" s="44">
        <v>230</v>
      </c>
      <c r="R1088" s="44" t="s">
        <v>49</v>
      </c>
      <c r="S1088" s="44">
        <v>60</v>
      </c>
      <c r="T1088" s="46" t="s">
        <v>6386</v>
      </c>
      <c r="U1088" s="46" t="s">
        <v>3985</v>
      </c>
      <c r="V1088" s="46" t="s">
        <v>3986</v>
      </c>
      <c r="W1088" s="46" t="s">
        <v>335</v>
      </c>
      <c r="X1088" s="172" t="s">
        <v>9167</v>
      </c>
      <c r="Y1088" s="46" t="s">
        <v>6433</v>
      </c>
      <c r="Z1088" s="46" t="s">
        <v>6438</v>
      </c>
      <c r="AA1088" s="46" t="s">
        <v>335</v>
      </c>
      <c r="AB1088" s="172" t="s">
        <v>9167</v>
      </c>
      <c r="AC1088" s="48" t="s">
        <v>6439</v>
      </c>
      <c r="AD1088" s="30"/>
      <c r="AE1088" s="197"/>
      <c r="AF1088" s="47"/>
    </row>
    <row r="1089" spans="1:32" s="29" customFormat="1" ht="69.95" hidden="1" customHeight="1">
      <c r="A1089" s="29" t="s">
        <v>6317</v>
      </c>
      <c r="B1089" s="29" t="s">
        <v>3769</v>
      </c>
      <c r="C1089" s="40">
        <v>11</v>
      </c>
      <c r="D1089" s="40"/>
      <c r="E1089" s="58" t="s">
        <v>77</v>
      </c>
      <c r="F1089" s="58" t="s">
        <v>77</v>
      </c>
      <c r="G1089" s="29" t="s">
        <v>2380</v>
      </c>
      <c r="I1089" s="124" t="s">
        <v>9121</v>
      </c>
      <c r="J1089" s="29">
        <f t="shared" si="67"/>
        <v>1</v>
      </c>
      <c r="K1089" s="42">
        <v>1075</v>
      </c>
      <c r="L1089" s="152" t="s">
        <v>2381</v>
      </c>
      <c r="M1089" s="44" t="s">
        <v>405</v>
      </c>
      <c r="N1089" s="44" t="s">
        <v>613</v>
      </c>
      <c r="O1089" s="101" t="str">
        <f t="shared" si="71"/>
        <v>PE-L1-2C6-01</v>
      </c>
      <c r="P1089" s="45">
        <v>1.59</v>
      </c>
      <c r="Q1089" s="44">
        <v>220</v>
      </c>
      <c r="R1089" s="44" t="s">
        <v>509</v>
      </c>
      <c r="S1089" s="101">
        <v>110</v>
      </c>
      <c r="T1089" s="46" t="s">
        <v>6386</v>
      </c>
      <c r="U1089" s="46" t="s">
        <v>6317</v>
      </c>
      <c r="V1089" s="46" t="s">
        <v>6318</v>
      </c>
      <c r="W1089" s="46" t="s">
        <v>335</v>
      </c>
      <c r="X1089" s="131" t="s">
        <v>8942</v>
      </c>
      <c r="Y1089" s="46" t="s">
        <v>6440</v>
      </c>
      <c r="Z1089" s="46" t="s">
        <v>6441</v>
      </c>
      <c r="AA1089" s="46" t="s">
        <v>335</v>
      </c>
      <c r="AB1089" s="131" t="s">
        <v>8942</v>
      </c>
      <c r="AC1089" s="48" t="s">
        <v>6442</v>
      </c>
      <c r="AD1089" s="30"/>
      <c r="AE1089" s="197"/>
      <c r="AF1089" s="47"/>
    </row>
    <row r="1090" spans="1:32" s="29" customFormat="1" ht="69.95" hidden="1" customHeight="1">
      <c r="A1090" s="29" t="s">
        <v>6322</v>
      </c>
      <c r="B1090" s="29" t="s">
        <v>3769</v>
      </c>
      <c r="C1090" s="40">
        <v>11</v>
      </c>
      <c r="D1090" s="40"/>
      <c r="E1090" s="56" t="s">
        <v>77</v>
      </c>
      <c r="F1090" s="56" t="s">
        <v>77</v>
      </c>
      <c r="G1090" s="29" t="s">
        <v>2382</v>
      </c>
      <c r="I1090" s="124" t="s">
        <v>9121</v>
      </c>
      <c r="J1090" s="29">
        <f t="shared" si="67"/>
        <v>1</v>
      </c>
      <c r="K1090" s="42">
        <v>1076</v>
      </c>
      <c r="L1090" s="152" t="s">
        <v>2383</v>
      </c>
      <c r="M1090" s="44" t="s">
        <v>405</v>
      </c>
      <c r="N1090" s="44" t="s">
        <v>613</v>
      </c>
      <c r="O1090" s="101" t="str">
        <f t="shared" si="71"/>
        <v>PE-L1-2C6-01</v>
      </c>
      <c r="P1090" s="45">
        <v>1.59</v>
      </c>
      <c r="Q1090" s="44">
        <v>220</v>
      </c>
      <c r="R1090" s="44" t="s">
        <v>509</v>
      </c>
      <c r="S1090" s="101">
        <v>120</v>
      </c>
      <c r="T1090" s="46" t="s">
        <v>6386</v>
      </c>
      <c r="U1090" s="46" t="s">
        <v>6322</v>
      </c>
      <c r="V1090" s="46" t="s">
        <v>6323</v>
      </c>
      <c r="W1090" s="46" t="s">
        <v>335</v>
      </c>
      <c r="X1090" s="131" t="s">
        <v>8942</v>
      </c>
      <c r="Y1090" s="46" t="s">
        <v>6440</v>
      </c>
      <c r="Z1090" s="46" t="s">
        <v>6443</v>
      </c>
      <c r="AA1090" s="46" t="s">
        <v>335</v>
      </c>
      <c r="AB1090" s="131" t="s">
        <v>8942</v>
      </c>
      <c r="AC1090" s="48" t="s">
        <v>6444</v>
      </c>
      <c r="AD1090" s="30"/>
      <c r="AE1090" s="197"/>
      <c r="AF1090" s="47"/>
    </row>
    <row r="1091" spans="1:32" s="29" customFormat="1" ht="69.95" hidden="1" customHeight="1">
      <c r="A1091" s="29" t="s">
        <v>5450</v>
      </c>
      <c r="B1091" s="29" t="s">
        <v>3769</v>
      </c>
      <c r="C1091" s="40" t="s">
        <v>42</v>
      </c>
      <c r="D1091" s="173" t="s">
        <v>9131</v>
      </c>
      <c r="E1091" s="57" t="s">
        <v>233</v>
      </c>
      <c r="F1091" s="121" t="s">
        <v>122</v>
      </c>
      <c r="G1091" s="29" t="s">
        <v>2384</v>
      </c>
      <c r="I1091" s="124" t="s">
        <v>9121</v>
      </c>
      <c r="J1091" s="29">
        <f t="shared" si="67"/>
        <v>1</v>
      </c>
      <c r="K1091" s="42">
        <v>1077</v>
      </c>
      <c r="L1091" s="43" t="s">
        <v>2385</v>
      </c>
      <c r="M1091" s="44" t="s">
        <v>405</v>
      </c>
      <c r="N1091" s="44" t="s">
        <v>426</v>
      </c>
      <c r="O1091" s="121" t="str">
        <f t="shared" si="71"/>
        <v>PE-L1-3C4-06</v>
      </c>
      <c r="P1091" s="45">
        <v>2.2400000000000002</v>
      </c>
      <c r="Q1091" s="44">
        <v>230</v>
      </c>
      <c r="R1091" s="44" t="s">
        <v>49</v>
      </c>
      <c r="S1091" s="44">
        <v>40</v>
      </c>
      <c r="T1091" s="46" t="s">
        <v>6386</v>
      </c>
      <c r="U1091" s="46" t="s">
        <v>5450</v>
      </c>
      <c r="V1091" s="46" t="s">
        <v>5451</v>
      </c>
      <c r="W1091" s="46" t="s">
        <v>335</v>
      </c>
      <c r="X1091" s="172" t="s">
        <v>9167</v>
      </c>
      <c r="Y1091" s="46" t="s">
        <v>6440</v>
      </c>
      <c r="Z1091" s="46" t="s">
        <v>6445</v>
      </c>
      <c r="AA1091" s="46" t="s">
        <v>335</v>
      </c>
      <c r="AB1091" s="172" t="s">
        <v>9167</v>
      </c>
      <c r="AC1091" s="48" t="s">
        <v>6446</v>
      </c>
      <c r="AD1091" s="30"/>
      <c r="AE1091" s="197"/>
      <c r="AF1091" s="47"/>
    </row>
    <row r="1092" spans="1:32" s="29" customFormat="1" ht="69.95" hidden="1" customHeight="1">
      <c r="A1092" s="29" t="s">
        <v>5450</v>
      </c>
      <c r="B1092" s="29" t="s">
        <v>3769</v>
      </c>
      <c r="C1092" s="40" t="s">
        <v>43</v>
      </c>
      <c r="D1092" s="173" t="s">
        <v>9131</v>
      </c>
      <c r="E1092" s="57" t="s">
        <v>233</v>
      </c>
      <c r="F1092" s="121" t="s">
        <v>122</v>
      </c>
      <c r="G1092" s="29" t="s">
        <v>2386</v>
      </c>
      <c r="I1092" s="124" t="s">
        <v>9121</v>
      </c>
      <c r="J1092" s="29">
        <f t="shared" si="67"/>
        <v>1</v>
      </c>
      <c r="K1092" s="42">
        <v>1078</v>
      </c>
      <c r="L1092" s="43" t="s">
        <v>2387</v>
      </c>
      <c r="M1092" s="44" t="s">
        <v>405</v>
      </c>
      <c r="N1092" s="44" t="s">
        <v>426</v>
      </c>
      <c r="O1092" s="121" t="str">
        <f t="shared" si="71"/>
        <v>PE-L1-3C4-06</v>
      </c>
      <c r="P1092" s="45">
        <v>0.4</v>
      </c>
      <c r="Q1092" s="44">
        <v>230</v>
      </c>
      <c r="R1092" s="44" t="s">
        <v>49</v>
      </c>
      <c r="S1092" s="44">
        <v>40</v>
      </c>
      <c r="T1092" s="46" t="s">
        <v>6386</v>
      </c>
      <c r="U1092" s="46" t="s">
        <v>5450</v>
      </c>
      <c r="V1092" s="46" t="s">
        <v>5451</v>
      </c>
      <c r="W1092" s="46" t="s">
        <v>335</v>
      </c>
      <c r="X1092" s="172" t="s">
        <v>9167</v>
      </c>
      <c r="Y1092" s="46" t="s">
        <v>6440</v>
      </c>
      <c r="Z1092" s="46" t="s">
        <v>6447</v>
      </c>
      <c r="AA1092" s="46" t="s">
        <v>335</v>
      </c>
      <c r="AB1092" s="172" t="s">
        <v>9167</v>
      </c>
      <c r="AC1092" s="48" t="s">
        <v>6446</v>
      </c>
      <c r="AD1092" s="30"/>
      <c r="AE1092" s="197"/>
      <c r="AF1092" s="47"/>
    </row>
    <row r="1093" spans="1:32" s="29" customFormat="1" ht="69.95" hidden="1" customHeight="1">
      <c r="A1093" s="29" t="s">
        <v>6317</v>
      </c>
      <c r="B1093" s="29" t="s">
        <v>3769</v>
      </c>
      <c r="C1093" s="40">
        <v>12</v>
      </c>
      <c r="D1093" s="40"/>
      <c r="E1093" s="56" t="s">
        <v>247</v>
      </c>
      <c r="F1093" s="56" t="s">
        <v>247</v>
      </c>
      <c r="G1093" s="29" t="s">
        <v>2388</v>
      </c>
      <c r="I1093" s="124" t="s">
        <v>9121</v>
      </c>
      <c r="J1093" s="29">
        <f t="shared" si="67"/>
        <v>1</v>
      </c>
      <c r="K1093" s="42">
        <v>1079</v>
      </c>
      <c r="L1093" s="152" t="s">
        <v>2389</v>
      </c>
      <c r="M1093" s="44" t="s">
        <v>405</v>
      </c>
      <c r="N1093" s="44" t="s">
        <v>2280</v>
      </c>
      <c r="O1093" s="101" t="str">
        <f t="shared" si="71"/>
        <v>PE-L1-2C10-02</v>
      </c>
      <c r="P1093" s="45">
        <v>1.54</v>
      </c>
      <c r="Q1093" s="44">
        <v>220</v>
      </c>
      <c r="R1093" s="44" t="s">
        <v>509</v>
      </c>
      <c r="S1093" s="101">
        <v>160</v>
      </c>
      <c r="T1093" s="46" t="s">
        <v>6386</v>
      </c>
      <c r="U1093" s="46" t="s">
        <v>6317</v>
      </c>
      <c r="V1093" s="46" t="s">
        <v>6318</v>
      </c>
      <c r="W1093" s="46" t="s">
        <v>335</v>
      </c>
      <c r="X1093" s="172" t="s">
        <v>8942</v>
      </c>
      <c r="Y1093" s="46" t="s">
        <v>3964</v>
      </c>
      <c r="Z1093" s="46" t="s">
        <v>6448</v>
      </c>
      <c r="AA1093" s="46" t="s">
        <v>335</v>
      </c>
      <c r="AB1093" s="172" t="s">
        <v>8942</v>
      </c>
      <c r="AC1093" s="48" t="s">
        <v>6449</v>
      </c>
      <c r="AD1093" s="30"/>
      <c r="AE1093" s="197"/>
      <c r="AF1093" s="47"/>
    </row>
    <row r="1094" spans="1:32" s="29" customFormat="1" ht="69.95" hidden="1" customHeight="1">
      <c r="A1094" s="29" t="s">
        <v>6322</v>
      </c>
      <c r="B1094" s="29" t="s">
        <v>3769</v>
      </c>
      <c r="C1094" s="40">
        <v>12</v>
      </c>
      <c r="D1094" s="40"/>
      <c r="E1094" s="56" t="s">
        <v>77</v>
      </c>
      <c r="F1094" s="56" t="s">
        <v>77</v>
      </c>
      <c r="G1094" s="29" t="s">
        <v>2390</v>
      </c>
      <c r="I1094" s="124" t="s">
        <v>9121</v>
      </c>
      <c r="J1094" s="29">
        <f t="shared" si="67"/>
        <v>1</v>
      </c>
      <c r="K1094" s="42">
        <v>1080</v>
      </c>
      <c r="L1094" s="152" t="s">
        <v>2391</v>
      </c>
      <c r="M1094" s="44" t="s">
        <v>405</v>
      </c>
      <c r="N1094" s="44" t="s">
        <v>613</v>
      </c>
      <c r="O1094" s="101" t="str">
        <f t="shared" si="71"/>
        <v>PE-L1-2C6-01</v>
      </c>
      <c r="P1094" s="45">
        <v>1.54</v>
      </c>
      <c r="Q1094" s="44">
        <v>220</v>
      </c>
      <c r="R1094" s="44" t="s">
        <v>509</v>
      </c>
      <c r="S1094" s="101">
        <v>130</v>
      </c>
      <c r="T1094" s="46" t="s">
        <v>6386</v>
      </c>
      <c r="U1094" s="46" t="s">
        <v>6322</v>
      </c>
      <c r="V1094" s="46" t="s">
        <v>6323</v>
      </c>
      <c r="W1094" s="46" t="s">
        <v>335</v>
      </c>
      <c r="X1094" s="131" t="s">
        <v>8942</v>
      </c>
      <c r="Y1094" s="46" t="s">
        <v>3964</v>
      </c>
      <c r="Z1094" s="46" t="s">
        <v>6450</v>
      </c>
      <c r="AA1094" s="46" t="s">
        <v>335</v>
      </c>
      <c r="AB1094" s="131" t="s">
        <v>8942</v>
      </c>
      <c r="AC1094" s="48" t="s">
        <v>6451</v>
      </c>
      <c r="AD1094" s="30"/>
      <c r="AE1094" s="197"/>
      <c r="AF1094" s="47"/>
    </row>
    <row r="1095" spans="1:32" s="29" customFormat="1" ht="69.95" hidden="1" customHeight="1">
      <c r="A1095" s="29" t="s">
        <v>3985</v>
      </c>
      <c r="B1095" s="29" t="s">
        <v>3769</v>
      </c>
      <c r="C1095" s="40" t="s">
        <v>43</v>
      </c>
      <c r="D1095" s="173" t="s">
        <v>9131</v>
      </c>
      <c r="E1095" s="57" t="s">
        <v>143</v>
      </c>
      <c r="F1095" s="121" t="s">
        <v>122</v>
      </c>
      <c r="G1095" s="29" t="s">
        <v>2392</v>
      </c>
      <c r="I1095" s="124" t="s">
        <v>9121</v>
      </c>
      <c r="J1095" s="29">
        <f t="shared" si="67"/>
        <v>1</v>
      </c>
      <c r="K1095" s="42">
        <v>1081</v>
      </c>
      <c r="L1095" s="43" t="s">
        <v>2393</v>
      </c>
      <c r="M1095" s="44" t="s">
        <v>405</v>
      </c>
      <c r="N1095" s="44" t="s">
        <v>426</v>
      </c>
      <c r="O1095" s="121" t="str">
        <f t="shared" si="71"/>
        <v>PE-L1-3C4-06</v>
      </c>
      <c r="P1095" s="45">
        <v>2.5</v>
      </c>
      <c r="Q1095" s="44">
        <v>230</v>
      </c>
      <c r="R1095" s="44" t="s">
        <v>49</v>
      </c>
      <c r="S1095" s="44">
        <v>30</v>
      </c>
      <c r="T1095" s="46" t="s">
        <v>6386</v>
      </c>
      <c r="U1095" s="46" t="s">
        <v>3985</v>
      </c>
      <c r="V1095" s="46" t="s">
        <v>3986</v>
      </c>
      <c r="W1095" s="46" t="s">
        <v>335</v>
      </c>
      <c r="X1095" s="172" t="s">
        <v>9167</v>
      </c>
      <c r="Y1095" s="46" t="s">
        <v>3964</v>
      </c>
      <c r="Z1095" s="46" t="s">
        <v>6452</v>
      </c>
      <c r="AA1095" s="46" t="s">
        <v>335</v>
      </c>
      <c r="AB1095" s="172" t="s">
        <v>9167</v>
      </c>
      <c r="AC1095" s="48" t="s">
        <v>6453</v>
      </c>
      <c r="AD1095" s="30"/>
      <c r="AE1095" s="197"/>
      <c r="AF1095" s="47"/>
    </row>
    <row r="1096" spans="1:32" s="29" customFormat="1" ht="69.95" hidden="1" customHeight="1">
      <c r="A1096" s="29" t="s">
        <v>3985</v>
      </c>
      <c r="B1096" s="29" t="s">
        <v>3769</v>
      </c>
      <c r="C1096" s="40" t="s">
        <v>73</v>
      </c>
      <c r="D1096" s="173" t="s">
        <v>9131</v>
      </c>
      <c r="E1096" s="57" t="s">
        <v>143</v>
      </c>
      <c r="F1096" s="121" t="s">
        <v>122</v>
      </c>
      <c r="G1096" s="29" t="s">
        <v>2394</v>
      </c>
      <c r="I1096" s="124" t="s">
        <v>9121</v>
      </c>
      <c r="J1096" s="29">
        <f t="shared" ref="J1096:J1159" si="72">COUNTIF(L:L,L1096)</f>
        <v>1</v>
      </c>
      <c r="K1096" s="42">
        <v>1082</v>
      </c>
      <c r="L1096" s="43" t="s">
        <v>2395</v>
      </c>
      <c r="M1096" s="44" t="s">
        <v>405</v>
      </c>
      <c r="N1096" s="44" t="s">
        <v>426</v>
      </c>
      <c r="O1096" s="121" t="str">
        <f t="shared" si="71"/>
        <v>PE-L1-3C4-06</v>
      </c>
      <c r="P1096" s="45">
        <v>0.3</v>
      </c>
      <c r="Q1096" s="44">
        <v>230</v>
      </c>
      <c r="R1096" s="44" t="s">
        <v>49</v>
      </c>
      <c r="S1096" s="44">
        <v>30</v>
      </c>
      <c r="T1096" s="46" t="s">
        <v>6386</v>
      </c>
      <c r="U1096" s="46" t="s">
        <v>3985</v>
      </c>
      <c r="V1096" s="46" t="s">
        <v>3986</v>
      </c>
      <c r="W1096" s="46" t="s">
        <v>335</v>
      </c>
      <c r="X1096" s="172" t="s">
        <v>9167</v>
      </c>
      <c r="Y1096" s="46" t="s">
        <v>3964</v>
      </c>
      <c r="Z1096" s="46" t="s">
        <v>6454</v>
      </c>
      <c r="AA1096" s="46" t="s">
        <v>335</v>
      </c>
      <c r="AB1096" s="172" t="s">
        <v>9167</v>
      </c>
      <c r="AC1096" s="48" t="s">
        <v>6453</v>
      </c>
      <c r="AD1096" s="30"/>
      <c r="AE1096" s="197"/>
      <c r="AF1096" s="47"/>
    </row>
    <row r="1097" spans="1:32" s="29" customFormat="1" ht="69.95" hidden="1" customHeight="1">
      <c r="A1097" s="29" t="s">
        <v>6317</v>
      </c>
      <c r="B1097" s="29" t="s">
        <v>3769</v>
      </c>
      <c r="C1097" s="40">
        <v>13</v>
      </c>
      <c r="D1097" s="40"/>
      <c r="E1097" s="57" t="s">
        <v>246</v>
      </c>
      <c r="F1097" s="57" t="s">
        <v>246</v>
      </c>
      <c r="G1097" s="29" t="s">
        <v>2396</v>
      </c>
      <c r="I1097" s="124" t="s">
        <v>9121</v>
      </c>
      <c r="J1097" s="29">
        <f t="shared" si="72"/>
        <v>1</v>
      </c>
      <c r="K1097" s="42">
        <v>1083</v>
      </c>
      <c r="L1097" s="152" t="s">
        <v>2397</v>
      </c>
      <c r="M1097" s="44" t="s">
        <v>405</v>
      </c>
      <c r="N1097" s="44" t="s">
        <v>2280</v>
      </c>
      <c r="O1097" s="101" t="str">
        <f t="shared" si="71"/>
        <v>PE-L1-2C10-01</v>
      </c>
      <c r="P1097" s="45">
        <v>3.3600000000000003</v>
      </c>
      <c r="Q1097" s="44">
        <v>220</v>
      </c>
      <c r="R1097" s="44" t="s">
        <v>509</v>
      </c>
      <c r="S1097" s="101">
        <v>100</v>
      </c>
      <c r="T1097" s="46" t="s">
        <v>6386</v>
      </c>
      <c r="U1097" s="46" t="s">
        <v>6317</v>
      </c>
      <c r="V1097" s="46" t="s">
        <v>6318</v>
      </c>
      <c r="W1097" s="46" t="s">
        <v>335</v>
      </c>
      <c r="X1097" s="172" t="s">
        <v>8942</v>
      </c>
      <c r="Y1097" s="46" t="s">
        <v>5288</v>
      </c>
      <c r="Z1097" s="46" t="s">
        <v>6455</v>
      </c>
      <c r="AA1097" s="46" t="s">
        <v>335</v>
      </c>
      <c r="AB1097" s="172" t="s">
        <v>8942</v>
      </c>
      <c r="AC1097" s="48" t="s">
        <v>6456</v>
      </c>
      <c r="AD1097" s="30"/>
      <c r="AE1097" s="197"/>
      <c r="AF1097" s="47"/>
    </row>
    <row r="1098" spans="1:32" s="29" customFormat="1" ht="69.95" hidden="1" customHeight="1">
      <c r="A1098" s="29" t="s">
        <v>6322</v>
      </c>
      <c r="B1098" s="29" t="s">
        <v>3769</v>
      </c>
      <c r="C1098" s="40">
        <v>13</v>
      </c>
      <c r="D1098" s="40"/>
      <c r="E1098" s="56" t="s">
        <v>246</v>
      </c>
      <c r="F1098" s="56" t="s">
        <v>246</v>
      </c>
      <c r="G1098" s="29" t="s">
        <v>2398</v>
      </c>
      <c r="I1098" s="124" t="s">
        <v>9121</v>
      </c>
      <c r="J1098" s="29">
        <f t="shared" si="72"/>
        <v>1</v>
      </c>
      <c r="K1098" s="42">
        <v>1084</v>
      </c>
      <c r="L1098" s="152" t="s">
        <v>2399</v>
      </c>
      <c r="M1098" s="44" t="s">
        <v>405</v>
      </c>
      <c r="N1098" s="44" t="s">
        <v>2280</v>
      </c>
      <c r="O1098" s="101" t="str">
        <f t="shared" si="71"/>
        <v>PE-L1-2C10-01</v>
      </c>
      <c r="P1098" s="45">
        <v>3.3600000000000003</v>
      </c>
      <c r="Q1098" s="44">
        <v>220</v>
      </c>
      <c r="R1098" s="44" t="s">
        <v>509</v>
      </c>
      <c r="S1098" s="101">
        <v>120</v>
      </c>
      <c r="T1098" s="46" t="s">
        <v>6386</v>
      </c>
      <c r="U1098" s="46" t="s">
        <v>6322</v>
      </c>
      <c r="V1098" s="46" t="s">
        <v>6323</v>
      </c>
      <c r="W1098" s="46" t="s">
        <v>335</v>
      </c>
      <c r="X1098" s="172" t="s">
        <v>8942</v>
      </c>
      <c r="Y1098" s="46" t="s">
        <v>5288</v>
      </c>
      <c r="Z1098" s="46" t="s">
        <v>6457</v>
      </c>
      <c r="AA1098" s="46" t="s">
        <v>335</v>
      </c>
      <c r="AB1098" s="172" t="s">
        <v>8942</v>
      </c>
      <c r="AC1098" s="48" t="s">
        <v>6458</v>
      </c>
      <c r="AD1098" s="30"/>
      <c r="AE1098" s="197"/>
      <c r="AF1098" s="47"/>
    </row>
    <row r="1099" spans="1:32" s="29" customFormat="1" ht="69.95" hidden="1" customHeight="1">
      <c r="A1099" s="29" t="s">
        <v>5450</v>
      </c>
      <c r="B1099" s="29" t="s">
        <v>3769</v>
      </c>
      <c r="C1099" s="40" t="s">
        <v>73</v>
      </c>
      <c r="D1099" s="40"/>
      <c r="E1099" s="57" t="s">
        <v>70</v>
      </c>
      <c r="F1099" s="57" t="s">
        <v>70</v>
      </c>
      <c r="G1099" s="29" t="s">
        <v>2400</v>
      </c>
      <c r="I1099" s="124" t="s">
        <v>9121</v>
      </c>
      <c r="J1099" s="29">
        <f t="shared" si="72"/>
        <v>1</v>
      </c>
      <c r="K1099" s="42">
        <v>1085</v>
      </c>
      <c r="L1099" s="152" t="s">
        <v>2401</v>
      </c>
      <c r="M1099" s="44" t="s">
        <v>405</v>
      </c>
      <c r="N1099" s="44" t="s">
        <v>549</v>
      </c>
      <c r="O1099" s="101" t="str">
        <f t="shared" si="71"/>
        <v>PE-L1-3C10-01</v>
      </c>
      <c r="P1099" s="45">
        <v>4.33</v>
      </c>
      <c r="Q1099" s="44">
        <v>230</v>
      </c>
      <c r="R1099" s="44" t="s">
        <v>49</v>
      </c>
      <c r="S1099" s="101">
        <v>60</v>
      </c>
      <c r="T1099" s="46" t="s">
        <v>6386</v>
      </c>
      <c r="U1099" s="46" t="s">
        <v>5450</v>
      </c>
      <c r="V1099" s="46" t="s">
        <v>5451</v>
      </c>
      <c r="W1099" s="46" t="s">
        <v>335</v>
      </c>
      <c r="X1099" s="172" t="s">
        <v>9167</v>
      </c>
      <c r="Y1099" s="46" t="s">
        <v>5288</v>
      </c>
      <c r="Z1099" s="46" t="s">
        <v>6459</v>
      </c>
      <c r="AA1099" s="46" t="s">
        <v>335</v>
      </c>
      <c r="AB1099" s="172" t="s">
        <v>9167</v>
      </c>
      <c r="AC1099" s="48" t="s">
        <v>6460</v>
      </c>
      <c r="AD1099" s="30"/>
      <c r="AE1099" s="197"/>
      <c r="AF1099" s="47"/>
    </row>
    <row r="1100" spans="1:32" s="29" customFormat="1" ht="69.95" hidden="1" customHeight="1">
      <c r="A1100" s="29" t="s">
        <v>6317</v>
      </c>
      <c r="B1100" s="29" t="s">
        <v>3769</v>
      </c>
      <c r="C1100" s="40">
        <v>14</v>
      </c>
      <c r="D1100" s="40"/>
      <c r="E1100" s="58" t="s">
        <v>248</v>
      </c>
      <c r="F1100" s="58" t="s">
        <v>248</v>
      </c>
      <c r="G1100" s="29" t="s">
        <v>2402</v>
      </c>
      <c r="I1100" s="124" t="s">
        <v>9121</v>
      </c>
      <c r="J1100" s="29">
        <f t="shared" si="72"/>
        <v>1</v>
      </c>
      <c r="K1100" s="42">
        <v>1086</v>
      </c>
      <c r="L1100" s="152" t="s">
        <v>2403</v>
      </c>
      <c r="M1100" s="44" t="s">
        <v>405</v>
      </c>
      <c r="N1100" s="44" t="s">
        <v>578</v>
      </c>
      <c r="O1100" s="101" t="str">
        <f t="shared" si="71"/>
        <v>PE-L1-2C4-02</v>
      </c>
      <c r="P1100" s="45">
        <v>0.17</v>
      </c>
      <c r="Q1100" s="44">
        <v>220</v>
      </c>
      <c r="R1100" s="44" t="s">
        <v>509</v>
      </c>
      <c r="S1100" s="101">
        <v>140</v>
      </c>
      <c r="T1100" s="46" t="s">
        <v>6386</v>
      </c>
      <c r="U1100" s="46" t="s">
        <v>6317</v>
      </c>
      <c r="V1100" s="46" t="s">
        <v>6318</v>
      </c>
      <c r="W1100" s="46" t="s">
        <v>335</v>
      </c>
      <c r="X1100" s="172" t="s">
        <v>8942</v>
      </c>
      <c r="Y1100" s="46" t="s">
        <v>6461</v>
      </c>
      <c r="Z1100" s="46" t="s">
        <v>6462</v>
      </c>
      <c r="AA1100" s="46" t="s">
        <v>335</v>
      </c>
      <c r="AB1100" s="172" t="s">
        <v>8942</v>
      </c>
      <c r="AC1100" s="48" t="s">
        <v>6463</v>
      </c>
      <c r="AD1100" s="30"/>
      <c r="AE1100" s="197"/>
      <c r="AF1100" s="47"/>
    </row>
    <row r="1101" spans="1:32" s="29" customFormat="1" ht="69.95" hidden="1" customHeight="1">
      <c r="A1101" s="29" t="s">
        <v>6322</v>
      </c>
      <c r="B1101" s="29" t="s">
        <v>3769</v>
      </c>
      <c r="C1101" s="40">
        <v>14</v>
      </c>
      <c r="D1101" s="40"/>
      <c r="E1101" s="56" t="s">
        <v>248</v>
      </c>
      <c r="F1101" s="56" t="s">
        <v>248</v>
      </c>
      <c r="G1101" s="29" t="s">
        <v>2404</v>
      </c>
      <c r="I1101" s="124" t="s">
        <v>9121</v>
      </c>
      <c r="J1101" s="29">
        <f t="shared" si="72"/>
        <v>1</v>
      </c>
      <c r="K1101" s="42">
        <v>1087</v>
      </c>
      <c r="L1101" s="152" t="s">
        <v>2405</v>
      </c>
      <c r="M1101" s="44" t="s">
        <v>405</v>
      </c>
      <c r="N1101" s="44" t="s">
        <v>578</v>
      </c>
      <c r="O1101" s="101" t="str">
        <f t="shared" si="71"/>
        <v>PE-L1-2C4-02</v>
      </c>
      <c r="P1101" s="45">
        <v>0.17</v>
      </c>
      <c r="Q1101" s="44">
        <v>220</v>
      </c>
      <c r="R1101" s="44" t="s">
        <v>509</v>
      </c>
      <c r="S1101" s="101">
        <v>100</v>
      </c>
      <c r="T1101" s="46" t="s">
        <v>6386</v>
      </c>
      <c r="U1101" s="46" t="s">
        <v>6322</v>
      </c>
      <c r="V1101" s="46" t="s">
        <v>6323</v>
      </c>
      <c r="W1101" s="46" t="s">
        <v>335</v>
      </c>
      <c r="X1101" s="172" t="s">
        <v>8942</v>
      </c>
      <c r="Y1101" s="46" t="s">
        <v>6461</v>
      </c>
      <c r="Z1101" s="46" t="s">
        <v>6464</v>
      </c>
      <c r="AA1101" s="46" t="s">
        <v>335</v>
      </c>
      <c r="AB1101" s="172" t="s">
        <v>8942</v>
      </c>
      <c r="AC1101" s="48" t="s">
        <v>6465</v>
      </c>
      <c r="AD1101" s="30"/>
      <c r="AE1101" s="197"/>
      <c r="AF1101" s="47"/>
    </row>
    <row r="1102" spans="1:32" s="29" customFormat="1" ht="69.95" hidden="1" customHeight="1">
      <c r="A1102" s="29" t="s">
        <v>3985</v>
      </c>
      <c r="B1102" s="29" t="s">
        <v>3769</v>
      </c>
      <c r="C1102" s="40" t="s">
        <v>75</v>
      </c>
      <c r="D1102" s="173" t="s">
        <v>9131</v>
      </c>
      <c r="E1102" s="57" t="s">
        <v>143</v>
      </c>
      <c r="F1102" s="121" t="s">
        <v>122</v>
      </c>
      <c r="G1102" s="29" t="s">
        <v>2406</v>
      </c>
      <c r="I1102" s="124" t="s">
        <v>9121</v>
      </c>
      <c r="J1102" s="29">
        <f t="shared" si="72"/>
        <v>1</v>
      </c>
      <c r="K1102" s="42">
        <v>1088</v>
      </c>
      <c r="L1102" s="43" t="s">
        <v>2407</v>
      </c>
      <c r="M1102" s="44" t="s">
        <v>405</v>
      </c>
      <c r="N1102" s="44" t="s">
        <v>426</v>
      </c>
      <c r="O1102" s="121" t="str">
        <f t="shared" si="71"/>
        <v>PE-L1-3C4-06</v>
      </c>
      <c r="P1102" s="45">
        <v>0.1</v>
      </c>
      <c r="Q1102" s="44">
        <v>230</v>
      </c>
      <c r="R1102" s="44" t="s">
        <v>49</v>
      </c>
      <c r="S1102" s="44">
        <v>60</v>
      </c>
      <c r="T1102" s="46" t="s">
        <v>6386</v>
      </c>
      <c r="U1102" s="46" t="s">
        <v>3985</v>
      </c>
      <c r="V1102" s="46" t="s">
        <v>3986</v>
      </c>
      <c r="W1102" s="46" t="s">
        <v>335</v>
      </c>
      <c r="X1102" s="172" t="s">
        <v>9167</v>
      </c>
      <c r="Y1102" s="46" t="s">
        <v>6461</v>
      </c>
      <c r="Z1102" s="46" t="s">
        <v>6466</v>
      </c>
      <c r="AA1102" s="46" t="s">
        <v>335</v>
      </c>
      <c r="AB1102" s="172" t="s">
        <v>9167</v>
      </c>
      <c r="AC1102" s="48" t="s">
        <v>6439</v>
      </c>
      <c r="AD1102" s="30"/>
      <c r="AE1102" s="197"/>
      <c r="AF1102" s="47"/>
    </row>
    <row r="1103" spans="1:32" s="29" customFormat="1" ht="69.95" hidden="1" customHeight="1">
      <c r="A1103" s="29" t="s">
        <v>6336</v>
      </c>
      <c r="B1103" s="29" t="s">
        <v>3769</v>
      </c>
      <c r="C1103" s="40" t="s">
        <v>38</v>
      </c>
      <c r="D1103" s="40"/>
      <c r="E1103" s="57" t="s">
        <v>249</v>
      </c>
      <c r="F1103" s="57" t="s">
        <v>249</v>
      </c>
      <c r="G1103" s="29" t="s">
        <v>2408</v>
      </c>
      <c r="J1103" s="29">
        <f t="shared" si="72"/>
        <v>1</v>
      </c>
      <c r="K1103" s="42">
        <v>1089</v>
      </c>
      <c r="L1103" s="43" t="s">
        <v>2409</v>
      </c>
      <c r="M1103" s="44" t="s">
        <v>405</v>
      </c>
      <c r="N1103" s="44" t="s">
        <v>2280</v>
      </c>
      <c r="O1103" s="44" t="str">
        <f t="shared" ref="O1103:O1135" si="73">F1103</f>
        <v>PE-L1-2C10-02</v>
      </c>
      <c r="P1103" s="45">
        <v>3.3600000000000003</v>
      </c>
      <c r="Q1103" s="44">
        <v>220</v>
      </c>
      <c r="R1103" s="44" t="s">
        <v>509</v>
      </c>
      <c r="S1103" s="44">
        <v>80</v>
      </c>
      <c r="T1103" s="46" t="s">
        <v>6386</v>
      </c>
      <c r="U1103" s="46" t="s">
        <v>6336</v>
      </c>
      <c r="V1103" s="46" t="s">
        <v>6337</v>
      </c>
      <c r="W1103" s="46" t="s">
        <v>347</v>
      </c>
      <c r="X1103" s="172" t="s">
        <v>8942</v>
      </c>
      <c r="Y1103" s="46" t="s">
        <v>4010</v>
      </c>
      <c r="Z1103" s="46" t="s">
        <v>6467</v>
      </c>
      <c r="AA1103" s="46" t="s">
        <v>347</v>
      </c>
      <c r="AB1103" s="172" t="s">
        <v>8942</v>
      </c>
      <c r="AC1103" s="48" t="s">
        <v>6468</v>
      </c>
      <c r="AD1103" s="30"/>
      <c r="AE1103" s="197"/>
      <c r="AF1103" s="47"/>
    </row>
    <row r="1104" spans="1:32" s="29" customFormat="1" ht="69.95" hidden="1" customHeight="1">
      <c r="A1104" s="29" t="s">
        <v>6341</v>
      </c>
      <c r="B1104" s="29" t="s">
        <v>3769</v>
      </c>
      <c r="C1104" s="40" t="s">
        <v>38</v>
      </c>
      <c r="D1104" s="40"/>
      <c r="E1104" s="57" t="s">
        <v>247</v>
      </c>
      <c r="F1104" s="57" t="s">
        <v>247</v>
      </c>
      <c r="G1104" s="29" t="s">
        <v>2410</v>
      </c>
      <c r="J1104" s="29">
        <f t="shared" si="72"/>
        <v>1</v>
      </c>
      <c r="K1104" s="42">
        <v>1090</v>
      </c>
      <c r="L1104" s="43" t="s">
        <v>2411</v>
      </c>
      <c r="M1104" s="44" t="s">
        <v>405</v>
      </c>
      <c r="N1104" s="44" t="s">
        <v>2280</v>
      </c>
      <c r="O1104" s="44" t="str">
        <f t="shared" si="73"/>
        <v>PE-L1-2C10-02</v>
      </c>
      <c r="P1104" s="45">
        <v>3.3600000000000003</v>
      </c>
      <c r="Q1104" s="44">
        <v>220</v>
      </c>
      <c r="R1104" s="44" t="s">
        <v>509</v>
      </c>
      <c r="S1104" s="44">
        <v>80</v>
      </c>
      <c r="T1104" s="46" t="s">
        <v>6386</v>
      </c>
      <c r="U1104" s="46" t="s">
        <v>6341</v>
      </c>
      <c r="V1104" s="46" t="s">
        <v>6342</v>
      </c>
      <c r="W1104" s="46" t="s">
        <v>347</v>
      </c>
      <c r="X1104" s="172" t="s">
        <v>8942</v>
      </c>
      <c r="Y1104" s="46" t="s">
        <v>4010</v>
      </c>
      <c r="Z1104" s="46" t="s">
        <v>6469</v>
      </c>
      <c r="AA1104" s="46" t="s">
        <v>347</v>
      </c>
      <c r="AB1104" s="172" t="s">
        <v>8942</v>
      </c>
      <c r="AC1104" s="48" t="s">
        <v>6470</v>
      </c>
      <c r="AD1104" s="30"/>
      <c r="AE1104" s="197"/>
      <c r="AF1104" s="47"/>
    </row>
    <row r="1105" spans="1:32" s="29" customFormat="1" ht="69.95" hidden="1" customHeight="1">
      <c r="A1105" s="29" t="s">
        <v>5147</v>
      </c>
      <c r="B1105" s="29" t="s">
        <v>3769</v>
      </c>
      <c r="C1105" s="40" t="s">
        <v>36</v>
      </c>
      <c r="D1105" s="40"/>
      <c r="E1105" s="57" t="s">
        <v>63</v>
      </c>
      <c r="F1105" s="57" t="s">
        <v>63</v>
      </c>
      <c r="G1105" s="29" t="s">
        <v>2412</v>
      </c>
      <c r="J1105" s="29">
        <f t="shared" si="72"/>
        <v>1</v>
      </c>
      <c r="K1105" s="42">
        <v>1091</v>
      </c>
      <c r="L1105" s="43" t="s">
        <v>2413</v>
      </c>
      <c r="M1105" s="44" t="s">
        <v>405</v>
      </c>
      <c r="N1105" s="44" t="s">
        <v>456</v>
      </c>
      <c r="O1105" s="44" t="str">
        <f t="shared" si="73"/>
        <v>PE-L1-3C6-05</v>
      </c>
      <c r="P1105" s="45">
        <v>3.34</v>
      </c>
      <c r="Q1105" s="44">
        <v>230</v>
      </c>
      <c r="R1105" s="44" t="s">
        <v>49</v>
      </c>
      <c r="S1105" s="44">
        <v>60</v>
      </c>
      <c r="T1105" s="46" t="s">
        <v>6386</v>
      </c>
      <c r="U1105" s="46" t="s">
        <v>5147</v>
      </c>
      <c r="V1105" s="46" t="s">
        <v>5148</v>
      </c>
      <c r="W1105" s="46" t="s">
        <v>347</v>
      </c>
      <c r="X1105" s="172" t="s">
        <v>9167</v>
      </c>
      <c r="Y1105" s="46" t="s">
        <v>4010</v>
      </c>
      <c r="Z1105" s="46" t="s">
        <v>6471</v>
      </c>
      <c r="AA1105" s="46" t="s">
        <v>347</v>
      </c>
      <c r="AB1105" s="172" t="s">
        <v>9167</v>
      </c>
      <c r="AC1105" s="48" t="s">
        <v>6472</v>
      </c>
      <c r="AD1105" s="30"/>
      <c r="AE1105" s="197"/>
      <c r="AF1105" s="47"/>
    </row>
    <row r="1106" spans="1:32" s="29" customFormat="1" ht="69.95" hidden="1" customHeight="1">
      <c r="A1106" s="29" t="s">
        <v>6336</v>
      </c>
      <c r="B1106" s="29" t="s">
        <v>3769</v>
      </c>
      <c r="C1106" s="40" t="s">
        <v>40</v>
      </c>
      <c r="D1106" s="40"/>
      <c r="E1106" s="57" t="s">
        <v>8580</v>
      </c>
      <c r="F1106" s="57" t="s">
        <v>8580</v>
      </c>
      <c r="G1106" s="29" t="s">
        <v>2414</v>
      </c>
      <c r="J1106" s="29">
        <f t="shared" si="72"/>
        <v>1</v>
      </c>
      <c r="K1106" s="42">
        <v>1092</v>
      </c>
      <c r="L1106" s="43" t="s">
        <v>2415</v>
      </c>
      <c r="M1106" s="44" t="s">
        <v>405</v>
      </c>
      <c r="N1106" s="44" t="s">
        <v>578</v>
      </c>
      <c r="O1106" s="44" t="str">
        <f t="shared" si="73"/>
        <v>PE-L1-2C4-06</v>
      </c>
      <c r="P1106" s="45">
        <v>0.17</v>
      </c>
      <c r="Q1106" s="44">
        <v>220</v>
      </c>
      <c r="R1106" s="44" t="s">
        <v>509</v>
      </c>
      <c r="S1106" s="44">
        <v>80</v>
      </c>
      <c r="T1106" s="46" t="s">
        <v>6386</v>
      </c>
      <c r="U1106" s="46" t="s">
        <v>6336</v>
      </c>
      <c r="V1106" s="46" t="s">
        <v>6337</v>
      </c>
      <c r="W1106" s="46" t="s">
        <v>347</v>
      </c>
      <c r="X1106" s="172" t="s">
        <v>8942</v>
      </c>
      <c r="Y1106" s="46" t="s">
        <v>6473</v>
      </c>
      <c r="Z1106" s="46" t="s">
        <v>6474</v>
      </c>
      <c r="AA1106" s="46" t="s">
        <v>347</v>
      </c>
      <c r="AB1106" s="172" t="s">
        <v>8942</v>
      </c>
      <c r="AC1106" s="48" t="s">
        <v>6475</v>
      </c>
      <c r="AD1106" s="30"/>
      <c r="AE1106" s="197"/>
      <c r="AF1106" s="47"/>
    </row>
    <row r="1107" spans="1:32" s="29" customFormat="1" ht="69.95" hidden="1" customHeight="1">
      <c r="A1107" s="29" t="s">
        <v>6341</v>
      </c>
      <c r="B1107" s="29" t="s">
        <v>3769</v>
      </c>
      <c r="C1107" s="40" t="s">
        <v>40</v>
      </c>
      <c r="D1107" s="40"/>
      <c r="E1107" s="57" t="s">
        <v>8577</v>
      </c>
      <c r="F1107" s="57" t="s">
        <v>8577</v>
      </c>
      <c r="G1107" s="29" t="s">
        <v>2416</v>
      </c>
      <c r="J1107" s="29">
        <f t="shared" si="72"/>
        <v>1</v>
      </c>
      <c r="K1107" s="42">
        <v>1093</v>
      </c>
      <c r="L1107" s="43" t="s">
        <v>2417</v>
      </c>
      <c r="M1107" s="44" t="s">
        <v>405</v>
      </c>
      <c r="N1107" s="44" t="s">
        <v>578</v>
      </c>
      <c r="O1107" s="44" t="str">
        <f t="shared" si="73"/>
        <v>PE-L1-2C4-09</v>
      </c>
      <c r="P1107" s="45">
        <v>0.17</v>
      </c>
      <c r="Q1107" s="44">
        <v>220</v>
      </c>
      <c r="R1107" s="44" t="s">
        <v>509</v>
      </c>
      <c r="S1107" s="44">
        <v>80</v>
      </c>
      <c r="T1107" s="46" t="s">
        <v>6386</v>
      </c>
      <c r="U1107" s="46" t="s">
        <v>6341</v>
      </c>
      <c r="V1107" s="46" t="s">
        <v>6342</v>
      </c>
      <c r="W1107" s="46" t="s">
        <v>347</v>
      </c>
      <c r="X1107" s="172" t="s">
        <v>8942</v>
      </c>
      <c r="Y1107" s="46" t="s">
        <v>6473</v>
      </c>
      <c r="Z1107" s="46" t="s">
        <v>6476</v>
      </c>
      <c r="AA1107" s="46" t="s">
        <v>347</v>
      </c>
      <c r="AB1107" s="172" t="s">
        <v>8942</v>
      </c>
      <c r="AC1107" s="48" t="s">
        <v>6477</v>
      </c>
      <c r="AD1107" s="30"/>
      <c r="AE1107" s="197"/>
      <c r="AF1107" s="47"/>
    </row>
    <row r="1108" spans="1:32" s="29" customFormat="1" ht="69.95" hidden="1" customHeight="1">
      <c r="A1108" s="29" t="s">
        <v>4020</v>
      </c>
      <c r="B1108" s="29" t="s">
        <v>3769</v>
      </c>
      <c r="C1108" s="40" t="s">
        <v>42</v>
      </c>
      <c r="D1108" s="40"/>
      <c r="E1108" s="57" t="s">
        <v>8327</v>
      </c>
      <c r="F1108" s="57" t="s">
        <v>8327</v>
      </c>
      <c r="G1108" s="29" t="s">
        <v>2418</v>
      </c>
      <c r="J1108" s="29">
        <f t="shared" si="72"/>
        <v>1</v>
      </c>
      <c r="K1108" s="42">
        <v>1094</v>
      </c>
      <c r="L1108" s="43" t="s">
        <v>2419</v>
      </c>
      <c r="M1108" s="44" t="s">
        <v>405</v>
      </c>
      <c r="N1108" s="44" t="s">
        <v>426</v>
      </c>
      <c r="O1108" s="44" t="str">
        <f t="shared" si="73"/>
        <v>PE-L1-3C4-25</v>
      </c>
      <c r="P1108" s="45">
        <v>0.1</v>
      </c>
      <c r="Q1108" s="44">
        <v>230</v>
      </c>
      <c r="R1108" s="44" t="s">
        <v>49</v>
      </c>
      <c r="S1108" s="44">
        <v>30</v>
      </c>
      <c r="T1108" s="46" t="s">
        <v>6386</v>
      </c>
      <c r="U1108" s="46" t="s">
        <v>4020</v>
      </c>
      <c r="V1108" s="46" t="s">
        <v>4021</v>
      </c>
      <c r="W1108" s="46" t="s">
        <v>347</v>
      </c>
      <c r="X1108" s="172" t="s">
        <v>9167</v>
      </c>
      <c r="Y1108" s="46" t="s">
        <v>6473</v>
      </c>
      <c r="Z1108" s="46" t="s">
        <v>6478</v>
      </c>
      <c r="AA1108" s="46" t="s">
        <v>347</v>
      </c>
      <c r="AB1108" s="172" t="s">
        <v>9167</v>
      </c>
      <c r="AC1108" s="48" t="s">
        <v>6479</v>
      </c>
      <c r="AD1108" s="30"/>
      <c r="AE1108" s="197"/>
      <c r="AF1108" s="47"/>
    </row>
    <row r="1109" spans="1:32" s="29" customFormat="1" ht="69.95" hidden="1" customHeight="1">
      <c r="A1109" s="29" t="s">
        <v>6336</v>
      </c>
      <c r="B1109" s="29" t="s">
        <v>3769</v>
      </c>
      <c r="C1109" s="40" t="s">
        <v>41</v>
      </c>
      <c r="D1109" s="40"/>
      <c r="E1109" s="57" t="s">
        <v>8577</v>
      </c>
      <c r="F1109" s="57" t="s">
        <v>8577</v>
      </c>
      <c r="G1109" s="29" t="s">
        <v>2420</v>
      </c>
      <c r="J1109" s="29">
        <f t="shared" si="72"/>
        <v>1</v>
      </c>
      <c r="K1109" s="42">
        <v>1095</v>
      </c>
      <c r="L1109" s="43" t="s">
        <v>2421</v>
      </c>
      <c r="M1109" s="44" t="s">
        <v>405</v>
      </c>
      <c r="N1109" s="44" t="s">
        <v>578</v>
      </c>
      <c r="O1109" s="44" t="str">
        <f t="shared" si="73"/>
        <v>PE-L1-2C4-09</v>
      </c>
      <c r="P1109" s="45">
        <v>1.3</v>
      </c>
      <c r="Q1109" s="44">
        <v>220</v>
      </c>
      <c r="R1109" s="44" t="s">
        <v>509</v>
      </c>
      <c r="S1109" s="44">
        <v>80</v>
      </c>
      <c r="T1109" s="46" t="s">
        <v>6386</v>
      </c>
      <c r="U1109" s="46" t="s">
        <v>6336</v>
      </c>
      <c r="V1109" s="46" t="s">
        <v>6337</v>
      </c>
      <c r="W1109" s="46" t="s">
        <v>347</v>
      </c>
      <c r="X1109" s="172" t="s">
        <v>8942</v>
      </c>
      <c r="Y1109" s="46" t="s">
        <v>3999</v>
      </c>
      <c r="Z1109" s="46" t="s">
        <v>6480</v>
      </c>
      <c r="AA1109" s="46" t="s">
        <v>347</v>
      </c>
      <c r="AB1109" s="172" t="s">
        <v>8942</v>
      </c>
      <c r="AC1109" s="48" t="s">
        <v>6481</v>
      </c>
      <c r="AD1109" s="30"/>
      <c r="AE1109" s="197"/>
      <c r="AF1109" s="47"/>
    </row>
    <row r="1110" spans="1:32" s="29" customFormat="1" ht="69.95" hidden="1" customHeight="1">
      <c r="A1110" s="29" t="s">
        <v>6341</v>
      </c>
      <c r="B1110" s="29" t="s">
        <v>3769</v>
      </c>
      <c r="C1110" s="40" t="s">
        <v>41</v>
      </c>
      <c r="D1110" s="40"/>
      <c r="E1110" s="57" t="s">
        <v>8577</v>
      </c>
      <c r="F1110" s="57" t="s">
        <v>8577</v>
      </c>
      <c r="G1110" s="29" t="s">
        <v>2422</v>
      </c>
      <c r="J1110" s="29">
        <f t="shared" si="72"/>
        <v>1</v>
      </c>
      <c r="K1110" s="42">
        <v>1096</v>
      </c>
      <c r="L1110" s="43" t="s">
        <v>2423</v>
      </c>
      <c r="M1110" s="44" t="s">
        <v>405</v>
      </c>
      <c r="N1110" s="44" t="s">
        <v>578</v>
      </c>
      <c r="O1110" s="44" t="str">
        <f t="shared" si="73"/>
        <v>PE-L1-2C4-09</v>
      </c>
      <c r="P1110" s="45">
        <v>1.3</v>
      </c>
      <c r="Q1110" s="44">
        <v>220</v>
      </c>
      <c r="R1110" s="44" t="s">
        <v>509</v>
      </c>
      <c r="S1110" s="44">
        <v>80</v>
      </c>
      <c r="T1110" s="46" t="s">
        <v>6386</v>
      </c>
      <c r="U1110" s="46" t="s">
        <v>6341</v>
      </c>
      <c r="V1110" s="46" t="s">
        <v>6342</v>
      </c>
      <c r="W1110" s="46" t="s">
        <v>347</v>
      </c>
      <c r="X1110" s="172" t="s">
        <v>8942</v>
      </c>
      <c r="Y1110" s="46" t="s">
        <v>3999</v>
      </c>
      <c r="Z1110" s="46" t="s">
        <v>6482</v>
      </c>
      <c r="AA1110" s="46" t="s">
        <v>347</v>
      </c>
      <c r="AB1110" s="172" t="s">
        <v>8942</v>
      </c>
      <c r="AC1110" s="48" t="s">
        <v>6483</v>
      </c>
      <c r="AD1110" s="30"/>
      <c r="AE1110" s="197"/>
      <c r="AF1110" s="47"/>
    </row>
    <row r="1111" spans="1:32" s="29" customFormat="1" ht="69.95" hidden="1" customHeight="1">
      <c r="A1111" s="29" t="s">
        <v>5147</v>
      </c>
      <c r="B1111" s="29" t="s">
        <v>3769</v>
      </c>
      <c r="C1111" s="40" t="s">
        <v>38</v>
      </c>
      <c r="D1111" s="40"/>
      <c r="E1111" s="57" t="s">
        <v>8327</v>
      </c>
      <c r="F1111" s="57" t="s">
        <v>8327</v>
      </c>
      <c r="G1111" s="29" t="s">
        <v>2424</v>
      </c>
      <c r="J1111" s="29">
        <f t="shared" si="72"/>
        <v>1</v>
      </c>
      <c r="K1111" s="42">
        <v>1097</v>
      </c>
      <c r="L1111" s="43" t="s">
        <v>2425</v>
      </c>
      <c r="M1111" s="44" t="s">
        <v>405</v>
      </c>
      <c r="N1111" s="44" t="s">
        <v>426</v>
      </c>
      <c r="O1111" s="44" t="str">
        <f t="shared" si="73"/>
        <v>PE-L1-3C4-25</v>
      </c>
      <c r="P1111" s="45">
        <v>2.12</v>
      </c>
      <c r="Q1111" s="44">
        <v>230</v>
      </c>
      <c r="R1111" s="44" t="s">
        <v>49</v>
      </c>
      <c r="S1111" s="44">
        <v>40</v>
      </c>
      <c r="T1111" s="46" t="s">
        <v>6386</v>
      </c>
      <c r="U1111" s="46" t="s">
        <v>5147</v>
      </c>
      <c r="V1111" s="46" t="s">
        <v>5148</v>
      </c>
      <c r="W1111" s="46" t="s">
        <v>347</v>
      </c>
      <c r="X1111" s="172" t="s">
        <v>9167</v>
      </c>
      <c r="Y1111" s="46" t="s">
        <v>3999</v>
      </c>
      <c r="Z1111" s="46" t="s">
        <v>6484</v>
      </c>
      <c r="AA1111" s="46" t="s">
        <v>347</v>
      </c>
      <c r="AB1111" s="172" t="s">
        <v>9167</v>
      </c>
      <c r="AC1111" s="48" t="s">
        <v>6485</v>
      </c>
      <c r="AD1111" s="30"/>
      <c r="AE1111" s="197"/>
      <c r="AF1111" s="47"/>
    </row>
    <row r="1112" spans="1:32" s="29" customFormat="1" ht="69.95" hidden="1" customHeight="1">
      <c r="A1112" s="29" t="s">
        <v>5147</v>
      </c>
      <c r="B1112" s="29" t="s">
        <v>3769</v>
      </c>
      <c r="C1112" s="40" t="s">
        <v>40</v>
      </c>
      <c r="D1112" s="40"/>
      <c r="E1112" s="57" t="s">
        <v>8327</v>
      </c>
      <c r="F1112" s="57" t="s">
        <v>8327</v>
      </c>
      <c r="G1112" s="29" t="s">
        <v>2426</v>
      </c>
      <c r="J1112" s="29">
        <f t="shared" si="72"/>
        <v>1</v>
      </c>
      <c r="K1112" s="42">
        <v>1098</v>
      </c>
      <c r="L1112" s="43" t="s">
        <v>2427</v>
      </c>
      <c r="M1112" s="44" t="s">
        <v>405</v>
      </c>
      <c r="N1112" s="44" t="s">
        <v>426</v>
      </c>
      <c r="O1112" s="44" t="str">
        <f t="shared" si="73"/>
        <v>PE-L1-3C4-25</v>
      </c>
      <c r="P1112" s="45">
        <v>1.07</v>
      </c>
      <c r="Q1112" s="44">
        <v>230</v>
      </c>
      <c r="R1112" s="44" t="s">
        <v>49</v>
      </c>
      <c r="S1112" s="44">
        <v>40</v>
      </c>
      <c r="T1112" s="46" t="s">
        <v>6386</v>
      </c>
      <c r="U1112" s="46" t="s">
        <v>5147</v>
      </c>
      <c r="V1112" s="46" t="s">
        <v>5148</v>
      </c>
      <c r="W1112" s="46" t="s">
        <v>347</v>
      </c>
      <c r="X1112" s="172" t="s">
        <v>9167</v>
      </c>
      <c r="Y1112" s="46" t="s">
        <v>3999</v>
      </c>
      <c r="Z1112" s="46" t="s">
        <v>6486</v>
      </c>
      <c r="AA1112" s="46" t="s">
        <v>347</v>
      </c>
      <c r="AB1112" s="172" t="s">
        <v>9167</v>
      </c>
      <c r="AC1112" s="48" t="s">
        <v>6485</v>
      </c>
      <c r="AD1112" s="30"/>
      <c r="AE1112" s="197"/>
      <c r="AF1112" s="47"/>
    </row>
    <row r="1113" spans="1:32" s="29" customFormat="1" ht="69.95" hidden="1" customHeight="1">
      <c r="A1113" s="29" t="s">
        <v>6336</v>
      </c>
      <c r="B1113" s="29" t="s">
        <v>3769</v>
      </c>
      <c r="C1113" s="40" t="s">
        <v>42</v>
      </c>
      <c r="D1113" s="40"/>
      <c r="E1113" s="57" t="s">
        <v>8577</v>
      </c>
      <c r="F1113" s="57" t="s">
        <v>8577</v>
      </c>
      <c r="G1113" s="29" t="s">
        <v>2428</v>
      </c>
      <c r="J1113" s="29">
        <f t="shared" si="72"/>
        <v>1</v>
      </c>
      <c r="K1113" s="42">
        <v>1099</v>
      </c>
      <c r="L1113" s="43" t="s">
        <v>2429</v>
      </c>
      <c r="M1113" s="44" t="s">
        <v>405</v>
      </c>
      <c r="N1113" s="44" t="s">
        <v>578</v>
      </c>
      <c r="O1113" s="44" t="str">
        <f t="shared" si="73"/>
        <v>PE-L1-2C4-09</v>
      </c>
      <c r="P1113" s="45">
        <v>0.67</v>
      </c>
      <c r="Q1113" s="44">
        <v>220</v>
      </c>
      <c r="R1113" s="44" t="s">
        <v>509</v>
      </c>
      <c r="S1113" s="44">
        <v>80</v>
      </c>
      <c r="T1113" s="46" t="s">
        <v>6386</v>
      </c>
      <c r="U1113" s="46" t="s">
        <v>6336</v>
      </c>
      <c r="V1113" s="46" t="s">
        <v>6337</v>
      </c>
      <c r="W1113" s="46" t="s">
        <v>347</v>
      </c>
      <c r="X1113" s="172" t="s">
        <v>8942</v>
      </c>
      <c r="Y1113" s="46" t="s">
        <v>5558</v>
      </c>
      <c r="Z1113" s="46" t="s">
        <v>6487</v>
      </c>
      <c r="AA1113" s="46" t="s">
        <v>347</v>
      </c>
      <c r="AB1113" s="172" t="s">
        <v>8942</v>
      </c>
      <c r="AC1113" s="48" t="s">
        <v>6488</v>
      </c>
      <c r="AD1113" s="30"/>
      <c r="AE1113" s="197"/>
      <c r="AF1113" s="47"/>
    </row>
    <row r="1114" spans="1:32" s="29" customFormat="1" ht="69.95" hidden="1" customHeight="1">
      <c r="A1114" s="29" t="s">
        <v>6341</v>
      </c>
      <c r="B1114" s="29" t="s">
        <v>3769</v>
      </c>
      <c r="C1114" s="40" t="s">
        <v>42</v>
      </c>
      <c r="D1114" s="40"/>
      <c r="E1114" s="57" t="s">
        <v>8577</v>
      </c>
      <c r="F1114" s="57" t="s">
        <v>8577</v>
      </c>
      <c r="G1114" s="29" t="s">
        <v>2430</v>
      </c>
      <c r="J1114" s="29">
        <f t="shared" si="72"/>
        <v>1</v>
      </c>
      <c r="K1114" s="42">
        <v>1100</v>
      </c>
      <c r="L1114" s="43" t="s">
        <v>2431</v>
      </c>
      <c r="M1114" s="44" t="s">
        <v>405</v>
      </c>
      <c r="N1114" s="44" t="s">
        <v>578</v>
      </c>
      <c r="O1114" s="44" t="str">
        <f t="shared" si="73"/>
        <v>PE-L1-2C4-09</v>
      </c>
      <c r="P1114" s="45">
        <v>0.67</v>
      </c>
      <c r="Q1114" s="44">
        <v>220</v>
      </c>
      <c r="R1114" s="44" t="s">
        <v>509</v>
      </c>
      <c r="S1114" s="44">
        <v>80</v>
      </c>
      <c r="T1114" s="46" t="s">
        <v>6386</v>
      </c>
      <c r="U1114" s="46" t="s">
        <v>6341</v>
      </c>
      <c r="V1114" s="46" t="s">
        <v>6342</v>
      </c>
      <c r="W1114" s="46" t="s">
        <v>347</v>
      </c>
      <c r="X1114" s="172" t="s">
        <v>8942</v>
      </c>
      <c r="Y1114" s="46" t="s">
        <v>5558</v>
      </c>
      <c r="Z1114" s="46" t="s">
        <v>6489</v>
      </c>
      <c r="AA1114" s="46" t="s">
        <v>347</v>
      </c>
      <c r="AB1114" s="172" t="s">
        <v>8942</v>
      </c>
      <c r="AC1114" s="48" t="s">
        <v>6490</v>
      </c>
      <c r="AD1114" s="30"/>
      <c r="AE1114" s="197"/>
      <c r="AF1114" s="47"/>
    </row>
    <row r="1115" spans="1:32" s="29" customFormat="1" ht="69.95" hidden="1" customHeight="1">
      <c r="A1115" s="29" t="s">
        <v>4020</v>
      </c>
      <c r="B1115" s="29" t="s">
        <v>3769</v>
      </c>
      <c r="C1115" s="40" t="s">
        <v>43</v>
      </c>
      <c r="D1115" s="40"/>
      <c r="E1115" s="57" t="s">
        <v>84</v>
      </c>
      <c r="F1115" s="57" t="s">
        <v>84</v>
      </c>
      <c r="G1115" s="29" t="s">
        <v>2432</v>
      </c>
      <c r="J1115" s="29">
        <f t="shared" si="72"/>
        <v>1</v>
      </c>
      <c r="K1115" s="42">
        <v>1101</v>
      </c>
      <c r="L1115" s="43" t="s">
        <v>2433</v>
      </c>
      <c r="M1115" s="44" t="s">
        <v>405</v>
      </c>
      <c r="N1115" s="44" t="s">
        <v>426</v>
      </c>
      <c r="O1115" s="44" t="str">
        <f t="shared" si="73"/>
        <v>PE-L1-3C4-11</v>
      </c>
      <c r="P1115" s="45">
        <v>2.38</v>
      </c>
      <c r="Q1115" s="44">
        <v>230</v>
      </c>
      <c r="R1115" s="44" t="s">
        <v>49</v>
      </c>
      <c r="S1115" s="44">
        <v>50</v>
      </c>
      <c r="T1115" s="46" t="s">
        <v>6386</v>
      </c>
      <c r="U1115" s="46" t="s">
        <v>4020</v>
      </c>
      <c r="V1115" s="46" t="s">
        <v>4021</v>
      </c>
      <c r="W1115" s="46" t="s">
        <v>347</v>
      </c>
      <c r="X1115" s="172" t="s">
        <v>9167</v>
      </c>
      <c r="Y1115" s="46" t="s">
        <v>5558</v>
      </c>
      <c r="Z1115" s="46" t="s">
        <v>6491</v>
      </c>
      <c r="AA1115" s="46" t="s">
        <v>347</v>
      </c>
      <c r="AB1115" s="172" t="s">
        <v>9167</v>
      </c>
      <c r="AC1115" s="48" t="s">
        <v>6492</v>
      </c>
      <c r="AD1115" s="30"/>
      <c r="AE1115" s="197"/>
      <c r="AF1115" s="47"/>
    </row>
    <row r="1116" spans="1:32" s="29" customFormat="1" ht="69.95" hidden="1" customHeight="1">
      <c r="A1116" s="29" t="s">
        <v>4020</v>
      </c>
      <c r="B1116" s="29" t="s">
        <v>3769</v>
      </c>
      <c r="C1116" s="40" t="s">
        <v>73</v>
      </c>
      <c r="D1116" s="40"/>
      <c r="E1116" s="57" t="s">
        <v>84</v>
      </c>
      <c r="F1116" s="57" t="s">
        <v>84</v>
      </c>
      <c r="G1116" s="29" t="s">
        <v>2434</v>
      </c>
      <c r="J1116" s="29">
        <f t="shared" si="72"/>
        <v>1</v>
      </c>
      <c r="K1116" s="42">
        <v>1102</v>
      </c>
      <c r="L1116" s="43" t="s">
        <v>2435</v>
      </c>
      <c r="M1116" s="44" t="s">
        <v>405</v>
      </c>
      <c r="N1116" s="44" t="s">
        <v>426</v>
      </c>
      <c r="O1116" s="44" t="str">
        <f t="shared" si="73"/>
        <v>PE-L1-3C4-11</v>
      </c>
      <c r="P1116" s="45">
        <v>0.96</v>
      </c>
      <c r="Q1116" s="44">
        <v>230</v>
      </c>
      <c r="R1116" s="44" t="s">
        <v>49</v>
      </c>
      <c r="S1116" s="44">
        <v>50</v>
      </c>
      <c r="T1116" s="46" t="s">
        <v>6386</v>
      </c>
      <c r="U1116" s="46" t="s">
        <v>4020</v>
      </c>
      <c r="V1116" s="46" t="s">
        <v>4021</v>
      </c>
      <c r="W1116" s="46" t="s">
        <v>347</v>
      </c>
      <c r="X1116" s="172" t="s">
        <v>9167</v>
      </c>
      <c r="Y1116" s="46" t="s">
        <v>5558</v>
      </c>
      <c r="Z1116" s="46" t="s">
        <v>6493</v>
      </c>
      <c r="AA1116" s="46" t="s">
        <v>347</v>
      </c>
      <c r="AB1116" s="172" t="s">
        <v>9167</v>
      </c>
      <c r="AC1116" s="48" t="s">
        <v>6492</v>
      </c>
      <c r="AD1116" s="30"/>
      <c r="AE1116" s="197"/>
      <c r="AF1116" s="47"/>
    </row>
    <row r="1117" spans="1:32" s="29" customFormat="1" ht="69.95" hidden="1" customHeight="1">
      <c r="A1117" s="29" t="s">
        <v>6336</v>
      </c>
      <c r="B1117" s="29" t="s">
        <v>3769</v>
      </c>
      <c r="C1117" s="40" t="s">
        <v>43</v>
      </c>
      <c r="D1117" s="40"/>
      <c r="E1117" s="57" t="s">
        <v>247</v>
      </c>
      <c r="F1117" s="57" t="s">
        <v>247</v>
      </c>
      <c r="G1117" s="29" t="s">
        <v>2436</v>
      </c>
      <c r="J1117" s="29">
        <f t="shared" si="72"/>
        <v>1</v>
      </c>
      <c r="K1117" s="42">
        <v>1103</v>
      </c>
      <c r="L1117" s="43" t="s">
        <v>2437</v>
      </c>
      <c r="M1117" s="44" t="s">
        <v>405</v>
      </c>
      <c r="N1117" s="44" t="s">
        <v>2280</v>
      </c>
      <c r="O1117" s="44" t="str">
        <f t="shared" si="73"/>
        <v>PE-L1-2C10-02</v>
      </c>
      <c r="P1117" s="45">
        <v>3.7000000000000006</v>
      </c>
      <c r="Q1117" s="44">
        <v>220</v>
      </c>
      <c r="R1117" s="44" t="s">
        <v>509</v>
      </c>
      <c r="S1117" s="44">
        <v>80</v>
      </c>
      <c r="T1117" s="46" t="s">
        <v>6386</v>
      </c>
      <c r="U1117" s="46" t="s">
        <v>6336</v>
      </c>
      <c r="V1117" s="46" t="s">
        <v>6337</v>
      </c>
      <c r="W1117" s="46" t="s">
        <v>347</v>
      </c>
      <c r="X1117" s="172" t="s">
        <v>8942</v>
      </c>
      <c r="Y1117" s="46" t="s">
        <v>5303</v>
      </c>
      <c r="Z1117" s="46" t="s">
        <v>6494</v>
      </c>
      <c r="AA1117" s="46" t="s">
        <v>347</v>
      </c>
      <c r="AB1117" s="172" t="s">
        <v>8942</v>
      </c>
      <c r="AC1117" s="48" t="s">
        <v>6495</v>
      </c>
      <c r="AD1117" s="30"/>
      <c r="AE1117" s="197"/>
      <c r="AF1117" s="47"/>
    </row>
    <row r="1118" spans="1:32" s="29" customFormat="1" ht="69.95" hidden="1" customHeight="1">
      <c r="A1118" s="29" t="s">
        <v>6341</v>
      </c>
      <c r="B1118" s="29" t="s">
        <v>3769</v>
      </c>
      <c r="C1118" s="40" t="s">
        <v>43</v>
      </c>
      <c r="D1118" s="40"/>
      <c r="E1118" s="56" t="s">
        <v>247</v>
      </c>
      <c r="F1118" s="56" t="s">
        <v>247</v>
      </c>
      <c r="G1118" s="29" t="s">
        <v>2438</v>
      </c>
      <c r="J1118" s="29">
        <f t="shared" si="72"/>
        <v>1</v>
      </c>
      <c r="K1118" s="42">
        <v>1104</v>
      </c>
      <c r="L1118" s="43" t="s">
        <v>2439</v>
      </c>
      <c r="M1118" s="44" t="s">
        <v>405</v>
      </c>
      <c r="N1118" s="44" t="s">
        <v>2280</v>
      </c>
      <c r="O1118" s="44" t="str">
        <f t="shared" si="73"/>
        <v>PE-L1-2C10-02</v>
      </c>
      <c r="P1118" s="45">
        <v>3.7000000000000006</v>
      </c>
      <c r="Q1118" s="44">
        <v>220</v>
      </c>
      <c r="R1118" s="44" t="s">
        <v>509</v>
      </c>
      <c r="S1118" s="44">
        <v>80</v>
      </c>
      <c r="T1118" s="46" t="s">
        <v>6386</v>
      </c>
      <c r="U1118" s="46" t="s">
        <v>6341</v>
      </c>
      <c r="V1118" s="46" t="s">
        <v>6342</v>
      </c>
      <c r="W1118" s="46" t="s">
        <v>347</v>
      </c>
      <c r="X1118" s="172" t="s">
        <v>8942</v>
      </c>
      <c r="Y1118" s="46" t="s">
        <v>5303</v>
      </c>
      <c r="Z1118" s="46" t="s">
        <v>6494</v>
      </c>
      <c r="AA1118" s="46" t="s">
        <v>347</v>
      </c>
      <c r="AB1118" s="172" t="s">
        <v>8942</v>
      </c>
      <c r="AC1118" s="48" t="s">
        <v>6496</v>
      </c>
      <c r="AD1118" s="30"/>
      <c r="AE1118" s="197"/>
      <c r="AF1118" s="47"/>
    </row>
    <row r="1119" spans="1:32" s="29" customFormat="1" ht="69.95" hidden="1" customHeight="1">
      <c r="A1119" s="29" t="s">
        <v>5466</v>
      </c>
      <c r="B1119" s="29" t="s">
        <v>3769</v>
      </c>
      <c r="C1119" s="40" t="s">
        <v>42</v>
      </c>
      <c r="D1119" s="40"/>
      <c r="E1119" s="57" t="s">
        <v>80</v>
      </c>
      <c r="F1119" s="57" t="s">
        <v>80</v>
      </c>
      <c r="G1119" s="29" t="s">
        <v>2440</v>
      </c>
      <c r="J1119" s="29">
        <f t="shared" si="72"/>
        <v>1</v>
      </c>
      <c r="K1119" s="42">
        <v>1105</v>
      </c>
      <c r="L1119" s="43" t="s">
        <v>2441</v>
      </c>
      <c r="M1119" s="44" t="s">
        <v>405</v>
      </c>
      <c r="N1119" s="44" t="s">
        <v>549</v>
      </c>
      <c r="O1119" s="44" t="str">
        <f t="shared" si="73"/>
        <v>PE-L1-3C10-02</v>
      </c>
      <c r="P1119" s="45">
        <v>5.0599999999999996</v>
      </c>
      <c r="Q1119" s="44">
        <v>230</v>
      </c>
      <c r="R1119" s="44" t="s">
        <v>49</v>
      </c>
      <c r="S1119" s="44">
        <v>60</v>
      </c>
      <c r="T1119" s="46" t="s">
        <v>6386</v>
      </c>
      <c r="U1119" s="46" t="s">
        <v>5466</v>
      </c>
      <c r="V1119" s="46" t="s">
        <v>5467</v>
      </c>
      <c r="W1119" s="46" t="s">
        <v>347</v>
      </c>
      <c r="X1119" s="172" t="s">
        <v>9167</v>
      </c>
      <c r="Y1119" s="46" t="s">
        <v>5303</v>
      </c>
      <c r="Z1119" s="46" t="s">
        <v>6497</v>
      </c>
      <c r="AA1119" s="46" t="s">
        <v>347</v>
      </c>
      <c r="AB1119" s="172" t="s">
        <v>9167</v>
      </c>
      <c r="AC1119" s="48" t="s">
        <v>6498</v>
      </c>
      <c r="AD1119" s="30"/>
      <c r="AE1119" s="197"/>
      <c r="AF1119" s="47"/>
    </row>
    <row r="1120" spans="1:32" s="29" customFormat="1" ht="69.95" hidden="1" customHeight="1">
      <c r="A1120" s="29" t="s">
        <v>6336</v>
      </c>
      <c r="B1120" s="29" t="s">
        <v>3769</v>
      </c>
      <c r="C1120" s="40" t="s">
        <v>73</v>
      </c>
      <c r="D1120" s="40"/>
      <c r="E1120" s="57" t="s">
        <v>8577</v>
      </c>
      <c r="F1120" s="57" t="s">
        <v>8577</v>
      </c>
      <c r="G1120" s="29" t="s">
        <v>2442</v>
      </c>
      <c r="J1120" s="29">
        <f t="shared" si="72"/>
        <v>1</v>
      </c>
      <c r="K1120" s="42">
        <v>1106</v>
      </c>
      <c r="L1120" s="43" t="s">
        <v>2443</v>
      </c>
      <c r="M1120" s="44" t="s">
        <v>405</v>
      </c>
      <c r="N1120" s="44" t="s">
        <v>578</v>
      </c>
      <c r="O1120" s="44" t="str">
        <f t="shared" si="73"/>
        <v>PE-L1-2C4-09</v>
      </c>
      <c r="P1120" s="45">
        <v>0.17</v>
      </c>
      <c r="Q1120" s="44">
        <v>220</v>
      </c>
      <c r="R1120" s="44" t="s">
        <v>509</v>
      </c>
      <c r="S1120" s="44">
        <v>90</v>
      </c>
      <c r="T1120" s="46" t="s">
        <v>6386</v>
      </c>
      <c r="U1120" s="46" t="s">
        <v>6336</v>
      </c>
      <c r="V1120" s="46" t="s">
        <v>6337</v>
      </c>
      <c r="W1120" s="46" t="s">
        <v>347</v>
      </c>
      <c r="X1120" s="172" t="s">
        <v>8942</v>
      </c>
      <c r="Y1120" s="46" t="s">
        <v>6499</v>
      </c>
      <c r="Z1120" s="46" t="s">
        <v>6500</v>
      </c>
      <c r="AA1120" s="46" t="s">
        <v>347</v>
      </c>
      <c r="AB1120" s="172" t="s">
        <v>8942</v>
      </c>
      <c r="AC1120" s="48" t="s">
        <v>6501</v>
      </c>
      <c r="AD1120" s="30"/>
      <c r="AE1120" s="197"/>
      <c r="AF1120" s="47"/>
    </row>
    <row r="1121" spans="1:32" s="29" customFormat="1" ht="69.95" hidden="1" customHeight="1">
      <c r="A1121" s="29" t="s">
        <v>6341</v>
      </c>
      <c r="B1121" s="29" t="s">
        <v>3769</v>
      </c>
      <c r="C1121" s="40" t="s">
        <v>73</v>
      </c>
      <c r="D1121" s="40"/>
      <c r="E1121" s="57" t="s">
        <v>8577</v>
      </c>
      <c r="F1121" s="57" t="s">
        <v>8577</v>
      </c>
      <c r="G1121" s="29" t="s">
        <v>2444</v>
      </c>
      <c r="J1121" s="29">
        <f t="shared" si="72"/>
        <v>1</v>
      </c>
      <c r="K1121" s="42">
        <v>1107</v>
      </c>
      <c r="L1121" s="43" t="s">
        <v>2445</v>
      </c>
      <c r="M1121" s="44" t="s">
        <v>405</v>
      </c>
      <c r="N1121" s="44" t="s">
        <v>578</v>
      </c>
      <c r="O1121" s="44" t="str">
        <f t="shared" si="73"/>
        <v>PE-L1-2C4-09</v>
      </c>
      <c r="P1121" s="45">
        <v>0.17</v>
      </c>
      <c r="Q1121" s="44">
        <v>220</v>
      </c>
      <c r="R1121" s="44" t="s">
        <v>509</v>
      </c>
      <c r="S1121" s="44">
        <v>80</v>
      </c>
      <c r="T1121" s="46" t="s">
        <v>6386</v>
      </c>
      <c r="U1121" s="46" t="s">
        <v>6341</v>
      </c>
      <c r="V1121" s="46" t="s">
        <v>6342</v>
      </c>
      <c r="W1121" s="46" t="s">
        <v>347</v>
      </c>
      <c r="X1121" s="172" t="s">
        <v>8942</v>
      </c>
      <c r="Y1121" s="46" t="s">
        <v>6499</v>
      </c>
      <c r="Z1121" s="46" t="s">
        <v>6502</v>
      </c>
      <c r="AA1121" s="46" t="s">
        <v>347</v>
      </c>
      <c r="AB1121" s="172" t="s">
        <v>8942</v>
      </c>
      <c r="AC1121" s="48" t="s">
        <v>6477</v>
      </c>
      <c r="AD1121" s="30"/>
      <c r="AE1121" s="197"/>
      <c r="AF1121" s="47"/>
    </row>
    <row r="1122" spans="1:32" s="29" customFormat="1" ht="69.95" hidden="1" customHeight="1">
      <c r="A1122" s="29" t="s">
        <v>4020</v>
      </c>
      <c r="B1122" s="29" t="s">
        <v>3769</v>
      </c>
      <c r="C1122" s="40" t="s">
        <v>75</v>
      </c>
      <c r="D1122" s="40"/>
      <c r="E1122" s="57" t="s">
        <v>84</v>
      </c>
      <c r="F1122" s="57" t="s">
        <v>84</v>
      </c>
      <c r="G1122" s="29" t="s">
        <v>2446</v>
      </c>
      <c r="J1122" s="29">
        <f t="shared" si="72"/>
        <v>1</v>
      </c>
      <c r="K1122" s="42">
        <v>1108</v>
      </c>
      <c r="L1122" s="43" t="s">
        <v>2447</v>
      </c>
      <c r="M1122" s="44" t="s">
        <v>405</v>
      </c>
      <c r="N1122" s="44" t="s">
        <v>426</v>
      </c>
      <c r="O1122" s="44" t="str">
        <f t="shared" si="73"/>
        <v>PE-L1-3C4-11</v>
      </c>
      <c r="P1122" s="45">
        <v>0.1</v>
      </c>
      <c r="Q1122" s="44">
        <v>230</v>
      </c>
      <c r="R1122" s="44" t="s">
        <v>49</v>
      </c>
      <c r="S1122" s="44">
        <v>30</v>
      </c>
      <c r="T1122" s="46" t="s">
        <v>6386</v>
      </c>
      <c r="U1122" s="46" t="s">
        <v>4020</v>
      </c>
      <c r="V1122" s="46" t="s">
        <v>4021</v>
      </c>
      <c r="W1122" s="46" t="s">
        <v>347</v>
      </c>
      <c r="X1122" s="172" t="s">
        <v>9167</v>
      </c>
      <c r="Y1122" s="46" t="s">
        <v>6499</v>
      </c>
      <c r="Z1122" s="46" t="s">
        <v>6503</v>
      </c>
      <c r="AA1122" s="46" t="s">
        <v>347</v>
      </c>
      <c r="AB1122" s="172" t="s">
        <v>9167</v>
      </c>
      <c r="AC1122" s="48" t="s">
        <v>6479</v>
      </c>
      <c r="AD1122" s="30"/>
      <c r="AE1122" s="197"/>
      <c r="AF1122" s="47"/>
    </row>
    <row r="1123" spans="1:32" s="29" customFormat="1" ht="69.95" hidden="1" customHeight="1">
      <c r="A1123" s="29" t="s">
        <v>6336</v>
      </c>
      <c r="B1123" s="29" t="s">
        <v>3769</v>
      </c>
      <c r="C1123" s="40" t="s">
        <v>75</v>
      </c>
      <c r="D1123" s="40"/>
      <c r="E1123" s="57" t="s">
        <v>247</v>
      </c>
      <c r="F1123" s="57" t="s">
        <v>247</v>
      </c>
      <c r="G1123" s="29" t="s">
        <v>2448</v>
      </c>
      <c r="J1123" s="29">
        <f t="shared" si="72"/>
        <v>1</v>
      </c>
      <c r="K1123" s="42">
        <v>1109</v>
      </c>
      <c r="L1123" s="43" t="s">
        <v>2449</v>
      </c>
      <c r="M1123" s="44" t="s">
        <v>405</v>
      </c>
      <c r="N1123" s="44" t="s">
        <v>2280</v>
      </c>
      <c r="O1123" s="44" t="str">
        <f t="shared" si="73"/>
        <v>PE-L1-2C10-02</v>
      </c>
      <c r="P1123" s="45">
        <v>3.3600000000000003</v>
      </c>
      <c r="Q1123" s="44">
        <v>220</v>
      </c>
      <c r="R1123" s="44" t="s">
        <v>509</v>
      </c>
      <c r="S1123" s="44">
        <v>70</v>
      </c>
      <c r="T1123" s="46" t="s">
        <v>6386</v>
      </c>
      <c r="U1123" s="46" t="s">
        <v>6336</v>
      </c>
      <c r="V1123" s="46" t="s">
        <v>6337</v>
      </c>
      <c r="W1123" s="46" t="s">
        <v>347</v>
      </c>
      <c r="X1123" s="172" t="s">
        <v>8942</v>
      </c>
      <c r="Y1123" s="46" t="s">
        <v>4044</v>
      </c>
      <c r="Z1123" s="46" t="s">
        <v>6504</v>
      </c>
      <c r="AA1123" s="46" t="s">
        <v>347</v>
      </c>
      <c r="AB1123" s="172" t="s">
        <v>8942</v>
      </c>
      <c r="AC1123" s="48" t="s">
        <v>6505</v>
      </c>
      <c r="AD1123" s="30"/>
      <c r="AE1123" s="197"/>
      <c r="AF1123" s="47"/>
    </row>
    <row r="1124" spans="1:32" s="29" customFormat="1" ht="69.95" hidden="1" customHeight="1">
      <c r="A1124" s="29" t="s">
        <v>6341</v>
      </c>
      <c r="B1124" s="29" t="s">
        <v>3769</v>
      </c>
      <c r="C1124" s="40" t="s">
        <v>75</v>
      </c>
      <c r="D1124" s="40"/>
      <c r="E1124" s="56" t="s">
        <v>247</v>
      </c>
      <c r="F1124" s="56" t="s">
        <v>247</v>
      </c>
      <c r="G1124" s="29" t="s">
        <v>2450</v>
      </c>
      <c r="J1124" s="29">
        <f t="shared" si="72"/>
        <v>1</v>
      </c>
      <c r="K1124" s="42">
        <v>1110</v>
      </c>
      <c r="L1124" s="43" t="s">
        <v>2451</v>
      </c>
      <c r="M1124" s="44" t="s">
        <v>405</v>
      </c>
      <c r="N1124" s="44" t="s">
        <v>2280</v>
      </c>
      <c r="O1124" s="44" t="str">
        <f t="shared" si="73"/>
        <v>PE-L1-2C10-02</v>
      </c>
      <c r="P1124" s="45">
        <v>3.3600000000000003</v>
      </c>
      <c r="Q1124" s="44">
        <v>220</v>
      </c>
      <c r="R1124" s="44" t="s">
        <v>509</v>
      </c>
      <c r="S1124" s="44">
        <v>80</v>
      </c>
      <c r="T1124" s="46" t="s">
        <v>6386</v>
      </c>
      <c r="U1124" s="46" t="s">
        <v>6341</v>
      </c>
      <c r="V1124" s="46" t="s">
        <v>6342</v>
      </c>
      <c r="W1124" s="46" t="s">
        <v>347</v>
      </c>
      <c r="X1124" s="172" t="s">
        <v>8942</v>
      </c>
      <c r="Y1124" s="46" t="s">
        <v>4044</v>
      </c>
      <c r="Z1124" s="46" t="s">
        <v>6504</v>
      </c>
      <c r="AA1124" s="46" t="s">
        <v>347</v>
      </c>
      <c r="AB1124" s="172" t="s">
        <v>8942</v>
      </c>
      <c r="AC1124" s="48" t="s">
        <v>6506</v>
      </c>
      <c r="AD1124" s="30"/>
      <c r="AE1124" s="197"/>
      <c r="AF1124" s="47"/>
    </row>
    <row r="1125" spans="1:32" s="29" customFormat="1" ht="69.95" hidden="1" customHeight="1">
      <c r="A1125" s="29" t="s">
        <v>4020</v>
      </c>
      <c r="B1125" s="29" t="s">
        <v>3769</v>
      </c>
      <c r="C1125" s="40">
        <v>10</v>
      </c>
      <c r="D1125" s="40"/>
      <c r="E1125" s="57" t="s">
        <v>84</v>
      </c>
      <c r="F1125" s="57" t="s">
        <v>84</v>
      </c>
      <c r="G1125" s="29" t="s">
        <v>2452</v>
      </c>
      <c r="J1125" s="29">
        <f t="shared" si="72"/>
        <v>1</v>
      </c>
      <c r="K1125" s="42">
        <v>1111</v>
      </c>
      <c r="L1125" s="43" t="s">
        <v>2453</v>
      </c>
      <c r="M1125" s="44" t="s">
        <v>405</v>
      </c>
      <c r="N1125" s="44" t="s">
        <v>426</v>
      </c>
      <c r="O1125" s="44" t="str">
        <f t="shared" si="73"/>
        <v>PE-L1-3C4-11</v>
      </c>
      <c r="P1125" s="45">
        <v>3.34</v>
      </c>
      <c r="Q1125" s="44">
        <v>230</v>
      </c>
      <c r="R1125" s="44" t="s">
        <v>49</v>
      </c>
      <c r="S1125" s="44">
        <v>40</v>
      </c>
      <c r="T1125" s="46" t="s">
        <v>6386</v>
      </c>
      <c r="U1125" s="46" t="s">
        <v>4020</v>
      </c>
      <c r="V1125" s="46" t="s">
        <v>4021</v>
      </c>
      <c r="W1125" s="46" t="s">
        <v>347</v>
      </c>
      <c r="X1125" s="172" t="s">
        <v>9167</v>
      </c>
      <c r="Y1125" s="46" t="s">
        <v>4044</v>
      </c>
      <c r="Z1125" s="46" t="s">
        <v>6507</v>
      </c>
      <c r="AA1125" s="46" t="s">
        <v>347</v>
      </c>
      <c r="AB1125" s="172" t="s">
        <v>9167</v>
      </c>
      <c r="AC1125" s="48" t="s">
        <v>6508</v>
      </c>
      <c r="AD1125" s="30"/>
      <c r="AE1125" s="197"/>
      <c r="AF1125" s="47"/>
    </row>
    <row r="1126" spans="1:32" s="29" customFormat="1" ht="69.95" hidden="1" customHeight="1">
      <c r="A1126" s="29" t="s">
        <v>6336</v>
      </c>
      <c r="B1126" s="29" t="s">
        <v>3769</v>
      </c>
      <c r="C1126" s="40">
        <v>10</v>
      </c>
      <c r="D1126" s="40"/>
      <c r="E1126" s="57" t="s">
        <v>8577</v>
      </c>
      <c r="F1126" s="57" t="s">
        <v>8577</v>
      </c>
      <c r="G1126" s="29" t="s">
        <v>2454</v>
      </c>
      <c r="J1126" s="29">
        <f t="shared" si="72"/>
        <v>1</v>
      </c>
      <c r="K1126" s="42">
        <v>1112</v>
      </c>
      <c r="L1126" s="43" t="s">
        <v>2455</v>
      </c>
      <c r="M1126" s="44" t="s">
        <v>405</v>
      </c>
      <c r="N1126" s="44" t="s">
        <v>578</v>
      </c>
      <c r="O1126" s="44" t="str">
        <f t="shared" si="73"/>
        <v>PE-L1-2C4-09</v>
      </c>
      <c r="P1126" s="45">
        <v>0.17</v>
      </c>
      <c r="Q1126" s="44">
        <v>220</v>
      </c>
      <c r="R1126" s="44" t="s">
        <v>509</v>
      </c>
      <c r="S1126" s="44">
        <v>80</v>
      </c>
      <c r="T1126" s="46" t="s">
        <v>6386</v>
      </c>
      <c r="U1126" s="46" t="s">
        <v>6336</v>
      </c>
      <c r="V1126" s="46" t="s">
        <v>6337</v>
      </c>
      <c r="W1126" s="46" t="s">
        <v>347</v>
      </c>
      <c r="X1126" s="172" t="s">
        <v>8942</v>
      </c>
      <c r="Y1126" s="46" t="s">
        <v>6509</v>
      </c>
      <c r="Z1126" s="46" t="s">
        <v>6510</v>
      </c>
      <c r="AA1126" s="46" t="s">
        <v>347</v>
      </c>
      <c r="AB1126" s="172" t="s">
        <v>8942</v>
      </c>
      <c r="AC1126" s="48" t="s">
        <v>6511</v>
      </c>
      <c r="AD1126" s="30"/>
      <c r="AE1126" s="197"/>
      <c r="AF1126" s="47"/>
    </row>
    <row r="1127" spans="1:32" s="29" customFormat="1" ht="69.95" hidden="1" customHeight="1">
      <c r="A1127" s="29" t="s">
        <v>6341</v>
      </c>
      <c r="B1127" s="29" t="s">
        <v>3769</v>
      </c>
      <c r="C1127" s="40">
        <v>10</v>
      </c>
      <c r="D1127" s="40"/>
      <c r="E1127" s="57" t="s">
        <v>8577</v>
      </c>
      <c r="F1127" s="57" t="s">
        <v>8577</v>
      </c>
      <c r="G1127" s="29" t="s">
        <v>2456</v>
      </c>
      <c r="J1127" s="29">
        <f t="shared" si="72"/>
        <v>1</v>
      </c>
      <c r="K1127" s="42">
        <v>1113</v>
      </c>
      <c r="L1127" s="43" t="s">
        <v>2457</v>
      </c>
      <c r="M1127" s="44" t="s">
        <v>405</v>
      </c>
      <c r="N1127" s="44" t="s">
        <v>578</v>
      </c>
      <c r="O1127" s="44" t="str">
        <f t="shared" si="73"/>
        <v>PE-L1-2C4-09</v>
      </c>
      <c r="P1127" s="45">
        <v>0.17</v>
      </c>
      <c r="Q1127" s="44">
        <v>220</v>
      </c>
      <c r="R1127" s="44" t="s">
        <v>509</v>
      </c>
      <c r="S1127" s="44">
        <v>80</v>
      </c>
      <c r="T1127" s="46" t="s">
        <v>6386</v>
      </c>
      <c r="U1127" s="46" t="s">
        <v>6341</v>
      </c>
      <c r="V1127" s="46" t="s">
        <v>6342</v>
      </c>
      <c r="W1127" s="46" t="s">
        <v>347</v>
      </c>
      <c r="X1127" s="172" t="s">
        <v>8942</v>
      </c>
      <c r="Y1127" s="46" t="s">
        <v>6509</v>
      </c>
      <c r="Z1127" s="46" t="s">
        <v>6512</v>
      </c>
      <c r="AA1127" s="46" t="s">
        <v>347</v>
      </c>
      <c r="AB1127" s="172" t="s">
        <v>8942</v>
      </c>
      <c r="AC1127" s="48" t="s">
        <v>6477</v>
      </c>
      <c r="AD1127" s="30"/>
      <c r="AE1127" s="197"/>
      <c r="AF1127" s="47"/>
    </row>
    <row r="1128" spans="1:32" s="29" customFormat="1" ht="69.95" hidden="1" customHeight="1">
      <c r="A1128" s="29" t="s">
        <v>4054</v>
      </c>
      <c r="B1128" s="29" t="s">
        <v>3769</v>
      </c>
      <c r="C1128" s="40" t="s">
        <v>43</v>
      </c>
      <c r="D1128" s="40"/>
      <c r="E1128" s="57" t="s">
        <v>150</v>
      </c>
      <c r="F1128" s="57" t="s">
        <v>150</v>
      </c>
      <c r="G1128" s="29" t="s">
        <v>2458</v>
      </c>
      <c r="J1128" s="29">
        <f t="shared" si="72"/>
        <v>1</v>
      </c>
      <c r="K1128" s="42">
        <v>1114</v>
      </c>
      <c r="L1128" s="43" t="s">
        <v>2459</v>
      </c>
      <c r="M1128" s="44" t="s">
        <v>405</v>
      </c>
      <c r="N1128" s="44" t="s">
        <v>426</v>
      </c>
      <c r="O1128" s="44" t="str">
        <f t="shared" si="73"/>
        <v>PE-L1-3C4-07</v>
      </c>
      <c r="P1128" s="45">
        <v>0.1</v>
      </c>
      <c r="Q1128" s="44">
        <v>230</v>
      </c>
      <c r="R1128" s="44" t="s">
        <v>49</v>
      </c>
      <c r="S1128" s="44">
        <v>50</v>
      </c>
      <c r="T1128" s="46" t="s">
        <v>6386</v>
      </c>
      <c r="U1128" s="46" t="s">
        <v>4054</v>
      </c>
      <c r="V1128" s="46" t="s">
        <v>4055</v>
      </c>
      <c r="W1128" s="46" t="s">
        <v>347</v>
      </c>
      <c r="X1128" s="172" t="s">
        <v>9167</v>
      </c>
      <c r="Y1128" s="46" t="s">
        <v>6509</v>
      </c>
      <c r="Z1128" s="46" t="s">
        <v>6513</v>
      </c>
      <c r="AA1128" s="46" t="s">
        <v>347</v>
      </c>
      <c r="AB1128" s="172" t="s">
        <v>9167</v>
      </c>
      <c r="AC1128" s="48" t="s">
        <v>6514</v>
      </c>
      <c r="AD1128" s="30"/>
      <c r="AE1128" s="197"/>
      <c r="AF1128" s="47"/>
    </row>
    <row r="1129" spans="1:32" s="29" customFormat="1" ht="69.95" hidden="1" customHeight="1">
      <c r="A1129" s="29" t="s">
        <v>6336</v>
      </c>
      <c r="B1129" s="29" t="s">
        <v>3769</v>
      </c>
      <c r="C1129" s="40">
        <v>11</v>
      </c>
      <c r="D1129" s="40"/>
      <c r="E1129" s="57" t="s">
        <v>8581</v>
      </c>
      <c r="F1129" s="57" t="s">
        <v>8581</v>
      </c>
      <c r="G1129" s="29" t="s">
        <v>2460</v>
      </c>
      <c r="J1129" s="29">
        <f t="shared" si="72"/>
        <v>1</v>
      </c>
      <c r="K1129" s="42">
        <v>1115</v>
      </c>
      <c r="L1129" s="43" t="s">
        <v>2461</v>
      </c>
      <c r="M1129" s="44" t="s">
        <v>405</v>
      </c>
      <c r="N1129" s="44" t="s">
        <v>578</v>
      </c>
      <c r="O1129" s="44" t="str">
        <f t="shared" si="73"/>
        <v>PE-L1-2C4-10</v>
      </c>
      <c r="P1129" s="45">
        <v>1.59</v>
      </c>
      <c r="Q1129" s="44">
        <v>220</v>
      </c>
      <c r="R1129" s="44" t="s">
        <v>509</v>
      </c>
      <c r="S1129" s="44">
        <v>70</v>
      </c>
      <c r="T1129" s="46" t="s">
        <v>6386</v>
      </c>
      <c r="U1129" s="46" t="s">
        <v>6336</v>
      </c>
      <c r="V1129" s="46" t="s">
        <v>6337</v>
      </c>
      <c r="W1129" s="46" t="s">
        <v>347</v>
      </c>
      <c r="X1129" s="172" t="s">
        <v>8942</v>
      </c>
      <c r="Y1129" s="46" t="s">
        <v>6515</v>
      </c>
      <c r="Z1129" s="46" t="s">
        <v>6516</v>
      </c>
      <c r="AA1129" s="46" t="s">
        <v>347</v>
      </c>
      <c r="AB1129" s="172" t="s">
        <v>8942</v>
      </c>
      <c r="AC1129" s="48" t="s">
        <v>6517</v>
      </c>
      <c r="AD1129" s="30"/>
      <c r="AE1129" s="197"/>
      <c r="AF1129" s="47"/>
    </row>
    <row r="1130" spans="1:32" s="29" customFormat="1" ht="69.95" hidden="1" customHeight="1">
      <c r="A1130" s="29" t="s">
        <v>6341</v>
      </c>
      <c r="B1130" s="29" t="s">
        <v>3769</v>
      </c>
      <c r="C1130" s="40">
        <v>11</v>
      </c>
      <c r="D1130" s="40"/>
      <c r="E1130" s="57" t="s">
        <v>8581</v>
      </c>
      <c r="F1130" s="57" t="s">
        <v>8581</v>
      </c>
      <c r="G1130" s="29" t="s">
        <v>2462</v>
      </c>
      <c r="J1130" s="29">
        <f t="shared" si="72"/>
        <v>1</v>
      </c>
      <c r="K1130" s="42">
        <v>1116</v>
      </c>
      <c r="L1130" s="43" t="s">
        <v>2463</v>
      </c>
      <c r="M1130" s="44" t="s">
        <v>405</v>
      </c>
      <c r="N1130" s="44" t="s">
        <v>578</v>
      </c>
      <c r="O1130" s="44" t="str">
        <f t="shared" si="73"/>
        <v>PE-L1-2C4-10</v>
      </c>
      <c r="P1130" s="45">
        <v>1.59</v>
      </c>
      <c r="Q1130" s="44">
        <v>220</v>
      </c>
      <c r="R1130" s="44" t="s">
        <v>509</v>
      </c>
      <c r="S1130" s="44">
        <v>70</v>
      </c>
      <c r="T1130" s="46" t="s">
        <v>6386</v>
      </c>
      <c r="U1130" s="46" t="s">
        <v>6341</v>
      </c>
      <c r="V1130" s="46" t="s">
        <v>6342</v>
      </c>
      <c r="W1130" s="46" t="s">
        <v>347</v>
      </c>
      <c r="X1130" s="172" t="s">
        <v>8942</v>
      </c>
      <c r="Y1130" s="46" t="s">
        <v>6515</v>
      </c>
      <c r="Z1130" s="46" t="s">
        <v>6518</v>
      </c>
      <c r="AA1130" s="46" t="s">
        <v>347</v>
      </c>
      <c r="AB1130" s="172" t="s">
        <v>8942</v>
      </c>
      <c r="AC1130" s="48" t="s">
        <v>6519</v>
      </c>
      <c r="AD1130" s="30"/>
      <c r="AE1130" s="197"/>
      <c r="AF1130" s="47"/>
    </row>
    <row r="1131" spans="1:32" s="29" customFormat="1" ht="69.95" hidden="1" customHeight="1">
      <c r="A1131" s="29" t="s">
        <v>5466</v>
      </c>
      <c r="B1131" s="29" t="s">
        <v>3769</v>
      </c>
      <c r="C1131" s="40" t="s">
        <v>43</v>
      </c>
      <c r="D1131" s="40"/>
      <c r="E1131" s="57" t="s">
        <v>150</v>
      </c>
      <c r="F1131" s="57" t="s">
        <v>150</v>
      </c>
      <c r="G1131" s="29" t="s">
        <v>2464</v>
      </c>
      <c r="J1131" s="29">
        <f t="shared" si="72"/>
        <v>1</v>
      </c>
      <c r="K1131" s="42">
        <v>1117</v>
      </c>
      <c r="L1131" s="43" t="s">
        <v>2465</v>
      </c>
      <c r="M1131" s="44" t="s">
        <v>405</v>
      </c>
      <c r="N1131" s="44" t="s">
        <v>426</v>
      </c>
      <c r="O1131" s="44" t="str">
        <f t="shared" si="73"/>
        <v>PE-L1-3C4-07</v>
      </c>
      <c r="P1131" s="45">
        <v>2.2400000000000002</v>
      </c>
      <c r="Q1131" s="44">
        <v>230</v>
      </c>
      <c r="R1131" s="44" t="s">
        <v>49</v>
      </c>
      <c r="S1131" s="44">
        <v>40</v>
      </c>
      <c r="T1131" s="46" t="s">
        <v>6386</v>
      </c>
      <c r="U1131" s="46" t="s">
        <v>5466</v>
      </c>
      <c r="V1131" s="46" t="s">
        <v>5467</v>
      </c>
      <c r="W1131" s="46" t="s">
        <v>347</v>
      </c>
      <c r="X1131" s="172" t="s">
        <v>9167</v>
      </c>
      <c r="Y1131" s="46" t="s">
        <v>6515</v>
      </c>
      <c r="Z1131" s="46" t="s">
        <v>6520</v>
      </c>
      <c r="AA1131" s="46" t="s">
        <v>347</v>
      </c>
      <c r="AB1131" s="172" t="s">
        <v>9167</v>
      </c>
      <c r="AC1131" s="48" t="s">
        <v>6521</v>
      </c>
      <c r="AD1131" s="30"/>
      <c r="AE1131" s="197"/>
      <c r="AF1131" s="47"/>
    </row>
    <row r="1132" spans="1:32" s="29" customFormat="1" ht="69.95" hidden="1" customHeight="1">
      <c r="A1132" s="29" t="s">
        <v>5466</v>
      </c>
      <c r="B1132" s="29" t="s">
        <v>3769</v>
      </c>
      <c r="C1132" s="40" t="s">
        <v>73</v>
      </c>
      <c r="D1132" s="40"/>
      <c r="E1132" s="57" t="s">
        <v>150</v>
      </c>
      <c r="F1132" s="57" t="s">
        <v>150</v>
      </c>
      <c r="G1132" s="29" t="s">
        <v>2466</v>
      </c>
      <c r="J1132" s="29">
        <f t="shared" si="72"/>
        <v>1</v>
      </c>
      <c r="K1132" s="42">
        <v>1118</v>
      </c>
      <c r="L1132" s="43" t="s">
        <v>2467</v>
      </c>
      <c r="M1132" s="44" t="s">
        <v>405</v>
      </c>
      <c r="N1132" s="44" t="s">
        <v>426</v>
      </c>
      <c r="O1132" s="44" t="str">
        <f t="shared" si="73"/>
        <v>PE-L1-3C4-07</v>
      </c>
      <c r="P1132" s="45">
        <v>0.4</v>
      </c>
      <c r="Q1132" s="44">
        <v>230</v>
      </c>
      <c r="R1132" s="44" t="s">
        <v>49</v>
      </c>
      <c r="S1132" s="44">
        <v>40</v>
      </c>
      <c r="T1132" s="46" t="s">
        <v>6386</v>
      </c>
      <c r="U1132" s="46" t="s">
        <v>5466</v>
      </c>
      <c r="V1132" s="46" t="s">
        <v>5467</v>
      </c>
      <c r="W1132" s="46" t="s">
        <v>347</v>
      </c>
      <c r="X1132" s="172" t="s">
        <v>9167</v>
      </c>
      <c r="Y1132" s="46" t="s">
        <v>6515</v>
      </c>
      <c r="Z1132" s="46" t="s">
        <v>6522</v>
      </c>
      <c r="AA1132" s="46" t="s">
        <v>347</v>
      </c>
      <c r="AB1132" s="172" t="s">
        <v>9167</v>
      </c>
      <c r="AC1132" s="48" t="s">
        <v>6521</v>
      </c>
      <c r="AD1132" s="30"/>
      <c r="AE1132" s="197"/>
      <c r="AF1132" s="47"/>
    </row>
    <row r="1133" spans="1:32" s="29" customFormat="1" ht="69.95" hidden="1" customHeight="1">
      <c r="A1133" s="29" t="s">
        <v>6336</v>
      </c>
      <c r="B1133" s="29" t="s">
        <v>3769</v>
      </c>
      <c r="C1133" s="40">
        <v>12</v>
      </c>
      <c r="D1133" s="40"/>
      <c r="E1133" s="57" t="s">
        <v>8581</v>
      </c>
      <c r="F1133" s="57" t="s">
        <v>8581</v>
      </c>
      <c r="G1133" s="29" t="s">
        <v>2468</v>
      </c>
      <c r="J1133" s="29">
        <f t="shared" si="72"/>
        <v>1</v>
      </c>
      <c r="K1133" s="42">
        <v>1119</v>
      </c>
      <c r="L1133" s="43" t="s">
        <v>2469</v>
      </c>
      <c r="M1133" s="44" t="s">
        <v>405</v>
      </c>
      <c r="N1133" s="44" t="s">
        <v>578</v>
      </c>
      <c r="O1133" s="44" t="str">
        <f t="shared" si="73"/>
        <v>PE-L1-2C4-10</v>
      </c>
      <c r="P1133" s="45">
        <v>1.54</v>
      </c>
      <c r="Q1133" s="44">
        <v>220</v>
      </c>
      <c r="R1133" s="44" t="s">
        <v>509</v>
      </c>
      <c r="S1133" s="44">
        <v>60</v>
      </c>
      <c r="T1133" s="46" t="s">
        <v>6386</v>
      </c>
      <c r="U1133" s="46" t="s">
        <v>6336</v>
      </c>
      <c r="V1133" s="46" t="s">
        <v>6337</v>
      </c>
      <c r="W1133" s="46" t="s">
        <v>347</v>
      </c>
      <c r="X1133" s="172" t="s">
        <v>8942</v>
      </c>
      <c r="Y1133" s="46" t="s">
        <v>4035</v>
      </c>
      <c r="Z1133" s="46" t="s">
        <v>6523</v>
      </c>
      <c r="AA1133" s="46" t="s">
        <v>347</v>
      </c>
      <c r="AB1133" s="172" t="s">
        <v>8942</v>
      </c>
      <c r="AC1133" s="48" t="s">
        <v>6524</v>
      </c>
      <c r="AD1133" s="30"/>
      <c r="AE1133" s="197"/>
      <c r="AF1133" s="47"/>
    </row>
    <row r="1134" spans="1:32" s="29" customFormat="1" ht="69.95" hidden="1" customHeight="1">
      <c r="A1134" s="29" t="s">
        <v>6341</v>
      </c>
      <c r="B1134" s="29" t="s">
        <v>3769</v>
      </c>
      <c r="C1134" s="40">
        <v>12</v>
      </c>
      <c r="D1134" s="40"/>
      <c r="E1134" s="57" t="s">
        <v>8581</v>
      </c>
      <c r="F1134" s="57" t="s">
        <v>8581</v>
      </c>
      <c r="G1134" s="29" t="s">
        <v>2470</v>
      </c>
      <c r="J1134" s="29">
        <f t="shared" si="72"/>
        <v>1</v>
      </c>
      <c r="K1134" s="42">
        <v>1120</v>
      </c>
      <c r="L1134" s="43" t="s">
        <v>2471</v>
      </c>
      <c r="M1134" s="44" t="s">
        <v>405</v>
      </c>
      <c r="N1134" s="44" t="s">
        <v>578</v>
      </c>
      <c r="O1134" s="44" t="str">
        <f t="shared" si="73"/>
        <v>PE-L1-2C4-10</v>
      </c>
      <c r="P1134" s="45">
        <v>1.54</v>
      </c>
      <c r="Q1134" s="44">
        <v>220</v>
      </c>
      <c r="R1134" s="44" t="s">
        <v>509</v>
      </c>
      <c r="S1134" s="44">
        <v>60</v>
      </c>
      <c r="T1134" s="46" t="s">
        <v>6386</v>
      </c>
      <c r="U1134" s="46" t="s">
        <v>6341</v>
      </c>
      <c r="V1134" s="46" t="s">
        <v>6342</v>
      </c>
      <c r="W1134" s="46" t="s">
        <v>347</v>
      </c>
      <c r="X1134" s="172" t="s">
        <v>8942</v>
      </c>
      <c r="Y1134" s="46" t="s">
        <v>4035</v>
      </c>
      <c r="Z1134" s="46" t="s">
        <v>6525</v>
      </c>
      <c r="AA1134" s="46" t="s">
        <v>347</v>
      </c>
      <c r="AB1134" s="172" t="s">
        <v>8942</v>
      </c>
      <c r="AC1134" s="48" t="s">
        <v>6526</v>
      </c>
      <c r="AD1134" s="30"/>
      <c r="AE1134" s="197"/>
      <c r="AF1134" s="47"/>
    </row>
    <row r="1135" spans="1:32" s="29" customFormat="1" ht="69.95" hidden="1" customHeight="1">
      <c r="A1135" s="29" t="s">
        <v>4054</v>
      </c>
      <c r="B1135" s="29" t="s">
        <v>3769</v>
      </c>
      <c r="C1135" s="40" t="s">
        <v>73</v>
      </c>
      <c r="D1135" s="40"/>
      <c r="E1135" s="56" t="s">
        <v>150</v>
      </c>
      <c r="F1135" s="57" t="s">
        <v>150</v>
      </c>
      <c r="G1135" s="29" t="s">
        <v>2472</v>
      </c>
      <c r="J1135" s="29">
        <f t="shared" si="72"/>
        <v>1</v>
      </c>
      <c r="K1135" s="42">
        <v>1121</v>
      </c>
      <c r="L1135" s="43" t="s">
        <v>2473</v>
      </c>
      <c r="M1135" s="44" t="s">
        <v>405</v>
      </c>
      <c r="N1135" s="44" t="s">
        <v>426</v>
      </c>
      <c r="O1135" s="44" t="str">
        <f t="shared" si="73"/>
        <v>PE-L1-3C4-07</v>
      </c>
      <c r="P1135" s="45">
        <v>2.5</v>
      </c>
      <c r="Q1135" s="44">
        <v>230</v>
      </c>
      <c r="R1135" s="44" t="s">
        <v>49</v>
      </c>
      <c r="S1135" s="44">
        <v>40</v>
      </c>
      <c r="T1135" s="46" t="s">
        <v>6386</v>
      </c>
      <c r="U1135" s="46" t="s">
        <v>4054</v>
      </c>
      <c r="V1135" s="46" t="s">
        <v>4055</v>
      </c>
      <c r="W1135" s="46" t="s">
        <v>347</v>
      </c>
      <c r="X1135" s="172" t="s">
        <v>9167</v>
      </c>
      <c r="Y1135" s="46" t="s">
        <v>4035</v>
      </c>
      <c r="Z1135" s="46" t="s">
        <v>6527</v>
      </c>
      <c r="AA1135" s="46" t="s">
        <v>347</v>
      </c>
      <c r="AB1135" s="172" t="s">
        <v>9167</v>
      </c>
      <c r="AC1135" s="48" t="s">
        <v>6528</v>
      </c>
      <c r="AD1135" s="30"/>
      <c r="AE1135" s="197"/>
      <c r="AF1135" s="47"/>
    </row>
    <row r="1136" spans="1:32" s="29" customFormat="1" ht="69.95" hidden="1" customHeight="1">
      <c r="A1136" s="29" t="s">
        <v>4054</v>
      </c>
      <c r="B1136" s="29" t="s">
        <v>3769</v>
      </c>
      <c r="C1136" s="40" t="s">
        <v>75</v>
      </c>
      <c r="D1136" s="173" t="s">
        <v>9131</v>
      </c>
      <c r="E1136" s="57" t="s">
        <v>165</v>
      </c>
      <c r="F1136" s="121" t="s">
        <v>8180</v>
      </c>
      <c r="G1136" s="29" t="s">
        <v>2474</v>
      </c>
      <c r="J1136" s="29">
        <f t="shared" si="72"/>
        <v>1</v>
      </c>
      <c r="K1136" s="42">
        <v>1122</v>
      </c>
      <c r="L1136" s="43" t="s">
        <v>2475</v>
      </c>
      <c r="M1136" s="44" t="s">
        <v>405</v>
      </c>
      <c r="N1136" s="44" t="s">
        <v>426</v>
      </c>
      <c r="O1136" s="121" t="str">
        <f>F1136</f>
        <v>PE-L1-3C4-17</v>
      </c>
      <c r="P1136" s="45">
        <v>0.5</v>
      </c>
      <c r="Q1136" s="44">
        <v>230</v>
      </c>
      <c r="R1136" s="44" t="s">
        <v>49</v>
      </c>
      <c r="S1136" s="44">
        <v>40</v>
      </c>
      <c r="T1136" s="46" t="s">
        <v>6386</v>
      </c>
      <c r="U1136" s="46" t="s">
        <v>4054</v>
      </c>
      <c r="V1136" s="46" t="s">
        <v>4055</v>
      </c>
      <c r="W1136" s="46" t="s">
        <v>347</v>
      </c>
      <c r="X1136" s="172" t="s">
        <v>9167</v>
      </c>
      <c r="Y1136" s="46" t="s">
        <v>4035</v>
      </c>
      <c r="Z1136" s="46" t="s">
        <v>6529</v>
      </c>
      <c r="AA1136" s="46" t="s">
        <v>347</v>
      </c>
      <c r="AB1136" s="172" t="s">
        <v>9167</v>
      </c>
      <c r="AC1136" s="48" t="s">
        <v>6528</v>
      </c>
      <c r="AD1136" s="30"/>
      <c r="AE1136" s="197"/>
      <c r="AF1136" s="47"/>
    </row>
    <row r="1137" spans="1:32" s="29" customFormat="1" ht="69.95" hidden="1" customHeight="1">
      <c r="A1137" s="29" t="s">
        <v>6336</v>
      </c>
      <c r="B1137" s="29" t="s">
        <v>3769</v>
      </c>
      <c r="C1137" s="40">
        <v>13</v>
      </c>
      <c r="D1137" s="40"/>
      <c r="E1137" s="59" t="s">
        <v>247</v>
      </c>
      <c r="F1137" s="56" t="s">
        <v>247</v>
      </c>
      <c r="G1137" s="29" t="s">
        <v>2476</v>
      </c>
      <c r="J1137" s="29">
        <f t="shared" si="72"/>
        <v>1</v>
      </c>
      <c r="K1137" s="42">
        <v>1123</v>
      </c>
      <c r="L1137" s="43" t="s">
        <v>2477</v>
      </c>
      <c r="M1137" s="44" t="s">
        <v>405</v>
      </c>
      <c r="N1137" s="44" t="s">
        <v>2280</v>
      </c>
      <c r="O1137" s="44" t="str">
        <f t="shared" ref="O1137:O1141" si="74">F1137</f>
        <v>PE-L1-2C10-02</v>
      </c>
      <c r="P1137" s="45">
        <v>3.3600000000000003</v>
      </c>
      <c r="Q1137" s="44">
        <v>220</v>
      </c>
      <c r="R1137" s="44" t="s">
        <v>509</v>
      </c>
      <c r="S1137" s="44">
        <v>70</v>
      </c>
      <c r="T1137" s="46" t="s">
        <v>6386</v>
      </c>
      <c r="U1137" s="46" t="s">
        <v>6336</v>
      </c>
      <c r="V1137" s="46" t="s">
        <v>6337</v>
      </c>
      <c r="W1137" s="46" t="s">
        <v>347</v>
      </c>
      <c r="X1137" s="172" t="s">
        <v>8942</v>
      </c>
      <c r="Y1137" s="46" t="s">
        <v>5308</v>
      </c>
      <c r="Z1137" s="46" t="s">
        <v>6530</v>
      </c>
      <c r="AA1137" s="46" t="s">
        <v>347</v>
      </c>
      <c r="AB1137" s="172" t="s">
        <v>8942</v>
      </c>
      <c r="AC1137" s="48" t="s">
        <v>6505</v>
      </c>
      <c r="AD1137" s="30"/>
      <c r="AE1137" s="197"/>
      <c r="AF1137" s="47"/>
    </row>
    <row r="1138" spans="1:32" s="29" customFormat="1" ht="69.95" hidden="1" customHeight="1">
      <c r="A1138" s="29" t="s">
        <v>6341</v>
      </c>
      <c r="B1138" s="29" t="s">
        <v>3769</v>
      </c>
      <c r="C1138" s="40">
        <v>13</v>
      </c>
      <c r="D1138" s="40"/>
      <c r="E1138" s="58" t="s">
        <v>8019</v>
      </c>
      <c r="F1138" s="58" t="s">
        <v>8019</v>
      </c>
      <c r="G1138" s="29" t="s">
        <v>2478</v>
      </c>
      <c r="J1138" s="29">
        <f t="shared" si="72"/>
        <v>1</v>
      </c>
      <c r="K1138" s="42">
        <v>1124</v>
      </c>
      <c r="L1138" s="43" t="s">
        <v>2479</v>
      </c>
      <c r="M1138" s="44" t="s">
        <v>405</v>
      </c>
      <c r="N1138" s="44" t="s">
        <v>613</v>
      </c>
      <c r="O1138" s="44" t="str">
        <f t="shared" si="74"/>
        <v>PE-L1-2C6-02</v>
      </c>
      <c r="P1138" s="45">
        <v>3.3600000000000003</v>
      </c>
      <c r="Q1138" s="44">
        <v>220</v>
      </c>
      <c r="R1138" s="44" t="s">
        <v>509</v>
      </c>
      <c r="S1138" s="44">
        <v>60</v>
      </c>
      <c r="T1138" s="46" t="s">
        <v>6386</v>
      </c>
      <c r="U1138" s="46" t="s">
        <v>6341</v>
      </c>
      <c r="V1138" s="46" t="s">
        <v>6342</v>
      </c>
      <c r="W1138" s="46" t="s">
        <v>347</v>
      </c>
      <c r="X1138" s="172" t="s">
        <v>8942</v>
      </c>
      <c r="Y1138" s="46" t="s">
        <v>5308</v>
      </c>
      <c r="Z1138" s="46" t="s">
        <v>6530</v>
      </c>
      <c r="AA1138" s="46" t="s">
        <v>347</v>
      </c>
      <c r="AB1138" s="172" t="s">
        <v>8942</v>
      </c>
      <c r="AC1138" s="48" t="s">
        <v>6531</v>
      </c>
      <c r="AD1138" s="30"/>
      <c r="AE1138" s="197"/>
      <c r="AF1138" s="47"/>
    </row>
    <row r="1139" spans="1:32" s="29" customFormat="1" ht="69.95" hidden="1" customHeight="1">
      <c r="A1139" s="29" t="s">
        <v>4054</v>
      </c>
      <c r="B1139" s="29" t="s">
        <v>3769</v>
      </c>
      <c r="C1139" s="40">
        <v>10</v>
      </c>
      <c r="D1139" s="40"/>
      <c r="E1139" s="57" t="s">
        <v>63</v>
      </c>
      <c r="F1139" s="57" t="s">
        <v>63</v>
      </c>
      <c r="G1139" s="29" t="s">
        <v>2480</v>
      </c>
      <c r="J1139" s="29">
        <f t="shared" si="72"/>
        <v>1</v>
      </c>
      <c r="K1139" s="42">
        <v>1125</v>
      </c>
      <c r="L1139" s="43" t="s">
        <v>2481</v>
      </c>
      <c r="M1139" s="44" t="s">
        <v>405</v>
      </c>
      <c r="N1139" s="44" t="s">
        <v>456</v>
      </c>
      <c r="O1139" s="44" t="str">
        <f t="shared" si="74"/>
        <v>PE-L1-3C6-05</v>
      </c>
      <c r="P1139" s="45">
        <v>4.34</v>
      </c>
      <c r="Q1139" s="44">
        <v>230</v>
      </c>
      <c r="R1139" s="44" t="s">
        <v>49</v>
      </c>
      <c r="S1139" s="44">
        <v>40</v>
      </c>
      <c r="T1139" s="46" t="s">
        <v>6386</v>
      </c>
      <c r="U1139" s="46" t="s">
        <v>4054</v>
      </c>
      <c r="V1139" s="46" t="s">
        <v>4055</v>
      </c>
      <c r="W1139" s="46" t="s">
        <v>347</v>
      </c>
      <c r="X1139" s="172" t="s">
        <v>9167</v>
      </c>
      <c r="Y1139" s="46" t="s">
        <v>5308</v>
      </c>
      <c r="Z1139" s="46" t="s">
        <v>6532</v>
      </c>
      <c r="AA1139" s="46" t="s">
        <v>347</v>
      </c>
      <c r="AB1139" s="172" t="s">
        <v>9167</v>
      </c>
      <c r="AC1139" s="48" t="s">
        <v>6533</v>
      </c>
      <c r="AD1139" s="30"/>
      <c r="AE1139" s="197"/>
      <c r="AF1139" s="47"/>
    </row>
    <row r="1140" spans="1:32" s="29" customFormat="1" ht="69.95" hidden="1" customHeight="1">
      <c r="A1140" s="29" t="s">
        <v>6336</v>
      </c>
      <c r="B1140" s="29" t="s">
        <v>3769</v>
      </c>
      <c r="C1140" s="40">
        <v>14</v>
      </c>
      <c r="D1140" s="40"/>
      <c r="E1140" s="57" t="s">
        <v>8581</v>
      </c>
      <c r="F1140" s="57" t="s">
        <v>8581</v>
      </c>
      <c r="G1140" s="29" t="s">
        <v>2482</v>
      </c>
      <c r="J1140" s="29">
        <f t="shared" si="72"/>
        <v>1</v>
      </c>
      <c r="K1140" s="42">
        <v>1126</v>
      </c>
      <c r="L1140" s="43" t="s">
        <v>2483</v>
      </c>
      <c r="M1140" s="44" t="s">
        <v>405</v>
      </c>
      <c r="N1140" s="44" t="s">
        <v>578</v>
      </c>
      <c r="O1140" s="44" t="str">
        <f t="shared" si="74"/>
        <v>PE-L1-2C4-10</v>
      </c>
      <c r="P1140" s="45">
        <v>0.17</v>
      </c>
      <c r="Q1140" s="44">
        <v>220</v>
      </c>
      <c r="R1140" s="44" t="s">
        <v>509</v>
      </c>
      <c r="S1140" s="44">
        <v>80</v>
      </c>
      <c r="T1140" s="46" t="s">
        <v>6386</v>
      </c>
      <c r="U1140" s="46" t="s">
        <v>6336</v>
      </c>
      <c r="V1140" s="46" t="s">
        <v>6337</v>
      </c>
      <c r="W1140" s="46" t="s">
        <v>347</v>
      </c>
      <c r="X1140" s="172" t="s">
        <v>8942</v>
      </c>
      <c r="Y1140" s="46" t="s">
        <v>6534</v>
      </c>
      <c r="Z1140" s="46" t="s">
        <v>6535</v>
      </c>
      <c r="AA1140" s="46" t="s">
        <v>347</v>
      </c>
      <c r="AB1140" s="172" t="s">
        <v>8942</v>
      </c>
      <c r="AC1140" s="48" t="s">
        <v>6511</v>
      </c>
      <c r="AD1140" s="30"/>
      <c r="AE1140" s="197"/>
      <c r="AF1140" s="47"/>
    </row>
    <row r="1141" spans="1:32" s="29" customFormat="1" ht="69.95" hidden="1" customHeight="1">
      <c r="A1141" s="29" t="s">
        <v>6341</v>
      </c>
      <c r="B1141" s="29" t="s">
        <v>3769</v>
      </c>
      <c r="C1141" s="40">
        <v>14</v>
      </c>
      <c r="D1141" s="40"/>
      <c r="E1141" s="56" t="s">
        <v>8581</v>
      </c>
      <c r="F1141" s="57" t="s">
        <v>8581</v>
      </c>
      <c r="G1141" s="29" t="s">
        <v>2484</v>
      </c>
      <c r="J1141" s="29">
        <f t="shared" si="72"/>
        <v>1</v>
      </c>
      <c r="K1141" s="42">
        <v>1127</v>
      </c>
      <c r="L1141" s="43" t="s">
        <v>2485</v>
      </c>
      <c r="M1141" s="44" t="s">
        <v>405</v>
      </c>
      <c r="N1141" s="44" t="s">
        <v>578</v>
      </c>
      <c r="O1141" s="44" t="str">
        <f t="shared" si="74"/>
        <v>PE-L1-2C4-10</v>
      </c>
      <c r="P1141" s="45">
        <v>0.17</v>
      </c>
      <c r="Q1141" s="44">
        <v>220</v>
      </c>
      <c r="R1141" s="44" t="s">
        <v>509</v>
      </c>
      <c r="S1141" s="44">
        <v>80</v>
      </c>
      <c r="T1141" s="46" t="s">
        <v>6386</v>
      </c>
      <c r="U1141" s="46" t="s">
        <v>6341</v>
      </c>
      <c r="V1141" s="46" t="s">
        <v>6342</v>
      </c>
      <c r="W1141" s="46" t="s">
        <v>347</v>
      </c>
      <c r="X1141" s="172" t="s">
        <v>8942</v>
      </c>
      <c r="Y1141" s="46" t="s">
        <v>6534</v>
      </c>
      <c r="Z1141" s="46" t="s">
        <v>6536</v>
      </c>
      <c r="AA1141" s="46" t="s">
        <v>347</v>
      </c>
      <c r="AB1141" s="172" t="s">
        <v>8942</v>
      </c>
      <c r="AC1141" s="48" t="s">
        <v>6477</v>
      </c>
      <c r="AD1141" s="30"/>
      <c r="AE1141" s="197"/>
      <c r="AF1141" s="47"/>
    </row>
    <row r="1142" spans="1:32" s="29" customFormat="1" ht="69.95" hidden="1" customHeight="1">
      <c r="A1142" s="29" t="s">
        <v>4054</v>
      </c>
      <c r="B1142" s="29" t="s">
        <v>3769</v>
      </c>
      <c r="C1142" s="40">
        <v>11</v>
      </c>
      <c r="D1142" s="173" t="s">
        <v>9131</v>
      </c>
      <c r="E1142" s="57" t="s">
        <v>165</v>
      </c>
      <c r="F1142" s="121" t="s">
        <v>8180</v>
      </c>
      <c r="G1142" s="29" t="s">
        <v>2486</v>
      </c>
      <c r="J1142" s="29">
        <f t="shared" si="72"/>
        <v>1</v>
      </c>
      <c r="K1142" s="42">
        <v>1128</v>
      </c>
      <c r="L1142" s="43" t="s">
        <v>2487</v>
      </c>
      <c r="M1142" s="44" t="s">
        <v>405</v>
      </c>
      <c r="N1142" s="44" t="s">
        <v>426</v>
      </c>
      <c r="O1142" s="121" t="str">
        <f>F1142</f>
        <v>PE-L1-3C4-17</v>
      </c>
      <c r="P1142" s="45">
        <v>0.1</v>
      </c>
      <c r="Q1142" s="44">
        <v>230</v>
      </c>
      <c r="R1142" s="44" t="s">
        <v>49</v>
      </c>
      <c r="S1142" s="44">
        <v>50</v>
      </c>
      <c r="T1142" s="46" t="s">
        <v>6386</v>
      </c>
      <c r="U1142" s="46" t="s">
        <v>4054</v>
      </c>
      <c r="V1142" s="46" t="s">
        <v>4055</v>
      </c>
      <c r="W1142" s="46" t="s">
        <v>347</v>
      </c>
      <c r="X1142" s="172" t="s">
        <v>9167</v>
      </c>
      <c r="Y1142" s="46" t="s">
        <v>6534</v>
      </c>
      <c r="Z1142" s="46" t="s">
        <v>6537</v>
      </c>
      <c r="AA1142" s="46" t="s">
        <v>347</v>
      </c>
      <c r="AB1142" s="172" t="s">
        <v>9167</v>
      </c>
      <c r="AC1142" s="48" t="s">
        <v>6514</v>
      </c>
      <c r="AD1142" s="30"/>
      <c r="AE1142" s="197"/>
      <c r="AF1142" s="47"/>
    </row>
    <row r="1143" spans="1:32" s="29" customFormat="1" ht="69.95" hidden="1" customHeight="1">
      <c r="A1143" s="29" t="s">
        <v>4075</v>
      </c>
      <c r="B1143" s="29" t="s">
        <v>3769</v>
      </c>
      <c r="C1143" s="40" t="s">
        <v>75</v>
      </c>
      <c r="D1143" s="40"/>
      <c r="E1143" s="58" t="s">
        <v>248</v>
      </c>
      <c r="F1143" s="57" t="s">
        <v>248</v>
      </c>
      <c r="G1143" s="29" t="s">
        <v>2488</v>
      </c>
      <c r="J1143" s="29">
        <f t="shared" si="72"/>
        <v>1</v>
      </c>
      <c r="K1143" s="42">
        <v>1129</v>
      </c>
      <c r="L1143" s="43" t="s">
        <v>2489</v>
      </c>
      <c r="M1143" s="44" t="s">
        <v>405</v>
      </c>
      <c r="N1143" s="44" t="s">
        <v>578</v>
      </c>
      <c r="O1143" s="44" t="str">
        <f t="shared" ref="O1143:O1159" si="75">F1143</f>
        <v>PE-L1-2C4-02</v>
      </c>
      <c r="P1143" s="45">
        <v>1.01</v>
      </c>
      <c r="Q1143" s="44">
        <v>220</v>
      </c>
      <c r="R1143" s="44" t="s">
        <v>509</v>
      </c>
      <c r="S1143" s="44">
        <v>40</v>
      </c>
      <c r="T1143" s="46" t="s">
        <v>6386</v>
      </c>
      <c r="U1143" s="46" t="s">
        <v>4075</v>
      </c>
      <c r="V1143" s="46" t="s">
        <v>4076</v>
      </c>
      <c r="W1143" s="46" t="s">
        <v>391</v>
      </c>
      <c r="X1143" s="172" t="s">
        <v>8942</v>
      </c>
      <c r="Y1143" s="46" t="s">
        <v>6273</v>
      </c>
      <c r="Z1143" s="46" t="s">
        <v>6538</v>
      </c>
      <c r="AA1143" s="46" t="s">
        <v>391</v>
      </c>
      <c r="AB1143" s="172" t="s">
        <v>8942</v>
      </c>
      <c r="AC1143" s="48" t="s">
        <v>6539</v>
      </c>
      <c r="AD1143" s="30"/>
      <c r="AE1143" s="197"/>
      <c r="AF1143" s="47"/>
    </row>
    <row r="1144" spans="1:32" s="29" customFormat="1" ht="69.95" hidden="1" customHeight="1">
      <c r="A1144" s="29" t="s">
        <v>4069</v>
      </c>
      <c r="B1144" s="29" t="s">
        <v>3769</v>
      </c>
      <c r="C1144" s="40" t="s">
        <v>75</v>
      </c>
      <c r="D1144" s="40"/>
      <c r="E1144" s="56" t="s">
        <v>248</v>
      </c>
      <c r="F1144" s="56" t="s">
        <v>248</v>
      </c>
      <c r="G1144" s="29" t="s">
        <v>2490</v>
      </c>
      <c r="J1144" s="29">
        <f t="shared" si="72"/>
        <v>1</v>
      </c>
      <c r="K1144" s="42">
        <v>1130</v>
      </c>
      <c r="L1144" s="43" t="s">
        <v>2491</v>
      </c>
      <c r="M1144" s="44" t="s">
        <v>405</v>
      </c>
      <c r="N1144" s="44" t="s">
        <v>578</v>
      </c>
      <c r="O1144" s="44" t="str">
        <f t="shared" si="75"/>
        <v>PE-L1-2C4-02</v>
      </c>
      <c r="P1144" s="45">
        <v>1.01</v>
      </c>
      <c r="Q1144" s="44">
        <v>220</v>
      </c>
      <c r="R1144" s="44" t="s">
        <v>509</v>
      </c>
      <c r="S1144" s="44">
        <v>40</v>
      </c>
      <c r="T1144" s="46" t="s">
        <v>6386</v>
      </c>
      <c r="U1144" s="46" t="s">
        <v>4069</v>
      </c>
      <c r="V1144" s="46" t="s">
        <v>4070</v>
      </c>
      <c r="W1144" s="46" t="s">
        <v>391</v>
      </c>
      <c r="X1144" s="172" t="s">
        <v>8942</v>
      </c>
      <c r="Y1144" s="46" t="s">
        <v>6273</v>
      </c>
      <c r="Z1144" s="46" t="s">
        <v>6540</v>
      </c>
      <c r="AA1144" s="46" t="s">
        <v>391</v>
      </c>
      <c r="AB1144" s="172" t="s">
        <v>8942</v>
      </c>
      <c r="AC1144" s="48" t="s">
        <v>6541</v>
      </c>
      <c r="AD1144" s="30"/>
      <c r="AE1144" s="197"/>
      <c r="AF1144" s="47"/>
    </row>
    <row r="1145" spans="1:32" s="29" customFormat="1" ht="69.95" hidden="1" customHeight="1">
      <c r="A1145" s="29" t="s">
        <v>4158</v>
      </c>
      <c r="B1145" s="29" t="s">
        <v>3769</v>
      </c>
      <c r="C1145" s="40" t="s">
        <v>42</v>
      </c>
      <c r="D1145" s="40"/>
      <c r="E1145" s="57" t="s">
        <v>143</v>
      </c>
      <c r="F1145" s="57" t="s">
        <v>143</v>
      </c>
      <c r="G1145" s="29" t="s">
        <v>2492</v>
      </c>
      <c r="J1145" s="29">
        <f t="shared" si="72"/>
        <v>1</v>
      </c>
      <c r="K1145" s="42">
        <v>1131</v>
      </c>
      <c r="L1145" s="43" t="s">
        <v>2493</v>
      </c>
      <c r="M1145" s="44" t="s">
        <v>405</v>
      </c>
      <c r="N1145" s="44" t="s">
        <v>426</v>
      </c>
      <c r="O1145" s="44" t="str">
        <f t="shared" si="75"/>
        <v>PE-L1-3C4-15</v>
      </c>
      <c r="P1145" s="45">
        <v>1.83</v>
      </c>
      <c r="Q1145" s="44">
        <v>230</v>
      </c>
      <c r="R1145" s="44" t="s">
        <v>49</v>
      </c>
      <c r="S1145" s="44">
        <v>40</v>
      </c>
      <c r="T1145" s="46" t="s">
        <v>6386</v>
      </c>
      <c r="U1145" s="46" t="s">
        <v>4158</v>
      </c>
      <c r="V1145" s="46" t="s">
        <v>4159</v>
      </c>
      <c r="W1145" s="46" t="s">
        <v>391</v>
      </c>
      <c r="X1145" s="172" t="s">
        <v>9167</v>
      </c>
      <c r="Y1145" s="46" t="s">
        <v>6273</v>
      </c>
      <c r="Z1145" s="46" t="s">
        <v>6542</v>
      </c>
      <c r="AA1145" s="46" t="s">
        <v>391</v>
      </c>
      <c r="AB1145" s="172" t="s">
        <v>9167</v>
      </c>
      <c r="AC1145" s="48" t="s">
        <v>6543</v>
      </c>
      <c r="AD1145" s="30"/>
      <c r="AE1145" s="197"/>
      <c r="AF1145" s="47"/>
    </row>
    <row r="1146" spans="1:32" s="29" customFormat="1" ht="69.95" hidden="1" customHeight="1">
      <c r="A1146" s="29" t="s">
        <v>4075</v>
      </c>
      <c r="B1146" s="29" t="s">
        <v>3769</v>
      </c>
      <c r="C1146" s="40">
        <v>10</v>
      </c>
      <c r="D1146" s="40"/>
      <c r="E1146" s="57" t="s">
        <v>248</v>
      </c>
      <c r="F1146" s="57" t="s">
        <v>248</v>
      </c>
      <c r="G1146" s="29" t="s">
        <v>2494</v>
      </c>
      <c r="J1146" s="29">
        <f t="shared" si="72"/>
        <v>1</v>
      </c>
      <c r="K1146" s="42">
        <v>1132</v>
      </c>
      <c r="L1146" s="43" t="s">
        <v>2495</v>
      </c>
      <c r="M1146" s="44" t="s">
        <v>405</v>
      </c>
      <c r="N1146" s="44" t="s">
        <v>578</v>
      </c>
      <c r="O1146" s="44" t="str">
        <f t="shared" si="75"/>
        <v>PE-L1-2C4-02</v>
      </c>
      <c r="P1146" s="45">
        <v>0.67</v>
      </c>
      <c r="Q1146" s="44">
        <v>220</v>
      </c>
      <c r="R1146" s="44" t="s">
        <v>509</v>
      </c>
      <c r="S1146" s="44">
        <v>30</v>
      </c>
      <c r="T1146" s="46" t="s">
        <v>6386</v>
      </c>
      <c r="U1146" s="46" t="s">
        <v>4075</v>
      </c>
      <c r="V1146" s="46" t="s">
        <v>4076</v>
      </c>
      <c r="W1146" s="46" t="s">
        <v>391</v>
      </c>
      <c r="X1146" s="172" t="s">
        <v>8942</v>
      </c>
      <c r="Y1146" s="46" t="s">
        <v>6544</v>
      </c>
      <c r="Z1146" s="46" t="s">
        <v>6545</v>
      </c>
      <c r="AA1146" s="46" t="s">
        <v>391</v>
      </c>
      <c r="AB1146" s="172" t="s">
        <v>8942</v>
      </c>
      <c r="AC1146" s="48" t="s">
        <v>6546</v>
      </c>
      <c r="AD1146" s="30"/>
      <c r="AE1146" s="197"/>
      <c r="AF1146" s="47"/>
    </row>
    <row r="1147" spans="1:32" s="29" customFormat="1" ht="69.95" hidden="1" customHeight="1">
      <c r="A1147" s="29" t="s">
        <v>4069</v>
      </c>
      <c r="B1147" s="29" t="s">
        <v>3769</v>
      </c>
      <c r="C1147" s="40">
        <v>10</v>
      </c>
      <c r="D1147" s="40"/>
      <c r="E1147" s="56" t="s">
        <v>248</v>
      </c>
      <c r="F1147" s="56" t="s">
        <v>248</v>
      </c>
      <c r="G1147" s="29" t="s">
        <v>2496</v>
      </c>
      <c r="J1147" s="29">
        <f t="shared" si="72"/>
        <v>1</v>
      </c>
      <c r="K1147" s="42">
        <v>1133</v>
      </c>
      <c r="L1147" s="43" t="s">
        <v>2497</v>
      </c>
      <c r="M1147" s="44" t="s">
        <v>405</v>
      </c>
      <c r="N1147" s="44" t="s">
        <v>578</v>
      </c>
      <c r="O1147" s="44" t="str">
        <f t="shared" si="75"/>
        <v>PE-L1-2C4-02</v>
      </c>
      <c r="P1147" s="45">
        <v>0.67</v>
      </c>
      <c r="Q1147" s="44">
        <v>220</v>
      </c>
      <c r="R1147" s="44" t="s">
        <v>509</v>
      </c>
      <c r="S1147" s="44">
        <v>30</v>
      </c>
      <c r="T1147" s="46" t="s">
        <v>6386</v>
      </c>
      <c r="U1147" s="46" t="s">
        <v>4069</v>
      </c>
      <c r="V1147" s="46" t="s">
        <v>4070</v>
      </c>
      <c r="W1147" s="46" t="s">
        <v>391</v>
      </c>
      <c r="X1147" s="172" t="s">
        <v>8942</v>
      </c>
      <c r="Y1147" s="46" t="s">
        <v>6544</v>
      </c>
      <c r="Z1147" s="46" t="s">
        <v>6547</v>
      </c>
      <c r="AA1147" s="46" t="s">
        <v>391</v>
      </c>
      <c r="AB1147" s="172" t="s">
        <v>8942</v>
      </c>
      <c r="AC1147" s="48" t="s">
        <v>6548</v>
      </c>
      <c r="AD1147" s="30"/>
      <c r="AE1147" s="197"/>
      <c r="AF1147" s="47"/>
    </row>
    <row r="1148" spans="1:32" s="29" customFormat="1" ht="69.95" hidden="1" customHeight="1">
      <c r="A1148" s="29" t="s">
        <v>4079</v>
      </c>
      <c r="B1148" s="29" t="s">
        <v>3769</v>
      </c>
      <c r="C1148" s="40">
        <v>18</v>
      </c>
      <c r="D1148" s="40"/>
      <c r="E1148" s="57" t="s">
        <v>143</v>
      </c>
      <c r="F1148" s="57" t="s">
        <v>143</v>
      </c>
      <c r="G1148" s="29" t="s">
        <v>2498</v>
      </c>
      <c r="J1148" s="29">
        <f t="shared" si="72"/>
        <v>1</v>
      </c>
      <c r="K1148" s="42">
        <v>1134</v>
      </c>
      <c r="L1148" s="43" t="s">
        <v>2499</v>
      </c>
      <c r="M1148" s="44" t="s">
        <v>405</v>
      </c>
      <c r="N1148" s="44" t="s">
        <v>426</v>
      </c>
      <c r="O1148" s="44" t="str">
        <f t="shared" si="75"/>
        <v>PE-L1-3C4-15</v>
      </c>
      <c r="P1148" s="45">
        <v>2.13</v>
      </c>
      <c r="Q1148" s="44">
        <v>230</v>
      </c>
      <c r="R1148" s="44" t="s">
        <v>49</v>
      </c>
      <c r="S1148" s="44">
        <v>40</v>
      </c>
      <c r="T1148" s="46" t="s">
        <v>6386</v>
      </c>
      <c r="U1148" s="46" t="s">
        <v>4079</v>
      </c>
      <c r="V1148" s="46" t="s">
        <v>4080</v>
      </c>
      <c r="W1148" s="46" t="s">
        <v>391</v>
      </c>
      <c r="X1148" s="172" t="s">
        <v>9167</v>
      </c>
      <c r="Y1148" s="46" t="s">
        <v>6544</v>
      </c>
      <c r="Z1148" s="46" t="s">
        <v>6549</v>
      </c>
      <c r="AA1148" s="46" t="s">
        <v>391</v>
      </c>
      <c r="AB1148" s="172" t="s">
        <v>9167</v>
      </c>
      <c r="AC1148" s="48" t="s">
        <v>6550</v>
      </c>
      <c r="AD1148" s="30"/>
      <c r="AE1148" s="197"/>
      <c r="AF1148" s="47"/>
    </row>
    <row r="1149" spans="1:32" s="29" customFormat="1" ht="69.95" hidden="1" customHeight="1">
      <c r="A1149" s="29" t="s">
        <v>6551</v>
      </c>
      <c r="B1149" s="29" t="s">
        <v>3769</v>
      </c>
      <c r="C1149" s="40" t="s">
        <v>32</v>
      </c>
      <c r="D1149" s="40"/>
      <c r="E1149" s="57" t="s">
        <v>247</v>
      </c>
      <c r="F1149" s="57" t="s">
        <v>247</v>
      </c>
      <c r="G1149" s="29" t="s">
        <v>2500</v>
      </c>
      <c r="J1149" s="29">
        <f t="shared" si="72"/>
        <v>1</v>
      </c>
      <c r="K1149" s="42">
        <v>1135</v>
      </c>
      <c r="L1149" s="43" t="s">
        <v>2501</v>
      </c>
      <c r="M1149" s="44" t="s">
        <v>405</v>
      </c>
      <c r="N1149" s="44" t="s">
        <v>2280</v>
      </c>
      <c r="O1149" s="44" t="str">
        <f t="shared" si="75"/>
        <v>PE-L1-2C10-02</v>
      </c>
      <c r="P1149" s="45">
        <v>5.07</v>
      </c>
      <c r="Q1149" s="44">
        <v>220</v>
      </c>
      <c r="R1149" s="44" t="s">
        <v>509</v>
      </c>
      <c r="S1149" s="44">
        <v>50</v>
      </c>
      <c r="T1149" s="46" t="s">
        <v>6386</v>
      </c>
      <c r="U1149" s="46" t="s">
        <v>6551</v>
      </c>
      <c r="V1149" s="46" t="s">
        <v>6552</v>
      </c>
      <c r="W1149" s="46" t="s">
        <v>4549</v>
      </c>
      <c r="X1149" s="172" t="s">
        <v>8942</v>
      </c>
      <c r="Y1149" s="46" t="s">
        <v>4547</v>
      </c>
      <c r="Z1149" s="46" t="s">
        <v>6553</v>
      </c>
      <c r="AA1149" s="46" t="s">
        <v>4549</v>
      </c>
      <c r="AB1149" s="172" t="s">
        <v>8942</v>
      </c>
      <c r="AC1149" s="48" t="s">
        <v>6554</v>
      </c>
      <c r="AD1149" s="30"/>
      <c r="AE1149" s="197"/>
      <c r="AF1149" s="47"/>
    </row>
    <row r="1150" spans="1:32" s="29" customFormat="1" ht="69.95" hidden="1" customHeight="1">
      <c r="A1150" s="29" t="s">
        <v>6555</v>
      </c>
      <c r="B1150" s="29" t="s">
        <v>3769</v>
      </c>
      <c r="C1150" s="40" t="s">
        <v>32</v>
      </c>
      <c r="D1150" s="40"/>
      <c r="E1150" s="56" t="s">
        <v>247</v>
      </c>
      <c r="F1150" s="56" t="s">
        <v>247</v>
      </c>
      <c r="G1150" s="29" t="s">
        <v>2502</v>
      </c>
      <c r="J1150" s="29">
        <f t="shared" si="72"/>
        <v>1</v>
      </c>
      <c r="K1150" s="42">
        <v>1136</v>
      </c>
      <c r="L1150" s="43" t="s">
        <v>2503</v>
      </c>
      <c r="M1150" s="44" t="s">
        <v>405</v>
      </c>
      <c r="N1150" s="44" t="s">
        <v>2280</v>
      </c>
      <c r="O1150" s="44" t="str">
        <f t="shared" si="75"/>
        <v>PE-L1-2C10-02</v>
      </c>
      <c r="P1150" s="45">
        <v>5.07</v>
      </c>
      <c r="Q1150" s="44">
        <v>220</v>
      </c>
      <c r="R1150" s="44" t="s">
        <v>509</v>
      </c>
      <c r="S1150" s="44">
        <v>50</v>
      </c>
      <c r="T1150" s="46" t="s">
        <v>6386</v>
      </c>
      <c r="U1150" s="46" t="s">
        <v>6555</v>
      </c>
      <c r="V1150" s="46" t="s">
        <v>6556</v>
      </c>
      <c r="W1150" s="46" t="s">
        <v>4549</v>
      </c>
      <c r="X1150" s="172" t="s">
        <v>8942</v>
      </c>
      <c r="Y1150" s="46" t="s">
        <v>4547</v>
      </c>
      <c r="Z1150" s="46" t="s">
        <v>6557</v>
      </c>
      <c r="AA1150" s="46" t="s">
        <v>4549</v>
      </c>
      <c r="AB1150" s="172" t="s">
        <v>8942</v>
      </c>
      <c r="AC1150" s="48" t="s">
        <v>6558</v>
      </c>
      <c r="AD1150" s="30"/>
      <c r="AE1150" s="197"/>
      <c r="AF1150" s="47"/>
    </row>
    <row r="1151" spans="1:32" s="29" customFormat="1" ht="69.95" hidden="1" customHeight="1">
      <c r="A1151" s="29" t="s">
        <v>4719</v>
      </c>
      <c r="B1151" s="29" t="s">
        <v>3769</v>
      </c>
      <c r="C1151" s="40">
        <v>15</v>
      </c>
      <c r="D1151" s="40"/>
      <c r="E1151" s="57" t="s">
        <v>143</v>
      </c>
      <c r="F1151" s="57" t="s">
        <v>143</v>
      </c>
      <c r="G1151" s="29" t="s">
        <v>2504</v>
      </c>
      <c r="J1151" s="29">
        <f t="shared" si="72"/>
        <v>1</v>
      </c>
      <c r="K1151" s="42">
        <v>1137</v>
      </c>
      <c r="L1151" s="43" t="s">
        <v>2505</v>
      </c>
      <c r="M1151" s="44" t="s">
        <v>405</v>
      </c>
      <c r="N1151" s="44" t="s">
        <v>426</v>
      </c>
      <c r="O1151" s="44" t="str">
        <f t="shared" si="75"/>
        <v>PE-L1-3C4-15</v>
      </c>
      <c r="P1151" s="45">
        <v>2.0099999999999998</v>
      </c>
      <c r="Q1151" s="44">
        <v>230</v>
      </c>
      <c r="R1151" s="44" t="s">
        <v>49</v>
      </c>
      <c r="S1151" s="44">
        <v>50</v>
      </c>
      <c r="T1151" s="46" t="s">
        <v>6386</v>
      </c>
      <c r="U1151" s="46" t="s">
        <v>4719</v>
      </c>
      <c r="V1151" s="46" t="s">
        <v>4720</v>
      </c>
      <c r="W1151" s="46" t="s">
        <v>4549</v>
      </c>
      <c r="X1151" s="172" t="s">
        <v>9167</v>
      </c>
      <c r="Y1151" s="46" t="s">
        <v>4547</v>
      </c>
      <c r="Z1151" s="46" t="s">
        <v>6559</v>
      </c>
      <c r="AA1151" s="46" t="s">
        <v>4549</v>
      </c>
      <c r="AB1151" s="172" t="s">
        <v>9167</v>
      </c>
      <c r="AC1151" s="48" t="s">
        <v>6560</v>
      </c>
      <c r="AD1151" s="30"/>
      <c r="AE1151" s="197"/>
      <c r="AF1151" s="47"/>
    </row>
    <row r="1152" spans="1:32" s="29" customFormat="1" ht="69.95" hidden="1" customHeight="1">
      <c r="A1152" s="29" t="s">
        <v>4719</v>
      </c>
      <c r="B1152" s="29" t="s">
        <v>3769</v>
      </c>
      <c r="C1152" s="40">
        <v>16</v>
      </c>
      <c r="D1152" s="40"/>
      <c r="E1152" s="57" t="s">
        <v>143</v>
      </c>
      <c r="F1152" s="57" t="s">
        <v>143</v>
      </c>
      <c r="G1152" s="29" t="s">
        <v>2506</v>
      </c>
      <c r="J1152" s="29">
        <f t="shared" si="72"/>
        <v>1</v>
      </c>
      <c r="K1152" s="42">
        <v>1138</v>
      </c>
      <c r="L1152" s="43" t="s">
        <v>2507</v>
      </c>
      <c r="M1152" s="44" t="s">
        <v>405</v>
      </c>
      <c r="N1152" s="44" t="s">
        <v>426</v>
      </c>
      <c r="O1152" s="44" t="str">
        <f t="shared" si="75"/>
        <v>PE-L1-3C4-15</v>
      </c>
      <c r="P1152" s="45">
        <v>2.6</v>
      </c>
      <c r="Q1152" s="44">
        <v>230</v>
      </c>
      <c r="R1152" s="44" t="s">
        <v>49</v>
      </c>
      <c r="S1152" s="44">
        <v>50</v>
      </c>
      <c r="T1152" s="46" t="s">
        <v>6386</v>
      </c>
      <c r="U1152" s="46" t="s">
        <v>4719</v>
      </c>
      <c r="V1152" s="46" t="s">
        <v>4720</v>
      </c>
      <c r="W1152" s="46" t="s">
        <v>4549</v>
      </c>
      <c r="X1152" s="172" t="s">
        <v>9167</v>
      </c>
      <c r="Y1152" s="46" t="s">
        <v>4547</v>
      </c>
      <c r="Z1152" s="46" t="s">
        <v>6561</v>
      </c>
      <c r="AA1152" s="46" t="s">
        <v>4549</v>
      </c>
      <c r="AB1152" s="172" t="s">
        <v>9167</v>
      </c>
      <c r="AC1152" s="48" t="s">
        <v>6560</v>
      </c>
      <c r="AD1152" s="30"/>
      <c r="AE1152" s="197"/>
      <c r="AF1152" s="47"/>
    </row>
    <row r="1153" spans="1:32" s="29" customFormat="1" ht="69.95" hidden="1" customHeight="1">
      <c r="A1153" s="29" t="s">
        <v>6555</v>
      </c>
      <c r="B1153" s="29" t="s">
        <v>3769</v>
      </c>
      <c r="C1153" s="40" t="s">
        <v>36</v>
      </c>
      <c r="D1153" s="40"/>
      <c r="E1153" s="57" t="s">
        <v>248</v>
      </c>
      <c r="F1153" s="57" t="s">
        <v>248</v>
      </c>
      <c r="G1153" s="29" t="s">
        <v>2508</v>
      </c>
      <c r="J1153" s="29">
        <f t="shared" si="72"/>
        <v>1</v>
      </c>
      <c r="K1153" s="42">
        <v>1139</v>
      </c>
      <c r="L1153" s="43" t="s">
        <v>2509</v>
      </c>
      <c r="M1153" s="44" t="s">
        <v>405</v>
      </c>
      <c r="N1153" s="44" t="s">
        <v>578</v>
      </c>
      <c r="O1153" s="44" t="str">
        <f t="shared" si="75"/>
        <v>PE-L1-2C4-02</v>
      </c>
      <c r="P1153" s="45">
        <v>1.01</v>
      </c>
      <c r="Q1153" s="44">
        <v>220</v>
      </c>
      <c r="R1153" s="44" t="s">
        <v>509</v>
      </c>
      <c r="S1153" s="44">
        <v>30</v>
      </c>
      <c r="T1153" s="46" t="s">
        <v>6386</v>
      </c>
      <c r="U1153" s="46" t="s">
        <v>6555</v>
      </c>
      <c r="V1153" s="46" t="s">
        <v>6556</v>
      </c>
      <c r="W1153" s="46" t="s">
        <v>4549</v>
      </c>
      <c r="X1153" s="172" t="s">
        <v>8942</v>
      </c>
      <c r="Y1153" s="46" t="s">
        <v>6562</v>
      </c>
      <c r="Z1153" s="46" t="s">
        <v>6563</v>
      </c>
      <c r="AA1153" s="46" t="s">
        <v>4549</v>
      </c>
      <c r="AB1153" s="172" t="s">
        <v>8942</v>
      </c>
      <c r="AC1153" s="48" t="s">
        <v>6564</v>
      </c>
      <c r="AD1153" s="30"/>
      <c r="AE1153" s="197"/>
      <c r="AF1153" s="47"/>
    </row>
    <row r="1154" spans="1:32" s="29" customFormat="1" ht="69.95" hidden="1" customHeight="1">
      <c r="A1154" s="29" t="s">
        <v>6551</v>
      </c>
      <c r="B1154" s="29" t="s">
        <v>3769</v>
      </c>
      <c r="C1154" s="40" t="s">
        <v>36</v>
      </c>
      <c r="D1154" s="40"/>
      <c r="E1154" s="56" t="s">
        <v>248</v>
      </c>
      <c r="F1154" s="56" t="s">
        <v>248</v>
      </c>
      <c r="G1154" s="29" t="s">
        <v>2510</v>
      </c>
      <c r="J1154" s="29">
        <f t="shared" si="72"/>
        <v>1</v>
      </c>
      <c r="K1154" s="42">
        <v>1140</v>
      </c>
      <c r="L1154" s="43" t="s">
        <v>2511</v>
      </c>
      <c r="M1154" s="44" t="s">
        <v>405</v>
      </c>
      <c r="N1154" s="44" t="s">
        <v>578</v>
      </c>
      <c r="O1154" s="44" t="str">
        <f t="shared" si="75"/>
        <v>PE-L1-2C4-02</v>
      </c>
      <c r="P1154" s="45">
        <v>1.01</v>
      </c>
      <c r="Q1154" s="44">
        <v>220</v>
      </c>
      <c r="R1154" s="44" t="s">
        <v>509</v>
      </c>
      <c r="S1154" s="44">
        <v>80</v>
      </c>
      <c r="T1154" s="46" t="s">
        <v>6386</v>
      </c>
      <c r="U1154" s="46" t="s">
        <v>6551</v>
      </c>
      <c r="V1154" s="46" t="s">
        <v>6552</v>
      </c>
      <c r="W1154" s="46" t="s">
        <v>4549</v>
      </c>
      <c r="X1154" s="172" t="s">
        <v>8942</v>
      </c>
      <c r="Y1154" s="46" t="s">
        <v>6562</v>
      </c>
      <c r="Z1154" s="46" t="s">
        <v>6565</v>
      </c>
      <c r="AA1154" s="46" t="s">
        <v>4549</v>
      </c>
      <c r="AB1154" s="172" t="s">
        <v>8942</v>
      </c>
      <c r="AC1154" s="48" t="s">
        <v>6566</v>
      </c>
      <c r="AD1154" s="30"/>
      <c r="AE1154" s="197"/>
      <c r="AF1154" s="47"/>
    </row>
    <row r="1155" spans="1:32" s="29" customFormat="1" ht="69.95" hidden="1" customHeight="1">
      <c r="A1155" s="29" t="s">
        <v>4688</v>
      </c>
      <c r="B1155" s="29" t="s">
        <v>3769</v>
      </c>
      <c r="C1155" s="40">
        <v>16</v>
      </c>
      <c r="D1155" s="40"/>
      <c r="E1155" s="57" t="s">
        <v>143</v>
      </c>
      <c r="F1155" s="57" t="s">
        <v>143</v>
      </c>
      <c r="G1155" s="29" t="s">
        <v>2512</v>
      </c>
      <c r="J1155" s="29">
        <f t="shared" si="72"/>
        <v>1</v>
      </c>
      <c r="K1155" s="42">
        <v>1141</v>
      </c>
      <c r="L1155" s="43" t="s">
        <v>2513</v>
      </c>
      <c r="M1155" s="44" t="s">
        <v>405</v>
      </c>
      <c r="N1155" s="44" t="s">
        <v>426</v>
      </c>
      <c r="O1155" s="44" t="str">
        <f t="shared" si="75"/>
        <v>PE-L1-3C4-15</v>
      </c>
      <c r="P1155" s="45">
        <v>0.74</v>
      </c>
      <c r="Q1155" s="44">
        <v>230</v>
      </c>
      <c r="R1155" s="44" t="s">
        <v>49</v>
      </c>
      <c r="S1155" s="44">
        <v>50</v>
      </c>
      <c r="T1155" s="46" t="s">
        <v>6386</v>
      </c>
      <c r="U1155" s="46" t="s">
        <v>4688</v>
      </c>
      <c r="V1155" s="46" t="s">
        <v>4689</v>
      </c>
      <c r="W1155" s="46" t="s">
        <v>4549</v>
      </c>
      <c r="X1155" s="172" t="s">
        <v>9167</v>
      </c>
      <c r="Y1155" s="46" t="s">
        <v>6562</v>
      </c>
      <c r="Z1155" s="46" t="s">
        <v>6567</v>
      </c>
      <c r="AA1155" s="46" t="s">
        <v>4549</v>
      </c>
      <c r="AB1155" s="172" t="s">
        <v>9167</v>
      </c>
      <c r="AC1155" s="48" t="s">
        <v>6568</v>
      </c>
      <c r="AD1155" s="30"/>
      <c r="AE1155" s="197"/>
      <c r="AF1155" s="47"/>
    </row>
    <row r="1156" spans="1:32" s="29" customFormat="1" ht="69.95" hidden="1" customHeight="1">
      <c r="A1156" s="29" t="s">
        <v>6551</v>
      </c>
      <c r="B1156" s="29" t="s">
        <v>3769</v>
      </c>
      <c r="C1156" s="40" t="s">
        <v>38</v>
      </c>
      <c r="D1156" s="40"/>
      <c r="E1156" s="58" t="s">
        <v>247</v>
      </c>
      <c r="F1156" s="58" t="s">
        <v>247</v>
      </c>
      <c r="G1156" s="29" t="s">
        <v>2514</v>
      </c>
      <c r="J1156" s="29">
        <f t="shared" si="72"/>
        <v>1</v>
      </c>
      <c r="K1156" s="42">
        <v>1142</v>
      </c>
      <c r="L1156" s="43" t="s">
        <v>2515</v>
      </c>
      <c r="M1156" s="44" t="s">
        <v>405</v>
      </c>
      <c r="N1156" s="44" t="s">
        <v>2280</v>
      </c>
      <c r="O1156" s="44" t="str">
        <f t="shared" si="75"/>
        <v>PE-L1-2C10-02</v>
      </c>
      <c r="P1156" s="45">
        <v>5.0199999999999996</v>
      </c>
      <c r="Q1156" s="44">
        <v>220</v>
      </c>
      <c r="R1156" s="44" t="s">
        <v>509</v>
      </c>
      <c r="S1156" s="44">
        <v>70</v>
      </c>
      <c r="T1156" s="46" t="s">
        <v>6386</v>
      </c>
      <c r="U1156" s="46" t="s">
        <v>6551</v>
      </c>
      <c r="V1156" s="46" t="s">
        <v>6552</v>
      </c>
      <c r="W1156" s="46" t="s">
        <v>4549</v>
      </c>
      <c r="X1156" s="172" t="s">
        <v>8942</v>
      </c>
      <c r="Y1156" s="46" t="s">
        <v>4587</v>
      </c>
      <c r="Z1156" s="46" t="s">
        <v>6569</v>
      </c>
      <c r="AA1156" s="46" t="s">
        <v>4549</v>
      </c>
      <c r="AB1156" s="172" t="s">
        <v>8942</v>
      </c>
      <c r="AC1156" s="48" t="s">
        <v>6570</v>
      </c>
      <c r="AD1156" s="30"/>
      <c r="AE1156" s="197"/>
      <c r="AF1156" s="47"/>
    </row>
    <row r="1157" spans="1:32" s="29" customFormat="1" ht="69.95" hidden="1" customHeight="1">
      <c r="A1157" s="29" t="s">
        <v>6555</v>
      </c>
      <c r="B1157" s="29" t="s">
        <v>3769</v>
      </c>
      <c r="C1157" s="40" t="s">
        <v>38</v>
      </c>
      <c r="D1157" s="40"/>
      <c r="E1157" s="56" t="s">
        <v>247</v>
      </c>
      <c r="F1157" s="56" t="s">
        <v>247</v>
      </c>
      <c r="G1157" s="29" t="s">
        <v>2516</v>
      </c>
      <c r="J1157" s="29">
        <f t="shared" si="72"/>
        <v>1</v>
      </c>
      <c r="K1157" s="42">
        <v>1143</v>
      </c>
      <c r="L1157" s="43" t="s">
        <v>2517</v>
      </c>
      <c r="M1157" s="44" t="s">
        <v>405</v>
      </c>
      <c r="N1157" s="44" t="s">
        <v>2280</v>
      </c>
      <c r="O1157" s="44" t="str">
        <f t="shared" si="75"/>
        <v>PE-L1-2C10-02</v>
      </c>
      <c r="P1157" s="45">
        <v>5.0199999999999996</v>
      </c>
      <c r="Q1157" s="44">
        <v>220</v>
      </c>
      <c r="R1157" s="44" t="s">
        <v>509</v>
      </c>
      <c r="S1157" s="44">
        <v>40</v>
      </c>
      <c r="T1157" s="46" t="s">
        <v>6386</v>
      </c>
      <c r="U1157" s="46" t="s">
        <v>6555</v>
      </c>
      <c r="V1157" s="46" t="s">
        <v>6556</v>
      </c>
      <c r="W1157" s="46" t="s">
        <v>4549</v>
      </c>
      <c r="X1157" s="172" t="s">
        <v>8942</v>
      </c>
      <c r="Y1157" s="46" t="s">
        <v>4587</v>
      </c>
      <c r="Z1157" s="46" t="s">
        <v>6571</v>
      </c>
      <c r="AA1157" s="46" t="s">
        <v>4549</v>
      </c>
      <c r="AB1157" s="172" t="s">
        <v>8942</v>
      </c>
      <c r="AC1157" s="48" t="s">
        <v>6572</v>
      </c>
      <c r="AD1157" s="30"/>
      <c r="AE1157" s="197"/>
      <c r="AF1157" s="47"/>
    </row>
    <row r="1158" spans="1:32" s="29" customFormat="1" ht="69.95" hidden="1" customHeight="1">
      <c r="A1158" s="29" t="s">
        <v>4688</v>
      </c>
      <c r="B1158" s="29" t="s">
        <v>3769</v>
      </c>
      <c r="C1158" s="40">
        <v>17</v>
      </c>
      <c r="D1158" s="40"/>
      <c r="E1158" s="57" t="s">
        <v>143</v>
      </c>
      <c r="F1158" s="57" t="s">
        <v>143</v>
      </c>
      <c r="G1158" s="29" t="s">
        <v>2518</v>
      </c>
      <c r="J1158" s="29">
        <f t="shared" si="72"/>
        <v>1</v>
      </c>
      <c r="K1158" s="42">
        <v>1144</v>
      </c>
      <c r="L1158" s="43" t="s">
        <v>2519</v>
      </c>
      <c r="M1158" s="44" t="s">
        <v>405</v>
      </c>
      <c r="N1158" s="44" t="s">
        <v>426</v>
      </c>
      <c r="O1158" s="44" t="str">
        <f t="shared" si="75"/>
        <v>PE-L1-3C4-15</v>
      </c>
      <c r="P1158" s="45">
        <v>2.38</v>
      </c>
      <c r="Q1158" s="44">
        <v>230</v>
      </c>
      <c r="R1158" s="44" t="s">
        <v>49</v>
      </c>
      <c r="S1158" s="44">
        <v>50</v>
      </c>
      <c r="T1158" s="46" t="s">
        <v>6386</v>
      </c>
      <c r="U1158" s="46" t="s">
        <v>4688</v>
      </c>
      <c r="V1158" s="46" t="s">
        <v>4689</v>
      </c>
      <c r="W1158" s="46" t="s">
        <v>4549</v>
      </c>
      <c r="X1158" s="172" t="s">
        <v>9167</v>
      </c>
      <c r="Y1158" s="46" t="s">
        <v>4587</v>
      </c>
      <c r="Z1158" s="46" t="s">
        <v>6573</v>
      </c>
      <c r="AA1158" s="46" t="s">
        <v>4549</v>
      </c>
      <c r="AB1158" s="172" t="s">
        <v>9167</v>
      </c>
      <c r="AC1158" s="48" t="s">
        <v>6574</v>
      </c>
      <c r="AD1158" s="30"/>
      <c r="AE1158" s="197"/>
      <c r="AF1158" s="47"/>
    </row>
    <row r="1159" spans="1:32" s="29" customFormat="1" ht="69.95" hidden="1" customHeight="1">
      <c r="A1159" s="29" t="s">
        <v>4688</v>
      </c>
      <c r="B1159" s="29" t="s">
        <v>3769</v>
      </c>
      <c r="C1159" s="40">
        <v>18</v>
      </c>
      <c r="D1159" s="40"/>
      <c r="E1159" s="57" t="s">
        <v>143</v>
      </c>
      <c r="F1159" s="57" t="s">
        <v>143</v>
      </c>
      <c r="G1159" s="29" t="s">
        <v>2520</v>
      </c>
      <c r="J1159" s="29">
        <f t="shared" si="72"/>
        <v>1</v>
      </c>
      <c r="K1159" s="42">
        <v>1145</v>
      </c>
      <c r="L1159" s="43" t="s">
        <v>2521</v>
      </c>
      <c r="M1159" s="44" t="s">
        <v>405</v>
      </c>
      <c r="N1159" s="44" t="s">
        <v>426</v>
      </c>
      <c r="O1159" s="44" t="str">
        <f t="shared" si="75"/>
        <v>PE-L1-3C4-15</v>
      </c>
      <c r="P1159" s="45">
        <v>2.8</v>
      </c>
      <c r="Q1159" s="44">
        <v>230</v>
      </c>
      <c r="R1159" s="44" t="s">
        <v>49</v>
      </c>
      <c r="S1159" s="44">
        <v>50</v>
      </c>
      <c r="T1159" s="46" t="s">
        <v>6386</v>
      </c>
      <c r="U1159" s="46" t="s">
        <v>4688</v>
      </c>
      <c r="V1159" s="46" t="s">
        <v>4689</v>
      </c>
      <c r="W1159" s="46" t="s">
        <v>4549</v>
      </c>
      <c r="X1159" s="172" t="s">
        <v>9167</v>
      </c>
      <c r="Y1159" s="46" t="s">
        <v>4587</v>
      </c>
      <c r="Z1159" s="46" t="s">
        <v>6575</v>
      </c>
      <c r="AA1159" s="46" t="s">
        <v>4549</v>
      </c>
      <c r="AB1159" s="172" t="s">
        <v>9167</v>
      </c>
      <c r="AC1159" s="48" t="s">
        <v>6574</v>
      </c>
      <c r="AD1159" s="30"/>
      <c r="AE1159" s="197"/>
      <c r="AF1159" s="47"/>
    </row>
    <row r="1160" spans="1:32" s="29" customFormat="1" ht="69.95" hidden="1" customHeight="1">
      <c r="A1160" s="29" t="s">
        <v>6317</v>
      </c>
      <c r="B1160" s="29" t="s">
        <v>3769</v>
      </c>
      <c r="C1160" s="40">
        <v>15</v>
      </c>
      <c r="D1160" s="40"/>
      <c r="E1160" s="57" t="s">
        <v>77</v>
      </c>
      <c r="F1160" s="57" t="s">
        <v>77</v>
      </c>
      <c r="G1160" s="29" t="s">
        <v>2522</v>
      </c>
      <c r="I1160" s="124" t="s">
        <v>9121</v>
      </c>
      <c r="J1160" s="29">
        <f t="shared" ref="J1160:J1223" si="76">COUNTIF(L:L,L1160)</f>
        <v>1</v>
      </c>
      <c r="K1160" s="42">
        <v>1146</v>
      </c>
      <c r="L1160" s="152" t="s">
        <v>2523</v>
      </c>
      <c r="M1160" s="44" t="s">
        <v>405</v>
      </c>
      <c r="N1160" s="44" t="s">
        <v>613</v>
      </c>
      <c r="O1160" s="101" t="str">
        <f t="shared" ref="O1160:O1167" si="77">F1160</f>
        <v>PE-L1-2C6-01</v>
      </c>
      <c r="P1160" s="45">
        <v>1.59</v>
      </c>
      <c r="Q1160" s="44">
        <v>220</v>
      </c>
      <c r="R1160" s="44" t="s">
        <v>509</v>
      </c>
      <c r="S1160" s="101">
        <v>120</v>
      </c>
      <c r="T1160" s="46" t="s">
        <v>6386</v>
      </c>
      <c r="U1160" s="46" t="s">
        <v>6317</v>
      </c>
      <c r="V1160" s="46" t="s">
        <v>6318</v>
      </c>
      <c r="W1160" s="46" t="s">
        <v>335</v>
      </c>
      <c r="X1160" s="131" t="s">
        <v>8942</v>
      </c>
      <c r="Y1160" s="46" t="s">
        <v>3933</v>
      </c>
      <c r="Z1160" s="46" t="s">
        <v>6576</v>
      </c>
      <c r="AA1160" s="46" t="s">
        <v>335</v>
      </c>
      <c r="AB1160" s="131" t="s">
        <v>8942</v>
      </c>
      <c r="AC1160" s="48" t="s">
        <v>6577</v>
      </c>
      <c r="AD1160" s="30"/>
      <c r="AE1160" s="197"/>
      <c r="AF1160" s="47"/>
    </row>
    <row r="1161" spans="1:32" s="29" customFormat="1" ht="69.95" hidden="1" customHeight="1">
      <c r="A1161" s="29" t="s">
        <v>6322</v>
      </c>
      <c r="B1161" s="29" t="s">
        <v>3769</v>
      </c>
      <c r="C1161" s="40">
        <v>15</v>
      </c>
      <c r="D1161" s="40"/>
      <c r="E1161" s="59" t="s">
        <v>247</v>
      </c>
      <c r="F1161" s="59" t="s">
        <v>247</v>
      </c>
      <c r="G1161" s="29" t="s">
        <v>2524</v>
      </c>
      <c r="I1161" s="124" t="s">
        <v>9121</v>
      </c>
      <c r="J1161" s="29">
        <f t="shared" si="76"/>
        <v>1</v>
      </c>
      <c r="K1161" s="42">
        <v>1147</v>
      </c>
      <c r="L1161" s="152" t="s">
        <v>2525</v>
      </c>
      <c r="M1161" s="44" t="s">
        <v>405</v>
      </c>
      <c r="N1161" s="44" t="s">
        <v>2280</v>
      </c>
      <c r="O1161" s="101" t="str">
        <f t="shared" si="77"/>
        <v>PE-L1-2C10-02</v>
      </c>
      <c r="P1161" s="45">
        <v>1.59</v>
      </c>
      <c r="Q1161" s="44">
        <v>220</v>
      </c>
      <c r="R1161" s="44" t="s">
        <v>509</v>
      </c>
      <c r="S1161" s="101">
        <v>140</v>
      </c>
      <c r="T1161" s="46" t="s">
        <v>6386</v>
      </c>
      <c r="U1161" s="46" t="s">
        <v>6322</v>
      </c>
      <c r="V1161" s="46" t="s">
        <v>6323</v>
      </c>
      <c r="W1161" s="46" t="s">
        <v>335</v>
      </c>
      <c r="X1161" s="172" t="s">
        <v>8942</v>
      </c>
      <c r="Y1161" s="46" t="s">
        <v>3933</v>
      </c>
      <c r="Z1161" s="46" t="s">
        <v>6578</v>
      </c>
      <c r="AA1161" s="46" t="s">
        <v>335</v>
      </c>
      <c r="AB1161" s="172" t="s">
        <v>8942</v>
      </c>
      <c r="AC1161" s="48" t="s">
        <v>6579</v>
      </c>
      <c r="AD1161" s="30"/>
      <c r="AE1161" s="197"/>
      <c r="AF1161" s="47"/>
    </row>
    <row r="1162" spans="1:32" s="29" customFormat="1" ht="69.95" hidden="1" customHeight="1">
      <c r="A1162" s="29" t="s">
        <v>6580</v>
      </c>
      <c r="B1162" s="29" t="s">
        <v>3769</v>
      </c>
      <c r="C1162" s="40" t="s">
        <v>32</v>
      </c>
      <c r="D1162" s="173" t="s">
        <v>9131</v>
      </c>
      <c r="E1162" s="57" t="s">
        <v>143</v>
      </c>
      <c r="F1162" s="121" t="s">
        <v>122</v>
      </c>
      <c r="G1162" s="29" t="s">
        <v>2526</v>
      </c>
      <c r="I1162" s="124" t="s">
        <v>9121</v>
      </c>
      <c r="J1162" s="29">
        <f t="shared" si="76"/>
        <v>1</v>
      </c>
      <c r="K1162" s="42">
        <v>1148</v>
      </c>
      <c r="L1162" s="43" t="s">
        <v>2527</v>
      </c>
      <c r="M1162" s="44" t="s">
        <v>405</v>
      </c>
      <c r="N1162" s="44" t="s">
        <v>426</v>
      </c>
      <c r="O1162" s="121" t="str">
        <f t="shared" si="77"/>
        <v>PE-L1-3C4-06</v>
      </c>
      <c r="P1162" s="45">
        <v>1.83</v>
      </c>
      <c r="Q1162" s="44">
        <v>230</v>
      </c>
      <c r="R1162" s="44" t="s">
        <v>412</v>
      </c>
      <c r="S1162" s="44">
        <v>40</v>
      </c>
      <c r="T1162" s="46" t="s">
        <v>6386</v>
      </c>
      <c r="U1162" s="46" t="s">
        <v>6580</v>
      </c>
      <c r="V1162" s="46" t="s">
        <v>6581</v>
      </c>
      <c r="W1162" s="46" t="s">
        <v>335</v>
      </c>
      <c r="X1162" s="172" t="s">
        <v>9167</v>
      </c>
      <c r="Y1162" s="46" t="s">
        <v>3933</v>
      </c>
      <c r="Z1162" s="46" t="s">
        <v>6582</v>
      </c>
      <c r="AA1162" s="46" t="s">
        <v>335</v>
      </c>
      <c r="AB1162" s="172" t="s">
        <v>9167</v>
      </c>
      <c r="AC1162" s="48" t="s">
        <v>6583</v>
      </c>
      <c r="AD1162" s="30"/>
      <c r="AE1162" s="197"/>
      <c r="AF1162" s="47"/>
    </row>
    <row r="1163" spans="1:32" s="29" customFormat="1" ht="69.95" hidden="1" customHeight="1">
      <c r="A1163" s="29" t="s">
        <v>6580</v>
      </c>
      <c r="B1163" s="29" t="s">
        <v>3769</v>
      </c>
      <c r="C1163" s="40" t="s">
        <v>36</v>
      </c>
      <c r="D1163" s="173" t="s">
        <v>9131</v>
      </c>
      <c r="E1163" s="57" t="s">
        <v>143</v>
      </c>
      <c r="F1163" s="121" t="s">
        <v>122</v>
      </c>
      <c r="G1163" s="29" t="s">
        <v>2528</v>
      </c>
      <c r="I1163" s="124" t="s">
        <v>9121</v>
      </c>
      <c r="J1163" s="29">
        <f t="shared" si="76"/>
        <v>1</v>
      </c>
      <c r="K1163" s="42">
        <v>1149</v>
      </c>
      <c r="L1163" s="43" t="s">
        <v>2529</v>
      </c>
      <c r="M1163" s="44" t="s">
        <v>405</v>
      </c>
      <c r="N1163" s="44" t="s">
        <v>426</v>
      </c>
      <c r="O1163" s="121" t="str">
        <f t="shared" si="77"/>
        <v>PE-L1-3C4-06</v>
      </c>
      <c r="P1163" s="45">
        <v>0.6</v>
      </c>
      <c r="Q1163" s="44">
        <v>230</v>
      </c>
      <c r="R1163" s="44" t="s">
        <v>412</v>
      </c>
      <c r="S1163" s="44">
        <v>40</v>
      </c>
      <c r="T1163" s="46" t="s">
        <v>6386</v>
      </c>
      <c r="U1163" s="46" t="s">
        <v>6580</v>
      </c>
      <c r="V1163" s="46" t="s">
        <v>6581</v>
      </c>
      <c r="W1163" s="46" t="s">
        <v>335</v>
      </c>
      <c r="X1163" s="172" t="s">
        <v>9167</v>
      </c>
      <c r="Y1163" s="46" t="s">
        <v>3933</v>
      </c>
      <c r="Z1163" s="46" t="s">
        <v>6584</v>
      </c>
      <c r="AA1163" s="46" t="s">
        <v>335</v>
      </c>
      <c r="AB1163" s="172" t="s">
        <v>9167</v>
      </c>
      <c r="AC1163" s="48" t="s">
        <v>6583</v>
      </c>
      <c r="AD1163" s="30"/>
      <c r="AE1163" s="197"/>
      <c r="AF1163" s="47"/>
    </row>
    <row r="1164" spans="1:32" s="29" customFormat="1" ht="69.95" hidden="1" customHeight="1">
      <c r="A1164" s="29" t="s">
        <v>6317</v>
      </c>
      <c r="B1164" s="29" t="s">
        <v>3769</v>
      </c>
      <c r="C1164" s="40">
        <v>16</v>
      </c>
      <c r="D1164" s="40" t="s">
        <v>9530</v>
      </c>
      <c r="E1164" s="57" t="s">
        <v>77</v>
      </c>
      <c r="F1164" s="57" t="s">
        <v>77</v>
      </c>
      <c r="G1164" s="29" t="s">
        <v>2530</v>
      </c>
      <c r="I1164" s="124" t="s">
        <v>9121</v>
      </c>
      <c r="J1164" s="29">
        <f t="shared" si="76"/>
        <v>1</v>
      </c>
      <c r="K1164" s="158">
        <v>1150</v>
      </c>
      <c r="L1164" s="152" t="s">
        <v>9535</v>
      </c>
      <c r="M1164" s="44" t="s">
        <v>405</v>
      </c>
      <c r="N1164" s="44" t="s">
        <v>613</v>
      </c>
      <c r="O1164" s="101" t="str">
        <f t="shared" si="77"/>
        <v>PE-L1-2C6-01</v>
      </c>
      <c r="P1164" s="45">
        <v>1.25</v>
      </c>
      <c r="Q1164" s="44">
        <v>220</v>
      </c>
      <c r="R1164" s="44" t="s">
        <v>509</v>
      </c>
      <c r="S1164" s="101">
        <v>130</v>
      </c>
      <c r="T1164" s="46" t="s">
        <v>6386</v>
      </c>
      <c r="U1164" s="46" t="s">
        <v>6317</v>
      </c>
      <c r="V1164" s="46" t="s">
        <v>6318</v>
      </c>
      <c r="W1164" s="46" t="s">
        <v>335</v>
      </c>
      <c r="X1164" s="131" t="s">
        <v>8942</v>
      </c>
      <c r="Y1164" s="46" t="s">
        <v>3970</v>
      </c>
      <c r="Z1164" s="46" t="s">
        <v>6585</v>
      </c>
      <c r="AA1164" s="46" t="s">
        <v>335</v>
      </c>
      <c r="AB1164" s="131" t="s">
        <v>8942</v>
      </c>
      <c r="AC1164" s="230" t="s">
        <v>6586</v>
      </c>
      <c r="AD1164" s="231" t="s">
        <v>9269</v>
      </c>
      <c r="AE1164" s="197"/>
      <c r="AF1164" s="47"/>
    </row>
    <row r="1165" spans="1:32" s="29" customFormat="1" ht="69.95" hidden="1" customHeight="1">
      <c r="A1165" s="29" t="s">
        <v>6322</v>
      </c>
      <c r="B1165" s="29" t="s">
        <v>3769</v>
      </c>
      <c r="C1165" s="40">
        <v>16</v>
      </c>
      <c r="D1165" s="40"/>
      <c r="E1165" s="56" t="s">
        <v>77</v>
      </c>
      <c r="F1165" s="56" t="s">
        <v>77</v>
      </c>
      <c r="G1165" s="29" t="s">
        <v>2531</v>
      </c>
      <c r="I1165" s="124" t="s">
        <v>9121</v>
      </c>
      <c r="J1165" s="29">
        <f t="shared" si="76"/>
        <v>1</v>
      </c>
      <c r="K1165" s="42">
        <v>1151</v>
      </c>
      <c r="L1165" s="152" t="s">
        <v>2532</v>
      </c>
      <c r="M1165" s="44" t="s">
        <v>405</v>
      </c>
      <c r="N1165" s="44" t="s">
        <v>613</v>
      </c>
      <c r="O1165" s="101" t="str">
        <f t="shared" si="77"/>
        <v>PE-L1-2C6-01</v>
      </c>
      <c r="P1165" s="45">
        <v>1.25</v>
      </c>
      <c r="Q1165" s="44">
        <v>220</v>
      </c>
      <c r="R1165" s="44" t="s">
        <v>509</v>
      </c>
      <c r="S1165" s="101">
        <v>140</v>
      </c>
      <c r="T1165" s="46" t="s">
        <v>6386</v>
      </c>
      <c r="U1165" s="46" t="s">
        <v>6322</v>
      </c>
      <c r="V1165" s="46" t="s">
        <v>6323</v>
      </c>
      <c r="W1165" s="46" t="s">
        <v>335</v>
      </c>
      <c r="X1165" s="131" t="s">
        <v>8942</v>
      </c>
      <c r="Y1165" s="46" t="s">
        <v>3970</v>
      </c>
      <c r="Z1165" s="46" t="s">
        <v>6587</v>
      </c>
      <c r="AA1165" s="46" t="s">
        <v>335</v>
      </c>
      <c r="AB1165" s="131" t="s">
        <v>8942</v>
      </c>
      <c r="AC1165" s="48" t="s">
        <v>6588</v>
      </c>
      <c r="AD1165" s="30"/>
      <c r="AE1165" s="197"/>
      <c r="AF1165" s="47"/>
    </row>
    <row r="1166" spans="1:32" s="29" customFormat="1" ht="69.95" hidden="1" customHeight="1">
      <c r="A1166" s="29" t="s">
        <v>6589</v>
      </c>
      <c r="B1166" s="29" t="s">
        <v>3769</v>
      </c>
      <c r="C1166" s="40" t="s">
        <v>32</v>
      </c>
      <c r="D1166" s="173" t="s">
        <v>9131</v>
      </c>
      <c r="E1166" s="57" t="s">
        <v>143</v>
      </c>
      <c r="F1166" s="121" t="s">
        <v>122</v>
      </c>
      <c r="G1166" s="29" t="s">
        <v>2533</v>
      </c>
      <c r="I1166" s="124" t="s">
        <v>9121</v>
      </c>
      <c r="J1166" s="29">
        <f t="shared" si="76"/>
        <v>1</v>
      </c>
      <c r="K1166" s="42">
        <v>1152</v>
      </c>
      <c r="L1166" s="43" t="s">
        <v>2534</v>
      </c>
      <c r="M1166" s="44" t="s">
        <v>405</v>
      </c>
      <c r="N1166" s="44" t="s">
        <v>426</v>
      </c>
      <c r="O1166" s="121" t="str">
        <f t="shared" si="77"/>
        <v>PE-L1-3C4-06</v>
      </c>
      <c r="P1166" s="45">
        <v>2.13</v>
      </c>
      <c r="Q1166" s="44">
        <v>230</v>
      </c>
      <c r="R1166" s="44" t="s">
        <v>412</v>
      </c>
      <c r="S1166" s="44">
        <v>40</v>
      </c>
      <c r="T1166" s="46" t="s">
        <v>6386</v>
      </c>
      <c r="U1166" s="46" t="s">
        <v>6589</v>
      </c>
      <c r="V1166" s="46" t="s">
        <v>6590</v>
      </c>
      <c r="W1166" s="46" t="s">
        <v>335</v>
      </c>
      <c r="X1166" s="172" t="s">
        <v>9167</v>
      </c>
      <c r="Y1166" s="46" t="s">
        <v>3970</v>
      </c>
      <c r="Z1166" s="46" t="s">
        <v>6591</v>
      </c>
      <c r="AA1166" s="46" t="s">
        <v>335</v>
      </c>
      <c r="AB1166" s="172" t="s">
        <v>9167</v>
      </c>
      <c r="AC1166" s="48" t="s">
        <v>6592</v>
      </c>
      <c r="AD1166" s="30"/>
      <c r="AE1166" s="197"/>
      <c r="AF1166" s="47"/>
    </row>
    <row r="1167" spans="1:32" s="29" customFormat="1" ht="69.95" hidden="1" customHeight="1">
      <c r="A1167" s="29" t="s">
        <v>6589</v>
      </c>
      <c r="B1167" s="29" t="s">
        <v>3769</v>
      </c>
      <c r="C1167" s="40" t="s">
        <v>36</v>
      </c>
      <c r="D1167" s="173" t="s">
        <v>9131</v>
      </c>
      <c r="E1167" s="57" t="s">
        <v>143</v>
      </c>
      <c r="F1167" s="121" t="s">
        <v>122</v>
      </c>
      <c r="G1167" s="29" t="s">
        <v>2535</v>
      </c>
      <c r="I1167" s="124" t="s">
        <v>9121</v>
      </c>
      <c r="J1167" s="29">
        <f t="shared" si="76"/>
        <v>1</v>
      </c>
      <c r="K1167" s="42">
        <v>1153</v>
      </c>
      <c r="L1167" s="43" t="s">
        <v>2536</v>
      </c>
      <c r="M1167" s="44" t="s">
        <v>405</v>
      </c>
      <c r="N1167" s="44" t="s">
        <v>426</v>
      </c>
      <c r="O1167" s="121" t="str">
        <f t="shared" si="77"/>
        <v>PE-L1-3C4-06</v>
      </c>
      <c r="P1167" s="45">
        <v>0.6</v>
      </c>
      <c r="Q1167" s="44">
        <v>230</v>
      </c>
      <c r="R1167" s="44" t="s">
        <v>412</v>
      </c>
      <c r="S1167" s="44">
        <v>40</v>
      </c>
      <c r="T1167" s="46" t="s">
        <v>6386</v>
      </c>
      <c r="U1167" s="46" t="s">
        <v>6589</v>
      </c>
      <c r="V1167" s="46" t="s">
        <v>6590</v>
      </c>
      <c r="W1167" s="46" t="s">
        <v>335</v>
      </c>
      <c r="X1167" s="172" t="s">
        <v>9167</v>
      </c>
      <c r="Y1167" s="46" t="s">
        <v>3970</v>
      </c>
      <c r="Z1167" s="46" t="s">
        <v>6593</v>
      </c>
      <c r="AA1167" s="46" t="s">
        <v>335</v>
      </c>
      <c r="AB1167" s="172" t="s">
        <v>9167</v>
      </c>
      <c r="AC1167" s="48" t="s">
        <v>6592</v>
      </c>
      <c r="AD1167" s="30"/>
      <c r="AE1167" s="197"/>
      <c r="AF1167" s="47"/>
    </row>
    <row r="1168" spans="1:32" s="29" customFormat="1" ht="69.95" hidden="1" customHeight="1">
      <c r="A1168" s="29" t="s">
        <v>4283</v>
      </c>
      <c r="B1168" s="29" t="s">
        <v>3769</v>
      </c>
      <c r="C1168" s="40" t="s">
        <v>75</v>
      </c>
      <c r="D1168" s="40"/>
      <c r="E1168" s="57" t="s">
        <v>8581</v>
      </c>
      <c r="F1168" s="57" t="s">
        <v>8581</v>
      </c>
      <c r="G1168" s="29" t="s">
        <v>2537</v>
      </c>
      <c r="J1168" s="29">
        <f t="shared" si="76"/>
        <v>1</v>
      </c>
      <c r="K1168" s="42">
        <v>1154</v>
      </c>
      <c r="L1168" s="43" t="s">
        <v>2538</v>
      </c>
      <c r="M1168" s="44" t="s">
        <v>405</v>
      </c>
      <c r="N1168" s="44" t="s">
        <v>578</v>
      </c>
      <c r="O1168" s="44" t="str">
        <f t="shared" ref="O1168:O1169" si="78">F1168</f>
        <v>PE-L1-2C4-10</v>
      </c>
      <c r="P1168" s="45">
        <v>1.01</v>
      </c>
      <c r="Q1168" s="44">
        <v>220</v>
      </c>
      <c r="R1168" s="44" t="s">
        <v>509</v>
      </c>
      <c r="S1168" s="44">
        <v>40</v>
      </c>
      <c r="T1168" s="46" t="s">
        <v>6386</v>
      </c>
      <c r="U1168" s="46" t="s">
        <v>4283</v>
      </c>
      <c r="V1168" s="46" t="s">
        <v>4284</v>
      </c>
      <c r="W1168" s="46" t="s">
        <v>397</v>
      </c>
      <c r="X1168" s="172" t="s">
        <v>8942</v>
      </c>
      <c r="Y1168" s="46" t="s">
        <v>6594</v>
      </c>
      <c r="Z1168" s="46" t="s">
        <v>6595</v>
      </c>
      <c r="AA1168" s="46" t="s">
        <v>397</v>
      </c>
      <c r="AB1168" s="172" t="s">
        <v>8942</v>
      </c>
      <c r="AC1168" s="48" t="s">
        <v>6596</v>
      </c>
      <c r="AD1168" s="30"/>
      <c r="AE1168" s="197"/>
      <c r="AF1168" s="47"/>
    </row>
    <row r="1169" spans="1:32" s="29" customFormat="1" ht="69.95" hidden="1" customHeight="1">
      <c r="A1169" s="29" t="s">
        <v>4278</v>
      </c>
      <c r="B1169" s="29" t="s">
        <v>3769</v>
      </c>
      <c r="C1169" s="40" t="s">
        <v>75</v>
      </c>
      <c r="D1169" s="40"/>
      <c r="E1169" s="56" t="s">
        <v>8581</v>
      </c>
      <c r="F1169" s="57" t="s">
        <v>8581</v>
      </c>
      <c r="G1169" s="29" t="s">
        <v>2539</v>
      </c>
      <c r="J1169" s="29">
        <f t="shared" si="76"/>
        <v>1</v>
      </c>
      <c r="K1169" s="42">
        <v>1155</v>
      </c>
      <c r="L1169" s="43" t="s">
        <v>2540</v>
      </c>
      <c r="M1169" s="44" t="s">
        <v>405</v>
      </c>
      <c r="N1169" s="44" t="s">
        <v>578</v>
      </c>
      <c r="O1169" s="44" t="str">
        <f t="shared" si="78"/>
        <v>PE-L1-2C4-10</v>
      </c>
      <c r="P1169" s="45">
        <v>1.01</v>
      </c>
      <c r="Q1169" s="44">
        <v>220</v>
      </c>
      <c r="R1169" s="44" t="s">
        <v>509</v>
      </c>
      <c r="S1169" s="44">
        <v>40</v>
      </c>
      <c r="T1169" s="46" t="s">
        <v>6386</v>
      </c>
      <c r="U1169" s="46" t="s">
        <v>4278</v>
      </c>
      <c r="V1169" s="46" t="s">
        <v>4279</v>
      </c>
      <c r="W1169" s="46" t="s">
        <v>397</v>
      </c>
      <c r="X1169" s="172" t="s">
        <v>8942</v>
      </c>
      <c r="Y1169" s="46" t="s">
        <v>6594</v>
      </c>
      <c r="Z1169" s="46" t="s">
        <v>6597</v>
      </c>
      <c r="AA1169" s="46" t="s">
        <v>397</v>
      </c>
      <c r="AB1169" s="172" t="s">
        <v>8942</v>
      </c>
      <c r="AC1169" s="48" t="s">
        <v>6598</v>
      </c>
      <c r="AD1169" s="30"/>
      <c r="AE1169" s="197"/>
      <c r="AF1169" s="47"/>
    </row>
    <row r="1170" spans="1:32" s="29" customFormat="1" ht="69.95" hidden="1" customHeight="1">
      <c r="A1170" s="29" t="s">
        <v>4331</v>
      </c>
      <c r="B1170" s="29" t="s">
        <v>3769</v>
      </c>
      <c r="C1170" s="40" t="s">
        <v>42</v>
      </c>
      <c r="D1170" s="173" t="s">
        <v>9131</v>
      </c>
      <c r="E1170" s="57" t="s">
        <v>165</v>
      </c>
      <c r="F1170" s="121" t="s">
        <v>8180</v>
      </c>
      <c r="G1170" s="29" t="s">
        <v>2541</v>
      </c>
      <c r="J1170" s="29">
        <f t="shared" si="76"/>
        <v>1</v>
      </c>
      <c r="K1170" s="42">
        <v>1156</v>
      </c>
      <c r="L1170" s="43" t="s">
        <v>2542</v>
      </c>
      <c r="M1170" s="44" t="s">
        <v>405</v>
      </c>
      <c r="N1170" s="44" t="s">
        <v>426</v>
      </c>
      <c r="O1170" s="121" t="str">
        <f>F1170</f>
        <v>PE-L1-3C4-17</v>
      </c>
      <c r="P1170" s="45">
        <v>1.83</v>
      </c>
      <c r="Q1170" s="44">
        <v>230</v>
      </c>
      <c r="R1170" s="44" t="s">
        <v>49</v>
      </c>
      <c r="S1170" s="44">
        <v>40</v>
      </c>
      <c r="T1170" s="46" t="s">
        <v>6386</v>
      </c>
      <c r="U1170" s="46" t="s">
        <v>4331</v>
      </c>
      <c r="V1170" s="46" t="s">
        <v>4332</v>
      </c>
      <c r="W1170" s="46" t="s">
        <v>397</v>
      </c>
      <c r="X1170" s="172" t="s">
        <v>9167</v>
      </c>
      <c r="Y1170" s="46" t="s">
        <v>6594</v>
      </c>
      <c r="Z1170" s="46" t="s">
        <v>6599</v>
      </c>
      <c r="AA1170" s="46" t="s">
        <v>397</v>
      </c>
      <c r="AB1170" s="172" t="s">
        <v>9167</v>
      </c>
      <c r="AC1170" s="48" t="s">
        <v>6596</v>
      </c>
      <c r="AD1170" s="30"/>
      <c r="AE1170" s="197"/>
      <c r="AF1170" s="47"/>
    </row>
    <row r="1171" spans="1:32" s="29" customFormat="1" ht="69.95" hidden="1" customHeight="1">
      <c r="A1171" s="29" t="s">
        <v>4283</v>
      </c>
      <c r="B1171" s="29" t="s">
        <v>3769</v>
      </c>
      <c r="C1171" s="40">
        <v>10</v>
      </c>
      <c r="D1171" s="40"/>
      <c r="E1171" s="58" t="s">
        <v>8301</v>
      </c>
      <c r="F1171" s="57" t="s">
        <v>8301</v>
      </c>
      <c r="G1171" s="29" t="s">
        <v>2543</v>
      </c>
      <c r="J1171" s="29">
        <f t="shared" si="76"/>
        <v>1</v>
      </c>
      <c r="K1171" s="42">
        <v>1157</v>
      </c>
      <c r="L1171" s="43" t="s">
        <v>2544</v>
      </c>
      <c r="M1171" s="44" t="s">
        <v>405</v>
      </c>
      <c r="N1171" s="44" t="s">
        <v>578</v>
      </c>
      <c r="O1171" s="44" t="str">
        <f t="shared" ref="O1171:O1172" si="79">F1171</f>
        <v>PE-L1-2C4-02</v>
      </c>
      <c r="P1171" s="45">
        <v>0.67</v>
      </c>
      <c r="Q1171" s="44">
        <v>220</v>
      </c>
      <c r="R1171" s="44" t="s">
        <v>509</v>
      </c>
      <c r="S1171" s="44">
        <v>20</v>
      </c>
      <c r="T1171" s="46" t="s">
        <v>6386</v>
      </c>
      <c r="U1171" s="46" t="s">
        <v>4283</v>
      </c>
      <c r="V1171" s="46" t="s">
        <v>4284</v>
      </c>
      <c r="W1171" s="46" t="s">
        <v>397</v>
      </c>
      <c r="X1171" s="172" t="s">
        <v>8942</v>
      </c>
      <c r="Y1171" s="46" t="s">
        <v>6600</v>
      </c>
      <c r="Z1171" s="46" t="s">
        <v>6601</v>
      </c>
      <c r="AA1171" s="46" t="s">
        <v>397</v>
      </c>
      <c r="AB1171" s="172" t="s">
        <v>8942</v>
      </c>
      <c r="AC1171" s="48" t="s">
        <v>6602</v>
      </c>
      <c r="AD1171" s="30"/>
      <c r="AE1171" s="197"/>
      <c r="AF1171" s="47"/>
    </row>
    <row r="1172" spans="1:32" s="29" customFormat="1" ht="69.95" hidden="1" customHeight="1">
      <c r="A1172" s="29" t="s">
        <v>4278</v>
      </c>
      <c r="B1172" s="29" t="s">
        <v>3769</v>
      </c>
      <c r="C1172" s="40">
        <v>10</v>
      </c>
      <c r="D1172" s="40"/>
      <c r="E1172" s="56" t="s">
        <v>250</v>
      </c>
      <c r="F1172" s="57" t="s">
        <v>250</v>
      </c>
      <c r="G1172" s="29" t="s">
        <v>2545</v>
      </c>
      <c r="J1172" s="29">
        <f t="shared" si="76"/>
        <v>1</v>
      </c>
      <c r="K1172" s="42">
        <v>1158</v>
      </c>
      <c r="L1172" s="43" t="s">
        <v>2546</v>
      </c>
      <c r="M1172" s="44" t="s">
        <v>405</v>
      </c>
      <c r="N1172" s="44" t="s">
        <v>578</v>
      </c>
      <c r="O1172" s="44" t="str">
        <f t="shared" si="79"/>
        <v>PE-L1-2C4-06</v>
      </c>
      <c r="P1172" s="45">
        <v>0.67</v>
      </c>
      <c r="Q1172" s="44">
        <v>220</v>
      </c>
      <c r="R1172" s="44" t="s">
        <v>509</v>
      </c>
      <c r="S1172" s="44">
        <v>20</v>
      </c>
      <c r="T1172" s="46" t="s">
        <v>6386</v>
      </c>
      <c r="U1172" s="46" t="s">
        <v>4278</v>
      </c>
      <c r="V1172" s="46" t="s">
        <v>4279</v>
      </c>
      <c r="W1172" s="46" t="s">
        <v>397</v>
      </c>
      <c r="X1172" s="172" t="s">
        <v>8942</v>
      </c>
      <c r="Y1172" s="46" t="s">
        <v>6600</v>
      </c>
      <c r="Z1172" s="46" t="s">
        <v>6603</v>
      </c>
      <c r="AA1172" s="46" t="s">
        <v>397</v>
      </c>
      <c r="AB1172" s="172" t="s">
        <v>8942</v>
      </c>
      <c r="AC1172" s="48" t="s">
        <v>6604</v>
      </c>
      <c r="AD1172" s="30"/>
      <c r="AE1172" s="197"/>
      <c r="AF1172" s="47"/>
    </row>
    <row r="1173" spans="1:32" s="29" customFormat="1" ht="69.95" hidden="1" customHeight="1">
      <c r="A1173" s="29" t="s">
        <v>4286</v>
      </c>
      <c r="B1173" s="29" t="s">
        <v>3769</v>
      </c>
      <c r="C1173" s="40">
        <v>18</v>
      </c>
      <c r="D1173" s="173" t="s">
        <v>9131</v>
      </c>
      <c r="E1173" s="57" t="s">
        <v>165</v>
      </c>
      <c r="F1173" s="121" t="s">
        <v>8180</v>
      </c>
      <c r="G1173" s="29" t="s">
        <v>2547</v>
      </c>
      <c r="J1173" s="29">
        <f t="shared" si="76"/>
        <v>1</v>
      </c>
      <c r="K1173" s="42">
        <v>1159</v>
      </c>
      <c r="L1173" s="43" t="s">
        <v>2548</v>
      </c>
      <c r="M1173" s="44" t="s">
        <v>405</v>
      </c>
      <c r="N1173" s="44" t="s">
        <v>426</v>
      </c>
      <c r="O1173" s="121" t="str">
        <f>F1173</f>
        <v>PE-L1-3C4-17</v>
      </c>
      <c r="P1173" s="45">
        <v>2.13</v>
      </c>
      <c r="Q1173" s="44">
        <v>230</v>
      </c>
      <c r="R1173" s="44" t="s">
        <v>49</v>
      </c>
      <c r="S1173" s="44">
        <v>30</v>
      </c>
      <c r="T1173" s="46" t="s">
        <v>6386</v>
      </c>
      <c r="U1173" s="46" t="s">
        <v>4286</v>
      </c>
      <c r="V1173" s="46" t="s">
        <v>4287</v>
      </c>
      <c r="W1173" s="46" t="s">
        <v>397</v>
      </c>
      <c r="X1173" s="172" t="s">
        <v>9167</v>
      </c>
      <c r="Y1173" s="46" t="s">
        <v>6600</v>
      </c>
      <c r="Z1173" s="46" t="s">
        <v>6605</v>
      </c>
      <c r="AA1173" s="46" t="s">
        <v>397</v>
      </c>
      <c r="AB1173" s="172" t="s">
        <v>9167</v>
      </c>
      <c r="AC1173" s="48" t="s">
        <v>6606</v>
      </c>
      <c r="AD1173" s="30"/>
      <c r="AE1173" s="197"/>
      <c r="AF1173" s="47"/>
    </row>
    <row r="1174" spans="1:32" s="29" customFormat="1" ht="69.95" hidden="1" customHeight="1">
      <c r="A1174" s="29" t="s">
        <v>6555</v>
      </c>
      <c r="B1174" s="29" t="s">
        <v>3769</v>
      </c>
      <c r="C1174" s="40" t="s">
        <v>40</v>
      </c>
      <c r="D1174" s="40"/>
      <c r="E1174" s="66" t="s">
        <v>249</v>
      </c>
      <c r="F1174" s="66" t="s">
        <v>249</v>
      </c>
      <c r="G1174" s="29" t="s">
        <v>2549</v>
      </c>
      <c r="J1174" s="29">
        <f t="shared" si="76"/>
        <v>1</v>
      </c>
      <c r="K1174" s="42">
        <v>1160</v>
      </c>
      <c r="L1174" s="43" t="s">
        <v>2550</v>
      </c>
      <c r="M1174" s="44" t="s">
        <v>405</v>
      </c>
      <c r="N1174" s="44" t="s">
        <v>2280</v>
      </c>
      <c r="O1174" s="44" t="str">
        <f t="shared" ref="O1174:O1175" si="80">F1174</f>
        <v>PE-L1-2C10-02</v>
      </c>
      <c r="P1174" s="45">
        <v>5.07</v>
      </c>
      <c r="Q1174" s="44">
        <v>220</v>
      </c>
      <c r="R1174" s="44" t="s">
        <v>509</v>
      </c>
      <c r="S1174" s="44">
        <v>70</v>
      </c>
      <c r="T1174" s="46" t="s">
        <v>6386</v>
      </c>
      <c r="U1174" s="46" t="s">
        <v>6555</v>
      </c>
      <c r="V1174" s="46" t="s">
        <v>6556</v>
      </c>
      <c r="W1174" s="46" t="s">
        <v>4549</v>
      </c>
      <c r="X1174" s="172" t="s">
        <v>8942</v>
      </c>
      <c r="Y1174" s="46" t="s">
        <v>4834</v>
      </c>
      <c r="Z1174" s="46" t="s">
        <v>6607</v>
      </c>
      <c r="AA1174" s="46" t="s">
        <v>4549</v>
      </c>
      <c r="AB1174" s="172" t="s">
        <v>8942</v>
      </c>
      <c r="AC1174" s="48" t="s">
        <v>6608</v>
      </c>
      <c r="AD1174" s="30"/>
      <c r="AE1174" s="197"/>
      <c r="AF1174" s="47"/>
    </row>
    <row r="1175" spans="1:32" s="29" customFormat="1" ht="69.95" hidden="1" customHeight="1">
      <c r="A1175" s="29" t="s">
        <v>6551</v>
      </c>
      <c r="B1175" s="29" t="s">
        <v>3769</v>
      </c>
      <c r="C1175" s="40" t="s">
        <v>40</v>
      </c>
      <c r="D1175" s="40"/>
      <c r="E1175" s="66" t="s">
        <v>249</v>
      </c>
      <c r="F1175" s="66" t="s">
        <v>249</v>
      </c>
      <c r="G1175" s="29" t="s">
        <v>2551</v>
      </c>
      <c r="J1175" s="29">
        <f t="shared" si="76"/>
        <v>1</v>
      </c>
      <c r="K1175" s="42">
        <v>1161</v>
      </c>
      <c r="L1175" s="43" t="s">
        <v>2552</v>
      </c>
      <c r="M1175" s="44" t="s">
        <v>405</v>
      </c>
      <c r="N1175" s="44" t="s">
        <v>2280</v>
      </c>
      <c r="O1175" s="44" t="str">
        <f t="shared" si="80"/>
        <v>PE-L1-2C10-02</v>
      </c>
      <c r="P1175" s="45">
        <v>5.07</v>
      </c>
      <c r="Q1175" s="44">
        <v>220</v>
      </c>
      <c r="R1175" s="44" t="s">
        <v>509</v>
      </c>
      <c r="S1175" s="44">
        <v>30</v>
      </c>
      <c r="T1175" s="46" t="s">
        <v>6386</v>
      </c>
      <c r="U1175" s="46" t="s">
        <v>6551</v>
      </c>
      <c r="V1175" s="46" t="s">
        <v>6552</v>
      </c>
      <c r="W1175" s="46" t="s">
        <v>4549</v>
      </c>
      <c r="X1175" s="172" t="s">
        <v>8942</v>
      </c>
      <c r="Y1175" s="46" t="s">
        <v>4834</v>
      </c>
      <c r="Z1175" s="46" t="s">
        <v>6609</v>
      </c>
      <c r="AA1175" s="46" t="s">
        <v>4549</v>
      </c>
      <c r="AB1175" s="172" t="s">
        <v>8942</v>
      </c>
      <c r="AC1175" s="48" t="s">
        <v>6610</v>
      </c>
      <c r="AD1175" s="30"/>
      <c r="AE1175" s="197"/>
      <c r="AF1175" s="47"/>
    </row>
    <row r="1176" spans="1:32" s="29" customFormat="1" ht="69.95" hidden="1" customHeight="1">
      <c r="A1176" s="29" t="s">
        <v>4937</v>
      </c>
      <c r="B1176" s="29" t="s">
        <v>3769</v>
      </c>
      <c r="C1176" s="40">
        <v>15</v>
      </c>
      <c r="D1176" s="173" t="s">
        <v>9131</v>
      </c>
      <c r="E1176" s="57" t="s">
        <v>165</v>
      </c>
      <c r="F1176" s="121" t="s">
        <v>8180</v>
      </c>
      <c r="G1176" s="29" t="s">
        <v>2553</v>
      </c>
      <c r="J1176" s="29">
        <f t="shared" si="76"/>
        <v>1</v>
      </c>
      <c r="K1176" s="42">
        <v>1162</v>
      </c>
      <c r="L1176" s="43" t="s">
        <v>2554</v>
      </c>
      <c r="M1176" s="44" t="s">
        <v>405</v>
      </c>
      <c r="N1176" s="44" t="s">
        <v>426</v>
      </c>
      <c r="O1176" s="121" t="str">
        <f>F1176</f>
        <v>PE-L1-3C4-17</v>
      </c>
      <c r="P1176" s="45">
        <v>2.0099999999999998</v>
      </c>
      <c r="Q1176" s="44">
        <v>230</v>
      </c>
      <c r="R1176" s="44" t="s">
        <v>49</v>
      </c>
      <c r="S1176" s="44">
        <v>50</v>
      </c>
      <c r="T1176" s="46" t="s">
        <v>6386</v>
      </c>
      <c r="U1176" s="46" t="s">
        <v>4937</v>
      </c>
      <c r="V1176" s="46" t="s">
        <v>4938</v>
      </c>
      <c r="W1176" s="46" t="s">
        <v>4549</v>
      </c>
      <c r="X1176" s="172" t="s">
        <v>9167</v>
      </c>
      <c r="Y1176" s="46" t="s">
        <v>4834</v>
      </c>
      <c r="Z1176" s="46" t="s">
        <v>6611</v>
      </c>
      <c r="AA1176" s="46" t="s">
        <v>4549</v>
      </c>
      <c r="AB1176" s="172" t="s">
        <v>9167</v>
      </c>
      <c r="AC1176" s="48" t="s">
        <v>6612</v>
      </c>
      <c r="AD1176" s="30"/>
      <c r="AE1176" s="197"/>
      <c r="AF1176" s="47"/>
    </row>
    <row r="1177" spans="1:32" s="29" customFormat="1" ht="69.95" hidden="1" customHeight="1">
      <c r="A1177" s="29" t="s">
        <v>4937</v>
      </c>
      <c r="B1177" s="29" t="s">
        <v>3769</v>
      </c>
      <c r="C1177" s="40">
        <v>16</v>
      </c>
      <c r="D1177" s="173" t="s">
        <v>9131</v>
      </c>
      <c r="E1177" s="57" t="s">
        <v>165</v>
      </c>
      <c r="F1177" s="121" t="s">
        <v>8180</v>
      </c>
      <c r="G1177" s="29" t="s">
        <v>2555</v>
      </c>
      <c r="J1177" s="29">
        <f t="shared" si="76"/>
        <v>1</v>
      </c>
      <c r="K1177" s="42">
        <v>1163</v>
      </c>
      <c r="L1177" s="43" t="s">
        <v>2556</v>
      </c>
      <c r="M1177" s="44" t="s">
        <v>405</v>
      </c>
      <c r="N1177" s="44" t="s">
        <v>426</v>
      </c>
      <c r="O1177" s="121" t="str">
        <f>F1177</f>
        <v>PE-L1-3C4-17</v>
      </c>
      <c r="P1177" s="45">
        <v>2.6</v>
      </c>
      <c r="Q1177" s="44">
        <v>230</v>
      </c>
      <c r="R1177" s="44" t="s">
        <v>49</v>
      </c>
      <c r="S1177" s="44">
        <v>50</v>
      </c>
      <c r="T1177" s="46" t="s">
        <v>6386</v>
      </c>
      <c r="U1177" s="46" t="s">
        <v>4937</v>
      </c>
      <c r="V1177" s="46" t="s">
        <v>4938</v>
      </c>
      <c r="W1177" s="46" t="s">
        <v>4549</v>
      </c>
      <c r="X1177" s="172" t="s">
        <v>9167</v>
      </c>
      <c r="Y1177" s="46" t="s">
        <v>4834</v>
      </c>
      <c r="Z1177" s="46" t="s">
        <v>6613</v>
      </c>
      <c r="AA1177" s="46" t="s">
        <v>4549</v>
      </c>
      <c r="AB1177" s="172" t="s">
        <v>9167</v>
      </c>
      <c r="AC1177" s="48" t="s">
        <v>6612</v>
      </c>
      <c r="AD1177" s="30"/>
      <c r="AE1177" s="197"/>
      <c r="AF1177" s="47"/>
    </row>
    <row r="1178" spans="1:32" s="29" customFormat="1" ht="69.95" hidden="1" customHeight="1">
      <c r="A1178" s="29" t="s">
        <v>6551</v>
      </c>
      <c r="B1178" s="29" t="s">
        <v>3769</v>
      </c>
      <c r="C1178" s="40" t="s">
        <v>41</v>
      </c>
      <c r="D1178" s="40"/>
      <c r="E1178" s="58" t="s">
        <v>248</v>
      </c>
      <c r="F1178" s="57" t="s">
        <v>248</v>
      </c>
      <c r="G1178" s="29" t="s">
        <v>2557</v>
      </c>
      <c r="J1178" s="29">
        <f t="shared" si="76"/>
        <v>1</v>
      </c>
      <c r="K1178" s="42">
        <v>1164</v>
      </c>
      <c r="L1178" s="43" t="s">
        <v>2558</v>
      </c>
      <c r="M1178" s="44" t="s">
        <v>405</v>
      </c>
      <c r="N1178" s="44" t="s">
        <v>578</v>
      </c>
      <c r="O1178" s="44" t="str">
        <f t="shared" ref="O1178:O1179" si="81">F1178</f>
        <v>PE-L1-2C4-02</v>
      </c>
      <c r="P1178" s="45">
        <v>1.01</v>
      </c>
      <c r="Q1178" s="44">
        <v>220</v>
      </c>
      <c r="R1178" s="44" t="s">
        <v>509</v>
      </c>
      <c r="S1178" s="44">
        <v>60</v>
      </c>
      <c r="T1178" s="46" t="s">
        <v>6386</v>
      </c>
      <c r="U1178" s="46" t="s">
        <v>6551</v>
      </c>
      <c r="V1178" s="46" t="s">
        <v>6552</v>
      </c>
      <c r="W1178" s="46" t="s">
        <v>4549</v>
      </c>
      <c r="X1178" s="172" t="s">
        <v>8942</v>
      </c>
      <c r="Y1178" s="46" t="s">
        <v>6614</v>
      </c>
      <c r="Z1178" s="46" t="s">
        <v>6615</v>
      </c>
      <c r="AA1178" s="46" t="s">
        <v>4549</v>
      </c>
      <c r="AB1178" s="172" t="s">
        <v>8942</v>
      </c>
      <c r="AC1178" s="48" t="s">
        <v>6616</v>
      </c>
      <c r="AD1178" s="30"/>
      <c r="AE1178" s="197"/>
      <c r="AF1178" s="47"/>
    </row>
    <row r="1179" spans="1:32" s="32" customFormat="1" ht="69.95" hidden="1" customHeight="1">
      <c r="A1179" s="29" t="s">
        <v>6555</v>
      </c>
      <c r="B1179" s="29" t="s">
        <v>3769</v>
      </c>
      <c r="C1179" s="40" t="s">
        <v>41</v>
      </c>
      <c r="D1179" s="40"/>
      <c r="E1179" s="56" t="s">
        <v>248</v>
      </c>
      <c r="F1179" s="56" t="s">
        <v>248</v>
      </c>
      <c r="G1179" s="29" t="s">
        <v>2559</v>
      </c>
      <c r="H1179" s="29"/>
      <c r="I1179" s="29"/>
      <c r="J1179" s="29">
        <f t="shared" si="76"/>
        <v>1</v>
      </c>
      <c r="K1179" s="42">
        <v>1165</v>
      </c>
      <c r="L1179" s="43" t="s">
        <v>2560</v>
      </c>
      <c r="M1179" s="44" t="s">
        <v>405</v>
      </c>
      <c r="N1179" s="44" t="s">
        <v>578</v>
      </c>
      <c r="O1179" s="44" t="str">
        <f t="shared" si="81"/>
        <v>PE-L1-2C4-02</v>
      </c>
      <c r="P1179" s="45">
        <v>1.01</v>
      </c>
      <c r="Q1179" s="44">
        <v>220</v>
      </c>
      <c r="R1179" s="44" t="s">
        <v>509</v>
      </c>
      <c r="S1179" s="44">
        <v>80</v>
      </c>
      <c r="T1179" s="46" t="s">
        <v>6386</v>
      </c>
      <c r="U1179" s="46" t="s">
        <v>6555</v>
      </c>
      <c r="V1179" s="46" t="s">
        <v>6556</v>
      </c>
      <c r="W1179" s="46" t="s">
        <v>4549</v>
      </c>
      <c r="X1179" s="172" t="s">
        <v>8942</v>
      </c>
      <c r="Y1179" s="46" t="s">
        <v>6614</v>
      </c>
      <c r="Z1179" s="46" t="s">
        <v>6617</v>
      </c>
      <c r="AA1179" s="46" t="s">
        <v>4549</v>
      </c>
      <c r="AB1179" s="172" t="s">
        <v>8942</v>
      </c>
      <c r="AC1179" s="48" t="s">
        <v>6618</v>
      </c>
      <c r="AD1179" s="30"/>
      <c r="AE1179" s="200"/>
      <c r="AF1179" s="100"/>
    </row>
    <row r="1180" spans="1:32" s="32" customFormat="1" ht="69.95" hidden="1" customHeight="1">
      <c r="A1180" s="29" t="s">
        <v>4923</v>
      </c>
      <c r="B1180" s="29" t="s">
        <v>3769</v>
      </c>
      <c r="C1180" s="40">
        <v>16</v>
      </c>
      <c r="D1180" s="173" t="s">
        <v>9131</v>
      </c>
      <c r="E1180" s="57" t="s">
        <v>173</v>
      </c>
      <c r="F1180" s="121" t="s">
        <v>8307</v>
      </c>
      <c r="G1180" s="29" t="s">
        <v>2561</v>
      </c>
      <c r="H1180" s="29"/>
      <c r="I1180" s="29"/>
      <c r="J1180" s="29">
        <f t="shared" si="76"/>
        <v>1</v>
      </c>
      <c r="K1180" s="42">
        <v>1166</v>
      </c>
      <c r="L1180" s="43" t="s">
        <v>2562</v>
      </c>
      <c r="M1180" s="44" t="s">
        <v>405</v>
      </c>
      <c r="N1180" s="44" t="s">
        <v>426</v>
      </c>
      <c r="O1180" s="121" t="str">
        <f>F1180</f>
        <v>PE-L1-3C4-15</v>
      </c>
      <c r="P1180" s="45">
        <v>0.74</v>
      </c>
      <c r="Q1180" s="44">
        <v>230</v>
      </c>
      <c r="R1180" s="44" t="s">
        <v>49</v>
      </c>
      <c r="S1180" s="44">
        <v>40</v>
      </c>
      <c r="T1180" s="46" t="s">
        <v>6386</v>
      </c>
      <c r="U1180" s="46" t="s">
        <v>4923</v>
      </c>
      <c r="V1180" s="46" t="s">
        <v>4924</v>
      </c>
      <c r="W1180" s="46" t="s">
        <v>4549</v>
      </c>
      <c r="X1180" s="172" t="s">
        <v>9167</v>
      </c>
      <c r="Y1180" s="46" t="s">
        <v>6614</v>
      </c>
      <c r="Z1180" s="46" t="s">
        <v>6619</v>
      </c>
      <c r="AA1180" s="46" t="s">
        <v>4549</v>
      </c>
      <c r="AB1180" s="172" t="s">
        <v>9167</v>
      </c>
      <c r="AC1180" s="48" t="s">
        <v>6620</v>
      </c>
      <c r="AD1180" s="30"/>
      <c r="AE1180" s="200"/>
      <c r="AF1180" s="100"/>
    </row>
    <row r="1181" spans="1:32" s="32" customFormat="1" ht="69.95" hidden="1" customHeight="1">
      <c r="A1181" s="29" t="s">
        <v>6555</v>
      </c>
      <c r="B1181" s="29" t="s">
        <v>3769</v>
      </c>
      <c r="C1181" s="40" t="s">
        <v>42</v>
      </c>
      <c r="D1181" s="40"/>
      <c r="E1181" s="58" t="s">
        <v>247</v>
      </c>
      <c r="F1181" s="58" t="s">
        <v>247</v>
      </c>
      <c r="G1181" s="29" t="s">
        <v>2563</v>
      </c>
      <c r="H1181" s="29"/>
      <c r="I1181" s="29"/>
      <c r="J1181" s="29">
        <f t="shared" si="76"/>
        <v>1</v>
      </c>
      <c r="K1181" s="42">
        <v>1167</v>
      </c>
      <c r="L1181" s="43" t="s">
        <v>2564</v>
      </c>
      <c r="M1181" s="44" t="s">
        <v>405</v>
      </c>
      <c r="N1181" s="44" t="s">
        <v>2280</v>
      </c>
      <c r="O1181" s="44" t="str">
        <f t="shared" ref="O1181:O1192" si="82">F1181</f>
        <v>PE-L1-2C10-02</v>
      </c>
      <c r="P1181" s="45">
        <v>5.0199999999999996</v>
      </c>
      <c r="Q1181" s="44">
        <v>220</v>
      </c>
      <c r="R1181" s="44" t="s">
        <v>509</v>
      </c>
      <c r="S1181" s="44">
        <v>40</v>
      </c>
      <c r="T1181" s="46" t="s">
        <v>6386</v>
      </c>
      <c r="U1181" s="46" t="s">
        <v>6555</v>
      </c>
      <c r="V1181" s="46" t="s">
        <v>6556</v>
      </c>
      <c r="W1181" s="46" t="s">
        <v>4549</v>
      </c>
      <c r="X1181" s="172" t="s">
        <v>8942</v>
      </c>
      <c r="Y1181" s="46" t="s">
        <v>4862</v>
      </c>
      <c r="Z1181" s="46" t="s">
        <v>6621</v>
      </c>
      <c r="AA1181" s="46" t="s">
        <v>4549</v>
      </c>
      <c r="AB1181" s="172" t="s">
        <v>8942</v>
      </c>
      <c r="AC1181" s="48" t="s">
        <v>6622</v>
      </c>
      <c r="AD1181" s="30"/>
      <c r="AE1181" s="200"/>
      <c r="AF1181" s="100"/>
    </row>
    <row r="1182" spans="1:32" s="32" customFormat="1" ht="69.95" hidden="1" customHeight="1">
      <c r="A1182" s="29" t="s">
        <v>6551</v>
      </c>
      <c r="B1182" s="29" t="s">
        <v>3769</v>
      </c>
      <c r="C1182" s="40" t="s">
        <v>42</v>
      </c>
      <c r="D1182" s="40"/>
      <c r="E1182" s="56" t="s">
        <v>247</v>
      </c>
      <c r="F1182" s="56" t="s">
        <v>247</v>
      </c>
      <c r="G1182" s="29" t="s">
        <v>2565</v>
      </c>
      <c r="H1182" s="29"/>
      <c r="I1182" s="29"/>
      <c r="J1182" s="29">
        <f t="shared" si="76"/>
        <v>1</v>
      </c>
      <c r="K1182" s="42">
        <v>1168</v>
      </c>
      <c r="L1182" s="43" t="s">
        <v>2566</v>
      </c>
      <c r="M1182" s="44" t="s">
        <v>405</v>
      </c>
      <c r="N1182" s="44" t="s">
        <v>2280</v>
      </c>
      <c r="O1182" s="44" t="str">
        <f t="shared" si="82"/>
        <v>PE-L1-2C10-02</v>
      </c>
      <c r="P1182" s="45">
        <v>5.0199999999999996</v>
      </c>
      <c r="Q1182" s="44">
        <v>220</v>
      </c>
      <c r="R1182" s="44" t="s">
        <v>509</v>
      </c>
      <c r="S1182" s="44">
        <v>40</v>
      </c>
      <c r="T1182" s="46" t="s">
        <v>6386</v>
      </c>
      <c r="U1182" s="46" t="s">
        <v>6551</v>
      </c>
      <c r="V1182" s="46" t="s">
        <v>6552</v>
      </c>
      <c r="W1182" s="46" t="s">
        <v>4549</v>
      </c>
      <c r="X1182" s="172" t="s">
        <v>8942</v>
      </c>
      <c r="Y1182" s="46" t="s">
        <v>4862</v>
      </c>
      <c r="Z1182" s="46" t="s">
        <v>6623</v>
      </c>
      <c r="AA1182" s="46" t="s">
        <v>4549</v>
      </c>
      <c r="AB1182" s="172" t="s">
        <v>8942</v>
      </c>
      <c r="AC1182" s="48" t="s">
        <v>6624</v>
      </c>
      <c r="AD1182" s="30"/>
      <c r="AE1182" s="200"/>
      <c r="AF1182" s="100"/>
    </row>
    <row r="1183" spans="1:32" s="32" customFormat="1" ht="69.95" hidden="1" customHeight="1">
      <c r="A1183" s="29" t="s">
        <v>4923</v>
      </c>
      <c r="B1183" s="29" t="s">
        <v>3769</v>
      </c>
      <c r="C1183" s="40">
        <v>17</v>
      </c>
      <c r="D1183" s="40"/>
      <c r="E1183" s="57" t="s">
        <v>173</v>
      </c>
      <c r="F1183" s="57" t="s">
        <v>173</v>
      </c>
      <c r="G1183" s="29" t="s">
        <v>2567</v>
      </c>
      <c r="H1183" s="29"/>
      <c r="I1183" s="29"/>
      <c r="J1183" s="29">
        <f t="shared" si="76"/>
        <v>1</v>
      </c>
      <c r="K1183" s="42">
        <v>1169</v>
      </c>
      <c r="L1183" s="43" t="s">
        <v>2568</v>
      </c>
      <c r="M1183" s="44" t="s">
        <v>405</v>
      </c>
      <c r="N1183" s="44" t="s">
        <v>426</v>
      </c>
      <c r="O1183" s="44" t="str">
        <f t="shared" si="82"/>
        <v>PE-L1-3C4-10</v>
      </c>
      <c r="P1183" s="45">
        <v>2.38</v>
      </c>
      <c r="Q1183" s="44">
        <v>230</v>
      </c>
      <c r="R1183" s="44" t="s">
        <v>49</v>
      </c>
      <c r="S1183" s="44">
        <v>50</v>
      </c>
      <c r="T1183" s="46" t="s">
        <v>6386</v>
      </c>
      <c r="U1183" s="46" t="s">
        <v>4923</v>
      </c>
      <c r="V1183" s="46" t="s">
        <v>4924</v>
      </c>
      <c r="W1183" s="46" t="s">
        <v>4549</v>
      </c>
      <c r="X1183" s="172" t="s">
        <v>9167</v>
      </c>
      <c r="Y1183" s="46" t="s">
        <v>4862</v>
      </c>
      <c r="Z1183" s="46" t="s">
        <v>6625</v>
      </c>
      <c r="AA1183" s="46" t="s">
        <v>4549</v>
      </c>
      <c r="AB1183" s="172" t="s">
        <v>9167</v>
      </c>
      <c r="AC1183" s="48" t="s">
        <v>6626</v>
      </c>
      <c r="AD1183" s="30"/>
      <c r="AE1183" s="200"/>
      <c r="AF1183" s="100"/>
    </row>
    <row r="1184" spans="1:32" s="32" customFormat="1" ht="69.95" hidden="1" customHeight="1">
      <c r="A1184" s="29" t="s">
        <v>4923</v>
      </c>
      <c r="B1184" s="29" t="s">
        <v>3769</v>
      </c>
      <c r="C1184" s="40">
        <v>18</v>
      </c>
      <c r="D1184" s="40"/>
      <c r="E1184" s="57" t="s">
        <v>173</v>
      </c>
      <c r="F1184" s="57" t="s">
        <v>173</v>
      </c>
      <c r="G1184" s="29" t="s">
        <v>2569</v>
      </c>
      <c r="H1184" s="29"/>
      <c r="I1184" s="29"/>
      <c r="J1184" s="29">
        <f t="shared" si="76"/>
        <v>1</v>
      </c>
      <c r="K1184" s="42">
        <v>1170</v>
      </c>
      <c r="L1184" s="43" t="s">
        <v>2570</v>
      </c>
      <c r="M1184" s="44" t="s">
        <v>405</v>
      </c>
      <c r="N1184" s="44" t="s">
        <v>426</v>
      </c>
      <c r="O1184" s="44" t="str">
        <f t="shared" si="82"/>
        <v>PE-L1-3C4-10</v>
      </c>
      <c r="P1184" s="45">
        <v>2.8</v>
      </c>
      <c r="Q1184" s="44">
        <v>230</v>
      </c>
      <c r="R1184" s="44" t="s">
        <v>49</v>
      </c>
      <c r="S1184" s="44">
        <v>50</v>
      </c>
      <c r="T1184" s="46" t="s">
        <v>6386</v>
      </c>
      <c r="U1184" s="46" t="s">
        <v>4923</v>
      </c>
      <c r="V1184" s="46" t="s">
        <v>4924</v>
      </c>
      <c r="W1184" s="46" t="s">
        <v>4549</v>
      </c>
      <c r="X1184" s="172" t="s">
        <v>9167</v>
      </c>
      <c r="Y1184" s="46" t="s">
        <v>4862</v>
      </c>
      <c r="Z1184" s="46" t="s">
        <v>6627</v>
      </c>
      <c r="AA1184" s="46" t="s">
        <v>4549</v>
      </c>
      <c r="AB1184" s="172" t="s">
        <v>9167</v>
      </c>
      <c r="AC1184" s="48" t="s">
        <v>6626</v>
      </c>
      <c r="AD1184" s="30"/>
      <c r="AE1184" s="200"/>
      <c r="AF1184" s="100"/>
    </row>
    <row r="1185" spans="1:32" s="32" customFormat="1" ht="69.95" hidden="1" customHeight="1">
      <c r="A1185" s="29" t="s">
        <v>6336</v>
      </c>
      <c r="B1185" s="29" t="s">
        <v>3769</v>
      </c>
      <c r="C1185" s="40">
        <v>15</v>
      </c>
      <c r="D1185" s="40"/>
      <c r="E1185" s="57" t="s">
        <v>8581</v>
      </c>
      <c r="F1185" s="57" t="s">
        <v>8581</v>
      </c>
      <c r="G1185" s="29" t="s">
        <v>2571</v>
      </c>
      <c r="H1185" s="29"/>
      <c r="I1185" s="29"/>
      <c r="J1185" s="29">
        <f t="shared" si="76"/>
        <v>1</v>
      </c>
      <c r="K1185" s="42">
        <v>1171</v>
      </c>
      <c r="L1185" s="43" t="s">
        <v>2572</v>
      </c>
      <c r="M1185" s="44" t="s">
        <v>405</v>
      </c>
      <c r="N1185" s="44" t="s">
        <v>578</v>
      </c>
      <c r="O1185" s="44" t="str">
        <f t="shared" si="82"/>
        <v>PE-L1-2C4-10</v>
      </c>
      <c r="P1185" s="45">
        <v>1.59</v>
      </c>
      <c r="Q1185" s="44">
        <v>220</v>
      </c>
      <c r="R1185" s="44" t="s">
        <v>509</v>
      </c>
      <c r="S1185" s="44">
        <v>80</v>
      </c>
      <c r="T1185" s="46" t="s">
        <v>6386</v>
      </c>
      <c r="U1185" s="46" t="s">
        <v>6336</v>
      </c>
      <c r="V1185" s="46" t="s">
        <v>6337</v>
      </c>
      <c r="W1185" s="46" t="s">
        <v>347</v>
      </c>
      <c r="X1185" s="172" t="s">
        <v>8942</v>
      </c>
      <c r="Y1185" s="46" t="s">
        <v>4005</v>
      </c>
      <c r="Z1185" s="46" t="s">
        <v>6628</v>
      </c>
      <c r="AA1185" s="46" t="s">
        <v>347</v>
      </c>
      <c r="AB1185" s="172" t="s">
        <v>8942</v>
      </c>
      <c r="AC1185" s="48" t="s">
        <v>6629</v>
      </c>
      <c r="AD1185" s="30"/>
      <c r="AE1185" s="200"/>
      <c r="AF1185" s="100"/>
    </row>
    <row r="1186" spans="1:32" s="32" customFormat="1" ht="69.95" hidden="1" customHeight="1">
      <c r="A1186" s="29" t="s">
        <v>6341</v>
      </c>
      <c r="B1186" s="29" t="s">
        <v>3769</v>
      </c>
      <c r="C1186" s="40">
        <v>15</v>
      </c>
      <c r="D1186" s="40"/>
      <c r="E1186" s="57" t="s">
        <v>8581</v>
      </c>
      <c r="F1186" s="57" t="s">
        <v>8581</v>
      </c>
      <c r="G1186" s="29" t="s">
        <v>2573</v>
      </c>
      <c r="H1186" s="29"/>
      <c r="I1186" s="29"/>
      <c r="J1186" s="29">
        <f t="shared" si="76"/>
        <v>1</v>
      </c>
      <c r="K1186" s="42">
        <v>1172</v>
      </c>
      <c r="L1186" s="43" t="s">
        <v>2574</v>
      </c>
      <c r="M1186" s="44" t="s">
        <v>405</v>
      </c>
      <c r="N1186" s="44" t="s">
        <v>578</v>
      </c>
      <c r="O1186" s="44" t="str">
        <f t="shared" si="82"/>
        <v>PE-L1-2C4-10</v>
      </c>
      <c r="P1186" s="45">
        <v>1.59</v>
      </c>
      <c r="Q1186" s="44">
        <v>220</v>
      </c>
      <c r="R1186" s="44" t="s">
        <v>509</v>
      </c>
      <c r="S1186" s="44">
        <v>90</v>
      </c>
      <c r="T1186" s="46" t="s">
        <v>6386</v>
      </c>
      <c r="U1186" s="46" t="s">
        <v>6341</v>
      </c>
      <c r="V1186" s="46" t="s">
        <v>6342</v>
      </c>
      <c r="W1186" s="46" t="s">
        <v>347</v>
      </c>
      <c r="X1186" s="172" t="s">
        <v>8942</v>
      </c>
      <c r="Y1186" s="46" t="s">
        <v>4005</v>
      </c>
      <c r="Z1186" s="46" t="s">
        <v>6630</v>
      </c>
      <c r="AA1186" s="46" t="s">
        <v>347</v>
      </c>
      <c r="AB1186" s="172" t="s">
        <v>8942</v>
      </c>
      <c r="AC1186" s="48" t="s">
        <v>6631</v>
      </c>
      <c r="AD1186" s="30"/>
      <c r="AE1186" s="200"/>
      <c r="AF1186" s="100"/>
    </row>
    <row r="1187" spans="1:32" s="32" customFormat="1" ht="69.95" hidden="1" customHeight="1">
      <c r="A1187" s="29" t="s">
        <v>6632</v>
      </c>
      <c r="B1187" s="29" t="s">
        <v>3769</v>
      </c>
      <c r="C1187" s="40" t="s">
        <v>32</v>
      </c>
      <c r="D1187" s="40"/>
      <c r="E1187" s="57" t="s">
        <v>8327</v>
      </c>
      <c r="F1187" s="57" t="s">
        <v>8327</v>
      </c>
      <c r="G1187" s="29" t="s">
        <v>2575</v>
      </c>
      <c r="H1187" s="29"/>
      <c r="I1187" s="29"/>
      <c r="J1187" s="29">
        <f t="shared" si="76"/>
        <v>1</v>
      </c>
      <c r="K1187" s="42">
        <v>1173</v>
      </c>
      <c r="L1187" s="43" t="s">
        <v>2576</v>
      </c>
      <c r="M1187" s="44" t="s">
        <v>405</v>
      </c>
      <c r="N1187" s="44" t="s">
        <v>426</v>
      </c>
      <c r="O1187" s="44" t="str">
        <f t="shared" si="82"/>
        <v>PE-L1-3C4-25</v>
      </c>
      <c r="P1187" s="45">
        <v>1.72</v>
      </c>
      <c r="Q1187" s="44">
        <v>230</v>
      </c>
      <c r="R1187" s="44" t="s">
        <v>412</v>
      </c>
      <c r="S1187" s="44">
        <v>40</v>
      </c>
      <c r="T1187" s="46" t="s">
        <v>6386</v>
      </c>
      <c r="U1187" s="46" t="s">
        <v>6632</v>
      </c>
      <c r="V1187" s="46" t="s">
        <v>6633</v>
      </c>
      <c r="W1187" s="46" t="s">
        <v>347</v>
      </c>
      <c r="X1187" s="172" t="s">
        <v>9167</v>
      </c>
      <c r="Y1187" s="46" t="s">
        <v>4005</v>
      </c>
      <c r="Z1187" s="46" t="s">
        <v>6634</v>
      </c>
      <c r="AA1187" s="46" t="s">
        <v>347</v>
      </c>
      <c r="AB1187" s="172" t="s">
        <v>9167</v>
      </c>
      <c r="AC1187" s="48" t="s">
        <v>6635</v>
      </c>
      <c r="AD1187" s="30"/>
      <c r="AE1187" s="200"/>
      <c r="AF1187" s="100"/>
    </row>
    <row r="1188" spans="1:32" s="32" customFormat="1" ht="69.95" hidden="1" customHeight="1">
      <c r="A1188" s="29" t="s">
        <v>6632</v>
      </c>
      <c r="B1188" s="29" t="s">
        <v>3769</v>
      </c>
      <c r="C1188" s="40" t="s">
        <v>36</v>
      </c>
      <c r="D1188" s="40"/>
      <c r="E1188" s="57" t="s">
        <v>8327</v>
      </c>
      <c r="F1188" s="57" t="s">
        <v>8327</v>
      </c>
      <c r="G1188" s="29" t="s">
        <v>2577</v>
      </c>
      <c r="H1188" s="29"/>
      <c r="I1188" s="29"/>
      <c r="J1188" s="29">
        <f t="shared" si="76"/>
        <v>1</v>
      </c>
      <c r="K1188" s="42">
        <v>1174</v>
      </c>
      <c r="L1188" s="43" t="s">
        <v>2578</v>
      </c>
      <c r="M1188" s="44" t="s">
        <v>405</v>
      </c>
      <c r="N1188" s="44" t="s">
        <v>426</v>
      </c>
      <c r="O1188" s="44" t="str">
        <f t="shared" si="82"/>
        <v>PE-L1-3C4-25</v>
      </c>
      <c r="P1188" s="45">
        <v>0.4</v>
      </c>
      <c r="Q1188" s="44">
        <v>230</v>
      </c>
      <c r="R1188" s="44" t="s">
        <v>412</v>
      </c>
      <c r="S1188" s="44">
        <v>40</v>
      </c>
      <c r="T1188" s="46" t="s">
        <v>6386</v>
      </c>
      <c r="U1188" s="46" t="s">
        <v>6632</v>
      </c>
      <c r="V1188" s="46" t="s">
        <v>6633</v>
      </c>
      <c r="W1188" s="46" t="s">
        <v>347</v>
      </c>
      <c r="X1188" s="172" t="s">
        <v>9167</v>
      </c>
      <c r="Y1188" s="46" t="s">
        <v>4005</v>
      </c>
      <c r="Z1188" s="46" t="s">
        <v>6636</v>
      </c>
      <c r="AA1188" s="46" t="s">
        <v>347</v>
      </c>
      <c r="AB1188" s="172" t="s">
        <v>9167</v>
      </c>
      <c r="AC1188" s="48" t="s">
        <v>6635</v>
      </c>
      <c r="AD1188" s="30"/>
      <c r="AE1188" s="200"/>
      <c r="AF1188" s="100"/>
    </row>
    <row r="1189" spans="1:32" s="32" customFormat="1" ht="69.95" hidden="1" customHeight="1">
      <c r="A1189" s="29" t="s">
        <v>6336</v>
      </c>
      <c r="B1189" s="29" t="s">
        <v>3769</v>
      </c>
      <c r="C1189" s="40">
        <v>16</v>
      </c>
      <c r="D1189" s="40"/>
      <c r="E1189" s="57" t="s">
        <v>252</v>
      </c>
      <c r="F1189" s="57" t="s">
        <v>252</v>
      </c>
      <c r="G1189" s="29" t="s">
        <v>2579</v>
      </c>
      <c r="H1189" s="29"/>
      <c r="I1189" s="29"/>
      <c r="J1189" s="29">
        <f t="shared" si="76"/>
        <v>1</v>
      </c>
      <c r="K1189" s="42">
        <v>1175</v>
      </c>
      <c r="L1189" s="43" t="s">
        <v>2580</v>
      </c>
      <c r="M1189" s="44" t="s">
        <v>405</v>
      </c>
      <c r="N1189" s="44" t="s">
        <v>578</v>
      </c>
      <c r="O1189" s="44" t="str">
        <f t="shared" si="82"/>
        <v>PE-L1-2C4-05</v>
      </c>
      <c r="P1189" s="45">
        <v>1.25</v>
      </c>
      <c r="Q1189" s="44">
        <v>220</v>
      </c>
      <c r="R1189" s="44" t="s">
        <v>509</v>
      </c>
      <c r="S1189" s="44">
        <v>80</v>
      </c>
      <c r="T1189" s="46" t="s">
        <v>6386</v>
      </c>
      <c r="U1189" s="46" t="s">
        <v>6336</v>
      </c>
      <c r="V1189" s="46" t="s">
        <v>6337</v>
      </c>
      <c r="W1189" s="46" t="s">
        <v>347</v>
      </c>
      <c r="X1189" s="172" t="s">
        <v>8942</v>
      </c>
      <c r="Y1189" s="46" t="s">
        <v>4040</v>
      </c>
      <c r="Z1189" s="46" t="s">
        <v>6637</v>
      </c>
      <c r="AA1189" s="46" t="s">
        <v>347</v>
      </c>
      <c r="AB1189" s="172" t="s">
        <v>8942</v>
      </c>
      <c r="AC1189" s="48" t="s">
        <v>6638</v>
      </c>
      <c r="AD1189" s="30"/>
      <c r="AE1189" s="200"/>
      <c r="AF1189" s="100"/>
    </row>
    <row r="1190" spans="1:32" s="32" customFormat="1" ht="69.95" hidden="1" customHeight="1">
      <c r="A1190" s="29" t="s">
        <v>6341</v>
      </c>
      <c r="B1190" s="29" t="s">
        <v>3769</v>
      </c>
      <c r="C1190" s="40">
        <v>16</v>
      </c>
      <c r="D1190" s="40"/>
      <c r="E1190" s="57" t="s">
        <v>8581</v>
      </c>
      <c r="F1190" s="57" t="s">
        <v>8581</v>
      </c>
      <c r="G1190" s="29" t="s">
        <v>2581</v>
      </c>
      <c r="H1190" s="29"/>
      <c r="I1190" s="29"/>
      <c r="J1190" s="29">
        <f t="shared" si="76"/>
        <v>1</v>
      </c>
      <c r="K1190" s="42">
        <v>1176</v>
      </c>
      <c r="L1190" s="43" t="s">
        <v>2582</v>
      </c>
      <c r="M1190" s="44" t="s">
        <v>405</v>
      </c>
      <c r="N1190" s="44" t="s">
        <v>578</v>
      </c>
      <c r="O1190" s="44" t="str">
        <f t="shared" si="82"/>
        <v>PE-L1-2C4-10</v>
      </c>
      <c r="P1190" s="45">
        <v>1.25</v>
      </c>
      <c r="Q1190" s="44">
        <v>220</v>
      </c>
      <c r="R1190" s="44" t="s">
        <v>509</v>
      </c>
      <c r="S1190" s="44">
        <v>90</v>
      </c>
      <c r="T1190" s="46" t="s">
        <v>6386</v>
      </c>
      <c r="U1190" s="46" t="s">
        <v>6341</v>
      </c>
      <c r="V1190" s="46" t="s">
        <v>6342</v>
      </c>
      <c r="W1190" s="46" t="s">
        <v>347</v>
      </c>
      <c r="X1190" s="172" t="s">
        <v>8942</v>
      </c>
      <c r="Y1190" s="46" t="s">
        <v>4040</v>
      </c>
      <c r="Z1190" s="46" t="s">
        <v>6639</v>
      </c>
      <c r="AA1190" s="46" t="s">
        <v>347</v>
      </c>
      <c r="AB1190" s="172" t="s">
        <v>8942</v>
      </c>
      <c r="AC1190" s="48" t="s">
        <v>6640</v>
      </c>
      <c r="AD1190" s="30"/>
      <c r="AE1190" s="200"/>
      <c r="AF1190" s="100"/>
    </row>
    <row r="1191" spans="1:32" s="32" customFormat="1" ht="69.95" hidden="1" customHeight="1">
      <c r="A1191" s="29" t="s">
        <v>6641</v>
      </c>
      <c r="B1191" s="29" t="s">
        <v>3769</v>
      </c>
      <c r="C1191" s="40" t="s">
        <v>32</v>
      </c>
      <c r="D1191" s="40"/>
      <c r="E1191" s="57" t="s">
        <v>8327</v>
      </c>
      <c r="F1191" s="57" t="s">
        <v>8327</v>
      </c>
      <c r="G1191" s="29" t="s">
        <v>2583</v>
      </c>
      <c r="H1191" s="29"/>
      <c r="I1191" s="29"/>
      <c r="J1191" s="29">
        <f t="shared" si="76"/>
        <v>1</v>
      </c>
      <c r="K1191" s="42">
        <v>1177</v>
      </c>
      <c r="L1191" s="43" t="s">
        <v>2584</v>
      </c>
      <c r="M1191" s="44" t="s">
        <v>405</v>
      </c>
      <c r="N1191" s="44" t="s">
        <v>426</v>
      </c>
      <c r="O1191" s="44" t="str">
        <f t="shared" si="82"/>
        <v>PE-L1-3C4-25</v>
      </c>
      <c r="P1191" s="45">
        <v>2.02</v>
      </c>
      <c r="Q1191" s="44">
        <v>230</v>
      </c>
      <c r="R1191" s="44" t="s">
        <v>412</v>
      </c>
      <c r="S1191" s="44">
        <v>40</v>
      </c>
      <c r="T1191" s="46" t="s">
        <v>6386</v>
      </c>
      <c r="U1191" s="46" t="s">
        <v>6641</v>
      </c>
      <c r="V1191" s="46" t="s">
        <v>6642</v>
      </c>
      <c r="W1191" s="46" t="s">
        <v>347</v>
      </c>
      <c r="X1191" s="172" t="s">
        <v>9167</v>
      </c>
      <c r="Y1191" s="46" t="s">
        <v>4040</v>
      </c>
      <c r="Z1191" s="46" t="s">
        <v>6643</v>
      </c>
      <c r="AA1191" s="46" t="s">
        <v>347</v>
      </c>
      <c r="AB1191" s="172" t="s">
        <v>9167</v>
      </c>
      <c r="AC1191" s="48" t="s">
        <v>6644</v>
      </c>
      <c r="AD1191" s="30"/>
      <c r="AE1191" s="200"/>
      <c r="AF1191" s="100"/>
    </row>
    <row r="1192" spans="1:32" s="32" customFormat="1" ht="69.95" hidden="1" customHeight="1">
      <c r="A1192" s="29" t="s">
        <v>6641</v>
      </c>
      <c r="B1192" s="29" t="s">
        <v>3769</v>
      </c>
      <c r="C1192" s="40" t="s">
        <v>36</v>
      </c>
      <c r="D1192" s="40"/>
      <c r="E1192" s="57" t="s">
        <v>8327</v>
      </c>
      <c r="F1192" s="57" t="s">
        <v>8327</v>
      </c>
      <c r="G1192" s="29" t="s">
        <v>2585</v>
      </c>
      <c r="H1192" s="29"/>
      <c r="I1192" s="29"/>
      <c r="J1192" s="29">
        <f t="shared" si="76"/>
        <v>1</v>
      </c>
      <c r="K1192" s="42">
        <v>1178</v>
      </c>
      <c r="L1192" s="43" t="s">
        <v>2586</v>
      </c>
      <c r="M1192" s="44" t="s">
        <v>405</v>
      </c>
      <c r="N1192" s="44" t="s">
        <v>426</v>
      </c>
      <c r="O1192" s="44" t="str">
        <f t="shared" si="82"/>
        <v>PE-L1-3C4-25</v>
      </c>
      <c r="P1192" s="45">
        <v>0.4</v>
      </c>
      <c r="Q1192" s="44">
        <v>230</v>
      </c>
      <c r="R1192" s="44" t="s">
        <v>412</v>
      </c>
      <c r="S1192" s="44">
        <v>40</v>
      </c>
      <c r="T1192" s="46" t="s">
        <v>6386</v>
      </c>
      <c r="U1192" s="46" t="s">
        <v>6641</v>
      </c>
      <c r="V1192" s="46" t="s">
        <v>6642</v>
      </c>
      <c r="W1192" s="46" t="s">
        <v>347</v>
      </c>
      <c r="X1192" s="172" t="s">
        <v>9167</v>
      </c>
      <c r="Y1192" s="46" t="s">
        <v>4040</v>
      </c>
      <c r="Z1192" s="46" t="s">
        <v>6645</v>
      </c>
      <c r="AA1192" s="46" t="s">
        <v>347</v>
      </c>
      <c r="AB1192" s="172" t="s">
        <v>9167</v>
      </c>
      <c r="AC1192" s="48" t="s">
        <v>6644</v>
      </c>
      <c r="AD1192" s="30"/>
      <c r="AE1192" s="200"/>
      <c r="AF1192" s="100"/>
    </row>
    <row r="1193" spans="1:32" s="32" customFormat="1" ht="69.95" hidden="1" customHeight="1">
      <c r="A1193" s="29" t="s">
        <v>5511</v>
      </c>
      <c r="B1193" s="29" t="s">
        <v>3769</v>
      </c>
      <c r="C1193" s="40" t="s">
        <v>36</v>
      </c>
      <c r="D1193" s="40"/>
      <c r="E1193" s="57" t="s">
        <v>8029</v>
      </c>
      <c r="F1193" s="57" t="s">
        <v>8029</v>
      </c>
      <c r="G1193" s="29" t="s">
        <v>2587</v>
      </c>
      <c r="H1193" s="29"/>
      <c r="I1193" s="124" t="s">
        <v>9121</v>
      </c>
      <c r="J1193" s="29">
        <f t="shared" si="76"/>
        <v>1</v>
      </c>
      <c r="K1193" s="42">
        <v>1179</v>
      </c>
      <c r="L1193" s="152" t="s">
        <v>2588</v>
      </c>
      <c r="M1193" s="44" t="s">
        <v>405</v>
      </c>
      <c r="N1193" s="44" t="s">
        <v>2280</v>
      </c>
      <c r="O1193" s="101" t="str">
        <f t="shared" ref="O1193:O1224" si="83">F1193</f>
        <v>PE-L1-2C10-01</v>
      </c>
      <c r="P1193" s="45">
        <v>4.0819999999999999</v>
      </c>
      <c r="Q1193" s="44">
        <v>220</v>
      </c>
      <c r="R1193" s="44" t="s">
        <v>509</v>
      </c>
      <c r="S1193" s="101">
        <v>70</v>
      </c>
      <c r="T1193" s="46" t="s">
        <v>6386</v>
      </c>
      <c r="U1193" s="46" t="s">
        <v>5511</v>
      </c>
      <c r="V1193" s="46" t="s">
        <v>5512</v>
      </c>
      <c r="W1193" s="46" t="s">
        <v>335</v>
      </c>
      <c r="X1193" s="172" t="s">
        <v>8942</v>
      </c>
      <c r="Y1193" s="46" t="s">
        <v>5473</v>
      </c>
      <c r="Z1193" s="46" t="s">
        <v>6646</v>
      </c>
      <c r="AA1193" s="46" t="s">
        <v>335</v>
      </c>
      <c r="AB1193" s="172" t="s">
        <v>8942</v>
      </c>
      <c r="AC1193" s="48" t="s">
        <v>6647</v>
      </c>
      <c r="AD1193" s="30"/>
      <c r="AE1193" s="200"/>
      <c r="AF1193" s="100"/>
    </row>
    <row r="1194" spans="1:32" s="32" customFormat="1" ht="69.95" hidden="1" customHeight="1">
      <c r="A1194" s="29" t="s">
        <v>5515</v>
      </c>
      <c r="B1194" s="29" t="s">
        <v>3769</v>
      </c>
      <c r="C1194" s="40" t="s">
        <v>36</v>
      </c>
      <c r="D1194" s="40"/>
      <c r="E1194" s="56" t="s">
        <v>246</v>
      </c>
      <c r="F1194" s="56" t="s">
        <v>246</v>
      </c>
      <c r="G1194" s="29" t="s">
        <v>2589</v>
      </c>
      <c r="H1194" s="29"/>
      <c r="I1194" s="124" t="s">
        <v>9121</v>
      </c>
      <c r="J1194" s="29">
        <f t="shared" si="76"/>
        <v>1</v>
      </c>
      <c r="K1194" s="158">
        <v>1180</v>
      </c>
      <c r="L1194" s="152" t="s">
        <v>2590</v>
      </c>
      <c r="M1194" s="44" t="s">
        <v>405</v>
      </c>
      <c r="N1194" s="44" t="s">
        <v>2280</v>
      </c>
      <c r="O1194" s="101" t="str">
        <f t="shared" si="83"/>
        <v>PE-L1-2C10-01</v>
      </c>
      <c r="P1194" s="45">
        <v>4.0819999999999999</v>
      </c>
      <c r="Q1194" s="44">
        <v>220</v>
      </c>
      <c r="R1194" s="44" t="s">
        <v>509</v>
      </c>
      <c r="S1194" s="101">
        <v>80</v>
      </c>
      <c r="T1194" s="46" t="s">
        <v>6386</v>
      </c>
      <c r="U1194" s="46" t="s">
        <v>5515</v>
      </c>
      <c r="V1194" s="46" t="s">
        <v>5516</v>
      </c>
      <c r="W1194" s="46" t="s">
        <v>335</v>
      </c>
      <c r="X1194" s="172" t="s">
        <v>8942</v>
      </c>
      <c r="Y1194" s="46" t="s">
        <v>5473</v>
      </c>
      <c r="Z1194" s="46" t="s">
        <v>6648</v>
      </c>
      <c r="AA1194" s="46" t="s">
        <v>335</v>
      </c>
      <c r="AB1194" s="172" t="s">
        <v>8942</v>
      </c>
      <c r="AC1194" s="48" t="s">
        <v>6649</v>
      </c>
      <c r="AD1194" s="231" t="s">
        <v>9270</v>
      </c>
      <c r="AE1194" s="200"/>
      <c r="AF1194" s="100"/>
    </row>
    <row r="1195" spans="1:32" s="32" customFormat="1" ht="69.95" hidden="1" customHeight="1">
      <c r="A1195" s="29" t="s">
        <v>6136</v>
      </c>
      <c r="B1195" s="29" t="s">
        <v>3769</v>
      </c>
      <c r="C1195" s="40" t="s">
        <v>38</v>
      </c>
      <c r="D1195" s="40"/>
      <c r="E1195" s="57" t="s">
        <v>143</v>
      </c>
      <c r="F1195" s="57" t="s">
        <v>143</v>
      </c>
      <c r="G1195" s="29" t="s">
        <v>2591</v>
      </c>
      <c r="H1195" s="29"/>
      <c r="I1195" s="124" t="s">
        <v>9121</v>
      </c>
      <c r="J1195" s="29">
        <f t="shared" si="76"/>
        <v>1</v>
      </c>
      <c r="K1195" s="42">
        <v>1181</v>
      </c>
      <c r="L1195" s="152" t="s">
        <v>2592</v>
      </c>
      <c r="M1195" s="44" t="s">
        <v>405</v>
      </c>
      <c r="N1195" s="44" t="s">
        <v>426</v>
      </c>
      <c r="O1195" s="101" t="str">
        <f t="shared" si="83"/>
        <v>PE-L1-3C4-15</v>
      </c>
      <c r="P1195" s="45">
        <v>3.58</v>
      </c>
      <c r="Q1195" s="44">
        <v>230</v>
      </c>
      <c r="R1195" s="44" t="s">
        <v>49</v>
      </c>
      <c r="S1195" s="101">
        <v>40</v>
      </c>
      <c r="T1195" s="46" t="s">
        <v>6386</v>
      </c>
      <c r="U1195" s="46" t="s">
        <v>6136</v>
      </c>
      <c r="V1195" s="46" t="s">
        <v>6137</v>
      </c>
      <c r="W1195" s="46" t="s">
        <v>335</v>
      </c>
      <c r="X1195" s="172" t="s">
        <v>9167</v>
      </c>
      <c r="Y1195" s="46" t="s">
        <v>5473</v>
      </c>
      <c r="Z1195" s="46" t="s">
        <v>6650</v>
      </c>
      <c r="AA1195" s="46" t="s">
        <v>335</v>
      </c>
      <c r="AB1195" s="172" t="s">
        <v>9167</v>
      </c>
      <c r="AC1195" s="48" t="s">
        <v>6651</v>
      </c>
      <c r="AD1195" s="30"/>
      <c r="AE1195" s="200"/>
      <c r="AF1195" s="100"/>
    </row>
    <row r="1196" spans="1:32" s="32" customFormat="1" ht="69.95" hidden="1" customHeight="1">
      <c r="A1196" s="29" t="s">
        <v>5511</v>
      </c>
      <c r="B1196" s="29" t="s">
        <v>3769</v>
      </c>
      <c r="C1196" s="40" t="s">
        <v>38</v>
      </c>
      <c r="D1196" s="40"/>
      <c r="E1196" s="58" t="s">
        <v>246</v>
      </c>
      <c r="F1196" s="58" t="s">
        <v>246</v>
      </c>
      <c r="G1196" s="29" t="s">
        <v>2593</v>
      </c>
      <c r="H1196" s="29"/>
      <c r="I1196" s="124" t="s">
        <v>9121</v>
      </c>
      <c r="J1196" s="29">
        <f t="shared" si="76"/>
        <v>1</v>
      </c>
      <c r="K1196" s="158">
        <v>1182</v>
      </c>
      <c r="L1196" s="152" t="s">
        <v>2594</v>
      </c>
      <c r="M1196" s="44" t="s">
        <v>405</v>
      </c>
      <c r="N1196" s="44" t="s">
        <v>2280</v>
      </c>
      <c r="O1196" s="101" t="str">
        <f t="shared" si="83"/>
        <v>PE-L1-2C10-01</v>
      </c>
      <c r="P1196" s="45">
        <v>4.0819999999999999</v>
      </c>
      <c r="Q1196" s="44">
        <v>220</v>
      </c>
      <c r="R1196" s="44" t="s">
        <v>509</v>
      </c>
      <c r="S1196" s="101">
        <v>90</v>
      </c>
      <c r="T1196" s="46" t="s">
        <v>6386</v>
      </c>
      <c r="U1196" s="46" t="s">
        <v>5511</v>
      </c>
      <c r="V1196" s="46" t="s">
        <v>5512</v>
      </c>
      <c r="W1196" s="46" t="s">
        <v>335</v>
      </c>
      <c r="X1196" s="172" t="s">
        <v>8942</v>
      </c>
      <c r="Y1196" s="46" t="s">
        <v>5482</v>
      </c>
      <c r="Z1196" s="46" t="s">
        <v>6652</v>
      </c>
      <c r="AA1196" s="46" t="s">
        <v>335</v>
      </c>
      <c r="AB1196" s="172" t="s">
        <v>8942</v>
      </c>
      <c r="AC1196" s="48" t="s">
        <v>6653</v>
      </c>
      <c r="AD1196" s="231" t="s">
        <v>9271</v>
      </c>
      <c r="AE1196" s="200"/>
      <c r="AF1196" s="100"/>
    </row>
    <row r="1197" spans="1:32" s="32" customFormat="1" ht="69.95" hidden="1" customHeight="1">
      <c r="A1197" s="29" t="s">
        <v>5515</v>
      </c>
      <c r="B1197" s="29" t="s">
        <v>3769</v>
      </c>
      <c r="C1197" s="40" t="s">
        <v>38</v>
      </c>
      <c r="D1197" s="40"/>
      <c r="E1197" s="57" t="s">
        <v>246</v>
      </c>
      <c r="F1197" s="57" t="s">
        <v>246</v>
      </c>
      <c r="G1197" s="29" t="s">
        <v>2595</v>
      </c>
      <c r="H1197" s="29"/>
      <c r="I1197" s="124" t="s">
        <v>9121</v>
      </c>
      <c r="J1197" s="29">
        <f t="shared" si="76"/>
        <v>1</v>
      </c>
      <c r="K1197" s="42">
        <v>1183</v>
      </c>
      <c r="L1197" s="152" t="s">
        <v>2596</v>
      </c>
      <c r="M1197" s="44" t="s">
        <v>405</v>
      </c>
      <c r="N1197" s="44" t="s">
        <v>2280</v>
      </c>
      <c r="O1197" s="101" t="str">
        <f t="shared" si="83"/>
        <v>PE-L1-2C10-01</v>
      </c>
      <c r="P1197" s="45">
        <v>4.0819999999999999</v>
      </c>
      <c r="Q1197" s="44">
        <v>220</v>
      </c>
      <c r="R1197" s="44" t="s">
        <v>509</v>
      </c>
      <c r="S1197" s="101">
        <v>70</v>
      </c>
      <c r="T1197" s="46" t="s">
        <v>6386</v>
      </c>
      <c r="U1197" s="46" t="s">
        <v>5515</v>
      </c>
      <c r="V1197" s="46" t="s">
        <v>5516</v>
      </c>
      <c r="W1197" s="46" t="s">
        <v>335</v>
      </c>
      <c r="X1197" s="172" t="s">
        <v>8942</v>
      </c>
      <c r="Y1197" s="46" t="s">
        <v>5482</v>
      </c>
      <c r="Z1197" s="46" t="s">
        <v>6654</v>
      </c>
      <c r="AA1197" s="46" t="s">
        <v>335</v>
      </c>
      <c r="AB1197" s="172" t="s">
        <v>8942</v>
      </c>
      <c r="AC1197" s="48" t="s">
        <v>6655</v>
      </c>
      <c r="AD1197" s="30"/>
      <c r="AE1197" s="200"/>
      <c r="AF1197" s="100"/>
    </row>
    <row r="1198" spans="1:32" s="32" customFormat="1" ht="69.95" hidden="1" customHeight="1">
      <c r="A1198" s="29" t="s">
        <v>6202</v>
      </c>
      <c r="B1198" s="29" t="s">
        <v>3769</v>
      </c>
      <c r="C1198" s="40" t="s">
        <v>36</v>
      </c>
      <c r="D1198" s="40"/>
      <c r="E1198" s="57" t="s">
        <v>78</v>
      </c>
      <c r="F1198" s="57" t="s">
        <v>78</v>
      </c>
      <c r="G1198" s="29" t="s">
        <v>2597</v>
      </c>
      <c r="H1198" s="29"/>
      <c r="I1198" s="124" t="s">
        <v>9121</v>
      </c>
      <c r="J1198" s="29">
        <f t="shared" si="76"/>
        <v>1</v>
      </c>
      <c r="K1198" s="42">
        <v>1184</v>
      </c>
      <c r="L1198" s="152" t="s">
        <v>2598</v>
      </c>
      <c r="M1198" s="44" t="s">
        <v>405</v>
      </c>
      <c r="N1198" s="44" t="s">
        <v>456</v>
      </c>
      <c r="O1198" s="101" t="str">
        <f t="shared" si="83"/>
        <v>PE-L1-3C6-01</v>
      </c>
      <c r="P1198" s="45">
        <v>3.28</v>
      </c>
      <c r="Q1198" s="44">
        <v>230</v>
      </c>
      <c r="R1198" s="44" t="s">
        <v>49</v>
      </c>
      <c r="S1198" s="101">
        <v>50</v>
      </c>
      <c r="T1198" s="46" t="s">
        <v>6386</v>
      </c>
      <c r="U1198" s="46" t="s">
        <v>6202</v>
      </c>
      <c r="V1198" s="46" t="s">
        <v>6203</v>
      </c>
      <c r="W1198" s="46" t="s">
        <v>335</v>
      </c>
      <c r="X1198" s="172" t="s">
        <v>9167</v>
      </c>
      <c r="Y1198" s="46" t="s">
        <v>5482</v>
      </c>
      <c r="Z1198" s="46" t="s">
        <v>6656</v>
      </c>
      <c r="AA1198" s="46" t="s">
        <v>335</v>
      </c>
      <c r="AB1198" s="172" t="s">
        <v>9167</v>
      </c>
      <c r="AC1198" s="48" t="s">
        <v>6657</v>
      </c>
      <c r="AD1198" s="30"/>
      <c r="AE1198" s="200"/>
      <c r="AF1198" s="100"/>
    </row>
    <row r="1199" spans="1:32" s="32" customFormat="1" ht="69.95" hidden="1" customHeight="1">
      <c r="A1199" s="29" t="s">
        <v>5511</v>
      </c>
      <c r="B1199" s="29" t="s">
        <v>3769</v>
      </c>
      <c r="C1199" s="40" t="s">
        <v>40</v>
      </c>
      <c r="D1199" s="40"/>
      <c r="E1199" s="57" t="s">
        <v>77</v>
      </c>
      <c r="F1199" s="57" t="s">
        <v>77</v>
      </c>
      <c r="G1199" s="29" t="s">
        <v>2599</v>
      </c>
      <c r="H1199" s="29"/>
      <c r="I1199" s="124" t="s">
        <v>9121</v>
      </c>
      <c r="J1199" s="29">
        <f t="shared" si="76"/>
        <v>1</v>
      </c>
      <c r="K1199" s="42">
        <v>1185</v>
      </c>
      <c r="L1199" s="152" t="s">
        <v>2600</v>
      </c>
      <c r="M1199" s="44" t="s">
        <v>405</v>
      </c>
      <c r="N1199" s="44" t="s">
        <v>613</v>
      </c>
      <c r="O1199" s="101" t="str">
        <f t="shared" si="83"/>
        <v>PE-L1-2C6-01</v>
      </c>
      <c r="P1199" s="45">
        <v>1.6099999999999999</v>
      </c>
      <c r="Q1199" s="44">
        <v>220</v>
      </c>
      <c r="R1199" s="44" t="s">
        <v>509</v>
      </c>
      <c r="S1199" s="101">
        <v>100</v>
      </c>
      <c r="T1199" s="46" t="s">
        <v>6386</v>
      </c>
      <c r="U1199" s="46" t="s">
        <v>5511</v>
      </c>
      <c r="V1199" s="46" t="s">
        <v>5512</v>
      </c>
      <c r="W1199" s="46" t="s">
        <v>335</v>
      </c>
      <c r="X1199" s="131" t="s">
        <v>8942</v>
      </c>
      <c r="Y1199" s="46" t="s">
        <v>6658</v>
      </c>
      <c r="Z1199" s="46" t="s">
        <v>6659</v>
      </c>
      <c r="AA1199" s="46" t="s">
        <v>335</v>
      </c>
      <c r="AB1199" s="131" t="s">
        <v>8942</v>
      </c>
      <c r="AC1199" s="48" t="s">
        <v>6660</v>
      </c>
      <c r="AD1199" s="30"/>
      <c r="AE1199" s="200"/>
      <c r="AF1199" s="100"/>
    </row>
    <row r="1200" spans="1:32" s="32" customFormat="1" ht="69.95" hidden="1" customHeight="1">
      <c r="A1200" s="29" t="s">
        <v>5515</v>
      </c>
      <c r="B1200" s="29" t="s">
        <v>3769</v>
      </c>
      <c r="C1200" s="40" t="s">
        <v>40</v>
      </c>
      <c r="D1200" s="40"/>
      <c r="E1200" s="56" t="s">
        <v>77</v>
      </c>
      <c r="F1200" s="56" t="s">
        <v>77</v>
      </c>
      <c r="G1200" s="29" t="s">
        <v>2601</v>
      </c>
      <c r="H1200" s="29"/>
      <c r="I1200" s="124" t="s">
        <v>9121</v>
      </c>
      <c r="J1200" s="29">
        <f t="shared" si="76"/>
        <v>1</v>
      </c>
      <c r="K1200" s="42">
        <v>1186</v>
      </c>
      <c r="L1200" s="152" t="s">
        <v>2602</v>
      </c>
      <c r="M1200" s="44" t="s">
        <v>405</v>
      </c>
      <c r="N1200" s="44" t="s">
        <v>613</v>
      </c>
      <c r="O1200" s="101" t="str">
        <f t="shared" si="83"/>
        <v>PE-L1-2C6-01</v>
      </c>
      <c r="P1200" s="45">
        <v>1.6099999999999999</v>
      </c>
      <c r="Q1200" s="44">
        <v>220</v>
      </c>
      <c r="R1200" s="44" t="s">
        <v>509</v>
      </c>
      <c r="S1200" s="101">
        <v>100</v>
      </c>
      <c r="T1200" s="46" t="s">
        <v>6386</v>
      </c>
      <c r="U1200" s="46" t="s">
        <v>5515</v>
      </c>
      <c r="V1200" s="46" t="s">
        <v>5516</v>
      </c>
      <c r="W1200" s="46" t="s">
        <v>335</v>
      </c>
      <c r="X1200" s="131" t="s">
        <v>8942</v>
      </c>
      <c r="Y1200" s="46" t="s">
        <v>6658</v>
      </c>
      <c r="Z1200" s="46" t="s">
        <v>6661</v>
      </c>
      <c r="AA1200" s="46" t="s">
        <v>335</v>
      </c>
      <c r="AB1200" s="131" t="s">
        <v>8942</v>
      </c>
      <c r="AC1200" s="48" t="s">
        <v>6662</v>
      </c>
      <c r="AD1200" s="30"/>
      <c r="AE1200" s="200"/>
      <c r="AF1200" s="100"/>
    </row>
    <row r="1201" spans="1:32" s="32" customFormat="1" ht="69.95" hidden="1" customHeight="1">
      <c r="A1201" s="29" t="s">
        <v>6136</v>
      </c>
      <c r="B1201" s="29" t="s">
        <v>3769</v>
      </c>
      <c r="C1201" s="40" t="s">
        <v>40</v>
      </c>
      <c r="D1201" s="40"/>
      <c r="E1201" s="57" t="s">
        <v>143</v>
      </c>
      <c r="F1201" s="57" t="s">
        <v>143</v>
      </c>
      <c r="G1201" s="29" t="s">
        <v>2603</v>
      </c>
      <c r="H1201" s="29"/>
      <c r="I1201" s="124" t="s">
        <v>9121</v>
      </c>
      <c r="J1201" s="29">
        <f t="shared" si="76"/>
        <v>1</v>
      </c>
      <c r="K1201" s="42">
        <v>1187</v>
      </c>
      <c r="L1201" s="152" t="s">
        <v>2604</v>
      </c>
      <c r="M1201" s="44" t="s">
        <v>405</v>
      </c>
      <c r="N1201" s="44" t="s">
        <v>426</v>
      </c>
      <c r="O1201" s="101" t="str">
        <f t="shared" si="83"/>
        <v>PE-L1-3C4-15</v>
      </c>
      <c r="P1201" s="45">
        <v>1.23</v>
      </c>
      <c r="Q1201" s="44">
        <v>230</v>
      </c>
      <c r="R1201" s="44" t="s">
        <v>49</v>
      </c>
      <c r="S1201" s="101">
        <v>90</v>
      </c>
      <c r="T1201" s="46" t="s">
        <v>6386</v>
      </c>
      <c r="U1201" s="46" t="s">
        <v>6136</v>
      </c>
      <c r="V1201" s="46" t="s">
        <v>6137</v>
      </c>
      <c r="W1201" s="46" t="s">
        <v>335</v>
      </c>
      <c r="X1201" s="172" t="s">
        <v>9167</v>
      </c>
      <c r="Y1201" s="46" t="s">
        <v>6658</v>
      </c>
      <c r="Z1201" s="46" t="s">
        <v>6663</v>
      </c>
      <c r="AA1201" s="46" t="s">
        <v>335</v>
      </c>
      <c r="AB1201" s="172" t="s">
        <v>9167</v>
      </c>
      <c r="AC1201" s="48" t="s">
        <v>6664</v>
      </c>
      <c r="AD1201" s="30"/>
      <c r="AE1201" s="200"/>
      <c r="AF1201" s="100"/>
    </row>
    <row r="1202" spans="1:32" s="32" customFormat="1" ht="69.95" hidden="1" customHeight="1">
      <c r="A1202" s="29" t="s">
        <v>5511</v>
      </c>
      <c r="B1202" s="29" t="s">
        <v>3769</v>
      </c>
      <c r="C1202" s="40" t="s">
        <v>41</v>
      </c>
      <c r="D1202" s="40"/>
      <c r="E1202" s="58" t="s">
        <v>77</v>
      </c>
      <c r="F1202" s="58" t="s">
        <v>77</v>
      </c>
      <c r="G1202" s="29" t="s">
        <v>2605</v>
      </c>
      <c r="H1202" s="29"/>
      <c r="I1202" s="124" t="s">
        <v>9121</v>
      </c>
      <c r="J1202" s="29">
        <f t="shared" si="76"/>
        <v>1</v>
      </c>
      <c r="K1202" s="42">
        <v>1188</v>
      </c>
      <c r="L1202" s="152" t="s">
        <v>2606</v>
      </c>
      <c r="M1202" s="44" t="s">
        <v>405</v>
      </c>
      <c r="N1202" s="44" t="s">
        <v>613</v>
      </c>
      <c r="O1202" s="101" t="str">
        <f t="shared" si="83"/>
        <v>PE-L1-2C6-01</v>
      </c>
      <c r="P1202" s="45">
        <v>1.6099999999999999</v>
      </c>
      <c r="Q1202" s="44">
        <v>220</v>
      </c>
      <c r="R1202" s="44" t="s">
        <v>509</v>
      </c>
      <c r="S1202" s="101">
        <v>100</v>
      </c>
      <c r="T1202" s="46" t="s">
        <v>6386</v>
      </c>
      <c r="U1202" s="46" t="s">
        <v>5511</v>
      </c>
      <c r="V1202" s="46" t="s">
        <v>5512</v>
      </c>
      <c r="W1202" s="46" t="s">
        <v>335</v>
      </c>
      <c r="X1202" s="131" t="s">
        <v>8942</v>
      </c>
      <c r="Y1202" s="46" t="s">
        <v>6665</v>
      </c>
      <c r="Z1202" s="46" t="s">
        <v>6666</v>
      </c>
      <c r="AA1202" s="46" t="s">
        <v>335</v>
      </c>
      <c r="AB1202" s="131" t="s">
        <v>8942</v>
      </c>
      <c r="AC1202" s="48" t="s">
        <v>6667</v>
      </c>
      <c r="AD1202" s="30"/>
      <c r="AE1202" s="200"/>
      <c r="AF1202" s="100"/>
    </row>
    <row r="1203" spans="1:32" s="32" customFormat="1" ht="69.95" hidden="1" customHeight="1">
      <c r="A1203" s="29" t="s">
        <v>5515</v>
      </c>
      <c r="B1203" s="29" t="s">
        <v>3769</v>
      </c>
      <c r="C1203" s="40" t="s">
        <v>41</v>
      </c>
      <c r="D1203" s="40"/>
      <c r="E1203" s="56" t="s">
        <v>77</v>
      </c>
      <c r="F1203" s="56" t="s">
        <v>77</v>
      </c>
      <c r="G1203" s="29" t="s">
        <v>2607</v>
      </c>
      <c r="H1203" s="29"/>
      <c r="I1203" s="124" t="s">
        <v>9121</v>
      </c>
      <c r="J1203" s="29">
        <f t="shared" si="76"/>
        <v>1</v>
      </c>
      <c r="K1203" s="42">
        <v>1189</v>
      </c>
      <c r="L1203" s="152" t="s">
        <v>2608</v>
      </c>
      <c r="M1203" s="44" t="s">
        <v>405</v>
      </c>
      <c r="N1203" s="44" t="s">
        <v>8618</v>
      </c>
      <c r="O1203" s="101" t="str">
        <f t="shared" si="83"/>
        <v>PE-L1-2C6-01</v>
      </c>
      <c r="P1203" s="45">
        <v>1.6099999999999999</v>
      </c>
      <c r="Q1203" s="44">
        <v>220</v>
      </c>
      <c r="R1203" s="44" t="s">
        <v>509</v>
      </c>
      <c r="S1203" s="101">
        <v>120</v>
      </c>
      <c r="T1203" s="46" t="s">
        <v>6386</v>
      </c>
      <c r="U1203" s="46" t="s">
        <v>5515</v>
      </c>
      <c r="V1203" s="46" t="s">
        <v>5516</v>
      </c>
      <c r="W1203" s="46" t="s">
        <v>335</v>
      </c>
      <c r="X1203" s="131" t="s">
        <v>8942</v>
      </c>
      <c r="Y1203" s="46" t="s">
        <v>6665</v>
      </c>
      <c r="Z1203" s="46" t="s">
        <v>6668</v>
      </c>
      <c r="AA1203" s="46" t="s">
        <v>335</v>
      </c>
      <c r="AB1203" s="131" t="s">
        <v>8942</v>
      </c>
      <c r="AC1203" s="48" t="s">
        <v>6669</v>
      </c>
      <c r="AD1203" s="30"/>
      <c r="AE1203" s="200"/>
      <c r="AF1203" s="100"/>
    </row>
    <row r="1204" spans="1:32" s="32" customFormat="1" ht="69.95" hidden="1" customHeight="1">
      <c r="A1204" s="29" t="s">
        <v>6202</v>
      </c>
      <c r="B1204" s="29" t="s">
        <v>3769</v>
      </c>
      <c r="C1204" s="40" t="s">
        <v>38</v>
      </c>
      <c r="D1204" s="40"/>
      <c r="E1204" s="57" t="s">
        <v>143</v>
      </c>
      <c r="F1204" s="57" t="s">
        <v>143</v>
      </c>
      <c r="G1204" s="29" t="s">
        <v>2609</v>
      </c>
      <c r="H1204" s="29"/>
      <c r="I1204" s="124" t="s">
        <v>9121</v>
      </c>
      <c r="J1204" s="29">
        <f t="shared" si="76"/>
        <v>1</v>
      </c>
      <c r="K1204" s="42">
        <v>1190</v>
      </c>
      <c r="L1204" s="152" t="s">
        <v>2610</v>
      </c>
      <c r="M1204" s="44" t="s">
        <v>405</v>
      </c>
      <c r="N1204" s="44" t="s">
        <v>426</v>
      </c>
      <c r="O1204" s="101" t="str">
        <f t="shared" si="83"/>
        <v>PE-L1-3C4-15</v>
      </c>
      <c r="P1204" s="45">
        <v>1.23</v>
      </c>
      <c r="Q1204" s="44">
        <v>230</v>
      </c>
      <c r="R1204" s="44" t="s">
        <v>49</v>
      </c>
      <c r="S1204" s="101">
        <v>100</v>
      </c>
      <c r="T1204" s="46" t="s">
        <v>6386</v>
      </c>
      <c r="U1204" s="46" t="s">
        <v>6202</v>
      </c>
      <c r="V1204" s="46" t="s">
        <v>6203</v>
      </c>
      <c r="W1204" s="46" t="s">
        <v>335</v>
      </c>
      <c r="X1204" s="172" t="s">
        <v>9167</v>
      </c>
      <c r="Y1204" s="46" t="s">
        <v>6665</v>
      </c>
      <c r="Z1204" s="46" t="s">
        <v>6670</v>
      </c>
      <c r="AA1204" s="46" t="s">
        <v>335</v>
      </c>
      <c r="AB1204" s="172" t="s">
        <v>9167</v>
      </c>
      <c r="AC1204" s="48" t="s">
        <v>6671</v>
      </c>
      <c r="AD1204" s="30"/>
      <c r="AE1204" s="200"/>
      <c r="AF1204" s="100"/>
    </row>
    <row r="1205" spans="1:32" s="32" customFormat="1" ht="69.95" hidden="1" customHeight="1">
      <c r="A1205" s="29" t="s">
        <v>5511</v>
      </c>
      <c r="B1205" s="29" t="s">
        <v>3769</v>
      </c>
      <c r="C1205" s="40" t="s">
        <v>42</v>
      </c>
      <c r="D1205" s="40"/>
      <c r="E1205" s="58" t="s">
        <v>253</v>
      </c>
      <c r="F1205" s="58" t="s">
        <v>253</v>
      </c>
      <c r="G1205" s="29" t="s">
        <v>8939</v>
      </c>
      <c r="H1205" s="29"/>
      <c r="I1205" s="124" t="s">
        <v>9121</v>
      </c>
      <c r="J1205" s="29">
        <f t="shared" si="76"/>
        <v>1</v>
      </c>
      <c r="K1205" s="158">
        <v>1191</v>
      </c>
      <c r="L1205" s="152" t="s">
        <v>9531</v>
      </c>
      <c r="M1205" s="44" t="s">
        <v>405</v>
      </c>
      <c r="N1205" s="44" t="s">
        <v>578</v>
      </c>
      <c r="O1205" s="101" t="str">
        <f t="shared" si="83"/>
        <v>PE-L1-2C4-03</v>
      </c>
      <c r="P1205" s="45">
        <v>0.17</v>
      </c>
      <c r="Q1205" s="44">
        <v>220</v>
      </c>
      <c r="R1205" s="44" t="s">
        <v>509</v>
      </c>
      <c r="S1205" s="101">
        <v>50</v>
      </c>
      <c r="T1205" s="46" t="s">
        <v>6386</v>
      </c>
      <c r="U1205" s="46" t="s">
        <v>5511</v>
      </c>
      <c r="V1205" s="46" t="s">
        <v>5512</v>
      </c>
      <c r="W1205" s="46" t="s">
        <v>335</v>
      </c>
      <c r="X1205" s="172" t="s">
        <v>8942</v>
      </c>
      <c r="Y1205" s="46" t="s">
        <v>6672</v>
      </c>
      <c r="Z1205" s="46" t="s">
        <v>6673</v>
      </c>
      <c r="AA1205" s="46" t="s">
        <v>335</v>
      </c>
      <c r="AB1205" s="172" t="s">
        <v>8942</v>
      </c>
      <c r="AC1205" s="48" t="s">
        <v>6674</v>
      </c>
      <c r="AD1205" s="231" t="s">
        <v>9272</v>
      </c>
      <c r="AE1205" s="200"/>
      <c r="AF1205" s="100"/>
    </row>
    <row r="1206" spans="1:32" s="32" customFormat="1" ht="69.95" hidden="1" customHeight="1">
      <c r="A1206" s="29" t="s">
        <v>5515</v>
      </c>
      <c r="B1206" s="29" t="s">
        <v>3769</v>
      </c>
      <c r="C1206" s="40" t="s">
        <v>42</v>
      </c>
      <c r="D1206" s="40"/>
      <c r="E1206" s="56" t="s">
        <v>253</v>
      </c>
      <c r="F1206" s="56" t="s">
        <v>253</v>
      </c>
      <c r="G1206" s="29" t="s">
        <v>2611</v>
      </c>
      <c r="H1206" s="29"/>
      <c r="I1206" s="124" t="s">
        <v>9121</v>
      </c>
      <c r="J1206" s="29">
        <f t="shared" si="76"/>
        <v>1</v>
      </c>
      <c r="K1206" s="42">
        <v>1192</v>
      </c>
      <c r="L1206" s="152" t="s">
        <v>2612</v>
      </c>
      <c r="M1206" s="44" t="s">
        <v>405</v>
      </c>
      <c r="N1206" s="44" t="s">
        <v>578</v>
      </c>
      <c r="O1206" s="101" t="str">
        <f t="shared" si="83"/>
        <v>PE-L1-2C4-03</v>
      </c>
      <c r="P1206" s="45">
        <v>0.17</v>
      </c>
      <c r="Q1206" s="44">
        <v>220</v>
      </c>
      <c r="R1206" s="44" t="s">
        <v>509</v>
      </c>
      <c r="S1206" s="101">
        <v>60</v>
      </c>
      <c r="T1206" s="46" t="s">
        <v>6386</v>
      </c>
      <c r="U1206" s="46" t="s">
        <v>5515</v>
      </c>
      <c r="V1206" s="46" t="s">
        <v>5516</v>
      </c>
      <c r="W1206" s="46" t="s">
        <v>335</v>
      </c>
      <c r="X1206" s="172" t="s">
        <v>8942</v>
      </c>
      <c r="Y1206" s="46" t="s">
        <v>6672</v>
      </c>
      <c r="Z1206" s="46" t="s">
        <v>6675</v>
      </c>
      <c r="AA1206" s="46" t="s">
        <v>335</v>
      </c>
      <c r="AB1206" s="172" t="s">
        <v>8942</v>
      </c>
      <c r="AC1206" s="48" t="s">
        <v>6676</v>
      </c>
      <c r="AD1206" s="30"/>
      <c r="AE1206" s="200"/>
      <c r="AF1206" s="100"/>
    </row>
    <row r="1207" spans="1:32" s="32" customFormat="1" ht="69.95" hidden="1" customHeight="1">
      <c r="A1207" s="29" t="s">
        <v>6202</v>
      </c>
      <c r="B1207" s="29" t="s">
        <v>3769</v>
      </c>
      <c r="C1207" s="40" t="s">
        <v>40</v>
      </c>
      <c r="D1207" s="40"/>
      <c r="E1207" s="57" t="s">
        <v>143</v>
      </c>
      <c r="F1207" s="57" t="s">
        <v>143</v>
      </c>
      <c r="G1207" s="29" t="s">
        <v>2613</v>
      </c>
      <c r="H1207" s="29"/>
      <c r="I1207" s="124" t="s">
        <v>9121</v>
      </c>
      <c r="J1207" s="29">
        <f t="shared" si="76"/>
        <v>1</v>
      </c>
      <c r="K1207" s="42">
        <v>1193</v>
      </c>
      <c r="L1207" s="152" t="s">
        <v>2614</v>
      </c>
      <c r="M1207" s="44" t="s">
        <v>405</v>
      </c>
      <c r="N1207" s="44" t="s">
        <v>426</v>
      </c>
      <c r="O1207" s="101" t="str">
        <f t="shared" si="83"/>
        <v>PE-L1-3C4-15</v>
      </c>
      <c r="P1207" s="45">
        <v>0.1</v>
      </c>
      <c r="Q1207" s="44">
        <v>230</v>
      </c>
      <c r="R1207" s="44" t="s">
        <v>49</v>
      </c>
      <c r="S1207" s="101">
        <v>40</v>
      </c>
      <c r="T1207" s="46" t="s">
        <v>6386</v>
      </c>
      <c r="U1207" s="46" t="s">
        <v>6202</v>
      </c>
      <c r="V1207" s="46" t="s">
        <v>6203</v>
      </c>
      <c r="W1207" s="46" t="s">
        <v>335</v>
      </c>
      <c r="X1207" s="172" t="s">
        <v>9167</v>
      </c>
      <c r="Y1207" s="46" t="s">
        <v>6672</v>
      </c>
      <c r="Z1207" s="46" t="s">
        <v>6677</v>
      </c>
      <c r="AA1207" s="46" t="s">
        <v>335</v>
      </c>
      <c r="AB1207" s="172" t="s">
        <v>9167</v>
      </c>
      <c r="AC1207" s="48" t="s">
        <v>6678</v>
      </c>
      <c r="AD1207" s="30"/>
      <c r="AE1207" s="200"/>
      <c r="AF1207" s="100"/>
    </row>
    <row r="1208" spans="1:32" s="32" customFormat="1" ht="69.95" hidden="1" customHeight="1">
      <c r="A1208" s="29" t="s">
        <v>5511</v>
      </c>
      <c r="B1208" s="29" t="s">
        <v>3769</v>
      </c>
      <c r="C1208" s="40" t="s">
        <v>43</v>
      </c>
      <c r="D1208" s="40"/>
      <c r="E1208" s="58" t="s">
        <v>253</v>
      </c>
      <c r="F1208" s="58" t="s">
        <v>253</v>
      </c>
      <c r="G1208" s="29" t="s">
        <v>2615</v>
      </c>
      <c r="H1208" s="29"/>
      <c r="I1208" s="124" t="s">
        <v>9121</v>
      </c>
      <c r="J1208" s="29">
        <f t="shared" si="76"/>
        <v>1</v>
      </c>
      <c r="K1208" s="158">
        <v>1194</v>
      </c>
      <c r="L1208" s="152" t="s">
        <v>2616</v>
      </c>
      <c r="M1208" s="44" t="s">
        <v>405</v>
      </c>
      <c r="N1208" s="44" t="s">
        <v>578</v>
      </c>
      <c r="O1208" s="101" t="str">
        <f t="shared" si="83"/>
        <v>PE-L1-2C4-03</v>
      </c>
      <c r="P1208" s="45">
        <v>0.17</v>
      </c>
      <c r="Q1208" s="44">
        <v>220</v>
      </c>
      <c r="R1208" s="44" t="s">
        <v>509</v>
      </c>
      <c r="S1208" s="101">
        <v>50</v>
      </c>
      <c r="T1208" s="46" t="s">
        <v>6386</v>
      </c>
      <c r="U1208" s="46" t="s">
        <v>5511</v>
      </c>
      <c r="V1208" s="46" t="s">
        <v>5512</v>
      </c>
      <c r="W1208" s="46" t="s">
        <v>335</v>
      </c>
      <c r="X1208" s="172" t="s">
        <v>8942</v>
      </c>
      <c r="Y1208" s="46" t="s">
        <v>6679</v>
      </c>
      <c r="Z1208" s="46" t="s">
        <v>6680</v>
      </c>
      <c r="AA1208" s="46" t="s">
        <v>335</v>
      </c>
      <c r="AB1208" s="172" t="s">
        <v>8942</v>
      </c>
      <c r="AC1208" s="48" t="s">
        <v>6681</v>
      </c>
      <c r="AD1208" s="231" t="s">
        <v>9273</v>
      </c>
      <c r="AE1208" s="200"/>
      <c r="AF1208" s="100"/>
    </row>
    <row r="1209" spans="1:32" s="32" customFormat="1" ht="69.95" hidden="1" customHeight="1">
      <c r="A1209" s="29" t="s">
        <v>5515</v>
      </c>
      <c r="B1209" s="29" t="s">
        <v>3769</v>
      </c>
      <c r="C1209" s="40" t="s">
        <v>43</v>
      </c>
      <c r="D1209" s="40"/>
      <c r="E1209" s="56" t="s">
        <v>253</v>
      </c>
      <c r="F1209" s="56" t="s">
        <v>253</v>
      </c>
      <c r="G1209" s="29" t="s">
        <v>2617</v>
      </c>
      <c r="H1209" s="29"/>
      <c r="I1209" s="124" t="s">
        <v>9121</v>
      </c>
      <c r="J1209" s="29">
        <f t="shared" si="76"/>
        <v>1</v>
      </c>
      <c r="K1209" s="42">
        <v>1195</v>
      </c>
      <c r="L1209" s="152" t="s">
        <v>2618</v>
      </c>
      <c r="M1209" s="44" t="s">
        <v>405</v>
      </c>
      <c r="N1209" s="44" t="s">
        <v>578</v>
      </c>
      <c r="O1209" s="101" t="str">
        <f t="shared" si="83"/>
        <v>PE-L1-2C4-03</v>
      </c>
      <c r="P1209" s="45">
        <v>0.17</v>
      </c>
      <c r="Q1209" s="44">
        <v>220</v>
      </c>
      <c r="R1209" s="44" t="s">
        <v>509</v>
      </c>
      <c r="S1209" s="101">
        <v>60</v>
      </c>
      <c r="T1209" s="46" t="s">
        <v>6386</v>
      </c>
      <c r="U1209" s="46" t="s">
        <v>5515</v>
      </c>
      <c r="V1209" s="46" t="s">
        <v>5516</v>
      </c>
      <c r="W1209" s="46" t="s">
        <v>335</v>
      </c>
      <c r="X1209" s="172" t="s">
        <v>8942</v>
      </c>
      <c r="Y1209" s="46" t="s">
        <v>6679</v>
      </c>
      <c r="Z1209" s="46" t="s">
        <v>6682</v>
      </c>
      <c r="AA1209" s="46" t="s">
        <v>335</v>
      </c>
      <c r="AB1209" s="172" t="s">
        <v>8942</v>
      </c>
      <c r="AC1209" s="48" t="s">
        <v>6676</v>
      </c>
      <c r="AD1209" s="30"/>
      <c r="AE1209" s="200"/>
      <c r="AF1209" s="100"/>
    </row>
    <row r="1210" spans="1:32" s="32" customFormat="1" ht="69.95" hidden="1" customHeight="1">
      <c r="A1210" s="29" t="s">
        <v>6136</v>
      </c>
      <c r="B1210" s="29" t="s">
        <v>3769</v>
      </c>
      <c r="C1210" s="40" t="s">
        <v>41</v>
      </c>
      <c r="D1210" s="40"/>
      <c r="E1210" s="57" t="s">
        <v>143</v>
      </c>
      <c r="F1210" s="57" t="s">
        <v>143</v>
      </c>
      <c r="G1210" s="29" t="s">
        <v>2619</v>
      </c>
      <c r="H1210" s="29"/>
      <c r="I1210" s="124" t="s">
        <v>9121</v>
      </c>
      <c r="J1210" s="29">
        <f t="shared" si="76"/>
        <v>1</v>
      </c>
      <c r="K1210" s="42">
        <v>1196</v>
      </c>
      <c r="L1210" s="152" t="s">
        <v>2620</v>
      </c>
      <c r="M1210" s="44" t="s">
        <v>405</v>
      </c>
      <c r="N1210" s="44" t="s">
        <v>426</v>
      </c>
      <c r="O1210" s="101" t="str">
        <f t="shared" si="83"/>
        <v>PE-L1-3C4-15</v>
      </c>
      <c r="P1210" s="45">
        <v>0.1</v>
      </c>
      <c r="Q1210" s="44">
        <v>230</v>
      </c>
      <c r="R1210" s="44" t="s">
        <v>49</v>
      </c>
      <c r="S1210" s="101">
        <v>40</v>
      </c>
      <c r="T1210" s="46" t="s">
        <v>6386</v>
      </c>
      <c r="U1210" s="46" t="s">
        <v>6136</v>
      </c>
      <c r="V1210" s="46" t="s">
        <v>6137</v>
      </c>
      <c r="W1210" s="46" t="s">
        <v>335</v>
      </c>
      <c r="X1210" s="172" t="s">
        <v>9167</v>
      </c>
      <c r="Y1210" s="46" t="s">
        <v>6679</v>
      </c>
      <c r="Z1210" s="46" t="s">
        <v>6683</v>
      </c>
      <c r="AA1210" s="46" t="s">
        <v>335</v>
      </c>
      <c r="AB1210" s="172" t="s">
        <v>9167</v>
      </c>
      <c r="AC1210" s="48" t="s">
        <v>6684</v>
      </c>
      <c r="AD1210" s="30"/>
      <c r="AE1210" s="200"/>
      <c r="AF1210" s="100"/>
    </row>
    <row r="1211" spans="1:32" s="32" customFormat="1" ht="69.95" hidden="1" customHeight="1">
      <c r="A1211" s="29" t="s">
        <v>5511</v>
      </c>
      <c r="B1211" s="29" t="s">
        <v>3769</v>
      </c>
      <c r="C1211" s="40" t="s">
        <v>73</v>
      </c>
      <c r="D1211" s="40"/>
      <c r="E1211" s="57" t="s">
        <v>253</v>
      </c>
      <c r="F1211" s="57" t="s">
        <v>253</v>
      </c>
      <c r="G1211" s="29" t="s">
        <v>2621</v>
      </c>
      <c r="H1211" s="29"/>
      <c r="I1211" s="124" t="s">
        <v>9121</v>
      </c>
      <c r="J1211" s="29">
        <f t="shared" si="76"/>
        <v>1</v>
      </c>
      <c r="K1211" s="42">
        <v>1197</v>
      </c>
      <c r="L1211" s="152" t="s">
        <v>2622</v>
      </c>
      <c r="M1211" s="44" t="s">
        <v>405</v>
      </c>
      <c r="N1211" s="44" t="s">
        <v>578</v>
      </c>
      <c r="O1211" s="101" t="str">
        <f t="shared" si="83"/>
        <v>PE-L1-2C4-03</v>
      </c>
      <c r="P1211" s="45">
        <v>1.3</v>
      </c>
      <c r="Q1211" s="44">
        <v>220</v>
      </c>
      <c r="R1211" s="44" t="s">
        <v>509</v>
      </c>
      <c r="S1211" s="101">
        <v>40</v>
      </c>
      <c r="T1211" s="46" t="s">
        <v>6386</v>
      </c>
      <c r="U1211" s="46" t="s">
        <v>5511</v>
      </c>
      <c r="V1211" s="46" t="s">
        <v>5512</v>
      </c>
      <c r="W1211" s="46" t="s">
        <v>335</v>
      </c>
      <c r="X1211" s="172" t="s">
        <v>8942</v>
      </c>
      <c r="Y1211" s="46" t="s">
        <v>6685</v>
      </c>
      <c r="Z1211" s="46" t="s">
        <v>6686</v>
      </c>
      <c r="AA1211" s="46" t="s">
        <v>335</v>
      </c>
      <c r="AB1211" s="172" t="s">
        <v>8942</v>
      </c>
      <c r="AC1211" s="48" t="s">
        <v>6687</v>
      </c>
      <c r="AD1211" s="30"/>
      <c r="AE1211" s="200"/>
      <c r="AF1211" s="100"/>
    </row>
    <row r="1212" spans="1:32" s="32" customFormat="1" ht="69.95" hidden="1" customHeight="1">
      <c r="A1212" s="29" t="s">
        <v>5515</v>
      </c>
      <c r="B1212" s="29" t="s">
        <v>3769</v>
      </c>
      <c r="C1212" s="40" t="s">
        <v>73</v>
      </c>
      <c r="D1212" s="40"/>
      <c r="E1212" s="56" t="s">
        <v>253</v>
      </c>
      <c r="F1212" s="56" t="s">
        <v>253</v>
      </c>
      <c r="G1212" s="29" t="s">
        <v>2623</v>
      </c>
      <c r="H1212" s="29"/>
      <c r="I1212" s="124" t="s">
        <v>9121</v>
      </c>
      <c r="J1212" s="29">
        <f t="shared" si="76"/>
        <v>1</v>
      </c>
      <c r="K1212" s="42">
        <v>1198</v>
      </c>
      <c r="L1212" s="152" t="s">
        <v>2624</v>
      </c>
      <c r="M1212" s="44" t="s">
        <v>405</v>
      </c>
      <c r="N1212" s="44" t="s">
        <v>578</v>
      </c>
      <c r="O1212" s="101" t="str">
        <f t="shared" si="83"/>
        <v>PE-L1-2C4-03</v>
      </c>
      <c r="P1212" s="45">
        <v>1.3</v>
      </c>
      <c r="Q1212" s="44">
        <v>220</v>
      </c>
      <c r="R1212" s="44" t="s">
        <v>509</v>
      </c>
      <c r="S1212" s="101">
        <v>50</v>
      </c>
      <c r="T1212" s="46" t="s">
        <v>6386</v>
      </c>
      <c r="U1212" s="46" t="s">
        <v>5515</v>
      </c>
      <c r="V1212" s="46" t="s">
        <v>5516</v>
      </c>
      <c r="W1212" s="46" t="s">
        <v>335</v>
      </c>
      <c r="X1212" s="172" t="s">
        <v>8942</v>
      </c>
      <c r="Y1212" s="46" t="s">
        <v>6685</v>
      </c>
      <c r="Z1212" s="46" t="s">
        <v>6688</v>
      </c>
      <c r="AA1212" s="46" t="s">
        <v>335</v>
      </c>
      <c r="AB1212" s="172" t="s">
        <v>8942</v>
      </c>
      <c r="AC1212" s="48" t="s">
        <v>6689</v>
      </c>
      <c r="AD1212" s="30"/>
      <c r="AE1212" s="200"/>
      <c r="AF1212" s="100"/>
    </row>
    <row r="1213" spans="1:32" s="32" customFormat="1" ht="69.95" hidden="1" customHeight="1">
      <c r="A1213" s="29" t="s">
        <v>6136</v>
      </c>
      <c r="B1213" s="29" t="s">
        <v>3769</v>
      </c>
      <c r="C1213" s="40" t="s">
        <v>42</v>
      </c>
      <c r="D1213" s="40"/>
      <c r="E1213" s="57" t="s">
        <v>143</v>
      </c>
      <c r="F1213" s="57" t="s">
        <v>143</v>
      </c>
      <c r="G1213" s="29" t="s">
        <v>2625</v>
      </c>
      <c r="H1213" s="29"/>
      <c r="I1213" s="124" t="s">
        <v>9121</v>
      </c>
      <c r="J1213" s="29">
        <f t="shared" si="76"/>
        <v>1</v>
      </c>
      <c r="K1213" s="42">
        <v>1199</v>
      </c>
      <c r="L1213" s="152" t="s">
        <v>2626</v>
      </c>
      <c r="M1213" s="44" t="s">
        <v>405</v>
      </c>
      <c r="N1213" s="44" t="s">
        <v>426</v>
      </c>
      <c r="O1213" s="101" t="str">
        <f t="shared" si="83"/>
        <v>PE-L1-3C4-15</v>
      </c>
      <c r="P1213" s="45">
        <v>2.12</v>
      </c>
      <c r="Q1213" s="44">
        <v>230</v>
      </c>
      <c r="R1213" s="44" t="s">
        <v>49</v>
      </c>
      <c r="S1213" s="101">
        <v>50</v>
      </c>
      <c r="T1213" s="46" t="s">
        <v>6386</v>
      </c>
      <c r="U1213" s="46" t="s">
        <v>6136</v>
      </c>
      <c r="V1213" s="46" t="s">
        <v>6137</v>
      </c>
      <c r="W1213" s="46" t="s">
        <v>335</v>
      </c>
      <c r="X1213" s="172" t="s">
        <v>9167</v>
      </c>
      <c r="Y1213" s="46" t="s">
        <v>6685</v>
      </c>
      <c r="Z1213" s="46" t="s">
        <v>6690</v>
      </c>
      <c r="AA1213" s="46" t="s">
        <v>335</v>
      </c>
      <c r="AB1213" s="172" t="s">
        <v>9167</v>
      </c>
      <c r="AC1213" s="48" t="s">
        <v>6691</v>
      </c>
      <c r="AD1213" s="30"/>
      <c r="AE1213" s="200"/>
      <c r="AF1213" s="100"/>
    </row>
    <row r="1214" spans="1:32" s="32" customFormat="1" ht="69.95" hidden="1" customHeight="1">
      <c r="A1214" s="29" t="s">
        <v>6136</v>
      </c>
      <c r="B1214" s="29" t="s">
        <v>3769</v>
      </c>
      <c r="C1214" s="40" t="s">
        <v>43</v>
      </c>
      <c r="D1214" s="40"/>
      <c r="E1214" s="57" t="s">
        <v>143</v>
      </c>
      <c r="F1214" s="57" t="s">
        <v>143</v>
      </c>
      <c r="G1214" s="29" t="s">
        <v>2627</v>
      </c>
      <c r="H1214" s="29"/>
      <c r="I1214" s="124" t="s">
        <v>9121</v>
      </c>
      <c r="J1214" s="29">
        <f t="shared" si="76"/>
        <v>1</v>
      </c>
      <c r="K1214" s="42">
        <v>1200</v>
      </c>
      <c r="L1214" s="152" t="s">
        <v>2628</v>
      </c>
      <c r="M1214" s="44" t="s">
        <v>405</v>
      </c>
      <c r="N1214" s="44" t="s">
        <v>426</v>
      </c>
      <c r="O1214" s="101" t="str">
        <f t="shared" si="83"/>
        <v>PE-L1-3C4-15</v>
      </c>
      <c r="P1214" s="45">
        <v>0.4</v>
      </c>
      <c r="Q1214" s="44">
        <v>230</v>
      </c>
      <c r="R1214" s="44" t="s">
        <v>49</v>
      </c>
      <c r="S1214" s="101">
        <v>50</v>
      </c>
      <c r="T1214" s="46" t="s">
        <v>6386</v>
      </c>
      <c r="U1214" s="46" t="s">
        <v>6136</v>
      </c>
      <c r="V1214" s="46" t="s">
        <v>6137</v>
      </c>
      <c r="W1214" s="46" t="s">
        <v>335</v>
      </c>
      <c r="X1214" s="172" t="s">
        <v>9167</v>
      </c>
      <c r="Y1214" s="46" t="s">
        <v>6685</v>
      </c>
      <c r="Z1214" s="46" t="s">
        <v>6692</v>
      </c>
      <c r="AA1214" s="46" t="s">
        <v>335</v>
      </c>
      <c r="AB1214" s="172" t="s">
        <v>9167</v>
      </c>
      <c r="AC1214" s="48" t="s">
        <v>6691</v>
      </c>
      <c r="AD1214" s="30"/>
      <c r="AE1214" s="200"/>
      <c r="AF1214" s="100"/>
    </row>
    <row r="1215" spans="1:32" s="32" customFormat="1" ht="69.95" hidden="1" customHeight="1">
      <c r="A1215" s="29" t="s">
        <v>5511</v>
      </c>
      <c r="B1215" s="29" t="s">
        <v>3769</v>
      </c>
      <c r="C1215" s="40" t="s">
        <v>75</v>
      </c>
      <c r="D1215" s="40"/>
      <c r="E1215" s="58" t="s">
        <v>253</v>
      </c>
      <c r="F1215" s="58" t="s">
        <v>253</v>
      </c>
      <c r="G1215" s="29" t="s">
        <v>2629</v>
      </c>
      <c r="H1215" s="29"/>
      <c r="I1215" s="124" t="s">
        <v>9121</v>
      </c>
      <c r="J1215" s="29">
        <f t="shared" si="76"/>
        <v>1</v>
      </c>
      <c r="K1215" s="42">
        <v>1201</v>
      </c>
      <c r="L1215" s="152" t="s">
        <v>2630</v>
      </c>
      <c r="M1215" s="44" t="s">
        <v>405</v>
      </c>
      <c r="N1215" s="44" t="s">
        <v>578</v>
      </c>
      <c r="O1215" s="101" t="str">
        <f t="shared" si="83"/>
        <v>PE-L1-2C4-03</v>
      </c>
      <c r="P1215" s="45">
        <v>0.96</v>
      </c>
      <c r="Q1215" s="44">
        <v>220</v>
      </c>
      <c r="R1215" s="44" t="s">
        <v>509</v>
      </c>
      <c r="S1215" s="101">
        <v>40</v>
      </c>
      <c r="T1215" s="46" t="s">
        <v>6386</v>
      </c>
      <c r="U1215" s="46" t="s">
        <v>5511</v>
      </c>
      <c r="V1215" s="46" t="s">
        <v>5512</v>
      </c>
      <c r="W1215" s="46" t="s">
        <v>335</v>
      </c>
      <c r="X1215" s="172" t="s">
        <v>8942</v>
      </c>
      <c r="Y1215" s="46" t="s">
        <v>6693</v>
      </c>
      <c r="Z1215" s="46" t="s">
        <v>6694</v>
      </c>
      <c r="AA1215" s="46" t="s">
        <v>335</v>
      </c>
      <c r="AB1215" s="172" t="s">
        <v>8942</v>
      </c>
      <c r="AC1215" s="48" t="s">
        <v>6695</v>
      </c>
      <c r="AD1215" s="30"/>
      <c r="AE1215" s="200"/>
      <c r="AF1215" s="100"/>
    </row>
    <row r="1216" spans="1:32" s="32" customFormat="1" ht="69.95" hidden="1" customHeight="1">
      <c r="A1216" s="29" t="s">
        <v>5515</v>
      </c>
      <c r="B1216" s="29" t="s">
        <v>3769</v>
      </c>
      <c r="C1216" s="40" t="s">
        <v>75</v>
      </c>
      <c r="D1216" s="40"/>
      <c r="E1216" s="56" t="s">
        <v>253</v>
      </c>
      <c r="F1216" s="56" t="s">
        <v>253</v>
      </c>
      <c r="G1216" s="29" t="s">
        <v>2631</v>
      </c>
      <c r="H1216" s="29"/>
      <c r="I1216" s="124" t="s">
        <v>9121</v>
      </c>
      <c r="J1216" s="29">
        <f t="shared" si="76"/>
        <v>1</v>
      </c>
      <c r="K1216" s="42">
        <v>1202</v>
      </c>
      <c r="L1216" s="152" t="s">
        <v>2632</v>
      </c>
      <c r="M1216" s="44" t="s">
        <v>405</v>
      </c>
      <c r="N1216" s="44" t="s">
        <v>578</v>
      </c>
      <c r="O1216" s="101" t="str">
        <f t="shared" si="83"/>
        <v>PE-L1-2C4-03</v>
      </c>
      <c r="P1216" s="45">
        <v>0.96</v>
      </c>
      <c r="Q1216" s="44">
        <v>220</v>
      </c>
      <c r="R1216" s="44" t="s">
        <v>509</v>
      </c>
      <c r="S1216" s="101">
        <v>60</v>
      </c>
      <c r="T1216" s="46" t="s">
        <v>6386</v>
      </c>
      <c r="U1216" s="46" t="s">
        <v>5515</v>
      </c>
      <c r="V1216" s="46" t="s">
        <v>5516</v>
      </c>
      <c r="W1216" s="46" t="s">
        <v>335</v>
      </c>
      <c r="X1216" s="172" t="s">
        <v>8942</v>
      </c>
      <c r="Y1216" s="46" t="s">
        <v>6693</v>
      </c>
      <c r="Z1216" s="46" t="s">
        <v>6696</v>
      </c>
      <c r="AA1216" s="46" t="s">
        <v>335</v>
      </c>
      <c r="AB1216" s="172" t="s">
        <v>8942</v>
      </c>
      <c r="AC1216" s="48" t="s">
        <v>6697</v>
      </c>
      <c r="AD1216" s="30"/>
      <c r="AE1216" s="200"/>
      <c r="AF1216" s="100"/>
    </row>
    <row r="1217" spans="1:32" s="32" customFormat="1" ht="69.95" hidden="1" customHeight="1">
      <c r="A1217" s="29" t="s">
        <v>6202</v>
      </c>
      <c r="B1217" s="29" t="s">
        <v>3769</v>
      </c>
      <c r="C1217" s="40" t="s">
        <v>41</v>
      </c>
      <c r="D1217" s="40"/>
      <c r="E1217" s="57" t="s">
        <v>143</v>
      </c>
      <c r="F1217" s="57" t="s">
        <v>143</v>
      </c>
      <c r="G1217" s="29" t="s">
        <v>2633</v>
      </c>
      <c r="H1217" s="29"/>
      <c r="I1217" s="124" t="s">
        <v>9121</v>
      </c>
      <c r="J1217" s="29">
        <f t="shared" si="76"/>
        <v>1</v>
      </c>
      <c r="K1217" s="42">
        <v>1203</v>
      </c>
      <c r="L1217" s="152" t="s">
        <v>2634</v>
      </c>
      <c r="M1217" s="44" t="s">
        <v>405</v>
      </c>
      <c r="N1217" s="44" t="s">
        <v>426</v>
      </c>
      <c r="O1217" s="101" t="str">
        <f t="shared" si="83"/>
        <v>PE-L1-3C4-15</v>
      </c>
      <c r="P1217" s="45">
        <v>2.38</v>
      </c>
      <c r="Q1217" s="44">
        <v>230</v>
      </c>
      <c r="R1217" s="44" t="s">
        <v>49</v>
      </c>
      <c r="S1217" s="101">
        <v>40</v>
      </c>
      <c r="T1217" s="46" t="s">
        <v>6386</v>
      </c>
      <c r="U1217" s="46" t="s">
        <v>6202</v>
      </c>
      <c r="V1217" s="46" t="s">
        <v>6203</v>
      </c>
      <c r="W1217" s="46" t="s">
        <v>335</v>
      </c>
      <c r="X1217" s="172" t="s">
        <v>9167</v>
      </c>
      <c r="Y1217" s="46" t="s">
        <v>6693</v>
      </c>
      <c r="Z1217" s="46" t="s">
        <v>6698</v>
      </c>
      <c r="AA1217" s="46" t="s">
        <v>335</v>
      </c>
      <c r="AB1217" s="172" t="s">
        <v>9167</v>
      </c>
      <c r="AC1217" s="48" t="s">
        <v>6699</v>
      </c>
      <c r="AD1217" s="30"/>
      <c r="AE1217" s="200"/>
      <c r="AF1217" s="100"/>
    </row>
    <row r="1218" spans="1:32" s="32" customFormat="1" ht="69.95" hidden="1" customHeight="1">
      <c r="A1218" s="29" t="s">
        <v>6202</v>
      </c>
      <c r="B1218" s="29" t="s">
        <v>3769</v>
      </c>
      <c r="C1218" s="40" t="s">
        <v>42</v>
      </c>
      <c r="D1218" s="40"/>
      <c r="E1218" s="57" t="s">
        <v>143</v>
      </c>
      <c r="F1218" s="57" t="s">
        <v>143</v>
      </c>
      <c r="G1218" s="29" t="s">
        <v>2635</v>
      </c>
      <c r="H1218" s="29"/>
      <c r="I1218" s="124" t="s">
        <v>9121</v>
      </c>
      <c r="J1218" s="29">
        <f t="shared" si="76"/>
        <v>1</v>
      </c>
      <c r="K1218" s="42">
        <v>1204</v>
      </c>
      <c r="L1218" s="152" t="s">
        <v>2636</v>
      </c>
      <c r="M1218" s="44" t="s">
        <v>405</v>
      </c>
      <c r="N1218" s="44" t="s">
        <v>426</v>
      </c>
      <c r="O1218" s="101" t="str">
        <f t="shared" si="83"/>
        <v>PE-L1-3C4-15</v>
      </c>
      <c r="P1218" s="45">
        <v>0.4</v>
      </c>
      <c r="Q1218" s="44">
        <v>230</v>
      </c>
      <c r="R1218" s="44" t="s">
        <v>49</v>
      </c>
      <c r="S1218" s="101">
        <v>40</v>
      </c>
      <c r="T1218" s="46" t="s">
        <v>6386</v>
      </c>
      <c r="U1218" s="46" t="s">
        <v>6202</v>
      </c>
      <c r="V1218" s="46" t="s">
        <v>6203</v>
      </c>
      <c r="W1218" s="46" t="s">
        <v>335</v>
      </c>
      <c r="X1218" s="172" t="s">
        <v>9167</v>
      </c>
      <c r="Y1218" s="46" t="s">
        <v>6693</v>
      </c>
      <c r="Z1218" s="46" t="s">
        <v>6700</v>
      </c>
      <c r="AA1218" s="46" t="s">
        <v>335</v>
      </c>
      <c r="AB1218" s="172" t="s">
        <v>9167</v>
      </c>
      <c r="AC1218" s="48" t="s">
        <v>6699</v>
      </c>
      <c r="AD1218" s="30"/>
      <c r="AE1218" s="200"/>
      <c r="AF1218" s="100"/>
    </row>
    <row r="1219" spans="1:32" s="32" customFormat="1" ht="69.95" hidden="1" customHeight="1">
      <c r="A1219" s="29" t="s">
        <v>5511</v>
      </c>
      <c r="B1219" s="29" t="s">
        <v>3769</v>
      </c>
      <c r="C1219" s="40">
        <v>10</v>
      </c>
      <c r="D1219" s="40"/>
      <c r="E1219" s="58" t="s">
        <v>253</v>
      </c>
      <c r="F1219" s="58" t="s">
        <v>253</v>
      </c>
      <c r="G1219" s="29" t="s">
        <v>2637</v>
      </c>
      <c r="H1219" s="29"/>
      <c r="I1219" s="124" t="s">
        <v>9121</v>
      </c>
      <c r="J1219" s="29">
        <f t="shared" si="76"/>
        <v>1</v>
      </c>
      <c r="K1219" s="42">
        <v>1205</v>
      </c>
      <c r="L1219" s="152" t="s">
        <v>2638</v>
      </c>
      <c r="M1219" s="44" t="s">
        <v>405</v>
      </c>
      <c r="N1219" s="44" t="s">
        <v>578</v>
      </c>
      <c r="O1219" s="101" t="str">
        <f t="shared" si="83"/>
        <v>PE-L1-2C4-03</v>
      </c>
      <c r="P1219" s="45">
        <v>1.3</v>
      </c>
      <c r="Q1219" s="44">
        <v>220</v>
      </c>
      <c r="R1219" s="44" t="s">
        <v>509</v>
      </c>
      <c r="S1219" s="101">
        <v>50</v>
      </c>
      <c r="T1219" s="46" t="s">
        <v>6386</v>
      </c>
      <c r="U1219" s="46" t="s">
        <v>5511</v>
      </c>
      <c r="V1219" s="46" t="s">
        <v>5512</v>
      </c>
      <c r="W1219" s="46" t="s">
        <v>335</v>
      </c>
      <c r="X1219" s="172" t="s">
        <v>8942</v>
      </c>
      <c r="Y1219" s="46" t="s">
        <v>6701</v>
      </c>
      <c r="Z1219" s="46" t="s">
        <v>6702</v>
      </c>
      <c r="AA1219" s="46" t="s">
        <v>335</v>
      </c>
      <c r="AB1219" s="172" t="s">
        <v>8942</v>
      </c>
      <c r="AC1219" s="48" t="s">
        <v>6703</v>
      </c>
      <c r="AD1219" s="30"/>
      <c r="AE1219" s="200"/>
      <c r="AF1219" s="100"/>
    </row>
    <row r="1220" spans="1:32" s="32" customFormat="1" ht="69.95" hidden="1" customHeight="1">
      <c r="A1220" s="29" t="s">
        <v>5515</v>
      </c>
      <c r="B1220" s="29" t="s">
        <v>3769</v>
      </c>
      <c r="C1220" s="40">
        <v>10</v>
      </c>
      <c r="D1220" s="40"/>
      <c r="E1220" s="56" t="s">
        <v>253</v>
      </c>
      <c r="F1220" s="56" t="s">
        <v>253</v>
      </c>
      <c r="G1220" s="29" t="s">
        <v>2639</v>
      </c>
      <c r="H1220" s="29"/>
      <c r="I1220" s="124" t="s">
        <v>9121</v>
      </c>
      <c r="J1220" s="29">
        <f t="shared" si="76"/>
        <v>1</v>
      </c>
      <c r="K1220" s="42">
        <v>1206</v>
      </c>
      <c r="L1220" s="152" t="s">
        <v>2640</v>
      </c>
      <c r="M1220" s="44" t="s">
        <v>405</v>
      </c>
      <c r="N1220" s="44" t="s">
        <v>578</v>
      </c>
      <c r="O1220" s="101" t="str">
        <f t="shared" si="83"/>
        <v>PE-L1-2C4-03</v>
      </c>
      <c r="P1220" s="45">
        <v>1.3</v>
      </c>
      <c r="Q1220" s="44">
        <v>220</v>
      </c>
      <c r="R1220" s="44" t="s">
        <v>509</v>
      </c>
      <c r="S1220" s="101">
        <v>60</v>
      </c>
      <c r="T1220" s="46" t="s">
        <v>6386</v>
      </c>
      <c r="U1220" s="46" t="s">
        <v>5515</v>
      </c>
      <c r="V1220" s="46" t="s">
        <v>5516</v>
      </c>
      <c r="W1220" s="46" t="s">
        <v>335</v>
      </c>
      <c r="X1220" s="172" t="s">
        <v>8942</v>
      </c>
      <c r="Y1220" s="46" t="s">
        <v>6701</v>
      </c>
      <c r="Z1220" s="46" t="s">
        <v>6704</v>
      </c>
      <c r="AA1220" s="46" t="s">
        <v>335</v>
      </c>
      <c r="AB1220" s="172" t="s">
        <v>8942</v>
      </c>
      <c r="AC1220" s="48" t="s">
        <v>6705</v>
      </c>
      <c r="AD1220" s="30"/>
      <c r="AE1220" s="200"/>
      <c r="AF1220" s="100"/>
    </row>
    <row r="1221" spans="1:32" s="32" customFormat="1" ht="69.95" hidden="1" customHeight="1">
      <c r="A1221" s="29" t="s">
        <v>6706</v>
      </c>
      <c r="B1221" s="29" t="s">
        <v>3769</v>
      </c>
      <c r="C1221" s="40" t="s">
        <v>32</v>
      </c>
      <c r="D1221" s="40"/>
      <c r="E1221" s="57" t="s">
        <v>143</v>
      </c>
      <c r="F1221" s="57" t="s">
        <v>143</v>
      </c>
      <c r="G1221" s="29" t="s">
        <v>2641</v>
      </c>
      <c r="H1221" s="29"/>
      <c r="I1221" s="124" t="s">
        <v>9121</v>
      </c>
      <c r="J1221" s="29">
        <f t="shared" si="76"/>
        <v>1</v>
      </c>
      <c r="K1221" s="42">
        <v>1207</v>
      </c>
      <c r="L1221" s="152" t="s">
        <v>2642</v>
      </c>
      <c r="M1221" s="44" t="s">
        <v>405</v>
      </c>
      <c r="N1221" s="44" t="s">
        <v>426</v>
      </c>
      <c r="O1221" s="101" t="str">
        <f t="shared" si="83"/>
        <v>PE-L1-3C4-15</v>
      </c>
      <c r="P1221" s="45">
        <v>1.72</v>
      </c>
      <c r="Q1221" s="44">
        <v>230</v>
      </c>
      <c r="R1221" s="44" t="s">
        <v>412</v>
      </c>
      <c r="S1221" s="101">
        <v>40</v>
      </c>
      <c r="T1221" s="46" t="s">
        <v>6386</v>
      </c>
      <c r="U1221" s="46" t="s">
        <v>6706</v>
      </c>
      <c r="V1221" s="46" t="s">
        <v>6707</v>
      </c>
      <c r="W1221" s="46" t="s">
        <v>335</v>
      </c>
      <c r="X1221" s="172" t="s">
        <v>9167</v>
      </c>
      <c r="Y1221" s="46" t="s">
        <v>6701</v>
      </c>
      <c r="Z1221" s="46" t="s">
        <v>6708</v>
      </c>
      <c r="AA1221" s="46" t="s">
        <v>335</v>
      </c>
      <c r="AB1221" s="172" t="s">
        <v>9167</v>
      </c>
      <c r="AC1221" s="48" t="s">
        <v>6709</v>
      </c>
      <c r="AD1221" s="30"/>
      <c r="AE1221" s="200"/>
      <c r="AF1221" s="100"/>
    </row>
    <row r="1222" spans="1:32" s="32" customFormat="1" ht="69.95" hidden="1" customHeight="1">
      <c r="A1222" s="29" t="s">
        <v>5511</v>
      </c>
      <c r="B1222" s="29" t="s">
        <v>3769</v>
      </c>
      <c r="C1222" s="40">
        <v>11</v>
      </c>
      <c r="D1222" s="40"/>
      <c r="E1222" s="57" t="s">
        <v>253</v>
      </c>
      <c r="F1222" s="57" t="s">
        <v>253</v>
      </c>
      <c r="G1222" s="29" t="s">
        <v>2643</v>
      </c>
      <c r="H1222" s="29"/>
      <c r="I1222" s="124" t="s">
        <v>9121</v>
      </c>
      <c r="J1222" s="29">
        <f t="shared" si="76"/>
        <v>1</v>
      </c>
      <c r="K1222" s="42">
        <v>1208</v>
      </c>
      <c r="L1222" s="152" t="s">
        <v>2644</v>
      </c>
      <c r="M1222" s="44" t="s">
        <v>405</v>
      </c>
      <c r="N1222" s="44" t="s">
        <v>578</v>
      </c>
      <c r="O1222" s="101" t="str">
        <f t="shared" si="83"/>
        <v>PE-L1-2C4-03</v>
      </c>
      <c r="P1222" s="45">
        <v>0.96</v>
      </c>
      <c r="Q1222" s="44">
        <v>220</v>
      </c>
      <c r="R1222" s="44" t="s">
        <v>509</v>
      </c>
      <c r="S1222" s="101">
        <v>60</v>
      </c>
      <c r="T1222" s="46" t="s">
        <v>6386</v>
      </c>
      <c r="U1222" s="46" t="s">
        <v>5511</v>
      </c>
      <c r="V1222" s="46" t="s">
        <v>5512</v>
      </c>
      <c r="W1222" s="46" t="s">
        <v>335</v>
      </c>
      <c r="X1222" s="172" t="s">
        <v>8942</v>
      </c>
      <c r="Y1222" s="46" t="s">
        <v>6710</v>
      </c>
      <c r="Z1222" s="46" t="s">
        <v>6711</v>
      </c>
      <c r="AA1222" s="46" t="s">
        <v>335</v>
      </c>
      <c r="AB1222" s="172" t="s">
        <v>8942</v>
      </c>
      <c r="AC1222" s="48" t="s">
        <v>6712</v>
      </c>
      <c r="AD1222" s="30"/>
      <c r="AE1222" s="200"/>
      <c r="AF1222" s="100"/>
    </row>
    <row r="1223" spans="1:32" s="32" customFormat="1" ht="69.95" hidden="1" customHeight="1">
      <c r="A1223" s="29" t="s">
        <v>5515</v>
      </c>
      <c r="B1223" s="29" t="s">
        <v>3769</v>
      </c>
      <c r="C1223" s="40">
        <v>11</v>
      </c>
      <c r="D1223" s="40"/>
      <c r="E1223" s="56" t="s">
        <v>253</v>
      </c>
      <c r="F1223" s="56" t="s">
        <v>253</v>
      </c>
      <c r="G1223" s="29" t="s">
        <v>2645</v>
      </c>
      <c r="H1223" s="29"/>
      <c r="I1223" s="124" t="s">
        <v>9121</v>
      </c>
      <c r="J1223" s="29">
        <f t="shared" si="76"/>
        <v>1</v>
      </c>
      <c r="K1223" s="42">
        <v>1209</v>
      </c>
      <c r="L1223" s="152" t="s">
        <v>2646</v>
      </c>
      <c r="M1223" s="44" t="s">
        <v>405</v>
      </c>
      <c r="N1223" s="44" t="s">
        <v>578</v>
      </c>
      <c r="O1223" s="101" t="str">
        <f t="shared" si="83"/>
        <v>PE-L1-2C4-03</v>
      </c>
      <c r="P1223" s="45">
        <v>0.96</v>
      </c>
      <c r="Q1223" s="44">
        <v>220</v>
      </c>
      <c r="R1223" s="44" t="s">
        <v>509</v>
      </c>
      <c r="S1223" s="101">
        <v>70</v>
      </c>
      <c r="T1223" s="46" t="s">
        <v>6386</v>
      </c>
      <c r="U1223" s="46" t="s">
        <v>5515</v>
      </c>
      <c r="V1223" s="46" t="s">
        <v>5516</v>
      </c>
      <c r="W1223" s="46" t="s">
        <v>335</v>
      </c>
      <c r="X1223" s="172" t="s">
        <v>8942</v>
      </c>
      <c r="Y1223" s="46" t="s">
        <v>6710</v>
      </c>
      <c r="Z1223" s="46" t="s">
        <v>6713</v>
      </c>
      <c r="AA1223" s="46" t="s">
        <v>335</v>
      </c>
      <c r="AB1223" s="172" t="s">
        <v>8942</v>
      </c>
      <c r="AC1223" s="48" t="s">
        <v>6714</v>
      </c>
      <c r="AD1223" s="30"/>
      <c r="AE1223" s="200"/>
      <c r="AF1223" s="100"/>
    </row>
    <row r="1224" spans="1:32" s="32" customFormat="1" ht="69.95" hidden="1" customHeight="1">
      <c r="A1224" s="29" t="s">
        <v>6715</v>
      </c>
      <c r="B1224" s="29" t="s">
        <v>3769</v>
      </c>
      <c r="C1224" s="40" t="s">
        <v>32</v>
      </c>
      <c r="D1224" s="40"/>
      <c r="E1224" s="57" t="s">
        <v>143</v>
      </c>
      <c r="F1224" s="57" t="s">
        <v>143</v>
      </c>
      <c r="G1224" s="29" t="s">
        <v>2647</v>
      </c>
      <c r="H1224" s="29"/>
      <c r="I1224" s="124" t="s">
        <v>9121</v>
      </c>
      <c r="J1224" s="29">
        <f t="shared" ref="J1224:J1287" si="84">COUNTIF(L:L,L1224)</f>
        <v>1</v>
      </c>
      <c r="K1224" s="42">
        <v>1210</v>
      </c>
      <c r="L1224" s="152" t="s">
        <v>2648</v>
      </c>
      <c r="M1224" s="44" t="s">
        <v>405</v>
      </c>
      <c r="N1224" s="44" t="s">
        <v>426</v>
      </c>
      <c r="O1224" s="101" t="str">
        <f t="shared" si="83"/>
        <v>PE-L1-3C4-15</v>
      </c>
      <c r="P1224" s="45">
        <v>1.98</v>
      </c>
      <c r="Q1224" s="44">
        <v>230</v>
      </c>
      <c r="R1224" s="44" t="s">
        <v>412</v>
      </c>
      <c r="S1224" s="101">
        <v>40</v>
      </c>
      <c r="T1224" s="46" t="s">
        <v>6386</v>
      </c>
      <c r="U1224" s="46" t="s">
        <v>6715</v>
      </c>
      <c r="V1224" s="46" t="s">
        <v>6716</v>
      </c>
      <c r="W1224" s="46" t="s">
        <v>335</v>
      </c>
      <c r="X1224" s="172" t="s">
        <v>9167</v>
      </c>
      <c r="Y1224" s="46" t="s">
        <v>6710</v>
      </c>
      <c r="Z1224" s="46" t="s">
        <v>6717</v>
      </c>
      <c r="AA1224" s="46" t="s">
        <v>335</v>
      </c>
      <c r="AB1224" s="172" t="s">
        <v>9167</v>
      </c>
      <c r="AC1224" s="48" t="s">
        <v>6718</v>
      </c>
      <c r="AD1224" s="30"/>
      <c r="AE1224" s="200"/>
      <c r="AF1224" s="100"/>
    </row>
    <row r="1225" spans="1:32" s="32" customFormat="1" ht="69.95" hidden="1" customHeight="1">
      <c r="A1225" s="29" t="s">
        <v>5511</v>
      </c>
      <c r="B1225" s="29" t="s">
        <v>3769</v>
      </c>
      <c r="C1225" s="40">
        <v>12</v>
      </c>
      <c r="D1225" s="40"/>
      <c r="E1225" s="57" t="s">
        <v>254</v>
      </c>
      <c r="F1225" s="57" t="s">
        <v>254</v>
      </c>
      <c r="G1225" s="29" t="s">
        <v>2649</v>
      </c>
      <c r="H1225" s="29"/>
      <c r="I1225" s="29"/>
      <c r="J1225" s="29">
        <f t="shared" si="84"/>
        <v>1</v>
      </c>
      <c r="K1225" s="42">
        <v>1211</v>
      </c>
      <c r="L1225" s="43" t="s">
        <v>2650</v>
      </c>
      <c r="M1225" s="44" t="s">
        <v>405</v>
      </c>
      <c r="N1225" s="44" t="s">
        <v>8620</v>
      </c>
      <c r="O1225" s="44" t="str">
        <f t="shared" ref="O1225:O1234" si="85">F1225</f>
        <v>PE-L1-2C16-01</v>
      </c>
      <c r="P1225" s="45">
        <v>1.3</v>
      </c>
      <c r="Q1225" s="44">
        <v>220</v>
      </c>
      <c r="R1225" s="44" t="s">
        <v>509</v>
      </c>
      <c r="S1225" s="44">
        <v>530</v>
      </c>
      <c r="T1225" s="46" t="s">
        <v>6386</v>
      </c>
      <c r="U1225" s="46" t="s">
        <v>5511</v>
      </c>
      <c r="V1225" s="46" t="s">
        <v>5512</v>
      </c>
      <c r="W1225" s="46" t="s">
        <v>335</v>
      </c>
      <c r="X1225" s="172" t="s">
        <v>8942</v>
      </c>
      <c r="Y1225" s="46" t="s">
        <v>5354</v>
      </c>
      <c r="Z1225" s="46" t="s">
        <v>6719</v>
      </c>
      <c r="AA1225" s="46" t="s">
        <v>5154</v>
      </c>
      <c r="AB1225" s="172" t="s">
        <v>8942</v>
      </c>
      <c r="AC1225" s="48" t="s">
        <v>6720</v>
      </c>
      <c r="AD1225" s="30"/>
      <c r="AE1225" s="200"/>
      <c r="AF1225" s="100"/>
    </row>
    <row r="1226" spans="1:32" s="32" customFormat="1" ht="69.95" hidden="1" customHeight="1">
      <c r="A1226" s="29" t="s">
        <v>5515</v>
      </c>
      <c r="B1226" s="29" t="s">
        <v>3769</v>
      </c>
      <c r="C1226" s="40">
        <v>12</v>
      </c>
      <c r="D1226" s="40"/>
      <c r="E1226" s="57" t="s">
        <v>254</v>
      </c>
      <c r="F1226" s="57" t="s">
        <v>254</v>
      </c>
      <c r="G1226" s="29" t="s">
        <v>2652</v>
      </c>
      <c r="H1226" s="29"/>
      <c r="I1226" s="29"/>
      <c r="J1226" s="29">
        <f t="shared" si="84"/>
        <v>1</v>
      </c>
      <c r="K1226" s="42">
        <v>1212</v>
      </c>
      <c r="L1226" s="43" t="s">
        <v>2653</v>
      </c>
      <c r="M1226" s="44" t="s">
        <v>405</v>
      </c>
      <c r="N1226" s="44" t="s">
        <v>2651</v>
      </c>
      <c r="O1226" s="44" t="str">
        <f t="shared" si="85"/>
        <v>PE-L1-2C16-01</v>
      </c>
      <c r="P1226" s="45">
        <v>1.3</v>
      </c>
      <c r="Q1226" s="44">
        <v>220</v>
      </c>
      <c r="R1226" s="44" t="s">
        <v>509</v>
      </c>
      <c r="S1226" s="44">
        <v>520</v>
      </c>
      <c r="T1226" s="46" t="s">
        <v>6386</v>
      </c>
      <c r="U1226" s="46" t="s">
        <v>5515</v>
      </c>
      <c r="V1226" s="46" t="s">
        <v>5516</v>
      </c>
      <c r="W1226" s="46" t="s">
        <v>335</v>
      </c>
      <c r="X1226" s="172" t="s">
        <v>8942</v>
      </c>
      <c r="Y1226" s="46" t="s">
        <v>5354</v>
      </c>
      <c r="Z1226" s="46" t="s">
        <v>6719</v>
      </c>
      <c r="AA1226" s="46" t="s">
        <v>5154</v>
      </c>
      <c r="AB1226" s="172" t="s">
        <v>8942</v>
      </c>
      <c r="AC1226" s="48" t="s">
        <v>6721</v>
      </c>
      <c r="AD1226" s="30"/>
      <c r="AE1226" s="200"/>
      <c r="AF1226" s="100"/>
    </row>
    <row r="1227" spans="1:32" s="32" customFormat="1" ht="69.95" hidden="1" customHeight="1">
      <c r="A1227" s="29" t="s">
        <v>6224</v>
      </c>
      <c r="B1227" s="29" t="s">
        <v>3769</v>
      </c>
      <c r="C1227" s="40" t="s">
        <v>36</v>
      </c>
      <c r="D1227" s="40"/>
      <c r="E1227" s="57" t="s">
        <v>143</v>
      </c>
      <c r="F1227" s="57" t="s">
        <v>143</v>
      </c>
      <c r="G1227" s="29" t="s">
        <v>2654</v>
      </c>
      <c r="H1227" s="29"/>
      <c r="I1227" s="29"/>
      <c r="J1227" s="29">
        <f t="shared" si="84"/>
        <v>1</v>
      </c>
      <c r="K1227" s="42">
        <v>1213</v>
      </c>
      <c r="L1227" s="43" t="s">
        <v>2655</v>
      </c>
      <c r="M1227" s="44" t="s">
        <v>405</v>
      </c>
      <c r="N1227" s="44" t="s">
        <v>426</v>
      </c>
      <c r="O1227" s="44" t="str">
        <f t="shared" si="85"/>
        <v>PE-L1-3C4-15</v>
      </c>
      <c r="P1227" s="45">
        <v>2.13</v>
      </c>
      <c r="Q1227" s="44">
        <v>230</v>
      </c>
      <c r="R1227" s="44" t="s">
        <v>49</v>
      </c>
      <c r="S1227" s="44">
        <v>40</v>
      </c>
      <c r="T1227" s="46" t="s">
        <v>6386</v>
      </c>
      <c r="U1227" s="46" t="s">
        <v>6224</v>
      </c>
      <c r="V1227" s="46" t="s">
        <v>6225</v>
      </c>
      <c r="W1227" s="46" t="s">
        <v>5154</v>
      </c>
      <c r="X1227" s="172" t="s">
        <v>9167</v>
      </c>
      <c r="Y1227" s="46" t="s">
        <v>5354</v>
      </c>
      <c r="Z1227" s="46" t="s">
        <v>6722</v>
      </c>
      <c r="AA1227" s="46" t="s">
        <v>5154</v>
      </c>
      <c r="AB1227" s="172" t="s">
        <v>9167</v>
      </c>
      <c r="AC1227" s="48" t="s">
        <v>6723</v>
      </c>
      <c r="AD1227" s="30"/>
      <c r="AE1227" s="200"/>
      <c r="AF1227" s="100"/>
    </row>
    <row r="1228" spans="1:32" s="32" customFormat="1" ht="69.95" hidden="1" customHeight="1">
      <c r="A1228" s="29" t="s">
        <v>6224</v>
      </c>
      <c r="B1228" s="29" t="s">
        <v>3769</v>
      </c>
      <c r="C1228" s="40" t="s">
        <v>38</v>
      </c>
      <c r="D1228" s="40"/>
      <c r="E1228" s="57" t="s">
        <v>143</v>
      </c>
      <c r="F1228" s="57" t="s">
        <v>143</v>
      </c>
      <c r="G1228" s="29" t="s">
        <v>2656</v>
      </c>
      <c r="H1228" s="29"/>
      <c r="I1228" s="29"/>
      <c r="J1228" s="29">
        <f t="shared" si="84"/>
        <v>1</v>
      </c>
      <c r="K1228" s="42">
        <v>1214</v>
      </c>
      <c r="L1228" s="43" t="s">
        <v>2657</v>
      </c>
      <c r="M1228" s="44" t="s">
        <v>405</v>
      </c>
      <c r="N1228" s="44" t="s">
        <v>426</v>
      </c>
      <c r="O1228" s="44" t="str">
        <f t="shared" si="85"/>
        <v>PE-L1-3C4-15</v>
      </c>
      <c r="P1228" s="45">
        <v>0.83</v>
      </c>
      <c r="Q1228" s="44">
        <v>230</v>
      </c>
      <c r="R1228" s="44" t="s">
        <v>49</v>
      </c>
      <c r="S1228" s="44">
        <v>40</v>
      </c>
      <c r="T1228" s="46" t="s">
        <v>6386</v>
      </c>
      <c r="U1228" s="46" t="s">
        <v>6224</v>
      </c>
      <c r="V1228" s="46" t="s">
        <v>6225</v>
      </c>
      <c r="W1228" s="46" t="s">
        <v>5154</v>
      </c>
      <c r="X1228" s="172" t="s">
        <v>9167</v>
      </c>
      <c r="Y1228" s="46" t="s">
        <v>5354</v>
      </c>
      <c r="Z1228" s="46" t="s">
        <v>6724</v>
      </c>
      <c r="AA1228" s="46" t="s">
        <v>5154</v>
      </c>
      <c r="AB1228" s="172" t="s">
        <v>9167</v>
      </c>
      <c r="AC1228" s="48" t="s">
        <v>6723</v>
      </c>
      <c r="AD1228" s="30"/>
      <c r="AE1228" s="200"/>
      <c r="AF1228" s="100"/>
    </row>
    <row r="1229" spans="1:32" s="32" customFormat="1" ht="69.95" hidden="1" customHeight="1">
      <c r="A1229" s="29" t="s">
        <v>5515</v>
      </c>
      <c r="B1229" s="29" t="s">
        <v>3769</v>
      </c>
      <c r="C1229" s="40">
        <v>13</v>
      </c>
      <c r="D1229" s="40"/>
      <c r="E1229" s="57" t="s">
        <v>255</v>
      </c>
      <c r="F1229" s="57" t="s">
        <v>255</v>
      </c>
      <c r="G1229" s="29" t="s">
        <v>2658</v>
      </c>
      <c r="H1229" s="29"/>
      <c r="I1229" s="29"/>
      <c r="J1229" s="29">
        <f t="shared" si="84"/>
        <v>1</v>
      </c>
      <c r="K1229" s="42">
        <v>1215</v>
      </c>
      <c r="L1229" s="43" t="s">
        <v>2659</v>
      </c>
      <c r="M1229" s="44" t="s">
        <v>405</v>
      </c>
      <c r="N1229" s="44" t="s">
        <v>2651</v>
      </c>
      <c r="O1229" s="44" t="str">
        <f t="shared" si="85"/>
        <v>PE-L1-2C16-02</v>
      </c>
      <c r="P1229" s="45">
        <v>0.96</v>
      </c>
      <c r="Q1229" s="44">
        <v>220</v>
      </c>
      <c r="R1229" s="44" t="s">
        <v>509</v>
      </c>
      <c r="S1229" s="44">
        <v>535</v>
      </c>
      <c r="T1229" s="46" t="s">
        <v>6386</v>
      </c>
      <c r="U1229" s="46" t="s">
        <v>5515</v>
      </c>
      <c r="V1229" s="46" t="s">
        <v>5516</v>
      </c>
      <c r="W1229" s="46" t="s">
        <v>335</v>
      </c>
      <c r="X1229" s="172" t="s">
        <v>8942</v>
      </c>
      <c r="Y1229" s="46" t="s">
        <v>5350</v>
      </c>
      <c r="Z1229" s="46" t="s">
        <v>6725</v>
      </c>
      <c r="AA1229" s="46" t="s">
        <v>5154</v>
      </c>
      <c r="AB1229" s="172" t="s">
        <v>8942</v>
      </c>
      <c r="AC1229" s="48" t="s">
        <v>6726</v>
      </c>
      <c r="AD1229" s="30"/>
      <c r="AE1229" s="200"/>
      <c r="AF1229" s="100"/>
    </row>
    <row r="1230" spans="1:32" s="32" customFormat="1" ht="69.95" hidden="1" customHeight="1">
      <c r="A1230" s="29" t="s">
        <v>5511</v>
      </c>
      <c r="B1230" s="29" t="s">
        <v>3769</v>
      </c>
      <c r="C1230" s="40">
        <v>13</v>
      </c>
      <c r="D1230" s="40"/>
      <c r="E1230" s="57" t="s">
        <v>255</v>
      </c>
      <c r="F1230" s="57" t="s">
        <v>255</v>
      </c>
      <c r="G1230" s="29" t="s">
        <v>2660</v>
      </c>
      <c r="H1230" s="29"/>
      <c r="I1230" s="29"/>
      <c r="J1230" s="29">
        <f t="shared" si="84"/>
        <v>1</v>
      </c>
      <c r="K1230" s="42">
        <v>1216</v>
      </c>
      <c r="L1230" s="43" t="s">
        <v>2661</v>
      </c>
      <c r="M1230" s="44" t="s">
        <v>405</v>
      </c>
      <c r="N1230" s="44" t="s">
        <v>2651</v>
      </c>
      <c r="O1230" s="44" t="str">
        <f t="shared" si="85"/>
        <v>PE-L1-2C16-02</v>
      </c>
      <c r="P1230" s="45">
        <v>0.96</v>
      </c>
      <c r="Q1230" s="44">
        <v>220</v>
      </c>
      <c r="R1230" s="44" t="s">
        <v>509</v>
      </c>
      <c r="S1230" s="44">
        <v>525</v>
      </c>
      <c r="T1230" s="46" t="s">
        <v>6386</v>
      </c>
      <c r="U1230" s="46" t="s">
        <v>5511</v>
      </c>
      <c r="V1230" s="46" t="s">
        <v>5512</v>
      </c>
      <c r="W1230" s="46" t="s">
        <v>335</v>
      </c>
      <c r="X1230" s="172" t="s">
        <v>8942</v>
      </c>
      <c r="Y1230" s="46" t="s">
        <v>5350</v>
      </c>
      <c r="Z1230" s="46" t="s">
        <v>6725</v>
      </c>
      <c r="AA1230" s="46" t="s">
        <v>5154</v>
      </c>
      <c r="AB1230" s="172" t="s">
        <v>8942</v>
      </c>
      <c r="AC1230" s="48" t="s">
        <v>6727</v>
      </c>
      <c r="AD1230" s="30"/>
      <c r="AE1230" s="200"/>
      <c r="AF1230" s="100"/>
    </row>
    <row r="1231" spans="1:32" s="32" customFormat="1" ht="69.95" hidden="1" customHeight="1">
      <c r="A1231" s="29" t="s">
        <v>6143</v>
      </c>
      <c r="B1231" s="29" t="s">
        <v>3769</v>
      </c>
      <c r="C1231" s="40" t="s">
        <v>36</v>
      </c>
      <c r="D1231" s="40"/>
      <c r="E1231" s="57" t="s">
        <v>143</v>
      </c>
      <c r="F1231" s="57" t="s">
        <v>143</v>
      </c>
      <c r="G1231" s="29" t="s">
        <v>2662</v>
      </c>
      <c r="H1231" s="29"/>
      <c r="I1231" s="29"/>
      <c r="J1231" s="29">
        <f t="shared" si="84"/>
        <v>1</v>
      </c>
      <c r="K1231" s="42">
        <v>1217</v>
      </c>
      <c r="L1231" s="43" t="s">
        <v>2663</v>
      </c>
      <c r="M1231" s="44" t="s">
        <v>405</v>
      </c>
      <c r="N1231" s="44" t="s">
        <v>426</v>
      </c>
      <c r="O1231" s="44" t="str">
        <f t="shared" si="85"/>
        <v>PE-L1-3C4-15</v>
      </c>
      <c r="P1231" s="45">
        <v>2.4300000000000002</v>
      </c>
      <c r="Q1231" s="44">
        <v>230</v>
      </c>
      <c r="R1231" s="44" t="s">
        <v>49</v>
      </c>
      <c r="S1231" s="44">
        <v>30</v>
      </c>
      <c r="T1231" s="46" t="s">
        <v>6386</v>
      </c>
      <c r="U1231" s="46" t="s">
        <v>6143</v>
      </c>
      <c r="V1231" s="46" t="s">
        <v>6144</v>
      </c>
      <c r="W1231" s="46" t="s">
        <v>5154</v>
      </c>
      <c r="X1231" s="172" t="s">
        <v>9167</v>
      </c>
      <c r="Y1231" s="46" t="s">
        <v>5350</v>
      </c>
      <c r="Z1231" s="46" t="s">
        <v>6728</v>
      </c>
      <c r="AA1231" s="46" t="s">
        <v>5154</v>
      </c>
      <c r="AB1231" s="172" t="s">
        <v>9167</v>
      </c>
      <c r="AC1231" s="48" t="s">
        <v>6729</v>
      </c>
      <c r="AD1231" s="30"/>
      <c r="AE1231" s="200"/>
      <c r="AF1231" s="100"/>
    </row>
    <row r="1232" spans="1:32" s="32" customFormat="1" ht="69.95" hidden="1" customHeight="1">
      <c r="A1232" s="29" t="s">
        <v>6143</v>
      </c>
      <c r="B1232" s="29" t="s">
        <v>3769</v>
      </c>
      <c r="C1232" s="40" t="s">
        <v>38</v>
      </c>
      <c r="D1232" s="40"/>
      <c r="E1232" s="57" t="s">
        <v>143</v>
      </c>
      <c r="F1232" s="57" t="s">
        <v>143</v>
      </c>
      <c r="G1232" s="29" t="s">
        <v>2664</v>
      </c>
      <c r="H1232" s="29"/>
      <c r="I1232" s="29"/>
      <c r="J1232" s="29">
        <f t="shared" si="84"/>
        <v>1</v>
      </c>
      <c r="K1232" s="42">
        <v>1218</v>
      </c>
      <c r="L1232" s="43" t="s">
        <v>2665</v>
      </c>
      <c r="M1232" s="44" t="s">
        <v>405</v>
      </c>
      <c r="N1232" s="44" t="s">
        <v>426</v>
      </c>
      <c r="O1232" s="44" t="str">
        <f t="shared" si="85"/>
        <v>PE-L1-3C4-15</v>
      </c>
      <c r="P1232" s="45">
        <v>0.68</v>
      </c>
      <c r="Q1232" s="44">
        <v>230</v>
      </c>
      <c r="R1232" s="44" t="s">
        <v>49</v>
      </c>
      <c r="S1232" s="44">
        <v>30</v>
      </c>
      <c r="T1232" s="46" t="s">
        <v>6386</v>
      </c>
      <c r="U1232" s="46" t="s">
        <v>6143</v>
      </c>
      <c r="V1232" s="46" t="s">
        <v>6144</v>
      </c>
      <c r="W1232" s="46" t="s">
        <v>5154</v>
      </c>
      <c r="X1232" s="172" t="s">
        <v>9167</v>
      </c>
      <c r="Y1232" s="46" t="s">
        <v>5350</v>
      </c>
      <c r="Z1232" s="46" t="s">
        <v>6730</v>
      </c>
      <c r="AA1232" s="46" t="s">
        <v>5154</v>
      </c>
      <c r="AB1232" s="172" t="s">
        <v>9167</v>
      </c>
      <c r="AC1232" s="48" t="s">
        <v>6729</v>
      </c>
      <c r="AD1232" s="30"/>
      <c r="AE1232" s="200"/>
      <c r="AF1232" s="100"/>
    </row>
    <row r="1233" spans="1:42" s="32" customFormat="1" ht="69.95" hidden="1" customHeight="1">
      <c r="A1233" s="29" t="s">
        <v>6112</v>
      </c>
      <c r="B1233" s="29" t="s">
        <v>3769</v>
      </c>
      <c r="C1233" s="40" t="s">
        <v>41</v>
      </c>
      <c r="D1233" s="40"/>
      <c r="E1233" s="57" t="s">
        <v>143</v>
      </c>
      <c r="F1233" s="57" t="s">
        <v>143</v>
      </c>
      <c r="G1233" s="29" t="s">
        <v>2666</v>
      </c>
      <c r="H1233" s="29"/>
      <c r="I1233" s="29"/>
      <c r="J1233" s="29">
        <f t="shared" si="84"/>
        <v>1</v>
      </c>
      <c r="K1233" s="42">
        <v>1219</v>
      </c>
      <c r="L1233" s="43" t="s">
        <v>2667</v>
      </c>
      <c r="M1233" s="44" t="s">
        <v>405</v>
      </c>
      <c r="N1233" s="44" t="s">
        <v>426</v>
      </c>
      <c r="O1233" s="44" t="str">
        <f t="shared" si="85"/>
        <v>PE-L1-3C4-15</v>
      </c>
      <c r="P1233" s="45">
        <v>0.78</v>
      </c>
      <c r="Q1233" s="44">
        <v>230</v>
      </c>
      <c r="R1233" s="44" t="s">
        <v>49</v>
      </c>
      <c r="S1233" s="44">
        <v>40</v>
      </c>
      <c r="T1233" s="46" t="s">
        <v>6386</v>
      </c>
      <c r="U1233" s="46" t="s">
        <v>6112</v>
      </c>
      <c r="V1233" s="46" t="s">
        <v>6113</v>
      </c>
      <c r="W1233" s="46" t="s">
        <v>5376</v>
      </c>
      <c r="X1233" s="172" t="s">
        <v>9167</v>
      </c>
      <c r="Y1233" s="46" t="s">
        <v>5374</v>
      </c>
      <c r="Z1233" s="46" t="s">
        <v>6731</v>
      </c>
      <c r="AA1233" s="46" t="s">
        <v>5376</v>
      </c>
      <c r="AB1233" s="172" t="s">
        <v>9167</v>
      </c>
      <c r="AC1233" s="48" t="s">
        <v>6732</v>
      </c>
      <c r="AD1233" s="30"/>
      <c r="AE1233" s="200"/>
      <c r="AF1233" s="100"/>
    </row>
    <row r="1234" spans="1:42" s="32" customFormat="1" ht="69.95" hidden="1" customHeight="1">
      <c r="A1234" s="29" t="s">
        <v>6102</v>
      </c>
      <c r="B1234" s="29" t="s">
        <v>3769</v>
      </c>
      <c r="C1234" s="40" t="s">
        <v>43</v>
      </c>
      <c r="D1234" s="40"/>
      <c r="E1234" s="57" t="s">
        <v>143</v>
      </c>
      <c r="F1234" s="57" t="s">
        <v>143</v>
      </c>
      <c r="G1234" s="29" t="s">
        <v>2668</v>
      </c>
      <c r="H1234" s="29"/>
      <c r="I1234" s="29"/>
      <c r="J1234" s="29">
        <f t="shared" si="84"/>
        <v>1</v>
      </c>
      <c r="K1234" s="42">
        <v>1220</v>
      </c>
      <c r="L1234" s="43" t="s">
        <v>2669</v>
      </c>
      <c r="M1234" s="44" t="s">
        <v>405</v>
      </c>
      <c r="N1234" s="44" t="s">
        <v>426</v>
      </c>
      <c r="O1234" s="44" t="str">
        <f t="shared" si="85"/>
        <v>PE-L1-3C4-15</v>
      </c>
      <c r="P1234" s="45">
        <v>0.78</v>
      </c>
      <c r="Q1234" s="44">
        <v>230</v>
      </c>
      <c r="R1234" s="44" t="s">
        <v>49</v>
      </c>
      <c r="S1234" s="44">
        <v>40</v>
      </c>
      <c r="T1234" s="46" t="s">
        <v>6386</v>
      </c>
      <c r="U1234" s="46" t="s">
        <v>6102</v>
      </c>
      <c r="V1234" s="46" t="s">
        <v>6103</v>
      </c>
      <c r="W1234" s="46" t="s">
        <v>5376</v>
      </c>
      <c r="X1234" s="172" t="s">
        <v>9167</v>
      </c>
      <c r="Y1234" s="46" t="s">
        <v>5381</v>
      </c>
      <c r="Z1234" s="46" t="s">
        <v>6733</v>
      </c>
      <c r="AA1234" s="46" t="s">
        <v>5376</v>
      </c>
      <c r="AB1234" s="172" t="s">
        <v>9167</v>
      </c>
      <c r="AC1234" s="48" t="s">
        <v>6732</v>
      </c>
      <c r="AD1234" s="30"/>
      <c r="AE1234" s="200"/>
      <c r="AF1234" s="100"/>
    </row>
    <row r="1235" spans="1:42" s="32" customFormat="1" ht="69.95" hidden="1" customHeight="1">
      <c r="A1235" s="29" t="s">
        <v>3948</v>
      </c>
      <c r="B1235" s="29" t="s">
        <v>3769</v>
      </c>
      <c r="C1235" s="40" t="s">
        <v>43</v>
      </c>
      <c r="D1235" s="40"/>
      <c r="E1235" s="57" t="s">
        <v>143</v>
      </c>
      <c r="F1235" s="57" t="s">
        <v>143</v>
      </c>
      <c r="G1235" s="29" t="s">
        <v>2670</v>
      </c>
      <c r="H1235" s="29"/>
      <c r="I1235" s="124" t="s">
        <v>9121</v>
      </c>
      <c r="J1235" s="29">
        <f t="shared" si="84"/>
        <v>1</v>
      </c>
      <c r="K1235" s="42">
        <v>1221</v>
      </c>
      <c r="L1235" s="152" t="s">
        <v>2671</v>
      </c>
      <c r="M1235" s="44" t="s">
        <v>405</v>
      </c>
      <c r="N1235" s="44" t="s">
        <v>426</v>
      </c>
      <c r="O1235" s="101" t="str">
        <f>F1235</f>
        <v>PE-L1-3C4-15</v>
      </c>
      <c r="P1235" s="45">
        <v>1.35</v>
      </c>
      <c r="Q1235" s="44">
        <v>230</v>
      </c>
      <c r="R1235" s="44" t="s">
        <v>49</v>
      </c>
      <c r="S1235" s="101">
        <v>90</v>
      </c>
      <c r="T1235" s="46" t="s">
        <v>6734</v>
      </c>
      <c r="U1235" s="46" t="s">
        <v>3948</v>
      </c>
      <c r="V1235" s="46" t="s">
        <v>3949</v>
      </c>
      <c r="W1235" s="46" t="s">
        <v>335</v>
      </c>
      <c r="X1235" s="172" t="s">
        <v>9167</v>
      </c>
      <c r="Y1235" s="46" t="s">
        <v>6735</v>
      </c>
      <c r="Z1235" s="46" t="s">
        <v>6736</v>
      </c>
      <c r="AA1235" s="46" t="s">
        <v>335</v>
      </c>
      <c r="AB1235" s="172" t="s">
        <v>9167</v>
      </c>
      <c r="AC1235" s="48" t="s">
        <v>6737</v>
      </c>
      <c r="AD1235" s="30"/>
      <c r="AE1235" s="200"/>
      <c r="AF1235" s="100"/>
    </row>
    <row r="1236" spans="1:42" s="32" customFormat="1" ht="69.95" hidden="1" customHeight="1">
      <c r="A1236" s="29" t="s">
        <v>5096</v>
      </c>
      <c r="B1236" s="29" t="s">
        <v>3769</v>
      </c>
      <c r="C1236" s="40">
        <v>10</v>
      </c>
      <c r="D1236" s="40"/>
      <c r="E1236" s="57" t="s">
        <v>143</v>
      </c>
      <c r="F1236" s="57" t="s">
        <v>143</v>
      </c>
      <c r="G1236" s="29" t="s">
        <v>2672</v>
      </c>
      <c r="H1236" s="29"/>
      <c r="I1236" s="124" t="s">
        <v>9121</v>
      </c>
      <c r="J1236" s="29">
        <f t="shared" si="84"/>
        <v>1</v>
      </c>
      <c r="K1236" s="42">
        <v>1222</v>
      </c>
      <c r="L1236" s="152" t="s">
        <v>2673</v>
      </c>
      <c r="M1236" s="44" t="s">
        <v>405</v>
      </c>
      <c r="N1236" s="44" t="s">
        <v>426</v>
      </c>
      <c r="O1236" s="101" t="str">
        <f>F1236</f>
        <v>PE-L1-3C4-15</v>
      </c>
      <c r="P1236" s="45">
        <v>0.75</v>
      </c>
      <c r="Q1236" s="44">
        <v>230</v>
      </c>
      <c r="R1236" s="44" t="s">
        <v>49</v>
      </c>
      <c r="S1236" s="101">
        <v>100</v>
      </c>
      <c r="T1236" s="46" t="s">
        <v>6734</v>
      </c>
      <c r="U1236" s="46" t="s">
        <v>5096</v>
      </c>
      <c r="V1236" s="46" t="s">
        <v>5097</v>
      </c>
      <c r="W1236" s="46" t="s">
        <v>335</v>
      </c>
      <c r="X1236" s="172" t="s">
        <v>9167</v>
      </c>
      <c r="Y1236" s="46" t="s">
        <v>6738</v>
      </c>
      <c r="Z1236" s="46" t="s">
        <v>6739</v>
      </c>
      <c r="AA1236" s="46" t="s">
        <v>335</v>
      </c>
      <c r="AB1236" s="172" t="s">
        <v>9167</v>
      </c>
      <c r="AC1236" s="48" t="s">
        <v>6740</v>
      </c>
      <c r="AD1236" s="30"/>
      <c r="AE1236" s="200"/>
      <c r="AF1236" s="100"/>
    </row>
    <row r="1237" spans="1:42" s="32" customFormat="1" ht="69.95" hidden="1" customHeight="1">
      <c r="A1237" s="29" t="s">
        <v>6317</v>
      </c>
      <c r="B1237" s="29" t="s">
        <v>3769</v>
      </c>
      <c r="C1237" s="40">
        <v>17</v>
      </c>
      <c r="D1237" s="40"/>
      <c r="E1237" s="67" t="s">
        <v>8033</v>
      </c>
      <c r="F1237" s="67" t="s">
        <v>8033</v>
      </c>
      <c r="G1237" s="29" t="s">
        <v>2674</v>
      </c>
      <c r="H1237" s="124" t="s">
        <v>9445</v>
      </c>
      <c r="I1237" s="124" t="s">
        <v>9121</v>
      </c>
      <c r="J1237" s="29">
        <f t="shared" si="84"/>
        <v>1</v>
      </c>
      <c r="K1237" s="42">
        <v>1223</v>
      </c>
      <c r="L1237" s="152" t="s">
        <v>2675</v>
      </c>
      <c r="M1237" s="44" t="s">
        <v>405</v>
      </c>
      <c r="N1237" s="44" t="s">
        <v>2676</v>
      </c>
      <c r="O1237" s="101" t="str">
        <f t="shared" ref="O1237:O1241" si="86">F1237</f>
        <v>PE-L1-1C500-29</v>
      </c>
      <c r="P1237" s="45">
        <v>34</v>
      </c>
      <c r="Q1237" s="44">
        <v>220</v>
      </c>
      <c r="R1237" s="44" t="s">
        <v>509</v>
      </c>
      <c r="S1237" s="101">
        <v>320</v>
      </c>
      <c r="T1237" s="46" t="s">
        <v>6734</v>
      </c>
      <c r="U1237" s="46" t="s">
        <v>6317</v>
      </c>
      <c r="V1237" s="46" t="s">
        <v>6318</v>
      </c>
      <c r="W1237" s="46" t="s">
        <v>335</v>
      </c>
      <c r="X1237" s="131" t="s">
        <v>8116</v>
      </c>
      <c r="Y1237" s="46" t="s">
        <v>8351</v>
      </c>
      <c r="Z1237" s="46" t="s">
        <v>8353</v>
      </c>
      <c r="AA1237" s="46" t="s">
        <v>6741</v>
      </c>
      <c r="AB1237" s="131" t="s">
        <v>8116</v>
      </c>
      <c r="AC1237" s="48" t="s">
        <v>6742</v>
      </c>
      <c r="AD1237" s="30"/>
      <c r="AE1237" s="200"/>
      <c r="AF1237" s="100"/>
    </row>
    <row r="1238" spans="1:42" s="29" customFormat="1" ht="69.95" hidden="1" customHeight="1">
      <c r="A1238" s="49" t="s">
        <v>6317</v>
      </c>
      <c r="B1238" s="49" t="s">
        <v>3769</v>
      </c>
      <c r="C1238" s="49">
        <v>18</v>
      </c>
      <c r="D1238" s="49"/>
      <c r="E1238" s="67" t="s">
        <v>8352</v>
      </c>
      <c r="F1238" s="67" t="s">
        <v>8352</v>
      </c>
      <c r="H1238" s="124" t="s">
        <v>9563</v>
      </c>
      <c r="I1238" s="124" t="s">
        <v>9121</v>
      </c>
      <c r="J1238" s="29">
        <f t="shared" si="84"/>
        <v>1</v>
      </c>
      <c r="K1238" s="42">
        <v>1224</v>
      </c>
      <c r="L1238" s="152" t="s">
        <v>2677</v>
      </c>
      <c r="M1238" s="43" t="s">
        <v>405</v>
      </c>
      <c r="N1238" s="43" t="s">
        <v>2676</v>
      </c>
      <c r="O1238" s="101" t="str">
        <f t="shared" si="86"/>
        <v>PE-L1-1C500-30</v>
      </c>
      <c r="P1238" s="51">
        <v>34</v>
      </c>
      <c r="Q1238" s="43">
        <v>220</v>
      </c>
      <c r="R1238" s="43" t="s">
        <v>509</v>
      </c>
      <c r="S1238" s="152">
        <v>320</v>
      </c>
      <c r="T1238" s="43" t="s">
        <v>6734</v>
      </c>
      <c r="U1238" s="43" t="s">
        <v>6317</v>
      </c>
      <c r="V1238" s="43" t="s">
        <v>6318</v>
      </c>
      <c r="W1238" s="43" t="s">
        <v>335</v>
      </c>
      <c r="X1238" s="131" t="s">
        <v>8117</v>
      </c>
      <c r="Y1238" s="43" t="s">
        <v>4069</v>
      </c>
      <c r="Z1238" s="43" t="s">
        <v>4070</v>
      </c>
      <c r="AA1238" s="43" t="s">
        <v>6741</v>
      </c>
      <c r="AB1238" s="131" t="s">
        <v>8117</v>
      </c>
      <c r="AC1238" s="52" t="s">
        <v>6742</v>
      </c>
      <c r="AD1238" s="30"/>
      <c r="AE1238" s="197"/>
      <c r="AF1238" s="47"/>
    </row>
    <row r="1239" spans="1:42" s="32" customFormat="1" ht="69.95" hidden="1" customHeight="1">
      <c r="A1239" s="29" t="s">
        <v>6322</v>
      </c>
      <c r="B1239" s="29" t="s">
        <v>3769</v>
      </c>
      <c r="C1239" s="40">
        <v>17</v>
      </c>
      <c r="D1239" s="40"/>
      <c r="E1239" s="67" t="s">
        <v>256</v>
      </c>
      <c r="F1239" s="67" t="s">
        <v>256</v>
      </c>
      <c r="G1239" s="29" t="s">
        <v>2678</v>
      </c>
      <c r="H1239" s="124" t="s">
        <v>9445</v>
      </c>
      <c r="I1239" s="124" t="s">
        <v>9121</v>
      </c>
      <c r="J1239" s="29">
        <f t="shared" si="84"/>
        <v>1</v>
      </c>
      <c r="K1239" s="42">
        <v>1225</v>
      </c>
      <c r="L1239" s="152" t="s">
        <v>2679</v>
      </c>
      <c r="M1239" s="44" t="s">
        <v>405</v>
      </c>
      <c r="N1239" s="44" t="s">
        <v>2676</v>
      </c>
      <c r="O1239" s="101" t="str">
        <f t="shared" si="86"/>
        <v>PE-L1-1C500-31</v>
      </c>
      <c r="P1239" s="45">
        <v>34</v>
      </c>
      <c r="Q1239" s="44">
        <v>220</v>
      </c>
      <c r="R1239" s="44" t="s">
        <v>509</v>
      </c>
      <c r="S1239" s="101">
        <v>340</v>
      </c>
      <c r="T1239" s="46" t="s">
        <v>6734</v>
      </c>
      <c r="U1239" s="46" t="s">
        <v>6322</v>
      </c>
      <c r="V1239" s="46" t="s">
        <v>6323</v>
      </c>
      <c r="W1239" s="46" t="s">
        <v>335</v>
      </c>
      <c r="X1239" s="131" t="s">
        <v>8116</v>
      </c>
      <c r="Y1239" s="46" t="s">
        <v>4075</v>
      </c>
      <c r="Z1239" s="46" t="s">
        <v>4076</v>
      </c>
      <c r="AA1239" s="46" t="s">
        <v>6741</v>
      </c>
      <c r="AB1239" s="131" t="s">
        <v>8116</v>
      </c>
      <c r="AC1239" s="48" t="s">
        <v>6743</v>
      </c>
      <c r="AD1239" s="30"/>
      <c r="AE1239" s="200"/>
      <c r="AF1239" s="100"/>
    </row>
    <row r="1240" spans="1:42" s="29" customFormat="1" ht="69.95" hidden="1" customHeight="1">
      <c r="A1240" s="49" t="s">
        <v>6322</v>
      </c>
      <c r="B1240" s="49" t="s">
        <v>3769</v>
      </c>
      <c r="C1240" s="49">
        <v>18</v>
      </c>
      <c r="D1240" s="49"/>
      <c r="E1240" s="67" t="s">
        <v>257</v>
      </c>
      <c r="F1240" s="67" t="s">
        <v>257</v>
      </c>
      <c r="H1240" s="124" t="s">
        <v>9563</v>
      </c>
      <c r="I1240" s="124" t="s">
        <v>9121</v>
      </c>
      <c r="J1240" s="29">
        <f t="shared" si="84"/>
        <v>1</v>
      </c>
      <c r="K1240" s="42">
        <v>1226</v>
      </c>
      <c r="L1240" s="152" t="s">
        <v>2680</v>
      </c>
      <c r="M1240" s="43" t="s">
        <v>405</v>
      </c>
      <c r="N1240" s="43" t="s">
        <v>2676</v>
      </c>
      <c r="O1240" s="101" t="str">
        <f t="shared" si="86"/>
        <v>PE-L1-1C500-32</v>
      </c>
      <c r="P1240" s="51">
        <v>34</v>
      </c>
      <c r="Q1240" s="43">
        <v>220</v>
      </c>
      <c r="R1240" s="43" t="s">
        <v>509</v>
      </c>
      <c r="S1240" s="152">
        <v>340</v>
      </c>
      <c r="T1240" s="43" t="s">
        <v>6734</v>
      </c>
      <c r="U1240" s="43" t="s">
        <v>6322</v>
      </c>
      <c r="V1240" s="43" t="s">
        <v>6323</v>
      </c>
      <c r="W1240" s="43" t="s">
        <v>335</v>
      </c>
      <c r="X1240" s="131" t="s">
        <v>8117</v>
      </c>
      <c r="Y1240" s="43" t="s">
        <v>4075</v>
      </c>
      <c r="Z1240" s="43" t="s">
        <v>4076</v>
      </c>
      <c r="AA1240" s="43" t="s">
        <v>6741</v>
      </c>
      <c r="AB1240" s="131" t="s">
        <v>8117</v>
      </c>
      <c r="AC1240" s="52" t="s">
        <v>6743</v>
      </c>
      <c r="AD1240" s="30"/>
      <c r="AE1240" s="197"/>
      <c r="AF1240" s="47"/>
    </row>
    <row r="1241" spans="1:42" s="32" customFormat="1" ht="69.95" hidden="1" customHeight="1">
      <c r="A1241" s="29" t="s">
        <v>4079</v>
      </c>
      <c r="B1241" s="29" t="s">
        <v>3769</v>
      </c>
      <c r="C1241" s="40">
        <v>19</v>
      </c>
      <c r="D1241" s="40"/>
      <c r="E1241" s="57" t="s">
        <v>143</v>
      </c>
      <c r="F1241" s="57" t="s">
        <v>143</v>
      </c>
      <c r="G1241" s="29" t="s">
        <v>2681</v>
      </c>
      <c r="H1241" s="29"/>
      <c r="I1241" s="29"/>
      <c r="J1241" s="29">
        <f t="shared" si="84"/>
        <v>1</v>
      </c>
      <c r="K1241" s="42">
        <v>1227</v>
      </c>
      <c r="L1241" s="43" t="s">
        <v>2682</v>
      </c>
      <c r="M1241" s="44" t="s">
        <v>405</v>
      </c>
      <c r="N1241" s="44" t="s">
        <v>426</v>
      </c>
      <c r="O1241" s="44" t="str">
        <f t="shared" si="86"/>
        <v>PE-L1-3C4-15</v>
      </c>
      <c r="P1241" s="45">
        <v>0.3</v>
      </c>
      <c r="Q1241" s="44">
        <v>230</v>
      </c>
      <c r="R1241" s="44" t="s">
        <v>49</v>
      </c>
      <c r="S1241" s="44">
        <v>30</v>
      </c>
      <c r="T1241" s="46" t="s">
        <v>6734</v>
      </c>
      <c r="U1241" s="46" t="s">
        <v>4079</v>
      </c>
      <c r="V1241" s="46" t="s">
        <v>4080</v>
      </c>
      <c r="W1241" s="46" t="s">
        <v>391</v>
      </c>
      <c r="X1241" s="172" t="s">
        <v>9167</v>
      </c>
      <c r="Y1241" s="46" t="s">
        <v>4069</v>
      </c>
      <c r="Z1241" s="46" t="s">
        <v>4070</v>
      </c>
      <c r="AA1241" s="46" t="s">
        <v>6741</v>
      </c>
      <c r="AB1241" s="172" t="s">
        <v>9167</v>
      </c>
      <c r="AC1241" s="48" t="s">
        <v>6744</v>
      </c>
      <c r="AD1241" s="30"/>
      <c r="AE1241" s="200"/>
      <c r="AF1241" s="100"/>
    </row>
    <row r="1242" spans="1:42" s="32" customFormat="1" ht="69.95" hidden="1" customHeight="1">
      <c r="A1242" s="29" t="s">
        <v>3959</v>
      </c>
      <c r="B1242" s="29" t="s">
        <v>3769</v>
      </c>
      <c r="C1242" s="40" t="s">
        <v>73</v>
      </c>
      <c r="D1242" s="40"/>
      <c r="E1242" s="57" t="s">
        <v>8377</v>
      </c>
      <c r="F1242" s="57" t="s">
        <v>8377</v>
      </c>
      <c r="G1242" s="29" t="s">
        <v>2683</v>
      </c>
      <c r="H1242" s="124" t="s">
        <v>9154</v>
      </c>
      <c r="I1242" s="124" t="s">
        <v>9121</v>
      </c>
      <c r="J1242" s="29">
        <f t="shared" si="84"/>
        <v>1</v>
      </c>
      <c r="K1242" s="42">
        <v>1228</v>
      </c>
      <c r="L1242" s="152" t="s">
        <v>2684</v>
      </c>
      <c r="M1242" s="44" t="s">
        <v>405</v>
      </c>
      <c r="N1242" s="44" t="s">
        <v>879</v>
      </c>
      <c r="O1242" s="101" t="str">
        <f>F1242</f>
        <v>PE-L1-5C70/35-05</v>
      </c>
      <c r="P1242" s="45">
        <v>10</v>
      </c>
      <c r="Q1242" s="44">
        <v>400</v>
      </c>
      <c r="R1242" s="44" t="s">
        <v>428</v>
      </c>
      <c r="S1242" s="101">
        <v>330</v>
      </c>
      <c r="T1242" s="46" t="s">
        <v>6734</v>
      </c>
      <c r="U1242" s="46" t="s">
        <v>3959</v>
      </c>
      <c r="V1242" s="46" t="s">
        <v>3960</v>
      </c>
      <c r="W1242" s="46" t="s">
        <v>335</v>
      </c>
      <c r="X1242" s="47" t="s">
        <v>9310</v>
      </c>
      <c r="Y1242" s="46" t="s">
        <v>4221</v>
      </c>
      <c r="Z1242" s="46" t="s">
        <v>4222</v>
      </c>
      <c r="AA1242" s="46" t="s">
        <v>6741</v>
      </c>
      <c r="AB1242" s="47" t="s">
        <v>9310</v>
      </c>
      <c r="AC1242" s="48" t="s">
        <v>6745</v>
      </c>
      <c r="AD1242" s="30"/>
      <c r="AE1242" s="200"/>
      <c r="AF1242" s="100"/>
    </row>
    <row r="1243" spans="1:42" s="32" customFormat="1" ht="69.95" hidden="1" customHeight="1">
      <c r="A1243" s="29" t="s">
        <v>3994</v>
      </c>
      <c r="B1243" s="29" t="s">
        <v>3769</v>
      </c>
      <c r="C1243" s="40" t="s">
        <v>43</v>
      </c>
      <c r="D1243" s="40"/>
      <c r="E1243" s="58" t="s">
        <v>8613</v>
      </c>
      <c r="F1243" s="58" t="s">
        <v>8613</v>
      </c>
      <c r="G1243" s="29" t="s">
        <v>2685</v>
      </c>
      <c r="H1243" s="124" t="s">
        <v>9445</v>
      </c>
      <c r="I1243" s="124" t="s">
        <v>9121</v>
      </c>
      <c r="J1243" s="29">
        <f t="shared" si="84"/>
        <v>1</v>
      </c>
      <c r="K1243" s="42">
        <v>1229</v>
      </c>
      <c r="L1243" s="152" t="s">
        <v>2686</v>
      </c>
      <c r="M1243" s="44" t="s">
        <v>405</v>
      </c>
      <c r="N1243" s="44" t="s">
        <v>879</v>
      </c>
      <c r="O1243" s="101" t="str">
        <f t="shared" ref="O1243:O1244" si="87">F1243</f>
        <v>PE-L1-5C70/35-02</v>
      </c>
      <c r="P1243" s="45">
        <v>10</v>
      </c>
      <c r="Q1243" s="44">
        <v>400</v>
      </c>
      <c r="R1243" s="44" t="s">
        <v>428</v>
      </c>
      <c r="S1243" s="101">
        <v>360</v>
      </c>
      <c r="T1243" s="46" t="s">
        <v>6734</v>
      </c>
      <c r="U1243" s="46" t="s">
        <v>3994</v>
      </c>
      <c r="V1243" s="46" t="s">
        <v>3995</v>
      </c>
      <c r="W1243" s="46" t="s">
        <v>335</v>
      </c>
      <c r="X1243" s="47" t="s">
        <v>9310</v>
      </c>
      <c r="Y1243" s="46" t="s">
        <v>4237</v>
      </c>
      <c r="Z1243" s="46" t="s">
        <v>4238</v>
      </c>
      <c r="AA1243" s="46" t="s">
        <v>6741</v>
      </c>
      <c r="AB1243" s="47" t="s">
        <v>9310</v>
      </c>
      <c r="AC1243" s="48" t="s">
        <v>6746</v>
      </c>
      <c r="AD1243" s="30"/>
      <c r="AE1243" s="200"/>
      <c r="AF1243" s="100"/>
    </row>
    <row r="1244" spans="1:42" s="32" customFormat="1" ht="69.95" hidden="1" customHeight="1">
      <c r="A1244" s="29" t="s">
        <v>4158</v>
      </c>
      <c r="B1244" s="29" t="s">
        <v>3769</v>
      </c>
      <c r="C1244" s="40" t="s">
        <v>43</v>
      </c>
      <c r="D1244" s="40"/>
      <c r="E1244" s="57" t="s">
        <v>143</v>
      </c>
      <c r="F1244" s="57" t="s">
        <v>143</v>
      </c>
      <c r="G1244" s="29" t="s">
        <v>2687</v>
      </c>
      <c r="H1244" s="29"/>
      <c r="I1244" s="29"/>
      <c r="J1244" s="29">
        <f t="shared" si="84"/>
        <v>1</v>
      </c>
      <c r="K1244" s="42">
        <v>1230</v>
      </c>
      <c r="L1244" s="43" t="s">
        <v>2688</v>
      </c>
      <c r="M1244" s="44" t="s">
        <v>405</v>
      </c>
      <c r="N1244" s="44" t="s">
        <v>426</v>
      </c>
      <c r="O1244" s="44" t="str">
        <f t="shared" si="87"/>
        <v>PE-L1-3C4-15</v>
      </c>
      <c r="P1244" s="45">
        <v>0.3</v>
      </c>
      <c r="Q1244" s="44">
        <v>230</v>
      </c>
      <c r="R1244" s="44" t="s">
        <v>49</v>
      </c>
      <c r="S1244" s="44">
        <v>20</v>
      </c>
      <c r="T1244" s="46" t="s">
        <v>6734</v>
      </c>
      <c r="U1244" s="46" t="s">
        <v>4158</v>
      </c>
      <c r="V1244" s="46" t="s">
        <v>4159</v>
      </c>
      <c r="W1244" s="46" t="s">
        <v>391</v>
      </c>
      <c r="X1244" s="172" t="s">
        <v>9167</v>
      </c>
      <c r="Y1244" s="46" t="s">
        <v>4221</v>
      </c>
      <c r="Z1244" s="46" t="s">
        <v>4222</v>
      </c>
      <c r="AA1244" s="46" t="s">
        <v>6741</v>
      </c>
      <c r="AB1244" s="172" t="s">
        <v>9167</v>
      </c>
      <c r="AC1244" s="48" t="s">
        <v>6747</v>
      </c>
      <c r="AD1244" s="30"/>
      <c r="AE1244" s="200"/>
      <c r="AF1244" s="100"/>
    </row>
    <row r="1245" spans="1:42" s="32" customFormat="1" ht="69.95" hidden="1" customHeight="1">
      <c r="A1245" s="29" t="s">
        <v>3933</v>
      </c>
      <c r="B1245" s="29" t="s">
        <v>3769</v>
      </c>
      <c r="C1245" s="40" t="s">
        <v>41</v>
      </c>
      <c r="D1245" s="40"/>
      <c r="E1245" s="57" t="s">
        <v>8347</v>
      </c>
      <c r="F1245" s="57" t="s">
        <v>8347</v>
      </c>
      <c r="G1245" s="29" t="s">
        <v>2689</v>
      </c>
      <c r="H1245" s="29"/>
      <c r="I1245" s="124" t="s">
        <v>9121</v>
      </c>
      <c r="J1245" s="29">
        <f t="shared" si="84"/>
        <v>1</v>
      </c>
      <c r="K1245" s="158">
        <v>1231</v>
      </c>
      <c r="L1245" s="152" t="s">
        <v>2690</v>
      </c>
      <c r="M1245" s="44" t="s">
        <v>405</v>
      </c>
      <c r="N1245" s="44" t="s">
        <v>2244</v>
      </c>
      <c r="O1245" s="101" t="str">
        <f t="shared" ref="O1245:O1274" si="88">F1245</f>
        <v>PE-L1-1C240-04</v>
      </c>
      <c r="P1245" s="45">
        <v>400</v>
      </c>
      <c r="Q1245" s="44">
        <v>400</v>
      </c>
      <c r="R1245" s="44" t="s">
        <v>412</v>
      </c>
      <c r="S1245" s="101">
        <v>130</v>
      </c>
      <c r="T1245" s="46" t="s">
        <v>6734</v>
      </c>
      <c r="U1245" s="46" t="s">
        <v>3933</v>
      </c>
      <c r="V1245" s="46" t="s">
        <v>3934</v>
      </c>
      <c r="W1245" s="46" t="s">
        <v>335</v>
      </c>
      <c r="X1245" s="47" t="s">
        <v>44</v>
      </c>
      <c r="Y1245" s="46" t="s">
        <v>8346</v>
      </c>
      <c r="Z1245" s="46" t="s">
        <v>8357</v>
      </c>
      <c r="AA1245" s="46" t="s">
        <v>335</v>
      </c>
      <c r="AB1245" s="47" t="s">
        <v>44</v>
      </c>
      <c r="AC1245" s="48" t="s">
        <v>6749</v>
      </c>
      <c r="AD1245" s="30" t="s">
        <v>9276</v>
      </c>
      <c r="AE1245" s="200"/>
      <c r="AF1245" s="100"/>
      <c r="AK1245" s="47" t="s">
        <v>9579</v>
      </c>
      <c r="AL1245" s="47"/>
      <c r="AM1245" s="47"/>
      <c r="AN1245" s="241">
        <v>1</v>
      </c>
      <c r="AO1245" s="241" t="s">
        <v>9576</v>
      </c>
      <c r="AP1245" s="241">
        <v>1</v>
      </c>
    </row>
    <row r="1246" spans="1:42" s="29" customFormat="1" ht="69.95" hidden="1" customHeight="1">
      <c r="A1246" s="49" t="s">
        <v>3933</v>
      </c>
      <c r="B1246" s="49" t="s">
        <v>3769</v>
      </c>
      <c r="C1246" s="50" t="s">
        <v>42</v>
      </c>
      <c r="D1246" s="50"/>
      <c r="E1246" s="57" t="s">
        <v>8347</v>
      </c>
      <c r="F1246" s="57" t="s">
        <v>8347</v>
      </c>
      <c r="I1246" s="124" t="s">
        <v>9121</v>
      </c>
      <c r="J1246" s="29">
        <f t="shared" si="84"/>
        <v>1</v>
      </c>
      <c r="K1246" s="158">
        <v>1232</v>
      </c>
      <c r="L1246" s="152" t="s">
        <v>2691</v>
      </c>
      <c r="M1246" s="43" t="s">
        <v>405</v>
      </c>
      <c r="N1246" s="43" t="s">
        <v>2244</v>
      </c>
      <c r="O1246" s="101" t="str">
        <f t="shared" si="88"/>
        <v>PE-L1-1C240-04</v>
      </c>
      <c r="P1246" s="51">
        <v>400</v>
      </c>
      <c r="Q1246" s="43">
        <v>400</v>
      </c>
      <c r="R1246" s="43" t="s">
        <v>412</v>
      </c>
      <c r="S1246" s="152">
        <v>130</v>
      </c>
      <c r="T1246" s="43" t="s">
        <v>6734</v>
      </c>
      <c r="U1246" s="43" t="s">
        <v>3933</v>
      </c>
      <c r="V1246" s="43" t="s">
        <v>3934</v>
      </c>
      <c r="W1246" s="43" t="s">
        <v>335</v>
      </c>
      <c r="X1246" s="47" t="s">
        <v>45</v>
      </c>
      <c r="Y1246" s="43" t="s">
        <v>6735</v>
      </c>
      <c r="Z1246" s="43" t="s">
        <v>6748</v>
      </c>
      <c r="AA1246" s="43" t="s">
        <v>335</v>
      </c>
      <c r="AB1246" s="47" t="s">
        <v>45</v>
      </c>
      <c r="AC1246" s="52" t="s">
        <v>6749</v>
      </c>
      <c r="AD1246" s="30" t="s">
        <v>9276</v>
      </c>
      <c r="AE1246" s="197"/>
      <c r="AF1246" s="47"/>
      <c r="AK1246" s="47" t="s">
        <v>9579</v>
      </c>
      <c r="AL1246" s="47"/>
      <c r="AM1246" s="47"/>
      <c r="AN1246" s="241">
        <v>1</v>
      </c>
      <c r="AO1246" s="241" t="s">
        <v>9576</v>
      </c>
      <c r="AP1246" s="241">
        <v>1</v>
      </c>
    </row>
    <row r="1247" spans="1:42" s="29" customFormat="1" ht="69.95" hidden="1" customHeight="1">
      <c r="A1247" s="49" t="s">
        <v>3933</v>
      </c>
      <c r="B1247" s="49" t="s">
        <v>3769</v>
      </c>
      <c r="C1247" s="50" t="s">
        <v>43</v>
      </c>
      <c r="D1247" s="50"/>
      <c r="E1247" s="57" t="s">
        <v>8347</v>
      </c>
      <c r="F1247" s="57" t="s">
        <v>8347</v>
      </c>
      <c r="I1247" s="124" t="s">
        <v>9121</v>
      </c>
      <c r="J1247" s="29">
        <f t="shared" si="84"/>
        <v>1</v>
      </c>
      <c r="K1247" s="158">
        <v>1233</v>
      </c>
      <c r="L1247" s="152" t="s">
        <v>2692</v>
      </c>
      <c r="M1247" s="43" t="s">
        <v>405</v>
      </c>
      <c r="N1247" s="43" t="s">
        <v>2244</v>
      </c>
      <c r="O1247" s="101" t="str">
        <f t="shared" si="88"/>
        <v>PE-L1-1C240-04</v>
      </c>
      <c r="P1247" s="51">
        <v>400</v>
      </c>
      <c r="Q1247" s="43">
        <v>400</v>
      </c>
      <c r="R1247" s="43" t="s">
        <v>412</v>
      </c>
      <c r="S1247" s="152">
        <v>130</v>
      </c>
      <c r="T1247" s="43" t="s">
        <v>6734</v>
      </c>
      <c r="U1247" s="43" t="s">
        <v>3933</v>
      </c>
      <c r="V1247" s="43" t="s">
        <v>3934</v>
      </c>
      <c r="W1247" s="43" t="s">
        <v>335</v>
      </c>
      <c r="X1247" s="47" t="s">
        <v>46</v>
      </c>
      <c r="Y1247" s="43" t="s">
        <v>6735</v>
      </c>
      <c r="Z1247" s="43" t="s">
        <v>6748</v>
      </c>
      <c r="AA1247" s="43" t="s">
        <v>335</v>
      </c>
      <c r="AB1247" s="47" t="s">
        <v>46</v>
      </c>
      <c r="AC1247" s="52" t="s">
        <v>6749</v>
      </c>
      <c r="AD1247" s="30" t="s">
        <v>9276</v>
      </c>
      <c r="AE1247" s="197"/>
      <c r="AF1247" s="47"/>
      <c r="AK1247" s="47" t="s">
        <v>9579</v>
      </c>
      <c r="AL1247" s="47"/>
      <c r="AM1247" s="47"/>
      <c r="AN1247" s="241">
        <v>1</v>
      </c>
      <c r="AO1247" s="241" t="s">
        <v>9576</v>
      </c>
      <c r="AP1247" s="241">
        <v>1</v>
      </c>
    </row>
    <row r="1248" spans="1:42" s="29" customFormat="1" ht="69.95" hidden="1" customHeight="1">
      <c r="A1248" s="49" t="s">
        <v>3933</v>
      </c>
      <c r="B1248" s="49" t="s">
        <v>3769</v>
      </c>
      <c r="C1248" s="50" t="s">
        <v>73</v>
      </c>
      <c r="D1248" s="50"/>
      <c r="E1248" s="57" t="s">
        <v>8347</v>
      </c>
      <c r="F1248" s="57" t="s">
        <v>8347</v>
      </c>
      <c r="I1248" s="124" t="s">
        <v>9121</v>
      </c>
      <c r="J1248" s="29">
        <f t="shared" si="84"/>
        <v>1</v>
      </c>
      <c r="K1248" s="42">
        <v>1234</v>
      </c>
      <c r="L1248" s="152" t="s">
        <v>2693</v>
      </c>
      <c r="M1248" s="43" t="s">
        <v>405</v>
      </c>
      <c r="N1248" s="43" t="s">
        <v>2244</v>
      </c>
      <c r="O1248" s="101" t="str">
        <f t="shared" si="88"/>
        <v>PE-L1-1C240-04</v>
      </c>
      <c r="P1248" s="51">
        <v>400</v>
      </c>
      <c r="Q1248" s="43">
        <v>400</v>
      </c>
      <c r="R1248" s="43" t="s">
        <v>412</v>
      </c>
      <c r="S1248" s="152">
        <v>130</v>
      </c>
      <c r="T1248" s="43" t="s">
        <v>6734</v>
      </c>
      <c r="U1248" s="43" t="s">
        <v>3933</v>
      </c>
      <c r="V1248" s="43" t="s">
        <v>3934</v>
      </c>
      <c r="W1248" s="43" t="s">
        <v>335</v>
      </c>
      <c r="X1248" s="47" t="s">
        <v>44</v>
      </c>
      <c r="Y1248" s="43" t="s">
        <v>6735</v>
      </c>
      <c r="Z1248" s="43" t="s">
        <v>6748</v>
      </c>
      <c r="AA1248" s="43" t="s">
        <v>335</v>
      </c>
      <c r="AB1248" s="47" t="s">
        <v>44</v>
      </c>
      <c r="AC1248" s="48" t="s">
        <v>6750</v>
      </c>
      <c r="AD1248" s="30"/>
      <c r="AE1248" s="197"/>
      <c r="AF1248" s="47"/>
      <c r="AK1248" s="47" t="s">
        <v>9579</v>
      </c>
      <c r="AL1248" s="47"/>
      <c r="AM1248" s="47"/>
      <c r="AN1248" s="241">
        <v>1</v>
      </c>
      <c r="AO1248" s="241" t="s">
        <v>9576</v>
      </c>
      <c r="AP1248" s="241">
        <v>1</v>
      </c>
    </row>
    <row r="1249" spans="1:42" s="29" customFormat="1" ht="69.95" hidden="1" customHeight="1">
      <c r="A1249" s="49" t="s">
        <v>3933</v>
      </c>
      <c r="B1249" s="49" t="s">
        <v>3769</v>
      </c>
      <c r="C1249" s="50" t="s">
        <v>75</v>
      </c>
      <c r="D1249" s="50"/>
      <c r="E1249" s="57" t="s">
        <v>8347</v>
      </c>
      <c r="F1249" s="57" t="s">
        <v>8347</v>
      </c>
      <c r="I1249" s="124" t="s">
        <v>9121</v>
      </c>
      <c r="J1249" s="29">
        <f t="shared" si="84"/>
        <v>1</v>
      </c>
      <c r="K1249" s="42">
        <v>1235</v>
      </c>
      <c r="L1249" s="152" t="s">
        <v>2694</v>
      </c>
      <c r="M1249" s="43" t="s">
        <v>405</v>
      </c>
      <c r="N1249" s="43" t="s">
        <v>2244</v>
      </c>
      <c r="O1249" s="101" t="str">
        <f t="shared" si="88"/>
        <v>PE-L1-1C240-04</v>
      </c>
      <c r="P1249" s="51">
        <v>400</v>
      </c>
      <c r="Q1249" s="43">
        <v>400</v>
      </c>
      <c r="R1249" s="43" t="s">
        <v>412</v>
      </c>
      <c r="S1249" s="152">
        <v>130</v>
      </c>
      <c r="T1249" s="43" t="s">
        <v>6734</v>
      </c>
      <c r="U1249" s="43" t="s">
        <v>3933</v>
      </c>
      <c r="V1249" s="43" t="s">
        <v>3934</v>
      </c>
      <c r="W1249" s="43" t="s">
        <v>335</v>
      </c>
      <c r="X1249" s="47" t="s">
        <v>45</v>
      </c>
      <c r="Y1249" s="43" t="s">
        <v>6735</v>
      </c>
      <c r="Z1249" s="43" t="s">
        <v>6748</v>
      </c>
      <c r="AA1249" s="43" t="s">
        <v>335</v>
      </c>
      <c r="AB1249" s="47" t="s">
        <v>45</v>
      </c>
      <c r="AC1249" s="52" t="s">
        <v>6750</v>
      </c>
      <c r="AD1249" s="30"/>
      <c r="AE1249" s="197"/>
      <c r="AF1249" s="47"/>
      <c r="AK1249" s="47" t="s">
        <v>9579</v>
      </c>
      <c r="AL1249" s="47"/>
      <c r="AM1249" s="47"/>
      <c r="AN1249" s="241">
        <v>1</v>
      </c>
      <c r="AO1249" s="241" t="s">
        <v>9576</v>
      </c>
      <c r="AP1249" s="241">
        <v>1</v>
      </c>
    </row>
    <row r="1250" spans="1:42" s="29" customFormat="1" ht="69.95" hidden="1" customHeight="1">
      <c r="A1250" s="49" t="s">
        <v>3933</v>
      </c>
      <c r="B1250" s="49" t="s">
        <v>3769</v>
      </c>
      <c r="C1250" s="50" t="s">
        <v>205</v>
      </c>
      <c r="D1250" s="50"/>
      <c r="E1250" s="57" t="s">
        <v>8347</v>
      </c>
      <c r="F1250" s="57" t="s">
        <v>8347</v>
      </c>
      <c r="I1250" s="124" t="s">
        <v>9121</v>
      </c>
      <c r="J1250" s="29">
        <f t="shared" si="84"/>
        <v>1</v>
      </c>
      <c r="K1250" s="42">
        <v>1236</v>
      </c>
      <c r="L1250" s="152" t="s">
        <v>2695</v>
      </c>
      <c r="M1250" s="43" t="s">
        <v>405</v>
      </c>
      <c r="N1250" s="43" t="s">
        <v>2244</v>
      </c>
      <c r="O1250" s="101" t="str">
        <f t="shared" si="88"/>
        <v>PE-L1-1C240-04</v>
      </c>
      <c r="P1250" s="51">
        <v>400</v>
      </c>
      <c r="Q1250" s="43">
        <v>400</v>
      </c>
      <c r="R1250" s="43" t="s">
        <v>412</v>
      </c>
      <c r="S1250" s="152">
        <v>130</v>
      </c>
      <c r="T1250" s="43" t="s">
        <v>6734</v>
      </c>
      <c r="U1250" s="43" t="s">
        <v>3933</v>
      </c>
      <c r="V1250" s="43" t="s">
        <v>3934</v>
      </c>
      <c r="W1250" s="43" t="s">
        <v>335</v>
      </c>
      <c r="X1250" s="47" t="s">
        <v>46</v>
      </c>
      <c r="Y1250" s="43" t="s">
        <v>6735</v>
      </c>
      <c r="Z1250" s="43" t="s">
        <v>6748</v>
      </c>
      <c r="AA1250" s="43" t="s">
        <v>335</v>
      </c>
      <c r="AB1250" s="47" t="s">
        <v>46</v>
      </c>
      <c r="AC1250" s="52" t="s">
        <v>6750</v>
      </c>
      <c r="AD1250" s="30"/>
      <c r="AE1250" s="197"/>
      <c r="AF1250" s="47"/>
      <c r="AK1250" s="47" t="s">
        <v>9579</v>
      </c>
      <c r="AL1250" s="47"/>
      <c r="AM1250" s="47"/>
      <c r="AN1250" s="241">
        <v>1</v>
      </c>
      <c r="AO1250" s="241" t="s">
        <v>9576</v>
      </c>
      <c r="AP1250" s="241">
        <v>1</v>
      </c>
    </row>
    <row r="1251" spans="1:42" s="29" customFormat="1" ht="69.95" hidden="1" customHeight="1">
      <c r="A1251" s="49" t="s">
        <v>3933</v>
      </c>
      <c r="B1251" s="49" t="s">
        <v>3769</v>
      </c>
      <c r="C1251" s="50">
        <v>11</v>
      </c>
      <c r="D1251" s="140"/>
      <c r="E1251" s="57" t="s">
        <v>8347</v>
      </c>
      <c r="F1251" s="57" t="s">
        <v>8347</v>
      </c>
      <c r="I1251" s="124" t="s">
        <v>9121</v>
      </c>
      <c r="J1251" s="29">
        <f t="shared" si="84"/>
        <v>1</v>
      </c>
      <c r="K1251" s="158">
        <v>1237</v>
      </c>
      <c r="L1251" s="152" t="s">
        <v>2696</v>
      </c>
      <c r="M1251" s="43" t="s">
        <v>405</v>
      </c>
      <c r="N1251" s="43" t="s">
        <v>2244</v>
      </c>
      <c r="O1251" s="101" t="str">
        <f t="shared" si="88"/>
        <v>PE-L1-1C240-04</v>
      </c>
      <c r="P1251" s="51">
        <v>400</v>
      </c>
      <c r="Q1251" s="43">
        <v>400</v>
      </c>
      <c r="R1251" s="43" t="s">
        <v>412</v>
      </c>
      <c r="S1251" s="152">
        <v>130</v>
      </c>
      <c r="T1251" s="43" t="s">
        <v>6734</v>
      </c>
      <c r="U1251" s="43" t="s">
        <v>3933</v>
      </c>
      <c r="V1251" s="43" t="s">
        <v>3934</v>
      </c>
      <c r="W1251" s="53" t="s">
        <v>335</v>
      </c>
      <c r="X1251" s="47" t="s">
        <v>17</v>
      </c>
      <c r="Y1251" s="43" t="s">
        <v>6735</v>
      </c>
      <c r="Z1251" s="43" t="s">
        <v>6748</v>
      </c>
      <c r="AA1251" s="43" t="s">
        <v>335</v>
      </c>
      <c r="AB1251" s="47" t="s">
        <v>49</v>
      </c>
      <c r="AC1251" s="48" t="s">
        <v>6749</v>
      </c>
      <c r="AD1251" s="30" t="s">
        <v>9276</v>
      </c>
      <c r="AE1251" s="197"/>
      <c r="AF1251" s="47"/>
      <c r="AK1251" s="47" t="s">
        <v>9579</v>
      </c>
      <c r="AL1251" s="47"/>
      <c r="AM1251" s="47"/>
      <c r="AN1251" s="241">
        <v>1</v>
      </c>
      <c r="AO1251" s="241" t="s">
        <v>9576</v>
      </c>
      <c r="AP1251" s="241">
        <v>1</v>
      </c>
    </row>
    <row r="1252" spans="1:42" s="29" customFormat="1" ht="69.95" hidden="1" customHeight="1">
      <c r="A1252" s="49" t="s">
        <v>3933</v>
      </c>
      <c r="B1252" s="49" t="s">
        <v>3769</v>
      </c>
      <c r="C1252" s="49">
        <v>12</v>
      </c>
      <c r="D1252" s="49"/>
      <c r="E1252" s="57" t="s">
        <v>8347</v>
      </c>
      <c r="F1252" s="57" t="s">
        <v>8347</v>
      </c>
      <c r="I1252" s="124" t="s">
        <v>9121</v>
      </c>
      <c r="J1252" s="29">
        <f t="shared" si="84"/>
        <v>1</v>
      </c>
      <c r="K1252" s="42">
        <v>1238</v>
      </c>
      <c r="L1252" s="152" t="s">
        <v>2697</v>
      </c>
      <c r="M1252" s="43" t="s">
        <v>405</v>
      </c>
      <c r="N1252" s="43" t="s">
        <v>2244</v>
      </c>
      <c r="O1252" s="101" t="str">
        <f t="shared" si="88"/>
        <v>PE-L1-1C240-04</v>
      </c>
      <c r="P1252" s="51">
        <v>400</v>
      </c>
      <c r="Q1252" s="43">
        <v>400</v>
      </c>
      <c r="R1252" s="43" t="s">
        <v>412</v>
      </c>
      <c r="S1252" s="152">
        <v>130</v>
      </c>
      <c r="T1252" s="43" t="s">
        <v>6734</v>
      </c>
      <c r="U1252" s="43" t="s">
        <v>3933</v>
      </c>
      <c r="V1252" s="43" t="s">
        <v>3934</v>
      </c>
      <c r="W1252" s="53" t="s">
        <v>335</v>
      </c>
      <c r="X1252" s="47" t="s">
        <v>18</v>
      </c>
      <c r="Y1252" s="43" t="s">
        <v>6735</v>
      </c>
      <c r="Z1252" s="43" t="s">
        <v>6748</v>
      </c>
      <c r="AA1252" s="43" t="s">
        <v>335</v>
      </c>
      <c r="AB1252" s="47" t="s">
        <v>6263</v>
      </c>
      <c r="AC1252" s="48" t="s">
        <v>6750</v>
      </c>
      <c r="AD1252" s="30"/>
      <c r="AE1252" s="197"/>
      <c r="AF1252" s="47"/>
      <c r="AK1252" s="47" t="s">
        <v>9579</v>
      </c>
      <c r="AL1252" s="47"/>
      <c r="AM1252" s="47"/>
      <c r="AN1252" s="241">
        <v>1</v>
      </c>
      <c r="AO1252" s="241" t="s">
        <v>9576</v>
      </c>
      <c r="AP1252" s="241">
        <v>1</v>
      </c>
    </row>
    <row r="1253" spans="1:42" s="32" customFormat="1" ht="69.95" hidden="1" customHeight="1">
      <c r="A1253" s="29" t="s">
        <v>3970</v>
      </c>
      <c r="B1253" s="29" t="s">
        <v>3769</v>
      </c>
      <c r="C1253" s="40" t="s">
        <v>41</v>
      </c>
      <c r="D1253" s="40"/>
      <c r="E1253" s="57" t="s">
        <v>8349</v>
      </c>
      <c r="F1253" s="57" t="s">
        <v>8349</v>
      </c>
      <c r="G1253" s="29" t="s">
        <v>2698</v>
      </c>
      <c r="H1253" s="29"/>
      <c r="I1253" s="124" t="s">
        <v>9121</v>
      </c>
      <c r="J1253" s="29">
        <f t="shared" si="84"/>
        <v>1</v>
      </c>
      <c r="K1253" s="42">
        <v>1239</v>
      </c>
      <c r="L1253" s="152" t="s">
        <v>2699</v>
      </c>
      <c r="M1253" s="44" t="s">
        <v>405</v>
      </c>
      <c r="N1253" s="44" t="s">
        <v>2244</v>
      </c>
      <c r="O1253" s="101" t="str">
        <f t="shared" si="88"/>
        <v>PE-L1-1C240-06</v>
      </c>
      <c r="P1253" s="45">
        <v>400</v>
      </c>
      <c r="Q1253" s="44">
        <v>400</v>
      </c>
      <c r="R1253" s="44" t="s">
        <v>412</v>
      </c>
      <c r="S1253" s="101">
        <v>140</v>
      </c>
      <c r="T1253" s="46" t="s">
        <v>6734</v>
      </c>
      <c r="U1253" s="46" t="s">
        <v>3970</v>
      </c>
      <c r="V1253" s="46" t="s">
        <v>3971</v>
      </c>
      <c r="W1253" s="46" t="s">
        <v>335</v>
      </c>
      <c r="X1253" s="47" t="s">
        <v>44</v>
      </c>
      <c r="Y1253" s="46" t="s">
        <v>6751</v>
      </c>
      <c r="Z1253" s="46" t="s">
        <v>6752</v>
      </c>
      <c r="AA1253" s="46" t="s">
        <v>335</v>
      </c>
      <c r="AB1253" s="47" t="s">
        <v>44</v>
      </c>
      <c r="AC1253" s="48" t="s">
        <v>6753</v>
      </c>
      <c r="AD1253" s="30"/>
      <c r="AE1253" s="200"/>
      <c r="AF1253" s="100"/>
      <c r="AK1253" s="47" t="s">
        <v>9579</v>
      </c>
      <c r="AL1253" s="47"/>
      <c r="AM1253" s="47"/>
      <c r="AN1253" s="241">
        <v>1</v>
      </c>
      <c r="AO1253" s="241" t="s">
        <v>9576</v>
      </c>
      <c r="AP1253" s="241">
        <v>1</v>
      </c>
    </row>
    <row r="1254" spans="1:42" s="29" customFormat="1" ht="69.95" hidden="1" customHeight="1">
      <c r="A1254" s="49" t="s">
        <v>3970</v>
      </c>
      <c r="B1254" s="49" t="s">
        <v>3769</v>
      </c>
      <c r="C1254" s="50" t="s">
        <v>42</v>
      </c>
      <c r="D1254" s="50"/>
      <c r="E1254" s="57" t="s">
        <v>8349</v>
      </c>
      <c r="F1254" s="57" t="s">
        <v>8349</v>
      </c>
      <c r="I1254" s="124" t="s">
        <v>9121</v>
      </c>
      <c r="J1254" s="29">
        <f t="shared" si="84"/>
        <v>1</v>
      </c>
      <c r="K1254" s="42">
        <v>1240</v>
      </c>
      <c r="L1254" s="152" t="s">
        <v>2700</v>
      </c>
      <c r="M1254" s="43" t="s">
        <v>405</v>
      </c>
      <c r="N1254" s="43" t="s">
        <v>2244</v>
      </c>
      <c r="O1254" s="101" t="str">
        <f t="shared" si="88"/>
        <v>PE-L1-1C240-06</v>
      </c>
      <c r="P1254" s="51">
        <v>400</v>
      </c>
      <c r="Q1254" s="43">
        <v>400</v>
      </c>
      <c r="R1254" s="43" t="s">
        <v>412</v>
      </c>
      <c r="S1254" s="152">
        <v>140</v>
      </c>
      <c r="T1254" s="43" t="s">
        <v>6734</v>
      </c>
      <c r="U1254" s="43" t="s">
        <v>3970</v>
      </c>
      <c r="V1254" s="43" t="s">
        <v>3971</v>
      </c>
      <c r="W1254" s="43" t="s">
        <v>335</v>
      </c>
      <c r="X1254" s="47" t="s">
        <v>45</v>
      </c>
      <c r="Y1254" s="43" t="s">
        <v>6751</v>
      </c>
      <c r="Z1254" s="43" t="s">
        <v>6752</v>
      </c>
      <c r="AA1254" s="43" t="s">
        <v>335</v>
      </c>
      <c r="AB1254" s="47" t="s">
        <v>45</v>
      </c>
      <c r="AC1254" s="52" t="s">
        <v>6753</v>
      </c>
      <c r="AD1254" s="30"/>
      <c r="AE1254" s="197"/>
      <c r="AF1254" s="47"/>
      <c r="AK1254" s="47" t="s">
        <v>9579</v>
      </c>
      <c r="AL1254" s="47"/>
      <c r="AM1254" s="47"/>
      <c r="AN1254" s="241">
        <v>1</v>
      </c>
      <c r="AO1254" s="241" t="s">
        <v>9576</v>
      </c>
      <c r="AP1254" s="241">
        <v>1</v>
      </c>
    </row>
    <row r="1255" spans="1:42" s="29" customFormat="1" ht="69.95" hidden="1" customHeight="1">
      <c r="A1255" s="49" t="s">
        <v>3970</v>
      </c>
      <c r="B1255" s="49" t="s">
        <v>3769</v>
      </c>
      <c r="C1255" s="50" t="s">
        <v>43</v>
      </c>
      <c r="D1255" s="50"/>
      <c r="E1255" s="57" t="s">
        <v>8349</v>
      </c>
      <c r="F1255" s="57" t="s">
        <v>8349</v>
      </c>
      <c r="I1255" s="124" t="s">
        <v>9121</v>
      </c>
      <c r="J1255" s="29">
        <f t="shared" si="84"/>
        <v>1</v>
      </c>
      <c r="K1255" s="42">
        <v>1241</v>
      </c>
      <c r="L1255" s="152" t="s">
        <v>2701</v>
      </c>
      <c r="M1255" s="43" t="s">
        <v>405</v>
      </c>
      <c r="N1255" s="43" t="s">
        <v>2244</v>
      </c>
      <c r="O1255" s="101" t="str">
        <f t="shared" si="88"/>
        <v>PE-L1-1C240-06</v>
      </c>
      <c r="P1255" s="51">
        <v>400</v>
      </c>
      <c r="Q1255" s="43">
        <v>400</v>
      </c>
      <c r="R1255" s="43" t="s">
        <v>412</v>
      </c>
      <c r="S1255" s="152">
        <v>140</v>
      </c>
      <c r="T1255" s="43" t="s">
        <v>6734</v>
      </c>
      <c r="U1255" s="43" t="s">
        <v>3970</v>
      </c>
      <c r="V1255" s="43" t="s">
        <v>3971</v>
      </c>
      <c r="W1255" s="43" t="s">
        <v>335</v>
      </c>
      <c r="X1255" s="47" t="s">
        <v>46</v>
      </c>
      <c r="Y1255" s="43" t="s">
        <v>6751</v>
      </c>
      <c r="Z1255" s="43" t="s">
        <v>6752</v>
      </c>
      <c r="AA1255" s="43" t="s">
        <v>335</v>
      </c>
      <c r="AB1255" s="47" t="s">
        <v>46</v>
      </c>
      <c r="AC1255" s="52" t="s">
        <v>6753</v>
      </c>
      <c r="AD1255" s="30"/>
      <c r="AE1255" s="197"/>
      <c r="AF1255" s="47"/>
      <c r="AK1255" s="47" t="s">
        <v>9579</v>
      </c>
      <c r="AL1255" s="47"/>
      <c r="AM1255" s="47"/>
      <c r="AN1255" s="241">
        <v>1</v>
      </c>
      <c r="AO1255" s="241" t="s">
        <v>9576</v>
      </c>
      <c r="AP1255" s="241">
        <v>1</v>
      </c>
    </row>
    <row r="1256" spans="1:42" s="29" customFormat="1" ht="69.95" hidden="1" customHeight="1">
      <c r="A1256" s="49" t="s">
        <v>3970</v>
      </c>
      <c r="B1256" s="49" t="s">
        <v>3769</v>
      </c>
      <c r="C1256" s="50" t="s">
        <v>73</v>
      </c>
      <c r="D1256" s="50"/>
      <c r="E1256" s="57" t="s">
        <v>8349</v>
      </c>
      <c r="F1256" s="57" t="s">
        <v>8349</v>
      </c>
      <c r="I1256" s="124" t="s">
        <v>9121</v>
      </c>
      <c r="J1256" s="29">
        <f t="shared" si="84"/>
        <v>1</v>
      </c>
      <c r="K1256" s="42">
        <v>1242</v>
      </c>
      <c r="L1256" s="152" t="s">
        <v>2702</v>
      </c>
      <c r="M1256" s="43" t="s">
        <v>405</v>
      </c>
      <c r="N1256" s="43" t="s">
        <v>2244</v>
      </c>
      <c r="O1256" s="101" t="str">
        <f t="shared" si="88"/>
        <v>PE-L1-1C240-06</v>
      </c>
      <c r="P1256" s="51">
        <v>400</v>
      </c>
      <c r="Q1256" s="43">
        <v>400</v>
      </c>
      <c r="R1256" s="43" t="s">
        <v>412</v>
      </c>
      <c r="S1256" s="152">
        <v>140</v>
      </c>
      <c r="T1256" s="43" t="s">
        <v>6734</v>
      </c>
      <c r="U1256" s="43" t="s">
        <v>3970</v>
      </c>
      <c r="V1256" s="43" t="s">
        <v>3971</v>
      </c>
      <c r="W1256" s="43" t="s">
        <v>335</v>
      </c>
      <c r="X1256" s="47" t="s">
        <v>44</v>
      </c>
      <c r="Y1256" s="43" t="s">
        <v>6751</v>
      </c>
      <c r="Z1256" s="43" t="s">
        <v>6752</v>
      </c>
      <c r="AA1256" s="43" t="s">
        <v>335</v>
      </c>
      <c r="AB1256" s="47" t="s">
        <v>44</v>
      </c>
      <c r="AC1256" s="48" t="s">
        <v>6754</v>
      </c>
      <c r="AD1256" s="30"/>
      <c r="AE1256" s="197"/>
      <c r="AF1256" s="47"/>
      <c r="AK1256" s="47" t="s">
        <v>9579</v>
      </c>
      <c r="AL1256" s="47"/>
      <c r="AM1256" s="47"/>
      <c r="AN1256" s="241">
        <v>1</v>
      </c>
      <c r="AO1256" s="241" t="s">
        <v>9576</v>
      </c>
      <c r="AP1256" s="241">
        <v>1</v>
      </c>
    </row>
    <row r="1257" spans="1:42" s="29" customFormat="1" ht="69.95" hidden="1" customHeight="1">
      <c r="A1257" s="49" t="s">
        <v>3970</v>
      </c>
      <c r="B1257" s="49" t="s">
        <v>3769</v>
      </c>
      <c r="C1257" s="50" t="s">
        <v>75</v>
      </c>
      <c r="D1257" s="50"/>
      <c r="E1257" s="57" t="s">
        <v>8349</v>
      </c>
      <c r="F1257" s="57" t="s">
        <v>8349</v>
      </c>
      <c r="I1257" s="124" t="s">
        <v>9121</v>
      </c>
      <c r="J1257" s="29">
        <f t="shared" si="84"/>
        <v>1</v>
      </c>
      <c r="K1257" s="42">
        <v>1243</v>
      </c>
      <c r="L1257" s="152" t="s">
        <v>2703</v>
      </c>
      <c r="M1257" s="43" t="s">
        <v>405</v>
      </c>
      <c r="N1257" s="43" t="s">
        <v>2244</v>
      </c>
      <c r="O1257" s="101" t="str">
        <f t="shared" si="88"/>
        <v>PE-L1-1C240-06</v>
      </c>
      <c r="P1257" s="51">
        <v>400</v>
      </c>
      <c r="Q1257" s="43">
        <v>400</v>
      </c>
      <c r="R1257" s="43" t="s">
        <v>412</v>
      </c>
      <c r="S1257" s="152">
        <v>140</v>
      </c>
      <c r="T1257" s="43" t="s">
        <v>6734</v>
      </c>
      <c r="U1257" s="43" t="s">
        <v>3970</v>
      </c>
      <c r="V1257" s="43" t="s">
        <v>3971</v>
      </c>
      <c r="W1257" s="43" t="s">
        <v>335</v>
      </c>
      <c r="X1257" s="47" t="s">
        <v>45</v>
      </c>
      <c r="Y1257" s="43" t="s">
        <v>6751</v>
      </c>
      <c r="Z1257" s="43" t="s">
        <v>6752</v>
      </c>
      <c r="AA1257" s="43" t="s">
        <v>335</v>
      </c>
      <c r="AB1257" s="47" t="s">
        <v>45</v>
      </c>
      <c r="AC1257" s="52" t="s">
        <v>6754</v>
      </c>
      <c r="AD1257" s="30"/>
      <c r="AE1257" s="197"/>
      <c r="AF1257" s="47"/>
      <c r="AK1257" s="47" t="s">
        <v>9579</v>
      </c>
      <c r="AL1257" s="47"/>
      <c r="AM1257" s="47"/>
      <c r="AN1257" s="241">
        <v>1</v>
      </c>
      <c r="AO1257" s="241" t="s">
        <v>9576</v>
      </c>
      <c r="AP1257" s="241">
        <v>1</v>
      </c>
    </row>
    <row r="1258" spans="1:42" s="29" customFormat="1" ht="69.95" hidden="1" customHeight="1">
      <c r="A1258" s="49" t="s">
        <v>3970</v>
      </c>
      <c r="B1258" s="49" t="s">
        <v>3769</v>
      </c>
      <c r="C1258" s="49">
        <v>10</v>
      </c>
      <c r="D1258" s="49"/>
      <c r="E1258" s="57" t="s">
        <v>8349</v>
      </c>
      <c r="F1258" s="57" t="s">
        <v>8349</v>
      </c>
      <c r="I1258" s="124" t="s">
        <v>9121</v>
      </c>
      <c r="J1258" s="29">
        <f t="shared" si="84"/>
        <v>1</v>
      </c>
      <c r="K1258" s="42">
        <v>1244</v>
      </c>
      <c r="L1258" s="152" t="s">
        <v>2704</v>
      </c>
      <c r="M1258" s="43" t="s">
        <v>405</v>
      </c>
      <c r="N1258" s="43" t="s">
        <v>2244</v>
      </c>
      <c r="O1258" s="101" t="str">
        <f t="shared" si="88"/>
        <v>PE-L1-1C240-06</v>
      </c>
      <c r="P1258" s="51">
        <v>400</v>
      </c>
      <c r="Q1258" s="43">
        <v>400</v>
      </c>
      <c r="R1258" s="43" t="s">
        <v>412</v>
      </c>
      <c r="S1258" s="152">
        <v>140</v>
      </c>
      <c r="T1258" s="43" t="s">
        <v>6734</v>
      </c>
      <c r="U1258" s="43" t="s">
        <v>3970</v>
      </c>
      <c r="V1258" s="43" t="s">
        <v>3971</v>
      </c>
      <c r="W1258" s="43" t="s">
        <v>335</v>
      </c>
      <c r="X1258" s="47" t="s">
        <v>46</v>
      </c>
      <c r="Y1258" s="43" t="s">
        <v>6751</v>
      </c>
      <c r="Z1258" s="43" t="s">
        <v>6752</v>
      </c>
      <c r="AA1258" s="43" t="s">
        <v>335</v>
      </c>
      <c r="AB1258" s="47" t="s">
        <v>46</v>
      </c>
      <c r="AC1258" s="52" t="s">
        <v>6754</v>
      </c>
      <c r="AD1258" s="30"/>
      <c r="AE1258" s="197"/>
      <c r="AF1258" s="47"/>
      <c r="AK1258" s="47" t="s">
        <v>9579</v>
      </c>
      <c r="AL1258" s="47"/>
      <c r="AM1258" s="47"/>
      <c r="AN1258" s="241">
        <v>1</v>
      </c>
      <c r="AO1258" s="241" t="s">
        <v>9576</v>
      </c>
      <c r="AP1258" s="241">
        <v>1</v>
      </c>
    </row>
    <row r="1259" spans="1:42" s="29" customFormat="1" ht="69.95" hidden="1" customHeight="1">
      <c r="A1259" s="49" t="s">
        <v>3970</v>
      </c>
      <c r="B1259" s="49" t="s">
        <v>3769</v>
      </c>
      <c r="C1259" s="49">
        <v>11</v>
      </c>
      <c r="D1259" s="140"/>
      <c r="E1259" s="57" t="s">
        <v>8349</v>
      </c>
      <c r="F1259" s="57" t="s">
        <v>8349</v>
      </c>
      <c r="I1259" s="124" t="s">
        <v>9121</v>
      </c>
      <c r="J1259" s="29">
        <f t="shared" si="84"/>
        <v>1</v>
      </c>
      <c r="K1259" s="42">
        <v>1245</v>
      </c>
      <c r="L1259" s="152" t="s">
        <v>2705</v>
      </c>
      <c r="M1259" s="43" t="s">
        <v>405</v>
      </c>
      <c r="N1259" s="43" t="s">
        <v>2244</v>
      </c>
      <c r="O1259" s="101" t="str">
        <f t="shared" si="88"/>
        <v>PE-L1-1C240-06</v>
      </c>
      <c r="P1259" s="51">
        <v>400</v>
      </c>
      <c r="Q1259" s="43">
        <v>400</v>
      </c>
      <c r="R1259" s="43" t="s">
        <v>412</v>
      </c>
      <c r="S1259" s="152">
        <v>140</v>
      </c>
      <c r="T1259" s="43" t="s">
        <v>6734</v>
      </c>
      <c r="U1259" s="43" t="s">
        <v>3970</v>
      </c>
      <c r="V1259" s="43" t="s">
        <v>3971</v>
      </c>
      <c r="W1259" s="53" t="s">
        <v>335</v>
      </c>
      <c r="X1259" s="47" t="s">
        <v>17</v>
      </c>
      <c r="Y1259" s="43" t="s">
        <v>6751</v>
      </c>
      <c r="Z1259" s="43" t="s">
        <v>6752</v>
      </c>
      <c r="AA1259" s="43" t="s">
        <v>335</v>
      </c>
      <c r="AB1259" s="47" t="s">
        <v>49</v>
      </c>
      <c r="AC1259" s="48" t="s">
        <v>6753</v>
      </c>
      <c r="AD1259" s="30"/>
      <c r="AE1259" s="197"/>
      <c r="AF1259" s="47"/>
      <c r="AK1259" s="47" t="s">
        <v>9579</v>
      </c>
      <c r="AL1259" s="47"/>
      <c r="AM1259" s="47"/>
      <c r="AN1259" s="241">
        <v>1</v>
      </c>
      <c r="AO1259" s="241" t="s">
        <v>9576</v>
      </c>
      <c r="AP1259" s="241">
        <v>1</v>
      </c>
    </row>
    <row r="1260" spans="1:42" s="29" customFormat="1" ht="69.95" hidden="1" customHeight="1">
      <c r="A1260" s="49" t="s">
        <v>3970</v>
      </c>
      <c r="B1260" s="49" t="s">
        <v>3769</v>
      </c>
      <c r="C1260" s="49">
        <v>12</v>
      </c>
      <c r="D1260" s="49"/>
      <c r="E1260" s="57" t="s">
        <v>8349</v>
      </c>
      <c r="F1260" s="57" t="s">
        <v>8349</v>
      </c>
      <c r="I1260" s="124" t="s">
        <v>9121</v>
      </c>
      <c r="J1260" s="29">
        <f t="shared" si="84"/>
        <v>1</v>
      </c>
      <c r="K1260" s="42">
        <v>1246</v>
      </c>
      <c r="L1260" s="152" t="s">
        <v>2706</v>
      </c>
      <c r="M1260" s="43" t="s">
        <v>405</v>
      </c>
      <c r="N1260" s="43" t="s">
        <v>2244</v>
      </c>
      <c r="O1260" s="101" t="str">
        <f t="shared" si="88"/>
        <v>PE-L1-1C240-06</v>
      </c>
      <c r="P1260" s="51">
        <v>400</v>
      </c>
      <c r="Q1260" s="43">
        <v>400</v>
      </c>
      <c r="R1260" s="43" t="s">
        <v>412</v>
      </c>
      <c r="S1260" s="152">
        <v>140</v>
      </c>
      <c r="T1260" s="43" t="s">
        <v>6734</v>
      </c>
      <c r="U1260" s="43" t="s">
        <v>3970</v>
      </c>
      <c r="V1260" s="43" t="s">
        <v>3971</v>
      </c>
      <c r="W1260" s="53" t="s">
        <v>335</v>
      </c>
      <c r="X1260" s="47" t="s">
        <v>18</v>
      </c>
      <c r="Y1260" s="43" t="s">
        <v>6751</v>
      </c>
      <c r="Z1260" s="43" t="s">
        <v>6752</v>
      </c>
      <c r="AA1260" s="43" t="s">
        <v>335</v>
      </c>
      <c r="AB1260" s="47" t="s">
        <v>6263</v>
      </c>
      <c r="AC1260" s="48" t="s">
        <v>6754</v>
      </c>
      <c r="AD1260" s="30"/>
      <c r="AE1260" s="197"/>
      <c r="AF1260" s="47"/>
      <c r="AK1260" s="47" t="s">
        <v>9579</v>
      </c>
      <c r="AL1260" s="47"/>
      <c r="AM1260" s="47"/>
      <c r="AN1260" s="241">
        <v>1</v>
      </c>
      <c r="AO1260" s="241" t="s">
        <v>9576</v>
      </c>
      <c r="AP1260" s="241">
        <v>1</v>
      </c>
    </row>
    <row r="1261" spans="1:42" s="32" customFormat="1" ht="69.95" hidden="1" customHeight="1">
      <c r="A1261" s="29" t="s">
        <v>6317</v>
      </c>
      <c r="B1261" s="29" t="s">
        <v>3769</v>
      </c>
      <c r="C1261" s="40">
        <v>23</v>
      </c>
      <c r="D1261" s="40"/>
      <c r="E1261" s="57" t="s">
        <v>8356</v>
      </c>
      <c r="F1261" s="57" t="s">
        <v>8616</v>
      </c>
      <c r="G1261" s="29" t="s">
        <v>2707</v>
      </c>
      <c r="H1261" s="29"/>
      <c r="I1261" s="124" t="s">
        <v>9121</v>
      </c>
      <c r="J1261" s="29">
        <f t="shared" si="84"/>
        <v>1</v>
      </c>
      <c r="K1261" s="42">
        <v>1247</v>
      </c>
      <c r="L1261" s="152" t="s">
        <v>2708</v>
      </c>
      <c r="M1261" s="44" t="s">
        <v>405</v>
      </c>
      <c r="N1261" s="44" t="s">
        <v>56</v>
      </c>
      <c r="O1261" s="101" t="str">
        <f t="shared" si="88"/>
        <v>PE-L1-1C185-03</v>
      </c>
      <c r="P1261" s="45">
        <v>120</v>
      </c>
      <c r="Q1261" s="44">
        <v>220</v>
      </c>
      <c r="R1261" s="44" t="s">
        <v>509</v>
      </c>
      <c r="S1261" s="101">
        <v>40</v>
      </c>
      <c r="T1261" s="46" t="s">
        <v>6734</v>
      </c>
      <c r="U1261" s="46" t="s">
        <v>6317</v>
      </c>
      <c r="V1261" s="46" t="s">
        <v>6318</v>
      </c>
      <c r="W1261" s="46" t="s">
        <v>335</v>
      </c>
      <c r="X1261" s="131" t="s">
        <v>8116</v>
      </c>
      <c r="Y1261" s="46" t="s">
        <v>6738</v>
      </c>
      <c r="Z1261" s="46" t="s">
        <v>6755</v>
      </c>
      <c r="AA1261" s="46" t="s">
        <v>335</v>
      </c>
      <c r="AB1261" s="131" t="s">
        <v>8116</v>
      </c>
      <c r="AC1261" s="48" t="s">
        <v>6756</v>
      </c>
      <c r="AD1261" s="30"/>
      <c r="AE1261" s="200"/>
      <c r="AF1261" s="100"/>
    </row>
    <row r="1262" spans="1:42" s="29" customFormat="1" ht="69.95" hidden="1" customHeight="1">
      <c r="A1262" s="49" t="s">
        <v>6317</v>
      </c>
      <c r="B1262" s="49" t="s">
        <v>3769</v>
      </c>
      <c r="C1262" s="49">
        <v>24</v>
      </c>
      <c r="D1262" s="49"/>
      <c r="E1262" s="57" t="s">
        <v>8356</v>
      </c>
      <c r="F1262" s="57" t="s">
        <v>8616</v>
      </c>
      <c r="I1262" s="124" t="s">
        <v>9121</v>
      </c>
      <c r="J1262" s="29">
        <f t="shared" si="84"/>
        <v>1</v>
      </c>
      <c r="K1262" s="42">
        <v>1248</v>
      </c>
      <c r="L1262" s="152" t="s">
        <v>2709</v>
      </c>
      <c r="M1262" s="43" t="s">
        <v>405</v>
      </c>
      <c r="N1262" s="43" t="s">
        <v>56</v>
      </c>
      <c r="O1262" s="101" t="str">
        <f t="shared" si="88"/>
        <v>PE-L1-1C185-03</v>
      </c>
      <c r="P1262" s="51">
        <v>120</v>
      </c>
      <c r="Q1262" s="43">
        <v>220</v>
      </c>
      <c r="R1262" s="43" t="s">
        <v>509</v>
      </c>
      <c r="S1262" s="152">
        <v>40</v>
      </c>
      <c r="T1262" s="43" t="s">
        <v>6734</v>
      </c>
      <c r="U1262" s="43" t="s">
        <v>6317</v>
      </c>
      <c r="V1262" s="43" t="s">
        <v>6318</v>
      </c>
      <c r="W1262" s="43" t="s">
        <v>335</v>
      </c>
      <c r="X1262" s="131" t="s">
        <v>8116</v>
      </c>
      <c r="Y1262" s="43" t="s">
        <v>6738</v>
      </c>
      <c r="Z1262" s="43" t="s">
        <v>6755</v>
      </c>
      <c r="AA1262" s="43" t="s">
        <v>335</v>
      </c>
      <c r="AB1262" s="131" t="s">
        <v>8116</v>
      </c>
      <c r="AC1262" s="52" t="s">
        <v>6756</v>
      </c>
      <c r="AD1262" s="30"/>
      <c r="AE1262" s="197"/>
      <c r="AF1262" s="47"/>
    </row>
    <row r="1263" spans="1:42" s="29" customFormat="1" ht="69.95" hidden="1" customHeight="1">
      <c r="A1263" s="49" t="s">
        <v>6317</v>
      </c>
      <c r="B1263" s="49" t="s">
        <v>3769</v>
      </c>
      <c r="C1263" s="49">
        <v>25</v>
      </c>
      <c r="D1263" s="49"/>
      <c r="E1263" s="57" t="s">
        <v>8356</v>
      </c>
      <c r="F1263" s="57" t="s">
        <v>8616</v>
      </c>
      <c r="I1263" s="124" t="s">
        <v>9121</v>
      </c>
      <c r="J1263" s="29">
        <f t="shared" si="84"/>
        <v>1</v>
      </c>
      <c r="K1263" s="42">
        <v>1249</v>
      </c>
      <c r="L1263" s="152" t="s">
        <v>2710</v>
      </c>
      <c r="M1263" s="43" t="s">
        <v>405</v>
      </c>
      <c r="N1263" s="43" t="s">
        <v>56</v>
      </c>
      <c r="O1263" s="101" t="str">
        <f t="shared" si="88"/>
        <v>PE-L1-1C185-03</v>
      </c>
      <c r="P1263" s="51">
        <v>120</v>
      </c>
      <c r="Q1263" s="43">
        <v>220</v>
      </c>
      <c r="R1263" s="43" t="s">
        <v>509</v>
      </c>
      <c r="S1263" s="152">
        <v>40</v>
      </c>
      <c r="T1263" s="43" t="s">
        <v>6734</v>
      </c>
      <c r="U1263" s="43" t="s">
        <v>6317</v>
      </c>
      <c r="V1263" s="43" t="s">
        <v>6318</v>
      </c>
      <c r="W1263" s="43" t="s">
        <v>335</v>
      </c>
      <c r="X1263" s="131" t="s">
        <v>8117</v>
      </c>
      <c r="Y1263" s="43" t="s">
        <v>6738</v>
      </c>
      <c r="Z1263" s="43" t="s">
        <v>6755</v>
      </c>
      <c r="AA1263" s="43" t="s">
        <v>335</v>
      </c>
      <c r="AB1263" s="131" t="s">
        <v>8117</v>
      </c>
      <c r="AC1263" s="48" t="s">
        <v>6756</v>
      </c>
      <c r="AD1263" s="30"/>
      <c r="AE1263" s="197"/>
      <c r="AF1263" s="47"/>
    </row>
    <row r="1264" spans="1:42" s="29" customFormat="1" ht="69.95" hidden="1" customHeight="1">
      <c r="A1264" s="49" t="s">
        <v>6317</v>
      </c>
      <c r="B1264" s="49" t="s">
        <v>3769</v>
      </c>
      <c r="C1264" s="49">
        <v>26</v>
      </c>
      <c r="D1264" s="49"/>
      <c r="E1264" s="57" t="s">
        <v>8356</v>
      </c>
      <c r="F1264" s="57" t="s">
        <v>8616</v>
      </c>
      <c r="I1264" s="124" t="s">
        <v>9121</v>
      </c>
      <c r="J1264" s="29">
        <f t="shared" si="84"/>
        <v>1</v>
      </c>
      <c r="K1264" s="42">
        <v>1250</v>
      </c>
      <c r="L1264" s="152" t="s">
        <v>2711</v>
      </c>
      <c r="M1264" s="43" t="s">
        <v>405</v>
      </c>
      <c r="N1264" s="43" t="s">
        <v>56</v>
      </c>
      <c r="O1264" s="101" t="str">
        <f t="shared" si="88"/>
        <v>PE-L1-1C185-03</v>
      </c>
      <c r="P1264" s="51">
        <v>120</v>
      </c>
      <c r="Q1264" s="43">
        <v>220</v>
      </c>
      <c r="R1264" s="43" t="s">
        <v>509</v>
      </c>
      <c r="S1264" s="152">
        <v>40</v>
      </c>
      <c r="T1264" s="43" t="s">
        <v>6734</v>
      </c>
      <c r="U1264" s="43" t="s">
        <v>6317</v>
      </c>
      <c r="V1264" s="43" t="s">
        <v>6318</v>
      </c>
      <c r="W1264" s="43" t="s">
        <v>335</v>
      </c>
      <c r="X1264" s="131" t="s">
        <v>8117</v>
      </c>
      <c r="Y1264" s="43" t="s">
        <v>6738</v>
      </c>
      <c r="Z1264" s="43" t="s">
        <v>6755</v>
      </c>
      <c r="AA1264" s="43" t="s">
        <v>335</v>
      </c>
      <c r="AB1264" s="131" t="s">
        <v>8117</v>
      </c>
      <c r="AC1264" s="52" t="s">
        <v>6756</v>
      </c>
      <c r="AD1264" s="30"/>
      <c r="AE1264" s="197"/>
      <c r="AF1264" s="47"/>
    </row>
    <row r="1265" spans="1:32" s="32" customFormat="1" ht="69.95" hidden="1" customHeight="1">
      <c r="A1265" s="29" t="s">
        <v>6322</v>
      </c>
      <c r="B1265" s="29" t="s">
        <v>3769</v>
      </c>
      <c r="C1265" s="40">
        <v>23</v>
      </c>
      <c r="D1265" s="40"/>
      <c r="E1265" s="57" t="s">
        <v>64</v>
      </c>
      <c r="F1265" s="57" t="s">
        <v>64</v>
      </c>
      <c r="G1265" s="29" t="s">
        <v>2712</v>
      </c>
      <c r="H1265" s="29"/>
      <c r="I1265" s="124" t="s">
        <v>9121</v>
      </c>
      <c r="J1265" s="29">
        <f t="shared" si="84"/>
        <v>1</v>
      </c>
      <c r="K1265" s="158">
        <v>1251</v>
      </c>
      <c r="L1265" s="152" t="s">
        <v>2713</v>
      </c>
      <c r="M1265" s="44" t="s">
        <v>405</v>
      </c>
      <c r="N1265" s="44" t="s">
        <v>56</v>
      </c>
      <c r="O1265" s="101" t="str">
        <f t="shared" si="88"/>
        <v>PE-L1-1C185-02</v>
      </c>
      <c r="P1265" s="45">
        <v>120</v>
      </c>
      <c r="Q1265" s="44">
        <v>220</v>
      </c>
      <c r="R1265" s="44" t="s">
        <v>509</v>
      </c>
      <c r="S1265" s="101">
        <v>30</v>
      </c>
      <c r="T1265" s="46" t="s">
        <v>6734</v>
      </c>
      <c r="U1265" s="46" t="s">
        <v>6322</v>
      </c>
      <c r="V1265" s="46" t="s">
        <v>6323</v>
      </c>
      <c r="W1265" s="46" t="s">
        <v>335</v>
      </c>
      <c r="X1265" s="131" t="s">
        <v>8116</v>
      </c>
      <c r="Y1265" s="46" t="s">
        <v>6757</v>
      </c>
      <c r="Z1265" s="46" t="s">
        <v>6758</v>
      </c>
      <c r="AA1265" s="46" t="s">
        <v>335</v>
      </c>
      <c r="AB1265" s="131" t="s">
        <v>8116</v>
      </c>
      <c r="AC1265" s="48" t="s">
        <v>6759</v>
      </c>
      <c r="AD1265" s="231" t="s">
        <v>9277</v>
      </c>
      <c r="AE1265" s="200"/>
      <c r="AF1265" s="100"/>
    </row>
    <row r="1266" spans="1:32" s="29" customFormat="1" ht="69.95" hidden="1" customHeight="1">
      <c r="A1266" s="49" t="s">
        <v>6322</v>
      </c>
      <c r="B1266" s="49" t="s">
        <v>3769</v>
      </c>
      <c r="C1266" s="49">
        <v>24</v>
      </c>
      <c r="D1266" s="49"/>
      <c r="E1266" s="57" t="s">
        <v>64</v>
      </c>
      <c r="F1266" s="57" t="s">
        <v>64</v>
      </c>
      <c r="I1266" s="124" t="s">
        <v>9121</v>
      </c>
      <c r="J1266" s="29">
        <f t="shared" si="84"/>
        <v>1</v>
      </c>
      <c r="K1266" s="158">
        <v>1252</v>
      </c>
      <c r="L1266" s="152" t="s">
        <v>2714</v>
      </c>
      <c r="M1266" s="43" t="s">
        <v>405</v>
      </c>
      <c r="N1266" s="43" t="s">
        <v>56</v>
      </c>
      <c r="O1266" s="101" t="str">
        <f t="shared" si="88"/>
        <v>PE-L1-1C185-02</v>
      </c>
      <c r="P1266" s="51">
        <v>120</v>
      </c>
      <c r="Q1266" s="43">
        <v>220</v>
      </c>
      <c r="R1266" s="43" t="s">
        <v>509</v>
      </c>
      <c r="S1266" s="152">
        <v>30</v>
      </c>
      <c r="T1266" s="43" t="s">
        <v>6734</v>
      </c>
      <c r="U1266" s="43" t="s">
        <v>6322</v>
      </c>
      <c r="V1266" s="43" t="s">
        <v>6323</v>
      </c>
      <c r="W1266" s="43" t="s">
        <v>335</v>
      </c>
      <c r="X1266" s="131" t="s">
        <v>8116</v>
      </c>
      <c r="Y1266" s="43" t="s">
        <v>6757</v>
      </c>
      <c r="Z1266" s="43" t="s">
        <v>6758</v>
      </c>
      <c r="AA1266" s="43" t="s">
        <v>335</v>
      </c>
      <c r="AB1266" s="131" t="s">
        <v>8116</v>
      </c>
      <c r="AC1266" s="52" t="s">
        <v>6759</v>
      </c>
      <c r="AD1266" s="231" t="s">
        <v>9277</v>
      </c>
      <c r="AE1266" s="197"/>
      <c r="AF1266" s="47"/>
    </row>
    <row r="1267" spans="1:32" s="29" customFormat="1" ht="69.95" hidden="1" customHeight="1">
      <c r="A1267" s="49" t="s">
        <v>6322</v>
      </c>
      <c r="B1267" s="49" t="s">
        <v>3769</v>
      </c>
      <c r="C1267" s="49">
        <v>25</v>
      </c>
      <c r="D1267" s="49"/>
      <c r="E1267" s="57" t="s">
        <v>64</v>
      </c>
      <c r="F1267" s="57" t="s">
        <v>64</v>
      </c>
      <c r="I1267" s="124" t="s">
        <v>9121</v>
      </c>
      <c r="J1267" s="29">
        <f t="shared" si="84"/>
        <v>1</v>
      </c>
      <c r="K1267" s="158">
        <v>1253</v>
      </c>
      <c r="L1267" s="152" t="s">
        <v>2715</v>
      </c>
      <c r="M1267" s="43" t="s">
        <v>405</v>
      </c>
      <c r="N1267" s="43" t="s">
        <v>56</v>
      </c>
      <c r="O1267" s="101" t="str">
        <f t="shared" si="88"/>
        <v>PE-L1-1C185-02</v>
      </c>
      <c r="P1267" s="51">
        <v>120</v>
      </c>
      <c r="Q1267" s="43">
        <v>220</v>
      </c>
      <c r="R1267" s="43" t="s">
        <v>509</v>
      </c>
      <c r="S1267" s="152">
        <v>30</v>
      </c>
      <c r="T1267" s="43" t="s">
        <v>6734</v>
      </c>
      <c r="U1267" s="43" t="s">
        <v>6322</v>
      </c>
      <c r="V1267" s="43" t="s">
        <v>6323</v>
      </c>
      <c r="W1267" s="43" t="s">
        <v>335</v>
      </c>
      <c r="X1267" s="131" t="s">
        <v>8117</v>
      </c>
      <c r="Y1267" s="43" t="s">
        <v>6757</v>
      </c>
      <c r="Z1267" s="43" t="s">
        <v>6758</v>
      </c>
      <c r="AA1267" s="43" t="s">
        <v>335</v>
      </c>
      <c r="AB1267" s="131" t="s">
        <v>8117</v>
      </c>
      <c r="AC1267" s="48" t="s">
        <v>6759</v>
      </c>
      <c r="AD1267" s="231" t="s">
        <v>9277</v>
      </c>
      <c r="AE1267" s="197"/>
      <c r="AF1267" s="47"/>
    </row>
    <row r="1268" spans="1:32" s="29" customFormat="1" ht="69.95" hidden="1" customHeight="1">
      <c r="A1268" s="49" t="s">
        <v>6322</v>
      </c>
      <c r="B1268" s="49" t="s">
        <v>3769</v>
      </c>
      <c r="C1268" s="49">
        <v>26</v>
      </c>
      <c r="D1268" s="49"/>
      <c r="E1268" s="57" t="s">
        <v>64</v>
      </c>
      <c r="F1268" s="57" t="s">
        <v>64</v>
      </c>
      <c r="I1268" s="124" t="s">
        <v>9121</v>
      </c>
      <c r="J1268" s="29">
        <f t="shared" si="84"/>
        <v>1</v>
      </c>
      <c r="K1268" s="158">
        <v>1254</v>
      </c>
      <c r="L1268" s="152" t="s">
        <v>2716</v>
      </c>
      <c r="M1268" s="43" t="s">
        <v>405</v>
      </c>
      <c r="N1268" s="43" t="s">
        <v>56</v>
      </c>
      <c r="O1268" s="101" t="str">
        <f t="shared" si="88"/>
        <v>PE-L1-1C185-02</v>
      </c>
      <c r="P1268" s="51">
        <v>120</v>
      </c>
      <c r="Q1268" s="43">
        <v>220</v>
      </c>
      <c r="R1268" s="43" t="s">
        <v>509</v>
      </c>
      <c r="S1268" s="152">
        <v>30</v>
      </c>
      <c r="T1268" s="43" t="s">
        <v>6734</v>
      </c>
      <c r="U1268" s="43" t="s">
        <v>6322</v>
      </c>
      <c r="V1268" s="43" t="s">
        <v>6323</v>
      </c>
      <c r="W1268" s="43" t="s">
        <v>335</v>
      </c>
      <c r="X1268" s="131" t="s">
        <v>8117</v>
      </c>
      <c r="Y1268" s="43" t="s">
        <v>6757</v>
      </c>
      <c r="Z1268" s="43" t="s">
        <v>6758</v>
      </c>
      <c r="AA1268" s="43" t="s">
        <v>335</v>
      </c>
      <c r="AB1268" s="131" t="s">
        <v>8117</v>
      </c>
      <c r="AC1268" s="52" t="s">
        <v>6759</v>
      </c>
      <c r="AD1268" s="231" t="s">
        <v>9277</v>
      </c>
      <c r="AE1268" s="197"/>
      <c r="AF1268" s="47"/>
    </row>
    <row r="1269" spans="1:32" s="32" customFormat="1" ht="69.95" hidden="1" customHeight="1">
      <c r="A1269" s="29" t="s">
        <v>4084</v>
      </c>
      <c r="B1269" s="29" t="s">
        <v>3769</v>
      </c>
      <c r="C1269" s="40" t="s">
        <v>42</v>
      </c>
      <c r="D1269" s="173" t="s">
        <v>9459</v>
      </c>
      <c r="E1269" s="80" t="s">
        <v>90</v>
      </c>
      <c r="F1269" s="137" t="s">
        <v>67</v>
      </c>
      <c r="G1269" s="29" t="s">
        <v>2717</v>
      </c>
      <c r="H1269" s="154" t="s">
        <v>9142</v>
      </c>
      <c r="I1269" s="124" t="s">
        <v>9121</v>
      </c>
      <c r="J1269" s="29">
        <f t="shared" si="84"/>
        <v>1</v>
      </c>
      <c r="K1269" s="42">
        <v>1255</v>
      </c>
      <c r="L1269" s="43" t="s">
        <v>2718</v>
      </c>
      <c r="M1269" s="44" t="s">
        <v>405</v>
      </c>
      <c r="N1269" s="44" t="s">
        <v>8364</v>
      </c>
      <c r="O1269" s="121" t="str">
        <f t="shared" si="88"/>
        <v>PE-L1-5C120/70-01</v>
      </c>
      <c r="P1269" s="45">
        <v>120</v>
      </c>
      <c r="Q1269" s="44">
        <v>400</v>
      </c>
      <c r="R1269" s="44" t="s">
        <v>412</v>
      </c>
      <c r="S1269" s="44">
        <v>130</v>
      </c>
      <c r="T1269" s="46" t="s">
        <v>6734</v>
      </c>
      <c r="U1269" s="46" t="s">
        <v>4084</v>
      </c>
      <c r="V1269" s="46" t="s">
        <v>4085</v>
      </c>
      <c r="W1269" s="46" t="s">
        <v>335</v>
      </c>
      <c r="X1269" s="47" t="s">
        <v>9310</v>
      </c>
      <c r="Y1269" s="46" t="s">
        <v>6760</v>
      </c>
      <c r="Z1269" s="46" t="s">
        <v>8363</v>
      </c>
      <c r="AA1269" s="46" t="s">
        <v>335</v>
      </c>
      <c r="AB1269" s="47" t="s">
        <v>9310</v>
      </c>
      <c r="AC1269" s="48" t="s">
        <v>6761</v>
      </c>
      <c r="AD1269" s="30"/>
      <c r="AE1269" s="200"/>
      <c r="AF1269" s="100"/>
    </row>
    <row r="1270" spans="1:32" s="32" customFormat="1" ht="69.95" hidden="1" customHeight="1">
      <c r="A1270" s="29" t="s">
        <v>4093</v>
      </c>
      <c r="B1270" s="29" t="s">
        <v>3769</v>
      </c>
      <c r="C1270" s="40" t="s">
        <v>41</v>
      </c>
      <c r="D1270" s="40"/>
      <c r="E1270" s="162" t="s">
        <v>67</v>
      </c>
      <c r="F1270" s="162" t="s">
        <v>67</v>
      </c>
      <c r="G1270" s="29" t="s">
        <v>2719</v>
      </c>
      <c r="H1270" s="29"/>
      <c r="I1270" s="124" t="s">
        <v>9121</v>
      </c>
      <c r="J1270" s="29">
        <f t="shared" si="84"/>
        <v>1</v>
      </c>
      <c r="K1270" s="42">
        <v>1256</v>
      </c>
      <c r="L1270" s="152" t="s">
        <v>2720</v>
      </c>
      <c r="M1270" s="44" t="s">
        <v>405</v>
      </c>
      <c r="N1270" s="44" t="s">
        <v>9127</v>
      </c>
      <c r="O1270" s="101" t="str">
        <f t="shared" si="88"/>
        <v>PE-L1-5C120/70-01</v>
      </c>
      <c r="P1270" s="45">
        <v>120</v>
      </c>
      <c r="Q1270" s="44">
        <v>400</v>
      </c>
      <c r="R1270" s="44" t="s">
        <v>412</v>
      </c>
      <c r="S1270" s="101">
        <v>150</v>
      </c>
      <c r="T1270" s="46" t="s">
        <v>6734</v>
      </c>
      <c r="U1270" s="46" t="s">
        <v>4093</v>
      </c>
      <c r="V1270" s="46" t="s">
        <v>4094</v>
      </c>
      <c r="W1270" s="46" t="s">
        <v>335</v>
      </c>
      <c r="X1270" s="47" t="s">
        <v>9310</v>
      </c>
      <c r="Y1270" s="46" t="s">
        <v>6762</v>
      </c>
      <c r="Z1270" s="46" t="s">
        <v>6763</v>
      </c>
      <c r="AA1270" s="46" t="s">
        <v>335</v>
      </c>
      <c r="AB1270" s="47" t="s">
        <v>9310</v>
      </c>
      <c r="AC1270" s="48" t="s">
        <v>6764</v>
      </c>
      <c r="AD1270" s="30"/>
      <c r="AE1270" s="200"/>
      <c r="AF1270" s="100"/>
    </row>
    <row r="1271" spans="1:32" s="32" customFormat="1" ht="69.95" hidden="1" customHeight="1">
      <c r="A1271" s="29" t="s">
        <v>5096</v>
      </c>
      <c r="B1271" s="29" t="s">
        <v>3769</v>
      </c>
      <c r="C1271" s="40">
        <v>11</v>
      </c>
      <c r="D1271" s="40"/>
      <c r="E1271" s="57" t="s">
        <v>143</v>
      </c>
      <c r="F1271" s="57" t="s">
        <v>143</v>
      </c>
      <c r="G1271" s="29" t="s">
        <v>2721</v>
      </c>
      <c r="H1271" s="29"/>
      <c r="I1271" s="124" t="s">
        <v>9121</v>
      </c>
      <c r="J1271" s="29">
        <f t="shared" si="84"/>
        <v>1</v>
      </c>
      <c r="K1271" s="42">
        <v>1257</v>
      </c>
      <c r="L1271" s="152" t="s">
        <v>2722</v>
      </c>
      <c r="M1271" s="44" t="s">
        <v>405</v>
      </c>
      <c r="N1271" s="44" t="s">
        <v>426</v>
      </c>
      <c r="O1271" s="101" t="str">
        <f t="shared" si="88"/>
        <v>PE-L1-3C4-15</v>
      </c>
      <c r="P1271" s="45">
        <v>0.15</v>
      </c>
      <c r="Q1271" s="44">
        <v>230</v>
      </c>
      <c r="R1271" s="44" t="s">
        <v>49</v>
      </c>
      <c r="S1271" s="101">
        <v>110</v>
      </c>
      <c r="T1271" s="46" t="s">
        <v>6734</v>
      </c>
      <c r="U1271" s="46" t="s">
        <v>5096</v>
      </c>
      <c r="V1271" s="46" t="s">
        <v>5097</v>
      </c>
      <c r="W1271" s="46" t="s">
        <v>335</v>
      </c>
      <c r="X1271" s="172" t="s">
        <v>9167</v>
      </c>
      <c r="Y1271" s="46" t="s">
        <v>6765</v>
      </c>
      <c r="Z1271" s="46" t="s">
        <v>6766</v>
      </c>
      <c r="AA1271" s="46" t="s">
        <v>335</v>
      </c>
      <c r="AB1271" s="172" t="s">
        <v>9167</v>
      </c>
      <c r="AC1271" s="48" t="s">
        <v>6767</v>
      </c>
      <c r="AD1271" s="30"/>
      <c r="AE1271" s="200"/>
      <c r="AF1271" s="100"/>
    </row>
    <row r="1272" spans="1:32" s="32" customFormat="1" ht="69.95" hidden="1" customHeight="1">
      <c r="A1272" s="29" t="s">
        <v>3959</v>
      </c>
      <c r="B1272" s="29" t="s">
        <v>3769</v>
      </c>
      <c r="C1272" s="40" t="s">
        <v>211</v>
      </c>
      <c r="D1272" s="40"/>
      <c r="E1272" s="57" t="s">
        <v>87</v>
      </c>
      <c r="F1272" s="57" t="s">
        <v>87</v>
      </c>
      <c r="G1272" s="29" t="s">
        <v>2723</v>
      </c>
      <c r="H1272" s="29"/>
      <c r="I1272" s="124" t="s">
        <v>9121</v>
      </c>
      <c r="J1272" s="29">
        <f t="shared" si="84"/>
        <v>1</v>
      </c>
      <c r="K1272" s="42">
        <v>1258</v>
      </c>
      <c r="L1272" s="152" t="s">
        <v>2724</v>
      </c>
      <c r="M1272" s="44" t="s">
        <v>405</v>
      </c>
      <c r="N1272" s="44" t="s">
        <v>673</v>
      </c>
      <c r="O1272" s="101" t="str">
        <f t="shared" si="88"/>
        <v>PE-L1-5C95/50-01</v>
      </c>
      <c r="P1272" s="45">
        <v>24</v>
      </c>
      <c r="Q1272" s="44">
        <v>400</v>
      </c>
      <c r="R1272" s="44" t="s">
        <v>428</v>
      </c>
      <c r="S1272" s="101">
        <v>410</v>
      </c>
      <c r="T1272" s="46" t="s">
        <v>6734</v>
      </c>
      <c r="U1272" s="46" t="s">
        <v>3959</v>
      </c>
      <c r="V1272" s="46" t="s">
        <v>3960</v>
      </c>
      <c r="W1272" s="46" t="s">
        <v>335</v>
      </c>
      <c r="X1272" s="47" t="s">
        <v>9310</v>
      </c>
      <c r="Y1272" s="46" t="s">
        <v>3953</v>
      </c>
      <c r="Z1272" s="46" t="s">
        <v>3954</v>
      </c>
      <c r="AA1272" s="46" t="s">
        <v>3957</v>
      </c>
      <c r="AB1272" s="47" t="s">
        <v>9310</v>
      </c>
      <c r="AC1272" s="48" t="s">
        <v>6768</v>
      </c>
      <c r="AD1272" s="165"/>
      <c r="AE1272" s="200"/>
      <c r="AF1272" s="100"/>
    </row>
    <row r="1273" spans="1:32" s="32" customFormat="1" ht="69.95" hidden="1" customHeight="1">
      <c r="A1273" s="29" t="s">
        <v>3994</v>
      </c>
      <c r="B1273" s="29" t="s">
        <v>3769</v>
      </c>
      <c r="C1273" s="40" t="s">
        <v>210</v>
      </c>
      <c r="D1273" s="166" t="s">
        <v>9198</v>
      </c>
      <c r="E1273" s="85" t="s">
        <v>8715</v>
      </c>
      <c r="F1273" s="85" t="s">
        <v>8715</v>
      </c>
      <c r="G1273" s="29" t="s">
        <v>2725</v>
      </c>
      <c r="H1273" s="29"/>
      <c r="I1273" s="124" t="s">
        <v>9121</v>
      </c>
      <c r="J1273" s="29">
        <f t="shared" si="84"/>
        <v>1</v>
      </c>
      <c r="K1273" s="42">
        <v>1259</v>
      </c>
      <c r="L1273" s="152" t="s">
        <v>2726</v>
      </c>
      <c r="M1273" s="44" t="s">
        <v>405</v>
      </c>
      <c r="N1273" s="79" t="s">
        <v>8714</v>
      </c>
      <c r="O1273" s="101" t="str">
        <f t="shared" si="88"/>
        <v>PE-L1-4C95/50-02</v>
      </c>
      <c r="P1273" s="45">
        <v>24</v>
      </c>
      <c r="Q1273" s="44">
        <v>400</v>
      </c>
      <c r="R1273" s="44" t="s">
        <v>428</v>
      </c>
      <c r="S1273" s="101">
        <v>440</v>
      </c>
      <c r="T1273" s="46" t="s">
        <v>6734</v>
      </c>
      <c r="U1273" s="46" t="s">
        <v>3994</v>
      </c>
      <c r="V1273" s="46" t="s">
        <v>3995</v>
      </c>
      <c r="W1273" s="46" t="s">
        <v>335</v>
      </c>
      <c r="X1273" s="82" t="s">
        <v>9305</v>
      </c>
      <c r="Y1273" s="46" t="s">
        <v>3990</v>
      </c>
      <c r="Z1273" s="46" t="s">
        <v>3991</v>
      </c>
      <c r="AA1273" s="46" t="s">
        <v>3957</v>
      </c>
      <c r="AB1273" s="82" t="s">
        <v>9305</v>
      </c>
      <c r="AC1273" s="48" t="s">
        <v>6769</v>
      </c>
      <c r="AD1273" s="165"/>
      <c r="AE1273" s="200"/>
      <c r="AF1273" s="100"/>
    </row>
    <row r="1274" spans="1:32" s="32" customFormat="1" ht="69.95" hidden="1" customHeight="1">
      <c r="A1274" s="29" t="s">
        <v>3994</v>
      </c>
      <c r="B1274" s="29" t="s">
        <v>3769</v>
      </c>
      <c r="C1274" s="40" t="s">
        <v>210</v>
      </c>
      <c r="D1274" s="166" t="s">
        <v>9198</v>
      </c>
      <c r="E1274" s="85" t="s">
        <v>8717</v>
      </c>
      <c r="F1274" s="85" t="s">
        <v>8717</v>
      </c>
      <c r="G1274" s="29" t="s">
        <v>2725</v>
      </c>
      <c r="H1274" s="29"/>
      <c r="I1274" s="124" t="s">
        <v>9121</v>
      </c>
      <c r="J1274" s="29">
        <f t="shared" si="84"/>
        <v>1</v>
      </c>
      <c r="K1274" s="42">
        <v>1260</v>
      </c>
      <c r="L1274" s="152" t="s">
        <v>8718</v>
      </c>
      <c r="M1274" s="79" t="s">
        <v>405</v>
      </c>
      <c r="N1274" s="79" t="s">
        <v>8716</v>
      </c>
      <c r="O1274" s="101" t="str">
        <f t="shared" si="88"/>
        <v>PE-L1-1C95-01</v>
      </c>
      <c r="P1274" s="83">
        <v>24</v>
      </c>
      <c r="Q1274" s="79">
        <v>400</v>
      </c>
      <c r="R1274" s="79" t="s">
        <v>428</v>
      </c>
      <c r="S1274" s="101">
        <v>440</v>
      </c>
      <c r="T1274" s="84" t="s">
        <v>6734</v>
      </c>
      <c r="U1274" s="84" t="s">
        <v>3994</v>
      </c>
      <c r="V1274" s="84" t="s">
        <v>3995</v>
      </c>
      <c r="W1274" s="84" t="s">
        <v>335</v>
      </c>
      <c r="X1274" s="82" t="s">
        <v>17</v>
      </c>
      <c r="Y1274" s="84" t="s">
        <v>3990</v>
      </c>
      <c r="Z1274" s="84" t="s">
        <v>3991</v>
      </c>
      <c r="AA1274" s="84" t="s">
        <v>3957</v>
      </c>
      <c r="AB1274" s="82" t="s">
        <v>17</v>
      </c>
      <c r="AC1274" s="77" t="s">
        <v>6769</v>
      </c>
      <c r="AD1274" s="165"/>
      <c r="AE1274" s="200"/>
      <c r="AF1274" s="100"/>
    </row>
    <row r="1275" spans="1:32" s="32" customFormat="1" ht="69.95" hidden="1" customHeight="1">
      <c r="A1275" s="29" t="s">
        <v>4020</v>
      </c>
      <c r="B1275" s="29" t="s">
        <v>3769</v>
      </c>
      <c r="C1275" s="40">
        <v>11</v>
      </c>
      <c r="D1275" s="40"/>
      <c r="E1275" s="57" t="s">
        <v>8327</v>
      </c>
      <c r="F1275" s="57" t="s">
        <v>8327</v>
      </c>
      <c r="G1275" s="29" t="s">
        <v>2727</v>
      </c>
      <c r="H1275" s="29"/>
      <c r="I1275" s="29"/>
      <c r="J1275" s="29">
        <f t="shared" si="84"/>
        <v>1</v>
      </c>
      <c r="K1275" s="42">
        <v>1261</v>
      </c>
      <c r="L1275" s="43" t="s">
        <v>2728</v>
      </c>
      <c r="M1275" s="44" t="s">
        <v>405</v>
      </c>
      <c r="N1275" s="44" t="s">
        <v>426</v>
      </c>
      <c r="O1275" s="44" t="str">
        <f t="shared" ref="O1275:O1308" si="89">F1275</f>
        <v>PE-L1-3C4-25</v>
      </c>
      <c r="P1275" s="45">
        <v>1.2</v>
      </c>
      <c r="Q1275" s="44">
        <v>230</v>
      </c>
      <c r="R1275" s="44" t="s">
        <v>49</v>
      </c>
      <c r="S1275" s="44">
        <v>90</v>
      </c>
      <c r="T1275" s="46" t="s">
        <v>6734</v>
      </c>
      <c r="U1275" s="46" t="s">
        <v>4020</v>
      </c>
      <c r="V1275" s="46" t="s">
        <v>4021</v>
      </c>
      <c r="W1275" s="46" t="s">
        <v>347</v>
      </c>
      <c r="X1275" s="172" t="s">
        <v>9167</v>
      </c>
      <c r="Y1275" s="46" t="s">
        <v>6770</v>
      </c>
      <c r="Z1275" s="46" t="s">
        <v>6771</v>
      </c>
      <c r="AA1275" s="46" t="s">
        <v>347</v>
      </c>
      <c r="AB1275" s="172" t="s">
        <v>9167</v>
      </c>
      <c r="AC1275" s="48" t="s">
        <v>6772</v>
      </c>
      <c r="AD1275" s="30"/>
      <c r="AE1275" s="200"/>
      <c r="AF1275" s="100"/>
    </row>
    <row r="1276" spans="1:32" s="32" customFormat="1" ht="69.95" hidden="1" customHeight="1">
      <c r="A1276" s="29" t="s">
        <v>5147</v>
      </c>
      <c r="B1276" s="29" t="s">
        <v>3769</v>
      </c>
      <c r="C1276" s="40" t="s">
        <v>41</v>
      </c>
      <c r="D1276" s="40"/>
      <c r="E1276" s="57" t="s">
        <v>8327</v>
      </c>
      <c r="F1276" s="57" t="s">
        <v>8327</v>
      </c>
      <c r="G1276" s="29" t="s">
        <v>2729</v>
      </c>
      <c r="H1276" s="29"/>
      <c r="I1276" s="29"/>
      <c r="J1276" s="29">
        <f t="shared" si="84"/>
        <v>1</v>
      </c>
      <c r="K1276" s="42">
        <v>1262</v>
      </c>
      <c r="L1276" s="43" t="s">
        <v>2730</v>
      </c>
      <c r="M1276" s="44" t="s">
        <v>405</v>
      </c>
      <c r="N1276" s="44" t="s">
        <v>426</v>
      </c>
      <c r="O1276" s="44" t="str">
        <f t="shared" si="89"/>
        <v>PE-L1-3C4-25</v>
      </c>
      <c r="P1276" s="45">
        <v>1.2</v>
      </c>
      <c r="Q1276" s="44">
        <v>230</v>
      </c>
      <c r="R1276" s="44" t="s">
        <v>49</v>
      </c>
      <c r="S1276" s="44">
        <v>90</v>
      </c>
      <c r="T1276" s="46" t="s">
        <v>6734</v>
      </c>
      <c r="U1276" s="46" t="s">
        <v>5147</v>
      </c>
      <c r="V1276" s="46" t="s">
        <v>5148</v>
      </c>
      <c r="W1276" s="46" t="s">
        <v>347</v>
      </c>
      <c r="X1276" s="172" t="s">
        <v>9167</v>
      </c>
      <c r="Y1276" s="46" t="s">
        <v>6773</v>
      </c>
      <c r="Z1276" s="46" t="s">
        <v>6774</v>
      </c>
      <c r="AA1276" s="46" t="s">
        <v>347</v>
      </c>
      <c r="AB1276" s="172" t="s">
        <v>9167</v>
      </c>
      <c r="AC1276" s="48" t="s">
        <v>6775</v>
      </c>
      <c r="AD1276" s="30"/>
      <c r="AE1276" s="200"/>
      <c r="AF1276" s="100"/>
    </row>
    <row r="1277" spans="1:32" s="32" customFormat="1" ht="69.95" hidden="1" customHeight="1">
      <c r="A1277" s="29" t="s">
        <v>6336</v>
      </c>
      <c r="B1277" s="29" t="s">
        <v>3769</v>
      </c>
      <c r="C1277" s="40">
        <v>17</v>
      </c>
      <c r="D1277" s="40"/>
      <c r="E1277" s="58" t="s">
        <v>8354</v>
      </c>
      <c r="F1277" s="58" t="s">
        <v>8354</v>
      </c>
      <c r="G1277" s="29" t="s">
        <v>2731</v>
      </c>
      <c r="H1277" s="29"/>
      <c r="I1277" s="29"/>
      <c r="J1277" s="29">
        <f t="shared" si="84"/>
        <v>1</v>
      </c>
      <c r="K1277" s="42">
        <v>1263</v>
      </c>
      <c r="L1277" s="43" t="s">
        <v>2732</v>
      </c>
      <c r="M1277" s="44" t="s">
        <v>405</v>
      </c>
      <c r="N1277" s="44" t="s">
        <v>2733</v>
      </c>
      <c r="O1277" s="44" t="str">
        <f t="shared" si="89"/>
        <v>PE-L1-1C400-01</v>
      </c>
      <c r="P1277" s="45">
        <v>34</v>
      </c>
      <c r="Q1277" s="44">
        <v>220</v>
      </c>
      <c r="R1277" s="44" t="s">
        <v>509</v>
      </c>
      <c r="S1277" s="44">
        <v>240</v>
      </c>
      <c r="T1277" s="46" t="s">
        <v>6734</v>
      </c>
      <c r="U1277" s="46" t="s">
        <v>6336</v>
      </c>
      <c r="V1277" s="46" t="s">
        <v>6337</v>
      </c>
      <c r="W1277" s="46" t="s">
        <v>347</v>
      </c>
      <c r="X1277" s="131" t="s">
        <v>8116</v>
      </c>
      <c r="Y1277" s="46" t="s">
        <v>4278</v>
      </c>
      <c r="Z1277" s="46" t="s">
        <v>4279</v>
      </c>
      <c r="AA1277" s="46" t="s">
        <v>6776</v>
      </c>
      <c r="AB1277" s="131" t="s">
        <v>8116</v>
      </c>
      <c r="AC1277" s="48" t="s">
        <v>6777</v>
      </c>
      <c r="AD1277" s="30"/>
      <c r="AE1277" s="200"/>
      <c r="AF1277" s="100"/>
    </row>
    <row r="1278" spans="1:32" s="29" customFormat="1" ht="69.95" hidden="1" customHeight="1">
      <c r="A1278" s="49" t="s">
        <v>6336</v>
      </c>
      <c r="B1278" s="49" t="s">
        <v>3769</v>
      </c>
      <c r="C1278" s="49">
        <v>18</v>
      </c>
      <c r="D1278" s="49"/>
      <c r="E1278" s="58" t="s">
        <v>8354</v>
      </c>
      <c r="F1278" s="58" t="s">
        <v>8354</v>
      </c>
      <c r="J1278" s="29">
        <f t="shared" si="84"/>
        <v>1</v>
      </c>
      <c r="K1278" s="42">
        <v>1264</v>
      </c>
      <c r="L1278" s="43" t="s">
        <v>2734</v>
      </c>
      <c r="M1278" s="43" t="s">
        <v>405</v>
      </c>
      <c r="N1278" s="43" t="s">
        <v>2733</v>
      </c>
      <c r="O1278" s="44" t="str">
        <f t="shared" si="89"/>
        <v>PE-L1-1C400-01</v>
      </c>
      <c r="P1278" s="51">
        <v>34</v>
      </c>
      <c r="Q1278" s="43">
        <v>220</v>
      </c>
      <c r="R1278" s="43" t="s">
        <v>509</v>
      </c>
      <c r="S1278" s="43">
        <v>240</v>
      </c>
      <c r="T1278" s="43" t="s">
        <v>6734</v>
      </c>
      <c r="U1278" s="43" t="s">
        <v>6336</v>
      </c>
      <c r="V1278" s="43" t="s">
        <v>6337</v>
      </c>
      <c r="W1278" s="43" t="s">
        <v>347</v>
      </c>
      <c r="X1278" s="131" t="s">
        <v>8117</v>
      </c>
      <c r="Y1278" s="43" t="s">
        <v>4278</v>
      </c>
      <c r="Z1278" s="43" t="s">
        <v>4279</v>
      </c>
      <c r="AA1278" s="43" t="s">
        <v>6776</v>
      </c>
      <c r="AB1278" s="131" t="s">
        <v>8117</v>
      </c>
      <c r="AC1278" s="52" t="s">
        <v>6777</v>
      </c>
      <c r="AD1278" s="30"/>
      <c r="AE1278" s="197"/>
      <c r="AF1278" s="47"/>
    </row>
    <row r="1279" spans="1:32" s="32" customFormat="1" ht="69.95" hidden="1" customHeight="1">
      <c r="A1279" s="29" t="s">
        <v>6341</v>
      </c>
      <c r="B1279" s="29" t="s">
        <v>3769</v>
      </c>
      <c r="C1279" s="40">
        <v>17</v>
      </c>
      <c r="D1279" s="40"/>
      <c r="E1279" s="58" t="s">
        <v>8355</v>
      </c>
      <c r="F1279" s="58" t="s">
        <v>8355</v>
      </c>
      <c r="G1279" s="29" t="s">
        <v>2735</v>
      </c>
      <c r="H1279" s="29"/>
      <c r="I1279" s="29"/>
      <c r="J1279" s="29">
        <f t="shared" si="84"/>
        <v>1</v>
      </c>
      <c r="K1279" s="189">
        <v>1265</v>
      </c>
      <c r="L1279" s="43" t="s">
        <v>2736</v>
      </c>
      <c r="M1279" s="44" t="s">
        <v>405</v>
      </c>
      <c r="N1279" s="44" t="s">
        <v>2733</v>
      </c>
      <c r="O1279" s="44" t="str">
        <f t="shared" si="89"/>
        <v>PE-L1-1C400-02</v>
      </c>
      <c r="P1279" s="45">
        <v>34</v>
      </c>
      <c r="Q1279" s="44">
        <v>220</v>
      </c>
      <c r="R1279" s="44" t="s">
        <v>509</v>
      </c>
      <c r="S1279" s="44">
        <v>240</v>
      </c>
      <c r="T1279" s="46" t="s">
        <v>6734</v>
      </c>
      <c r="U1279" s="46" t="s">
        <v>6341</v>
      </c>
      <c r="V1279" s="46" t="s">
        <v>6342</v>
      </c>
      <c r="W1279" s="46" t="s">
        <v>347</v>
      </c>
      <c r="X1279" s="131" t="s">
        <v>8116</v>
      </c>
      <c r="Y1279" s="46" t="s">
        <v>4283</v>
      </c>
      <c r="Z1279" s="46" t="s">
        <v>4284</v>
      </c>
      <c r="AA1279" s="46" t="s">
        <v>6776</v>
      </c>
      <c r="AB1279" s="131" t="s">
        <v>8116</v>
      </c>
      <c r="AC1279" s="190" t="s">
        <v>9280</v>
      </c>
      <c r="AD1279" s="30"/>
      <c r="AE1279" s="200"/>
      <c r="AF1279" s="100"/>
    </row>
    <row r="1280" spans="1:32" s="29" customFormat="1" ht="69.95" hidden="1" customHeight="1">
      <c r="A1280" s="49" t="s">
        <v>6341</v>
      </c>
      <c r="B1280" s="29" t="s">
        <v>3769</v>
      </c>
      <c r="C1280" s="49">
        <v>18</v>
      </c>
      <c r="D1280" s="49"/>
      <c r="E1280" s="58" t="s">
        <v>8355</v>
      </c>
      <c r="F1280" s="58" t="s">
        <v>8355</v>
      </c>
      <c r="J1280" s="29">
        <f t="shared" si="84"/>
        <v>1</v>
      </c>
      <c r="K1280" s="189">
        <v>1266</v>
      </c>
      <c r="L1280" s="43" t="s">
        <v>2737</v>
      </c>
      <c r="M1280" s="43" t="s">
        <v>405</v>
      </c>
      <c r="N1280" s="43" t="s">
        <v>2733</v>
      </c>
      <c r="O1280" s="44" t="str">
        <f t="shared" si="89"/>
        <v>PE-L1-1C400-02</v>
      </c>
      <c r="P1280" s="51">
        <v>34</v>
      </c>
      <c r="Q1280" s="43">
        <v>220</v>
      </c>
      <c r="R1280" s="43" t="s">
        <v>509</v>
      </c>
      <c r="S1280" s="43">
        <v>240</v>
      </c>
      <c r="T1280" s="43" t="s">
        <v>6734</v>
      </c>
      <c r="U1280" s="43" t="s">
        <v>6341</v>
      </c>
      <c r="V1280" s="43" t="s">
        <v>6342</v>
      </c>
      <c r="W1280" s="43" t="s">
        <v>347</v>
      </c>
      <c r="X1280" s="131" t="s">
        <v>8117</v>
      </c>
      <c r="Y1280" s="43" t="s">
        <v>4283</v>
      </c>
      <c r="Z1280" s="43" t="s">
        <v>4284</v>
      </c>
      <c r="AA1280" s="43" t="s">
        <v>6776</v>
      </c>
      <c r="AB1280" s="131" t="s">
        <v>8117</v>
      </c>
      <c r="AC1280" s="232" t="s">
        <v>9280</v>
      </c>
      <c r="AD1280" s="30"/>
      <c r="AE1280" s="197"/>
      <c r="AF1280" s="47"/>
    </row>
    <row r="1281" spans="1:42" s="32" customFormat="1" ht="69.95" hidden="1" customHeight="1">
      <c r="A1281" s="29" t="s">
        <v>4286</v>
      </c>
      <c r="B1281" s="29" t="s">
        <v>3769</v>
      </c>
      <c r="C1281" s="40">
        <v>19</v>
      </c>
      <c r="D1281" s="40"/>
      <c r="E1281" s="57" t="s">
        <v>8327</v>
      </c>
      <c r="F1281" s="57" t="s">
        <v>8327</v>
      </c>
      <c r="G1281" s="29" t="s">
        <v>2738</v>
      </c>
      <c r="H1281" s="29"/>
      <c r="I1281" s="29"/>
      <c r="J1281" s="29">
        <f t="shared" si="84"/>
        <v>1</v>
      </c>
      <c r="K1281" s="42">
        <v>1267</v>
      </c>
      <c r="L1281" s="43" t="s">
        <v>2739</v>
      </c>
      <c r="M1281" s="44" t="s">
        <v>405</v>
      </c>
      <c r="N1281" s="44" t="s">
        <v>426</v>
      </c>
      <c r="O1281" s="44" t="str">
        <f t="shared" si="89"/>
        <v>PE-L1-3C4-25</v>
      </c>
      <c r="P1281" s="45">
        <v>0.3</v>
      </c>
      <c r="Q1281" s="44">
        <v>230</v>
      </c>
      <c r="R1281" s="44" t="s">
        <v>49</v>
      </c>
      <c r="S1281" s="44">
        <v>30</v>
      </c>
      <c r="T1281" s="46" t="s">
        <v>6734</v>
      </c>
      <c r="U1281" s="46" t="s">
        <v>4286</v>
      </c>
      <c r="V1281" s="46" t="s">
        <v>4287</v>
      </c>
      <c r="W1281" s="46" t="s">
        <v>397</v>
      </c>
      <c r="X1281" s="172" t="s">
        <v>9167</v>
      </c>
      <c r="Y1281" s="46" t="s">
        <v>4278</v>
      </c>
      <c r="Z1281" s="46" t="s">
        <v>4279</v>
      </c>
      <c r="AA1281" s="46" t="s">
        <v>6776</v>
      </c>
      <c r="AB1281" s="172" t="s">
        <v>9167</v>
      </c>
      <c r="AC1281" s="48" t="s">
        <v>6778</v>
      </c>
      <c r="AD1281" s="30"/>
      <c r="AE1281" s="200"/>
      <c r="AF1281" s="100"/>
    </row>
    <row r="1282" spans="1:42" s="32" customFormat="1" ht="69.95" hidden="1" customHeight="1">
      <c r="A1282" s="29" t="s">
        <v>4030</v>
      </c>
      <c r="B1282" s="29" t="s">
        <v>3769</v>
      </c>
      <c r="C1282" s="40" t="s">
        <v>73</v>
      </c>
      <c r="D1282" s="40"/>
      <c r="E1282" s="57" t="s">
        <v>8377</v>
      </c>
      <c r="F1282" s="57" t="s">
        <v>8377</v>
      </c>
      <c r="G1282" s="29" t="s">
        <v>2740</v>
      </c>
      <c r="H1282" s="29"/>
      <c r="I1282" s="29"/>
      <c r="J1282" s="29">
        <f t="shared" si="84"/>
        <v>1</v>
      </c>
      <c r="K1282" s="42">
        <v>1268</v>
      </c>
      <c r="L1282" s="43" t="s">
        <v>2741</v>
      </c>
      <c r="M1282" s="44" t="s">
        <v>405</v>
      </c>
      <c r="N1282" s="44" t="s">
        <v>879</v>
      </c>
      <c r="O1282" s="44" t="str">
        <f t="shared" si="89"/>
        <v>PE-L1-5C70/35-05</v>
      </c>
      <c r="P1282" s="45">
        <v>10</v>
      </c>
      <c r="Q1282" s="44">
        <v>400</v>
      </c>
      <c r="R1282" s="44" t="s">
        <v>428</v>
      </c>
      <c r="S1282" s="44">
        <v>250</v>
      </c>
      <c r="T1282" s="46" t="s">
        <v>6734</v>
      </c>
      <c r="U1282" s="46" t="s">
        <v>4030</v>
      </c>
      <c r="V1282" s="46" t="s">
        <v>4031</v>
      </c>
      <c r="W1282" s="46" t="s">
        <v>347</v>
      </c>
      <c r="X1282" s="47" t="s">
        <v>9310</v>
      </c>
      <c r="Y1282" s="46" t="s">
        <v>4374</v>
      </c>
      <c r="Z1282" s="46" t="s">
        <v>4375</v>
      </c>
      <c r="AA1282" s="46" t="s">
        <v>6776</v>
      </c>
      <c r="AB1282" s="47" t="s">
        <v>9310</v>
      </c>
      <c r="AC1282" s="48" t="s">
        <v>6779</v>
      </c>
      <c r="AD1282" s="30"/>
      <c r="AE1282" s="200"/>
      <c r="AF1282" s="100"/>
    </row>
    <row r="1283" spans="1:42" s="32" customFormat="1" ht="69.95" hidden="1" customHeight="1">
      <c r="A1283" s="29" t="s">
        <v>4063</v>
      </c>
      <c r="B1283" s="29" t="s">
        <v>3769</v>
      </c>
      <c r="C1283" s="40" t="s">
        <v>43</v>
      </c>
      <c r="D1283" s="124" t="s">
        <v>9533</v>
      </c>
      <c r="E1283" s="57" t="s">
        <v>8377</v>
      </c>
      <c r="F1283" s="57" t="s">
        <v>8377</v>
      </c>
      <c r="G1283" s="29" t="s">
        <v>2742</v>
      </c>
      <c r="H1283" s="29"/>
      <c r="I1283" s="29"/>
      <c r="J1283" s="29">
        <f t="shared" si="84"/>
        <v>1</v>
      </c>
      <c r="K1283" s="189">
        <v>1269</v>
      </c>
      <c r="L1283" s="43" t="s">
        <v>9532</v>
      </c>
      <c r="M1283" s="44" t="s">
        <v>405</v>
      </c>
      <c r="N1283" s="44" t="s">
        <v>879</v>
      </c>
      <c r="O1283" s="44" t="str">
        <f t="shared" si="89"/>
        <v>PE-L1-5C70/35-05</v>
      </c>
      <c r="P1283" s="45">
        <v>10</v>
      </c>
      <c r="Q1283" s="44">
        <v>400</v>
      </c>
      <c r="R1283" s="44" t="s">
        <v>428</v>
      </c>
      <c r="S1283" s="188">
        <v>230</v>
      </c>
      <c r="T1283" s="46" t="s">
        <v>6734</v>
      </c>
      <c r="U1283" s="46" t="s">
        <v>4063</v>
      </c>
      <c r="V1283" s="46" t="s">
        <v>4064</v>
      </c>
      <c r="W1283" s="46" t="s">
        <v>347</v>
      </c>
      <c r="X1283" s="47" t="s">
        <v>9310</v>
      </c>
      <c r="Y1283" s="46" t="s">
        <v>4383</v>
      </c>
      <c r="Z1283" s="46" t="s">
        <v>4384</v>
      </c>
      <c r="AA1283" s="46" t="s">
        <v>6776</v>
      </c>
      <c r="AB1283" s="47" t="s">
        <v>9310</v>
      </c>
      <c r="AC1283" s="190" t="s">
        <v>9281</v>
      </c>
      <c r="AD1283" s="30"/>
      <c r="AE1283" s="200"/>
      <c r="AF1283" s="100"/>
    </row>
    <row r="1284" spans="1:42" s="32" customFormat="1" ht="69.95" hidden="1" customHeight="1">
      <c r="A1284" s="29" t="s">
        <v>4331</v>
      </c>
      <c r="B1284" s="29" t="s">
        <v>3769</v>
      </c>
      <c r="C1284" s="40" t="s">
        <v>43</v>
      </c>
      <c r="D1284" s="40"/>
      <c r="E1284" s="57" t="s">
        <v>8327</v>
      </c>
      <c r="F1284" s="57" t="s">
        <v>8327</v>
      </c>
      <c r="G1284" s="29" t="s">
        <v>2743</v>
      </c>
      <c r="H1284" s="29"/>
      <c r="I1284" s="29"/>
      <c r="J1284" s="29">
        <f t="shared" si="84"/>
        <v>1</v>
      </c>
      <c r="K1284" s="42">
        <v>1270</v>
      </c>
      <c r="L1284" s="43" t="s">
        <v>2744</v>
      </c>
      <c r="M1284" s="44" t="s">
        <v>405</v>
      </c>
      <c r="N1284" s="44" t="s">
        <v>426</v>
      </c>
      <c r="O1284" s="44" t="str">
        <f t="shared" si="89"/>
        <v>PE-L1-3C4-25</v>
      </c>
      <c r="P1284" s="45">
        <v>0.3</v>
      </c>
      <c r="Q1284" s="44">
        <v>230</v>
      </c>
      <c r="R1284" s="44" t="s">
        <v>49</v>
      </c>
      <c r="S1284" s="44">
        <v>20</v>
      </c>
      <c r="T1284" s="46" t="s">
        <v>6734</v>
      </c>
      <c r="U1284" s="46" t="s">
        <v>4331</v>
      </c>
      <c r="V1284" s="46" t="s">
        <v>4332</v>
      </c>
      <c r="W1284" s="46" t="s">
        <v>397</v>
      </c>
      <c r="X1284" s="172" t="s">
        <v>9167</v>
      </c>
      <c r="Y1284" s="46" t="s">
        <v>4374</v>
      </c>
      <c r="Z1284" s="46" t="s">
        <v>4375</v>
      </c>
      <c r="AA1284" s="46" t="s">
        <v>6776</v>
      </c>
      <c r="AB1284" s="172" t="s">
        <v>9167</v>
      </c>
      <c r="AC1284" s="48" t="s">
        <v>6780</v>
      </c>
      <c r="AD1284" s="30"/>
      <c r="AE1284" s="200"/>
      <c r="AF1284" s="100"/>
    </row>
    <row r="1285" spans="1:42" s="32" customFormat="1" ht="69.95" hidden="1" customHeight="1">
      <c r="A1285" s="29" t="s">
        <v>4005</v>
      </c>
      <c r="B1285" s="29" t="s">
        <v>3769</v>
      </c>
      <c r="C1285" s="40" t="s">
        <v>41</v>
      </c>
      <c r="D1285" s="40"/>
      <c r="E1285" s="57" t="s">
        <v>8348</v>
      </c>
      <c r="F1285" s="57" t="s">
        <v>8348</v>
      </c>
      <c r="G1285" s="29" t="s">
        <v>2745</v>
      </c>
      <c r="H1285" s="29"/>
      <c r="I1285" s="29"/>
      <c r="J1285" s="29">
        <f t="shared" si="84"/>
        <v>1</v>
      </c>
      <c r="K1285" s="42">
        <v>1271</v>
      </c>
      <c r="L1285" s="43" t="s">
        <v>2746</v>
      </c>
      <c r="M1285" s="44" t="s">
        <v>405</v>
      </c>
      <c r="N1285" s="44" t="s">
        <v>2244</v>
      </c>
      <c r="O1285" s="44" t="str">
        <f t="shared" si="89"/>
        <v>PE-L1-1C240-05</v>
      </c>
      <c r="P1285" s="45">
        <v>400</v>
      </c>
      <c r="Q1285" s="44">
        <v>400</v>
      </c>
      <c r="R1285" s="44" t="s">
        <v>412</v>
      </c>
      <c r="S1285" s="44">
        <v>70</v>
      </c>
      <c r="T1285" s="46" t="s">
        <v>6734</v>
      </c>
      <c r="U1285" s="46" t="s">
        <v>4005</v>
      </c>
      <c r="V1285" s="46" t="s">
        <v>4006</v>
      </c>
      <c r="W1285" s="46" t="s">
        <v>347</v>
      </c>
      <c r="X1285" s="47" t="s">
        <v>44</v>
      </c>
      <c r="Y1285" s="46" t="s">
        <v>6770</v>
      </c>
      <c r="Z1285" s="46" t="s">
        <v>6781</v>
      </c>
      <c r="AA1285" s="46" t="s">
        <v>347</v>
      </c>
      <c r="AB1285" s="47" t="s">
        <v>44</v>
      </c>
      <c r="AC1285" s="48" t="s">
        <v>6782</v>
      </c>
      <c r="AD1285" s="30"/>
      <c r="AE1285" s="200"/>
      <c r="AF1285" s="100"/>
      <c r="AK1285" s="47" t="s">
        <v>9579</v>
      </c>
      <c r="AL1285" s="47"/>
      <c r="AM1285" s="47"/>
      <c r="AN1285" s="241">
        <v>1</v>
      </c>
      <c r="AO1285" s="241" t="s">
        <v>9576</v>
      </c>
      <c r="AP1285" s="241">
        <v>1</v>
      </c>
    </row>
    <row r="1286" spans="1:42" s="29" customFormat="1" ht="69.95" hidden="1" customHeight="1">
      <c r="A1286" s="49" t="s">
        <v>4005</v>
      </c>
      <c r="B1286" s="49" t="s">
        <v>3769</v>
      </c>
      <c r="C1286" s="50" t="s">
        <v>42</v>
      </c>
      <c r="D1286" s="50"/>
      <c r="E1286" s="57" t="s">
        <v>8348</v>
      </c>
      <c r="F1286" s="57" t="s">
        <v>8348</v>
      </c>
      <c r="J1286" s="29">
        <f t="shared" si="84"/>
        <v>1</v>
      </c>
      <c r="K1286" s="42">
        <v>1272</v>
      </c>
      <c r="L1286" s="43" t="s">
        <v>2747</v>
      </c>
      <c r="M1286" s="43" t="s">
        <v>405</v>
      </c>
      <c r="N1286" s="43" t="s">
        <v>2244</v>
      </c>
      <c r="O1286" s="44" t="str">
        <f t="shared" si="89"/>
        <v>PE-L1-1C240-05</v>
      </c>
      <c r="P1286" s="51">
        <v>400</v>
      </c>
      <c r="Q1286" s="43">
        <v>400</v>
      </c>
      <c r="R1286" s="43" t="s">
        <v>412</v>
      </c>
      <c r="S1286" s="43">
        <v>70</v>
      </c>
      <c r="T1286" s="43" t="s">
        <v>6734</v>
      </c>
      <c r="U1286" s="43" t="s">
        <v>4005</v>
      </c>
      <c r="V1286" s="43" t="s">
        <v>4006</v>
      </c>
      <c r="W1286" s="43" t="s">
        <v>347</v>
      </c>
      <c r="X1286" s="47" t="s">
        <v>45</v>
      </c>
      <c r="Y1286" s="43" t="s">
        <v>6770</v>
      </c>
      <c r="Z1286" s="43" t="s">
        <v>6781</v>
      </c>
      <c r="AA1286" s="43" t="s">
        <v>347</v>
      </c>
      <c r="AB1286" s="47" t="s">
        <v>45</v>
      </c>
      <c r="AC1286" s="52" t="s">
        <v>6782</v>
      </c>
      <c r="AD1286" s="30"/>
      <c r="AE1286" s="197"/>
      <c r="AF1286" s="47"/>
      <c r="AK1286" s="47" t="s">
        <v>9579</v>
      </c>
      <c r="AL1286" s="47"/>
      <c r="AM1286" s="47"/>
      <c r="AN1286" s="241">
        <v>1</v>
      </c>
      <c r="AO1286" s="241" t="s">
        <v>9576</v>
      </c>
      <c r="AP1286" s="241">
        <v>1</v>
      </c>
    </row>
    <row r="1287" spans="1:42" s="29" customFormat="1" ht="69.95" hidden="1" customHeight="1">
      <c r="A1287" s="49" t="s">
        <v>4005</v>
      </c>
      <c r="B1287" s="49" t="s">
        <v>3769</v>
      </c>
      <c r="C1287" s="50" t="s">
        <v>43</v>
      </c>
      <c r="D1287" s="50"/>
      <c r="E1287" s="57" t="s">
        <v>8348</v>
      </c>
      <c r="F1287" s="57" t="s">
        <v>8348</v>
      </c>
      <c r="J1287" s="29">
        <f t="shared" si="84"/>
        <v>1</v>
      </c>
      <c r="K1287" s="42">
        <v>1273</v>
      </c>
      <c r="L1287" s="43" t="s">
        <v>2748</v>
      </c>
      <c r="M1287" s="43" t="s">
        <v>405</v>
      </c>
      <c r="N1287" s="43" t="s">
        <v>2244</v>
      </c>
      <c r="O1287" s="44" t="str">
        <f t="shared" si="89"/>
        <v>PE-L1-1C240-05</v>
      </c>
      <c r="P1287" s="51">
        <v>400</v>
      </c>
      <c r="Q1287" s="43">
        <v>400</v>
      </c>
      <c r="R1287" s="43" t="s">
        <v>412</v>
      </c>
      <c r="S1287" s="43">
        <v>70</v>
      </c>
      <c r="T1287" s="43" t="s">
        <v>6734</v>
      </c>
      <c r="U1287" s="43" t="s">
        <v>4005</v>
      </c>
      <c r="V1287" s="43" t="s">
        <v>4006</v>
      </c>
      <c r="W1287" s="43" t="s">
        <v>347</v>
      </c>
      <c r="X1287" s="47" t="s">
        <v>46</v>
      </c>
      <c r="Y1287" s="43" t="s">
        <v>6770</v>
      </c>
      <c r="Z1287" s="43" t="s">
        <v>6781</v>
      </c>
      <c r="AA1287" s="43" t="s">
        <v>347</v>
      </c>
      <c r="AB1287" s="47" t="s">
        <v>46</v>
      </c>
      <c r="AC1287" s="52" t="s">
        <v>6782</v>
      </c>
      <c r="AD1287" s="30"/>
      <c r="AE1287" s="197"/>
      <c r="AF1287" s="47"/>
      <c r="AK1287" s="47" t="s">
        <v>9579</v>
      </c>
      <c r="AL1287" s="47"/>
      <c r="AM1287" s="47"/>
      <c r="AN1287" s="241">
        <v>1</v>
      </c>
      <c r="AO1287" s="241" t="s">
        <v>9576</v>
      </c>
      <c r="AP1287" s="241">
        <v>1</v>
      </c>
    </row>
    <row r="1288" spans="1:42" s="29" customFormat="1" ht="69.95" hidden="1" customHeight="1">
      <c r="A1288" s="49" t="s">
        <v>4005</v>
      </c>
      <c r="B1288" s="49" t="s">
        <v>3769</v>
      </c>
      <c r="C1288" s="50" t="s">
        <v>73</v>
      </c>
      <c r="D1288" s="50"/>
      <c r="E1288" s="57" t="s">
        <v>8348</v>
      </c>
      <c r="F1288" s="57" t="s">
        <v>8348</v>
      </c>
      <c r="J1288" s="29">
        <f t="shared" ref="J1288:J1351" si="90">COUNTIF(L:L,L1288)</f>
        <v>1</v>
      </c>
      <c r="K1288" s="42">
        <v>1274</v>
      </c>
      <c r="L1288" s="43" t="s">
        <v>2749</v>
      </c>
      <c r="M1288" s="43" t="s">
        <v>405</v>
      </c>
      <c r="N1288" s="43" t="s">
        <v>2244</v>
      </c>
      <c r="O1288" s="44" t="str">
        <f t="shared" si="89"/>
        <v>PE-L1-1C240-05</v>
      </c>
      <c r="P1288" s="51">
        <v>400</v>
      </c>
      <c r="Q1288" s="43">
        <v>400</v>
      </c>
      <c r="R1288" s="43" t="s">
        <v>412</v>
      </c>
      <c r="S1288" s="43">
        <v>70</v>
      </c>
      <c r="T1288" s="43" t="s">
        <v>6734</v>
      </c>
      <c r="U1288" s="43" t="s">
        <v>4005</v>
      </c>
      <c r="V1288" s="43" t="s">
        <v>4006</v>
      </c>
      <c r="W1288" s="43" t="s">
        <v>347</v>
      </c>
      <c r="X1288" s="47" t="s">
        <v>44</v>
      </c>
      <c r="Y1288" s="43" t="s">
        <v>6770</v>
      </c>
      <c r="Z1288" s="43" t="s">
        <v>6781</v>
      </c>
      <c r="AA1288" s="43" t="s">
        <v>347</v>
      </c>
      <c r="AB1288" s="47" t="s">
        <v>44</v>
      </c>
      <c r="AC1288" s="48" t="s">
        <v>6783</v>
      </c>
      <c r="AD1288" s="30"/>
      <c r="AE1288" s="197"/>
      <c r="AF1288" s="47"/>
      <c r="AK1288" s="47" t="s">
        <v>9579</v>
      </c>
      <c r="AL1288" s="47"/>
      <c r="AM1288" s="47"/>
      <c r="AN1288" s="241">
        <v>1</v>
      </c>
      <c r="AO1288" s="241" t="s">
        <v>9576</v>
      </c>
      <c r="AP1288" s="241">
        <v>1</v>
      </c>
    </row>
    <row r="1289" spans="1:42" s="29" customFormat="1" ht="69.95" hidden="1" customHeight="1">
      <c r="A1289" s="49" t="s">
        <v>4005</v>
      </c>
      <c r="B1289" s="49" t="s">
        <v>3769</v>
      </c>
      <c r="C1289" s="50" t="s">
        <v>75</v>
      </c>
      <c r="D1289" s="50"/>
      <c r="E1289" s="57" t="s">
        <v>8348</v>
      </c>
      <c r="F1289" s="57" t="s">
        <v>8348</v>
      </c>
      <c r="J1289" s="29">
        <f t="shared" si="90"/>
        <v>1</v>
      </c>
      <c r="K1289" s="42">
        <v>1275</v>
      </c>
      <c r="L1289" s="43" t="s">
        <v>2750</v>
      </c>
      <c r="M1289" s="43" t="s">
        <v>405</v>
      </c>
      <c r="N1289" s="43" t="s">
        <v>2244</v>
      </c>
      <c r="O1289" s="44" t="str">
        <f t="shared" si="89"/>
        <v>PE-L1-1C240-05</v>
      </c>
      <c r="P1289" s="51">
        <v>400</v>
      </c>
      <c r="Q1289" s="43">
        <v>400</v>
      </c>
      <c r="R1289" s="43" t="s">
        <v>412</v>
      </c>
      <c r="S1289" s="43">
        <v>70</v>
      </c>
      <c r="T1289" s="43" t="s">
        <v>6734</v>
      </c>
      <c r="U1289" s="43" t="s">
        <v>4005</v>
      </c>
      <c r="V1289" s="43" t="s">
        <v>4006</v>
      </c>
      <c r="W1289" s="43" t="s">
        <v>347</v>
      </c>
      <c r="X1289" s="47" t="s">
        <v>45</v>
      </c>
      <c r="Y1289" s="43" t="s">
        <v>6770</v>
      </c>
      <c r="Z1289" s="43" t="s">
        <v>6781</v>
      </c>
      <c r="AA1289" s="43" t="s">
        <v>347</v>
      </c>
      <c r="AB1289" s="47" t="s">
        <v>45</v>
      </c>
      <c r="AC1289" s="52" t="s">
        <v>6783</v>
      </c>
      <c r="AD1289" s="30"/>
      <c r="AE1289" s="197"/>
      <c r="AF1289" s="47"/>
      <c r="AK1289" s="47" t="s">
        <v>9579</v>
      </c>
      <c r="AL1289" s="47"/>
      <c r="AM1289" s="47"/>
      <c r="AN1289" s="241">
        <v>1</v>
      </c>
      <c r="AO1289" s="241" t="s">
        <v>9576</v>
      </c>
      <c r="AP1289" s="241">
        <v>1</v>
      </c>
    </row>
    <row r="1290" spans="1:42" s="29" customFormat="1" ht="69.95" hidden="1" customHeight="1">
      <c r="A1290" s="49" t="s">
        <v>4005</v>
      </c>
      <c r="B1290" s="49" t="s">
        <v>3769</v>
      </c>
      <c r="C1290" s="49">
        <v>10</v>
      </c>
      <c r="D1290" s="49"/>
      <c r="E1290" s="57" t="s">
        <v>8348</v>
      </c>
      <c r="F1290" s="57" t="s">
        <v>8348</v>
      </c>
      <c r="J1290" s="29">
        <f t="shared" si="90"/>
        <v>1</v>
      </c>
      <c r="K1290" s="42">
        <v>1276</v>
      </c>
      <c r="L1290" s="43" t="s">
        <v>2751</v>
      </c>
      <c r="M1290" s="43" t="s">
        <v>405</v>
      </c>
      <c r="N1290" s="43" t="s">
        <v>2244</v>
      </c>
      <c r="O1290" s="44" t="str">
        <f t="shared" si="89"/>
        <v>PE-L1-1C240-05</v>
      </c>
      <c r="P1290" s="51">
        <v>400</v>
      </c>
      <c r="Q1290" s="43">
        <v>400</v>
      </c>
      <c r="R1290" s="43" t="s">
        <v>412</v>
      </c>
      <c r="S1290" s="43">
        <v>70</v>
      </c>
      <c r="T1290" s="43" t="s">
        <v>6734</v>
      </c>
      <c r="U1290" s="43" t="s">
        <v>4005</v>
      </c>
      <c r="V1290" s="43" t="s">
        <v>4006</v>
      </c>
      <c r="W1290" s="43" t="s">
        <v>347</v>
      </c>
      <c r="X1290" s="47" t="s">
        <v>46</v>
      </c>
      <c r="Y1290" s="43" t="s">
        <v>6770</v>
      </c>
      <c r="Z1290" s="43" t="s">
        <v>6781</v>
      </c>
      <c r="AA1290" s="43" t="s">
        <v>347</v>
      </c>
      <c r="AB1290" s="47" t="s">
        <v>46</v>
      </c>
      <c r="AC1290" s="52" t="s">
        <v>6783</v>
      </c>
      <c r="AD1290" s="30"/>
      <c r="AE1290" s="197"/>
      <c r="AF1290" s="47"/>
      <c r="AK1290" s="47" t="s">
        <v>9579</v>
      </c>
      <c r="AL1290" s="47"/>
      <c r="AM1290" s="47"/>
      <c r="AN1290" s="241">
        <v>1</v>
      </c>
      <c r="AO1290" s="241" t="s">
        <v>9576</v>
      </c>
      <c r="AP1290" s="241">
        <v>1</v>
      </c>
    </row>
    <row r="1291" spans="1:42" s="29" customFormat="1" ht="69.95" hidden="1" customHeight="1">
      <c r="A1291" s="49" t="s">
        <v>4005</v>
      </c>
      <c r="B1291" s="49" t="s">
        <v>3769</v>
      </c>
      <c r="C1291" s="49">
        <v>11</v>
      </c>
      <c r="D1291" s="140"/>
      <c r="E1291" s="57" t="s">
        <v>8348</v>
      </c>
      <c r="F1291" s="57" t="s">
        <v>8348</v>
      </c>
      <c r="J1291" s="29">
        <f t="shared" si="90"/>
        <v>1</v>
      </c>
      <c r="K1291" s="42">
        <v>1277</v>
      </c>
      <c r="L1291" s="43" t="s">
        <v>2752</v>
      </c>
      <c r="M1291" s="43" t="s">
        <v>405</v>
      </c>
      <c r="N1291" s="43" t="s">
        <v>2244</v>
      </c>
      <c r="O1291" s="44" t="str">
        <f t="shared" si="89"/>
        <v>PE-L1-1C240-05</v>
      </c>
      <c r="P1291" s="51">
        <v>400</v>
      </c>
      <c r="Q1291" s="43">
        <v>400</v>
      </c>
      <c r="R1291" s="43" t="s">
        <v>412</v>
      </c>
      <c r="S1291" s="43">
        <v>70</v>
      </c>
      <c r="T1291" s="43" t="s">
        <v>6734</v>
      </c>
      <c r="U1291" s="43" t="s">
        <v>4005</v>
      </c>
      <c r="V1291" s="43" t="s">
        <v>4006</v>
      </c>
      <c r="W1291" s="53" t="s">
        <v>347</v>
      </c>
      <c r="X1291" s="47" t="s">
        <v>17</v>
      </c>
      <c r="Y1291" s="43" t="s">
        <v>6770</v>
      </c>
      <c r="Z1291" s="43" t="s">
        <v>6781</v>
      </c>
      <c r="AA1291" s="43" t="s">
        <v>347</v>
      </c>
      <c r="AB1291" s="47" t="s">
        <v>49</v>
      </c>
      <c r="AC1291" s="48" t="s">
        <v>6782</v>
      </c>
      <c r="AD1291" s="30"/>
      <c r="AE1291" s="197"/>
      <c r="AF1291" s="47"/>
      <c r="AK1291" s="47" t="s">
        <v>9579</v>
      </c>
      <c r="AL1291" s="47"/>
      <c r="AM1291" s="47"/>
      <c r="AN1291" s="241">
        <v>1</v>
      </c>
      <c r="AO1291" s="241" t="s">
        <v>9576</v>
      </c>
      <c r="AP1291" s="241">
        <v>1</v>
      </c>
    </row>
    <row r="1292" spans="1:42" s="29" customFormat="1" ht="69.95" hidden="1" customHeight="1">
      <c r="A1292" s="49" t="s">
        <v>4005</v>
      </c>
      <c r="B1292" s="49" t="s">
        <v>3769</v>
      </c>
      <c r="C1292" s="49">
        <v>12</v>
      </c>
      <c r="D1292" s="49"/>
      <c r="E1292" s="57" t="s">
        <v>8348</v>
      </c>
      <c r="F1292" s="57" t="s">
        <v>8348</v>
      </c>
      <c r="J1292" s="29">
        <f t="shared" si="90"/>
        <v>1</v>
      </c>
      <c r="K1292" s="42">
        <v>1278</v>
      </c>
      <c r="L1292" s="43" t="s">
        <v>2753</v>
      </c>
      <c r="M1292" s="43" t="s">
        <v>405</v>
      </c>
      <c r="N1292" s="43" t="s">
        <v>2244</v>
      </c>
      <c r="O1292" s="44" t="str">
        <f t="shared" si="89"/>
        <v>PE-L1-1C240-05</v>
      </c>
      <c r="P1292" s="51">
        <v>400</v>
      </c>
      <c r="Q1292" s="43">
        <v>400</v>
      </c>
      <c r="R1292" s="43" t="s">
        <v>412</v>
      </c>
      <c r="S1292" s="43">
        <v>70</v>
      </c>
      <c r="T1292" s="43" t="s">
        <v>6734</v>
      </c>
      <c r="U1292" s="43" t="s">
        <v>4005</v>
      </c>
      <c r="V1292" s="43" t="s">
        <v>4006</v>
      </c>
      <c r="W1292" s="53" t="s">
        <v>347</v>
      </c>
      <c r="X1292" s="47" t="s">
        <v>18</v>
      </c>
      <c r="Y1292" s="43" t="s">
        <v>6770</v>
      </c>
      <c r="Z1292" s="43" t="s">
        <v>6781</v>
      </c>
      <c r="AA1292" s="43" t="s">
        <v>347</v>
      </c>
      <c r="AB1292" s="47" t="s">
        <v>6263</v>
      </c>
      <c r="AC1292" s="48" t="s">
        <v>6783</v>
      </c>
      <c r="AD1292" s="30"/>
      <c r="AE1292" s="197"/>
      <c r="AF1292" s="47"/>
      <c r="AK1292" s="47" t="s">
        <v>9579</v>
      </c>
      <c r="AL1292" s="47"/>
      <c r="AM1292" s="47"/>
      <c r="AN1292" s="241">
        <v>1</v>
      </c>
      <c r="AO1292" s="241" t="s">
        <v>9576</v>
      </c>
      <c r="AP1292" s="241">
        <v>1</v>
      </c>
    </row>
    <row r="1293" spans="1:42" s="32" customFormat="1" ht="69.95" hidden="1" customHeight="1">
      <c r="A1293" s="29" t="s">
        <v>4040</v>
      </c>
      <c r="B1293" s="29" t="s">
        <v>3769</v>
      </c>
      <c r="C1293" s="40" t="s">
        <v>41</v>
      </c>
      <c r="D1293" s="40"/>
      <c r="E1293" s="57" t="s">
        <v>8348</v>
      </c>
      <c r="F1293" s="57" t="s">
        <v>8348</v>
      </c>
      <c r="G1293" s="29" t="s">
        <v>2754</v>
      </c>
      <c r="H1293" s="29"/>
      <c r="I1293" s="29"/>
      <c r="J1293" s="29">
        <f t="shared" si="90"/>
        <v>1</v>
      </c>
      <c r="K1293" s="42">
        <v>1279</v>
      </c>
      <c r="L1293" s="43" t="s">
        <v>2755</v>
      </c>
      <c r="M1293" s="44" t="s">
        <v>405</v>
      </c>
      <c r="N1293" s="44" t="s">
        <v>2244</v>
      </c>
      <c r="O1293" s="44" t="str">
        <f t="shared" si="89"/>
        <v>PE-L1-1C240-05</v>
      </c>
      <c r="P1293" s="45">
        <v>400</v>
      </c>
      <c r="Q1293" s="44">
        <v>400</v>
      </c>
      <c r="R1293" s="44" t="s">
        <v>412</v>
      </c>
      <c r="S1293" s="44">
        <v>70</v>
      </c>
      <c r="T1293" s="46" t="s">
        <v>6734</v>
      </c>
      <c r="U1293" s="46" t="s">
        <v>4040</v>
      </c>
      <c r="V1293" s="46" t="s">
        <v>4041</v>
      </c>
      <c r="W1293" s="46" t="s">
        <v>347</v>
      </c>
      <c r="X1293" s="47" t="s">
        <v>44</v>
      </c>
      <c r="Y1293" s="46" t="s">
        <v>6784</v>
      </c>
      <c r="Z1293" s="46" t="s">
        <v>6785</v>
      </c>
      <c r="AA1293" s="46" t="s">
        <v>347</v>
      </c>
      <c r="AB1293" s="47" t="s">
        <v>44</v>
      </c>
      <c r="AC1293" s="48" t="s">
        <v>6786</v>
      </c>
      <c r="AD1293" s="30"/>
      <c r="AE1293" s="200"/>
      <c r="AF1293" s="100"/>
      <c r="AK1293" s="47" t="s">
        <v>9579</v>
      </c>
      <c r="AL1293" s="47"/>
      <c r="AM1293" s="47"/>
      <c r="AN1293" s="241">
        <v>1</v>
      </c>
      <c r="AO1293" s="241" t="s">
        <v>9576</v>
      </c>
      <c r="AP1293" s="241">
        <v>1</v>
      </c>
    </row>
    <row r="1294" spans="1:42" s="29" customFormat="1" ht="69.95" hidden="1" customHeight="1">
      <c r="A1294" s="49" t="s">
        <v>4040</v>
      </c>
      <c r="B1294" s="49" t="s">
        <v>3769</v>
      </c>
      <c r="C1294" s="50" t="s">
        <v>42</v>
      </c>
      <c r="D1294" s="50"/>
      <c r="E1294" s="57" t="s">
        <v>8348</v>
      </c>
      <c r="F1294" s="57" t="s">
        <v>8348</v>
      </c>
      <c r="J1294" s="29">
        <f t="shared" si="90"/>
        <v>1</v>
      </c>
      <c r="K1294" s="42">
        <v>1280</v>
      </c>
      <c r="L1294" s="43" t="s">
        <v>2756</v>
      </c>
      <c r="M1294" s="43" t="s">
        <v>405</v>
      </c>
      <c r="N1294" s="43" t="s">
        <v>2244</v>
      </c>
      <c r="O1294" s="44" t="str">
        <f t="shared" si="89"/>
        <v>PE-L1-1C240-05</v>
      </c>
      <c r="P1294" s="51">
        <v>400</v>
      </c>
      <c r="Q1294" s="43">
        <v>400</v>
      </c>
      <c r="R1294" s="43" t="s">
        <v>412</v>
      </c>
      <c r="S1294" s="43">
        <v>70</v>
      </c>
      <c r="T1294" s="43" t="s">
        <v>6734</v>
      </c>
      <c r="U1294" s="43" t="s">
        <v>4040</v>
      </c>
      <c r="V1294" s="43" t="s">
        <v>4041</v>
      </c>
      <c r="W1294" s="43" t="s">
        <v>347</v>
      </c>
      <c r="X1294" s="47" t="s">
        <v>45</v>
      </c>
      <c r="Y1294" s="43" t="s">
        <v>6784</v>
      </c>
      <c r="Z1294" s="43" t="s">
        <v>6785</v>
      </c>
      <c r="AA1294" s="43" t="s">
        <v>347</v>
      </c>
      <c r="AB1294" s="47" t="s">
        <v>45</v>
      </c>
      <c r="AC1294" s="52" t="s">
        <v>6786</v>
      </c>
      <c r="AD1294" s="30"/>
      <c r="AE1294" s="197"/>
      <c r="AF1294" s="47"/>
      <c r="AK1294" s="47" t="s">
        <v>9579</v>
      </c>
      <c r="AL1294" s="47"/>
      <c r="AM1294" s="47"/>
      <c r="AN1294" s="241">
        <v>1</v>
      </c>
      <c r="AO1294" s="241" t="s">
        <v>9576</v>
      </c>
      <c r="AP1294" s="241">
        <v>1</v>
      </c>
    </row>
    <row r="1295" spans="1:42" s="29" customFormat="1" ht="69.95" hidden="1" customHeight="1">
      <c r="A1295" s="49" t="s">
        <v>4040</v>
      </c>
      <c r="B1295" s="49" t="s">
        <v>3769</v>
      </c>
      <c r="C1295" s="50" t="s">
        <v>43</v>
      </c>
      <c r="D1295" s="50"/>
      <c r="E1295" s="57" t="s">
        <v>8348</v>
      </c>
      <c r="F1295" s="57" t="s">
        <v>8348</v>
      </c>
      <c r="J1295" s="29">
        <f t="shared" si="90"/>
        <v>1</v>
      </c>
      <c r="K1295" s="42">
        <v>1281</v>
      </c>
      <c r="L1295" s="43" t="s">
        <v>2757</v>
      </c>
      <c r="M1295" s="43" t="s">
        <v>405</v>
      </c>
      <c r="N1295" s="43" t="s">
        <v>2244</v>
      </c>
      <c r="O1295" s="44" t="str">
        <f t="shared" si="89"/>
        <v>PE-L1-1C240-05</v>
      </c>
      <c r="P1295" s="51">
        <v>400</v>
      </c>
      <c r="Q1295" s="43">
        <v>400</v>
      </c>
      <c r="R1295" s="43" t="s">
        <v>412</v>
      </c>
      <c r="S1295" s="43">
        <v>70</v>
      </c>
      <c r="T1295" s="43" t="s">
        <v>6734</v>
      </c>
      <c r="U1295" s="43" t="s">
        <v>4040</v>
      </c>
      <c r="V1295" s="43" t="s">
        <v>4041</v>
      </c>
      <c r="W1295" s="43" t="s">
        <v>347</v>
      </c>
      <c r="X1295" s="47" t="s">
        <v>46</v>
      </c>
      <c r="Y1295" s="43" t="s">
        <v>6784</v>
      </c>
      <c r="Z1295" s="43" t="s">
        <v>6785</v>
      </c>
      <c r="AA1295" s="43" t="s">
        <v>347</v>
      </c>
      <c r="AB1295" s="47" t="s">
        <v>46</v>
      </c>
      <c r="AC1295" s="52" t="s">
        <v>6786</v>
      </c>
      <c r="AD1295" s="30"/>
      <c r="AE1295" s="197"/>
      <c r="AF1295" s="47"/>
      <c r="AK1295" s="47" t="s">
        <v>9579</v>
      </c>
      <c r="AL1295" s="47"/>
      <c r="AM1295" s="47"/>
      <c r="AN1295" s="241">
        <v>1</v>
      </c>
      <c r="AO1295" s="241" t="s">
        <v>9576</v>
      </c>
      <c r="AP1295" s="241">
        <v>1</v>
      </c>
    </row>
    <row r="1296" spans="1:42" s="29" customFormat="1" ht="69.95" hidden="1" customHeight="1">
      <c r="A1296" s="49" t="s">
        <v>4040</v>
      </c>
      <c r="B1296" s="49" t="s">
        <v>3769</v>
      </c>
      <c r="C1296" s="50" t="s">
        <v>73</v>
      </c>
      <c r="D1296" s="50"/>
      <c r="E1296" s="57" t="s">
        <v>8348</v>
      </c>
      <c r="F1296" s="57" t="s">
        <v>8348</v>
      </c>
      <c r="J1296" s="29">
        <f t="shared" si="90"/>
        <v>1</v>
      </c>
      <c r="K1296" s="42">
        <v>1282</v>
      </c>
      <c r="L1296" s="43" t="s">
        <v>2758</v>
      </c>
      <c r="M1296" s="43" t="s">
        <v>405</v>
      </c>
      <c r="N1296" s="43" t="s">
        <v>2244</v>
      </c>
      <c r="O1296" s="44" t="str">
        <f t="shared" si="89"/>
        <v>PE-L1-1C240-05</v>
      </c>
      <c r="P1296" s="51">
        <v>400</v>
      </c>
      <c r="Q1296" s="43">
        <v>400</v>
      </c>
      <c r="R1296" s="43" t="s">
        <v>412</v>
      </c>
      <c r="S1296" s="43">
        <v>70</v>
      </c>
      <c r="T1296" s="43" t="s">
        <v>6734</v>
      </c>
      <c r="U1296" s="43" t="s">
        <v>4040</v>
      </c>
      <c r="V1296" s="43" t="s">
        <v>4041</v>
      </c>
      <c r="W1296" s="43" t="s">
        <v>347</v>
      </c>
      <c r="X1296" s="47" t="s">
        <v>44</v>
      </c>
      <c r="Y1296" s="43" t="s">
        <v>6784</v>
      </c>
      <c r="Z1296" s="43" t="s">
        <v>6785</v>
      </c>
      <c r="AA1296" s="43" t="s">
        <v>347</v>
      </c>
      <c r="AB1296" s="47" t="s">
        <v>44</v>
      </c>
      <c r="AC1296" s="48" t="s">
        <v>6787</v>
      </c>
      <c r="AD1296" s="30"/>
      <c r="AE1296" s="197"/>
      <c r="AF1296" s="47"/>
      <c r="AK1296" s="47" t="s">
        <v>9579</v>
      </c>
      <c r="AL1296" s="47"/>
      <c r="AM1296" s="47"/>
      <c r="AN1296" s="241">
        <v>1</v>
      </c>
      <c r="AO1296" s="241" t="s">
        <v>9576</v>
      </c>
      <c r="AP1296" s="241">
        <v>1</v>
      </c>
    </row>
    <row r="1297" spans="1:42" s="29" customFormat="1" ht="69.95" hidden="1" customHeight="1">
      <c r="A1297" s="49" t="s">
        <v>4040</v>
      </c>
      <c r="B1297" s="49" t="s">
        <v>3769</v>
      </c>
      <c r="C1297" s="50" t="s">
        <v>75</v>
      </c>
      <c r="D1297" s="50"/>
      <c r="E1297" s="57" t="s">
        <v>8348</v>
      </c>
      <c r="F1297" s="57" t="s">
        <v>8348</v>
      </c>
      <c r="J1297" s="29">
        <f t="shared" si="90"/>
        <v>1</v>
      </c>
      <c r="K1297" s="42">
        <v>1283</v>
      </c>
      <c r="L1297" s="43" t="s">
        <v>2759</v>
      </c>
      <c r="M1297" s="43" t="s">
        <v>405</v>
      </c>
      <c r="N1297" s="43" t="s">
        <v>2244</v>
      </c>
      <c r="O1297" s="44" t="str">
        <f t="shared" si="89"/>
        <v>PE-L1-1C240-05</v>
      </c>
      <c r="P1297" s="51">
        <v>400</v>
      </c>
      <c r="Q1297" s="43">
        <v>400</v>
      </c>
      <c r="R1297" s="43" t="s">
        <v>412</v>
      </c>
      <c r="S1297" s="43">
        <v>70</v>
      </c>
      <c r="T1297" s="43" t="s">
        <v>6734</v>
      </c>
      <c r="U1297" s="43" t="s">
        <v>4040</v>
      </c>
      <c r="V1297" s="43" t="s">
        <v>4041</v>
      </c>
      <c r="W1297" s="43" t="s">
        <v>347</v>
      </c>
      <c r="X1297" s="47" t="s">
        <v>45</v>
      </c>
      <c r="Y1297" s="43" t="s">
        <v>6784</v>
      </c>
      <c r="Z1297" s="43" t="s">
        <v>6785</v>
      </c>
      <c r="AA1297" s="43" t="s">
        <v>347</v>
      </c>
      <c r="AB1297" s="47" t="s">
        <v>45</v>
      </c>
      <c r="AC1297" s="52" t="s">
        <v>6787</v>
      </c>
      <c r="AD1297" s="30"/>
      <c r="AE1297" s="197"/>
      <c r="AF1297" s="47"/>
      <c r="AK1297" s="47" t="s">
        <v>9579</v>
      </c>
      <c r="AL1297" s="47"/>
      <c r="AM1297" s="47"/>
      <c r="AN1297" s="241">
        <v>1</v>
      </c>
      <c r="AO1297" s="241" t="s">
        <v>9576</v>
      </c>
      <c r="AP1297" s="241">
        <v>1</v>
      </c>
    </row>
    <row r="1298" spans="1:42" s="29" customFormat="1" ht="69.95" hidden="1" customHeight="1">
      <c r="A1298" s="49" t="s">
        <v>4040</v>
      </c>
      <c r="B1298" s="49" t="s">
        <v>3769</v>
      </c>
      <c r="C1298" s="49">
        <v>10</v>
      </c>
      <c r="D1298" s="49"/>
      <c r="E1298" s="57" t="s">
        <v>8348</v>
      </c>
      <c r="F1298" s="57" t="s">
        <v>8348</v>
      </c>
      <c r="J1298" s="29">
        <f t="shared" si="90"/>
        <v>1</v>
      </c>
      <c r="K1298" s="42">
        <v>1284</v>
      </c>
      <c r="L1298" s="43" t="s">
        <v>2760</v>
      </c>
      <c r="M1298" s="43" t="s">
        <v>405</v>
      </c>
      <c r="N1298" s="43" t="s">
        <v>2244</v>
      </c>
      <c r="O1298" s="44" t="str">
        <f t="shared" si="89"/>
        <v>PE-L1-1C240-05</v>
      </c>
      <c r="P1298" s="51">
        <v>400</v>
      </c>
      <c r="Q1298" s="43">
        <v>400</v>
      </c>
      <c r="R1298" s="43" t="s">
        <v>412</v>
      </c>
      <c r="S1298" s="43">
        <v>70</v>
      </c>
      <c r="T1298" s="43" t="s">
        <v>6734</v>
      </c>
      <c r="U1298" s="43" t="s">
        <v>4040</v>
      </c>
      <c r="V1298" s="43" t="s">
        <v>4041</v>
      </c>
      <c r="W1298" s="43" t="s">
        <v>347</v>
      </c>
      <c r="X1298" s="47" t="s">
        <v>46</v>
      </c>
      <c r="Y1298" s="43" t="s">
        <v>6784</v>
      </c>
      <c r="Z1298" s="43" t="s">
        <v>6785</v>
      </c>
      <c r="AA1298" s="43" t="s">
        <v>347</v>
      </c>
      <c r="AB1298" s="47" t="s">
        <v>46</v>
      </c>
      <c r="AC1298" s="52" t="s">
        <v>6787</v>
      </c>
      <c r="AD1298" s="30"/>
      <c r="AE1298" s="197"/>
      <c r="AF1298" s="47"/>
      <c r="AK1298" s="47" t="s">
        <v>9579</v>
      </c>
      <c r="AL1298" s="47"/>
      <c r="AM1298" s="47"/>
      <c r="AN1298" s="241">
        <v>1</v>
      </c>
      <c r="AO1298" s="241" t="s">
        <v>9576</v>
      </c>
      <c r="AP1298" s="241">
        <v>1</v>
      </c>
    </row>
    <row r="1299" spans="1:42" s="29" customFormat="1" ht="69.95" hidden="1" customHeight="1">
      <c r="A1299" s="49" t="s">
        <v>4040</v>
      </c>
      <c r="B1299" s="49" t="s">
        <v>3769</v>
      </c>
      <c r="C1299" s="49">
        <v>11</v>
      </c>
      <c r="D1299" s="140"/>
      <c r="E1299" s="57" t="s">
        <v>8348</v>
      </c>
      <c r="F1299" s="57" t="s">
        <v>8348</v>
      </c>
      <c r="J1299" s="29">
        <f t="shared" si="90"/>
        <v>1</v>
      </c>
      <c r="K1299" s="42">
        <v>1285</v>
      </c>
      <c r="L1299" s="43" t="s">
        <v>2761</v>
      </c>
      <c r="M1299" s="43" t="s">
        <v>405</v>
      </c>
      <c r="N1299" s="43" t="s">
        <v>2244</v>
      </c>
      <c r="O1299" s="44" t="str">
        <f t="shared" si="89"/>
        <v>PE-L1-1C240-05</v>
      </c>
      <c r="P1299" s="51">
        <v>400</v>
      </c>
      <c r="Q1299" s="43">
        <v>400</v>
      </c>
      <c r="R1299" s="43" t="s">
        <v>412</v>
      </c>
      <c r="S1299" s="43">
        <v>70</v>
      </c>
      <c r="T1299" s="43" t="s">
        <v>6734</v>
      </c>
      <c r="U1299" s="43" t="s">
        <v>4040</v>
      </c>
      <c r="V1299" s="43" t="s">
        <v>4041</v>
      </c>
      <c r="W1299" s="53" t="s">
        <v>347</v>
      </c>
      <c r="X1299" s="47" t="s">
        <v>17</v>
      </c>
      <c r="Y1299" s="43" t="s">
        <v>6784</v>
      </c>
      <c r="Z1299" s="43" t="s">
        <v>6785</v>
      </c>
      <c r="AA1299" s="43" t="s">
        <v>347</v>
      </c>
      <c r="AB1299" s="47" t="s">
        <v>49</v>
      </c>
      <c r="AC1299" s="48" t="s">
        <v>6786</v>
      </c>
      <c r="AD1299" s="30"/>
      <c r="AE1299" s="197"/>
      <c r="AF1299" s="47"/>
      <c r="AK1299" s="47" t="s">
        <v>9579</v>
      </c>
      <c r="AL1299" s="47"/>
      <c r="AM1299" s="47"/>
      <c r="AN1299" s="241">
        <v>1</v>
      </c>
      <c r="AO1299" s="241" t="s">
        <v>9576</v>
      </c>
      <c r="AP1299" s="241">
        <v>1</v>
      </c>
    </row>
    <row r="1300" spans="1:42" s="29" customFormat="1" ht="69.95" hidden="1" customHeight="1">
      <c r="A1300" s="49" t="s">
        <v>4040</v>
      </c>
      <c r="B1300" s="49" t="s">
        <v>3769</v>
      </c>
      <c r="C1300" s="49">
        <v>12</v>
      </c>
      <c r="D1300" s="49"/>
      <c r="E1300" s="57" t="s">
        <v>8348</v>
      </c>
      <c r="F1300" s="57" t="s">
        <v>8348</v>
      </c>
      <c r="J1300" s="29">
        <f t="shared" si="90"/>
        <v>1</v>
      </c>
      <c r="K1300" s="42">
        <v>1286</v>
      </c>
      <c r="L1300" s="43" t="s">
        <v>2762</v>
      </c>
      <c r="M1300" s="43" t="s">
        <v>405</v>
      </c>
      <c r="N1300" s="43" t="s">
        <v>2244</v>
      </c>
      <c r="O1300" s="44" t="str">
        <f t="shared" si="89"/>
        <v>PE-L1-1C240-05</v>
      </c>
      <c r="P1300" s="51">
        <v>400</v>
      </c>
      <c r="Q1300" s="43">
        <v>400</v>
      </c>
      <c r="R1300" s="43" t="s">
        <v>412</v>
      </c>
      <c r="S1300" s="43">
        <v>70</v>
      </c>
      <c r="T1300" s="43" t="s">
        <v>6734</v>
      </c>
      <c r="U1300" s="43" t="s">
        <v>4040</v>
      </c>
      <c r="V1300" s="43" t="s">
        <v>4041</v>
      </c>
      <c r="W1300" s="53" t="s">
        <v>347</v>
      </c>
      <c r="X1300" s="47" t="s">
        <v>18</v>
      </c>
      <c r="Y1300" s="43" t="s">
        <v>6784</v>
      </c>
      <c r="Z1300" s="43" t="s">
        <v>6785</v>
      </c>
      <c r="AA1300" s="43" t="s">
        <v>347</v>
      </c>
      <c r="AB1300" s="47" t="s">
        <v>6263</v>
      </c>
      <c r="AC1300" s="48" t="s">
        <v>6787</v>
      </c>
      <c r="AD1300" s="30"/>
      <c r="AE1300" s="197"/>
      <c r="AF1300" s="47"/>
      <c r="AK1300" s="47" t="s">
        <v>9579</v>
      </c>
      <c r="AL1300" s="47"/>
      <c r="AM1300" s="47"/>
      <c r="AN1300" s="241">
        <v>1</v>
      </c>
      <c r="AO1300" s="241" t="s">
        <v>9576</v>
      </c>
      <c r="AP1300" s="241">
        <v>1</v>
      </c>
    </row>
    <row r="1301" spans="1:42" s="32" customFormat="1" ht="69.95" hidden="1" customHeight="1">
      <c r="A1301" s="29" t="s">
        <v>6336</v>
      </c>
      <c r="B1301" s="29" t="s">
        <v>3769</v>
      </c>
      <c r="C1301" s="40">
        <v>21</v>
      </c>
      <c r="D1301" s="40"/>
      <c r="E1301" s="74" t="s">
        <v>8356</v>
      </c>
      <c r="F1301" s="74" t="s">
        <v>8356</v>
      </c>
      <c r="G1301" s="29" t="s">
        <v>2763</v>
      </c>
      <c r="H1301" s="29"/>
      <c r="I1301" s="29"/>
      <c r="J1301" s="29">
        <f t="shared" si="90"/>
        <v>1</v>
      </c>
      <c r="K1301" s="42">
        <v>1287</v>
      </c>
      <c r="L1301" s="43" t="s">
        <v>2764</v>
      </c>
      <c r="M1301" s="44" t="s">
        <v>405</v>
      </c>
      <c r="N1301" s="44" t="s">
        <v>56</v>
      </c>
      <c r="O1301" s="44" t="str">
        <f t="shared" si="89"/>
        <v>PE-L1-1C185-03</v>
      </c>
      <c r="P1301" s="45">
        <v>120</v>
      </c>
      <c r="Q1301" s="44">
        <v>220</v>
      </c>
      <c r="R1301" s="44" t="s">
        <v>509</v>
      </c>
      <c r="S1301" s="44">
        <v>40</v>
      </c>
      <c r="T1301" s="46" t="s">
        <v>6734</v>
      </c>
      <c r="U1301" s="46" t="s">
        <v>6336</v>
      </c>
      <c r="V1301" s="46" t="s">
        <v>6337</v>
      </c>
      <c r="W1301" s="46" t="s">
        <v>347</v>
      </c>
      <c r="X1301" s="131" t="s">
        <v>8116</v>
      </c>
      <c r="Y1301" s="46" t="s">
        <v>6773</v>
      </c>
      <c r="Z1301" s="46" t="s">
        <v>6788</v>
      </c>
      <c r="AA1301" s="46" t="s">
        <v>347</v>
      </c>
      <c r="AB1301" s="131" t="s">
        <v>8116</v>
      </c>
      <c r="AC1301" s="76" t="s">
        <v>9282</v>
      </c>
      <c r="AD1301" s="30"/>
      <c r="AE1301" s="200"/>
      <c r="AF1301" s="100"/>
    </row>
    <row r="1302" spans="1:42" s="29" customFormat="1" ht="69.95" hidden="1" customHeight="1">
      <c r="A1302" s="49" t="s">
        <v>6336</v>
      </c>
      <c r="B1302" s="49" t="s">
        <v>3769</v>
      </c>
      <c r="C1302" s="49">
        <v>22</v>
      </c>
      <c r="D1302" s="49"/>
      <c r="E1302" s="74" t="s">
        <v>8356</v>
      </c>
      <c r="F1302" s="74" t="s">
        <v>8356</v>
      </c>
      <c r="J1302" s="29">
        <f t="shared" si="90"/>
        <v>1</v>
      </c>
      <c r="K1302" s="42">
        <v>1288</v>
      </c>
      <c r="L1302" s="43" t="s">
        <v>2765</v>
      </c>
      <c r="M1302" s="43" t="s">
        <v>405</v>
      </c>
      <c r="N1302" s="43" t="s">
        <v>56</v>
      </c>
      <c r="O1302" s="44" t="str">
        <f t="shared" si="89"/>
        <v>PE-L1-1C185-03</v>
      </c>
      <c r="P1302" s="51">
        <v>120</v>
      </c>
      <c r="Q1302" s="43">
        <v>220</v>
      </c>
      <c r="R1302" s="43" t="s">
        <v>509</v>
      </c>
      <c r="S1302" s="43">
        <v>40</v>
      </c>
      <c r="T1302" s="43" t="s">
        <v>6734</v>
      </c>
      <c r="U1302" s="43" t="s">
        <v>6336</v>
      </c>
      <c r="V1302" s="43" t="s">
        <v>6337</v>
      </c>
      <c r="W1302" s="43" t="s">
        <v>347</v>
      </c>
      <c r="X1302" s="131" t="s">
        <v>8116</v>
      </c>
      <c r="Y1302" s="43" t="s">
        <v>6773</v>
      </c>
      <c r="Z1302" s="43" t="s">
        <v>6788</v>
      </c>
      <c r="AA1302" s="43" t="s">
        <v>347</v>
      </c>
      <c r="AB1302" s="131" t="s">
        <v>8116</v>
      </c>
      <c r="AC1302" s="146" t="s">
        <v>9282</v>
      </c>
      <c r="AD1302" s="30"/>
      <c r="AE1302" s="197"/>
      <c r="AF1302" s="47"/>
    </row>
    <row r="1303" spans="1:42" s="29" customFormat="1" ht="69.95" hidden="1" customHeight="1">
      <c r="A1303" s="49" t="s">
        <v>6336</v>
      </c>
      <c r="B1303" s="49" t="s">
        <v>3769</v>
      </c>
      <c r="C1303" s="49">
        <v>23</v>
      </c>
      <c r="D1303" s="49"/>
      <c r="E1303" s="74" t="s">
        <v>8356</v>
      </c>
      <c r="F1303" s="74" t="s">
        <v>8356</v>
      </c>
      <c r="J1303" s="29">
        <f t="shared" si="90"/>
        <v>1</v>
      </c>
      <c r="K1303" s="42">
        <v>1289</v>
      </c>
      <c r="L1303" s="43" t="s">
        <v>2766</v>
      </c>
      <c r="M1303" s="43" t="s">
        <v>405</v>
      </c>
      <c r="N1303" s="43" t="s">
        <v>56</v>
      </c>
      <c r="O1303" s="44" t="str">
        <f t="shared" si="89"/>
        <v>PE-L1-1C185-03</v>
      </c>
      <c r="P1303" s="51">
        <v>120</v>
      </c>
      <c r="Q1303" s="43">
        <v>220</v>
      </c>
      <c r="R1303" s="43" t="s">
        <v>509</v>
      </c>
      <c r="S1303" s="43">
        <v>40</v>
      </c>
      <c r="T1303" s="43" t="s">
        <v>6734</v>
      </c>
      <c r="U1303" s="43" t="s">
        <v>6336</v>
      </c>
      <c r="V1303" s="43" t="s">
        <v>6337</v>
      </c>
      <c r="W1303" s="43" t="s">
        <v>347</v>
      </c>
      <c r="X1303" s="131" t="s">
        <v>8117</v>
      </c>
      <c r="Y1303" s="43" t="s">
        <v>6773</v>
      </c>
      <c r="Z1303" s="43" t="s">
        <v>6788</v>
      </c>
      <c r="AA1303" s="43" t="s">
        <v>347</v>
      </c>
      <c r="AB1303" s="131" t="s">
        <v>8117</v>
      </c>
      <c r="AC1303" s="76" t="s">
        <v>9282</v>
      </c>
      <c r="AD1303" s="30"/>
      <c r="AE1303" s="197"/>
      <c r="AF1303" s="47"/>
    </row>
    <row r="1304" spans="1:42" s="29" customFormat="1" ht="69.95" hidden="1" customHeight="1">
      <c r="A1304" s="49" t="s">
        <v>6336</v>
      </c>
      <c r="B1304" s="49" t="s">
        <v>3769</v>
      </c>
      <c r="C1304" s="49">
        <v>24</v>
      </c>
      <c r="D1304" s="49"/>
      <c r="E1304" s="74" t="s">
        <v>8356</v>
      </c>
      <c r="F1304" s="74" t="s">
        <v>8356</v>
      </c>
      <c r="J1304" s="29">
        <f t="shared" si="90"/>
        <v>1</v>
      </c>
      <c r="K1304" s="42">
        <v>1290</v>
      </c>
      <c r="L1304" s="43" t="s">
        <v>2767</v>
      </c>
      <c r="M1304" s="43" t="s">
        <v>405</v>
      </c>
      <c r="N1304" s="43" t="s">
        <v>56</v>
      </c>
      <c r="O1304" s="44" t="str">
        <f t="shared" si="89"/>
        <v>PE-L1-1C185-03</v>
      </c>
      <c r="P1304" s="51">
        <v>120</v>
      </c>
      <c r="Q1304" s="43">
        <v>220</v>
      </c>
      <c r="R1304" s="43" t="s">
        <v>509</v>
      </c>
      <c r="S1304" s="43">
        <v>40</v>
      </c>
      <c r="T1304" s="43" t="s">
        <v>6734</v>
      </c>
      <c r="U1304" s="43" t="s">
        <v>6336</v>
      </c>
      <c r="V1304" s="43" t="s">
        <v>6337</v>
      </c>
      <c r="W1304" s="43" t="s">
        <v>347</v>
      </c>
      <c r="X1304" s="131" t="s">
        <v>8117</v>
      </c>
      <c r="Y1304" s="43" t="s">
        <v>6773</v>
      </c>
      <c r="Z1304" s="43" t="s">
        <v>6788</v>
      </c>
      <c r="AA1304" s="43" t="s">
        <v>347</v>
      </c>
      <c r="AB1304" s="131" t="s">
        <v>8117</v>
      </c>
      <c r="AC1304" s="146" t="s">
        <v>9282</v>
      </c>
      <c r="AD1304" s="30"/>
      <c r="AE1304" s="197"/>
      <c r="AF1304" s="47"/>
    </row>
    <row r="1305" spans="1:42" s="32" customFormat="1" ht="69.95" hidden="1" customHeight="1">
      <c r="A1305" s="29" t="s">
        <v>6341</v>
      </c>
      <c r="B1305" s="29" t="s">
        <v>3769</v>
      </c>
      <c r="C1305" s="40">
        <v>21</v>
      </c>
      <c r="D1305" s="40"/>
      <c r="E1305" s="74" t="s">
        <v>8356</v>
      </c>
      <c r="F1305" s="74" t="s">
        <v>8356</v>
      </c>
      <c r="G1305" s="29" t="s">
        <v>2768</v>
      </c>
      <c r="H1305" s="29"/>
      <c r="I1305" s="29"/>
      <c r="J1305" s="29">
        <f t="shared" si="90"/>
        <v>1</v>
      </c>
      <c r="K1305" s="42">
        <v>1291</v>
      </c>
      <c r="L1305" s="43" t="s">
        <v>2769</v>
      </c>
      <c r="M1305" s="44" t="s">
        <v>405</v>
      </c>
      <c r="N1305" s="44" t="s">
        <v>56</v>
      </c>
      <c r="O1305" s="44" t="str">
        <f t="shared" si="89"/>
        <v>PE-L1-1C185-03</v>
      </c>
      <c r="P1305" s="45">
        <v>120</v>
      </c>
      <c r="Q1305" s="44">
        <v>220</v>
      </c>
      <c r="R1305" s="44" t="s">
        <v>509</v>
      </c>
      <c r="S1305" s="44">
        <v>40</v>
      </c>
      <c r="T1305" s="46" t="s">
        <v>6734</v>
      </c>
      <c r="U1305" s="46" t="s">
        <v>6341</v>
      </c>
      <c r="V1305" s="46" t="s">
        <v>6342</v>
      </c>
      <c r="W1305" s="46" t="s">
        <v>347</v>
      </c>
      <c r="X1305" s="131" t="s">
        <v>8116</v>
      </c>
      <c r="Y1305" s="46" t="s">
        <v>6789</v>
      </c>
      <c r="Z1305" s="46" t="s">
        <v>6790</v>
      </c>
      <c r="AA1305" s="46" t="s">
        <v>347</v>
      </c>
      <c r="AB1305" s="131" t="s">
        <v>8116</v>
      </c>
      <c r="AC1305" s="48" t="s">
        <v>6791</v>
      </c>
      <c r="AD1305" s="30"/>
      <c r="AE1305" s="200"/>
      <c r="AF1305" s="100"/>
    </row>
    <row r="1306" spans="1:42" s="29" customFormat="1" ht="69.95" hidden="1" customHeight="1">
      <c r="A1306" s="49" t="s">
        <v>6341</v>
      </c>
      <c r="B1306" s="49" t="s">
        <v>3769</v>
      </c>
      <c r="C1306" s="49">
        <v>22</v>
      </c>
      <c r="D1306" s="49"/>
      <c r="E1306" s="74" t="s">
        <v>8356</v>
      </c>
      <c r="F1306" s="74" t="s">
        <v>8356</v>
      </c>
      <c r="J1306" s="29">
        <f t="shared" si="90"/>
        <v>1</v>
      </c>
      <c r="K1306" s="42">
        <v>1292</v>
      </c>
      <c r="L1306" s="43" t="s">
        <v>2770</v>
      </c>
      <c r="M1306" s="43" t="s">
        <v>405</v>
      </c>
      <c r="N1306" s="43" t="s">
        <v>56</v>
      </c>
      <c r="O1306" s="44" t="str">
        <f t="shared" si="89"/>
        <v>PE-L1-1C185-03</v>
      </c>
      <c r="P1306" s="51">
        <v>120</v>
      </c>
      <c r="Q1306" s="43">
        <v>220</v>
      </c>
      <c r="R1306" s="43" t="s">
        <v>509</v>
      </c>
      <c r="S1306" s="43">
        <v>40</v>
      </c>
      <c r="T1306" s="43" t="s">
        <v>6734</v>
      </c>
      <c r="U1306" s="43" t="s">
        <v>6341</v>
      </c>
      <c r="V1306" s="43" t="s">
        <v>6342</v>
      </c>
      <c r="W1306" s="43" t="s">
        <v>347</v>
      </c>
      <c r="X1306" s="131" t="s">
        <v>8116</v>
      </c>
      <c r="Y1306" s="43" t="s">
        <v>6789</v>
      </c>
      <c r="Z1306" s="43" t="s">
        <v>6790</v>
      </c>
      <c r="AA1306" s="43" t="s">
        <v>347</v>
      </c>
      <c r="AB1306" s="131" t="s">
        <v>8116</v>
      </c>
      <c r="AC1306" s="52" t="s">
        <v>6791</v>
      </c>
      <c r="AD1306" s="30"/>
      <c r="AE1306" s="197"/>
      <c r="AF1306" s="47"/>
    </row>
    <row r="1307" spans="1:42" s="29" customFormat="1" ht="69.95" hidden="1" customHeight="1">
      <c r="A1307" s="49" t="s">
        <v>6341</v>
      </c>
      <c r="B1307" s="49" t="s">
        <v>3769</v>
      </c>
      <c r="C1307" s="49">
        <v>23</v>
      </c>
      <c r="D1307" s="49"/>
      <c r="E1307" s="74" t="s">
        <v>8356</v>
      </c>
      <c r="F1307" s="74" t="s">
        <v>8356</v>
      </c>
      <c r="J1307" s="29">
        <f t="shared" si="90"/>
        <v>1</v>
      </c>
      <c r="K1307" s="42">
        <v>1293</v>
      </c>
      <c r="L1307" s="43" t="s">
        <v>2771</v>
      </c>
      <c r="M1307" s="43" t="s">
        <v>405</v>
      </c>
      <c r="N1307" s="43" t="s">
        <v>56</v>
      </c>
      <c r="O1307" s="44" t="str">
        <f t="shared" si="89"/>
        <v>PE-L1-1C185-03</v>
      </c>
      <c r="P1307" s="51">
        <v>120</v>
      </c>
      <c r="Q1307" s="43">
        <v>220</v>
      </c>
      <c r="R1307" s="43" t="s">
        <v>509</v>
      </c>
      <c r="S1307" s="43">
        <v>40</v>
      </c>
      <c r="T1307" s="43" t="s">
        <v>6734</v>
      </c>
      <c r="U1307" s="43" t="s">
        <v>6341</v>
      </c>
      <c r="V1307" s="43" t="s">
        <v>6342</v>
      </c>
      <c r="W1307" s="43" t="s">
        <v>347</v>
      </c>
      <c r="X1307" s="131" t="s">
        <v>8117</v>
      </c>
      <c r="Y1307" s="43" t="s">
        <v>6789</v>
      </c>
      <c r="Z1307" s="43" t="s">
        <v>6790</v>
      </c>
      <c r="AA1307" s="43" t="s">
        <v>347</v>
      </c>
      <c r="AB1307" s="131" t="s">
        <v>8117</v>
      </c>
      <c r="AC1307" s="48" t="s">
        <v>6791</v>
      </c>
      <c r="AD1307" s="30"/>
      <c r="AE1307" s="197"/>
      <c r="AF1307" s="47"/>
    </row>
    <row r="1308" spans="1:42" s="29" customFormat="1" ht="69.95" hidden="1" customHeight="1">
      <c r="A1308" s="49" t="s">
        <v>6341</v>
      </c>
      <c r="B1308" s="49" t="s">
        <v>3769</v>
      </c>
      <c r="C1308" s="49">
        <v>24</v>
      </c>
      <c r="D1308" s="49"/>
      <c r="E1308" s="74" t="s">
        <v>8356</v>
      </c>
      <c r="F1308" s="74" t="s">
        <v>8356</v>
      </c>
      <c r="J1308" s="29">
        <f t="shared" si="90"/>
        <v>1</v>
      </c>
      <c r="K1308" s="42">
        <v>1294</v>
      </c>
      <c r="L1308" s="43" t="s">
        <v>2772</v>
      </c>
      <c r="M1308" s="43" t="s">
        <v>405</v>
      </c>
      <c r="N1308" s="43" t="s">
        <v>56</v>
      </c>
      <c r="O1308" s="44" t="str">
        <f t="shared" si="89"/>
        <v>PE-L1-1C185-03</v>
      </c>
      <c r="P1308" s="51">
        <v>120</v>
      </c>
      <c r="Q1308" s="43">
        <v>220</v>
      </c>
      <c r="R1308" s="43" t="s">
        <v>509</v>
      </c>
      <c r="S1308" s="43">
        <v>40</v>
      </c>
      <c r="T1308" s="43" t="s">
        <v>6734</v>
      </c>
      <c r="U1308" s="43" t="s">
        <v>6341</v>
      </c>
      <c r="V1308" s="43" t="s">
        <v>6342</v>
      </c>
      <c r="W1308" s="43" t="s">
        <v>347</v>
      </c>
      <c r="X1308" s="131" t="s">
        <v>8117</v>
      </c>
      <c r="Y1308" s="43" t="s">
        <v>6789</v>
      </c>
      <c r="Z1308" s="43" t="s">
        <v>6790</v>
      </c>
      <c r="AA1308" s="43" t="s">
        <v>347</v>
      </c>
      <c r="AB1308" s="131" t="s">
        <v>8117</v>
      </c>
      <c r="AC1308" s="52" t="s">
        <v>6791</v>
      </c>
      <c r="AD1308" s="30"/>
      <c r="AE1308" s="197"/>
      <c r="AF1308" s="47"/>
    </row>
    <row r="1309" spans="1:42" s="32" customFormat="1" ht="69.95" hidden="1" customHeight="1">
      <c r="A1309" s="29" t="s">
        <v>4289</v>
      </c>
      <c r="B1309" s="29" t="s">
        <v>3769</v>
      </c>
      <c r="C1309" s="40" t="s">
        <v>42</v>
      </c>
      <c r="D1309" s="173" t="s">
        <v>9461</v>
      </c>
      <c r="E1309" s="80" t="s">
        <v>94</v>
      </c>
      <c r="F1309" s="121" t="s">
        <v>9278</v>
      </c>
      <c r="G1309" s="29" t="s">
        <v>2773</v>
      </c>
      <c r="H1309" s="29"/>
      <c r="I1309" s="29"/>
      <c r="J1309" s="29">
        <f t="shared" si="90"/>
        <v>1</v>
      </c>
      <c r="K1309" s="42">
        <v>1295</v>
      </c>
      <c r="L1309" s="43" t="s">
        <v>2774</v>
      </c>
      <c r="M1309" s="44" t="s">
        <v>405</v>
      </c>
      <c r="N1309" s="44" t="s">
        <v>516</v>
      </c>
      <c r="O1309" s="126" t="str">
        <f>F1309</f>
        <v>PE-L1-5C120/70-03</v>
      </c>
      <c r="P1309" s="45">
        <v>120</v>
      </c>
      <c r="Q1309" s="44">
        <v>400</v>
      </c>
      <c r="R1309" s="44" t="s">
        <v>412</v>
      </c>
      <c r="S1309" s="44">
        <v>70</v>
      </c>
      <c r="T1309" s="46" t="s">
        <v>6734</v>
      </c>
      <c r="U1309" s="46" t="s">
        <v>4289</v>
      </c>
      <c r="V1309" s="46" t="s">
        <v>4290</v>
      </c>
      <c r="W1309" s="46" t="s">
        <v>347</v>
      </c>
      <c r="X1309" s="47" t="s">
        <v>9310</v>
      </c>
      <c r="Y1309" s="46" t="s">
        <v>6792</v>
      </c>
      <c r="Z1309" s="46" t="s">
        <v>6793</v>
      </c>
      <c r="AA1309" s="46" t="s">
        <v>347</v>
      </c>
      <c r="AB1309" s="47" t="s">
        <v>9310</v>
      </c>
      <c r="AC1309" s="48" t="s">
        <v>6794</v>
      </c>
      <c r="AD1309" s="30"/>
      <c r="AE1309" s="200"/>
      <c r="AF1309" s="100"/>
    </row>
    <row r="1310" spans="1:42" s="32" customFormat="1" ht="69.95" hidden="1" customHeight="1">
      <c r="A1310" s="29" t="s">
        <v>4295</v>
      </c>
      <c r="B1310" s="29" t="s">
        <v>3769</v>
      </c>
      <c r="C1310" s="40" t="s">
        <v>41</v>
      </c>
      <c r="D1310" s="173" t="s">
        <v>9461</v>
      </c>
      <c r="E1310" s="73" t="s">
        <v>8651</v>
      </c>
      <c r="F1310" s="121" t="s">
        <v>8650</v>
      </c>
      <c r="G1310" s="29" t="s">
        <v>2775</v>
      </c>
      <c r="H1310" s="29"/>
      <c r="I1310" s="29"/>
      <c r="J1310" s="29">
        <f t="shared" si="90"/>
        <v>1</v>
      </c>
      <c r="K1310" s="42">
        <v>1296</v>
      </c>
      <c r="L1310" s="43" t="s">
        <v>2776</v>
      </c>
      <c r="M1310" s="44" t="s">
        <v>405</v>
      </c>
      <c r="N1310" s="44" t="s">
        <v>516</v>
      </c>
      <c r="O1310" s="126" t="str">
        <f t="shared" ref="O1310:O1313" si="91">F1310</f>
        <v>PE-L1-5C120/70-01</v>
      </c>
      <c r="P1310" s="45">
        <v>120</v>
      </c>
      <c r="Q1310" s="44">
        <v>400</v>
      </c>
      <c r="R1310" s="44" t="s">
        <v>412</v>
      </c>
      <c r="S1310" s="44">
        <v>70</v>
      </c>
      <c r="T1310" s="46" t="s">
        <v>6734</v>
      </c>
      <c r="U1310" s="46" t="s">
        <v>4295</v>
      </c>
      <c r="V1310" s="46" t="s">
        <v>4296</v>
      </c>
      <c r="W1310" s="46" t="s">
        <v>347</v>
      </c>
      <c r="X1310" s="47" t="s">
        <v>9310</v>
      </c>
      <c r="Y1310" s="46" t="s">
        <v>6795</v>
      </c>
      <c r="Z1310" s="46" t="s">
        <v>6796</v>
      </c>
      <c r="AA1310" s="46" t="s">
        <v>347</v>
      </c>
      <c r="AB1310" s="47" t="s">
        <v>9310</v>
      </c>
      <c r="AC1310" s="48" t="s">
        <v>6797</v>
      </c>
      <c r="AD1310" s="30"/>
      <c r="AE1310" s="200"/>
      <c r="AF1310" s="100"/>
    </row>
    <row r="1311" spans="1:42" s="32" customFormat="1" ht="69.95" hidden="1" customHeight="1">
      <c r="A1311" s="29" t="s">
        <v>5147</v>
      </c>
      <c r="B1311" s="29" t="s">
        <v>3769</v>
      </c>
      <c r="C1311" s="40" t="s">
        <v>42</v>
      </c>
      <c r="D1311" s="40"/>
      <c r="E1311" s="57" t="s">
        <v>8327</v>
      </c>
      <c r="F1311" s="57" t="s">
        <v>8327</v>
      </c>
      <c r="G1311" s="29" t="s">
        <v>2777</v>
      </c>
      <c r="H1311" s="29"/>
      <c r="I1311" s="29"/>
      <c r="J1311" s="29">
        <f t="shared" si="90"/>
        <v>1</v>
      </c>
      <c r="K1311" s="42">
        <v>1297</v>
      </c>
      <c r="L1311" s="43" t="s">
        <v>2778</v>
      </c>
      <c r="M1311" s="44" t="s">
        <v>405</v>
      </c>
      <c r="N1311" s="44" t="s">
        <v>426</v>
      </c>
      <c r="O1311" s="44" t="str">
        <f t="shared" si="91"/>
        <v>PE-L1-3C4-25</v>
      </c>
      <c r="P1311" s="45">
        <v>0.15</v>
      </c>
      <c r="Q1311" s="44">
        <v>230</v>
      </c>
      <c r="R1311" s="44" t="s">
        <v>49</v>
      </c>
      <c r="S1311" s="44">
        <v>70</v>
      </c>
      <c r="T1311" s="46" t="s">
        <v>6734</v>
      </c>
      <c r="U1311" s="46" t="s">
        <v>5147</v>
      </c>
      <c r="V1311" s="46" t="s">
        <v>5148</v>
      </c>
      <c r="W1311" s="46" t="s">
        <v>347</v>
      </c>
      <c r="X1311" s="172" t="s">
        <v>9167</v>
      </c>
      <c r="Y1311" s="46" t="s">
        <v>6798</v>
      </c>
      <c r="Z1311" s="46" t="s">
        <v>6799</v>
      </c>
      <c r="AA1311" s="46" t="s">
        <v>347</v>
      </c>
      <c r="AB1311" s="172" t="s">
        <v>9167</v>
      </c>
      <c r="AC1311" s="48" t="s">
        <v>6800</v>
      </c>
      <c r="AD1311" s="30"/>
      <c r="AE1311" s="200"/>
      <c r="AF1311" s="100"/>
    </row>
    <row r="1312" spans="1:42" s="32" customFormat="1" ht="120" hidden="1" customHeight="1">
      <c r="A1312" s="29" t="s">
        <v>4030</v>
      </c>
      <c r="B1312" s="29" t="s">
        <v>3769</v>
      </c>
      <c r="C1312" s="40" t="s">
        <v>207</v>
      </c>
      <c r="D1312" s="40"/>
      <c r="E1312" s="57" t="s">
        <v>8365</v>
      </c>
      <c r="F1312" s="57" t="s">
        <v>8365</v>
      </c>
      <c r="G1312" s="29" t="s">
        <v>2779</v>
      </c>
      <c r="H1312" s="29"/>
      <c r="I1312" s="29"/>
      <c r="J1312" s="29">
        <f t="shared" si="90"/>
        <v>1</v>
      </c>
      <c r="K1312" s="42">
        <v>1298</v>
      </c>
      <c r="L1312" s="43" t="s">
        <v>2780</v>
      </c>
      <c r="M1312" s="44" t="s">
        <v>405</v>
      </c>
      <c r="N1312" s="44" t="s">
        <v>8364</v>
      </c>
      <c r="O1312" s="44" t="str">
        <f t="shared" si="91"/>
        <v>PE-L1-5C120/70-06</v>
      </c>
      <c r="P1312" s="45">
        <v>24</v>
      </c>
      <c r="Q1312" s="44">
        <v>400</v>
      </c>
      <c r="R1312" s="44" t="s">
        <v>428</v>
      </c>
      <c r="S1312" s="44">
        <v>850</v>
      </c>
      <c r="T1312" s="46" t="s">
        <v>6734</v>
      </c>
      <c r="U1312" s="46" t="s">
        <v>4030</v>
      </c>
      <c r="V1312" s="46" t="s">
        <v>4031</v>
      </c>
      <c r="W1312" s="46" t="s">
        <v>347</v>
      </c>
      <c r="X1312" s="47" t="s">
        <v>9310</v>
      </c>
      <c r="Y1312" s="46" t="s">
        <v>4025</v>
      </c>
      <c r="Z1312" s="46" t="s">
        <v>4026</v>
      </c>
      <c r="AA1312" s="46" t="s">
        <v>3957</v>
      </c>
      <c r="AB1312" s="47" t="s">
        <v>9310</v>
      </c>
      <c r="AC1312" s="48" t="s">
        <v>6801</v>
      </c>
      <c r="AD1312" s="165"/>
      <c r="AE1312" s="200"/>
      <c r="AF1312" s="100"/>
    </row>
    <row r="1313" spans="1:32" s="32" customFormat="1" ht="120" hidden="1" customHeight="1">
      <c r="A1313" s="29" t="s">
        <v>4063</v>
      </c>
      <c r="B1313" s="29" t="s">
        <v>3769</v>
      </c>
      <c r="C1313" s="40" t="s">
        <v>208</v>
      </c>
      <c r="D1313" s="40"/>
      <c r="E1313" s="57" t="s">
        <v>8366</v>
      </c>
      <c r="F1313" s="57" t="s">
        <v>8366</v>
      </c>
      <c r="G1313" s="29" t="s">
        <v>2781</v>
      </c>
      <c r="H1313" s="128" t="s">
        <v>9010</v>
      </c>
      <c r="I1313" s="29"/>
      <c r="J1313" s="29">
        <f t="shared" si="90"/>
        <v>1</v>
      </c>
      <c r="K1313" s="42">
        <v>1299</v>
      </c>
      <c r="L1313" s="128" t="s">
        <v>9011</v>
      </c>
      <c r="M1313" s="44" t="s">
        <v>405</v>
      </c>
      <c r="N1313" s="44" t="s">
        <v>8364</v>
      </c>
      <c r="O1313" s="44" t="str">
        <f t="shared" si="91"/>
        <v>PE-L1-5C120/70-07</v>
      </c>
      <c r="P1313" s="45">
        <v>24</v>
      </c>
      <c r="Q1313" s="44">
        <v>400</v>
      </c>
      <c r="R1313" s="44" t="s">
        <v>428</v>
      </c>
      <c r="S1313" s="44">
        <v>850</v>
      </c>
      <c r="T1313" s="46" t="s">
        <v>6734</v>
      </c>
      <c r="U1313" s="46" t="s">
        <v>4063</v>
      </c>
      <c r="V1313" s="46" t="s">
        <v>4064</v>
      </c>
      <c r="W1313" s="46" t="s">
        <v>347</v>
      </c>
      <c r="X1313" s="47" t="s">
        <v>9310</v>
      </c>
      <c r="Y1313" s="46" t="s">
        <v>9009</v>
      </c>
      <c r="Z1313" s="46" t="s">
        <v>9008</v>
      </c>
      <c r="AA1313" s="46" t="s">
        <v>3957</v>
      </c>
      <c r="AB1313" s="47" t="s">
        <v>9310</v>
      </c>
      <c r="AC1313" s="48" t="s">
        <v>6802</v>
      </c>
      <c r="AD1313" s="165"/>
      <c r="AE1313" s="200"/>
      <c r="AF1313" s="100"/>
    </row>
    <row r="1314" spans="1:32" s="32" customFormat="1" ht="69.95" hidden="1" customHeight="1">
      <c r="A1314" s="29" t="s">
        <v>6202</v>
      </c>
      <c r="B1314" s="29" t="s">
        <v>3769</v>
      </c>
      <c r="C1314" s="40" t="s">
        <v>43</v>
      </c>
      <c r="D1314" s="173" t="s">
        <v>9131</v>
      </c>
      <c r="E1314" s="57" t="s">
        <v>143</v>
      </c>
      <c r="F1314" s="121" t="s">
        <v>163</v>
      </c>
      <c r="G1314" s="29" t="s">
        <v>2782</v>
      </c>
      <c r="H1314" s="29"/>
      <c r="I1314" s="124" t="s">
        <v>9121</v>
      </c>
      <c r="J1314" s="29">
        <f t="shared" si="90"/>
        <v>1</v>
      </c>
      <c r="K1314" s="42">
        <v>1300</v>
      </c>
      <c r="L1314" s="43" t="s">
        <v>2783</v>
      </c>
      <c r="M1314" s="44" t="s">
        <v>405</v>
      </c>
      <c r="N1314" s="44" t="s">
        <v>426</v>
      </c>
      <c r="O1314" s="121" t="str">
        <f>F1314</f>
        <v>PE-L1-3C4-09</v>
      </c>
      <c r="P1314" s="45">
        <v>0.9</v>
      </c>
      <c r="Q1314" s="44">
        <v>230</v>
      </c>
      <c r="R1314" s="44" t="s">
        <v>49</v>
      </c>
      <c r="S1314" s="44">
        <v>40</v>
      </c>
      <c r="T1314" s="46" t="s">
        <v>6734</v>
      </c>
      <c r="U1314" s="46" t="s">
        <v>6202</v>
      </c>
      <c r="V1314" s="46" t="s">
        <v>6203</v>
      </c>
      <c r="W1314" s="46" t="s">
        <v>335</v>
      </c>
      <c r="X1314" s="172" t="s">
        <v>9167</v>
      </c>
      <c r="Y1314" s="46" t="s">
        <v>6803</v>
      </c>
      <c r="Z1314" s="46" t="s">
        <v>6804</v>
      </c>
      <c r="AA1314" s="46" t="s">
        <v>335</v>
      </c>
      <c r="AB1314" s="172" t="s">
        <v>9167</v>
      </c>
      <c r="AC1314" s="48" t="s">
        <v>6805</v>
      </c>
      <c r="AD1314" s="30"/>
      <c r="AE1314" s="200"/>
      <c r="AF1314" s="100"/>
    </row>
    <row r="1315" spans="1:32" s="32" customFormat="1" ht="69.95" hidden="1" customHeight="1">
      <c r="A1315" s="29" t="s">
        <v>6202</v>
      </c>
      <c r="B1315" s="29" t="s">
        <v>3769</v>
      </c>
      <c r="C1315" s="40" t="s">
        <v>73</v>
      </c>
      <c r="D1315" s="173" t="s">
        <v>9131</v>
      </c>
      <c r="E1315" s="57" t="s">
        <v>85</v>
      </c>
      <c r="F1315" s="121" t="s">
        <v>118</v>
      </c>
      <c r="G1315" s="29" t="s">
        <v>2784</v>
      </c>
      <c r="H1315" s="29"/>
      <c r="I1315" s="124" t="s">
        <v>9121</v>
      </c>
      <c r="J1315" s="29">
        <f t="shared" si="90"/>
        <v>1</v>
      </c>
      <c r="K1315" s="42">
        <v>1301</v>
      </c>
      <c r="L1315" s="43" t="s">
        <v>2785</v>
      </c>
      <c r="M1315" s="44" t="s">
        <v>405</v>
      </c>
      <c r="N1315" s="44" t="s">
        <v>426</v>
      </c>
      <c r="O1315" s="121" t="str">
        <f>F1315</f>
        <v>PE-L1-3C4-04</v>
      </c>
      <c r="P1315" s="45">
        <v>1.5</v>
      </c>
      <c r="Q1315" s="44">
        <v>230</v>
      </c>
      <c r="R1315" s="44" t="s">
        <v>49</v>
      </c>
      <c r="S1315" s="44">
        <v>50</v>
      </c>
      <c r="T1315" s="46" t="s">
        <v>6734</v>
      </c>
      <c r="U1315" s="46" t="s">
        <v>6202</v>
      </c>
      <c r="V1315" s="46" t="s">
        <v>6203</v>
      </c>
      <c r="W1315" s="46" t="s">
        <v>335</v>
      </c>
      <c r="X1315" s="172" t="s">
        <v>9167</v>
      </c>
      <c r="Y1315" s="46" t="s">
        <v>6806</v>
      </c>
      <c r="Z1315" s="46" t="s">
        <v>6807</v>
      </c>
      <c r="AA1315" s="46" t="s">
        <v>335</v>
      </c>
      <c r="AB1315" s="172" t="s">
        <v>9167</v>
      </c>
      <c r="AC1315" s="48" t="s">
        <v>6808</v>
      </c>
      <c r="AD1315" s="30"/>
      <c r="AE1315" s="200"/>
      <c r="AF1315" s="100"/>
    </row>
    <row r="1316" spans="1:32" s="32" customFormat="1" ht="69.95" hidden="1" customHeight="1">
      <c r="A1316" s="29" t="s">
        <v>5407</v>
      </c>
      <c r="B1316" s="29" t="s">
        <v>3769</v>
      </c>
      <c r="C1316" s="40" t="s">
        <v>73</v>
      </c>
      <c r="D1316" s="40"/>
      <c r="E1316" s="57" t="s">
        <v>8615</v>
      </c>
      <c r="F1316" s="57" t="s">
        <v>8615</v>
      </c>
      <c r="G1316" s="29" t="s">
        <v>2786</v>
      </c>
      <c r="H1316" s="29"/>
      <c r="I1316" s="29"/>
      <c r="J1316" s="29">
        <f t="shared" si="90"/>
        <v>1</v>
      </c>
      <c r="K1316" s="42">
        <v>1302</v>
      </c>
      <c r="L1316" s="43" t="s">
        <v>2787</v>
      </c>
      <c r="M1316" s="44" t="s">
        <v>405</v>
      </c>
      <c r="N1316" s="44" t="s">
        <v>8612</v>
      </c>
      <c r="O1316" s="44" t="str">
        <f t="shared" ref="O1316:O1318" si="92">F1316</f>
        <v>PE-L1-5C70/35-04</v>
      </c>
      <c r="P1316" s="45">
        <v>13</v>
      </c>
      <c r="Q1316" s="44">
        <v>400</v>
      </c>
      <c r="R1316" s="44" t="s">
        <v>428</v>
      </c>
      <c r="S1316" s="44">
        <v>490</v>
      </c>
      <c r="T1316" s="46" t="s">
        <v>6734</v>
      </c>
      <c r="U1316" s="46" t="s">
        <v>5407</v>
      </c>
      <c r="V1316" s="46" t="s">
        <v>5408</v>
      </c>
      <c r="W1316" s="46" t="s">
        <v>335</v>
      </c>
      <c r="X1316" s="47" t="s">
        <v>9310</v>
      </c>
      <c r="Y1316" s="46" t="s">
        <v>6185</v>
      </c>
      <c r="Z1316" s="46" t="s">
        <v>6186</v>
      </c>
      <c r="AA1316" s="46" t="s">
        <v>4549</v>
      </c>
      <c r="AB1316" s="47" t="s">
        <v>9310</v>
      </c>
      <c r="AC1316" s="48" t="s">
        <v>6809</v>
      </c>
      <c r="AD1316" s="30"/>
      <c r="AE1316" s="200"/>
      <c r="AF1316" s="100"/>
    </row>
    <row r="1317" spans="1:32" s="32" customFormat="1" ht="69.95" hidden="1" customHeight="1">
      <c r="A1317" s="29" t="s">
        <v>5411</v>
      </c>
      <c r="B1317" s="29" t="s">
        <v>3769</v>
      </c>
      <c r="C1317" s="40" t="s">
        <v>75</v>
      </c>
      <c r="D1317" s="40"/>
      <c r="E1317" s="57" t="s">
        <v>8614</v>
      </c>
      <c r="F1317" s="57" t="s">
        <v>8614</v>
      </c>
      <c r="G1317" s="29" t="s">
        <v>2788</v>
      </c>
      <c r="H1317" s="29"/>
      <c r="I1317" s="29"/>
      <c r="J1317" s="29">
        <f t="shared" si="90"/>
        <v>1</v>
      </c>
      <c r="K1317" s="42">
        <v>1303</v>
      </c>
      <c r="L1317" s="43" t="s">
        <v>2789</v>
      </c>
      <c r="M1317" s="44" t="s">
        <v>405</v>
      </c>
      <c r="N1317" s="44" t="s">
        <v>8612</v>
      </c>
      <c r="O1317" s="44" t="str">
        <f t="shared" si="92"/>
        <v>PE-L1-5C70/35-03</v>
      </c>
      <c r="P1317" s="45">
        <v>13</v>
      </c>
      <c r="Q1317" s="44">
        <v>400</v>
      </c>
      <c r="R1317" s="44" t="s">
        <v>428</v>
      </c>
      <c r="S1317" s="44">
        <v>480</v>
      </c>
      <c r="T1317" s="46" t="s">
        <v>6734</v>
      </c>
      <c r="U1317" s="46" t="s">
        <v>5411</v>
      </c>
      <c r="V1317" s="46" t="s">
        <v>5412</v>
      </c>
      <c r="W1317" s="46" t="s">
        <v>335</v>
      </c>
      <c r="X1317" s="47" t="s">
        <v>9310</v>
      </c>
      <c r="Y1317" s="46" t="s">
        <v>6180</v>
      </c>
      <c r="Z1317" s="46" t="s">
        <v>6181</v>
      </c>
      <c r="AA1317" s="46" t="s">
        <v>4549</v>
      </c>
      <c r="AB1317" s="47" t="s">
        <v>9310</v>
      </c>
      <c r="AC1317" s="48" t="s">
        <v>6810</v>
      </c>
      <c r="AD1317" s="30"/>
      <c r="AE1317" s="200"/>
      <c r="AF1317" s="100"/>
    </row>
    <row r="1318" spans="1:32" s="32" customFormat="1" ht="69.95" hidden="1" customHeight="1">
      <c r="A1318" s="29" t="s">
        <v>4719</v>
      </c>
      <c r="B1318" s="29" t="s">
        <v>3769</v>
      </c>
      <c r="C1318" s="40">
        <v>17</v>
      </c>
      <c r="D1318" s="40"/>
      <c r="E1318" s="57" t="s">
        <v>118</v>
      </c>
      <c r="F1318" s="57" t="s">
        <v>118</v>
      </c>
      <c r="G1318" s="29" t="s">
        <v>2790</v>
      </c>
      <c r="H1318" s="29"/>
      <c r="I1318" s="29"/>
      <c r="J1318" s="29">
        <f t="shared" si="90"/>
        <v>1</v>
      </c>
      <c r="K1318" s="42">
        <v>1304</v>
      </c>
      <c r="L1318" s="43" t="s">
        <v>2791</v>
      </c>
      <c r="M1318" s="44" t="s">
        <v>405</v>
      </c>
      <c r="N1318" s="44" t="s">
        <v>426</v>
      </c>
      <c r="O1318" s="44" t="str">
        <f t="shared" si="92"/>
        <v>PE-L1-3C4-04</v>
      </c>
      <c r="P1318" s="45">
        <v>0.3</v>
      </c>
      <c r="Q1318" s="44">
        <v>230</v>
      </c>
      <c r="R1318" s="44" t="s">
        <v>49</v>
      </c>
      <c r="S1318" s="44">
        <v>60</v>
      </c>
      <c r="T1318" s="46" t="s">
        <v>6734</v>
      </c>
      <c r="U1318" s="46" t="s">
        <v>4719</v>
      </c>
      <c r="V1318" s="46" t="s">
        <v>4720</v>
      </c>
      <c r="W1318" s="46" t="s">
        <v>4549</v>
      </c>
      <c r="X1318" s="172" t="s">
        <v>9167</v>
      </c>
      <c r="Y1318" s="46" t="s">
        <v>6185</v>
      </c>
      <c r="Z1318" s="46" t="s">
        <v>6186</v>
      </c>
      <c r="AA1318" s="46" t="s">
        <v>4549</v>
      </c>
      <c r="AB1318" s="172" t="s">
        <v>9167</v>
      </c>
      <c r="AC1318" s="48" t="s">
        <v>6811</v>
      </c>
      <c r="AD1318" s="30"/>
      <c r="AE1318" s="200"/>
      <c r="AF1318" s="100"/>
    </row>
    <row r="1319" spans="1:32" s="32" customFormat="1" ht="69.95" hidden="1" customHeight="1">
      <c r="A1319" s="29" t="s">
        <v>6701</v>
      </c>
      <c r="B1319" s="29" t="s">
        <v>3769</v>
      </c>
      <c r="C1319" s="40" t="s">
        <v>32</v>
      </c>
      <c r="D1319" s="40"/>
      <c r="E1319" s="74" t="s">
        <v>236</v>
      </c>
      <c r="F1319" s="74" t="s">
        <v>236</v>
      </c>
      <c r="G1319" s="29" t="s">
        <v>2792</v>
      </c>
      <c r="H1319" s="29"/>
      <c r="I1319" s="124" t="s">
        <v>9121</v>
      </c>
      <c r="J1319" s="29">
        <f t="shared" si="90"/>
        <v>1</v>
      </c>
      <c r="K1319" s="42">
        <v>1305</v>
      </c>
      <c r="L1319" s="152" t="s">
        <v>2793</v>
      </c>
      <c r="M1319" s="44" t="s">
        <v>405</v>
      </c>
      <c r="N1319" s="44" t="s">
        <v>56</v>
      </c>
      <c r="O1319" s="101" t="str">
        <f t="shared" ref="O1319:O1331" si="93">F1319</f>
        <v>PE-L1-1C185-03</v>
      </c>
      <c r="P1319" s="45">
        <v>370</v>
      </c>
      <c r="Q1319" s="44">
        <v>400</v>
      </c>
      <c r="R1319" s="44" t="s">
        <v>412</v>
      </c>
      <c r="S1319" s="101">
        <v>60</v>
      </c>
      <c r="T1319" s="46" t="s">
        <v>6734</v>
      </c>
      <c r="U1319" s="46" t="s">
        <v>6701</v>
      </c>
      <c r="V1319" s="46" t="s">
        <v>6812</v>
      </c>
      <c r="W1319" s="46" t="s">
        <v>335</v>
      </c>
      <c r="X1319" s="47" t="s">
        <v>44</v>
      </c>
      <c r="Y1319" s="46" t="s">
        <v>6803</v>
      </c>
      <c r="Z1319" s="46" t="s">
        <v>6813</v>
      </c>
      <c r="AA1319" s="46" t="s">
        <v>335</v>
      </c>
      <c r="AB1319" s="47" t="s">
        <v>44</v>
      </c>
      <c r="AC1319" s="48" t="s">
        <v>6814</v>
      </c>
      <c r="AD1319" s="30"/>
      <c r="AE1319" s="200"/>
      <c r="AF1319" s="100"/>
    </row>
    <row r="1320" spans="1:32" s="29" customFormat="1" ht="69.95" hidden="1" customHeight="1">
      <c r="A1320" s="49" t="s">
        <v>6701</v>
      </c>
      <c r="B1320" s="49" t="s">
        <v>3769</v>
      </c>
      <c r="C1320" s="50" t="s">
        <v>36</v>
      </c>
      <c r="D1320" s="50"/>
      <c r="E1320" s="74" t="s">
        <v>236</v>
      </c>
      <c r="F1320" s="74" t="s">
        <v>236</v>
      </c>
      <c r="I1320" s="124" t="s">
        <v>9121</v>
      </c>
      <c r="J1320" s="29">
        <f t="shared" si="90"/>
        <v>1</v>
      </c>
      <c r="K1320" s="42">
        <v>1306</v>
      </c>
      <c r="L1320" s="152" t="s">
        <v>2794</v>
      </c>
      <c r="M1320" s="43" t="s">
        <v>405</v>
      </c>
      <c r="N1320" s="43" t="s">
        <v>56</v>
      </c>
      <c r="O1320" s="101" t="str">
        <f t="shared" si="93"/>
        <v>PE-L1-1C185-03</v>
      </c>
      <c r="P1320" s="51">
        <v>370</v>
      </c>
      <c r="Q1320" s="43">
        <v>400</v>
      </c>
      <c r="R1320" s="43" t="s">
        <v>412</v>
      </c>
      <c r="S1320" s="152">
        <v>60</v>
      </c>
      <c r="T1320" s="43" t="s">
        <v>6734</v>
      </c>
      <c r="U1320" s="43" t="s">
        <v>6701</v>
      </c>
      <c r="V1320" s="43" t="s">
        <v>6812</v>
      </c>
      <c r="W1320" s="43" t="s">
        <v>335</v>
      </c>
      <c r="X1320" s="47" t="s">
        <v>45</v>
      </c>
      <c r="Y1320" s="43" t="s">
        <v>6803</v>
      </c>
      <c r="Z1320" s="43" t="s">
        <v>6813</v>
      </c>
      <c r="AA1320" s="43" t="s">
        <v>335</v>
      </c>
      <c r="AB1320" s="47" t="s">
        <v>45</v>
      </c>
      <c r="AC1320" s="52" t="s">
        <v>6814</v>
      </c>
      <c r="AD1320" s="30"/>
      <c r="AE1320" s="197"/>
      <c r="AF1320" s="47"/>
    </row>
    <row r="1321" spans="1:32" s="29" customFormat="1" ht="69.95" hidden="1" customHeight="1">
      <c r="A1321" s="49" t="s">
        <v>6701</v>
      </c>
      <c r="B1321" s="49" t="s">
        <v>3769</v>
      </c>
      <c r="C1321" s="50" t="s">
        <v>38</v>
      </c>
      <c r="D1321" s="50"/>
      <c r="E1321" s="74" t="s">
        <v>236</v>
      </c>
      <c r="F1321" s="74" t="s">
        <v>236</v>
      </c>
      <c r="I1321" s="124" t="s">
        <v>9121</v>
      </c>
      <c r="J1321" s="29">
        <f t="shared" si="90"/>
        <v>1</v>
      </c>
      <c r="K1321" s="42">
        <v>1307</v>
      </c>
      <c r="L1321" s="152" t="s">
        <v>2795</v>
      </c>
      <c r="M1321" s="43" t="s">
        <v>405</v>
      </c>
      <c r="N1321" s="43" t="s">
        <v>56</v>
      </c>
      <c r="O1321" s="101" t="str">
        <f t="shared" si="93"/>
        <v>PE-L1-1C185-03</v>
      </c>
      <c r="P1321" s="51">
        <v>370</v>
      </c>
      <c r="Q1321" s="43">
        <v>400</v>
      </c>
      <c r="R1321" s="43" t="s">
        <v>412</v>
      </c>
      <c r="S1321" s="152">
        <v>60</v>
      </c>
      <c r="T1321" s="43" t="s">
        <v>6734</v>
      </c>
      <c r="U1321" s="43" t="s">
        <v>6701</v>
      </c>
      <c r="V1321" s="43" t="s">
        <v>6812</v>
      </c>
      <c r="W1321" s="43" t="s">
        <v>335</v>
      </c>
      <c r="X1321" s="47" t="s">
        <v>46</v>
      </c>
      <c r="Y1321" s="43" t="s">
        <v>6803</v>
      </c>
      <c r="Z1321" s="43" t="s">
        <v>6813</v>
      </c>
      <c r="AA1321" s="43" t="s">
        <v>335</v>
      </c>
      <c r="AB1321" s="47" t="s">
        <v>46</v>
      </c>
      <c r="AC1321" s="52" t="s">
        <v>6814</v>
      </c>
      <c r="AD1321" s="30"/>
      <c r="AE1321" s="197"/>
      <c r="AF1321" s="47"/>
    </row>
    <row r="1322" spans="1:32" s="29" customFormat="1" ht="69.95" hidden="1" customHeight="1">
      <c r="A1322" s="49" t="s">
        <v>6701</v>
      </c>
      <c r="B1322" s="49" t="s">
        <v>3769</v>
      </c>
      <c r="C1322" s="50" t="s">
        <v>40</v>
      </c>
      <c r="D1322" s="50"/>
      <c r="E1322" s="74" t="s">
        <v>236</v>
      </c>
      <c r="F1322" s="74" t="s">
        <v>236</v>
      </c>
      <c r="I1322" s="124" t="s">
        <v>9121</v>
      </c>
      <c r="J1322" s="29">
        <f t="shared" si="90"/>
        <v>1</v>
      </c>
      <c r="K1322" s="42">
        <v>1308</v>
      </c>
      <c r="L1322" s="152" t="s">
        <v>2796</v>
      </c>
      <c r="M1322" s="43" t="s">
        <v>405</v>
      </c>
      <c r="N1322" s="43" t="s">
        <v>56</v>
      </c>
      <c r="O1322" s="101" t="str">
        <f t="shared" si="93"/>
        <v>PE-L1-1C185-03</v>
      </c>
      <c r="P1322" s="51">
        <v>370</v>
      </c>
      <c r="Q1322" s="43">
        <v>400</v>
      </c>
      <c r="R1322" s="43" t="s">
        <v>412</v>
      </c>
      <c r="S1322" s="152">
        <v>60</v>
      </c>
      <c r="T1322" s="43" t="s">
        <v>6734</v>
      </c>
      <c r="U1322" s="43" t="s">
        <v>6701</v>
      </c>
      <c r="V1322" s="43" t="s">
        <v>6812</v>
      </c>
      <c r="W1322" s="43" t="s">
        <v>335</v>
      </c>
      <c r="X1322" s="47" t="s">
        <v>44</v>
      </c>
      <c r="Y1322" s="43" t="s">
        <v>6803</v>
      </c>
      <c r="Z1322" s="43" t="s">
        <v>6813</v>
      </c>
      <c r="AA1322" s="43" t="s">
        <v>335</v>
      </c>
      <c r="AB1322" s="47" t="s">
        <v>44</v>
      </c>
      <c r="AC1322" s="48" t="s">
        <v>6814</v>
      </c>
      <c r="AD1322" s="30"/>
      <c r="AE1322" s="197"/>
      <c r="AF1322" s="47"/>
    </row>
    <row r="1323" spans="1:32" s="29" customFormat="1" ht="69.95" hidden="1" customHeight="1">
      <c r="A1323" s="49" t="s">
        <v>6701</v>
      </c>
      <c r="B1323" s="49" t="s">
        <v>3769</v>
      </c>
      <c r="C1323" s="50" t="s">
        <v>41</v>
      </c>
      <c r="D1323" s="50"/>
      <c r="E1323" s="74" t="s">
        <v>236</v>
      </c>
      <c r="F1323" s="74" t="s">
        <v>236</v>
      </c>
      <c r="I1323" s="124" t="s">
        <v>9121</v>
      </c>
      <c r="J1323" s="29">
        <f t="shared" si="90"/>
        <v>1</v>
      </c>
      <c r="K1323" s="42">
        <v>1309</v>
      </c>
      <c r="L1323" s="152" t="s">
        <v>2797</v>
      </c>
      <c r="M1323" s="43" t="s">
        <v>405</v>
      </c>
      <c r="N1323" s="43" t="s">
        <v>56</v>
      </c>
      <c r="O1323" s="101" t="str">
        <f t="shared" si="93"/>
        <v>PE-L1-1C185-03</v>
      </c>
      <c r="P1323" s="51">
        <v>370</v>
      </c>
      <c r="Q1323" s="43">
        <v>400</v>
      </c>
      <c r="R1323" s="43" t="s">
        <v>412</v>
      </c>
      <c r="S1323" s="152">
        <v>60</v>
      </c>
      <c r="T1323" s="43" t="s">
        <v>6734</v>
      </c>
      <c r="U1323" s="43" t="s">
        <v>6701</v>
      </c>
      <c r="V1323" s="43" t="s">
        <v>6812</v>
      </c>
      <c r="W1323" s="43" t="s">
        <v>335</v>
      </c>
      <c r="X1323" s="47" t="s">
        <v>45</v>
      </c>
      <c r="Y1323" s="43" t="s">
        <v>6803</v>
      </c>
      <c r="Z1323" s="43" t="s">
        <v>6813</v>
      </c>
      <c r="AA1323" s="43" t="s">
        <v>335</v>
      </c>
      <c r="AB1323" s="47" t="s">
        <v>45</v>
      </c>
      <c r="AC1323" s="52" t="s">
        <v>6814</v>
      </c>
      <c r="AD1323" s="30"/>
      <c r="AE1323" s="197"/>
      <c r="AF1323" s="47"/>
    </row>
    <row r="1324" spans="1:32" s="29" customFormat="1" ht="69.95" hidden="1" customHeight="1">
      <c r="A1324" s="49" t="s">
        <v>6701</v>
      </c>
      <c r="B1324" s="49" t="s">
        <v>3769</v>
      </c>
      <c r="C1324" s="50" t="s">
        <v>42</v>
      </c>
      <c r="D1324" s="50"/>
      <c r="E1324" s="74" t="s">
        <v>236</v>
      </c>
      <c r="F1324" s="74" t="s">
        <v>236</v>
      </c>
      <c r="I1324" s="124" t="s">
        <v>9121</v>
      </c>
      <c r="J1324" s="29">
        <f t="shared" si="90"/>
        <v>1</v>
      </c>
      <c r="K1324" s="42">
        <v>1310</v>
      </c>
      <c r="L1324" s="152" t="s">
        <v>2798</v>
      </c>
      <c r="M1324" s="43" t="s">
        <v>405</v>
      </c>
      <c r="N1324" s="43" t="s">
        <v>56</v>
      </c>
      <c r="O1324" s="101" t="str">
        <f t="shared" si="93"/>
        <v>PE-L1-1C185-03</v>
      </c>
      <c r="P1324" s="51">
        <v>370</v>
      </c>
      <c r="Q1324" s="43">
        <v>400</v>
      </c>
      <c r="R1324" s="43" t="s">
        <v>412</v>
      </c>
      <c r="S1324" s="152">
        <v>60</v>
      </c>
      <c r="T1324" s="43" t="s">
        <v>6734</v>
      </c>
      <c r="U1324" s="43" t="s">
        <v>6701</v>
      </c>
      <c r="V1324" s="43" t="s">
        <v>6812</v>
      </c>
      <c r="W1324" s="43" t="s">
        <v>335</v>
      </c>
      <c r="X1324" s="47" t="s">
        <v>46</v>
      </c>
      <c r="Y1324" s="43" t="s">
        <v>6803</v>
      </c>
      <c r="Z1324" s="43" t="s">
        <v>6813</v>
      </c>
      <c r="AA1324" s="43" t="s">
        <v>335</v>
      </c>
      <c r="AB1324" s="47" t="s">
        <v>46</v>
      </c>
      <c r="AC1324" s="52" t="s">
        <v>6814</v>
      </c>
      <c r="AD1324" s="30"/>
      <c r="AE1324" s="197"/>
      <c r="AF1324" s="47"/>
    </row>
    <row r="1325" spans="1:32" s="29" customFormat="1" ht="69.95" hidden="1" customHeight="1">
      <c r="A1325" s="49" t="s">
        <v>6701</v>
      </c>
      <c r="B1325" s="49" t="s">
        <v>3769</v>
      </c>
      <c r="C1325" s="50" t="s">
        <v>43</v>
      </c>
      <c r="D1325" s="140"/>
      <c r="E1325" s="74" t="s">
        <v>236</v>
      </c>
      <c r="F1325" s="74" t="s">
        <v>236</v>
      </c>
      <c r="I1325" s="124" t="s">
        <v>9121</v>
      </c>
      <c r="J1325" s="29">
        <f t="shared" si="90"/>
        <v>1</v>
      </c>
      <c r="K1325" s="42">
        <v>1311</v>
      </c>
      <c r="L1325" s="152" t="s">
        <v>2799</v>
      </c>
      <c r="M1325" s="43" t="s">
        <v>405</v>
      </c>
      <c r="N1325" s="43" t="s">
        <v>56</v>
      </c>
      <c r="O1325" s="101" t="str">
        <f t="shared" si="93"/>
        <v>PE-L1-1C185-03</v>
      </c>
      <c r="P1325" s="51">
        <v>370</v>
      </c>
      <c r="Q1325" s="43">
        <v>400</v>
      </c>
      <c r="R1325" s="43" t="s">
        <v>412</v>
      </c>
      <c r="S1325" s="152">
        <v>60</v>
      </c>
      <c r="T1325" s="43" t="s">
        <v>6734</v>
      </c>
      <c r="U1325" s="43" t="s">
        <v>6701</v>
      </c>
      <c r="V1325" s="43" t="s">
        <v>6812</v>
      </c>
      <c r="W1325" s="53" t="s">
        <v>335</v>
      </c>
      <c r="X1325" s="47" t="s">
        <v>17</v>
      </c>
      <c r="Y1325" s="43" t="s">
        <v>6803</v>
      </c>
      <c r="Z1325" s="43" t="s">
        <v>6813</v>
      </c>
      <c r="AA1325" s="43" t="s">
        <v>335</v>
      </c>
      <c r="AB1325" s="47" t="s">
        <v>49</v>
      </c>
      <c r="AC1325" s="48" t="s">
        <v>6814</v>
      </c>
      <c r="AD1325" s="30"/>
      <c r="AE1325" s="197"/>
      <c r="AF1325" s="47"/>
    </row>
    <row r="1326" spans="1:32" s="29" customFormat="1" ht="69.95" hidden="1" customHeight="1">
      <c r="A1326" s="49" t="s">
        <v>6701</v>
      </c>
      <c r="B1326" s="49" t="s">
        <v>3769</v>
      </c>
      <c r="C1326" s="50" t="s">
        <v>73</v>
      </c>
      <c r="D1326" s="50"/>
      <c r="E1326" s="74" t="s">
        <v>236</v>
      </c>
      <c r="F1326" s="74" t="s">
        <v>236</v>
      </c>
      <c r="I1326" s="124" t="s">
        <v>9121</v>
      </c>
      <c r="J1326" s="29">
        <f t="shared" si="90"/>
        <v>1</v>
      </c>
      <c r="K1326" s="42">
        <v>1312</v>
      </c>
      <c r="L1326" s="152" t="s">
        <v>2800</v>
      </c>
      <c r="M1326" s="43" t="s">
        <v>405</v>
      </c>
      <c r="N1326" s="43" t="s">
        <v>56</v>
      </c>
      <c r="O1326" s="101" t="str">
        <f t="shared" si="93"/>
        <v>PE-L1-1C185-03</v>
      </c>
      <c r="P1326" s="51">
        <v>370</v>
      </c>
      <c r="Q1326" s="43">
        <v>400</v>
      </c>
      <c r="R1326" s="43" t="s">
        <v>412</v>
      </c>
      <c r="S1326" s="152">
        <v>60</v>
      </c>
      <c r="T1326" s="43" t="s">
        <v>6734</v>
      </c>
      <c r="U1326" s="43" t="s">
        <v>6701</v>
      </c>
      <c r="V1326" s="43" t="s">
        <v>6812</v>
      </c>
      <c r="W1326" s="53" t="s">
        <v>335</v>
      </c>
      <c r="X1326" s="47" t="s">
        <v>18</v>
      </c>
      <c r="Y1326" s="43" t="s">
        <v>6803</v>
      </c>
      <c r="Z1326" s="43" t="s">
        <v>6813</v>
      </c>
      <c r="AA1326" s="43" t="s">
        <v>335</v>
      </c>
      <c r="AB1326" s="47" t="s">
        <v>6263</v>
      </c>
      <c r="AC1326" s="48" t="s">
        <v>6814</v>
      </c>
      <c r="AD1326" s="30"/>
      <c r="AE1326" s="197"/>
      <c r="AF1326" s="47"/>
    </row>
    <row r="1327" spans="1:32" s="32" customFormat="1" ht="69.95" hidden="1" customHeight="1">
      <c r="A1327" s="29" t="s">
        <v>6710</v>
      </c>
      <c r="B1327" s="29" t="s">
        <v>3769</v>
      </c>
      <c r="C1327" s="40" t="s">
        <v>32</v>
      </c>
      <c r="D1327" s="40"/>
      <c r="E1327" s="57" t="s">
        <v>64</v>
      </c>
      <c r="F1327" s="57" t="s">
        <v>64</v>
      </c>
      <c r="G1327" s="29" t="s">
        <v>2801</v>
      </c>
      <c r="H1327" s="29"/>
      <c r="I1327" s="124" t="s">
        <v>9121</v>
      </c>
      <c r="J1327" s="29">
        <f t="shared" si="90"/>
        <v>1</v>
      </c>
      <c r="K1327" s="42">
        <v>1313</v>
      </c>
      <c r="L1327" s="152" t="s">
        <v>2802</v>
      </c>
      <c r="M1327" s="44" t="s">
        <v>405</v>
      </c>
      <c r="N1327" s="44" t="s">
        <v>56</v>
      </c>
      <c r="O1327" s="101" t="str">
        <f t="shared" si="93"/>
        <v>PE-L1-1C185-02</v>
      </c>
      <c r="P1327" s="45">
        <v>370</v>
      </c>
      <c r="Q1327" s="44">
        <v>400</v>
      </c>
      <c r="R1327" s="44" t="s">
        <v>412</v>
      </c>
      <c r="S1327" s="101">
        <v>90</v>
      </c>
      <c r="T1327" s="46" t="s">
        <v>6734</v>
      </c>
      <c r="U1327" s="46" t="s">
        <v>6710</v>
      </c>
      <c r="V1327" s="46" t="s">
        <v>6815</v>
      </c>
      <c r="W1327" s="46" t="s">
        <v>335</v>
      </c>
      <c r="X1327" s="47" t="s">
        <v>44</v>
      </c>
      <c r="Y1327" s="46" t="s">
        <v>8350</v>
      </c>
      <c r="Z1327" s="46" t="s">
        <v>6816</v>
      </c>
      <c r="AA1327" s="46" t="s">
        <v>335</v>
      </c>
      <c r="AB1327" s="47" t="s">
        <v>44</v>
      </c>
      <c r="AC1327" s="48" t="s">
        <v>6817</v>
      </c>
      <c r="AD1327" s="30"/>
      <c r="AE1327" s="200"/>
      <c r="AF1327" s="100"/>
    </row>
    <row r="1328" spans="1:32" s="29" customFormat="1" ht="69.95" hidden="1" customHeight="1">
      <c r="A1328" s="49" t="s">
        <v>6710</v>
      </c>
      <c r="B1328" s="49" t="s">
        <v>3769</v>
      </c>
      <c r="C1328" s="50" t="s">
        <v>36</v>
      </c>
      <c r="D1328" s="50"/>
      <c r="E1328" s="74" t="s">
        <v>8617</v>
      </c>
      <c r="F1328" s="74" t="s">
        <v>8617</v>
      </c>
      <c r="J1328" s="29">
        <f t="shared" si="90"/>
        <v>1</v>
      </c>
      <c r="K1328" s="42">
        <v>1314</v>
      </c>
      <c r="L1328" s="43" t="s">
        <v>2803</v>
      </c>
      <c r="M1328" s="43" t="s">
        <v>405</v>
      </c>
      <c r="N1328" s="43" t="s">
        <v>56</v>
      </c>
      <c r="O1328" s="44" t="str">
        <f t="shared" si="93"/>
        <v>PE-L1-1C185-04</v>
      </c>
      <c r="P1328" s="51">
        <v>370</v>
      </c>
      <c r="Q1328" s="43">
        <v>400</v>
      </c>
      <c r="R1328" s="43" t="s">
        <v>412</v>
      </c>
      <c r="S1328" s="43">
        <v>90</v>
      </c>
      <c r="T1328" s="43" t="s">
        <v>6734</v>
      </c>
      <c r="U1328" s="43" t="s">
        <v>6710</v>
      </c>
      <c r="V1328" s="43" t="s">
        <v>6815</v>
      </c>
      <c r="W1328" s="43" t="s">
        <v>335</v>
      </c>
      <c r="X1328" s="47" t="s">
        <v>45</v>
      </c>
      <c r="Y1328" s="43" t="s">
        <v>8350</v>
      </c>
      <c r="Z1328" s="43" t="s">
        <v>6816</v>
      </c>
      <c r="AA1328" s="43" t="s">
        <v>335</v>
      </c>
      <c r="AB1328" s="47" t="s">
        <v>45</v>
      </c>
      <c r="AC1328" s="52" t="s">
        <v>6817</v>
      </c>
      <c r="AD1328" s="30"/>
      <c r="AE1328" s="197"/>
      <c r="AF1328" s="47"/>
    </row>
    <row r="1329" spans="1:32" s="29" customFormat="1" ht="69.95" hidden="1" customHeight="1">
      <c r="A1329" s="49" t="s">
        <v>6710</v>
      </c>
      <c r="B1329" s="49" t="s">
        <v>3769</v>
      </c>
      <c r="C1329" s="50" t="s">
        <v>38</v>
      </c>
      <c r="D1329" s="50"/>
      <c r="E1329" s="74" t="s">
        <v>8617</v>
      </c>
      <c r="F1329" s="74" t="s">
        <v>8617</v>
      </c>
      <c r="I1329" s="124" t="s">
        <v>9121</v>
      </c>
      <c r="J1329" s="29">
        <f t="shared" si="90"/>
        <v>1</v>
      </c>
      <c r="K1329" s="42">
        <v>1315</v>
      </c>
      <c r="L1329" s="152" t="s">
        <v>2804</v>
      </c>
      <c r="M1329" s="43" t="s">
        <v>405</v>
      </c>
      <c r="N1329" s="43" t="s">
        <v>56</v>
      </c>
      <c r="O1329" s="101" t="str">
        <f t="shared" si="93"/>
        <v>PE-L1-1C185-04</v>
      </c>
      <c r="P1329" s="51">
        <v>370</v>
      </c>
      <c r="Q1329" s="43">
        <v>400</v>
      </c>
      <c r="R1329" s="43" t="s">
        <v>412</v>
      </c>
      <c r="S1329" s="152">
        <v>90</v>
      </c>
      <c r="T1329" s="43" t="s">
        <v>6734</v>
      </c>
      <c r="U1329" s="43" t="s">
        <v>6710</v>
      </c>
      <c r="V1329" s="43" t="s">
        <v>6815</v>
      </c>
      <c r="W1329" s="43" t="s">
        <v>335</v>
      </c>
      <c r="X1329" s="47" t="s">
        <v>46</v>
      </c>
      <c r="Y1329" s="43" t="s">
        <v>8350</v>
      </c>
      <c r="Z1329" s="43" t="s">
        <v>6816</v>
      </c>
      <c r="AA1329" s="43" t="s">
        <v>335</v>
      </c>
      <c r="AB1329" s="47" t="s">
        <v>46</v>
      </c>
      <c r="AC1329" s="52" t="s">
        <v>6817</v>
      </c>
      <c r="AD1329" s="30"/>
      <c r="AE1329" s="197"/>
      <c r="AF1329" s="47"/>
    </row>
    <row r="1330" spans="1:32" s="29" customFormat="1" ht="69.95" hidden="1" customHeight="1">
      <c r="A1330" s="49" t="s">
        <v>6710</v>
      </c>
      <c r="B1330" s="49" t="s">
        <v>3769</v>
      </c>
      <c r="C1330" s="50" t="s">
        <v>40</v>
      </c>
      <c r="D1330" s="50"/>
      <c r="E1330" s="74" t="s">
        <v>8617</v>
      </c>
      <c r="F1330" s="74" t="s">
        <v>8617</v>
      </c>
      <c r="I1330" s="124" t="s">
        <v>9121</v>
      </c>
      <c r="J1330" s="29">
        <f t="shared" si="90"/>
        <v>1</v>
      </c>
      <c r="K1330" s="42">
        <v>1316</v>
      </c>
      <c r="L1330" s="152" t="s">
        <v>2805</v>
      </c>
      <c r="M1330" s="43" t="s">
        <v>405</v>
      </c>
      <c r="N1330" s="43" t="s">
        <v>56</v>
      </c>
      <c r="O1330" s="101" t="str">
        <f t="shared" si="93"/>
        <v>PE-L1-1C185-04</v>
      </c>
      <c r="P1330" s="51">
        <v>370</v>
      </c>
      <c r="Q1330" s="43">
        <v>400</v>
      </c>
      <c r="R1330" s="43" t="s">
        <v>412</v>
      </c>
      <c r="S1330" s="152">
        <v>90</v>
      </c>
      <c r="T1330" s="43" t="s">
        <v>6734</v>
      </c>
      <c r="U1330" s="43" t="s">
        <v>6710</v>
      </c>
      <c r="V1330" s="43" t="s">
        <v>6815</v>
      </c>
      <c r="W1330" s="43" t="s">
        <v>335</v>
      </c>
      <c r="X1330" s="47" t="s">
        <v>44</v>
      </c>
      <c r="Y1330" s="43" t="s">
        <v>8350</v>
      </c>
      <c r="Z1330" s="43" t="s">
        <v>6816</v>
      </c>
      <c r="AA1330" s="43" t="s">
        <v>335</v>
      </c>
      <c r="AB1330" s="47" t="s">
        <v>44</v>
      </c>
      <c r="AC1330" s="48" t="s">
        <v>6817</v>
      </c>
      <c r="AD1330" s="30"/>
      <c r="AE1330" s="197"/>
      <c r="AF1330" s="47"/>
    </row>
    <row r="1331" spans="1:32" s="29" customFormat="1" ht="69.95" hidden="1" customHeight="1">
      <c r="A1331" s="49" t="s">
        <v>6710</v>
      </c>
      <c r="B1331" s="49" t="s">
        <v>3769</v>
      </c>
      <c r="C1331" s="50" t="s">
        <v>41</v>
      </c>
      <c r="D1331" s="50"/>
      <c r="E1331" s="74" t="s">
        <v>8617</v>
      </c>
      <c r="F1331" s="74" t="s">
        <v>8617</v>
      </c>
      <c r="I1331" s="124" t="s">
        <v>9121</v>
      </c>
      <c r="J1331" s="29">
        <f t="shared" si="90"/>
        <v>1</v>
      </c>
      <c r="K1331" s="42">
        <v>1317</v>
      </c>
      <c r="L1331" s="152" t="s">
        <v>2806</v>
      </c>
      <c r="M1331" s="43" t="s">
        <v>405</v>
      </c>
      <c r="N1331" s="43" t="s">
        <v>56</v>
      </c>
      <c r="O1331" s="101" t="str">
        <f t="shared" si="93"/>
        <v>PE-L1-1C185-04</v>
      </c>
      <c r="P1331" s="51">
        <v>370</v>
      </c>
      <c r="Q1331" s="43">
        <v>400</v>
      </c>
      <c r="R1331" s="43" t="s">
        <v>412</v>
      </c>
      <c r="S1331" s="152">
        <v>90</v>
      </c>
      <c r="T1331" s="43" t="s">
        <v>6734</v>
      </c>
      <c r="U1331" s="43" t="s">
        <v>6710</v>
      </c>
      <c r="V1331" s="43" t="s">
        <v>6815</v>
      </c>
      <c r="W1331" s="43" t="s">
        <v>335</v>
      </c>
      <c r="X1331" s="47" t="s">
        <v>45</v>
      </c>
      <c r="Y1331" s="43" t="s">
        <v>8350</v>
      </c>
      <c r="Z1331" s="43" t="s">
        <v>6816</v>
      </c>
      <c r="AA1331" s="43" t="s">
        <v>335</v>
      </c>
      <c r="AB1331" s="47" t="s">
        <v>45</v>
      </c>
      <c r="AC1331" s="52" t="s">
        <v>6817</v>
      </c>
      <c r="AD1331" s="30"/>
      <c r="AE1331" s="197"/>
      <c r="AF1331" s="47"/>
    </row>
    <row r="1332" spans="1:32" s="29" customFormat="1" ht="69.95" hidden="1" customHeight="1">
      <c r="A1332" s="49" t="s">
        <v>6710</v>
      </c>
      <c r="B1332" s="49" t="s">
        <v>3769</v>
      </c>
      <c r="C1332" s="50" t="s">
        <v>42</v>
      </c>
      <c r="D1332" s="50"/>
      <c r="E1332" s="74" t="s">
        <v>8617</v>
      </c>
      <c r="F1332" s="74" t="s">
        <v>8617</v>
      </c>
      <c r="J1332" s="29">
        <f t="shared" si="90"/>
        <v>1</v>
      </c>
      <c r="K1332" s="42">
        <v>1318</v>
      </c>
      <c r="L1332" s="43" t="s">
        <v>2807</v>
      </c>
      <c r="M1332" s="43" t="s">
        <v>405</v>
      </c>
      <c r="N1332" s="43" t="s">
        <v>56</v>
      </c>
      <c r="O1332" s="44" t="str">
        <f t="shared" ref="O1332:O1334" si="94">F1332</f>
        <v>PE-L1-1C185-04</v>
      </c>
      <c r="P1332" s="51">
        <v>370</v>
      </c>
      <c r="Q1332" s="43">
        <v>400</v>
      </c>
      <c r="R1332" s="43" t="s">
        <v>412</v>
      </c>
      <c r="S1332" s="43">
        <v>90</v>
      </c>
      <c r="T1332" s="43" t="s">
        <v>6734</v>
      </c>
      <c r="U1332" s="43" t="s">
        <v>6710</v>
      </c>
      <c r="V1332" s="43" t="s">
        <v>6815</v>
      </c>
      <c r="W1332" s="43" t="s">
        <v>335</v>
      </c>
      <c r="X1332" s="47" t="s">
        <v>46</v>
      </c>
      <c r="Y1332" s="43" t="s">
        <v>8350</v>
      </c>
      <c r="Z1332" s="43" t="s">
        <v>6816</v>
      </c>
      <c r="AA1332" s="43" t="s">
        <v>335</v>
      </c>
      <c r="AB1332" s="47" t="s">
        <v>46</v>
      </c>
      <c r="AC1332" s="52" t="s">
        <v>6817</v>
      </c>
      <c r="AD1332" s="30"/>
      <c r="AE1332" s="197"/>
      <c r="AF1332" s="47"/>
    </row>
    <row r="1333" spans="1:32" s="29" customFormat="1" ht="69.95" hidden="1" customHeight="1">
      <c r="A1333" s="49" t="s">
        <v>6710</v>
      </c>
      <c r="B1333" s="49" t="s">
        <v>3769</v>
      </c>
      <c r="C1333" s="50" t="s">
        <v>43</v>
      </c>
      <c r="D1333" s="140"/>
      <c r="E1333" s="74" t="s">
        <v>8617</v>
      </c>
      <c r="F1333" s="74" t="s">
        <v>8617</v>
      </c>
      <c r="J1333" s="29">
        <f t="shared" si="90"/>
        <v>1</v>
      </c>
      <c r="K1333" s="42">
        <v>1319</v>
      </c>
      <c r="L1333" s="43" t="s">
        <v>2808</v>
      </c>
      <c r="M1333" s="43" t="s">
        <v>405</v>
      </c>
      <c r="N1333" s="43" t="s">
        <v>56</v>
      </c>
      <c r="O1333" s="44" t="str">
        <f t="shared" si="94"/>
        <v>PE-L1-1C185-04</v>
      </c>
      <c r="P1333" s="51">
        <v>370</v>
      </c>
      <c r="Q1333" s="43">
        <v>400</v>
      </c>
      <c r="R1333" s="43" t="s">
        <v>412</v>
      </c>
      <c r="S1333" s="43">
        <v>90</v>
      </c>
      <c r="T1333" s="43" t="s">
        <v>6734</v>
      </c>
      <c r="U1333" s="43" t="s">
        <v>6710</v>
      </c>
      <c r="V1333" s="43" t="s">
        <v>6815</v>
      </c>
      <c r="W1333" s="53" t="s">
        <v>335</v>
      </c>
      <c r="X1333" s="47" t="s">
        <v>17</v>
      </c>
      <c r="Y1333" s="43" t="s">
        <v>8350</v>
      </c>
      <c r="Z1333" s="43" t="s">
        <v>6816</v>
      </c>
      <c r="AA1333" s="43" t="s">
        <v>335</v>
      </c>
      <c r="AB1333" s="47" t="s">
        <v>49</v>
      </c>
      <c r="AC1333" s="48" t="s">
        <v>6817</v>
      </c>
      <c r="AD1333" s="30"/>
      <c r="AE1333" s="197"/>
      <c r="AF1333" s="47"/>
    </row>
    <row r="1334" spans="1:32" s="29" customFormat="1" ht="69.95" hidden="1" customHeight="1">
      <c r="A1334" s="49" t="s">
        <v>6710</v>
      </c>
      <c r="B1334" s="49" t="s">
        <v>3769</v>
      </c>
      <c r="C1334" s="50" t="s">
        <v>73</v>
      </c>
      <c r="D1334" s="50"/>
      <c r="E1334" s="74" t="s">
        <v>8617</v>
      </c>
      <c r="F1334" s="74" t="s">
        <v>8617</v>
      </c>
      <c r="J1334" s="29">
        <f t="shared" si="90"/>
        <v>1</v>
      </c>
      <c r="K1334" s="42">
        <v>1320</v>
      </c>
      <c r="L1334" s="43" t="s">
        <v>2809</v>
      </c>
      <c r="M1334" s="43" t="s">
        <v>405</v>
      </c>
      <c r="N1334" s="43" t="s">
        <v>56</v>
      </c>
      <c r="O1334" s="44" t="str">
        <f t="shared" si="94"/>
        <v>PE-L1-1C185-04</v>
      </c>
      <c r="P1334" s="51">
        <v>370</v>
      </c>
      <c r="Q1334" s="43">
        <v>400</v>
      </c>
      <c r="R1334" s="43" t="s">
        <v>412</v>
      </c>
      <c r="S1334" s="43">
        <v>90</v>
      </c>
      <c r="T1334" s="43" t="s">
        <v>6734</v>
      </c>
      <c r="U1334" s="43" t="s">
        <v>6710</v>
      </c>
      <c r="V1334" s="43" t="s">
        <v>6815</v>
      </c>
      <c r="W1334" s="53" t="s">
        <v>335</v>
      </c>
      <c r="X1334" s="47" t="s">
        <v>18</v>
      </c>
      <c r="Y1334" s="43" t="s">
        <v>8350</v>
      </c>
      <c r="Z1334" s="43" t="s">
        <v>6816</v>
      </c>
      <c r="AA1334" s="43" t="s">
        <v>335</v>
      </c>
      <c r="AB1334" s="47" t="s">
        <v>6263</v>
      </c>
      <c r="AC1334" s="48" t="s">
        <v>6817</v>
      </c>
      <c r="AD1334" s="30"/>
      <c r="AE1334" s="197"/>
      <c r="AF1334" s="47"/>
    </row>
    <row r="1335" spans="1:32" s="32" customFormat="1" ht="69.95" hidden="1" customHeight="1">
      <c r="A1335" s="29" t="s">
        <v>5511</v>
      </c>
      <c r="B1335" s="29" t="s">
        <v>3769</v>
      </c>
      <c r="C1335" s="40">
        <v>14</v>
      </c>
      <c r="D1335" s="40"/>
      <c r="E1335" s="57" t="s">
        <v>64</v>
      </c>
      <c r="F1335" s="57" t="s">
        <v>64</v>
      </c>
      <c r="G1335" s="29" t="s">
        <v>2810</v>
      </c>
      <c r="H1335" s="29"/>
      <c r="I1335" s="124" t="s">
        <v>9121</v>
      </c>
      <c r="J1335" s="29">
        <f t="shared" si="90"/>
        <v>1</v>
      </c>
      <c r="K1335" s="42">
        <v>1321</v>
      </c>
      <c r="L1335" s="152" t="s">
        <v>2811</v>
      </c>
      <c r="M1335" s="44" t="s">
        <v>405</v>
      </c>
      <c r="N1335" s="44" t="s">
        <v>56</v>
      </c>
      <c r="O1335" s="101" t="str">
        <f t="shared" ref="O1335:O1345" si="95">F1335</f>
        <v>PE-L1-1C185-02</v>
      </c>
      <c r="P1335" s="45">
        <v>150</v>
      </c>
      <c r="Q1335" s="44">
        <v>220</v>
      </c>
      <c r="R1335" s="44" t="s">
        <v>509</v>
      </c>
      <c r="S1335" s="101">
        <v>30</v>
      </c>
      <c r="T1335" s="46" t="s">
        <v>6734</v>
      </c>
      <c r="U1335" s="46" t="s">
        <v>5511</v>
      </c>
      <c r="V1335" s="46" t="s">
        <v>5512</v>
      </c>
      <c r="W1335" s="46" t="s">
        <v>335</v>
      </c>
      <c r="X1335" s="131" t="s">
        <v>8116</v>
      </c>
      <c r="Y1335" s="46" t="s">
        <v>6806</v>
      </c>
      <c r="Z1335" s="46" t="s">
        <v>6818</v>
      </c>
      <c r="AA1335" s="46" t="s">
        <v>335</v>
      </c>
      <c r="AB1335" s="131" t="s">
        <v>8116</v>
      </c>
      <c r="AC1335" s="48" t="s">
        <v>6819</v>
      </c>
      <c r="AD1335" s="30"/>
      <c r="AE1335" s="200"/>
      <c r="AF1335" s="100"/>
    </row>
    <row r="1336" spans="1:32" s="29" customFormat="1" ht="69.95" hidden="1" customHeight="1">
      <c r="A1336" s="49" t="s">
        <v>5511</v>
      </c>
      <c r="B1336" s="49" t="s">
        <v>3769</v>
      </c>
      <c r="C1336" s="49">
        <v>15</v>
      </c>
      <c r="D1336" s="49"/>
      <c r="E1336" s="57" t="s">
        <v>64</v>
      </c>
      <c r="F1336" s="57" t="s">
        <v>64</v>
      </c>
      <c r="I1336" s="124" t="s">
        <v>9121</v>
      </c>
      <c r="J1336" s="29">
        <f t="shared" si="90"/>
        <v>1</v>
      </c>
      <c r="K1336" s="42">
        <v>1322</v>
      </c>
      <c r="L1336" s="152" t="s">
        <v>2812</v>
      </c>
      <c r="M1336" s="43" t="s">
        <v>405</v>
      </c>
      <c r="N1336" s="43" t="s">
        <v>56</v>
      </c>
      <c r="O1336" s="101" t="str">
        <f t="shared" si="95"/>
        <v>PE-L1-1C185-02</v>
      </c>
      <c r="P1336" s="51">
        <v>150</v>
      </c>
      <c r="Q1336" s="43">
        <v>220</v>
      </c>
      <c r="R1336" s="43" t="s">
        <v>509</v>
      </c>
      <c r="S1336" s="152">
        <v>30</v>
      </c>
      <c r="T1336" s="43" t="s">
        <v>6734</v>
      </c>
      <c r="U1336" s="43" t="s">
        <v>5511</v>
      </c>
      <c r="V1336" s="43" t="s">
        <v>5512</v>
      </c>
      <c r="W1336" s="43" t="s">
        <v>335</v>
      </c>
      <c r="X1336" s="131" t="s">
        <v>8116</v>
      </c>
      <c r="Y1336" s="43" t="s">
        <v>6806</v>
      </c>
      <c r="Z1336" s="43" t="s">
        <v>6818</v>
      </c>
      <c r="AA1336" s="43" t="s">
        <v>335</v>
      </c>
      <c r="AB1336" s="131" t="s">
        <v>8116</v>
      </c>
      <c r="AC1336" s="52" t="s">
        <v>6819</v>
      </c>
      <c r="AD1336" s="30"/>
      <c r="AE1336" s="197"/>
      <c r="AF1336" s="47"/>
    </row>
    <row r="1337" spans="1:32" s="29" customFormat="1" ht="69.95" hidden="1" customHeight="1">
      <c r="A1337" s="49" t="s">
        <v>5511</v>
      </c>
      <c r="B1337" s="49" t="s">
        <v>3769</v>
      </c>
      <c r="C1337" s="49">
        <v>16</v>
      </c>
      <c r="D1337" s="49"/>
      <c r="E1337" s="57" t="s">
        <v>64</v>
      </c>
      <c r="F1337" s="57" t="s">
        <v>64</v>
      </c>
      <c r="I1337" s="124" t="s">
        <v>9121</v>
      </c>
      <c r="J1337" s="29">
        <f t="shared" si="90"/>
        <v>1</v>
      </c>
      <c r="K1337" s="42">
        <v>1323</v>
      </c>
      <c r="L1337" s="152" t="s">
        <v>2813</v>
      </c>
      <c r="M1337" s="43" t="s">
        <v>405</v>
      </c>
      <c r="N1337" s="43" t="s">
        <v>56</v>
      </c>
      <c r="O1337" s="101" t="str">
        <f t="shared" si="95"/>
        <v>PE-L1-1C185-02</v>
      </c>
      <c r="P1337" s="51">
        <v>150</v>
      </c>
      <c r="Q1337" s="43">
        <v>220</v>
      </c>
      <c r="R1337" s="43" t="s">
        <v>509</v>
      </c>
      <c r="S1337" s="152">
        <v>30</v>
      </c>
      <c r="T1337" s="43" t="s">
        <v>6734</v>
      </c>
      <c r="U1337" s="43" t="s">
        <v>5511</v>
      </c>
      <c r="V1337" s="43" t="s">
        <v>5512</v>
      </c>
      <c r="W1337" s="43" t="s">
        <v>335</v>
      </c>
      <c r="X1337" s="131" t="s">
        <v>8117</v>
      </c>
      <c r="Y1337" s="43" t="s">
        <v>6806</v>
      </c>
      <c r="Z1337" s="43" t="s">
        <v>6818</v>
      </c>
      <c r="AA1337" s="43" t="s">
        <v>335</v>
      </c>
      <c r="AB1337" s="131" t="s">
        <v>8117</v>
      </c>
      <c r="AC1337" s="48" t="s">
        <v>6819</v>
      </c>
      <c r="AD1337" s="30"/>
      <c r="AE1337" s="197"/>
      <c r="AF1337" s="47"/>
    </row>
    <row r="1338" spans="1:32" s="29" customFormat="1" ht="69.95" hidden="1" customHeight="1">
      <c r="A1338" s="49" t="s">
        <v>5511</v>
      </c>
      <c r="B1338" s="49" t="s">
        <v>3769</v>
      </c>
      <c r="C1338" s="49">
        <v>17</v>
      </c>
      <c r="D1338" s="49"/>
      <c r="E1338" s="57" t="s">
        <v>64</v>
      </c>
      <c r="F1338" s="57" t="s">
        <v>64</v>
      </c>
      <c r="I1338" s="124" t="s">
        <v>9121</v>
      </c>
      <c r="J1338" s="29">
        <f t="shared" si="90"/>
        <v>1</v>
      </c>
      <c r="K1338" s="42">
        <v>1324</v>
      </c>
      <c r="L1338" s="152" t="s">
        <v>2814</v>
      </c>
      <c r="M1338" s="43" t="s">
        <v>405</v>
      </c>
      <c r="N1338" s="43" t="s">
        <v>56</v>
      </c>
      <c r="O1338" s="101" t="str">
        <f t="shared" si="95"/>
        <v>PE-L1-1C185-02</v>
      </c>
      <c r="P1338" s="51">
        <v>150</v>
      </c>
      <c r="Q1338" s="43">
        <v>220</v>
      </c>
      <c r="R1338" s="43" t="s">
        <v>509</v>
      </c>
      <c r="S1338" s="152">
        <v>30</v>
      </c>
      <c r="T1338" s="43" t="s">
        <v>6734</v>
      </c>
      <c r="U1338" s="43" t="s">
        <v>5511</v>
      </c>
      <c r="V1338" s="43" t="s">
        <v>5512</v>
      </c>
      <c r="W1338" s="43" t="s">
        <v>335</v>
      </c>
      <c r="X1338" s="131" t="s">
        <v>8117</v>
      </c>
      <c r="Y1338" s="43" t="s">
        <v>6806</v>
      </c>
      <c r="Z1338" s="43" t="s">
        <v>6818</v>
      </c>
      <c r="AA1338" s="43" t="s">
        <v>335</v>
      </c>
      <c r="AB1338" s="131" t="s">
        <v>8117</v>
      </c>
      <c r="AC1338" s="52" t="s">
        <v>6819</v>
      </c>
      <c r="AD1338" s="30"/>
      <c r="AE1338" s="197"/>
      <c r="AF1338" s="47"/>
    </row>
    <row r="1339" spans="1:32" s="32" customFormat="1" ht="69.95" hidden="1" customHeight="1">
      <c r="A1339" s="29" t="s">
        <v>5515</v>
      </c>
      <c r="B1339" s="29" t="s">
        <v>3769</v>
      </c>
      <c r="C1339" s="40">
        <v>14</v>
      </c>
      <c r="D1339" s="40"/>
      <c r="E1339" s="57" t="s">
        <v>64</v>
      </c>
      <c r="F1339" s="57" t="s">
        <v>64</v>
      </c>
      <c r="G1339" s="29" t="s">
        <v>2815</v>
      </c>
      <c r="H1339" s="29"/>
      <c r="I1339" s="124" t="s">
        <v>9121</v>
      </c>
      <c r="J1339" s="29">
        <f t="shared" si="90"/>
        <v>1</v>
      </c>
      <c r="K1339" s="42">
        <v>1325</v>
      </c>
      <c r="L1339" s="152" t="s">
        <v>2816</v>
      </c>
      <c r="M1339" s="44" t="s">
        <v>405</v>
      </c>
      <c r="N1339" s="44" t="s">
        <v>56</v>
      </c>
      <c r="O1339" s="101" t="str">
        <f t="shared" si="95"/>
        <v>PE-L1-1C185-02</v>
      </c>
      <c r="P1339" s="45">
        <v>150</v>
      </c>
      <c r="Q1339" s="44">
        <v>220</v>
      </c>
      <c r="R1339" s="44" t="s">
        <v>509</v>
      </c>
      <c r="S1339" s="101">
        <v>30</v>
      </c>
      <c r="T1339" s="46" t="s">
        <v>6734</v>
      </c>
      <c r="U1339" s="46" t="s">
        <v>5515</v>
      </c>
      <c r="V1339" s="46" t="s">
        <v>5516</v>
      </c>
      <c r="W1339" s="46" t="s">
        <v>335</v>
      </c>
      <c r="X1339" s="131" t="s">
        <v>8116</v>
      </c>
      <c r="Y1339" s="46" t="s">
        <v>6820</v>
      </c>
      <c r="Z1339" s="46" t="s">
        <v>6821</v>
      </c>
      <c r="AA1339" s="46" t="s">
        <v>335</v>
      </c>
      <c r="AB1339" s="131" t="s">
        <v>8116</v>
      </c>
      <c r="AC1339" s="48" t="s">
        <v>6822</v>
      </c>
      <c r="AD1339" s="30"/>
      <c r="AE1339" s="200"/>
      <c r="AF1339" s="100"/>
    </row>
    <row r="1340" spans="1:32" s="29" customFormat="1" ht="69.95" hidden="1" customHeight="1">
      <c r="A1340" s="49" t="s">
        <v>5515</v>
      </c>
      <c r="B1340" s="49" t="s">
        <v>3769</v>
      </c>
      <c r="C1340" s="49">
        <v>15</v>
      </c>
      <c r="D1340" s="49"/>
      <c r="E1340" s="57" t="s">
        <v>64</v>
      </c>
      <c r="F1340" s="57" t="s">
        <v>64</v>
      </c>
      <c r="I1340" s="124" t="s">
        <v>9121</v>
      </c>
      <c r="J1340" s="29">
        <f t="shared" si="90"/>
        <v>1</v>
      </c>
      <c r="K1340" s="42">
        <v>1326</v>
      </c>
      <c r="L1340" s="152" t="s">
        <v>2817</v>
      </c>
      <c r="M1340" s="43" t="s">
        <v>405</v>
      </c>
      <c r="N1340" s="43" t="s">
        <v>56</v>
      </c>
      <c r="O1340" s="101" t="str">
        <f t="shared" si="95"/>
        <v>PE-L1-1C185-02</v>
      </c>
      <c r="P1340" s="51">
        <v>150</v>
      </c>
      <c r="Q1340" s="43">
        <v>220</v>
      </c>
      <c r="R1340" s="43" t="s">
        <v>509</v>
      </c>
      <c r="S1340" s="152">
        <v>30</v>
      </c>
      <c r="T1340" s="43" t="s">
        <v>6734</v>
      </c>
      <c r="U1340" s="43" t="s">
        <v>5515</v>
      </c>
      <c r="V1340" s="43" t="s">
        <v>5516</v>
      </c>
      <c r="W1340" s="43" t="s">
        <v>335</v>
      </c>
      <c r="X1340" s="131" t="s">
        <v>8116</v>
      </c>
      <c r="Y1340" s="43" t="s">
        <v>6820</v>
      </c>
      <c r="Z1340" s="43" t="s">
        <v>6821</v>
      </c>
      <c r="AA1340" s="43" t="s">
        <v>335</v>
      </c>
      <c r="AB1340" s="131" t="s">
        <v>8116</v>
      </c>
      <c r="AC1340" s="52" t="s">
        <v>6822</v>
      </c>
      <c r="AD1340" s="30"/>
      <c r="AE1340" s="197"/>
      <c r="AF1340" s="47"/>
    </row>
    <row r="1341" spans="1:32" s="29" customFormat="1" ht="69.95" hidden="1" customHeight="1">
      <c r="A1341" s="49" t="s">
        <v>5515</v>
      </c>
      <c r="B1341" s="49" t="s">
        <v>3769</v>
      </c>
      <c r="C1341" s="49">
        <v>16</v>
      </c>
      <c r="D1341" s="49"/>
      <c r="E1341" s="57" t="s">
        <v>64</v>
      </c>
      <c r="F1341" s="57" t="s">
        <v>64</v>
      </c>
      <c r="I1341" s="124" t="s">
        <v>9121</v>
      </c>
      <c r="J1341" s="29">
        <f t="shared" si="90"/>
        <v>1</v>
      </c>
      <c r="K1341" s="42">
        <v>1327</v>
      </c>
      <c r="L1341" s="152" t="s">
        <v>2818</v>
      </c>
      <c r="M1341" s="43" t="s">
        <v>405</v>
      </c>
      <c r="N1341" s="43" t="s">
        <v>56</v>
      </c>
      <c r="O1341" s="101" t="str">
        <f t="shared" si="95"/>
        <v>PE-L1-1C185-02</v>
      </c>
      <c r="P1341" s="51">
        <v>150</v>
      </c>
      <c r="Q1341" s="43">
        <v>220</v>
      </c>
      <c r="R1341" s="43" t="s">
        <v>509</v>
      </c>
      <c r="S1341" s="152">
        <v>30</v>
      </c>
      <c r="T1341" s="43" t="s">
        <v>6734</v>
      </c>
      <c r="U1341" s="43" t="s">
        <v>5515</v>
      </c>
      <c r="V1341" s="43" t="s">
        <v>5516</v>
      </c>
      <c r="W1341" s="43" t="s">
        <v>335</v>
      </c>
      <c r="X1341" s="131" t="s">
        <v>8117</v>
      </c>
      <c r="Y1341" s="43" t="s">
        <v>6820</v>
      </c>
      <c r="Z1341" s="43" t="s">
        <v>6821</v>
      </c>
      <c r="AA1341" s="43" t="s">
        <v>335</v>
      </c>
      <c r="AB1341" s="131" t="s">
        <v>8117</v>
      </c>
      <c r="AC1341" s="48" t="s">
        <v>6822</v>
      </c>
      <c r="AD1341" s="30"/>
      <c r="AE1341" s="197"/>
      <c r="AF1341" s="47"/>
    </row>
    <row r="1342" spans="1:32" s="29" customFormat="1" ht="69.95" hidden="1" customHeight="1">
      <c r="A1342" s="49" t="s">
        <v>5515</v>
      </c>
      <c r="B1342" s="49" t="s">
        <v>3769</v>
      </c>
      <c r="C1342" s="49">
        <v>17</v>
      </c>
      <c r="D1342" s="49"/>
      <c r="E1342" s="56" t="s">
        <v>64</v>
      </c>
      <c r="F1342" s="57" t="s">
        <v>64</v>
      </c>
      <c r="I1342" s="124" t="s">
        <v>9121</v>
      </c>
      <c r="J1342" s="29">
        <f t="shared" si="90"/>
        <v>1</v>
      </c>
      <c r="K1342" s="42">
        <v>1328</v>
      </c>
      <c r="L1342" s="152" t="s">
        <v>2819</v>
      </c>
      <c r="M1342" s="43" t="s">
        <v>405</v>
      </c>
      <c r="N1342" s="43" t="s">
        <v>56</v>
      </c>
      <c r="O1342" s="101" t="str">
        <f t="shared" si="95"/>
        <v>PE-L1-1C185-02</v>
      </c>
      <c r="P1342" s="51">
        <v>150</v>
      </c>
      <c r="Q1342" s="43">
        <v>220</v>
      </c>
      <c r="R1342" s="43" t="s">
        <v>509</v>
      </c>
      <c r="S1342" s="152">
        <v>30</v>
      </c>
      <c r="T1342" s="43" t="s">
        <v>6734</v>
      </c>
      <c r="U1342" s="43" t="s">
        <v>5515</v>
      </c>
      <c r="V1342" s="43" t="s">
        <v>5516</v>
      </c>
      <c r="W1342" s="43" t="s">
        <v>335</v>
      </c>
      <c r="X1342" s="131" t="s">
        <v>8117</v>
      </c>
      <c r="Y1342" s="43" t="s">
        <v>6820</v>
      </c>
      <c r="Z1342" s="43" t="s">
        <v>6821</v>
      </c>
      <c r="AA1342" s="43" t="s">
        <v>335</v>
      </c>
      <c r="AB1342" s="131" t="s">
        <v>8117</v>
      </c>
      <c r="AC1342" s="52" t="s">
        <v>6822</v>
      </c>
      <c r="AD1342" s="30"/>
      <c r="AE1342" s="197"/>
      <c r="AF1342" s="47"/>
    </row>
    <row r="1343" spans="1:32" s="32" customFormat="1" ht="69.95" hidden="1" customHeight="1">
      <c r="A1343" s="29" t="s">
        <v>5490</v>
      </c>
      <c r="B1343" s="29" t="s">
        <v>3769</v>
      </c>
      <c r="C1343" s="40" t="s">
        <v>40</v>
      </c>
      <c r="D1343" s="173" t="s">
        <v>9131</v>
      </c>
      <c r="E1343" s="80" t="s">
        <v>8038</v>
      </c>
      <c r="F1343" s="137" t="s">
        <v>8946</v>
      </c>
      <c r="G1343" s="29" t="s">
        <v>2820</v>
      </c>
      <c r="H1343" s="124" t="s">
        <v>9563</v>
      </c>
      <c r="I1343" s="124" t="s">
        <v>9121</v>
      </c>
      <c r="J1343" s="29">
        <f t="shared" si="90"/>
        <v>1</v>
      </c>
      <c r="K1343" s="42">
        <v>1329</v>
      </c>
      <c r="L1343" s="152" t="s">
        <v>2821</v>
      </c>
      <c r="M1343" s="44" t="s">
        <v>405</v>
      </c>
      <c r="N1343" s="44" t="s">
        <v>388</v>
      </c>
      <c r="O1343" s="166" t="str">
        <f t="shared" si="95"/>
        <v>PE-L1-5C150/95-02</v>
      </c>
      <c r="P1343" s="45">
        <v>150</v>
      </c>
      <c r="Q1343" s="44">
        <v>400</v>
      </c>
      <c r="R1343" s="44" t="s">
        <v>412</v>
      </c>
      <c r="S1343" s="101">
        <v>80</v>
      </c>
      <c r="T1343" s="46" t="s">
        <v>6734</v>
      </c>
      <c r="U1343" s="46" t="s">
        <v>5490</v>
      </c>
      <c r="V1343" s="46" t="s">
        <v>5491</v>
      </c>
      <c r="W1343" s="46" t="s">
        <v>335</v>
      </c>
      <c r="X1343" s="47" t="s">
        <v>9310</v>
      </c>
      <c r="Y1343" s="46" t="s">
        <v>6823</v>
      </c>
      <c r="Z1343" s="46" t="s">
        <v>6824</v>
      </c>
      <c r="AA1343" s="46" t="s">
        <v>335</v>
      </c>
      <c r="AB1343" s="47" t="s">
        <v>9310</v>
      </c>
      <c r="AC1343" s="48" t="s">
        <v>6825</v>
      </c>
      <c r="AD1343" s="30"/>
      <c r="AE1343" s="200"/>
      <c r="AF1343" s="100"/>
    </row>
    <row r="1344" spans="1:32" s="32" customFormat="1" ht="69.95" hidden="1" customHeight="1">
      <c r="A1344" s="29" t="s">
        <v>5498</v>
      </c>
      <c r="B1344" s="29" t="s">
        <v>3769</v>
      </c>
      <c r="C1344" s="40" t="s">
        <v>38</v>
      </c>
      <c r="D1344" s="40"/>
      <c r="E1344" s="59" t="s">
        <v>184</v>
      </c>
      <c r="F1344" s="57" t="s">
        <v>184</v>
      </c>
      <c r="G1344" s="29" t="s">
        <v>2822</v>
      </c>
      <c r="H1344" s="124" t="s">
        <v>9154</v>
      </c>
      <c r="I1344" s="124" t="s">
        <v>9121</v>
      </c>
      <c r="J1344" s="29">
        <f t="shared" si="90"/>
        <v>1</v>
      </c>
      <c r="K1344" s="42">
        <v>1330</v>
      </c>
      <c r="L1344" s="152" t="s">
        <v>2823</v>
      </c>
      <c r="M1344" s="44" t="s">
        <v>405</v>
      </c>
      <c r="N1344" s="44" t="s">
        <v>388</v>
      </c>
      <c r="O1344" s="101" t="str">
        <f t="shared" si="95"/>
        <v>PE-L1-5C150/95-03</v>
      </c>
      <c r="P1344" s="45">
        <v>150</v>
      </c>
      <c r="Q1344" s="44">
        <v>400</v>
      </c>
      <c r="R1344" s="44" t="s">
        <v>412</v>
      </c>
      <c r="S1344" s="101">
        <v>80</v>
      </c>
      <c r="T1344" s="46" t="s">
        <v>6734</v>
      </c>
      <c r="U1344" s="46" t="s">
        <v>5498</v>
      </c>
      <c r="V1344" s="46" t="s">
        <v>5499</v>
      </c>
      <c r="W1344" s="46" t="s">
        <v>335</v>
      </c>
      <c r="X1344" s="47" t="s">
        <v>9310</v>
      </c>
      <c r="Y1344" s="46" t="s">
        <v>6826</v>
      </c>
      <c r="Z1344" s="46" t="s">
        <v>6827</v>
      </c>
      <c r="AA1344" s="46" t="s">
        <v>335</v>
      </c>
      <c r="AB1344" s="47" t="s">
        <v>9310</v>
      </c>
      <c r="AC1344" s="48" t="s">
        <v>6828</v>
      </c>
      <c r="AD1344" s="30"/>
      <c r="AE1344" s="200"/>
      <c r="AF1344" s="100"/>
    </row>
    <row r="1345" spans="1:32" s="32" customFormat="1" ht="69.95" hidden="1" customHeight="1">
      <c r="A1345" s="29" t="s">
        <v>6202</v>
      </c>
      <c r="B1345" s="29" t="s">
        <v>3769</v>
      </c>
      <c r="C1345" s="40" t="s">
        <v>75</v>
      </c>
      <c r="D1345" s="173" t="s">
        <v>9131</v>
      </c>
      <c r="E1345" s="57" t="s">
        <v>165</v>
      </c>
      <c r="F1345" s="121" t="s">
        <v>8180</v>
      </c>
      <c r="G1345" s="29" t="s">
        <v>2824</v>
      </c>
      <c r="H1345" s="29"/>
      <c r="I1345" s="29"/>
      <c r="J1345" s="29">
        <f t="shared" si="90"/>
        <v>1</v>
      </c>
      <c r="K1345" s="42">
        <v>1331</v>
      </c>
      <c r="L1345" s="43" t="s">
        <v>2825</v>
      </c>
      <c r="M1345" s="44" t="s">
        <v>405</v>
      </c>
      <c r="N1345" s="44" t="s">
        <v>426</v>
      </c>
      <c r="O1345" s="121" t="str">
        <f t="shared" si="95"/>
        <v>PE-L1-3C4-17</v>
      </c>
      <c r="P1345" s="45">
        <v>0.15</v>
      </c>
      <c r="Q1345" s="44">
        <v>230</v>
      </c>
      <c r="R1345" s="44" t="s">
        <v>49</v>
      </c>
      <c r="S1345" s="44">
        <v>50</v>
      </c>
      <c r="T1345" s="46" t="s">
        <v>6734</v>
      </c>
      <c r="U1345" s="46" t="s">
        <v>6202</v>
      </c>
      <c r="V1345" s="46" t="s">
        <v>6203</v>
      </c>
      <c r="W1345" s="46" t="s">
        <v>335</v>
      </c>
      <c r="X1345" s="172" t="s">
        <v>9167</v>
      </c>
      <c r="Y1345" s="46" t="s">
        <v>6829</v>
      </c>
      <c r="Z1345" s="46" t="s">
        <v>6830</v>
      </c>
      <c r="AA1345" s="46" t="s">
        <v>335</v>
      </c>
      <c r="AB1345" s="172" t="s">
        <v>9167</v>
      </c>
      <c r="AC1345" s="48" t="s">
        <v>6831</v>
      </c>
      <c r="AD1345" s="30"/>
      <c r="AE1345" s="200"/>
      <c r="AF1345" s="100"/>
    </row>
    <row r="1346" spans="1:32" s="32" customFormat="1" ht="69.95" hidden="1" customHeight="1">
      <c r="A1346" s="29" t="s">
        <v>5511</v>
      </c>
      <c r="B1346" s="29" t="s">
        <v>3769</v>
      </c>
      <c r="C1346" s="40">
        <v>18</v>
      </c>
      <c r="D1346" s="40"/>
      <c r="E1346" s="58" t="s">
        <v>8359</v>
      </c>
      <c r="F1346" s="58" t="s">
        <v>8359</v>
      </c>
      <c r="G1346" s="29" t="s">
        <v>2826</v>
      </c>
      <c r="H1346" s="29"/>
      <c r="I1346" s="29"/>
      <c r="J1346" s="29">
        <f t="shared" si="90"/>
        <v>1</v>
      </c>
      <c r="K1346" s="42">
        <v>1332</v>
      </c>
      <c r="L1346" s="43" t="s">
        <v>2827</v>
      </c>
      <c r="M1346" s="44" t="s">
        <v>405</v>
      </c>
      <c r="N1346" s="44" t="s">
        <v>8358</v>
      </c>
      <c r="O1346" s="44" t="str">
        <f t="shared" ref="O1346:O1350" si="96">F1346</f>
        <v>PE-L1-1C500-33</v>
      </c>
      <c r="P1346" s="45">
        <v>31</v>
      </c>
      <c r="Q1346" s="44">
        <v>220</v>
      </c>
      <c r="R1346" s="44" t="s">
        <v>509</v>
      </c>
      <c r="S1346" s="44">
        <v>480</v>
      </c>
      <c r="T1346" s="46" t="s">
        <v>6734</v>
      </c>
      <c r="U1346" s="46" t="s">
        <v>5511</v>
      </c>
      <c r="V1346" s="46" t="s">
        <v>5512</v>
      </c>
      <c r="W1346" s="46" t="s">
        <v>335</v>
      </c>
      <c r="X1346" s="131" t="s">
        <v>8116</v>
      </c>
      <c r="Y1346" s="46" t="s">
        <v>6551</v>
      </c>
      <c r="Z1346" s="46" t="s">
        <v>6832</v>
      </c>
      <c r="AA1346" s="46" t="s">
        <v>4549</v>
      </c>
      <c r="AB1346" s="131" t="s">
        <v>8116</v>
      </c>
      <c r="AC1346" s="48" t="s">
        <v>6833</v>
      </c>
      <c r="AD1346" s="30"/>
      <c r="AE1346" s="200"/>
      <c r="AF1346" s="100"/>
    </row>
    <row r="1347" spans="1:32" s="29" customFormat="1" ht="69.95" hidden="1" customHeight="1">
      <c r="A1347" s="49" t="s">
        <v>5511</v>
      </c>
      <c r="B1347" s="49" t="s">
        <v>3769</v>
      </c>
      <c r="C1347" s="49">
        <v>19</v>
      </c>
      <c r="D1347" s="49"/>
      <c r="E1347" s="58" t="s">
        <v>8360</v>
      </c>
      <c r="F1347" s="58" t="s">
        <v>8360</v>
      </c>
      <c r="J1347" s="29">
        <f t="shared" si="90"/>
        <v>1</v>
      </c>
      <c r="K1347" s="42">
        <v>1333</v>
      </c>
      <c r="L1347" s="43" t="s">
        <v>2828</v>
      </c>
      <c r="M1347" s="43" t="s">
        <v>405</v>
      </c>
      <c r="N1347" s="44" t="s">
        <v>8358</v>
      </c>
      <c r="O1347" s="44" t="str">
        <f t="shared" si="96"/>
        <v>PE-L1-1C500-34</v>
      </c>
      <c r="P1347" s="45">
        <v>31</v>
      </c>
      <c r="Q1347" s="43">
        <v>220</v>
      </c>
      <c r="R1347" s="43" t="s">
        <v>509</v>
      </c>
      <c r="S1347" s="43">
        <v>480</v>
      </c>
      <c r="T1347" s="43" t="s">
        <v>6734</v>
      </c>
      <c r="U1347" s="43" t="s">
        <v>5511</v>
      </c>
      <c r="V1347" s="43" t="s">
        <v>5512</v>
      </c>
      <c r="W1347" s="43" t="s">
        <v>335</v>
      </c>
      <c r="X1347" s="131" t="s">
        <v>8117</v>
      </c>
      <c r="Y1347" s="43" t="s">
        <v>6551</v>
      </c>
      <c r="Z1347" s="43" t="s">
        <v>6832</v>
      </c>
      <c r="AA1347" s="43" t="s">
        <v>4549</v>
      </c>
      <c r="AB1347" s="131" t="s">
        <v>8117</v>
      </c>
      <c r="AC1347" s="52" t="s">
        <v>6833</v>
      </c>
      <c r="AD1347" s="30"/>
      <c r="AE1347" s="197"/>
      <c r="AF1347" s="47"/>
    </row>
    <row r="1348" spans="1:32" s="32" customFormat="1" ht="69.95" hidden="1" customHeight="1">
      <c r="A1348" s="29" t="s">
        <v>5515</v>
      </c>
      <c r="B1348" s="29" t="s">
        <v>3769</v>
      </c>
      <c r="C1348" s="40">
        <v>18</v>
      </c>
      <c r="D1348" s="40"/>
      <c r="E1348" s="58" t="s">
        <v>8361</v>
      </c>
      <c r="F1348" s="58" t="s">
        <v>8361</v>
      </c>
      <c r="G1348" s="29" t="s">
        <v>2829</v>
      </c>
      <c r="H1348" s="29"/>
      <c r="I1348" s="29"/>
      <c r="J1348" s="29">
        <f t="shared" si="90"/>
        <v>1</v>
      </c>
      <c r="K1348" s="42">
        <v>1334</v>
      </c>
      <c r="L1348" s="43" t="s">
        <v>2830</v>
      </c>
      <c r="M1348" s="44" t="s">
        <v>405</v>
      </c>
      <c r="N1348" s="44" t="s">
        <v>8358</v>
      </c>
      <c r="O1348" s="44" t="str">
        <f t="shared" si="96"/>
        <v>PE-L1-1C500-35</v>
      </c>
      <c r="P1348" s="45">
        <v>31</v>
      </c>
      <c r="Q1348" s="44">
        <v>220</v>
      </c>
      <c r="R1348" s="44" t="s">
        <v>509</v>
      </c>
      <c r="S1348" s="44">
        <v>470</v>
      </c>
      <c r="T1348" s="46" t="s">
        <v>6734</v>
      </c>
      <c r="U1348" s="46" t="s">
        <v>5515</v>
      </c>
      <c r="V1348" s="46" t="s">
        <v>5516</v>
      </c>
      <c r="W1348" s="46" t="s">
        <v>335</v>
      </c>
      <c r="X1348" s="131" t="s">
        <v>8116</v>
      </c>
      <c r="Y1348" s="46" t="s">
        <v>6555</v>
      </c>
      <c r="Z1348" s="46" t="s">
        <v>6834</v>
      </c>
      <c r="AA1348" s="46" t="s">
        <v>4549</v>
      </c>
      <c r="AB1348" s="131" t="s">
        <v>8116</v>
      </c>
      <c r="AC1348" s="48" t="s">
        <v>6835</v>
      </c>
      <c r="AD1348" s="30"/>
      <c r="AE1348" s="200"/>
      <c r="AF1348" s="100"/>
    </row>
    <row r="1349" spans="1:32" s="29" customFormat="1" ht="69.95" hidden="1" customHeight="1">
      <c r="A1349" s="49" t="s">
        <v>5515</v>
      </c>
      <c r="B1349" s="49" t="e">
        <v>#REF!</v>
      </c>
      <c r="C1349" s="49">
        <v>19</v>
      </c>
      <c r="D1349" s="49"/>
      <c r="E1349" s="58" t="s">
        <v>8362</v>
      </c>
      <c r="F1349" s="58" t="s">
        <v>8362</v>
      </c>
      <c r="J1349" s="29">
        <f t="shared" si="90"/>
        <v>1</v>
      </c>
      <c r="K1349" s="42">
        <v>1335</v>
      </c>
      <c r="L1349" s="43" t="s">
        <v>2831</v>
      </c>
      <c r="M1349" s="43" t="s">
        <v>405</v>
      </c>
      <c r="N1349" s="44" t="s">
        <v>8358</v>
      </c>
      <c r="O1349" s="44" t="str">
        <f t="shared" si="96"/>
        <v>PE-L1-1C500-36</v>
      </c>
      <c r="P1349" s="45">
        <v>31</v>
      </c>
      <c r="Q1349" s="43">
        <v>220</v>
      </c>
      <c r="R1349" s="43" t="s">
        <v>509</v>
      </c>
      <c r="S1349" s="43">
        <v>470</v>
      </c>
      <c r="T1349" s="43" t="s">
        <v>6734</v>
      </c>
      <c r="U1349" s="43" t="s">
        <v>5515</v>
      </c>
      <c r="V1349" s="43" t="s">
        <v>5516</v>
      </c>
      <c r="W1349" s="43" t="s">
        <v>335</v>
      </c>
      <c r="X1349" s="131" t="s">
        <v>8117</v>
      </c>
      <c r="Y1349" s="43" t="s">
        <v>6555</v>
      </c>
      <c r="Z1349" s="43" t="s">
        <v>6834</v>
      </c>
      <c r="AA1349" s="43" t="s">
        <v>4549</v>
      </c>
      <c r="AB1349" s="131" t="s">
        <v>8117</v>
      </c>
      <c r="AC1349" s="52" t="s">
        <v>6835</v>
      </c>
      <c r="AD1349" s="30"/>
      <c r="AE1349" s="197"/>
      <c r="AF1349" s="47"/>
    </row>
    <row r="1350" spans="1:32" s="32" customFormat="1" ht="69.95" hidden="1" customHeight="1">
      <c r="A1350" s="29" t="s">
        <v>4688</v>
      </c>
      <c r="B1350" s="29" t="s">
        <v>3769</v>
      </c>
      <c r="C1350" s="40">
        <v>19</v>
      </c>
      <c r="D1350" s="40"/>
      <c r="E1350" s="57" t="s">
        <v>85</v>
      </c>
      <c r="F1350" s="57" t="s">
        <v>85</v>
      </c>
      <c r="G1350" s="29" t="s">
        <v>2832</v>
      </c>
      <c r="H1350" s="29"/>
      <c r="I1350" s="29"/>
      <c r="J1350" s="29">
        <f t="shared" si="90"/>
        <v>1</v>
      </c>
      <c r="K1350" s="42">
        <v>1336</v>
      </c>
      <c r="L1350" s="43" t="s">
        <v>2833</v>
      </c>
      <c r="M1350" s="44" t="s">
        <v>405</v>
      </c>
      <c r="N1350" s="44" t="s">
        <v>426</v>
      </c>
      <c r="O1350" s="44" t="str">
        <f t="shared" si="96"/>
        <v>PE-L1-3C4-16</v>
      </c>
      <c r="P1350" s="45">
        <v>0.3</v>
      </c>
      <c r="Q1350" s="44">
        <v>230</v>
      </c>
      <c r="R1350" s="44" t="s">
        <v>49</v>
      </c>
      <c r="S1350" s="44">
        <v>60</v>
      </c>
      <c r="T1350" s="46" t="s">
        <v>6734</v>
      </c>
      <c r="U1350" s="46" t="s">
        <v>4688</v>
      </c>
      <c r="V1350" s="46" t="s">
        <v>4689</v>
      </c>
      <c r="W1350" s="46" t="s">
        <v>4549</v>
      </c>
      <c r="X1350" s="172" t="s">
        <v>9167</v>
      </c>
      <c r="Y1350" s="46" t="s">
        <v>6551</v>
      </c>
      <c r="Z1350" s="46" t="s">
        <v>6832</v>
      </c>
      <c r="AA1350" s="46" t="s">
        <v>4549</v>
      </c>
      <c r="AB1350" s="172" t="s">
        <v>9167</v>
      </c>
      <c r="AC1350" s="48" t="s">
        <v>6811</v>
      </c>
      <c r="AD1350" s="30"/>
      <c r="AE1350" s="200"/>
      <c r="AF1350" s="100"/>
    </row>
    <row r="1351" spans="1:32" s="32" customFormat="1" ht="69.95" hidden="1" customHeight="1">
      <c r="A1351" s="29" t="s">
        <v>6317</v>
      </c>
      <c r="B1351" s="29" t="s">
        <v>3769</v>
      </c>
      <c r="C1351" s="40">
        <v>27</v>
      </c>
      <c r="D1351" s="40"/>
      <c r="E1351" s="56" t="s">
        <v>248</v>
      </c>
      <c r="F1351" s="56" t="s">
        <v>248</v>
      </c>
      <c r="G1351" s="29" t="s">
        <v>2834</v>
      </c>
      <c r="H1351" s="29"/>
      <c r="I1351" s="124" t="s">
        <v>9121</v>
      </c>
      <c r="J1351" s="29">
        <f t="shared" si="90"/>
        <v>1</v>
      </c>
      <c r="K1351" s="42">
        <v>1337</v>
      </c>
      <c r="L1351" s="152" t="s">
        <v>2835</v>
      </c>
      <c r="M1351" s="44" t="s">
        <v>405</v>
      </c>
      <c r="N1351" s="44" t="s">
        <v>578</v>
      </c>
      <c r="O1351" s="101" t="str">
        <f t="shared" ref="O1351:O1368" si="97">F1351</f>
        <v>PE-L1-2C4-02</v>
      </c>
      <c r="P1351" s="45">
        <v>1.02</v>
      </c>
      <c r="Q1351" s="44">
        <v>220</v>
      </c>
      <c r="R1351" s="44" t="s">
        <v>509</v>
      </c>
      <c r="S1351" s="101">
        <v>120</v>
      </c>
      <c r="T1351" s="46" t="s">
        <v>6836</v>
      </c>
      <c r="U1351" s="46" t="s">
        <v>6317</v>
      </c>
      <c r="V1351" s="46" t="s">
        <v>6318</v>
      </c>
      <c r="W1351" s="46" t="s">
        <v>335</v>
      </c>
      <c r="X1351" s="172" t="s">
        <v>8942</v>
      </c>
      <c r="Y1351" s="46" t="s">
        <v>6837</v>
      </c>
      <c r="Z1351" s="46" t="s">
        <v>6838</v>
      </c>
      <c r="AA1351" s="46" t="s">
        <v>335</v>
      </c>
      <c r="AB1351" s="172" t="s">
        <v>8942</v>
      </c>
      <c r="AC1351" s="48" t="s">
        <v>6839</v>
      </c>
      <c r="AD1351" s="30"/>
      <c r="AE1351" s="200"/>
      <c r="AF1351" s="100"/>
    </row>
    <row r="1352" spans="1:32" s="32" customFormat="1" ht="69.95" hidden="1" customHeight="1">
      <c r="A1352" s="29" t="s">
        <v>6322</v>
      </c>
      <c r="B1352" s="29" t="s">
        <v>3769</v>
      </c>
      <c r="C1352" s="40">
        <v>27</v>
      </c>
      <c r="D1352" s="40"/>
      <c r="E1352" s="56" t="s">
        <v>248</v>
      </c>
      <c r="F1352" s="56" t="s">
        <v>248</v>
      </c>
      <c r="G1352" s="29" t="s">
        <v>2836</v>
      </c>
      <c r="H1352" s="29"/>
      <c r="I1352" s="124" t="s">
        <v>9121</v>
      </c>
      <c r="J1352" s="29">
        <f t="shared" ref="J1352:J1415" si="98">COUNTIF(L:L,L1352)</f>
        <v>1</v>
      </c>
      <c r="K1352" s="42">
        <v>1338</v>
      </c>
      <c r="L1352" s="152" t="s">
        <v>2837</v>
      </c>
      <c r="M1352" s="44" t="s">
        <v>405</v>
      </c>
      <c r="N1352" s="44" t="s">
        <v>578</v>
      </c>
      <c r="O1352" s="101" t="str">
        <f t="shared" si="97"/>
        <v>PE-L1-2C4-02</v>
      </c>
      <c r="P1352" s="45">
        <v>1.02</v>
      </c>
      <c r="Q1352" s="44">
        <v>220</v>
      </c>
      <c r="R1352" s="44" t="s">
        <v>509</v>
      </c>
      <c r="S1352" s="101">
        <v>120</v>
      </c>
      <c r="T1352" s="46" t="s">
        <v>6836</v>
      </c>
      <c r="U1352" s="46" t="s">
        <v>6322</v>
      </c>
      <c r="V1352" s="46" t="s">
        <v>6323</v>
      </c>
      <c r="W1352" s="46" t="s">
        <v>335</v>
      </c>
      <c r="X1352" s="172" t="s">
        <v>8942</v>
      </c>
      <c r="Y1352" s="46" t="s">
        <v>6837</v>
      </c>
      <c r="Z1352" s="46" t="s">
        <v>6838</v>
      </c>
      <c r="AA1352" s="46" t="s">
        <v>335</v>
      </c>
      <c r="AB1352" s="172" t="s">
        <v>8942</v>
      </c>
      <c r="AC1352" s="48" t="s">
        <v>6840</v>
      </c>
      <c r="AD1352" s="30"/>
      <c r="AE1352" s="200"/>
      <c r="AF1352" s="100"/>
    </row>
    <row r="1353" spans="1:32" s="32" customFormat="1" ht="69.95" hidden="1" customHeight="1">
      <c r="A1353" s="29" t="s">
        <v>3948</v>
      </c>
      <c r="B1353" s="29" t="s">
        <v>3769</v>
      </c>
      <c r="C1353" s="40" t="s">
        <v>73</v>
      </c>
      <c r="D1353" s="173" t="s">
        <v>9131</v>
      </c>
      <c r="E1353" s="57" t="s">
        <v>85</v>
      </c>
      <c r="F1353" s="121" t="s">
        <v>118</v>
      </c>
      <c r="G1353" s="29" t="s">
        <v>2838</v>
      </c>
      <c r="H1353" s="29"/>
      <c r="I1353" s="124" t="s">
        <v>9121</v>
      </c>
      <c r="J1353" s="29">
        <f t="shared" si="98"/>
        <v>1</v>
      </c>
      <c r="K1353" s="42">
        <v>1339</v>
      </c>
      <c r="L1353" s="43" t="s">
        <v>2839</v>
      </c>
      <c r="M1353" s="44" t="s">
        <v>405</v>
      </c>
      <c r="N1353" s="44" t="s">
        <v>426</v>
      </c>
      <c r="O1353" s="121" t="str">
        <f t="shared" si="97"/>
        <v>PE-L1-3C4-04</v>
      </c>
      <c r="P1353" s="45">
        <v>0.12</v>
      </c>
      <c r="Q1353" s="44">
        <v>230</v>
      </c>
      <c r="R1353" s="44" t="s">
        <v>49</v>
      </c>
      <c r="S1353" s="44">
        <v>130</v>
      </c>
      <c r="T1353" s="46" t="s">
        <v>6836</v>
      </c>
      <c r="U1353" s="46" t="s">
        <v>3948</v>
      </c>
      <c r="V1353" s="46" t="s">
        <v>3949</v>
      </c>
      <c r="W1353" s="46" t="s">
        <v>335</v>
      </c>
      <c r="X1353" s="172" t="s">
        <v>9167</v>
      </c>
      <c r="Y1353" s="46" t="s">
        <v>6837</v>
      </c>
      <c r="Z1353" s="46" t="s">
        <v>6838</v>
      </c>
      <c r="AA1353" s="46" t="s">
        <v>335</v>
      </c>
      <c r="AB1353" s="172" t="s">
        <v>9167</v>
      </c>
      <c r="AC1353" s="48" t="s">
        <v>6841</v>
      </c>
      <c r="AD1353" s="30"/>
      <c r="AE1353" s="200"/>
      <c r="AF1353" s="100"/>
    </row>
    <row r="1354" spans="1:32" s="32" customFormat="1" ht="69.95" hidden="1" customHeight="1">
      <c r="A1354" s="29" t="s">
        <v>6317</v>
      </c>
      <c r="B1354" s="29" t="s">
        <v>3769</v>
      </c>
      <c r="C1354" s="40">
        <v>28</v>
      </c>
      <c r="D1354" s="40"/>
      <c r="E1354" s="56" t="s">
        <v>248</v>
      </c>
      <c r="F1354" s="56" t="s">
        <v>248</v>
      </c>
      <c r="G1354" s="29" t="s">
        <v>2840</v>
      </c>
      <c r="H1354" s="29"/>
      <c r="I1354" s="124" t="s">
        <v>9121</v>
      </c>
      <c r="J1354" s="29">
        <f t="shared" si="98"/>
        <v>1</v>
      </c>
      <c r="K1354" s="42">
        <v>1340</v>
      </c>
      <c r="L1354" s="152" t="s">
        <v>2841</v>
      </c>
      <c r="M1354" s="44" t="s">
        <v>405</v>
      </c>
      <c r="N1354" s="44" t="s">
        <v>578</v>
      </c>
      <c r="O1354" s="101" t="str">
        <f t="shared" si="97"/>
        <v>PE-L1-2C4-02</v>
      </c>
      <c r="P1354" s="45">
        <v>0.51</v>
      </c>
      <c r="Q1354" s="44">
        <v>220</v>
      </c>
      <c r="R1354" s="44" t="s">
        <v>509</v>
      </c>
      <c r="S1354" s="101">
        <v>120</v>
      </c>
      <c r="T1354" s="46" t="s">
        <v>6836</v>
      </c>
      <c r="U1354" s="46" t="s">
        <v>6317</v>
      </c>
      <c r="V1354" s="46" t="s">
        <v>6318</v>
      </c>
      <c r="W1354" s="46" t="s">
        <v>335</v>
      </c>
      <c r="X1354" s="172" t="s">
        <v>8942</v>
      </c>
      <c r="Y1354" s="46" t="s">
        <v>6842</v>
      </c>
      <c r="Z1354" s="46" t="s">
        <v>6843</v>
      </c>
      <c r="AA1354" s="46" t="s">
        <v>335</v>
      </c>
      <c r="AB1354" s="172" t="s">
        <v>8942</v>
      </c>
      <c r="AC1354" s="48" t="s">
        <v>6844</v>
      </c>
      <c r="AD1354" s="30"/>
      <c r="AE1354" s="200"/>
      <c r="AF1354" s="100"/>
    </row>
    <row r="1355" spans="1:32" s="32" customFormat="1" ht="69.95" hidden="1" customHeight="1">
      <c r="A1355" s="29" t="s">
        <v>6322</v>
      </c>
      <c r="B1355" s="29" t="s">
        <v>3769</v>
      </c>
      <c r="C1355" s="40">
        <v>28</v>
      </c>
      <c r="D1355" s="40"/>
      <c r="E1355" s="56" t="s">
        <v>248</v>
      </c>
      <c r="F1355" s="56" t="s">
        <v>248</v>
      </c>
      <c r="G1355" s="29" t="s">
        <v>2842</v>
      </c>
      <c r="H1355" s="29"/>
      <c r="I1355" s="124" t="s">
        <v>9121</v>
      </c>
      <c r="J1355" s="29">
        <f t="shared" si="98"/>
        <v>1</v>
      </c>
      <c r="K1355" s="42">
        <v>1341</v>
      </c>
      <c r="L1355" s="152" t="s">
        <v>2843</v>
      </c>
      <c r="M1355" s="44" t="s">
        <v>405</v>
      </c>
      <c r="N1355" s="44" t="s">
        <v>578</v>
      </c>
      <c r="O1355" s="101" t="str">
        <f t="shared" si="97"/>
        <v>PE-L1-2C4-02</v>
      </c>
      <c r="P1355" s="45">
        <v>0.51</v>
      </c>
      <c r="Q1355" s="44">
        <v>220</v>
      </c>
      <c r="R1355" s="44" t="s">
        <v>509</v>
      </c>
      <c r="S1355" s="101">
        <v>120</v>
      </c>
      <c r="T1355" s="46" t="s">
        <v>6836</v>
      </c>
      <c r="U1355" s="46" t="s">
        <v>6322</v>
      </c>
      <c r="V1355" s="46" t="s">
        <v>6323</v>
      </c>
      <c r="W1355" s="46" t="s">
        <v>335</v>
      </c>
      <c r="X1355" s="172" t="s">
        <v>8942</v>
      </c>
      <c r="Y1355" s="46" t="s">
        <v>6842</v>
      </c>
      <c r="Z1355" s="46" t="s">
        <v>6843</v>
      </c>
      <c r="AA1355" s="46" t="s">
        <v>335</v>
      </c>
      <c r="AB1355" s="172" t="s">
        <v>8942</v>
      </c>
      <c r="AC1355" s="48" t="s">
        <v>6840</v>
      </c>
      <c r="AD1355" s="30"/>
      <c r="AE1355" s="200"/>
      <c r="AF1355" s="100"/>
    </row>
    <row r="1356" spans="1:32" s="32" customFormat="1" ht="69.95" hidden="1" customHeight="1">
      <c r="A1356" s="29" t="s">
        <v>5096</v>
      </c>
      <c r="B1356" s="29" t="s">
        <v>3769</v>
      </c>
      <c r="C1356" s="40">
        <v>12</v>
      </c>
      <c r="D1356" s="40"/>
      <c r="E1356" s="57" t="s">
        <v>173</v>
      </c>
      <c r="F1356" s="57" t="s">
        <v>173</v>
      </c>
      <c r="G1356" s="29" t="s">
        <v>2844</v>
      </c>
      <c r="H1356" s="29"/>
      <c r="I1356" s="124" t="s">
        <v>9121</v>
      </c>
      <c r="J1356" s="29">
        <f t="shared" si="98"/>
        <v>1</v>
      </c>
      <c r="K1356" s="42">
        <v>1342</v>
      </c>
      <c r="L1356" s="152" t="s">
        <v>2845</v>
      </c>
      <c r="M1356" s="44" t="s">
        <v>405</v>
      </c>
      <c r="N1356" s="44" t="s">
        <v>426</v>
      </c>
      <c r="O1356" s="101" t="str">
        <f t="shared" si="97"/>
        <v>PE-L1-3C4-10</v>
      </c>
      <c r="P1356" s="45">
        <v>0.12</v>
      </c>
      <c r="Q1356" s="44">
        <v>230</v>
      </c>
      <c r="R1356" s="44" t="s">
        <v>49</v>
      </c>
      <c r="S1356" s="101">
        <v>140</v>
      </c>
      <c r="T1356" s="46" t="s">
        <v>6836</v>
      </c>
      <c r="U1356" s="46" t="s">
        <v>5096</v>
      </c>
      <c r="V1356" s="46" t="s">
        <v>5097</v>
      </c>
      <c r="W1356" s="46" t="s">
        <v>335</v>
      </c>
      <c r="X1356" s="172" t="s">
        <v>9167</v>
      </c>
      <c r="Y1356" s="46" t="s">
        <v>6842</v>
      </c>
      <c r="Z1356" s="46" t="s">
        <v>6843</v>
      </c>
      <c r="AA1356" s="46" t="s">
        <v>335</v>
      </c>
      <c r="AB1356" s="172" t="s">
        <v>9167</v>
      </c>
      <c r="AC1356" s="48" t="s">
        <v>6845</v>
      </c>
      <c r="AD1356" s="30"/>
      <c r="AE1356" s="200"/>
      <c r="AF1356" s="100"/>
    </row>
    <row r="1357" spans="1:32" s="32" customFormat="1" ht="69.95" hidden="1" customHeight="1">
      <c r="A1357" s="29" t="s">
        <v>6322</v>
      </c>
      <c r="B1357" s="29" t="s">
        <v>3769</v>
      </c>
      <c r="C1357" s="40">
        <v>29</v>
      </c>
      <c r="D1357" s="40"/>
      <c r="E1357" s="56" t="s">
        <v>248</v>
      </c>
      <c r="F1357" s="56" t="s">
        <v>248</v>
      </c>
      <c r="G1357" s="29" t="s">
        <v>2846</v>
      </c>
      <c r="H1357" s="29"/>
      <c r="I1357" s="124" t="s">
        <v>9121</v>
      </c>
      <c r="J1357" s="29">
        <f t="shared" si="98"/>
        <v>1</v>
      </c>
      <c r="K1357" s="42">
        <v>1343</v>
      </c>
      <c r="L1357" s="152" t="s">
        <v>2847</v>
      </c>
      <c r="M1357" s="44" t="s">
        <v>405</v>
      </c>
      <c r="N1357" s="44" t="s">
        <v>578</v>
      </c>
      <c r="O1357" s="101" t="str">
        <f t="shared" si="97"/>
        <v>PE-L1-2C4-02</v>
      </c>
      <c r="P1357" s="45">
        <v>0.51</v>
      </c>
      <c r="Q1357" s="44">
        <v>220</v>
      </c>
      <c r="R1357" s="44" t="s">
        <v>509</v>
      </c>
      <c r="S1357" s="101">
        <v>130</v>
      </c>
      <c r="T1357" s="46" t="s">
        <v>6836</v>
      </c>
      <c r="U1357" s="46" t="s">
        <v>6322</v>
      </c>
      <c r="V1357" s="46" t="s">
        <v>6323</v>
      </c>
      <c r="W1357" s="46" t="s">
        <v>335</v>
      </c>
      <c r="X1357" s="172" t="s">
        <v>8942</v>
      </c>
      <c r="Y1357" s="46" t="s">
        <v>6846</v>
      </c>
      <c r="Z1357" s="46" t="s">
        <v>6847</v>
      </c>
      <c r="AA1357" s="46" t="s">
        <v>335</v>
      </c>
      <c r="AB1357" s="172" t="s">
        <v>8942</v>
      </c>
      <c r="AC1357" s="48" t="s">
        <v>6848</v>
      </c>
      <c r="AD1357" s="30"/>
      <c r="AE1357" s="200"/>
      <c r="AF1357" s="100"/>
    </row>
    <row r="1358" spans="1:32" s="32" customFormat="1" ht="69.95" hidden="1" customHeight="1">
      <c r="A1358" s="29" t="s">
        <v>6317</v>
      </c>
      <c r="B1358" s="29" t="s">
        <v>3769</v>
      </c>
      <c r="C1358" s="40">
        <v>29</v>
      </c>
      <c r="D1358" s="40"/>
      <c r="E1358" s="56" t="s">
        <v>248</v>
      </c>
      <c r="F1358" s="56" t="s">
        <v>248</v>
      </c>
      <c r="G1358" s="29" t="s">
        <v>2848</v>
      </c>
      <c r="H1358" s="29"/>
      <c r="I1358" s="124" t="s">
        <v>9121</v>
      </c>
      <c r="J1358" s="29">
        <f t="shared" si="98"/>
        <v>1</v>
      </c>
      <c r="K1358" s="42">
        <v>1344</v>
      </c>
      <c r="L1358" s="152" t="s">
        <v>2849</v>
      </c>
      <c r="M1358" s="44" t="s">
        <v>405</v>
      </c>
      <c r="N1358" s="44" t="s">
        <v>578</v>
      </c>
      <c r="O1358" s="101" t="str">
        <f t="shared" si="97"/>
        <v>PE-L1-2C4-02</v>
      </c>
      <c r="P1358" s="45">
        <v>0.51</v>
      </c>
      <c r="Q1358" s="44">
        <v>220</v>
      </c>
      <c r="R1358" s="44" t="s">
        <v>509</v>
      </c>
      <c r="S1358" s="101">
        <v>110</v>
      </c>
      <c r="T1358" s="46" t="s">
        <v>6836</v>
      </c>
      <c r="U1358" s="46" t="s">
        <v>6317</v>
      </c>
      <c r="V1358" s="46" t="s">
        <v>6318</v>
      </c>
      <c r="W1358" s="46" t="s">
        <v>335</v>
      </c>
      <c r="X1358" s="172" t="s">
        <v>8942</v>
      </c>
      <c r="Y1358" s="46" t="s">
        <v>6846</v>
      </c>
      <c r="Z1358" s="46" t="s">
        <v>6847</v>
      </c>
      <c r="AA1358" s="46" t="s">
        <v>335</v>
      </c>
      <c r="AB1358" s="172" t="s">
        <v>8942</v>
      </c>
      <c r="AC1358" s="48" t="s">
        <v>6849</v>
      </c>
      <c r="AD1358" s="30"/>
      <c r="AE1358" s="200"/>
      <c r="AF1358" s="100"/>
    </row>
    <row r="1359" spans="1:32" s="32" customFormat="1" ht="69.95" hidden="1" customHeight="1">
      <c r="A1359" s="29" t="s">
        <v>5096</v>
      </c>
      <c r="B1359" s="29" t="s">
        <v>3769</v>
      </c>
      <c r="C1359" s="40">
        <v>13</v>
      </c>
      <c r="D1359" s="173" t="s">
        <v>9131</v>
      </c>
      <c r="E1359" s="57" t="s">
        <v>85</v>
      </c>
      <c r="F1359" s="121" t="s">
        <v>118</v>
      </c>
      <c r="G1359" s="29" t="s">
        <v>2850</v>
      </c>
      <c r="H1359" s="29"/>
      <c r="I1359" s="124" t="s">
        <v>9121</v>
      </c>
      <c r="J1359" s="29">
        <f t="shared" si="98"/>
        <v>1</v>
      </c>
      <c r="K1359" s="42">
        <v>1345</v>
      </c>
      <c r="L1359" s="43" t="s">
        <v>2851</v>
      </c>
      <c r="M1359" s="44" t="s">
        <v>405</v>
      </c>
      <c r="N1359" s="44" t="s">
        <v>426</v>
      </c>
      <c r="O1359" s="121" t="str">
        <f t="shared" si="97"/>
        <v>PE-L1-3C4-04</v>
      </c>
      <c r="P1359" s="45">
        <v>0.12</v>
      </c>
      <c r="Q1359" s="44">
        <v>230</v>
      </c>
      <c r="R1359" s="44" t="s">
        <v>49</v>
      </c>
      <c r="S1359" s="44">
        <v>140</v>
      </c>
      <c r="T1359" s="46" t="s">
        <v>6836</v>
      </c>
      <c r="U1359" s="46" t="s">
        <v>5096</v>
      </c>
      <c r="V1359" s="46" t="s">
        <v>5097</v>
      </c>
      <c r="W1359" s="46" t="s">
        <v>335</v>
      </c>
      <c r="X1359" s="172" t="s">
        <v>9167</v>
      </c>
      <c r="Y1359" s="46" t="s">
        <v>6846</v>
      </c>
      <c r="Z1359" s="46" t="s">
        <v>6847</v>
      </c>
      <c r="AA1359" s="46" t="s">
        <v>335</v>
      </c>
      <c r="AB1359" s="172" t="s">
        <v>9167</v>
      </c>
      <c r="AC1359" s="48" t="s">
        <v>6845</v>
      </c>
      <c r="AD1359" s="30"/>
      <c r="AE1359" s="200"/>
      <c r="AF1359" s="100"/>
    </row>
    <row r="1360" spans="1:32" s="32" customFormat="1" ht="69.95" hidden="1" customHeight="1">
      <c r="A1360" s="29" t="s">
        <v>6322</v>
      </c>
      <c r="B1360" s="29" t="s">
        <v>3769</v>
      </c>
      <c r="C1360" s="40">
        <v>30</v>
      </c>
      <c r="D1360" s="40"/>
      <c r="E1360" s="56" t="s">
        <v>248</v>
      </c>
      <c r="F1360" s="56" t="s">
        <v>248</v>
      </c>
      <c r="G1360" s="29" t="s">
        <v>2852</v>
      </c>
      <c r="H1360" s="29"/>
      <c r="I1360" s="124" t="s">
        <v>9121</v>
      </c>
      <c r="J1360" s="29">
        <f t="shared" si="98"/>
        <v>1</v>
      </c>
      <c r="K1360" s="42">
        <v>1346</v>
      </c>
      <c r="L1360" s="152" t="s">
        <v>2853</v>
      </c>
      <c r="M1360" s="44" t="s">
        <v>405</v>
      </c>
      <c r="N1360" s="44" t="s">
        <v>578</v>
      </c>
      <c r="O1360" s="101" t="str">
        <f t="shared" si="97"/>
        <v>PE-L1-2C4-02</v>
      </c>
      <c r="P1360" s="45">
        <v>1.02</v>
      </c>
      <c r="Q1360" s="44">
        <v>220</v>
      </c>
      <c r="R1360" s="44" t="s">
        <v>509</v>
      </c>
      <c r="S1360" s="101">
        <v>120</v>
      </c>
      <c r="T1360" s="46" t="s">
        <v>6836</v>
      </c>
      <c r="U1360" s="46" t="s">
        <v>6322</v>
      </c>
      <c r="V1360" s="46" t="s">
        <v>6323</v>
      </c>
      <c r="W1360" s="46" t="s">
        <v>335</v>
      </c>
      <c r="X1360" s="172" t="s">
        <v>8942</v>
      </c>
      <c r="Y1360" s="46" t="s">
        <v>6850</v>
      </c>
      <c r="Z1360" s="46" t="s">
        <v>6851</v>
      </c>
      <c r="AA1360" s="46" t="s">
        <v>335</v>
      </c>
      <c r="AB1360" s="172" t="s">
        <v>8942</v>
      </c>
      <c r="AC1360" s="48" t="s">
        <v>6852</v>
      </c>
      <c r="AD1360" s="30"/>
      <c r="AE1360" s="200"/>
      <c r="AF1360" s="100"/>
    </row>
    <row r="1361" spans="1:32" s="32" customFormat="1" ht="69.95" hidden="1" customHeight="1">
      <c r="A1361" s="29" t="s">
        <v>6317</v>
      </c>
      <c r="B1361" s="29" t="s">
        <v>3769</v>
      </c>
      <c r="C1361" s="40">
        <v>30</v>
      </c>
      <c r="D1361" s="40"/>
      <c r="E1361" s="56" t="s">
        <v>253</v>
      </c>
      <c r="F1361" s="56" t="s">
        <v>253</v>
      </c>
      <c r="G1361" s="29" t="s">
        <v>2854</v>
      </c>
      <c r="H1361" s="29"/>
      <c r="I1361" s="124" t="s">
        <v>9121</v>
      </c>
      <c r="J1361" s="29">
        <f t="shared" si="98"/>
        <v>1</v>
      </c>
      <c r="K1361" s="42">
        <v>1347</v>
      </c>
      <c r="L1361" s="152" t="s">
        <v>2855</v>
      </c>
      <c r="M1361" s="44" t="s">
        <v>405</v>
      </c>
      <c r="N1361" s="44" t="s">
        <v>578</v>
      </c>
      <c r="O1361" s="101" t="str">
        <f t="shared" si="97"/>
        <v>PE-L1-2C4-03</v>
      </c>
      <c r="P1361" s="45">
        <v>1.02</v>
      </c>
      <c r="Q1361" s="44">
        <v>220</v>
      </c>
      <c r="R1361" s="44" t="s">
        <v>509</v>
      </c>
      <c r="S1361" s="101">
        <v>110</v>
      </c>
      <c r="T1361" s="46" t="s">
        <v>6836</v>
      </c>
      <c r="U1361" s="46" t="s">
        <v>6317</v>
      </c>
      <c r="V1361" s="46" t="s">
        <v>6318</v>
      </c>
      <c r="W1361" s="46" t="s">
        <v>335</v>
      </c>
      <c r="X1361" s="172" t="s">
        <v>8942</v>
      </c>
      <c r="Y1361" s="46" t="s">
        <v>6850</v>
      </c>
      <c r="Z1361" s="46" t="s">
        <v>6851</v>
      </c>
      <c r="AA1361" s="46" t="s">
        <v>335</v>
      </c>
      <c r="AB1361" s="172" t="s">
        <v>8942</v>
      </c>
      <c r="AC1361" s="48" t="s">
        <v>6853</v>
      </c>
      <c r="AD1361" s="30"/>
      <c r="AE1361" s="200"/>
      <c r="AF1361" s="100"/>
    </row>
    <row r="1362" spans="1:32" s="32" customFormat="1" ht="69.95" hidden="1" customHeight="1">
      <c r="A1362" s="29" t="s">
        <v>5450</v>
      </c>
      <c r="B1362" s="29" t="s">
        <v>3769</v>
      </c>
      <c r="C1362" s="40" t="s">
        <v>75</v>
      </c>
      <c r="D1362" s="173" t="s">
        <v>9131</v>
      </c>
      <c r="E1362" s="57" t="s">
        <v>85</v>
      </c>
      <c r="F1362" s="121" t="s">
        <v>118</v>
      </c>
      <c r="G1362" s="29" t="s">
        <v>2856</v>
      </c>
      <c r="H1362" s="29"/>
      <c r="I1362" s="124" t="s">
        <v>9121</v>
      </c>
      <c r="J1362" s="29">
        <f t="shared" si="98"/>
        <v>1</v>
      </c>
      <c r="K1362" s="42">
        <v>1348</v>
      </c>
      <c r="L1362" s="43" t="s">
        <v>2857</v>
      </c>
      <c r="M1362" s="44" t="s">
        <v>405</v>
      </c>
      <c r="N1362" s="44" t="s">
        <v>426</v>
      </c>
      <c r="O1362" s="121" t="str">
        <f t="shared" si="97"/>
        <v>PE-L1-3C4-04</v>
      </c>
      <c r="P1362" s="45">
        <v>0.12</v>
      </c>
      <c r="Q1362" s="44">
        <v>230</v>
      </c>
      <c r="R1362" s="44" t="s">
        <v>49</v>
      </c>
      <c r="S1362" s="44">
        <v>170</v>
      </c>
      <c r="T1362" s="46" t="s">
        <v>6836</v>
      </c>
      <c r="U1362" s="46" t="s">
        <v>5450</v>
      </c>
      <c r="V1362" s="46" t="s">
        <v>5451</v>
      </c>
      <c r="W1362" s="46" t="s">
        <v>335</v>
      </c>
      <c r="X1362" s="172" t="s">
        <v>9167</v>
      </c>
      <c r="Y1362" s="46" t="s">
        <v>6850</v>
      </c>
      <c r="Z1362" s="46" t="s">
        <v>6851</v>
      </c>
      <c r="AA1362" s="46" t="s">
        <v>335</v>
      </c>
      <c r="AB1362" s="172" t="s">
        <v>9167</v>
      </c>
      <c r="AC1362" s="48" t="s">
        <v>6854</v>
      </c>
      <c r="AD1362" s="30"/>
      <c r="AE1362" s="200"/>
      <c r="AF1362" s="100"/>
    </row>
    <row r="1363" spans="1:32" s="32" customFormat="1" ht="69.95" hidden="1" customHeight="1">
      <c r="A1363" s="29" t="s">
        <v>6317</v>
      </c>
      <c r="B1363" s="29" t="s">
        <v>3769</v>
      </c>
      <c r="C1363" s="40">
        <v>31</v>
      </c>
      <c r="D1363" s="40"/>
      <c r="E1363" s="58" t="s">
        <v>81</v>
      </c>
      <c r="F1363" s="58" t="s">
        <v>81</v>
      </c>
      <c r="G1363" s="29" t="s">
        <v>2858</v>
      </c>
      <c r="H1363" s="29"/>
      <c r="I1363" s="124" t="s">
        <v>9121</v>
      </c>
      <c r="J1363" s="29">
        <f t="shared" si="98"/>
        <v>1</v>
      </c>
      <c r="K1363" s="42">
        <v>1349</v>
      </c>
      <c r="L1363" s="152" t="s">
        <v>2859</v>
      </c>
      <c r="M1363" s="44" t="s">
        <v>405</v>
      </c>
      <c r="N1363" s="44" t="s">
        <v>578</v>
      </c>
      <c r="O1363" s="101" t="str">
        <f t="shared" si="97"/>
        <v>PE-L1-2C4-04</v>
      </c>
      <c r="P1363" s="45">
        <v>0.51</v>
      </c>
      <c r="Q1363" s="44">
        <v>220</v>
      </c>
      <c r="R1363" s="44" t="s">
        <v>509</v>
      </c>
      <c r="S1363" s="101">
        <v>110</v>
      </c>
      <c r="T1363" s="46" t="s">
        <v>6836</v>
      </c>
      <c r="U1363" s="46" t="s">
        <v>6317</v>
      </c>
      <c r="V1363" s="46" t="s">
        <v>6318</v>
      </c>
      <c r="W1363" s="46" t="s">
        <v>335</v>
      </c>
      <c r="X1363" s="172" t="s">
        <v>8942</v>
      </c>
      <c r="Y1363" s="46" t="s">
        <v>6855</v>
      </c>
      <c r="Z1363" s="46" t="s">
        <v>6856</v>
      </c>
      <c r="AA1363" s="46" t="s">
        <v>335</v>
      </c>
      <c r="AB1363" s="172" t="s">
        <v>8942</v>
      </c>
      <c r="AC1363" s="48" t="s">
        <v>6857</v>
      </c>
      <c r="AD1363" s="30"/>
      <c r="AE1363" s="200"/>
      <c r="AF1363" s="100"/>
    </row>
    <row r="1364" spans="1:32" s="32" customFormat="1" ht="69.95" hidden="1" customHeight="1">
      <c r="A1364" s="29" t="s">
        <v>6322</v>
      </c>
      <c r="B1364" s="29" t="s">
        <v>3769</v>
      </c>
      <c r="C1364" s="40">
        <v>31</v>
      </c>
      <c r="D1364" s="40"/>
      <c r="E1364" s="56" t="s">
        <v>81</v>
      </c>
      <c r="F1364" s="56" t="s">
        <v>81</v>
      </c>
      <c r="G1364" s="29" t="s">
        <v>2860</v>
      </c>
      <c r="H1364" s="29"/>
      <c r="I1364" s="124" t="s">
        <v>9121</v>
      </c>
      <c r="J1364" s="29">
        <f t="shared" si="98"/>
        <v>1</v>
      </c>
      <c r="K1364" s="42">
        <v>1350</v>
      </c>
      <c r="L1364" s="152" t="s">
        <v>2861</v>
      </c>
      <c r="M1364" s="44" t="s">
        <v>405</v>
      </c>
      <c r="N1364" s="44" t="s">
        <v>578</v>
      </c>
      <c r="O1364" s="101" t="str">
        <f t="shared" si="97"/>
        <v>PE-L1-2C4-04</v>
      </c>
      <c r="P1364" s="45">
        <v>0.51</v>
      </c>
      <c r="Q1364" s="44">
        <v>220</v>
      </c>
      <c r="R1364" s="44" t="s">
        <v>509</v>
      </c>
      <c r="S1364" s="101">
        <v>120</v>
      </c>
      <c r="T1364" s="46" t="s">
        <v>6836</v>
      </c>
      <c r="U1364" s="46" t="s">
        <v>6322</v>
      </c>
      <c r="V1364" s="46" t="s">
        <v>6323</v>
      </c>
      <c r="W1364" s="46" t="s">
        <v>335</v>
      </c>
      <c r="X1364" s="172" t="s">
        <v>8942</v>
      </c>
      <c r="Y1364" s="46" t="s">
        <v>6855</v>
      </c>
      <c r="Z1364" s="46" t="s">
        <v>6856</v>
      </c>
      <c r="AA1364" s="46" t="s">
        <v>335</v>
      </c>
      <c r="AB1364" s="172" t="s">
        <v>8942</v>
      </c>
      <c r="AC1364" s="48" t="s">
        <v>6858</v>
      </c>
      <c r="AD1364" s="30"/>
      <c r="AE1364" s="200"/>
      <c r="AF1364" s="100"/>
    </row>
    <row r="1365" spans="1:32" s="32" customFormat="1" ht="69.95" hidden="1" customHeight="1">
      <c r="A1365" s="29" t="s">
        <v>3985</v>
      </c>
      <c r="B1365" s="29" t="s">
        <v>3769</v>
      </c>
      <c r="C1365" s="40">
        <v>10</v>
      </c>
      <c r="D1365" s="173" t="s">
        <v>9131</v>
      </c>
      <c r="E1365" s="57" t="s">
        <v>85</v>
      </c>
      <c r="F1365" s="121" t="s">
        <v>118</v>
      </c>
      <c r="G1365" s="29" t="s">
        <v>2862</v>
      </c>
      <c r="H1365" s="29"/>
      <c r="I1365" s="124" t="s">
        <v>9121</v>
      </c>
      <c r="J1365" s="29">
        <f t="shared" si="98"/>
        <v>1</v>
      </c>
      <c r="K1365" s="42">
        <v>1351</v>
      </c>
      <c r="L1365" s="43" t="s">
        <v>2863</v>
      </c>
      <c r="M1365" s="44" t="s">
        <v>405</v>
      </c>
      <c r="N1365" s="44" t="s">
        <v>426</v>
      </c>
      <c r="O1365" s="121" t="str">
        <f t="shared" si="97"/>
        <v>PE-L1-3C4-04</v>
      </c>
      <c r="P1365" s="45">
        <v>0.12</v>
      </c>
      <c r="Q1365" s="44">
        <v>230</v>
      </c>
      <c r="R1365" s="44" t="s">
        <v>49</v>
      </c>
      <c r="S1365" s="44">
        <v>160</v>
      </c>
      <c r="T1365" s="46" t="s">
        <v>6836</v>
      </c>
      <c r="U1365" s="46" t="s">
        <v>3985</v>
      </c>
      <c r="V1365" s="46" t="s">
        <v>3986</v>
      </c>
      <c r="W1365" s="46" t="s">
        <v>335</v>
      </c>
      <c r="X1365" s="172" t="s">
        <v>9167</v>
      </c>
      <c r="Y1365" s="46" t="s">
        <v>6855</v>
      </c>
      <c r="Z1365" s="46" t="s">
        <v>6856</v>
      </c>
      <c r="AA1365" s="46" t="s">
        <v>335</v>
      </c>
      <c r="AB1365" s="172" t="s">
        <v>9167</v>
      </c>
      <c r="AC1365" s="48" t="s">
        <v>6859</v>
      </c>
      <c r="AD1365" s="30"/>
      <c r="AE1365" s="200"/>
      <c r="AF1365" s="100"/>
    </row>
    <row r="1366" spans="1:32" s="32" customFormat="1" ht="69.95" hidden="1" customHeight="1">
      <c r="A1366" s="29" t="s">
        <v>6322</v>
      </c>
      <c r="B1366" s="29" t="s">
        <v>3769</v>
      </c>
      <c r="C1366" s="40">
        <v>32</v>
      </c>
      <c r="D1366" s="40"/>
      <c r="E1366" s="58" t="s">
        <v>81</v>
      </c>
      <c r="F1366" s="58" t="s">
        <v>81</v>
      </c>
      <c r="G1366" s="29" t="s">
        <v>2864</v>
      </c>
      <c r="H1366" s="29"/>
      <c r="I1366" s="124" t="s">
        <v>9121</v>
      </c>
      <c r="J1366" s="29">
        <f t="shared" si="98"/>
        <v>1</v>
      </c>
      <c r="K1366" s="42">
        <v>1352</v>
      </c>
      <c r="L1366" s="152" t="s">
        <v>2865</v>
      </c>
      <c r="M1366" s="44" t="s">
        <v>405</v>
      </c>
      <c r="N1366" s="44" t="s">
        <v>578</v>
      </c>
      <c r="O1366" s="101" t="str">
        <f t="shared" si="97"/>
        <v>PE-L1-2C4-04</v>
      </c>
      <c r="P1366" s="45">
        <v>0.51</v>
      </c>
      <c r="Q1366" s="44">
        <v>220</v>
      </c>
      <c r="R1366" s="44" t="s">
        <v>509</v>
      </c>
      <c r="S1366" s="101">
        <v>120</v>
      </c>
      <c r="T1366" s="46" t="s">
        <v>6836</v>
      </c>
      <c r="U1366" s="46" t="s">
        <v>6322</v>
      </c>
      <c r="V1366" s="46" t="s">
        <v>6323</v>
      </c>
      <c r="W1366" s="46" t="s">
        <v>335</v>
      </c>
      <c r="X1366" s="172" t="s">
        <v>8942</v>
      </c>
      <c r="Y1366" s="46" t="s">
        <v>6860</v>
      </c>
      <c r="Z1366" s="46" t="s">
        <v>6861</v>
      </c>
      <c r="AA1366" s="46" t="s">
        <v>335</v>
      </c>
      <c r="AB1366" s="172" t="s">
        <v>8942</v>
      </c>
      <c r="AC1366" s="48" t="s">
        <v>6862</v>
      </c>
      <c r="AD1366" s="30"/>
      <c r="AE1366" s="200"/>
      <c r="AF1366" s="100"/>
    </row>
    <row r="1367" spans="1:32" s="32" customFormat="1" ht="69.95" hidden="1" customHeight="1">
      <c r="A1367" s="29" t="s">
        <v>6317</v>
      </c>
      <c r="B1367" s="29" t="s">
        <v>3769</v>
      </c>
      <c r="C1367" s="40">
        <v>32</v>
      </c>
      <c r="D1367" s="40"/>
      <c r="E1367" s="56" t="s">
        <v>81</v>
      </c>
      <c r="F1367" s="56" t="s">
        <v>81</v>
      </c>
      <c r="G1367" s="29" t="s">
        <v>2866</v>
      </c>
      <c r="H1367" s="29"/>
      <c r="I1367" s="124" t="s">
        <v>9121</v>
      </c>
      <c r="J1367" s="29">
        <f t="shared" si="98"/>
        <v>1</v>
      </c>
      <c r="K1367" s="42">
        <v>1353</v>
      </c>
      <c r="L1367" s="152" t="s">
        <v>2867</v>
      </c>
      <c r="M1367" s="44" t="s">
        <v>405</v>
      </c>
      <c r="N1367" s="44" t="s">
        <v>578</v>
      </c>
      <c r="O1367" s="101" t="str">
        <f t="shared" si="97"/>
        <v>PE-L1-2C4-04</v>
      </c>
      <c r="P1367" s="45">
        <v>0.51</v>
      </c>
      <c r="Q1367" s="44">
        <v>220</v>
      </c>
      <c r="R1367" s="44" t="s">
        <v>509</v>
      </c>
      <c r="S1367" s="101">
        <v>110</v>
      </c>
      <c r="T1367" s="46" t="s">
        <v>6836</v>
      </c>
      <c r="U1367" s="46" t="s">
        <v>6317</v>
      </c>
      <c r="V1367" s="46" t="s">
        <v>6318</v>
      </c>
      <c r="W1367" s="46" t="s">
        <v>335</v>
      </c>
      <c r="X1367" s="172" t="s">
        <v>8942</v>
      </c>
      <c r="Y1367" s="46" t="s">
        <v>6860</v>
      </c>
      <c r="Z1367" s="46" t="s">
        <v>6861</v>
      </c>
      <c r="AA1367" s="46" t="s">
        <v>335</v>
      </c>
      <c r="AB1367" s="172" t="s">
        <v>8942</v>
      </c>
      <c r="AC1367" s="48" t="s">
        <v>6863</v>
      </c>
      <c r="AD1367" s="30"/>
      <c r="AE1367" s="200"/>
      <c r="AF1367" s="100"/>
    </row>
    <row r="1368" spans="1:32" s="32" customFormat="1" ht="69.95" hidden="1" customHeight="1">
      <c r="A1368" s="29" t="s">
        <v>3985</v>
      </c>
      <c r="B1368" s="29" t="s">
        <v>3769</v>
      </c>
      <c r="C1368" s="40">
        <v>11</v>
      </c>
      <c r="D1368" s="173" t="s">
        <v>9131</v>
      </c>
      <c r="E1368" s="57" t="s">
        <v>85</v>
      </c>
      <c r="F1368" s="121" t="s">
        <v>118</v>
      </c>
      <c r="G1368" s="29" t="s">
        <v>2868</v>
      </c>
      <c r="H1368" s="29"/>
      <c r="I1368" s="124" t="s">
        <v>9121</v>
      </c>
      <c r="J1368" s="29">
        <f t="shared" si="98"/>
        <v>1</v>
      </c>
      <c r="K1368" s="42">
        <v>1354</v>
      </c>
      <c r="L1368" s="43" t="s">
        <v>2869</v>
      </c>
      <c r="M1368" s="44" t="s">
        <v>405</v>
      </c>
      <c r="N1368" s="44" t="s">
        <v>426</v>
      </c>
      <c r="O1368" s="121" t="str">
        <f t="shared" si="97"/>
        <v>PE-L1-3C4-04</v>
      </c>
      <c r="P1368" s="45">
        <v>0.12</v>
      </c>
      <c r="Q1368" s="44">
        <v>230</v>
      </c>
      <c r="R1368" s="44" t="s">
        <v>49</v>
      </c>
      <c r="S1368" s="44">
        <v>160</v>
      </c>
      <c r="T1368" s="46" t="s">
        <v>6836</v>
      </c>
      <c r="U1368" s="46" t="s">
        <v>3985</v>
      </c>
      <c r="V1368" s="46" t="s">
        <v>3986</v>
      </c>
      <c r="W1368" s="46" t="s">
        <v>335</v>
      </c>
      <c r="X1368" s="172" t="s">
        <v>9167</v>
      </c>
      <c r="Y1368" s="46" t="s">
        <v>6860</v>
      </c>
      <c r="Z1368" s="46" t="s">
        <v>6861</v>
      </c>
      <c r="AA1368" s="46" t="s">
        <v>335</v>
      </c>
      <c r="AB1368" s="172" t="s">
        <v>9167</v>
      </c>
      <c r="AC1368" s="48" t="s">
        <v>6859</v>
      </c>
      <c r="AD1368" s="30"/>
      <c r="AE1368" s="200"/>
      <c r="AF1368" s="100"/>
    </row>
    <row r="1369" spans="1:32" s="32" customFormat="1" ht="69.95" hidden="1" customHeight="1">
      <c r="A1369" s="29" t="s">
        <v>6336</v>
      </c>
      <c r="B1369" s="29" t="s">
        <v>3769</v>
      </c>
      <c r="C1369" s="40">
        <v>25</v>
      </c>
      <c r="D1369" s="40"/>
      <c r="E1369" s="57" t="s">
        <v>252</v>
      </c>
      <c r="F1369" s="57" t="s">
        <v>252</v>
      </c>
      <c r="G1369" s="29" t="s">
        <v>2870</v>
      </c>
      <c r="H1369" s="29"/>
      <c r="I1369" s="29"/>
      <c r="J1369" s="29">
        <f t="shared" si="98"/>
        <v>1</v>
      </c>
      <c r="K1369" s="42">
        <v>1355</v>
      </c>
      <c r="L1369" s="43" t="s">
        <v>2871</v>
      </c>
      <c r="M1369" s="44" t="s">
        <v>405</v>
      </c>
      <c r="N1369" s="44" t="s">
        <v>578</v>
      </c>
      <c r="O1369" s="44" t="str">
        <f t="shared" ref="O1369:O1386" si="99">F1369</f>
        <v>PE-L1-2C4-05</v>
      </c>
      <c r="P1369" s="45">
        <v>1.02</v>
      </c>
      <c r="Q1369" s="44">
        <v>220</v>
      </c>
      <c r="R1369" s="44" t="s">
        <v>509</v>
      </c>
      <c r="S1369" s="44">
        <v>100</v>
      </c>
      <c r="T1369" s="46" t="s">
        <v>6836</v>
      </c>
      <c r="U1369" s="46" t="s">
        <v>6336</v>
      </c>
      <c r="V1369" s="46" t="s">
        <v>6337</v>
      </c>
      <c r="W1369" s="46" t="s">
        <v>347</v>
      </c>
      <c r="X1369" s="172" t="s">
        <v>8942</v>
      </c>
      <c r="Y1369" s="46" t="s">
        <v>6864</v>
      </c>
      <c r="Z1369" s="46" t="s">
        <v>6865</v>
      </c>
      <c r="AA1369" s="46" t="s">
        <v>347</v>
      </c>
      <c r="AB1369" s="172" t="s">
        <v>8942</v>
      </c>
      <c r="AC1369" s="48" t="s">
        <v>6866</v>
      </c>
      <c r="AD1369" s="30"/>
      <c r="AE1369" s="200"/>
      <c r="AF1369" s="100"/>
    </row>
    <row r="1370" spans="1:32" s="32" customFormat="1" ht="69.95" hidden="1" customHeight="1">
      <c r="A1370" s="29" t="s">
        <v>6341</v>
      </c>
      <c r="B1370" s="29" t="s">
        <v>3769</v>
      </c>
      <c r="C1370" s="40">
        <v>25</v>
      </c>
      <c r="D1370" s="40"/>
      <c r="E1370" s="56" t="s">
        <v>252</v>
      </c>
      <c r="F1370" s="56" t="s">
        <v>252</v>
      </c>
      <c r="G1370" s="29" t="s">
        <v>2872</v>
      </c>
      <c r="H1370" s="29"/>
      <c r="I1370" s="29"/>
      <c r="J1370" s="29">
        <f t="shared" si="98"/>
        <v>1</v>
      </c>
      <c r="K1370" s="42">
        <v>1356</v>
      </c>
      <c r="L1370" s="43" t="s">
        <v>2873</v>
      </c>
      <c r="M1370" s="44" t="s">
        <v>405</v>
      </c>
      <c r="N1370" s="44" t="s">
        <v>578</v>
      </c>
      <c r="O1370" s="44" t="str">
        <f t="shared" si="99"/>
        <v>PE-L1-2C4-05</v>
      </c>
      <c r="P1370" s="45">
        <v>1.02</v>
      </c>
      <c r="Q1370" s="44">
        <v>220</v>
      </c>
      <c r="R1370" s="44" t="s">
        <v>509</v>
      </c>
      <c r="S1370" s="44">
        <v>100</v>
      </c>
      <c r="T1370" s="46" t="s">
        <v>6836</v>
      </c>
      <c r="U1370" s="46" t="s">
        <v>6341</v>
      </c>
      <c r="V1370" s="46" t="s">
        <v>6342</v>
      </c>
      <c r="W1370" s="46" t="s">
        <v>347</v>
      </c>
      <c r="X1370" s="172" t="s">
        <v>8942</v>
      </c>
      <c r="Y1370" s="46" t="s">
        <v>6864</v>
      </c>
      <c r="Z1370" s="46" t="s">
        <v>6865</v>
      </c>
      <c r="AA1370" s="46" t="s">
        <v>347</v>
      </c>
      <c r="AB1370" s="172" t="s">
        <v>8942</v>
      </c>
      <c r="AC1370" s="48" t="s">
        <v>6867</v>
      </c>
      <c r="AD1370" s="30"/>
      <c r="AE1370" s="200"/>
      <c r="AF1370" s="100"/>
    </row>
    <row r="1371" spans="1:32" s="32" customFormat="1" ht="69.95" hidden="1" customHeight="1">
      <c r="A1371" s="29" t="s">
        <v>4020</v>
      </c>
      <c r="B1371" s="29" t="s">
        <v>3769</v>
      </c>
      <c r="C1371" s="40">
        <v>12</v>
      </c>
      <c r="D1371" s="40"/>
      <c r="E1371" s="57" t="s">
        <v>79</v>
      </c>
      <c r="F1371" s="57" t="s">
        <v>79</v>
      </c>
      <c r="G1371" s="29" t="s">
        <v>2874</v>
      </c>
      <c r="H1371" s="29"/>
      <c r="I1371" s="29"/>
      <c r="J1371" s="29">
        <f t="shared" si="98"/>
        <v>1</v>
      </c>
      <c r="K1371" s="42">
        <v>1357</v>
      </c>
      <c r="L1371" s="43" t="s">
        <v>2875</v>
      </c>
      <c r="M1371" s="44" t="s">
        <v>405</v>
      </c>
      <c r="N1371" s="44" t="s">
        <v>426</v>
      </c>
      <c r="O1371" s="44" t="str">
        <f t="shared" si="99"/>
        <v>PE-L1-3C4-21</v>
      </c>
      <c r="P1371" s="45">
        <v>0.12</v>
      </c>
      <c r="Q1371" s="44">
        <v>230</v>
      </c>
      <c r="R1371" s="44" t="s">
        <v>49</v>
      </c>
      <c r="S1371" s="44">
        <v>90</v>
      </c>
      <c r="T1371" s="46" t="s">
        <v>6836</v>
      </c>
      <c r="U1371" s="46" t="s">
        <v>4020</v>
      </c>
      <c r="V1371" s="46" t="s">
        <v>4021</v>
      </c>
      <c r="W1371" s="46" t="s">
        <v>347</v>
      </c>
      <c r="X1371" s="172" t="s">
        <v>9167</v>
      </c>
      <c r="Y1371" s="46" t="s">
        <v>6864</v>
      </c>
      <c r="Z1371" s="46" t="s">
        <v>6865</v>
      </c>
      <c r="AA1371" s="46" t="s">
        <v>347</v>
      </c>
      <c r="AB1371" s="172" t="s">
        <v>9167</v>
      </c>
      <c r="AC1371" s="48" t="s">
        <v>6868</v>
      </c>
      <c r="AD1371" s="30"/>
      <c r="AE1371" s="200"/>
      <c r="AF1371" s="100"/>
    </row>
    <row r="1372" spans="1:32" s="32" customFormat="1" ht="69.95" hidden="1" customHeight="1">
      <c r="A1372" s="29" t="s">
        <v>6336</v>
      </c>
      <c r="B1372" s="29" t="s">
        <v>3769</v>
      </c>
      <c r="C1372" s="40">
        <v>26</v>
      </c>
      <c r="D1372" s="40"/>
      <c r="E1372" s="58" t="s">
        <v>252</v>
      </c>
      <c r="F1372" s="58" t="s">
        <v>252</v>
      </c>
      <c r="G1372" s="29" t="s">
        <v>2876</v>
      </c>
      <c r="H1372" s="29"/>
      <c r="I1372" s="29"/>
      <c r="J1372" s="29">
        <f t="shared" si="98"/>
        <v>1</v>
      </c>
      <c r="K1372" s="42">
        <v>1358</v>
      </c>
      <c r="L1372" s="43" t="s">
        <v>2877</v>
      </c>
      <c r="M1372" s="44" t="s">
        <v>405</v>
      </c>
      <c r="N1372" s="44" t="s">
        <v>578</v>
      </c>
      <c r="O1372" s="44" t="str">
        <f t="shared" si="99"/>
        <v>PE-L1-2C4-05</v>
      </c>
      <c r="P1372" s="45">
        <v>0.51</v>
      </c>
      <c r="Q1372" s="44">
        <v>220</v>
      </c>
      <c r="R1372" s="44" t="s">
        <v>509</v>
      </c>
      <c r="S1372" s="44">
        <v>100</v>
      </c>
      <c r="T1372" s="46" t="s">
        <v>6836</v>
      </c>
      <c r="U1372" s="46" t="s">
        <v>6336</v>
      </c>
      <c r="V1372" s="46" t="s">
        <v>6337</v>
      </c>
      <c r="W1372" s="46" t="s">
        <v>347</v>
      </c>
      <c r="X1372" s="172" t="s">
        <v>8942</v>
      </c>
      <c r="Y1372" s="46" t="s">
        <v>6869</v>
      </c>
      <c r="Z1372" s="46" t="s">
        <v>6870</v>
      </c>
      <c r="AA1372" s="46" t="s">
        <v>347</v>
      </c>
      <c r="AB1372" s="172" t="s">
        <v>8942</v>
      </c>
      <c r="AC1372" s="48" t="s">
        <v>6871</v>
      </c>
      <c r="AD1372" s="30"/>
      <c r="AE1372" s="200"/>
      <c r="AF1372" s="100"/>
    </row>
    <row r="1373" spans="1:32" s="32" customFormat="1" ht="69.95" hidden="1" customHeight="1">
      <c r="A1373" s="29" t="s">
        <v>6341</v>
      </c>
      <c r="B1373" s="29" t="s">
        <v>3769</v>
      </c>
      <c r="C1373" s="40">
        <v>26</v>
      </c>
      <c r="D1373" s="40"/>
      <c r="E1373" s="56" t="s">
        <v>252</v>
      </c>
      <c r="F1373" s="56" t="s">
        <v>252</v>
      </c>
      <c r="G1373" s="29" t="s">
        <v>2878</v>
      </c>
      <c r="H1373" s="29"/>
      <c r="I1373" s="29"/>
      <c r="J1373" s="29">
        <f t="shared" si="98"/>
        <v>1</v>
      </c>
      <c r="K1373" s="42">
        <v>1359</v>
      </c>
      <c r="L1373" s="43" t="s">
        <v>2879</v>
      </c>
      <c r="M1373" s="44" t="s">
        <v>405</v>
      </c>
      <c r="N1373" s="44" t="s">
        <v>578</v>
      </c>
      <c r="O1373" s="44" t="str">
        <f t="shared" si="99"/>
        <v>PE-L1-2C4-05</v>
      </c>
      <c r="P1373" s="45">
        <v>0.51</v>
      </c>
      <c r="Q1373" s="44">
        <v>220</v>
      </c>
      <c r="R1373" s="44" t="s">
        <v>509</v>
      </c>
      <c r="S1373" s="44">
        <v>100</v>
      </c>
      <c r="T1373" s="46" t="s">
        <v>6836</v>
      </c>
      <c r="U1373" s="46" t="s">
        <v>6341</v>
      </c>
      <c r="V1373" s="46" t="s">
        <v>6342</v>
      </c>
      <c r="W1373" s="46" t="s">
        <v>347</v>
      </c>
      <c r="X1373" s="172" t="s">
        <v>8942</v>
      </c>
      <c r="Y1373" s="46" t="s">
        <v>6869</v>
      </c>
      <c r="Z1373" s="46" t="s">
        <v>6870</v>
      </c>
      <c r="AA1373" s="46" t="s">
        <v>347</v>
      </c>
      <c r="AB1373" s="172" t="s">
        <v>8942</v>
      </c>
      <c r="AC1373" s="48" t="s">
        <v>6872</v>
      </c>
      <c r="AD1373" s="30"/>
      <c r="AE1373" s="200"/>
      <c r="AF1373" s="100"/>
    </row>
    <row r="1374" spans="1:32" s="32" customFormat="1" ht="69.95" hidden="1" customHeight="1">
      <c r="A1374" s="29" t="s">
        <v>4020</v>
      </c>
      <c r="B1374" s="29" t="s">
        <v>3769</v>
      </c>
      <c r="C1374" s="40">
        <v>13</v>
      </c>
      <c r="D1374" s="40"/>
      <c r="E1374" s="57" t="s">
        <v>79</v>
      </c>
      <c r="F1374" s="57" t="s">
        <v>79</v>
      </c>
      <c r="G1374" s="29" t="s">
        <v>2880</v>
      </c>
      <c r="H1374" s="29"/>
      <c r="I1374" s="29"/>
      <c r="J1374" s="29">
        <f t="shared" si="98"/>
        <v>1</v>
      </c>
      <c r="K1374" s="42">
        <v>1360</v>
      </c>
      <c r="L1374" s="43" t="s">
        <v>2881</v>
      </c>
      <c r="M1374" s="44" t="s">
        <v>405</v>
      </c>
      <c r="N1374" s="44" t="s">
        <v>426</v>
      </c>
      <c r="O1374" s="44" t="str">
        <f t="shared" si="99"/>
        <v>PE-L1-3C4-21</v>
      </c>
      <c r="P1374" s="45">
        <v>0.12</v>
      </c>
      <c r="Q1374" s="44">
        <v>230</v>
      </c>
      <c r="R1374" s="44" t="s">
        <v>49</v>
      </c>
      <c r="S1374" s="44">
        <v>90</v>
      </c>
      <c r="T1374" s="46" t="s">
        <v>6836</v>
      </c>
      <c r="U1374" s="46" t="s">
        <v>4020</v>
      </c>
      <c r="V1374" s="46" t="s">
        <v>4021</v>
      </c>
      <c r="W1374" s="46" t="s">
        <v>347</v>
      </c>
      <c r="X1374" s="172" t="s">
        <v>9167</v>
      </c>
      <c r="Y1374" s="46" t="s">
        <v>6869</v>
      </c>
      <c r="Z1374" s="46" t="s">
        <v>6870</v>
      </c>
      <c r="AA1374" s="46" t="s">
        <v>347</v>
      </c>
      <c r="AB1374" s="172" t="s">
        <v>9167</v>
      </c>
      <c r="AC1374" s="48" t="s">
        <v>6873</v>
      </c>
      <c r="AD1374" s="30"/>
      <c r="AE1374" s="200"/>
      <c r="AF1374" s="100"/>
    </row>
    <row r="1375" spans="1:32" s="32" customFormat="1" ht="69.95" hidden="1" customHeight="1">
      <c r="A1375" s="29" t="s">
        <v>6341</v>
      </c>
      <c r="B1375" s="29" t="s">
        <v>3769</v>
      </c>
      <c r="C1375" s="40">
        <v>27</v>
      </c>
      <c r="D1375" s="40"/>
      <c r="E1375" s="58" t="s">
        <v>252</v>
      </c>
      <c r="F1375" s="58" t="s">
        <v>252</v>
      </c>
      <c r="G1375" s="29" t="s">
        <v>2882</v>
      </c>
      <c r="H1375" s="29"/>
      <c r="I1375" s="29"/>
      <c r="J1375" s="29">
        <f t="shared" si="98"/>
        <v>1</v>
      </c>
      <c r="K1375" s="42">
        <v>1361</v>
      </c>
      <c r="L1375" s="43" t="s">
        <v>2883</v>
      </c>
      <c r="M1375" s="44" t="s">
        <v>405</v>
      </c>
      <c r="N1375" s="44" t="s">
        <v>578</v>
      </c>
      <c r="O1375" s="44" t="str">
        <f t="shared" si="99"/>
        <v>PE-L1-2C4-05</v>
      </c>
      <c r="P1375" s="45">
        <v>0.51</v>
      </c>
      <c r="Q1375" s="44">
        <v>220</v>
      </c>
      <c r="R1375" s="44" t="s">
        <v>509</v>
      </c>
      <c r="S1375" s="44">
        <v>100</v>
      </c>
      <c r="T1375" s="46" t="s">
        <v>6836</v>
      </c>
      <c r="U1375" s="46" t="s">
        <v>6341</v>
      </c>
      <c r="V1375" s="46" t="s">
        <v>6342</v>
      </c>
      <c r="W1375" s="46" t="s">
        <v>347</v>
      </c>
      <c r="X1375" s="172" t="s">
        <v>8942</v>
      </c>
      <c r="Y1375" s="46" t="s">
        <v>6874</v>
      </c>
      <c r="Z1375" s="46" t="s">
        <v>6875</v>
      </c>
      <c r="AA1375" s="46" t="s">
        <v>347</v>
      </c>
      <c r="AB1375" s="172" t="s">
        <v>8942</v>
      </c>
      <c r="AC1375" s="48" t="s">
        <v>6876</v>
      </c>
      <c r="AD1375" s="30"/>
      <c r="AE1375" s="200"/>
      <c r="AF1375" s="100"/>
    </row>
    <row r="1376" spans="1:32" s="32" customFormat="1" ht="69.95" hidden="1" customHeight="1">
      <c r="A1376" s="29" t="s">
        <v>6336</v>
      </c>
      <c r="B1376" s="29" t="s">
        <v>3769</v>
      </c>
      <c r="C1376" s="40">
        <v>27</v>
      </c>
      <c r="D1376" s="40"/>
      <c r="E1376" s="56" t="s">
        <v>252</v>
      </c>
      <c r="F1376" s="56" t="s">
        <v>252</v>
      </c>
      <c r="G1376" s="29" t="s">
        <v>2884</v>
      </c>
      <c r="H1376" s="29"/>
      <c r="I1376" s="29"/>
      <c r="J1376" s="29">
        <f t="shared" si="98"/>
        <v>1</v>
      </c>
      <c r="K1376" s="42">
        <v>1362</v>
      </c>
      <c r="L1376" s="43" t="s">
        <v>2885</v>
      </c>
      <c r="M1376" s="44" t="s">
        <v>405</v>
      </c>
      <c r="N1376" s="44" t="s">
        <v>578</v>
      </c>
      <c r="O1376" s="44" t="str">
        <f t="shared" si="99"/>
        <v>PE-L1-2C4-05</v>
      </c>
      <c r="P1376" s="45">
        <v>0.51</v>
      </c>
      <c r="Q1376" s="44">
        <v>220</v>
      </c>
      <c r="R1376" s="44" t="s">
        <v>509</v>
      </c>
      <c r="S1376" s="44">
        <v>100</v>
      </c>
      <c r="T1376" s="46" t="s">
        <v>6836</v>
      </c>
      <c r="U1376" s="46" t="s">
        <v>6336</v>
      </c>
      <c r="V1376" s="46" t="s">
        <v>6337</v>
      </c>
      <c r="W1376" s="46" t="s">
        <v>347</v>
      </c>
      <c r="X1376" s="172" t="s">
        <v>8942</v>
      </c>
      <c r="Y1376" s="46" t="s">
        <v>6874</v>
      </c>
      <c r="Z1376" s="46" t="s">
        <v>6875</v>
      </c>
      <c r="AA1376" s="46" t="s">
        <v>347</v>
      </c>
      <c r="AB1376" s="172" t="s">
        <v>8942</v>
      </c>
      <c r="AC1376" s="48" t="s">
        <v>6877</v>
      </c>
      <c r="AD1376" s="30"/>
      <c r="AE1376" s="200"/>
      <c r="AF1376" s="100"/>
    </row>
    <row r="1377" spans="1:32" s="32" customFormat="1" ht="69.95" hidden="1" customHeight="1">
      <c r="A1377" s="29" t="s">
        <v>4020</v>
      </c>
      <c r="B1377" s="29" t="s">
        <v>3769</v>
      </c>
      <c r="C1377" s="40">
        <v>14</v>
      </c>
      <c r="D1377" s="40"/>
      <c r="E1377" s="57" t="s">
        <v>8600</v>
      </c>
      <c r="F1377" s="57" t="s">
        <v>8600</v>
      </c>
      <c r="G1377" s="29" t="s">
        <v>2886</v>
      </c>
      <c r="H1377" s="29"/>
      <c r="I1377" s="29"/>
      <c r="J1377" s="29">
        <f t="shared" si="98"/>
        <v>1</v>
      </c>
      <c r="K1377" s="42">
        <v>1363</v>
      </c>
      <c r="L1377" s="43" t="s">
        <v>2887</v>
      </c>
      <c r="M1377" s="44" t="s">
        <v>405</v>
      </c>
      <c r="N1377" s="44" t="s">
        <v>426</v>
      </c>
      <c r="O1377" s="44" t="str">
        <f t="shared" si="99"/>
        <v>PE-L1-3C4-28</v>
      </c>
      <c r="P1377" s="45">
        <v>0.12</v>
      </c>
      <c r="Q1377" s="44">
        <v>230</v>
      </c>
      <c r="R1377" s="44" t="s">
        <v>49</v>
      </c>
      <c r="S1377" s="44">
        <v>90</v>
      </c>
      <c r="T1377" s="46" t="s">
        <v>6836</v>
      </c>
      <c r="U1377" s="46" t="s">
        <v>4020</v>
      </c>
      <c r="V1377" s="46" t="s">
        <v>4021</v>
      </c>
      <c r="W1377" s="46" t="s">
        <v>347</v>
      </c>
      <c r="X1377" s="172" t="s">
        <v>9167</v>
      </c>
      <c r="Y1377" s="46" t="s">
        <v>6874</v>
      </c>
      <c r="Z1377" s="46" t="s">
        <v>6875</v>
      </c>
      <c r="AA1377" s="46" t="s">
        <v>347</v>
      </c>
      <c r="AB1377" s="172" t="s">
        <v>9167</v>
      </c>
      <c r="AC1377" s="48" t="s">
        <v>6868</v>
      </c>
      <c r="AD1377" s="30"/>
      <c r="AE1377" s="200"/>
      <c r="AF1377" s="100"/>
    </row>
    <row r="1378" spans="1:32" s="32" customFormat="1" ht="69.95" hidden="1" customHeight="1">
      <c r="A1378" s="29" t="s">
        <v>6341</v>
      </c>
      <c r="B1378" s="29" t="s">
        <v>3769</v>
      </c>
      <c r="C1378" s="40">
        <v>28</v>
      </c>
      <c r="D1378" s="40"/>
      <c r="E1378" s="57" t="s">
        <v>8581</v>
      </c>
      <c r="F1378" s="57" t="s">
        <v>8581</v>
      </c>
      <c r="G1378" s="29" t="s">
        <v>2888</v>
      </c>
      <c r="H1378" s="29"/>
      <c r="I1378" s="29"/>
      <c r="J1378" s="29">
        <f t="shared" si="98"/>
        <v>1</v>
      </c>
      <c r="K1378" s="42">
        <v>1364</v>
      </c>
      <c r="L1378" s="43" t="s">
        <v>2889</v>
      </c>
      <c r="M1378" s="44" t="s">
        <v>405</v>
      </c>
      <c r="N1378" s="44" t="s">
        <v>578</v>
      </c>
      <c r="O1378" s="44" t="str">
        <f t="shared" si="99"/>
        <v>PE-L1-2C4-10</v>
      </c>
      <c r="P1378" s="45">
        <v>1.02</v>
      </c>
      <c r="Q1378" s="44">
        <v>220</v>
      </c>
      <c r="R1378" s="44" t="s">
        <v>509</v>
      </c>
      <c r="S1378" s="44">
        <v>100</v>
      </c>
      <c r="T1378" s="46" t="s">
        <v>6836</v>
      </c>
      <c r="U1378" s="46" t="s">
        <v>6341</v>
      </c>
      <c r="V1378" s="46" t="s">
        <v>6342</v>
      </c>
      <c r="W1378" s="46" t="s">
        <v>347</v>
      </c>
      <c r="X1378" s="172" t="s">
        <v>8942</v>
      </c>
      <c r="Y1378" s="46" t="s">
        <v>6878</v>
      </c>
      <c r="Z1378" s="46" t="s">
        <v>6879</v>
      </c>
      <c r="AA1378" s="46" t="s">
        <v>347</v>
      </c>
      <c r="AB1378" s="172" t="s">
        <v>8942</v>
      </c>
      <c r="AC1378" s="48" t="s">
        <v>6880</v>
      </c>
      <c r="AD1378" s="30"/>
      <c r="AE1378" s="200"/>
      <c r="AF1378" s="100"/>
    </row>
    <row r="1379" spans="1:32" s="32" customFormat="1" ht="69.95" hidden="1" customHeight="1">
      <c r="A1379" s="29" t="s">
        <v>6336</v>
      </c>
      <c r="B1379" s="29" t="s">
        <v>3769</v>
      </c>
      <c r="C1379" s="40">
        <v>28</v>
      </c>
      <c r="D1379" s="40"/>
      <c r="E1379" s="57" t="s">
        <v>8581</v>
      </c>
      <c r="F1379" s="57" t="s">
        <v>8581</v>
      </c>
      <c r="G1379" s="29" t="s">
        <v>2890</v>
      </c>
      <c r="H1379" s="29"/>
      <c r="I1379" s="29"/>
      <c r="J1379" s="29">
        <f t="shared" si="98"/>
        <v>1</v>
      </c>
      <c r="K1379" s="42">
        <v>1365</v>
      </c>
      <c r="L1379" s="43" t="s">
        <v>2891</v>
      </c>
      <c r="M1379" s="44" t="s">
        <v>405</v>
      </c>
      <c r="N1379" s="44" t="s">
        <v>578</v>
      </c>
      <c r="O1379" s="44" t="str">
        <f t="shared" si="99"/>
        <v>PE-L1-2C4-10</v>
      </c>
      <c r="P1379" s="45">
        <v>1.02</v>
      </c>
      <c r="Q1379" s="44">
        <v>220</v>
      </c>
      <c r="R1379" s="44" t="s">
        <v>509</v>
      </c>
      <c r="S1379" s="44">
        <v>100</v>
      </c>
      <c r="T1379" s="46" t="s">
        <v>6836</v>
      </c>
      <c r="U1379" s="46" t="s">
        <v>6336</v>
      </c>
      <c r="V1379" s="46" t="s">
        <v>6337</v>
      </c>
      <c r="W1379" s="46" t="s">
        <v>347</v>
      </c>
      <c r="X1379" s="172" t="s">
        <v>8942</v>
      </c>
      <c r="Y1379" s="46" t="s">
        <v>6878</v>
      </c>
      <c r="Z1379" s="46" t="s">
        <v>6879</v>
      </c>
      <c r="AA1379" s="46" t="s">
        <v>347</v>
      </c>
      <c r="AB1379" s="172" t="s">
        <v>8942</v>
      </c>
      <c r="AC1379" s="48" t="s">
        <v>6881</v>
      </c>
      <c r="AD1379" s="30"/>
      <c r="AE1379" s="200"/>
      <c r="AF1379" s="100"/>
    </row>
    <row r="1380" spans="1:32" s="32" customFormat="1" ht="69.95" hidden="1" customHeight="1">
      <c r="A1380" s="29" t="s">
        <v>5466</v>
      </c>
      <c r="B1380" s="29" t="s">
        <v>3769</v>
      </c>
      <c r="C1380" s="40" t="s">
        <v>75</v>
      </c>
      <c r="D1380" s="40"/>
      <c r="E1380" s="57" t="s">
        <v>122</v>
      </c>
      <c r="F1380" s="57" t="s">
        <v>122</v>
      </c>
      <c r="G1380" s="29" t="s">
        <v>2892</v>
      </c>
      <c r="H1380" s="29"/>
      <c r="I1380" s="29"/>
      <c r="J1380" s="29">
        <f t="shared" si="98"/>
        <v>1</v>
      </c>
      <c r="K1380" s="42">
        <v>1366</v>
      </c>
      <c r="L1380" s="43" t="s">
        <v>2893</v>
      </c>
      <c r="M1380" s="44" t="s">
        <v>405</v>
      </c>
      <c r="N1380" s="44" t="s">
        <v>426</v>
      </c>
      <c r="O1380" s="44" t="str">
        <f t="shared" si="99"/>
        <v>PE-L1-3C4-06</v>
      </c>
      <c r="P1380" s="45">
        <v>0.12</v>
      </c>
      <c r="Q1380" s="44">
        <v>230</v>
      </c>
      <c r="R1380" s="44" t="s">
        <v>49</v>
      </c>
      <c r="S1380" s="44">
        <v>70</v>
      </c>
      <c r="T1380" s="46" t="s">
        <v>6836</v>
      </c>
      <c r="U1380" s="46" t="s">
        <v>5466</v>
      </c>
      <c r="V1380" s="46" t="s">
        <v>5467</v>
      </c>
      <c r="W1380" s="46" t="s">
        <v>347</v>
      </c>
      <c r="X1380" s="172" t="s">
        <v>9167</v>
      </c>
      <c r="Y1380" s="46" t="s">
        <v>6878</v>
      </c>
      <c r="Z1380" s="46" t="s">
        <v>6879</v>
      </c>
      <c r="AA1380" s="46" t="s">
        <v>347</v>
      </c>
      <c r="AB1380" s="172" t="s">
        <v>9167</v>
      </c>
      <c r="AC1380" s="48" t="s">
        <v>6882</v>
      </c>
      <c r="AD1380" s="30"/>
      <c r="AE1380" s="200"/>
      <c r="AF1380" s="100"/>
    </row>
    <row r="1381" spans="1:32" s="32" customFormat="1" ht="69.95" hidden="1" customHeight="1">
      <c r="A1381" s="29" t="s">
        <v>6336</v>
      </c>
      <c r="B1381" s="29" t="s">
        <v>3769</v>
      </c>
      <c r="C1381" s="40">
        <v>29</v>
      </c>
      <c r="D1381" s="40"/>
      <c r="E1381" s="57" t="s">
        <v>8581</v>
      </c>
      <c r="F1381" s="57" t="s">
        <v>8581</v>
      </c>
      <c r="G1381" s="29" t="s">
        <v>2894</v>
      </c>
      <c r="H1381" s="29"/>
      <c r="I1381" s="29"/>
      <c r="J1381" s="29">
        <f t="shared" si="98"/>
        <v>1</v>
      </c>
      <c r="K1381" s="42">
        <v>1367</v>
      </c>
      <c r="L1381" s="43" t="s">
        <v>2895</v>
      </c>
      <c r="M1381" s="44" t="s">
        <v>405</v>
      </c>
      <c r="N1381" s="44" t="s">
        <v>578</v>
      </c>
      <c r="O1381" s="44" t="str">
        <f t="shared" si="99"/>
        <v>PE-L1-2C4-10</v>
      </c>
      <c r="P1381" s="45">
        <v>0.51</v>
      </c>
      <c r="Q1381" s="44">
        <v>220</v>
      </c>
      <c r="R1381" s="44" t="s">
        <v>509</v>
      </c>
      <c r="S1381" s="44">
        <v>100</v>
      </c>
      <c r="T1381" s="46" t="s">
        <v>6836</v>
      </c>
      <c r="U1381" s="46" t="s">
        <v>6336</v>
      </c>
      <c r="V1381" s="46" t="s">
        <v>6337</v>
      </c>
      <c r="W1381" s="46" t="s">
        <v>347</v>
      </c>
      <c r="X1381" s="172" t="s">
        <v>8942</v>
      </c>
      <c r="Y1381" s="46" t="s">
        <v>6883</v>
      </c>
      <c r="Z1381" s="46" t="s">
        <v>6884</v>
      </c>
      <c r="AA1381" s="46" t="s">
        <v>347</v>
      </c>
      <c r="AB1381" s="172" t="s">
        <v>8942</v>
      </c>
      <c r="AC1381" s="48" t="s">
        <v>6885</v>
      </c>
      <c r="AD1381" s="30"/>
      <c r="AE1381" s="200"/>
      <c r="AF1381" s="100"/>
    </row>
    <row r="1382" spans="1:32" s="32" customFormat="1" ht="69.95" hidden="1" customHeight="1">
      <c r="A1382" s="29" t="s">
        <v>6341</v>
      </c>
      <c r="B1382" s="29" t="s">
        <v>3769</v>
      </c>
      <c r="C1382" s="40">
        <v>29</v>
      </c>
      <c r="D1382" s="40"/>
      <c r="E1382" s="56" t="s">
        <v>252</v>
      </c>
      <c r="F1382" s="56" t="s">
        <v>252</v>
      </c>
      <c r="G1382" s="29" t="s">
        <v>2896</v>
      </c>
      <c r="H1382" s="29"/>
      <c r="I1382" s="29"/>
      <c r="J1382" s="29">
        <f t="shared" si="98"/>
        <v>1</v>
      </c>
      <c r="K1382" s="42">
        <v>1368</v>
      </c>
      <c r="L1382" s="43" t="s">
        <v>2897</v>
      </c>
      <c r="M1382" s="44" t="s">
        <v>405</v>
      </c>
      <c r="N1382" s="44" t="s">
        <v>578</v>
      </c>
      <c r="O1382" s="44" t="str">
        <f t="shared" si="99"/>
        <v>PE-L1-2C4-05</v>
      </c>
      <c r="P1382" s="45">
        <v>0.51</v>
      </c>
      <c r="Q1382" s="44">
        <v>220</v>
      </c>
      <c r="R1382" s="44" t="s">
        <v>509</v>
      </c>
      <c r="S1382" s="44">
        <v>100</v>
      </c>
      <c r="T1382" s="46" t="s">
        <v>6836</v>
      </c>
      <c r="U1382" s="46" t="s">
        <v>6341</v>
      </c>
      <c r="V1382" s="46" t="s">
        <v>6342</v>
      </c>
      <c r="W1382" s="46" t="s">
        <v>347</v>
      </c>
      <c r="X1382" s="172" t="s">
        <v>8942</v>
      </c>
      <c r="Y1382" s="46" t="s">
        <v>6883</v>
      </c>
      <c r="Z1382" s="46" t="s">
        <v>6884</v>
      </c>
      <c r="AA1382" s="46" t="s">
        <v>347</v>
      </c>
      <c r="AB1382" s="172" t="s">
        <v>8942</v>
      </c>
      <c r="AC1382" s="48" t="s">
        <v>6886</v>
      </c>
      <c r="AD1382" s="30"/>
      <c r="AE1382" s="200"/>
      <c r="AF1382" s="100"/>
    </row>
    <row r="1383" spans="1:32" s="32" customFormat="1" ht="69.95" hidden="1" customHeight="1">
      <c r="A1383" s="29" t="s">
        <v>4054</v>
      </c>
      <c r="B1383" s="29" t="s">
        <v>3769</v>
      </c>
      <c r="C1383" s="40">
        <v>12</v>
      </c>
      <c r="D1383" s="40"/>
      <c r="E1383" s="57" t="s">
        <v>118</v>
      </c>
      <c r="F1383" s="57" t="s">
        <v>118</v>
      </c>
      <c r="G1383" s="29" t="s">
        <v>2898</v>
      </c>
      <c r="H1383" s="29"/>
      <c r="I1383" s="29"/>
      <c r="J1383" s="29">
        <f t="shared" si="98"/>
        <v>1</v>
      </c>
      <c r="K1383" s="42">
        <v>1369</v>
      </c>
      <c r="L1383" s="43" t="s">
        <v>2899</v>
      </c>
      <c r="M1383" s="44" t="s">
        <v>405</v>
      </c>
      <c r="N1383" s="44" t="s">
        <v>426</v>
      </c>
      <c r="O1383" s="44" t="str">
        <f t="shared" si="99"/>
        <v>PE-L1-3C4-04</v>
      </c>
      <c r="P1383" s="45">
        <v>0.12</v>
      </c>
      <c r="Q1383" s="44">
        <v>230</v>
      </c>
      <c r="R1383" s="44" t="s">
        <v>49</v>
      </c>
      <c r="S1383" s="44">
        <v>70</v>
      </c>
      <c r="T1383" s="46" t="s">
        <v>6836</v>
      </c>
      <c r="U1383" s="46" t="s">
        <v>4054</v>
      </c>
      <c r="V1383" s="46" t="s">
        <v>4055</v>
      </c>
      <c r="W1383" s="46" t="s">
        <v>347</v>
      </c>
      <c r="X1383" s="172" t="s">
        <v>9167</v>
      </c>
      <c r="Y1383" s="46" t="s">
        <v>6883</v>
      </c>
      <c r="Z1383" s="46" t="s">
        <v>6884</v>
      </c>
      <c r="AA1383" s="46" t="s">
        <v>347</v>
      </c>
      <c r="AB1383" s="172" t="s">
        <v>9167</v>
      </c>
      <c r="AC1383" s="48" t="s">
        <v>6887</v>
      </c>
      <c r="AD1383" s="30"/>
      <c r="AE1383" s="200"/>
      <c r="AF1383" s="100"/>
    </row>
    <row r="1384" spans="1:32" s="32" customFormat="1" ht="69.95" hidden="1" customHeight="1">
      <c r="A1384" s="29" t="s">
        <v>6341</v>
      </c>
      <c r="B1384" s="29" t="s">
        <v>3769</v>
      </c>
      <c r="C1384" s="40">
        <v>30</v>
      </c>
      <c r="D1384" s="40"/>
      <c r="E1384" s="57" t="s">
        <v>8581</v>
      </c>
      <c r="F1384" s="57" t="s">
        <v>8581</v>
      </c>
      <c r="G1384" s="29" t="s">
        <v>2900</v>
      </c>
      <c r="H1384" s="29"/>
      <c r="I1384" s="29"/>
      <c r="J1384" s="29">
        <f t="shared" si="98"/>
        <v>1</v>
      </c>
      <c r="K1384" s="42">
        <v>1370</v>
      </c>
      <c r="L1384" s="43" t="s">
        <v>2901</v>
      </c>
      <c r="M1384" s="44" t="s">
        <v>405</v>
      </c>
      <c r="N1384" s="44" t="s">
        <v>578</v>
      </c>
      <c r="O1384" s="44" t="str">
        <f t="shared" si="99"/>
        <v>PE-L1-2C4-10</v>
      </c>
      <c r="P1384" s="45">
        <v>0.51</v>
      </c>
      <c r="Q1384" s="44">
        <v>220</v>
      </c>
      <c r="R1384" s="44" t="s">
        <v>509</v>
      </c>
      <c r="S1384" s="44">
        <v>100</v>
      </c>
      <c r="T1384" s="46" t="s">
        <v>6836</v>
      </c>
      <c r="U1384" s="46" t="s">
        <v>6341</v>
      </c>
      <c r="V1384" s="46" t="s">
        <v>6342</v>
      </c>
      <c r="W1384" s="46" t="s">
        <v>347</v>
      </c>
      <c r="X1384" s="172" t="s">
        <v>8942</v>
      </c>
      <c r="Y1384" s="46" t="s">
        <v>6888</v>
      </c>
      <c r="Z1384" s="46" t="s">
        <v>6889</v>
      </c>
      <c r="AA1384" s="46" t="s">
        <v>347</v>
      </c>
      <c r="AB1384" s="172" t="s">
        <v>8942</v>
      </c>
      <c r="AC1384" s="48" t="s">
        <v>6890</v>
      </c>
      <c r="AD1384" s="30"/>
      <c r="AE1384" s="200"/>
      <c r="AF1384" s="100"/>
    </row>
    <row r="1385" spans="1:32" s="32" customFormat="1" ht="69.95" hidden="1" customHeight="1">
      <c r="A1385" s="29" t="s">
        <v>6336</v>
      </c>
      <c r="B1385" s="29" t="s">
        <v>3769</v>
      </c>
      <c r="C1385" s="40">
        <v>30</v>
      </c>
      <c r="D1385" s="40"/>
      <c r="E1385" s="57" t="s">
        <v>8581</v>
      </c>
      <c r="F1385" s="57" t="s">
        <v>8581</v>
      </c>
      <c r="G1385" s="29" t="s">
        <v>2902</v>
      </c>
      <c r="H1385" s="29"/>
      <c r="I1385" s="29"/>
      <c r="J1385" s="29">
        <f t="shared" si="98"/>
        <v>1</v>
      </c>
      <c r="K1385" s="42">
        <v>1371</v>
      </c>
      <c r="L1385" s="43" t="s">
        <v>2903</v>
      </c>
      <c r="M1385" s="44" t="s">
        <v>405</v>
      </c>
      <c r="N1385" s="44" t="s">
        <v>578</v>
      </c>
      <c r="O1385" s="44" t="str">
        <f t="shared" si="99"/>
        <v>PE-L1-2C4-10</v>
      </c>
      <c r="P1385" s="45">
        <v>0.51</v>
      </c>
      <c r="Q1385" s="44">
        <v>220</v>
      </c>
      <c r="R1385" s="44" t="s">
        <v>509</v>
      </c>
      <c r="S1385" s="44">
        <v>100</v>
      </c>
      <c r="T1385" s="46" t="s">
        <v>6836</v>
      </c>
      <c r="U1385" s="46" t="s">
        <v>6336</v>
      </c>
      <c r="V1385" s="46" t="s">
        <v>6337</v>
      </c>
      <c r="W1385" s="46" t="s">
        <v>347</v>
      </c>
      <c r="X1385" s="172" t="s">
        <v>8942</v>
      </c>
      <c r="Y1385" s="46" t="s">
        <v>6888</v>
      </c>
      <c r="Z1385" s="46" t="s">
        <v>6889</v>
      </c>
      <c r="AA1385" s="46" t="s">
        <v>347</v>
      </c>
      <c r="AB1385" s="172" t="s">
        <v>8942</v>
      </c>
      <c r="AC1385" s="48" t="s">
        <v>6891</v>
      </c>
      <c r="AD1385" s="30"/>
      <c r="AE1385" s="200"/>
      <c r="AF1385" s="100"/>
    </row>
    <row r="1386" spans="1:32" s="32" customFormat="1" ht="69.95" hidden="1" customHeight="1">
      <c r="A1386" s="29" t="s">
        <v>4054</v>
      </c>
      <c r="B1386" s="29" t="s">
        <v>3769</v>
      </c>
      <c r="C1386" s="40">
        <v>13</v>
      </c>
      <c r="D1386" s="40"/>
      <c r="E1386" s="57" t="s">
        <v>118</v>
      </c>
      <c r="F1386" s="57" t="s">
        <v>118</v>
      </c>
      <c r="G1386" s="29" t="s">
        <v>2904</v>
      </c>
      <c r="H1386" s="29"/>
      <c r="I1386" s="29"/>
      <c r="J1386" s="29">
        <f t="shared" si="98"/>
        <v>1</v>
      </c>
      <c r="K1386" s="42">
        <v>1372</v>
      </c>
      <c r="L1386" s="43" t="s">
        <v>2905</v>
      </c>
      <c r="M1386" s="44" t="s">
        <v>405</v>
      </c>
      <c r="N1386" s="44" t="s">
        <v>426</v>
      </c>
      <c r="O1386" s="44" t="str">
        <f t="shared" si="99"/>
        <v>PE-L1-3C4-04</v>
      </c>
      <c r="P1386" s="45">
        <v>0.12</v>
      </c>
      <c r="Q1386" s="44">
        <v>230</v>
      </c>
      <c r="R1386" s="44" t="s">
        <v>49</v>
      </c>
      <c r="S1386" s="44">
        <v>70</v>
      </c>
      <c r="T1386" s="46" t="s">
        <v>6836</v>
      </c>
      <c r="U1386" s="46" t="s">
        <v>4054</v>
      </c>
      <c r="V1386" s="46" t="s">
        <v>4055</v>
      </c>
      <c r="W1386" s="46" t="s">
        <v>347</v>
      </c>
      <c r="X1386" s="172" t="s">
        <v>9167</v>
      </c>
      <c r="Y1386" s="46" t="s">
        <v>6888</v>
      </c>
      <c r="Z1386" s="46" t="s">
        <v>6889</v>
      </c>
      <c r="AA1386" s="46" t="s">
        <v>347</v>
      </c>
      <c r="AB1386" s="172" t="s">
        <v>9167</v>
      </c>
      <c r="AC1386" s="48" t="s">
        <v>6887</v>
      </c>
      <c r="AD1386" s="30"/>
      <c r="AE1386" s="200"/>
      <c r="AF1386" s="100"/>
    </row>
    <row r="1387" spans="1:32" s="32" customFormat="1" ht="69.95" hidden="1" customHeight="1">
      <c r="A1387" s="29" t="s">
        <v>6322</v>
      </c>
      <c r="B1387" s="29" t="s">
        <v>3769</v>
      </c>
      <c r="C1387" s="40">
        <v>33</v>
      </c>
      <c r="D1387" s="40"/>
      <c r="E1387" s="56" t="s">
        <v>77</v>
      </c>
      <c r="F1387" s="56" t="s">
        <v>77</v>
      </c>
      <c r="G1387" s="29" t="s">
        <v>2906</v>
      </c>
      <c r="H1387" s="29"/>
      <c r="I1387" s="124" t="s">
        <v>9121</v>
      </c>
      <c r="J1387" s="29">
        <f t="shared" si="98"/>
        <v>1</v>
      </c>
      <c r="K1387" s="42">
        <v>1373</v>
      </c>
      <c r="L1387" s="152" t="s">
        <v>2907</v>
      </c>
      <c r="M1387" s="44" t="s">
        <v>405</v>
      </c>
      <c r="N1387" s="44" t="s">
        <v>613</v>
      </c>
      <c r="O1387" s="101" t="str">
        <f t="shared" ref="O1387:O1392" si="100">F1387</f>
        <v>PE-L1-2C6-01</v>
      </c>
      <c r="P1387" s="45">
        <v>1.02</v>
      </c>
      <c r="Q1387" s="44">
        <v>220</v>
      </c>
      <c r="R1387" s="44" t="s">
        <v>509</v>
      </c>
      <c r="S1387" s="101">
        <v>120</v>
      </c>
      <c r="T1387" s="46" t="s">
        <v>6836</v>
      </c>
      <c r="U1387" s="46" t="s">
        <v>6322</v>
      </c>
      <c r="V1387" s="46" t="s">
        <v>6323</v>
      </c>
      <c r="W1387" s="46" t="s">
        <v>335</v>
      </c>
      <c r="X1387" s="131" t="s">
        <v>8942</v>
      </c>
      <c r="Y1387" s="46" t="s">
        <v>6892</v>
      </c>
      <c r="Z1387" s="46" t="s">
        <v>6893</v>
      </c>
      <c r="AA1387" s="46" t="s">
        <v>335</v>
      </c>
      <c r="AB1387" s="131" t="s">
        <v>8942</v>
      </c>
      <c r="AC1387" s="48" t="s">
        <v>6894</v>
      </c>
      <c r="AD1387" s="30"/>
      <c r="AE1387" s="200"/>
      <c r="AF1387" s="100"/>
    </row>
    <row r="1388" spans="1:32" s="32" customFormat="1" ht="90" hidden="1" customHeight="1">
      <c r="A1388" s="29" t="s">
        <v>6317</v>
      </c>
      <c r="B1388" s="29" t="s">
        <v>3769</v>
      </c>
      <c r="C1388" s="40">
        <v>33</v>
      </c>
      <c r="D1388" s="40"/>
      <c r="E1388" s="56" t="s">
        <v>83</v>
      </c>
      <c r="F1388" s="56" t="s">
        <v>83</v>
      </c>
      <c r="G1388" s="29" t="s">
        <v>2908</v>
      </c>
      <c r="H1388" s="29"/>
      <c r="I1388" s="124" t="s">
        <v>9121</v>
      </c>
      <c r="J1388" s="29">
        <f t="shared" si="98"/>
        <v>1</v>
      </c>
      <c r="K1388" s="42">
        <v>1374</v>
      </c>
      <c r="L1388" s="152" t="s">
        <v>2909</v>
      </c>
      <c r="M1388" s="44" t="s">
        <v>405</v>
      </c>
      <c r="N1388" s="44" t="s">
        <v>613</v>
      </c>
      <c r="O1388" s="101" t="str">
        <f t="shared" si="100"/>
        <v>PE-L1-2C6-02</v>
      </c>
      <c r="P1388" s="45">
        <v>1.02</v>
      </c>
      <c r="Q1388" s="44">
        <v>220</v>
      </c>
      <c r="R1388" s="44" t="s">
        <v>509</v>
      </c>
      <c r="S1388" s="101">
        <v>110</v>
      </c>
      <c r="T1388" s="46" t="s">
        <v>6836</v>
      </c>
      <c r="U1388" s="46" t="s">
        <v>6317</v>
      </c>
      <c r="V1388" s="46" t="s">
        <v>6318</v>
      </c>
      <c r="W1388" s="46" t="s">
        <v>335</v>
      </c>
      <c r="X1388" s="172" t="s">
        <v>8942</v>
      </c>
      <c r="Y1388" s="46" t="s">
        <v>6892</v>
      </c>
      <c r="Z1388" s="46" t="s">
        <v>6893</v>
      </c>
      <c r="AA1388" s="46" t="s">
        <v>335</v>
      </c>
      <c r="AB1388" s="172" t="s">
        <v>8942</v>
      </c>
      <c r="AC1388" s="48" t="s">
        <v>6895</v>
      </c>
      <c r="AD1388" s="30"/>
      <c r="AE1388" s="200"/>
      <c r="AF1388" s="100"/>
    </row>
    <row r="1389" spans="1:32" s="32" customFormat="1" ht="69.95" hidden="1" customHeight="1">
      <c r="A1389" s="29" t="s">
        <v>3985</v>
      </c>
      <c r="B1389" s="29" t="s">
        <v>3769</v>
      </c>
      <c r="C1389" s="40">
        <v>12</v>
      </c>
      <c r="D1389" s="173" t="s">
        <v>9131</v>
      </c>
      <c r="E1389" s="57" t="s">
        <v>85</v>
      </c>
      <c r="F1389" s="121" t="s">
        <v>118</v>
      </c>
      <c r="G1389" s="29" t="s">
        <v>2910</v>
      </c>
      <c r="H1389" s="29"/>
      <c r="I1389" s="124" t="s">
        <v>9121</v>
      </c>
      <c r="J1389" s="29">
        <f t="shared" si="98"/>
        <v>1</v>
      </c>
      <c r="K1389" s="42">
        <v>1375</v>
      </c>
      <c r="L1389" s="43" t="s">
        <v>2911</v>
      </c>
      <c r="M1389" s="44" t="s">
        <v>405</v>
      </c>
      <c r="N1389" s="44" t="s">
        <v>426</v>
      </c>
      <c r="O1389" s="121" t="str">
        <f t="shared" si="100"/>
        <v>PE-L1-3C4-04</v>
      </c>
      <c r="P1389" s="45">
        <v>0.12</v>
      </c>
      <c r="Q1389" s="44">
        <v>230</v>
      </c>
      <c r="R1389" s="44" t="s">
        <v>49</v>
      </c>
      <c r="S1389" s="44">
        <v>160</v>
      </c>
      <c r="T1389" s="46" t="s">
        <v>6836</v>
      </c>
      <c r="U1389" s="46" t="s">
        <v>3985</v>
      </c>
      <c r="V1389" s="46" t="s">
        <v>3986</v>
      </c>
      <c r="W1389" s="46" t="s">
        <v>335</v>
      </c>
      <c r="X1389" s="172" t="s">
        <v>9167</v>
      </c>
      <c r="Y1389" s="46" t="s">
        <v>6892</v>
      </c>
      <c r="Z1389" s="46" t="s">
        <v>6893</v>
      </c>
      <c r="AA1389" s="46" t="s">
        <v>335</v>
      </c>
      <c r="AB1389" s="172" t="s">
        <v>9167</v>
      </c>
      <c r="AC1389" s="48" t="s">
        <v>6896</v>
      </c>
      <c r="AD1389" s="30"/>
      <c r="AE1389" s="200"/>
      <c r="AF1389" s="100"/>
    </row>
    <row r="1390" spans="1:32" s="32" customFormat="1" ht="69.95" hidden="1" customHeight="1">
      <c r="A1390" s="29" t="s">
        <v>6322</v>
      </c>
      <c r="B1390" s="29" t="s">
        <v>3769</v>
      </c>
      <c r="C1390" s="40">
        <v>34</v>
      </c>
      <c r="D1390" s="40"/>
      <c r="E1390" s="58" t="s">
        <v>8578</v>
      </c>
      <c r="F1390" s="58" t="s">
        <v>8579</v>
      </c>
      <c r="G1390" s="29" t="s">
        <v>2912</v>
      </c>
      <c r="H1390" s="29"/>
      <c r="I1390" s="124" t="s">
        <v>9121</v>
      </c>
      <c r="J1390" s="29">
        <f t="shared" si="98"/>
        <v>1</v>
      </c>
      <c r="K1390" s="42">
        <v>1376</v>
      </c>
      <c r="L1390" s="152" t="s">
        <v>2913</v>
      </c>
      <c r="M1390" s="44" t="s">
        <v>405</v>
      </c>
      <c r="N1390" s="44" t="s">
        <v>578</v>
      </c>
      <c r="O1390" s="101" t="str">
        <f t="shared" si="100"/>
        <v>PE-L1-2C4-03</v>
      </c>
      <c r="P1390" s="45">
        <v>0.51</v>
      </c>
      <c r="Q1390" s="44">
        <v>220</v>
      </c>
      <c r="R1390" s="44" t="s">
        <v>509</v>
      </c>
      <c r="S1390" s="101">
        <v>120</v>
      </c>
      <c r="T1390" s="46" t="s">
        <v>6836</v>
      </c>
      <c r="U1390" s="46" t="s">
        <v>6322</v>
      </c>
      <c r="V1390" s="46" t="s">
        <v>6323</v>
      </c>
      <c r="W1390" s="46" t="s">
        <v>335</v>
      </c>
      <c r="X1390" s="172" t="s">
        <v>8942</v>
      </c>
      <c r="Y1390" s="46" t="s">
        <v>6897</v>
      </c>
      <c r="Z1390" s="46" t="s">
        <v>6898</v>
      </c>
      <c r="AA1390" s="46" t="s">
        <v>335</v>
      </c>
      <c r="AB1390" s="172" t="s">
        <v>8942</v>
      </c>
      <c r="AC1390" s="48" t="s">
        <v>6894</v>
      </c>
      <c r="AD1390" s="30"/>
      <c r="AE1390" s="200"/>
      <c r="AF1390" s="100"/>
    </row>
    <row r="1391" spans="1:32" s="32" customFormat="1" ht="90" hidden="1" customHeight="1">
      <c r="A1391" s="29" t="s">
        <v>6317</v>
      </c>
      <c r="B1391" s="29" t="s">
        <v>3769</v>
      </c>
      <c r="C1391" s="40">
        <v>34</v>
      </c>
      <c r="D1391" s="40"/>
      <c r="E1391" s="58" t="s">
        <v>8578</v>
      </c>
      <c r="F1391" s="58" t="s">
        <v>8579</v>
      </c>
      <c r="G1391" s="29" t="s">
        <v>2914</v>
      </c>
      <c r="H1391" s="29"/>
      <c r="I1391" s="124" t="s">
        <v>9121</v>
      </c>
      <c r="J1391" s="29">
        <f t="shared" si="98"/>
        <v>1</v>
      </c>
      <c r="K1391" s="42">
        <v>1377</v>
      </c>
      <c r="L1391" s="152" t="s">
        <v>2915</v>
      </c>
      <c r="M1391" s="44" t="s">
        <v>405</v>
      </c>
      <c r="N1391" s="44" t="s">
        <v>578</v>
      </c>
      <c r="O1391" s="101" t="str">
        <f t="shared" si="100"/>
        <v>PE-L1-2C4-03</v>
      </c>
      <c r="P1391" s="45">
        <v>0.51</v>
      </c>
      <c r="Q1391" s="44">
        <v>220</v>
      </c>
      <c r="R1391" s="44" t="s">
        <v>509</v>
      </c>
      <c r="S1391" s="101">
        <v>110</v>
      </c>
      <c r="T1391" s="46" t="s">
        <v>6836</v>
      </c>
      <c r="U1391" s="46" t="s">
        <v>6317</v>
      </c>
      <c r="V1391" s="46" t="s">
        <v>6318</v>
      </c>
      <c r="W1391" s="46" t="s">
        <v>335</v>
      </c>
      <c r="X1391" s="172" t="s">
        <v>8942</v>
      </c>
      <c r="Y1391" s="46" t="s">
        <v>6897</v>
      </c>
      <c r="Z1391" s="46" t="s">
        <v>6898</v>
      </c>
      <c r="AA1391" s="46" t="s">
        <v>335</v>
      </c>
      <c r="AB1391" s="172" t="s">
        <v>8942</v>
      </c>
      <c r="AC1391" s="48" t="s">
        <v>6895</v>
      </c>
      <c r="AD1391" s="30"/>
      <c r="AE1391" s="200"/>
      <c r="AF1391" s="100"/>
    </row>
    <row r="1392" spans="1:32" s="32" customFormat="1" ht="69.95" hidden="1" customHeight="1">
      <c r="A1392" s="29" t="s">
        <v>3985</v>
      </c>
      <c r="B1392" s="29" t="s">
        <v>3769</v>
      </c>
      <c r="C1392" s="40">
        <v>13</v>
      </c>
      <c r="D1392" s="173" t="s">
        <v>9131</v>
      </c>
      <c r="E1392" s="57" t="s">
        <v>85</v>
      </c>
      <c r="F1392" s="121" t="s">
        <v>118</v>
      </c>
      <c r="G1392" s="29" t="s">
        <v>2916</v>
      </c>
      <c r="H1392" s="29"/>
      <c r="I1392" s="124" t="s">
        <v>9121</v>
      </c>
      <c r="J1392" s="29">
        <f t="shared" si="98"/>
        <v>1</v>
      </c>
      <c r="K1392" s="42">
        <v>1378</v>
      </c>
      <c r="L1392" s="43" t="s">
        <v>2917</v>
      </c>
      <c r="M1392" s="44" t="s">
        <v>405</v>
      </c>
      <c r="N1392" s="44" t="s">
        <v>426</v>
      </c>
      <c r="O1392" s="121" t="str">
        <f t="shared" si="100"/>
        <v>PE-L1-3C4-04</v>
      </c>
      <c r="P1392" s="45">
        <v>0.12</v>
      </c>
      <c r="Q1392" s="44">
        <v>230</v>
      </c>
      <c r="R1392" s="44" t="s">
        <v>49</v>
      </c>
      <c r="S1392" s="44">
        <v>160</v>
      </c>
      <c r="T1392" s="46" t="s">
        <v>6836</v>
      </c>
      <c r="U1392" s="46" t="s">
        <v>3985</v>
      </c>
      <c r="V1392" s="46" t="s">
        <v>3986</v>
      </c>
      <c r="W1392" s="46" t="s">
        <v>335</v>
      </c>
      <c r="X1392" s="172" t="s">
        <v>9167</v>
      </c>
      <c r="Y1392" s="46" t="s">
        <v>6897</v>
      </c>
      <c r="Z1392" s="46" t="s">
        <v>6898</v>
      </c>
      <c r="AA1392" s="46" t="s">
        <v>335</v>
      </c>
      <c r="AB1392" s="172" t="s">
        <v>9167</v>
      </c>
      <c r="AC1392" s="48" t="s">
        <v>6896</v>
      </c>
      <c r="AD1392" s="30"/>
      <c r="AE1392" s="200"/>
      <c r="AF1392" s="100"/>
    </row>
    <row r="1393" spans="1:32" s="32" customFormat="1" ht="69.95" hidden="1" customHeight="1">
      <c r="A1393" s="29" t="s">
        <v>6341</v>
      </c>
      <c r="B1393" s="29" t="s">
        <v>3769</v>
      </c>
      <c r="C1393" s="40">
        <v>31</v>
      </c>
      <c r="D1393" s="40"/>
      <c r="E1393" s="57" t="s">
        <v>83</v>
      </c>
      <c r="F1393" s="57" t="s">
        <v>83</v>
      </c>
      <c r="G1393" s="29" t="s">
        <v>2918</v>
      </c>
      <c r="H1393" s="29"/>
      <c r="I1393" s="29"/>
      <c r="J1393" s="29">
        <f t="shared" si="98"/>
        <v>1</v>
      </c>
      <c r="K1393" s="42">
        <v>1379</v>
      </c>
      <c r="L1393" s="43" t="s">
        <v>2919</v>
      </c>
      <c r="M1393" s="44" t="s">
        <v>405</v>
      </c>
      <c r="N1393" s="44" t="s">
        <v>613</v>
      </c>
      <c r="O1393" s="44" t="str">
        <f t="shared" ref="O1393:O1398" si="101">F1393</f>
        <v>PE-L1-2C6-02</v>
      </c>
      <c r="P1393" s="45">
        <v>1.02</v>
      </c>
      <c r="Q1393" s="44">
        <v>220</v>
      </c>
      <c r="R1393" s="44" t="s">
        <v>509</v>
      </c>
      <c r="S1393" s="44">
        <v>90</v>
      </c>
      <c r="T1393" s="46" t="s">
        <v>6836</v>
      </c>
      <c r="U1393" s="46" t="s">
        <v>6341</v>
      </c>
      <c r="V1393" s="46" t="s">
        <v>6342</v>
      </c>
      <c r="W1393" s="46" t="s">
        <v>347</v>
      </c>
      <c r="X1393" s="172" t="s">
        <v>8942</v>
      </c>
      <c r="Y1393" s="46" t="s">
        <v>6899</v>
      </c>
      <c r="Z1393" s="46" t="s">
        <v>6900</v>
      </c>
      <c r="AA1393" s="46" t="s">
        <v>347</v>
      </c>
      <c r="AB1393" s="172" t="s">
        <v>8942</v>
      </c>
      <c r="AC1393" s="48" t="s">
        <v>6901</v>
      </c>
      <c r="AD1393" s="30"/>
      <c r="AE1393" s="200"/>
      <c r="AF1393" s="100"/>
    </row>
    <row r="1394" spans="1:32" s="32" customFormat="1" ht="69.95" hidden="1" customHeight="1">
      <c r="A1394" s="29" t="s">
        <v>6336</v>
      </c>
      <c r="B1394" s="29" t="s">
        <v>3769</v>
      </c>
      <c r="C1394" s="40">
        <v>31</v>
      </c>
      <c r="D1394" s="40"/>
      <c r="E1394" s="56" t="s">
        <v>83</v>
      </c>
      <c r="F1394" s="56" t="s">
        <v>83</v>
      </c>
      <c r="G1394" s="29" t="s">
        <v>2920</v>
      </c>
      <c r="H1394" s="29"/>
      <c r="I1394" s="29"/>
      <c r="J1394" s="29">
        <f t="shared" si="98"/>
        <v>1</v>
      </c>
      <c r="K1394" s="42">
        <v>1380</v>
      </c>
      <c r="L1394" s="43" t="s">
        <v>2921</v>
      </c>
      <c r="M1394" s="44" t="s">
        <v>405</v>
      </c>
      <c r="N1394" s="44" t="s">
        <v>613</v>
      </c>
      <c r="O1394" s="44" t="str">
        <f t="shared" si="101"/>
        <v>PE-L1-2C6-02</v>
      </c>
      <c r="P1394" s="45">
        <v>1.02</v>
      </c>
      <c r="Q1394" s="44">
        <v>220</v>
      </c>
      <c r="R1394" s="44" t="s">
        <v>509</v>
      </c>
      <c r="S1394" s="44">
        <v>80</v>
      </c>
      <c r="T1394" s="46" t="s">
        <v>6836</v>
      </c>
      <c r="U1394" s="46" t="s">
        <v>6336</v>
      </c>
      <c r="V1394" s="46" t="s">
        <v>6337</v>
      </c>
      <c r="W1394" s="46" t="s">
        <v>347</v>
      </c>
      <c r="X1394" s="172" t="s">
        <v>8942</v>
      </c>
      <c r="Y1394" s="46" t="s">
        <v>6899</v>
      </c>
      <c r="Z1394" s="46" t="s">
        <v>6900</v>
      </c>
      <c r="AA1394" s="46" t="s">
        <v>347</v>
      </c>
      <c r="AB1394" s="172" t="s">
        <v>8942</v>
      </c>
      <c r="AC1394" s="48" t="s">
        <v>6902</v>
      </c>
      <c r="AD1394" s="30"/>
      <c r="AE1394" s="200"/>
      <c r="AF1394" s="100"/>
    </row>
    <row r="1395" spans="1:32" s="32" customFormat="1" ht="69.95" hidden="1" customHeight="1">
      <c r="A1395" s="29" t="s">
        <v>4054</v>
      </c>
      <c r="B1395" s="29" t="s">
        <v>3769</v>
      </c>
      <c r="C1395" s="40">
        <v>14</v>
      </c>
      <c r="D1395" s="40"/>
      <c r="E1395" s="57" t="s">
        <v>79</v>
      </c>
      <c r="F1395" s="57" t="s">
        <v>79</v>
      </c>
      <c r="G1395" s="29" t="s">
        <v>2922</v>
      </c>
      <c r="H1395" s="29"/>
      <c r="I1395" s="29"/>
      <c r="J1395" s="29">
        <f t="shared" si="98"/>
        <v>1</v>
      </c>
      <c r="K1395" s="42">
        <v>1381</v>
      </c>
      <c r="L1395" s="43" t="s">
        <v>2923</v>
      </c>
      <c r="M1395" s="44" t="s">
        <v>405</v>
      </c>
      <c r="N1395" s="44" t="s">
        <v>426</v>
      </c>
      <c r="O1395" s="44" t="str">
        <f t="shared" si="101"/>
        <v>PE-L1-3C4-21</v>
      </c>
      <c r="P1395" s="45">
        <v>0.12</v>
      </c>
      <c r="Q1395" s="44">
        <v>230</v>
      </c>
      <c r="R1395" s="44" t="s">
        <v>49</v>
      </c>
      <c r="S1395" s="44">
        <v>60</v>
      </c>
      <c r="T1395" s="46" t="s">
        <v>6836</v>
      </c>
      <c r="U1395" s="46" t="s">
        <v>4054</v>
      </c>
      <c r="V1395" s="46" t="s">
        <v>4055</v>
      </c>
      <c r="W1395" s="46" t="s">
        <v>347</v>
      </c>
      <c r="X1395" s="172" t="s">
        <v>9167</v>
      </c>
      <c r="Y1395" s="46" t="s">
        <v>6899</v>
      </c>
      <c r="Z1395" s="46" t="s">
        <v>6900</v>
      </c>
      <c r="AA1395" s="46" t="s">
        <v>347</v>
      </c>
      <c r="AB1395" s="172" t="s">
        <v>9167</v>
      </c>
      <c r="AC1395" s="48" t="s">
        <v>6903</v>
      </c>
      <c r="AD1395" s="30"/>
      <c r="AE1395" s="200"/>
      <c r="AF1395" s="100"/>
    </row>
    <row r="1396" spans="1:32" s="32" customFormat="1" ht="69.95" hidden="1" customHeight="1">
      <c r="A1396" s="29" t="s">
        <v>6341</v>
      </c>
      <c r="B1396" s="29" t="s">
        <v>3769</v>
      </c>
      <c r="C1396" s="40">
        <v>32</v>
      </c>
      <c r="D1396" s="40"/>
      <c r="E1396" s="57" t="s">
        <v>8581</v>
      </c>
      <c r="F1396" s="57" t="s">
        <v>8581</v>
      </c>
      <c r="G1396" s="29" t="s">
        <v>2924</v>
      </c>
      <c r="H1396" s="29"/>
      <c r="I1396" s="29"/>
      <c r="J1396" s="29">
        <f t="shared" si="98"/>
        <v>1</v>
      </c>
      <c r="K1396" s="42">
        <v>1382</v>
      </c>
      <c r="L1396" s="43" t="s">
        <v>2925</v>
      </c>
      <c r="M1396" s="44" t="s">
        <v>405</v>
      </c>
      <c r="N1396" s="44" t="s">
        <v>578</v>
      </c>
      <c r="O1396" s="44" t="str">
        <f t="shared" si="101"/>
        <v>PE-L1-2C4-10</v>
      </c>
      <c r="P1396" s="45">
        <v>0.51</v>
      </c>
      <c r="Q1396" s="44">
        <v>220</v>
      </c>
      <c r="R1396" s="44" t="s">
        <v>509</v>
      </c>
      <c r="S1396" s="44">
        <v>80</v>
      </c>
      <c r="T1396" s="46" t="s">
        <v>6836</v>
      </c>
      <c r="U1396" s="46" t="s">
        <v>6341</v>
      </c>
      <c r="V1396" s="46" t="s">
        <v>6342</v>
      </c>
      <c r="W1396" s="46" t="s">
        <v>347</v>
      </c>
      <c r="X1396" s="172" t="s">
        <v>8942</v>
      </c>
      <c r="Y1396" s="46" t="s">
        <v>6904</v>
      </c>
      <c r="Z1396" s="46" t="s">
        <v>6905</v>
      </c>
      <c r="AA1396" s="46" t="s">
        <v>347</v>
      </c>
      <c r="AB1396" s="172" t="s">
        <v>8942</v>
      </c>
      <c r="AC1396" s="48" t="s">
        <v>6906</v>
      </c>
      <c r="AD1396" s="30"/>
      <c r="AE1396" s="200"/>
      <c r="AF1396" s="100"/>
    </row>
    <row r="1397" spans="1:32" s="32" customFormat="1" ht="69.95" hidden="1" customHeight="1">
      <c r="A1397" s="29" t="s">
        <v>6336</v>
      </c>
      <c r="B1397" s="29" t="s">
        <v>3769</v>
      </c>
      <c r="C1397" s="40">
        <v>32</v>
      </c>
      <c r="D1397" s="40"/>
      <c r="E1397" s="57" t="s">
        <v>8581</v>
      </c>
      <c r="F1397" s="57" t="s">
        <v>8581</v>
      </c>
      <c r="G1397" s="29" t="s">
        <v>2926</v>
      </c>
      <c r="H1397" s="29"/>
      <c r="I1397" s="29"/>
      <c r="J1397" s="29">
        <f t="shared" si="98"/>
        <v>1</v>
      </c>
      <c r="K1397" s="42">
        <v>1383</v>
      </c>
      <c r="L1397" s="43" t="s">
        <v>2927</v>
      </c>
      <c r="M1397" s="44" t="s">
        <v>405</v>
      </c>
      <c r="N1397" s="44" t="s">
        <v>578</v>
      </c>
      <c r="O1397" s="44" t="str">
        <f t="shared" si="101"/>
        <v>PE-L1-2C4-10</v>
      </c>
      <c r="P1397" s="45">
        <v>0.51</v>
      </c>
      <c r="Q1397" s="44">
        <v>220</v>
      </c>
      <c r="R1397" s="44" t="s">
        <v>509</v>
      </c>
      <c r="S1397" s="44">
        <v>100</v>
      </c>
      <c r="T1397" s="46" t="s">
        <v>6836</v>
      </c>
      <c r="U1397" s="46" t="s">
        <v>6336</v>
      </c>
      <c r="V1397" s="46" t="s">
        <v>6337</v>
      </c>
      <c r="W1397" s="46" t="s">
        <v>347</v>
      </c>
      <c r="X1397" s="172" t="s">
        <v>8942</v>
      </c>
      <c r="Y1397" s="46" t="s">
        <v>6904</v>
      </c>
      <c r="Z1397" s="46" t="s">
        <v>6905</v>
      </c>
      <c r="AA1397" s="46" t="s">
        <v>347</v>
      </c>
      <c r="AB1397" s="172" t="s">
        <v>8942</v>
      </c>
      <c r="AC1397" s="48" t="s">
        <v>6907</v>
      </c>
      <c r="AD1397" s="30"/>
      <c r="AE1397" s="200"/>
      <c r="AF1397" s="100"/>
    </row>
    <row r="1398" spans="1:32" s="32" customFormat="1" ht="69.95" hidden="1" customHeight="1">
      <c r="A1398" s="29" t="s">
        <v>4054</v>
      </c>
      <c r="B1398" s="29" t="s">
        <v>3769</v>
      </c>
      <c r="C1398" s="40">
        <v>15</v>
      </c>
      <c r="D1398" s="40"/>
      <c r="E1398" s="57" t="s">
        <v>79</v>
      </c>
      <c r="F1398" s="57" t="s">
        <v>79</v>
      </c>
      <c r="G1398" s="29" t="s">
        <v>2928</v>
      </c>
      <c r="H1398" s="29"/>
      <c r="I1398" s="29"/>
      <c r="J1398" s="29">
        <f t="shared" si="98"/>
        <v>1</v>
      </c>
      <c r="K1398" s="42">
        <v>1384</v>
      </c>
      <c r="L1398" s="43" t="s">
        <v>2929</v>
      </c>
      <c r="M1398" s="44" t="s">
        <v>405</v>
      </c>
      <c r="N1398" s="44" t="s">
        <v>426</v>
      </c>
      <c r="O1398" s="44" t="str">
        <f t="shared" si="101"/>
        <v>PE-L1-3C4-21</v>
      </c>
      <c r="P1398" s="45">
        <v>0.12</v>
      </c>
      <c r="Q1398" s="44">
        <v>230</v>
      </c>
      <c r="R1398" s="44" t="s">
        <v>49</v>
      </c>
      <c r="S1398" s="44">
        <v>60</v>
      </c>
      <c r="T1398" s="46" t="s">
        <v>6836</v>
      </c>
      <c r="U1398" s="46" t="s">
        <v>4054</v>
      </c>
      <c r="V1398" s="46" t="s">
        <v>4055</v>
      </c>
      <c r="W1398" s="46" t="s">
        <v>347</v>
      </c>
      <c r="X1398" s="172" t="s">
        <v>9167</v>
      </c>
      <c r="Y1398" s="46" t="s">
        <v>6904</v>
      </c>
      <c r="Z1398" s="46" t="s">
        <v>6905</v>
      </c>
      <c r="AA1398" s="46" t="s">
        <v>347</v>
      </c>
      <c r="AB1398" s="172" t="s">
        <v>9167</v>
      </c>
      <c r="AC1398" s="48" t="s">
        <v>6903</v>
      </c>
      <c r="AD1398" s="30"/>
      <c r="AE1398" s="200"/>
      <c r="AF1398" s="100"/>
    </row>
    <row r="1399" spans="1:32" s="32" customFormat="1" ht="69.95" hidden="1" customHeight="1">
      <c r="A1399" s="29" t="s">
        <v>5515</v>
      </c>
      <c r="B1399" s="29" t="s">
        <v>3769</v>
      </c>
      <c r="C1399" s="40">
        <v>22</v>
      </c>
      <c r="D1399" s="40"/>
      <c r="E1399" s="57" t="s">
        <v>81</v>
      </c>
      <c r="F1399" s="57" t="s">
        <v>81</v>
      </c>
      <c r="G1399" s="29" t="s">
        <v>2930</v>
      </c>
      <c r="H1399" s="29"/>
      <c r="I1399" s="124" t="s">
        <v>9121</v>
      </c>
      <c r="J1399" s="29">
        <f t="shared" si="98"/>
        <v>1</v>
      </c>
      <c r="K1399" s="42">
        <v>1385</v>
      </c>
      <c r="L1399" s="152" t="s">
        <v>2931</v>
      </c>
      <c r="M1399" s="44" t="s">
        <v>405</v>
      </c>
      <c r="N1399" s="44" t="s">
        <v>578</v>
      </c>
      <c r="O1399" s="101" t="str">
        <f t="shared" ref="O1399:O1407" si="102">F1399</f>
        <v>PE-L1-2C4-04</v>
      </c>
      <c r="P1399" s="45">
        <v>0.51</v>
      </c>
      <c r="Q1399" s="44">
        <v>220</v>
      </c>
      <c r="R1399" s="44" t="s">
        <v>509</v>
      </c>
      <c r="S1399" s="101">
        <v>110</v>
      </c>
      <c r="T1399" s="46" t="s">
        <v>6836</v>
      </c>
      <c r="U1399" s="46" t="s">
        <v>5515</v>
      </c>
      <c r="V1399" s="46" t="s">
        <v>5516</v>
      </c>
      <c r="W1399" s="46" t="s">
        <v>335</v>
      </c>
      <c r="X1399" s="172" t="s">
        <v>8942</v>
      </c>
      <c r="Y1399" s="46" t="s">
        <v>6908</v>
      </c>
      <c r="Z1399" s="46" t="s">
        <v>6909</v>
      </c>
      <c r="AA1399" s="46" t="s">
        <v>335</v>
      </c>
      <c r="AB1399" s="172" t="s">
        <v>8942</v>
      </c>
      <c r="AC1399" s="48" t="s">
        <v>6910</v>
      </c>
      <c r="AD1399" s="30"/>
      <c r="AE1399" s="200"/>
      <c r="AF1399" s="100"/>
    </row>
    <row r="1400" spans="1:32" s="32" customFormat="1" ht="69.95" hidden="1" customHeight="1">
      <c r="A1400" s="29" t="s">
        <v>5511</v>
      </c>
      <c r="B1400" s="29" t="s">
        <v>3769</v>
      </c>
      <c r="C1400" s="40">
        <v>22</v>
      </c>
      <c r="D1400" s="40"/>
      <c r="E1400" s="56" t="s">
        <v>81</v>
      </c>
      <c r="F1400" s="56" t="s">
        <v>81</v>
      </c>
      <c r="G1400" s="29" t="s">
        <v>2932</v>
      </c>
      <c r="H1400" s="29"/>
      <c r="I1400" s="124" t="s">
        <v>9121</v>
      </c>
      <c r="J1400" s="29">
        <f t="shared" si="98"/>
        <v>1</v>
      </c>
      <c r="K1400" s="42">
        <v>1386</v>
      </c>
      <c r="L1400" s="152" t="s">
        <v>2933</v>
      </c>
      <c r="M1400" s="44" t="s">
        <v>405</v>
      </c>
      <c r="N1400" s="44" t="s">
        <v>578</v>
      </c>
      <c r="O1400" s="101" t="str">
        <f t="shared" si="102"/>
        <v>PE-L1-2C4-04</v>
      </c>
      <c r="P1400" s="45">
        <v>0.51</v>
      </c>
      <c r="Q1400" s="44">
        <v>220</v>
      </c>
      <c r="R1400" s="44" t="s">
        <v>509</v>
      </c>
      <c r="S1400" s="101">
        <v>100</v>
      </c>
      <c r="T1400" s="46" t="s">
        <v>6836</v>
      </c>
      <c r="U1400" s="46" t="s">
        <v>5511</v>
      </c>
      <c r="V1400" s="46" t="s">
        <v>5512</v>
      </c>
      <c r="W1400" s="46" t="s">
        <v>335</v>
      </c>
      <c r="X1400" s="172" t="s">
        <v>8942</v>
      </c>
      <c r="Y1400" s="46" t="s">
        <v>6908</v>
      </c>
      <c r="Z1400" s="46" t="s">
        <v>6909</v>
      </c>
      <c r="AA1400" s="46" t="s">
        <v>335</v>
      </c>
      <c r="AB1400" s="172" t="s">
        <v>8942</v>
      </c>
      <c r="AC1400" s="48" t="s">
        <v>6911</v>
      </c>
      <c r="AD1400" s="30"/>
      <c r="AE1400" s="200"/>
      <c r="AF1400" s="100"/>
    </row>
    <row r="1401" spans="1:32" s="32" customFormat="1" ht="69.95" hidden="1" customHeight="1">
      <c r="A1401" s="29" t="s">
        <v>6136</v>
      </c>
      <c r="B1401" s="29" t="s">
        <v>3769</v>
      </c>
      <c r="C1401" s="40" t="s">
        <v>73</v>
      </c>
      <c r="D1401" s="173" t="s">
        <v>9131</v>
      </c>
      <c r="E1401" s="57" t="s">
        <v>85</v>
      </c>
      <c r="F1401" s="121" t="s">
        <v>118</v>
      </c>
      <c r="G1401" s="29" t="s">
        <v>2934</v>
      </c>
      <c r="H1401" s="29"/>
      <c r="I1401" s="124" t="s">
        <v>9121</v>
      </c>
      <c r="J1401" s="29">
        <f t="shared" si="98"/>
        <v>1</v>
      </c>
      <c r="K1401" s="42">
        <v>1387</v>
      </c>
      <c r="L1401" s="43" t="s">
        <v>2935</v>
      </c>
      <c r="M1401" s="44" t="s">
        <v>405</v>
      </c>
      <c r="N1401" s="44" t="s">
        <v>426</v>
      </c>
      <c r="O1401" s="121" t="str">
        <f t="shared" si="102"/>
        <v>PE-L1-3C4-04</v>
      </c>
      <c r="P1401" s="45">
        <v>0.12</v>
      </c>
      <c r="Q1401" s="44">
        <v>230</v>
      </c>
      <c r="R1401" s="44" t="s">
        <v>49</v>
      </c>
      <c r="S1401" s="44">
        <v>100</v>
      </c>
      <c r="T1401" s="46" t="s">
        <v>6836</v>
      </c>
      <c r="U1401" s="46" t="s">
        <v>6136</v>
      </c>
      <c r="V1401" s="46" t="s">
        <v>6137</v>
      </c>
      <c r="W1401" s="46" t="s">
        <v>335</v>
      </c>
      <c r="X1401" s="172" t="s">
        <v>9167</v>
      </c>
      <c r="Y1401" s="46" t="s">
        <v>6908</v>
      </c>
      <c r="Z1401" s="46" t="s">
        <v>6909</v>
      </c>
      <c r="AA1401" s="46" t="s">
        <v>335</v>
      </c>
      <c r="AB1401" s="172" t="s">
        <v>9167</v>
      </c>
      <c r="AC1401" s="48" t="s">
        <v>6912</v>
      </c>
      <c r="AD1401" s="30"/>
      <c r="AE1401" s="200"/>
      <c r="AF1401" s="100"/>
    </row>
    <row r="1402" spans="1:32" s="32" customFormat="1" ht="69.95" hidden="1" customHeight="1">
      <c r="A1402" s="29" t="s">
        <v>3959</v>
      </c>
      <c r="B1402" s="29" t="s">
        <v>3769</v>
      </c>
      <c r="C1402" s="40" t="s">
        <v>75</v>
      </c>
      <c r="D1402" s="173" t="s">
        <v>9131</v>
      </c>
      <c r="E1402" s="57" t="s">
        <v>85</v>
      </c>
      <c r="F1402" s="121" t="s">
        <v>118</v>
      </c>
      <c r="G1402" s="29" t="s">
        <v>2936</v>
      </c>
      <c r="H1402" s="29"/>
      <c r="I1402" s="124" t="s">
        <v>9121</v>
      </c>
      <c r="J1402" s="29">
        <f t="shared" si="98"/>
        <v>1</v>
      </c>
      <c r="K1402" s="42">
        <v>1388</v>
      </c>
      <c r="L1402" s="43" t="s">
        <v>2937</v>
      </c>
      <c r="M1402" s="44" t="s">
        <v>405</v>
      </c>
      <c r="N1402" s="44" t="s">
        <v>426</v>
      </c>
      <c r="O1402" s="121" t="str">
        <f t="shared" si="102"/>
        <v>PE-L1-3C4-04</v>
      </c>
      <c r="P1402" s="45">
        <v>0.22</v>
      </c>
      <c r="Q1402" s="44">
        <v>230</v>
      </c>
      <c r="R1402" s="44" t="s">
        <v>428</v>
      </c>
      <c r="S1402" s="44">
        <v>80</v>
      </c>
      <c r="T1402" s="46" t="s">
        <v>6913</v>
      </c>
      <c r="U1402" s="46" t="s">
        <v>3959</v>
      </c>
      <c r="V1402" s="46" t="s">
        <v>3960</v>
      </c>
      <c r="W1402" s="46" t="s">
        <v>335</v>
      </c>
      <c r="X1402" s="172" t="s">
        <v>9167</v>
      </c>
      <c r="Y1402" s="46" t="s">
        <v>6914</v>
      </c>
      <c r="Z1402" s="46" t="s">
        <v>6915</v>
      </c>
      <c r="AA1402" s="46" t="s">
        <v>335</v>
      </c>
      <c r="AB1402" s="172" t="s">
        <v>9167</v>
      </c>
      <c r="AC1402" s="48" t="s">
        <v>6916</v>
      </c>
      <c r="AD1402" s="30"/>
      <c r="AE1402" s="200"/>
      <c r="AF1402" s="100"/>
    </row>
    <row r="1403" spans="1:32" s="32" customFormat="1" ht="69.95" hidden="1" customHeight="1">
      <c r="A1403" s="29" t="s">
        <v>3994</v>
      </c>
      <c r="B1403" s="29" t="s">
        <v>3769</v>
      </c>
      <c r="C1403" s="40" t="s">
        <v>73</v>
      </c>
      <c r="D1403" s="235" t="s">
        <v>9537</v>
      </c>
      <c r="E1403" s="57" t="s">
        <v>85</v>
      </c>
      <c r="F1403" s="121" t="s">
        <v>118</v>
      </c>
      <c r="G1403" s="29" t="s">
        <v>2938</v>
      </c>
      <c r="H1403" s="29"/>
      <c r="I1403" s="124" t="s">
        <v>9121</v>
      </c>
      <c r="J1403" s="29">
        <f t="shared" si="98"/>
        <v>1</v>
      </c>
      <c r="K1403" s="183">
        <v>1389</v>
      </c>
      <c r="L1403" s="233" t="s">
        <v>9536</v>
      </c>
      <c r="M1403" s="44" t="s">
        <v>405</v>
      </c>
      <c r="N1403" s="44" t="s">
        <v>426</v>
      </c>
      <c r="O1403" s="121" t="str">
        <f t="shared" si="102"/>
        <v>PE-L1-3C4-04</v>
      </c>
      <c r="P1403" s="45">
        <v>0.22</v>
      </c>
      <c r="Q1403" s="44">
        <v>230</v>
      </c>
      <c r="R1403" s="44" t="s">
        <v>428</v>
      </c>
      <c r="S1403" s="234">
        <v>90</v>
      </c>
      <c r="T1403" s="46" t="s">
        <v>6913</v>
      </c>
      <c r="U1403" s="46" t="s">
        <v>3994</v>
      </c>
      <c r="V1403" s="46" t="s">
        <v>3995</v>
      </c>
      <c r="W1403" s="46" t="s">
        <v>335</v>
      </c>
      <c r="X1403" s="172" t="s">
        <v>9167</v>
      </c>
      <c r="Y1403" s="46" t="s">
        <v>6914</v>
      </c>
      <c r="Z1403" s="46" t="s">
        <v>6915</v>
      </c>
      <c r="AA1403" s="46" t="s">
        <v>335</v>
      </c>
      <c r="AB1403" s="172" t="s">
        <v>9167</v>
      </c>
      <c r="AC1403" s="48" t="s">
        <v>6917</v>
      </c>
      <c r="AD1403" s="30" t="s">
        <v>9284</v>
      </c>
      <c r="AE1403" s="200"/>
      <c r="AF1403" s="100"/>
    </row>
    <row r="1404" spans="1:32" s="32" customFormat="1" ht="69.95" hidden="1" customHeight="1">
      <c r="A1404" s="29" t="s">
        <v>3948</v>
      </c>
      <c r="B1404" s="29" t="s">
        <v>3769</v>
      </c>
      <c r="C1404" s="40" t="s">
        <v>75</v>
      </c>
      <c r="D1404" s="173" t="s">
        <v>9131</v>
      </c>
      <c r="E1404" s="57" t="s">
        <v>85</v>
      </c>
      <c r="F1404" s="121" t="s">
        <v>122</v>
      </c>
      <c r="G1404" s="29" t="s">
        <v>2939</v>
      </c>
      <c r="H1404" s="29"/>
      <c r="I1404" s="124" t="s">
        <v>9121</v>
      </c>
      <c r="J1404" s="29">
        <f t="shared" si="98"/>
        <v>1</v>
      </c>
      <c r="K1404" s="42">
        <v>1390</v>
      </c>
      <c r="L1404" s="43" t="s">
        <v>2940</v>
      </c>
      <c r="M1404" s="44" t="s">
        <v>405</v>
      </c>
      <c r="N1404" s="44" t="s">
        <v>426</v>
      </c>
      <c r="O1404" s="121" t="str">
        <f t="shared" si="102"/>
        <v>PE-L1-3C4-06</v>
      </c>
      <c r="P1404" s="45">
        <v>0.04</v>
      </c>
      <c r="Q1404" s="44">
        <v>230</v>
      </c>
      <c r="R1404" s="44" t="s">
        <v>49</v>
      </c>
      <c r="S1404" s="44">
        <v>40</v>
      </c>
      <c r="T1404" s="46" t="s">
        <v>6913</v>
      </c>
      <c r="U1404" s="46" t="s">
        <v>3948</v>
      </c>
      <c r="V1404" s="46" t="s">
        <v>3949</v>
      </c>
      <c r="W1404" s="46" t="s">
        <v>335</v>
      </c>
      <c r="X1404" s="172" t="s">
        <v>9167</v>
      </c>
      <c r="Y1404" s="46" t="s">
        <v>6914</v>
      </c>
      <c r="Z1404" s="46" t="s">
        <v>6915</v>
      </c>
      <c r="AA1404" s="46" t="s">
        <v>335</v>
      </c>
      <c r="AB1404" s="172" t="s">
        <v>9167</v>
      </c>
      <c r="AC1404" s="48" t="s">
        <v>6918</v>
      </c>
      <c r="AD1404" s="30"/>
      <c r="AE1404" s="200"/>
      <c r="AF1404" s="100"/>
    </row>
    <row r="1405" spans="1:32" s="32" customFormat="1" ht="69.95" hidden="1" customHeight="1">
      <c r="A1405" s="29" t="s">
        <v>3994</v>
      </c>
      <c r="B1405" s="29" t="s">
        <v>3769</v>
      </c>
      <c r="C1405" s="40" t="s">
        <v>75</v>
      </c>
      <c r="D1405" s="235" t="s">
        <v>9537</v>
      </c>
      <c r="E1405" s="57" t="s">
        <v>85</v>
      </c>
      <c r="F1405" s="121" t="s">
        <v>118</v>
      </c>
      <c r="G1405" s="29" t="s">
        <v>2941</v>
      </c>
      <c r="H1405" s="29"/>
      <c r="I1405" s="124" t="s">
        <v>9121</v>
      </c>
      <c r="J1405" s="29">
        <f t="shared" si="98"/>
        <v>1</v>
      </c>
      <c r="K1405" s="183">
        <v>1391</v>
      </c>
      <c r="L1405" s="233" t="s">
        <v>2942</v>
      </c>
      <c r="M1405" s="44" t="s">
        <v>405</v>
      </c>
      <c r="N1405" s="44" t="s">
        <v>426</v>
      </c>
      <c r="O1405" s="121" t="str">
        <f t="shared" si="102"/>
        <v>PE-L1-3C4-04</v>
      </c>
      <c r="P1405" s="45">
        <v>0.22</v>
      </c>
      <c r="Q1405" s="44">
        <v>230</v>
      </c>
      <c r="R1405" s="44" t="s">
        <v>428</v>
      </c>
      <c r="S1405" s="234">
        <v>90</v>
      </c>
      <c r="T1405" s="46" t="s">
        <v>6913</v>
      </c>
      <c r="U1405" s="46" t="s">
        <v>3994</v>
      </c>
      <c r="V1405" s="46" t="s">
        <v>3995</v>
      </c>
      <c r="W1405" s="46" t="s">
        <v>335</v>
      </c>
      <c r="X1405" s="172" t="s">
        <v>9167</v>
      </c>
      <c r="Y1405" s="46" t="s">
        <v>6919</v>
      </c>
      <c r="Z1405" s="46" t="s">
        <v>6920</v>
      </c>
      <c r="AA1405" s="46" t="s">
        <v>335</v>
      </c>
      <c r="AB1405" s="172" t="s">
        <v>9167</v>
      </c>
      <c r="AC1405" s="48" t="s">
        <v>6921</v>
      </c>
      <c r="AD1405" s="30" t="s">
        <v>9285</v>
      </c>
      <c r="AE1405" s="200"/>
      <c r="AF1405" s="100"/>
    </row>
    <row r="1406" spans="1:32" s="32" customFormat="1" ht="69.95" hidden="1" customHeight="1">
      <c r="A1406" s="29" t="s">
        <v>3959</v>
      </c>
      <c r="B1406" s="29" t="s">
        <v>3769</v>
      </c>
      <c r="C1406" s="40">
        <v>10</v>
      </c>
      <c r="D1406" s="235" t="s">
        <v>9537</v>
      </c>
      <c r="E1406" s="57" t="s">
        <v>85</v>
      </c>
      <c r="F1406" s="121" t="s">
        <v>118</v>
      </c>
      <c r="G1406" s="29" t="s">
        <v>2943</v>
      </c>
      <c r="H1406" s="29"/>
      <c r="I1406" s="124" t="s">
        <v>9121</v>
      </c>
      <c r="J1406" s="29">
        <f t="shared" si="98"/>
        <v>1</v>
      </c>
      <c r="K1406" s="183">
        <v>1392</v>
      </c>
      <c r="L1406" s="233" t="s">
        <v>2944</v>
      </c>
      <c r="M1406" s="44" t="s">
        <v>405</v>
      </c>
      <c r="N1406" s="121" t="s">
        <v>426</v>
      </c>
      <c r="O1406" s="44" t="str">
        <f t="shared" si="102"/>
        <v>PE-L1-3C4-04</v>
      </c>
      <c r="P1406" s="45">
        <v>0.22</v>
      </c>
      <c r="Q1406" s="44">
        <v>230</v>
      </c>
      <c r="R1406" s="44" t="s">
        <v>428</v>
      </c>
      <c r="S1406" s="234">
        <v>80</v>
      </c>
      <c r="T1406" s="46" t="s">
        <v>6913</v>
      </c>
      <c r="U1406" s="46" t="s">
        <v>3959</v>
      </c>
      <c r="V1406" s="46" t="s">
        <v>3960</v>
      </c>
      <c r="W1406" s="46" t="s">
        <v>335</v>
      </c>
      <c r="X1406" s="172" t="s">
        <v>9167</v>
      </c>
      <c r="Y1406" s="46" t="s">
        <v>6919</v>
      </c>
      <c r="Z1406" s="46" t="s">
        <v>6920</v>
      </c>
      <c r="AA1406" s="46" t="s">
        <v>335</v>
      </c>
      <c r="AB1406" s="172" t="s">
        <v>9167</v>
      </c>
      <c r="AC1406" s="48" t="s">
        <v>6922</v>
      </c>
      <c r="AD1406" s="30" t="s">
        <v>9286</v>
      </c>
      <c r="AE1406" s="200"/>
      <c r="AF1406" s="100"/>
    </row>
    <row r="1407" spans="1:32" s="32" customFormat="1" ht="69.95" hidden="1" customHeight="1">
      <c r="A1407" s="29" t="s">
        <v>3985</v>
      </c>
      <c r="B1407" s="29" t="s">
        <v>3769</v>
      </c>
      <c r="C1407" s="40">
        <v>14</v>
      </c>
      <c r="D1407" s="173" t="s">
        <v>9131</v>
      </c>
      <c r="E1407" s="57" t="s">
        <v>85</v>
      </c>
      <c r="F1407" s="121" t="s">
        <v>122</v>
      </c>
      <c r="G1407" s="29" t="s">
        <v>2945</v>
      </c>
      <c r="H1407" s="29"/>
      <c r="I1407" s="124" t="s">
        <v>9121</v>
      </c>
      <c r="J1407" s="29">
        <f t="shared" si="98"/>
        <v>1</v>
      </c>
      <c r="K1407" s="42">
        <v>1393</v>
      </c>
      <c r="L1407" s="43" t="s">
        <v>2946</v>
      </c>
      <c r="M1407" s="44" t="s">
        <v>405</v>
      </c>
      <c r="N1407" s="44" t="s">
        <v>426</v>
      </c>
      <c r="O1407" s="121" t="str">
        <f t="shared" si="102"/>
        <v>PE-L1-3C4-06</v>
      </c>
      <c r="P1407" s="45">
        <v>0.04</v>
      </c>
      <c r="Q1407" s="44">
        <v>230</v>
      </c>
      <c r="R1407" s="44" t="s">
        <v>49</v>
      </c>
      <c r="S1407" s="44">
        <v>60</v>
      </c>
      <c r="T1407" s="46" t="s">
        <v>6913</v>
      </c>
      <c r="U1407" s="46" t="s">
        <v>3985</v>
      </c>
      <c r="V1407" s="46" t="s">
        <v>3986</v>
      </c>
      <c r="W1407" s="46" t="s">
        <v>335</v>
      </c>
      <c r="X1407" s="172" t="s">
        <v>9167</v>
      </c>
      <c r="Y1407" s="46" t="s">
        <v>6919</v>
      </c>
      <c r="Z1407" s="46" t="s">
        <v>6920</v>
      </c>
      <c r="AA1407" s="46" t="s">
        <v>335</v>
      </c>
      <c r="AB1407" s="172" t="s">
        <v>9167</v>
      </c>
      <c r="AC1407" s="48" t="s">
        <v>6923</v>
      </c>
      <c r="AD1407" s="30"/>
      <c r="AE1407" s="200"/>
      <c r="AF1407" s="100"/>
    </row>
    <row r="1408" spans="1:32" s="32" customFormat="1" ht="69.95" hidden="1" customHeight="1">
      <c r="A1408" s="29" t="s">
        <v>6185</v>
      </c>
      <c r="B1408" s="29" t="s">
        <v>3769</v>
      </c>
      <c r="C1408" s="40" t="s">
        <v>41</v>
      </c>
      <c r="D1408" s="40"/>
      <c r="E1408" s="57" t="s">
        <v>85</v>
      </c>
      <c r="F1408" s="57" t="s">
        <v>85</v>
      </c>
      <c r="G1408" s="29" t="s">
        <v>2947</v>
      </c>
      <c r="H1408" s="29"/>
      <c r="I1408" s="29"/>
      <c r="J1408" s="29">
        <f t="shared" si="98"/>
        <v>1</v>
      </c>
      <c r="K1408" s="42">
        <v>1394</v>
      </c>
      <c r="L1408" s="43" t="s">
        <v>2948</v>
      </c>
      <c r="M1408" s="44" t="s">
        <v>405</v>
      </c>
      <c r="N1408" s="44" t="s">
        <v>426</v>
      </c>
      <c r="O1408" s="44" t="str">
        <f t="shared" ref="O1408:O1413" si="103">F1408</f>
        <v>PE-L1-3C4-16</v>
      </c>
      <c r="P1408" s="45">
        <v>0.22</v>
      </c>
      <c r="Q1408" s="44">
        <v>230</v>
      </c>
      <c r="R1408" s="44" t="s">
        <v>428</v>
      </c>
      <c r="S1408" s="44">
        <v>60</v>
      </c>
      <c r="T1408" s="46" t="s">
        <v>6913</v>
      </c>
      <c r="U1408" s="46" t="s">
        <v>6185</v>
      </c>
      <c r="V1408" s="46" t="s">
        <v>6186</v>
      </c>
      <c r="W1408" s="46" t="s">
        <v>4549</v>
      </c>
      <c r="X1408" s="172" t="s">
        <v>9167</v>
      </c>
      <c r="Y1408" s="46" t="s">
        <v>6924</v>
      </c>
      <c r="Z1408" s="46" t="s">
        <v>6925</v>
      </c>
      <c r="AA1408" s="46" t="s">
        <v>4549</v>
      </c>
      <c r="AB1408" s="172" t="s">
        <v>9167</v>
      </c>
      <c r="AC1408" s="48" t="s">
        <v>6926</v>
      </c>
      <c r="AD1408" s="30"/>
      <c r="AE1408" s="200"/>
      <c r="AF1408" s="100"/>
    </row>
    <row r="1409" spans="1:32" s="32" customFormat="1" ht="69.95" hidden="1" customHeight="1">
      <c r="A1409" s="29" t="s">
        <v>6180</v>
      </c>
      <c r="B1409" s="29" t="s">
        <v>3769</v>
      </c>
      <c r="C1409" s="40" t="s">
        <v>41</v>
      </c>
      <c r="D1409" s="40"/>
      <c r="E1409" s="57" t="s">
        <v>85</v>
      </c>
      <c r="F1409" s="57" t="s">
        <v>85</v>
      </c>
      <c r="G1409" s="29" t="s">
        <v>2949</v>
      </c>
      <c r="H1409" s="29"/>
      <c r="I1409" s="29"/>
      <c r="J1409" s="29">
        <f t="shared" si="98"/>
        <v>1</v>
      </c>
      <c r="K1409" s="42">
        <v>1395</v>
      </c>
      <c r="L1409" s="43" t="s">
        <v>2950</v>
      </c>
      <c r="M1409" s="44" t="s">
        <v>405</v>
      </c>
      <c r="N1409" s="44" t="s">
        <v>426</v>
      </c>
      <c r="O1409" s="44" t="str">
        <f t="shared" si="103"/>
        <v>PE-L1-3C4-16</v>
      </c>
      <c r="P1409" s="45">
        <v>0.22</v>
      </c>
      <c r="Q1409" s="44">
        <v>230</v>
      </c>
      <c r="R1409" s="44" t="s">
        <v>428</v>
      </c>
      <c r="S1409" s="44">
        <v>50</v>
      </c>
      <c r="T1409" s="46" t="s">
        <v>6913</v>
      </c>
      <c r="U1409" s="46" t="s">
        <v>6180</v>
      </c>
      <c r="V1409" s="46" t="s">
        <v>6181</v>
      </c>
      <c r="W1409" s="46" t="s">
        <v>4549</v>
      </c>
      <c r="X1409" s="172" t="s">
        <v>9167</v>
      </c>
      <c r="Y1409" s="46" t="s">
        <v>6924</v>
      </c>
      <c r="Z1409" s="46" t="s">
        <v>6925</v>
      </c>
      <c r="AA1409" s="46" t="s">
        <v>4549</v>
      </c>
      <c r="AB1409" s="172" t="s">
        <v>9167</v>
      </c>
      <c r="AC1409" s="48" t="s">
        <v>6927</v>
      </c>
      <c r="AD1409" s="30"/>
      <c r="AE1409" s="200"/>
      <c r="AF1409" s="100"/>
    </row>
    <row r="1410" spans="1:32" s="32" customFormat="1" ht="69.95" hidden="1" customHeight="1">
      <c r="A1410" s="29" t="s">
        <v>4719</v>
      </c>
      <c r="B1410" s="29" t="s">
        <v>3769</v>
      </c>
      <c r="C1410" s="40">
        <v>18</v>
      </c>
      <c r="D1410" s="40"/>
      <c r="E1410" s="57" t="s">
        <v>85</v>
      </c>
      <c r="F1410" s="57" t="s">
        <v>85</v>
      </c>
      <c r="G1410" s="29" t="s">
        <v>2951</v>
      </c>
      <c r="H1410" s="29"/>
      <c r="I1410" s="29"/>
      <c r="J1410" s="29">
        <f t="shared" si="98"/>
        <v>1</v>
      </c>
      <c r="K1410" s="42">
        <v>1396</v>
      </c>
      <c r="L1410" s="43" t="s">
        <v>2952</v>
      </c>
      <c r="M1410" s="44" t="s">
        <v>405</v>
      </c>
      <c r="N1410" s="44" t="s">
        <v>426</v>
      </c>
      <c r="O1410" s="44" t="str">
        <f t="shared" si="103"/>
        <v>PE-L1-3C4-16</v>
      </c>
      <c r="P1410" s="45">
        <v>0.04</v>
      </c>
      <c r="Q1410" s="44">
        <v>230</v>
      </c>
      <c r="R1410" s="44" t="s">
        <v>49</v>
      </c>
      <c r="S1410" s="44">
        <v>30</v>
      </c>
      <c r="T1410" s="46" t="s">
        <v>6913</v>
      </c>
      <c r="U1410" s="46" t="s">
        <v>4719</v>
      </c>
      <c r="V1410" s="46" t="s">
        <v>4720</v>
      </c>
      <c r="W1410" s="46" t="s">
        <v>4549</v>
      </c>
      <c r="X1410" s="172" t="s">
        <v>9167</v>
      </c>
      <c r="Y1410" s="46" t="s">
        <v>6924</v>
      </c>
      <c r="Z1410" s="46" t="s">
        <v>6925</v>
      </c>
      <c r="AA1410" s="46" t="s">
        <v>4549</v>
      </c>
      <c r="AB1410" s="172" t="s">
        <v>9167</v>
      </c>
      <c r="AC1410" s="48" t="s">
        <v>6928</v>
      </c>
      <c r="AD1410" s="30"/>
      <c r="AE1410" s="200"/>
      <c r="AF1410" s="100"/>
    </row>
    <row r="1411" spans="1:32" s="32" customFormat="1" ht="69.95" hidden="1" customHeight="1">
      <c r="A1411" s="29" t="s">
        <v>4030</v>
      </c>
      <c r="B1411" s="29" t="s">
        <v>3769</v>
      </c>
      <c r="C1411" s="40" t="s">
        <v>75</v>
      </c>
      <c r="D1411" s="40"/>
      <c r="E1411" s="57" t="s">
        <v>118</v>
      </c>
      <c r="F1411" s="57" t="s">
        <v>118</v>
      </c>
      <c r="G1411" s="29" t="s">
        <v>2953</v>
      </c>
      <c r="H1411" s="29"/>
      <c r="I1411" s="29"/>
      <c r="J1411" s="29">
        <f t="shared" si="98"/>
        <v>1</v>
      </c>
      <c r="K1411" s="42">
        <v>1397</v>
      </c>
      <c r="L1411" s="43" t="s">
        <v>2954</v>
      </c>
      <c r="M1411" s="44" t="s">
        <v>405</v>
      </c>
      <c r="N1411" s="44" t="s">
        <v>426</v>
      </c>
      <c r="O1411" s="44" t="str">
        <f t="shared" si="103"/>
        <v>PE-L1-3C4-04</v>
      </c>
      <c r="P1411" s="45">
        <v>0.22</v>
      </c>
      <c r="Q1411" s="44">
        <v>230</v>
      </c>
      <c r="R1411" s="44" t="s">
        <v>428</v>
      </c>
      <c r="S1411" s="44">
        <v>90</v>
      </c>
      <c r="T1411" s="46" t="s">
        <v>6913</v>
      </c>
      <c r="U1411" s="46" t="s">
        <v>4030</v>
      </c>
      <c r="V1411" s="46" t="s">
        <v>4031</v>
      </c>
      <c r="W1411" s="46" t="s">
        <v>347</v>
      </c>
      <c r="X1411" s="172" t="s">
        <v>9167</v>
      </c>
      <c r="Y1411" s="46" t="s">
        <v>6929</v>
      </c>
      <c r="Z1411" s="46" t="s">
        <v>6930</v>
      </c>
      <c r="AA1411" s="46" t="s">
        <v>347</v>
      </c>
      <c r="AB1411" s="172" t="s">
        <v>9167</v>
      </c>
      <c r="AC1411" s="48" t="s">
        <v>6931</v>
      </c>
      <c r="AD1411" s="30"/>
      <c r="AE1411" s="200"/>
      <c r="AF1411" s="100"/>
    </row>
    <row r="1412" spans="1:32" s="32" customFormat="1" ht="69.95" hidden="1" customHeight="1">
      <c r="A1412" s="29" t="s">
        <v>4063</v>
      </c>
      <c r="B1412" s="29" t="s">
        <v>3769</v>
      </c>
      <c r="C1412" s="40" t="s">
        <v>73</v>
      </c>
      <c r="D1412" s="40"/>
      <c r="E1412" s="57" t="s">
        <v>118</v>
      </c>
      <c r="F1412" s="57" t="s">
        <v>118</v>
      </c>
      <c r="G1412" s="29" t="s">
        <v>2955</v>
      </c>
      <c r="H1412" s="29"/>
      <c r="I1412" s="29"/>
      <c r="J1412" s="29">
        <f t="shared" si="98"/>
        <v>1</v>
      </c>
      <c r="K1412" s="42">
        <v>1398</v>
      </c>
      <c r="L1412" s="43" t="s">
        <v>2956</v>
      </c>
      <c r="M1412" s="44" t="s">
        <v>405</v>
      </c>
      <c r="N1412" s="44" t="s">
        <v>426</v>
      </c>
      <c r="O1412" s="44" t="str">
        <f t="shared" si="103"/>
        <v>PE-L1-3C4-04</v>
      </c>
      <c r="P1412" s="45">
        <v>0.22</v>
      </c>
      <c r="Q1412" s="44">
        <v>230</v>
      </c>
      <c r="R1412" s="44" t="s">
        <v>428</v>
      </c>
      <c r="S1412" s="44">
        <v>90</v>
      </c>
      <c r="T1412" s="46" t="s">
        <v>6913</v>
      </c>
      <c r="U1412" s="46" t="s">
        <v>4063</v>
      </c>
      <c r="V1412" s="46" t="s">
        <v>4064</v>
      </c>
      <c r="W1412" s="46" t="s">
        <v>347</v>
      </c>
      <c r="X1412" s="172" t="s">
        <v>9167</v>
      </c>
      <c r="Y1412" s="46" t="s">
        <v>6929</v>
      </c>
      <c r="Z1412" s="46" t="s">
        <v>6930</v>
      </c>
      <c r="AA1412" s="46" t="s">
        <v>347</v>
      </c>
      <c r="AB1412" s="172" t="s">
        <v>9167</v>
      </c>
      <c r="AC1412" s="48" t="s">
        <v>6932</v>
      </c>
      <c r="AD1412" s="30"/>
      <c r="AE1412" s="200"/>
      <c r="AF1412" s="100"/>
    </row>
    <row r="1413" spans="1:32" s="32" customFormat="1" ht="69.95" hidden="1" customHeight="1">
      <c r="A1413" s="29" t="s">
        <v>4020</v>
      </c>
      <c r="B1413" s="29" t="s">
        <v>3769</v>
      </c>
      <c r="C1413" s="40">
        <v>15</v>
      </c>
      <c r="D1413" s="40"/>
      <c r="E1413" s="56" t="s">
        <v>118</v>
      </c>
      <c r="F1413" s="57" t="s">
        <v>118</v>
      </c>
      <c r="G1413" s="29" t="s">
        <v>2957</v>
      </c>
      <c r="H1413" s="29"/>
      <c r="I1413" s="29"/>
      <c r="J1413" s="29">
        <f t="shared" si="98"/>
        <v>1</v>
      </c>
      <c r="K1413" s="42">
        <v>1399</v>
      </c>
      <c r="L1413" s="43" t="s">
        <v>2958</v>
      </c>
      <c r="M1413" s="44" t="s">
        <v>405</v>
      </c>
      <c r="N1413" s="44" t="s">
        <v>426</v>
      </c>
      <c r="O1413" s="44" t="str">
        <f t="shared" si="103"/>
        <v>PE-L1-3C4-04</v>
      </c>
      <c r="P1413" s="45">
        <v>0.04</v>
      </c>
      <c r="Q1413" s="44">
        <v>230</v>
      </c>
      <c r="R1413" s="44" t="s">
        <v>49</v>
      </c>
      <c r="S1413" s="44">
        <v>30</v>
      </c>
      <c r="T1413" s="46" t="s">
        <v>6913</v>
      </c>
      <c r="U1413" s="46" t="s">
        <v>4020</v>
      </c>
      <c r="V1413" s="46" t="s">
        <v>4021</v>
      </c>
      <c r="W1413" s="46" t="s">
        <v>347</v>
      </c>
      <c r="X1413" s="172" t="s">
        <v>9167</v>
      </c>
      <c r="Y1413" s="46" t="s">
        <v>6929</v>
      </c>
      <c r="Z1413" s="46" t="s">
        <v>6930</v>
      </c>
      <c r="AA1413" s="46" t="s">
        <v>347</v>
      </c>
      <c r="AB1413" s="172" t="s">
        <v>9167</v>
      </c>
      <c r="AC1413" s="48" t="s">
        <v>6933</v>
      </c>
      <c r="AD1413" s="30"/>
      <c r="AE1413" s="200"/>
      <c r="AF1413" s="100"/>
    </row>
    <row r="1414" spans="1:32" s="32" customFormat="1" ht="69.95" hidden="1" customHeight="1">
      <c r="A1414" s="29" t="s">
        <v>4063</v>
      </c>
      <c r="B1414" s="29" t="s">
        <v>3769</v>
      </c>
      <c r="C1414" s="40" t="s">
        <v>75</v>
      </c>
      <c r="D1414" s="173" t="s">
        <v>9131</v>
      </c>
      <c r="E1414" s="57" t="s">
        <v>118</v>
      </c>
      <c r="F1414" s="121" t="s">
        <v>9140</v>
      </c>
      <c r="G1414" s="29" t="s">
        <v>2959</v>
      </c>
      <c r="H1414" s="29"/>
      <c r="I1414" s="29"/>
      <c r="J1414" s="29">
        <f t="shared" si="98"/>
        <v>1</v>
      </c>
      <c r="K1414" s="42">
        <v>1400</v>
      </c>
      <c r="L1414" s="43" t="s">
        <v>2960</v>
      </c>
      <c r="M1414" s="44" t="s">
        <v>405</v>
      </c>
      <c r="N1414" s="44" t="s">
        <v>426</v>
      </c>
      <c r="O1414" s="121" t="str">
        <f>F1414</f>
        <v>PE-L1-3C4-13</v>
      </c>
      <c r="P1414" s="45">
        <v>0.22</v>
      </c>
      <c r="Q1414" s="44">
        <v>230</v>
      </c>
      <c r="R1414" s="44" t="s">
        <v>428</v>
      </c>
      <c r="S1414" s="44">
        <v>90</v>
      </c>
      <c r="T1414" s="46" t="s">
        <v>6913</v>
      </c>
      <c r="U1414" s="46" t="s">
        <v>4063</v>
      </c>
      <c r="V1414" s="46" t="s">
        <v>4064</v>
      </c>
      <c r="W1414" s="46" t="s">
        <v>347</v>
      </c>
      <c r="X1414" s="172" t="s">
        <v>9167</v>
      </c>
      <c r="Y1414" s="46" t="s">
        <v>6934</v>
      </c>
      <c r="Z1414" s="46" t="s">
        <v>6935</v>
      </c>
      <c r="AA1414" s="46" t="s">
        <v>347</v>
      </c>
      <c r="AB1414" s="172" t="s">
        <v>9167</v>
      </c>
      <c r="AC1414" s="48" t="s">
        <v>6936</v>
      </c>
      <c r="AD1414" s="30"/>
      <c r="AE1414" s="200"/>
      <c r="AF1414" s="100"/>
    </row>
    <row r="1415" spans="1:32" s="32" customFormat="1" ht="69.95" hidden="1" customHeight="1">
      <c r="A1415" s="29" t="s">
        <v>4030</v>
      </c>
      <c r="B1415" s="29" t="s">
        <v>3769</v>
      </c>
      <c r="C1415" s="40">
        <v>10</v>
      </c>
      <c r="D1415" s="173" t="s">
        <v>9131</v>
      </c>
      <c r="E1415" s="57" t="s">
        <v>118</v>
      </c>
      <c r="F1415" s="121" t="s">
        <v>9140</v>
      </c>
      <c r="G1415" s="29" t="s">
        <v>2961</v>
      </c>
      <c r="H1415" s="29"/>
      <c r="I1415" s="29"/>
      <c r="J1415" s="29">
        <f t="shared" si="98"/>
        <v>1</v>
      </c>
      <c r="K1415" s="42">
        <v>1401</v>
      </c>
      <c r="L1415" s="43" t="s">
        <v>2962</v>
      </c>
      <c r="M1415" s="44" t="s">
        <v>405</v>
      </c>
      <c r="N1415" s="44" t="s">
        <v>426</v>
      </c>
      <c r="O1415" s="121" t="str">
        <f>F1415</f>
        <v>PE-L1-3C4-13</v>
      </c>
      <c r="P1415" s="45">
        <v>0.22</v>
      </c>
      <c r="Q1415" s="44">
        <v>230</v>
      </c>
      <c r="R1415" s="44" t="s">
        <v>428</v>
      </c>
      <c r="S1415" s="44">
        <v>90</v>
      </c>
      <c r="T1415" s="46" t="s">
        <v>6913</v>
      </c>
      <c r="U1415" s="46" t="s">
        <v>4030</v>
      </c>
      <c r="V1415" s="46" t="s">
        <v>4031</v>
      </c>
      <c r="W1415" s="46" t="s">
        <v>347</v>
      </c>
      <c r="X1415" s="172" t="s">
        <v>9167</v>
      </c>
      <c r="Y1415" s="46" t="s">
        <v>6934</v>
      </c>
      <c r="Z1415" s="46" t="s">
        <v>6935</v>
      </c>
      <c r="AA1415" s="46" t="s">
        <v>347</v>
      </c>
      <c r="AB1415" s="172" t="s">
        <v>9167</v>
      </c>
      <c r="AC1415" s="48" t="s">
        <v>6931</v>
      </c>
      <c r="AD1415" s="30"/>
      <c r="AE1415" s="200"/>
      <c r="AF1415" s="100"/>
    </row>
    <row r="1416" spans="1:32" s="32" customFormat="1" ht="69.95" hidden="1" customHeight="1">
      <c r="A1416" s="29" t="s">
        <v>4054</v>
      </c>
      <c r="B1416" s="29" t="s">
        <v>3769</v>
      </c>
      <c r="C1416" s="40">
        <v>17</v>
      </c>
      <c r="D1416" s="173" t="s">
        <v>9131</v>
      </c>
      <c r="E1416" s="57" t="s">
        <v>118</v>
      </c>
      <c r="F1416" s="121" t="s">
        <v>9140</v>
      </c>
      <c r="G1416" s="29" t="s">
        <v>2963</v>
      </c>
      <c r="H1416" s="29"/>
      <c r="I1416" s="29"/>
      <c r="J1416" s="29">
        <f t="shared" ref="J1416:J1479" si="104">COUNTIF(L:L,L1416)</f>
        <v>1</v>
      </c>
      <c r="K1416" s="42">
        <v>1402</v>
      </c>
      <c r="L1416" s="43" t="s">
        <v>2964</v>
      </c>
      <c r="M1416" s="44" t="s">
        <v>405</v>
      </c>
      <c r="N1416" s="44" t="s">
        <v>426</v>
      </c>
      <c r="O1416" s="121" t="str">
        <f>F1416</f>
        <v>PE-L1-3C4-13</v>
      </c>
      <c r="P1416" s="45">
        <v>0.04</v>
      </c>
      <c r="Q1416" s="44">
        <v>230</v>
      </c>
      <c r="R1416" s="44" t="s">
        <v>49</v>
      </c>
      <c r="S1416" s="44">
        <v>50</v>
      </c>
      <c r="T1416" s="46" t="s">
        <v>6913</v>
      </c>
      <c r="U1416" s="46" t="s">
        <v>4054</v>
      </c>
      <c r="V1416" s="46" t="s">
        <v>4055</v>
      </c>
      <c r="W1416" s="46" t="s">
        <v>347</v>
      </c>
      <c r="X1416" s="172" t="s">
        <v>9167</v>
      </c>
      <c r="Y1416" s="46" t="s">
        <v>6934</v>
      </c>
      <c r="Z1416" s="46" t="s">
        <v>6935</v>
      </c>
      <c r="AA1416" s="46" t="s">
        <v>347</v>
      </c>
      <c r="AB1416" s="172" t="s">
        <v>9167</v>
      </c>
      <c r="AC1416" s="48" t="s">
        <v>6937</v>
      </c>
      <c r="AD1416" s="30"/>
      <c r="AE1416" s="200"/>
      <c r="AF1416" s="100"/>
    </row>
    <row r="1417" spans="1:32" s="32" customFormat="1" ht="69.95" hidden="1" customHeight="1">
      <c r="A1417" s="29" t="s">
        <v>6180</v>
      </c>
      <c r="B1417" s="29" t="s">
        <v>3769</v>
      </c>
      <c r="C1417" s="40" t="s">
        <v>42</v>
      </c>
      <c r="D1417" s="40"/>
      <c r="E1417" s="58" t="s">
        <v>85</v>
      </c>
      <c r="F1417" s="57" t="s">
        <v>85</v>
      </c>
      <c r="G1417" s="29" t="s">
        <v>2965</v>
      </c>
      <c r="H1417" s="29"/>
      <c r="I1417" s="29"/>
      <c r="J1417" s="29">
        <f t="shared" si="104"/>
        <v>1</v>
      </c>
      <c r="K1417" s="42">
        <v>1403</v>
      </c>
      <c r="L1417" s="43" t="s">
        <v>2966</v>
      </c>
      <c r="M1417" s="44" t="s">
        <v>405</v>
      </c>
      <c r="N1417" s="44" t="s">
        <v>426</v>
      </c>
      <c r="O1417" s="44" t="str">
        <f t="shared" ref="O1417:O1422" si="105">F1417</f>
        <v>PE-L1-3C4-16</v>
      </c>
      <c r="P1417" s="45">
        <v>0.22</v>
      </c>
      <c r="Q1417" s="44">
        <v>230</v>
      </c>
      <c r="R1417" s="44" t="s">
        <v>428</v>
      </c>
      <c r="S1417" s="44">
        <v>20</v>
      </c>
      <c r="T1417" s="46" t="s">
        <v>6913</v>
      </c>
      <c r="U1417" s="46" t="s">
        <v>6180</v>
      </c>
      <c r="V1417" s="46" t="s">
        <v>6181</v>
      </c>
      <c r="W1417" s="46" t="s">
        <v>4549</v>
      </c>
      <c r="X1417" s="172" t="s">
        <v>9167</v>
      </c>
      <c r="Y1417" s="46" t="s">
        <v>6938</v>
      </c>
      <c r="Z1417" s="46" t="s">
        <v>6939</v>
      </c>
      <c r="AA1417" s="46" t="s">
        <v>4549</v>
      </c>
      <c r="AB1417" s="172" t="s">
        <v>9167</v>
      </c>
      <c r="AC1417" s="48" t="s">
        <v>6940</v>
      </c>
      <c r="AD1417" s="30"/>
      <c r="AE1417" s="200"/>
      <c r="AF1417" s="100"/>
    </row>
    <row r="1418" spans="1:32" s="32" customFormat="1" ht="69.95" hidden="1" customHeight="1">
      <c r="A1418" s="29" t="s">
        <v>6185</v>
      </c>
      <c r="B1418" s="29" t="s">
        <v>3769</v>
      </c>
      <c r="C1418" s="40" t="s">
        <v>42</v>
      </c>
      <c r="D1418" s="40"/>
      <c r="E1418" s="57" t="s">
        <v>251</v>
      </c>
      <c r="F1418" s="57" t="s">
        <v>251</v>
      </c>
      <c r="G1418" s="29" t="s">
        <v>2967</v>
      </c>
      <c r="H1418" s="29"/>
      <c r="I1418" s="29"/>
      <c r="J1418" s="29">
        <f t="shared" si="104"/>
        <v>1</v>
      </c>
      <c r="K1418" s="42">
        <v>1404</v>
      </c>
      <c r="L1418" s="43" t="s">
        <v>2968</v>
      </c>
      <c r="M1418" s="44" t="s">
        <v>405</v>
      </c>
      <c r="N1418" s="44" t="s">
        <v>426</v>
      </c>
      <c r="O1418" s="44" t="str">
        <f t="shared" si="105"/>
        <v>PE-L1-3C4-17</v>
      </c>
      <c r="P1418" s="45">
        <v>0.22</v>
      </c>
      <c r="Q1418" s="44">
        <v>230</v>
      </c>
      <c r="R1418" s="44" t="s">
        <v>428</v>
      </c>
      <c r="S1418" s="44">
        <v>20</v>
      </c>
      <c r="T1418" s="46" t="s">
        <v>6913</v>
      </c>
      <c r="U1418" s="46" t="s">
        <v>6185</v>
      </c>
      <c r="V1418" s="46" t="s">
        <v>6186</v>
      </c>
      <c r="W1418" s="46" t="s">
        <v>4549</v>
      </c>
      <c r="X1418" s="172" t="s">
        <v>9167</v>
      </c>
      <c r="Y1418" s="46" t="s">
        <v>6938</v>
      </c>
      <c r="Z1418" s="46" t="s">
        <v>6939</v>
      </c>
      <c r="AA1418" s="46" t="s">
        <v>4549</v>
      </c>
      <c r="AB1418" s="172" t="s">
        <v>9167</v>
      </c>
      <c r="AC1418" s="48" t="s">
        <v>6941</v>
      </c>
      <c r="AD1418" s="30"/>
      <c r="AE1418" s="200"/>
      <c r="AF1418" s="100"/>
    </row>
    <row r="1419" spans="1:32" s="32" customFormat="1" ht="69.95" hidden="1" customHeight="1">
      <c r="A1419" s="29" t="s">
        <v>4923</v>
      </c>
      <c r="B1419" s="29" t="s">
        <v>3769</v>
      </c>
      <c r="C1419" s="40">
        <v>19</v>
      </c>
      <c r="D1419" s="40"/>
      <c r="E1419" s="57" t="s">
        <v>8598</v>
      </c>
      <c r="F1419" s="58" t="s">
        <v>8598</v>
      </c>
      <c r="G1419" s="29" t="s">
        <v>2969</v>
      </c>
      <c r="H1419" s="29"/>
      <c r="I1419" s="29"/>
      <c r="J1419" s="29">
        <f t="shared" si="104"/>
        <v>1</v>
      </c>
      <c r="K1419" s="42">
        <v>1405</v>
      </c>
      <c r="L1419" s="43" t="s">
        <v>2970</v>
      </c>
      <c r="M1419" s="44" t="s">
        <v>405</v>
      </c>
      <c r="N1419" s="44" t="s">
        <v>426</v>
      </c>
      <c r="O1419" s="44" t="str">
        <f t="shared" si="105"/>
        <v>PE-L1-3C4-27</v>
      </c>
      <c r="P1419" s="45">
        <v>0.04</v>
      </c>
      <c r="Q1419" s="44">
        <v>230</v>
      </c>
      <c r="R1419" s="44" t="s">
        <v>49</v>
      </c>
      <c r="S1419" s="44">
        <v>40</v>
      </c>
      <c r="T1419" s="46" t="s">
        <v>6913</v>
      </c>
      <c r="U1419" s="46" t="s">
        <v>4923</v>
      </c>
      <c r="V1419" s="46" t="s">
        <v>4924</v>
      </c>
      <c r="W1419" s="46" t="s">
        <v>4549</v>
      </c>
      <c r="X1419" s="172" t="s">
        <v>9167</v>
      </c>
      <c r="Y1419" s="46" t="s">
        <v>6938</v>
      </c>
      <c r="Z1419" s="46" t="s">
        <v>6939</v>
      </c>
      <c r="AA1419" s="46" t="s">
        <v>4549</v>
      </c>
      <c r="AB1419" s="172" t="s">
        <v>9167</v>
      </c>
      <c r="AC1419" s="48" t="s">
        <v>6942</v>
      </c>
      <c r="AD1419" s="30"/>
      <c r="AE1419" s="200"/>
      <c r="AF1419" s="100"/>
    </row>
    <row r="1420" spans="1:32" s="32" customFormat="1" ht="69.95" hidden="1" customHeight="1">
      <c r="A1420" s="29" t="s">
        <v>4237</v>
      </c>
      <c r="B1420" s="29" t="s">
        <v>3769</v>
      </c>
      <c r="C1420" s="40" t="s">
        <v>40</v>
      </c>
      <c r="D1420" s="40"/>
      <c r="E1420" s="57" t="s">
        <v>251</v>
      </c>
      <c r="F1420" s="57" t="s">
        <v>251</v>
      </c>
      <c r="G1420" s="29" t="s">
        <v>2971</v>
      </c>
      <c r="H1420" s="29"/>
      <c r="I1420" s="29"/>
      <c r="J1420" s="29">
        <f t="shared" si="104"/>
        <v>1</v>
      </c>
      <c r="K1420" s="42">
        <v>1406</v>
      </c>
      <c r="L1420" s="43" t="s">
        <v>2972</v>
      </c>
      <c r="M1420" s="44" t="s">
        <v>405</v>
      </c>
      <c r="N1420" s="44" t="s">
        <v>426</v>
      </c>
      <c r="O1420" s="44" t="str">
        <f t="shared" si="105"/>
        <v>PE-L1-3C4-17</v>
      </c>
      <c r="P1420" s="45">
        <v>0.11</v>
      </c>
      <c r="Q1420" s="44">
        <v>230</v>
      </c>
      <c r="R1420" s="44" t="s">
        <v>428</v>
      </c>
      <c r="S1420" s="44">
        <v>30</v>
      </c>
      <c r="T1420" s="46" t="s">
        <v>6913</v>
      </c>
      <c r="U1420" s="46" t="s">
        <v>4237</v>
      </c>
      <c r="V1420" s="46" t="s">
        <v>4238</v>
      </c>
      <c r="W1420" s="46" t="s">
        <v>391</v>
      </c>
      <c r="X1420" s="172" t="s">
        <v>9167</v>
      </c>
      <c r="Y1420" s="46" t="s">
        <v>6943</v>
      </c>
      <c r="Z1420" s="46" t="s">
        <v>6944</v>
      </c>
      <c r="AA1420" s="46" t="s">
        <v>391</v>
      </c>
      <c r="AB1420" s="172" t="s">
        <v>9167</v>
      </c>
      <c r="AC1420" s="48" t="s">
        <v>4082</v>
      </c>
      <c r="AD1420" s="30"/>
      <c r="AE1420" s="200"/>
      <c r="AF1420" s="100"/>
    </row>
    <row r="1421" spans="1:32" s="32" customFormat="1" ht="69.95" hidden="1" customHeight="1">
      <c r="A1421" s="29" t="s">
        <v>4221</v>
      </c>
      <c r="B1421" s="29" t="s">
        <v>3769</v>
      </c>
      <c r="C1421" s="40" t="s">
        <v>40</v>
      </c>
      <c r="D1421" s="40"/>
      <c r="E1421" s="57" t="s">
        <v>251</v>
      </c>
      <c r="F1421" s="57" t="s">
        <v>251</v>
      </c>
      <c r="G1421" s="29" t="s">
        <v>2973</v>
      </c>
      <c r="H1421" s="29"/>
      <c r="I1421" s="29"/>
      <c r="J1421" s="29">
        <f t="shared" si="104"/>
        <v>1</v>
      </c>
      <c r="K1421" s="42">
        <v>1407</v>
      </c>
      <c r="L1421" s="43" t="s">
        <v>2974</v>
      </c>
      <c r="M1421" s="44" t="s">
        <v>405</v>
      </c>
      <c r="N1421" s="44" t="s">
        <v>426</v>
      </c>
      <c r="O1421" s="44" t="str">
        <f t="shared" si="105"/>
        <v>PE-L1-3C4-17</v>
      </c>
      <c r="P1421" s="45">
        <v>0.11</v>
      </c>
      <c r="Q1421" s="44">
        <v>230</v>
      </c>
      <c r="R1421" s="44" t="s">
        <v>428</v>
      </c>
      <c r="S1421" s="44">
        <v>20</v>
      </c>
      <c r="T1421" s="46" t="s">
        <v>6913</v>
      </c>
      <c r="U1421" s="46" t="s">
        <v>4221</v>
      </c>
      <c r="V1421" s="46" t="s">
        <v>4222</v>
      </c>
      <c r="W1421" s="46" t="s">
        <v>391</v>
      </c>
      <c r="X1421" s="172" t="s">
        <v>9167</v>
      </c>
      <c r="Y1421" s="46" t="s">
        <v>6943</v>
      </c>
      <c r="Z1421" s="46" t="s">
        <v>6944</v>
      </c>
      <c r="AA1421" s="46" t="s">
        <v>391</v>
      </c>
      <c r="AB1421" s="172" t="s">
        <v>9167</v>
      </c>
      <c r="AC1421" s="48" t="s">
        <v>6945</v>
      </c>
      <c r="AD1421" s="30"/>
      <c r="AE1421" s="200"/>
      <c r="AF1421" s="100"/>
    </row>
    <row r="1422" spans="1:32" s="32" customFormat="1" ht="69.95" hidden="1" customHeight="1">
      <c r="A1422" s="29" t="s">
        <v>4079</v>
      </c>
      <c r="B1422" s="29" t="s">
        <v>3769</v>
      </c>
      <c r="C1422" s="40">
        <v>20</v>
      </c>
      <c r="D1422" s="40"/>
      <c r="E1422" s="57" t="s">
        <v>251</v>
      </c>
      <c r="F1422" s="57" t="s">
        <v>251</v>
      </c>
      <c r="G1422" s="29" t="s">
        <v>2975</v>
      </c>
      <c r="H1422" s="29"/>
      <c r="I1422" s="29"/>
      <c r="J1422" s="29">
        <f t="shared" si="104"/>
        <v>1</v>
      </c>
      <c r="K1422" s="42">
        <v>1408</v>
      </c>
      <c r="L1422" s="43" t="s">
        <v>2976</v>
      </c>
      <c r="M1422" s="44" t="s">
        <v>405</v>
      </c>
      <c r="N1422" s="44" t="s">
        <v>426</v>
      </c>
      <c r="O1422" s="44" t="str">
        <f t="shared" si="105"/>
        <v>PE-L1-3C4-17</v>
      </c>
      <c r="P1422" s="45">
        <v>0.04</v>
      </c>
      <c r="Q1422" s="44">
        <v>230</v>
      </c>
      <c r="R1422" s="44" t="s">
        <v>49</v>
      </c>
      <c r="S1422" s="44">
        <v>30</v>
      </c>
      <c r="T1422" s="46" t="s">
        <v>6913</v>
      </c>
      <c r="U1422" s="46" t="s">
        <v>4079</v>
      </c>
      <c r="V1422" s="46" t="s">
        <v>4080</v>
      </c>
      <c r="W1422" s="46" t="s">
        <v>391</v>
      </c>
      <c r="X1422" s="172" t="s">
        <v>9167</v>
      </c>
      <c r="Y1422" s="46" t="s">
        <v>6943</v>
      </c>
      <c r="Z1422" s="46" t="s">
        <v>6944</v>
      </c>
      <c r="AA1422" s="46" t="s">
        <v>391</v>
      </c>
      <c r="AB1422" s="172" t="s">
        <v>9167</v>
      </c>
      <c r="AC1422" s="48" t="s">
        <v>4082</v>
      </c>
      <c r="AD1422" s="30"/>
      <c r="AE1422" s="200"/>
      <c r="AF1422" s="100"/>
    </row>
    <row r="1423" spans="1:32" s="32" customFormat="1" ht="69.95" hidden="1" customHeight="1">
      <c r="A1423" s="29" t="s">
        <v>5407</v>
      </c>
      <c r="B1423" s="29" t="s">
        <v>3769</v>
      </c>
      <c r="C1423" s="40" t="s">
        <v>75</v>
      </c>
      <c r="D1423" s="236" t="s">
        <v>9538</v>
      </c>
      <c r="E1423" s="57" t="s">
        <v>70</v>
      </c>
      <c r="F1423" s="57" t="s">
        <v>70</v>
      </c>
      <c r="G1423" s="29" t="s">
        <v>2977</v>
      </c>
      <c r="H1423" s="29"/>
      <c r="I1423" s="124" t="s">
        <v>9121</v>
      </c>
      <c r="J1423" s="29">
        <f t="shared" si="104"/>
        <v>1</v>
      </c>
      <c r="K1423" s="183">
        <v>1409</v>
      </c>
      <c r="L1423" s="152" t="s">
        <v>2978</v>
      </c>
      <c r="M1423" s="44" t="s">
        <v>405</v>
      </c>
      <c r="N1423" s="44" t="s">
        <v>549</v>
      </c>
      <c r="O1423" s="101" t="str">
        <f t="shared" ref="O1423:O1431" si="106">F1423</f>
        <v>PE-L1-3C10-01</v>
      </c>
      <c r="P1423" s="45">
        <v>3.3</v>
      </c>
      <c r="Q1423" s="44">
        <v>230</v>
      </c>
      <c r="R1423" s="44" t="s">
        <v>428</v>
      </c>
      <c r="S1423" s="101">
        <v>100</v>
      </c>
      <c r="T1423" s="46" t="s">
        <v>6913</v>
      </c>
      <c r="U1423" s="46" t="s">
        <v>5407</v>
      </c>
      <c r="V1423" s="46" t="s">
        <v>5408</v>
      </c>
      <c r="W1423" s="46" t="s">
        <v>335</v>
      </c>
      <c r="X1423" s="172" t="s">
        <v>9167</v>
      </c>
      <c r="Y1423" s="46" t="s">
        <v>6946</v>
      </c>
      <c r="Z1423" s="46" t="s">
        <v>6947</v>
      </c>
      <c r="AA1423" s="46" t="s">
        <v>335</v>
      </c>
      <c r="AB1423" s="172" t="s">
        <v>9167</v>
      </c>
      <c r="AC1423" s="230" t="s">
        <v>6948</v>
      </c>
      <c r="AD1423" s="30" t="s">
        <v>9287</v>
      </c>
      <c r="AE1423" s="200"/>
      <c r="AF1423" s="100"/>
    </row>
    <row r="1424" spans="1:32" s="32" customFormat="1" ht="69.95" hidden="1" customHeight="1">
      <c r="A1424" s="29" t="s">
        <v>5411</v>
      </c>
      <c r="B1424" s="29" t="s">
        <v>3769</v>
      </c>
      <c r="C1424" s="40">
        <v>10</v>
      </c>
      <c r="D1424" s="236" t="s">
        <v>9538</v>
      </c>
      <c r="E1424" s="57" t="s">
        <v>70</v>
      </c>
      <c r="F1424" s="57" t="s">
        <v>70</v>
      </c>
      <c r="G1424" s="29" t="s">
        <v>2979</v>
      </c>
      <c r="H1424" s="29"/>
      <c r="I1424" s="124" t="s">
        <v>9121</v>
      </c>
      <c r="J1424" s="29">
        <f t="shared" si="104"/>
        <v>1</v>
      </c>
      <c r="K1424" s="183">
        <v>1410</v>
      </c>
      <c r="L1424" s="152" t="s">
        <v>9542</v>
      </c>
      <c r="M1424" s="44" t="s">
        <v>405</v>
      </c>
      <c r="N1424" s="44" t="s">
        <v>549</v>
      </c>
      <c r="O1424" s="101" t="str">
        <f t="shared" si="106"/>
        <v>PE-L1-3C10-01</v>
      </c>
      <c r="P1424" s="45">
        <v>3.3</v>
      </c>
      <c r="Q1424" s="44">
        <v>230</v>
      </c>
      <c r="R1424" s="44" t="s">
        <v>428</v>
      </c>
      <c r="S1424" s="234">
        <v>110</v>
      </c>
      <c r="T1424" s="46" t="s">
        <v>6913</v>
      </c>
      <c r="U1424" s="46" t="s">
        <v>5411</v>
      </c>
      <c r="V1424" s="46" t="s">
        <v>5412</v>
      </c>
      <c r="W1424" s="46" t="s">
        <v>335</v>
      </c>
      <c r="X1424" s="172" t="s">
        <v>9167</v>
      </c>
      <c r="Y1424" s="46" t="s">
        <v>6946</v>
      </c>
      <c r="Z1424" s="46" t="s">
        <v>6947</v>
      </c>
      <c r="AA1424" s="46" t="s">
        <v>335</v>
      </c>
      <c r="AB1424" s="172" t="s">
        <v>9167</v>
      </c>
      <c r="AC1424" s="230" t="s">
        <v>6949</v>
      </c>
      <c r="AD1424" s="30" t="s">
        <v>9288</v>
      </c>
      <c r="AE1424" s="200"/>
      <c r="AF1424" s="100"/>
    </row>
    <row r="1425" spans="1:32" s="32" customFormat="1" ht="69.95" hidden="1" customHeight="1">
      <c r="A1425" s="29" t="s">
        <v>6136</v>
      </c>
      <c r="B1425" s="29" t="s">
        <v>3769</v>
      </c>
      <c r="C1425" s="40" t="s">
        <v>75</v>
      </c>
      <c r="D1425" s="173" t="s">
        <v>9131</v>
      </c>
      <c r="E1425" s="58" t="s">
        <v>251</v>
      </c>
      <c r="F1425" s="121" t="s">
        <v>165</v>
      </c>
      <c r="G1425" s="29" t="s">
        <v>2980</v>
      </c>
      <c r="H1425" s="29"/>
      <c r="I1425" s="124" t="s">
        <v>9121</v>
      </c>
      <c r="J1425" s="29">
        <f t="shared" si="104"/>
        <v>1</v>
      </c>
      <c r="K1425" s="42">
        <v>1411</v>
      </c>
      <c r="L1425" s="43" t="s">
        <v>2981</v>
      </c>
      <c r="M1425" s="44" t="s">
        <v>405</v>
      </c>
      <c r="N1425" s="44" t="s">
        <v>426</v>
      </c>
      <c r="O1425" s="121" t="str">
        <f t="shared" si="106"/>
        <v>PE-L1-3C4-05</v>
      </c>
      <c r="P1425" s="45">
        <v>0.04</v>
      </c>
      <c r="Q1425" s="44">
        <v>230</v>
      </c>
      <c r="R1425" s="44" t="s">
        <v>49</v>
      </c>
      <c r="S1425" s="44">
        <v>100</v>
      </c>
      <c r="T1425" s="46" t="s">
        <v>6913</v>
      </c>
      <c r="U1425" s="46" t="s">
        <v>6136</v>
      </c>
      <c r="V1425" s="46" t="s">
        <v>6137</v>
      </c>
      <c r="W1425" s="46" t="s">
        <v>335</v>
      </c>
      <c r="X1425" s="172" t="s">
        <v>9167</v>
      </c>
      <c r="Y1425" s="46" t="s">
        <v>6946</v>
      </c>
      <c r="Z1425" s="46" t="s">
        <v>6947</v>
      </c>
      <c r="AA1425" s="46" t="s">
        <v>335</v>
      </c>
      <c r="AB1425" s="172" t="s">
        <v>9167</v>
      </c>
      <c r="AC1425" s="48" t="s">
        <v>6912</v>
      </c>
      <c r="AD1425" s="30"/>
      <c r="AE1425" s="200"/>
      <c r="AF1425" s="100"/>
    </row>
    <row r="1426" spans="1:32" s="32" customFormat="1" ht="69.95" hidden="1" customHeight="1">
      <c r="A1426" s="29" t="s">
        <v>5411</v>
      </c>
      <c r="B1426" s="29" t="s">
        <v>3769</v>
      </c>
      <c r="C1426" s="40">
        <v>11</v>
      </c>
      <c r="D1426" s="236" t="s">
        <v>9538</v>
      </c>
      <c r="E1426" s="57" t="s">
        <v>251</v>
      </c>
      <c r="F1426" s="57" t="s">
        <v>251</v>
      </c>
      <c r="G1426" s="29" t="s">
        <v>2982</v>
      </c>
      <c r="H1426" s="29"/>
      <c r="I1426" s="29"/>
      <c r="J1426" s="29">
        <f t="shared" si="104"/>
        <v>1</v>
      </c>
      <c r="K1426" s="183">
        <v>1412</v>
      </c>
      <c r="L1426" s="43" t="s">
        <v>9541</v>
      </c>
      <c r="M1426" s="44" t="s">
        <v>405</v>
      </c>
      <c r="N1426" s="44" t="s">
        <v>426</v>
      </c>
      <c r="O1426" s="44" t="str">
        <f t="shared" si="106"/>
        <v>PE-L1-3C4-17</v>
      </c>
      <c r="P1426" s="45">
        <v>0.22</v>
      </c>
      <c r="Q1426" s="44">
        <v>230</v>
      </c>
      <c r="R1426" s="44" t="s">
        <v>428</v>
      </c>
      <c r="S1426" s="44">
        <v>110</v>
      </c>
      <c r="T1426" s="46" t="s">
        <v>6913</v>
      </c>
      <c r="U1426" s="46" t="s">
        <v>5411</v>
      </c>
      <c r="V1426" s="46" t="s">
        <v>5412</v>
      </c>
      <c r="W1426" s="46" t="s">
        <v>335</v>
      </c>
      <c r="X1426" s="172" t="s">
        <v>9167</v>
      </c>
      <c r="Y1426" s="46" t="s">
        <v>6950</v>
      </c>
      <c r="Z1426" s="46" t="s">
        <v>6951</v>
      </c>
      <c r="AA1426" s="46" t="s">
        <v>335</v>
      </c>
      <c r="AB1426" s="172" t="s">
        <v>9167</v>
      </c>
      <c r="AC1426" s="230" t="s">
        <v>6952</v>
      </c>
      <c r="AD1426" s="30" t="s">
        <v>9289</v>
      </c>
      <c r="AE1426" s="200"/>
      <c r="AF1426" s="100"/>
    </row>
    <row r="1427" spans="1:32" s="32" customFormat="1" ht="69.95" hidden="1" customHeight="1">
      <c r="A1427" s="29" t="s">
        <v>5407</v>
      </c>
      <c r="B1427" s="29" t="s">
        <v>3769</v>
      </c>
      <c r="C1427" s="40" t="s">
        <v>205</v>
      </c>
      <c r="D1427" s="40"/>
      <c r="E1427" s="57" t="s">
        <v>251</v>
      </c>
      <c r="F1427" s="57" t="s">
        <v>251</v>
      </c>
      <c r="G1427" s="29" t="s">
        <v>2983</v>
      </c>
      <c r="H1427" s="29"/>
      <c r="I1427" s="124" t="s">
        <v>9121</v>
      </c>
      <c r="J1427" s="29">
        <f t="shared" si="104"/>
        <v>1</v>
      </c>
      <c r="K1427" s="42">
        <v>1413</v>
      </c>
      <c r="L1427" s="152" t="s">
        <v>2984</v>
      </c>
      <c r="M1427" s="44" t="s">
        <v>405</v>
      </c>
      <c r="N1427" s="44" t="s">
        <v>426</v>
      </c>
      <c r="O1427" s="101" t="str">
        <f t="shared" si="106"/>
        <v>PE-L1-3C4-17</v>
      </c>
      <c r="P1427" s="45">
        <v>0.22</v>
      </c>
      <c r="Q1427" s="44">
        <v>230</v>
      </c>
      <c r="R1427" s="44" t="s">
        <v>428</v>
      </c>
      <c r="S1427" s="101">
        <v>80</v>
      </c>
      <c r="T1427" s="46" t="s">
        <v>6913</v>
      </c>
      <c r="U1427" s="46" t="s">
        <v>5407</v>
      </c>
      <c r="V1427" s="46" t="s">
        <v>5408</v>
      </c>
      <c r="W1427" s="46" t="s">
        <v>335</v>
      </c>
      <c r="X1427" s="172" t="s">
        <v>9167</v>
      </c>
      <c r="Y1427" s="46" t="s">
        <v>6950</v>
      </c>
      <c r="Z1427" s="46" t="s">
        <v>6951</v>
      </c>
      <c r="AA1427" s="46" t="s">
        <v>335</v>
      </c>
      <c r="AB1427" s="172" t="s">
        <v>9167</v>
      </c>
      <c r="AC1427" s="48" t="s">
        <v>6953</v>
      </c>
      <c r="AD1427" s="30"/>
      <c r="AE1427" s="200"/>
      <c r="AF1427" s="100"/>
    </row>
    <row r="1428" spans="1:32" s="32" customFormat="1" ht="69.95" hidden="1" customHeight="1">
      <c r="A1428" s="29" t="s">
        <v>6136</v>
      </c>
      <c r="B1428" s="29" t="s">
        <v>3769</v>
      </c>
      <c r="C1428" s="40">
        <v>10</v>
      </c>
      <c r="D1428" s="173" t="s">
        <v>9131</v>
      </c>
      <c r="E1428" s="57" t="s">
        <v>251</v>
      </c>
      <c r="F1428" s="121" t="s">
        <v>165</v>
      </c>
      <c r="G1428" s="29" t="s">
        <v>2985</v>
      </c>
      <c r="H1428" s="29"/>
      <c r="I1428" s="124" t="s">
        <v>9121</v>
      </c>
      <c r="J1428" s="29">
        <f t="shared" si="104"/>
        <v>1</v>
      </c>
      <c r="K1428" s="42">
        <v>1414</v>
      </c>
      <c r="L1428" s="43" t="s">
        <v>2986</v>
      </c>
      <c r="M1428" s="44" t="s">
        <v>405</v>
      </c>
      <c r="N1428" s="44" t="s">
        <v>426</v>
      </c>
      <c r="O1428" s="121" t="str">
        <f t="shared" si="106"/>
        <v>PE-L1-3C4-05</v>
      </c>
      <c r="P1428" s="45">
        <v>0.04</v>
      </c>
      <c r="Q1428" s="44">
        <v>230</v>
      </c>
      <c r="R1428" s="44" t="s">
        <v>49</v>
      </c>
      <c r="S1428" s="44">
        <v>100</v>
      </c>
      <c r="T1428" s="46" t="s">
        <v>6913</v>
      </c>
      <c r="U1428" s="46" t="s">
        <v>6136</v>
      </c>
      <c r="V1428" s="46" t="s">
        <v>6137</v>
      </c>
      <c r="W1428" s="46" t="s">
        <v>335</v>
      </c>
      <c r="X1428" s="172" t="s">
        <v>9167</v>
      </c>
      <c r="Y1428" s="46" t="s">
        <v>6950</v>
      </c>
      <c r="Z1428" s="46" t="s">
        <v>6951</v>
      </c>
      <c r="AA1428" s="46" t="s">
        <v>335</v>
      </c>
      <c r="AB1428" s="172" t="s">
        <v>9167</v>
      </c>
      <c r="AC1428" s="48" t="s">
        <v>6912</v>
      </c>
      <c r="AD1428" s="30"/>
      <c r="AE1428" s="200"/>
      <c r="AF1428" s="100"/>
    </row>
    <row r="1429" spans="1:32" s="32" customFormat="1" ht="69.95" hidden="1" customHeight="1">
      <c r="A1429" s="29" t="s">
        <v>5407</v>
      </c>
      <c r="B1429" s="29" t="s">
        <v>3769</v>
      </c>
      <c r="C1429" s="40" t="s">
        <v>206</v>
      </c>
      <c r="D1429" s="173" t="s">
        <v>9131</v>
      </c>
      <c r="E1429" s="57" t="s">
        <v>251</v>
      </c>
      <c r="F1429" s="121" t="s">
        <v>165</v>
      </c>
      <c r="G1429" s="29" t="s">
        <v>2987</v>
      </c>
      <c r="H1429" s="29"/>
      <c r="I1429" s="124" t="s">
        <v>9121</v>
      </c>
      <c r="J1429" s="29">
        <f t="shared" si="104"/>
        <v>1</v>
      </c>
      <c r="K1429" s="42">
        <v>1415</v>
      </c>
      <c r="L1429" s="43" t="s">
        <v>2988</v>
      </c>
      <c r="M1429" s="44" t="s">
        <v>405</v>
      </c>
      <c r="N1429" s="44" t="s">
        <v>426</v>
      </c>
      <c r="O1429" s="121" t="str">
        <f t="shared" si="106"/>
        <v>PE-L1-3C4-05</v>
      </c>
      <c r="P1429" s="45">
        <v>0.33</v>
      </c>
      <c r="Q1429" s="44">
        <v>230</v>
      </c>
      <c r="R1429" s="44" t="s">
        <v>428</v>
      </c>
      <c r="S1429" s="44">
        <v>60</v>
      </c>
      <c r="T1429" s="46" t="s">
        <v>6913</v>
      </c>
      <c r="U1429" s="46" t="s">
        <v>5407</v>
      </c>
      <c r="V1429" s="46" t="s">
        <v>5408</v>
      </c>
      <c r="W1429" s="46" t="s">
        <v>335</v>
      </c>
      <c r="X1429" s="172" t="s">
        <v>9167</v>
      </c>
      <c r="Y1429" s="46" t="s">
        <v>6954</v>
      </c>
      <c r="Z1429" s="46" t="s">
        <v>6955</v>
      </c>
      <c r="AA1429" s="46" t="s">
        <v>335</v>
      </c>
      <c r="AB1429" s="172" t="s">
        <v>9167</v>
      </c>
      <c r="AC1429" s="48" t="s">
        <v>6956</v>
      </c>
      <c r="AD1429" s="30"/>
      <c r="AE1429" s="200"/>
      <c r="AF1429" s="100"/>
    </row>
    <row r="1430" spans="1:32" s="32" customFormat="1" ht="69.95" hidden="1" customHeight="1">
      <c r="A1430" s="29" t="s">
        <v>5411</v>
      </c>
      <c r="B1430" s="29" t="s">
        <v>3769</v>
      </c>
      <c r="C1430" s="40">
        <v>12</v>
      </c>
      <c r="D1430" s="173" t="s">
        <v>9131</v>
      </c>
      <c r="E1430" s="57" t="s">
        <v>251</v>
      </c>
      <c r="F1430" s="121" t="s">
        <v>165</v>
      </c>
      <c r="G1430" s="29" t="s">
        <v>2989</v>
      </c>
      <c r="H1430" s="29"/>
      <c r="I1430" s="124" t="s">
        <v>9121</v>
      </c>
      <c r="J1430" s="29">
        <f t="shared" si="104"/>
        <v>1</v>
      </c>
      <c r="K1430" s="42">
        <v>1416</v>
      </c>
      <c r="L1430" s="43" t="s">
        <v>2990</v>
      </c>
      <c r="M1430" s="44" t="s">
        <v>405</v>
      </c>
      <c r="N1430" s="44" t="s">
        <v>426</v>
      </c>
      <c r="O1430" s="121" t="str">
        <f t="shared" si="106"/>
        <v>PE-L1-3C4-05</v>
      </c>
      <c r="P1430" s="45">
        <v>0.33</v>
      </c>
      <c r="Q1430" s="44">
        <v>230</v>
      </c>
      <c r="R1430" s="44" t="s">
        <v>428</v>
      </c>
      <c r="S1430" s="44">
        <v>70</v>
      </c>
      <c r="T1430" s="46" t="s">
        <v>6913</v>
      </c>
      <c r="U1430" s="46" t="s">
        <v>5411</v>
      </c>
      <c r="V1430" s="46" t="s">
        <v>5412</v>
      </c>
      <c r="W1430" s="46" t="s">
        <v>335</v>
      </c>
      <c r="X1430" s="172" t="s">
        <v>9167</v>
      </c>
      <c r="Y1430" s="46" t="s">
        <v>6954</v>
      </c>
      <c r="Z1430" s="46" t="s">
        <v>6955</v>
      </c>
      <c r="AA1430" s="46" t="s">
        <v>335</v>
      </c>
      <c r="AB1430" s="172" t="s">
        <v>9167</v>
      </c>
      <c r="AC1430" s="48" t="s">
        <v>6957</v>
      </c>
      <c r="AD1430" s="30"/>
      <c r="AE1430" s="200"/>
      <c r="AF1430" s="100"/>
    </row>
    <row r="1431" spans="1:32" s="32" customFormat="1" ht="69.95" hidden="1" customHeight="1">
      <c r="A1431" s="29" t="s">
        <v>6136</v>
      </c>
      <c r="B1431" s="29" t="s">
        <v>3769</v>
      </c>
      <c r="C1431" s="40" t="s">
        <v>36</v>
      </c>
      <c r="D1431" s="173" t="s">
        <v>9131</v>
      </c>
      <c r="E1431" s="57" t="s">
        <v>251</v>
      </c>
      <c r="F1431" s="121" t="s">
        <v>143</v>
      </c>
      <c r="G1431" s="29" t="s">
        <v>2991</v>
      </c>
      <c r="H1431" s="29"/>
      <c r="I1431" s="124" t="s">
        <v>9121</v>
      </c>
      <c r="J1431" s="29">
        <f t="shared" si="104"/>
        <v>1</v>
      </c>
      <c r="K1431" s="42">
        <v>1417</v>
      </c>
      <c r="L1431" s="43" t="s">
        <v>2992</v>
      </c>
      <c r="M1431" s="44" t="s">
        <v>405</v>
      </c>
      <c r="N1431" s="44" t="s">
        <v>426</v>
      </c>
      <c r="O1431" s="121" t="str">
        <f t="shared" si="106"/>
        <v>PE-L1-3C4-15</v>
      </c>
      <c r="P1431" s="45">
        <v>0.04</v>
      </c>
      <c r="Q1431" s="44">
        <v>230</v>
      </c>
      <c r="R1431" s="44" t="s">
        <v>49</v>
      </c>
      <c r="S1431" s="44">
        <v>40</v>
      </c>
      <c r="T1431" s="46" t="s">
        <v>6913</v>
      </c>
      <c r="U1431" s="46" t="s">
        <v>6136</v>
      </c>
      <c r="V1431" s="46" t="s">
        <v>6137</v>
      </c>
      <c r="W1431" s="46" t="s">
        <v>335</v>
      </c>
      <c r="X1431" s="172" t="s">
        <v>9167</v>
      </c>
      <c r="Y1431" s="46" t="s">
        <v>6954</v>
      </c>
      <c r="Z1431" s="46" t="s">
        <v>6955</v>
      </c>
      <c r="AA1431" s="46" t="s">
        <v>335</v>
      </c>
      <c r="AB1431" s="172" t="s">
        <v>9167</v>
      </c>
      <c r="AC1431" s="48" t="s">
        <v>6684</v>
      </c>
      <c r="AD1431" s="30"/>
      <c r="AE1431" s="200"/>
      <c r="AF1431" s="100"/>
    </row>
    <row r="1432" spans="1:32" s="32" customFormat="1" ht="84.95" hidden="1" customHeight="1">
      <c r="A1432" s="29" t="s">
        <v>5411</v>
      </c>
      <c r="B1432" s="29" t="s">
        <v>3769</v>
      </c>
      <c r="C1432" s="40">
        <v>13</v>
      </c>
      <c r="D1432" s="40"/>
      <c r="E1432" s="57" t="s">
        <v>251</v>
      </c>
      <c r="F1432" s="57" t="s">
        <v>251</v>
      </c>
      <c r="G1432" s="29" t="s">
        <v>2993</v>
      </c>
      <c r="H1432" s="29"/>
      <c r="I1432" s="29"/>
      <c r="J1432" s="29">
        <f t="shared" si="104"/>
        <v>1</v>
      </c>
      <c r="K1432" s="42">
        <v>1418</v>
      </c>
      <c r="L1432" s="43" t="s">
        <v>2994</v>
      </c>
      <c r="M1432" s="44" t="s">
        <v>405</v>
      </c>
      <c r="N1432" s="44" t="s">
        <v>426</v>
      </c>
      <c r="O1432" s="44" t="str">
        <f t="shared" ref="O1432:O1434" si="107">F1432</f>
        <v>PE-L1-3C4-17</v>
      </c>
      <c r="P1432" s="45">
        <v>0.11</v>
      </c>
      <c r="Q1432" s="44">
        <v>230</v>
      </c>
      <c r="R1432" s="44" t="s">
        <v>428</v>
      </c>
      <c r="S1432" s="44">
        <v>560</v>
      </c>
      <c r="T1432" s="46" t="s">
        <v>6913</v>
      </c>
      <c r="U1432" s="46" t="s">
        <v>5411</v>
      </c>
      <c r="V1432" s="46" t="s">
        <v>5412</v>
      </c>
      <c r="W1432" s="46" t="s">
        <v>335</v>
      </c>
      <c r="X1432" s="172" t="s">
        <v>9167</v>
      </c>
      <c r="Y1432" s="46" t="s">
        <v>6958</v>
      </c>
      <c r="Z1432" s="46" t="s">
        <v>6959</v>
      </c>
      <c r="AA1432" s="46" t="s">
        <v>5154</v>
      </c>
      <c r="AB1432" s="172" t="s">
        <v>9167</v>
      </c>
      <c r="AC1432" s="48" t="s">
        <v>6960</v>
      </c>
      <c r="AD1432" s="30"/>
      <c r="AE1432" s="200"/>
      <c r="AF1432" s="100"/>
    </row>
    <row r="1433" spans="1:32" s="32" customFormat="1" ht="69.95" hidden="1" customHeight="1">
      <c r="A1433" s="29" t="s">
        <v>5407</v>
      </c>
      <c r="B1433" s="29" t="s">
        <v>3769</v>
      </c>
      <c r="C1433" s="40" t="s">
        <v>207</v>
      </c>
      <c r="D1433" s="40"/>
      <c r="E1433" s="57" t="s">
        <v>251</v>
      </c>
      <c r="F1433" s="57" t="s">
        <v>251</v>
      </c>
      <c r="G1433" s="29" t="s">
        <v>2995</v>
      </c>
      <c r="H1433" s="29"/>
      <c r="I1433" s="29"/>
      <c r="J1433" s="29">
        <f t="shared" si="104"/>
        <v>1</v>
      </c>
      <c r="K1433" s="42">
        <v>1419</v>
      </c>
      <c r="L1433" s="43" t="s">
        <v>2996</v>
      </c>
      <c r="M1433" s="44" t="s">
        <v>405</v>
      </c>
      <c r="N1433" s="44" t="s">
        <v>426</v>
      </c>
      <c r="O1433" s="44" t="str">
        <f t="shared" si="107"/>
        <v>PE-L1-3C4-17</v>
      </c>
      <c r="P1433" s="45">
        <v>0.11</v>
      </c>
      <c r="Q1433" s="44">
        <v>230</v>
      </c>
      <c r="R1433" s="44" t="s">
        <v>428</v>
      </c>
      <c r="S1433" s="44">
        <v>550</v>
      </c>
      <c r="T1433" s="46" t="s">
        <v>6913</v>
      </c>
      <c r="U1433" s="46" t="s">
        <v>5407</v>
      </c>
      <c r="V1433" s="46" t="s">
        <v>5408</v>
      </c>
      <c r="W1433" s="46" t="s">
        <v>335</v>
      </c>
      <c r="X1433" s="172" t="s">
        <v>9167</v>
      </c>
      <c r="Y1433" s="46" t="s">
        <v>6958</v>
      </c>
      <c r="Z1433" s="46" t="s">
        <v>6959</v>
      </c>
      <c r="AA1433" s="46" t="s">
        <v>5154</v>
      </c>
      <c r="AB1433" s="172" t="s">
        <v>9167</v>
      </c>
      <c r="AC1433" s="48" t="s">
        <v>6961</v>
      </c>
      <c r="AD1433" s="30"/>
      <c r="AE1433" s="200"/>
      <c r="AF1433" s="100"/>
    </row>
    <row r="1434" spans="1:32" s="32" customFormat="1" ht="69.95" hidden="1" customHeight="1">
      <c r="A1434" s="29" t="s">
        <v>6224</v>
      </c>
      <c r="B1434" s="29" t="s">
        <v>3769</v>
      </c>
      <c r="C1434" s="40" t="s">
        <v>40</v>
      </c>
      <c r="D1434" s="40"/>
      <c r="E1434" s="57" t="s">
        <v>251</v>
      </c>
      <c r="F1434" s="57" t="s">
        <v>251</v>
      </c>
      <c r="G1434" s="29" t="s">
        <v>2997</v>
      </c>
      <c r="H1434" s="29"/>
      <c r="I1434" s="29"/>
      <c r="J1434" s="29">
        <f t="shared" si="104"/>
        <v>1</v>
      </c>
      <c r="K1434" s="42">
        <v>1420</v>
      </c>
      <c r="L1434" s="43" t="s">
        <v>2998</v>
      </c>
      <c r="M1434" s="44" t="s">
        <v>405</v>
      </c>
      <c r="N1434" s="44" t="s">
        <v>426</v>
      </c>
      <c r="O1434" s="44" t="str">
        <f t="shared" si="107"/>
        <v>PE-L1-3C4-17</v>
      </c>
      <c r="P1434" s="45">
        <v>0.04</v>
      </c>
      <c r="Q1434" s="44">
        <v>230</v>
      </c>
      <c r="R1434" s="44" t="s">
        <v>49</v>
      </c>
      <c r="S1434" s="44">
        <v>20</v>
      </c>
      <c r="T1434" s="46" t="s">
        <v>6913</v>
      </c>
      <c r="U1434" s="46" t="s">
        <v>6224</v>
      </c>
      <c r="V1434" s="46" t="s">
        <v>6225</v>
      </c>
      <c r="W1434" s="46" t="s">
        <v>5154</v>
      </c>
      <c r="X1434" s="172" t="s">
        <v>9167</v>
      </c>
      <c r="Y1434" s="46" t="s">
        <v>6958</v>
      </c>
      <c r="Z1434" s="46" t="s">
        <v>6959</v>
      </c>
      <c r="AA1434" s="46" t="s">
        <v>5154</v>
      </c>
      <c r="AB1434" s="172" t="s">
        <v>9167</v>
      </c>
      <c r="AC1434" s="48" t="s">
        <v>6962</v>
      </c>
      <c r="AD1434" s="30"/>
      <c r="AE1434" s="200"/>
      <c r="AF1434" s="100"/>
    </row>
    <row r="1435" spans="1:32" s="32" customFormat="1" ht="69.95" hidden="1" customHeight="1">
      <c r="A1435" s="29" t="s">
        <v>6685</v>
      </c>
      <c r="B1435" s="29" t="s">
        <v>3769</v>
      </c>
      <c r="C1435" s="40" t="s">
        <v>32</v>
      </c>
      <c r="D1435" s="40"/>
      <c r="E1435" s="57" t="s">
        <v>259</v>
      </c>
      <c r="F1435" s="57" t="s">
        <v>259</v>
      </c>
      <c r="G1435" s="29" t="s">
        <v>2999</v>
      </c>
      <c r="H1435" s="29"/>
      <c r="I1435" s="124" t="s">
        <v>9121</v>
      </c>
      <c r="J1435" s="29">
        <f t="shared" si="104"/>
        <v>1</v>
      </c>
      <c r="K1435" s="42">
        <v>1421</v>
      </c>
      <c r="L1435" s="152" t="s">
        <v>3000</v>
      </c>
      <c r="M1435" s="44" t="s">
        <v>405</v>
      </c>
      <c r="N1435" s="44" t="s">
        <v>2676</v>
      </c>
      <c r="O1435" s="101" t="str">
        <f t="shared" ref="O1435:O1467" si="108">F1435</f>
        <v>PE-L1-1C500-01</v>
      </c>
      <c r="P1435" s="45">
        <v>603.70000000000005</v>
      </c>
      <c r="Q1435" s="44">
        <v>400</v>
      </c>
      <c r="R1435" s="44" t="s">
        <v>49</v>
      </c>
      <c r="S1435" s="101">
        <v>490</v>
      </c>
      <c r="T1435" s="46" t="s">
        <v>6963</v>
      </c>
      <c r="U1435" s="46" t="s">
        <v>6685</v>
      </c>
      <c r="V1435" s="46" t="s">
        <v>6964</v>
      </c>
      <c r="W1435" s="46" t="s">
        <v>335</v>
      </c>
      <c r="X1435" s="47" t="s">
        <v>44</v>
      </c>
      <c r="Y1435" s="46" t="s">
        <v>6965</v>
      </c>
      <c r="Z1435" s="46" t="s">
        <v>6966</v>
      </c>
      <c r="AA1435" s="46" t="s">
        <v>6967</v>
      </c>
      <c r="AB1435" s="47" t="s">
        <v>44</v>
      </c>
      <c r="AC1435" s="48" t="s">
        <v>8710</v>
      </c>
      <c r="AD1435" s="246" cm="1">
        <f t="array" ref="AD1435">SUMPRODUCT(--(TRIM(CLEAN($AC$2:$AC$3000))=TRIM(CLEAN(AC1435))))</f>
        <v>4</v>
      </c>
      <c r="AE1435" s="200"/>
      <c r="AF1435" s="100"/>
    </row>
    <row r="1436" spans="1:32" s="29" customFormat="1" ht="69.95" hidden="1" customHeight="1">
      <c r="A1436" s="49" t="s">
        <v>6685</v>
      </c>
      <c r="B1436" s="49" t="s">
        <v>3769</v>
      </c>
      <c r="C1436" s="50" t="s">
        <v>36</v>
      </c>
      <c r="D1436" s="50"/>
      <c r="E1436" s="57" t="s">
        <v>260</v>
      </c>
      <c r="F1436" s="57" t="s">
        <v>260</v>
      </c>
      <c r="I1436" s="124" t="s">
        <v>9121</v>
      </c>
      <c r="J1436" s="29">
        <f t="shared" si="104"/>
        <v>1</v>
      </c>
      <c r="K1436" s="42">
        <v>1422</v>
      </c>
      <c r="L1436" s="152" t="s">
        <v>3001</v>
      </c>
      <c r="M1436" s="43" t="s">
        <v>405</v>
      </c>
      <c r="N1436" s="43" t="s">
        <v>2676</v>
      </c>
      <c r="O1436" s="101" t="str">
        <f t="shared" si="108"/>
        <v>PE-L1-1C500-02</v>
      </c>
      <c r="P1436" s="51">
        <v>603.70000000000005</v>
      </c>
      <c r="Q1436" s="43">
        <v>400</v>
      </c>
      <c r="R1436" s="43" t="s">
        <v>49</v>
      </c>
      <c r="S1436" s="152">
        <v>490</v>
      </c>
      <c r="T1436" s="43" t="s">
        <v>6963</v>
      </c>
      <c r="U1436" s="43" t="s">
        <v>6685</v>
      </c>
      <c r="V1436" s="43" t="s">
        <v>6964</v>
      </c>
      <c r="W1436" s="43" t="s">
        <v>335</v>
      </c>
      <c r="X1436" s="47" t="s">
        <v>45</v>
      </c>
      <c r="Y1436" s="43" t="s">
        <v>6965</v>
      </c>
      <c r="Z1436" s="43" t="s">
        <v>6966</v>
      </c>
      <c r="AA1436" s="43" t="s">
        <v>6967</v>
      </c>
      <c r="AB1436" s="47" t="s">
        <v>45</v>
      </c>
      <c r="AC1436" s="52" t="s">
        <v>8710</v>
      </c>
      <c r="AD1436" s="246" cm="1">
        <f t="array" ref="AD1436">SUMPRODUCT(--(TRIM(CLEAN($AC$2:$AC$3000))=TRIM(CLEAN(AC1436))))</f>
        <v>4</v>
      </c>
      <c r="AE1436" s="197"/>
      <c r="AF1436" s="47"/>
    </row>
    <row r="1437" spans="1:32" s="29" customFormat="1" ht="69.95" hidden="1" customHeight="1">
      <c r="A1437" s="49" t="s">
        <v>6685</v>
      </c>
      <c r="B1437" s="49" t="s">
        <v>3769</v>
      </c>
      <c r="C1437" s="50" t="s">
        <v>38</v>
      </c>
      <c r="D1437" s="50"/>
      <c r="E1437" s="57" t="s">
        <v>261</v>
      </c>
      <c r="F1437" s="57" t="s">
        <v>261</v>
      </c>
      <c r="I1437" s="124" t="s">
        <v>9121</v>
      </c>
      <c r="J1437" s="29">
        <f t="shared" si="104"/>
        <v>1</v>
      </c>
      <c r="K1437" s="42">
        <v>1423</v>
      </c>
      <c r="L1437" s="152" t="s">
        <v>3002</v>
      </c>
      <c r="M1437" s="43" t="s">
        <v>405</v>
      </c>
      <c r="N1437" s="43" t="s">
        <v>2676</v>
      </c>
      <c r="O1437" s="101" t="str">
        <f t="shared" si="108"/>
        <v>PE-L1-1C500-03</v>
      </c>
      <c r="P1437" s="51">
        <v>603.70000000000005</v>
      </c>
      <c r="Q1437" s="43">
        <v>400</v>
      </c>
      <c r="R1437" s="43" t="s">
        <v>49</v>
      </c>
      <c r="S1437" s="152">
        <v>490</v>
      </c>
      <c r="T1437" s="43" t="s">
        <v>6963</v>
      </c>
      <c r="U1437" s="43" t="s">
        <v>6685</v>
      </c>
      <c r="V1437" s="43" t="s">
        <v>6964</v>
      </c>
      <c r="W1437" s="43" t="s">
        <v>335</v>
      </c>
      <c r="X1437" s="47" t="s">
        <v>46</v>
      </c>
      <c r="Y1437" s="43" t="s">
        <v>6965</v>
      </c>
      <c r="Z1437" s="43" t="s">
        <v>6966</v>
      </c>
      <c r="AA1437" s="43" t="s">
        <v>6967</v>
      </c>
      <c r="AB1437" s="47" t="s">
        <v>46</v>
      </c>
      <c r="AC1437" s="52" t="s">
        <v>8710</v>
      </c>
      <c r="AD1437" s="246" cm="1">
        <f t="array" ref="AD1437">SUMPRODUCT(--(TRIM(CLEAN($AC$2:$AC$3000))=TRIM(CLEAN(AC1437))))</f>
        <v>4</v>
      </c>
      <c r="AE1437" s="197"/>
      <c r="AF1437" s="47"/>
    </row>
    <row r="1438" spans="1:32" s="29" customFormat="1" ht="69.95" hidden="1" customHeight="1">
      <c r="A1438" s="49" t="s">
        <v>6685</v>
      </c>
      <c r="B1438" s="49" t="s">
        <v>3769</v>
      </c>
      <c r="C1438" s="50" t="s">
        <v>40</v>
      </c>
      <c r="D1438" s="50"/>
      <c r="E1438" s="57" t="s">
        <v>262</v>
      </c>
      <c r="F1438" s="57" t="s">
        <v>262</v>
      </c>
      <c r="I1438" s="124" t="s">
        <v>9121</v>
      </c>
      <c r="J1438" s="29">
        <f t="shared" si="104"/>
        <v>1</v>
      </c>
      <c r="K1438" s="42">
        <v>1424</v>
      </c>
      <c r="L1438" s="152" t="s">
        <v>3003</v>
      </c>
      <c r="M1438" s="43" t="s">
        <v>405</v>
      </c>
      <c r="N1438" s="43" t="s">
        <v>2676</v>
      </c>
      <c r="O1438" s="101" t="str">
        <f t="shared" si="108"/>
        <v>PE-L1-1C500-04</v>
      </c>
      <c r="P1438" s="51">
        <v>603.70000000000005</v>
      </c>
      <c r="Q1438" s="43">
        <v>400</v>
      </c>
      <c r="R1438" s="43" t="s">
        <v>49</v>
      </c>
      <c r="S1438" s="101">
        <v>490</v>
      </c>
      <c r="T1438" s="43" t="s">
        <v>6963</v>
      </c>
      <c r="U1438" s="43" t="s">
        <v>6685</v>
      </c>
      <c r="V1438" s="43" t="s">
        <v>6964</v>
      </c>
      <c r="W1438" s="43" t="s">
        <v>335</v>
      </c>
      <c r="X1438" s="47" t="s">
        <v>44</v>
      </c>
      <c r="Y1438" s="43" t="s">
        <v>6965</v>
      </c>
      <c r="Z1438" s="43" t="s">
        <v>6966</v>
      </c>
      <c r="AA1438" s="43" t="s">
        <v>6967</v>
      </c>
      <c r="AB1438" s="47" t="s">
        <v>44</v>
      </c>
      <c r="AC1438" s="48" t="s">
        <v>8711</v>
      </c>
      <c r="AD1438" s="246" cm="1">
        <f t="array" ref="AD1438">SUMPRODUCT(--(TRIM(CLEAN($AC$2:$AC$3000))=TRIM(CLEAN(AC1438))))</f>
        <v>3</v>
      </c>
      <c r="AE1438" s="197"/>
      <c r="AF1438" s="47"/>
    </row>
    <row r="1439" spans="1:32" s="29" customFormat="1" ht="69.95" hidden="1" customHeight="1">
      <c r="A1439" s="49" t="s">
        <v>6685</v>
      </c>
      <c r="B1439" s="49" t="s">
        <v>3769</v>
      </c>
      <c r="C1439" s="50" t="s">
        <v>41</v>
      </c>
      <c r="D1439" s="50"/>
      <c r="E1439" s="57" t="s">
        <v>263</v>
      </c>
      <c r="F1439" s="57" t="s">
        <v>263</v>
      </c>
      <c r="I1439" s="124" t="s">
        <v>9121</v>
      </c>
      <c r="J1439" s="29">
        <f t="shared" si="104"/>
        <v>1</v>
      </c>
      <c r="K1439" s="42">
        <v>1425</v>
      </c>
      <c r="L1439" s="152" t="s">
        <v>3004</v>
      </c>
      <c r="M1439" s="43" t="s">
        <v>405</v>
      </c>
      <c r="N1439" s="43" t="s">
        <v>2676</v>
      </c>
      <c r="O1439" s="101" t="str">
        <f t="shared" si="108"/>
        <v>PE-L1-1C500-05</v>
      </c>
      <c r="P1439" s="51">
        <v>603.70000000000005</v>
      </c>
      <c r="Q1439" s="43">
        <v>400</v>
      </c>
      <c r="R1439" s="43" t="s">
        <v>49</v>
      </c>
      <c r="S1439" s="152">
        <v>490</v>
      </c>
      <c r="T1439" s="43" t="s">
        <v>6963</v>
      </c>
      <c r="U1439" s="43" t="s">
        <v>6685</v>
      </c>
      <c r="V1439" s="43" t="s">
        <v>6964</v>
      </c>
      <c r="W1439" s="43" t="s">
        <v>335</v>
      </c>
      <c r="X1439" s="47" t="s">
        <v>45</v>
      </c>
      <c r="Y1439" s="43" t="s">
        <v>6965</v>
      </c>
      <c r="Z1439" s="43" t="s">
        <v>6966</v>
      </c>
      <c r="AA1439" s="43" t="s">
        <v>6967</v>
      </c>
      <c r="AB1439" s="47" t="s">
        <v>45</v>
      </c>
      <c r="AC1439" s="52" t="s">
        <v>8711</v>
      </c>
      <c r="AD1439" s="246" cm="1">
        <f t="array" ref="AD1439">SUMPRODUCT(--(TRIM(CLEAN($AC$2:$AC$3000))=TRIM(CLEAN(AC1439))))</f>
        <v>3</v>
      </c>
      <c r="AE1439" s="197"/>
      <c r="AF1439" s="47"/>
    </row>
    <row r="1440" spans="1:32" s="29" customFormat="1" ht="69.95" hidden="1" customHeight="1">
      <c r="A1440" s="49" t="s">
        <v>6685</v>
      </c>
      <c r="B1440" s="49" t="s">
        <v>3769</v>
      </c>
      <c r="C1440" s="50" t="s">
        <v>42</v>
      </c>
      <c r="D1440" s="50"/>
      <c r="E1440" s="57" t="s">
        <v>264</v>
      </c>
      <c r="F1440" s="57" t="s">
        <v>264</v>
      </c>
      <c r="I1440" s="124" t="s">
        <v>9121</v>
      </c>
      <c r="J1440" s="29">
        <f t="shared" si="104"/>
        <v>1</v>
      </c>
      <c r="K1440" s="42">
        <v>1426</v>
      </c>
      <c r="L1440" s="152" t="s">
        <v>3005</v>
      </c>
      <c r="M1440" s="43" t="s">
        <v>405</v>
      </c>
      <c r="N1440" s="43" t="s">
        <v>2676</v>
      </c>
      <c r="O1440" s="101" t="str">
        <f t="shared" si="108"/>
        <v>PE-L1-1C500-06</v>
      </c>
      <c r="P1440" s="51">
        <v>603.70000000000005</v>
      </c>
      <c r="Q1440" s="43">
        <v>400</v>
      </c>
      <c r="R1440" s="43" t="s">
        <v>49</v>
      </c>
      <c r="S1440" s="152">
        <v>490</v>
      </c>
      <c r="T1440" s="43" t="s">
        <v>6963</v>
      </c>
      <c r="U1440" s="43" t="s">
        <v>6685</v>
      </c>
      <c r="V1440" s="43" t="s">
        <v>6964</v>
      </c>
      <c r="W1440" s="43" t="s">
        <v>335</v>
      </c>
      <c r="X1440" s="47" t="s">
        <v>46</v>
      </c>
      <c r="Y1440" s="43" t="s">
        <v>6965</v>
      </c>
      <c r="Z1440" s="43" t="s">
        <v>6966</v>
      </c>
      <c r="AA1440" s="43" t="s">
        <v>6967</v>
      </c>
      <c r="AB1440" s="47" t="s">
        <v>46</v>
      </c>
      <c r="AC1440" s="52" t="s">
        <v>8711</v>
      </c>
      <c r="AD1440" s="246" cm="1">
        <f t="array" ref="AD1440">SUMPRODUCT(--(TRIM(CLEAN($AC$2:$AC$3000))=TRIM(CLEAN(AC1440))))</f>
        <v>3</v>
      </c>
      <c r="AE1440" s="197"/>
      <c r="AF1440" s="47"/>
    </row>
    <row r="1441" spans="1:32" s="29" customFormat="1" ht="69.95" hidden="1" customHeight="1">
      <c r="A1441" s="49" t="s">
        <v>6685</v>
      </c>
      <c r="B1441" s="49" t="s">
        <v>3769</v>
      </c>
      <c r="C1441" s="50" t="s">
        <v>43</v>
      </c>
      <c r="D1441" s="140"/>
      <c r="E1441" s="57" t="s">
        <v>265</v>
      </c>
      <c r="F1441" s="57" t="s">
        <v>265</v>
      </c>
      <c r="I1441" s="124" t="s">
        <v>9121</v>
      </c>
      <c r="J1441" s="29">
        <f t="shared" si="104"/>
        <v>1</v>
      </c>
      <c r="K1441" s="42">
        <v>1427</v>
      </c>
      <c r="L1441" s="152" t="s">
        <v>3006</v>
      </c>
      <c r="M1441" s="43" t="s">
        <v>405</v>
      </c>
      <c r="N1441" s="43" t="s">
        <v>2676</v>
      </c>
      <c r="O1441" s="101" t="str">
        <f t="shared" si="108"/>
        <v>PE-L1-1C500-07</v>
      </c>
      <c r="P1441" s="51">
        <v>603.70000000000005</v>
      </c>
      <c r="Q1441" s="43">
        <v>400</v>
      </c>
      <c r="R1441" s="43" t="s">
        <v>49</v>
      </c>
      <c r="S1441" s="152">
        <v>490</v>
      </c>
      <c r="T1441" s="43" t="s">
        <v>6963</v>
      </c>
      <c r="U1441" s="43" t="s">
        <v>6685</v>
      </c>
      <c r="V1441" s="43" t="s">
        <v>6964</v>
      </c>
      <c r="W1441" s="53" t="s">
        <v>335</v>
      </c>
      <c r="X1441" s="47" t="s">
        <v>49</v>
      </c>
      <c r="Y1441" s="43" t="s">
        <v>6965</v>
      </c>
      <c r="Z1441" s="43" t="s">
        <v>6966</v>
      </c>
      <c r="AA1441" s="43" t="s">
        <v>6967</v>
      </c>
      <c r="AB1441" s="47" t="s">
        <v>49</v>
      </c>
      <c r="AC1441" s="48" t="s">
        <v>8710</v>
      </c>
      <c r="AD1441" s="246" cm="1">
        <f t="array" ref="AD1441">SUMPRODUCT(--(TRIM(CLEAN($AC$2:$AC$3000))=TRIM(CLEAN(AC1441))))</f>
        <v>4</v>
      </c>
      <c r="AE1441" s="197"/>
      <c r="AF1441" s="47"/>
    </row>
    <row r="1442" spans="1:32" s="29" customFormat="1" ht="69.95" hidden="1" customHeight="1">
      <c r="A1442" s="49" t="s">
        <v>6685</v>
      </c>
      <c r="B1442" s="49" t="s">
        <v>3769</v>
      </c>
      <c r="C1442" s="50" t="s">
        <v>73</v>
      </c>
      <c r="D1442" s="50"/>
      <c r="E1442" s="57" t="s">
        <v>266</v>
      </c>
      <c r="F1442" s="57" t="s">
        <v>266</v>
      </c>
      <c r="I1442" s="124" t="s">
        <v>9121</v>
      </c>
      <c r="J1442" s="29">
        <f t="shared" si="104"/>
        <v>1</v>
      </c>
      <c r="K1442" s="42">
        <v>1428</v>
      </c>
      <c r="L1442" s="152" t="s">
        <v>3007</v>
      </c>
      <c r="M1442" s="43" t="s">
        <v>405</v>
      </c>
      <c r="N1442" s="43" t="s">
        <v>2676</v>
      </c>
      <c r="O1442" s="101" t="str">
        <f t="shared" si="108"/>
        <v>PE-L1-1C500-08</v>
      </c>
      <c r="P1442" s="51">
        <v>603.70000000000005</v>
      </c>
      <c r="Q1442" s="43">
        <v>400</v>
      </c>
      <c r="R1442" s="43" t="s">
        <v>49</v>
      </c>
      <c r="S1442" s="101">
        <v>490</v>
      </c>
      <c r="T1442" s="43" t="s">
        <v>6963</v>
      </c>
      <c r="U1442" s="43" t="s">
        <v>6685</v>
      </c>
      <c r="V1442" s="43" t="s">
        <v>6964</v>
      </c>
      <c r="W1442" s="43" t="s">
        <v>335</v>
      </c>
      <c r="X1442" s="47" t="s">
        <v>44</v>
      </c>
      <c r="Y1442" s="43" t="s">
        <v>6965</v>
      </c>
      <c r="Z1442" s="43" t="s">
        <v>6966</v>
      </c>
      <c r="AA1442" s="43" t="s">
        <v>6967</v>
      </c>
      <c r="AB1442" s="47" t="s">
        <v>44</v>
      </c>
      <c r="AC1442" s="48" t="s">
        <v>9039</v>
      </c>
      <c r="AD1442" s="246" cm="1">
        <f t="array" ref="AD1442">SUMPRODUCT(--(TRIM(CLEAN($AC$2:$AC$3000))=TRIM(CLEAN(AC1442))))</f>
        <v>4</v>
      </c>
      <c r="AE1442" s="197"/>
      <c r="AF1442" s="47"/>
    </row>
    <row r="1443" spans="1:32" s="29" customFormat="1" ht="69.95" hidden="1" customHeight="1">
      <c r="A1443" s="49" t="s">
        <v>6685</v>
      </c>
      <c r="B1443" s="49" t="s">
        <v>3769</v>
      </c>
      <c r="C1443" s="50" t="s">
        <v>75</v>
      </c>
      <c r="D1443" s="50"/>
      <c r="E1443" s="57" t="s">
        <v>267</v>
      </c>
      <c r="F1443" s="57" t="s">
        <v>267</v>
      </c>
      <c r="I1443" s="124" t="s">
        <v>9121</v>
      </c>
      <c r="J1443" s="29">
        <f t="shared" si="104"/>
        <v>1</v>
      </c>
      <c r="K1443" s="42">
        <v>1429</v>
      </c>
      <c r="L1443" s="152" t="s">
        <v>3008</v>
      </c>
      <c r="M1443" s="43" t="s">
        <v>405</v>
      </c>
      <c r="N1443" s="43" t="s">
        <v>2676</v>
      </c>
      <c r="O1443" s="101" t="str">
        <f t="shared" si="108"/>
        <v>PE-L1-1C500-09</v>
      </c>
      <c r="P1443" s="51">
        <v>603.70000000000005</v>
      </c>
      <c r="Q1443" s="43">
        <v>400</v>
      </c>
      <c r="R1443" s="43" t="s">
        <v>49</v>
      </c>
      <c r="S1443" s="152">
        <v>490</v>
      </c>
      <c r="T1443" s="43" t="s">
        <v>6963</v>
      </c>
      <c r="U1443" s="43" t="s">
        <v>6685</v>
      </c>
      <c r="V1443" s="43" t="s">
        <v>6964</v>
      </c>
      <c r="W1443" s="43" t="s">
        <v>335</v>
      </c>
      <c r="X1443" s="47" t="s">
        <v>45</v>
      </c>
      <c r="Y1443" s="43" t="s">
        <v>6965</v>
      </c>
      <c r="Z1443" s="43" t="s">
        <v>6966</v>
      </c>
      <c r="AA1443" s="43" t="s">
        <v>6967</v>
      </c>
      <c r="AB1443" s="47" t="s">
        <v>45</v>
      </c>
      <c r="AC1443" s="52" t="s">
        <v>9039</v>
      </c>
      <c r="AD1443" s="246" cm="1">
        <f t="array" ref="AD1443">SUMPRODUCT(--(TRIM(CLEAN($AC$2:$AC$3000))=TRIM(CLEAN(AC1443))))</f>
        <v>4</v>
      </c>
      <c r="AE1443" s="197"/>
      <c r="AF1443" s="47"/>
    </row>
    <row r="1444" spans="1:32" s="29" customFormat="1" ht="69.95" hidden="1" customHeight="1">
      <c r="A1444" s="49" t="s">
        <v>6685</v>
      </c>
      <c r="B1444" s="49" t="s">
        <v>3769</v>
      </c>
      <c r="C1444" s="49">
        <v>10</v>
      </c>
      <c r="D1444" s="49"/>
      <c r="E1444" s="57" t="s">
        <v>268</v>
      </c>
      <c r="F1444" s="57" t="s">
        <v>268</v>
      </c>
      <c r="I1444" s="124" t="s">
        <v>9121</v>
      </c>
      <c r="J1444" s="29">
        <f t="shared" si="104"/>
        <v>1</v>
      </c>
      <c r="K1444" s="42">
        <v>1430</v>
      </c>
      <c r="L1444" s="152" t="s">
        <v>3009</v>
      </c>
      <c r="M1444" s="43" t="s">
        <v>405</v>
      </c>
      <c r="N1444" s="43" t="s">
        <v>2676</v>
      </c>
      <c r="O1444" s="101" t="str">
        <f t="shared" si="108"/>
        <v>PE-L1-1C500-10</v>
      </c>
      <c r="P1444" s="51">
        <v>603.70000000000005</v>
      </c>
      <c r="Q1444" s="43">
        <v>400</v>
      </c>
      <c r="R1444" s="43" t="s">
        <v>49</v>
      </c>
      <c r="S1444" s="43">
        <v>490</v>
      </c>
      <c r="T1444" s="43" t="s">
        <v>6963</v>
      </c>
      <c r="U1444" s="43" t="s">
        <v>6685</v>
      </c>
      <c r="V1444" s="43" t="s">
        <v>6964</v>
      </c>
      <c r="W1444" s="43" t="s">
        <v>335</v>
      </c>
      <c r="X1444" s="47" t="s">
        <v>46</v>
      </c>
      <c r="Y1444" s="43" t="s">
        <v>6965</v>
      </c>
      <c r="Z1444" s="43" t="s">
        <v>6966</v>
      </c>
      <c r="AA1444" s="43" t="s">
        <v>6967</v>
      </c>
      <c r="AB1444" s="47" t="s">
        <v>46</v>
      </c>
      <c r="AC1444" s="52" t="s">
        <v>9039</v>
      </c>
      <c r="AD1444" s="246" cm="1">
        <f t="array" ref="AD1444">SUMPRODUCT(--(TRIM(CLEAN($AC$2:$AC$3000))=TRIM(CLEAN(AC1444))))</f>
        <v>4</v>
      </c>
      <c r="AE1444" s="197"/>
      <c r="AF1444" s="47"/>
    </row>
    <row r="1445" spans="1:32" s="29" customFormat="1" ht="69.95" hidden="1" customHeight="1">
      <c r="A1445" s="49" t="s">
        <v>6685</v>
      </c>
      <c r="B1445" s="49" t="s">
        <v>3769</v>
      </c>
      <c r="C1445" s="49">
        <v>11</v>
      </c>
      <c r="D1445" s="49"/>
      <c r="E1445" s="57" t="s">
        <v>269</v>
      </c>
      <c r="F1445" s="57" t="s">
        <v>269</v>
      </c>
      <c r="I1445" s="124" t="s">
        <v>9121</v>
      </c>
      <c r="J1445" s="29">
        <f t="shared" si="104"/>
        <v>1</v>
      </c>
      <c r="K1445" s="42">
        <v>1431</v>
      </c>
      <c r="L1445" s="152" t="s">
        <v>3010</v>
      </c>
      <c r="M1445" s="43" t="s">
        <v>405</v>
      </c>
      <c r="N1445" s="43" t="s">
        <v>2676</v>
      </c>
      <c r="O1445" s="101" t="str">
        <f t="shared" si="108"/>
        <v>PE-L1-1C500-11</v>
      </c>
      <c r="P1445" s="51">
        <v>603.70000000000005</v>
      </c>
      <c r="Q1445" s="43">
        <v>400</v>
      </c>
      <c r="R1445" s="43" t="s">
        <v>49</v>
      </c>
      <c r="S1445" s="44">
        <v>490</v>
      </c>
      <c r="T1445" s="43" t="s">
        <v>6963</v>
      </c>
      <c r="U1445" s="43" t="s">
        <v>6685</v>
      </c>
      <c r="V1445" s="43" t="s">
        <v>6964</v>
      </c>
      <c r="W1445" s="43" t="s">
        <v>335</v>
      </c>
      <c r="X1445" s="47" t="s">
        <v>44</v>
      </c>
      <c r="Y1445" s="43" t="s">
        <v>6965</v>
      </c>
      <c r="Z1445" s="43" t="s">
        <v>6966</v>
      </c>
      <c r="AA1445" s="43" t="s">
        <v>6967</v>
      </c>
      <c r="AB1445" s="47" t="s">
        <v>44</v>
      </c>
      <c r="AC1445" s="48" t="s">
        <v>8712</v>
      </c>
      <c r="AD1445" s="246" cm="1">
        <f t="array" ref="AD1445">SUMPRODUCT(--(TRIM(CLEAN($AC$2:$AC$3000))=TRIM(CLEAN(AC1445))))</f>
        <v>3</v>
      </c>
      <c r="AE1445" s="197"/>
      <c r="AF1445" s="47"/>
    </row>
    <row r="1446" spans="1:32" s="29" customFormat="1" ht="69.95" hidden="1" customHeight="1">
      <c r="A1446" s="49" t="s">
        <v>6685</v>
      </c>
      <c r="B1446" s="49" t="s">
        <v>3769</v>
      </c>
      <c r="C1446" s="49">
        <v>12</v>
      </c>
      <c r="D1446" s="49"/>
      <c r="E1446" s="57" t="s">
        <v>270</v>
      </c>
      <c r="F1446" s="57" t="s">
        <v>270</v>
      </c>
      <c r="I1446" s="124" t="s">
        <v>9121</v>
      </c>
      <c r="J1446" s="29">
        <f t="shared" si="104"/>
        <v>1</v>
      </c>
      <c r="K1446" s="42">
        <v>1432</v>
      </c>
      <c r="L1446" s="152" t="s">
        <v>3011</v>
      </c>
      <c r="M1446" s="43" t="s">
        <v>405</v>
      </c>
      <c r="N1446" s="43" t="s">
        <v>2676</v>
      </c>
      <c r="O1446" s="101" t="str">
        <f t="shared" si="108"/>
        <v>PE-L1-1C500-12</v>
      </c>
      <c r="P1446" s="51">
        <v>603.70000000000005</v>
      </c>
      <c r="Q1446" s="43">
        <v>400</v>
      </c>
      <c r="R1446" s="43" t="s">
        <v>49</v>
      </c>
      <c r="S1446" s="43">
        <v>490</v>
      </c>
      <c r="T1446" s="43" t="s">
        <v>6963</v>
      </c>
      <c r="U1446" s="43" t="s">
        <v>6685</v>
      </c>
      <c r="V1446" s="43" t="s">
        <v>6964</v>
      </c>
      <c r="W1446" s="43" t="s">
        <v>335</v>
      </c>
      <c r="X1446" s="47" t="s">
        <v>45</v>
      </c>
      <c r="Y1446" s="43" t="s">
        <v>6965</v>
      </c>
      <c r="Z1446" s="43" t="s">
        <v>6966</v>
      </c>
      <c r="AA1446" s="43" t="s">
        <v>6967</v>
      </c>
      <c r="AB1446" s="47" t="s">
        <v>45</v>
      </c>
      <c r="AC1446" s="52" t="s">
        <v>8712</v>
      </c>
      <c r="AD1446" s="246" cm="1">
        <f t="array" ref="AD1446">SUMPRODUCT(--(TRIM(CLEAN($AC$2:$AC$3000))=TRIM(CLEAN(AC1446))))</f>
        <v>3</v>
      </c>
      <c r="AE1446" s="197"/>
      <c r="AF1446" s="47"/>
    </row>
    <row r="1447" spans="1:32" s="29" customFormat="1" ht="69.95" hidden="1" customHeight="1">
      <c r="A1447" s="49" t="s">
        <v>6685</v>
      </c>
      <c r="B1447" s="49" t="s">
        <v>3769</v>
      </c>
      <c r="C1447" s="49">
        <v>13</v>
      </c>
      <c r="D1447" s="49"/>
      <c r="E1447" s="57" t="s">
        <v>271</v>
      </c>
      <c r="F1447" s="57" t="s">
        <v>271</v>
      </c>
      <c r="I1447" s="124" t="s">
        <v>9121</v>
      </c>
      <c r="J1447" s="29">
        <f t="shared" si="104"/>
        <v>1</v>
      </c>
      <c r="K1447" s="42">
        <v>1433</v>
      </c>
      <c r="L1447" s="152" t="s">
        <v>3012</v>
      </c>
      <c r="M1447" s="43" t="s">
        <v>405</v>
      </c>
      <c r="N1447" s="43" t="s">
        <v>2676</v>
      </c>
      <c r="O1447" s="101" t="str">
        <f t="shared" si="108"/>
        <v>PE-L1-1C500-13</v>
      </c>
      <c r="P1447" s="51">
        <v>603.70000000000005</v>
      </c>
      <c r="Q1447" s="43">
        <v>400</v>
      </c>
      <c r="R1447" s="43" t="s">
        <v>49</v>
      </c>
      <c r="S1447" s="43">
        <v>490</v>
      </c>
      <c r="T1447" s="43" t="s">
        <v>6963</v>
      </c>
      <c r="U1447" s="43" t="s">
        <v>6685</v>
      </c>
      <c r="V1447" s="43" t="s">
        <v>6964</v>
      </c>
      <c r="W1447" s="43" t="s">
        <v>335</v>
      </c>
      <c r="X1447" s="47" t="s">
        <v>46</v>
      </c>
      <c r="Y1447" s="43" t="s">
        <v>6965</v>
      </c>
      <c r="Z1447" s="43" t="s">
        <v>6966</v>
      </c>
      <c r="AA1447" s="43" t="s">
        <v>6967</v>
      </c>
      <c r="AB1447" s="47" t="s">
        <v>46</v>
      </c>
      <c r="AC1447" s="52" t="s">
        <v>8712</v>
      </c>
      <c r="AD1447" s="246" cm="1">
        <f t="array" ref="AD1447">SUMPRODUCT(--(TRIM(CLEAN($AC$2:$AC$3000))=TRIM(CLEAN(AC1447))))</f>
        <v>3</v>
      </c>
      <c r="AE1447" s="197"/>
      <c r="AF1447" s="47"/>
    </row>
    <row r="1448" spans="1:32" s="29" customFormat="1" ht="69.95" hidden="1" customHeight="1">
      <c r="A1448" s="49" t="s">
        <v>6685</v>
      </c>
      <c r="B1448" s="49" t="s">
        <v>3769</v>
      </c>
      <c r="C1448" s="49">
        <v>14</v>
      </c>
      <c r="D1448" s="140"/>
      <c r="E1448" s="57" t="s">
        <v>272</v>
      </c>
      <c r="F1448" s="57" t="s">
        <v>272</v>
      </c>
      <c r="I1448" s="124" t="s">
        <v>9121</v>
      </c>
      <c r="J1448" s="29">
        <f t="shared" si="104"/>
        <v>1</v>
      </c>
      <c r="K1448" s="42">
        <v>1434</v>
      </c>
      <c r="L1448" s="152" t="s">
        <v>3013</v>
      </c>
      <c r="M1448" s="43" t="s">
        <v>405</v>
      </c>
      <c r="N1448" s="43" t="s">
        <v>2676</v>
      </c>
      <c r="O1448" s="101" t="str">
        <f t="shared" si="108"/>
        <v>PE-L1-1C500-14</v>
      </c>
      <c r="P1448" s="51">
        <v>603.70000000000005</v>
      </c>
      <c r="Q1448" s="43">
        <v>400</v>
      </c>
      <c r="R1448" s="43" t="s">
        <v>49</v>
      </c>
      <c r="S1448" s="43">
        <v>490</v>
      </c>
      <c r="T1448" s="43" t="s">
        <v>6963</v>
      </c>
      <c r="U1448" s="43" t="s">
        <v>6685</v>
      </c>
      <c r="V1448" s="43" t="s">
        <v>6964</v>
      </c>
      <c r="W1448" s="53" t="s">
        <v>335</v>
      </c>
      <c r="X1448" s="47" t="s">
        <v>49</v>
      </c>
      <c r="Y1448" s="43" t="s">
        <v>6965</v>
      </c>
      <c r="Z1448" s="43" t="s">
        <v>6966</v>
      </c>
      <c r="AA1448" s="43" t="s">
        <v>6967</v>
      </c>
      <c r="AB1448" s="47" t="s">
        <v>49</v>
      </c>
      <c r="AC1448" s="48" t="s">
        <v>9039</v>
      </c>
      <c r="AD1448" s="246" cm="1">
        <f t="array" ref="AD1448">SUMPRODUCT(--(TRIM(CLEAN($AC$2:$AC$3000))=TRIM(CLEAN(AC1448))))</f>
        <v>4</v>
      </c>
      <c r="AE1448" s="197"/>
      <c r="AF1448" s="47"/>
    </row>
    <row r="1449" spans="1:32" s="32" customFormat="1" ht="69.95" hidden="1" customHeight="1">
      <c r="A1449" s="29" t="s">
        <v>6693</v>
      </c>
      <c r="B1449" s="29" t="s">
        <v>3769</v>
      </c>
      <c r="C1449" s="40" t="s">
        <v>32</v>
      </c>
      <c r="D1449" s="40"/>
      <c r="E1449" s="57" t="s">
        <v>273</v>
      </c>
      <c r="F1449" s="57" t="s">
        <v>273</v>
      </c>
      <c r="G1449" s="29" t="s">
        <v>3014</v>
      </c>
      <c r="H1449" s="29"/>
      <c r="I1449" s="124" t="s">
        <v>9121</v>
      </c>
      <c r="J1449" s="29">
        <f t="shared" si="104"/>
        <v>1</v>
      </c>
      <c r="K1449" s="42">
        <v>1435</v>
      </c>
      <c r="L1449" s="152" t="s">
        <v>3015</v>
      </c>
      <c r="M1449" s="44" t="s">
        <v>405</v>
      </c>
      <c r="N1449" s="44" t="s">
        <v>2676</v>
      </c>
      <c r="O1449" s="101" t="str">
        <f t="shared" si="108"/>
        <v>PE-L1-1C500-15</v>
      </c>
      <c r="P1449" s="45">
        <v>603.70000000000005</v>
      </c>
      <c r="Q1449" s="44">
        <v>400</v>
      </c>
      <c r="R1449" s="44" t="s">
        <v>49</v>
      </c>
      <c r="S1449" s="101">
        <v>480</v>
      </c>
      <c r="T1449" s="46" t="s">
        <v>6963</v>
      </c>
      <c r="U1449" s="46" t="s">
        <v>6693</v>
      </c>
      <c r="V1449" s="46" t="s">
        <v>6968</v>
      </c>
      <c r="W1449" s="46" t="s">
        <v>335</v>
      </c>
      <c r="X1449" s="47" t="s">
        <v>44</v>
      </c>
      <c r="Y1449" s="46" t="s">
        <v>6969</v>
      </c>
      <c r="Z1449" s="46" t="s">
        <v>6970</v>
      </c>
      <c r="AA1449" s="46" t="s">
        <v>6967</v>
      </c>
      <c r="AB1449" s="47" t="s">
        <v>44</v>
      </c>
      <c r="AC1449" s="48" t="s">
        <v>8708</v>
      </c>
      <c r="AD1449" s="246" cm="1">
        <f t="array" ref="AD1449">SUMPRODUCT(--(TRIM(CLEAN($AC$2:$AC$3000))=TRIM(CLEAN(AC1449))))</f>
        <v>4</v>
      </c>
      <c r="AE1449" s="200"/>
      <c r="AF1449" s="100"/>
    </row>
    <row r="1450" spans="1:32" s="29" customFormat="1" ht="69.95" hidden="1" customHeight="1">
      <c r="A1450" s="49" t="s">
        <v>6693</v>
      </c>
      <c r="B1450" s="49" t="s">
        <v>3769</v>
      </c>
      <c r="C1450" s="50" t="s">
        <v>36</v>
      </c>
      <c r="D1450" s="50"/>
      <c r="E1450" s="57" t="s">
        <v>274</v>
      </c>
      <c r="F1450" s="57" t="s">
        <v>274</v>
      </c>
      <c r="I1450" s="124" t="s">
        <v>9121</v>
      </c>
      <c r="J1450" s="29">
        <f t="shared" si="104"/>
        <v>1</v>
      </c>
      <c r="K1450" s="42">
        <v>1436</v>
      </c>
      <c r="L1450" s="152" t="s">
        <v>3016</v>
      </c>
      <c r="M1450" s="43" t="s">
        <v>405</v>
      </c>
      <c r="N1450" s="43" t="s">
        <v>2676</v>
      </c>
      <c r="O1450" s="101" t="str">
        <f t="shared" si="108"/>
        <v>PE-L1-1C500-16</v>
      </c>
      <c r="P1450" s="51">
        <v>603.70000000000005</v>
      </c>
      <c r="Q1450" s="43">
        <v>400</v>
      </c>
      <c r="R1450" s="43" t="s">
        <v>49</v>
      </c>
      <c r="S1450" s="152">
        <v>480</v>
      </c>
      <c r="T1450" s="43" t="s">
        <v>6963</v>
      </c>
      <c r="U1450" s="43" t="s">
        <v>6693</v>
      </c>
      <c r="V1450" s="43" t="s">
        <v>6968</v>
      </c>
      <c r="W1450" s="43" t="s">
        <v>335</v>
      </c>
      <c r="X1450" s="47" t="s">
        <v>45</v>
      </c>
      <c r="Y1450" s="43" t="s">
        <v>6969</v>
      </c>
      <c r="Z1450" s="43" t="s">
        <v>6970</v>
      </c>
      <c r="AA1450" s="43" t="s">
        <v>6967</v>
      </c>
      <c r="AB1450" s="47" t="s">
        <v>45</v>
      </c>
      <c r="AC1450" s="52" t="s">
        <v>8708</v>
      </c>
      <c r="AD1450" s="246" cm="1">
        <f t="array" ref="AD1450">SUMPRODUCT(--(TRIM(CLEAN($AC$2:$AC$3000))=TRIM(CLEAN(AC1450))))</f>
        <v>4</v>
      </c>
      <c r="AE1450" s="197"/>
      <c r="AF1450" s="47"/>
    </row>
    <row r="1451" spans="1:32" s="29" customFormat="1" ht="69.95" hidden="1" customHeight="1">
      <c r="A1451" s="49" t="s">
        <v>6693</v>
      </c>
      <c r="B1451" s="49" t="s">
        <v>3769</v>
      </c>
      <c r="C1451" s="50" t="s">
        <v>38</v>
      </c>
      <c r="D1451" s="50"/>
      <c r="E1451" s="57" t="s">
        <v>275</v>
      </c>
      <c r="F1451" s="57" t="s">
        <v>275</v>
      </c>
      <c r="I1451" s="124" t="s">
        <v>9121</v>
      </c>
      <c r="J1451" s="29">
        <f t="shared" si="104"/>
        <v>1</v>
      </c>
      <c r="K1451" s="42">
        <v>1437</v>
      </c>
      <c r="L1451" s="152" t="s">
        <v>3017</v>
      </c>
      <c r="M1451" s="43" t="s">
        <v>405</v>
      </c>
      <c r="N1451" s="43" t="s">
        <v>2676</v>
      </c>
      <c r="O1451" s="101" t="str">
        <f t="shared" si="108"/>
        <v>PE-L1-1C500-17</v>
      </c>
      <c r="P1451" s="51">
        <v>603.70000000000005</v>
      </c>
      <c r="Q1451" s="43">
        <v>400</v>
      </c>
      <c r="R1451" s="43" t="s">
        <v>49</v>
      </c>
      <c r="S1451" s="152">
        <v>480</v>
      </c>
      <c r="T1451" s="43" t="s">
        <v>6963</v>
      </c>
      <c r="U1451" s="43" t="s">
        <v>6693</v>
      </c>
      <c r="V1451" s="43" t="s">
        <v>6968</v>
      </c>
      <c r="W1451" s="43" t="s">
        <v>335</v>
      </c>
      <c r="X1451" s="47" t="s">
        <v>46</v>
      </c>
      <c r="Y1451" s="43" t="s">
        <v>6969</v>
      </c>
      <c r="Z1451" s="43" t="s">
        <v>6970</v>
      </c>
      <c r="AA1451" s="43" t="s">
        <v>6967</v>
      </c>
      <c r="AB1451" s="47" t="s">
        <v>46</v>
      </c>
      <c r="AC1451" s="52" t="s">
        <v>8708</v>
      </c>
      <c r="AD1451" s="246" cm="1">
        <f t="array" ref="AD1451">SUMPRODUCT(--(TRIM(CLEAN($AC$2:$AC$3000))=TRIM(CLEAN(AC1451))))</f>
        <v>4</v>
      </c>
      <c r="AE1451" s="197"/>
      <c r="AF1451" s="47"/>
    </row>
    <row r="1452" spans="1:32" s="29" customFormat="1" ht="69.95" hidden="1" customHeight="1">
      <c r="A1452" s="49" t="s">
        <v>6693</v>
      </c>
      <c r="B1452" s="49" t="s">
        <v>3769</v>
      </c>
      <c r="C1452" s="50" t="s">
        <v>40</v>
      </c>
      <c r="D1452" s="50"/>
      <c r="E1452" s="57" t="s">
        <v>276</v>
      </c>
      <c r="F1452" s="57" t="s">
        <v>276</v>
      </c>
      <c r="I1452" s="124" t="s">
        <v>9121</v>
      </c>
      <c r="J1452" s="29">
        <f t="shared" si="104"/>
        <v>1</v>
      </c>
      <c r="K1452" s="42">
        <v>1438</v>
      </c>
      <c r="L1452" s="247" t="s">
        <v>3018</v>
      </c>
      <c r="M1452" s="43" t="s">
        <v>405</v>
      </c>
      <c r="N1452" s="43" t="s">
        <v>2676</v>
      </c>
      <c r="O1452" s="101" t="str">
        <f t="shared" si="108"/>
        <v>PE-L1-1C500-18</v>
      </c>
      <c r="P1452" s="51">
        <v>603.70000000000005</v>
      </c>
      <c r="Q1452" s="43">
        <v>400</v>
      </c>
      <c r="R1452" s="43" t="s">
        <v>49</v>
      </c>
      <c r="S1452" s="101">
        <v>480</v>
      </c>
      <c r="T1452" s="43" t="s">
        <v>6963</v>
      </c>
      <c r="U1452" s="43" t="s">
        <v>6693</v>
      </c>
      <c r="V1452" s="43" t="s">
        <v>6968</v>
      </c>
      <c r="W1452" s="43" t="s">
        <v>335</v>
      </c>
      <c r="X1452" s="47" t="s">
        <v>44</v>
      </c>
      <c r="Y1452" s="43" t="s">
        <v>6969</v>
      </c>
      <c r="Z1452" s="43" t="s">
        <v>6970</v>
      </c>
      <c r="AA1452" s="43" t="s">
        <v>6967</v>
      </c>
      <c r="AB1452" s="47" t="s">
        <v>44</v>
      </c>
      <c r="AC1452" s="48" t="s">
        <v>8709</v>
      </c>
      <c r="AD1452" s="246" cm="1">
        <f t="array" ref="AD1452">SUMPRODUCT(--(TRIM(CLEAN($AC$2:$AC$3000))=TRIM(CLEAN(AC1452))))</f>
        <v>3</v>
      </c>
      <c r="AE1452" s="197"/>
      <c r="AF1452" s="47"/>
    </row>
    <row r="1453" spans="1:32" s="29" customFormat="1" ht="69.95" hidden="1" customHeight="1">
      <c r="A1453" s="49" t="s">
        <v>6693</v>
      </c>
      <c r="B1453" s="49" t="s">
        <v>3769</v>
      </c>
      <c r="C1453" s="50" t="s">
        <v>41</v>
      </c>
      <c r="D1453" s="50"/>
      <c r="E1453" s="57" t="s">
        <v>277</v>
      </c>
      <c r="F1453" s="57" t="s">
        <v>277</v>
      </c>
      <c r="I1453" s="124" t="s">
        <v>9121</v>
      </c>
      <c r="J1453" s="29">
        <f t="shared" si="104"/>
        <v>1</v>
      </c>
      <c r="K1453" s="42">
        <v>1439</v>
      </c>
      <c r="L1453" s="247" t="s">
        <v>3019</v>
      </c>
      <c r="M1453" s="43" t="s">
        <v>405</v>
      </c>
      <c r="N1453" s="43" t="s">
        <v>2676</v>
      </c>
      <c r="O1453" s="101" t="str">
        <f t="shared" si="108"/>
        <v>PE-L1-1C500-19</v>
      </c>
      <c r="P1453" s="51">
        <v>603.70000000000005</v>
      </c>
      <c r="Q1453" s="43">
        <v>400</v>
      </c>
      <c r="R1453" s="43" t="s">
        <v>49</v>
      </c>
      <c r="S1453" s="152">
        <v>480</v>
      </c>
      <c r="T1453" s="43" t="s">
        <v>6963</v>
      </c>
      <c r="U1453" s="43" t="s">
        <v>6693</v>
      </c>
      <c r="V1453" s="43" t="s">
        <v>6968</v>
      </c>
      <c r="W1453" s="43" t="s">
        <v>335</v>
      </c>
      <c r="X1453" s="47" t="s">
        <v>45</v>
      </c>
      <c r="Y1453" s="43" t="s">
        <v>6969</v>
      </c>
      <c r="Z1453" s="43" t="s">
        <v>6970</v>
      </c>
      <c r="AA1453" s="43" t="s">
        <v>6967</v>
      </c>
      <c r="AB1453" s="47" t="s">
        <v>45</v>
      </c>
      <c r="AC1453" s="52" t="s">
        <v>8709</v>
      </c>
      <c r="AD1453" s="246" cm="1">
        <f t="array" ref="AD1453">SUMPRODUCT(--(TRIM(CLEAN($AC$2:$AC$3000))=TRIM(CLEAN(AC1453))))</f>
        <v>3</v>
      </c>
      <c r="AE1453" s="197"/>
      <c r="AF1453" s="47"/>
    </row>
    <row r="1454" spans="1:32" s="29" customFormat="1" ht="69.95" hidden="1" customHeight="1">
      <c r="A1454" s="49" t="s">
        <v>6693</v>
      </c>
      <c r="B1454" s="49" t="s">
        <v>3769</v>
      </c>
      <c r="C1454" s="50" t="s">
        <v>42</v>
      </c>
      <c r="D1454" s="50"/>
      <c r="E1454" s="57" t="s">
        <v>278</v>
      </c>
      <c r="F1454" s="57" t="s">
        <v>278</v>
      </c>
      <c r="I1454" s="124" t="s">
        <v>9121</v>
      </c>
      <c r="J1454" s="29">
        <f t="shared" si="104"/>
        <v>1</v>
      </c>
      <c r="K1454" s="42">
        <v>1440</v>
      </c>
      <c r="L1454" s="247" t="s">
        <v>3020</v>
      </c>
      <c r="M1454" s="43" t="s">
        <v>405</v>
      </c>
      <c r="N1454" s="43" t="s">
        <v>2676</v>
      </c>
      <c r="O1454" s="101" t="str">
        <f t="shared" si="108"/>
        <v>PE-L1-1C500-20</v>
      </c>
      <c r="P1454" s="51">
        <v>603.70000000000005</v>
      </c>
      <c r="Q1454" s="43">
        <v>400</v>
      </c>
      <c r="R1454" s="43" t="s">
        <v>49</v>
      </c>
      <c r="S1454" s="152">
        <v>480</v>
      </c>
      <c r="T1454" s="43" t="s">
        <v>6963</v>
      </c>
      <c r="U1454" s="43" t="s">
        <v>6693</v>
      </c>
      <c r="V1454" s="43" t="s">
        <v>6968</v>
      </c>
      <c r="W1454" s="43" t="s">
        <v>335</v>
      </c>
      <c r="X1454" s="47" t="s">
        <v>46</v>
      </c>
      <c r="Y1454" s="43" t="s">
        <v>6969</v>
      </c>
      <c r="Z1454" s="43" t="s">
        <v>6970</v>
      </c>
      <c r="AA1454" s="43" t="s">
        <v>6967</v>
      </c>
      <c r="AB1454" s="47" t="s">
        <v>46</v>
      </c>
      <c r="AC1454" s="52" t="s">
        <v>8709</v>
      </c>
      <c r="AD1454" s="246" cm="1">
        <f t="array" ref="AD1454">SUMPRODUCT(--(TRIM(CLEAN($AC$2:$AC$3000))=TRIM(CLEAN(AC1454))))</f>
        <v>3</v>
      </c>
      <c r="AE1454" s="197"/>
      <c r="AF1454" s="47"/>
    </row>
    <row r="1455" spans="1:32" s="29" customFormat="1" ht="69.95" hidden="1" customHeight="1">
      <c r="A1455" s="49" t="s">
        <v>6693</v>
      </c>
      <c r="B1455" s="49" t="s">
        <v>3769</v>
      </c>
      <c r="C1455" s="50" t="s">
        <v>43</v>
      </c>
      <c r="D1455" s="140"/>
      <c r="E1455" s="57" t="s">
        <v>8030</v>
      </c>
      <c r="F1455" s="57" t="s">
        <v>8030</v>
      </c>
      <c r="I1455" s="124" t="s">
        <v>9121</v>
      </c>
      <c r="J1455" s="29">
        <f t="shared" si="104"/>
        <v>1</v>
      </c>
      <c r="K1455" s="42">
        <v>1441</v>
      </c>
      <c r="L1455" s="152" t="s">
        <v>3021</v>
      </c>
      <c r="M1455" s="43" t="s">
        <v>405</v>
      </c>
      <c r="N1455" s="43" t="s">
        <v>2676</v>
      </c>
      <c r="O1455" s="101" t="str">
        <f t="shared" si="108"/>
        <v>PE-L1-1C500-21</v>
      </c>
      <c r="P1455" s="51">
        <v>603.70000000000005</v>
      </c>
      <c r="Q1455" s="43">
        <v>400</v>
      </c>
      <c r="R1455" s="43" t="s">
        <v>49</v>
      </c>
      <c r="S1455" s="152">
        <v>480</v>
      </c>
      <c r="T1455" s="43" t="s">
        <v>6963</v>
      </c>
      <c r="U1455" s="43" t="s">
        <v>6693</v>
      </c>
      <c r="V1455" s="43" t="s">
        <v>6968</v>
      </c>
      <c r="W1455" s="53" t="s">
        <v>335</v>
      </c>
      <c r="X1455" s="47" t="s">
        <v>49</v>
      </c>
      <c r="Y1455" s="43" t="s">
        <v>6969</v>
      </c>
      <c r="Z1455" s="43" t="s">
        <v>6970</v>
      </c>
      <c r="AA1455" s="43" t="s">
        <v>6967</v>
      </c>
      <c r="AB1455" s="47" t="s">
        <v>49</v>
      </c>
      <c r="AC1455" s="48" t="s">
        <v>8708</v>
      </c>
      <c r="AD1455" s="246" cm="1">
        <f t="array" ref="AD1455">SUMPRODUCT(--(TRIM(CLEAN($AC$2:$AC$3000))=TRIM(CLEAN(AC1455))))</f>
        <v>4</v>
      </c>
      <c r="AE1455" s="197"/>
      <c r="AF1455" s="47"/>
    </row>
    <row r="1456" spans="1:32" s="29" customFormat="1" ht="69.95" hidden="1" customHeight="1">
      <c r="A1456" s="49" t="s">
        <v>6693</v>
      </c>
      <c r="B1456" s="49" t="s">
        <v>3769</v>
      </c>
      <c r="C1456" s="50" t="s">
        <v>73</v>
      </c>
      <c r="D1456" s="50"/>
      <c r="E1456" s="57" t="s">
        <v>279</v>
      </c>
      <c r="F1456" s="57" t="s">
        <v>279</v>
      </c>
      <c r="I1456" s="124" t="s">
        <v>9121</v>
      </c>
      <c r="J1456" s="29">
        <f t="shared" si="104"/>
        <v>1</v>
      </c>
      <c r="K1456" s="42">
        <v>1442</v>
      </c>
      <c r="L1456" s="152" t="s">
        <v>3022</v>
      </c>
      <c r="M1456" s="43" t="s">
        <v>405</v>
      </c>
      <c r="N1456" s="43" t="s">
        <v>2676</v>
      </c>
      <c r="O1456" s="101" t="str">
        <f t="shared" si="108"/>
        <v>PE-L1-1C500-22</v>
      </c>
      <c r="P1456" s="51">
        <v>603.70000000000005</v>
      </c>
      <c r="Q1456" s="43">
        <v>400</v>
      </c>
      <c r="R1456" s="43" t="s">
        <v>49</v>
      </c>
      <c r="S1456" s="101">
        <v>480</v>
      </c>
      <c r="T1456" s="43" t="s">
        <v>6963</v>
      </c>
      <c r="U1456" s="43" t="s">
        <v>6693</v>
      </c>
      <c r="V1456" s="43" t="s">
        <v>6968</v>
      </c>
      <c r="W1456" s="43" t="s">
        <v>335</v>
      </c>
      <c r="X1456" s="47" t="s">
        <v>44</v>
      </c>
      <c r="Y1456" s="43" t="s">
        <v>6969</v>
      </c>
      <c r="Z1456" s="43" t="s">
        <v>6970</v>
      </c>
      <c r="AA1456" s="43" t="s">
        <v>6967</v>
      </c>
      <c r="AB1456" s="47" t="s">
        <v>44</v>
      </c>
      <c r="AC1456" s="77" t="s">
        <v>9592</v>
      </c>
      <c r="AD1456" s="246" cm="1">
        <f t="array" ref="AD1456">SUMPRODUCT(--(TRIM(CLEAN($AC$2:$AC$3000))=TRIM(CLEAN(AC1456))))</f>
        <v>4</v>
      </c>
      <c r="AE1456" s="197"/>
      <c r="AF1456" s="47"/>
    </row>
    <row r="1457" spans="1:32" s="29" customFormat="1" ht="69.95" hidden="1" customHeight="1">
      <c r="A1457" s="49" t="s">
        <v>6693</v>
      </c>
      <c r="B1457" s="49" t="s">
        <v>3769</v>
      </c>
      <c r="C1457" s="50" t="s">
        <v>75</v>
      </c>
      <c r="D1457" s="50"/>
      <c r="E1457" s="57" t="s">
        <v>280</v>
      </c>
      <c r="F1457" s="57" t="s">
        <v>280</v>
      </c>
      <c r="I1457" s="124" t="s">
        <v>9121</v>
      </c>
      <c r="J1457" s="29">
        <f t="shared" si="104"/>
        <v>1</v>
      </c>
      <c r="K1457" s="42">
        <v>1443</v>
      </c>
      <c r="L1457" s="152" t="s">
        <v>3023</v>
      </c>
      <c r="M1457" s="43" t="s">
        <v>405</v>
      </c>
      <c r="N1457" s="43" t="s">
        <v>2676</v>
      </c>
      <c r="O1457" s="101" t="str">
        <f t="shared" si="108"/>
        <v>PE-L1-1C500-23</v>
      </c>
      <c r="P1457" s="51">
        <v>603.70000000000005</v>
      </c>
      <c r="Q1457" s="43">
        <v>400</v>
      </c>
      <c r="R1457" s="43" t="s">
        <v>49</v>
      </c>
      <c r="S1457" s="152">
        <v>480</v>
      </c>
      <c r="T1457" s="43" t="s">
        <v>6963</v>
      </c>
      <c r="U1457" s="43" t="s">
        <v>6693</v>
      </c>
      <c r="V1457" s="43" t="s">
        <v>6968</v>
      </c>
      <c r="W1457" s="43" t="s">
        <v>335</v>
      </c>
      <c r="X1457" s="47" t="s">
        <v>45</v>
      </c>
      <c r="Y1457" s="43" t="s">
        <v>6969</v>
      </c>
      <c r="Z1457" s="43" t="s">
        <v>6970</v>
      </c>
      <c r="AA1457" s="43" t="s">
        <v>6967</v>
      </c>
      <c r="AB1457" s="47" t="s">
        <v>45</v>
      </c>
      <c r="AC1457" s="78" t="s">
        <v>8707</v>
      </c>
      <c r="AD1457" s="246" cm="1">
        <f t="array" ref="AD1457">SUMPRODUCT(--(TRIM(CLEAN($AC$2:$AC$3000))=TRIM(CLEAN(AC1457))))</f>
        <v>4</v>
      </c>
      <c r="AE1457" s="197"/>
      <c r="AF1457" s="47"/>
    </row>
    <row r="1458" spans="1:32" s="29" customFormat="1" ht="69.95" hidden="1" customHeight="1">
      <c r="A1458" s="49" t="s">
        <v>6693</v>
      </c>
      <c r="B1458" s="49" t="s">
        <v>3769</v>
      </c>
      <c r="C1458" s="49">
        <v>10</v>
      </c>
      <c r="D1458" s="49"/>
      <c r="E1458" s="57" t="s">
        <v>281</v>
      </c>
      <c r="F1458" s="57" t="s">
        <v>281</v>
      </c>
      <c r="I1458" s="124" t="s">
        <v>9121</v>
      </c>
      <c r="J1458" s="29">
        <f t="shared" si="104"/>
        <v>1</v>
      </c>
      <c r="K1458" s="42">
        <v>1444</v>
      </c>
      <c r="L1458" s="152" t="s">
        <v>3024</v>
      </c>
      <c r="M1458" s="43" t="s">
        <v>405</v>
      </c>
      <c r="N1458" s="43" t="s">
        <v>2676</v>
      </c>
      <c r="O1458" s="101" t="str">
        <f t="shared" si="108"/>
        <v>PE-L1-1C500-24</v>
      </c>
      <c r="P1458" s="51">
        <v>603.70000000000005</v>
      </c>
      <c r="Q1458" s="43">
        <v>400</v>
      </c>
      <c r="R1458" s="43" t="s">
        <v>49</v>
      </c>
      <c r="S1458" s="152">
        <v>480</v>
      </c>
      <c r="T1458" s="43" t="s">
        <v>6963</v>
      </c>
      <c r="U1458" s="43" t="s">
        <v>6693</v>
      </c>
      <c r="V1458" s="43" t="s">
        <v>6968</v>
      </c>
      <c r="W1458" s="43" t="s">
        <v>335</v>
      </c>
      <c r="X1458" s="47" t="s">
        <v>46</v>
      </c>
      <c r="Y1458" s="43" t="s">
        <v>6969</v>
      </c>
      <c r="Z1458" s="43" t="s">
        <v>6970</v>
      </c>
      <c r="AA1458" s="43" t="s">
        <v>6967</v>
      </c>
      <c r="AB1458" s="47" t="s">
        <v>46</v>
      </c>
      <c r="AC1458" s="78" t="s">
        <v>8707</v>
      </c>
      <c r="AD1458" s="246" cm="1">
        <f t="array" ref="AD1458">SUMPRODUCT(--(TRIM(CLEAN($AC$2:$AC$3000))=TRIM(CLEAN(AC1444))))</f>
        <v>4</v>
      </c>
      <c r="AE1458" s="197"/>
      <c r="AF1458" s="47"/>
    </row>
    <row r="1459" spans="1:32" s="29" customFormat="1" ht="69.95" hidden="1" customHeight="1">
      <c r="A1459" s="49" t="s">
        <v>6693</v>
      </c>
      <c r="B1459" s="49" t="s">
        <v>3769</v>
      </c>
      <c r="C1459" s="49">
        <v>11</v>
      </c>
      <c r="D1459" s="49"/>
      <c r="E1459" s="57" t="s">
        <v>282</v>
      </c>
      <c r="F1459" s="57" t="s">
        <v>282</v>
      </c>
      <c r="I1459" s="124" t="s">
        <v>9121</v>
      </c>
      <c r="J1459" s="29">
        <f t="shared" si="104"/>
        <v>1</v>
      </c>
      <c r="K1459" s="42">
        <v>1445</v>
      </c>
      <c r="L1459" s="248" t="s">
        <v>3025</v>
      </c>
      <c r="M1459" s="43" t="s">
        <v>405</v>
      </c>
      <c r="N1459" s="43" t="s">
        <v>2676</v>
      </c>
      <c r="O1459" s="101" t="str">
        <f t="shared" si="108"/>
        <v>PE-L1-1C500-25</v>
      </c>
      <c r="P1459" s="51">
        <v>603.70000000000005</v>
      </c>
      <c r="Q1459" s="43">
        <v>400</v>
      </c>
      <c r="R1459" s="43" t="s">
        <v>49</v>
      </c>
      <c r="S1459" s="101">
        <v>480</v>
      </c>
      <c r="T1459" s="43" t="s">
        <v>6963</v>
      </c>
      <c r="U1459" s="43" t="s">
        <v>6693</v>
      </c>
      <c r="V1459" s="43" t="s">
        <v>6968</v>
      </c>
      <c r="W1459" s="43" t="s">
        <v>335</v>
      </c>
      <c r="X1459" s="47" t="s">
        <v>44</v>
      </c>
      <c r="Y1459" s="43" t="s">
        <v>6969</v>
      </c>
      <c r="Z1459" s="43" t="s">
        <v>6970</v>
      </c>
      <c r="AA1459" s="43" t="s">
        <v>6967</v>
      </c>
      <c r="AB1459" s="47" t="s">
        <v>44</v>
      </c>
      <c r="AC1459" s="76" t="s">
        <v>9040</v>
      </c>
      <c r="AD1459" s="246" cm="1">
        <f t="array" ref="AD1459">SUMPRODUCT(--(TRIM(CLEAN($AC$2:$AC$3000))=TRIM(CLEAN(AC1445))))</f>
        <v>3</v>
      </c>
      <c r="AE1459" s="197"/>
      <c r="AF1459" s="47"/>
    </row>
    <row r="1460" spans="1:32" s="29" customFormat="1" ht="69.95" hidden="1" customHeight="1">
      <c r="A1460" s="49" t="s">
        <v>6693</v>
      </c>
      <c r="B1460" s="49" t="s">
        <v>3769</v>
      </c>
      <c r="C1460" s="49">
        <v>12</v>
      </c>
      <c r="D1460" s="49"/>
      <c r="E1460" s="57" t="s">
        <v>283</v>
      </c>
      <c r="F1460" s="57" t="s">
        <v>283</v>
      </c>
      <c r="I1460" s="124" t="s">
        <v>9121</v>
      </c>
      <c r="J1460" s="29">
        <f t="shared" si="104"/>
        <v>1</v>
      </c>
      <c r="K1460" s="42">
        <v>1446</v>
      </c>
      <c r="L1460" s="248" t="s">
        <v>3026</v>
      </c>
      <c r="M1460" s="43" t="s">
        <v>405</v>
      </c>
      <c r="N1460" s="43" t="s">
        <v>2676</v>
      </c>
      <c r="O1460" s="101" t="str">
        <f t="shared" si="108"/>
        <v>PE-L1-1C500-26</v>
      </c>
      <c r="P1460" s="51">
        <v>603.70000000000005</v>
      </c>
      <c r="Q1460" s="43">
        <v>400</v>
      </c>
      <c r="R1460" s="43" t="s">
        <v>49</v>
      </c>
      <c r="S1460" s="152">
        <v>480</v>
      </c>
      <c r="T1460" s="43" t="s">
        <v>6963</v>
      </c>
      <c r="U1460" s="43" t="s">
        <v>6693</v>
      </c>
      <c r="V1460" s="43" t="s">
        <v>6968</v>
      </c>
      <c r="W1460" s="43" t="s">
        <v>335</v>
      </c>
      <c r="X1460" s="47" t="s">
        <v>45</v>
      </c>
      <c r="Y1460" s="43" t="s">
        <v>6969</v>
      </c>
      <c r="Z1460" s="43" t="s">
        <v>6970</v>
      </c>
      <c r="AA1460" s="43" t="s">
        <v>6967</v>
      </c>
      <c r="AB1460" s="47" t="s">
        <v>45</v>
      </c>
      <c r="AC1460" s="146" t="s">
        <v>9040</v>
      </c>
      <c r="AD1460" s="246" cm="1">
        <f t="array" ref="AD1460">SUMPRODUCT(--(TRIM(CLEAN($AC$2:$AC$3000))=TRIM(CLEAN(AC1446))))</f>
        <v>3</v>
      </c>
      <c r="AE1460" s="197"/>
      <c r="AF1460" s="47"/>
    </row>
    <row r="1461" spans="1:32" s="29" customFormat="1" ht="69.95" hidden="1" customHeight="1">
      <c r="A1461" s="49" t="s">
        <v>6693</v>
      </c>
      <c r="B1461" s="49" t="s">
        <v>3769</v>
      </c>
      <c r="C1461" s="49">
        <v>13</v>
      </c>
      <c r="D1461" s="49"/>
      <c r="E1461" s="57" t="s">
        <v>284</v>
      </c>
      <c r="F1461" s="57" t="s">
        <v>284</v>
      </c>
      <c r="I1461" s="124" t="s">
        <v>9121</v>
      </c>
      <c r="J1461" s="29">
        <f t="shared" si="104"/>
        <v>1</v>
      </c>
      <c r="K1461" s="42">
        <v>1447</v>
      </c>
      <c r="L1461" s="248" t="s">
        <v>3027</v>
      </c>
      <c r="M1461" s="43" t="s">
        <v>405</v>
      </c>
      <c r="N1461" s="43" t="s">
        <v>2676</v>
      </c>
      <c r="O1461" s="101" t="str">
        <f t="shared" si="108"/>
        <v>PE-L1-1C500-27</v>
      </c>
      <c r="P1461" s="51">
        <v>603.70000000000005</v>
      </c>
      <c r="Q1461" s="43">
        <v>400</v>
      </c>
      <c r="R1461" s="43" t="s">
        <v>49</v>
      </c>
      <c r="S1461" s="152">
        <v>480</v>
      </c>
      <c r="T1461" s="43" t="s">
        <v>6963</v>
      </c>
      <c r="U1461" s="43" t="s">
        <v>6693</v>
      </c>
      <c r="V1461" s="43" t="s">
        <v>6968</v>
      </c>
      <c r="W1461" s="43" t="s">
        <v>335</v>
      </c>
      <c r="X1461" s="47" t="s">
        <v>46</v>
      </c>
      <c r="Y1461" s="43" t="s">
        <v>6969</v>
      </c>
      <c r="Z1461" s="43" t="s">
        <v>6970</v>
      </c>
      <c r="AA1461" s="43" t="s">
        <v>6967</v>
      </c>
      <c r="AB1461" s="47" t="s">
        <v>46</v>
      </c>
      <c r="AC1461" s="146" t="s">
        <v>9040</v>
      </c>
      <c r="AD1461" s="246" cm="1">
        <f t="array" ref="AD1461">SUMPRODUCT(--(TRIM(CLEAN($AC$2:$AC$3000))=TRIM(CLEAN(AC1447))))</f>
        <v>3</v>
      </c>
      <c r="AE1461" s="197"/>
      <c r="AF1461" s="47"/>
    </row>
    <row r="1462" spans="1:32" s="29" customFormat="1" ht="69.95" hidden="1" customHeight="1">
      <c r="A1462" s="49" t="s">
        <v>6693</v>
      </c>
      <c r="B1462" s="49" t="s">
        <v>3769</v>
      </c>
      <c r="C1462" s="49">
        <v>14</v>
      </c>
      <c r="D1462" s="140"/>
      <c r="E1462" s="56" t="s">
        <v>285</v>
      </c>
      <c r="F1462" s="56" t="s">
        <v>285</v>
      </c>
      <c r="I1462" s="124" t="s">
        <v>9121</v>
      </c>
      <c r="J1462" s="29">
        <f t="shared" si="104"/>
        <v>1</v>
      </c>
      <c r="K1462" s="42">
        <v>1448</v>
      </c>
      <c r="L1462" s="152" t="s">
        <v>3028</v>
      </c>
      <c r="M1462" s="43" t="s">
        <v>405</v>
      </c>
      <c r="N1462" s="43" t="s">
        <v>2676</v>
      </c>
      <c r="O1462" s="101" t="str">
        <f t="shared" si="108"/>
        <v>PE-L1-1C500-28</v>
      </c>
      <c r="P1462" s="51">
        <v>603.70000000000005</v>
      </c>
      <c r="Q1462" s="43">
        <v>400</v>
      </c>
      <c r="R1462" s="43" t="s">
        <v>49</v>
      </c>
      <c r="S1462" s="152">
        <v>480</v>
      </c>
      <c r="T1462" s="43" t="s">
        <v>6963</v>
      </c>
      <c r="U1462" s="43" t="s">
        <v>6693</v>
      </c>
      <c r="V1462" s="43" t="s">
        <v>6968</v>
      </c>
      <c r="W1462" s="53" t="s">
        <v>335</v>
      </c>
      <c r="X1462" s="47" t="s">
        <v>49</v>
      </c>
      <c r="Y1462" s="43" t="s">
        <v>6969</v>
      </c>
      <c r="Z1462" s="43" t="s">
        <v>6970</v>
      </c>
      <c r="AA1462" s="43" t="s">
        <v>6967</v>
      </c>
      <c r="AB1462" s="47" t="s">
        <v>49</v>
      </c>
      <c r="AC1462" s="77" t="s">
        <v>8707</v>
      </c>
      <c r="AD1462" s="246" cm="1">
        <f t="array" ref="AD1462">SUMPRODUCT(--(TRIM(CLEAN($AC$2:$AC$3000))=TRIM(CLEAN(AC1462))))</f>
        <v>4</v>
      </c>
      <c r="AE1462" s="197"/>
      <c r="AF1462" s="47"/>
    </row>
    <row r="1463" spans="1:32" s="32" customFormat="1" ht="69.95" hidden="1" customHeight="1">
      <c r="A1463" s="29" t="s">
        <v>3948</v>
      </c>
      <c r="B1463" s="29" t="s">
        <v>3769</v>
      </c>
      <c r="C1463" s="40">
        <v>10</v>
      </c>
      <c r="D1463" s="40"/>
      <c r="E1463" s="57" t="s">
        <v>138</v>
      </c>
      <c r="F1463" s="57" t="s">
        <v>138</v>
      </c>
      <c r="G1463" s="29" t="s">
        <v>3029</v>
      </c>
      <c r="H1463" s="29"/>
      <c r="I1463" s="124" t="s">
        <v>9121</v>
      </c>
      <c r="J1463" s="29">
        <f t="shared" si="104"/>
        <v>1</v>
      </c>
      <c r="K1463" s="42">
        <v>1449</v>
      </c>
      <c r="L1463" s="152" t="s">
        <v>3030</v>
      </c>
      <c r="M1463" s="44" t="s">
        <v>405</v>
      </c>
      <c r="N1463" s="44" t="s">
        <v>426</v>
      </c>
      <c r="O1463" s="101" t="str">
        <f t="shared" si="108"/>
        <v>PE-L1-3C4-19</v>
      </c>
      <c r="P1463" s="45">
        <v>0.02</v>
      </c>
      <c r="Q1463" s="44">
        <v>230</v>
      </c>
      <c r="R1463" s="44" t="s">
        <v>49</v>
      </c>
      <c r="S1463" s="101">
        <v>110</v>
      </c>
      <c r="T1463" s="46" t="s">
        <v>6963</v>
      </c>
      <c r="U1463" s="46" t="s">
        <v>3948</v>
      </c>
      <c r="V1463" s="46" t="s">
        <v>3949</v>
      </c>
      <c r="W1463" s="46" t="s">
        <v>335</v>
      </c>
      <c r="X1463" s="172" t="s">
        <v>9167</v>
      </c>
      <c r="Y1463" s="46" t="s">
        <v>6971</v>
      </c>
      <c r="Z1463" s="46" t="s">
        <v>6972</v>
      </c>
      <c r="AA1463" s="46" t="s">
        <v>335</v>
      </c>
      <c r="AB1463" s="172" t="s">
        <v>9167</v>
      </c>
      <c r="AC1463" s="48" t="s">
        <v>6973</v>
      </c>
      <c r="AD1463" s="246" cm="1">
        <f t="array" ref="AD1463">SUMPRODUCT(--(TRIM(CLEAN($AC$2:$AC$3000))=TRIM(CLEAN(AC1463))))</f>
        <v>1</v>
      </c>
      <c r="AE1463" s="200"/>
      <c r="AF1463" s="100"/>
    </row>
    <row r="1464" spans="1:32" s="32" customFormat="1" ht="69.95" hidden="1" customHeight="1">
      <c r="A1464" s="29" t="s">
        <v>5096</v>
      </c>
      <c r="B1464" s="29" t="s">
        <v>3769</v>
      </c>
      <c r="C1464" s="40">
        <v>14</v>
      </c>
      <c r="D1464" s="40" t="s">
        <v>9138</v>
      </c>
      <c r="E1464" s="57" t="s">
        <v>122</v>
      </c>
      <c r="F1464" s="57" t="s">
        <v>122</v>
      </c>
      <c r="G1464" s="116" t="s">
        <v>9113</v>
      </c>
      <c r="H1464" s="29"/>
      <c r="I1464" s="124" t="s">
        <v>9121</v>
      </c>
      <c r="J1464" s="29">
        <f t="shared" si="104"/>
        <v>1</v>
      </c>
      <c r="K1464" s="42">
        <v>1450</v>
      </c>
      <c r="L1464" s="153" t="s">
        <v>9139</v>
      </c>
      <c r="M1464" s="44" t="s">
        <v>405</v>
      </c>
      <c r="N1464" s="44" t="s">
        <v>426</v>
      </c>
      <c r="O1464" s="101" t="str">
        <f t="shared" si="108"/>
        <v>PE-L1-3C4-06</v>
      </c>
      <c r="P1464" s="45">
        <v>0.02</v>
      </c>
      <c r="Q1464" s="44">
        <v>230</v>
      </c>
      <c r="R1464" s="44" t="s">
        <v>49</v>
      </c>
      <c r="S1464" s="101">
        <f>110+10</f>
        <v>120</v>
      </c>
      <c r="T1464" s="46" t="s">
        <v>6963</v>
      </c>
      <c r="U1464" s="46" t="s">
        <v>5096</v>
      </c>
      <c r="V1464" s="46" t="s">
        <v>5097</v>
      </c>
      <c r="W1464" s="46" t="s">
        <v>335</v>
      </c>
      <c r="X1464" s="172" t="s">
        <v>9167</v>
      </c>
      <c r="Y1464" s="46" t="s">
        <v>6974</v>
      </c>
      <c r="Z1464" s="46" t="s">
        <v>6975</v>
      </c>
      <c r="AA1464" s="46" t="s">
        <v>335</v>
      </c>
      <c r="AB1464" s="172" t="s">
        <v>9167</v>
      </c>
      <c r="AC1464" s="76" t="s">
        <v>9056</v>
      </c>
      <c r="AD1464" s="246" cm="1">
        <f t="array" ref="AD1464">SUMPRODUCT(--(TRIM(CLEAN($AC$2:$AC$3000))=TRIM(CLEAN(AC1464))))</f>
        <v>2</v>
      </c>
      <c r="AE1464" s="200"/>
      <c r="AF1464" s="100"/>
    </row>
    <row r="1465" spans="1:32" s="32" customFormat="1" ht="69.95" hidden="1" customHeight="1">
      <c r="A1465" s="29" t="s">
        <v>4158</v>
      </c>
      <c r="B1465" s="29" t="s">
        <v>3769</v>
      </c>
      <c r="C1465" s="40" t="s">
        <v>73</v>
      </c>
      <c r="D1465" s="124" t="s">
        <v>9045</v>
      </c>
      <c r="E1465" s="57" t="s">
        <v>122</v>
      </c>
      <c r="F1465" s="57" t="s">
        <v>122</v>
      </c>
      <c r="G1465" s="116" t="s">
        <v>9057</v>
      </c>
      <c r="H1465" s="43" t="s">
        <v>9114</v>
      </c>
      <c r="I1465" s="29"/>
      <c r="J1465" s="29">
        <f t="shared" si="104"/>
        <v>1</v>
      </c>
      <c r="K1465" s="42">
        <v>1451</v>
      </c>
      <c r="L1465" s="123" t="s">
        <v>8981</v>
      </c>
      <c r="M1465" s="44" t="s">
        <v>405</v>
      </c>
      <c r="N1465" s="44" t="s">
        <v>426</v>
      </c>
      <c r="O1465" s="44" t="str">
        <f t="shared" si="108"/>
        <v>PE-L1-3C4-06</v>
      </c>
      <c r="P1465" s="45">
        <v>0.02</v>
      </c>
      <c r="Q1465" s="44">
        <v>230</v>
      </c>
      <c r="R1465" s="44" t="s">
        <v>49</v>
      </c>
      <c r="S1465" s="126">
        <v>110</v>
      </c>
      <c r="T1465" s="46" t="s">
        <v>6963</v>
      </c>
      <c r="U1465" s="122" t="s">
        <v>8825</v>
      </c>
      <c r="V1465" s="122" t="s">
        <v>5097</v>
      </c>
      <c r="W1465" s="122" t="s">
        <v>9058</v>
      </c>
      <c r="X1465" s="172" t="s">
        <v>9167</v>
      </c>
      <c r="Y1465" s="46" t="s">
        <v>6976</v>
      </c>
      <c r="Z1465" s="46" t="s">
        <v>6977</v>
      </c>
      <c r="AA1465" s="46" t="s">
        <v>335</v>
      </c>
      <c r="AB1465" s="172" t="s">
        <v>9167</v>
      </c>
      <c r="AC1465" s="76" t="s">
        <v>9056</v>
      </c>
      <c r="AD1465" s="246" cm="1">
        <f t="array" ref="AD1465">SUMPRODUCT(--(TRIM(CLEAN($AC$2:$AC$3000))=TRIM(CLEAN(AC1465))))</f>
        <v>2</v>
      </c>
      <c r="AE1465" s="200"/>
      <c r="AF1465" s="100"/>
    </row>
    <row r="1466" spans="1:32" s="32" customFormat="1" ht="69.95" hidden="1" customHeight="1">
      <c r="A1466" s="29" t="s">
        <v>6317</v>
      </c>
      <c r="B1466" s="29" t="s">
        <v>3769</v>
      </c>
      <c r="C1466" s="40">
        <v>35</v>
      </c>
      <c r="D1466" s="40"/>
      <c r="E1466" s="58" t="s">
        <v>81</v>
      </c>
      <c r="F1466" s="58" t="s">
        <v>81</v>
      </c>
      <c r="G1466" s="29" t="s">
        <v>3031</v>
      </c>
      <c r="H1466" s="29"/>
      <c r="I1466" s="124" t="s">
        <v>9121</v>
      </c>
      <c r="J1466" s="29">
        <f t="shared" si="104"/>
        <v>1</v>
      </c>
      <c r="K1466" s="42">
        <v>1452</v>
      </c>
      <c r="L1466" s="152" t="s">
        <v>3032</v>
      </c>
      <c r="M1466" s="44" t="s">
        <v>405</v>
      </c>
      <c r="N1466" s="44" t="s">
        <v>578</v>
      </c>
      <c r="O1466" s="101" t="str">
        <f t="shared" si="108"/>
        <v>PE-L1-2C4-04</v>
      </c>
      <c r="P1466" s="45">
        <v>0.15</v>
      </c>
      <c r="Q1466" s="44">
        <v>220</v>
      </c>
      <c r="R1466" s="44" t="s">
        <v>509</v>
      </c>
      <c r="S1466" s="101">
        <v>110</v>
      </c>
      <c r="T1466" s="46" t="s">
        <v>6963</v>
      </c>
      <c r="U1466" s="46" t="s">
        <v>6317</v>
      </c>
      <c r="V1466" s="46" t="s">
        <v>6318</v>
      </c>
      <c r="W1466" s="46" t="s">
        <v>335</v>
      </c>
      <c r="X1466" s="172" t="s">
        <v>8942</v>
      </c>
      <c r="Y1466" s="46" t="s">
        <v>6978</v>
      </c>
      <c r="Z1466" s="46" t="s">
        <v>6979</v>
      </c>
      <c r="AA1466" s="46" t="s">
        <v>335</v>
      </c>
      <c r="AB1466" s="172" t="s">
        <v>8942</v>
      </c>
      <c r="AC1466" s="48" t="s">
        <v>6980</v>
      </c>
      <c r="AD1466" s="246" cm="1">
        <f t="array" ref="AD1466">SUMPRODUCT(--(TRIM(CLEAN($AC$2:$AC$3000))=TRIM(CLEAN(AC1466))))</f>
        <v>1</v>
      </c>
      <c r="AE1466" s="200"/>
      <c r="AF1466" s="100"/>
    </row>
    <row r="1467" spans="1:32" s="32" customFormat="1" ht="69.95" hidden="1" customHeight="1">
      <c r="A1467" s="29" t="s">
        <v>6322</v>
      </c>
      <c r="B1467" s="29" t="s">
        <v>3769</v>
      </c>
      <c r="C1467" s="40">
        <v>35</v>
      </c>
      <c r="D1467" s="40"/>
      <c r="E1467" s="56" t="s">
        <v>81</v>
      </c>
      <c r="F1467" s="56" t="s">
        <v>81</v>
      </c>
      <c r="G1467" s="29" t="s">
        <v>3033</v>
      </c>
      <c r="H1467" s="29"/>
      <c r="I1467" s="124" t="s">
        <v>9121</v>
      </c>
      <c r="J1467" s="29">
        <f t="shared" si="104"/>
        <v>1</v>
      </c>
      <c r="K1467" s="42">
        <v>1453</v>
      </c>
      <c r="L1467" s="152" t="s">
        <v>3034</v>
      </c>
      <c r="M1467" s="44" t="s">
        <v>405</v>
      </c>
      <c r="N1467" s="44" t="s">
        <v>578</v>
      </c>
      <c r="O1467" s="101" t="str">
        <f t="shared" si="108"/>
        <v>PE-L1-2C4-04</v>
      </c>
      <c r="P1467" s="45">
        <v>0.15</v>
      </c>
      <c r="Q1467" s="44">
        <v>220</v>
      </c>
      <c r="R1467" s="44" t="s">
        <v>509</v>
      </c>
      <c r="S1467" s="101">
        <v>120</v>
      </c>
      <c r="T1467" s="46" t="s">
        <v>6963</v>
      </c>
      <c r="U1467" s="46" t="s">
        <v>6322</v>
      </c>
      <c r="V1467" s="46" t="s">
        <v>6323</v>
      </c>
      <c r="W1467" s="46" t="s">
        <v>335</v>
      </c>
      <c r="X1467" s="172" t="s">
        <v>8942</v>
      </c>
      <c r="Y1467" s="46" t="s">
        <v>6981</v>
      </c>
      <c r="Z1467" s="46" t="s">
        <v>6982</v>
      </c>
      <c r="AA1467" s="46" t="s">
        <v>335</v>
      </c>
      <c r="AB1467" s="172" t="s">
        <v>8942</v>
      </c>
      <c r="AC1467" s="48" t="s">
        <v>6983</v>
      </c>
      <c r="AD1467" s="246" cm="1">
        <f t="array" ref="AD1467">SUMPRODUCT(--(TRIM(CLEAN($AC$2:$AC$3000))=TRIM(CLEAN(AC1467))))</f>
        <v>1</v>
      </c>
      <c r="AE1467" s="200"/>
      <c r="AF1467" s="100"/>
    </row>
    <row r="1468" spans="1:32" s="32" customFormat="1" ht="69.95" hidden="1" customHeight="1">
      <c r="A1468" s="29" t="s">
        <v>4054</v>
      </c>
      <c r="B1468" s="29" t="s">
        <v>3769</v>
      </c>
      <c r="C1468" s="40">
        <v>19</v>
      </c>
      <c r="D1468" s="40"/>
      <c r="E1468" s="57" t="s">
        <v>138</v>
      </c>
      <c r="F1468" s="57" t="s">
        <v>138</v>
      </c>
      <c r="G1468" s="29" t="s">
        <v>3035</v>
      </c>
      <c r="H1468" s="29"/>
      <c r="I1468" s="29"/>
      <c r="J1468" s="29">
        <f t="shared" si="104"/>
        <v>1</v>
      </c>
      <c r="K1468" s="42">
        <v>1454</v>
      </c>
      <c r="L1468" s="43" t="s">
        <v>3036</v>
      </c>
      <c r="M1468" s="44" t="s">
        <v>405</v>
      </c>
      <c r="N1468" s="44" t="s">
        <v>426</v>
      </c>
      <c r="O1468" s="44" t="str">
        <f t="shared" ref="O1468:O1472" si="109">F1468</f>
        <v>PE-L1-3C4-19</v>
      </c>
      <c r="P1468" s="45">
        <v>0.02</v>
      </c>
      <c r="Q1468" s="44">
        <v>230</v>
      </c>
      <c r="R1468" s="44" t="s">
        <v>49</v>
      </c>
      <c r="S1468" s="44">
        <v>60</v>
      </c>
      <c r="T1468" s="46" t="s">
        <v>6963</v>
      </c>
      <c r="U1468" s="46" t="s">
        <v>4054</v>
      </c>
      <c r="V1468" s="46" t="s">
        <v>4055</v>
      </c>
      <c r="W1468" s="46" t="s">
        <v>347</v>
      </c>
      <c r="X1468" s="172" t="s">
        <v>9167</v>
      </c>
      <c r="Y1468" s="46" t="s">
        <v>6984</v>
      </c>
      <c r="Z1468" s="46" t="s">
        <v>6985</v>
      </c>
      <c r="AA1468" s="46" t="s">
        <v>347</v>
      </c>
      <c r="AB1468" s="172" t="s">
        <v>9167</v>
      </c>
      <c r="AC1468" s="48" t="s">
        <v>9593</v>
      </c>
      <c r="AD1468" s="246" cm="1">
        <f t="array" ref="AD1468">SUMPRODUCT(--(TRIM(CLEAN($AC$2:$AC$3000))=TRIM(CLEAN(AC1468))))</f>
        <v>2</v>
      </c>
      <c r="AE1468" s="200"/>
      <c r="AF1468" s="100"/>
    </row>
    <row r="1469" spans="1:32" s="32" customFormat="1" ht="69.95" hidden="1" customHeight="1">
      <c r="A1469" s="29" t="s">
        <v>5147</v>
      </c>
      <c r="B1469" s="29" t="s">
        <v>3769</v>
      </c>
      <c r="C1469" s="40" t="s">
        <v>75</v>
      </c>
      <c r="D1469" s="40"/>
      <c r="E1469" s="57" t="s">
        <v>122</v>
      </c>
      <c r="F1469" s="57" t="s">
        <v>122</v>
      </c>
      <c r="G1469" s="29" t="s">
        <v>3037</v>
      </c>
      <c r="H1469" s="29"/>
      <c r="I1469" s="29"/>
      <c r="J1469" s="29">
        <f t="shared" si="104"/>
        <v>1</v>
      </c>
      <c r="K1469" s="42">
        <v>1455</v>
      </c>
      <c r="L1469" s="43" t="s">
        <v>3038</v>
      </c>
      <c r="M1469" s="44" t="s">
        <v>405</v>
      </c>
      <c r="N1469" s="44" t="s">
        <v>426</v>
      </c>
      <c r="O1469" s="44" t="str">
        <f t="shared" si="109"/>
        <v>PE-L1-3C4-06</v>
      </c>
      <c r="P1469" s="45">
        <v>0.02</v>
      </c>
      <c r="Q1469" s="44">
        <v>230</v>
      </c>
      <c r="R1469" s="44" t="s">
        <v>49</v>
      </c>
      <c r="S1469" s="44">
        <v>90</v>
      </c>
      <c r="T1469" s="46" t="s">
        <v>6963</v>
      </c>
      <c r="U1469" s="46" t="s">
        <v>5147</v>
      </c>
      <c r="V1469" s="46" t="s">
        <v>5148</v>
      </c>
      <c r="W1469" s="46" t="s">
        <v>347</v>
      </c>
      <c r="X1469" s="172" t="s">
        <v>9167</v>
      </c>
      <c r="Y1469" s="46" t="s">
        <v>6987</v>
      </c>
      <c r="Z1469" s="46" t="s">
        <v>6988</v>
      </c>
      <c r="AA1469" s="46" t="s">
        <v>347</v>
      </c>
      <c r="AB1469" s="172" t="s">
        <v>9167</v>
      </c>
      <c r="AC1469" s="48" t="s">
        <v>6989</v>
      </c>
      <c r="AD1469" s="246" cm="1">
        <f t="array" ref="AD1469">SUMPRODUCT(--(TRIM(CLEAN($AC$2:$AC$3000))=TRIM(CLEAN(AC1469))))</f>
        <v>1</v>
      </c>
      <c r="AE1469" s="200"/>
      <c r="AF1469" s="100"/>
    </row>
    <row r="1470" spans="1:32" s="32" customFormat="1" ht="69.95" hidden="1" customHeight="1">
      <c r="A1470" s="29" t="s">
        <v>4331</v>
      </c>
      <c r="B1470" s="29" t="s">
        <v>3769</v>
      </c>
      <c r="C1470" s="40" t="s">
        <v>73</v>
      </c>
      <c r="D1470" s="124" t="s">
        <v>9045</v>
      </c>
      <c r="E1470" s="57" t="s">
        <v>122</v>
      </c>
      <c r="F1470" s="57" t="s">
        <v>122</v>
      </c>
      <c r="G1470" s="116" t="s">
        <v>9115</v>
      </c>
      <c r="H1470" s="43" t="s">
        <v>9116</v>
      </c>
      <c r="I1470" s="29"/>
      <c r="J1470" s="29">
        <f t="shared" si="104"/>
        <v>1</v>
      </c>
      <c r="K1470" s="42">
        <v>1456</v>
      </c>
      <c r="L1470" s="123" t="s">
        <v>8982</v>
      </c>
      <c r="M1470" s="44" t="s">
        <v>405</v>
      </c>
      <c r="N1470" s="44" t="s">
        <v>426</v>
      </c>
      <c r="O1470" s="44" t="str">
        <f t="shared" si="109"/>
        <v>PE-L1-3C4-06</v>
      </c>
      <c r="P1470" s="45">
        <v>0.02</v>
      </c>
      <c r="Q1470" s="44">
        <v>230</v>
      </c>
      <c r="R1470" s="44" t="s">
        <v>49</v>
      </c>
      <c r="S1470" s="126">
        <v>60</v>
      </c>
      <c r="T1470" s="46" t="s">
        <v>6963</v>
      </c>
      <c r="U1470" s="91" t="s">
        <v>8826</v>
      </c>
      <c r="V1470" s="91" t="s">
        <v>4055</v>
      </c>
      <c r="W1470" s="122" t="s">
        <v>347</v>
      </c>
      <c r="X1470" s="172" t="s">
        <v>9167</v>
      </c>
      <c r="Y1470" s="46" t="s">
        <v>6990</v>
      </c>
      <c r="Z1470" s="46" t="s">
        <v>6991</v>
      </c>
      <c r="AA1470" s="46" t="s">
        <v>347</v>
      </c>
      <c r="AB1470" s="172" t="s">
        <v>9167</v>
      </c>
      <c r="AC1470" s="76" t="s">
        <v>6986</v>
      </c>
      <c r="AD1470" s="246" cm="1">
        <f t="array" ref="AD1470">SUMPRODUCT(--(TRIM(CLEAN($AC$2:$AC$3000))=TRIM(CLEAN(AC1470))))</f>
        <v>2</v>
      </c>
      <c r="AE1470" s="200"/>
      <c r="AF1470" s="100"/>
    </row>
    <row r="1471" spans="1:32" s="32" customFormat="1" ht="69.95" hidden="1" customHeight="1">
      <c r="A1471" s="29" t="s">
        <v>6336</v>
      </c>
      <c r="B1471" s="29" t="s">
        <v>3769</v>
      </c>
      <c r="C1471" s="40">
        <v>33</v>
      </c>
      <c r="D1471" s="40"/>
      <c r="E1471" s="57" t="s">
        <v>8581</v>
      </c>
      <c r="F1471" s="57" t="s">
        <v>8581</v>
      </c>
      <c r="G1471" s="29" t="s">
        <v>3039</v>
      </c>
      <c r="H1471" s="29"/>
      <c r="I1471" s="29"/>
      <c r="J1471" s="29">
        <f t="shared" si="104"/>
        <v>1</v>
      </c>
      <c r="K1471" s="42">
        <v>1457</v>
      </c>
      <c r="L1471" s="43" t="s">
        <v>3040</v>
      </c>
      <c r="M1471" s="44" t="s">
        <v>405</v>
      </c>
      <c r="N1471" s="44" t="s">
        <v>578</v>
      </c>
      <c r="O1471" s="44" t="str">
        <f t="shared" si="109"/>
        <v>PE-L1-2C4-10</v>
      </c>
      <c r="P1471" s="45">
        <v>0.1</v>
      </c>
      <c r="Q1471" s="44">
        <v>220</v>
      </c>
      <c r="R1471" s="44" t="s">
        <v>509</v>
      </c>
      <c r="S1471" s="44">
        <v>100</v>
      </c>
      <c r="T1471" s="46" t="s">
        <v>6963</v>
      </c>
      <c r="U1471" s="46" t="s">
        <v>6336</v>
      </c>
      <c r="V1471" s="46" t="s">
        <v>6337</v>
      </c>
      <c r="W1471" s="46" t="s">
        <v>347</v>
      </c>
      <c r="X1471" s="172" t="s">
        <v>8942</v>
      </c>
      <c r="Y1471" s="46" t="s">
        <v>6992</v>
      </c>
      <c r="Z1471" s="46" t="s">
        <v>6993</v>
      </c>
      <c r="AA1471" s="46" t="s">
        <v>347</v>
      </c>
      <c r="AB1471" s="172" t="s">
        <v>8942</v>
      </c>
      <c r="AC1471" s="48" t="s">
        <v>6994</v>
      </c>
      <c r="AD1471" s="30"/>
      <c r="AE1471" s="200"/>
      <c r="AF1471" s="100"/>
    </row>
    <row r="1472" spans="1:32" s="32" customFormat="1" ht="69.95" hidden="1" customHeight="1">
      <c r="A1472" s="29" t="s">
        <v>6341</v>
      </c>
      <c r="B1472" s="29" t="s">
        <v>3769</v>
      </c>
      <c r="C1472" s="40">
        <v>33</v>
      </c>
      <c r="D1472" s="40"/>
      <c r="E1472" s="57" t="s">
        <v>8581</v>
      </c>
      <c r="F1472" s="57" t="s">
        <v>8581</v>
      </c>
      <c r="G1472" s="29" t="s">
        <v>3041</v>
      </c>
      <c r="H1472" s="29"/>
      <c r="I1472" s="29"/>
      <c r="J1472" s="29">
        <f t="shared" si="104"/>
        <v>1</v>
      </c>
      <c r="K1472" s="42">
        <v>1458</v>
      </c>
      <c r="L1472" s="43" t="s">
        <v>3042</v>
      </c>
      <c r="M1472" s="44" t="s">
        <v>405</v>
      </c>
      <c r="N1472" s="44" t="s">
        <v>578</v>
      </c>
      <c r="O1472" s="44" t="str">
        <f t="shared" si="109"/>
        <v>PE-L1-2C4-10</v>
      </c>
      <c r="P1472" s="45">
        <v>0.1</v>
      </c>
      <c r="Q1472" s="44">
        <v>220</v>
      </c>
      <c r="R1472" s="44" t="s">
        <v>509</v>
      </c>
      <c r="S1472" s="44">
        <v>100</v>
      </c>
      <c r="T1472" s="46" t="s">
        <v>6963</v>
      </c>
      <c r="U1472" s="46" t="s">
        <v>6341</v>
      </c>
      <c r="V1472" s="46" t="s">
        <v>6342</v>
      </c>
      <c r="W1472" s="46" t="s">
        <v>347</v>
      </c>
      <c r="X1472" s="172" t="s">
        <v>8942</v>
      </c>
      <c r="Y1472" s="46" t="s">
        <v>6995</v>
      </c>
      <c r="Z1472" s="46" t="s">
        <v>6996</v>
      </c>
      <c r="AA1472" s="46" t="s">
        <v>347</v>
      </c>
      <c r="AB1472" s="172" t="s">
        <v>8942</v>
      </c>
      <c r="AC1472" s="48" t="s">
        <v>6997</v>
      </c>
      <c r="AD1472" s="30"/>
      <c r="AE1472" s="200"/>
      <c r="AF1472" s="100"/>
    </row>
    <row r="1473" spans="1:45" s="32" customFormat="1" ht="69.95" hidden="1" customHeight="1">
      <c r="A1473" s="29" t="s">
        <v>3938</v>
      </c>
      <c r="B1473" s="29" t="s">
        <v>8652</v>
      </c>
      <c r="C1473" s="40" t="s">
        <v>40</v>
      </c>
      <c r="D1473" s="40"/>
      <c r="E1473" s="57" t="s">
        <v>52</v>
      </c>
      <c r="F1473" s="57" t="s">
        <v>52</v>
      </c>
      <c r="G1473" s="29" t="s">
        <v>3043</v>
      </c>
      <c r="H1473" s="29"/>
      <c r="I1473" s="124" t="s">
        <v>9121</v>
      </c>
      <c r="J1473" s="29">
        <f t="shared" si="104"/>
        <v>1</v>
      </c>
      <c r="K1473" s="42">
        <v>1459</v>
      </c>
      <c r="L1473" s="152" t="s">
        <v>3044</v>
      </c>
      <c r="M1473" s="44" t="s">
        <v>417</v>
      </c>
      <c r="N1473" s="44" t="s">
        <v>418</v>
      </c>
      <c r="O1473" s="101" t="str">
        <f t="shared" ref="O1473:O1480" si="110">F1473</f>
        <v>PE-M1-3C120-01</v>
      </c>
      <c r="P1473" s="45">
        <v>2000</v>
      </c>
      <c r="Q1473" s="44">
        <v>10000</v>
      </c>
      <c r="R1473" s="44" t="s">
        <v>49</v>
      </c>
      <c r="S1473" s="101">
        <v>40</v>
      </c>
      <c r="T1473" s="46" t="s">
        <v>6998</v>
      </c>
      <c r="U1473" s="46" t="s">
        <v>3938</v>
      </c>
      <c r="V1473" s="46" t="s">
        <v>334</v>
      </c>
      <c r="W1473" s="46" t="s">
        <v>335</v>
      </c>
      <c r="X1473" s="47" t="s">
        <v>51</v>
      </c>
      <c r="Y1473" s="46" t="s">
        <v>6999</v>
      </c>
      <c r="Z1473" s="46" t="s">
        <v>7000</v>
      </c>
      <c r="AA1473" s="46" t="s">
        <v>335</v>
      </c>
      <c r="AB1473" s="47" t="s">
        <v>3941</v>
      </c>
      <c r="AC1473" s="48" t="s">
        <v>7001</v>
      </c>
      <c r="AD1473" s="30"/>
      <c r="AE1473" s="200"/>
      <c r="AF1473" s="100"/>
      <c r="AR1473" s="241">
        <v>2</v>
      </c>
      <c r="AS1473" s="241" t="s">
        <v>9587</v>
      </c>
    </row>
    <row r="1474" spans="1:45" s="32" customFormat="1" ht="69.95" hidden="1" customHeight="1">
      <c r="A1474" s="29" t="s">
        <v>3975</v>
      </c>
      <c r="B1474" s="29" t="s">
        <v>8652</v>
      </c>
      <c r="C1474" s="40" t="s">
        <v>40</v>
      </c>
      <c r="D1474" s="40"/>
      <c r="E1474" s="57" t="s">
        <v>52</v>
      </c>
      <c r="F1474" s="57" t="s">
        <v>52</v>
      </c>
      <c r="G1474" s="29" t="s">
        <v>3045</v>
      </c>
      <c r="H1474" s="29"/>
      <c r="I1474" s="124" t="s">
        <v>9121</v>
      </c>
      <c r="J1474" s="29">
        <f t="shared" si="104"/>
        <v>1</v>
      </c>
      <c r="K1474" s="42">
        <v>1460</v>
      </c>
      <c r="L1474" s="152" t="s">
        <v>3046</v>
      </c>
      <c r="M1474" s="44" t="s">
        <v>417</v>
      </c>
      <c r="N1474" s="44" t="s">
        <v>418</v>
      </c>
      <c r="O1474" s="101" t="str">
        <f t="shared" si="110"/>
        <v>PE-M1-3C120-01</v>
      </c>
      <c r="P1474" s="45">
        <v>2000</v>
      </c>
      <c r="Q1474" s="44">
        <v>10000</v>
      </c>
      <c r="R1474" s="44" t="s">
        <v>49</v>
      </c>
      <c r="S1474" s="101">
        <v>30</v>
      </c>
      <c r="T1474" s="46" t="s">
        <v>6998</v>
      </c>
      <c r="U1474" s="46" t="s">
        <v>3975</v>
      </c>
      <c r="V1474" s="46" t="s">
        <v>342</v>
      </c>
      <c r="W1474" s="46" t="s">
        <v>335</v>
      </c>
      <c r="X1474" s="47" t="s">
        <v>51</v>
      </c>
      <c r="Y1474" s="46" t="s">
        <v>7002</v>
      </c>
      <c r="Z1474" s="46" t="s">
        <v>7003</v>
      </c>
      <c r="AA1474" s="46" t="s">
        <v>335</v>
      </c>
      <c r="AB1474" s="47" t="s">
        <v>3941</v>
      </c>
      <c r="AC1474" s="48" t="s">
        <v>7004</v>
      </c>
      <c r="AD1474" s="30"/>
      <c r="AE1474" s="200"/>
      <c r="AF1474" s="100"/>
      <c r="AR1474" s="241">
        <v>2</v>
      </c>
      <c r="AS1474" s="241" t="s">
        <v>9587</v>
      </c>
    </row>
    <row r="1475" spans="1:45" s="32" customFormat="1" ht="69.95" hidden="1" customHeight="1">
      <c r="A1475" s="29" t="s">
        <v>3938</v>
      </c>
      <c r="B1475" s="29" t="s">
        <v>8652</v>
      </c>
      <c r="C1475" s="40" t="s">
        <v>41</v>
      </c>
      <c r="D1475" s="40"/>
      <c r="E1475" s="66" t="s">
        <v>58</v>
      </c>
      <c r="F1475" s="66" t="s">
        <v>58</v>
      </c>
      <c r="G1475" s="29" t="s">
        <v>3047</v>
      </c>
      <c r="H1475" s="29"/>
      <c r="I1475" s="124" t="s">
        <v>9121</v>
      </c>
      <c r="J1475" s="29">
        <f t="shared" si="104"/>
        <v>1</v>
      </c>
      <c r="K1475" s="42">
        <v>1461</v>
      </c>
      <c r="L1475" s="152" t="s">
        <v>3048</v>
      </c>
      <c r="M1475" s="44" t="s">
        <v>417</v>
      </c>
      <c r="N1475" s="44" t="s">
        <v>418</v>
      </c>
      <c r="O1475" s="101" t="str">
        <f t="shared" si="110"/>
        <v>PE-M1-3C120-03</v>
      </c>
      <c r="P1475" s="45">
        <v>2000</v>
      </c>
      <c r="Q1475" s="44">
        <v>10000</v>
      </c>
      <c r="R1475" s="44" t="s">
        <v>49</v>
      </c>
      <c r="S1475" s="101">
        <v>40</v>
      </c>
      <c r="T1475" s="46" t="s">
        <v>6998</v>
      </c>
      <c r="U1475" s="46" t="s">
        <v>3938</v>
      </c>
      <c r="V1475" s="46" t="s">
        <v>334</v>
      </c>
      <c r="W1475" s="46" t="s">
        <v>335</v>
      </c>
      <c r="X1475" s="47" t="s">
        <v>51</v>
      </c>
      <c r="Y1475" s="46" t="s">
        <v>7005</v>
      </c>
      <c r="Z1475" s="46" t="s">
        <v>7006</v>
      </c>
      <c r="AA1475" s="46" t="s">
        <v>335</v>
      </c>
      <c r="AB1475" s="47" t="s">
        <v>3941</v>
      </c>
      <c r="AC1475" s="48" t="s">
        <v>7007</v>
      </c>
      <c r="AD1475" s="30"/>
      <c r="AE1475" s="200"/>
      <c r="AF1475" s="100"/>
      <c r="AR1475" s="241">
        <v>2</v>
      </c>
      <c r="AS1475" s="241" t="s">
        <v>9587</v>
      </c>
    </row>
    <row r="1476" spans="1:45" s="32" customFormat="1" ht="69.95" hidden="1" customHeight="1">
      <c r="A1476" s="29" t="s">
        <v>3975</v>
      </c>
      <c r="B1476" s="29" t="s">
        <v>8652</v>
      </c>
      <c r="C1476" s="40" t="s">
        <v>41</v>
      </c>
      <c r="D1476" s="40"/>
      <c r="E1476" s="66" t="s">
        <v>58</v>
      </c>
      <c r="F1476" s="66" t="s">
        <v>58</v>
      </c>
      <c r="G1476" s="29" t="s">
        <v>3049</v>
      </c>
      <c r="H1476" s="29"/>
      <c r="I1476" s="124" t="s">
        <v>9121</v>
      </c>
      <c r="J1476" s="29">
        <f t="shared" si="104"/>
        <v>1</v>
      </c>
      <c r="K1476" s="42">
        <v>1462</v>
      </c>
      <c r="L1476" s="152" t="s">
        <v>3050</v>
      </c>
      <c r="M1476" s="44" t="s">
        <v>417</v>
      </c>
      <c r="N1476" s="44" t="s">
        <v>418</v>
      </c>
      <c r="O1476" s="101" t="str">
        <f t="shared" si="110"/>
        <v>PE-M1-3C120-03</v>
      </c>
      <c r="P1476" s="45">
        <v>2000</v>
      </c>
      <c r="Q1476" s="44">
        <v>10000</v>
      </c>
      <c r="R1476" s="44" t="s">
        <v>49</v>
      </c>
      <c r="S1476" s="101">
        <v>30</v>
      </c>
      <c r="T1476" s="46" t="s">
        <v>6998</v>
      </c>
      <c r="U1476" s="46" t="s">
        <v>3975</v>
      </c>
      <c r="V1476" s="46" t="s">
        <v>342</v>
      </c>
      <c r="W1476" s="46" t="s">
        <v>335</v>
      </c>
      <c r="X1476" s="47" t="s">
        <v>51</v>
      </c>
      <c r="Y1476" s="46" t="s">
        <v>7008</v>
      </c>
      <c r="Z1476" s="46" t="s">
        <v>7009</v>
      </c>
      <c r="AA1476" s="46" t="s">
        <v>335</v>
      </c>
      <c r="AB1476" s="47" t="s">
        <v>3941</v>
      </c>
      <c r="AC1476" s="48" t="s">
        <v>7010</v>
      </c>
      <c r="AD1476" s="30"/>
      <c r="AE1476" s="200"/>
      <c r="AF1476" s="100"/>
      <c r="AR1476" s="241">
        <v>2</v>
      </c>
      <c r="AS1476" s="241" t="s">
        <v>9587</v>
      </c>
    </row>
    <row r="1477" spans="1:45" s="32" customFormat="1" ht="69.95" hidden="1" customHeight="1">
      <c r="A1477" s="29" t="s">
        <v>5280</v>
      </c>
      <c r="B1477" s="29" t="s">
        <v>8652</v>
      </c>
      <c r="C1477" s="40" t="s">
        <v>41</v>
      </c>
      <c r="D1477" s="40"/>
      <c r="E1477" s="66" t="s">
        <v>57</v>
      </c>
      <c r="F1477" s="66" t="s">
        <v>57</v>
      </c>
      <c r="G1477" s="29" t="s">
        <v>3051</v>
      </c>
      <c r="H1477" s="29"/>
      <c r="I1477" s="124" t="s">
        <v>9121</v>
      </c>
      <c r="J1477" s="29">
        <f t="shared" si="104"/>
        <v>1</v>
      </c>
      <c r="K1477" s="42">
        <v>1463</v>
      </c>
      <c r="L1477" s="152" t="s">
        <v>3052</v>
      </c>
      <c r="M1477" s="44" t="s">
        <v>417</v>
      </c>
      <c r="N1477" s="44" t="s">
        <v>418</v>
      </c>
      <c r="O1477" s="101" t="str">
        <f t="shared" si="110"/>
        <v>PE-M1-3C120-02</v>
      </c>
      <c r="P1477" s="45">
        <v>2000</v>
      </c>
      <c r="Q1477" s="44">
        <v>10000</v>
      </c>
      <c r="R1477" s="44" t="s">
        <v>49</v>
      </c>
      <c r="S1477" s="101">
        <v>40</v>
      </c>
      <c r="T1477" s="46" t="s">
        <v>6998</v>
      </c>
      <c r="U1477" s="46" t="s">
        <v>5280</v>
      </c>
      <c r="V1477" s="46" t="s">
        <v>338</v>
      </c>
      <c r="W1477" s="46" t="s">
        <v>335</v>
      </c>
      <c r="X1477" s="47" t="s">
        <v>51</v>
      </c>
      <c r="Y1477" s="46" t="s">
        <v>7011</v>
      </c>
      <c r="Z1477" s="46" t="s">
        <v>7012</v>
      </c>
      <c r="AA1477" s="46" t="s">
        <v>335</v>
      </c>
      <c r="AB1477" s="47" t="s">
        <v>3941</v>
      </c>
      <c r="AC1477" s="48" t="s">
        <v>7013</v>
      </c>
      <c r="AD1477" s="30"/>
      <c r="AE1477" s="200"/>
      <c r="AF1477" s="100"/>
      <c r="AR1477" s="241">
        <v>2</v>
      </c>
      <c r="AS1477" s="241" t="s">
        <v>9587</v>
      </c>
    </row>
    <row r="1478" spans="1:45" s="32" customFormat="1" ht="69.95" hidden="1" customHeight="1">
      <c r="A1478" s="29" t="s">
        <v>5473</v>
      </c>
      <c r="B1478" s="29" t="s">
        <v>8652</v>
      </c>
      <c r="C1478" s="40" t="s">
        <v>38</v>
      </c>
      <c r="D1478" s="40"/>
      <c r="E1478" s="66" t="s">
        <v>179</v>
      </c>
      <c r="F1478" s="66" t="s">
        <v>179</v>
      </c>
      <c r="G1478" s="29" t="s">
        <v>3053</v>
      </c>
      <c r="H1478" s="29"/>
      <c r="I1478" s="124" t="s">
        <v>9121</v>
      </c>
      <c r="J1478" s="29">
        <f t="shared" si="104"/>
        <v>1</v>
      </c>
      <c r="K1478" s="42">
        <v>1464</v>
      </c>
      <c r="L1478" s="152" t="s">
        <v>3054</v>
      </c>
      <c r="M1478" s="44" t="s">
        <v>417</v>
      </c>
      <c r="N1478" s="44" t="s">
        <v>418</v>
      </c>
      <c r="O1478" s="101" t="str">
        <f t="shared" si="110"/>
        <v>PE-M1-3C120-09</v>
      </c>
      <c r="P1478" s="45">
        <v>2000</v>
      </c>
      <c r="Q1478" s="44">
        <v>10000</v>
      </c>
      <c r="R1478" s="44" t="s">
        <v>49</v>
      </c>
      <c r="S1478" s="101">
        <v>80</v>
      </c>
      <c r="T1478" s="46" t="s">
        <v>6998</v>
      </c>
      <c r="U1478" s="46" t="s">
        <v>5473</v>
      </c>
      <c r="V1478" s="46" t="s">
        <v>5474</v>
      </c>
      <c r="W1478" s="46" t="s">
        <v>335</v>
      </c>
      <c r="X1478" s="47" t="s">
        <v>51</v>
      </c>
      <c r="Y1478" s="46" t="s">
        <v>7014</v>
      </c>
      <c r="Z1478" s="46" t="s">
        <v>7015</v>
      </c>
      <c r="AA1478" s="46" t="s">
        <v>335</v>
      </c>
      <c r="AB1478" s="47" t="s">
        <v>3941</v>
      </c>
      <c r="AC1478" s="48" t="s">
        <v>7016</v>
      </c>
      <c r="AD1478" s="30"/>
      <c r="AE1478" s="200"/>
      <c r="AF1478" s="100"/>
      <c r="AR1478" s="241">
        <v>2</v>
      </c>
      <c r="AS1478" s="241" t="s">
        <v>9587</v>
      </c>
    </row>
    <row r="1479" spans="1:45" s="32" customFormat="1" ht="69.95" hidden="1" customHeight="1">
      <c r="A1479" s="29" t="s">
        <v>5280</v>
      </c>
      <c r="B1479" s="29" t="s">
        <v>8652</v>
      </c>
      <c r="C1479" s="40" t="s">
        <v>42</v>
      </c>
      <c r="D1479" s="40"/>
      <c r="E1479" s="66" t="s">
        <v>287</v>
      </c>
      <c r="F1479" s="66" t="s">
        <v>287</v>
      </c>
      <c r="G1479" s="29" t="s">
        <v>3055</v>
      </c>
      <c r="H1479" s="124" t="s">
        <v>9563</v>
      </c>
      <c r="I1479" s="124" t="s">
        <v>9121</v>
      </c>
      <c r="J1479" s="29">
        <f t="shared" si="104"/>
        <v>1</v>
      </c>
      <c r="K1479" s="42">
        <v>1465</v>
      </c>
      <c r="L1479" s="152" t="s">
        <v>3056</v>
      </c>
      <c r="M1479" s="44" t="s">
        <v>417</v>
      </c>
      <c r="N1479" s="44" t="s">
        <v>418</v>
      </c>
      <c r="O1479" s="101" t="str">
        <f t="shared" si="110"/>
        <v>PE-M1-3C120-11</v>
      </c>
      <c r="P1479" s="45">
        <v>1250</v>
      </c>
      <c r="Q1479" s="44">
        <v>10000</v>
      </c>
      <c r="R1479" s="44" t="s">
        <v>49</v>
      </c>
      <c r="S1479" s="101">
        <v>340</v>
      </c>
      <c r="T1479" s="46" t="s">
        <v>6998</v>
      </c>
      <c r="U1479" s="46" t="s">
        <v>5280</v>
      </c>
      <c r="V1479" s="46" t="s">
        <v>338</v>
      </c>
      <c r="W1479" s="46" t="s">
        <v>335</v>
      </c>
      <c r="X1479" s="47" t="s">
        <v>51</v>
      </c>
      <c r="Y1479" s="46" t="s">
        <v>7017</v>
      </c>
      <c r="Z1479" s="46" t="s">
        <v>7018</v>
      </c>
      <c r="AA1479" s="46" t="s">
        <v>391</v>
      </c>
      <c r="AB1479" s="47" t="s">
        <v>3941</v>
      </c>
      <c r="AC1479" s="48" t="s">
        <v>7019</v>
      </c>
      <c r="AD1479" s="30"/>
      <c r="AE1479" s="200"/>
      <c r="AF1479" s="100"/>
      <c r="AR1479" s="241">
        <v>2</v>
      </c>
      <c r="AS1479" s="241" t="s">
        <v>9587</v>
      </c>
    </row>
    <row r="1480" spans="1:45" s="32" customFormat="1" ht="69.95" hidden="1" customHeight="1">
      <c r="A1480" s="29" t="s">
        <v>5288</v>
      </c>
      <c r="B1480" s="29" t="s">
        <v>8652</v>
      </c>
      <c r="C1480" s="40" t="s">
        <v>40</v>
      </c>
      <c r="D1480" s="40"/>
      <c r="E1480" s="66" t="s">
        <v>288</v>
      </c>
      <c r="F1480" s="66" t="s">
        <v>288</v>
      </c>
      <c r="G1480" s="29" t="s">
        <v>3057</v>
      </c>
      <c r="H1480" s="124" t="s">
        <v>9154</v>
      </c>
      <c r="I1480" s="124" t="s">
        <v>9121</v>
      </c>
      <c r="J1480" s="29">
        <f t="shared" ref="J1480:J1543" si="111">COUNTIF(L:L,L1480)</f>
        <v>1</v>
      </c>
      <c r="K1480" s="42">
        <v>1466</v>
      </c>
      <c r="L1480" s="152" t="s">
        <v>3058</v>
      </c>
      <c r="M1480" s="44" t="s">
        <v>417</v>
      </c>
      <c r="N1480" s="44" t="s">
        <v>418</v>
      </c>
      <c r="O1480" s="101" t="str">
        <f t="shared" si="110"/>
        <v>PE-M1-3C120-12</v>
      </c>
      <c r="P1480" s="45">
        <v>1250</v>
      </c>
      <c r="Q1480" s="44">
        <v>10000</v>
      </c>
      <c r="R1480" s="44" t="s">
        <v>49</v>
      </c>
      <c r="S1480" s="101">
        <v>320</v>
      </c>
      <c r="T1480" s="46" t="s">
        <v>6998</v>
      </c>
      <c r="U1480" s="46" t="s">
        <v>5288</v>
      </c>
      <c r="V1480" s="46" t="s">
        <v>344</v>
      </c>
      <c r="W1480" s="46" t="s">
        <v>335</v>
      </c>
      <c r="X1480" s="47" t="s">
        <v>51</v>
      </c>
      <c r="Y1480" s="46" t="s">
        <v>7020</v>
      </c>
      <c r="Z1480" s="46" t="s">
        <v>7021</v>
      </c>
      <c r="AA1480" s="46" t="s">
        <v>391</v>
      </c>
      <c r="AB1480" s="47" t="s">
        <v>3941</v>
      </c>
      <c r="AC1480" s="48" t="s">
        <v>7022</v>
      </c>
      <c r="AD1480" s="30"/>
      <c r="AE1480" s="200"/>
      <c r="AF1480" s="100"/>
      <c r="AR1480" s="241">
        <v>2</v>
      </c>
      <c r="AS1480" s="241" t="s">
        <v>9587</v>
      </c>
    </row>
    <row r="1481" spans="1:45" s="32" customFormat="1" ht="90" hidden="1" customHeight="1">
      <c r="A1481" s="29" t="s">
        <v>5280</v>
      </c>
      <c r="B1481" s="29" t="s">
        <v>8652</v>
      </c>
      <c r="C1481" s="40" t="s">
        <v>43</v>
      </c>
      <c r="D1481" s="40"/>
      <c r="E1481" s="66" t="s">
        <v>289</v>
      </c>
      <c r="F1481" s="66" t="s">
        <v>289</v>
      </c>
      <c r="G1481" s="29" t="s">
        <v>3059</v>
      </c>
      <c r="H1481" s="29"/>
      <c r="I1481" s="29"/>
      <c r="J1481" s="29">
        <f t="shared" si="111"/>
        <v>1</v>
      </c>
      <c r="K1481" s="42">
        <v>1467</v>
      </c>
      <c r="L1481" s="43" t="s">
        <v>3060</v>
      </c>
      <c r="M1481" s="44" t="s">
        <v>417</v>
      </c>
      <c r="N1481" s="44" t="s">
        <v>418</v>
      </c>
      <c r="O1481" s="44" t="str">
        <f t="shared" ref="O1481:O1494" si="112">F1481</f>
        <v>PE-M1-3C120-14</v>
      </c>
      <c r="P1481" s="45">
        <v>3000</v>
      </c>
      <c r="Q1481" s="44">
        <v>10000</v>
      </c>
      <c r="R1481" s="44" t="s">
        <v>49</v>
      </c>
      <c r="S1481" s="44">
        <v>560</v>
      </c>
      <c r="T1481" s="46" t="s">
        <v>6998</v>
      </c>
      <c r="U1481" s="46" t="s">
        <v>5280</v>
      </c>
      <c r="V1481" s="46" t="s">
        <v>338</v>
      </c>
      <c r="W1481" s="46" t="s">
        <v>335</v>
      </c>
      <c r="X1481" s="47" t="s">
        <v>51</v>
      </c>
      <c r="Y1481" s="46" t="s">
        <v>7023</v>
      </c>
      <c r="Z1481" s="46" t="s">
        <v>7024</v>
      </c>
      <c r="AA1481" s="46" t="s">
        <v>4549</v>
      </c>
      <c r="AB1481" s="47" t="s">
        <v>3941</v>
      </c>
      <c r="AC1481" s="48" t="s">
        <v>7025</v>
      </c>
      <c r="AD1481" s="30"/>
      <c r="AE1481" s="200"/>
      <c r="AF1481" s="100"/>
      <c r="AR1481" s="241">
        <v>2</v>
      </c>
      <c r="AS1481" s="241" t="s">
        <v>9587</v>
      </c>
    </row>
    <row r="1482" spans="1:45" s="32" customFormat="1" ht="69.95" hidden="1" customHeight="1">
      <c r="A1482" s="29" t="s">
        <v>5308</v>
      </c>
      <c r="B1482" s="29" t="s">
        <v>8652</v>
      </c>
      <c r="C1482" s="40" t="s">
        <v>40</v>
      </c>
      <c r="D1482" s="40"/>
      <c r="E1482" s="57" t="s">
        <v>290</v>
      </c>
      <c r="F1482" s="57" t="s">
        <v>290</v>
      </c>
      <c r="G1482" s="29" t="s">
        <v>3061</v>
      </c>
      <c r="H1482" s="29"/>
      <c r="I1482" s="29"/>
      <c r="J1482" s="29">
        <f t="shared" si="111"/>
        <v>1</v>
      </c>
      <c r="K1482" s="42">
        <v>1468</v>
      </c>
      <c r="L1482" s="43" t="s">
        <v>3062</v>
      </c>
      <c r="M1482" s="44" t="s">
        <v>417</v>
      </c>
      <c r="N1482" s="44" t="s">
        <v>418</v>
      </c>
      <c r="O1482" s="44" t="str">
        <f t="shared" si="112"/>
        <v>PE-M1-3C120-25</v>
      </c>
      <c r="P1482" s="45">
        <v>3000</v>
      </c>
      <c r="Q1482" s="44">
        <v>10000</v>
      </c>
      <c r="R1482" s="44" t="s">
        <v>49</v>
      </c>
      <c r="S1482" s="44">
        <v>520</v>
      </c>
      <c r="T1482" s="46" t="s">
        <v>6998</v>
      </c>
      <c r="U1482" s="46" t="s">
        <v>5308</v>
      </c>
      <c r="V1482" s="46" t="s">
        <v>360</v>
      </c>
      <c r="W1482" s="46" t="s">
        <v>347</v>
      </c>
      <c r="X1482" s="47" t="s">
        <v>51</v>
      </c>
      <c r="Y1482" s="46" t="s">
        <v>7026</v>
      </c>
      <c r="Z1482" s="46" t="s">
        <v>7027</v>
      </c>
      <c r="AA1482" s="46" t="s">
        <v>4549</v>
      </c>
      <c r="AB1482" s="47" t="s">
        <v>3941</v>
      </c>
      <c r="AC1482" s="48" t="s">
        <v>7028</v>
      </c>
      <c r="AD1482" s="30"/>
      <c r="AE1482" s="200"/>
      <c r="AF1482" s="100"/>
      <c r="AR1482" s="241">
        <v>2</v>
      </c>
      <c r="AS1482" s="241" t="s">
        <v>9587</v>
      </c>
    </row>
    <row r="1483" spans="1:45" s="32" customFormat="1" ht="90" hidden="1" customHeight="1">
      <c r="A1483" s="29" t="s">
        <v>5288</v>
      </c>
      <c r="B1483" s="29" t="s">
        <v>8652</v>
      </c>
      <c r="C1483" s="40" t="s">
        <v>41</v>
      </c>
      <c r="D1483" s="40"/>
      <c r="E1483" s="66" t="s">
        <v>291</v>
      </c>
      <c r="F1483" s="66" t="s">
        <v>291</v>
      </c>
      <c r="G1483" s="29" t="s">
        <v>3063</v>
      </c>
      <c r="H1483" s="29"/>
      <c r="I1483" s="29"/>
      <c r="J1483" s="29">
        <f t="shared" si="111"/>
        <v>1</v>
      </c>
      <c r="K1483" s="42">
        <v>1469</v>
      </c>
      <c r="L1483" s="43" t="s">
        <v>3064</v>
      </c>
      <c r="M1483" s="44" t="s">
        <v>417</v>
      </c>
      <c r="N1483" s="44" t="s">
        <v>418</v>
      </c>
      <c r="O1483" s="44" t="str">
        <f t="shared" si="112"/>
        <v>PE-M1-3C120-15</v>
      </c>
      <c r="P1483" s="45">
        <v>3000</v>
      </c>
      <c r="Q1483" s="44">
        <v>10000</v>
      </c>
      <c r="R1483" s="44" t="s">
        <v>49</v>
      </c>
      <c r="S1483" s="44">
        <v>550</v>
      </c>
      <c r="T1483" s="46" t="s">
        <v>6998</v>
      </c>
      <c r="U1483" s="46" t="s">
        <v>5288</v>
      </c>
      <c r="V1483" s="46" t="s">
        <v>344</v>
      </c>
      <c r="W1483" s="46" t="s">
        <v>335</v>
      </c>
      <c r="X1483" s="47" t="s">
        <v>51</v>
      </c>
      <c r="Y1483" s="46" t="s">
        <v>7029</v>
      </c>
      <c r="Z1483" s="46" t="s">
        <v>7030</v>
      </c>
      <c r="AA1483" s="46" t="s">
        <v>4549</v>
      </c>
      <c r="AB1483" s="47" t="s">
        <v>3941</v>
      </c>
      <c r="AC1483" s="48" t="s">
        <v>7031</v>
      </c>
      <c r="AD1483" s="30"/>
      <c r="AE1483" s="200"/>
      <c r="AF1483" s="100"/>
      <c r="AR1483" s="241">
        <v>2</v>
      </c>
      <c r="AS1483" s="241" t="s">
        <v>9587</v>
      </c>
    </row>
    <row r="1484" spans="1:45" s="32" customFormat="1" ht="69.95" hidden="1" customHeight="1">
      <c r="A1484" s="29" t="s">
        <v>4010</v>
      </c>
      <c r="B1484" s="29" t="s">
        <v>8652</v>
      </c>
      <c r="C1484" s="40" t="s">
        <v>40</v>
      </c>
      <c r="D1484" s="40"/>
      <c r="E1484" s="68" t="s">
        <v>52</v>
      </c>
      <c r="F1484" s="68" t="s">
        <v>52</v>
      </c>
      <c r="G1484" s="29" t="s">
        <v>3065</v>
      </c>
      <c r="H1484" s="29"/>
      <c r="I1484" s="29"/>
      <c r="J1484" s="29">
        <f t="shared" si="111"/>
        <v>1</v>
      </c>
      <c r="K1484" s="42">
        <v>1470</v>
      </c>
      <c r="L1484" s="43" t="s">
        <v>3066</v>
      </c>
      <c r="M1484" s="44" t="s">
        <v>417</v>
      </c>
      <c r="N1484" s="44" t="s">
        <v>418</v>
      </c>
      <c r="O1484" s="44" t="str">
        <f t="shared" si="112"/>
        <v>PE-M1-3C120-01</v>
      </c>
      <c r="P1484" s="45">
        <v>2000</v>
      </c>
      <c r="Q1484" s="44">
        <v>10000</v>
      </c>
      <c r="R1484" s="44" t="s">
        <v>49</v>
      </c>
      <c r="S1484" s="44">
        <v>40</v>
      </c>
      <c r="T1484" s="46" t="s">
        <v>6998</v>
      </c>
      <c r="U1484" s="46" t="s">
        <v>4010</v>
      </c>
      <c r="V1484" s="46" t="s">
        <v>346</v>
      </c>
      <c r="W1484" s="46" t="s">
        <v>347</v>
      </c>
      <c r="X1484" s="47" t="s">
        <v>51</v>
      </c>
      <c r="Y1484" s="46" t="s">
        <v>7032</v>
      </c>
      <c r="Z1484" s="46" t="s">
        <v>7033</v>
      </c>
      <c r="AA1484" s="46" t="s">
        <v>347</v>
      </c>
      <c r="AB1484" s="47" t="s">
        <v>3941</v>
      </c>
      <c r="AC1484" s="48" t="s">
        <v>7034</v>
      </c>
      <c r="AD1484" s="30"/>
      <c r="AE1484" s="200"/>
      <c r="AF1484" s="100"/>
      <c r="AR1484" s="241">
        <v>2</v>
      </c>
      <c r="AS1484" s="241" t="s">
        <v>9587</v>
      </c>
    </row>
    <row r="1485" spans="1:45" s="32" customFormat="1" ht="69.95" hidden="1" customHeight="1">
      <c r="A1485" s="29" t="s">
        <v>4044</v>
      </c>
      <c r="B1485" s="29" t="s">
        <v>8652</v>
      </c>
      <c r="C1485" s="40" t="s">
        <v>40</v>
      </c>
      <c r="D1485" s="40"/>
      <c r="E1485" s="66" t="s">
        <v>292</v>
      </c>
      <c r="F1485" s="66" t="s">
        <v>292</v>
      </c>
      <c r="G1485" s="29" t="s">
        <v>3067</v>
      </c>
      <c r="H1485" s="29"/>
      <c r="I1485" s="29"/>
      <c r="J1485" s="29">
        <f t="shared" si="111"/>
        <v>1</v>
      </c>
      <c r="K1485" s="42">
        <v>1471</v>
      </c>
      <c r="L1485" s="43" t="s">
        <v>3068</v>
      </c>
      <c r="M1485" s="44" t="s">
        <v>417</v>
      </c>
      <c r="N1485" s="44" t="s">
        <v>418</v>
      </c>
      <c r="O1485" s="44" t="str">
        <f t="shared" si="112"/>
        <v>PE-M1-3C120-09</v>
      </c>
      <c r="P1485" s="45">
        <v>2000</v>
      </c>
      <c r="Q1485" s="44">
        <v>10000</v>
      </c>
      <c r="R1485" s="44" t="s">
        <v>49</v>
      </c>
      <c r="S1485" s="44">
        <v>40</v>
      </c>
      <c r="T1485" s="46" t="s">
        <v>6998</v>
      </c>
      <c r="U1485" s="46" t="s">
        <v>4044</v>
      </c>
      <c r="V1485" s="46" t="s">
        <v>358</v>
      </c>
      <c r="W1485" s="46" t="s">
        <v>347</v>
      </c>
      <c r="X1485" s="47" t="s">
        <v>51</v>
      </c>
      <c r="Y1485" s="46" t="s">
        <v>7035</v>
      </c>
      <c r="Z1485" s="46" t="s">
        <v>7036</v>
      </c>
      <c r="AA1485" s="46" t="s">
        <v>347</v>
      </c>
      <c r="AB1485" s="47" t="s">
        <v>3941</v>
      </c>
      <c r="AC1485" s="48" t="s">
        <v>7037</v>
      </c>
      <c r="AD1485" s="30"/>
      <c r="AE1485" s="200"/>
      <c r="AF1485" s="100"/>
      <c r="AR1485" s="241">
        <v>2</v>
      </c>
      <c r="AS1485" s="241" t="s">
        <v>9587</v>
      </c>
    </row>
    <row r="1486" spans="1:45" s="32" customFormat="1" ht="69.95" hidden="1" customHeight="1">
      <c r="A1486" s="29" t="s">
        <v>4010</v>
      </c>
      <c r="B1486" s="29" t="s">
        <v>8652</v>
      </c>
      <c r="C1486" s="40" t="s">
        <v>41</v>
      </c>
      <c r="D1486" s="40"/>
      <c r="E1486" s="66" t="s">
        <v>293</v>
      </c>
      <c r="F1486" s="66" t="s">
        <v>293</v>
      </c>
      <c r="G1486" s="29" t="s">
        <v>3069</v>
      </c>
      <c r="H1486" s="29"/>
      <c r="I1486" s="29"/>
      <c r="J1486" s="29">
        <f t="shared" si="111"/>
        <v>1</v>
      </c>
      <c r="K1486" s="42">
        <v>1472</v>
      </c>
      <c r="L1486" s="43" t="s">
        <v>3070</v>
      </c>
      <c r="M1486" s="44" t="s">
        <v>417</v>
      </c>
      <c r="N1486" s="44" t="s">
        <v>418</v>
      </c>
      <c r="O1486" s="44" t="str">
        <f t="shared" si="112"/>
        <v>PE-M1-3C120-02</v>
      </c>
      <c r="P1486" s="45">
        <v>2000</v>
      </c>
      <c r="Q1486" s="44">
        <v>10000</v>
      </c>
      <c r="R1486" s="44" t="s">
        <v>49</v>
      </c>
      <c r="S1486" s="44">
        <v>60</v>
      </c>
      <c r="T1486" s="46" t="s">
        <v>6998</v>
      </c>
      <c r="U1486" s="46" t="s">
        <v>4010</v>
      </c>
      <c r="V1486" s="46" t="s">
        <v>346</v>
      </c>
      <c r="W1486" s="46" t="s">
        <v>347</v>
      </c>
      <c r="X1486" s="47" t="s">
        <v>51</v>
      </c>
      <c r="Y1486" s="46" t="s">
        <v>7038</v>
      </c>
      <c r="Z1486" s="46" t="s">
        <v>7039</v>
      </c>
      <c r="AA1486" s="46" t="s">
        <v>347</v>
      </c>
      <c r="AB1486" s="47" t="s">
        <v>3941</v>
      </c>
      <c r="AC1486" s="48" t="s">
        <v>7040</v>
      </c>
      <c r="AD1486" s="30"/>
      <c r="AE1486" s="200"/>
      <c r="AF1486" s="100"/>
      <c r="AR1486" s="241">
        <v>2</v>
      </c>
      <c r="AS1486" s="241" t="s">
        <v>9587</v>
      </c>
    </row>
    <row r="1487" spans="1:45" s="32" customFormat="1" ht="69.95" hidden="1" customHeight="1">
      <c r="A1487" s="29" t="s">
        <v>4044</v>
      </c>
      <c r="B1487" s="29" t="s">
        <v>8652</v>
      </c>
      <c r="C1487" s="40" t="s">
        <v>41</v>
      </c>
      <c r="D1487" s="40"/>
      <c r="E1487" s="66" t="s">
        <v>294</v>
      </c>
      <c r="F1487" s="66" t="s">
        <v>294</v>
      </c>
      <c r="G1487" s="29" t="s">
        <v>3071</v>
      </c>
      <c r="H1487" s="29"/>
      <c r="I1487" s="29"/>
      <c r="J1487" s="29">
        <f t="shared" si="111"/>
        <v>1</v>
      </c>
      <c r="K1487" s="42">
        <v>1473</v>
      </c>
      <c r="L1487" s="43" t="s">
        <v>3072</v>
      </c>
      <c r="M1487" s="44" t="s">
        <v>417</v>
      </c>
      <c r="N1487" s="44" t="s">
        <v>418</v>
      </c>
      <c r="O1487" s="44" t="str">
        <f t="shared" si="112"/>
        <v>PE-M1-3C120-10</v>
      </c>
      <c r="P1487" s="45">
        <v>2000</v>
      </c>
      <c r="Q1487" s="44">
        <v>10000</v>
      </c>
      <c r="R1487" s="44" t="s">
        <v>49</v>
      </c>
      <c r="S1487" s="44">
        <v>50</v>
      </c>
      <c r="T1487" s="46" t="s">
        <v>6998</v>
      </c>
      <c r="U1487" s="46" t="s">
        <v>4044</v>
      </c>
      <c r="V1487" s="46" t="s">
        <v>358</v>
      </c>
      <c r="W1487" s="46" t="s">
        <v>347</v>
      </c>
      <c r="X1487" s="47" t="s">
        <v>51</v>
      </c>
      <c r="Y1487" s="46" t="s">
        <v>7041</v>
      </c>
      <c r="Z1487" s="46" t="s">
        <v>7042</v>
      </c>
      <c r="AA1487" s="46" t="s">
        <v>347</v>
      </c>
      <c r="AB1487" s="47" t="s">
        <v>3941</v>
      </c>
      <c r="AC1487" s="48" t="s">
        <v>7043</v>
      </c>
      <c r="AD1487" s="30"/>
      <c r="AE1487" s="200"/>
      <c r="AF1487" s="100"/>
      <c r="AR1487" s="241">
        <v>2</v>
      </c>
      <c r="AS1487" s="241" t="s">
        <v>9587</v>
      </c>
    </row>
    <row r="1488" spans="1:45" s="32" customFormat="1" ht="69.95" hidden="1" customHeight="1">
      <c r="A1488" s="29" t="s">
        <v>5303</v>
      </c>
      <c r="B1488" s="29" t="s">
        <v>8652</v>
      </c>
      <c r="C1488" s="40" t="s">
        <v>41</v>
      </c>
      <c r="D1488" s="40"/>
      <c r="E1488" s="66" t="s">
        <v>295</v>
      </c>
      <c r="F1488" s="66" t="s">
        <v>295</v>
      </c>
      <c r="G1488" s="29" t="s">
        <v>3073</v>
      </c>
      <c r="H1488" s="29"/>
      <c r="I1488" s="29"/>
      <c r="J1488" s="29">
        <f t="shared" si="111"/>
        <v>1</v>
      </c>
      <c r="K1488" s="42">
        <v>1474</v>
      </c>
      <c r="L1488" s="43" t="s">
        <v>3074</v>
      </c>
      <c r="M1488" s="44" t="s">
        <v>417</v>
      </c>
      <c r="N1488" s="44" t="s">
        <v>418</v>
      </c>
      <c r="O1488" s="44" t="str">
        <f t="shared" si="112"/>
        <v>PE-M1-3C120-12</v>
      </c>
      <c r="P1488" s="45">
        <v>2000</v>
      </c>
      <c r="Q1488" s="44">
        <v>10000</v>
      </c>
      <c r="R1488" s="44" t="s">
        <v>49</v>
      </c>
      <c r="S1488" s="44">
        <v>40</v>
      </c>
      <c r="T1488" s="46" t="s">
        <v>6998</v>
      </c>
      <c r="U1488" s="46" t="s">
        <v>5303</v>
      </c>
      <c r="V1488" s="46" t="s">
        <v>353</v>
      </c>
      <c r="W1488" s="46" t="s">
        <v>347</v>
      </c>
      <c r="X1488" s="47" t="s">
        <v>51</v>
      </c>
      <c r="Y1488" s="46" t="s">
        <v>7044</v>
      </c>
      <c r="Z1488" s="46" t="s">
        <v>7045</v>
      </c>
      <c r="AA1488" s="46" t="s">
        <v>347</v>
      </c>
      <c r="AB1488" s="47" t="s">
        <v>3941</v>
      </c>
      <c r="AC1488" s="48" t="s">
        <v>7046</v>
      </c>
      <c r="AD1488" s="30"/>
      <c r="AE1488" s="200"/>
      <c r="AF1488" s="100"/>
      <c r="AR1488" s="241">
        <v>2</v>
      </c>
      <c r="AS1488" s="241" t="s">
        <v>9587</v>
      </c>
    </row>
    <row r="1489" spans="1:45" s="32" customFormat="1" ht="69.95" hidden="1" customHeight="1">
      <c r="A1489" s="29" t="s">
        <v>5482</v>
      </c>
      <c r="B1489" s="29" t="s">
        <v>8652</v>
      </c>
      <c r="C1489" s="40" t="s">
        <v>38</v>
      </c>
      <c r="D1489" s="40"/>
      <c r="E1489" s="57" t="s">
        <v>296</v>
      </c>
      <c r="F1489" s="57" t="s">
        <v>296</v>
      </c>
      <c r="G1489" s="29" t="s">
        <v>3075</v>
      </c>
      <c r="H1489" s="29"/>
      <c r="I1489" s="29"/>
      <c r="J1489" s="29">
        <f t="shared" si="111"/>
        <v>1</v>
      </c>
      <c r="K1489" s="42">
        <v>1475</v>
      </c>
      <c r="L1489" s="43" t="s">
        <v>3076</v>
      </c>
      <c r="M1489" s="44" t="s">
        <v>417</v>
      </c>
      <c r="N1489" s="44" t="s">
        <v>418</v>
      </c>
      <c r="O1489" s="44" t="str">
        <f t="shared" si="112"/>
        <v>PE-M1-3C120-26</v>
      </c>
      <c r="P1489" s="45">
        <v>2000</v>
      </c>
      <c r="Q1489" s="44">
        <v>10000</v>
      </c>
      <c r="R1489" s="44" t="s">
        <v>49</v>
      </c>
      <c r="S1489" s="44">
        <v>480</v>
      </c>
      <c r="T1489" s="46" t="s">
        <v>6998</v>
      </c>
      <c r="U1489" s="46" t="s">
        <v>5482</v>
      </c>
      <c r="V1489" s="46" t="s">
        <v>5483</v>
      </c>
      <c r="W1489" s="46" t="s">
        <v>335</v>
      </c>
      <c r="X1489" s="47" t="s">
        <v>51</v>
      </c>
      <c r="Y1489" s="46" t="s">
        <v>7047</v>
      </c>
      <c r="Z1489" s="46" t="s">
        <v>7048</v>
      </c>
      <c r="AA1489" s="46" t="s">
        <v>347</v>
      </c>
      <c r="AB1489" s="47" t="s">
        <v>3941</v>
      </c>
      <c r="AC1489" s="48" t="s">
        <v>7049</v>
      </c>
      <c r="AD1489" s="30"/>
      <c r="AE1489" s="200"/>
      <c r="AF1489" s="100"/>
      <c r="AR1489" s="241">
        <v>2</v>
      </c>
      <c r="AS1489" s="241" t="s">
        <v>9587</v>
      </c>
    </row>
    <row r="1490" spans="1:45" s="32" customFormat="1" ht="69.95" hidden="1" customHeight="1">
      <c r="A1490" s="29" t="s">
        <v>5303</v>
      </c>
      <c r="B1490" s="29" t="s">
        <v>8652</v>
      </c>
      <c r="C1490" s="40" t="s">
        <v>42</v>
      </c>
      <c r="D1490" s="40"/>
      <c r="E1490" s="57" t="s">
        <v>297</v>
      </c>
      <c r="F1490" s="57" t="s">
        <v>297</v>
      </c>
      <c r="G1490" s="29" t="s">
        <v>3077</v>
      </c>
      <c r="H1490" s="29"/>
      <c r="I1490" s="29"/>
      <c r="J1490" s="29">
        <f t="shared" si="111"/>
        <v>1</v>
      </c>
      <c r="K1490" s="42">
        <v>1476</v>
      </c>
      <c r="L1490" s="43" t="s">
        <v>3078</v>
      </c>
      <c r="M1490" s="44" t="s">
        <v>417</v>
      </c>
      <c r="N1490" s="44" t="s">
        <v>418</v>
      </c>
      <c r="O1490" s="44" t="str">
        <f t="shared" si="112"/>
        <v>PE-M1-3C120-27</v>
      </c>
      <c r="P1490" s="45">
        <v>1250</v>
      </c>
      <c r="Q1490" s="44">
        <v>10000</v>
      </c>
      <c r="R1490" s="44" t="s">
        <v>49</v>
      </c>
      <c r="S1490" s="44">
        <v>220</v>
      </c>
      <c r="T1490" s="46" t="s">
        <v>6998</v>
      </c>
      <c r="U1490" s="46" t="s">
        <v>5303</v>
      </c>
      <c r="V1490" s="46" t="s">
        <v>353</v>
      </c>
      <c r="W1490" s="46" t="s">
        <v>347</v>
      </c>
      <c r="X1490" s="47" t="s">
        <v>51</v>
      </c>
      <c r="Y1490" s="46" t="s">
        <v>7050</v>
      </c>
      <c r="Z1490" s="46" t="s">
        <v>7051</v>
      </c>
      <c r="AA1490" s="46" t="s">
        <v>397</v>
      </c>
      <c r="AB1490" s="47" t="s">
        <v>3941</v>
      </c>
      <c r="AC1490" s="48" t="s">
        <v>7052</v>
      </c>
      <c r="AD1490" s="30"/>
      <c r="AE1490" s="200"/>
      <c r="AF1490" s="100"/>
      <c r="AR1490" s="241">
        <v>2</v>
      </c>
      <c r="AS1490" s="241" t="s">
        <v>9587</v>
      </c>
    </row>
    <row r="1491" spans="1:45" s="32" customFormat="1" ht="69.95" hidden="1" customHeight="1">
      <c r="A1491" s="29" t="s">
        <v>5308</v>
      </c>
      <c r="B1491" s="29" t="s">
        <v>8652</v>
      </c>
      <c r="C1491" s="40" t="s">
        <v>41</v>
      </c>
      <c r="D1491" s="40"/>
      <c r="E1491" s="57" t="s">
        <v>297</v>
      </c>
      <c r="F1491" s="57" t="s">
        <v>297</v>
      </c>
      <c r="G1491" s="29" t="s">
        <v>3079</v>
      </c>
      <c r="H1491" s="29"/>
      <c r="I1491" s="29"/>
      <c r="J1491" s="29">
        <f t="shared" si="111"/>
        <v>1</v>
      </c>
      <c r="K1491" s="42">
        <v>1477</v>
      </c>
      <c r="L1491" s="43" t="s">
        <v>3080</v>
      </c>
      <c r="M1491" s="44" t="s">
        <v>417</v>
      </c>
      <c r="N1491" s="44" t="s">
        <v>418</v>
      </c>
      <c r="O1491" s="44" t="str">
        <f t="shared" si="112"/>
        <v>PE-M1-3C120-27</v>
      </c>
      <c r="P1491" s="45">
        <v>1250</v>
      </c>
      <c r="Q1491" s="44">
        <v>10000</v>
      </c>
      <c r="R1491" s="44" t="s">
        <v>49</v>
      </c>
      <c r="S1491" s="44">
        <v>210</v>
      </c>
      <c r="T1491" s="46" t="s">
        <v>6998</v>
      </c>
      <c r="U1491" s="46" t="s">
        <v>5308</v>
      </c>
      <c r="V1491" s="46" t="s">
        <v>360</v>
      </c>
      <c r="W1491" s="46" t="s">
        <v>347</v>
      </c>
      <c r="X1491" s="47" t="s">
        <v>51</v>
      </c>
      <c r="Y1491" s="46" t="s">
        <v>7053</v>
      </c>
      <c r="Z1491" s="46" t="s">
        <v>7054</v>
      </c>
      <c r="AA1491" s="46" t="s">
        <v>397</v>
      </c>
      <c r="AB1491" s="47" t="s">
        <v>3941</v>
      </c>
      <c r="AC1491" s="48" t="s">
        <v>7055</v>
      </c>
      <c r="AD1491" s="30"/>
      <c r="AE1491" s="200"/>
      <c r="AF1491" s="100"/>
      <c r="AR1491" s="241">
        <v>2</v>
      </c>
      <c r="AS1491" s="241" t="s">
        <v>9587</v>
      </c>
    </row>
    <row r="1492" spans="1:45" s="32" customFormat="1" ht="69.95" hidden="1" customHeight="1">
      <c r="A1492" s="29" t="s">
        <v>5303</v>
      </c>
      <c r="B1492" s="29" t="s">
        <v>8652</v>
      </c>
      <c r="C1492" s="40" t="s">
        <v>43</v>
      </c>
      <c r="D1492" s="40"/>
      <c r="E1492" s="57" t="s">
        <v>298</v>
      </c>
      <c r="F1492" s="57" t="s">
        <v>298</v>
      </c>
      <c r="G1492" s="29" t="s">
        <v>3081</v>
      </c>
      <c r="H1492" s="29"/>
      <c r="I1492" s="29"/>
      <c r="J1492" s="29">
        <f t="shared" si="111"/>
        <v>1</v>
      </c>
      <c r="K1492" s="42">
        <v>1478</v>
      </c>
      <c r="L1492" s="43" t="s">
        <v>3082</v>
      </c>
      <c r="M1492" s="44" t="s">
        <v>417</v>
      </c>
      <c r="N1492" s="44" t="s">
        <v>418</v>
      </c>
      <c r="O1492" s="44" t="str">
        <f t="shared" si="112"/>
        <v>PE-M1-3C120-28</v>
      </c>
      <c r="P1492" s="45">
        <v>3000</v>
      </c>
      <c r="Q1492" s="44">
        <v>10000</v>
      </c>
      <c r="R1492" s="44" t="s">
        <v>49</v>
      </c>
      <c r="S1492" s="44">
        <v>510</v>
      </c>
      <c r="T1492" s="46" t="s">
        <v>6998</v>
      </c>
      <c r="U1492" s="46" t="s">
        <v>5303</v>
      </c>
      <c r="V1492" s="46" t="s">
        <v>353</v>
      </c>
      <c r="W1492" s="46" t="s">
        <v>347</v>
      </c>
      <c r="X1492" s="47" t="s">
        <v>51</v>
      </c>
      <c r="Y1492" s="46" t="s">
        <v>7056</v>
      </c>
      <c r="Z1492" s="46" t="s">
        <v>7057</v>
      </c>
      <c r="AA1492" s="46" t="s">
        <v>4549</v>
      </c>
      <c r="AB1492" s="47" t="s">
        <v>3941</v>
      </c>
      <c r="AC1492" s="48" t="s">
        <v>7058</v>
      </c>
      <c r="AD1492" s="30"/>
      <c r="AE1492" s="200"/>
      <c r="AF1492" s="100"/>
      <c r="AR1492" s="241">
        <v>2</v>
      </c>
      <c r="AS1492" s="241" t="s">
        <v>9587</v>
      </c>
    </row>
    <row r="1493" spans="1:45" s="32" customFormat="1" ht="69.95" hidden="1" customHeight="1">
      <c r="A1493" s="29" t="s">
        <v>5288</v>
      </c>
      <c r="B1493" s="29" t="s">
        <v>8652</v>
      </c>
      <c r="C1493" s="40" t="s">
        <v>42</v>
      </c>
      <c r="D1493" s="40"/>
      <c r="E1493" s="57" t="s">
        <v>299</v>
      </c>
      <c r="F1493" s="57" t="s">
        <v>299</v>
      </c>
      <c r="G1493" s="29" t="s">
        <v>3083</v>
      </c>
      <c r="H1493" s="29"/>
      <c r="I1493" s="29"/>
      <c r="J1493" s="29">
        <f t="shared" si="111"/>
        <v>1</v>
      </c>
      <c r="K1493" s="42">
        <v>1479</v>
      </c>
      <c r="L1493" s="43" t="s">
        <v>3084</v>
      </c>
      <c r="M1493" s="44" t="s">
        <v>417</v>
      </c>
      <c r="N1493" s="44" t="s">
        <v>418</v>
      </c>
      <c r="O1493" s="44" t="str">
        <f t="shared" si="112"/>
        <v>PE-M1-3C120-29</v>
      </c>
      <c r="P1493" s="45">
        <v>3000</v>
      </c>
      <c r="Q1493" s="44">
        <v>10000</v>
      </c>
      <c r="R1493" s="44" t="s">
        <v>49</v>
      </c>
      <c r="S1493" s="44">
        <v>520</v>
      </c>
      <c r="T1493" s="46" t="s">
        <v>6998</v>
      </c>
      <c r="U1493" s="46" t="s">
        <v>5288</v>
      </c>
      <c r="V1493" s="46" t="s">
        <v>344</v>
      </c>
      <c r="W1493" s="46" t="s">
        <v>335</v>
      </c>
      <c r="X1493" s="47" t="s">
        <v>51</v>
      </c>
      <c r="Y1493" s="46" t="s">
        <v>7059</v>
      </c>
      <c r="Z1493" s="46" t="s">
        <v>7060</v>
      </c>
      <c r="AA1493" s="46" t="s">
        <v>4549</v>
      </c>
      <c r="AB1493" s="47" t="s">
        <v>3941</v>
      </c>
      <c r="AC1493" s="48" t="s">
        <v>7061</v>
      </c>
      <c r="AD1493" s="30"/>
      <c r="AE1493" s="200"/>
      <c r="AF1493" s="100"/>
      <c r="AR1493" s="241">
        <v>2</v>
      </c>
      <c r="AS1493" s="241" t="s">
        <v>9587</v>
      </c>
    </row>
    <row r="1494" spans="1:45" s="32" customFormat="1" ht="69.95" hidden="1" customHeight="1">
      <c r="A1494" s="29" t="s">
        <v>5308</v>
      </c>
      <c r="B1494" s="29" t="s">
        <v>8652</v>
      </c>
      <c r="C1494" s="40" t="s">
        <v>42</v>
      </c>
      <c r="D1494" s="40"/>
      <c r="E1494" s="57" t="s">
        <v>300</v>
      </c>
      <c r="F1494" s="57" t="s">
        <v>300</v>
      </c>
      <c r="G1494" s="29" t="s">
        <v>3085</v>
      </c>
      <c r="H1494" s="29"/>
      <c r="I1494" s="29"/>
      <c r="J1494" s="29">
        <f t="shared" si="111"/>
        <v>1</v>
      </c>
      <c r="K1494" s="42">
        <v>1480</v>
      </c>
      <c r="L1494" s="43" t="s">
        <v>3086</v>
      </c>
      <c r="M1494" s="44" t="s">
        <v>417</v>
      </c>
      <c r="N1494" s="44" t="s">
        <v>418</v>
      </c>
      <c r="O1494" s="44" t="str">
        <f t="shared" si="112"/>
        <v>PE-M1-3C120-30</v>
      </c>
      <c r="P1494" s="45">
        <v>3000</v>
      </c>
      <c r="Q1494" s="44">
        <v>10000</v>
      </c>
      <c r="R1494" s="44" t="s">
        <v>49</v>
      </c>
      <c r="S1494" s="44">
        <v>520</v>
      </c>
      <c r="T1494" s="46" t="s">
        <v>6998</v>
      </c>
      <c r="U1494" s="46" t="s">
        <v>5308</v>
      </c>
      <c r="V1494" s="46" t="s">
        <v>360</v>
      </c>
      <c r="W1494" s="46" t="s">
        <v>347</v>
      </c>
      <c r="X1494" s="47" t="s">
        <v>51</v>
      </c>
      <c r="Y1494" s="46" t="s">
        <v>7062</v>
      </c>
      <c r="Z1494" s="46" t="s">
        <v>7063</v>
      </c>
      <c r="AA1494" s="46" t="s">
        <v>4549</v>
      </c>
      <c r="AB1494" s="47" t="s">
        <v>3941</v>
      </c>
      <c r="AC1494" s="48" t="s">
        <v>7064</v>
      </c>
      <c r="AD1494" s="30"/>
      <c r="AE1494" s="200"/>
      <c r="AF1494" s="100"/>
      <c r="AR1494" s="241">
        <v>2</v>
      </c>
      <c r="AS1494" s="241" t="s">
        <v>9587</v>
      </c>
    </row>
    <row r="1495" spans="1:45" s="32" customFormat="1" ht="69.95" hidden="1" customHeight="1">
      <c r="A1495" s="29" t="s">
        <v>5473</v>
      </c>
      <c r="B1495" s="29" t="s">
        <v>8652</v>
      </c>
      <c r="C1495" s="40" t="s">
        <v>40</v>
      </c>
      <c r="D1495" s="40"/>
      <c r="E1495" s="66" t="s">
        <v>180</v>
      </c>
      <c r="F1495" s="66" t="s">
        <v>180</v>
      </c>
      <c r="G1495" s="29" t="s">
        <v>3087</v>
      </c>
      <c r="H1495" s="29"/>
      <c r="I1495" s="124" t="s">
        <v>9121</v>
      </c>
      <c r="J1495" s="29">
        <f t="shared" si="111"/>
        <v>1</v>
      </c>
      <c r="K1495" s="42">
        <v>1481</v>
      </c>
      <c r="L1495" s="152" t="s">
        <v>3088</v>
      </c>
      <c r="M1495" s="44" t="s">
        <v>417</v>
      </c>
      <c r="N1495" s="44" t="s">
        <v>418</v>
      </c>
      <c r="O1495" s="101" t="str">
        <f>F1495</f>
        <v>PE-M1-3C120-10</v>
      </c>
      <c r="P1495" s="45">
        <v>2000</v>
      </c>
      <c r="Q1495" s="44">
        <v>10000</v>
      </c>
      <c r="R1495" s="44" t="s">
        <v>49</v>
      </c>
      <c r="S1495" s="101">
        <v>50</v>
      </c>
      <c r="T1495" s="46" t="s">
        <v>6998</v>
      </c>
      <c r="U1495" s="46" t="s">
        <v>5473</v>
      </c>
      <c r="V1495" s="46" t="s">
        <v>5474</v>
      </c>
      <c r="W1495" s="46" t="s">
        <v>335</v>
      </c>
      <c r="X1495" s="47" t="s">
        <v>51</v>
      </c>
      <c r="Y1495" s="46" t="s">
        <v>7065</v>
      </c>
      <c r="Z1495" s="46" t="s">
        <v>7066</v>
      </c>
      <c r="AA1495" s="46" t="s">
        <v>335</v>
      </c>
      <c r="AB1495" s="47" t="s">
        <v>3941</v>
      </c>
      <c r="AC1495" s="48" t="s">
        <v>7067</v>
      </c>
      <c r="AD1495" s="30"/>
      <c r="AE1495" s="200"/>
      <c r="AF1495" s="100"/>
      <c r="AR1495" s="241">
        <v>2</v>
      </c>
      <c r="AS1495" s="241" t="s">
        <v>9587</v>
      </c>
    </row>
    <row r="1496" spans="1:45" s="32" customFormat="1" ht="69.95" hidden="1" customHeight="1">
      <c r="A1496" s="29" t="s">
        <v>5482</v>
      </c>
      <c r="B1496" s="29" t="s">
        <v>8652</v>
      </c>
      <c r="C1496" s="40" t="s">
        <v>40</v>
      </c>
      <c r="D1496" s="40"/>
      <c r="E1496" s="66" t="s">
        <v>180</v>
      </c>
      <c r="F1496" s="66" t="s">
        <v>180</v>
      </c>
      <c r="G1496" s="29" t="s">
        <v>3089</v>
      </c>
      <c r="H1496" s="29"/>
      <c r="I1496" s="124" t="s">
        <v>9121</v>
      </c>
      <c r="J1496" s="29">
        <f t="shared" si="111"/>
        <v>1</v>
      </c>
      <c r="K1496" s="42">
        <v>1482</v>
      </c>
      <c r="L1496" s="152" t="s">
        <v>3090</v>
      </c>
      <c r="M1496" s="44" t="s">
        <v>417</v>
      </c>
      <c r="N1496" s="44" t="s">
        <v>418</v>
      </c>
      <c r="O1496" s="101" t="str">
        <f>F1496</f>
        <v>PE-M1-3C120-10</v>
      </c>
      <c r="P1496" s="45">
        <v>2000</v>
      </c>
      <c r="Q1496" s="44">
        <v>10000</v>
      </c>
      <c r="R1496" s="44" t="s">
        <v>49</v>
      </c>
      <c r="S1496" s="101">
        <v>40</v>
      </c>
      <c r="T1496" s="46" t="s">
        <v>6998</v>
      </c>
      <c r="U1496" s="46" t="s">
        <v>5482</v>
      </c>
      <c r="V1496" s="46" t="s">
        <v>5483</v>
      </c>
      <c r="W1496" s="46" t="s">
        <v>335</v>
      </c>
      <c r="X1496" s="47" t="s">
        <v>51</v>
      </c>
      <c r="Y1496" s="46" t="s">
        <v>7068</v>
      </c>
      <c r="Z1496" s="46" t="s">
        <v>7069</v>
      </c>
      <c r="AA1496" s="46" t="s">
        <v>335</v>
      </c>
      <c r="AB1496" s="47" t="s">
        <v>3941</v>
      </c>
      <c r="AC1496" s="48" t="s">
        <v>7070</v>
      </c>
      <c r="AD1496" s="30"/>
      <c r="AE1496" s="200"/>
      <c r="AF1496" s="100"/>
      <c r="AR1496" s="241">
        <v>2</v>
      </c>
      <c r="AS1496" s="241" t="s">
        <v>9587</v>
      </c>
    </row>
    <row r="1497" spans="1:45" s="32" customFormat="1" ht="69.95" hidden="1" customHeight="1">
      <c r="A1497" s="29" t="s">
        <v>5473</v>
      </c>
      <c r="B1497" s="29" t="s">
        <v>8652</v>
      </c>
      <c r="C1497" s="40" t="s">
        <v>41</v>
      </c>
      <c r="D1497" s="40"/>
      <c r="E1497" s="66" t="s">
        <v>287</v>
      </c>
      <c r="F1497" s="66" t="s">
        <v>287</v>
      </c>
      <c r="G1497" s="29" t="s">
        <v>3091</v>
      </c>
      <c r="H1497" s="29"/>
      <c r="I1497" s="124" t="s">
        <v>9121</v>
      </c>
      <c r="J1497" s="29">
        <f t="shared" si="111"/>
        <v>1</v>
      </c>
      <c r="K1497" s="42">
        <v>1483</v>
      </c>
      <c r="L1497" s="152" t="s">
        <v>3092</v>
      </c>
      <c r="M1497" s="44" t="s">
        <v>417</v>
      </c>
      <c r="N1497" s="44" t="s">
        <v>418</v>
      </c>
      <c r="O1497" s="101" t="str">
        <f>F1497</f>
        <v>PE-M1-3C120-11</v>
      </c>
      <c r="P1497" s="45">
        <v>2000</v>
      </c>
      <c r="Q1497" s="44">
        <v>10000</v>
      </c>
      <c r="R1497" s="44" t="s">
        <v>49</v>
      </c>
      <c r="S1497" s="101">
        <v>50</v>
      </c>
      <c r="T1497" s="46" t="s">
        <v>6998</v>
      </c>
      <c r="U1497" s="46" t="s">
        <v>5473</v>
      </c>
      <c r="V1497" s="46" t="s">
        <v>5474</v>
      </c>
      <c r="W1497" s="46" t="s">
        <v>335</v>
      </c>
      <c r="X1497" s="47" t="s">
        <v>51</v>
      </c>
      <c r="Y1497" s="46" t="s">
        <v>7071</v>
      </c>
      <c r="Z1497" s="46" t="s">
        <v>7072</v>
      </c>
      <c r="AA1497" s="46" t="s">
        <v>335</v>
      </c>
      <c r="AB1497" s="47" t="s">
        <v>3941</v>
      </c>
      <c r="AC1497" s="48" t="s">
        <v>7073</v>
      </c>
      <c r="AD1497" s="30"/>
      <c r="AE1497" s="200"/>
      <c r="AF1497" s="100"/>
      <c r="AR1497" s="241">
        <v>2</v>
      </c>
      <c r="AS1497" s="241" t="s">
        <v>9587</v>
      </c>
    </row>
    <row r="1498" spans="1:45" s="32" customFormat="1" ht="69.95" hidden="1" customHeight="1">
      <c r="A1498" s="29" t="s">
        <v>5482</v>
      </c>
      <c r="B1498" s="29" t="s">
        <v>8652</v>
      </c>
      <c r="C1498" s="40" t="s">
        <v>41</v>
      </c>
      <c r="D1498" s="40"/>
      <c r="E1498" s="66" t="s">
        <v>287</v>
      </c>
      <c r="F1498" s="66" t="s">
        <v>287</v>
      </c>
      <c r="G1498" s="29" t="s">
        <v>3093</v>
      </c>
      <c r="H1498" s="29"/>
      <c r="I1498" s="124" t="s">
        <v>9121</v>
      </c>
      <c r="J1498" s="29">
        <f t="shared" si="111"/>
        <v>1</v>
      </c>
      <c r="K1498" s="42">
        <v>1484</v>
      </c>
      <c r="L1498" s="152" t="s">
        <v>3094</v>
      </c>
      <c r="M1498" s="44" t="s">
        <v>417</v>
      </c>
      <c r="N1498" s="44" t="s">
        <v>418</v>
      </c>
      <c r="O1498" s="101" t="str">
        <f>F1498</f>
        <v>PE-M1-3C120-11</v>
      </c>
      <c r="P1498" s="45">
        <v>2000</v>
      </c>
      <c r="Q1498" s="44">
        <v>10000</v>
      </c>
      <c r="R1498" s="44" t="s">
        <v>49</v>
      </c>
      <c r="S1498" s="101">
        <v>40</v>
      </c>
      <c r="T1498" s="46" t="s">
        <v>6998</v>
      </c>
      <c r="U1498" s="46" t="s">
        <v>5482</v>
      </c>
      <c r="V1498" s="46" t="s">
        <v>5483</v>
      </c>
      <c r="W1498" s="46" t="s">
        <v>335</v>
      </c>
      <c r="X1498" s="47" t="s">
        <v>51</v>
      </c>
      <c r="Y1498" s="46" t="s">
        <v>7074</v>
      </c>
      <c r="Z1498" s="46" t="s">
        <v>7075</v>
      </c>
      <c r="AA1498" s="46" t="s">
        <v>335</v>
      </c>
      <c r="AB1498" s="47" t="s">
        <v>3941</v>
      </c>
      <c r="AC1498" s="48" t="s">
        <v>7076</v>
      </c>
      <c r="AD1498" s="30"/>
      <c r="AE1498" s="200"/>
      <c r="AF1498" s="100"/>
      <c r="AR1498" s="241">
        <v>2</v>
      </c>
      <c r="AS1498" s="241" t="s">
        <v>9587</v>
      </c>
    </row>
    <row r="1499" spans="1:45" s="32" customFormat="1" ht="69.95" hidden="1" customHeight="1">
      <c r="A1499" s="29" t="s">
        <v>5473</v>
      </c>
      <c r="B1499" s="29" t="s">
        <v>8652</v>
      </c>
      <c r="C1499" s="40" t="s">
        <v>42</v>
      </c>
      <c r="D1499" s="236" t="s">
        <v>9540</v>
      </c>
      <c r="E1499" s="66" t="s">
        <v>301</v>
      </c>
      <c r="F1499" s="66" t="s">
        <v>301</v>
      </c>
      <c r="G1499" s="29" t="s">
        <v>3095</v>
      </c>
      <c r="H1499" s="29"/>
      <c r="I1499" s="29"/>
      <c r="J1499" s="29">
        <f t="shared" si="111"/>
        <v>1</v>
      </c>
      <c r="K1499" s="189">
        <v>1485</v>
      </c>
      <c r="L1499" s="43" t="s">
        <v>9539</v>
      </c>
      <c r="M1499" s="44" t="s">
        <v>417</v>
      </c>
      <c r="N1499" s="44" t="s">
        <v>418</v>
      </c>
      <c r="O1499" s="44" t="str">
        <f t="shared" ref="O1499:O1500" si="113">F1499</f>
        <v>PE-M1-3C120-16</v>
      </c>
      <c r="P1499" s="45">
        <v>2500</v>
      </c>
      <c r="Q1499" s="44">
        <v>10000</v>
      </c>
      <c r="R1499" s="44" t="s">
        <v>49</v>
      </c>
      <c r="S1499" s="188">
        <v>530</v>
      </c>
      <c r="T1499" s="46" t="s">
        <v>6998</v>
      </c>
      <c r="U1499" s="46" t="s">
        <v>5473</v>
      </c>
      <c r="V1499" s="46" t="s">
        <v>5474</v>
      </c>
      <c r="W1499" s="46" t="s">
        <v>335</v>
      </c>
      <c r="X1499" s="47" t="s">
        <v>51</v>
      </c>
      <c r="Y1499" s="46" t="s">
        <v>7077</v>
      </c>
      <c r="Z1499" s="46" t="s">
        <v>7078</v>
      </c>
      <c r="AA1499" s="46" t="s">
        <v>5154</v>
      </c>
      <c r="AB1499" s="47" t="s">
        <v>3941</v>
      </c>
      <c r="AC1499" s="190" t="s">
        <v>9303</v>
      </c>
      <c r="AD1499" s="30"/>
      <c r="AE1499" s="200"/>
      <c r="AF1499" s="100"/>
      <c r="AR1499" s="241">
        <v>2</v>
      </c>
      <c r="AS1499" s="241" t="s">
        <v>9587</v>
      </c>
    </row>
    <row r="1500" spans="1:45" s="32" customFormat="1" ht="69.95" hidden="1" customHeight="1">
      <c r="A1500" s="29" t="s">
        <v>5482</v>
      </c>
      <c r="B1500" s="29" t="s">
        <v>8652</v>
      </c>
      <c r="C1500" s="40" t="s">
        <v>42</v>
      </c>
      <c r="D1500" s="40"/>
      <c r="E1500" s="66" t="s">
        <v>302</v>
      </c>
      <c r="F1500" s="66" t="s">
        <v>302</v>
      </c>
      <c r="G1500" s="29" t="s">
        <v>3096</v>
      </c>
      <c r="H1500" s="29"/>
      <c r="I1500" s="29"/>
      <c r="J1500" s="29">
        <f t="shared" si="111"/>
        <v>1</v>
      </c>
      <c r="K1500" s="42">
        <v>1486</v>
      </c>
      <c r="L1500" s="43" t="s">
        <v>3097</v>
      </c>
      <c r="M1500" s="44" t="s">
        <v>417</v>
      </c>
      <c r="N1500" s="44" t="s">
        <v>418</v>
      </c>
      <c r="O1500" s="44" t="str">
        <f t="shared" si="113"/>
        <v>PE-M1-3C120-17</v>
      </c>
      <c r="P1500" s="45">
        <v>2500</v>
      </c>
      <c r="Q1500" s="44">
        <v>10000</v>
      </c>
      <c r="R1500" s="44" t="s">
        <v>49</v>
      </c>
      <c r="S1500" s="44">
        <v>550</v>
      </c>
      <c r="T1500" s="46" t="s">
        <v>6998</v>
      </c>
      <c r="U1500" s="46" t="s">
        <v>5482</v>
      </c>
      <c r="V1500" s="46" t="s">
        <v>5483</v>
      </c>
      <c r="W1500" s="46" t="s">
        <v>335</v>
      </c>
      <c r="X1500" s="47" t="s">
        <v>51</v>
      </c>
      <c r="Y1500" s="46" t="s">
        <v>7079</v>
      </c>
      <c r="Z1500" s="46" t="s">
        <v>7080</v>
      </c>
      <c r="AA1500" s="46" t="s">
        <v>5154</v>
      </c>
      <c r="AB1500" s="47" t="s">
        <v>3941</v>
      </c>
      <c r="AC1500" s="48" t="s">
        <v>7081</v>
      </c>
      <c r="AD1500" s="30"/>
      <c r="AE1500" s="200"/>
      <c r="AF1500" s="100"/>
      <c r="AR1500" s="241">
        <v>2</v>
      </c>
      <c r="AS1500" s="241" t="s">
        <v>9587</v>
      </c>
    </row>
    <row r="1501" spans="1:45" s="32" customFormat="1" ht="69.95" hidden="1" customHeight="1">
      <c r="A1501" s="29" t="s">
        <v>3938</v>
      </c>
      <c r="B1501" s="29" t="s">
        <v>8652</v>
      </c>
      <c r="C1501" s="40" t="s">
        <v>42</v>
      </c>
      <c r="D1501" s="40"/>
      <c r="E1501" s="57" t="s">
        <v>303</v>
      </c>
      <c r="F1501" s="57" t="s">
        <v>303</v>
      </c>
      <c r="G1501" s="29" t="s">
        <v>3098</v>
      </c>
      <c r="H1501" s="29"/>
      <c r="I1501" s="124" t="s">
        <v>9121</v>
      </c>
      <c r="J1501" s="29">
        <f t="shared" si="111"/>
        <v>1</v>
      </c>
      <c r="K1501" s="42">
        <v>1487</v>
      </c>
      <c r="L1501" s="152" t="s">
        <v>3099</v>
      </c>
      <c r="M1501" s="44" t="s">
        <v>417</v>
      </c>
      <c r="N1501" s="44" t="s">
        <v>2244</v>
      </c>
      <c r="O1501" s="101" t="str">
        <f t="shared" ref="O1501:O1524" si="114">F1501</f>
        <v>PE-M1-1C240-01</v>
      </c>
      <c r="P1501" s="45">
        <v>16000</v>
      </c>
      <c r="Q1501" s="44">
        <v>10000</v>
      </c>
      <c r="R1501" s="44" t="s">
        <v>49</v>
      </c>
      <c r="S1501" s="101">
        <v>30</v>
      </c>
      <c r="T1501" s="46" t="s">
        <v>7082</v>
      </c>
      <c r="U1501" s="46" t="s">
        <v>3938</v>
      </c>
      <c r="V1501" s="46" t="s">
        <v>334</v>
      </c>
      <c r="W1501" s="46" t="s">
        <v>335</v>
      </c>
      <c r="X1501" s="47" t="s">
        <v>304</v>
      </c>
      <c r="Y1501" s="46" t="s">
        <v>5473</v>
      </c>
      <c r="Z1501" s="46" t="s">
        <v>7083</v>
      </c>
      <c r="AA1501" s="46" t="s">
        <v>335</v>
      </c>
      <c r="AB1501" s="47" t="s">
        <v>307</v>
      </c>
      <c r="AC1501" s="48" t="s">
        <v>7084</v>
      </c>
      <c r="AD1501" s="30"/>
      <c r="AE1501" s="200"/>
      <c r="AF1501" s="100"/>
      <c r="AK1501" s="47" t="s">
        <v>9579</v>
      </c>
      <c r="AL1501" s="47"/>
      <c r="AM1501" s="47"/>
      <c r="AN1501" s="47" t="s">
        <v>9579</v>
      </c>
      <c r="AO1501" s="47"/>
      <c r="AP1501" s="47"/>
      <c r="AR1501" s="241">
        <v>2</v>
      </c>
      <c r="AS1501" s="244" t="s">
        <v>9588</v>
      </c>
    </row>
    <row r="1502" spans="1:45" s="29" customFormat="1" ht="69.95" hidden="1" customHeight="1">
      <c r="A1502" s="49" t="s">
        <v>3938</v>
      </c>
      <c r="B1502" s="49" t="s">
        <v>8652</v>
      </c>
      <c r="C1502" s="50" t="s">
        <v>43</v>
      </c>
      <c r="D1502" s="50"/>
      <c r="E1502" s="57" t="s">
        <v>303</v>
      </c>
      <c r="F1502" s="57" t="s">
        <v>303</v>
      </c>
      <c r="I1502" s="124" t="s">
        <v>9121</v>
      </c>
      <c r="J1502" s="29">
        <f t="shared" si="111"/>
        <v>1</v>
      </c>
      <c r="K1502" s="42">
        <v>1488</v>
      </c>
      <c r="L1502" s="152" t="s">
        <v>3100</v>
      </c>
      <c r="M1502" s="43" t="s">
        <v>417</v>
      </c>
      <c r="N1502" s="43" t="s">
        <v>2244</v>
      </c>
      <c r="O1502" s="101" t="str">
        <f t="shared" si="114"/>
        <v>PE-M1-1C240-01</v>
      </c>
      <c r="P1502" s="51">
        <v>16000</v>
      </c>
      <c r="Q1502" s="43">
        <v>10000</v>
      </c>
      <c r="R1502" s="43" t="s">
        <v>49</v>
      </c>
      <c r="S1502" s="152">
        <v>30</v>
      </c>
      <c r="T1502" s="43" t="s">
        <v>7082</v>
      </c>
      <c r="U1502" s="43" t="s">
        <v>3938</v>
      </c>
      <c r="V1502" s="43" t="s">
        <v>334</v>
      </c>
      <c r="W1502" s="43" t="s">
        <v>335</v>
      </c>
      <c r="X1502" s="47" t="s">
        <v>305</v>
      </c>
      <c r="Y1502" s="43" t="s">
        <v>5473</v>
      </c>
      <c r="Z1502" s="43" t="s">
        <v>7083</v>
      </c>
      <c r="AA1502" s="43" t="s">
        <v>335</v>
      </c>
      <c r="AB1502" s="47" t="s">
        <v>308</v>
      </c>
      <c r="AC1502" s="52" t="s">
        <v>7084</v>
      </c>
      <c r="AD1502" s="30"/>
      <c r="AE1502" s="197"/>
      <c r="AF1502" s="100"/>
      <c r="AK1502" s="47" t="s">
        <v>9579</v>
      </c>
      <c r="AL1502" s="47"/>
      <c r="AM1502" s="47"/>
      <c r="AN1502" s="47" t="s">
        <v>9579</v>
      </c>
      <c r="AO1502" s="47"/>
      <c r="AP1502" s="47"/>
      <c r="AR1502" s="241">
        <v>2</v>
      </c>
      <c r="AS1502" s="244" t="s">
        <v>9588</v>
      </c>
    </row>
    <row r="1503" spans="1:45" s="29" customFormat="1" ht="69.95" hidden="1" customHeight="1">
      <c r="A1503" s="49" t="s">
        <v>3938</v>
      </c>
      <c r="B1503" s="49" t="s">
        <v>8652</v>
      </c>
      <c r="C1503" s="50" t="s">
        <v>73</v>
      </c>
      <c r="D1503" s="50"/>
      <c r="E1503" s="57" t="s">
        <v>303</v>
      </c>
      <c r="F1503" s="57" t="s">
        <v>303</v>
      </c>
      <c r="I1503" s="124" t="s">
        <v>9121</v>
      </c>
      <c r="J1503" s="29">
        <f t="shared" si="111"/>
        <v>1</v>
      </c>
      <c r="K1503" s="42">
        <v>1489</v>
      </c>
      <c r="L1503" s="152" t="s">
        <v>3101</v>
      </c>
      <c r="M1503" s="43" t="s">
        <v>417</v>
      </c>
      <c r="N1503" s="43" t="s">
        <v>2244</v>
      </c>
      <c r="O1503" s="101" t="str">
        <f t="shared" si="114"/>
        <v>PE-M1-1C240-01</v>
      </c>
      <c r="P1503" s="51">
        <v>16000</v>
      </c>
      <c r="Q1503" s="43">
        <v>10000</v>
      </c>
      <c r="R1503" s="43" t="s">
        <v>49</v>
      </c>
      <c r="S1503" s="152">
        <v>30</v>
      </c>
      <c r="T1503" s="43" t="s">
        <v>7082</v>
      </c>
      <c r="U1503" s="43" t="s">
        <v>3938</v>
      </c>
      <c r="V1503" s="43" t="s">
        <v>334</v>
      </c>
      <c r="W1503" s="43" t="s">
        <v>335</v>
      </c>
      <c r="X1503" s="47" t="s">
        <v>306</v>
      </c>
      <c r="Y1503" s="43" t="s">
        <v>5473</v>
      </c>
      <c r="Z1503" s="43" t="s">
        <v>7083</v>
      </c>
      <c r="AA1503" s="43" t="s">
        <v>335</v>
      </c>
      <c r="AB1503" s="47" t="s">
        <v>309</v>
      </c>
      <c r="AC1503" s="52" t="s">
        <v>7084</v>
      </c>
      <c r="AD1503" s="30"/>
      <c r="AE1503" s="197"/>
      <c r="AF1503" s="100"/>
      <c r="AK1503" s="47" t="s">
        <v>9579</v>
      </c>
      <c r="AL1503" s="47"/>
      <c r="AM1503" s="47"/>
      <c r="AN1503" s="47" t="s">
        <v>9579</v>
      </c>
      <c r="AO1503" s="47"/>
      <c r="AP1503" s="47"/>
      <c r="AR1503" s="241">
        <v>2</v>
      </c>
      <c r="AS1503" s="244" t="s">
        <v>9588</v>
      </c>
    </row>
    <row r="1504" spans="1:45" s="29" customFormat="1" ht="69.95" hidden="1" customHeight="1">
      <c r="A1504" s="49" t="s">
        <v>3938</v>
      </c>
      <c r="B1504" s="49" t="s">
        <v>8652</v>
      </c>
      <c r="C1504" s="50" t="s">
        <v>75</v>
      </c>
      <c r="D1504" s="50"/>
      <c r="E1504" s="57" t="s">
        <v>303</v>
      </c>
      <c r="F1504" s="57" t="s">
        <v>303</v>
      </c>
      <c r="I1504" s="124" t="s">
        <v>9121</v>
      </c>
      <c r="J1504" s="29">
        <f t="shared" si="111"/>
        <v>1</v>
      </c>
      <c r="K1504" s="42">
        <v>1490</v>
      </c>
      <c r="L1504" s="152" t="s">
        <v>3102</v>
      </c>
      <c r="M1504" s="43" t="s">
        <v>417</v>
      </c>
      <c r="N1504" s="43" t="s">
        <v>2244</v>
      </c>
      <c r="O1504" s="101" t="str">
        <f t="shared" si="114"/>
        <v>PE-M1-1C240-01</v>
      </c>
      <c r="P1504" s="51">
        <v>16000</v>
      </c>
      <c r="Q1504" s="43">
        <v>10000</v>
      </c>
      <c r="R1504" s="43" t="s">
        <v>49</v>
      </c>
      <c r="S1504" s="152">
        <v>30</v>
      </c>
      <c r="T1504" s="43" t="s">
        <v>7082</v>
      </c>
      <c r="U1504" s="43" t="s">
        <v>3938</v>
      </c>
      <c r="V1504" s="43" t="s">
        <v>334</v>
      </c>
      <c r="W1504" s="43" t="s">
        <v>335</v>
      </c>
      <c r="X1504" s="47" t="s">
        <v>307</v>
      </c>
      <c r="Y1504" s="43" t="s">
        <v>5473</v>
      </c>
      <c r="Z1504" s="43" t="s">
        <v>7083</v>
      </c>
      <c r="AA1504" s="43" t="s">
        <v>335</v>
      </c>
      <c r="AB1504" s="47" t="s">
        <v>307</v>
      </c>
      <c r="AC1504" s="48" t="s">
        <v>7084</v>
      </c>
      <c r="AD1504" s="30"/>
      <c r="AE1504" s="197"/>
      <c r="AF1504" s="100"/>
      <c r="AK1504" s="47" t="s">
        <v>9579</v>
      </c>
      <c r="AL1504" s="47"/>
      <c r="AM1504" s="47"/>
      <c r="AN1504" s="47" t="s">
        <v>9579</v>
      </c>
      <c r="AO1504" s="47"/>
      <c r="AP1504" s="47"/>
      <c r="AR1504" s="241">
        <v>2</v>
      </c>
      <c r="AS1504" s="244" t="s">
        <v>9588</v>
      </c>
    </row>
    <row r="1505" spans="1:45" s="29" customFormat="1" ht="69.95" hidden="1" customHeight="1">
      <c r="A1505" s="49" t="s">
        <v>3938</v>
      </c>
      <c r="B1505" s="49" t="s">
        <v>8652</v>
      </c>
      <c r="C1505" s="49">
        <v>10</v>
      </c>
      <c r="D1505" s="49"/>
      <c r="E1505" s="57" t="s">
        <v>303</v>
      </c>
      <c r="F1505" s="57" t="s">
        <v>303</v>
      </c>
      <c r="I1505" s="124" t="s">
        <v>9121</v>
      </c>
      <c r="J1505" s="29">
        <f t="shared" si="111"/>
        <v>1</v>
      </c>
      <c r="K1505" s="42">
        <v>1491</v>
      </c>
      <c r="L1505" s="152" t="s">
        <v>3103</v>
      </c>
      <c r="M1505" s="43" t="s">
        <v>417</v>
      </c>
      <c r="N1505" s="43" t="s">
        <v>2244</v>
      </c>
      <c r="O1505" s="101" t="str">
        <f t="shared" si="114"/>
        <v>PE-M1-1C240-01</v>
      </c>
      <c r="P1505" s="51">
        <v>16000</v>
      </c>
      <c r="Q1505" s="43">
        <v>10000</v>
      </c>
      <c r="R1505" s="43" t="s">
        <v>49</v>
      </c>
      <c r="S1505" s="152">
        <v>30</v>
      </c>
      <c r="T1505" s="43" t="s">
        <v>7082</v>
      </c>
      <c r="U1505" s="43" t="s">
        <v>3938</v>
      </c>
      <c r="V1505" s="43" t="s">
        <v>334</v>
      </c>
      <c r="W1505" s="43" t="s">
        <v>335</v>
      </c>
      <c r="X1505" s="47" t="s">
        <v>308</v>
      </c>
      <c r="Y1505" s="43" t="s">
        <v>5473</v>
      </c>
      <c r="Z1505" s="43" t="s">
        <v>7083</v>
      </c>
      <c r="AA1505" s="43" t="s">
        <v>335</v>
      </c>
      <c r="AB1505" s="47" t="s">
        <v>308</v>
      </c>
      <c r="AC1505" s="52" t="s">
        <v>7084</v>
      </c>
      <c r="AD1505" s="30"/>
      <c r="AE1505" s="197"/>
      <c r="AF1505" s="100"/>
      <c r="AK1505" s="47" t="s">
        <v>9579</v>
      </c>
      <c r="AL1505" s="47"/>
      <c r="AM1505" s="47"/>
      <c r="AN1505" s="47" t="s">
        <v>9579</v>
      </c>
      <c r="AO1505" s="47"/>
      <c r="AP1505" s="47"/>
      <c r="AR1505" s="241">
        <v>2</v>
      </c>
      <c r="AS1505" s="244" t="s">
        <v>9588</v>
      </c>
    </row>
    <row r="1506" spans="1:45" s="29" customFormat="1" ht="69.95" hidden="1" customHeight="1">
      <c r="A1506" s="49" t="s">
        <v>3938</v>
      </c>
      <c r="B1506" s="49" t="s">
        <v>8652</v>
      </c>
      <c r="C1506" s="49">
        <v>11</v>
      </c>
      <c r="D1506" s="49"/>
      <c r="E1506" s="57" t="s">
        <v>303</v>
      </c>
      <c r="F1506" s="57" t="s">
        <v>303</v>
      </c>
      <c r="I1506" s="124" t="s">
        <v>9121</v>
      </c>
      <c r="J1506" s="29">
        <f t="shared" si="111"/>
        <v>1</v>
      </c>
      <c r="K1506" s="42">
        <v>1492</v>
      </c>
      <c r="L1506" s="152" t="s">
        <v>3104</v>
      </c>
      <c r="M1506" s="43" t="s">
        <v>417</v>
      </c>
      <c r="N1506" s="43" t="s">
        <v>2244</v>
      </c>
      <c r="O1506" s="101" t="str">
        <f t="shared" si="114"/>
        <v>PE-M1-1C240-01</v>
      </c>
      <c r="P1506" s="51">
        <v>16000</v>
      </c>
      <c r="Q1506" s="43">
        <v>10000</v>
      </c>
      <c r="R1506" s="43" t="s">
        <v>49</v>
      </c>
      <c r="S1506" s="152">
        <v>30</v>
      </c>
      <c r="T1506" s="43" t="s">
        <v>7082</v>
      </c>
      <c r="U1506" s="43" t="s">
        <v>3938</v>
      </c>
      <c r="V1506" s="43" t="s">
        <v>334</v>
      </c>
      <c r="W1506" s="43" t="s">
        <v>335</v>
      </c>
      <c r="X1506" s="47" t="s">
        <v>309</v>
      </c>
      <c r="Y1506" s="43" t="s">
        <v>5473</v>
      </c>
      <c r="Z1506" s="43" t="s">
        <v>7083</v>
      </c>
      <c r="AA1506" s="43" t="s">
        <v>335</v>
      </c>
      <c r="AB1506" s="47" t="s">
        <v>309</v>
      </c>
      <c r="AC1506" s="52" t="s">
        <v>7084</v>
      </c>
      <c r="AD1506" s="30"/>
      <c r="AE1506" s="197"/>
      <c r="AF1506" s="100"/>
      <c r="AK1506" s="47" t="s">
        <v>9579</v>
      </c>
      <c r="AL1506" s="47"/>
      <c r="AM1506" s="47"/>
      <c r="AN1506" s="47" t="s">
        <v>9579</v>
      </c>
      <c r="AO1506" s="47"/>
      <c r="AP1506" s="47"/>
      <c r="AR1506" s="241">
        <v>2</v>
      </c>
      <c r="AS1506" s="244" t="s">
        <v>9588</v>
      </c>
    </row>
    <row r="1507" spans="1:45" s="32" customFormat="1" ht="69.95" hidden="1" customHeight="1">
      <c r="A1507" s="29" t="s">
        <v>3975</v>
      </c>
      <c r="B1507" s="29" t="s">
        <v>8652</v>
      </c>
      <c r="C1507" s="40" t="s">
        <v>42</v>
      </c>
      <c r="D1507" s="40"/>
      <c r="E1507" s="57" t="s">
        <v>303</v>
      </c>
      <c r="F1507" s="57" t="s">
        <v>303</v>
      </c>
      <c r="G1507" s="29" t="s">
        <v>3105</v>
      </c>
      <c r="H1507" s="29"/>
      <c r="I1507" s="124" t="s">
        <v>9121</v>
      </c>
      <c r="J1507" s="29">
        <f t="shared" si="111"/>
        <v>1</v>
      </c>
      <c r="K1507" s="42">
        <v>1493</v>
      </c>
      <c r="L1507" s="152" t="s">
        <v>3106</v>
      </c>
      <c r="M1507" s="44" t="s">
        <v>417</v>
      </c>
      <c r="N1507" s="44" t="s">
        <v>2244</v>
      </c>
      <c r="O1507" s="101" t="str">
        <f t="shared" si="114"/>
        <v>PE-M1-1C240-01</v>
      </c>
      <c r="P1507" s="45">
        <v>16000</v>
      </c>
      <c r="Q1507" s="44">
        <v>10000</v>
      </c>
      <c r="R1507" s="44" t="s">
        <v>49</v>
      </c>
      <c r="S1507" s="101">
        <v>40</v>
      </c>
      <c r="T1507" s="46" t="s">
        <v>7082</v>
      </c>
      <c r="U1507" s="46" t="s">
        <v>3975</v>
      </c>
      <c r="V1507" s="46" t="s">
        <v>342</v>
      </c>
      <c r="W1507" s="46" t="s">
        <v>335</v>
      </c>
      <c r="X1507" s="47" t="s">
        <v>307</v>
      </c>
      <c r="Y1507" s="46" t="s">
        <v>5482</v>
      </c>
      <c r="Z1507" s="46" t="s">
        <v>7085</v>
      </c>
      <c r="AA1507" s="46" t="s">
        <v>335</v>
      </c>
      <c r="AB1507" s="47" t="s">
        <v>307</v>
      </c>
      <c r="AC1507" s="48" t="s">
        <v>7086</v>
      </c>
      <c r="AD1507" s="30"/>
      <c r="AE1507" s="200"/>
      <c r="AF1507" s="100"/>
      <c r="AK1507" s="47" t="s">
        <v>9579</v>
      </c>
      <c r="AL1507" s="47"/>
      <c r="AM1507" s="47"/>
      <c r="AN1507" s="47" t="s">
        <v>9579</v>
      </c>
      <c r="AO1507" s="47"/>
      <c r="AP1507" s="47"/>
      <c r="AR1507" s="241">
        <v>2</v>
      </c>
      <c r="AS1507" s="244" t="s">
        <v>9588</v>
      </c>
    </row>
    <row r="1508" spans="1:45" s="29" customFormat="1" ht="69.95" hidden="1" customHeight="1">
      <c r="A1508" s="49" t="s">
        <v>3975</v>
      </c>
      <c r="B1508" s="49" t="s">
        <v>8652</v>
      </c>
      <c r="C1508" s="50" t="s">
        <v>43</v>
      </c>
      <c r="D1508" s="50"/>
      <c r="E1508" s="57" t="s">
        <v>303</v>
      </c>
      <c r="F1508" s="57" t="s">
        <v>303</v>
      </c>
      <c r="I1508" s="124" t="s">
        <v>9121</v>
      </c>
      <c r="J1508" s="29">
        <f t="shared" si="111"/>
        <v>1</v>
      </c>
      <c r="K1508" s="42">
        <v>1494</v>
      </c>
      <c r="L1508" s="152" t="s">
        <v>3107</v>
      </c>
      <c r="M1508" s="43" t="s">
        <v>417</v>
      </c>
      <c r="N1508" s="43" t="s">
        <v>2244</v>
      </c>
      <c r="O1508" s="101" t="str">
        <f t="shared" si="114"/>
        <v>PE-M1-1C240-01</v>
      </c>
      <c r="P1508" s="51">
        <v>16000</v>
      </c>
      <c r="Q1508" s="43">
        <v>10000</v>
      </c>
      <c r="R1508" s="43" t="s">
        <v>49</v>
      </c>
      <c r="S1508" s="152">
        <v>40</v>
      </c>
      <c r="T1508" s="43" t="s">
        <v>7082</v>
      </c>
      <c r="U1508" s="43" t="s">
        <v>3975</v>
      </c>
      <c r="V1508" s="43" t="s">
        <v>342</v>
      </c>
      <c r="W1508" s="43" t="s">
        <v>335</v>
      </c>
      <c r="X1508" s="47" t="s">
        <v>308</v>
      </c>
      <c r="Y1508" s="43" t="s">
        <v>5482</v>
      </c>
      <c r="Z1508" s="43" t="s">
        <v>7085</v>
      </c>
      <c r="AA1508" s="43" t="s">
        <v>335</v>
      </c>
      <c r="AB1508" s="47" t="s">
        <v>308</v>
      </c>
      <c r="AC1508" s="52" t="s">
        <v>7086</v>
      </c>
      <c r="AD1508" s="30"/>
      <c r="AE1508" s="197"/>
      <c r="AF1508" s="100"/>
      <c r="AK1508" s="47" t="s">
        <v>9579</v>
      </c>
      <c r="AL1508" s="47"/>
      <c r="AM1508" s="47"/>
      <c r="AN1508" s="47" t="s">
        <v>9579</v>
      </c>
      <c r="AO1508" s="47"/>
      <c r="AP1508" s="47"/>
      <c r="AR1508" s="241">
        <v>2</v>
      </c>
      <c r="AS1508" s="244" t="s">
        <v>9588</v>
      </c>
    </row>
    <row r="1509" spans="1:45" s="29" customFormat="1" ht="69.95" hidden="1" customHeight="1">
      <c r="A1509" s="49" t="s">
        <v>3975</v>
      </c>
      <c r="B1509" s="49" t="s">
        <v>8652</v>
      </c>
      <c r="C1509" s="50" t="s">
        <v>73</v>
      </c>
      <c r="D1509" s="50"/>
      <c r="E1509" s="57" t="s">
        <v>303</v>
      </c>
      <c r="F1509" s="57" t="s">
        <v>303</v>
      </c>
      <c r="I1509" s="124" t="s">
        <v>9121</v>
      </c>
      <c r="J1509" s="29">
        <f t="shared" si="111"/>
        <v>1</v>
      </c>
      <c r="K1509" s="42">
        <v>1495</v>
      </c>
      <c r="L1509" s="152" t="s">
        <v>3108</v>
      </c>
      <c r="M1509" s="43" t="s">
        <v>417</v>
      </c>
      <c r="N1509" s="43" t="s">
        <v>2244</v>
      </c>
      <c r="O1509" s="101" t="str">
        <f t="shared" si="114"/>
        <v>PE-M1-1C240-01</v>
      </c>
      <c r="P1509" s="51">
        <v>16000</v>
      </c>
      <c r="Q1509" s="43">
        <v>10000</v>
      </c>
      <c r="R1509" s="43" t="s">
        <v>49</v>
      </c>
      <c r="S1509" s="152">
        <v>40</v>
      </c>
      <c r="T1509" s="43" t="s">
        <v>7082</v>
      </c>
      <c r="U1509" s="43" t="s">
        <v>3975</v>
      </c>
      <c r="V1509" s="43" t="s">
        <v>342</v>
      </c>
      <c r="W1509" s="43" t="s">
        <v>335</v>
      </c>
      <c r="X1509" s="47" t="s">
        <v>309</v>
      </c>
      <c r="Y1509" s="43" t="s">
        <v>5482</v>
      </c>
      <c r="Z1509" s="43" t="s">
        <v>7085</v>
      </c>
      <c r="AA1509" s="43" t="s">
        <v>335</v>
      </c>
      <c r="AB1509" s="47" t="s">
        <v>309</v>
      </c>
      <c r="AC1509" s="52" t="s">
        <v>7086</v>
      </c>
      <c r="AD1509" s="30"/>
      <c r="AE1509" s="197"/>
      <c r="AF1509" s="100"/>
      <c r="AK1509" s="47" t="s">
        <v>9579</v>
      </c>
      <c r="AL1509" s="47"/>
      <c r="AM1509" s="47"/>
      <c r="AN1509" s="47" t="s">
        <v>9579</v>
      </c>
      <c r="AO1509" s="47"/>
      <c r="AP1509" s="47"/>
      <c r="AR1509" s="241">
        <v>2</v>
      </c>
      <c r="AS1509" s="244" t="s">
        <v>9588</v>
      </c>
    </row>
    <row r="1510" spans="1:45" s="29" customFormat="1" ht="69.95" hidden="1" customHeight="1">
      <c r="A1510" s="49" t="s">
        <v>3975</v>
      </c>
      <c r="B1510" s="49" t="s">
        <v>8652</v>
      </c>
      <c r="C1510" s="50" t="s">
        <v>75</v>
      </c>
      <c r="D1510" s="50"/>
      <c r="E1510" s="57" t="s">
        <v>303</v>
      </c>
      <c r="F1510" s="57" t="s">
        <v>303</v>
      </c>
      <c r="I1510" s="124" t="s">
        <v>9121</v>
      </c>
      <c r="J1510" s="29">
        <f t="shared" si="111"/>
        <v>1</v>
      </c>
      <c r="K1510" s="42">
        <v>1496</v>
      </c>
      <c r="L1510" s="152" t="s">
        <v>3109</v>
      </c>
      <c r="M1510" s="43" t="s">
        <v>417</v>
      </c>
      <c r="N1510" s="43" t="s">
        <v>2244</v>
      </c>
      <c r="O1510" s="101" t="str">
        <f t="shared" si="114"/>
        <v>PE-M1-1C240-01</v>
      </c>
      <c r="P1510" s="51">
        <v>16000</v>
      </c>
      <c r="Q1510" s="43">
        <v>10000</v>
      </c>
      <c r="R1510" s="43" t="s">
        <v>49</v>
      </c>
      <c r="S1510" s="152">
        <v>40</v>
      </c>
      <c r="T1510" s="43" t="s">
        <v>7082</v>
      </c>
      <c r="U1510" s="43" t="s">
        <v>3975</v>
      </c>
      <c r="V1510" s="43" t="s">
        <v>342</v>
      </c>
      <c r="W1510" s="43" t="s">
        <v>335</v>
      </c>
      <c r="X1510" s="47" t="s">
        <v>307</v>
      </c>
      <c r="Y1510" s="43" t="s">
        <v>5482</v>
      </c>
      <c r="Z1510" s="43" t="s">
        <v>7085</v>
      </c>
      <c r="AA1510" s="43" t="s">
        <v>335</v>
      </c>
      <c r="AB1510" s="47" t="s">
        <v>307</v>
      </c>
      <c r="AC1510" s="48" t="s">
        <v>7086</v>
      </c>
      <c r="AD1510" s="30"/>
      <c r="AE1510" s="197"/>
      <c r="AF1510" s="100"/>
      <c r="AK1510" s="47" t="s">
        <v>9579</v>
      </c>
      <c r="AL1510" s="47"/>
      <c r="AM1510" s="47"/>
      <c r="AN1510" s="47" t="s">
        <v>9579</v>
      </c>
      <c r="AO1510" s="47"/>
      <c r="AP1510" s="47"/>
      <c r="AR1510" s="241">
        <v>2</v>
      </c>
      <c r="AS1510" s="244" t="s">
        <v>9588</v>
      </c>
    </row>
    <row r="1511" spans="1:45" s="29" customFormat="1" ht="69.95" hidden="1" customHeight="1">
      <c r="A1511" s="49" t="s">
        <v>3975</v>
      </c>
      <c r="B1511" s="49" t="s">
        <v>8652</v>
      </c>
      <c r="C1511" s="49">
        <v>10</v>
      </c>
      <c r="D1511" s="49"/>
      <c r="E1511" s="57" t="s">
        <v>303</v>
      </c>
      <c r="F1511" s="57" t="s">
        <v>303</v>
      </c>
      <c r="I1511" s="124" t="s">
        <v>9121</v>
      </c>
      <c r="J1511" s="29">
        <f t="shared" si="111"/>
        <v>1</v>
      </c>
      <c r="K1511" s="42">
        <v>1497</v>
      </c>
      <c r="L1511" s="152" t="s">
        <v>3110</v>
      </c>
      <c r="M1511" s="43" t="s">
        <v>417</v>
      </c>
      <c r="N1511" s="43" t="s">
        <v>2244</v>
      </c>
      <c r="O1511" s="101" t="str">
        <f t="shared" si="114"/>
        <v>PE-M1-1C240-01</v>
      </c>
      <c r="P1511" s="51">
        <v>16000</v>
      </c>
      <c r="Q1511" s="43">
        <v>10000</v>
      </c>
      <c r="R1511" s="43" t="s">
        <v>49</v>
      </c>
      <c r="S1511" s="152">
        <v>40</v>
      </c>
      <c r="T1511" s="43" t="s">
        <v>7082</v>
      </c>
      <c r="U1511" s="43" t="s">
        <v>3975</v>
      </c>
      <c r="V1511" s="43" t="s">
        <v>342</v>
      </c>
      <c r="W1511" s="43" t="s">
        <v>335</v>
      </c>
      <c r="X1511" s="47" t="s">
        <v>308</v>
      </c>
      <c r="Y1511" s="43" t="s">
        <v>5482</v>
      </c>
      <c r="Z1511" s="43" t="s">
        <v>7085</v>
      </c>
      <c r="AA1511" s="43" t="s">
        <v>335</v>
      </c>
      <c r="AB1511" s="47" t="s">
        <v>308</v>
      </c>
      <c r="AC1511" s="52" t="s">
        <v>7086</v>
      </c>
      <c r="AD1511" s="30"/>
      <c r="AE1511" s="197"/>
      <c r="AF1511" s="100"/>
      <c r="AK1511" s="47" t="s">
        <v>9579</v>
      </c>
      <c r="AL1511" s="47"/>
      <c r="AM1511" s="47"/>
      <c r="AN1511" s="47" t="s">
        <v>9579</v>
      </c>
      <c r="AO1511" s="47"/>
      <c r="AP1511" s="47"/>
      <c r="AR1511" s="241">
        <v>2</v>
      </c>
      <c r="AS1511" s="244" t="s">
        <v>9588</v>
      </c>
    </row>
    <row r="1512" spans="1:45" s="29" customFormat="1" ht="69.95" hidden="1" customHeight="1">
      <c r="A1512" s="49" t="s">
        <v>3975</v>
      </c>
      <c r="B1512" s="49" t="s">
        <v>8652</v>
      </c>
      <c r="C1512" s="49">
        <v>11</v>
      </c>
      <c r="D1512" s="49"/>
      <c r="E1512" s="57" t="s">
        <v>303</v>
      </c>
      <c r="F1512" s="57" t="s">
        <v>303</v>
      </c>
      <c r="I1512" s="124" t="s">
        <v>9121</v>
      </c>
      <c r="J1512" s="29">
        <f t="shared" si="111"/>
        <v>1</v>
      </c>
      <c r="K1512" s="42">
        <v>1498</v>
      </c>
      <c r="L1512" s="152" t="s">
        <v>3111</v>
      </c>
      <c r="M1512" s="43" t="s">
        <v>417</v>
      </c>
      <c r="N1512" s="43" t="s">
        <v>2244</v>
      </c>
      <c r="O1512" s="101" t="str">
        <f t="shared" si="114"/>
        <v>PE-M1-1C240-01</v>
      </c>
      <c r="P1512" s="51">
        <v>16000</v>
      </c>
      <c r="Q1512" s="43">
        <v>10000</v>
      </c>
      <c r="R1512" s="43" t="s">
        <v>49</v>
      </c>
      <c r="S1512" s="152">
        <v>40</v>
      </c>
      <c r="T1512" s="43" t="s">
        <v>7082</v>
      </c>
      <c r="U1512" s="43" t="s">
        <v>3975</v>
      </c>
      <c r="V1512" s="43" t="s">
        <v>342</v>
      </c>
      <c r="W1512" s="43" t="s">
        <v>335</v>
      </c>
      <c r="X1512" s="47" t="s">
        <v>309</v>
      </c>
      <c r="Y1512" s="43" t="s">
        <v>5482</v>
      </c>
      <c r="Z1512" s="43" t="s">
        <v>7085</v>
      </c>
      <c r="AA1512" s="43" t="s">
        <v>335</v>
      </c>
      <c r="AB1512" s="47" t="s">
        <v>309</v>
      </c>
      <c r="AC1512" s="52" t="s">
        <v>7086</v>
      </c>
      <c r="AD1512" s="30"/>
      <c r="AE1512" s="197"/>
      <c r="AF1512" s="100"/>
      <c r="AK1512" s="47" t="s">
        <v>9579</v>
      </c>
      <c r="AL1512" s="47"/>
      <c r="AM1512" s="47"/>
      <c r="AN1512" s="47" t="s">
        <v>9579</v>
      </c>
      <c r="AO1512" s="47"/>
      <c r="AP1512" s="47"/>
      <c r="AR1512" s="241">
        <v>2</v>
      </c>
      <c r="AS1512" s="244" t="s">
        <v>9588</v>
      </c>
    </row>
    <row r="1513" spans="1:45" s="32" customFormat="1" ht="69.95" hidden="1" customHeight="1">
      <c r="A1513" s="29" t="s">
        <v>6658</v>
      </c>
      <c r="B1513" s="29" t="s">
        <v>8652</v>
      </c>
      <c r="C1513" s="40" t="s">
        <v>32</v>
      </c>
      <c r="D1513" s="40"/>
      <c r="E1513" s="57" t="s">
        <v>310</v>
      </c>
      <c r="F1513" s="57" t="s">
        <v>310</v>
      </c>
      <c r="G1513" s="29" t="s">
        <v>3112</v>
      </c>
      <c r="H1513" s="29"/>
      <c r="I1513" s="124" t="s">
        <v>9121</v>
      </c>
      <c r="J1513" s="29">
        <f t="shared" si="111"/>
        <v>1</v>
      </c>
      <c r="K1513" s="42">
        <v>1499</v>
      </c>
      <c r="L1513" s="152" t="s">
        <v>9153</v>
      </c>
      <c r="M1513" s="44" t="s">
        <v>417</v>
      </c>
      <c r="N1513" s="44" t="s">
        <v>56</v>
      </c>
      <c r="O1513" s="101" t="str">
        <f t="shared" si="114"/>
        <v>PE-M1-1C185-07</v>
      </c>
      <c r="P1513" s="45">
        <v>5000</v>
      </c>
      <c r="Q1513" s="44">
        <v>10000</v>
      </c>
      <c r="R1513" s="44" t="s">
        <v>49</v>
      </c>
      <c r="S1513" s="101">
        <v>40</v>
      </c>
      <c r="T1513" s="46" t="s">
        <v>7087</v>
      </c>
      <c r="U1513" s="46" t="s">
        <v>6658</v>
      </c>
      <c r="V1513" s="46" t="s">
        <v>368</v>
      </c>
      <c r="W1513" s="46" t="s">
        <v>335</v>
      </c>
      <c r="X1513" s="47" t="s">
        <v>307</v>
      </c>
      <c r="Y1513" s="46" t="s">
        <v>3938</v>
      </c>
      <c r="Z1513" s="46" t="s">
        <v>7088</v>
      </c>
      <c r="AA1513" s="46" t="s">
        <v>335</v>
      </c>
      <c r="AB1513" s="47" t="s">
        <v>307</v>
      </c>
      <c r="AC1513" s="48" t="s">
        <v>7089</v>
      </c>
      <c r="AD1513" s="30"/>
      <c r="AE1513" s="200"/>
      <c r="AF1513" s="100"/>
      <c r="AR1513" s="241">
        <v>2</v>
      </c>
      <c r="AS1513" s="241" t="s">
        <v>9582</v>
      </c>
    </row>
    <row r="1514" spans="1:45" s="29" customFormat="1" ht="69.95" hidden="1" customHeight="1">
      <c r="A1514" s="49" t="s">
        <v>6658</v>
      </c>
      <c r="B1514" s="49" t="s">
        <v>8652</v>
      </c>
      <c r="C1514" s="50" t="s">
        <v>36</v>
      </c>
      <c r="D1514" s="50"/>
      <c r="E1514" s="57" t="s">
        <v>310</v>
      </c>
      <c r="F1514" s="57" t="s">
        <v>310</v>
      </c>
      <c r="I1514" s="124" t="s">
        <v>9121</v>
      </c>
      <c r="J1514" s="29">
        <f t="shared" si="111"/>
        <v>1</v>
      </c>
      <c r="K1514" s="42">
        <v>1500</v>
      </c>
      <c r="L1514" s="152" t="s">
        <v>3113</v>
      </c>
      <c r="M1514" s="43" t="s">
        <v>417</v>
      </c>
      <c r="N1514" s="43" t="s">
        <v>56</v>
      </c>
      <c r="O1514" s="101" t="str">
        <f t="shared" si="114"/>
        <v>PE-M1-1C185-07</v>
      </c>
      <c r="P1514" s="51">
        <v>5000</v>
      </c>
      <c r="Q1514" s="43">
        <v>10000</v>
      </c>
      <c r="R1514" s="43" t="s">
        <v>49</v>
      </c>
      <c r="S1514" s="152">
        <v>40</v>
      </c>
      <c r="T1514" s="43" t="s">
        <v>7087</v>
      </c>
      <c r="U1514" s="43" t="s">
        <v>6658</v>
      </c>
      <c r="V1514" s="43" t="s">
        <v>368</v>
      </c>
      <c r="W1514" s="43" t="s">
        <v>335</v>
      </c>
      <c r="X1514" s="47" t="s">
        <v>308</v>
      </c>
      <c r="Y1514" s="43" t="s">
        <v>3938</v>
      </c>
      <c r="Z1514" s="43" t="s">
        <v>7088</v>
      </c>
      <c r="AA1514" s="43" t="s">
        <v>335</v>
      </c>
      <c r="AB1514" s="47" t="s">
        <v>308</v>
      </c>
      <c r="AC1514" s="52" t="s">
        <v>7089</v>
      </c>
      <c r="AD1514" s="30"/>
      <c r="AE1514" s="197"/>
      <c r="AF1514" s="100"/>
      <c r="AR1514" s="241">
        <v>2</v>
      </c>
      <c r="AS1514" s="241" t="s">
        <v>9582</v>
      </c>
    </row>
    <row r="1515" spans="1:45" s="29" customFormat="1" ht="69.95" hidden="1" customHeight="1">
      <c r="A1515" s="49" t="s">
        <v>6658</v>
      </c>
      <c r="B1515" s="49" t="s">
        <v>8652</v>
      </c>
      <c r="C1515" s="50" t="s">
        <v>38</v>
      </c>
      <c r="D1515" s="50"/>
      <c r="E1515" s="57" t="s">
        <v>310</v>
      </c>
      <c r="F1515" s="57" t="s">
        <v>310</v>
      </c>
      <c r="I1515" s="124" t="s">
        <v>9121</v>
      </c>
      <c r="J1515" s="29">
        <f t="shared" si="111"/>
        <v>1</v>
      </c>
      <c r="K1515" s="42">
        <v>1501</v>
      </c>
      <c r="L1515" s="152" t="s">
        <v>3114</v>
      </c>
      <c r="M1515" s="43" t="s">
        <v>417</v>
      </c>
      <c r="N1515" s="43" t="s">
        <v>56</v>
      </c>
      <c r="O1515" s="101" t="str">
        <f t="shared" si="114"/>
        <v>PE-M1-1C185-07</v>
      </c>
      <c r="P1515" s="51">
        <v>5000</v>
      </c>
      <c r="Q1515" s="43">
        <v>10000</v>
      </c>
      <c r="R1515" s="43" t="s">
        <v>49</v>
      </c>
      <c r="S1515" s="152">
        <v>40</v>
      </c>
      <c r="T1515" s="43" t="s">
        <v>7087</v>
      </c>
      <c r="U1515" s="43" t="s">
        <v>6658</v>
      </c>
      <c r="V1515" s="43" t="s">
        <v>368</v>
      </c>
      <c r="W1515" s="43" t="s">
        <v>335</v>
      </c>
      <c r="X1515" s="47" t="s">
        <v>309</v>
      </c>
      <c r="Y1515" s="43" t="s">
        <v>3938</v>
      </c>
      <c r="Z1515" s="43" t="s">
        <v>7088</v>
      </c>
      <c r="AA1515" s="43" t="s">
        <v>335</v>
      </c>
      <c r="AB1515" s="47" t="s">
        <v>309</v>
      </c>
      <c r="AC1515" s="52" t="s">
        <v>7089</v>
      </c>
      <c r="AD1515" s="30"/>
      <c r="AE1515" s="197"/>
      <c r="AF1515" s="100"/>
      <c r="AR1515" s="241">
        <v>2</v>
      </c>
      <c r="AS1515" s="241" t="s">
        <v>9582</v>
      </c>
    </row>
    <row r="1516" spans="1:45" s="32" customFormat="1" ht="69.95" hidden="1" customHeight="1">
      <c r="A1516" s="29" t="s">
        <v>6658</v>
      </c>
      <c r="B1516" s="29" t="s">
        <v>8652</v>
      </c>
      <c r="C1516" s="40" t="s">
        <v>40</v>
      </c>
      <c r="D1516" s="40"/>
      <c r="E1516" s="57" t="s">
        <v>310</v>
      </c>
      <c r="F1516" s="57" t="s">
        <v>310</v>
      </c>
      <c r="G1516" s="29" t="s">
        <v>3115</v>
      </c>
      <c r="H1516" s="29"/>
      <c r="I1516" s="124" t="s">
        <v>9121</v>
      </c>
      <c r="J1516" s="29">
        <f t="shared" si="111"/>
        <v>1</v>
      </c>
      <c r="K1516" s="42">
        <v>1502</v>
      </c>
      <c r="L1516" s="152" t="s">
        <v>3116</v>
      </c>
      <c r="M1516" s="43" t="s">
        <v>417</v>
      </c>
      <c r="N1516" s="44" t="s">
        <v>56</v>
      </c>
      <c r="O1516" s="101" t="str">
        <f t="shared" si="114"/>
        <v>PE-M1-1C185-07</v>
      </c>
      <c r="P1516" s="45">
        <v>5000</v>
      </c>
      <c r="Q1516" s="44">
        <v>10000</v>
      </c>
      <c r="R1516" s="44" t="s">
        <v>49</v>
      </c>
      <c r="S1516" s="101">
        <v>60</v>
      </c>
      <c r="T1516" s="46" t="s">
        <v>7087</v>
      </c>
      <c r="U1516" s="46" t="s">
        <v>6658</v>
      </c>
      <c r="V1516" s="46" t="s">
        <v>368</v>
      </c>
      <c r="W1516" s="46" t="s">
        <v>335</v>
      </c>
      <c r="X1516" s="47" t="s">
        <v>307</v>
      </c>
      <c r="Y1516" s="46" t="s">
        <v>3975</v>
      </c>
      <c r="Z1516" s="46" t="s">
        <v>7090</v>
      </c>
      <c r="AA1516" s="46" t="s">
        <v>335</v>
      </c>
      <c r="AB1516" s="47" t="s">
        <v>307</v>
      </c>
      <c r="AC1516" s="48" t="s">
        <v>7091</v>
      </c>
      <c r="AD1516" s="30"/>
      <c r="AE1516" s="200"/>
      <c r="AF1516" s="100"/>
      <c r="AR1516" s="241">
        <v>2</v>
      </c>
      <c r="AS1516" s="241" t="s">
        <v>9582</v>
      </c>
    </row>
    <row r="1517" spans="1:45" s="29" customFormat="1" ht="69.95" hidden="1" customHeight="1">
      <c r="A1517" s="49" t="s">
        <v>6658</v>
      </c>
      <c r="B1517" s="49" t="s">
        <v>8652</v>
      </c>
      <c r="C1517" s="50" t="s">
        <v>41</v>
      </c>
      <c r="D1517" s="50"/>
      <c r="E1517" s="57" t="s">
        <v>310</v>
      </c>
      <c r="F1517" s="57" t="s">
        <v>310</v>
      </c>
      <c r="I1517" s="124" t="s">
        <v>9121</v>
      </c>
      <c r="J1517" s="29">
        <f t="shared" si="111"/>
        <v>1</v>
      </c>
      <c r="K1517" s="42">
        <v>1503</v>
      </c>
      <c r="L1517" s="152" t="s">
        <v>3117</v>
      </c>
      <c r="M1517" s="43" t="s">
        <v>417</v>
      </c>
      <c r="N1517" s="43" t="s">
        <v>56</v>
      </c>
      <c r="O1517" s="101" t="str">
        <f t="shared" si="114"/>
        <v>PE-M1-1C185-07</v>
      </c>
      <c r="P1517" s="51">
        <v>5000</v>
      </c>
      <c r="Q1517" s="43">
        <v>10000</v>
      </c>
      <c r="R1517" s="43" t="s">
        <v>49</v>
      </c>
      <c r="S1517" s="152">
        <v>60</v>
      </c>
      <c r="T1517" s="43" t="s">
        <v>7087</v>
      </c>
      <c r="U1517" s="43" t="s">
        <v>6658</v>
      </c>
      <c r="V1517" s="43" t="s">
        <v>368</v>
      </c>
      <c r="W1517" s="43" t="s">
        <v>335</v>
      </c>
      <c r="X1517" s="47" t="s">
        <v>308</v>
      </c>
      <c r="Y1517" s="43" t="s">
        <v>3975</v>
      </c>
      <c r="Z1517" s="43" t="s">
        <v>7090</v>
      </c>
      <c r="AA1517" s="43" t="s">
        <v>335</v>
      </c>
      <c r="AB1517" s="47" t="s">
        <v>308</v>
      </c>
      <c r="AC1517" s="52" t="s">
        <v>7091</v>
      </c>
      <c r="AD1517" s="30"/>
      <c r="AE1517" s="197"/>
      <c r="AF1517" s="100"/>
      <c r="AR1517" s="241">
        <v>2</v>
      </c>
      <c r="AS1517" s="241" t="s">
        <v>9582</v>
      </c>
    </row>
    <row r="1518" spans="1:45" s="29" customFormat="1" ht="69.95" hidden="1" customHeight="1">
      <c r="A1518" s="49" t="s">
        <v>6658</v>
      </c>
      <c r="B1518" s="49" t="s">
        <v>8652</v>
      </c>
      <c r="C1518" s="50" t="s">
        <v>42</v>
      </c>
      <c r="D1518" s="50"/>
      <c r="E1518" s="57" t="s">
        <v>310</v>
      </c>
      <c r="F1518" s="57" t="s">
        <v>310</v>
      </c>
      <c r="I1518" s="124" t="s">
        <v>9121</v>
      </c>
      <c r="J1518" s="29">
        <f t="shared" si="111"/>
        <v>1</v>
      </c>
      <c r="K1518" s="42">
        <v>1504</v>
      </c>
      <c r="L1518" s="152" t="s">
        <v>3118</v>
      </c>
      <c r="M1518" s="43" t="s">
        <v>417</v>
      </c>
      <c r="N1518" s="43" t="s">
        <v>56</v>
      </c>
      <c r="O1518" s="101" t="str">
        <f t="shared" si="114"/>
        <v>PE-M1-1C185-07</v>
      </c>
      <c r="P1518" s="51">
        <v>5000</v>
      </c>
      <c r="Q1518" s="43">
        <v>10000</v>
      </c>
      <c r="R1518" s="43" t="s">
        <v>49</v>
      </c>
      <c r="S1518" s="152">
        <v>60</v>
      </c>
      <c r="T1518" s="43" t="s">
        <v>7087</v>
      </c>
      <c r="U1518" s="43" t="s">
        <v>6658</v>
      </c>
      <c r="V1518" s="43" t="s">
        <v>368</v>
      </c>
      <c r="W1518" s="43" t="s">
        <v>335</v>
      </c>
      <c r="X1518" s="47" t="s">
        <v>309</v>
      </c>
      <c r="Y1518" s="43" t="s">
        <v>3975</v>
      </c>
      <c r="Z1518" s="43" t="s">
        <v>7090</v>
      </c>
      <c r="AA1518" s="43" t="s">
        <v>335</v>
      </c>
      <c r="AB1518" s="47" t="s">
        <v>309</v>
      </c>
      <c r="AC1518" s="52" t="s">
        <v>7091</v>
      </c>
      <c r="AD1518" s="30"/>
      <c r="AE1518" s="197"/>
      <c r="AF1518" s="100"/>
      <c r="AR1518" s="241">
        <v>2</v>
      </c>
      <c r="AS1518" s="241" t="s">
        <v>9582</v>
      </c>
    </row>
    <row r="1519" spans="1:45" s="32" customFormat="1" ht="69.95" hidden="1" customHeight="1">
      <c r="A1519" s="29" t="s">
        <v>6665</v>
      </c>
      <c r="B1519" s="29" t="s">
        <v>8652</v>
      </c>
      <c r="C1519" s="40" t="s">
        <v>32</v>
      </c>
      <c r="D1519" s="40"/>
      <c r="E1519" s="58" t="s">
        <v>311</v>
      </c>
      <c r="F1519" s="58" t="s">
        <v>311</v>
      </c>
      <c r="G1519" s="29" t="s">
        <v>3119</v>
      </c>
      <c r="H1519" s="29"/>
      <c r="I1519" s="124" t="s">
        <v>9121</v>
      </c>
      <c r="J1519" s="29">
        <f t="shared" si="111"/>
        <v>1</v>
      </c>
      <c r="K1519" s="42">
        <v>1505</v>
      </c>
      <c r="L1519" s="152" t="s">
        <v>3120</v>
      </c>
      <c r="M1519" s="43" t="s">
        <v>417</v>
      </c>
      <c r="N1519" s="44" t="s">
        <v>56</v>
      </c>
      <c r="O1519" s="101" t="str">
        <f t="shared" si="114"/>
        <v>PE-M1-1C185-01</v>
      </c>
      <c r="P1519" s="45">
        <v>5000</v>
      </c>
      <c r="Q1519" s="44">
        <v>10000</v>
      </c>
      <c r="R1519" s="44" t="s">
        <v>49</v>
      </c>
      <c r="S1519" s="101">
        <v>40</v>
      </c>
      <c r="T1519" s="46" t="s">
        <v>7087</v>
      </c>
      <c r="U1519" s="46" t="s">
        <v>6665</v>
      </c>
      <c r="V1519" s="46" t="s">
        <v>371</v>
      </c>
      <c r="W1519" s="46" t="s">
        <v>335</v>
      </c>
      <c r="X1519" s="47" t="s">
        <v>307</v>
      </c>
      <c r="Y1519" s="46" t="s">
        <v>5280</v>
      </c>
      <c r="Z1519" s="46" t="s">
        <v>7092</v>
      </c>
      <c r="AA1519" s="46" t="s">
        <v>335</v>
      </c>
      <c r="AB1519" s="47" t="s">
        <v>307</v>
      </c>
      <c r="AC1519" s="48" t="s">
        <v>7093</v>
      </c>
      <c r="AD1519" s="30"/>
      <c r="AE1519" s="200"/>
      <c r="AF1519" s="100"/>
      <c r="AR1519" s="241">
        <v>2</v>
      </c>
      <c r="AS1519" s="241" t="s">
        <v>9582</v>
      </c>
    </row>
    <row r="1520" spans="1:45" s="29" customFormat="1" ht="69.95" hidden="1" customHeight="1">
      <c r="A1520" s="49" t="s">
        <v>6665</v>
      </c>
      <c r="B1520" s="49" t="s">
        <v>8652</v>
      </c>
      <c r="C1520" s="50" t="s">
        <v>36</v>
      </c>
      <c r="D1520" s="50"/>
      <c r="E1520" s="57" t="s">
        <v>311</v>
      </c>
      <c r="F1520" s="57" t="s">
        <v>311</v>
      </c>
      <c r="I1520" s="124" t="s">
        <v>9121</v>
      </c>
      <c r="J1520" s="29">
        <f t="shared" si="111"/>
        <v>1</v>
      </c>
      <c r="K1520" s="42">
        <v>1506</v>
      </c>
      <c r="L1520" s="152" t="s">
        <v>3121</v>
      </c>
      <c r="M1520" s="43" t="s">
        <v>417</v>
      </c>
      <c r="N1520" s="43" t="s">
        <v>56</v>
      </c>
      <c r="O1520" s="101" t="str">
        <f t="shared" si="114"/>
        <v>PE-M1-1C185-01</v>
      </c>
      <c r="P1520" s="51">
        <v>5000</v>
      </c>
      <c r="Q1520" s="43">
        <v>10000</v>
      </c>
      <c r="R1520" s="43" t="s">
        <v>49</v>
      </c>
      <c r="S1520" s="152">
        <v>40</v>
      </c>
      <c r="T1520" s="43" t="s">
        <v>7087</v>
      </c>
      <c r="U1520" s="43" t="s">
        <v>6665</v>
      </c>
      <c r="V1520" s="43" t="s">
        <v>371</v>
      </c>
      <c r="W1520" s="43" t="s">
        <v>335</v>
      </c>
      <c r="X1520" s="47" t="s">
        <v>308</v>
      </c>
      <c r="Y1520" s="43" t="s">
        <v>5280</v>
      </c>
      <c r="Z1520" s="43" t="s">
        <v>7092</v>
      </c>
      <c r="AA1520" s="43" t="s">
        <v>335</v>
      </c>
      <c r="AB1520" s="47" t="s">
        <v>308</v>
      </c>
      <c r="AC1520" s="52" t="s">
        <v>7093</v>
      </c>
      <c r="AD1520" s="30"/>
      <c r="AE1520" s="197"/>
      <c r="AF1520" s="100"/>
      <c r="AR1520" s="241">
        <v>2</v>
      </c>
      <c r="AS1520" s="241" t="s">
        <v>9582</v>
      </c>
    </row>
    <row r="1521" spans="1:45" s="29" customFormat="1" ht="69.95" hidden="1" customHeight="1">
      <c r="A1521" s="49" t="s">
        <v>6665</v>
      </c>
      <c r="B1521" s="49" t="s">
        <v>8652</v>
      </c>
      <c r="C1521" s="50" t="s">
        <v>38</v>
      </c>
      <c r="D1521" s="50"/>
      <c r="E1521" s="57" t="s">
        <v>311</v>
      </c>
      <c r="F1521" s="57" t="s">
        <v>311</v>
      </c>
      <c r="I1521" s="124" t="s">
        <v>9121</v>
      </c>
      <c r="J1521" s="29">
        <f t="shared" si="111"/>
        <v>1</v>
      </c>
      <c r="K1521" s="42">
        <v>1507</v>
      </c>
      <c r="L1521" s="152" t="s">
        <v>3122</v>
      </c>
      <c r="M1521" s="43" t="s">
        <v>417</v>
      </c>
      <c r="N1521" s="43" t="s">
        <v>56</v>
      </c>
      <c r="O1521" s="101" t="str">
        <f t="shared" si="114"/>
        <v>PE-M1-1C185-01</v>
      </c>
      <c r="P1521" s="51">
        <v>5000</v>
      </c>
      <c r="Q1521" s="43">
        <v>10000</v>
      </c>
      <c r="R1521" s="43" t="s">
        <v>49</v>
      </c>
      <c r="S1521" s="152">
        <v>40</v>
      </c>
      <c r="T1521" s="43" t="s">
        <v>7087</v>
      </c>
      <c r="U1521" s="43" t="s">
        <v>6665</v>
      </c>
      <c r="V1521" s="43" t="s">
        <v>371</v>
      </c>
      <c r="W1521" s="43" t="s">
        <v>335</v>
      </c>
      <c r="X1521" s="47" t="s">
        <v>309</v>
      </c>
      <c r="Y1521" s="43" t="s">
        <v>5280</v>
      </c>
      <c r="Z1521" s="43" t="s">
        <v>7092</v>
      </c>
      <c r="AA1521" s="43" t="s">
        <v>335</v>
      </c>
      <c r="AB1521" s="47" t="s">
        <v>309</v>
      </c>
      <c r="AC1521" s="52" t="s">
        <v>7093</v>
      </c>
      <c r="AD1521" s="30"/>
      <c r="AE1521" s="197"/>
      <c r="AF1521" s="100"/>
      <c r="AR1521" s="241">
        <v>2</v>
      </c>
      <c r="AS1521" s="241" t="s">
        <v>9582</v>
      </c>
    </row>
    <row r="1522" spans="1:45" s="32" customFormat="1" ht="69.95" hidden="1" customHeight="1">
      <c r="A1522" s="29" t="s">
        <v>6665</v>
      </c>
      <c r="B1522" s="29" t="s">
        <v>8652</v>
      </c>
      <c r="C1522" s="40" t="s">
        <v>40</v>
      </c>
      <c r="D1522" s="40"/>
      <c r="E1522" s="57" t="s">
        <v>311</v>
      </c>
      <c r="F1522" s="57" t="s">
        <v>311</v>
      </c>
      <c r="G1522" s="29" t="s">
        <v>3123</v>
      </c>
      <c r="H1522" s="29"/>
      <c r="I1522" s="124" t="s">
        <v>9121</v>
      </c>
      <c r="J1522" s="29">
        <f t="shared" si="111"/>
        <v>1</v>
      </c>
      <c r="K1522" s="42">
        <v>1508</v>
      </c>
      <c r="L1522" s="152" t="s">
        <v>3124</v>
      </c>
      <c r="M1522" s="43" t="s">
        <v>417</v>
      </c>
      <c r="N1522" s="44" t="s">
        <v>56</v>
      </c>
      <c r="O1522" s="101" t="str">
        <f t="shared" si="114"/>
        <v>PE-M1-1C185-01</v>
      </c>
      <c r="P1522" s="45">
        <v>5000</v>
      </c>
      <c r="Q1522" s="44">
        <v>10000</v>
      </c>
      <c r="R1522" s="44" t="s">
        <v>49</v>
      </c>
      <c r="S1522" s="101">
        <v>40</v>
      </c>
      <c r="T1522" s="46" t="s">
        <v>7087</v>
      </c>
      <c r="U1522" s="46" t="s">
        <v>6665</v>
      </c>
      <c r="V1522" s="46" t="s">
        <v>371</v>
      </c>
      <c r="W1522" s="46" t="s">
        <v>335</v>
      </c>
      <c r="X1522" s="47" t="s">
        <v>307</v>
      </c>
      <c r="Y1522" s="46" t="s">
        <v>5288</v>
      </c>
      <c r="Z1522" s="46" t="s">
        <v>7094</v>
      </c>
      <c r="AA1522" s="46" t="s">
        <v>335</v>
      </c>
      <c r="AB1522" s="47" t="s">
        <v>307</v>
      </c>
      <c r="AC1522" s="48" t="s">
        <v>7095</v>
      </c>
      <c r="AD1522" s="30"/>
      <c r="AE1522" s="200"/>
      <c r="AF1522" s="100"/>
      <c r="AR1522" s="241">
        <v>2</v>
      </c>
      <c r="AS1522" s="241" t="s">
        <v>9582</v>
      </c>
    </row>
    <row r="1523" spans="1:45" s="29" customFormat="1" ht="69.95" hidden="1" customHeight="1">
      <c r="A1523" s="49" t="s">
        <v>6665</v>
      </c>
      <c r="B1523" s="49" t="s">
        <v>8652</v>
      </c>
      <c r="C1523" s="50" t="s">
        <v>41</v>
      </c>
      <c r="D1523" s="50"/>
      <c r="E1523" s="57" t="s">
        <v>311</v>
      </c>
      <c r="F1523" s="57" t="s">
        <v>311</v>
      </c>
      <c r="I1523" s="124" t="s">
        <v>9121</v>
      </c>
      <c r="J1523" s="29">
        <f t="shared" si="111"/>
        <v>1</v>
      </c>
      <c r="K1523" s="42">
        <v>1509</v>
      </c>
      <c r="L1523" s="152" t="s">
        <v>3125</v>
      </c>
      <c r="M1523" s="43" t="s">
        <v>417</v>
      </c>
      <c r="N1523" s="43" t="s">
        <v>56</v>
      </c>
      <c r="O1523" s="101" t="str">
        <f t="shared" si="114"/>
        <v>PE-M1-1C185-01</v>
      </c>
      <c r="P1523" s="51">
        <v>5000</v>
      </c>
      <c r="Q1523" s="43">
        <v>10000</v>
      </c>
      <c r="R1523" s="43" t="s">
        <v>49</v>
      </c>
      <c r="S1523" s="152">
        <v>40</v>
      </c>
      <c r="T1523" s="43" t="s">
        <v>7087</v>
      </c>
      <c r="U1523" s="43" t="s">
        <v>6665</v>
      </c>
      <c r="V1523" s="43" t="s">
        <v>371</v>
      </c>
      <c r="W1523" s="43" t="s">
        <v>335</v>
      </c>
      <c r="X1523" s="47" t="s">
        <v>308</v>
      </c>
      <c r="Y1523" s="43" t="s">
        <v>5288</v>
      </c>
      <c r="Z1523" s="43" t="s">
        <v>7094</v>
      </c>
      <c r="AA1523" s="43" t="s">
        <v>335</v>
      </c>
      <c r="AB1523" s="47" t="s">
        <v>308</v>
      </c>
      <c r="AC1523" s="52" t="s">
        <v>7095</v>
      </c>
      <c r="AD1523" s="30"/>
      <c r="AE1523" s="197"/>
      <c r="AF1523" s="100"/>
      <c r="AR1523" s="241">
        <v>2</v>
      </c>
      <c r="AS1523" s="241" t="s">
        <v>9582</v>
      </c>
    </row>
    <row r="1524" spans="1:45" s="29" customFormat="1" ht="69.95" hidden="1" customHeight="1">
      <c r="A1524" s="49" t="s">
        <v>6665</v>
      </c>
      <c r="B1524" s="49" t="s">
        <v>8652</v>
      </c>
      <c r="C1524" s="50" t="s">
        <v>42</v>
      </c>
      <c r="D1524" s="50"/>
      <c r="E1524" s="57" t="s">
        <v>311</v>
      </c>
      <c r="F1524" s="57" t="s">
        <v>311</v>
      </c>
      <c r="I1524" s="124" t="s">
        <v>9121</v>
      </c>
      <c r="J1524" s="29">
        <f t="shared" si="111"/>
        <v>1</v>
      </c>
      <c r="K1524" s="42">
        <v>1510</v>
      </c>
      <c r="L1524" s="152" t="s">
        <v>3126</v>
      </c>
      <c r="M1524" s="43" t="s">
        <v>417</v>
      </c>
      <c r="N1524" s="43" t="s">
        <v>56</v>
      </c>
      <c r="O1524" s="101" t="str">
        <f t="shared" si="114"/>
        <v>PE-M1-1C185-01</v>
      </c>
      <c r="P1524" s="51">
        <v>5000</v>
      </c>
      <c r="Q1524" s="43">
        <v>10000</v>
      </c>
      <c r="R1524" s="43" t="s">
        <v>49</v>
      </c>
      <c r="S1524" s="152">
        <v>40</v>
      </c>
      <c r="T1524" s="43" t="s">
        <v>7087</v>
      </c>
      <c r="U1524" s="43" t="s">
        <v>6665</v>
      </c>
      <c r="V1524" s="43" t="s">
        <v>371</v>
      </c>
      <c r="W1524" s="43" t="s">
        <v>335</v>
      </c>
      <c r="X1524" s="47" t="s">
        <v>309</v>
      </c>
      <c r="Y1524" s="43" t="s">
        <v>5288</v>
      </c>
      <c r="Z1524" s="43" t="s">
        <v>7094</v>
      </c>
      <c r="AA1524" s="43" t="s">
        <v>335</v>
      </c>
      <c r="AB1524" s="47" t="s">
        <v>309</v>
      </c>
      <c r="AC1524" s="52" t="s">
        <v>7095</v>
      </c>
      <c r="AD1524" s="30"/>
      <c r="AE1524" s="197"/>
      <c r="AF1524" s="100"/>
      <c r="AR1524" s="241">
        <v>2</v>
      </c>
      <c r="AS1524" s="241" t="s">
        <v>9582</v>
      </c>
    </row>
    <row r="1525" spans="1:45" s="32" customFormat="1" ht="69.95" hidden="1" customHeight="1">
      <c r="A1525" s="29" t="s">
        <v>4010</v>
      </c>
      <c r="B1525" s="29" t="s">
        <v>8652</v>
      </c>
      <c r="C1525" s="40" t="s">
        <v>42</v>
      </c>
      <c r="D1525" s="40"/>
      <c r="E1525" s="57" t="s">
        <v>312</v>
      </c>
      <c r="F1525" s="57" t="s">
        <v>312</v>
      </c>
      <c r="G1525" s="29" t="s">
        <v>3127</v>
      </c>
      <c r="H1525" s="29"/>
      <c r="I1525" s="29"/>
      <c r="J1525" s="29">
        <f t="shared" si="111"/>
        <v>1</v>
      </c>
      <c r="K1525" s="42">
        <v>1511</v>
      </c>
      <c r="L1525" s="43" t="s">
        <v>3128</v>
      </c>
      <c r="M1525" s="44" t="s">
        <v>417</v>
      </c>
      <c r="N1525" s="44" t="s">
        <v>2244</v>
      </c>
      <c r="O1525" s="44" t="str">
        <f t="shared" ref="O1525:O1529" si="115">F1525</f>
        <v>PE-M1-1C240-02</v>
      </c>
      <c r="P1525" s="45">
        <v>16000</v>
      </c>
      <c r="Q1525" s="44">
        <v>10000</v>
      </c>
      <c r="R1525" s="44" t="s">
        <v>49</v>
      </c>
      <c r="S1525" s="44">
        <v>500</v>
      </c>
      <c r="T1525" s="46" t="s">
        <v>7082</v>
      </c>
      <c r="U1525" s="46" t="s">
        <v>4010</v>
      </c>
      <c r="V1525" s="46" t="s">
        <v>346</v>
      </c>
      <c r="W1525" s="46" t="s">
        <v>347</v>
      </c>
      <c r="X1525" s="47" t="s">
        <v>307</v>
      </c>
      <c r="Y1525" s="46" t="s">
        <v>5473</v>
      </c>
      <c r="Z1525" s="46" t="s">
        <v>7083</v>
      </c>
      <c r="AA1525" s="46" t="s">
        <v>335</v>
      </c>
      <c r="AB1525" s="47" t="s">
        <v>307</v>
      </c>
      <c r="AC1525" s="48" t="s">
        <v>7096</v>
      </c>
      <c r="AD1525" s="30"/>
      <c r="AE1525" s="200"/>
      <c r="AF1525" s="100"/>
      <c r="AK1525" s="47" t="s">
        <v>9579</v>
      </c>
      <c r="AL1525" s="47"/>
      <c r="AM1525" s="47"/>
      <c r="AN1525" s="47" t="s">
        <v>9579</v>
      </c>
      <c r="AO1525" s="47"/>
      <c r="AP1525" s="47"/>
      <c r="AR1525" s="241">
        <v>2</v>
      </c>
      <c r="AS1525" s="241" t="s">
        <v>9582</v>
      </c>
    </row>
    <row r="1526" spans="1:45" s="29" customFormat="1" ht="69.95" hidden="1" customHeight="1">
      <c r="A1526" s="49" t="s">
        <v>4010</v>
      </c>
      <c r="B1526" s="49" t="s">
        <v>8652</v>
      </c>
      <c r="C1526" s="50" t="s">
        <v>43</v>
      </c>
      <c r="D1526" s="50"/>
      <c r="E1526" s="57" t="s">
        <v>313</v>
      </c>
      <c r="F1526" s="57" t="s">
        <v>313</v>
      </c>
      <c r="J1526" s="29">
        <f t="shared" si="111"/>
        <v>1</v>
      </c>
      <c r="K1526" s="42">
        <v>1512</v>
      </c>
      <c r="L1526" s="43" t="s">
        <v>3129</v>
      </c>
      <c r="M1526" s="43" t="s">
        <v>417</v>
      </c>
      <c r="N1526" s="43" t="s">
        <v>2244</v>
      </c>
      <c r="O1526" s="44" t="str">
        <f t="shared" si="115"/>
        <v>PE-M1-1C240-03</v>
      </c>
      <c r="P1526" s="51">
        <v>16000</v>
      </c>
      <c r="Q1526" s="43">
        <v>10000</v>
      </c>
      <c r="R1526" s="43" t="s">
        <v>49</v>
      </c>
      <c r="S1526" s="43">
        <v>500</v>
      </c>
      <c r="T1526" s="43" t="s">
        <v>7082</v>
      </c>
      <c r="U1526" s="43" t="s">
        <v>4010</v>
      </c>
      <c r="V1526" s="43" t="s">
        <v>346</v>
      </c>
      <c r="W1526" s="43" t="s">
        <v>347</v>
      </c>
      <c r="X1526" s="47" t="s">
        <v>308</v>
      </c>
      <c r="Y1526" s="43" t="s">
        <v>5473</v>
      </c>
      <c r="Z1526" s="43" t="s">
        <v>7083</v>
      </c>
      <c r="AA1526" s="43" t="s">
        <v>335</v>
      </c>
      <c r="AB1526" s="47" t="s">
        <v>308</v>
      </c>
      <c r="AC1526" s="52" t="s">
        <v>7096</v>
      </c>
      <c r="AD1526" s="30"/>
      <c r="AE1526" s="197"/>
      <c r="AF1526" s="100"/>
      <c r="AK1526" s="47" t="s">
        <v>9579</v>
      </c>
      <c r="AL1526" s="47"/>
      <c r="AM1526" s="47"/>
      <c r="AN1526" s="47" t="s">
        <v>9579</v>
      </c>
      <c r="AO1526" s="47"/>
      <c r="AP1526" s="47"/>
      <c r="AR1526" s="241">
        <v>2</v>
      </c>
      <c r="AS1526" s="241" t="s">
        <v>9582</v>
      </c>
    </row>
    <row r="1527" spans="1:45" s="29" customFormat="1" ht="69.95" hidden="1" customHeight="1">
      <c r="A1527" s="49" t="s">
        <v>4010</v>
      </c>
      <c r="B1527" s="49" t="s">
        <v>8652</v>
      </c>
      <c r="C1527" s="50" t="s">
        <v>73</v>
      </c>
      <c r="D1527" s="50"/>
      <c r="E1527" s="57" t="s">
        <v>314</v>
      </c>
      <c r="F1527" s="57" t="s">
        <v>314</v>
      </c>
      <c r="J1527" s="29">
        <f t="shared" si="111"/>
        <v>1</v>
      </c>
      <c r="K1527" s="42">
        <v>1513</v>
      </c>
      <c r="L1527" s="43" t="s">
        <v>3130</v>
      </c>
      <c r="M1527" s="43" t="s">
        <v>417</v>
      </c>
      <c r="N1527" s="43" t="s">
        <v>2244</v>
      </c>
      <c r="O1527" s="44" t="str">
        <f t="shared" si="115"/>
        <v>PE-M1-1C240-04</v>
      </c>
      <c r="P1527" s="51">
        <v>16000</v>
      </c>
      <c r="Q1527" s="43">
        <v>10000</v>
      </c>
      <c r="R1527" s="43" t="s">
        <v>49</v>
      </c>
      <c r="S1527" s="43">
        <v>500</v>
      </c>
      <c r="T1527" s="43" t="s">
        <v>7082</v>
      </c>
      <c r="U1527" s="43" t="s">
        <v>4010</v>
      </c>
      <c r="V1527" s="43" t="s">
        <v>346</v>
      </c>
      <c r="W1527" s="43" t="s">
        <v>347</v>
      </c>
      <c r="X1527" s="47" t="s">
        <v>309</v>
      </c>
      <c r="Y1527" s="43" t="s">
        <v>5473</v>
      </c>
      <c r="Z1527" s="43" t="s">
        <v>7083</v>
      </c>
      <c r="AA1527" s="43" t="s">
        <v>335</v>
      </c>
      <c r="AB1527" s="47" t="s">
        <v>309</v>
      </c>
      <c r="AC1527" s="52" t="s">
        <v>7096</v>
      </c>
      <c r="AD1527" s="30"/>
      <c r="AE1527" s="197"/>
      <c r="AF1527" s="100"/>
      <c r="AK1527" s="47" t="s">
        <v>9579</v>
      </c>
      <c r="AL1527" s="47"/>
      <c r="AM1527" s="47"/>
      <c r="AN1527" s="47" t="s">
        <v>9579</v>
      </c>
      <c r="AO1527" s="47"/>
      <c r="AP1527" s="47"/>
      <c r="AR1527" s="241">
        <v>2</v>
      </c>
      <c r="AS1527" s="241" t="s">
        <v>9582</v>
      </c>
    </row>
    <row r="1528" spans="1:45" s="29" customFormat="1" ht="69.95" hidden="1" customHeight="1">
      <c r="A1528" s="49" t="s">
        <v>4010</v>
      </c>
      <c r="B1528" s="49" t="s">
        <v>8652</v>
      </c>
      <c r="C1528" s="50" t="s">
        <v>75</v>
      </c>
      <c r="D1528" s="50"/>
      <c r="E1528" s="57" t="s">
        <v>315</v>
      </c>
      <c r="F1528" s="57" t="s">
        <v>315</v>
      </c>
      <c r="J1528" s="29">
        <f t="shared" si="111"/>
        <v>1</v>
      </c>
      <c r="K1528" s="42">
        <v>1514</v>
      </c>
      <c r="L1528" s="43" t="s">
        <v>3131</v>
      </c>
      <c r="M1528" s="43" t="s">
        <v>417</v>
      </c>
      <c r="N1528" s="43" t="s">
        <v>2244</v>
      </c>
      <c r="O1528" s="44" t="str">
        <f t="shared" si="115"/>
        <v>PE-M1-1C240-05</v>
      </c>
      <c r="P1528" s="51">
        <v>16000</v>
      </c>
      <c r="Q1528" s="43">
        <v>10000</v>
      </c>
      <c r="R1528" s="43" t="s">
        <v>49</v>
      </c>
      <c r="S1528" s="43">
        <v>500</v>
      </c>
      <c r="T1528" s="43" t="s">
        <v>7082</v>
      </c>
      <c r="U1528" s="43" t="s">
        <v>4010</v>
      </c>
      <c r="V1528" s="43" t="s">
        <v>346</v>
      </c>
      <c r="W1528" s="43" t="s">
        <v>347</v>
      </c>
      <c r="X1528" s="47" t="s">
        <v>307</v>
      </c>
      <c r="Y1528" s="43" t="s">
        <v>5473</v>
      </c>
      <c r="Z1528" s="43" t="s">
        <v>7083</v>
      </c>
      <c r="AA1528" s="43" t="s">
        <v>335</v>
      </c>
      <c r="AB1528" s="47" t="s">
        <v>307</v>
      </c>
      <c r="AC1528" s="48" t="s">
        <v>7096</v>
      </c>
      <c r="AD1528" s="30"/>
      <c r="AE1528" s="197"/>
      <c r="AF1528" s="100"/>
      <c r="AK1528" s="47" t="s">
        <v>9579</v>
      </c>
      <c r="AL1528" s="47"/>
      <c r="AM1528" s="47"/>
      <c r="AN1528" s="47" t="s">
        <v>9579</v>
      </c>
      <c r="AO1528" s="47"/>
      <c r="AP1528" s="47"/>
      <c r="AR1528" s="241">
        <v>2</v>
      </c>
      <c r="AS1528" s="241" t="s">
        <v>9582</v>
      </c>
    </row>
    <row r="1529" spans="1:45" s="29" customFormat="1" ht="69.95" hidden="1" customHeight="1">
      <c r="A1529" s="49" t="s">
        <v>4010</v>
      </c>
      <c r="B1529" s="49" t="s">
        <v>8652</v>
      </c>
      <c r="C1529" s="49">
        <v>10</v>
      </c>
      <c r="D1529" s="49"/>
      <c r="E1529" s="57" t="s">
        <v>316</v>
      </c>
      <c r="F1529" s="57" t="s">
        <v>316</v>
      </c>
      <c r="J1529" s="29">
        <f t="shared" si="111"/>
        <v>1</v>
      </c>
      <c r="K1529" s="42">
        <v>1515</v>
      </c>
      <c r="L1529" s="43" t="s">
        <v>3132</v>
      </c>
      <c r="M1529" s="43" t="s">
        <v>417</v>
      </c>
      <c r="N1529" s="43" t="s">
        <v>2244</v>
      </c>
      <c r="O1529" s="44" t="str">
        <f t="shared" si="115"/>
        <v>PE-M1-1C240-06</v>
      </c>
      <c r="P1529" s="51">
        <v>16000</v>
      </c>
      <c r="Q1529" s="43">
        <v>10000</v>
      </c>
      <c r="R1529" s="43" t="s">
        <v>49</v>
      </c>
      <c r="S1529" s="43">
        <v>500</v>
      </c>
      <c r="T1529" s="43" t="s">
        <v>7082</v>
      </c>
      <c r="U1529" s="43" t="s">
        <v>4010</v>
      </c>
      <c r="V1529" s="43" t="s">
        <v>346</v>
      </c>
      <c r="W1529" s="43" t="s">
        <v>347</v>
      </c>
      <c r="X1529" s="47" t="s">
        <v>308</v>
      </c>
      <c r="Y1529" s="43" t="s">
        <v>5473</v>
      </c>
      <c r="Z1529" s="43" t="s">
        <v>7083</v>
      </c>
      <c r="AA1529" s="43" t="s">
        <v>335</v>
      </c>
      <c r="AB1529" s="47" t="s">
        <v>308</v>
      </c>
      <c r="AC1529" s="52" t="s">
        <v>7096</v>
      </c>
      <c r="AD1529" s="30"/>
      <c r="AE1529" s="197"/>
      <c r="AF1529" s="100"/>
      <c r="AK1529" s="47" t="s">
        <v>9579</v>
      </c>
      <c r="AL1529" s="47"/>
      <c r="AM1529" s="47"/>
      <c r="AN1529" s="47" t="s">
        <v>9579</v>
      </c>
      <c r="AO1529" s="47"/>
      <c r="AP1529" s="47"/>
      <c r="AR1529" s="241">
        <v>2</v>
      </c>
      <c r="AS1529" s="241" t="s">
        <v>9582</v>
      </c>
    </row>
    <row r="1530" spans="1:45" s="29" customFormat="1" ht="69.95" hidden="1" customHeight="1">
      <c r="A1530" s="49" t="s">
        <v>4010</v>
      </c>
      <c r="B1530" s="49" t="s">
        <v>8652</v>
      </c>
      <c r="C1530" s="49">
        <v>11</v>
      </c>
      <c r="D1530" s="121" t="s">
        <v>9105</v>
      </c>
      <c r="E1530" s="57" t="s">
        <v>317</v>
      </c>
      <c r="F1530" s="121" t="s">
        <v>9385</v>
      </c>
      <c r="J1530" s="29">
        <f t="shared" si="111"/>
        <v>1</v>
      </c>
      <c r="K1530" s="42">
        <v>1516</v>
      </c>
      <c r="L1530" s="43" t="s">
        <v>3133</v>
      </c>
      <c r="M1530" s="43" t="s">
        <v>417</v>
      </c>
      <c r="N1530" s="43" t="s">
        <v>2244</v>
      </c>
      <c r="O1530" s="137" t="str">
        <f t="shared" ref="O1530:O1536" si="116">F1530</f>
        <v>PE-M1-1C240-14</v>
      </c>
      <c r="P1530" s="51">
        <v>16000</v>
      </c>
      <c r="Q1530" s="43">
        <v>10000</v>
      </c>
      <c r="R1530" s="43" t="s">
        <v>49</v>
      </c>
      <c r="S1530" s="43">
        <v>500</v>
      </c>
      <c r="T1530" s="43" t="s">
        <v>7082</v>
      </c>
      <c r="U1530" s="43" t="s">
        <v>4010</v>
      </c>
      <c r="V1530" s="43" t="s">
        <v>346</v>
      </c>
      <c r="W1530" s="43" t="s">
        <v>347</v>
      </c>
      <c r="X1530" s="47" t="s">
        <v>309</v>
      </c>
      <c r="Y1530" s="43" t="s">
        <v>5473</v>
      </c>
      <c r="Z1530" s="43" t="s">
        <v>7083</v>
      </c>
      <c r="AA1530" s="43" t="s">
        <v>335</v>
      </c>
      <c r="AB1530" s="47" t="s">
        <v>309</v>
      </c>
      <c r="AC1530" s="52" t="s">
        <v>7096</v>
      </c>
      <c r="AD1530" s="30"/>
      <c r="AE1530" s="197"/>
      <c r="AF1530" s="100"/>
      <c r="AK1530" s="47" t="s">
        <v>9579</v>
      </c>
      <c r="AL1530" s="47"/>
      <c r="AM1530" s="47"/>
      <c r="AN1530" s="47" t="s">
        <v>9579</v>
      </c>
      <c r="AO1530" s="47"/>
      <c r="AP1530" s="47"/>
      <c r="AR1530" s="241">
        <v>2</v>
      </c>
      <c r="AS1530" s="241" t="s">
        <v>9582</v>
      </c>
    </row>
    <row r="1531" spans="1:45" s="32" customFormat="1" ht="69.95" hidden="1" customHeight="1">
      <c r="A1531" s="29" t="s">
        <v>4044</v>
      </c>
      <c r="B1531" s="29" t="s">
        <v>8652</v>
      </c>
      <c r="C1531" s="40" t="s">
        <v>42</v>
      </c>
      <c r="D1531" s="121" t="s">
        <v>9105</v>
      </c>
      <c r="E1531" s="57" t="s">
        <v>318</v>
      </c>
      <c r="F1531" s="121" t="s">
        <v>9386</v>
      </c>
      <c r="G1531" s="29" t="s">
        <v>3134</v>
      </c>
      <c r="H1531" s="29"/>
      <c r="I1531" s="29"/>
      <c r="J1531" s="29">
        <f t="shared" si="111"/>
        <v>1</v>
      </c>
      <c r="K1531" s="42">
        <v>1517</v>
      </c>
      <c r="L1531" s="43" t="s">
        <v>3135</v>
      </c>
      <c r="M1531" s="43" t="s">
        <v>417</v>
      </c>
      <c r="N1531" s="44" t="s">
        <v>2244</v>
      </c>
      <c r="O1531" s="137" t="str">
        <f t="shared" si="116"/>
        <v>PE-M1-1C240-15</v>
      </c>
      <c r="P1531" s="45">
        <v>16000</v>
      </c>
      <c r="Q1531" s="44">
        <v>10000</v>
      </c>
      <c r="R1531" s="44" t="s">
        <v>49</v>
      </c>
      <c r="S1531" s="44">
        <v>510</v>
      </c>
      <c r="T1531" s="46" t="s">
        <v>7082</v>
      </c>
      <c r="U1531" s="46" t="s">
        <v>4044</v>
      </c>
      <c r="V1531" s="46" t="s">
        <v>358</v>
      </c>
      <c r="W1531" s="46" t="s">
        <v>347</v>
      </c>
      <c r="X1531" s="47" t="s">
        <v>307</v>
      </c>
      <c r="Y1531" s="46" t="s">
        <v>5482</v>
      </c>
      <c r="Z1531" s="46" t="s">
        <v>7085</v>
      </c>
      <c r="AA1531" s="46" t="s">
        <v>335</v>
      </c>
      <c r="AB1531" s="47" t="s">
        <v>307</v>
      </c>
      <c r="AC1531" s="48" t="s">
        <v>7097</v>
      </c>
      <c r="AD1531" s="30"/>
      <c r="AE1531" s="200"/>
      <c r="AF1531" s="100"/>
      <c r="AK1531" s="47" t="s">
        <v>9579</v>
      </c>
      <c r="AL1531" s="47"/>
      <c r="AM1531" s="47"/>
      <c r="AN1531" s="47" t="s">
        <v>9579</v>
      </c>
      <c r="AO1531" s="47"/>
      <c r="AP1531" s="47"/>
      <c r="AR1531" s="241">
        <v>2</v>
      </c>
      <c r="AS1531" s="241" t="s">
        <v>9582</v>
      </c>
    </row>
    <row r="1532" spans="1:45" s="29" customFormat="1" ht="69.95" hidden="1" customHeight="1">
      <c r="A1532" s="49" t="s">
        <v>4044</v>
      </c>
      <c r="B1532" s="49" t="s">
        <v>8652</v>
      </c>
      <c r="C1532" s="50" t="s">
        <v>43</v>
      </c>
      <c r="D1532" s="121" t="s">
        <v>9105</v>
      </c>
      <c r="E1532" s="57" t="s">
        <v>319</v>
      </c>
      <c r="F1532" s="121" t="s">
        <v>9387</v>
      </c>
      <c r="J1532" s="29">
        <f t="shared" si="111"/>
        <v>1</v>
      </c>
      <c r="K1532" s="42">
        <v>1518</v>
      </c>
      <c r="L1532" s="43" t="s">
        <v>3136</v>
      </c>
      <c r="M1532" s="43" t="s">
        <v>417</v>
      </c>
      <c r="N1532" s="43" t="s">
        <v>2244</v>
      </c>
      <c r="O1532" s="137" t="str">
        <f t="shared" si="116"/>
        <v>PE-M1-1C240-16</v>
      </c>
      <c r="P1532" s="51">
        <v>16000</v>
      </c>
      <c r="Q1532" s="43">
        <v>10000</v>
      </c>
      <c r="R1532" s="43" t="s">
        <v>49</v>
      </c>
      <c r="S1532" s="43">
        <v>510</v>
      </c>
      <c r="T1532" s="43" t="s">
        <v>7082</v>
      </c>
      <c r="U1532" s="43" t="s">
        <v>4044</v>
      </c>
      <c r="V1532" s="43" t="s">
        <v>358</v>
      </c>
      <c r="W1532" s="43" t="s">
        <v>347</v>
      </c>
      <c r="X1532" s="47" t="s">
        <v>308</v>
      </c>
      <c r="Y1532" s="43" t="s">
        <v>5482</v>
      </c>
      <c r="Z1532" s="43" t="s">
        <v>7085</v>
      </c>
      <c r="AA1532" s="43" t="s">
        <v>335</v>
      </c>
      <c r="AB1532" s="47" t="s">
        <v>308</v>
      </c>
      <c r="AC1532" s="52" t="s">
        <v>7097</v>
      </c>
      <c r="AD1532" s="30"/>
      <c r="AE1532" s="197"/>
      <c r="AF1532" s="100"/>
      <c r="AK1532" s="47" t="s">
        <v>9579</v>
      </c>
      <c r="AL1532" s="47"/>
      <c r="AM1532" s="47"/>
      <c r="AN1532" s="47" t="s">
        <v>9579</v>
      </c>
      <c r="AO1532" s="47"/>
      <c r="AP1532" s="47"/>
      <c r="AR1532" s="241">
        <v>2</v>
      </c>
      <c r="AS1532" s="241" t="s">
        <v>9582</v>
      </c>
    </row>
    <row r="1533" spans="1:45" s="29" customFormat="1" ht="69.95" hidden="1" customHeight="1">
      <c r="A1533" s="49" t="s">
        <v>4044</v>
      </c>
      <c r="B1533" s="49" t="s">
        <v>8652</v>
      </c>
      <c r="C1533" s="50" t="s">
        <v>73</v>
      </c>
      <c r="D1533" s="121" t="s">
        <v>9105</v>
      </c>
      <c r="E1533" s="57" t="s">
        <v>320</v>
      </c>
      <c r="F1533" s="121" t="s">
        <v>9388</v>
      </c>
      <c r="J1533" s="29">
        <f t="shared" si="111"/>
        <v>1</v>
      </c>
      <c r="K1533" s="42">
        <v>1519</v>
      </c>
      <c r="L1533" s="43" t="s">
        <v>3137</v>
      </c>
      <c r="M1533" s="43" t="s">
        <v>417</v>
      </c>
      <c r="N1533" s="43" t="s">
        <v>2244</v>
      </c>
      <c r="O1533" s="137" t="str">
        <f t="shared" si="116"/>
        <v>PE-M1-1C240-17</v>
      </c>
      <c r="P1533" s="51">
        <v>16000</v>
      </c>
      <c r="Q1533" s="43">
        <v>10000</v>
      </c>
      <c r="R1533" s="43" t="s">
        <v>49</v>
      </c>
      <c r="S1533" s="43">
        <v>510</v>
      </c>
      <c r="T1533" s="43" t="s">
        <v>7082</v>
      </c>
      <c r="U1533" s="43" t="s">
        <v>4044</v>
      </c>
      <c r="V1533" s="43" t="s">
        <v>358</v>
      </c>
      <c r="W1533" s="43" t="s">
        <v>347</v>
      </c>
      <c r="X1533" s="47" t="s">
        <v>309</v>
      </c>
      <c r="Y1533" s="43" t="s">
        <v>5482</v>
      </c>
      <c r="Z1533" s="43" t="s">
        <v>7085</v>
      </c>
      <c r="AA1533" s="43" t="s">
        <v>335</v>
      </c>
      <c r="AB1533" s="47" t="s">
        <v>309</v>
      </c>
      <c r="AC1533" s="52" t="s">
        <v>7097</v>
      </c>
      <c r="AD1533" s="30"/>
      <c r="AE1533" s="197"/>
      <c r="AF1533" s="100"/>
      <c r="AK1533" s="47" t="s">
        <v>9579</v>
      </c>
      <c r="AL1533" s="47"/>
      <c r="AM1533" s="47"/>
      <c r="AN1533" s="47" t="s">
        <v>9579</v>
      </c>
      <c r="AO1533" s="47"/>
      <c r="AP1533" s="47"/>
      <c r="AR1533" s="241">
        <v>2</v>
      </c>
      <c r="AS1533" s="241" t="s">
        <v>9582</v>
      </c>
    </row>
    <row r="1534" spans="1:45" s="29" customFormat="1" ht="69.95" hidden="1" customHeight="1">
      <c r="A1534" s="49" t="s">
        <v>4044</v>
      </c>
      <c r="B1534" s="49" t="s">
        <v>8652</v>
      </c>
      <c r="C1534" s="50" t="s">
        <v>75</v>
      </c>
      <c r="D1534" s="121" t="s">
        <v>9105</v>
      </c>
      <c r="E1534" s="57" t="s">
        <v>321</v>
      </c>
      <c r="F1534" s="121" t="s">
        <v>9389</v>
      </c>
      <c r="J1534" s="29">
        <f t="shared" si="111"/>
        <v>1</v>
      </c>
      <c r="K1534" s="42">
        <v>1520</v>
      </c>
      <c r="L1534" s="43" t="s">
        <v>3138</v>
      </c>
      <c r="M1534" s="43" t="s">
        <v>417</v>
      </c>
      <c r="N1534" s="43" t="s">
        <v>2244</v>
      </c>
      <c r="O1534" s="137" t="str">
        <f t="shared" si="116"/>
        <v>PE-M1-1C240-18</v>
      </c>
      <c r="P1534" s="51">
        <v>16000</v>
      </c>
      <c r="Q1534" s="43">
        <v>10000</v>
      </c>
      <c r="R1534" s="43" t="s">
        <v>49</v>
      </c>
      <c r="S1534" s="43">
        <v>510</v>
      </c>
      <c r="T1534" s="43" t="s">
        <v>7082</v>
      </c>
      <c r="U1534" s="43" t="s">
        <v>4044</v>
      </c>
      <c r="V1534" s="43" t="s">
        <v>358</v>
      </c>
      <c r="W1534" s="43" t="s">
        <v>347</v>
      </c>
      <c r="X1534" s="47" t="s">
        <v>307</v>
      </c>
      <c r="Y1534" s="43" t="s">
        <v>5482</v>
      </c>
      <c r="Z1534" s="43" t="s">
        <v>7085</v>
      </c>
      <c r="AA1534" s="43" t="s">
        <v>335</v>
      </c>
      <c r="AB1534" s="47" t="s">
        <v>307</v>
      </c>
      <c r="AC1534" s="48" t="s">
        <v>7097</v>
      </c>
      <c r="AD1534" s="30"/>
      <c r="AE1534" s="197"/>
      <c r="AF1534" s="100"/>
      <c r="AK1534" s="47" t="s">
        <v>9579</v>
      </c>
      <c r="AL1534" s="47"/>
      <c r="AM1534" s="47"/>
      <c r="AN1534" s="47" t="s">
        <v>9579</v>
      </c>
      <c r="AO1534" s="47"/>
      <c r="AP1534" s="47"/>
      <c r="AR1534" s="241">
        <v>2</v>
      </c>
      <c r="AS1534" s="241" t="s">
        <v>9582</v>
      </c>
    </row>
    <row r="1535" spans="1:45" s="29" customFormat="1" ht="69.95" hidden="1" customHeight="1">
      <c r="A1535" s="49" t="s">
        <v>4044</v>
      </c>
      <c r="B1535" s="49" t="s">
        <v>8652</v>
      </c>
      <c r="C1535" s="49">
        <v>10</v>
      </c>
      <c r="D1535" s="121" t="s">
        <v>9105</v>
      </c>
      <c r="E1535" s="57" t="s">
        <v>322</v>
      </c>
      <c r="F1535" s="121" t="s">
        <v>9390</v>
      </c>
      <c r="J1535" s="29">
        <f t="shared" si="111"/>
        <v>1</v>
      </c>
      <c r="K1535" s="42">
        <v>1521</v>
      </c>
      <c r="L1535" s="43" t="s">
        <v>3139</v>
      </c>
      <c r="M1535" s="43" t="s">
        <v>417</v>
      </c>
      <c r="N1535" s="43" t="s">
        <v>2244</v>
      </c>
      <c r="O1535" s="137" t="str">
        <f t="shared" si="116"/>
        <v>PE-M1-1C240-19</v>
      </c>
      <c r="P1535" s="51">
        <v>16000</v>
      </c>
      <c r="Q1535" s="43">
        <v>10000</v>
      </c>
      <c r="R1535" s="43" t="s">
        <v>49</v>
      </c>
      <c r="S1535" s="43">
        <v>510</v>
      </c>
      <c r="T1535" s="43" t="s">
        <v>7082</v>
      </c>
      <c r="U1535" s="43" t="s">
        <v>4044</v>
      </c>
      <c r="V1535" s="43" t="s">
        <v>358</v>
      </c>
      <c r="W1535" s="43" t="s">
        <v>347</v>
      </c>
      <c r="X1535" s="47" t="s">
        <v>308</v>
      </c>
      <c r="Y1535" s="43" t="s">
        <v>5482</v>
      </c>
      <c r="Z1535" s="43" t="s">
        <v>7085</v>
      </c>
      <c r="AA1535" s="43" t="s">
        <v>335</v>
      </c>
      <c r="AB1535" s="47" t="s">
        <v>308</v>
      </c>
      <c r="AC1535" s="52" t="s">
        <v>7097</v>
      </c>
      <c r="AD1535" s="30"/>
      <c r="AE1535" s="197"/>
      <c r="AF1535" s="100"/>
      <c r="AK1535" s="47" t="s">
        <v>9579</v>
      </c>
      <c r="AL1535" s="47"/>
      <c r="AM1535" s="47"/>
      <c r="AN1535" s="47" t="s">
        <v>9579</v>
      </c>
      <c r="AO1535" s="47"/>
      <c r="AP1535" s="47"/>
      <c r="AR1535" s="241">
        <v>2</v>
      </c>
      <c r="AS1535" s="241" t="s">
        <v>9582</v>
      </c>
    </row>
    <row r="1536" spans="1:45" s="29" customFormat="1" ht="69.95" hidden="1" customHeight="1">
      <c r="A1536" s="49" t="s">
        <v>4044</v>
      </c>
      <c r="B1536" s="49" t="s">
        <v>8652</v>
      </c>
      <c r="C1536" s="49">
        <v>11</v>
      </c>
      <c r="D1536" s="121" t="s">
        <v>9105</v>
      </c>
      <c r="E1536" s="57" t="s">
        <v>323</v>
      </c>
      <c r="F1536" s="121" t="s">
        <v>9391</v>
      </c>
      <c r="J1536" s="29">
        <f t="shared" si="111"/>
        <v>1</v>
      </c>
      <c r="K1536" s="42">
        <v>1522</v>
      </c>
      <c r="L1536" s="43" t="s">
        <v>3140</v>
      </c>
      <c r="M1536" s="43" t="s">
        <v>417</v>
      </c>
      <c r="N1536" s="43" t="s">
        <v>2244</v>
      </c>
      <c r="O1536" s="137" t="str">
        <f t="shared" si="116"/>
        <v>PE-M1-1C240-20</v>
      </c>
      <c r="P1536" s="51">
        <v>16000</v>
      </c>
      <c r="Q1536" s="43">
        <v>10000</v>
      </c>
      <c r="R1536" s="43" t="s">
        <v>49</v>
      </c>
      <c r="S1536" s="43">
        <v>510</v>
      </c>
      <c r="T1536" s="43" t="s">
        <v>7082</v>
      </c>
      <c r="U1536" s="43" t="s">
        <v>4044</v>
      </c>
      <c r="V1536" s="43" t="s">
        <v>358</v>
      </c>
      <c r="W1536" s="43" t="s">
        <v>347</v>
      </c>
      <c r="X1536" s="47" t="s">
        <v>309</v>
      </c>
      <c r="Y1536" s="43" t="s">
        <v>5482</v>
      </c>
      <c r="Z1536" s="43" t="s">
        <v>7085</v>
      </c>
      <c r="AA1536" s="43" t="s">
        <v>335</v>
      </c>
      <c r="AB1536" s="47" t="s">
        <v>309</v>
      </c>
      <c r="AC1536" s="52" t="s">
        <v>7097</v>
      </c>
      <c r="AD1536" s="30"/>
      <c r="AE1536" s="197"/>
      <c r="AF1536" s="100"/>
      <c r="AK1536" s="47" t="s">
        <v>9579</v>
      </c>
      <c r="AL1536" s="47"/>
      <c r="AM1536" s="47"/>
      <c r="AN1536" s="47" t="s">
        <v>9579</v>
      </c>
      <c r="AO1536" s="47"/>
      <c r="AP1536" s="47"/>
      <c r="AR1536" s="241">
        <v>2</v>
      </c>
      <c r="AS1536" s="241" t="s">
        <v>9582</v>
      </c>
    </row>
    <row r="1537" spans="1:45" s="32" customFormat="1" ht="69.95" hidden="1" customHeight="1">
      <c r="A1537" s="29" t="s">
        <v>6658</v>
      </c>
      <c r="B1537" s="29" t="s">
        <v>8652</v>
      </c>
      <c r="C1537" s="40" t="s">
        <v>43</v>
      </c>
      <c r="D1537" s="40"/>
      <c r="E1537" s="57" t="s">
        <v>324</v>
      </c>
      <c r="F1537" s="57" t="s">
        <v>324</v>
      </c>
      <c r="G1537" s="29" t="s">
        <v>3141</v>
      </c>
      <c r="H1537" s="29"/>
      <c r="I1537" s="29"/>
      <c r="J1537" s="29">
        <f t="shared" si="111"/>
        <v>1</v>
      </c>
      <c r="K1537" s="42">
        <v>1523</v>
      </c>
      <c r="L1537" s="43" t="s">
        <v>3142</v>
      </c>
      <c r="M1537" s="44" t="s">
        <v>417</v>
      </c>
      <c r="N1537" s="44" t="s">
        <v>56</v>
      </c>
      <c r="O1537" s="44" t="str">
        <f t="shared" ref="O1537:O1600" si="117">F1537</f>
        <v>PE-M1-1C185-07</v>
      </c>
      <c r="P1537" s="45">
        <v>5000</v>
      </c>
      <c r="Q1537" s="44">
        <v>10000</v>
      </c>
      <c r="R1537" s="44" t="s">
        <v>49</v>
      </c>
      <c r="S1537" s="44">
        <v>520</v>
      </c>
      <c r="T1537" s="46" t="s">
        <v>7087</v>
      </c>
      <c r="U1537" s="46" t="s">
        <v>6658</v>
      </c>
      <c r="V1537" s="46" t="s">
        <v>368</v>
      </c>
      <c r="W1537" s="46" t="s">
        <v>335</v>
      </c>
      <c r="X1537" s="47" t="s">
        <v>304</v>
      </c>
      <c r="Y1537" s="46" t="s">
        <v>4010</v>
      </c>
      <c r="Z1537" s="46" t="s">
        <v>7098</v>
      </c>
      <c r="AA1537" s="46" t="s">
        <v>347</v>
      </c>
      <c r="AB1537" s="47" t="s">
        <v>307</v>
      </c>
      <c r="AC1537" s="48" t="s">
        <v>7099</v>
      </c>
      <c r="AD1537" s="30"/>
      <c r="AE1537" s="200"/>
      <c r="AF1537" s="100"/>
      <c r="AR1537" s="241">
        <v>2</v>
      </c>
      <c r="AS1537" s="241" t="s">
        <v>9582</v>
      </c>
    </row>
    <row r="1538" spans="1:45" s="32" customFormat="1" ht="69.95" hidden="1" customHeight="1">
      <c r="A1538" s="29" t="s">
        <v>6658</v>
      </c>
      <c r="B1538" s="29" t="s">
        <v>8652</v>
      </c>
      <c r="C1538" s="40" t="s">
        <v>73</v>
      </c>
      <c r="D1538" s="40"/>
      <c r="E1538" s="57" t="s">
        <v>325</v>
      </c>
      <c r="F1538" s="57" t="s">
        <v>325</v>
      </c>
      <c r="G1538" s="29"/>
      <c r="H1538" s="29"/>
      <c r="I1538" s="29"/>
      <c r="J1538" s="29">
        <f t="shared" si="111"/>
        <v>1</v>
      </c>
      <c r="K1538" s="42">
        <v>1524</v>
      </c>
      <c r="L1538" s="43" t="s">
        <v>3143</v>
      </c>
      <c r="M1538" s="43" t="s">
        <v>417</v>
      </c>
      <c r="N1538" s="43" t="s">
        <v>56</v>
      </c>
      <c r="O1538" s="44" t="str">
        <f t="shared" si="117"/>
        <v>PE-M1-1C185-02</v>
      </c>
      <c r="P1538" s="51">
        <v>5000</v>
      </c>
      <c r="Q1538" s="43">
        <v>10000</v>
      </c>
      <c r="R1538" s="43" t="s">
        <v>49</v>
      </c>
      <c r="S1538" s="43">
        <v>520</v>
      </c>
      <c r="T1538" s="43" t="s">
        <v>7087</v>
      </c>
      <c r="U1538" s="43" t="s">
        <v>6658</v>
      </c>
      <c r="V1538" s="43" t="s">
        <v>368</v>
      </c>
      <c r="W1538" s="43" t="s">
        <v>335</v>
      </c>
      <c r="X1538" s="43" t="s">
        <v>305</v>
      </c>
      <c r="Y1538" s="43" t="s">
        <v>4010</v>
      </c>
      <c r="Z1538" s="43" t="s">
        <v>7098</v>
      </c>
      <c r="AA1538" s="43" t="s">
        <v>347</v>
      </c>
      <c r="AB1538" s="43" t="s">
        <v>308</v>
      </c>
      <c r="AC1538" s="52" t="s">
        <v>7099</v>
      </c>
      <c r="AD1538" s="205"/>
      <c r="AE1538" s="200"/>
      <c r="AF1538" s="100"/>
      <c r="AR1538" s="241">
        <v>2</v>
      </c>
      <c r="AS1538" s="241" t="s">
        <v>9582</v>
      </c>
    </row>
    <row r="1539" spans="1:45" s="29" customFormat="1" ht="69.95" hidden="1" customHeight="1">
      <c r="A1539" s="29" t="s">
        <v>6658</v>
      </c>
      <c r="B1539" s="29" t="s">
        <v>8652</v>
      </c>
      <c r="C1539" s="50" t="s">
        <v>75</v>
      </c>
      <c r="D1539" s="50"/>
      <c r="E1539" s="57" t="s">
        <v>326</v>
      </c>
      <c r="F1539" s="57" t="s">
        <v>326</v>
      </c>
      <c r="J1539" s="29">
        <f t="shared" si="111"/>
        <v>1</v>
      </c>
      <c r="K1539" s="42">
        <v>1525</v>
      </c>
      <c r="L1539" s="43" t="s">
        <v>3144</v>
      </c>
      <c r="M1539" s="43" t="s">
        <v>417</v>
      </c>
      <c r="N1539" s="43" t="s">
        <v>56</v>
      </c>
      <c r="O1539" s="44" t="str">
        <f t="shared" si="117"/>
        <v>PE-M1-1C185-03</v>
      </c>
      <c r="P1539" s="51">
        <v>5000</v>
      </c>
      <c r="Q1539" s="43">
        <v>10000</v>
      </c>
      <c r="R1539" s="43" t="s">
        <v>49</v>
      </c>
      <c r="S1539" s="43">
        <v>520</v>
      </c>
      <c r="T1539" s="43" t="s">
        <v>7087</v>
      </c>
      <c r="U1539" s="43" t="s">
        <v>6658</v>
      </c>
      <c r="V1539" s="43" t="s">
        <v>368</v>
      </c>
      <c r="W1539" s="43" t="s">
        <v>335</v>
      </c>
      <c r="X1539" s="47" t="s">
        <v>306</v>
      </c>
      <c r="Y1539" s="43" t="s">
        <v>4010</v>
      </c>
      <c r="Z1539" s="43" t="s">
        <v>7098</v>
      </c>
      <c r="AA1539" s="43" t="s">
        <v>347</v>
      </c>
      <c r="AB1539" s="43" t="s">
        <v>309</v>
      </c>
      <c r="AC1539" s="52" t="s">
        <v>7099</v>
      </c>
      <c r="AD1539" s="30"/>
      <c r="AE1539" s="197"/>
      <c r="AF1539" s="100"/>
      <c r="AR1539" s="241">
        <v>2</v>
      </c>
      <c r="AS1539" s="241" t="s">
        <v>9582</v>
      </c>
    </row>
    <row r="1540" spans="1:45" s="32" customFormat="1" ht="69.95" hidden="1" customHeight="1">
      <c r="A1540" s="29" t="s">
        <v>6658</v>
      </c>
      <c r="B1540" s="29" t="s">
        <v>8652</v>
      </c>
      <c r="C1540" s="40" t="s">
        <v>205</v>
      </c>
      <c r="D1540" s="40"/>
      <c r="E1540" s="57" t="s">
        <v>327</v>
      </c>
      <c r="F1540" s="57" t="s">
        <v>327</v>
      </c>
      <c r="G1540" s="29" t="s">
        <v>3145</v>
      </c>
      <c r="H1540" s="29"/>
      <c r="I1540" s="29"/>
      <c r="J1540" s="29">
        <f t="shared" si="111"/>
        <v>1</v>
      </c>
      <c r="K1540" s="42">
        <v>1526</v>
      </c>
      <c r="L1540" s="43" t="s">
        <v>3146</v>
      </c>
      <c r="M1540" s="44" t="s">
        <v>417</v>
      </c>
      <c r="N1540" s="44" t="s">
        <v>56</v>
      </c>
      <c r="O1540" s="44" t="str">
        <f t="shared" si="117"/>
        <v>PE-M1-1C185-04</v>
      </c>
      <c r="P1540" s="45">
        <v>5000</v>
      </c>
      <c r="Q1540" s="44">
        <v>10000</v>
      </c>
      <c r="R1540" s="44" t="s">
        <v>49</v>
      </c>
      <c r="S1540" s="44">
        <v>510</v>
      </c>
      <c r="T1540" s="46" t="s">
        <v>7087</v>
      </c>
      <c r="U1540" s="46" t="s">
        <v>6658</v>
      </c>
      <c r="V1540" s="46" t="s">
        <v>368</v>
      </c>
      <c r="W1540" s="46" t="s">
        <v>335</v>
      </c>
      <c r="X1540" s="47" t="s">
        <v>304</v>
      </c>
      <c r="Y1540" s="46" t="s">
        <v>4044</v>
      </c>
      <c r="Z1540" s="46" t="s">
        <v>7100</v>
      </c>
      <c r="AA1540" s="46" t="s">
        <v>347</v>
      </c>
      <c r="AB1540" s="47" t="s">
        <v>307</v>
      </c>
      <c r="AC1540" s="48" t="s">
        <v>7101</v>
      </c>
      <c r="AD1540" s="30"/>
      <c r="AE1540" s="200"/>
      <c r="AF1540" s="100"/>
      <c r="AR1540" s="241">
        <v>2</v>
      </c>
      <c r="AS1540" s="241" t="s">
        <v>9582</v>
      </c>
    </row>
    <row r="1541" spans="1:45" s="32" customFormat="1" ht="69.95" hidden="1" customHeight="1">
      <c r="A1541" s="29" t="s">
        <v>6658</v>
      </c>
      <c r="B1541" s="29" t="s">
        <v>8652</v>
      </c>
      <c r="C1541" s="40" t="s">
        <v>206</v>
      </c>
      <c r="D1541" s="40"/>
      <c r="E1541" s="57" t="s">
        <v>328</v>
      </c>
      <c r="F1541" s="57" t="s">
        <v>328</v>
      </c>
      <c r="G1541" s="29"/>
      <c r="H1541" s="29"/>
      <c r="I1541" s="29"/>
      <c r="J1541" s="29">
        <f t="shared" si="111"/>
        <v>1</v>
      </c>
      <c r="K1541" s="42">
        <v>1527</v>
      </c>
      <c r="L1541" s="43" t="s">
        <v>3147</v>
      </c>
      <c r="M1541" s="43" t="s">
        <v>417</v>
      </c>
      <c r="N1541" s="43" t="s">
        <v>56</v>
      </c>
      <c r="O1541" s="44" t="str">
        <f t="shared" si="117"/>
        <v>PE-M1-1C185-05</v>
      </c>
      <c r="P1541" s="51">
        <v>5000</v>
      </c>
      <c r="Q1541" s="43">
        <v>10000</v>
      </c>
      <c r="R1541" s="43" t="s">
        <v>49</v>
      </c>
      <c r="S1541" s="43">
        <v>510</v>
      </c>
      <c r="T1541" s="43" t="s">
        <v>7087</v>
      </c>
      <c r="U1541" s="43" t="s">
        <v>6658</v>
      </c>
      <c r="V1541" s="43" t="s">
        <v>368</v>
      </c>
      <c r="W1541" s="43" t="s">
        <v>335</v>
      </c>
      <c r="X1541" s="43" t="s">
        <v>305</v>
      </c>
      <c r="Y1541" s="43" t="s">
        <v>4044</v>
      </c>
      <c r="Z1541" s="43" t="s">
        <v>7100</v>
      </c>
      <c r="AA1541" s="43" t="s">
        <v>347</v>
      </c>
      <c r="AB1541" s="43" t="s">
        <v>308</v>
      </c>
      <c r="AC1541" s="52" t="s">
        <v>7101</v>
      </c>
      <c r="AD1541" s="205"/>
      <c r="AE1541" s="200"/>
      <c r="AF1541" s="100"/>
      <c r="AR1541" s="241">
        <v>2</v>
      </c>
      <c r="AS1541" s="241" t="s">
        <v>9582</v>
      </c>
    </row>
    <row r="1542" spans="1:45" s="29" customFormat="1" ht="69.95" hidden="1" customHeight="1">
      <c r="A1542" s="29" t="s">
        <v>6658</v>
      </c>
      <c r="B1542" s="29" t="s">
        <v>8652</v>
      </c>
      <c r="C1542" s="50" t="s">
        <v>207</v>
      </c>
      <c r="D1542" s="50"/>
      <c r="E1542" s="57" t="s">
        <v>329</v>
      </c>
      <c r="F1542" s="57" t="s">
        <v>329</v>
      </c>
      <c r="J1542" s="29">
        <f t="shared" si="111"/>
        <v>1</v>
      </c>
      <c r="K1542" s="42">
        <v>1528</v>
      </c>
      <c r="L1542" s="43" t="s">
        <v>3148</v>
      </c>
      <c r="M1542" s="43" t="s">
        <v>417</v>
      </c>
      <c r="N1542" s="43" t="s">
        <v>56</v>
      </c>
      <c r="O1542" s="44" t="str">
        <f t="shared" si="117"/>
        <v>PE-M1-1C185-06</v>
      </c>
      <c r="P1542" s="51">
        <v>5000</v>
      </c>
      <c r="Q1542" s="43">
        <v>10000</v>
      </c>
      <c r="R1542" s="43" t="s">
        <v>49</v>
      </c>
      <c r="S1542" s="43">
        <v>510</v>
      </c>
      <c r="T1542" s="43" t="s">
        <v>7087</v>
      </c>
      <c r="U1542" s="43" t="s">
        <v>6658</v>
      </c>
      <c r="V1542" s="43" t="s">
        <v>368</v>
      </c>
      <c r="W1542" s="43" t="s">
        <v>335</v>
      </c>
      <c r="X1542" s="47" t="s">
        <v>306</v>
      </c>
      <c r="Y1542" s="43" t="s">
        <v>4044</v>
      </c>
      <c r="Z1542" s="43" t="s">
        <v>7100</v>
      </c>
      <c r="AA1542" s="43" t="s">
        <v>347</v>
      </c>
      <c r="AB1542" s="43" t="s">
        <v>309</v>
      </c>
      <c r="AC1542" s="52" t="s">
        <v>7101</v>
      </c>
      <c r="AD1542" s="30"/>
      <c r="AE1542" s="197"/>
      <c r="AF1542" s="100"/>
      <c r="AR1542" s="241">
        <v>2</v>
      </c>
      <c r="AS1542" s="241" t="s">
        <v>9582</v>
      </c>
    </row>
    <row r="1543" spans="1:45" s="32" customFormat="1" ht="69.95" hidden="1" customHeight="1">
      <c r="A1543" s="29" t="s">
        <v>6665</v>
      </c>
      <c r="B1543" s="29" t="s">
        <v>8652</v>
      </c>
      <c r="C1543" s="40" t="s">
        <v>43</v>
      </c>
      <c r="D1543" s="40"/>
      <c r="E1543" s="57" t="s">
        <v>327</v>
      </c>
      <c r="F1543" s="57" t="s">
        <v>327</v>
      </c>
      <c r="G1543" s="29" t="s">
        <v>3149</v>
      </c>
      <c r="H1543" s="29"/>
      <c r="I1543" s="29"/>
      <c r="J1543" s="29">
        <f t="shared" si="111"/>
        <v>1</v>
      </c>
      <c r="K1543" s="42">
        <v>1529</v>
      </c>
      <c r="L1543" s="43" t="s">
        <v>3150</v>
      </c>
      <c r="M1543" s="44" t="s">
        <v>417</v>
      </c>
      <c r="N1543" s="44" t="s">
        <v>56</v>
      </c>
      <c r="O1543" s="44" t="str">
        <f t="shared" si="117"/>
        <v>PE-M1-1C185-04</v>
      </c>
      <c r="P1543" s="45">
        <v>5000</v>
      </c>
      <c r="Q1543" s="44">
        <v>10000</v>
      </c>
      <c r="R1543" s="44" t="s">
        <v>49</v>
      </c>
      <c r="S1543" s="44">
        <v>500</v>
      </c>
      <c r="T1543" s="46" t="s">
        <v>7087</v>
      </c>
      <c r="U1543" s="46" t="s">
        <v>6665</v>
      </c>
      <c r="V1543" s="46" t="s">
        <v>371</v>
      </c>
      <c r="W1543" s="46" t="s">
        <v>335</v>
      </c>
      <c r="X1543" s="47" t="s">
        <v>304</v>
      </c>
      <c r="Y1543" s="46" t="s">
        <v>5303</v>
      </c>
      <c r="Z1543" s="46" t="s">
        <v>7102</v>
      </c>
      <c r="AA1543" s="46" t="s">
        <v>347</v>
      </c>
      <c r="AB1543" s="47" t="s">
        <v>307</v>
      </c>
      <c r="AC1543" s="48" t="s">
        <v>7103</v>
      </c>
      <c r="AD1543" s="30"/>
      <c r="AE1543" s="200"/>
      <c r="AF1543" s="100"/>
      <c r="AR1543" s="241">
        <v>2</v>
      </c>
      <c r="AS1543" s="241" t="s">
        <v>9582</v>
      </c>
    </row>
    <row r="1544" spans="1:45" s="32" customFormat="1" ht="69.95" hidden="1" customHeight="1">
      <c r="A1544" s="29" t="s">
        <v>6665</v>
      </c>
      <c r="B1544" s="29" t="s">
        <v>8652</v>
      </c>
      <c r="C1544" s="40" t="s">
        <v>73</v>
      </c>
      <c r="D1544" s="40"/>
      <c r="E1544" s="57" t="s">
        <v>328</v>
      </c>
      <c r="F1544" s="57" t="s">
        <v>328</v>
      </c>
      <c r="G1544" s="29"/>
      <c r="H1544" s="29"/>
      <c r="I1544" s="29"/>
      <c r="J1544" s="29">
        <f t="shared" ref="J1544:J1607" si="118">COUNTIF(L:L,L1544)</f>
        <v>1</v>
      </c>
      <c r="K1544" s="42">
        <v>1530</v>
      </c>
      <c r="L1544" s="43" t="s">
        <v>3151</v>
      </c>
      <c r="M1544" s="43" t="s">
        <v>417</v>
      </c>
      <c r="N1544" s="43" t="s">
        <v>56</v>
      </c>
      <c r="O1544" s="44" t="str">
        <f t="shared" si="117"/>
        <v>PE-M1-1C185-05</v>
      </c>
      <c r="P1544" s="51">
        <v>5000</v>
      </c>
      <c r="Q1544" s="43">
        <v>10000</v>
      </c>
      <c r="R1544" s="43" t="s">
        <v>49</v>
      </c>
      <c r="S1544" s="43">
        <v>500</v>
      </c>
      <c r="T1544" s="43" t="s">
        <v>7087</v>
      </c>
      <c r="U1544" s="43" t="s">
        <v>6665</v>
      </c>
      <c r="V1544" s="43" t="s">
        <v>371</v>
      </c>
      <c r="W1544" s="43" t="s">
        <v>335</v>
      </c>
      <c r="X1544" s="43" t="s">
        <v>305</v>
      </c>
      <c r="Y1544" s="43" t="s">
        <v>5303</v>
      </c>
      <c r="Z1544" s="43" t="s">
        <v>7102</v>
      </c>
      <c r="AA1544" s="43" t="s">
        <v>347</v>
      </c>
      <c r="AB1544" s="43" t="s">
        <v>308</v>
      </c>
      <c r="AC1544" s="52" t="s">
        <v>7103</v>
      </c>
      <c r="AD1544" s="205"/>
      <c r="AE1544" s="200"/>
      <c r="AF1544" s="100"/>
      <c r="AR1544" s="241">
        <v>2</v>
      </c>
      <c r="AS1544" s="241" t="s">
        <v>9582</v>
      </c>
    </row>
    <row r="1545" spans="1:45" s="29" customFormat="1" ht="69.95" hidden="1" customHeight="1">
      <c r="A1545" s="29" t="s">
        <v>6665</v>
      </c>
      <c r="B1545" s="29" t="s">
        <v>8652</v>
      </c>
      <c r="C1545" s="50" t="s">
        <v>75</v>
      </c>
      <c r="D1545" s="50"/>
      <c r="E1545" s="57" t="s">
        <v>329</v>
      </c>
      <c r="F1545" s="57" t="s">
        <v>329</v>
      </c>
      <c r="J1545" s="29">
        <f t="shared" si="118"/>
        <v>1</v>
      </c>
      <c r="K1545" s="42">
        <v>1531</v>
      </c>
      <c r="L1545" s="43" t="s">
        <v>3152</v>
      </c>
      <c r="M1545" s="43" t="s">
        <v>417</v>
      </c>
      <c r="N1545" s="43" t="s">
        <v>56</v>
      </c>
      <c r="O1545" s="44" t="str">
        <f t="shared" si="117"/>
        <v>PE-M1-1C185-06</v>
      </c>
      <c r="P1545" s="51">
        <v>5000</v>
      </c>
      <c r="Q1545" s="43">
        <v>10000</v>
      </c>
      <c r="R1545" s="43" t="s">
        <v>49</v>
      </c>
      <c r="S1545" s="43">
        <v>500</v>
      </c>
      <c r="T1545" s="43" t="s">
        <v>7087</v>
      </c>
      <c r="U1545" s="43" t="s">
        <v>6665</v>
      </c>
      <c r="V1545" s="43" t="s">
        <v>371</v>
      </c>
      <c r="W1545" s="43" t="s">
        <v>335</v>
      </c>
      <c r="X1545" s="47" t="s">
        <v>306</v>
      </c>
      <c r="Y1545" s="43" t="s">
        <v>5303</v>
      </c>
      <c r="Z1545" s="43" t="s">
        <v>7102</v>
      </c>
      <c r="AA1545" s="43" t="s">
        <v>347</v>
      </c>
      <c r="AB1545" s="43" t="s">
        <v>309</v>
      </c>
      <c r="AC1545" s="52" t="s">
        <v>7103</v>
      </c>
      <c r="AD1545" s="30"/>
      <c r="AE1545" s="197"/>
      <c r="AF1545" s="100"/>
      <c r="AR1545" s="241">
        <v>2</v>
      </c>
      <c r="AS1545" s="241" t="s">
        <v>9582</v>
      </c>
    </row>
    <row r="1546" spans="1:45" s="32" customFormat="1" ht="69.95" hidden="1" customHeight="1">
      <c r="A1546" s="29" t="s">
        <v>6665</v>
      </c>
      <c r="B1546" s="29" t="s">
        <v>8652</v>
      </c>
      <c r="C1546" s="40" t="s">
        <v>205</v>
      </c>
      <c r="D1546" s="40"/>
      <c r="E1546" s="59" t="s">
        <v>330</v>
      </c>
      <c r="F1546" s="59" t="s">
        <v>330</v>
      </c>
      <c r="G1546" s="29" t="s">
        <v>3153</v>
      </c>
      <c r="H1546" s="29"/>
      <c r="I1546" s="29"/>
      <c r="J1546" s="29">
        <f t="shared" si="118"/>
        <v>1</v>
      </c>
      <c r="K1546" s="42">
        <v>1532</v>
      </c>
      <c r="L1546" s="43" t="s">
        <v>3154</v>
      </c>
      <c r="M1546" s="44" t="s">
        <v>417</v>
      </c>
      <c r="N1546" s="44" t="s">
        <v>56</v>
      </c>
      <c r="O1546" s="44" t="str">
        <f t="shared" si="117"/>
        <v>PE-M1-1C185-01</v>
      </c>
      <c r="P1546" s="45">
        <v>5000</v>
      </c>
      <c r="Q1546" s="44">
        <v>10000</v>
      </c>
      <c r="R1546" s="44" t="s">
        <v>49</v>
      </c>
      <c r="S1546" s="44">
        <v>490</v>
      </c>
      <c r="T1546" s="46" t="s">
        <v>7087</v>
      </c>
      <c r="U1546" s="46" t="s">
        <v>6665</v>
      </c>
      <c r="V1546" s="46" t="s">
        <v>371</v>
      </c>
      <c r="W1546" s="46" t="s">
        <v>335</v>
      </c>
      <c r="X1546" s="47" t="s">
        <v>304</v>
      </c>
      <c r="Y1546" s="46" t="s">
        <v>5308</v>
      </c>
      <c r="Z1546" s="46" t="s">
        <v>7104</v>
      </c>
      <c r="AA1546" s="46" t="s">
        <v>347</v>
      </c>
      <c r="AB1546" s="47" t="s">
        <v>307</v>
      </c>
      <c r="AC1546" s="48" t="s">
        <v>7105</v>
      </c>
      <c r="AD1546" s="30"/>
      <c r="AE1546" s="200"/>
      <c r="AF1546" s="100"/>
      <c r="AR1546" s="241">
        <v>2</v>
      </c>
      <c r="AS1546" s="241" t="s">
        <v>9582</v>
      </c>
    </row>
    <row r="1547" spans="1:45" s="29" customFormat="1" ht="69.95" hidden="1" customHeight="1">
      <c r="A1547" s="29" t="s">
        <v>6665</v>
      </c>
      <c r="B1547" s="29" t="s">
        <v>8652</v>
      </c>
      <c r="C1547" s="50" t="s">
        <v>206</v>
      </c>
      <c r="D1547" s="50"/>
      <c r="E1547" s="57" t="s">
        <v>325</v>
      </c>
      <c r="F1547" s="57" t="s">
        <v>325</v>
      </c>
      <c r="J1547" s="29">
        <f t="shared" si="118"/>
        <v>1</v>
      </c>
      <c r="K1547" s="42">
        <v>1533</v>
      </c>
      <c r="L1547" s="43" t="s">
        <v>3155</v>
      </c>
      <c r="M1547" s="43" t="s">
        <v>417</v>
      </c>
      <c r="N1547" s="43" t="s">
        <v>56</v>
      </c>
      <c r="O1547" s="44" t="str">
        <f t="shared" si="117"/>
        <v>PE-M1-1C185-02</v>
      </c>
      <c r="P1547" s="51">
        <v>5000</v>
      </c>
      <c r="Q1547" s="43">
        <v>10000</v>
      </c>
      <c r="R1547" s="43" t="s">
        <v>49</v>
      </c>
      <c r="S1547" s="43">
        <v>490</v>
      </c>
      <c r="T1547" s="43" t="s">
        <v>7087</v>
      </c>
      <c r="U1547" s="43" t="s">
        <v>6665</v>
      </c>
      <c r="V1547" s="43" t="s">
        <v>371</v>
      </c>
      <c r="W1547" s="43" t="s">
        <v>335</v>
      </c>
      <c r="X1547" s="43" t="s">
        <v>305</v>
      </c>
      <c r="Y1547" s="43" t="s">
        <v>5308</v>
      </c>
      <c r="Z1547" s="43" t="s">
        <v>7104</v>
      </c>
      <c r="AA1547" s="43" t="s">
        <v>347</v>
      </c>
      <c r="AB1547" s="43" t="s">
        <v>308</v>
      </c>
      <c r="AC1547" s="52" t="s">
        <v>7105</v>
      </c>
      <c r="AD1547" s="205"/>
      <c r="AE1547" s="197"/>
      <c r="AF1547" s="100"/>
      <c r="AR1547" s="241">
        <v>2</v>
      </c>
      <c r="AS1547" s="241" t="s">
        <v>9582</v>
      </c>
    </row>
    <row r="1548" spans="1:45" s="32" customFormat="1" ht="69.95" hidden="1" customHeight="1">
      <c r="A1548" s="29" t="s">
        <v>6665</v>
      </c>
      <c r="B1548" s="29" t="s">
        <v>8652</v>
      </c>
      <c r="C1548" s="40" t="s">
        <v>207</v>
      </c>
      <c r="D1548" s="40"/>
      <c r="E1548" s="57" t="s">
        <v>326</v>
      </c>
      <c r="F1548" s="57" t="s">
        <v>326</v>
      </c>
      <c r="G1548" s="29"/>
      <c r="H1548" s="29"/>
      <c r="I1548" s="29"/>
      <c r="J1548" s="29">
        <f t="shared" si="118"/>
        <v>1</v>
      </c>
      <c r="K1548" s="42">
        <v>1534</v>
      </c>
      <c r="L1548" s="43" t="s">
        <v>3156</v>
      </c>
      <c r="M1548" s="43" t="s">
        <v>417</v>
      </c>
      <c r="N1548" s="43" t="s">
        <v>56</v>
      </c>
      <c r="O1548" s="44" t="str">
        <f t="shared" si="117"/>
        <v>PE-M1-1C185-03</v>
      </c>
      <c r="P1548" s="51">
        <v>5000</v>
      </c>
      <c r="Q1548" s="43">
        <v>10000</v>
      </c>
      <c r="R1548" s="43" t="s">
        <v>49</v>
      </c>
      <c r="S1548" s="43">
        <v>490</v>
      </c>
      <c r="T1548" s="43" t="s">
        <v>7087</v>
      </c>
      <c r="U1548" s="43" t="s">
        <v>6665</v>
      </c>
      <c r="V1548" s="43" t="s">
        <v>371</v>
      </c>
      <c r="W1548" s="43" t="s">
        <v>335</v>
      </c>
      <c r="X1548" s="47" t="s">
        <v>306</v>
      </c>
      <c r="Y1548" s="43" t="s">
        <v>5308</v>
      </c>
      <c r="Z1548" s="43" t="s">
        <v>7104</v>
      </c>
      <c r="AA1548" s="43" t="s">
        <v>347</v>
      </c>
      <c r="AB1548" s="43" t="s">
        <v>309</v>
      </c>
      <c r="AC1548" s="52" t="s">
        <v>7105</v>
      </c>
      <c r="AD1548" s="30"/>
      <c r="AE1548" s="200"/>
      <c r="AF1548" s="100"/>
      <c r="AR1548" s="241">
        <v>2</v>
      </c>
      <c r="AS1548" s="241" t="s">
        <v>9582</v>
      </c>
    </row>
    <row r="1549" spans="1:45" s="32" customFormat="1" ht="69.95" hidden="1" customHeight="1">
      <c r="A1549" s="29" t="s">
        <v>7106</v>
      </c>
      <c r="B1549" s="29" t="s">
        <v>8652</v>
      </c>
      <c r="C1549" s="40" t="s">
        <v>32</v>
      </c>
      <c r="D1549" s="40"/>
      <c r="E1549" s="57" t="s">
        <v>331</v>
      </c>
      <c r="F1549" s="57" t="s">
        <v>331</v>
      </c>
      <c r="G1549" s="29" t="s">
        <v>3157</v>
      </c>
      <c r="H1549" s="29"/>
      <c r="I1549" s="29"/>
      <c r="J1549" s="29">
        <f t="shared" si="118"/>
        <v>1</v>
      </c>
      <c r="K1549" s="42">
        <v>1535</v>
      </c>
      <c r="L1549" s="43" t="s">
        <v>3158</v>
      </c>
      <c r="M1549" s="44" t="s">
        <v>417</v>
      </c>
      <c r="N1549" s="44" t="s">
        <v>433</v>
      </c>
      <c r="O1549" s="44" t="str">
        <f t="shared" si="117"/>
        <v>PE-M1-1C300-01</v>
      </c>
      <c r="P1549" s="45">
        <v>16000</v>
      </c>
      <c r="Q1549" s="44">
        <v>10000</v>
      </c>
      <c r="R1549" s="44" t="s">
        <v>49</v>
      </c>
      <c r="S1549" s="44">
        <v>150</v>
      </c>
      <c r="T1549" s="46" t="s">
        <v>7082</v>
      </c>
      <c r="U1549" s="46" t="s">
        <v>7106</v>
      </c>
      <c r="V1549" s="46" t="s">
        <v>332</v>
      </c>
      <c r="W1549" s="46" t="s">
        <v>333</v>
      </c>
      <c r="X1549" s="47" t="s">
        <v>307</v>
      </c>
      <c r="Y1549" s="46" t="s">
        <v>3938</v>
      </c>
      <c r="Z1549" s="46" t="s">
        <v>334</v>
      </c>
      <c r="AA1549" s="46" t="s">
        <v>335</v>
      </c>
      <c r="AB1549" s="47" t="s">
        <v>307</v>
      </c>
      <c r="AC1549" s="48" t="s">
        <v>8330</v>
      </c>
      <c r="AD1549" s="30"/>
      <c r="AE1549" s="200"/>
      <c r="AF1549" s="100"/>
      <c r="AR1549" s="241">
        <v>2</v>
      </c>
      <c r="AS1549" s="241" t="s">
        <v>9583</v>
      </c>
    </row>
    <row r="1550" spans="1:45" s="29" customFormat="1" ht="69.95" hidden="1" customHeight="1">
      <c r="A1550" s="49" t="s">
        <v>7106</v>
      </c>
      <c r="B1550" s="49" t="s">
        <v>8652</v>
      </c>
      <c r="C1550" s="50" t="s">
        <v>36</v>
      </c>
      <c r="D1550" s="50"/>
      <c r="E1550" s="57" t="s">
        <v>331</v>
      </c>
      <c r="F1550" s="57" t="s">
        <v>331</v>
      </c>
      <c r="J1550" s="29">
        <f t="shared" si="118"/>
        <v>1</v>
      </c>
      <c r="K1550" s="42">
        <v>1536</v>
      </c>
      <c r="L1550" s="43" t="s">
        <v>3159</v>
      </c>
      <c r="M1550" s="43" t="s">
        <v>417</v>
      </c>
      <c r="N1550" s="43" t="s">
        <v>433</v>
      </c>
      <c r="O1550" s="44" t="str">
        <f t="shared" si="117"/>
        <v>PE-M1-1C300-01</v>
      </c>
      <c r="P1550" s="51">
        <v>16000</v>
      </c>
      <c r="Q1550" s="43">
        <v>10000</v>
      </c>
      <c r="R1550" s="43" t="s">
        <v>49</v>
      </c>
      <c r="S1550" s="43">
        <v>150</v>
      </c>
      <c r="T1550" s="43" t="s">
        <v>7082</v>
      </c>
      <c r="U1550" s="43" t="s">
        <v>7106</v>
      </c>
      <c r="V1550" s="43" t="s">
        <v>7107</v>
      </c>
      <c r="W1550" s="43" t="s">
        <v>7108</v>
      </c>
      <c r="X1550" s="47" t="s">
        <v>308</v>
      </c>
      <c r="Y1550" s="43" t="s">
        <v>3938</v>
      </c>
      <c r="Z1550" s="43" t="s">
        <v>334</v>
      </c>
      <c r="AA1550" s="43" t="s">
        <v>335</v>
      </c>
      <c r="AB1550" s="47" t="s">
        <v>308</v>
      </c>
      <c r="AC1550" s="52" t="s">
        <v>8330</v>
      </c>
      <c r="AD1550" s="30"/>
      <c r="AE1550" s="197"/>
      <c r="AF1550" s="100"/>
      <c r="AR1550" s="241">
        <v>2</v>
      </c>
      <c r="AS1550" s="241" t="s">
        <v>9583</v>
      </c>
    </row>
    <row r="1551" spans="1:45" s="29" customFormat="1" ht="69.95" hidden="1" customHeight="1">
      <c r="A1551" s="49" t="s">
        <v>7106</v>
      </c>
      <c r="B1551" s="49" t="s">
        <v>8652</v>
      </c>
      <c r="C1551" s="50" t="s">
        <v>38</v>
      </c>
      <c r="D1551" s="50"/>
      <c r="E1551" s="57" t="s">
        <v>331</v>
      </c>
      <c r="F1551" s="57" t="s">
        <v>331</v>
      </c>
      <c r="J1551" s="29">
        <f t="shared" si="118"/>
        <v>1</v>
      </c>
      <c r="K1551" s="42">
        <v>1537</v>
      </c>
      <c r="L1551" s="43" t="s">
        <v>3160</v>
      </c>
      <c r="M1551" s="43" t="s">
        <v>417</v>
      </c>
      <c r="N1551" s="43" t="s">
        <v>433</v>
      </c>
      <c r="O1551" s="44" t="str">
        <f t="shared" si="117"/>
        <v>PE-M1-1C300-01</v>
      </c>
      <c r="P1551" s="51">
        <v>16000</v>
      </c>
      <c r="Q1551" s="43">
        <v>10000</v>
      </c>
      <c r="R1551" s="43" t="s">
        <v>49</v>
      </c>
      <c r="S1551" s="43">
        <v>150</v>
      </c>
      <c r="T1551" s="43" t="s">
        <v>7082</v>
      </c>
      <c r="U1551" s="43" t="s">
        <v>7106</v>
      </c>
      <c r="V1551" s="43" t="s">
        <v>7107</v>
      </c>
      <c r="W1551" s="43" t="s">
        <v>7108</v>
      </c>
      <c r="X1551" s="47" t="s">
        <v>309</v>
      </c>
      <c r="Y1551" s="43" t="s">
        <v>3938</v>
      </c>
      <c r="Z1551" s="43" t="s">
        <v>334</v>
      </c>
      <c r="AA1551" s="43" t="s">
        <v>335</v>
      </c>
      <c r="AB1551" s="47" t="s">
        <v>309</v>
      </c>
      <c r="AC1551" s="52" t="s">
        <v>8330</v>
      </c>
      <c r="AD1551" s="30"/>
      <c r="AE1551" s="197"/>
      <c r="AF1551" s="100"/>
      <c r="AR1551" s="241">
        <v>2</v>
      </c>
      <c r="AS1551" s="241" t="s">
        <v>9583</v>
      </c>
    </row>
    <row r="1552" spans="1:45" s="29" customFormat="1" ht="69.95" hidden="1" customHeight="1">
      <c r="A1552" s="49" t="s">
        <v>7106</v>
      </c>
      <c r="B1552" s="49" t="s">
        <v>8652</v>
      </c>
      <c r="C1552" s="50" t="s">
        <v>40</v>
      </c>
      <c r="D1552" s="50"/>
      <c r="E1552" s="57" t="s">
        <v>331</v>
      </c>
      <c r="F1552" s="57" t="s">
        <v>331</v>
      </c>
      <c r="J1552" s="29">
        <f t="shared" si="118"/>
        <v>1</v>
      </c>
      <c r="K1552" s="42">
        <v>1538</v>
      </c>
      <c r="L1552" s="43" t="s">
        <v>3161</v>
      </c>
      <c r="M1552" s="43" t="s">
        <v>417</v>
      </c>
      <c r="N1552" s="43" t="s">
        <v>433</v>
      </c>
      <c r="O1552" s="44" t="str">
        <f t="shared" si="117"/>
        <v>PE-M1-1C300-01</v>
      </c>
      <c r="P1552" s="51">
        <v>16000</v>
      </c>
      <c r="Q1552" s="43">
        <v>10000</v>
      </c>
      <c r="R1552" s="43" t="s">
        <v>49</v>
      </c>
      <c r="S1552" s="43">
        <v>150</v>
      </c>
      <c r="T1552" s="43" t="s">
        <v>7082</v>
      </c>
      <c r="U1552" s="43" t="s">
        <v>7106</v>
      </c>
      <c r="V1552" s="43" t="s">
        <v>7107</v>
      </c>
      <c r="W1552" s="43" t="s">
        <v>7108</v>
      </c>
      <c r="X1552" s="47" t="s">
        <v>307</v>
      </c>
      <c r="Y1552" s="43" t="s">
        <v>3938</v>
      </c>
      <c r="Z1552" s="43" t="s">
        <v>334</v>
      </c>
      <c r="AA1552" s="43" t="s">
        <v>335</v>
      </c>
      <c r="AB1552" s="47" t="s">
        <v>307</v>
      </c>
      <c r="AC1552" s="48" t="s">
        <v>8330</v>
      </c>
      <c r="AD1552" s="30"/>
      <c r="AE1552" s="197"/>
      <c r="AF1552" s="100"/>
      <c r="AR1552" s="241">
        <v>2</v>
      </c>
      <c r="AS1552" s="241" t="s">
        <v>9583</v>
      </c>
    </row>
    <row r="1553" spans="1:45" s="29" customFormat="1" ht="69.95" hidden="1" customHeight="1">
      <c r="A1553" s="49" t="s">
        <v>7106</v>
      </c>
      <c r="B1553" s="49" t="s">
        <v>8652</v>
      </c>
      <c r="C1553" s="50" t="s">
        <v>41</v>
      </c>
      <c r="D1553" s="50"/>
      <c r="E1553" s="57" t="s">
        <v>340</v>
      </c>
      <c r="F1553" s="57" t="s">
        <v>340</v>
      </c>
      <c r="J1553" s="29">
        <f t="shared" si="118"/>
        <v>1</v>
      </c>
      <c r="K1553" s="42">
        <v>1539</v>
      </c>
      <c r="L1553" s="43" t="s">
        <v>3162</v>
      </c>
      <c r="M1553" s="43" t="s">
        <v>417</v>
      </c>
      <c r="N1553" s="43" t="s">
        <v>433</v>
      </c>
      <c r="O1553" s="44" t="str">
        <f t="shared" si="117"/>
        <v>PE-M1-1C300-07</v>
      </c>
      <c r="P1553" s="51">
        <v>16000</v>
      </c>
      <c r="Q1553" s="43">
        <v>10000</v>
      </c>
      <c r="R1553" s="43" t="s">
        <v>49</v>
      </c>
      <c r="S1553" s="43">
        <v>150</v>
      </c>
      <c r="T1553" s="43" t="s">
        <v>7082</v>
      </c>
      <c r="U1553" s="43" t="s">
        <v>7106</v>
      </c>
      <c r="V1553" s="43" t="s">
        <v>7107</v>
      </c>
      <c r="W1553" s="43" t="s">
        <v>7108</v>
      </c>
      <c r="X1553" s="47" t="s">
        <v>308</v>
      </c>
      <c r="Y1553" s="43" t="s">
        <v>3938</v>
      </c>
      <c r="Z1553" s="43" t="s">
        <v>334</v>
      </c>
      <c r="AA1553" s="43" t="s">
        <v>335</v>
      </c>
      <c r="AB1553" s="47" t="s">
        <v>308</v>
      </c>
      <c r="AC1553" s="52" t="s">
        <v>8330</v>
      </c>
      <c r="AD1553" s="30"/>
      <c r="AE1553" s="197"/>
      <c r="AF1553" s="100"/>
      <c r="AR1553" s="241">
        <v>2</v>
      </c>
      <c r="AS1553" s="241" t="s">
        <v>9583</v>
      </c>
    </row>
    <row r="1554" spans="1:45" s="29" customFormat="1" ht="69.95" hidden="1" customHeight="1">
      <c r="A1554" s="49" t="s">
        <v>7106</v>
      </c>
      <c r="B1554" s="49" t="s">
        <v>8652</v>
      </c>
      <c r="C1554" s="50" t="s">
        <v>42</v>
      </c>
      <c r="D1554" s="50"/>
      <c r="E1554" s="57" t="s">
        <v>340</v>
      </c>
      <c r="F1554" s="57" t="s">
        <v>340</v>
      </c>
      <c r="J1554" s="29">
        <f t="shared" si="118"/>
        <v>1</v>
      </c>
      <c r="K1554" s="42">
        <v>1540</v>
      </c>
      <c r="L1554" s="43" t="s">
        <v>3163</v>
      </c>
      <c r="M1554" s="43" t="s">
        <v>417</v>
      </c>
      <c r="N1554" s="43" t="s">
        <v>433</v>
      </c>
      <c r="O1554" s="44" t="str">
        <f t="shared" si="117"/>
        <v>PE-M1-1C300-07</v>
      </c>
      <c r="P1554" s="51">
        <v>16000</v>
      </c>
      <c r="Q1554" s="43">
        <v>10000</v>
      </c>
      <c r="R1554" s="43" t="s">
        <v>49</v>
      </c>
      <c r="S1554" s="43">
        <v>150</v>
      </c>
      <c r="T1554" s="43" t="s">
        <v>7082</v>
      </c>
      <c r="U1554" s="43" t="s">
        <v>7106</v>
      </c>
      <c r="V1554" s="43" t="s">
        <v>7107</v>
      </c>
      <c r="W1554" s="43" t="s">
        <v>7108</v>
      </c>
      <c r="X1554" s="47" t="s">
        <v>309</v>
      </c>
      <c r="Y1554" s="43" t="s">
        <v>3938</v>
      </c>
      <c r="Z1554" s="43" t="s">
        <v>334</v>
      </c>
      <c r="AA1554" s="43" t="s">
        <v>335</v>
      </c>
      <c r="AB1554" s="47" t="s">
        <v>309</v>
      </c>
      <c r="AC1554" s="52" t="s">
        <v>8330</v>
      </c>
      <c r="AD1554" s="30"/>
      <c r="AE1554" s="197"/>
      <c r="AF1554" s="100"/>
      <c r="AR1554" s="241">
        <v>2</v>
      </c>
      <c r="AS1554" s="241" t="s">
        <v>9583</v>
      </c>
    </row>
    <row r="1555" spans="1:45" s="29" customFormat="1" ht="69.95" hidden="1" customHeight="1">
      <c r="A1555" s="49" t="s">
        <v>7106</v>
      </c>
      <c r="B1555" s="49" t="s">
        <v>8652</v>
      </c>
      <c r="C1555" s="50" t="s">
        <v>43</v>
      </c>
      <c r="D1555" s="50"/>
      <c r="E1555" s="57" t="s">
        <v>340</v>
      </c>
      <c r="F1555" s="57" t="s">
        <v>340</v>
      </c>
      <c r="J1555" s="29">
        <f t="shared" si="118"/>
        <v>1</v>
      </c>
      <c r="K1555" s="42">
        <v>1541</v>
      </c>
      <c r="L1555" s="43" t="s">
        <v>3164</v>
      </c>
      <c r="M1555" s="43" t="s">
        <v>417</v>
      </c>
      <c r="N1555" s="43" t="s">
        <v>433</v>
      </c>
      <c r="O1555" s="44" t="str">
        <f t="shared" si="117"/>
        <v>PE-M1-1C300-07</v>
      </c>
      <c r="P1555" s="51">
        <v>16000</v>
      </c>
      <c r="Q1555" s="43">
        <v>10000</v>
      </c>
      <c r="R1555" s="43" t="s">
        <v>49</v>
      </c>
      <c r="S1555" s="43">
        <v>150</v>
      </c>
      <c r="T1555" s="43" t="s">
        <v>7082</v>
      </c>
      <c r="U1555" s="43" t="s">
        <v>7106</v>
      </c>
      <c r="V1555" s="43" t="s">
        <v>7107</v>
      </c>
      <c r="W1555" s="43" t="s">
        <v>7108</v>
      </c>
      <c r="X1555" s="47" t="s">
        <v>307</v>
      </c>
      <c r="Y1555" s="43" t="s">
        <v>3938</v>
      </c>
      <c r="Z1555" s="43" t="s">
        <v>334</v>
      </c>
      <c r="AA1555" s="43" t="s">
        <v>335</v>
      </c>
      <c r="AB1555" s="47" t="s">
        <v>307</v>
      </c>
      <c r="AC1555" s="48" t="s">
        <v>8330</v>
      </c>
      <c r="AD1555" s="30"/>
      <c r="AE1555" s="197"/>
      <c r="AF1555" s="100"/>
      <c r="AR1555" s="241">
        <v>2</v>
      </c>
      <c r="AS1555" s="241" t="s">
        <v>9583</v>
      </c>
    </row>
    <row r="1556" spans="1:45" s="29" customFormat="1" ht="69.95" hidden="1" customHeight="1">
      <c r="A1556" s="49" t="s">
        <v>7106</v>
      </c>
      <c r="B1556" s="49" t="s">
        <v>8652</v>
      </c>
      <c r="C1556" s="50" t="s">
        <v>73</v>
      </c>
      <c r="D1556" s="50"/>
      <c r="E1556" s="57" t="s">
        <v>354</v>
      </c>
      <c r="F1556" s="57" t="s">
        <v>354</v>
      </c>
      <c r="J1556" s="29">
        <f t="shared" si="118"/>
        <v>1</v>
      </c>
      <c r="K1556" s="42">
        <v>1542</v>
      </c>
      <c r="L1556" s="43" t="s">
        <v>3165</v>
      </c>
      <c r="M1556" s="43" t="s">
        <v>417</v>
      </c>
      <c r="N1556" s="43" t="s">
        <v>433</v>
      </c>
      <c r="O1556" s="44" t="str">
        <f t="shared" si="117"/>
        <v>PE-M1-1C300-02</v>
      </c>
      <c r="P1556" s="51">
        <v>16000</v>
      </c>
      <c r="Q1556" s="43">
        <v>10000</v>
      </c>
      <c r="R1556" s="43" t="s">
        <v>49</v>
      </c>
      <c r="S1556" s="43">
        <v>150</v>
      </c>
      <c r="T1556" s="43" t="s">
        <v>7082</v>
      </c>
      <c r="U1556" s="43" t="s">
        <v>7106</v>
      </c>
      <c r="V1556" s="43" t="s">
        <v>7107</v>
      </c>
      <c r="W1556" s="43" t="s">
        <v>7108</v>
      </c>
      <c r="X1556" s="47" t="s">
        <v>308</v>
      </c>
      <c r="Y1556" s="43" t="s">
        <v>3938</v>
      </c>
      <c r="Z1556" s="43" t="s">
        <v>334</v>
      </c>
      <c r="AA1556" s="43" t="s">
        <v>335</v>
      </c>
      <c r="AB1556" s="47" t="s">
        <v>308</v>
      </c>
      <c r="AC1556" s="52" t="s">
        <v>8330</v>
      </c>
      <c r="AD1556" s="30"/>
      <c r="AE1556" s="197"/>
      <c r="AF1556" s="100"/>
      <c r="AR1556" s="241">
        <v>2</v>
      </c>
      <c r="AS1556" s="241" t="s">
        <v>9583</v>
      </c>
    </row>
    <row r="1557" spans="1:45" s="29" customFormat="1" ht="69.95" hidden="1" customHeight="1">
      <c r="A1557" s="49" t="s">
        <v>7106</v>
      </c>
      <c r="B1557" s="49" t="s">
        <v>8652</v>
      </c>
      <c r="C1557" s="50" t="s">
        <v>75</v>
      </c>
      <c r="D1557" s="50"/>
      <c r="E1557" s="57" t="s">
        <v>354</v>
      </c>
      <c r="F1557" s="57" t="s">
        <v>354</v>
      </c>
      <c r="J1557" s="29">
        <f t="shared" si="118"/>
        <v>1</v>
      </c>
      <c r="K1557" s="42">
        <v>1543</v>
      </c>
      <c r="L1557" s="43" t="s">
        <v>3166</v>
      </c>
      <c r="M1557" s="43" t="s">
        <v>417</v>
      </c>
      <c r="N1557" s="43" t="s">
        <v>433</v>
      </c>
      <c r="O1557" s="44" t="str">
        <f t="shared" si="117"/>
        <v>PE-M1-1C300-02</v>
      </c>
      <c r="P1557" s="51">
        <v>16000</v>
      </c>
      <c r="Q1557" s="43">
        <v>10000</v>
      </c>
      <c r="R1557" s="43" t="s">
        <v>49</v>
      </c>
      <c r="S1557" s="43">
        <v>150</v>
      </c>
      <c r="T1557" s="43" t="s">
        <v>7082</v>
      </c>
      <c r="U1557" s="43" t="s">
        <v>7106</v>
      </c>
      <c r="V1557" s="43" t="s">
        <v>7107</v>
      </c>
      <c r="W1557" s="43" t="s">
        <v>7108</v>
      </c>
      <c r="X1557" s="47" t="s">
        <v>309</v>
      </c>
      <c r="Y1557" s="43" t="s">
        <v>3938</v>
      </c>
      <c r="Z1557" s="43" t="s">
        <v>334</v>
      </c>
      <c r="AA1557" s="43" t="s">
        <v>335</v>
      </c>
      <c r="AB1557" s="47" t="s">
        <v>309</v>
      </c>
      <c r="AC1557" s="52" t="s">
        <v>8330</v>
      </c>
      <c r="AD1557" s="30"/>
      <c r="AE1557" s="197"/>
      <c r="AF1557" s="100"/>
      <c r="AR1557" s="241">
        <v>2</v>
      </c>
      <c r="AS1557" s="241" t="s">
        <v>9583</v>
      </c>
    </row>
    <row r="1558" spans="1:45" s="32" customFormat="1" ht="69.95" hidden="1" customHeight="1">
      <c r="A1558" s="29" t="s">
        <v>7106</v>
      </c>
      <c r="B1558" s="29" t="s">
        <v>8652</v>
      </c>
      <c r="C1558" s="40">
        <v>10</v>
      </c>
      <c r="D1558" s="40"/>
      <c r="E1558" s="57" t="s">
        <v>354</v>
      </c>
      <c r="F1558" s="57" t="s">
        <v>354</v>
      </c>
      <c r="G1558" s="29" t="s">
        <v>3167</v>
      </c>
      <c r="H1558" s="29"/>
      <c r="I1558" s="29"/>
      <c r="J1558" s="29">
        <f t="shared" si="118"/>
        <v>1</v>
      </c>
      <c r="K1558" s="42">
        <v>1544</v>
      </c>
      <c r="L1558" s="43" t="s">
        <v>3168</v>
      </c>
      <c r="M1558" s="44" t="s">
        <v>417</v>
      </c>
      <c r="N1558" s="44" t="s">
        <v>433</v>
      </c>
      <c r="O1558" s="44" t="str">
        <f t="shared" si="117"/>
        <v>PE-M1-1C300-02</v>
      </c>
      <c r="P1558" s="45">
        <v>16000</v>
      </c>
      <c r="Q1558" s="44">
        <v>10000</v>
      </c>
      <c r="R1558" s="44" t="s">
        <v>49</v>
      </c>
      <c r="S1558" s="44">
        <v>140</v>
      </c>
      <c r="T1558" s="46" t="s">
        <v>7082</v>
      </c>
      <c r="U1558" s="46" t="s">
        <v>7106</v>
      </c>
      <c r="V1558" s="46" t="s">
        <v>337</v>
      </c>
      <c r="W1558" s="46" t="s">
        <v>333</v>
      </c>
      <c r="X1558" s="47" t="s">
        <v>307</v>
      </c>
      <c r="Y1558" s="46" t="s">
        <v>5280</v>
      </c>
      <c r="Z1558" s="46" t="s">
        <v>338</v>
      </c>
      <c r="AA1558" s="46" t="s">
        <v>335</v>
      </c>
      <c r="AB1558" s="47" t="s">
        <v>307</v>
      </c>
      <c r="AC1558" s="48" t="s">
        <v>8331</v>
      </c>
      <c r="AD1558" s="30"/>
      <c r="AE1558" s="200"/>
      <c r="AF1558" s="100"/>
      <c r="AR1558" s="241">
        <v>2</v>
      </c>
      <c r="AS1558" s="241" t="s">
        <v>9583</v>
      </c>
    </row>
    <row r="1559" spans="1:45" s="29" customFormat="1" ht="69.95" hidden="1" customHeight="1">
      <c r="A1559" s="49" t="s">
        <v>7106</v>
      </c>
      <c r="B1559" s="49" t="s">
        <v>8652</v>
      </c>
      <c r="C1559" s="49">
        <v>11</v>
      </c>
      <c r="D1559" s="49"/>
      <c r="E1559" s="57" t="s">
        <v>336</v>
      </c>
      <c r="F1559" s="57" t="s">
        <v>336</v>
      </c>
      <c r="J1559" s="29">
        <f t="shared" si="118"/>
        <v>1</v>
      </c>
      <c r="K1559" s="42">
        <v>1545</v>
      </c>
      <c r="L1559" s="43" t="s">
        <v>3169</v>
      </c>
      <c r="M1559" s="43" t="s">
        <v>417</v>
      </c>
      <c r="N1559" s="43" t="s">
        <v>433</v>
      </c>
      <c r="O1559" s="44" t="str">
        <f t="shared" si="117"/>
        <v>PE-M1-1C300-03</v>
      </c>
      <c r="P1559" s="51">
        <v>16000</v>
      </c>
      <c r="Q1559" s="43">
        <v>10000</v>
      </c>
      <c r="R1559" s="43" t="s">
        <v>49</v>
      </c>
      <c r="S1559" s="43">
        <v>140</v>
      </c>
      <c r="T1559" s="43" t="s">
        <v>7082</v>
      </c>
      <c r="U1559" s="43" t="s">
        <v>7106</v>
      </c>
      <c r="V1559" s="43" t="s">
        <v>7109</v>
      </c>
      <c r="W1559" s="43" t="s">
        <v>7108</v>
      </c>
      <c r="X1559" s="47" t="s">
        <v>308</v>
      </c>
      <c r="Y1559" s="43" t="s">
        <v>5280</v>
      </c>
      <c r="Z1559" s="43" t="s">
        <v>338</v>
      </c>
      <c r="AA1559" s="43" t="s">
        <v>335</v>
      </c>
      <c r="AB1559" s="47" t="s">
        <v>308</v>
      </c>
      <c r="AC1559" s="52" t="s">
        <v>8331</v>
      </c>
      <c r="AD1559" s="30"/>
      <c r="AE1559" s="197"/>
      <c r="AF1559" s="100"/>
      <c r="AR1559" s="241">
        <v>2</v>
      </c>
      <c r="AS1559" s="241" t="s">
        <v>9583</v>
      </c>
    </row>
    <row r="1560" spans="1:45" s="29" customFormat="1" ht="69.95" hidden="1" customHeight="1">
      <c r="A1560" s="49" t="s">
        <v>7106</v>
      </c>
      <c r="B1560" s="49" t="s">
        <v>8652</v>
      </c>
      <c r="C1560" s="49">
        <v>12</v>
      </c>
      <c r="D1560" s="49"/>
      <c r="E1560" s="57" t="s">
        <v>336</v>
      </c>
      <c r="F1560" s="57" t="s">
        <v>336</v>
      </c>
      <c r="J1560" s="29">
        <f t="shared" si="118"/>
        <v>1</v>
      </c>
      <c r="K1560" s="42">
        <v>1546</v>
      </c>
      <c r="L1560" s="43" t="s">
        <v>3170</v>
      </c>
      <c r="M1560" s="43" t="s">
        <v>417</v>
      </c>
      <c r="N1560" s="43" t="s">
        <v>433</v>
      </c>
      <c r="O1560" s="44" t="str">
        <f t="shared" si="117"/>
        <v>PE-M1-1C300-03</v>
      </c>
      <c r="P1560" s="51">
        <v>16000</v>
      </c>
      <c r="Q1560" s="43">
        <v>10000</v>
      </c>
      <c r="R1560" s="43" t="s">
        <v>49</v>
      </c>
      <c r="S1560" s="43">
        <v>140</v>
      </c>
      <c r="T1560" s="43" t="s">
        <v>7082</v>
      </c>
      <c r="U1560" s="43" t="s">
        <v>7106</v>
      </c>
      <c r="V1560" s="43" t="s">
        <v>7109</v>
      </c>
      <c r="W1560" s="43" t="s">
        <v>7108</v>
      </c>
      <c r="X1560" s="47" t="s">
        <v>309</v>
      </c>
      <c r="Y1560" s="43" t="s">
        <v>5280</v>
      </c>
      <c r="Z1560" s="43" t="s">
        <v>338</v>
      </c>
      <c r="AA1560" s="43" t="s">
        <v>335</v>
      </c>
      <c r="AB1560" s="47" t="s">
        <v>309</v>
      </c>
      <c r="AC1560" s="52" t="s">
        <v>8331</v>
      </c>
      <c r="AD1560" s="30"/>
      <c r="AE1560" s="197"/>
      <c r="AF1560" s="100"/>
      <c r="AR1560" s="241">
        <v>2</v>
      </c>
      <c r="AS1560" s="241" t="s">
        <v>9583</v>
      </c>
    </row>
    <row r="1561" spans="1:45" s="29" customFormat="1" ht="69.95" hidden="1" customHeight="1">
      <c r="A1561" s="49" t="s">
        <v>7106</v>
      </c>
      <c r="B1561" s="49" t="s">
        <v>8652</v>
      </c>
      <c r="C1561" s="49">
        <v>13</v>
      </c>
      <c r="D1561" s="49"/>
      <c r="E1561" s="57" t="s">
        <v>336</v>
      </c>
      <c r="F1561" s="57" t="s">
        <v>336</v>
      </c>
      <c r="J1561" s="29">
        <f t="shared" si="118"/>
        <v>1</v>
      </c>
      <c r="K1561" s="42">
        <v>1547</v>
      </c>
      <c r="L1561" s="43" t="s">
        <v>3171</v>
      </c>
      <c r="M1561" s="43" t="s">
        <v>417</v>
      </c>
      <c r="N1561" s="43" t="s">
        <v>433</v>
      </c>
      <c r="O1561" s="44" t="str">
        <f t="shared" si="117"/>
        <v>PE-M1-1C300-03</v>
      </c>
      <c r="P1561" s="51">
        <v>16000</v>
      </c>
      <c r="Q1561" s="43">
        <v>10000</v>
      </c>
      <c r="R1561" s="43" t="s">
        <v>49</v>
      </c>
      <c r="S1561" s="43">
        <v>140</v>
      </c>
      <c r="T1561" s="43" t="s">
        <v>7082</v>
      </c>
      <c r="U1561" s="43" t="s">
        <v>7106</v>
      </c>
      <c r="V1561" s="43" t="s">
        <v>7109</v>
      </c>
      <c r="W1561" s="43" t="s">
        <v>7108</v>
      </c>
      <c r="X1561" s="47" t="s">
        <v>307</v>
      </c>
      <c r="Y1561" s="43" t="s">
        <v>5280</v>
      </c>
      <c r="Z1561" s="43" t="s">
        <v>338</v>
      </c>
      <c r="AA1561" s="43" t="s">
        <v>335</v>
      </c>
      <c r="AB1561" s="47" t="s">
        <v>307</v>
      </c>
      <c r="AC1561" s="48" t="s">
        <v>8331</v>
      </c>
      <c r="AD1561" s="30"/>
      <c r="AE1561" s="197"/>
      <c r="AF1561" s="100"/>
      <c r="AR1561" s="241">
        <v>2</v>
      </c>
      <c r="AS1561" s="241" t="s">
        <v>9583</v>
      </c>
    </row>
    <row r="1562" spans="1:45" s="29" customFormat="1" ht="69.95" hidden="1" customHeight="1">
      <c r="A1562" s="49" t="s">
        <v>7106</v>
      </c>
      <c r="B1562" s="49" t="s">
        <v>8652</v>
      </c>
      <c r="C1562" s="49">
        <v>14</v>
      </c>
      <c r="D1562" s="49"/>
      <c r="E1562" s="57" t="s">
        <v>355</v>
      </c>
      <c r="F1562" s="57" t="s">
        <v>355</v>
      </c>
      <c r="J1562" s="29">
        <f t="shared" si="118"/>
        <v>1</v>
      </c>
      <c r="K1562" s="42">
        <v>1548</v>
      </c>
      <c r="L1562" s="43" t="s">
        <v>3172</v>
      </c>
      <c r="M1562" s="43" t="s">
        <v>417</v>
      </c>
      <c r="N1562" s="43" t="s">
        <v>433</v>
      </c>
      <c r="O1562" s="44" t="str">
        <f t="shared" si="117"/>
        <v>PE-M1-1C300-04</v>
      </c>
      <c r="P1562" s="51">
        <v>16000</v>
      </c>
      <c r="Q1562" s="43">
        <v>10000</v>
      </c>
      <c r="R1562" s="43" t="s">
        <v>49</v>
      </c>
      <c r="S1562" s="43">
        <v>140</v>
      </c>
      <c r="T1562" s="43" t="s">
        <v>7082</v>
      </c>
      <c r="U1562" s="43" t="s">
        <v>7106</v>
      </c>
      <c r="V1562" s="43" t="s">
        <v>7109</v>
      </c>
      <c r="W1562" s="43" t="s">
        <v>7108</v>
      </c>
      <c r="X1562" s="47" t="s">
        <v>308</v>
      </c>
      <c r="Y1562" s="43" t="s">
        <v>5280</v>
      </c>
      <c r="Z1562" s="43" t="s">
        <v>338</v>
      </c>
      <c r="AA1562" s="43" t="s">
        <v>335</v>
      </c>
      <c r="AB1562" s="47" t="s">
        <v>308</v>
      </c>
      <c r="AC1562" s="52" t="s">
        <v>8331</v>
      </c>
      <c r="AD1562" s="30"/>
      <c r="AE1562" s="197"/>
      <c r="AF1562" s="100"/>
      <c r="AR1562" s="241">
        <v>2</v>
      </c>
      <c r="AS1562" s="241" t="s">
        <v>9583</v>
      </c>
    </row>
    <row r="1563" spans="1:45" s="29" customFormat="1" ht="69.95" hidden="1" customHeight="1">
      <c r="A1563" s="49" t="s">
        <v>7106</v>
      </c>
      <c r="B1563" s="49" t="s">
        <v>8652</v>
      </c>
      <c r="C1563" s="49">
        <v>15</v>
      </c>
      <c r="D1563" s="49"/>
      <c r="E1563" s="57" t="s">
        <v>355</v>
      </c>
      <c r="F1563" s="57" t="s">
        <v>355</v>
      </c>
      <c r="J1563" s="29">
        <f t="shared" si="118"/>
        <v>1</v>
      </c>
      <c r="K1563" s="42">
        <v>1549</v>
      </c>
      <c r="L1563" s="43" t="s">
        <v>3173</v>
      </c>
      <c r="M1563" s="43" t="s">
        <v>417</v>
      </c>
      <c r="N1563" s="43" t="s">
        <v>433</v>
      </c>
      <c r="O1563" s="44" t="str">
        <f t="shared" si="117"/>
        <v>PE-M1-1C300-04</v>
      </c>
      <c r="P1563" s="51">
        <v>16000</v>
      </c>
      <c r="Q1563" s="43">
        <v>10000</v>
      </c>
      <c r="R1563" s="43" t="s">
        <v>49</v>
      </c>
      <c r="S1563" s="43">
        <v>140</v>
      </c>
      <c r="T1563" s="43" t="s">
        <v>7082</v>
      </c>
      <c r="U1563" s="43" t="s">
        <v>7106</v>
      </c>
      <c r="V1563" s="43" t="s">
        <v>7109</v>
      </c>
      <c r="W1563" s="43" t="s">
        <v>7108</v>
      </c>
      <c r="X1563" s="47" t="s">
        <v>309</v>
      </c>
      <c r="Y1563" s="43" t="s">
        <v>5280</v>
      </c>
      <c r="Z1563" s="43" t="s">
        <v>338</v>
      </c>
      <c r="AA1563" s="43" t="s">
        <v>335</v>
      </c>
      <c r="AB1563" s="47" t="s">
        <v>309</v>
      </c>
      <c r="AC1563" s="52" t="s">
        <v>8331</v>
      </c>
      <c r="AD1563" s="30"/>
      <c r="AE1563" s="197"/>
      <c r="AF1563" s="100"/>
      <c r="AR1563" s="241">
        <v>2</v>
      </c>
      <c r="AS1563" s="241" t="s">
        <v>9583</v>
      </c>
    </row>
    <row r="1564" spans="1:45" s="29" customFormat="1" ht="69.95" hidden="1" customHeight="1">
      <c r="A1564" s="49" t="s">
        <v>7106</v>
      </c>
      <c r="B1564" s="49" t="s">
        <v>8652</v>
      </c>
      <c r="C1564" s="49">
        <v>16</v>
      </c>
      <c r="D1564" s="49"/>
      <c r="E1564" s="57" t="s">
        <v>355</v>
      </c>
      <c r="F1564" s="57" t="s">
        <v>355</v>
      </c>
      <c r="J1564" s="29">
        <f t="shared" si="118"/>
        <v>1</v>
      </c>
      <c r="K1564" s="42">
        <v>1550</v>
      </c>
      <c r="L1564" s="43" t="s">
        <v>3174</v>
      </c>
      <c r="M1564" s="43" t="s">
        <v>417</v>
      </c>
      <c r="N1564" s="43" t="s">
        <v>433</v>
      </c>
      <c r="O1564" s="44" t="str">
        <f t="shared" si="117"/>
        <v>PE-M1-1C300-04</v>
      </c>
      <c r="P1564" s="51">
        <v>16000</v>
      </c>
      <c r="Q1564" s="43">
        <v>10000</v>
      </c>
      <c r="R1564" s="43" t="s">
        <v>49</v>
      </c>
      <c r="S1564" s="43">
        <v>140</v>
      </c>
      <c r="T1564" s="43" t="s">
        <v>7082</v>
      </c>
      <c r="U1564" s="43" t="s">
        <v>7106</v>
      </c>
      <c r="V1564" s="43" t="s">
        <v>7109</v>
      </c>
      <c r="W1564" s="43" t="s">
        <v>7108</v>
      </c>
      <c r="X1564" s="47" t="s">
        <v>307</v>
      </c>
      <c r="Y1564" s="43" t="s">
        <v>5280</v>
      </c>
      <c r="Z1564" s="43" t="s">
        <v>338</v>
      </c>
      <c r="AA1564" s="43" t="s">
        <v>335</v>
      </c>
      <c r="AB1564" s="47" t="s">
        <v>307</v>
      </c>
      <c r="AC1564" s="48" t="s">
        <v>8331</v>
      </c>
      <c r="AD1564" s="30"/>
      <c r="AE1564" s="197"/>
      <c r="AF1564" s="100"/>
      <c r="AR1564" s="241">
        <v>2</v>
      </c>
      <c r="AS1564" s="241" t="s">
        <v>9583</v>
      </c>
    </row>
    <row r="1565" spans="1:45" s="29" customFormat="1" ht="69.95" hidden="1" customHeight="1">
      <c r="A1565" s="49" t="s">
        <v>7106</v>
      </c>
      <c r="B1565" s="49" t="s">
        <v>8652</v>
      </c>
      <c r="C1565" s="49">
        <v>17</v>
      </c>
      <c r="D1565" s="49"/>
      <c r="E1565" s="57" t="s">
        <v>356</v>
      </c>
      <c r="F1565" s="57" t="s">
        <v>356</v>
      </c>
      <c r="J1565" s="29">
        <f t="shared" si="118"/>
        <v>1</v>
      </c>
      <c r="K1565" s="42">
        <v>1551</v>
      </c>
      <c r="L1565" s="43" t="s">
        <v>3175</v>
      </c>
      <c r="M1565" s="43" t="s">
        <v>417</v>
      </c>
      <c r="N1565" s="43" t="s">
        <v>433</v>
      </c>
      <c r="O1565" s="44" t="str">
        <f t="shared" si="117"/>
        <v>PE-M1-1C300-05</v>
      </c>
      <c r="P1565" s="51">
        <v>16000</v>
      </c>
      <c r="Q1565" s="43">
        <v>10000</v>
      </c>
      <c r="R1565" s="43" t="s">
        <v>49</v>
      </c>
      <c r="S1565" s="43">
        <v>140</v>
      </c>
      <c r="T1565" s="43" t="s">
        <v>7082</v>
      </c>
      <c r="U1565" s="43" t="s">
        <v>7106</v>
      </c>
      <c r="V1565" s="43" t="s">
        <v>7109</v>
      </c>
      <c r="W1565" s="43" t="s">
        <v>7108</v>
      </c>
      <c r="X1565" s="47" t="s">
        <v>308</v>
      </c>
      <c r="Y1565" s="43" t="s">
        <v>5280</v>
      </c>
      <c r="Z1565" s="43" t="s">
        <v>338</v>
      </c>
      <c r="AA1565" s="43" t="s">
        <v>335</v>
      </c>
      <c r="AB1565" s="47" t="s">
        <v>308</v>
      </c>
      <c r="AC1565" s="52" t="s">
        <v>8331</v>
      </c>
      <c r="AD1565" s="30"/>
      <c r="AE1565" s="197"/>
      <c r="AF1565" s="100"/>
      <c r="AR1565" s="241">
        <v>2</v>
      </c>
      <c r="AS1565" s="241" t="s">
        <v>9583</v>
      </c>
    </row>
    <row r="1566" spans="1:45" s="29" customFormat="1" ht="69.95" hidden="1" customHeight="1">
      <c r="A1566" s="49" t="s">
        <v>7106</v>
      </c>
      <c r="B1566" s="49" t="s">
        <v>8652</v>
      </c>
      <c r="C1566" s="49">
        <v>18</v>
      </c>
      <c r="D1566" s="49"/>
      <c r="E1566" s="57" t="s">
        <v>356</v>
      </c>
      <c r="F1566" s="57" t="s">
        <v>356</v>
      </c>
      <c r="J1566" s="29">
        <f t="shared" si="118"/>
        <v>1</v>
      </c>
      <c r="K1566" s="42">
        <v>1552</v>
      </c>
      <c r="L1566" s="43" t="s">
        <v>3176</v>
      </c>
      <c r="M1566" s="43" t="s">
        <v>417</v>
      </c>
      <c r="N1566" s="43" t="s">
        <v>433</v>
      </c>
      <c r="O1566" s="44" t="str">
        <f t="shared" si="117"/>
        <v>PE-M1-1C300-05</v>
      </c>
      <c r="P1566" s="51">
        <v>16000</v>
      </c>
      <c r="Q1566" s="43">
        <v>10000</v>
      </c>
      <c r="R1566" s="43" t="s">
        <v>49</v>
      </c>
      <c r="S1566" s="43">
        <v>140</v>
      </c>
      <c r="T1566" s="43" t="s">
        <v>7082</v>
      </c>
      <c r="U1566" s="43" t="s">
        <v>7106</v>
      </c>
      <c r="V1566" s="43" t="s">
        <v>7109</v>
      </c>
      <c r="W1566" s="43" t="s">
        <v>7108</v>
      </c>
      <c r="X1566" s="47" t="s">
        <v>309</v>
      </c>
      <c r="Y1566" s="43" t="s">
        <v>5280</v>
      </c>
      <c r="Z1566" s="43" t="s">
        <v>338</v>
      </c>
      <c r="AA1566" s="43" t="s">
        <v>335</v>
      </c>
      <c r="AB1566" s="47" t="s">
        <v>309</v>
      </c>
      <c r="AC1566" s="52" t="s">
        <v>8331</v>
      </c>
      <c r="AD1566" s="30"/>
      <c r="AE1566" s="197"/>
      <c r="AF1566" s="100"/>
      <c r="AR1566" s="241">
        <v>2</v>
      </c>
      <c r="AS1566" s="241" t="s">
        <v>9583</v>
      </c>
    </row>
    <row r="1567" spans="1:45" s="32" customFormat="1" ht="69.95" hidden="1" customHeight="1">
      <c r="A1567" s="29" t="s">
        <v>7110</v>
      </c>
      <c r="B1567" s="29" t="s">
        <v>8652</v>
      </c>
      <c r="C1567" s="40" t="s">
        <v>32</v>
      </c>
      <c r="D1567" s="40"/>
      <c r="E1567" s="57" t="s">
        <v>339</v>
      </c>
      <c r="F1567" s="57" t="s">
        <v>339</v>
      </c>
      <c r="G1567" s="29" t="s">
        <v>3177</v>
      </c>
      <c r="H1567" s="29"/>
      <c r="I1567" s="29"/>
      <c r="J1567" s="29">
        <f t="shared" si="118"/>
        <v>1</v>
      </c>
      <c r="K1567" s="42">
        <v>1553</v>
      </c>
      <c r="L1567" s="43" t="s">
        <v>3178</v>
      </c>
      <c r="M1567" s="44" t="s">
        <v>417</v>
      </c>
      <c r="N1567" s="44" t="s">
        <v>433</v>
      </c>
      <c r="O1567" s="44" t="str">
        <f t="shared" si="117"/>
        <v>PE-M1-1C300-06</v>
      </c>
      <c r="P1567" s="45">
        <v>16000</v>
      </c>
      <c r="Q1567" s="44">
        <v>10000</v>
      </c>
      <c r="R1567" s="44" t="s">
        <v>49</v>
      </c>
      <c r="S1567" s="44">
        <v>200</v>
      </c>
      <c r="T1567" s="46" t="s">
        <v>7082</v>
      </c>
      <c r="U1567" s="46" t="s">
        <v>7110</v>
      </c>
      <c r="V1567" s="46" t="s">
        <v>341</v>
      </c>
      <c r="W1567" s="46" t="s">
        <v>333</v>
      </c>
      <c r="X1567" s="47" t="s">
        <v>307</v>
      </c>
      <c r="Y1567" s="46" t="s">
        <v>3975</v>
      </c>
      <c r="Z1567" s="46" t="s">
        <v>342</v>
      </c>
      <c r="AA1567" s="46" t="s">
        <v>335</v>
      </c>
      <c r="AB1567" s="47" t="s">
        <v>307</v>
      </c>
      <c r="AC1567" s="48" t="s">
        <v>8332</v>
      </c>
      <c r="AD1567" s="30"/>
      <c r="AE1567" s="200"/>
      <c r="AF1567" s="100"/>
      <c r="AR1567" s="241">
        <v>2</v>
      </c>
      <c r="AS1567" s="241" t="s">
        <v>9583</v>
      </c>
    </row>
    <row r="1568" spans="1:45" s="29" customFormat="1" ht="69.95" hidden="1" customHeight="1">
      <c r="A1568" s="49" t="s">
        <v>7110</v>
      </c>
      <c r="B1568" s="49" t="s">
        <v>8652</v>
      </c>
      <c r="C1568" s="50" t="s">
        <v>36</v>
      </c>
      <c r="D1568" s="50"/>
      <c r="E1568" s="57" t="s">
        <v>339</v>
      </c>
      <c r="F1568" s="57" t="s">
        <v>339</v>
      </c>
      <c r="J1568" s="29">
        <f t="shared" si="118"/>
        <v>1</v>
      </c>
      <c r="K1568" s="42">
        <v>1554</v>
      </c>
      <c r="L1568" s="43" t="s">
        <v>3179</v>
      </c>
      <c r="M1568" s="43" t="s">
        <v>417</v>
      </c>
      <c r="N1568" s="43" t="s">
        <v>433</v>
      </c>
      <c r="O1568" s="44" t="str">
        <f t="shared" si="117"/>
        <v>PE-M1-1C300-06</v>
      </c>
      <c r="P1568" s="51">
        <v>16000</v>
      </c>
      <c r="Q1568" s="43">
        <v>10000</v>
      </c>
      <c r="R1568" s="43" t="s">
        <v>49</v>
      </c>
      <c r="S1568" s="43">
        <v>200</v>
      </c>
      <c r="T1568" s="43" t="s">
        <v>7082</v>
      </c>
      <c r="U1568" s="43" t="s">
        <v>7110</v>
      </c>
      <c r="V1568" s="43" t="s">
        <v>7111</v>
      </c>
      <c r="W1568" s="43" t="s">
        <v>7108</v>
      </c>
      <c r="X1568" s="47" t="s">
        <v>308</v>
      </c>
      <c r="Y1568" s="43" t="s">
        <v>3975</v>
      </c>
      <c r="Z1568" s="43" t="s">
        <v>342</v>
      </c>
      <c r="AA1568" s="43" t="s">
        <v>335</v>
      </c>
      <c r="AB1568" s="47" t="s">
        <v>308</v>
      </c>
      <c r="AC1568" s="52" t="s">
        <v>8332</v>
      </c>
      <c r="AD1568" s="30"/>
      <c r="AE1568" s="197"/>
      <c r="AF1568" s="100"/>
      <c r="AR1568" s="241">
        <v>2</v>
      </c>
      <c r="AS1568" s="241" t="s">
        <v>9583</v>
      </c>
    </row>
    <row r="1569" spans="1:45" s="29" customFormat="1" ht="69.95" hidden="1" customHeight="1">
      <c r="A1569" s="49" t="s">
        <v>7110</v>
      </c>
      <c r="B1569" s="49" t="s">
        <v>8652</v>
      </c>
      <c r="C1569" s="49">
        <v>3</v>
      </c>
      <c r="D1569" s="49"/>
      <c r="E1569" s="57" t="s">
        <v>365</v>
      </c>
      <c r="F1569" s="57" t="s">
        <v>365</v>
      </c>
      <c r="J1569" s="29">
        <f t="shared" si="118"/>
        <v>1</v>
      </c>
      <c r="K1569" s="42">
        <v>1555</v>
      </c>
      <c r="L1569" s="43" t="s">
        <v>3180</v>
      </c>
      <c r="M1569" s="43" t="s">
        <v>417</v>
      </c>
      <c r="N1569" s="43" t="s">
        <v>433</v>
      </c>
      <c r="O1569" s="44" t="str">
        <f t="shared" si="117"/>
        <v>PE-M1-1C300-17</v>
      </c>
      <c r="P1569" s="51">
        <v>16000</v>
      </c>
      <c r="Q1569" s="43">
        <v>10000</v>
      </c>
      <c r="R1569" s="43" t="s">
        <v>49</v>
      </c>
      <c r="S1569" s="43">
        <v>200</v>
      </c>
      <c r="T1569" s="43" t="s">
        <v>7082</v>
      </c>
      <c r="U1569" s="43" t="s">
        <v>7110</v>
      </c>
      <c r="V1569" s="43" t="s">
        <v>7111</v>
      </c>
      <c r="W1569" s="43" t="s">
        <v>7108</v>
      </c>
      <c r="X1569" s="47" t="s">
        <v>309</v>
      </c>
      <c r="Y1569" s="43" t="s">
        <v>3975</v>
      </c>
      <c r="Z1569" s="43" t="s">
        <v>342</v>
      </c>
      <c r="AA1569" s="43" t="s">
        <v>335</v>
      </c>
      <c r="AB1569" s="47" t="s">
        <v>309</v>
      </c>
      <c r="AC1569" s="52" t="s">
        <v>8332</v>
      </c>
      <c r="AD1569" s="30"/>
      <c r="AE1569" s="197"/>
      <c r="AF1569" s="100"/>
      <c r="AR1569" s="241">
        <v>2</v>
      </c>
      <c r="AS1569" s="241" t="s">
        <v>9583</v>
      </c>
    </row>
    <row r="1570" spans="1:45" s="29" customFormat="1" ht="69.95" hidden="1" customHeight="1">
      <c r="A1570" s="49" t="s">
        <v>7110</v>
      </c>
      <c r="B1570" s="49" t="s">
        <v>8652</v>
      </c>
      <c r="C1570" s="49">
        <v>4</v>
      </c>
      <c r="D1570" s="49"/>
      <c r="E1570" s="57" t="s">
        <v>365</v>
      </c>
      <c r="F1570" s="57" t="s">
        <v>365</v>
      </c>
      <c r="J1570" s="29">
        <f t="shared" si="118"/>
        <v>1</v>
      </c>
      <c r="K1570" s="42">
        <v>1556</v>
      </c>
      <c r="L1570" s="43" t="s">
        <v>3181</v>
      </c>
      <c r="M1570" s="43" t="s">
        <v>417</v>
      </c>
      <c r="N1570" s="43" t="s">
        <v>433</v>
      </c>
      <c r="O1570" s="44" t="str">
        <f t="shared" si="117"/>
        <v>PE-M1-1C300-17</v>
      </c>
      <c r="P1570" s="51">
        <v>16000</v>
      </c>
      <c r="Q1570" s="43">
        <v>10000</v>
      </c>
      <c r="R1570" s="43" t="s">
        <v>49</v>
      </c>
      <c r="S1570" s="43">
        <v>200</v>
      </c>
      <c r="T1570" s="43" t="s">
        <v>7082</v>
      </c>
      <c r="U1570" s="43" t="s">
        <v>7110</v>
      </c>
      <c r="V1570" s="43" t="s">
        <v>7111</v>
      </c>
      <c r="W1570" s="43" t="s">
        <v>7108</v>
      </c>
      <c r="X1570" s="47" t="s">
        <v>307</v>
      </c>
      <c r="Y1570" s="43" t="s">
        <v>3975</v>
      </c>
      <c r="Z1570" s="43" t="s">
        <v>342</v>
      </c>
      <c r="AA1570" s="43" t="s">
        <v>335</v>
      </c>
      <c r="AB1570" s="47" t="s">
        <v>307</v>
      </c>
      <c r="AC1570" s="48" t="s">
        <v>8332</v>
      </c>
      <c r="AD1570" s="30"/>
      <c r="AE1570" s="197"/>
      <c r="AF1570" s="100"/>
      <c r="AR1570" s="241">
        <v>2</v>
      </c>
      <c r="AS1570" s="241" t="s">
        <v>9583</v>
      </c>
    </row>
    <row r="1571" spans="1:45" s="29" customFormat="1" ht="69.95" hidden="1" customHeight="1">
      <c r="A1571" s="49" t="s">
        <v>7110</v>
      </c>
      <c r="B1571" s="49" t="s">
        <v>8652</v>
      </c>
      <c r="C1571" s="49">
        <v>5</v>
      </c>
      <c r="D1571" s="49"/>
      <c r="E1571" s="57" t="s">
        <v>345</v>
      </c>
      <c r="F1571" s="57" t="s">
        <v>345</v>
      </c>
      <c r="J1571" s="29">
        <f t="shared" si="118"/>
        <v>1</v>
      </c>
      <c r="K1571" s="42">
        <v>1557</v>
      </c>
      <c r="L1571" s="43" t="s">
        <v>3182</v>
      </c>
      <c r="M1571" s="43" t="s">
        <v>417</v>
      </c>
      <c r="N1571" s="43" t="s">
        <v>433</v>
      </c>
      <c r="O1571" s="44" t="str">
        <f t="shared" si="117"/>
        <v>PE-M1-1C300-16</v>
      </c>
      <c r="P1571" s="51">
        <v>16000</v>
      </c>
      <c r="Q1571" s="43">
        <v>10000</v>
      </c>
      <c r="R1571" s="43" t="s">
        <v>49</v>
      </c>
      <c r="S1571" s="43">
        <v>200</v>
      </c>
      <c r="T1571" s="43" t="s">
        <v>7082</v>
      </c>
      <c r="U1571" s="43" t="s">
        <v>7110</v>
      </c>
      <c r="V1571" s="43" t="s">
        <v>7111</v>
      </c>
      <c r="W1571" s="43" t="s">
        <v>7108</v>
      </c>
      <c r="X1571" s="47" t="s">
        <v>308</v>
      </c>
      <c r="Y1571" s="43" t="s">
        <v>3975</v>
      </c>
      <c r="Z1571" s="43" t="s">
        <v>342</v>
      </c>
      <c r="AA1571" s="43" t="s">
        <v>335</v>
      </c>
      <c r="AB1571" s="47" t="s">
        <v>308</v>
      </c>
      <c r="AC1571" s="52" t="s">
        <v>8332</v>
      </c>
      <c r="AD1571" s="30"/>
      <c r="AE1571" s="197"/>
      <c r="AF1571" s="100"/>
      <c r="AR1571" s="241">
        <v>2</v>
      </c>
      <c r="AS1571" s="241" t="s">
        <v>9583</v>
      </c>
    </row>
    <row r="1572" spans="1:45" s="29" customFormat="1" ht="69.95" hidden="1" customHeight="1">
      <c r="A1572" s="49" t="s">
        <v>7110</v>
      </c>
      <c r="B1572" s="49" t="s">
        <v>8652</v>
      </c>
      <c r="C1572" s="49">
        <v>6</v>
      </c>
      <c r="D1572" s="49"/>
      <c r="E1572" s="57" t="s">
        <v>345</v>
      </c>
      <c r="F1572" s="57" t="s">
        <v>345</v>
      </c>
      <c r="J1572" s="29">
        <f t="shared" si="118"/>
        <v>1</v>
      </c>
      <c r="K1572" s="42">
        <v>1558</v>
      </c>
      <c r="L1572" s="43" t="s">
        <v>3183</v>
      </c>
      <c r="M1572" s="43" t="s">
        <v>417</v>
      </c>
      <c r="N1572" s="43" t="s">
        <v>433</v>
      </c>
      <c r="O1572" s="44" t="str">
        <f t="shared" si="117"/>
        <v>PE-M1-1C300-16</v>
      </c>
      <c r="P1572" s="51">
        <v>16000</v>
      </c>
      <c r="Q1572" s="43">
        <v>10000</v>
      </c>
      <c r="R1572" s="43" t="s">
        <v>49</v>
      </c>
      <c r="S1572" s="43">
        <v>200</v>
      </c>
      <c r="T1572" s="43" t="s">
        <v>7082</v>
      </c>
      <c r="U1572" s="43" t="s">
        <v>7110</v>
      </c>
      <c r="V1572" s="43" t="s">
        <v>7111</v>
      </c>
      <c r="W1572" s="43" t="s">
        <v>7108</v>
      </c>
      <c r="X1572" s="47" t="s">
        <v>309</v>
      </c>
      <c r="Y1572" s="43" t="s">
        <v>3975</v>
      </c>
      <c r="Z1572" s="43" t="s">
        <v>342</v>
      </c>
      <c r="AA1572" s="43" t="s">
        <v>335</v>
      </c>
      <c r="AB1572" s="47" t="s">
        <v>309</v>
      </c>
      <c r="AC1572" s="52" t="s">
        <v>8332</v>
      </c>
      <c r="AD1572" s="30"/>
      <c r="AE1572" s="197"/>
      <c r="AF1572" s="100"/>
      <c r="AR1572" s="241">
        <v>2</v>
      </c>
      <c r="AS1572" s="241" t="s">
        <v>9583</v>
      </c>
    </row>
    <row r="1573" spans="1:45" s="29" customFormat="1" ht="69.95" hidden="1" customHeight="1">
      <c r="A1573" s="49" t="s">
        <v>7110</v>
      </c>
      <c r="B1573" s="49" t="s">
        <v>8652</v>
      </c>
      <c r="C1573" s="49">
        <v>7</v>
      </c>
      <c r="D1573" s="49"/>
      <c r="E1573" s="57" t="s">
        <v>8534</v>
      </c>
      <c r="F1573" s="57" t="s">
        <v>8534</v>
      </c>
      <c r="J1573" s="29">
        <f t="shared" si="118"/>
        <v>1</v>
      </c>
      <c r="K1573" s="42">
        <v>1559</v>
      </c>
      <c r="L1573" s="43" t="s">
        <v>3184</v>
      </c>
      <c r="M1573" s="43" t="s">
        <v>417</v>
      </c>
      <c r="N1573" s="43" t="s">
        <v>433</v>
      </c>
      <c r="O1573" s="44" t="str">
        <f t="shared" si="117"/>
        <v>PE-M1-1C300-22</v>
      </c>
      <c r="P1573" s="51">
        <v>16000</v>
      </c>
      <c r="Q1573" s="43">
        <v>10000</v>
      </c>
      <c r="R1573" s="43" t="s">
        <v>49</v>
      </c>
      <c r="S1573" s="43">
        <v>200</v>
      </c>
      <c r="T1573" s="43" t="s">
        <v>7082</v>
      </c>
      <c r="U1573" s="43" t="s">
        <v>7110</v>
      </c>
      <c r="V1573" s="43" t="s">
        <v>7111</v>
      </c>
      <c r="W1573" s="43" t="s">
        <v>7108</v>
      </c>
      <c r="X1573" s="47" t="s">
        <v>307</v>
      </c>
      <c r="Y1573" s="43" t="s">
        <v>3975</v>
      </c>
      <c r="Z1573" s="43" t="s">
        <v>342</v>
      </c>
      <c r="AA1573" s="43" t="s">
        <v>335</v>
      </c>
      <c r="AB1573" s="47" t="s">
        <v>307</v>
      </c>
      <c r="AC1573" s="48" t="s">
        <v>8332</v>
      </c>
      <c r="AD1573" s="30"/>
      <c r="AE1573" s="197"/>
      <c r="AF1573" s="100"/>
      <c r="AR1573" s="241">
        <v>2</v>
      </c>
      <c r="AS1573" s="241" t="s">
        <v>9583</v>
      </c>
    </row>
    <row r="1574" spans="1:45" s="29" customFormat="1" ht="69.95" hidden="1" customHeight="1">
      <c r="A1574" s="49" t="s">
        <v>7110</v>
      </c>
      <c r="B1574" s="49" t="s">
        <v>8652</v>
      </c>
      <c r="C1574" s="49">
        <v>8</v>
      </c>
      <c r="D1574" s="49"/>
      <c r="E1574" s="57" t="s">
        <v>8534</v>
      </c>
      <c r="F1574" s="57" t="s">
        <v>8534</v>
      </c>
      <c r="J1574" s="29">
        <f t="shared" si="118"/>
        <v>1</v>
      </c>
      <c r="K1574" s="42">
        <v>1560</v>
      </c>
      <c r="L1574" s="43" t="s">
        <v>3185</v>
      </c>
      <c r="M1574" s="43" t="s">
        <v>417</v>
      </c>
      <c r="N1574" s="43" t="s">
        <v>433</v>
      </c>
      <c r="O1574" s="44" t="str">
        <f t="shared" si="117"/>
        <v>PE-M1-1C300-22</v>
      </c>
      <c r="P1574" s="51">
        <v>16000</v>
      </c>
      <c r="Q1574" s="43">
        <v>10000</v>
      </c>
      <c r="R1574" s="43" t="s">
        <v>49</v>
      </c>
      <c r="S1574" s="43">
        <v>200</v>
      </c>
      <c r="T1574" s="43" t="s">
        <v>7082</v>
      </c>
      <c r="U1574" s="43" t="s">
        <v>7110</v>
      </c>
      <c r="V1574" s="43" t="s">
        <v>7111</v>
      </c>
      <c r="W1574" s="43" t="s">
        <v>7108</v>
      </c>
      <c r="X1574" s="47" t="s">
        <v>308</v>
      </c>
      <c r="Y1574" s="43" t="s">
        <v>3975</v>
      </c>
      <c r="Z1574" s="43" t="s">
        <v>342</v>
      </c>
      <c r="AA1574" s="43" t="s">
        <v>335</v>
      </c>
      <c r="AB1574" s="47" t="s">
        <v>308</v>
      </c>
      <c r="AC1574" s="52" t="s">
        <v>8332</v>
      </c>
      <c r="AD1574" s="30"/>
      <c r="AE1574" s="197"/>
      <c r="AF1574" s="100"/>
      <c r="AR1574" s="241">
        <v>2</v>
      </c>
      <c r="AS1574" s="241" t="s">
        <v>9583</v>
      </c>
    </row>
    <row r="1575" spans="1:45" s="29" customFormat="1" ht="69.95" hidden="1" customHeight="1">
      <c r="A1575" s="49" t="s">
        <v>7110</v>
      </c>
      <c r="B1575" s="49" t="s">
        <v>8652</v>
      </c>
      <c r="C1575" s="49">
        <v>9</v>
      </c>
      <c r="D1575" s="49"/>
      <c r="E1575" s="57" t="s">
        <v>8545</v>
      </c>
      <c r="F1575" s="57" t="s">
        <v>8546</v>
      </c>
      <c r="J1575" s="29">
        <f t="shared" si="118"/>
        <v>1</v>
      </c>
      <c r="K1575" s="42">
        <v>1561</v>
      </c>
      <c r="L1575" s="43" t="s">
        <v>3186</v>
      </c>
      <c r="M1575" s="43" t="s">
        <v>417</v>
      </c>
      <c r="N1575" s="43" t="s">
        <v>433</v>
      </c>
      <c r="O1575" s="44" t="str">
        <f t="shared" si="117"/>
        <v>PE-M1-1C300-23</v>
      </c>
      <c r="P1575" s="51">
        <v>16000</v>
      </c>
      <c r="Q1575" s="43">
        <v>10000</v>
      </c>
      <c r="R1575" s="43" t="s">
        <v>49</v>
      </c>
      <c r="S1575" s="43">
        <v>200</v>
      </c>
      <c r="T1575" s="43" t="s">
        <v>7082</v>
      </c>
      <c r="U1575" s="43" t="s">
        <v>7110</v>
      </c>
      <c r="V1575" s="43" t="s">
        <v>7111</v>
      </c>
      <c r="W1575" s="43" t="s">
        <v>7108</v>
      </c>
      <c r="X1575" s="47" t="s">
        <v>309</v>
      </c>
      <c r="Y1575" s="43" t="s">
        <v>3975</v>
      </c>
      <c r="Z1575" s="43" t="s">
        <v>342</v>
      </c>
      <c r="AA1575" s="43" t="s">
        <v>335</v>
      </c>
      <c r="AB1575" s="47" t="s">
        <v>309</v>
      </c>
      <c r="AC1575" s="52" t="s">
        <v>8332</v>
      </c>
      <c r="AD1575" s="30"/>
      <c r="AE1575" s="197"/>
      <c r="AF1575" s="100"/>
      <c r="AR1575" s="241">
        <v>2</v>
      </c>
      <c r="AS1575" s="241" t="s">
        <v>9583</v>
      </c>
    </row>
    <row r="1576" spans="1:45" s="32" customFormat="1" ht="69.95" hidden="1" customHeight="1">
      <c r="A1576" s="29" t="s">
        <v>7110</v>
      </c>
      <c r="B1576" s="29" t="s">
        <v>8652</v>
      </c>
      <c r="C1576" s="40">
        <v>10</v>
      </c>
      <c r="D1576" s="40"/>
      <c r="E1576" s="57" t="s">
        <v>348</v>
      </c>
      <c r="F1576" s="57" t="s">
        <v>348</v>
      </c>
      <c r="G1576" s="29" t="s">
        <v>3187</v>
      </c>
      <c r="H1576" s="29"/>
      <c r="I1576" s="29"/>
      <c r="J1576" s="29">
        <f t="shared" si="118"/>
        <v>1</v>
      </c>
      <c r="K1576" s="42">
        <v>1562</v>
      </c>
      <c r="L1576" s="43" t="s">
        <v>3188</v>
      </c>
      <c r="M1576" s="44" t="s">
        <v>417</v>
      </c>
      <c r="N1576" s="44" t="s">
        <v>433</v>
      </c>
      <c r="O1576" s="44" t="str">
        <f t="shared" si="117"/>
        <v>PE-M1-1C300-25</v>
      </c>
      <c r="P1576" s="45">
        <v>16000</v>
      </c>
      <c r="Q1576" s="44">
        <v>10000</v>
      </c>
      <c r="R1576" s="44" t="s">
        <v>49</v>
      </c>
      <c r="S1576" s="44">
        <v>185</v>
      </c>
      <c r="T1576" s="46" t="s">
        <v>7082</v>
      </c>
      <c r="U1576" s="46" t="s">
        <v>7110</v>
      </c>
      <c r="V1576" s="46" t="s">
        <v>343</v>
      </c>
      <c r="W1576" s="46" t="s">
        <v>333</v>
      </c>
      <c r="X1576" s="47" t="s">
        <v>307</v>
      </c>
      <c r="Y1576" s="46" t="s">
        <v>5288</v>
      </c>
      <c r="Z1576" s="46" t="s">
        <v>344</v>
      </c>
      <c r="AA1576" s="46" t="s">
        <v>335</v>
      </c>
      <c r="AB1576" s="47" t="s">
        <v>307</v>
      </c>
      <c r="AC1576" s="48" t="s">
        <v>8333</v>
      </c>
      <c r="AD1576" s="30"/>
      <c r="AE1576" s="200"/>
      <c r="AF1576" s="100"/>
      <c r="AR1576" s="241">
        <v>2</v>
      </c>
      <c r="AS1576" s="241" t="s">
        <v>9583</v>
      </c>
    </row>
    <row r="1577" spans="1:45" s="29" customFormat="1" ht="69.95" hidden="1" customHeight="1">
      <c r="A1577" s="49" t="s">
        <v>7110</v>
      </c>
      <c r="B1577" s="49" t="s">
        <v>8652</v>
      </c>
      <c r="C1577" s="49">
        <v>11</v>
      </c>
      <c r="D1577" s="49"/>
      <c r="E1577" s="57" t="s">
        <v>348</v>
      </c>
      <c r="F1577" s="57" t="s">
        <v>348</v>
      </c>
      <c r="J1577" s="29">
        <f t="shared" si="118"/>
        <v>1</v>
      </c>
      <c r="K1577" s="42">
        <v>1563</v>
      </c>
      <c r="L1577" s="43" t="s">
        <v>3189</v>
      </c>
      <c r="M1577" s="43" t="s">
        <v>417</v>
      </c>
      <c r="N1577" s="43" t="s">
        <v>433</v>
      </c>
      <c r="O1577" s="44" t="str">
        <f t="shared" si="117"/>
        <v>PE-M1-1C300-25</v>
      </c>
      <c r="P1577" s="51">
        <v>16000</v>
      </c>
      <c r="Q1577" s="43">
        <v>10000</v>
      </c>
      <c r="R1577" s="43" t="s">
        <v>49</v>
      </c>
      <c r="S1577" s="43">
        <v>185</v>
      </c>
      <c r="T1577" s="43" t="s">
        <v>7082</v>
      </c>
      <c r="U1577" s="43" t="s">
        <v>7110</v>
      </c>
      <c r="V1577" s="43" t="s">
        <v>7112</v>
      </c>
      <c r="W1577" s="43" t="s">
        <v>7108</v>
      </c>
      <c r="X1577" s="47" t="s">
        <v>308</v>
      </c>
      <c r="Y1577" s="43" t="s">
        <v>5288</v>
      </c>
      <c r="Z1577" s="43" t="s">
        <v>344</v>
      </c>
      <c r="AA1577" s="43" t="s">
        <v>335</v>
      </c>
      <c r="AB1577" s="47" t="s">
        <v>308</v>
      </c>
      <c r="AC1577" s="52" t="s">
        <v>8333</v>
      </c>
      <c r="AD1577" s="30"/>
      <c r="AE1577" s="197"/>
      <c r="AF1577" s="100"/>
      <c r="AR1577" s="241">
        <v>2</v>
      </c>
      <c r="AS1577" s="241" t="s">
        <v>9583</v>
      </c>
    </row>
    <row r="1578" spans="1:45" s="29" customFormat="1" ht="69.95" hidden="1" customHeight="1">
      <c r="A1578" s="49" t="s">
        <v>7110</v>
      </c>
      <c r="B1578" s="49" t="s">
        <v>8652</v>
      </c>
      <c r="C1578" s="49">
        <v>12</v>
      </c>
      <c r="D1578" s="49"/>
      <c r="E1578" s="57" t="s">
        <v>348</v>
      </c>
      <c r="F1578" s="57" t="s">
        <v>348</v>
      </c>
      <c r="J1578" s="29">
        <f t="shared" si="118"/>
        <v>1</v>
      </c>
      <c r="K1578" s="42">
        <v>1564</v>
      </c>
      <c r="L1578" s="43" t="s">
        <v>3190</v>
      </c>
      <c r="M1578" s="43" t="s">
        <v>417</v>
      </c>
      <c r="N1578" s="43" t="s">
        <v>433</v>
      </c>
      <c r="O1578" s="44" t="str">
        <f t="shared" si="117"/>
        <v>PE-M1-1C300-25</v>
      </c>
      <c r="P1578" s="51">
        <v>16000</v>
      </c>
      <c r="Q1578" s="43">
        <v>10000</v>
      </c>
      <c r="R1578" s="43" t="s">
        <v>49</v>
      </c>
      <c r="S1578" s="43">
        <v>185</v>
      </c>
      <c r="T1578" s="43" t="s">
        <v>7082</v>
      </c>
      <c r="U1578" s="43" t="s">
        <v>7110</v>
      </c>
      <c r="V1578" s="43" t="s">
        <v>7112</v>
      </c>
      <c r="W1578" s="43" t="s">
        <v>7108</v>
      </c>
      <c r="X1578" s="47" t="s">
        <v>309</v>
      </c>
      <c r="Y1578" s="43" t="s">
        <v>5288</v>
      </c>
      <c r="Z1578" s="43" t="s">
        <v>344</v>
      </c>
      <c r="AA1578" s="43" t="s">
        <v>335</v>
      </c>
      <c r="AB1578" s="47" t="s">
        <v>309</v>
      </c>
      <c r="AC1578" s="52" t="s">
        <v>8333</v>
      </c>
      <c r="AD1578" s="30"/>
      <c r="AE1578" s="197"/>
      <c r="AF1578" s="100"/>
      <c r="AR1578" s="241">
        <v>2</v>
      </c>
      <c r="AS1578" s="241" t="s">
        <v>9583</v>
      </c>
    </row>
    <row r="1579" spans="1:45" s="29" customFormat="1" ht="69.95" hidden="1" customHeight="1">
      <c r="A1579" s="49" t="s">
        <v>7110</v>
      </c>
      <c r="B1579" s="49" t="s">
        <v>8652</v>
      </c>
      <c r="C1579" s="49">
        <v>13</v>
      </c>
      <c r="D1579" s="49"/>
      <c r="E1579" s="57" t="s">
        <v>349</v>
      </c>
      <c r="F1579" s="57" t="s">
        <v>349</v>
      </c>
      <c r="J1579" s="29">
        <f t="shared" si="118"/>
        <v>1</v>
      </c>
      <c r="K1579" s="42">
        <v>1565</v>
      </c>
      <c r="L1579" s="43" t="s">
        <v>3191</v>
      </c>
      <c r="M1579" s="43" t="s">
        <v>417</v>
      </c>
      <c r="N1579" s="43" t="s">
        <v>433</v>
      </c>
      <c r="O1579" s="44" t="str">
        <f t="shared" si="117"/>
        <v>PE-M1-1C300-26</v>
      </c>
      <c r="P1579" s="51">
        <v>16000</v>
      </c>
      <c r="Q1579" s="43">
        <v>10000</v>
      </c>
      <c r="R1579" s="43" t="s">
        <v>49</v>
      </c>
      <c r="S1579" s="43">
        <v>185</v>
      </c>
      <c r="T1579" s="43" t="s">
        <v>7082</v>
      </c>
      <c r="U1579" s="43" t="s">
        <v>7110</v>
      </c>
      <c r="V1579" s="43" t="s">
        <v>7112</v>
      </c>
      <c r="W1579" s="43" t="s">
        <v>7108</v>
      </c>
      <c r="X1579" s="47" t="s">
        <v>307</v>
      </c>
      <c r="Y1579" s="43" t="s">
        <v>5288</v>
      </c>
      <c r="Z1579" s="43" t="s">
        <v>344</v>
      </c>
      <c r="AA1579" s="43" t="s">
        <v>335</v>
      </c>
      <c r="AB1579" s="47" t="s">
        <v>307</v>
      </c>
      <c r="AC1579" s="48" t="s">
        <v>8333</v>
      </c>
      <c r="AD1579" s="30"/>
      <c r="AE1579" s="197"/>
      <c r="AF1579" s="100"/>
      <c r="AR1579" s="241">
        <v>2</v>
      </c>
      <c r="AS1579" s="241" t="s">
        <v>9583</v>
      </c>
    </row>
    <row r="1580" spans="1:45" s="29" customFormat="1" ht="69.95" hidden="1" customHeight="1">
      <c r="A1580" s="49" t="s">
        <v>7110</v>
      </c>
      <c r="B1580" s="49" t="s">
        <v>8652</v>
      </c>
      <c r="C1580" s="49">
        <v>14</v>
      </c>
      <c r="D1580" s="49"/>
      <c r="E1580" s="57" t="s">
        <v>349</v>
      </c>
      <c r="F1580" s="57" t="s">
        <v>349</v>
      </c>
      <c r="J1580" s="29">
        <f t="shared" si="118"/>
        <v>1</v>
      </c>
      <c r="K1580" s="42">
        <v>1566</v>
      </c>
      <c r="L1580" s="43" t="s">
        <v>3192</v>
      </c>
      <c r="M1580" s="43" t="s">
        <v>417</v>
      </c>
      <c r="N1580" s="43" t="s">
        <v>433</v>
      </c>
      <c r="O1580" s="44" t="str">
        <f t="shared" si="117"/>
        <v>PE-M1-1C300-26</v>
      </c>
      <c r="P1580" s="51">
        <v>16000</v>
      </c>
      <c r="Q1580" s="43">
        <v>10000</v>
      </c>
      <c r="R1580" s="43" t="s">
        <v>49</v>
      </c>
      <c r="S1580" s="43">
        <v>185</v>
      </c>
      <c r="T1580" s="43" t="s">
        <v>7082</v>
      </c>
      <c r="U1580" s="43" t="s">
        <v>7110</v>
      </c>
      <c r="V1580" s="43" t="s">
        <v>7112</v>
      </c>
      <c r="W1580" s="43" t="s">
        <v>7108</v>
      </c>
      <c r="X1580" s="47" t="s">
        <v>308</v>
      </c>
      <c r="Y1580" s="43" t="s">
        <v>5288</v>
      </c>
      <c r="Z1580" s="43" t="s">
        <v>344</v>
      </c>
      <c r="AA1580" s="43" t="s">
        <v>335</v>
      </c>
      <c r="AB1580" s="47" t="s">
        <v>308</v>
      </c>
      <c r="AC1580" s="52" t="s">
        <v>8333</v>
      </c>
      <c r="AD1580" s="30"/>
      <c r="AE1580" s="197"/>
      <c r="AF1580" s="100"/>
      <c r="AR1580" s="241">
        <v>2</v>
      </c>
      <c r="AS1580" s="241" t="s">
        <v>9583</v>
      </c>
    </row>
    <row r="1581" spans="1:45" s="29" customFormat="1" ht="69.95" hidden="1" customHeight="1">
      <c r="A1581" s="49" t="s">
        <v>7110</v>
      </c>
      <c r="B1581" s="49" t="s">
        <v>8652</v>
      </c>
      <c r="C1581" s="49">
        <v>15</v>
      </c>
      <c r="D1581" s="49"/>
      <c r="E1581" s="57" t="s">
        <v>349</v>
      </c>
      <c r="F1581" s="57" t="s">
        <v>349</v>
      </c>
      <c r="J1581" s="29">
        <f t="shared" si="118"/>
        <v>1</v>
      </c>
      <c r="K1581" s="42">
        <v>1567</v>
      </c>
      <c r="L1581" s="43" t="s">
        <v>3193</v>
      </c>
      <c r="M1581" s="43" t="s">
        <v>417</v>
      </c>
      <c r="N1581" s="43" t="s">
        <v>433</v>
      </c>
      <c r="O1581" s="44" t="str">
        <f t="shared" si="117"/>
        <v>PE-M1-1C300-26</v>
      </c>
      <c r="P1581" s="51">
        <v>16000</v>
      </c>
      <c r="Q1581" s="43">
        <v>10000</v>
      </c>
      <c r="R1581" s="43" t="s">
        <v>49</v>
      </c>
      <c r="S1581" s="43">
        <v>185</v>
      </c>
      <c r="T1581" s="43" t="s">
        <v>7082</v>
      </c>
      <c r="U1581" s="43" t="s">
        <v>7110</v>
      </c>
      <c r="V1581" s="43" t="s">
        <v>7112</v>
      </c>
      <c r="W1581" s="43" t="s">
        <v>7108</v>
      </c>
      <c r="X1581" s="47" t="s">
        <v>309</v>
      </c>
      <c r="Y1581" s="43" t="s">
        <v>5288</v>
      </c>
      <c r="Z1581" s="43" t="s">
        <v>344</v>
      </c>
      <c r="AA1581" s="43" t="s">
        <v>335</v>
      </c>
      <c r="AB1581" s="47" t="s">
        <v>309</v>
      </c>
      <c r="AC1581" s="52" t="s">
        <v>8333</v>
      </c>
      <c r="AD1581" s="30"/>
      <c r="AE1581" s="197"/>
      <c r="AF1581" s="100"/>
      <c r="AR1581" s="241">
        <v>2</v>
      </c>
      <c r="AS1581" s="241" t="s">
        <v>9583</v>
      </c>
    </row>
    <row r="1582" spans="1:45" s="29" customFormat="1" ht="69.95" hidden="1" customHeight="1">
      <c r="A1582" s="49" t="s">
        <v>7110</v>
      </c>
      <c r="B1582" s="49" t="s">
        <v>8652</v>
      </c>
      <c r="C1582" s="49">
        <v>16</v>
      </c>
      <c r="D1582" s="49"/>
      <c r="E1582" s="57" t="s">
        <v>350</v>
      </c>
      <c r="F1582" s="57" t="s">
        <v>350</v>
      </c>
      <c r="J1582" s="29">
        <f t="shared" si="118"/>
        <v>1</v>
      </c>
      <c r="K1582" s="42">
        <v>1568</v>
      </c>
      <c r="L1582" s="43" t="s">
        <v>3194</v>
      </c>
      <c r="M1582" s="43" t="s">
        <v>417</v>
      </c>
      <c r="N1582" s="43" t="s">
        <v>433</v>
      </c>
      <c r="O1582" s="44" t="str">
        <f t="shared" si="117"/>
        <v>PE-M1-1C300-27</v>
      </c>
      <c r="P1582" s="51">
        <v>16000</v>
      </c>
      <c r="Q1582" s="43">
        <v>10000</v>
      </c>
      <c r="R1582" s="43" t="s">
        <v>49</v>
      </c>
      <c r="S1582" s="43">
        <v>185</v>
      </c>
      <c r="T1582" s="43" t="s">
        <v>7082</v>
      </c>
      <c r="U1582" s="43" t="s">
        <v>7110</v>
      </c>
      <c r="V1582" s="43" t="s">
        <v>7112</v>
      </c>
      <c r="W1582" s="43" t="s">
        <v>7108</v>
      </c>
      <c r="X1582" s="47" t="s">
        <v>307</v>
      </c>
      <c r="Y1582" s="43" t="s">
        <v>5288</v>
      </c>
      <c r="Z1582" s="43" t="s">
        <v>344</v>
      </c>
      <c r="AA1582" s="43" t="s">
        <v>335</v>
      </c>
      <c r="AB1582" s="47" t="s">
        <v>307</v>
      </c>
      <c r="AC1582" s="48" t="s">
        <v>8333</v>
      </c>
      <c r="AD1582" s="30"/>
      <c r="AE1582" s="197"/>
      <c r="AF1582" s="100"/>
      <c r="AR1582" s="241">
        <v>2</v>
      </c>
      <c r="AS1582" s="241" t="s">
        <v>9583</v>
      </c>
    </row>
    <row r="1583" spans="1:45" s="29" customFormat="1" ht="69.95" hidden="1" customHeight="1">
      <c r="A1583" s="49" t="s">
        <v>7110</v>
      </c>
      <c r="B1583" s="49" t="s">
        <v>8652</v>
      </c>
      <c r="C1583" s="49">
        <v>17</v>
      </c>
      <c r="D1583" s="49"/>
      <c r="E1583" s="57" t="s">
        <v>350</v>
      </c>
      <c r="F1583" s="57" t="s">
        <v>350</v>
      </c>
      <c r="J1583" s="29">
        <f t="shared" si="118"/>
        <v>1</v>
      </c>
      <c r="K1583" s="42">
        <v>1569</v>
      </c>
      <c r="L1583" s="43" t="s">
        <v>3195</v>
      </c>
      <c r="M1583" s="43" t="s">
        <v>417</v>
      </c>
      <c r="N1583" s="43" t="s">
        <v>433</v>
      </c>
      <c r="O1583" s="44" t="str">
        <f t="shared" si="117"/>
        <v>PE-M1-1C300-27</v>
      </c>
      <c r="P1583" s="51">
        <v>16000</v>
      </c>
      <c r="Q1583" s="43">
        <v>10000</v>
      </c>
      <c r="R1583" s="43" t="s">
        <v>49</v>
      </c>
      <c r="S1583" s="43">
        <v>185</v>
      </c>
      <c r="T1583" s="43" t="s">
        <v>7082</v>
      </c>
      <c r="U1583" s="43" t="s">
        <v>7110</v>
      </c>
      <c r="V1583" s="43" t="s">
        <v>7112</v>
      </c>
      <c r="W1583" s="43" t="s">
        <v>7108</v>
      </c>
      <c r="X1583" s="47" t="s">
        <v>308</v>
      </c>
      <c r="Y1583" s="43" t="s">
        <v>5288</v>
      </c>
      <c r="Z1583" s="43" t="s">
        <v>344</v>
      </c>
      <c r="AA1583" s="43" t="s">
        <v>335</v>
      </c>
      <c r="AB1583" s="47" t="s">
        <v>308</v>
      </c>
      <c r="AC1583" s="52" t="s">
        <v>8333</v>
      </c>
      <c r="AD1583" s="30"/>
      <c r="AE1583" s="197"/>
      <c r="AF1583" s="100"/>
      <c r="AR1583" s="241">
        <v>2</v>
      </c>
      <c r="AS1583" s="241" t="s">
        <v>9583</v>
      </c>
    </row>
    <row r="1584" spans="1:45" s="29" customFormat="1" ht="69.95" hidden="1" customHeight="1">
      <c r="A1584" s="49" t="s">
        <v>7110</v>
      </c>
      <c r="B1584" s="49" t="s">
        <v>8652</v>
      </c>
      <c r="C1584" s="49">
        <v>18</v>
      </c>
      <c r="D1584" s="49"/>
      <c r="E1584" s="57" t="s">
        <v>350</v>
      </c>
      <c r="F1584" s="57" t="s">
        <v>350</v>
      </c>
      <c r="J1584" s="29">
        <f t="shared" si="118"/>
        <v>1</v>
      </c>
      <c r="K1584" s="42">
        <v>1570</v>
      </c>
      <c r="L1584" s="43" t="s">
        <v>3196</v>
      </c>
      <c r="M1584" s="43" t="s">
        <v>417</v>
      </c>
      <c r="N1584" s="43" t="s">
        <v>433</v>
      </c>
      <c r="O1584" s="44" t="str">
        <f t="shared" si="117"/>
        <v>PE-M1-1C300-27</v>
      </c>
      <c r="P1584" s="51">
        <v>16000</v>
      </c>
      <c r="Q1584" s="43">
        <v>10000</v>
      </c>
      <c r="R1584" s="43" t="s">
        <v>49</v>
      </c>
      <c r="S1584" s="43">
        <v>185</v>
      </c>
      <c r="T1584" s="43" t="s">
        <v>7082</v>
      </c>
      <c r="U1584" s="43" t="s">
        <v>7110</v>
      </c>
      <c r="V1584" s="43" t="s">
        <v>7112</v>
      </c>
      <c r="W1584" s="43" t="s">
        <v>7108</v>
      </c>
      <c r="X1584" s="47" t="s">
        <v>309</v>
      </c>
      <c r="Y1584" s="43" t="s">
        <v>5288</v>
      </c>
      <c r="Z1584" s="43" t="s">
        <v>344</v>
      </c>
      <c r="AA1584" s="43" t="s">
        <v>335</v>
      </c>
      <c r="AB1584" s="47" t="s">
        <v>309</v>
      </c>
      <c r="AC1584" s="52" t="s">
        <v>8333</v>
      </c>
      <c r="AD1584" s="30"/>
      <c r="AE1584" s="197"/>
      <c r="AF1584" s="100"/>
      <c r="AR1584" s="241">
        <v>2</v>
      </c>
      <c r="AS1584" s="241" t="s">
        <v>9583</v>
      </c>
    </row>
    <row r="1585" spans="1:45" s="32" customFormat="1" ht="69.95" hidden="1" customHeight="1">
      <c r="A1585" s="29" t="s">
        <v>7113</v>
      </c>
      <c r="B1585" s="29" t="s">
        <v>8652</v>
      </c>
      <c r="C1585" s="40" t="s">
        <v>32</v>
      </c>
      <c r="D1585" s="40"/>
      <c r="E1585" s="75" t="s">
        <v>356</v>
      </c>
      <c r="F1585" s="75" t="s">
        <v>356</v>
      </c>
      <c r="G1585" s="29" t="s">
        <v>3197</v>
      </c>
      <c r="H1585" s="29"/>
      <c r="I1585" s="29"/>
      <c r="J1585" s="29">
        <f t="shared" si="118"/>
        <v>1</v>
      </c>
      <c r="K1585" s="42">
        <v>1571</v>
      </c>
      <c r="L1585" s="43" t="s">
        <v>3198</v>
      </c>
      <c r="M1585" s="44" t="s">
        <v>417</v>
      </c>
      <c r="N1585" s="44" t="s">
        <v>433</v>
      </c>
      <c r="O1585" s="44" t="str">
        <f t="shared" si="117"/>
        <v>PE-M1-1C300-05</v>
      </c>
      <c r="P1585" s="45">
        <v>16000</v>
      </c>
      <c r="Q1585" s="44">
        <v>10000</v>
      </c>
      <c r="R1585" s="44" t="s">
        <v>49</v>
      </c>
      <c r="S1585" s="44">
        <v>260</v>
      </c>
      <c r="T1585" s="46" t="s">
        <v>7082</v>
      </c>
      <c r="U1585" s="46" t="s">
        <v>7113</v>
      </c>
      <c r="V1585" s="46" t="s">
        <v>7114</v>
      </c>
      <c r="W1585" s="46" t="s">
        <v>333</v>
      </c>
      <c r="X1585" s="47" t="s">
        <v>307</v>
      </c>
      <c r="Y1585" s="46" t="s">
        <v>4010</v>
      </c>
      <c r="Z1585" s="46" t="s">
        <v>346</v>
      </c>
      <c r="AA1585" s="46" t="s">
        <v>347</v>
      </c>
      <c r="AB1585" s="47" t="s">
        <v>307</v>
      </c>
      <c r="AC1585" s="48" t="s">
        <v>8334</v>
      </c>
      <c r="AD1585" s="30"/>
      <c r="AE1585" s="200"/>
      <c r="AF1585" s="100"/>
      <c r="AR1585" s="241">
        <v>2</v>
      </c>
      <c r="AS1585" s="241" t="s">
        <v>9583</v>
      </c>
    </row>
    <row r="1586" spans="1:45" s="29" customFormat="1" ht="69.95" hidden="1" customHeight="1">
      <c r="A1586" s="49" t="s">
        <v>7113</v>
      </c>
      <c r="B1586" s="49" t="s">
        <v>8652</v>
      </c>
      <c r="C1586" s="50" t="s">
        <v>36</v>
      </c>
      <c r="D1586" s="50"/>
      <c r="E1586" s="57" t="s">
        <v>8555</v>
      </c>
      <c r="F1586" s="57" t="s">
        <v>8555</v>
      </c>
      <c r="J1586" s="29">
        <f t="shared" si="118"/>
        <v>1</v>
      </c>
      <c r="K1586" s="42">
        <v>1572</v>
      </c>
      <c r="L1586" s="43" t="s">
        <v>3199</v>
      </c>
      <c r="M1586" s="43" t="s">
        <v>417</v>
      </c>
      <c r="N1586" s="43" t="s">
        <v>433</v>
      </c>
      <c r="O1586" s="44" t="str">
        <f t="shared" si="117"/>
        <v>PE-M1-1C300-34</v>
      </c>
      <c r="P1586" s="51">
        <v>16000</v>
      </c>
      <c r="Q1586" s="43">
        <v>10000</v>
      </c>
      <c r="R1586" s="43" t="s">
        <v>49</v>
      </c>
      <c r="S1586" s="43">
        <v>260</v>
      </c>
      <c r="T1586" s="43" t="s">
        <v>7082</v>
      </c>
      <c r="U1586" s="43" t="s">
        <v>7113</v>
      </c>
      <c r="V1586" s="43" t="s">
        <v>7114</v>
      </c>
      <c r="W1586" s="43" t="s">
        <v>7108</v>
      </c>
      <c r="X1586" s="47" t="s">
        <v>308</v>
      </c>
      <c r="Y1586" s="43" t="s">
        <v>4010</v>
      </c>
      <c r="Z1586" s="43" t="s">
        <v>346</v>
      </c>
      <c r="AA1586" s="43" t="s">
        <v>347</v>
      </c>
      <c r="AB1586" s="47" t="s">
        <v>308</v>
      </c>
      <c r="AC1586" s="52" t="s">
        <v>8334</v>
      </c>
      <c r="AD1586" s="30"/>
      <c r="AE1586" s="197"/>
      <c r="AF1586" s="100"/>
      <c r="AR1586" s="241">
        <v>2</v>
      </c>
      <c r="AS1586" s="241" t="s">
        <v>9583</v>
      </c>
    </row>
    <row r="1587" spans="1:45" s="29" customFormat="1" ht="69.95" hidden="1" customHeight="1">
      <c r="A1587" s="49" t="s">
        <v>7113</v>
      </c>
      <c r="B1587" s="49" t="s">
        <v>8652</v>
      </c>
      <c r="C1587" s="50" t="s">
        <v>38</v>
      </c>
      <c r="D1587" s="50"/>
      <c r="E1587" s="57" t="s">
        <v>8555</v>
      </c>
      <c r="F1587" s="57" t="s">
        <v>8555</v>
      </c>
      <c r="J1587" s="29">
        <f t="shared" si="118"/>
        <v>1</v>
      </c>
      <c r="K1587" s="42">
        <v>1573</v>
      </c>
      <c r="L1587" s="43" t="s">
        <v>3200</v>
      </c>
      <c r="M1587" s="43" t="s">
        <v>417</v>
      </c>
      <c r="N1587" s="43" t="s">
        <v>433</v>
      </c>
      <c r="O1587" s="44" t="str">
        <f t="shared" si="117"/>
        <v>PE-M1-1C300-34</v>
      </c>
      <c r="P1587" s="51">
        <v>16000</v>
      </c>
      <c r="Q1587" s="43">
        <v>10000</v>
      </c>
      <c r="R1587" s="43" t="s">
        <v>49</v>
      </c>
      <c r="S1587" s="43">
        <v>260</v>
      </c>
      <c r="T1587" s="43" t="s">
        <v>7082</v>
      </c>
      <c r="U1587" s="43" t="s">
        <v>7113</v>
      </c>
      <c r="V1587" s="43" t="s">
        <v>7114</v>
      </c>
      <c r="W1587" s="43" t="s">
        <v>7108</v>
      </c>
      <c r="X1587" s="47" t="s">
        <v>309</v>
      </c>
      <c r="Y1587" s="43" t="s">
        <v>4010</v>
      </c>
      <c r="Z1587" s="43" t="s">
        <v>346</v>
      </c>
      <c r="AA1587" s="43" t="s">
        <v>347</v>
      </c>
      <c r="AB1587" s="47" t="s">
        <v>309</v>
      </c>
      <c r="AC1587" s="52" t="s">
        <v>8334</v>
      </c>
      <c r="AD1587" s="30"/>
      <c r="AE1587" s="197"/>
      <c r="AF1587" s="100"/>
      <c r="AR1587" s="241">
        <v>2</v>
      </c>
      <c r="AS1587" s="241" t="s">
        <v>9583</v>
      </c>
    </row>
    <row r="1588" spans="1:45" s="29" customFormat="1" ht="69.95" hidden="1" customHeight="1">
      <c r="A1588" s="49" t="s">
        <v>7113</v>
      </c>
      <c r="B1588" s="49" t="s">
        <v>8652</v>
      </c>
      <c r="C1588" s="50" t="s">
        <v>40</v>
      </c>
      <c r="D1588" s="50"/>
      <c r="E1588" s="57" t="s">
        <v>8556</v>
      </c>
      <c r="F1588" s="57" t="s">
        <v>8556</v>
      </c>
      <c r="J1588" s="29">
        <f t="shared" si="118"/>
        <v>1</v>
      </c>
      <c r="K1588" s="42">
        <v>1574</v>
      </c>
      <c r="L1588" s="43" t="s">
        <v>3201</v>
      </c>
      <c r="M1588" s="43" t="s">
        <v>417</v>
      </c>
      <c r="N1588" s="43" t="s">
        <v>433</v>
      </c>
      <c r="O1588" s="44" t="str">
        <f t="shared" si="117"/>
        <v>PE-M1-1C300-35</v>
      </c>
      <c r="P1588" s="51">
        <v>16000</v>
      </c>
      <c r="Q1588" s="43">
        <v>10000</v>
      </c>
      <c r="R1588" s="43" t="s">
        <v>49</v>
      </c>
      <c r="S1588" s="43">
        <v>260</v>
      </c>
      <c r="T1588" s="43" t="s">
        <v>7082</v>
      </c>
      <c r="U1588" s="43" t="s">
        <v>7113</v>
      </c>
      <c r="V1588" s="43" t="s">
        <v>7114</v>
      </c>
      <c r="W1588" s="43" t="s">
        <v>7108</v>
      </c>
      <c r="X1588" s="47" t="s">
        <v>307</v>
      </c>
      <c r="Y1588" s="43" t="s">
        <v>4010</v>
      </c>
      <c r="Z1588" s="43" t="s">
        <v>346</v>
      </c>
      <c r="AA1588" s="43" t="s">
        <v>347</v>
      </c>
      <c r="AB1588" s="47" t="s">
        <v>307</v>
      </c>
      <c r="AC1588" s="48" t="s">
        <v>8334</v>
      </c>
      <c r="AD1588" s="30"/>
      <c r="AE1588" s="197"/>
      <c r="AF1588" s="100"/>
      <c r="AR1588" s="241">
        <v>2</v>
      </c>
      <c r="AS1588" s="241" t="s">
        <v>9583</v>
      </c>
    </row>
    <row r="1589" spans="1:45" s="29" customFormat="1" ht="69.95" hidden="1" customHeight="1">
      <c r="A1589" s="49" t="s">
        <v>7113</v>
      </c>
      <c r="B1589" s="49" t="s">
        <v>8652</v>
      </c>
      <c r="C1589" s="50" t="s">
        <v>41</v>
      </c>
      <c r="D1589" s="50"/>
      <c r="E1589" s="57" t="s">
        <v>8556</v>
      </c>
      <c r="F1589" s="57" t="s">
        <v>8556</v>
      </c>
      <c r="J1589" s="29">
        <f t="shared" si="118"/>
        <v>1</v>
      </c>
      <c r="K1589" s="42">
        <v>1575</v>
      </c>
      <c r="L1589" s="43" t="s">
        <v>3202</v>
      </c>
      <c r="M1589" s="43" t="s">
        <v>417</v>
      </c>
      <c r="N1589" s="43" t="s">
        <v>433</v>
      </c>
      <c r="O1589" s="44" t="str">
        <f t="shared" si="117"/>
        <v>PE-M1-1C300-35</v>
      </c>
      <c r="P1589" s="51">
        <v>16000</v>
      </c>
      <c r="Q1589" s="43">
        <v>10000</v>
      </c>
      <c r="R1589" s="43" t="s">
        <v>49</v>
      </c>
      <c r="S1589" s="43">
        <v>260</v>
      </c>
      <c r="T1589" s="43" t="s">
        <v>7082</v>
      </c>
      <c r="U1589" s="43" t="s">
        <v>7113</v>
      </c>
      <c r="V1589" s="43" t="s">
        <v>7114</v>
      </c>
      <c r="W1589" s="43" t="s">
        <v>7108</v>
      </c>
      <c r="X1589" s="47" t="s">
        <v>308</v>
      </c>
      <c r="Y1589" s="43" t="s">
        <v>4010</v>
      </c>
      <c r="Z1589" s="43" t="s">
        <v>346</v>
      </c>
      <c r="AA1589" s="43" t="s">
        <v>347</v>
      </c>
      <c r="AB1589" s="47" t="s">
        <v>308</v>
      </c>
      <c r="AC1589" s="52" t="s">
        <v>8334</v>
      </c>
      <c r="AD1589" s="30"/>
      <c r="AE1589" s="197"/>
      <c r="AF1589" s="100"/>
      <c r="AR1589" s="241">
        <v>2</v>
      </c>
      <c r="AS1589" s="241" t="s">
        <v>9583</v>
      </c>
    </row>
    <row r="1590" spans="1:45" s="29" customFormat="1" ht="69.95" hidden="1" customHeight="1">
      <c r="A1590" s="49" t="s">
        <v>7113</v>
      </c>
      <c r="B1590" s="49" t="s">
        <v>8652</v>
      </c>
      <c r="C1590" s="50" t="s">
        <v>42</v>
      </c>
      <c r="D1590" s="50"/>
      <c r="E1590" s="57" t="s">
        <v>8557</v>
      </c>
      <c r="F1590" s="57" t="s">
        <v>8557</v>
      </c>
      <c r="J1590" s="29">
        <f t="shared" si="118"/>
        <v>1</v>
      </c>
      <c r="K1590" s="42">
        <v>1576</v>
      </c>
      <c r="L1590" s="43" t="s">
        <v>3203</v>
      </c>
      <c r="M1590" s="43" t="s">
        <v>417</v>
      </c>
      <c r="N1590" s="43" t="s">
        <v>433</v>
      </c>
      <c r="O1590" s="44" t="str">
        <f t="shared" si="117"/>
        <v>PE-M1-1C300-36</v>
      </c>
      <c r="P1590" s="51">
        <v>16000</v>
      </c>
      <c r="Q1590" s="43">
        <v>10000</v>
      </c>
      <c r="R1590" s="43" t="s">
        <v>49</v>
      </c>
      <c r="S1590" s="43">
        <v>260</v>
      </c>
      <c r="T1590" s="43" t="s">
        <v>7082</v>
      </c>
      <c r="U1590" s="43" t="s">
        <v>7113</v>
      </c>
      <c r="V1590" s="43" t="s">
        <v>7114</v>
      </c>
      <c r="W1590" s="43" t="s">
        <v>7108</v>
      </c>
      <c r="X1590" s="47" t="s">
        <v>309</v>
      </c>
      <c r="Y1590" s="43" t="s">
        <v>4010</v>
      </c>
      <c r="Z1590" s="43" t="s">
        <v>346</v>
      </c>
      <c r="AA1590" s="43" t="s">
        <v>347</v>
      </c>
      <c r="AB1590" s="47" t="s">
        <v>309</v>
      </c>
      <c r="AC1590" s="52" t="s">
        <v>8334</v>
      </c>
      <c r="AD1590" s="30"/>
      <c r="AE1590" s="197"/>
      <c r="AF1590" s="100"/>
      <c r="AR1590" s="241">
        <v>2</v>
      </c>
      <c r="AS1590" s="241" t="s">
        <v>9583</v>
      </c>
    </row>
    <row r="1591" spans="1:45" s="29" customFormat="1" ht="69.95" hidden="1" customHeight="1">
      <c r="A1591" s="49" t="s">
        <v>7113</v>
      </c>
      <c r="B1591" s="49" t="s">
        <v>8652</v>
      </c>
      <c r="C1591" s="50" t="s">
        <v>43</v>
      </c>
      <c r="D1591" s="50"/>
      <c r="E1591" s="57" t="s">
        <v>8557</v>
      </c>
      <c r="F1591" s="57" t="s">
        <v>8557</v>
      </c>
      <c r="J1591" s="29">
        <f t="shared" si="118"/>
        <v>1</v>
      </c>
      <c r="K1591" s="42">
        <v>1577</v>
      </c>
      <c r="L1591" s="43" t="s">
        <v>3204</v>
      </c>
      <c r="M1591" s="43" t="s">
        <v>417</v>
      </c>
      <c r="N1591" s="43" t="s">
        <v>433</v>
      </c>
      <c r="O1591" s="44" t="str">
        <f t="shared" si="117"/>
        <v>PE-M1-1C300-36</v>
      </c>
      <c r="P1591" s="51">
        <v>16000</v>
      </c>
      <c r="Q1591" s="43">
        <v>10000</v>
      </c>
      <c r="R1591" s="43" t="s">
        <v>49</v>
      </c>
      <c r="S1591" s="43">
        <v>260</v>
      </c>
      <c r="T1591" s="43" t="s">
        <v>7082</v>
      </c>
      <c r="U1591" s="43" t="s">
        <v>7113</v>
      </c>
      <c r="V1591" s="43" t="s">
        <v>7114</v>
      </c>
      <c r="W1591" s="43" t="s">
        <v>7108</v>
      </c>
      <c r="X1591" s="47" t="s">
        <v>307</v>
      </c>
      <c r="Y1591" s="43" t="s">
        <v>4010</v>
      </c>
      <c r="Z1591" s="43" t="s">
        <v>346</v>
      </c>
      <c r="AA1591" s="43" t="s">
        <v>347</v>
      </c>
      <c r="AB1591" s="47" t="s">
        <v>307</v>
      </c>
      <c r="AC1591" s="48" t="s">
        <v>8334</v>
      </c>
      <c r="AD1591" s="30"/>
      <c r="AE1591" s="197"/>
      <c r="AF1591" s="100"/>
      <c r="AR1591" s="241">
        <v>2</v>
      </c>
      <c r="AS1591" s="241" t="s">
        <v>9583</v>
      </c>
    </row>
    <row r="1592" spans="1:45" s="29" customFormat="1" ht="69.95" hidden="1" customHeight="1">
      <c r="A1592" s="49" t="s">
        <v>7113</v>
      </c>
      <c r="B1592" s="49" t="s">
        <v>8652</v>
      </c>
      <c r="C1592" s="50" t="s">
        <v>73</v>
      </c>
      <c r="D1592" s="50"/>
      <c r="E1592" s="57" t="s">
        <v>8558</v>
      </c>
      <c r="F1592" s="57" t="s">
        <v>8558</v>
      </c>
      <c r="J1592" s="29">
        <f t="shared" si="118"/>
        <v>1</v>
      </c>
      <c r="K1592" s="42">
        <v>1578</v>
      </c>
      <c r="L1592" s="43" t="s">
        <v>3205</v>
      </c>
      <c r="M1592" s="43" t="s">
        <v>417</v>
      </c>
      <c r="N1592" s="43" t="s">
        <v>433</v>
      </c>
      <c r="O1592" s="44" t="str">
        <f t="shared" si="117"/>
        <v>PE-M1-1C300-37</v>
      </c>
      <c r="P1592" s="51">
        <v>16000</v>
      </c>
      <c r="Q1592" s="43">
        <v>10000</v>
      </c>
      <c r="R1592" s="43" t="s">
        <v>49</v>
      </c>
      <c r="S1592" s="43">
        <v>260</v>
      </c>
      <c r="T1592" s="43" t="s">
        <v>7082</v>
      </c>
      <c r="U1592" s="43" t="s">
        <v>7113</v>
      </c>
      <c r="V1592" s="43" t="s">
        <v>7114</v>
      </c>
      <c r="W1592" s="43" t="s">
        <v>7108</v>
      </c>
      <c r="X1592" s="47" t="s">
        <v>308</v>
      </c>
      <c r="Y1592" s="43" t="s">
        <v>4010</v>
      </c>
      <c r="Z1592" s="43" t="s">
        <v>346</v>
      </c>
      <c r="AA1592" s="43" t="s">
        <v>347</v>
      </c>
      <c r="AB1592" s="47" t="s">
        <v>308</v>
      </c>
      <c r="AC1592" s="52" t="s">
        <v>8334</v>
      </c>
      <c r="AD1592" s="30"/>
      <c r="AE1592" s="197"/>
      <c r="AF1592" s="100"/>
      <c r="AR1592" s="241">
        <v>2</v>
      </c>
      <c r="AS1592" s="241" t="s">
        <v>9583</v>
      </c>
    </row>
    <row r="1593" spans="1:45" s="29" customFormat="1" ht="69.95" hidden="1" customHeight="1">
      <c r="A1593" s="49" t="s">
        <v>7113</v>
      </c>
      <c r="B1593" s="49" t="s">
        <v>8652</v>
      </c>
      <c r="C1593" s="50" t="s">
        <v>75</v>
      </c>
      <c r="D1593" s="50"/>
      <c r="E1593" s="57" t="s">
        <v>8558</v>
      </c>
      <c r="F1593" s="57" t="s">
        <v>8558</v>
      </c>
      <c r="J1593" s="29">
        <f t="shared" si="118"/>
        <v>1</v>
      </c>
      <c r="K1593" s="42">
        <v>1579</v>
      </c>
      <c r="L1593" s="43" t="s">
        <v>3206</v>
      </c>
      <c r="M1593" s="43" t="s">
        <v>417</v>
      </c>
      <c r="N1593" s="43" t="s">
        <v>433</v>
      </c>
      <c r="O1593" s="44" t="str">
        <f t="shared" si="117"/>
        <v>PE-M1-1C300-37</v>
      </c>
      <c r="P1593" s="51">
        <v>16000</v>
      </c>
      <c r="Q1593" s="43">
        <v>10000</v>
      </c>
      <c r="R1593" s="43" t="s">
        <v>49</v>
      </c>
      <c r="S1593" s="43">
        <v>260</v>
      </c>
      <c r="T1593" s="43" t="s">
        <v>7082</v>
      </c>
      <c r="U1593" s="43" t="s">
        <v>7113</v>
      </c>
      <c r="V1593" s="43" t="s">
        <v>7114</v>
      </c>
      <c r="W1593" s="43" t="s">
        <v>7108</v>
      </c>
      <c r="X1593" s="47" t="s">
        <v>309</v>
      </c>
      <c r="Y1593" s="43" t="s">
        <v>4010</v>
      </c>
      <c r="Z1593" s="43" t="s">
        <v>346</v>
      </c>
      <c r="AA1593" s="43" t="s">
        <v>347</v>
      </c>
      <c r="AB1593" s="47" t="s">
        <v>309</v>
      </c>
      <c r="AC1593" s="52" t="s">
        <v>8334</v>
      </c>
      <c r="AD1593" s="30"/>
      <c r="AE1593" s="197"/>
      <c r="AF1593" s="100"/>
      <c r="AR1593" s="241">
        <v>2</v>
      </c>
      <c r="AS1593" s="241" t="s">
        <v>9583</v>
      </c>
    </row>
    <row r="1594" spans="1:45" s="32" customFormat="1" ht="69.95" hidden="1" customHeight="1">
      <c r="A1594" s="29" t="s">
        <v>7113</v>
      </c>
      <c r="B1594" s="29" t="s">
        <v>8652</v>
      </c>
      <c r="C1594" s="40">
        <v>10</v>
      </c>
      <c r="D1594" s="40"/>
      <c r="E1594" s="57" t="s">
        <v>8559</v>
      </c>
      <c r="F1594" s="57" t="s">
        <v>8559</v>
      </c>
      <c r="G1594" s="29" t="s">
        <v>3207</v>
      </c>
      <c r="H1594" s="29"/>
      <c r="I1594" s="29"/>
      <c r="J1594" s="29">
        <f t="shared" si="118"/>
        <v>1</v>
      </c>
      <c r="K1594" s="42">
        <v>1580</v>
      </c>
      <c r="L1594" s="43" t="s">
        <v>3208</v>
      </c>
      <c r="M1594" s="44" t="s">
        <v>417</v>
      </c>
      <c r="N1594" s="44" t="s">
        <v>433</v>
      </c>
      <c r="O1594" s="44" t="str">
        <f t="shared" si="117"/>
        <v>PE-M1-1C300-38</v>
      </c>
      <c r="P1594" s="45">
        <v>16000</v>
      </c>
      <c r="Q1594" s="44">
        <v>10000</v>
      </c>
      <c r="R1594" s="44" t="s">
        <v>49</v>
      </c>
      <c r="S1594" s="44">
        <v>260</v>
      </c>
      <c r="T1594" s="46" t="s">
        <v>7082</v>
      </c>
      <c r="U1594" s="46" t="s">
        <v>7113</v>
      </c>
      <c r="V1594" s="46" t="s">
        <v>7115</v>
      </c>
      <c r="W1594" s="46" t="s">
        <v>333</v>
      </c>
      <c r="X1594" s="47" t="s">
        <v>307</v>
      </c>
      <c r="Y1594" s="46" t="s">
        <v>5303</v>
      </c>
      <c r="Z1594" s="46" t="s">
        <v>353</v>
      </c>
      <c r="AA1594" s="46" t="s">
        <v>347</v>
      </c>
      <c r="AB1594" s="47" t="s">
        <v>307</v>
      </c>
      <c r="AC1594" s="48" t="s">
        <v>8335</v>
      </c>
      <c r="AD1594" s="30"/>
      <c r="AE1594" s="200"/>
      <c r="AF1594" s="100"/>
      <c r="AR1594" s="241">
        <v>2</v>
      </c>
      <c r="AS1594" s="241" t="s">
        <v>9583</v>
      </c>
    </row>
    <row r="1595" spans="1:45" s="29" customFormat="1" ht="69.95" hidden="1" customHeight="1">
      <c r="A1595" s="49" t="s">
        <v>7113</v>
      </c>
      <c r="B1595" s="49" t="s">
        <v>8652</v>
      </c>
      <c r="C1595" s="49">
        <v>11</v>
      </c>
      <c r="D1595" s="49"/>
      <c r="E1595" s="57" t="s">
        <v>8559</v>
      </c>
      <c r="F1595" s="57" t="s">
        <v>8559</v>
      </c>
      <c r="J1595" s="29">
        <f t="shared" si="118"/>
        <v>1</v>
      </c>
      <c r="K1595" s="42">
        <v>1581</v>
      </c>
      <c r="L1595" s="43" t="s">
        <v>3209</v>
      </c>
      <c r="M1595" s="43" t="s">
        <v>417</v>
      </c>
      <c r="N1595" s="43" t="s">
        <v>433</v>
      </c>
      <c r="O1595" s="44" t="str">
        <f t="shared" si="117"/>
        <v>PE-M1-1C300-38</v>
      </c>
      <c r="P1595" s="51">
        <v>16000</v>
      </c>
      <c r="Q1595" s="43">
        <v>10000</v>
      </c>
      <c r="R1595" s="43" t="s">
        <v>49</v>
      </c>
      <c r="S1595" s="43">
        <v>260</v>
      </c>
      <c r="T1595" s="43" t="s">
        <v>7082</v>
      </c>
      <c r="U1595" s="43" t="s">
        <v>7113</v>
      </c>
      <c r="V1595" s="43" t="s">
        <v>7115</v>
      </c>
      <c r="W1595" s="43" t="s">
        <v>7108</v>
      </c>
      <c r="X1595" s="47" t="s">
        <v>308</v>
      </c>
      <c r="Y1595" s="43" t="s">
        <v>5303</v>
      </c>
      <c r="Z1595" s="43" t="s">
        <v>353</v>
      </c>
      <c r="AA1595" s="43" t="s">
        <v>347</v>
      </c>
      <c r="AB1595" s="47" t="s">
        <v>308</v>
      </c>
      <c r="AC1595" s="52" t="s">
        <v>8335</v>
      </c>
      <c r="AD1595" s="30"/>
      <c r="AE1595" s="197"/>
      <c r="AF1595" s="100"/>
      <c r="AR1595" s="241">
        <v>2</v>
      </c>
      <c r="AS1595" s="241" t="s">
        <v>9583</v>
      </c>
    </row>
    <row r="1596" spans="1:45" s="29" customFormat="1" ht="69.95" hidden="1" customHeight="1">
      <c r="A1596" s="49" t="s">
        <v>7113</v>
      </c>
      <c r="B1596" s="49" t="s">
        <v>8652</v>
      </c>
      <c r="C1596" s="49">
        <v>12</v>
      </c>
      <c r="D1596" s="49"/>
      <c r="E1596" s="57" t="s">
        <v>8560</v>
      </c>
      <c r="F1596" s="57" t="s">
        <v>8560</v>
      </c>
      <c r="J1596" s="29">
        <f t="shared" si="118"/>
        <v>1</v>
      </c>
      <c r="K1596" s="42">
        <v>1582</v>
      </c>
      <c r="L1596" s="43" t="s">
        <v>3210</v>
      </c>
      <c r="M1596" s="43" t="s">
        <v>417</v>
      </c>
      <c r="N1596" s="43" t="s">
        <v>433</v>
      </c>
      <c r="O1596" s="44" t="str">
        <f t="shared" si="117"/>
        <v>PE-M1-1C300-39</v>
      </c>
      <c r="P1596" s="51">
        <v>16000</v>
      </c>
      <c r="Q1596" s="43">
        <v>10000</v>
      </c>
      <c r="R1596" s="43" t="s">
        <v>49</v>
      </c>
      <c r="S1596" s="43">
        <v>260</v>
      </c>
      <c r="T1596" s="43" t="s">
        <v>7082</v>
      </c>
      <c r="U1596" s="43" t="s">
        <v>7113</v>
      </c>
      <c r="V1596" s="43" t="s">
        <v>7115</v>
      </c>
      <c r="W1596" s="43" t="s">
        <v>7108</v>
      </c>
      <c r="X1596" s="47" t="s">
        <v>309</v>
      </c>
      <c r="Y1596" s="43" t="s">
        <v>5303</v>
      </c>
      <c r="Z1596" s="43" t="s">
        <v>353</v>
      </c>
      <c r="AA1596" s="43" t="s">
        <v>347</v>
      </c>
      <c r="AB1596" s="47" t="s">
        <v>309</v>
      </c>
      <c r="AC1596" s="52" t="s">
        <v>8335</v>
      </c>
      <c r="AD1596" s="30"/>
      <c r="AE1596" s="197"/>
      <c r="AF1596" s="100"/>
      <c r="AR1596" s="241">
        <v>2</v>
      </c>
      <c r="AS1596" s="241" t="s">
        <v>9583</v>
      </c>
    </row>
    <row r="1597" spans="1:45" s="29" customFormat="1" ht="69.95" hidden="1" customHeight="1">
      <c r="A1597" s="49" t="s">
        <v>7113</v>
      </c>
      <c r="B1597" s="49" t="s">
        <v>8652</v>
      </c>
      <c r="C1597" s="49">
        <v>13</v>
      </c>
      <c r="D1597" s="49"/>
      <c r="E1597" s="57" t="s">
        <v>8560</v>
      </c>
      <c r="F1597" s="57" t="s">
        <v>8560</v>
      </c>
      <c r="J1597" s="29">
        <f t="shared" si="118"/>
        <v>1</v>
      </c>
      <c r="K1597" s="42">
        <v>1583</v>
      </c>
      <c r="L1597" s="43" t="s">
        <v>3211</v>
      </c>
      <c r="M1597" s="43" t="s">
        <v>417</v>
      </c>
      <c r="N1597" s="43" t="s">
        <v>433</v>
      </c>
      <c r="O1597" s="44" t="str">
        <f t="shared" si="117"/>
        <v>PE-M1-1C300-39</v>
      </c>
      <c r="P1597" s="51">
        <v>16000</v>
      </c>
      <c r="Q1597" s="43">
        <v>10000</v>
      </c>
      <c r="R1597" s="43" t="s">
        <v>49</v>
      </c>
      <c r="S1597" s="43">
        <v>260</v>
      </c>
      <c r="T1597" s="43" t="s">
        <v>7082</v>
      </c>
      <c r="U1597" s="43" t="s">
        <v>7113</v>
      </c>
      <c r="V1597" s="43" t="s">
        <v>7115</v>
      </c>
      <c r="W1597" s="43" t="s">
        <v>7108</v>
      </c>
      <c r="X1597" s="47" t="s">
        <v>307</v>
      </c>
      <c r="Y1597" s="43" t="s">
        <v>5303</v>
      </c>
      <c r="Z1597" s="43" t="s">
        <v>353</v>
      </c>
      <c r="AA1597" s="43" t="s">
        <v>347</v>
      </c>
      <c r="AB1597" s="47" t="s">
        <v>307</v>
      </c>
      <c r="AC1597" s="48" t="s">
        <v>8335</v>
      </c>
      <c r="AD1597" s="30"/>
      <c r="AE1597" s="197"/>
      <c r="AF1597" s="100"/>
      <c r="AR1597" s="241">
        <v>2</v>
      </c>
      <c r="AS1597" s="241" t="s">
        <v>9583</v>
      </c>
    </row>
    <row r="1598" spans="1:45" s="29" customFormat="1" ht="69.95" hidden="1" customHeight="1">
      <c r="A1598" s="49" t="s">
        <v>7113</v>
      </c>
      <c r="B1598" s="49" t="s">
        <v>8652</v>
      </c>
      <c r="C1598" s="49">
        <v>14</v>
      </c>
      <c r="D1598" s="49"/>
      <c r="E1598" s="57" t="s">
        <v>8561</v>
      </c>
      <c r="F1598" s="57" t="s">
        <v>8561</v>
      </c>
      <c r="J1598" s="29">
        <f t="shared" si="118"/>
        <v>1</v>
      </c>
      <c r="K1598" s="42">
        <v>1584</v>
      </c>
      <c r="L1598" s="43" t="s">
        <v>3212</v>
      </c>
      <c r="M1598" s="43" t="s">
        <v>417</v>
      </c>
      <c r="N1598" s="43" t="s">
        <v>433</v>
      </c>
      <c r="O1598" s="44" t="str">
        <f t="shared" si="117"/>
        <v>PE-M1-1C300-40</v>
      </c>
      <c r="P1598" s="51">
        <v>16000</v>
      </c>
      <c r="Q1598" s="43">
        <v>10000</v>
      </c>
      <c r="R1598" s="43" t="s">
        <v>49</v>
      </c>
      <c r="S1598" s="43">
        <v>260</v>
      </c>
      <c r="T1598" s="43" t="s">
        <v>7082</v>
      </c>
      <c r="U1598" s="43" t="s">
        <v>7113</v>
      </c>
      <c r="V1598" s="43" t="s">
        <v>7115</v>
      </c>
      <c r="W1598" s="43" t="s">
        <v>7108</v>
      </c>
      <c r="X1598" s="47" t="s">
        <v>308</v>
      </c>
      <c r="Y1598" s="43" t="s">
        <v>5303</v>
      </c>
      <c r="Z1598" s="43" t="s">
        <v>353</v>
      </c>
      <c r="AA1598" s="43" t="s">
        <v>347</v>
      </c>
      <c r="AB1598" s="47" t="s">
        <v>308</v>
      </c>
      <c r="AC1598" s="52" t="s">
        <v>8335</v>
      </c>
      <c r="AD1598" s="30"/>
      <c r="AE1598" s="197"/>
      <c r="AF1598" s="100"/>
      <c r="AR1598" s="241">
        <v>2</v>
      </c>
      <c r="AS1598" s="241" t="s">
        <v>9583</v>
      </c>
    </row>
    <row r="1599" spans="1:45" s="29" customFormat="1" ht="69.95" hidden="1" customHeight="1">
      <c r="A1599" s="49" t="s">
        <v>7113</v>
      </c>
      <c r="B1599" s="49" t="s">
        <v>8652</v>
      </c>
      <c r="C1599" s="49">
        <v>15</v>
      </c>
      <c r="D1599" s="49"/>
      <c r="E1599" s="57" t="s">
        <v>8561</v>
      </c>
      <c r="F1599" s="57" t="s">
        <v>8561</v>
      </c>
      <c r="J1599" s="29">
        <f t="shared" si="118"/>
        <v>1</v>
      </c>
      <c r="K1599" s="42">
        <v>1585</v>
      </c>
      <c r="L1599" s="43" t="s">
        <v>3213</v>
      </c>
      <c r="M1599" s="43" t="s">
        <v>417</v>
      </c>
      <c r="N1599" s="43" t="s">
        <v>433</v>
      </c>
      <c r="O1599" s="44" t="str">
        <f t="shared" si="117"/>
        <v>PE-M1-1C300-40</v>
      </c>
      <c r="P1599" s="51">
        <v>16000</v>
      </c>
      <c r="Q1599" s="43">
        <v>10000</v>
      </c>
      <c r="R1599" s="43" t="s">
        <v>49</v>
      </c>
      <c r="S1599" s="43">
        <v>260</v>
      </c>
      <c r="T1599" s="43" t="s">
        <v>7082</v>
      </c>
      <c r="U1599" s="43" t="s">
        <v>7113</v>
      </c>
      <c r="V1599" s="43" t="s">
        <v>7115</v>
      </c>
      <c r="W1599" s="43" t="s">
        <v>7108</v>
      </c>
      <c r="X1599" s="47" t="s">
        <v>309</v>
      </c>
      <c r="Y1599" s="43" t="s">
        <v>5303</v>
      </c>
      <c r="Z1599" s="43" t="s">
        <v>353</v>
      </c>
      <c r="AA1599" s="43" t="s">
        <v>347</v>
      </c>
      <c r="AB1599" s="47" t="s">
        <v>309</v>
      </c>
      <c r="AC1599" s="52" t="s">
        <v>8335</v>
      </c>
      <c r="AD1599" s="30"/>
      <c r="AE1599" s="197"/>
      <c r="AF1599" s="100"/>
      <c r="AR1599" s="241">
        <v>2</v>
      </c>
      <c r="AS1599" s="241" t="s">
        <v>9583</v>
      </c>
    </row>
    <row r="1600" spans="1:45" s="29" customFormat="1" ht="69.95" hidden="1" customHeight="1">
      <c r="A1600" s="49" t="s">
        <v>7113</v>
      </c>
      <c r="B1600" s="49" t="s">
        <v>8652</v>
      </c>
      <c r="C1600" s="49">
        <v>16</v>
      </c>
      <c r="D1600" s="49"/>
      <c r="E1600" s="57" t="s">
        <v>8562</v>
      </c>
      <c r="F1600" s="57" t="s">
        <v>8562</v>
      </c>
      <c r="J1600" s="29">
        <f t="shared" si="118"/>
        <v>1</v>
      </c>
      <c r="K1600" s="42">
        <v>1586</v>
      </c>
      <c r="L1600" s="43" t="s">
        <v>3214</v>
      </c>
      <c r="M1600" s="43" t="s">
        <v>417</v>
      </c>
      <c r="N1600" s="43" t="s">
        <v>433</v>
      </c>
      <c r="O1600" s="44" t="str">
        <f t="shared" si="117"/>
        <v>PE-M1-1C300-41</v>
      </c>
      <c r="P1600" s="51">
        <v>16000</v>
      </c>
      <c r="Q1600" s="43">
        <v>10000</v>
      </c>
      <c r="R1600" s="43" t="s">
        <v>49</v>
      </c>
      <c r="S1600" s="43">
        <v>260</v>
      </c>
      <c r="T1600" s="43" t="s">
        <v>7082</v>
      </c>
      <c r="U1600" s="43" t="s">
        <v>7113</v>
      </c>
      <c r="V1600" s="43" t="s">
        <v>7115</v>
      </c>
      <c r="W1600" s="43" t="s">
        <v>7108</v>
      </c>
      <c r="X1600" s="47" t="s">
        <v>307</v>
      </c>
      <c r="Y1600" s="43" t="s">
        <v>5303</v>
      </c>
      <c r="Z1600" s="43" t="s">
        <v>353</v>
      </c>
      <c r="AA1600" s="43" t="s">
        <v>347</v>
      </c>
      <c r="AB1600" s="47" t="s">
        <v>307</v>
      </c>
      <c r="AC1600" s="48" t="s">
        <v>8335</v>
      </c>
      <c r="AD1600" s="30"/>
      <c r="AE1600" s="197"/>
      <c r="AF1600" s="100"/>
      <c r="AR1600" s="241">
        <v>2</v>
      </c>
      <c r="AS1600" s="241" t="s">
        <v>9583</v>
      </c>
    </row>
    <row r="1601" spans="1:45" s="29" customFormat="1" ht="69.95" hidden="1" customHeight="1">
      <c r="A1601" s="49" t="s">
        <v>7113</v>
      </c>
      <c r="B1601" s="49" t="s">
        <v>8652</v>
      </c>
      <c r="C1601" s="49">
        <v>17</v>
      </c>
      <c r="D1601" s="49"/>
      <c r="E1601" s="57" t="s">
        <v>8562</v>
      </c>
      <c r="F1601" s="57" t="s">
        <v>8562</v>
      </c>
      <c r="J1601" s="29">
        <f t="shared" si="118"/>
        <v>1</v>
      </c>
      <c r="K1601" s="42">
        <v>1587</v>
      </c>
      <c r="L1601" s="43" t="s">
        <v>3215</v>
      </c>
      <c r="M1601" s="43" t="s">
        <v>417</v>
      </c>
      <c r="N1601" s="43" t="s">
        <v>433</v>
      </c>
      <c r="O1601" s="44" t="str">
        <f t="shared" ref="O1601:O1660" si="119">F1601</f>
        <v>PE-M1-1C300-41</v>
      </c>
      <c r="P1601" s="51">
        <v>16000</v>
      </c>
      <c r="Q1601" s="43">
        <v>10000</v>
      </c>
      <c r="R1601" s="43" t="s">
        <v>49</v>
      </c>
      <c r="S1601" s="43">
        <v>260</v>
      </c>
      <c r="T1601" s="43" t="s">
        <v>7082</v>
      </c>
      <c r="U1601" s="43" t="s">
        <v>7113</v>
      </c>
      <c r="V1601" s="43" t="s">
        <v>7115</v>
      </c>
      <c r="W1601" s="43" t="s">
        <v>7108</v>
      </c>
      <c r="X1601" s="47" t="s">
        <v>308</v>
      </c>
      <c r="Y1601" s="43" t="s">
        <v>5303</v>
      </c>
      <c r="Z1601" s="43" t="s">
        <v>353</v>
      </c>
      <c r="AA1601" s="43" t="s">
        <v>347</v>
      </c>
      <c r="AB1601" s="47" t="s">
        <v>308</v>
      </c>
      <c r="AC1601" s="52" t="s">
        <v>8335</v>
      </c>
      <c r="AD1601" s="30"/>
      <c r="AE1601" s="197"/>
      <c r="AF1601" s="100"/>
      <c r="AR1601" s="241">
        <v>2</v>
      </c>
      <c r="AS1601" s="241" t="s">
        <v>9583</v>
      </c>
    </row>
    <row r="1602" spans="1:45" s="29" customFormat="1" ht="69.95" hidden="1" customHeight="1">
      <c r="A1602" s="49" t="s">
        <v>7113</v>
      </c>
      <c r="B1602" s="49" t="s">
        <v>8652</v>
      </c>
      <c r="C1602" s="49">
        <v>18</v>
      </c>
      <c r="D1602" s="49"/>
      <c r="E1602" s="57" t="s">
        <v>8563</v>
      </c>
      <c r="F1602" s="57" t="s">
        <v>8563</v>
      </c>
      <c r="J1602" s="29">
        <f t="shared" si="118"/>
        <v>1</v>
      </c>
      <c r="K1602" s="42">
        <v>1588</v>
      </c>
      <c r="L1602" s="43" t="s">
        <v>3216</v>
      </c>
      <c r="M1602" s="43" t="s">
        <v>417</v>
      </c>
      <c r="N1602" s="43" t="s">
        <v>433</v>
      </c>
      <c r="O1602" s="44" t="str">
        <f t="shared" si="119"/>
        <v>PE-M1-1C300-42</v>
      </c>
      <c r="P1602" s="51">
        <v>16000</v>
      </c>
      <c r="Q1602" s="43">
        <v>10000</v>
      </c>
      <c r="R1602" s="43" t="s">
        <v>49</v>
      </c>
      <c r="S1602" s="43">
        <v>260</v>
      </c>
      <c r="T1602" s="43" t="s">
        <v>7082</v>
      </c>
      <c r="U1602" s="43" t="s">
        <v>7113</v>
      </c>
      <c r="V1602" s="43" t="s">
        <v>7115</v>
      </c>
      <c r="W1602" s="43" t="s">
        <v>7108</v>
      </c>
      <c r="X1602" s="47" t="s">
        <v>309</v>
      </c>
      <c r="Y1602" s="43" t="s">
        <v>5303</v>
      </c>
      <c r="Z1602" s="43" t="s">
        <v>353</v>
      </c>
      <c r="AA1602" s="43" t="s">
        <v>347</v>
      </c>
      <c r="AB1602" s="47" t="s">
        <v>309</v>
      </c>
      <c r="AC1602" s="52" t="s">
        <v>8335</v>
      </c>
      <c r="AD1602" s="30"/>
      <c r="AE1602" s="197"/>
      <c r="AF1602" s="100"/>
      <c r="AR1602" s="241">
        <v>2</v>
      </c>
      <c r="AS1602" s="241" t="s">
        <v>9583</v>
      </c>
    </row>
    <row r="1603" spans="1:45" s="32" customFormat="1" ht="69.95" hidden="1" customHeight="1">
      <c r="A1603" s="29" t="s">
        <v>7116</v>
      </c>
      <c r="B1603" s="29" t="s">
        <v>8652</v>
      </c>
      <c r="C1603" s="40" t="s">
        <v>32</v>
      </c>
      <c r="D1603" s="40"/>
      <c r="E1603" s="57" t="s">
        <v>8547</v>
      </c>
      <c r="F1603" s="57" t="s">
        <v>8547</v>
      </c>
      <c r="G1603" s="29" t="s">
        <v>3217</v>
      </c>
      <c r="H1603" s="29"/>
      <c r="I1603" s="29"/>
      <c r="J1603" s="29">
        <f t="shared" si="118"/>
        <v>1</v>
      </c>
      <c r="K1603" s="42">
        <v>1589</v>
      </c>
      <c r="L1603" s="43" t="s">
        <v>3218</v>
      </c>
      <c r="M1603" s="44" t="s">
        <v>417</v>
      </c>
      <c r="N1603" s="44" t="s">
        <v>433</v>
      </c>
      <c r="O1603" s="44" t="str">
        <f t="shared" si="119"/>
        <v>PE-M1-1C300-24</v>
      </c>
      <c r="P1603" s="45">
        <v>16000</v>
      </c>
      <c r="Q1603" s="44">
        <v>10000</v>
      </c>
      <c r="R1603" s="44" t="s">
        <v>49</v>
      </c>
      <c r="S1603" s="44">
        <v>200</v>
      </c>
      <c r="T1603" s="46" t="s">
        <v>7082</v>
      </c>
      <c r="U1603" s="46" t="s">
        <v>7116</v>
      </c>
      <c r="V1603" s="46" t="s">
        <v>357</v>
      </c>
      <c r="W1603" s="46" t="s">
        <v>333</v>
      </c>
      <c r="X1603" s="47" t="s">
        <v>307</v>
      </c>
      <c r="Y1603" s="46" t="s">
        <v>4044</v>
      </c>
      <c r="Z1603" s="46" t="s">
        <v>358</v>
      </c>
      <c r="AA1603" s="46" t="s">
        <v>347</v>
      </c>
      <c r="AB1603" s="47" t="s">
        <v>307</v>
      </c>
      <c r="AC1603" s="48" t="s">
        <v>8336</v>
      </c>
      <c r="AD1603" s="30"/>
      <c r="AE1603" s="200"/>
      <c r="AF1603" s="100"/>
      <c r="AR1603" s="241">
        <v>2</v>
      </c>
      <c r="AS1603" s="241" t="s">
        <v>9583</v>
      </c>
    </row>
    <row r="1604" spans="1:45" s="29" customFormat="1" ht="69.95" hidden="1" customHeight="1">
      <c r="A1604" s="49" t="s">
        <v>7116</v>
      </c>
      <c r="B1604" s="49" t="s">
        <v>8652</v>
      </c>
      <c r="C1604" s="50" t="s">
        <v>36</v>
      </c>
      <c r="D1604" s="50"/>
      <c r="E1604" s="57" t="s">
        <v>8548</v>
      </c>
      <c r="F1604" s="57" t="s">
        <v>8548</v>
      </c>
      <c r="J1604" s="29">
        <f t="shared" si="118"/>
        <v>1</v>
      </c>
      <c r="K1604" s="42">
        <v>1590</v>
      </c>
      <c r="L1604" s="43" t="s">
        <v>3219</v>
      </c>
      <c r="M1604" s="43" t="s">
        <v>417</v>
      </c>
      <c r="N1604" s="43" t="s">
        <v>433</v>
      </c>
      <c r="O1604" s="44" t="str">
        <f t="shared" si="119"/>
        <v>PE-M1-1C300-19</v>
      </c>
      <c r="P1604" s="51">
        <v>16000</v>
      </c>
      <c r="Q1604" s="43">
        <v>10000</v>
      </c>
      <c r="R1604" s="43" t="s">
        <v>49</v>
      </c>
      <c r="S1604" s="43">
        <v>200</v>
      </c>
      <c r="T1604" s="43" t="s">
        <v>7082</v>
      </c>
      <c r="U1604" s="43" t="s">
        <v>7116</v>
      </c>
      <c r="V1604" s="43" t="s">
        <v>7117</v>
      </c>
      <c r="W1604" s="43" t="s">
        <v>7108</v>
      </c>
      <c r="X1604" s="47" t="s">
        <v>308</v>
      </c>
      <c r="Y1604" s="43" t="s">
        <v>4044</v>
      </c>
      <c r="Z1604" s="43" t="s">
        <v>358</v>
      </c>
      <c r="AA1604" s="43" t="s">
        <v>347</v>
      </c>
      <c r="AB1604" s="47" t="s">
        <v>308</v>
      </c>
      <c r="AC1604" s="52" t="s">
        <v>8336</v>
      </c>
      <c r="AD1604" s="30"/>
      <c r="AE1604" s="197"/>
      <c r="AF1604" s="100"/>
      <c r="AR1604" s="241">
        <v>2</v>
      </c>
      <c r="AS1604" s="241" t="s">
        <v>9583</v>
      </c>
    </row>
    <row r="1605" spans="1:45" s="29" customFormat="1" ht="69.95" hidden="1" customHeight="1">
      <c r="A1605" s="49" t="s">
        <v>7116</v>
      </c>
      <c r="B1605" s="49" t="s">
        <v>8652</v>
      </c>
      <c r="C1605" s="50" t="s">
        <v>38</v>
      </c>
      <c r="D1605" s="50"/>
      <c r="E1605" s="57" t="s">
        <v>8549</v>
      </c>
      <c r="F1605" s="57" t="s">
        <v>8549</v>
      </c>
      <c r="J1605" s="29">
        <f t="shared" si="118"/>
        <v>1</v>
      </c>
      <c r="K1605" s="42">
        <v>1591</v>
      </c>
      <c r="L1605" s="43" t="s">
        <v>3220</v>
      </c>
      <c r="M1605" s="43" t="s">
        <v>417</v>
      </c>
      <c r="N1605" s="43" t="s">
        <v>433</v>
      </c>
      <c r="O1605" s="44" t="str">
        <f t="shared" si="119"/>
        <v>PE-M1-1C300-20</v>
      </c>
      <c r="P1605" s="51">
        <v>16000</v>
      </c>
      <c r="Q1605" s="43">
        <v>10000</v>
      </c>
      <c r="R1605" s="43" t="s">
        <v>49</v>
      </c>
      <c r="S1605" s="43">
        <v>200</v>
      </c>
      <c r="T1605" s="43" t="s">
        <v>7082</v>
      </c>
      <c r="U1605" s="43" t="s">
        <v>7116</v>
      </c>
      <c r="V1605" s="43" t="s">
        <v>7117</v>
      </c>
      <c r="W1605" s="43" t="s">
        <v>7108</v>
      </c>
      <c r="X1605" s="47" t="s">
        <v>309</v>
      </c>
      <c r="Y1605" s="43" t="s">
        <v>4044</v>
      </c>
      <c r="Z1605" s="43" t="s">
        <v>358</v>
      </c>
      <c r="AA1605" s="43" t="s">
        <v>347</v>
      </c>
      <c r="AB1605" s="47" t="s">
        <v>309</v>
      </c>
      <c r="AC1605" s="52" t="s">
        <v>8336</v>
      </c>
      <c r="AD1605" s="30"/>
      <c r="AE1605" s="197"/>
      <c r="AF1605" s="100"/>
      <c r="AR1605" s="241">
        <v>2</v>
      </c>
      <c r="AS1605" s="241" t="s">
        <v>9583</v>
      </c>
    </row>
    <row r="1606" spans="1:45" s="29" customFormat="1" ht="69.95" hidden="1" customHeight="1">
      <c r="A1606" s="49" t="s">
        <v>7116</v>
      </c>
      <c r="B1606" s="49" t="s">
        <v>8652</v>
      </c>
      <c r="C1606" s="50" t="s">
        <v>40</v>
      </c>
      <c r="D1606" s="50"/>
      <c r="E1606" s="57" t="s">
        <v>8550</v>
      </c>
      <c r="F1606" s="57" t="s">
        <v>8550</v>
      </c>
      <c r="J1606" s="29">
        <f t="shared" si="118"/>
        <v>1</v>
      </c>
      <c r="K1606" s="42">
        <v>1592</v>
      </c>
      <c r="L1606" s="43" t="s">
        <v>3221</v>
      </c>
      <c r="M1606" s="43" t="s">
        <v>417</v>
      </c>
      <c r="N1606" s="43" t="s">
        <v>433</v>
      </c>
      <c r="O1606" s="44" t="str">
        <f t="shared" si="119"/>
        <v>PE-M1-1C300-21</v>
      </c>
      <c r="P1606" s="51">
        <v>16000</v>
      </c>
      <c r="Q1606" s="43">
        <v>10000</v>
      </c>
      <c r="R1606" s="43" t="s">
        <v>49</v>
      </c>
      <c r="S1606" s="43">
        <v>200</v>
      </c>
      <c r="T1606" s="43" t="s">
        <v>7082</v>
      </c>
      <c r="U1606" s="43" t="s">
        <v>7116</v>
      </c>
      <c r="V1606" s="43" t="s">
        <v>7117</v>
      </c>
      <c r="W1606" s="43" t="s">
        <v>7108</v>
      </c>
      <c r="X1606" s="47" t="s">
        <v>307</v>
      </c>
      <c r="Y1606" s="43" t="s">
        <v>4044</v>
      </c>
      <c r="Z1606" s="43" t="s">
        <v>358</v>
      </c>
      <c r="AA1606" s="43" t="s">
        <v>347</v>
      </c>
      <c r="AB1606" s="47" t="s">
        <v>307</v>
      </c>
      <c r="AC1606" s="48" t="s">
        <v>8336</v>
      </c>
      <c r="AD1606" s="30"/>
      <c r="AE1606" s="197"/>
      <c r="AF1606" s="100"/>
      <c r="AR1606" s="241">
        <v>2</v>
      </c>
      <c r="AS1606" s="241" t="s">
        <v>9583</v>
      </c>
    </row>
    <row r="1607" spans="1:45" s="29" customFormat="1" ht="69.95" hidden="1" customHeight="1">
      <c r="A1607" s="49" t="s">
        <v>7116</v>
      </c>
      <c r="B1607" s="49" t="s">
        <v>8652</v>
      </c>
      <c r="C1607" s="50" t="s">
        <v>41</v>
      </c>
      <c r="D1607" s="50"/>
      <c r="E1607" s="57" t="s">
        <v>8551</v>
      </c>
      <c r="F1607" s="57" t="s">
        <v>8551</v>
      </c>
      <c r="J1607" s="29">
        <f t="shared" si="118"/>
        <v>1</v>
      </c>
      <c r="K1607" s="42">
        <v>1593</v>
      </c>
      <c r="L1607" s="43" t="s">
        <v>3222</v>
      </c>
      <c r="M1607" s="43" t="s">
        <v>417</v>
      </c>
      <c r="N1607" s="43" t="s">
        <v>433</v>
      </c>
      <c r="O1607" s="44" t="str">
        <f t="shared" si="119"/>
        <v>PE-M1-1C300-31</v>
      </c>
      <c r="P1607" s="51">
        <v>16000</v>
      </c>
      <c r="Q1607" s="43">
        <v>10000</v>
      </c>
      <c r="R1607" s="43" t="s">
        <v>49</v>
      </c>
      <c r="S1607" s="43">
        <v>200</v>
      </c>
      <c r="T1607" s="43" t="s">
        <v>7082</v>
      </c>
      <c r="U1607" s="43" t="s">
        <v>7116</v>
      </c>
      <c r="V1607" s="43" t="s">
        <v>7117</v>
      </c>
      <c r="W1607" s="43" t="s">
        <v>7108</v>
      </c>
      <c r="X1607" s="47" t="s">
        <v>308</v>
      </c>
      <c r="Y1607" s="43" t="s">
        <v>4044</v>
      </c>
      <c r="Z1607" s="43" t="s">
        <v>358</v>
      </c>
      <c r="AA1607" s="43" t="s">
        <v>347</v>
      </c>
      <c r="AB1607" s="47" t="s">
        <v>308</v>
      </c>
      <c r="AC1607" s="52" t="s">
        <v>8336</v>
      </c>
      <c r="AD1607" s="30"/>
      <c r="AE1607" s="197"/>
      <c r="AF1607" s="100"/>
      <c r="AR1607" s="241">
        <v>2</v>
      </c>
      <c r="AS1607" s="241" t="s">
        <v>9583</v>
      </c>
    </row>
    <row r="1608" spans="1:45" s="29" customFormat="1" ht="69.95" hidden="1" customHeight="1">
      <c r="A1608" s="49" t="s">
        <v>7116</v>
      </c>
      <c r="B1608" s="49" t="s">
        <v>8652</v>
      </c>
      <c r="C1608" s="50" t="s">
        <v>42</v>
      </c>
      <c r="D1608" s="50"/>
      <c r="E1608" s="57" t="s">
        <v>8552</v>
      </c>
      <c r="F1608" s="57" t="s">
        <v>8552</v>
      </c>
      <c r="J1608" s="29">
        <f t="shared" ref="J1608:J1671" si="120">COUNTIF(L:L,L1608)</f>
        <v>1</v>
      </c>
      <c r="K1608" s="42">
        <v>1594</v>
      </c>
      <c r="L1608" s="43" t="s">
        <v>3223</v>
      </c>
      <c r="M1608" s="43" t="s">
        <v>417</v>
      </c>
      <c r="N1608" s="43" t="s">
        <v>433</v>
      </c>
      <c r="O1608" s="44" t="str">
        <f t="shared" si="119"/>
        <v>PE-M1-1C300-32</v>
      </c>
      <c r="P1608" s="51">
        <v>16000</v>
      </c>
      <c r="Q1608" s="43">
        <v>10000</v>
      </c>
      <c r="R1608" s="43" t="s">
        <v>49</v>
      </c>
      <c r="S1608" s="43">
        <v>200</v>
      </c>
      <c r="T1608" s="43" t="s">
        <v>7082</v>
      </c>
      <c r="U1608" s="43" t="s">
        <v>7116</v>
      </c>
      <c r="V1608" s="43" t="s">
        <v>7117</v>
      </c>
      <c r="W1608" s="43" t="s">
        <v>7108</v>
      </c>
      <c r="X1608" s="47" t="s">
        <v>309</v>
      </c>
      <c r="Y1608" s="43" t="s">
        <v>4044</v>
      </c>
      <c r="Z1608" s="43" t="s">
        <v>358</v>
      </c>
      <c r="AA1608" s="43" t="s">
        <v>347</v>
      </c>
      <c r="AB1608" s="47" t="s">
        <v>309</v>
      </c>
      <c r="AC1608" s="52" t="s">
        <v>8336</v>
      </c>
      <c r="AD1608" s="30"/>
      <c r="AE1608" s="197"/>
      <c r="AF1608" s="100"/>
      <c r="AR1608" s="241">
        <v>2</v>
      </c>
      <c r="AS1608" s="241" t="s">
        <v>9583</v>
      </c>
    </row>
    <row r="1609" spans="1:45" s="29" customFormat="1" ht="69.95" hidden="1" customHeight="1">
      <c r="A1609" s="49" t="s">
        <v>7116</v>
      </c>
      <c r="B1609" s="49" t="s">
        <v>8652</v>
      </c>
      <c r="C1609" s="50" t="s">
        <v>43</v>
      </c>
      <c r="D1609" s="50"/>
      <c r="E1609" s="57" t="s">
        <v>8553</v>
      </c>
      <c r="F1609" s="57" t="s">
        <v>8553</v>
      </c>
      <c r="J1609" s="29">
        <f t="shared" si="120"/>
        <v>1</v>
      </c>
      <c r="K1609" s="42">
        <v>1595</v>
      </c>
      <c r="L1609" s="43" t="s">
        <v>3224</v>
      </c>
      <c r="M1609" s="43" t="s">
        <v>417</v>
      </c>
      <c r="N1609" s="43" t="s">
        <v>433</v>
      </c>
      <c r="O1609" s="44" t="str">
        <f t="shared" si="119"/>
        <v>PE-M1-1C300-33</v>
      </c>
      <c r="P1609" s="51">
        <v>16000</v>
      </c>
      <c r="Q1609" s="43">
        <v>10000</v>
      </c>
      <c r="R1609" s="43" t="s">
        <v>49</v>
      </c>
      <c r="S1609" s="43">
        <v>200</v>
      </c>
      <c r="T1609" s="43" t="s">
        <v>7082</v>
      </c>
      <c r="U1609" s="43" t="s">
        <v>7116</v>
      </c>
      <c r="V1609" s="43" t="s">
        <v>7117</v>
      </c>
      <c r="W1609" s="43" t="s">
        <v>7108</v>
      </c>
      <c r="X1609" s="47" t="s">
        <v>307</v>
      </c>
      <c r="Y1609" s="43" t="s">
        <v>4044</v>
      </c>
      <c r="Z1609" s="43" t="s">
        <v>358</v>
      </c>
      <c r="AA1609" s="43" t="s">
        <v>347</v>
      </c>
      <c r="AB1609" s="47" t="s">
        <v>307</v>
      </c>
      <c r="AC1609" s="48" t="s">
        <v>8336</v>
      </c>
      <c r="AD1609" s="30"/>
      <c r="AE1609" s="197"/>
      <c r="AF1609" s="100"/>
      <c r="AR1609" s="241">
        <v>2</v>
      </c>
      <c r="AS1609" s="241" t="s">
        <v>9583</v>
      </c>
    </row>
    <row r="1610" spans="1:45" s="29" customFormat="1" ht="69.95" hidden="1" customHeight="1">
      <c r="A1610" s="49" t="s">
        <v>7116</v>
      </c>
      <c r="B1610" s="49" t="s">
        <v>8652</v>
      </c>
      <c r="C1610" s="50" t="s">
        <v>73</v>
      </c>
      <c r="D1610" s="50"/>
      <c r="E1610" s="57" t="s">
        <v>8554</v>
      </c>
      <c r="F1610" s="57" t="s">
        <v>8554</v>
      </c>
      <c r="J1610" s="29">
        <f t="shared" si="120"/>
        <v>1</v>
      </c>
      <c r="K1610" s="42">
        <v>1596</v>
      </c>
      <c r="L1610" s="43" t="s">
        <v>3225</v>
      </c>
      <c r="M1610" s="43" t="s">
        <v>417</v>
      </c>
      <c r="N1610" s="43" t="s">
        <v>433</v>
      </c>
      <c r="O1610" s="44" t="str">
        <f t="shared" si="119"/>
        <v>PE-M1-1C300-28</v>
      </c>
      <c r="P1610" s="51">
        <v>16000</v>
      </c>
      <c r="Q1610" s="43">
        <v>10000</v>
      </c>
      <c r="R1610" s="43" t="s">
        <v>49</v>
      </c>
      <c r="S1610" s="43">
        <v>200</v>
      </c>
      <c r="T1610" s="43" t="s">
        <v>7082</v>
      </c>
      <c r="U1610" s="43" t="s">
        <v>7116</v>
      </c>
      <c r="V1610" s="43" t="s">
        <v>7117</v>
      </c>
      <c r="W1610" s="43" t="s">
        <v>7108</v>
      </c>
      <c r="X1610" s="47" t="s">
        <v>308</v>
      </c>
      <c r="Y1610" s="43" t="s">
        <v>4044</v>
      </c>
      <c r="Z1610" s="43" t="s">
        <v>358</v>
      </c>
      <c r="AA1610" s="43" t="s">
        <v>347</v>
      </c>
      <c r="AB1610" s="47" t="s">
        <v>308</v>
      </c>
      <c r="AC1610" s="52" t="s">
        <v>8336</v>
      </c>
      <c r="AD1610" s="30"/>
      <c r="AE1610" s="197"/>
      <c r="AF1610" s="100"/>
      <c r="AR1610" s="241">
        <v>2</v>
      </c>
      <c r="AS1610" s="241" t="s">
        <v>9583</v>
      </c>
    </row>
    <row r="1611" spans="1:45" s="29" customFormat="1" ht="69.95" hidden="1" customHeight="1">
      <c r="A1611" s="49" t="s">
        <v>7116</v>
      </c>
      <c r="B1611" s="49" t="s">
        <v>8652</v>
      </c>
      <c r="C1611" s="50" t="s">
        <v>75</v>
      </c>
      <c r="D1611" s="50"/>
      <c r="E1611" s="57" t="s">
        <v>8563</v>
      </c>
      <c r="F1611" s="57" t="s">
        <v>8563</v>
      </c>
      <c r="J1611" s="29">
        <f t="shared" si="120"/>
        <v>1</v>
      </c>
      <c r="K1611" s="42">
        <v>1597</v>
      </c>
      <c r="L1611" s="43" t="s">
        <v>3226</v>
      </c>
      <c r="M1611" s="43" t="s">
        <v>417</v>
      </c>
      <c r="N1611" s="43" t="s">
        <v>433</v>
      </c>
      <c r="O1611" s="44" t="str">
        <f t="shared" si="119"/>
        <v>PE-M1-1C300-42</v>
      </c>
      <c r="P1611" s="51">
        <v>16000</v>
      </c>
      <c r="Q1611" s="43">
        <v>10000</v>
      </c>
      <c r="R1611" s="43" t="s">
        <v>49</v>
      </c>
      <c r="S1611" s="43">
        <v>200</v>
      </c>
      <c r="T1611" s="43" t="s">
        <v>7082</v>
      </c>
      <c r="U1611" s="43" t="s">
        <v>7116</v>
      </c>
      <c r="V1611" s="43" t="s">
        <v>7117</v>
      </c>
      <c r="W1611" s="43" t="s">
        <v>7108</v>
      </c>
      <c r="X1611" s="47" t="s">
        <v>309</v>
      </c>
      <c r="Y1611" s="43" t="s">
        <v>4044</v>
      </c>
      <c r="Z1611" s="43" t="s">
        <v>358</v>
      </c>
      <c r="AA1611" s="43" t="s">
        <v>347</v>
      </c>
      <c r="AB1611" s="47" t="s">
        <v>309</v>
      </c>
      <c r="AC1611" s="52" t="s">
        <v>8336</v>
      </c>
      <c r="AD1611" s="30"/>
      <c r="AE1611" s="197"/>
      <c r="AF1611" s="100"/>
      <c r="AR1611" s="241">
        <v>2</v>
      </c>
      <c r="AS1611" s="241" t="s">
        <v>9583</v>
      </c>
    </row>
    <row r="1612" spans="1:45" s="32" customFormat="1" ht="69.95" hidden="1" customHeight="1">
      <c r="A1612" s="29" t="s">
        <v>7116</v>
      </c>
      <c r="B1612" s="29" t="s">
        <v>8652</v>
      </c>
      <c r="C1612" s="40">
        <v>10</v>
      </c>
      <c r="D1612" s="40"/>
      <c r="E1612" s="57" t="s">
        <v>8535</v>
      </c>
      <c r="F1612" s="57" t="s">
        <v>8536</v>
      </c>
      <c r="G1612" s="29" t="s">
        <v>3227</v>
      </c>
      <c r="H1612" s="29"/>
      <c r="I1612" s="29"/>
      <c r="J1612" s="29">
        <f t="shared" si="120"/>
        <v>1</v>
      </c>
      <c r="K1612" s="42">
        <v>1598</v>
      </c>
      <c r="L1612" s="43" t="s">
        <v>3228</v>
      </c>
      <c r="M1612" s="44" t="s">
        <v>417</v>
      </c>
      <c r="N1612" s="44" t="s">
        <v>433</v>
      </c>
      <c r="O1612" s="44" t="str">
        <f t="shared" si="119"/>
        <v>PE-M1-1C300-08</v>
      </c>
      <c r="P1612" s="45">
        <v>16000</v>
      </c>
      <c r="Q1612" s="44">
        <v>10000</v>
      </c>
      <c r="R1612" s="44" t="s">
        <v>49</v>
      </c>
      <c r="S1612" s="44">
        <v>210</v>
      </c>
      <c r="T1612" s="46" t="s">
        <v>7082</v>
      </c>
      <c r="U1612" s="46" t="s">
        <v>7116</v>
      </c>
      <c r="V1612" s="46" t="s">
        <v>359</v>
      </c>
      <c r="W1612" s="46" t="s">
        <v>333</v>
      </c>
      <c r="X1612" s="47" t="s">
        <v>307</v>
      </c>
      <c r="Y1612" s="46" t="s">
        <v>5308</v>
      </c>
      <c r="Z1612" s="46" t="s">
        <v>360</v>
      </c>
      <c r="AA1612" s="46" t="s">
        <v>347</v>
      </c>
      <c r="AB1612" s="47" t="s">
        <v>307</v>
      </c>
      <c r="AC1612" s="48" t="s">
        <v>8337</v>
      </c>
      <c r="AD1612" s="30"/>
      <c r="AE1612" s="200"/>
      <c r="AF1612" s="100"/>
      <c r="AR1612" s="241">
        <v>2</v>
      </c>
      <c r="AS1612" s="241" t="s">
        <v>9583</v>
      </c>
    </row>
    <row r="1613" spans="1:45" s="29" customFormat="1" ht="69.95" hidden="1" customHeight="1">
      <c r="A1613" s="49" t="s">
        <v>7116</v>
      </c>
      <c r="B1613" s="49" t="s">
        <v>8652</v>
      </c>
      <c r="C1613" s="49">
        <v>11</v>
      </c>
      <c r="D1613" s="49"/>
      <c r="E1613" s="57" t="s">
        <v>8537</v>
      </c>
      <c r="F1613" s="57" t="s">
        <v>8537</v>
      </c>
      <c r="J1613" s="29">
        <f t="shared" si="120"/>
        <v>1</v>
      </c>
      <c r="K1613" s="42">
        <v>1599</v>
      </c>
      <c r="L1613" s="43" t="s">
        <v>3229</v>
      </c>
      <c r="M1613" s="43" t="s">
        <v>417</v>
      </c>
      <c r="N1613" s="43" t="s">
        <v>433</v>
      </c>
      <c r="O1613" s="44" t="str">
        <f t="shared" si="119"/>
        <v>PE-M1-1C300-09</v>
      </c>
      <c r="P1613" s="51">
        <v>16000</v>
      </c>
      <c r="Q1613" s="43">
        <v>10000</v>
      </c>
      <c r="R1613" s="43" t="s">
        <v>49</v>
      </c>
      <c r="S1613" s="43">
        <v>210</v>
      </c>
      <c r="T1613" s="43" t="s">
        <v>7082</v>
      </c>
      <c r="U1613" s="43" t="s">
        <v>7116</v>
      </c>
      <c r="V1613" s="43" t="s">
        <v>7118</v>
      </c>
      <c r="W1613" s="43" t="s">
        <v>7108</v>
      </c>
      <c r="X1613" s="47" t="s">
        <v>308</v>
      </c>
      <c r="Y1613" s="43" t="s">
        <v>5308</v>
      </c>
      <c r="Z1613" s="43" t="s">
        <v>360</v>
      </c>
      <c r="AA1613" s="43" t="s">
        <v>347</v>
      </c>
      <c r="AB1613" s="47" t="s">
        <v>308</v>
      </c>
      <c r="AC1613" s="52" t="s">
        <v>8337</v>
      </c>
      <c r="AD1613" s="30"/>
      <c r="AE1613" s="197"/>
      <c r="AF1613" s="100"/>
      <c r="AR1613" s="241">
        <v>2</v>
      </c>
      <c r="AS1613" s="241" t="s">
        <v>9583</v>
      </c>
    </row>
    <row r="1614" spans="1:45" s="29" customFormat="1" ht="69.95" hidden="1" customHeight="1">
      <c r="A1614" s="49" t="s">
        <v>7116</v>
      </c>
      <c r="B1614" s="49" t="s">
        <v>8652</v>
      </c>
      <c r="C1614" s="49">
        <v>12</v>
      </c>
      <c r="D1614" s="49"/>
      <c r="E1614" s="57" t="s">
        <v>8538</v>
      </c>
      <c r="F1614" s="57" t="s">
        <v>8538</v>
      </c>
      <c r="J1614" s="29">
        <f t="shared" si="120"/>
        <v>1</v>
      </c>
      <c r="K1614" s="42">
        <v>1600</v>
      </c>
      <c r="L1614" s="43" t="s">
        <v>3230</v>
      </c>
      <c r="M1614" s="43" t="s">
        <v>417</v>
      </c>
      <c r="N1614" s="43" t="s">
        <v>433</v>
      </c>
      <c r="O1614" s="44" t="str">
        <f t="shared" si="119"/>
        <v>PE-M1-1C300-10</v>
      </c>
      <c r="P1614" s="51">
        <v>16000</v>
      </c>
      <c r="Q1614" s="43">
        <v>10000</v>
      </c>
      <c r="R1614" s="43" t="s">
        <v>49</v>
      </c>
      <c r="S1614" s="43">
        <v>210</v>
      </c>
      <c r="T1614" s="43" t="s">
        <v>7082</v>
      </c>
      <c r="U1614" s="43" t="s">
        <v>7116</v>
      </c>
      <c r="V1614" s="43" t="s">
        <v>7118</v>
      </c>
      <c r="W1614" s="43" t="s">
        <v>7108</v>
      </c>
      <c r="X1614" s="47" t="s">
        <v>309</v>
      </c>
      <c r="Y1614" s="43" t="s">
        <v>5308</v>
      </c>
      <c r="Z1614" s="43" t="s">
        <v>360</v>
      </c>
      <c r="AA1614" s="43" t="s">
        <v>347</v>
      </c>
      <c r="AB1614" s="47" t="s">
        <v>309</v>
      </c>
      <c r="AC1614" s="52" t="s">
        <v>8337</v>
      </c>
      <c r="AD1614" s="30"/>
      <c r="AE1614" s="197"/>
      <c r="AF1614" s="100"/>
      <c r="AR1614" s="241">
        <v>2</v>
      </c>
      <c r="AS1614" s="241" t="s">
        <v>9583</v>
      </c>
    </row>
    <row r="1615" spans="1:45" s="29" customFormat="1" ht="69.95" hidden="1" customHeight="1">
      <c r="A1615" s="49" t="s">
        <v>7116</v>
      </c>
      <c r="B1615" s="49" t="s">
        <v>8652</v>
      </c>
      <c r="C1615" s="49">
        <v>13</v>
      </c>
      <c r="D1615" s="49"/>
      <c r="E1615" s="57" t="s">
        <v>8539</v>
      </c>
      <c r="F1615" s="57" t="s">
        <v>8539</v>
      </c>
      <c r="J1615" s="29">
        <f t="shared" si="120"/>
        <v>1</v>
      </c>
      <c r="K1615" s="42">
        <v>1601</v>
      </c>
      <c r="L1615" s="43" t="s">
        <v>3231</v>
      </c>
      <c r="M1615" s="43" t="s">
        <v>417</v>
      </c>
      <c r="N1615" s="43" t="s">
        <v>433</v>
      </c>
      <c r="O1615" s="44" t="str">
        <f t="shared" si="119"/>
        <v>PE-M1-1C300-11</v>
      </c>
      <c r="P1615" s="51">
        <v>16000</v>
      </c>
      <c r="Q1615" s="43">
        <v>10000</v>
      </c>
      <c r="R1615" s="43" t="s">
        <v>49</v>
      </c>
      <c r="S1615" s="43">
        <v>210</v>
      </c>
      <c r="T1615" s="43" t="s">
        <v>7082</v>
      </c>
      <c r="U1615" s="43" t="s">
        <v>7116</v>
      </c>
      <c r="V1615" s="43" t="s">
        <v>7118</v>
      </c>
      <c r="W1615" s="43" t="s">
        <v>7108</v>
      </c>
      <c r="X1615" s="47" t="s">
        <v>307</v>
      </c>
      <c r="Y1615" s="43" t="s">
        <v>5308</v>
      </c>
      <c r="Z1615" s="43" t="s">
        <v>360</v>
      </c>
      <c r="AA1615" s="43" t="s">
        <v>347</v>
      </c>
      <c r="AB1615" s="47" t="s">
        <v>307</v>
      </c>
      <c r="AC1615" s="48" t="s">
        <v>8337</v>
      </c>
      <c r="AD1615" s="30"/>
      <c r="AE1615" s="197"/>
      <c r="AF1615" s="100"/>
      <c r="AR1615" s="241">
        <v>2</v>
      </c>
      <c r="AS1615" s="241" t="s">
        <v>9583</v>
      </c>
    </row>
    <row r="1616" spans="1:45" s="29" customFormat="1" ht="69.95" hidden="1" customHeight="1">
      <c r="A1616" s="49" t="s">
        <v>7116</v>
      </c>
      <c r="B1616" s="49" t="s">
        <v>8652</v>
      </c>
      <c r="C1616" s="49">
        <v>14</v>
      </c>
      <c r="D1616" s="49"/>
      <c r="E1616" s="57" t="s">
        <v>8540</v>
      </c>
      <c r="F1616" s="57" t="s">
        <v>8540</v>
      </c>
      <c r="J1616" s="29">
        <f t="shared" si="120"/>
        <v>1</v>
      </c>
      <c r="K1616" s="42">
        <v>1602</v>
      </c>
      <c r="L1616" s="43" t="s">
        <v>3232</v>
      </c>
      <c r="M1616" s="43" t="s">
        <v>417</v>
      </c>
      <c r="N1616" s="43" t="s">
        <v>433</v>
      </c>
      <c r="O1616" s="44" t="str">
        <f t="shared" si="119"/>
        <v>PE-M1-1C300-12</v>
      </c>
      <c r="P1616" s="51">
        <v>16000</v>
      </c>
      <c r="Q1616" s="43">
        <v>10000</v>
      </c>
      <c r="R1616" s="43" t="s">
        <v>49</v>
      </c>
      <c r="S1616" s="43">
        <v>210</v>
      </c>
      <c r="T1616" s="43" t="s">
        <v>7082</v>
      </c>
      <c r="U1616" s="43" t="s">
        <v>7116</v>
      </c>
      <c r="V1616" s="43" t="s">
        <v>7118</v>
      </c>
      <c r="W1616" s="43" t="s">
        <v>7108</v>
      </c>
      <c r="X1616" s="47" t="s">
        <v>308</v>
      </c>
      <c r="Y1616" s="43" t="s">
        <v>5308</v>
      </c>
      <c r="Z1616" s="43" t="s">
        <v>360</v>
      </c>
      <c r="AA1616" s="43" t="s">
        <v>347</v>
      </c>
      <c r="AB1616" s="47" t="s">
        <v>308</v>
      </c>
      <c r="AC1616" s="52" t="s">
        <v>8337</v>
      </c>
      <c r="AD1616" s="30"/>
      <c r="AE1616" s="197"/>
      <c r="AF1616" s="100"/>
      <c r="AR1616" s="241">
        <v>2</v>
      </c>
      <c r="AS1616" s="241" t="s">
        <v>9583</v>
      </c>
    </row>
    <row r="1617" spans="1:45" s="29" customFormat="1" ht="69.95" hidden="1" customHeight="1">
      <c r="A1617" s="49" t="s">
        <v>7116</v>
      </c>
      <c r="B1617" s="49" t="s">
        <v>8652</v>
      </c>
      <c r="C1617" s="49">
        <v>15</v>
      </c>
      <c r="D1617" s="49"/>
      <c r="E1617" s="57" t="s">
        <v>8541</v>
      </c>
      <c r="F1617" s="57" t="s">
        <v>8541</v>
      </c>
      <c r="J1617" s="29">
        <f t="shared" si="120"/>
        <v>1</v>
      </c>
      <c r="K1617" s="42">
        <v>1603</v>
      </c>
      <c r="L1617" s="43" t="s">
        <v>3233</v>
      </c>
      <c r="M1617" s="43" t="s">
        <v>417</v>
      </c>
      <c r="N1617" s="43" t="s">
        <v>433</v>
      </c>
      <c r="O1617" s="44" t="str">
        <f t="shared" si="119"/>
        <v>PE-M1-1C300-13</v>
      </c>
      <c r="P1617" s="51">
        <v>16000</v>
      </c>
      <c r="Q1617" s="43">
        <v>10000</v>
      </c>
      <c r="R1617" s="43" t="s">
        <v>49</v>
      </c>
      <c r="S1617" s="43">
        <v>210</v>
      </c>
      <c r="T1617" s="43" t="s">
        <v>7082</v>
      </c>
      <c r="U1617" s="43" t="s">
        <v>7116</v>
      </c>
      <c r="V1617" s="43" t="s">
        <v>7118</v>
      </c>
      <c r="W1617" s="43" t="s">
        <v>7108</v>
      </c>
      <c r="X1617" s="47" t="s">
        <v>309</v>
      </c>
      <c r="Y1617" s="43" t="s">
        <v>5308</v>
      </c>
      <c r="Z1617" s="43" t="s">
        <v>360</v>
      </c>
      <c r="AA1617" s="43" t="s">
        <v>347</v>
      </c>
      <c r="AB1617" s="47" t="s">
        <v>309</v>
      </c>
      <c r="AC1617" s="52" t="s">
        <v>8337</v>
      </c>
      <c r="AD1617" s="30"/>
      <c r="AE1617" s="197"/>
      <c r="AF1617" s="100"/>
      <c r="AR1617" s="241">
        <v>2</v>
      </c>
      <c r="AS1617" s="241" t="s">
        <v>9583</v>
      </c>
    </row>
    <row r="1618" spans="1:45" s="29" customFormat="1" ht="69.95" hidden="1" customHeight="1">
      <c r="A1618" s="49" t="s">
        <v>7116</v>
      </c>
      <c r="B1618" s="49" t="s">
        <v>8652</v>
      </c>
      <c r="C1618" s="49">
        <v>16</v>
      </c>
      <c r="D1618" s="49"/>
      <c r="E1618" s="57" t="s">
        <v>8542</v>
      </c>
      <c r="F1618" s="57" t="s">
        <v>8542</v>
      </c>
      <c r="J1618" s="29">
        <f t="shared" si="120"/>
        <v>1</v>
      </c>
      <c r="K1618" s="42">
        <v>1604</v>
      </c>
      <c r="L1618" s="43" t="s">
        <v>3234</v>
      </c>
      <c r="M1618" s="43" t="s">
        <v>417</v>
      </c>
      <c r="N1618" s="43" t="s">
        <v>433</v>
      </c>
      <c r="O1618" s="44" t="str">
        <f t="shared" si="119"/>
        <v>PE-M1-1C300-14</v>
      </c>
      <c r="P1618" s="51">
        <v>16000</v>
      </c>
      <c r="Q1618" s="43">
        <v>10000</v>
      </c>
      <c r="R1618" s="43" t="s">
        <v>49</v>
      </c>
      <c r="S1618" s="43">
        <v>210</v>
      </c>
      <c r="T1618" s="43" t="s">
        <v>7082</v>
      </c>
      <c r="U1618" s="43" t="s">
        <v>7116</v>
      </c>
      <c r="V1618" s="43" t="s">
        <v>7118</v>
      </c>
      <c r="W1618" s="43" t="s">
        <v>7108</v>
      </c>
      <c r="X1618" s="47" t="s">
        <v>307</v>
      </c>
      <c r="Y1618" s="43" t="s">
        <v>5308</v>
      </c>
      <c r="Z1618" s="43" t="s">
        <v>360</v>
      </c>
      <c r="AA1618" s="43" t="s">
        <v>347</v>
      </c>
      <c r="AB1618" s="47" t="s">
        <v>307</v>
      </c>
      <c r="AC1618" s="48" t="s">
        <v>8337</v>
      </c>
      <c r="AD1618" s="30"/>
      <c r="AE1618" s="197"/>
      <c r="AF1618" s="100"/>
      <c r="AR1618" s="241">
        <v>2</v>
      </c>
      <c r="AS1618" s="241" t="s">
        <v>9583</v>
      </c>
    </row>
    <row r="1619" spans="1:45" s="29" customFormat="1" ht="69.95" hidden="1" customHeight="1">
      <c r="A1619" s="49" t="s">
        <v>7116</v>
      </c>
      <c r="B1619" s="49" t="s">
        <v>8652</v>
      </c>
      <c r="C1619" s="49">
        <v>17</v>
      </c>
      <c r="D1619" s="49"/>
      <c r="E1619" s="57" t="s">
        <v>8543</v>
      </c>
      <c r="F1619" s="57" t="s">
        <v>8543</v>
      </c>
      <c r="J1619" s="29">
        <f t="shared" si="120"/>
        <v>1</v>
      </c>
      <c r="K1619" s="42">
        <v>1605</v>
      </c>
      <c r="L1619" s="43" t="s">
        <v>3235</v>
      </c>
      <c r="M1619" s="43" t="s">
        <v>417</v>
      </c>
      <c r="N1619" s="43" t="s">
        <v>433</v>
      </c>
      <c r="O1619" s="44" t="str">
        <f t="shared" si="119"/>
        <v>PE-M1-1C300-15</v>
      </c>
      <c r="P1619" s="51">
        <v>16000</v>
      </c>
      <c r="Q1619" s="43">
        <v>10000</v>
      </c>
      <c r="R1619" s="43" t="s">
        <v>49</v>
      </c>
      <c r="S1619" s="43">
        <v>210</v>
      </c>
      <c r="T1619" s="43" t="s">
        <v>7082</v>
      </c>
      <c r="U1619" s="43" t="s">
        <v>7116</v>
      </c>
      <c r="V1619" s="43" t="s">
        <v>7118</v>
      </c>
      <c r="W1619" s="43" t="s">
        <v>7108</v>
      </c>
      <c r="X1619" s="47" t="s">
        <v>308</v>
      </c>
      <c r="Y1619" s="43" t="s">
        <v>5308</v>
      </c>
      <c r="Z1619" s="43" t="s">
        <v>360</v>
      </c>
      <c r="AA1619" s="43" t="s">
        <v>347</v>
      </c>
      <c r="AB1619" s="47" t="s">
        <v>308</v>
      </c>
      <c r="AC1619" s="52" t="s">
        <v>8337</v>
      </c>
      <c r="AD1619" s="30"/>
      <c r="AE1619" s="197"/>
      <c r="AF1619" s="100"/>
      <c r="AR1619" s="241">
        <v>2</v>
      </c>
      <c r="AS1619" s="241" t="s">
        <v>9583</v>
      </c>
    </row>
    <row r="1620" spans="1:45" s="29" customFormat="1" ht="69.95" hidden="1" customHeight="1">
      <c r="A1620" s="49" t="s">
        <v>7116</v>
      </c>
      <c r="B1620" s="49" t="s">
        <v>8652</v>
      </c>
      <c r="C1620" s="49">
        <v>18</v>
      </c>
      <c r="D1620" s="49"/>
      <c r="E1620" s="57" t="s">
        <v>8544</v>
      </c>
      <c r="F1620" s="57" t="s">
        <v>8544</v>
      </c>
      <c r="J1620" s="29">
        <f t="shared" si="120"/>
        <v>1</v>
      </c>
      <c r="K1620" s="42">
        <v>1606</v>
      </c>
      <c r="L1620" s="43" t="s">
        <v>3236</v>
      </c>
      <c r="M1620" s="43" t="s">
        <v>417</v>
      </c>
      <c r="N1620" s="43" t="s">
        <v>433</v>
      </c>
      <c r="O1620" s="44" t="str">
        <f t="shared" si="119"/>
        <v>PE-M1-1C300-18</v>
      </c>
      <c r="P1620" s="51">
        <v>16000</v>
      </c>
      <c r="Q1620" s="43">
        <v>10000</v>
      </c>
      <c r="R1620" s="43" t="s">
        <v>49</v>
      </c>
      <c r="S1620" s="43">
        <v>210</v>
      </c>
      <c r="T1620" s="43" t="s">
        <v>7082</v>
      </c>
      <c r="U1620" s="43" t="s">
        <v>7116</v>
      </c>
      <c r="V1620" s="43" t="s">
        <v>7118</v>
      </c>
      <c r="W1620" s="43" t="s">
        <v>7108</v>
      </c>
      <c r="X1620" s="47" t="s">
        <v>309</v>
      </c>
      <c r="Y1620" s="43" t="s">
        <v>5308</v>
      </c>
      <c r="Z1620" s="43" t="s">
        <v>360</v>
      </c>
      <c r="AA1620" s="43" t="s">
        <v>347</v>
      </c>
      <c r="AB1620" s="47" t="s">
        <v>309</v>
      </c>
      <c r="AC1620" s="52" t="s">
        <v>8337</v>
      </c>
      <c r="AD1620" s="30"/>
      <c r="AE1620" s="197"/>
      <c r="AF1620" s="100"/>
      <c r="AR1620" s="241">
        <v>2</v>
      </c>
      <c r="AS1620" s="241" t="s">
        <v>9583</v>
      </c>
    </row>
    <row r="1621" spans="1:45" s="32" customFormat="1" ht="69.95" hidden="1" customHeight="1">
      <c r="A1621" s="29" t="s">
        <v>5394</v>
      </c>
      <c r="B1621" s="29" t="s">
        <v>3769</v>
      </c>
      <c r="C1621" s="40">
        <v>31</v>
      </c>
      <c r="D1621" s="40"/>
      <c r="E1621" s="57" t="s">
        <v>361</v>
      </c>
      <c r="F1621" s="57" t="s">
        <v>361</v>
      </c>
      <c r="G1621" s="29" t="s">
        <v>9544</v>
      </c>
      <c r="H1621" s="29"/>
      <c r="I1621" s="29"/>
      <c r="J1621" s="29">
        <f t="shared" si="120"/>
        <v>1</v>
      </c>
      <c r="K1621" s="42">
        <v>1607</v>
      </c>
      <c r="L1621" s="43" t="s">
        <v>3237</v>
      </c>
      <c r="M1621" s="44" t="s">
        <v>405</v>
      </c>
      <c r="N1621" s="44" t="s">
        <v>3238</v>
      </c>
      <c r="O1621" s="44" t="str">
        <f t="shared" si="119"/>
        <v>PE-L1-4C150/95-01</v>
      </c>
      <c r="P1621" s="45">
        <v>110</v>
      </c>
      <c r="Q1621" s="44">
        <v>400</v>
      </c>
      <c r="R1621" s="44" t="s">
        <v>49</v>
      </c>
      <c r="S1621" s="44">
        <v>520</v>
      </c>
      <c r="T1621" s="46" t="s">
        <v>7082</v>
      </c>
      <c r="U1621" s="46" t="s">
        <v>5394</v>
      </c>
      <c r="V1621" s="46" t="s">
        <v>5395</v>
      </c>
      <c r="W1621" s="46" t="s">
        <v>335</v>
      </c>
      <c r="X1621" s="47" t="s">
        <v>9305</v>
      </c>
      <c r="Y1621" s="46" t="s">
        <v>5374</v>
      </c>
      <c r="Z1621" s="46" t="s">
        <v>9545</v>
      </c>
      <c r="AA1621" s="46" t="s">
        <v>5376</v>
      </c>
      <c r="AB1621" s="47" t="s">
        <v>9305</v>
      </c>
      <c r="AC1621" s="48" t="s">
        <v>7119</v>
      </c>
      <c r="AD1621" s="30"/>
      <c r="AE1621" s="200"/>
      <c r="AF1621" s="100"/>
    </row>
    <row r="1622" spans="1:45" s="29" customFormat="1" ht="69.95" hidden="1" customHeight="1">
      <c r="A1622" s="49" t="s">
        <v>5394</v>
      </c>
      <c r="B1622" s="49" t="s">
        <v>3769</v>
      </c>
      <c r="C1622" s="50" t="s">
        <v>32</v>
      </c>
      <c r="D1622" s="50"/>
      <c r="E1622" s="57" t="s">
        <v>362</v>
      </c>
      <c r="F1622" s="57" t="s">
        <v>362</v>
      </c>
      <c r="J1622" s="29">
        <f t="shared" si="120"/>
        <v>1</v>
      </c>
      <c r="K1622" s="187">
        <v>1608</v>
      </c>
      <c r="L1622" s="43" t="s">
        <v>9543</v>
      </c>
      <c r="M1622" s="43" t="s">
        <v>405</v>
      </c>
      <c r="N1622" s="43" t="s">
        <v>3238</v>
      </c>
      <c r="O1622" s="44" t="str">
        <f t="shared" si="119"/>
        <v>PE-L1-4C150/95-02</v>
      </c>
      <c r="P1622" s="51">
        <v>110</v>
      </c>
      <c r="Q1622" s="43">
        <v>400</v>
      </c>
      <c r="R1622" s="43" t="s">
        <v>49</v>
      </c>
      <c r="S1622" s="43">
        <v>520</v>
      </c>
      <c r="T1622" s="46" t="s">
        <v>7082</v>
      </c>
      <c r="U1622" s="43" t="s">
        <v>5394</v>
      </c>
      <c r="V1622" s="43" t="s">
        <v>5395</v>
      </c>
      <c r="W1622" s="43" t="s">
        <v>335</v>
      </c>
      <c r="X1622" s="47" t="s">
        <v>9305</v>
      </c>
      <c r="Y1622" s="43" t="s">
        <v>5374</v>
      </c>
      <c r="Z1622" s="43" t="s">
        <v>5375</v>
      </c>
      <c r="AA1622" s="43" t="s">
        <v>5376</v>
      </c>
      <c r="AB1622" s="47" t="s">
        <v>9305</v>
      </c>
      <c r="AC1622" s="186" t="s">
        <v>9304</v>
      </c>
      <c r="AD1622" s="30"/>
      <c r="AE1622" s="197"/>
      <c r="AF1622" s="100"/>
    </row>
    <row r="1623" spans="1:45" s="32" customFormat="1" ht="69.95" hidden="1" customHeight="1">
      <c r="A1623" s="29" t="s">
        <v>5392</v>
      </c>
      <c r="B1623" s="29" t="s">
        <v>3769</v>
      </c>
      <c r="C1623" s="40" t="s">
        <v>32</v>
      </c>
      <c r="D1623" s="40"/>
      <c r="E1623" s="57" t="s">
        <v>363</v>
      </c>
      <c r="F1623" s="57" t="s">
        <v>363</v>
      </c>
      <c r="G1623" s="29" t="s">
        <v>3239</v>
      </c>
      <c r="H1623" s="29"/>
      <c r="I1623" s="29"/>
      <c r="J1623" s="29">
        <f t="shared" si="120"/>
        <v>1</v>
      </c>
      <c r="K1623" s="42">
        <v>1609</v>
      </c>
      <c r="L1623" s="43" t="s">
        <v>3240</v>
      </c>
      <c r="M1623" s="44" t="s">
        <v>405</v>
      </c>
      <c r="N1623" s="44" t="s">
        <v>3238</v>
      </c>
      <c r="O1623" s="44" t="str">
        <f t="shared" si="119"/>
        <v>PE-L1-4C150/95-03</v>
      </c>
      <c r="P1623" s="45">
        <v>110</v>
      </c>
      <c r="Q1623" s="44">
        <v>400</v>
      </c>
      <c r="R1623" s="44" t="s">
        <v>49</v>
      </c>
      <c r="S1623" s="44">
        <v>530</v>
      </c>
      <c r="T1623" s="46" t="s">
        <v>7082</v>
      </c>
      <c r="U1623" s="46" t="s">
        <v>5392</v>
      </c>
      <c r="V1623" s="46" t="s">
        <v>5393</v>
      </c>
      <c r="W1623" s="46" t="s">
        <v>335</v>
      </c>
      <c r="X1623" s="47" t="s">
        <v>9305</v>
      </c>
      <c r="Y1623" s="46" t="s">
        <v>5381</v>
      </c>
      <c r="Z1623" s="46" t="s">
        <v>5382</v>
      </c>
      <c r="AA1623" s="46" t="s">
        <v>5376</v>
      </c>
      <c r="AB1623" s="47" t="s">
        <v>9305</v>
      </c>
      <c r="AC1623" s="48" t="s">
        <v>7120</v>
      </c>
      <c r="AD1623" s="30"/>
      <c r="AE1623" s="200"/>
      <c r="AF1623" s="100"/>
    </row>
    <row r="1624" spans="1:45" s="29" customFormat="1" ht="69.95" hidden="1" customHeight="1">
      <c r="A1624" s="49" t="s">
        <v>5392</v>
      </c>
      <c r="B1624" s="49" t="s">
        <v>3769</v>
      </c>
      <c r="C1624" s="50" t="s">
        <v>36</v>
      </c>
      <c r="D1624" s="50"/>
      <c r="E1624" s="57" t="s">
        <v>364</v>
      </c>
      <c r="F1624" s="57" t="s">
        <v>364</v>
      </c>
      <c r="J1624" s="29">
        <f t="shared" si="120"/>
        <v>1</v>
      </c>
      <c r="K1624" s="42">
        <v>1610</v>
      </c>
      <c r="L1624" s="43" t="s">
        <v>3241</v>
      </c>
      <c r="M1624" s="43" t="s">
        <v>405</v>
      </c>
      <c r="N1624" s="43" t="s">
        <v>3238</v>
      </c>
      <c r="O1624" s="44" t="str">
        <f t="shared" si="119"/>
        <v>PE-L1-4C150/95-04</v>
      </c>
      <c r="P1624" s="51">
        <v>110</v>
      </c>
      <c r="Q1624" s="43">
        <v>400</v>
      </c>
      <c r="R1624" s="43" t="s">
        <v>49</v>
      </c>
      <c r="S1624" s="43">
        <v>530</v>
      </c>
      <c r="T1624" s="43" t="s">
        <v>7082</v>
      </c>
      <c r="U1624" s="43" t="s">
        <v>5392</v>
      </c>
      <c r="V1624" s="43" t="s">
        <v>5393</v>
      </c>
      <c r="W1624" s="43" t="s">
        <v>335</v>
      </c>
      <c r="X1624" s="47" t="s">
        <v>9305</v>
      </c>
      <c r="Y1624" s="43" t="s">
        <v>5381</v>
      </c>
      <c r="Z1624" s="43" t="s">
        <v>5382</v>
      </c>
      <c r="AA1624" s="43" t="s">
        <v>5376</v>
      </c>
      <c r="AB1624" s="47" t="s">
        <v>9305</v>
      </c>
      <c r="AC1624" s="48" t="s">
        <v>7121</v>
      </c>
      <c r="AD1624" s="30"/>
      <c r="AE1624" s="197"/>
      <c r="AF1624" s="100"/>
    </row>
    <row r="1625" spans="1:45" s="32" customFormat="1" ht="69.95" hidden="1" customHeight="1">
      <c r="A1625" s="29" t="s">
        <v>5473</v>
      </c>
      <c r="B1625" s="29" t="s">
        <v>8652</v>
      </c>
      <c r="C1625" s="40" t="s">
        <v>43</v>
      </c>
      <c r="D1625" s="40"/>
      <c r="E1625" s="57" t="s">
        <v>8545</v>
      </c>
      <c r="F1625" s="57" t="s">
        <v>8546</v>
      </c>
      <c r="G1625" s="66" t="s">
        <v>3242</v>
      </c>
      <c r="H1625" s="66"/>
      <c r="I1625" s="66"/>
      <c r="J1625" s="29">
        <f t="shared" si="120"/>
        <v>1</v>
      </c>
      <c r="K1625" s="42">
        <v>1611</v>
      </c>
      <c r="L1625" s="43" t="s">
        <v>3243</v>
      </c>
      <c r="M1625" s="44" t="s">
        <v>417</v>
      </c>
      <c r="N1625" s="44" t="s">
        <v>433</v>
      </c>
      <c r="O1625" s="44" t="str">
        <f t="shared" si="119"/>
        <v>PE-M1-1C300-23</v>
      </c>
      <c r="P1625" s="45">
        <v>10789</v>
      </c>
      <c r="Q1625" s="44">
        <v>10000</v>
      </c>
      <c r="R1625" s="44" t="s">
        <v>49</v>
      </c>
      <c r="S1625" s="44">
        <v>330</v>
      </c>
      <c r="T1625" s="46" t="s">
        <v>7122</v>
      </c>
      <c r="U1625" s="46" t="s">
        <v>5473</v>
      </c>
      <c r="V1625" s="46" t="s">
        <v>5474</v>
      </c>
      <c r="W1625" s="46" t="s">
        <v>335</v>
      </c>
      <c r="X1625" s="47" t="s">
        <v>307</v>
      </c>
      <c r="Y1625" s="46" t="s">
        <v>7123</v>
      </c>
      <c r="Z1625" s="46" t="s">
        <v>7124</v>
      </c>
      <c r="AA1625" s="46" t="s">
        <v>6270</v>
      </c>
      <c r="AB1625" s="47" t="s">
        <v>307</v>
      </c>
      <c r="AC1625" s="48" t="s">
        <v>8384</v>
      </c>
      <c r="AD1625" s="30"/>
      <c r="AE1625" s="200"/>
      <c r="AF1625" s="100"/>
      <c r="AR1625" s="241">
        <v>2</v>
      </c>
      <c r="AS1625" s="241" t="s">
        <v>9583</v>
      </c>
    </row>
    <row r="1626" spans="1:45" s="29" customFormat="1" ht="69.95" hidden="1" customHeight="1">
      <c r="A1626" s="49" t="s">
        <v>5473</v>
      </c>
      <c r="B1626" s="49" t="s">
        <v>8652</v>
      </c>
      <c r="C1626" s="50" t="s">
        <v>73</v>
      </c>
      <c r="D1626" s="50"/>
      <c r="E1626" s="57" t="s">
        <v>8547</v>
      </c>
      <c r="F1626" s="57" t="s">
        <v>8547</v>
      </c>
      <c r="G1626" s="66"/>
      <c r="H1626" s="66"/>
      <c r="I1626" s="66"/>
      <c r="J1626" s="29">
        <f t="shared" si="120"/>
        <v>1</v>
      </c>
      <c r="K1626" s="42">
        <v>1612</v>
      </c>
      <c r="L1626" s="43" t="s">
        <v>3244</v>
      </c>
      <c r="M1626" s="43" t="s">
        <v>417</v>
      </c>
      <c r="N1626" s="43" t="s">
        <v>433</v>
      </c>
      <c r="O1626" s="44" t="str">
        <f t="shared" si="119"/>
        <v>PE-M1-1C300-24</v>
      </c>
      <c r="P1626" s="51">
        <v>10789</v>
      </c>
      <c r="Q1626" s="43">
        <v>10000</v>
      </c>
      <c r="R1626" s="43" t="s">
        <v>49</v>
      </c>
      <c r="S1626" s="43">
        <v>330</v>
      </c>
      <c r="T1626" s="43" t="s">
        <v>7122</v>
      </c>
      <c r="U1626" s="43" t="s">
        <v>5473</v>
      </c>
      <c r="V1626" s="43" t="s">
        <v>5474</v>
      </c>
      <c r="W1626" s="43" t="s">
        <v>335</v>
      </c>
      <c r="X1626" s="47" t="s">
        <v>308</v>
      </c>
      <c r="Y1626" s="43" t="s">
        <v>7123</v>
      </c>
      <c r="Z1626" s="43" t="s">
        <v>7124</v>
      </c>
      <c r="AA1626" s="43" t="s">
        <v>6270</v>
      </c>
      <c r="AB1626" s="47" t="s">
        <v>308</v>
      </c>
      <c r="AC1626" s="52" t="s">
        <v>8384</v>
      </c>
      <c r="AD1626" s="30"/>
      <c r="AE1626" s="197"/>
      <c r="AF1626" s="100"/>
      <c r="AR1626" s="241">
        <v>2</v>
      </c>
      <c r="AS1626" s="241" t="s">
        <v>9583</v>
      </c>
    </row>
    <row r="1627" spans="1:45" s="29" customFormat="1" ht="69.95" hidden="1" customHeight="1">
      <c r="A1627" s="49" t="s">
        <v>5473</v>
      </c>
      <c r="B1627" s="49" t="s">
        <v>8652</v>
      </c>
      <c r="C1627" s="50" t="s">
        <v>75</v>
      </c>
      <c r="D1627" s="50"/>
      <c r="E1627" s="57" t="s">
        <v>8548</v>
      </c>
      <c r="F1627" s="57" t="s">
        <v>8548</v>
      </c>
      <c r="G1627" s="66"/>
      <c r="H1627" s="66"/>
      <c r="I1627" s="66"/>
      <c r="J1627" s="29">
        <f t="shared" si="120"/>
        <v>1</v>
      </c>
      <c r="K1627" s="42">
        <v>1613</v>
      </c>
      <c r="L1627" s="43" t="s">
        <v>3245</v>
      </c>
      <c r="M1627" s="43" t="s">
        <v>417</v>
      </c>
      <c r="N1627" s="43" t="s">
        <v>433</v>
      </c>
      <c r="O1627" s="44" t="str">
        <f t="shared" si="119"/>
        <v>PE-M1-1C300-19</v>
      </c>
      <c r="P1627" s="51">
        <v>10789</v>
      </c>
      <c r="Q1627" s="43">
        <v>10000</v>
      </c>
      <c r="R1627" s="43" t="s">
        <v>49</v>
      </c>
      <c r="S1627" s="43">
        <v>330</v>
      </c>
      <c r="T1627" s="43" t="s">
        <v>7122</v>
      </c>
      <c r="U1627" s="43" t="s">
        <v>5473</v>
      </c>
      <c r="V1627" s="43" t="s">
        <v>5474</v>
      </c>
      <c r="W1627" s="43" t="s">
        <v>335</v>
      </c>
      <c r="X1627" s="47" t="s">
        <v>309</v>
      </c>
      <c r="Y1627" s="43" t="s">
        <v>7123</v>
      </c>
      <c r="Z1627" s="43" t="s">
        <v>7124</v>
      </c>
      <c r="AA1627" s="43" t="s">
        <v>6270</v>
      </c>
      <c r="AB1627" s="47" t="s">
        <v>309</v>
      </c>
      <c r="AC1627" s="52" t="s">
        <v>8384</v>
      </c>
      <c r="AD1627" s="30"/>
      <c r="AE1627" s="197"/>
      <c r="AF1627" s="100"/>
      <c r="AR1627" s="241">
        <v>2</v>
      </c>
      <c r="AS1627" s="241" t="s">
        <v>9583</v>
      </c>
    </row>
    <row r="1628" spans="1:45" s="29" customFormat="1" ht="69.95" hidden="1" customHeight="1">
      <c r="A1628" s="49" t="s">
        <v>5473</v>
      </c>
      <c r="B1628" s="49" t="s">
        <v>8652</v>
      </c>
      <c r="C1628" s="49">
        <v>10</v>
      </c>
      <c r="D1628" s="49"/>
      <c r="E1628" s="57" t="s">
        <v>8549</v>
      </c>
      <c r="F1628" s="57" t="s">
        <v>8549</v>
      </c>
      <c r="G1628" s="66"/>
      <c r="H1628" s="66"/>
      <c r="I1628" s="66"/>
      <c r="J1628" s="29">
        <f t="shared" si="120"/>
        <v>1</v>
      </c>
      <c r="K1628" s="42">
        <v>1614</v>
      </c>
      <c r="L1628" s="43" t="s">
        <v>3246</v>
      </c>
      <c r="M1628" s="43" t="s">
        <v>417</v>
      </c>
      <c r="N1628" s="43" t="s">
        <v>433</v>
      </c>
      <c r="O1628" s="44" t="str">
        <f t="shared" si="119"/>
        <v>PE-M1-1C300-20</v>
      </c>
      <c r="P1628" s="51">
        <v>10789</v>
      </c>
      <c r="Q1628" s="43">
        <v>10000</v>
      </c>
      <c r="R1628" s="43" t="s">
        <v>49</v>
      </c>
      <c r="S1628" s="44">
        <v>330</v>
      </c>
      <c r="T1628" s="43" t="s">
        <v>7122</v>
      </c>
      <c r="U1628" s="43" t="s">
        <v>5473</v>
      </c>
      <c r="V1628" s="43" t="s">
        <v>5474</v>
      </c>
      <c r="W1628" s="43" t="s">
        <v>335</v>
      </c>
      <c r="X1628" s="47" t="s">
        <v>307</v>
      </c>
      <c r="Y1628" s="43" t="s">
        <v>7123</v>
      </c>
      <c r="Z1628" s="43" t="s">
        <v>7124</v>
      </c>
      <c r="AA1628" s="43" t="s">
        <v>6270</v>
      </c>
      <c r="AB1628" s="47" t="s">
        <v>307</v>
      </c>
      <c r="AC1628" s="48" t="s">
        <v>8385</v>
      </c>
      <c r="AD1628" s="30"/>
      <c r="AE1628" s="197"/>
      <c r="AF1628" s="100"/>
      <c r="AR1628" s="241">
        <v>2</v>
      </c>
      <c r="AS1628" s="241" t="s">
        <v>9583</v>
      </c>
    </row>
    <row r="1629" spans="1:45" s="29" customFormat="1" ht="69.95" hidden="1" customHeight="1">
      <c r="A1629" s="49" t="s">
        <v>5473</v>
      </c>
      <c r="B1629" s="49" t="s">
        <v>8652</v>
      </c>
      <c r="C1629" s="49">
        <v>11</v>
      </c>
      <c r="D1629" s="49"/>
      <c r="E1629" s="57" t="s">
        <v>8550</v>
      </c>
      <c r="F1629" s="57" t="s">
        <v>8550</v>
      </c>
      <c r="G1629" s="66"/>
      <c r="H1629" s="66"/>
      <c r="I1629" s="66"/>
      <c r="J1629" s="29">
        <f t="shared" si="120"/>
        <v>1</v>
      </c>
      <c r="K1629" s="42">
        <v>1615</v>
      </c>
      <c r="L1629" s="43" t="s">
        <v>3247</v>
      </c>
      <c r="M1629" s="43" t="s">
        <v>417</v>
      </c>
      <c r="N1629" s="43" t="s">
        <v>433</v>
      </c>
      <c r="O1629" s="44" t="str">
        <f t="shared" si="119"/>
        <v>PE-M1-1C300-21</v>
      </c>
      <c r="P1629" s="51">
        <v>10789</v>
      </c>
      <c r="Q1629" s="43">
        <v>10000</v>
      </c>
      <c r="R1629" s="43" t="s">
        <v>49</v>
      </c>
      <c r="S1629" s="43">
        <v>330</v>
      </c>
      <c r="T1629" s="43" t="s">
        <v>7122</v>
      </c>
      <c r="U1629" s="43" t="s">
        <v>5473</v>
      </c>
      <c r="V1629" s="43" t="s">
        <v>5474</v>
      </c>
      <c r="W1629" s="43" t="s">
        <v>335</v>
      </c>
      <c r="X1629" s="47" t="s">
        <v>308</v>
      </c>
      <c r="Y1629" s="43" t="s">
        <v>7123</v>
      </c>
      <c r="Z1629" s="43" t="s">
        <v>7124</v>
      </c>
      <c r="AA1629" s="43" t="s">
        <v>6270</v>
      </c>
      <c r="AB1629" s="47" t="s">
        <v>308</v>
      </c>
      <c r="AC1629" s="52" t="s">
        <v>8385</v>
      </c>
      <c r="AD1629" s="30"/>
      <c r="AE1629" s="197"/>
      <c r="AF1629" s="100"/>
      <c r="AR1629" s="241">
        <v>2</v>
      </c>
      <c r="AS1629" s="241" t="s">
        <v>9583</v>
      </c>
    </row>
    <row r="1630" spans="1:45" s="29" customFormat="1" ht="69.95" hidden="1" customHeight="1">
      <c r="A1630" s="49" t="s">
        <v>5473</v>
      </c>
      <c r="B1630" s="49" t="s">
        <v>8652</v>
      </c>
      <c r="C1630" s="49">
        <v>12</v>
      </c>
      <c r="D1630" s="49"/>
      <c r="E1630" s="57" t="s">
        <v>8551</v>
      </c>
      <c r="F1630" s="57" t="s">
        <v>8551</v>
      </c>
      <c r="G1630" s="66"/>
      <c r="H1630" s="66"/>
      <c r="I1630" s="66"/>
      <c r="J1630" s="29">
        <f t="shared" si="120"/>
        <v>1</v>
      </c>
      <c r="K1630" s="42">
        <v>1616</v>
      </c>
      <c r="L1630" s="43" t="s">
        <v>3248</v>
      </c>
      <c r="M1630" s="43" t="s">
        <v>417</v>
      </c>
      <c r="N1630" s="43" t="s">
        <v>433</v>
      </c>
      <c r="O1630" s="44" t="str">
        <f t="shared" si="119"/>
        <v>PE-M1-1C300-31</v>
      </c>
      <c r="P1630" s="51">
        <v>10789</v>
      </c>
      <c r="Q1630" s="43">
        <v>10000</v>
      </c>
      <c r="R1630" s="43" t="s">
        <v>49</v>
      </c>
      <c r="S1630" s="43">
        <v>330</v>
      </c>
      <c r="T1630" s="43" t="s">
        <v>7122</v>
      </c>
      <c r="U1630" s="43" t="s">
        <v>5473</v>
      </c>
      <c r="V1630" s="43" t="s">
        <v>5474</v>
      </c>
      <c r="W1630" s="43" t="s">
        <v>335</v>
      </c>
      <c r="X1630" s="47" t="s">
        <v>309</v>
      </c>
      <c r="Y1630" s="43" t="s">
        <v>7123</v>
      </c>
      <c r="Z1630" s="43" t="s">
        <v>7124</v>
      </c>
      <c r="AA1630" s="43" t="s">
        <v>6270</v>
      </c>
      <c r="AB1630" s="47" t="s">
        <v>309</v>
      </c>
      <c r="AC1630" s="52" t="s">
        <v>8385</v>
      </c>
      <c r="AD1630" s="30"/>
      <c r="AE1630" s="197"/>
      <c r="AF1630" s="100"/>
      <c r="AR1630" s="241">
        <v>2</v>
      </c>
      <c r="AS1630" s="241" t="s">
        <v>9583</v>
      </c>
    </row>
    <row r="1631" spans="1:45" s="29" customFormat="1" ht="69.95" hidden="1" customHeight="1">
      <c r="A1631" s="49" t="s">
        <v>5473</v>
      </c>
      <c r="B1631" s="49" t="s">
        <v>8652</v>
      </c>
      <c r="C1631" s="49">
        <v>13</v>
      </c>
      <c r="D1631" s="49"/>
      <c r="E1631" s="57" t="s">
        <v>8552</v>
      </c>
      <c r="F1631" s="57" t="s">
        <v>8552</v>
      </c>
      <c r="G1631" s="66"/>
      <c r="H1631" s="66"/>
      <c r="I1631" s="66"/>
      <c r="J1631" s="29">
        <f t="shared" si="120"/>
        <v>1</v>
      </c>
      <c r="K1631" s="42">
        <v>1617</v>
      </c>
      <c r="L1631" s="43" t="s">
        <v>3249</v>
      </c>
      <c r="M1631" s="43" t="s">
        <v>417</v>
      </c>
      <c r="N1631" s="43" t="s">
        <v>433</v>
      </c>
      <c r="O1631" s="44" t="str">
        <f t="shared" si="119"/>
        <v>PE-M1-1C300-32</v>
      </c>
      <c r="P1631" s="51">
        <v>10789</v>
      </c>
      <c r="Q1631" s="43">
        <v>10000</v>
      </c>
      <c r="R1631" s="43" t="s">
        <v>49</v>
      </c>
      <c r="S1631" s="44">
        <v>330</v>
      </c>
      <c r="T1631" s="43" t="s">
        <v>7122</v>
      </c>
      <c r="U1631" s="43" t="s">
        <v>5473</v>
      </c>
      <c r="V1631" s="43" t="s">
        <v>5474</v>
      </c>
      <c r="W1631" s="43" t="s">
        <v>335</v>
      </c>
      <c r="X1631" s="47" t="s">
        <v>307</v>
      </c>
      <c r="Y1631" s="43" t="s">
        <v>7123</v>
      </c>
      <c r="Z1631" s="43" t="s">
        <v>7124</v>
      </c>
      <c r="AA1631" s="43" t="s">
        <v>6270</v>
      </c>
      <c r="AB1631" s="47" t="s">
        <v>307</v>
      </c>
      <c r="AC1631" s="48" t="s">
        <v>8386</v>
      </c>
      <c r="AD1631" s="30"/>
      <c r="AE1631" s="197"/>
      <c r="AF1631" s="100"/>
      <c r="AR1631" s="241">
        <v>2</v>
      </c>
      <c r="AS1631" s="241" t="s">
        <v>9583</v>
      </c>
    </row>
    <row r="1632" spans="1:45" s="29" customFormat="1" ht="69.95" hidden="1" customHeight="1">
      <c r="A1632" s="49" t="s">
        <v>5473</v>
      </c>
      <c r="B1632" s="49" t="s">
        <v>8652</v>
      </c>
      <c r="C1632" s="49">
        <v>14</v>
      </c>
      <c r="D1632" s="49"/>
      <c r="E1632" s="57" t="s">
        <v>8553</v>
      </c>
      <c r="F1632" s="57" t="s">
        <v>8553</v>
      </c>
      <c r="G1632" s="66"/>
      <c r="H1632" s="66"/>
      <c r="I1632" s="66"/>
      <c r="J1632" s="29">
        <f t="shared" si="120"/>
        <v>1</v>
      </c>
      <c r="K1632" s="42">
        <v>1618</v>
      </c>
      <c r="L1632" s="43" t="s">
        <v>3250</v>
      </c>
      <c r="M1632" s="43" t="s">
        <v>417</v>
      </c>
      <c r="N1632" s="43" t="s">
        <v>433</v>
      </c>
      <c r="O1632" s="44" t="str">
        <f t="shared" si="119"/>
        <v>PE-M1-1C300-33</v>
      </c>
      <c r="P1632" s="51">
        <v>10789</v>
      </c>
      <c r="Q1632" s="43">
        <v>10000</v>
      </c>
      <c r="R1632" s="43" t="s">
        <v>49</v>
      </c>
      <c r="S1632" s="43">
        <v>330</v>
      </c>
      <c r="T1632" s="43" t="s">
        <v>7122</v>
      </c>
      <c r="U1632" s="43" t="s">
        <v>5473</v>
      </c>
      <c r="V1632" s="43" t="s">
        <v>5474</v>
      </c>
      <c r="W1632" s="43" t="s">
        <v>335</v>
      </c>
      <c r="X1632" s="47" t="s">
        <v>308</v>
      </c>
      <c r="Y1632" s="43" t="s">
        <v>7123</v>
      </c>
      <c r="Z1632" s="43" t="s">
        <v>7124</v>
      </c>
      <c r="AA1632" s="43" t="s">
        <v>6270</v>
      </c>
      <c r="AB1632" s="47" t="s">
        <v>308</v>
      </c>
      <c r="AC1632" s="52" t="s">
        <v>8386</v>
      </c>
      <c r="AD1632" s="30"/>
      <c r="AE1632" s="197"/>
      <c r="AF1632" s="100"/>
      <c r="AR1632" s="241">
        <v>2</v>
      </c>
      <c r="AS1632" s="241" t="s">
        <v>9583</v>
      </c>
    </row>
    <row r="1633" spans="1:45" s="29" customFormat="1" ht="69.95" hidden="1" customHeight="1">
      <c r="A1633" s="49" t="s">
        <v>5473</v>
      </c>
      <c r="B1633" s="49" t="s">
        <v>8652</v>
      </c>
      <c r="C1633" s="49">
        <v>15</v>
      </c>
      <c r="D1633" s="49"/>
      <c r="E1633" s="57" t="s">
        <v>8554</v>
      </c>
      <c r="F1633" s="57" t="s">
        <v>8554</v>
      </c>
      <c r="G1633" s="66"/>
      <c r="H1633" s="66"/>
      <c r="I1633" s="66"/>
      <c r="J1633" s="29">
        <f t="shared" si="120"/>
        <v>1</v>
      </c>
      <c r="K1633" s="42">
        <v>1619</v>
      </c>
      <c r="L1633" s="43" t="s">
        <v>3251</v>
      </c>
      <c r="M1633" s="43" t="s">
        <v>417</v>
      </c>
      <c r="N1633" s="43" t="s">
        <v>433</v>
      </c>
      <c r="O1633" s="44" t="str">
        <f t="shared" si="119"/>
        <v>PE-M1-1C300-28</v>
      </c>
      <c r="P1633" s="51">
        <v>10789</v>
      </c>
      <c r="Q1633" s="43">
        <v>10000</v>
      </c>
      <c r="R1633" s="43" t="s">
        <v>49</v>
      </c>
      <c r="S1633" s="43">
        <v>330</v>
      </c>
      <c r="T1633" s="43" t="s">
        <v>7122</v>
      </c>
      <c r="U1633" s="43" t="s">
        <v>5473</v>
      </c>
      <c r="V1633" s="43" t="s">
        <v>5474</v>
      </c>
      <c r="W1633" s="43" t="s">
        <v>335</v>
      </c>
      <c r="X1633" s="47" t="s">
        <v>309</v>
      </c>
      <c r="Y1633" s="43" t="s">
        <v>7123</v>
      </c>
      <c r="Z1633" s="43" t="s">
        <v>7124</v>
      </c>
      <c r="AA1633" s="43" t="s">
        <v>6270</v>
      </c>
      <c r="AB1633" s="47" t="s">
        <v>309</v>
      </c>
      <c r="AC1633" s="52" t="s">
        <v>8386</v>
      </c>
      <c r="AD1633" s="30"/>
      <c r="AE1633" s="197"/>
      <c r="AF1633" s="100"/>
      <c r="AR1633" s="241">
        <v>2</v>
      </c>
      <c r="AS1633" s="241" t="s">
        <v>9583</v>
      </c>
    </row>
    <row r="1634" spans="1:45" s="32" customFormat="1" ht="69.95" hidden="1" customHeight="1">
      <c r="A1634" s="29" t="s">
        <v>5482</v>
      </c>
      <c r="B1634" s="29" t="s">
        <v>8652</v>
      </c>
      <c r="C1634" s="40" t="s">
        <v>43</v>
      </c>
      <c r="D1634" s="40"/>
      <c r="E1634" s="57" t="s">
        <v>8535</v>
      </c>
      <c r="F1634" s="57" t="s">
        <v>8536</v>
      </c>
      <c r="G1634" s="66" t="s">
        <v>3252</v>
      </c>
      <c r="H1634" s="66"/>
      <c r="I1634" s="66"/>
      <c r="J1634" s="29">
        <f t="shared" si="120"/>
        <v>1</v>
      </c>
      <c r="K1634" s="42">
        <v>1620</v>
      </c>
      <c r="L1634" s="43" t="s">
        <v>3253</v>
      </c>
      <c r="M1634" s="44" t="s">
        <v>417</v>
      </c>
      <c r="N1634" s="44" t="s">
        <v>433</v>
      </c>
      <c r="O1634" s="44" t="str">
        <f t="shared" si="119"/>
        <v>PE-M1-1C300-08</v>
      </c>
      <c r="P1634" s="45">
        <v>10789</v>
      </c>
      <c r="Q1634" s="44">
        <v>10000</v>
      </c>
      <c r="R1634" s="44" t="s">
        <v>49</v>
      </c>
      <c r="S1634" s="44">
        <v>340</v>
      </c>
      <c r="T1634" s="46" t="s">
        <v>7122</v>
      </c>
      <c r="U1634" s="46" t="s">
        <v>5482</v>
      </c>
      <c r="V1634" s="46" t="s">
        <v>5483</v>
      </c>
      <c r="W1634" s="46" t="s">
        <v>335</v>
      </c>
      <c r="X1634" s="47" t="s">
        <v>307</v>
      </c>
      <c r="Y1634" s="46" t="s">
        <v>7125</v>
      </c>
      <c r="Z1634" s="46" t="s">
        <v>7126</v>
      </c>
      <c r="AA1634" s="46" t="s">
        <v>6270</v>
      </c>
      <c r="AB1634" s="47" t="s">
        <v>307</v>
      </c>
      <c r="AC1634" s="48" t="s">
        <v>8387</v>
      </c>
      <c r="AD1634" s="30"/>
      <c r="AE1634" s="200"/>
      <c r="AF1634" s="100"/>
      <c r="AR1634" s="241">
        <v>2</v>
      </c>
      <c r="AS1634" s="241" t="s">
        <v>9583</v>
      </c>
    </row>
    <row r="1635" spans="1:45" s="29" customFormat="1" ht="69.95" hidden="1" customHeight="1">
      <c r="A1635" s="49" t="s">
        <v>5482</v>
      </c>
      <c r="B1635" s="49" t="s">
        <v>8652</v>
      </c>
      <c r="C1635" s="50" t="s">
        <v>73</v>
      </c>
      <c r="D1635" s="50"/>
      <c r="E1635" s="57" t="s">
        <v>8537</v>
      </c>
      <c r="F1635" s="57" t="s">
        <v>8537</v>
      </c>
      <c r="G1635" s="66"/>
      <c r="H1635" s="66"/>
      <c r="I1635" s="66"/>
      <c r="J1635" s="29">
        <f t="shared" si="120"/>
        <v>1</v>
      </c>
      <c r="K1635" s="42">
        <v>1621</v>
      </c>
      <c r="L1635" s="43" t="s">
        <v>3254</v>
      </c>
      <c r="M1635" s="43" t="s">
        <v>417</v>
      </c>
      <c r="N1635" s="43" t="s">
        <v>433</v>
      </c>
      <c r="O1635" s="44" t="str">
        <f t="shared" si="119"/>
        <v>PE-M1-1C300-09</v>
      </c>
      <c r="P1635" s="51">
        <v>10789</v>
      </c>
      <c r="Q1635" s="43">
        <v>10000</v>
      </c>
      <c r="R1635" s="43" t="s">
        <v>49</v>
      </c>
      <c r="S1635" s="43">
        <v>340</v>
      </c>
      <c r="T1635" s="43" t="s">
        <v>7122</v>
      </c>
      <c r="U1635" s="43" t="s">
        <v>5482</v>
      </c>
      <c r="V1635" s="43" t="s">
        <v>5483</v>
      </c>
      <c r="W1635" s="43" t="s">
        <v>335</v>
      </c>
      <c r="X1635" s="47" t="s">
        <v>308</v>
      </c>
      <c r="Y1635" s="43" t="s">
        <v>7125</v>
      </c>
      <c r="Z1635" s="43" t="s">
        <v>7126</v>
      </c>
      <c r="AA1635" s="43" t="s">
        <v>6270</v>
      </c>
      <c r="AB1635" s="47" t="s">
        <v>308</v>
      </c>
      <c r="AC1635" s="52" t="s">
        <v>8387</v>
      </c>
      <c r="AD1635" s="30"/>
      <c r="AE1635" s="197"/>
      <c r="AF1635" s="100"/>
      <c r="AR1635" s="241">
        <v>2</v>
      </c>
      <c r="AS1635" s="241" t="s">
        <v>9583</v>
      </c>
    </row>
    <row r="1636" spans="1:45" s="29" customFormat="1" ht="69.95" hidden="1" customHeight="1">
      <c r="A1636" s="49" t="s">
        <v>5482</v>
      </c>
      <c r="B1636" s="49" t="s">
        <v>8652</v>
      </c>
      <c r="C1636" s="50" t="s">
        <v>75</v>
      </c>
      <c r="D1636" s="50"/>
      <c r="E1636" s="57" t="s">
        <v>8538</v>
      </c>
      <c r="F1636" s="57" t="s">
        <v>8538</v>
      </c>
      <c r="G1636" s="66"/>
      <c r="H1636" s="66"/>
      <c r="I1636" s="66"/>
      <c r="J1636" s="29">
        <f t="shared" si="120"/>
        <v>1</v>
      </c>
      <c r="K1636" s="42">
        <v>1622</v>
      </c>
      <c r="L1636" s="43" t="s">
        <v>3255</v>
      </c>
      <c r="M1636" s="43" t="s">
        <v>417</v>
      </c>
      <c r="N1636" s="43" t="s">
        <v>433</v>
      </c>
      <c r="O1636" s="44" t="str">
        <f t="shared" si="119"/>
        <v>PE-M1-1C300-10</v>
      </c>
      <c r="P1636" s="51">
        <v>10789</v>
      </c>
      <c r="Q1636" s="43">
        <v>10000</v>
      </c>
      <c r="R1636" s="43" t="s">
        <v>49</v>
      </c>
      <c r="S1636" s="43">
        <v>340</v>
      </c>
      <c r="T1636" s="43" t="s">
        <v>7122</v>
      </c>
      <c r="U1636" s="43" t="s">
        <v>5482</v>
      </c>
      <c r="V1636" s="43" t="s">
        <v>5483</v>
      </c>
      <c r="W1636" s="43" t="s">
        <v>335</v>
      </c>
      <c r="X1636" s="47" t="s">
        <v>309</v>
      </c>
      <c r="Y1636" s="43" t="s">
        <v>7125</v>
      </c>
      <c r="Z1636" s="43" t="s">
        <v>7126</v>
      </c>
      <c r="AA1636" s="43" t="s">
        <v>6270</v>
      </c>
      <c r="AB1636" s="47" t="s">
        <v>309</v>
      </c>
      <c r="AC1636" s="52" t="s">
        <v>8387</v>
      </c>
      <c r="AD1636" s="30"/>
      <c r="AE1636" s="197"/>
      <c r="AF1636" s="100"/>
      <c r="AR1636" s="241">
        <v>2</v>
      </c>
      <c r="AS1636" s="241" t="s">
        <v>9583</v>
      </c>
    </row>
    <row r="1637" spans="1:45" s="29" customFormat="1" ht="69.95" hidden="1" customHeight="1">
      <c r="A1637" s="49" t="s">
        <v>5482</v>
      </c>
      <c r="B1637" s="49" t="s">
        <v>8652</v>
      </c>
      <c r="C1637" s="49">
        <v>10</v>
      </c>
      <c r="D1637" s="49"/>
      <c r="E1637" s="57" t="s">
        <v>8539</v>
      </c>
      <c r="F1637" s="57" t="s">
        <v>8539</v>
      </c>
      <c r="G1637" s="66"/>
      <c r="H1637" s="66"/>
      <c r="I1637" s="66"/>
      <c r="J1637" s="29">
        <f t="shared" si="120"/>
        <v>1</v>
      </c>
      <c r="K1637" s="42">
        <v>1623</v>
      </c>
      <c r="L1637" s="43" t="s">
        <v>3256</v>
      </c>
      <c r="M1637" s="43" t="s">
        <v>417</v>
      </c>
      <c r="N1637" s="43" t="s">
        <v>433</v>
      </c>
      <c r="O1637" s="44" t="str">
        <f t="shared" si="119"/>
        <v>PE-M1-1C300-11</v>
      </c>
      <c r="P1637" s="51">
        <v>10789</v>
      </c>
      <c r="Q1637" s="43">
        <v>10000</v>
      </c>
      <c r="R1637" s="43" t="s">
        <v>49</v>
      </c>
      <c r="S1637" s="44">
        <v>340</v>
      </c>
      <c r="T1637" s="43" t="s">
        <v>7122</v>
      </c>
      <c r="U1637" s="43" t="s">
        <v>5482</v>
      </c>
      <c r="V1637" s="43" t="s">
        <v>5483</v>
      </c>
      <c r="W1637" s="43" t="s">
        <v>335</v>
      </c>
      <c r="X1637" s="47" t="s">
        <v>307</v>
      </c>
      <c r="Y1637" s="43" t="s">
        <v>7125</v>
      </c>
      <c r="Z1637" s="43" t="s">
        <v>7126</v>
      </c>
      <c r="AA1637" s="43" t="s">
        <v>6270</v>
      </c>
      <c r="AB1637" s="47" t="s">
        <v>307</v>
      </c>
      <c r="AC1637" s="48" t="s">
        <v>8388</v>
      </c>
      <c r="AD1637" s="30"/>
      <c r="AE1637" s="197"/>
      <c r="AF1637" s="100"/>
      <c r="AR1637" s="241">
        <v>2</v>
      </c>
      <c r="AS1637" s="241" t="s">
        <v>9583</v>
      </c>
    </row>
    <row r="1638" spans="1:45" s="29" customFormat="1" ht="69.95" hidden="1" customHeight="1">
      <c r="A1638" s="49" t="s">
        <v>5482</v>
      </c>
      <c r="B1638" s="49" t="s">
        <v>8652</v>
      </c>
      <c r="C1638" s="49">
        <v>11</v>
      </c>
      <c r="D1638" s="49"/>
      <c r="E1638" s="57" t="s">
        <v>8540</v>
      </c>
      <c r="F1638" s="57" t="s">
        <v>8540</v>
      </c>
      <c r="G1638" s="66"/>
      <c r="H1638" s="66"/>
      <c r="I1638" s="66"/>
      <c r="J1638" s="29">
        <f t="shared" si="120"/>
        <v>1</v>
      </c>
      <c r="K1638" s="42">
        <v>1624</v>
      </c>
      <c r="L1638" s="43" t="s">
        <v>3257</v>
      </c>
      <c r="M1638" s="43" t="s">
        <v>417</v>
      </c>
      <c r="N1638" s="43" t="s">
        <v>433</v>
      </c>
      <c r="O1638" s="44" t="str">
        <f t="shared" si="119"/>
        <v>PE-M1-1C300-12</v>
      </c>
      <c r="P1638" s="51">
        <v>10789</v>
      </c>
      <c r="Q1638" s="43">
        <v>10000</v>
      </c>
      <c r="R1638" s="43" t="s">
        <v>49</v>
      </c>
      <c r="S1638" s="43">
        <v>340</v>
      </c>
      <c r="T1638" s="43" t="s">
        <v>7122</v>
      </c>
      <c r="U1638" s="43" t="s">
        <v>5482</v>
      </c>
      <c r="V1638" s="43" t="s">
        <v>5483</v>
      </c>
      <c r="W1638" s="43" t="s">
        <v>335</v>
      </c>
      <c r="X1638" s="47" t="s">
        <v>308</v>
      </c>
      <c r="Y1638" s="43" t="s">
        <v>7125</v>
      </c>
      <c r="Z1638" s="43" t="s">
        <v>7126</v>
      </c>
      <c r="AA1638" s="43" t="s">
        <v>6270</v>
      </c>
      <c r="AB1638" s="47" t="s">
        <v>308</v>
      </c>
      <c r="AC1638" s="52" t="s">
        <v>8388</v>
      </c>
      <c r="AD1638" s="30"/>
      <c r="AE1638" s="197"/>
      <c r="AF1638" s="100"/>
      <c r="AR1638" s="241">
        <v>2</v>
      </c>
      <c r="AS1638" s="241" t="s">
        <v>9583</v>
      </c>
    </row>
    <row r="1639" spans="1:45" s="29" customFormat="1" ht="69.95" hidden="1" customHeight="1">
      <c r="A1639" s="49" t="s">
        <v>5482</v>
      </c>
      <c r="B1639" s="49" t="s">
        <v>8652</v>
      </c>
      <c r="C1639" s="49">
        <v>12</v>
      </c>
      <c r="D1639" s="49"/>
      <c r="E1639" s="57" t="s">
        <v>8541</v>
      </c>
      <c r="F1639" s="57" t="s">
        <v>8541</v>
      </c>
      <c r="G1639" s="66"/>
      <c r="H1639" s="66"/>
      <c r="I1639" s="66"/>
      <c r="J1639" s="29">
        <f t="shared" si="120"/>
        <v>1</v>
      </c>
      <c r="K1639" s="42">
        <v>1625</v>
      </c>
      <c r="L1639" s="43" t="s">
        <v>3258</v>
      </c>
      <c r="M1639" s="43" t="s">
        <v>417</v>
      </c>
      <c r="N1639" s="43" t="s">
        <v>433</v>
      </c>
      <c r="O1639" s="44" t="str">
        <f t="shared" si="119"/>
        <v>PE-M1-1C300-13</v>
      </c>
      <c r="P1639" s="51">
        <v>10789</v>
      </c>
      <c r="Q1639" s="43">
        <v>10000</v>
      </c>
      <c r="R1639" s="43" t="s">
        <v>49</v>
      </c>
      <c r="S1639" s="43">
        <v>340</v>
      </c>
      <c r="T1639" s="43" t="s">
        <v>7122</v>
      </c>
      <c r="U1639" s="43" t="s">
        <v>5482</v>
      </c>
      <c r="V1639" s="43" t="s">
        <v>5483</v>
      </c>
      <c r="W1639" s="43" t="s">
        <v>335</v>
      </c>
      <c r="X1639" s="47" t="s">
        <v>309</v>
      </c>
      <c r="Y1639" s="43" t="s">
        <v>7125</v>
      </c>
      <c r="Z1639" s="43" t="s">
        <v>7126</v>
      </c>
      <c r="AA1639" s="43" t="s">
        <v>6270</v>
      </c>
      <c r="AB1639" s="47" t="s">
        <v>309</v>
      </c>
      <c r="AC1639" s="52" t="s">
        <v>8388</v>
      </c>
      <c r="AD1639" s="30"/>
      <c r="AE1639" s="197"/>
      <c r="AF1639" s="100"/>
      <c r="AR1639" s="241">
        <v>2</v>
      </c>
      <c r="AS1639" s="241" t="s">
        <v>9583</v>
      </c>
    </row>
    <row r="1640" spans="1:45" s="29" customFormat="1" ht="69.95" hidden="1" customHeight="1">
      <c r="A1640" s="49" t="s">
        <v>5482</v>
      </c>
      <c r="B1640" s="49" t="s">
        <v>8652</v>
      </c>
      <c r="C1640" s="49">
        <v>13</v>
      </c>
      <c r="D1640" s="49"/>
      <c r="E1640" s="57" t="s">
        <v>8542</v>
      </c>
      <c r="F1640" s="57" t="s">
        <v>8542</v>
      </c>
      <c r="G1640" s="66"/>
      <c r="H1640" s="66"/>
      <c r="I1640" s="66"/>
      <c r="J1640" s="29">
        <f t="shared" si="120"/>
        <v>1</v>
      </c>
      <c r="K1640" s="42">
        <v>1626</v>
      </c>
      <c r="L1640" s="43" t="s">
        <v>3259</v>
      </c>
      <c r="M1640" s="43" t="s">
        <v>417</v>
      </c>
      <c r="N1640" s="43" t="s">
        <v>433</v>
      </c>
      <c r="O1640" s="44" t="str">
        <f t="shared" si="119"/>
        <v>PE-M1-1C300-14</v>
      </c>
      <c r="P1640" s="51">
        <v>10789</v>
      </c>
      <c r="Q1640" s="43">
        <v>10000</v>
      </c>
      <c r="R1640" s="43" t="s">
        <v>49</v>
      </c>
      <c r="S1640" s="44">
        <v>340</v>
      </c>
      <c r="T1640" s="43" t="s">
        <v>7122</v>
      </c>
      <c r="U1640" s="43" t="s">
        <v>5482</v>
      </c>
      <c r="V1640" s="43" t="s">
        <v>5483</v>
      </c>
      <c r="W1640" s="43" t="s">
        <v>335</v>
      </c>
      <c r="X1640" s="47" t="s">
        <v>307</v>
      </c>
      <c r="Y1640" s="43" t="s">
        <v>7125</v>
      </c>
      <c r="Z1640" s="43" t="s">
        <v>7126</v>
      </c>
      <c r="AA1640" s="43" t="s">
        <v>6270</v>
      </c>
      <c r="AB1640" s="47" t="s">
        <v>307</v>
      </c>
      <c r="AC1640" s="48" t="s">
        <v>8389</v>
      </c>
      <c r="AD1640" s="30"/>
      <c r="AE1640" s="197"/>
      <c r="AF1640" s="100"/>
      <c r="AR1640" s="241">
        <v>2</v>
      </c>
      <c r="AS1640" s="241" t="s">
        <v>9583</v>
      </c>
    </row>
    <row r="1641" spans="1:45" s="29" customFormat="1" ht="69.95" hidden="1" customHeight="1">
      <c r="A1641" s="49" t="s">
        <v>5482</v>
      </c>
      <c r="B1641" s="49" t="s">
        <v>8652</v>
      </c>
      <c r="C1641" s="49">
        <v>14</v>
      </c>
      <c r="D1641" s="49"/>
      <c r="E1641" s="57" t="s">
        <v>8543</v>
      </c>
      <c r="F1641" s="57" t="s">
        <v>8543</v>
      </c>
      <c r="G1641" s="66"/>
      <c r="H1641" s="66"/>
      <c r="I1641" s="66"/>
      <c r="J1641" s="29">
        <f t="shared" si="120"/>
        <v>1</v>
      </c>
      <c r="K1641" s="42">
        <v>1627</v>
      </c>
      <c r="L1641" s="43" t="s">
        <v>3260</v>
      </c>
      <c r="M1641" s="43" t="s">
        <v>417</v>
      </c>
      <c r="N1641" s="43" t="s">
        <v>433</v>
      </c>
      <c r="O1641" s="44" t="str">
        <f t="shared" si="119"/>
        <v>PE-M1-1C300-15</v>
      </c>
      <c r="P1641" s="51">
        <v>10789</v>
      </c>
      <c r="Q1641" s="43">
        <v>10000</v>
      </c>
      <c r="R1641" s="43" t="s">
        <v>49</v>
      </c>
      <c r="S1641" s="43">
        <v>340</v>
      </c>
      <c r="T1641" s="43" t="s">
        <v>7122</v>
      </c>
      <c r="U1641" s="43" t="s">
        <v>5482</v>
      </c>
      <c r="V1641" s="43" t="s">
        <v>5483</v>
      </c>
      <c r="W1641" s="43" t="s">
        <v>335</v>
      </c>
      <c r="X1641" s="47" t="s">
        <v>308</v>
      </c>
      <c r="Y1641" s="43" t="s">
        <v>7125</v>
      </c>
      <c r="Z1641" s="43" t="s">
        <v>7126</v>
      </c>
      <c r="AA1641" s="43" t="s">
        <v>6270</v>
      </c>
      <c r="AB1641" s="47" t="s">
        <v>308</v>
      </c>
      <c r="AC1641" s="52" t="s">
        <v>8389</v>
      </c>
      <c r="AD1641" s="30"/>
      <c r="AE1641" s="197"/>
      <c r="AF1641" s="100"/>
      <c r="AR1641" s="241">
        <v>2</v>
      </c>
      <c r="AS1641" s="241" t="s">
        <v>9583</v>
      </c>
    </row>
    <row r="1642" spans="1:45" s="29" customFormat="1" ht="69.95" hidden="1" customHeight="1">
      <c r="A1642" s="49" t="s">
        <v>5482</v>
      </c>
      <c r="B1642" s="49" t="s">
        <v>8652</v>
      </c>
      <c r="C1642" s="49">
        <v>15</v>
      </c>
      <c r="D1642" s="49"/>
      <c r="E1642" s="57" t="s">
        <v>8544</v>
      </c>
      <c r="F1642" s="57" t="s">
        <v>8544</v>
      </c>
      <c r="G1642" s="66"/>
      <c r="H1642" s="66"/>
      <c r="I1642" s="66"/>
      <c r="J1642" s="29">
        <f t="shared" si="120"/>
        <v>1</v>
      </c>
      <c r="K1642" s="42">
        <v>1628</v>
      </c>
      <c r="L1642" s="43" t="s">
        <v>3261</v>
      </c>
      <c r="M1642" s="43" t="s">
        <v>417</v>
      </c>
      <c r="N1642" s="43" t="s">
        <v>433</v>
      </c>
      <c r="O1642" s="44" t="str">
        <f t="shared" si="119"/>
        <v>PE-M1-1C300-18</v>
      </c>
      <c r="P1642" s="51">
        <v>10789</v>
      </c>
      <c r="Q1642" s="43">
        <v>10000</v>
      </c>
      <c r="R1642" s="43" t="s">
        <v>49</v>
      </c>
      <c r="S1642" s="43">
        <v>340</v>
      </c>
      <c r="T1642" s="43" t="s">
        <v>7122</v>
      </c>
      <c r="U1642" s="43" t="s">
        <v>5482</v>
      </c>
      <c r="V1642" s="43" t="s">
        <v>5483</v>
      </c>
      <c r="W1642" s="43" t="s">
        <v>335</v>
      </c>
      <c r="X1642" s="47" t="s">
        <v>309</v>
      </c>
      <c r="Y1642" s="43" t="s">
        <v>7125</v>
      </c>
      <c r="Z1642" s="43" t="s">
        <v>7126</v>
      </c>
      <c r="AA1642" s="43" t="s">
        <v>6270</v>
      </c>
      <c r="AB1642" s="47" t="s">
        <v>309</v>
      </c>
      <c r="AC1642" s="52" t="s">
        <v>8389</v>
      </c>
      <c r="AD1642" s="30"/>
      <c r="AE1642" s="197"/>
      <c r="AF1642" s="100"/>
      <c r="AR1642" s="241">
        <v>2</v>
      </c>
      <c r="AS1642" s="241" t="s">
        <v>9583</v>
      </c>
    </row>
    <row r="1643" spans="1:45" s="32" customFormat="1" ht="69.95" hidden="1" customHeight="1">
      <c r="A1643" s="29" t="s">
        <v>7127</v>
      </c>
      <c r="B1643" s="29" t="s">
        <v>8652</v>
      </c>
      <c r="C1643" s="40" t="s">
        <v>32</v>
      </c>
      <c r="D1643" s="40"/>
      <c r="E1643" s="57" t="s">
        <v>336</v>
      </c>
      <c r="F1643" s="57" t="s">
        <v>336</v>
      </c>
      <c r="G1643" s="29" t="s">
        <v>3262</v>
      </c>
      <c r="H1643" s="29"/>
      <c r="I1643" s="29"/>
      <c r="J1643" s="29">
        <f t="shared" si="120"/>
        <v>1</v>
      </c>
      <c r="K1643" s="42">
        <v>1629</v>
      </c>
      <c r="L1643" s="43" t="s">
        <v>3263</v>
      </c>
      <c r="M1643" s="44" t="s">
        <v>417</v>
      </c>
      <c r="N1643" s="44" t="s">
        <v>433</v>
      </c>
      <c r="O1643" s="44" t="str">
        <f t="shared" si="119"/>
        <v>PE-M1-1C300-03</v>
      </c>
      <c r="P1643" s="45">
        <v>16000</v>
      </c>
      <c r="Q1643" s="44">
        <v>10000</v>
      </c>
      <c r="R1643" s="44" t="s">
        <v>49</v>
      </c>
      <c r="S1643" s="44">
        <v>110</v>
      </c>
      <c r="T1643" s="46" t="s">
        <v>7082</v>
      </c>
      <c r="U1643" s="46" t="s">
        <v>7127</v>
      </c>
      <c r="V1643" s="46" t="s">
        <v>366</v>
      </c>
      <c r="W1643" s="46" t="s">
        <v>367</v>
      </c>
      <c r="X1643" s="47" t="s">
        <v>307</v>
      </c>
      <c r="Y1643" s="46" t="s">
        <v>6658</v>
      </c>
      <c r="Z1643" s="46" t="s">
        <v>368</v>
      </c>
      <c r="AA1643" s="46" t="s">
        <v>335</v>
      </c>
      <c r="AB1643" s="47" t="s">
        <v>307</v>
      </c>
      <c r="AC1643" s="48" t="s">
        <v>8338</v>
      </c>
      <c r="AD1643" s="30"/>
      <c r="AE1643" s="200"/>
      <c r="AF1643" s="100"/>
      <c r="AR1643" s="241">
        <v>2</v>
      </c>
      <c r="AS1643" s="241" t="s">
        <v>9583</v>
      </c>
    </row>
    <row r="1644" spans="1:45" s="29" customFormat="1" ht="69.95" hidden="1" customHeight="1">
      <c r="A1644" s="49" t="s">
        <v>7127</v>
      </c>
      <c r="B1644" s="49" t="s">
        <v>8652</v>
      </c>
      <c r="C1644" s="50" t="s">
        <v>36</v>
      </c>
      <c r="D1644" s="50"/>
      <c r="E1644" s="57" t="s">
        <v>355</v>
      </c>
      <c r="F1644" s="57" t="s">
        <v>355</v>
      </c>
      <c r="J1644" s="29">
        <f t="shared" si="120"/>
        <v>1</v>
      </c>
      <c r="K1644" s="42">
        <v>1630</v>
      </c>
      <c r="L1644" s="43" t="s">
        <v>3264</v>
      </c>
      <c r="M1644" s="43" t="s">
        <v>417</v>
      </c>
      <c r="N1644" s="43" t="s">
        <v>433</v>
      </c>
      <c r="O1644" s="44" t="str">
        <f t="shared" si="119"/>
        <v>PE-M1-1C300-04</v>
      </c>
      <c r="P1644" s="51">
        <v>16000</v>
      </c>
      <c r="Q1644" s="43">
        <v>10000</v>
      </c>
      <c r="R1644" s="43" t="s">
        <v>49</v>
      </c>
      <c r="S1644" s="43">
        <v>110</v>
      </c>
      <c r="T1644" s="43" t="s">
        <v>7082</v>
      </c>
      <c r="U1644" s="43" t="s">
        <v>7127</v>
      </c>
      <c r="V1644" s="43" t="s">
        <v>7128</v>
      </c>
      <c r="W1644" s="43" t="s">
        <v>367</v>
      </c>
      <c r="X1644" s="47" t="s">
        <v>308</v>
      </c>
      <c r="Y1644" s="43" t="s">
        <v>6658</v>
      </c>
      <c r="Z1644" s="43" t="s">
        <v>368</v>
      </c>
      <c r="AA1644" s="43" t="s">
        <v>335</v>
      </c>
      <c r="AB1644" s="47" t="s">
        <v>308</v>
      </c>
      <c r="AC1644" s="52" t="s">
        <v>8338</v>
      </c>
      <c r="AD1644" s="30"/>
      <c r="AE1644" s="197"/>
      <c r="AF1644" s="100"/>
      <c r="AR1644" s="241">
        <v>2</v>
      </c>
      <c r="AS1644" s="241" t="s">
        <v>9583</v>
      </c>
    </row>
    <row r="1645" spans="1:45" s="29" customFormat="1" ht="69.95" hidden="1" customHeight="1">
      <c r="A1645" s="49" t="s">
        <v>7127</v>
      </c>
      <c r="B1645" s="49" t="s">
        <v>8652</v>
      </c>
      <c r="C1645" s="50" t="s">
        <v>38</v>
      </c>
      <c r="D1645" s="50"/>
      <c r="E1645" s="57" t="s">
        <v>339</v>
      </c>
      <c r="F1645" s="57" t="s">
        <v>339</v>
      </c>
      <c r="J1645" s="29">
        <f t="shared" si="120"/>
        <v>1</v>
      </c>
      <c r="K1645" s="42">
        <v>1631</v>
      </c>
      <c r="L1645" s="43" t="s">
        <v>3265</v>
      </c>
      <c r="M1645" s="43" t="s">
        <v>417</v>
      </c>
      <c r="N1645" s="43" t="s">
        <v>433</v>
      </c>
      <c r="O1645" s="44" t="str">
        <f t="shared" si="119"/>
        <v>PE-M1-1C300-06</v>
      </c>
      <c r="P1645" s="51">
        <v>16000</v>
      </c>
      <c r="Q1645" s="43">
        <v>10000</v>
      </c>
      <c r="R1645" s="43" t="s">
        <v>49</v>
      </c>
      <c r="S1645" s="43">
        <v>110</v>
      </c>
      <c r="T1645" s="43" t="s">
        <v>7082</v>
      </c>
      <c r="U1645" s="43" t="s">
        <v>7127</v>
      </c>
      <c r="V1645" s="43" t="s">
        <v>7128</v>
      </c>
      <c r="W1645" s="43" t="s">
        <v>367</v>
      </c>
      <c r="X1645" s="47" t="s">
        <v>309</v>
      </c>
      <c r="Y1645" s="43" t="s">
        <v>6658</v>
      </c>
      <c r="Z1645" s="43" t="s">
        <v>368</v>
      </c>
      <c r="AA1645" s="43" t="s">
        <v>335</v>
      </c>
      <c r="AB1645" s="47" t="s">
        <v>309</v>
      </c>
      <c r="AC1645" s="52" t="s">
        <v>8338</v>
      </c>
      <c r="AD1645" s="30"/>
      <c r="AE1645" s="197"/>
      <c r="AF1645" s="100"/>
      <c r="AR1645" s="241">
        <v>2</v>
      </c>
      <c r="AS1645" s="241" t="s">
        <v>9583</v>
      </c>
    </row>
    <row r="1646" spans="1:45" s="29" customFormat="1" ht="69.95" hidden="1" customHeight="1">
      <c r="A1646" s="49" t="s">
        <v>7127</v>
      </c>
      <c r="B1646" s="49" t="s">
        <v>8652</v>
      </c>
      <c r="C1646" s="50" t="s">
        <v>40</v>
      </c>
      <c r="D1646" s="50"/>
      <c r="E1646" s="57" t="s">
        <v>340</v>
      </c>
      <c r="F1646" s="57" t="s">
        <v>340</v>
      </c>
      <c r="J1646" s="29">
        <f t="shared" si="120"/>
        <v>1</v>
      </c>
      <c r="K1646" s="42">
        <v>1632</v>
      </c>
      <c r="L1646" s="43" t="s">
        <v>3266</v>
      </c>
      <c r="M1646" s="43" t="s">
        <v>417</v>
      </c>
      <c r="N1646" s="43" t="s">
        <v>433</v>
      </c>
      <c r="O1646" s="44" t="str">
        <f t="shared" si="119"/>
        <v>PE-M1-1C300-07</v>
      </c>
      <c r="P1646" s="51">
        <v>16000</v>
      </c>
      <c r="Q1646" s="43">
        <v>10000</v>
      </c>
      <c r="R1646" s="43" t="s">
        <v>49</v>
      </c>
      <c r="S1646" s="43">
        <v>110</v>
      </c>
      <c r="T1646" s="43" t="s">
        <v>7082</v>
      </c>
      <c r="U1646" s="43" t="s">
        <v>7127</v>
      </c>
      <c r="V1646" s="43" t="s">
        <v>7128</v>
      </c>
      <c r="W1646" s="43" t="s">
        <v>367</v>
      </c>
      <c r="X1646" s="47" t="s">
        <v>307</v>
      </c>
      <c r="Y1646" s="43" t="s">
        <v>6658</v>
      </c>
      <c r="Z1646" s="43" t="s">
        <v>368</v>
      </c>
      <c r="AA1646" s="43" t="s">
        <v>335</v>
      </c>
      <c r="AB1646" s="47" t="s">
        <v>307</v>
      </c>
      <c r="AC1646" s="48" t="s">
        <v>8339</v>
      </c>
      <c r="AD1646" s="30"/>
      <c r="AE1646" s="197"/>
      <c r="AF1646" s="100"/>
      <c r="AR1646" s="241">
        <v>2</v>
      </c>
      <c r="AS1646" s="241" t="s">
        <v>9583</v>
      </c>
    </row>
    <row r="1647" spans="1:45" s="29" customFormat="1" ht="69.95" hidden="1" customHeight="1">
      <c r="A1647" s="49" t="s">
        <v>7127</v>
      </c>
      <c r="B1647" s="49" t="s">
        <v>8652</v>
      </c>
      <c r="C1647" s="50" t="s">
        <v>41</v>
      </c>
      <c r="D1647" s="50"/>
      <c r="E1647" s="57" t="s">
        <v>365</v>
      </c>
      <c r="F1647" s="57" t="s">
        <v>365</v>
      </c>
      <c r="J1647" s="29">
        <f t="shared" si="120"/>
        <v>1</v>
      </c>
      <c r="K1647" s="42">
        <v>1633</v>
      </c>
      <c r="L1647" s="43" t="s">
        <v>3267</v>
      </c>
      <c r="M1647" s="43" t="s">
        <v>417</v>
      </c>
      <c r="N1647" s="43" t="s">
        <v>433</v>
      </c>
      <c r="O1647" s="44" t="str">
        <f t="shared" si="119"/>
        <v>PE-M1-1C300-17</v>
      </c>
      <c r="P1647" s="51">
        <v>16000</v>
      </c>
      <c r="Q1647" s="43">
        <v>10000</v>
      </c>
      <c r="R1647" s="43" t="s">
        <v>49</v>
      </c>
      <c r="S1647" s="43">
        <v>110</v>
      </c>
      <c r="T1647" s="43" t="s">
        <v>7082</v>
      </c>
      <c r="U1647" s="43" t="s">
        <v>7127</v>
      </c>
      <c r="V1647" s="43" t="s">
        <v>7128</v>
      </c>
      <c r="W1647" s="43" t="s">
        <v>367</v>
      </c>
      <c r="X1647" s="47" t="s">
        <v>308</v>
      </c>
      <c r="Y1647" s="43" t="s">
        <v>6658</v>
      </c>
      <c r="Z1647" s="43" t="s">
        <v>368</v>
      </c>
      <c r="AA1647" s="43" t="s">
        <v>335</v>
      </c>
      <c r="AB1647" s="47" t="s">
        <v>308</v>
      </c>
      <c r="AC1647" s="52" t="s">
        <v>8339</v>
      </c>
      <c r="AD1647" s="30"/>
      <c r="AE1647" s="197"/>
      <c r="AF1647" s="100"/>
      <c r="AR1647" s="241">
        <v>2</v>
      </c>
      <c r="AS1647" s="241" t="s">
        <v>9583</v>
      </c>
    </row>
    <row r="1648" spans="1:45" s="29" customFormat="1" ht="69.95" hidden="1" customHeight="1">
      <c r="A1648" s="49" t="s">
        <v>7127</v>
      </c>
      <c r="B1648" s="49" t="s">
        <v>8652</v>
      </c>
      <c r="C1648" s="50" t="s">
        <v>42</v>
      </c>
      <c r="D1648" s="50"/>
      <c r="E1648" s="57" t="s">
        <v>345</v>
      </c>
      <c r="F1648" s="57" t="s">
        <v>345</v>
      </c>
      <c r="J1648" s="29">
        <f t="shared" si="120"/>
        <v>1</v>
      </c>
      <c r="K1648" s="42">
        <v>1634</v>
      </c>
      <c r="L1648" s="43" t="s">
        <v>3268</v>
      </c>
      <c r="M1648" s="43" t="s">
        <v>417</v>
      </c>
      <c r="N1648" s="43" t="s">
        <v>433</v>
      </c>
      <c r="O1648" s="44" t="str">
        <f t="shared" si="119"/>
        <v>PE-M1-1C300-16</v>
      </c>
      <c r="P1648" s="51">
        <v>16000</v>
      </c>
      <c r="Q1648" s="43">
        <v>10000</v>
      </c>
      <c r="R1648" s="43" t="s">
        <v>49</v>
      </c>
      <c r="S1648" s="43">
        <v>110</v>
      </c>
      <c r="T1648" s="43" t="s">
        <v>7082</v>
      </c>
      <c r="U1648" s="43" t="s">
        <v>7127</v>
      </c>
      <c r="V1648" s="43" t="s">
        <v>7128</v>
      </c>
      <c r="W1648" s="43" t="s">
        <v>367</v>
      </c>
      <c r="X1648" s="47" t="s">
        <v>309</v>
      </c>
      <c r="Y1648" s="43" t="s">
        <v>6658</v>
      </c>
      <c r="Z1648" s="43" t="s">
        <v>368</v>
      </c>
      <c r="AA1648" s="43" t="s">
        <v>335</v>
      </c>
      <c r="AB1648" s="47" t="s">
        <v>309</v>
      </c>
      <c r="AC1648" s="52" t="s">
        <v>8339</v>
      </c>
      <c r="AD1648" s="30"/>
      <c r="AE1648" s="197"/>
      <c r="AF1648" s="100"/>
      <c r="AR1648" s="241">
        <v>2</v>
      </c>
      <c r="AS1648" s="241" t="s">
        <v>9583</v>
      </c>
    </row>
    <row r="1649" spans="1:45" s="29" customFormat="1" ht="69.95" hidden="1" customHeight="1">
      <c r="A1649" s="49" t="s">
        <v>7127</v>
      </c>
      <c r="B1649" s="49" t="s">
        <v>8652</v>
      </c>
      <c r="C1649" s="50" t="s">
        <v>43</v>
      </c>
      <c r="D1649" s="50"/>
      <c r="E1649" s="57" t="s">
        <v>8534</v>
      </c>
      <c r="F1649" s="57" t="s">
        <v>8534</v>
      </c>
      <c r="J1649" s="29">
        <f t="shared" si="120"/>
        <v>1</v>
      </c>
      <c r="K1649" s="42">
        <v>1635</v>
      </c>
      <c r="L1649" s="43" t="s">
        <v>3269</v>
      </c>
      <c r="M1649" s="43" t="s">
        <v>417</v>
      </c>
      <c r="N1649" s="43" t="s">
        <v>433</v>
      </c>
      <c r="O1649" s="44" t="str">
        <f t="shared" si="119"/>
        <v>PE-M1-1C300-22</v>
      </c>
      <c r="P1649" s="51">
        <v>16000</v>
      </c>
      <c r="Q1649" s="43">
        <v>10000</v>
      </c>
      <c r="R1649" s="43" t="s">
        <v>49</v>
      </c>
      <c r="S1649" s="43">
        <v>110</v>
      </c>
      <c r="T1649" s="43" t="s">
        <v>7082</v>
      </c>
      <c r="U1649" s="43" t="s">
        <v>7127</v>
      </c>
      <c r="V1649" s="43" t="s">
        <v>7128</v>
      </c>
      <c r="W1649" s="43" t="s">
        <v>367</v>
      </c>
      <c r="X1649" s="47" t="s">
        <v>307</v>
      </c>
      <c r="Y1649" s="43" t="s">
        <v>6658</v>
      </c>
      <c r="Z1649" s="43" t="s">
        <v>368</v>
      </c>
      <c r="AA1649" s="43" t="s">
        <v>335</v>
      </c>
      <c r="AB1649" s="47" t="s">
        <v>307</v>
      </c>
      <c r="AC1649" s="48" t="s">
        <v>8340</v>
      </c>
      <c r="AD1649" s="30"/>
      <c r="AE1649" s="197"/>
      <c r="AF1649" s="100"/>
      <c r="AR1649" s="241">
        <v>2</v>
      </c>
      <c r="AS1649" s="241" t="s">
        <v>9583</v>
      </c>
    </row>
    <row r="1650" spans="1:45" s="29" customFormat="1" ht="69.95" hidden="1" customHeight="1">
      <c r="A1650" s="49" t="s">
        <v>7127</v>
      </c>
      <c r="B1650" s="49" t="s">
        <v>8652</v>
      </c>
      <c r="C1650" s="50" t="s">
        <v>73</v>
      </c>
      <c r="D1650" s="50"/>
      <c r="E1650" s="57" t="s">
        <v>351</v>
      </c>
      <c r="F1650" s="57" t="s">
        <v>351</v>
      </c>
      <c r="J1650" s="29">
        <f t="shared" si="120"/>
        <v>1</v>
      </c>
      <c r="K1650" s="42">
        <v>1636</v>
      </c>
      <c r="L1650" s="43" t="s">
        <v>3270</v>
      </c>
      <c r="M1650" s="43" t="s">
        <v>417</v>
      </c>
      <c r="N1650" s="43" t="s">
        <v>433</v>
      </c>
      <c r="O1650" s="44" t="str">
        <f t="shared" si="119"/>
        <v>PE-M1-1C300-29</v>
      </c>
      <c r="P1650" s="51">
        <v>16000</v>
      </c>
      <c r="Q1650" s="43">
        <v>10000</v>
      </c>
      <c r="R1650" s="43" t="s">
        <v>49</v>
      </c>
      <c r="S1650" s="43">
        <v>110</v>
      </c>
      <c r="T1650" s="43" t="s">
        <v>7082</v>
      </c>
      <c r="U1650" s="43" t="s">
        <v>7127</v>
      </c>
      <c r="V1650" s="43" t="s">
        <v>7128</v>
      </c>
      <c r="W1650" s="43" t="s">
        <v>367</v>
      </c>
      <c r="X1650" s="47" t="s">
        <v>308</v>
      </c>
      <c r="Y1650" s="43" t="s">
        <v>6658</v>
      </c>
      <c r="Z1650" s="43" t="s">
        <v>368</v>
      </c>
      <c r="AA1650" s="43" t="s">
        <v>335</v>
      </c>
      <c r="AB1650" s="47" t="s">
        <v>308</v>
      </c>
      <c r="AC1650" s="52" t="s">
        <v>8340</v>
      </c>
      <c r="AD1650" s="30"/>
      <c r="AE1650" s="197"/>
      <c r="AF1650" s="100"/>
      <c r="AR1650" s="241">
        <v>2</v>
      </c>
      <c r="AS1650" s="241" t="s">
        <v>9583</v>
      </c>
    </row>
    <row r="1651" spans="1:45" s="29" customFormat="1" ht="69.95" hidden="1" customHeight="1">
      <c r="A1651" s="49" t="s">
        <v>7127</v>
      </c>
      <c r="B1651" s="49" t="s">
        <v>8652</v>
      </c>
      <c r="C1651" s="50" t="s">
        <v>75</v>
      </c>
      <c r="D1651" s="50"/>
      <c r="E1651" s="57" t="s">
        <v>352</v>
      </c>
      <c r="F1651" s="57" t="s">
        <v>352</v>
      </c>
      <c r="J1651" s="29">
        <f t="shared" si="120"/>
        <v>1</v>
      </c>
      <c r="K1651" s="42">
        <v>1637</v>
      </c>
      <c r="L1651" s="43" t="s">
        <v>3271</v>
      </c>
      <c r="M1651" s="43" t="s">
        <v>417</v>
      </c>
      <c r="N1651" s="43" t="s">
        <v>433</v>
      </c>
      <c r="O1651" s="44" t="str">
        <f t="shared" si="119"/>
        <v>PE-M1-1C300-30</v>
      </c>
      <c r="P1651" s="51">
        <v>16000</v>
      </c>
      <c r="Q1651" s="43">
        <v>10000</v>
      </c>
      <c r="R1651" s="43" t="s">
        <v>49</v>
      </c>
      <c r="S1651" s="43">
        <v>110</v>
      </c>
      <c r="T1651" s="43" t="s">
        <v>7082</v>
      </c>
      <c r="U1651" s="43" t="s">
        <v>7127</v>
      </c>
      <c r="V1651" s="43" t="s">
        <v>7128</v>
      </c>
      <c r="W1651" s="43" t="s">
        <v>367</v>
      </c>
      <c r="X1651" s="47" t="s">
        <v>309</v>
      </c>
      <c r="Y1651" s="43" t="s">
        <v>6658</v>
      </c>
      <c r="Z1651" s="43" t="s">
        <v>368</v>
      </c>
      <c r="AA1651" s="43" t="s">
        <v>335</v>
      </c>
      <c r="AB1651" s="47" t="s">
        <v>309</v>
      </c>
      <c r="AC1651" s="52" t="s">
        <v>8340</v>
      </c>
      <c r="AD1651" s="30"/>
      <c r="AE1651" s="197"/>
      <c r="AF1651" s="100"/>
      <c r="AR1651" s="241">
        <v>2</v>
      </c>
      <c r="AS1651" s="241" t="s">
        <v>9583</v>
      </c>
    </row>
    <row r="1652" spans="1:45" s="32" customFormat="1" ht="69.95" hidden="1" customHeight="1">
      <c r="A1652" s="29" t="s">
        <v>7127</v>
      </c>
      <c r="B1652" s="29" t="s">
        <v>8652</v>
      </c>
      <c r="C1652" s="40">
        <v>10</v>
      </c>
      <c r="D1652" s="40"/>
      <c r="E1652" s="57" t="s">
        <v>354</v>
      </c>
      <c r="F1652" s="57" t="s">
        <v>354</v>
      </c>
      <c r="G1652" s="29" t="s">
        <v>3272</v>
      </c>
      <c r="H1652" s="29"/>
      <c r="I1652" s="29"/>
      <c r="J1652" s="29">
        <f t="shared" si="120"/>
        <v>1</v>
      </c>
      <c r="K1652" s="42">
        <v>1638</v>
      </c>
      <c r="L1652" s="43" t="s">
        <v>3273</v>
      </c>
      <c r="M1652" s="44" t="s">
        <v>417</v>
      </c>
      <c r="N1652" s="44" t="s">
        <v>433</v>
      </c>
      <c r="O1652" s="44" t="str">
        <f t="shared" si="119"/>
        <v>PE-M1-1C300-02</v>
      </c>
      <c r="P1652" s="45">
        <v>16000</v>
      </c>
      <c r="Q1652" s="44">
        <v>10000</v>
      </c>
      <c r="R1652" s="44" t="s">
        <v>49</v>
      </c>
      <c r="S1652" s="44">
        <v>100</v>
      </c>
      <c r="T1652" s="46" t="s">
        <v>7082</v>
      </c>
      <c r="U1652" s="46" t="s">
        <v>7127</v>
      </c>
      <c r="V1652" s="46" t="s">
        <v>369</v>
      </c>
      <c r="W1652" s="46" t="s">
        <v>370</v>
      </c>
      <c r="X1652" s="47" t="s">
        <v>307</v>
      </c>
      <c r="Y1652" s="46" t="s">
        <v>6665</v>
      </c>
      <c r="Z1652" s="46" t="s">
        <v>371</v>
      </c>
      <c r="AA1652" s="46" t="s">
        <v>335</v>
      </c>
      <c r="AB1652" s="47" t="s">
        <v>307</v>
      </c>
      <c r="AC1652" s="48" t="s">
        <v>8341</v>
      </c>
      <c r="AD1652" s="30"/>
      <c r="AE1652" s="200"/>
      <c r="AF1652" s="100"/>
      <c r="AR1652" s="241">
        <v>2</v>
      </c>
      <c r="AS1652" s="241" t="s">
        <v>9583</v>
      </c>
    </row>
    <row r="1653" spans="1:45" s="29" customFormat="1" ht="69.95" hidden="1" customHeight="1">
      <c r="A1653" s="49" t="s">
        <v>7127</v>
      </c>
      <c r="B1653" s="49" t="s">
        <v>8652</v>
      </c>
      <c r="C1653" s="49">
        <v>11</v>
      </c>
      <c r="D1653" s="49"/>
      <c r="E1653" s="57" t="s">
        <v>351</v>
      </c>
      <c r="F1653" s="57" t="s">
        <v>351</v>
      </c>
      <c r="J1653" s="29">
        <f t="shared" si="120"/>
        <v>1</v>
      </c>
      <c r="K1653" s="42">
        <v>1639</v>
      </c>
      <c r="L1653" s="43" t="s">
        <v>3274</v>
      </c>
      <c r="M1653" s="43" t="s">
        <v>417</v>
      </c>
      <c r="N1653" s="43" t="s">
        <v>433</v>
      </c>
      <c r="O1653" s="44" t="str">
        <f t="shared" si="119"/>
        <v>PE-M1-1C300-29</v>
      </c>
      <c r="P1653" s="51">
        <v>16000</v>
      </c>
      <c r="Q1653" s="43">
        <v>10000</v>
      </c>
      <c r="R1653" s="43" t="s">
        <v>49</v>
      </c>
      <c r="S1653" s="43">
        <v>100</v>
      </c>
      <c r="T1653" s="43" t="s">
        <v>7082</v>
      </c>
      <c r="U1653" s="43" t="s">
        <v>7127</v>
      </c>
      <c r="V1653" s="43" t="s">
        <v>7129</v>
      </c>
      <c r="W1653" s="43" t="s">
        <v>367</v>
      </c>
      <c r="X1653" s="47" t="s">
        <v>308</v>
      </c>
      <c r="Y1653" s="43" t="s">
        <v>6665</v>
      </c>
      <c r="Z1653" s="43" t="s">
        <v>371</v>
      </c>
      <c r="AA1653" s="43" t="s">
        <v>335</v>
      </c>
      <c r="AB1653" s="47" t="s">
        <v>308</v>
      </c>
      <c r="AC1653" s="52" t="s">
        <v>8341</v>
      </c>
      <c r="AD1653" s="30"/>
      <c r="AE1653" s="197"/>
      <c r="AF1653" s="100"/>
      <c r="AR1653" s="241">
        <v>2</v>
      </c>
      <c r="AS1653" s="241" t="s">
        <v>9583</v>
      </c>
    </row>
    <row r="1654" spans="1:45" s="29" customFormat="1" ht="69.95" hidden="1" customHeight="1">
      <c r="A1654" s="49" t="s">
        <v>7127</v>
      </c>
      <c r="B1654" s="49" t="s">
        <v>8652</v>
      </c>
      <c r="C1654" s="49">
        <v>12</v>
      </c>
      <c r="D1654" s="49"/>
      <c r="E1654" s="57" t="s">
        <v>351</v>
      </c>
      <c r="F1654" s="57" t="s">
        <v>351</v>
      </c>
      <c r="J1654" s="29">
        <f t="shared" si="120"/>
        <v>1</v>
      </c>
      <c r="K1654" s="42">
        <v>1640</v>
      </c>
      <c r="L1654" s="43" t="s">
        <v>3275</v>
      </c>
      <c r="M1654" s="43" t="s">
        <v>417</v>
      </c>
      <c r="N1654" s="43" t="s">
        <v>433</v>
      </c>
      <c r="O1654" s="44" t="str">
        <f t="shared" si="119"/>
        <v>PE-M1-1C300-29</v>
      </c>
      <c r="P1654" s="51">
        <v>16000</v>
      </c>
      <c r="Q1654" s="43">
        <v>10000</v>
      </c>
      <c r="R1654" s="43" t="s">
        <v>49</v>
      </c>
      <c r="S1654" s="43">
        <v>100</v>
      </c>
      <c r="T1654" s="43" t="s">
        <v>7082</v>
      </c>
      <c r="U1654" s="43" t="s">
        <v>7127</v>
      </c>
      <c r="V1654" s="43" t="s">
        <v>7129</v>
      </c>
      <c r="W1654" s="43" t="s">
        <v>367</v>
      </c>
      <c r="X1654" s="47" t="s">
        <v>309</v>
      </c>
      <c r="Y1654" s="43" t="s">
        <v>6665</v>
      </c>
      <c r="Z1654" s="43" t="s">
        <v>371</v>
      </c>
      <c r="AA1654" s="43" t="s">
        <v>335</v>
      </c>
      <c r="AB1654" s="47" t="s">
        <v>309</v>
      </c>
      <c r="AC1654" s="52" t="s">
        <v>8341</v>
      </c>
      <c r="AD1654" s="30"/>
      <c r="AE1654" s="197"/>
      <c r="AF1654" s="100"/>
      <c r="AR1654" s="241">
        <v>2</v>
      </c>
      <c r="AS1654" s="241" t="s">
        <v>9583</v>
      </c>
    </row>
    <row r="1655" spans="1:45" s="29" customFormat="1" ht="69.95" hidden="1" customHeight="1">
      <c r="A1655" s="49" t="s">
        <v>7127</v>
      </c>
      <c r="B1655" s="49" t="s">
        <v>8652</v>
      </c>
      <c r="C1655" s="49">
        <v>13</v>
      </c>
      <c r="D1655" s="49"/>
      <c r="E1655" s="57" t="s">
        <v>351</v>
      </c>
      <c r="F1655" s="57" t="s">
        <v>351</v>
      </c>
      <c r="J1655" s="29">
        <f t="shared" si="120"/>
        <v>1</v>
      </c>
      <c r="K1655" s="42">
        <v>1641</v>
      </c>
      <c r="L1655" s="43" t="s">
        <v>3276</v>
      </c>
      <c r="M1655" s="43" t="s">
        <v>417</v>
      </c>
      <c r="N1655" s="43" t="s">
        <v>433</v>
      </c>
      <c r="O1655" s="44" t="str">
        <f t="shared" si="119"/>
        <v>PE-M1-1C300-29</v>
      </c>
      <c r="P1655" s="51">
        <v>16000</v>
      </c>
      <c r="Q1655" s="43">
        <v>10000</v>
      </c>
      <c r="R1655" s="43" t="s">
        <v>49</v>
      </c>
      <c r="S1655" s="43">
        <v>100</v>
      </c>
      <c r="T1655" s="43" t="s">
        <v>7082</v>
      </c>
      <c r="U1655" s="43" t="s">
        <v>7127</v>
      </c>
      <c r="V1655" s="43" t="s">
        <v>7129</v>
      </c>
      <c r="W1655" s="43" t="s">
        <v>367</v>
      </c>
      <c r="X1655" s="47" t="s">
        <v>307</v>
      </c>
      <c r="Y1655" s="43" t="s">
        <v>6665</v>
      </c>
      <c r="Z1655" s="43" t="s">
        <v>371</v>
      </c>
      <c r="AA1655" s="43" t="s">
        <v>335</v>
      </c>
      <c r="AB1655" s="47" t="s">
        <v>307</v>
      </c>
      <c r="AC1655" s="48" t="s">
        <v>8342</v>
      </c>
      <c r="AD1655" s="30"/>
      <c r="AE1655" s="197"/>
      <c r="AF1655" s="100"/>
      <c r="AR1655" s="241">
        <v>2</v>
      </c>
      <c r="AS1655" s="241" t="s">
        <v>9583</v>
      </c>
    </row>
    <row r="1656" spans="1:45" s="29" customFormat="1" ht="69.95" hidden="1" customHeight="1">
      <c r="A1656" s="49" t="s">
        <v>7127</v>
      </c>
      <c r="B1656" s="49" t="s">
        <v>8652</v>
      </c>
      <c r="C1656" s="49">
        <v>14</v>
      </c>
      <c r="D1656" s="49"/>
      <c r="E1656" s="57" t="s">
        <v>351</v>
      </c>
      <c r="F1656" s="57" t="s">
        <v>351</v>
      </c>
      <c r="J1656" s="29">
        <f t="shared" si="120"/>
        <v>1</v>
      </c>
      <c r="K1656" s="42">
        <v>1642</v>
      </c>
      <c r="L1656" s="43" t="s">
        <v>3277</v>
      </c>
      <c r="M1656" s="43" t="s">
        <v>417</v>
      </c>
      <c r="N1656" s="43" t="s">
        <v>433</v>
      </c>
      <c r="O1656" s="44" t="str">
        <f t="shared" si="119"/>
        <v>PE-M1-1C300-29</v>
      </c>
      <c r="P1656" s="51">
        <v>16000</v>
      </c>
      <c r="Q1656" s="43">
        <v>10000</v>
      </c>
      <c r="R1656" s="43" t="s">
        <v>49</v>
      </c>
      <c r="S1656" s="43">
        <v>100</v>
      </c>
      <c r="T1656" s="43" t="s">
        <v>7082</v>
      </c>
      <c r="U1656" s="43" t="s">
        <v>7127</v>
      </c>
      <c r="V1656" s="43" t="s">
        <v>7129</v>
      </c>
      <c r="W1656" s="43" t="s">
        <v>367</v>
      </c>
      <c r="X1656" s="47" t="s">
        <v>308</v>
      </c>
      <c r="Y1656" s="43" t="s">
        <v>6665</v>
      </c>
      <c r="Z1656" s="43" t="s">
        <v>371</v>
      </c>
      <c r="AA1656" s="43" t="s">
        <v>335</v>
      </c>
      <c r="AB1656" s="47" t="s">
        <v>308</v>
      </c>
      <c r="AC1656" s="52" t="s">
        <v>8342</v>
      </c>
      <c r="AD1656" s="30"/>
      <c r="AE1656" s="197"/>
      <c r="AF1656" s="100"/>
      <c r="AR1656" s="241">
        <v>2</v>
      </c>
      <c r="AS1656" s="241" t="s">
        <v>9583</v>
      </c>
    </row>
    <row r="1657" spans="1:45" s="29" customFormat="1" ht="69.95" hidden="1" customHeight="1">
      <c r="A1657" s="49" t="s">
        <v>7127</v>
      </c>
      <c r="B1657" s="49" t="s">
        <v>8652</v>
      </c>
      <c r="C1657" s="49">
        <v>15</v>
      </c>
      <c r="D1657" s="49"/>
      <c r="E1657" s="57" t="s">
        <v>352</v>
      </c>
      <c r="F1657" s="57" t="s">
        <v>352</v>
      </c>
      <c r="J1657" s="29">
        <f t="shared" si="120"/>
        <v>1</v>
      </c>
      <c r="K1657" s="42">
        <v>1643</v>
      </c>
      <c r="L1657" s="43" t="s">
        <v>3278</v>
      </c>
      <c r="M1657" s="43" t="s">
        <v>417</v>
      </c>
      <c r="N1657" s="43" t="s">
        <v>433</v>
      </c>
      <c r="O1657" s="44" t="str">
        <f t="shared" si="119"/>
        <v>PE-M1-1C300-30</v>
      </c>
      <c r="P1657" s="51">
        <v>16000</v>
      </c>
      <c r="Q1657" s="43">
        <v>10000</v>
      </c>
      <c r="R1657" s="43" t="s">
        <v>49</v>
      </c>
      <c r="S1657" s="43">
        <v>100</v>
      </c>
      <c r="T1657" s="43" t="s">
        <v>7082</v>
      </c>
      <c r="U1657" s="43" t="s">
        <v>7127</v>
      </c>
      <c r="V1657" s="43" t="s">
        <v>7129</v>
      </c>
      <c r="W1657" s="43" t="s">
        <v>367</v>
      </c>
      <c r="X1657" s="47" t="s">
        <v>309</v>
      </c>
      <c r="Y1657" s="43" t="s">
        <v>6665</v>
      </c>
      <c r="Z1657" s="43" t="s">
        <v>371</v>
      </c>
      <c r="AA1657" s="43" t="s">
        <v>335</v>
      </c>
      <c r="AB1657" s="47" t="s">
        <v>309</v>
      </c>
      <c r="AC1657" s="52" t="s">
        <v>8342</v>
      </c>
      <c r="AD1657" s="30"/>
      <c r="AE1657" s="197"/>
      <c r="AF1657" s="100"/>
      <c r="AR1657" s="241">
        <v>2</v>
      </c>
      <c r="AS1657" s="241" t="s">
        <v>9583</v>
      </c>
    </row>
    <row r="1658" spans="1:45" s="29" customFormat="1" ht="69.95" hidden="1" customHeight="1">
      <c r="A1658" s="49" t="s">
        <v>7127</v>
      </c>
      <c r="B1658" s="49" t="s">
        <v>8652</v>
      </c>
      <c r="C1658" s="49">
        <v>16</v>
      </c>
      <c r="D1658" s="49"/>
      <c r="E1658" s="57" t="s">
        <v>352</v>
      </c>
      <c r="F1658" s="57" t="s">
        <v>352</v>
      </c>
      <c r="J1658" s="29">
        <f t="shared" si="120"/>
        <v>1</v>
      </c>
      <c r="K1658" s="42">
        <v>1644</v>
      </c>
      <c r="L1658" s="43" t="s">
        <v>3279</v>
      </c>
      <c r="M1658" s="43" t="s">
        <v>417</v>
      </c>
      <c r="N1658" s="43" t="s">
        <v>433</v>
      </c>
      <c r="O1658" s="44" t="str">
        <f t="shared" si="119"/>
        <v>PE-M1-1C300-30</v>
      </c>
      <c r="P1658" s="51">
        <v>16000</v>
      </c>
      <c r="Q1658" s="43">
        <v>10000</v>
      </c>
      <c r="R1658" s="43" t="s">
        <v>49</v>
      </c>
      <c r="S1658" s="43">
        <v>100</v>
      </c>
      <c r="T1658" s="43" t="s">
        <v>7082</v>
      </c>
      <c r="U1658" s="43" t="s">
        <v>7127</v>
      </c>
      <c r="V1658" s="43" t="s">
        <v>7129</v>
      </c>
      <c r="W1658" s="43" t="s">
        <v>367</v>
      </c>
      <c r="X1658" s="47" t="s">
        <v>307</v>
      </c>
      <c r="Y1658" s="43" t="s">
        <v>6665</v>
      </c>
      <c r="Z1658" s="43" t="s">
        <v>371</v>
      </c>
      <c r="AA1658" s="43" t="s">
        <v>335</v>
      </c>
      <c r="AB1658" s="47" t="s">
        <v>307</v>
      </c>
      <c r="AC1658" s="48" t="s">
        <v>8343</v>
      </c>
      <c r="AD1658" s="30"/>
      <c r="AE1658" s="197"/>
      <c r="AF1658" s="100"/>
      <c r="AR1658" s="241">
        <v>2</v>
      </c>
      <c r="AS1658" s="241" t="s">
        <v>9583</v>
      </c>
    </row>
    <row r="1659" spans="1:45" s="29" customFormat="1" ht="69.95" hidden="1" customHeight="1">
      <c r="A1659" s="49" t="s">
        <v>7127</v>
      </c>
      <c r="B1659" s="49" t="s">
        <v>8652</v>
      </c>
      <c r="C1659" s="49">
        <v>17</v>
      </c>
      <c r="D1659" s="49"/>
      <c r="E1659" s="57" t="s">
        <v>352</v>
      </c>
      <c r="F1659" s="57" t="s">
        <v>352</v>
      </c>
      <c r="J1659" s="29">
        <f t="shared" si="120"/>
        <v>1</v>
      </c>
      <c r="K1659" s="42">
        <v>1645</v>
      </c>
      <c r="L1659" s="43" t="s">
        <v>3280</v>
      </c>
      <c r="M1659" s="43" t="s">
        <v>417</v>
      </c>
      <c r="N1659" s="43" t="s">
        <v>433</v>
      </c>
      <c r="O1659" s="44" t="str">
        <f t="shared" si="119"/>
        <v>PE-M1-1C300-30</v>
      </c>
      <c r="P1659" s="51">
        <v>16000</v>
      </c>
      <c r="Q1659" s="43">
        <v>10000</v>
      </c>
      <c r="R1659" s="43" t="s">
        <v>49</v>
      </c>
      <c r="S1659" s="43">
        <v>100</v>
      </c>
      <c r="T1659" s="43" t="s">
        <v>7082</v>
      </c>
      <c r="U1659" s="43" t="s">
        <v>7127</v>
      </c>
      <c r="V1659" s="43" t="s">
        <v>7129</v>
      </c>
      <c r="W1659" s="43" t="s">
        <v>367</v>
      </c>
      <c r="X1659" s="47" t="s">
        <v>308</v>
      </c>
      <c r="Y1659" s="43" t="s">
        <v>6665</v>
      </c>
      <c r="Z1659" s="43" t="s">
        <v>371</v>
      </c>
      <c r="AA1659" s="43" t="s">
        <v>335</v>
      </c>
      <c r="AB1659" s="47" t="s">
        <v>308</v>
      </c>
      <c r="AC1659" s="52" t="s">
        <v>8343</v>
      </c>
      <c r="AD1659" s="30"/>
      <c r="AE1659" s="197"/>
      <c r="AF1659" s="100"/>
      <c r="AR1659" s="241">
        <v>2</v>
      </c>
      <c r="AS1659" s="241" t="s">
        <v>9583</v>
      </c>
    </row>
    <row r="1660" spans="1:45" s="29" customFormat="1" ht="69.95" hidden="1" customHeight="1">
      <c r="A1660" s="49" t="s">
        <v>7127</v>
      </c>
      <c r="B1660" s="49" t="s">
        <v>8652</v>
      </c>
      <c r="C1660" s="49">
        <v>18</v>
      </c>
      <c r="D1660" s="49"/>
      <c r="E1660" s="57" t="s">
        <v>352</v>
      </c>
      <c r="F1660" s="57" t="s">
        <v>352</v>
      </c>
      <c r="J1660" s="29">
        <f t="shared" si="120"/>
        <v>1</v>
      </c>
      <c r="K1660" s="42">
        <v>1646</v>
      </c>
      <c r="L1660" s="43" t="s">
        <v>3281</v>
      </c>
      <c r="M1660" s="43" t="s">
        <v>417</v>
      </c>
      <c r="N1660" s="43" t="s">
        <v>433</v>
      </c>
      <c r="O1660" s="44" t="str">
        <f t="shared" si="119"/>
        <v>PE-M1-1C300-30</v>
      </c>
      <c r="P1660" s="51">
        <v>16000</v>
      </c>
      <c r="Q1660" s="43">
        <v>10000</v>
      </c>
      <c r="R1660" s="43" t="s">
        <v>49</v>
      </c>
      <c r="S1660" s="43">
        <v>100</v>
      </c>
      <c r="T1660" s="43" t="s">
        <v>7082</v>
      </c>
      <c r="U1660" s="43" t="s">
        <v>7127</v>
      </c>
      <c r="V1660" s="43" t="s">
        <v>7129</v>
      </c>
      <c r="W1660" s="43" t="s">
        <v>367</v>
      </c>
      <c r="X1660" s="47" t="s">
        <v>309</v>
      </c>
      <c r="Y1660" s="43" t="s">
        <v>6665</v>
      </c>
      <c r="Z1660" s="43" t="s">
        <v>371</v>
      </c>
      <c r="AA1660" s="43" t="s">
        <v>335</v>
      </c>
      <c r="AB1660" s="47" t="s">
        <v>309</v>
      </c>
      <c r="AC1660" s="52" t="s">
        <v>8343</v>
      </c>
      <c r="AD1660" s="30"/>
      <c r="AE1660" s="197"/>
      <c r="AF1660" s="100"/>
      <c r="AR1660" s="241">
        <v>2</v>
      </c>
      <c r="AS1660" s="241" t="s">
        <v>9583</v>
      </c>
    </row>
    <row r="1661" spans="1:45" s="32" customFormat="1" ht="69.95" hidden="1" customHeight="1">
      <c r="A1661" s="29" t="s">
        <v>7130</v>
      </c>
      <c r="B1661" s="29" t="s">
        <v>8652</v>
      </c>
      <c r="C1661" s="40" t="s">
        <v>32</v>
      </c>
      <c r="D1661" s="40"/>
      <c r="E1661" s="57" t="s">
        <v>372</v>
      </c>
      <c r="F1661" s="57" t="s">
        <v>372</v>
      </c>
      <c r="G1661" s="29" t="s">
        <v>3282</v>
      </c>
      <c r="H1661" s="29"/>
      <c r="I1661" s="124" t="s">
        <v>9121</v>
      </c>
      <c r="J1661" s="29">
        <f t="shared" si="120"/>
        <v>1</v>
      </c>
      <c r="K1661" s="42">
        <v>1647</v>
      </c>
      <c r="L1661" s="152" t="s">
        <v>3283</v>
      </c>
      <c r="M1661" s="44" t="s">
        <v>3284</v>
      </c>
      <c r="N1661" s="44" t="s">
        <v>3285</v>
      </c>
      <c r="O1661" s="101" t="str">
        <f>F1661</f>
        <v>PE-M2-1C630-01</v>
      </c>
      <c r="P1661" s="45">
        <v>32000</v>
      </c>
      <c r="Q1661" s="44">
        <v>15750</v>
      </c>
      <c r="R1661" s="44" t="s">
        <v>49</v>
      </c>
      <c r="S1661" s="101">
        <v>490</v>
      </c>
      <c r="T1661" s="46" t="s">
        <v>7082</v>
      </c>
      <c r="U1661" s="46" t="s">
        <v>7130</v>
      </c>
      <c r="V1661" s="43" t="s">
        <v>373</v>
      </c>
      <c r="W1661" s="46" t="s">
        <v>374</v>
      </c>
      <c r="X1661" s="47" t="s">
        <v>304</v>
      </c>
      <c r="Y1661" s="46" t="s">
        <v>7127</v>
      </c>
      <c r="Z1661" s="46" t="s">
        <v>375</v>
      </c>
      <c r="AA1661" s="43" t="s">
        <v>367</v>
      </c>
      <c r="AB1661" s="47" t="s">
        <v>307</v>
      </c>
      <c r="AC1661" s="48" t="s">
        <v>8344</v>
      </c>
      <c r="AD1661" s="30"/>
      <c r="AE1661" s="200"/>
      <c r="AF1661" s="100"/>
      <c r="AR1661" s="241">
        <v>2</v>
      </c>
      <c r="AS1661" s="241" t="s">
        <v>9584</v>
      </c>
    </row>
    <row r="1662" spans="1:45" s="29" customFormat="1" ht="69.95" hidden="1" customHeight="1">
      <c r="A1662" s="29" t="s">
        <v>7130</v>
      </c>
      <c r="B1662" s="49" t="s">
        <v>8652</v>
      </c>
      <c r="C1662" s="50" t="s">
        <v>36</v>
      </c>
      <c r="D1662" s="50"/>
      <c r="E1662" s="57" t="s">
        <v>376</v>
      </c>
      <c r="F1662" s="57" t="s">
        <v>376</v>
      </c>
      <c r="I1662" s="124" t="s">
        <v>9121</v>
      </c>
      <c r="J1662" s="29">
        <f t="shared" si="120"/>
        <v>1</v>
      </c>
      <c r="K1662" s="42">
        <v>1648</v>
      </c>
      <c r="L1662" s="152" t="s">
        <v>3286</v>
      </c>
      <c r="M1662" s="43" t="s">
        <v>3284</v>
      </c>
      <c r="N1662" s="43" t="s">
        <v>3285</v>
      </c>
      <c r="O1662" s="101" t="str">
        <f>F1662</f>
        <v>PE-M2-1C630-02</v>
      </c>
      <c r="P1662" s="51">
        <v>32000</v>
      </c>
      <c r="Q1662" s="43">
        <v>15750</v>
      </c>
      <c r="R1662" s="43" t="s">
        <v>49</v>
      </c>
      <c r="S1662" s="152">
        <v>490</v>
      </c>
      <c r="T1662" s="43" t="s">
        <v>7082</v>
      </c>
      <c r="U1662" s="43" t="s">
        <v>7130</v>
      </c>
      <c r="V1662" s="43" t="s">
        <v>7131</v>
      </c>
      <c r="W1662" s="43" t="s">
        <v>7132</v>
      </c>
      <c r="X1662" s="47" t="s">
        <v>305</v>
      </c>
      <c r="Y1662" s="43" t="s">
        <v>7127</v>
      </c>
      <c r="Z1662" s="43" t="s">
        <v>375</v>
      </c>
      <c r="AA1662" s="43" t="s">
        <v>367</v>
      </c>
      <c r="AB1662" s="47" t="s">
        <v>308</v>
      </c>
      <c r="AC1662" s="52" t="s">
        <v>8344</v>
      </c>
      <c r="AD1662" s="30"/>
      <c r="AE1662" s="197"/>
      <c r="AF1662" s="100"/>
      <c r="AR1662" s="241">
        <v>2</v>
      </c>
      <c r="AS1662" s="241" t="s">
        <v>9584</v>
      </c>
    </row>
    <row r="1663" spans="1:45" s="29" customFormat="1" ht="69.95" hidden="1" customHeight="1">
      <c r="A1663" s="29" t="s">
        <v>7130</v>
      </c>
      <c r="B1663" s="49" t="s">
        <v>8652</v>
      </c>
      <c r="C1663" s="50" t="s">
        <v>38</v>
      </c>
      <c r="D1663" s="50"/>
      <c r="E1663" s="57" t="s">
        <v>377</v>
      </c>
      <c r="F1663" s="57" t="s">
        <v>377</v>
      </c>
      <c r="I1663" s="124" t="s">
        <v>9121</v>
      </c>
      <c r="J1663" s="29">
        <f t="shared" si="120"/>
        <v>1</v>
      </c>
      <c r="K1663" s="42">
        <v>1649</v>
      </c>
      <c r="L1663" s="152" t="s">
        <v>3287</v>
      </c>
      <c r="M1663" s="43" t="s">
        <v>3284</v>
      </c>
      <c r="N1663" s="43" t="s">
        <v>3285</v>
      </c>
      <c r="O1663" s="101" t="str">
        <f>F1663</f>
        <v>PE-M2-1C630-03</v>
      </c>
      <c r="P1663" s="51">
        <v>32000</v>
      </c>
      <c r="Q1663" s="43">
        <v>15750</v>
      </c>
      <c r="R1663" s="43" t="s">
        <v>49</v>
      </c>
      <c r="S1663" s="152">
        <v>490</v>
      </c>
      <c r="T1663" s="43" t="s">
        <v>7082</v>
      </c>
      <c r="U1663" s="43" t="s">
        <v>7130</v>
      </c>
      <c r="V1663" s="43" t="s">
        <v>7131</v>
      </c>
      <c r="W1663" s="43" t="s">
        <v>7132</v>
      </c>
      <c r="X1663" s="47" t="s">
        <v>306</v>
      </c>
      <c r="Y1663" s="43" t="s">
        <v>7127</v>
      </c>
      <c r="Z1663" s="43" t="s">
        <v>375</v>
      </c>
      <c r="AA1663" s="43" t="s">
        <v>367</v>
      </c>
      <c r="AB1663" s="47" t="s">
        <v>309</v>
      </c>
      <c r="AC1663" s="52" t="s">
        <v>8344</v>
      </c>
      <c r="AD1663" s="30"/>
      <c r="AE1663" s="197"/>
      <c r="AF1663" s="100"/>
      <c r="AR1663" s="241">
        <v>2</v>
      </c>
      <c r="AS1663" s="241" t="s">
        <v>9584</v>
      </c>
    </row>
    <row r="1664" spans="1:45" s="29" customFormat="1" ht="69.95" hidden="1" customHeight="1">
      <c r="A1664" s="29" t="s">
        <v>7130</v>
      </c>
      <c r="B1664" s="49" t="s">
        <v>8652</v>
      </c>
      <c r="C1664" s="50" t="s">
        <v>40</v>
      </c>
      <c r="D1664" s="50"/>
      <c r="E1664" s="57" t="s">
        <v>378</v>
      </c>
      <c r="F1664" s="57" t="s">
        <v>378</v>
      </c>
      <c r="I1664" s="124" t="s">
        <v>9121</v>
      </c>
      <c r="J1664" s="29">
        <f t="shared" si="120"/>
        <v>1</v>
      </c>
      <c r="K1664" s="42">
        <v>1650</v>
      </c>
      <c r="L1664" s="152" t="s">
        <v>3288</v>
      </c>
      <c r="M1664" s="43" t="s">
        <v>3284</v>
      </c>
      <c r="N1664" s="43" t="s">
        <v>3285</v>
      </c>
      <c r="O1664" s="101" t="str">
        <f>F1664</f>
        <v>PE-M2-1C630-04</v>
      </c>
      <c r="P1664" s="51">
        <v>32000</v>
      </c>
      <c r="Q1664" s="43">
        <v>15750</v>
      </c>
      <c r="R1664" s="43" t="s">
        <v>49</v>
      </c>
      <c r="S1664" s="152">
        <v>490</v>
      </c>
      <c r="T1664" s="43" t="s">
        <v>7082</v>
      </c>
      <c r="U1664" s="43" t="s">
        <v>7130</v>
      </c>
      <c r="V1664" s="43" t="s">
        <v>7131</v>
      </c>
      <c r="W1664" s="43" t="s">
        <v>7132</v>
      </c>
      <c r="X1664" s="47" t="s">
        <v>304</v>
      </c>
      <c r="Y1664" s="43" t="s">
        <v>7127</v>
      </c>
      <c r="Z1664" s="43" t="s">
        <v>375</v>
      </c>
      <c r="AA1664" s="43" t="s">
        <v>367</v>
      </c>
      <c r="AB1664" s="47" t="s">
        <v>307</v>
      </c>
      <c r="AC1664" s="48" t="s">
        <v>8345</v>
      </c>
      <c r="AD1664" s="30"/>
      <c r="AE1664" s="197"/>
      <c r="AF1664" s="100"/>
      <c r="AR1664" s="241">
        <v>2</v>
      </c>
      <c r="AS1664" s="241" t="s">
        <v>9584</v>
      </c>
    </row>
    <row r="1665" spans="1:45" s="29" customFormat="1" ht="69.95" hidden="1" customHeight="1">
      <c r="A1665" s="29" t="s">
        <v>7130</v>
      </c>
      <c r="B1665" s="49" t="s">
        <v>8652</v>
      </c>
      <c r="C1665" s="50" t="s">
        <v>41</v>
      </c>
      <c r="D1665" s="50"/>
      <c r="E1665" s="57" t="s">
        <v>379</v>
      </c>
      <c r="F1665" s="57" t="s">
        <v>379</v>
      </c>
      <c r="H1665" s="124" t="s">
        <v>9154</v>
      </c>
      <c r="I1665" s="124" t="s">
        <v>9121</v>
      </c>
      <c r="J1665" s="29">
        <f t="shared" si="120"/>
        <v>1</v>
      </c>
      <c r="K1665" s="42">
        <v>1651</v>
      </c>
      <c r="L1665" s="152" t="s">
        <v>3289</v>
      </c>
      <c r="M1665" s="43" t="s">
        <v>3284</v>
      </c>
      <c r="N1665" s="43" t="s">
        <v>3285</v>
      </c>
      <c r="O1665" s="101" t="str">
        <f>F1665</f>
        <v>PE-M2-1C630-05</v>
      </c>
      <c r="P1665" s="51">
        <v>32000</v>
      </c>
      <c r="Q1665" s="43">
        <v>15750</v>
      </c>
      <c r="R1665" s="43" t="s">
        <v>49</v>
      </c>
      <c r="S1665" s="152">
        <v>490</v>
      </c>
      <c r="T1665" s="43" t="s">
        <v>7082</v>
      </c>
      <c r="U1665" s="43" t="s">
        <v>7130</v>
      </c>
      <c r="V1665" s="43" t="s">
        <v>7131</v>
      </c>
      <c r="W1665" s="43" t="s">
        <v>7132</v>
      </c>
      <c r="X1665" s="47" t="s">
        <v>305</v>
      </c>
      <c r="Y1665" s="43" t="s">
        <v>7127</v>
      </c>
      <c r="Z1665" s="43" t="s">
        <v>375</v>
      </c>
      <c r="AA1665" s="43" t="s">
        <v>367</v>
      </c>
      <c r="AB1665" s="47" t="s">
        <v>308</v>
      </c>
      <c r="AC1665" s="52" t="s">
        <v>8345</v>
      </c>
      <c r="AD1665" s="30"/>
      <c r="AE1665" s="197"/>
      <c r="AF1665" s="100"/>
      <c r="AR1665" s="241">
        <v>2</v>
      </c>
      <c r="AS1665" s="241" t="s">
        <v>9584</v>
      </c>
    </row>
    <row r="1666" spans="1:45" s="29" customFormat="1" ht="69.95" hidden="1" customHeight="1">
      <c r="A1666" s="29" t="s">
        <v>7130</v>
      </c>
      <c r="B1666" s="49" t="s">
        <v>8652</v>
      </c>
      <c r="C1666" s="50" t="s">
        <v>42</v>
      </c>
      <c r="D1666" s="50"/>
      <c r="E1666" s="57" t="s">
        <v>380</v>
      </c>
      <c r="F1666" s="57" t="s">
        <v>380</v>
      </c>
      <c r="J1666" s="29">
        <f t="shared" si="120"/>
        <v>1</v>
      </c>
      <c r="K1666" s="42">
        <v>1652</v>
      </c>
      <c r="L1666" s="43" t="s">
        <v>3290</v>
      </c>
      <c r="M1666" s="43" t="s">
        <v>3284</v>
      </c>
      <c r="N1666" s="43" t="s">
        <v>3285</v>
      </c>
      <c r="O1666" s="44" t="str">
        <f t="shared" ref="O1666:O1667" si="121">F1666</f>
        <v>PE-M2-1C630-06</v>
      </c>
      <c r="P1666" s="51">
        <v>32000</v>
      </c>
      <c r="Q1666" s="43">
        <v>15750</v>
      </c>
      <c r="R1666" s="43" t="s">
        <v>49</v>
      </c>
      <c r="S1666" s="43">
        <v>490</v>
      </c>
      <c r="T1666" s="43" t="s">
        <v>7082</v>
      </c>
      <c r="U1666" s="43" t="s">
        <v>7130</v>
      </c>
      <c r="V1666" s="43" t="s">
        <v>7131</v>
      </c>
      <c r="W1666" s="43" t="s">
        <v>7132</v>
      </c>
      <c r="X1666" s="47" t="s">
        <v>306</v>
      </c>
      <c r="Y1666" s="43" t="s">
        <v>7127</v>
      </c>
      <c r="Z1666" s="43" t="s">
        <v>375</v>
      </c>
      <c r="AA1666" s="43" t="s">
        <v>367</v>
      </c>
      <c r="AB1666" s="47" t="s">
        <v>309</v>
      </c>
      <c r="AC1666" s="52" t="s">
        <v>8345</v>
      </c>
      <c r="AD1666" s="30"/>
      <c r="AE1666" s="198"/>
      <c r="AF1666" s="103"/>
      <c r="AR1666" s="241">
        <v>2</v>
      </c>
      <c r="AS1666" s="241" t="s">
        <v>9584</v>
      </c>
    </row>
    <row r="1667" spans="1:45" s="32" customFormat="1" ht="69.95" hidden="1" customHeight="1">
      <c r="A1667" s="29" t="s">
        <v>7133</v>
      </c>
      <c r="B1667" s="29" t="s">
        <v>3769</v>
      </c>
      <c r="C1667" s="40" t="s">
        <v>32</v>
      </c>
      <c r="D1667" s="124" t="s">
        <v>9444</v>
      </c>
      <c r="E1667" s="57" t="s">
        <v>8597</v>
      </c>
      <c r="F1667" s="57" t="s">
        <v>8597</v>
      </c>
      <c r="G1667" s="29" t="s">
        <v>8150</v>
      </c>
      <c r="H1667" s="124" t="s">
        <v>9445</v>
      </c>
      <c r="I1667" s="124" t="s">
        <v>9121</v>
      </c>
      <c r="J1667" s="29">
        <f t="shared" si="120"/>
        <v>1</v>
      </c>
      <c r="K1667" s="42">
        <v>1653</v>
      </c>
      <c r="L1667" s="152" t="s">
        <v>9565</v>
      </c>
      <c r="M1667" s="44" t="s">
        <v>405</v>
      </c>
      <c r="N1667" s="44" t="s">
        <v>8928</v>
      </c>
      <c r="O1667" s="101" t="str">
        <f t="shared" si="121"/>
        <v>PE-L1-3C4-03</v>
      </c>
      <c r="P1667" s="45">
        <v>0.15</v>
      </c>
      <c r="Q1667" s="44">
        <v>230</v>
      </c>
      <c r="R1667" s="44" t="s">
        <v>49</v>
      </c>
      <c r="S1667" s="101">
        <v>30</v>
      </c>
      <c r="T1667" s="46" t="s">
        <v>7981</v>
      </c>
      <c r="U1667" s="46" t="s">
        <v>7133</v>
      </c>
      <c r="V1667" s="46" t="s">
        <v>8678</v>
      </c>
      <c r="W1667" s="46" t="s">
        <v>381</v>
      </c>
      <c r="X1667" s="172" t="s">
        <v>9167</v>
      </c>
      <c r="Y1667" s="46" t="s">
        <v>7134</v>
      </c>
      <c r="Z1667" s="46" t="s">
        <v>8146</v>
      </c>
      <c r="AA1667" s="46" t="s">
        <v>3931</v>
      </c>
      <c r="AB1667" s="172" t="s">
        <v>9167</v>
      </c>
      <c r="AC1667" s="48" t="s">
        <v>7136</v>
      </c>
      <c r="AD1667" s="30"/>
      <c r="AE1667" s="201">
        <v>1</v>
      </c>
      <c r="AF1667" s="100" t="s">
        <v>8929</v>
      </c>
      <c r="AG1667" s="100" t="s">
        <v>8925</v>
      </c>
      <c r="AH1667" s="100">
        <v>13</v>
      </c>
    </row>
    <row r="1668" spans="1:45" s="32" customFormat="1" ht="69.95" hidden="1" customHeight="1">
      <c r="A1668" s="29" t="s">
        <v>7137</v>
      </c>
      <c r="B1668" s="29" t="s">
        <v>3769</v>
      </c>
      <c r="C1668" s="69" t="s">
        <v>36</v>
      </c>
      <c r="D1668" s="69"/>
      <c r="E1668" s="57" t="s">
        <v>8149</v>
      </c>
      <c r="F1668" s="57" t="s">
        <v>8149</v>
      </c>
      <c r="G1668" s="29" t="s">
        <v>3292</v>
      </c>
      <c r="H1668" s="29"/>
      <c r="I1668" s="124" t="s">
        <v>9121</v>
      </c>
      <c r="J1668" s="29">
        <f t="shared" si="120"/>
        <v>1</v>
      </c>
      <c r="K1668" s="42">
        <v>1654</v>
      </c>
      <c r="L1668" s="152" t="s">
        <v>3293</v>
      </c>
      <c r="M1668" s="44" t="s">
        <v>405</v>
      </c>
      <c r="N1668" s="101" t="s">
        <v>426</v>
      </c>
      <c r="O1668" s="101" t="str">
        <f t="shared" ref="O1668:O1674" si="122">F1668</f>
        <v>PE-L1-3C4-18</v>
      </c>
      <c r="P1668" s="45">
        <v>7.2999999999999995E-2</v>
      </c>
      <c r="Q1668" s="44">
        <v>230</v>
      </c>
      <c r="R1668" s="44" t="s">
        <v>49</v>
      </c>
      <c r="S1668" s="101">
        <v>120</v>
      </c>
      <c r="T1668" s="46" t="s">
        <v>7981</v>
      </c>
      <c r="U1668" s="46" t="s">
        <v>7137</v>
      </c>
      <c r="V1668" s="46" t="s">
        <v>8678</v>
      </c>
      <c r="W1668" s="46" t="s">
        <v>381</v>
      </c>
      <c r="X1668" s="172" t="s">
        <v>9167</v>
      </c>
      <c r="Y1668" s="47" t="s">
        <v>7138</v>
      </c>
      <c r="Z1668" s="46" t="s">
        <v>8042</v>
      </c>
      <c r="AA1668" s="46" t="s">
        <v>3931</v>
      </c>
      <c r="AB1668" s="172" t="s">
        <v>9167</v>
      </c>
      <c r="AC1668" s="48" t="s">
        <v>7140</v>
      </c>
      <c r="AD1668" s="206" t="s">
        <v>8840</v>
      </c>
      <c r="AE1668" s="192">
        <v>1</v>
      </c>
      <c r="AF1668" s="100" t="s">
        <v>8722</v>
      </c>
      <c r="AG1668" s="100" t="s">
        <v>8925</v>
      </c>
      <c r="AH1668" s="100">
        <v>13</v>
      </c>
    </row>
    <row r="1669" spans="1:45" s="32" customFormat="1" ht="69.95" hidden="1" customHeight="1">
      <c r="A1669" s="29" t="s">
        <v>7141</v>
      </c>
      <c r="B1669" s="29" t="s">
        <v>3769</v>
      </c>
      <c r="C1669" s="69" t="s">
        <v>38</v>
      </c>
      <c r="D1669" s="69"/>
      <c r="E1669" s="57" t="s">
        <v>8149</v>
      </c>
      <c r="F1669" s="57" t="s">
        <v>8149</v>
      </c>
      <c r="G1669" s="29" t="s">
        <v>3294</v>
      </c>
      <c r="H1669" s="29"/>
      <c r="I1669" s="124" t="s">
        <v>9121</v>
      </c>
      <c r="J1669" s="29">
        <f t="shared" si="120"/>
        <v>1</v>
      </c>
      <c r="K1669" s="42">
        <v>1655</v>
      </c>
      <c r="L1669" s="152" t="s">
        <v>3295</v>
      </c>
      <c r="M1669" s="44" t="s">
        <v>405</v>
      </c>
      <c r="N1669" s="101" t="s">
        <v>426</v>
      </c>
      <c r="O1669" s="101" t="str">
        <f t="shared" si="122"/>
        <v>PE-L1-3C4-18</v>
      </c>
      <c r="P1669" s="45">
        <v>7.2999999999999995E-2</v>
      </c>
      <c r="Q1669" s="44">
        <v>230</v>
      </c>
      <c r="R1669" s="44" t="s">
        <v>49</v>
      </c>
      <c r="S1669" s="101">
        <v>120</v>
      </c>
      <c r="T1669" s="46" t="s">
        <v>7981</v>
      </c>
      <c r="U1669" s="46" t="s">
        <v>7141</v>
      </c>
      <c r="V1669" s="46" t="s">
        <v>8678</v>
      </c>
      <c r="W1669" s="46" t="s">
        <v>381</v>
      </c>
      <c r="X1669" s="172" t="s">
        <v>9167</v>
      </c>
      <c r="Y1669" s="47" t="s">
        <v>7142</v>
      </c>
      <c r="Z1669" s="46" t="s">
        <v>8161</v>
      </c>
      <c r="AA1669" s="46" t="s">
        <v>3931</v>
      </c>
      <c r="AB1669" s="172" t="s">
        <v>9167</v>
      </c>
      <c r="AC1669" s="48" t="s">
        <v>7140</v>
      </c>
      <c r="AD1669" s="206" t="s">
        <v>8841</v>
      </c>
      <c r="AE1669" s="192">
        <v>1</v>
      </c>
      <c r="AF1669" s="100" t="s">
        <v>8722</v>
      </c>
      <c r="AG1669" s="100" t="s">
        <v>8925</v>
      </c>
      <c r="AH1669" s="100">
        <v>13</v>
      </c>
    </row>
    <row r="1670" spans="1:45" s="32" customFormat="1" ht="69.95" hidden="1" customHeight="1">
      <c r="A1670" s="29" t="s">
        <v>7144</v>
      </c>
      <c r="B1670" s="29" t="s">
        <v>3769</v>
      </c>
      <c r="C1670" s="69" t="s">
        <v>40</v>
      </c>
      <c r="D1670" s="69"/>
      <c r="E1670" s="57" t="s">
        <v>8149</v>
      </c>
      <c r="F1670" s="57" t="s">
        <v>8149</v>
      </c>
      <c r="G1670" s="29" t="s">
        <v>3296</v>
      </c>
      <c r="H1670" s="29"/>
      <c r="I1670" s="124" t="s">
        <v>9121</v>
      </c>
      <c r="J1670" s="29">
        <f t="shared" si="120"/>
        <v>1</v>
      </c>
      <c r="K1670" s="42">
        <v>1656</v>
      </c>
      <c r="L1670" s="152" t="s">
        <v>3297</v>
      </c>
      <c r="M1670" s="44" t="s">
        <v>405</v>
      </c>
      <c r="N1670" s="101" t="s">
        <v>426</v>
      </c>
      <c r="O1670" s="101" t="str">
        <f t="shared" si="122"/>
        <v>PE-L1-3C4-18</v>
      </c>
      <c r="P1670" s="45">
        <v>7.2999999999999995E-2</v>
      </c>
      <c r="Q1670" s="44">
        <v>230</v>
      </c>
      <c r="R1670" s="44" t="s">
        <v>49</v>
      </c>
      <c r="S1670" s="101">
        <v>120</v>
      </c>
      <c r="T1670" s="46" t="s">
        <v>7981</v>
      </c>
      <c r="U1670" s="46" t="s">
        <v>7144</v>
      </c>
      <c r="V1670" s="46" t="s">
        <v>8678</v>
      </c>
      <c r="W1670" s="46" t="s">
        <v>381</v>
      </c>
      <c r="X1670" s="172" t="s">
        <v>9167</v>
      </c>
      <c r="Y1670" s="47" t="s">
        <v>7145</v>
      </c>
      <c r="Z1670" s="46" t="s">
        <v>8163</v>
      </c>
      <c r="AA1670" s="46" t="s">
        <v>3931</v>
      </c>
      <c r="AB1670" s="172" t="s">
        <v>9167</v>
      </c>
      <c r="AC1670" s="48" t="s">
        <v>7140</v>
      </c>
      <c r="AD1670" s="206" t="s">
        <v>8842</v>
      </c>
      <c r="AE1670" s="192">
        <v>1</v>
      </c>
      <c r="AF1670" s="100" t="s">
        <v>8722</v>
      </c>
      <c r="AG1670" s="100" t="s">
        <v>8925</v>
      </c>
      <c r="AH1670" s="100">
        <v>13</v>
      </c>
    </row>
    <row r="1671" spans="1:45" s="32" customFormat="1" ht="69.95" hidden="1" customHeight="1">
      <c r="A1671" s="29" t="s">
        <v>7147</v>
      </c>
      <c r="B1671" s="29" t="s">
        <v>3769</v>
      </c>
      <c r="C1671" s="69" t="s">
        <v>41</v>
      </c>
      <c r="D1671" s="69"/>
      <c r="E1671" s="57" t="s">
        <v>76</v>
      </c>
      <c r="F1671" s="57" t="s">
        <v>8166</v>
      </c>
      <c r="G1671" s="29" t="s">
        <v>3298</v>
      </c>
      <c r="H1671" s="29"/>
      <c r="I1671" s="124" t="s">
        <v>9121</v>
      </c>
      <c r="J1671" s="29">
        <f t="shared" si="120"/>
        <v>1</v>
      </c>
      <c r="K1671" s="42">
        <v>1657</v>
      </c>
      <c r="L1671" s="152" t="s">
        <v>3299</v>
      </c>
      <c r="M1671" s="44" t="s">
        <v>405</v>
      </c>
      <c r="N1671" s="44" t="s">
        <v>536</v>
      </c>
      <c r="O1671" s="101" t="str">
        <f t="shared" si="122"/>
        <v>PE-L1-4C4-02</v>
      </c>
      <c r="P1671" s="45">
        <v>4.9000000000000004</v>
      </c>
      <c r="Q1671" s="44">
        <v>400</v>
      </c>
      <c r="R1671" s="44" t="s">
        <v>49</v>
      </c>
      <c r="S1671" s="101">
        <v>120</v>
      </c>
      <c r="T1671" s="46" t="s">
        <v>7981</v>
      </c>
      <c r="U1671" s="46" t="s">
        <v>7147</v>
      </c>
      <c r="V1671" s="46" t="s">
        <v>8678</v>
      </c>
      <c r="W1671" s="46" t="s">
        <v>381</v>
      </c>
      <c r="X1671" s="47" t="s">
        <v>8721</v>
      </c>
      <c r="Y1671" s="47" t="s">
        <v>7148</v>
      </c>
      <c r="Z1671" s="46" t="s">
        <v>8043</v>
      </c>
      <c r="AA1671" s="46" t="s">
        <v>3931</v>
      </c>
      <c r="AB1671" s="47" t="s">
        <v>8721</v>
      </c>
      <c r="AC1671" s="48" t="s">
        <v>7150</v>
      </c>
      <c r="AD1671" s="30"/>
      <c r="AE1671" s="202">
        <v>1</v>
      </c>
      <c r="AF1671" s="109" t="s">
        <v>8922</v>
      </c>
      <c r="AG1671" s="109" t="s">
        <v>8925</v>
      </c>
      <c r="AH1671" s="109">
        <v>14</v>
      </c>
    </row>
    <row r="1672" spans="1:45" s="32" customFormat="1" ht="69.95" hidden="1" customHeight="1">
      <c r="A1672" s="29" t="s">
        <v>7151</v>
      </c>
      <c r="B1672" s="29" t="s">
        <v>3769</v>
      </c>
      <c r="C1672" s="69" t="s">
        <v>42</v>
      </c>
      <c r="D1672" s="69"/>
      <c r="E1672" s="57" t="s">
        <v>8149</v>
      </c>
      <c r="F1672" s="57" t="s">
        <v>8149</v>
      </c>
      <c r="G1672" s="29" t="s">
        <v>3300</v>
      </c>
      <c r="H1672" s="29"/>
      <c r="I1672" s="124" t="s">
        <v>9121</v>
      </c>
      <c r="J1672" s="29">
        <f t="shared" ref="J1672:J1735" si="123">COUNTIF(L:L,L1672)</f>
        <v>1</v>
      </c>
      <c r="K1672" s="42">
        <v>1658</v>
      </c>
      <c r="L1672" s="152" t="s">
        <v>3301</v>
      </c>
      <c r="M1672" s="44" t="s">
        <v>405</v>
      </c>
      <c r="N1672" s="44" t="s">
        <v>426</v>
      </c>
      <c r="O1672" s="101" t="str">
        <f t="shared" si="122"/>
        <v>PE-L1-3C4-18</v>
      </c>
      <c r="P1672" s="45">
        <v>0.5</v>
      </c>
      <c r="Q1672" s="44">
        <v>230</v>
      </c>
      <c r="R1672" s="44" t="s">
        <v>49</v>
      </c>
      <c r="S1672" s="101">
        <v>120</v>
      </c>
      <c r="T1672" s="46" t="s">
        <v>7981</v>
      </c>
      <c r="U1672" s="46" t="s">
        <v>7151</v>
      </c>
      <c r="V1672" s="46" t="s">
        <v>8678</v>
      </c>
      <c r="W1672" s="46" t="s">
        <v>381</v>
      </c>
      <c r="X1672" s="172" t="s">
        <v>9167</v>
      </c>
      <c r="Y1672" s="47" t="s">
        <v>7152</v>
      </c>
      <c r="Z1672" s="46" t="s">
        <v>8044</v>
      </c>
      <c r="AA1672" s="46" t="s">
        <v>3931</v>
      </c>
      <c r="AB1672" s="172" t="s">
        <v>9167</v>
      </c>
      <c r="AC1672" s="48" t="s">
        <v>7154</v>
      </c>
      <c r="AD1672" s="30"/>
      <c r="AE1672" s="192">
        <v>1</v>
      </c>
      <c r="AF1672" s="100" t="s">
        <v>8722</v>
      </c>
      <c r="AG1672" s="100" t="s">
        <v>8925</v>
      </c>
      <c r="AH1672" s="100">
        <v>13</v>
      </c>
    </row>
    <row r="1673" spans="1:45" s="32" customFormat="1" ht="69.95" hidden="1" customHeight="1">
      <c r="A1673" s="29" t="s">
        <v>7155</v>
      </c>
      <c r="B1673" s="29" t="s">
        <v>3769</v>
      </c>
      <c r="C1673" s="69" t="s">
        <v>43</v>
      </c>
      <c r="D1673" s="69"/>
      <c r="E1673" s="57" t="s">
        <v>8149</v>
      </c>
      <c r="F1673" s="57" t="s">
        <v>8149</v>
      </c>
      <c r="G1673" s="29" t="s">
        <v>3302</v>
      </c>
      <c r="H1673" s="29"/>
      <c r="I1673" s="124" t="s">
        <v>9121</v>
      </c>
      <c r="J1673" s="29">
        <f t="shared" si="123"/>
        <v>1</v>
      </c>
      <c r="K1673" s="42">
        <v>1659</v>
      </c>
      <c r="L1673" s="152" t="s">
        <v>3303</v>
      </c>
      <c r="M1673" s="44" t="s">
        <v>405</v>
      </c>
      <c r="N1673" s="44" t="s">
        <v>7984</v>
      </c>
      <c r="O1673" s="101" t="str">
        <f t="shared" si="122"/>
        <v>PE-L1-3C4-18</v>
      </c>
      <c r="P1673" s="45">
        <v>0.5</v>
      </c>
      <c r="Q1673" s="44">
        <v>230</v>
      </c>
      <c r="R1673" s="44" t="s">
        <v>49</v>
      </c>
      <c r="S1673" s="101">
        <v>120</v>
      </c>
      <c r="T1673" s="46" t="s">
        <v>7981</v>
      </c>
      <c r="U1673" s="46" t="s">
        <v>7155</v>
      </c>
      <c r="V1673" s="46" t="s">
        <v>8678</v>
      </c>
      <c r="W1673" s="46" t="s">
        <v>381</v>
      </c>
      <c r="X1673" s="172" t="s">
        <v>9167</v>
      </c>
      <c r="Y1673" s="47" t="s">
        <v>7156</v>
      </c>
      <c r="Z1673" s="46" t="s">
        <v>8041</v>
      </c>
      <c r="AA1673" s="46" t="s">
        <v>3931</v>
      </c>
      <c r="AB1673" s="172" t="s">
        <v>9167</v>
      </c>
      <c r="AC1673" s="48" t="s">
        <v>7158</v>
      </c>
      <c r="AD1673" s="30"/>
      <c r="AE1673" s="192">
        <v>1</v>
      </c>
      <c r="AF1673" s="100" t="s">
        <v>8722</v>
      </c>
      <c r="AG1673" s="100" t="s">
        <v>8925</v>
      </c>
      <c r="AH1673" s="100">
        <v>13</v>
      </c>
    </row>
    <row r="1674" spans="1:45" s="32" customFormat="1" ht="69.95" hidden="1" customHeight="1">
      <c r="A1674" s="29" t="s">
        <v>7159</v>
      </c>
      <c r="B1674" s="29" t="s">
        <v>3769</v>
      </c>
      <c r="C1674" s="69" t="s">
        <v>73</v>
      </c>
      <c r="D1674" s="69"/>
      <c r="E1674" s="57" t="s">
        <v>8149</v>
      </c>
      <c r="F1674" s="57" t="s">
        <v>8149</v>
      </c>
      <c r="G1674" s="29" t="s">
        <v>3304</v>
      </c>
      <c r="H1674" s="29"/>
      <c r="I1674" s="124" t="s">
        <v>9121</v>
      </c>
      <c r="J1674" s="29">
        <f t="shared" si="123"/>
        <v>1</v>
      </c>
      <c r="K1674" s="42">
        <v>1660</v>
      </c>
      <c r="L1674" s="152" t="s">
        <v>3305</v>
      </c>
      <c r="M1674" s="44" t="s">
        <v>405</v>
      </c>
      <c r="N1674" s="44" t="s">
        <v>426</v>
      </c>
      <c r="O1674" s="101" t="str">
        <f t="shared" si="122"/>
        <v>PE-L1-3C4-18</v>
      </c>
      <c r="P1674" s="45">
        <v>0.5</v>
      </c>
      <c r="Q1674" s="44">
        <v>230</v>
      </c>
      <c r="R1674" s="44" t="s">
        <v>49</v>
      </c>
      <c r="S1674" s="101">
        <v>120</v>
      </c>
      <c r="T1674" s="46" t="s">
        <v>7981</v>
      </c>
      <c r="U1674" s="46" t="s">
        <v>7159</v>
      </c>
      <c r="V1674" s="46" t="s">
        <v>8678</v>
      </c>
      <c r="W1674" s="46" t="s">
        <v>381</v>
      </c>
      <c r="X1674" s="172" t="s">
        <v>9167</v>
      </c>
      <c r="Y1674" s="47" t="s">
        <v>7160</v>
      </c>
      <c r="Z1674" s="46" t="s">
        <v>8045</v>
      </c>
      <c r="AA1674" s="46" t="s">
        <v>3931</v>
      </c>
      <c r="AB1674" s="172" t="s">
        <v>9167</v>
      </c>
      <c r="AC1674" s="48" t="s">
        <v>7162</v>
      </c>
      <c r="AD1674" s="30"/>
      <c r="AE1674" s="192">
        <v>1</v>
      </c>
      <c r="AF1674" s="100" t="s">
        <v>8722</v>
      </c>
      <c r="AG1674" s="100" t="s">
        <v>8925</v>
      </c>
      <c r="AH1674" s="100">
        <v>13</v>
      </c>
    </row>
    <row r="1675" spans="1:45" s="32" customFormat="1" ht="69.95" hidden="1" customHeight="1">
      <c r="A1675" s="29" t="s">
        <v>7163</v>
      </c>
      <c r="B1675" s="29" t="s">
        <v>3769</v>
      </c>
      <c r="C1675" s="69" t="s">
        <v>75</v>
      </c>
      <c r="D1675" s="69"/>
      <c r="E1675" s="57" t="s">
        <v>88</v>
      </c>
      <c r="F1675" s="57" t="s">
        <v>8283</v>
      </c>
      <c r="G1675" s="29" t="s">
        <v>3306</v>
      </c>
      <c r="H1675" s="29"/>
      <c r="I1675" s="29"/>
      <c r="J1675" s="29">
        <f t="shared" si="123"/>
        <v>1</v>
      </c>
      <c r="K1675" s="42">
        <v>1661</v>
      </c>
      <c r="L1675" s="43" t="s">
        <v>3307</v>
      </c>
      <c r="M1675" s="44" t="s">
        <v>405</v>
      </c>
      <c r="N1675" s="44" t="s">
        <v>536</v>
      </c>
      <c r="O1675" s="44" t="str">
        <f t="shared" ref="O1675:O1685" si="124">F1675</f>
        <v>PE-L1-4C4-01</v>
      </c>
      <c r="P1675" s="45">
        <v>2.2000000000000002</v>
      </c>
      <c r="Q1675" s="44">
        <v>400</v>
      </c>
      <c r="R1675" s="44" t="s">
        <v>49</v>
      </c>
      <c r="S1675" s="44">
        <v>50</v>
      </c>
      <c r="T1675" s="46" t="s">
        <v>7981</v>
      </c>
      <c r="U1675" s="46" t="s">
        <v>7163</v>
      </c>
      <c r="V1675" s="46" t="s">
        <v>8678</v>
      </c>
      <c r="W1675" s="46" t="s">
        <v>381</v>
      </c>
      <c r="X1675" s="47" t="s">
        <v>9305</v>
      </c>
      <c r="Y1675" s="47" t="s">
        <v>7164</v>
      </c>
      <c r="Z1675" s="46" t="s">
        <v>8046</v>
      </c>
      <c r="AA1675" s="46" t="s">
        <v>3931</v>
      </c>
      <c r="AB1675" s="47" t="s">
        <v>9305</v>
      </c>
      <c r="AC1675" s="48" t="s">
        <v>7166</v>
      </c>
      <c r="AD1675" s="30"/>
      <c r="AE1675" s="192">
        <v>1</v>
      </c>
      <c r="AF1675" s="100" t="s">
        <v>8922</v>
      </c>
      <c r="AG1675" s="100" t="s">
        <v>8925</v>
      </c>
      <c r="AH1675" s="100">
        <v>14</v>
      </c>
    </row>
    <row r="1676" spans="1:45" s="32" customFormat="1" ht="69.95" hidden="1" customHeight="1">
      <c r="A1676" s="29" t="s">
        <v>7167</v>
      </c>
      <c r="B1676" s="29" t="s">
        <v>3769</v>
      </c>
      <c r="C1676" s="69" t="s">
        <v>205</v>
      </c>
      <c r="D1676" s="69"/>
      <c r="E1676" s="57" t="s">
        <v>88</v>
      </c>
      <c r="F1676" s="57" t="s">
        <v>8283</v>
      </c>
      <c r="G1676" s="29" t="s">
        <v>3308</v>
      </c>
      <c r="H1676" s="29"/>
      <c r="I1676" s="29"/>
      <c r="J1676" s="29">
        <f t="shared" si="123"/>
        <v>1</v>
      </c>
      <c r="K1676" s="42">
        <v>1662</v>
      </c>
      <c r="L1676" s="43" t="s">
        <v>3309</v>
      </c>
      <c r="M1676" s="44" t="s">
        <v>405</v>
      </c>
      <c r="N1676" s="44" t="s">
        <v>536</v>
      </c>
      <c r="O1676" s="44" t="str">
        <f t="shared" si="124"/>
        <v>PE-L1-4C4-01</v>
      </c>
      <c r="P1676" s="45">
        <v>2.2000000000000002</v>
      </c>
      <c r="Q1676" s="44">
        <v>400</v>
      </c>
      <c r="R1676" s="44" t="s">
        <v>49</v>
      </c>
      <c r="S1676" s="44">
        <v>50</v>
      </c>
      <c r="T1676" s="46" t="s">
        <v>7981</v>
      </c>
      <c r="U1676" s="46" t="s">
        <v>7167</v>
      </c>
      <c r="V1676" s="46" t="s">
        <v>8678</v>
      </c>
      <c r="W1676" s="46" t="s">
        <v>381</v>
      </c>
      <c r="X1676" s="47" t="s">
        <v>8721</v>
      </c>
      <c r="Y1676" s="47" t="s">
        <v>7168</v>
      </c>
      <c r="Z1676" s="46" t="s">
        <v>7169</v>
      </c>
      <c r="AA1676" s="46" t="s">
        <v>3931</v>
      </c>
      <c r="AB1676" s="47" t="s">
        <v>8721</v>
      </c>
      <c r="AC1676" s="48" t="s">
        <v>7170</v>
      </c>
      <c r="AD1676" s="30"/>
      <c r="AE1676" s="192">
        <v>1</v>
      </c>
      <c r="AF1676" s="100" t="s">
        <v>8722</v>
      </c>
      <c r="AG1676" s="100" t="s">
        <v>8925</v>
      </c>
      <c r="AH1676" s="100">
        <v>14</v>
      </c>
    </row>
    <row r="1677" spans="1:45" s="32" customFormat="1" ht="69.95" hidden="1" customHeight="1">
      <c r="A1677" s="29" t="s">
        <v>8653</v>
      </c>
      <c r="B1677" s="29" t="s">
        <v>8652</v>
      </c>
      <c r="C1677" s="69" t="s">
        <v>32</v>
      </c>
      <c r="D1677" s="69" t="s">
        <v>9398</v>
      </c>
      <c r="E1677" s="57" t="s">
        <v>8158</v>
      </c>
      <c r="F1677" s="121" t="s">
        <v>9568</v>
      </c>
      <c r="G1677" s="29" t="s">
        <v>3310</v>
      </c>
      <c r="H1677" s="29"/>
      <c r="I1677" s="29"/>
      <c r="J1677" s="29">
        <f t="shared" si="123"/>
        <v>1</v>
      </c>
      <c r="K1677" s="42">
        <v>1663</v>
      </c>
      <c r="L1677" s="43" t="s">
        <v>7996</v>
      </c>
      <c r="M1677" s="128" t="s">
        <v>417</v>
      </c>
      <c r="N1677" s="44" t="s">
        <v>7978</v>
      </c>
      <c r="O1677" s="126" t="str">
        <f t="shared" si="124"/>
        <v>PE-M1-1C240-07</v>
      </c>
      <c r="P1677" s="45" t="s">
        <v>1613</v>
      </c>
      <c r="Q1677" s="44">
        <v>1400</v>
      </c>
      <c r="R1677" s="44" t="s">
        <v>49</v>
      </c>
      <c r="S1677" s="44">
        <v>60</v>
      </c>
      <c r="T1677" s="46" t="s">
        <v>7981</v>
      </c>
      <c r="U1677" s="47" t="s">
        <v>7995</v>
      </c>
      <c r="V1677" s="46" t="s">
        <v>8679</v>
      </c>
      <c r="W1677" s="46" t="s">
        <v>8680</v>
      </c>
      <c r="X1677" s="47" t="s">
        <v>304</v>
      </c>
      <c r="Y1677" s="43" t="s">
        <v>6319</v>
      </c>
      <c r="Z1677" s="43" t="s">
        <v>8285</v>
      </c>
      <c r="AA1677" s="43" t="s">
        <v>3931</v>
      </c>
      <c r="AB1677" s="47" t="s">
        <v>307</v>
      </c>
      <c r="AC1677" s="48" t="s">
        <v>8155</v>
      </c>
      <c r="AD1677" s="30"/>
      <c r="AE1677" s="192">
        <v>1</v>
      </c>
      <c r="AF1677" s="100" t="s">
        <v>8923</v>
      </c>
      <c r="AG1677" s="100" t="s">
        <v>8932</v>
      </c>
      <c r="AH1677" s="111">
        <v>33</v>
      </c>
      <c r="AK1677" s="241">
        <v>1</v>
      </c>
      <c r="AL1677" s="241" t="s">
        <v>9576</v>
      </c>
      <c r="AM1677" s="241">
        <v>1</v>
      </c>
      <c r="AN1677" s="241">
        <v>1</v>
      </c>
      <c r="AO1677" s="241" t="s">
        <v>9576</v>
      </c>
      <c r="AP1677" s="241">
        <v>1</v>
      </c>
      <c r="AR1677" s="241">
        <v>2</v>
      </c>
      <c r="AS1677" s="241" t="s">
        <v>9582</v>
      </c>
    </row>
    <row r="1678" spans="1:45" s="32" customFormat="1" ht="69.95" hidden="1" customHeight="1">
      <c r="A1678" s="29" t="s">
        <v>8653</v>
      </c>
      <c r="B1678" s="29" t="s">
        <v>8652</v>
      </c>
      <c r="C1678" s="69" t="s">
        <v>36</v>
      </c>
      <c r="D1678" s="69" t="s">
        <v>9398</v>
      </c>
      <c r="E1678" s="57" t="s">
        <v>8158</v>
      </c>
      <c r="F1678" s="121" t="s">
        <v>317</v>
      </c>
      <c r="G1678" s="29" t="s">
        <v>3291</v>
      </c>
      <c r="H1678" s="29"/>
      <c r="I1678" s="29"/>
      <c r="J1678" s="29">
        <f t="shared" si="123"/>
        <v>1</v>
      </c>
      <c r="K1678" s="42">
        <v>1664</v>
      </c>
      <c r="L1678" s="43" t="s">
        <v>7997</v>
      </c>
      <c r="M1678" s="128" t="s">
        <v>417</v>
      </c>
      <c r="N1678" s="44" t="s">
        <v>7978</v>
      </c>
      <c r="O1678" s="126" t="str">
        <f t="shared" si="124"/>
        <v>PE-M1-1C240-07</v>
      </c>
      <c r="P1678" s="51" t="s">
        <v>1613</v>
      </c>
      <c r="Q1678" s="43">
        <v>1400</v>
      </c>
      <c r="R1678" s="43" t="s">
        <v>49</v>
      </c>
      <c r="S1678" s="43">
        <v>60</v>
      </c>
      <c r="T1678" s="46" t="s">
        <v>7981</v>
      </c>
      <c r="U1678" s="47" t="s">
        <v>7995</v>
      </c>
      <c r="V1678" s="46" t="s">
        <v>8679</v>
      </c>
      <c r="W1678" s="46" t="s">
        <v>8680</v>
      </c>
      <c r="X1678" s="47" t="s">
        <v>305</v>
      </c>
      <c r="Y1678" s="43" t="s">
        <v>6319</v>
      </c>
      <c r="Z1678" s="43" t="s">
        <v>6320</v>
      </c>
      <c r="AA1678" s="43" t="s">
        <v>3931</v>
      </c>
      <c r="AB1678" s="47" t="s">
        <v>308</v>
      </c>
      <c r="AC1678" s="48" t="s">
        <v>8155</v>
      </c>
      <c r="AD1678" s="30"/>
      <c r="AE1678" s="192">
        <v>1</v>
      </c>
      <c r="AF1678" s="100" t="s">
        <v>8935</v>
      </c>
      <c r="AG1678" s="100" t="s">
        <v>8934</v>
      </c>
      <c r="AH1678" s="111">
        <v>33</v>
      </c>
      <c r="AK1678" s="241">
        <v>1</v>
      </c>
      <c r="AL1678" s="241" t="s">
        <v>9576</v>
      </c>
      <c r="AM1678" s="241">
        <v>1</v>
      </c>
      <c r="AN1678" s="241">
        <v>1</v>
      </c>
      <c r="AO1678" s="241" t="s">
        <v>9576</v>
      </c>
      <c r="AP1678" s="241">
        <v>1</v>
      </c>
      <c r="AR1678" s="241">
        <v>2</v>
      </c>
      <c r="AS1678" s="241" t="s">
        <v>9582</v>
      </c>
    </row>
    <row r="1679" spans="1:45" s="32" customFormat="1" ht="69.95" hidden="1" customHeight="1">
      <c r="A1679" s="29" t="s">
        <v>8653</v>
      </c>
      <c r="B1679" s="29" t="s">
        <v>8652</v>
      </c>
      <c r="C1679" s="69" t="s">
        <v>38</v>
      </c>
      <c r="D1679" s="69" t="s">
        <v>9398</v>
      </c>
      <c r="E1679" s="57" t="s">
        <v>8158</v>
      </c>
      <c r="F1679" s="121" t="s">
        <v>317</v>
      </c>
      <c r="G1679" s="29" t="s">
        <v>3291</v>
      </c>
      <c r="H1679" s="29"/>
      <c r="I1679" s="29"/>
      <c r="J1679" s="29">
        <f t="shared" si="123"/>
        <v>1</v>
      </c>
      <c r="K1679" s="42">
        <v>1665</v>
      </c>
      <c r="L1679" s="43" t="s">
        <v>7998</v>
      </c>
      <c r="M1679" s="128" t="s">
        <v>417</v>
      </c>
      <c r="N1679" s="44" t="s">
        <v>7978</v>
      </c>
      <c r="O1679" s="126" t="str">
        <f t="shared" si="124"/>
        <v>PE-M1-1C240-07</v>
      </c>
      <c r="P1679" s="51" t="s">
        <v>1613</v>
      </c>
      <c r="Q1679" s="43">
        <v>1400</v>
      </c>
      <c r="R1679" s="43" t="s">
        <v>49</v>
      </c>
      <c r="S1679" s="43">
        <v>60</v>
      </c>
      <c r="T1679" s="46" t="s">
        <v>7981</v>
      </c>
      <c r="U1679" s="47" t="s">
        <v>7995</v>
      </c>
      <c r="V1679" s="46" t="s">
        <v>8679</v>
      </c>
      <c r="W1679" s="46" t="s">
        <v>8680</v>
      </c>
      <c r="X1679" s="47" t="s">
        <v>306</v>
      </c>
      <c r="Y1679" s="43" t="s">
        <v>6319</v>
      </c>
      <c r="Z1679" s="43" t="s">
        <v>6320</v>
      </c>
      <c r="AA1679" s="43" t="s">
        <v>3931</v>
      </c>
      <c r="AB1679" s="47" t="s">
        <v>309</v>
      </c>
      <c r="AC1679" s="48" t="s">
        <v>8155</v>
      </c>
      <c r="AD1679" s="30"/>
      <c r="AE1679" s="192">
        <v>1</v>
      </c>
      <c r="AF1679" s="100" t="s">
        <v>8822</v>
      </c>
      <c r="AG1679" s="100" t="s">
        <v>8932</v>
      </c>
      <c r="AH1679" s="111">
        <v>33</v>
      </c>
      <c r="AK1679" s="241">
        <v>1</v>
      </c>
      <c r="AL1679" s="241" t="s">
        <v>9576</v>
      </c>
      <c r="AM1679" s="241">
        <v>1</v>
      </c>
      <c r="AN1679" s="241">
        <v>1</v>
      </c>
      <c r="AO1679" s="241" t="s">
        <v>9576</v>
      </c>
      <c r="AP1679" s="241">
        <v>1</v>
      </c>
      <c r="AR1679" s="241">
        <v>2</v>
      </c>
      <c r="AS1679" s="241" t="s">
        <v>9582</v>
      </c>
    </row>
    <row r="1680" spans="1:45" s="32" customFormat="1" ht="69.95" hidden="1" customHeight="1">
      <c r="A1680" s="29" t="s">
        <v>8653</v>
      </c>
      <c r="B1680" s="29" t="s">
        <v>8652</v>
      </c>
      <c r="C1680" s="69" t="s">
        <v>40</v>
      </c>
      <c r="D1680" s="69" t="s">
        <v>9398</v>
      </c>
      <c r="E1680" s="57" t="s">
        <v>8158</v>
      </c>
      <c r="F1680" s="121" t="s">
        <v>317</v>
      </c>
      <c r="G1680" s="29" t="s">
        <v>3291</v>
      </c>
      <c r="H1680" s="29"/>
      <c r="I1680" s="29"/>
      <c r="J1680" s="29">
        <f t="shared" si="123"/>
        <v>1</v>
      </c>
      <c r="K1680" s="187">
        <v>1666</v>
      </c>
      <c r="L1680" s="43" t="s">
        <v>7999</v>
      </c>
      <c r="M1680" s="128" t="s">
        <v>417</v>
      </c>
      <c r="N1680" s="44" t="s">
        <v>7978</v>
      </c>
      <c r="O1680" s="126" t="str">
        <f t="shared" si="124"/>
        <v>PE-M1-1C240-07</v>
      </c>
      <c r="P1680" s="51" t="s">
        <v>1613</v>
      </c>
      <c r="Q1680" s="43">
        <v>1400</v>
      </c>
      <c r="R1680" s="43" t="s">
        <v>49</v>
      </c>
      <c r="S1680" s="43">
        <v>60</v>
      </c>
      <c r="T1680" s="46" t="s">
        <v>7981</v>
      </c>
      <c r="U1680" s="47" t="s">
        <v>7995</v>
      </c>
      <c r="V1680" s="46" t="s">
        <v>8679</v>
      </c>
      <c r="W1680" s="46" t="s">
        <v>8680</v>
      </c>
      <c r="X1680" s="47" t="s">
        <v>304</v>
      </c>
      <c r="Y1680" s="43" t="s">
        <v>6319</v>
      </c>
      <c r="Z1680" s="43" t="s">
        <v>6320</v>
      </c>
      <c r="AA1680" s="43" t="s">
        <v>3931</v>
      </c>
      <c r="AB1680" s="47" t="s">
        <v>307</v>
      </c>
      <c r="AC1680" s="186" t="s">
        <v>9306</v>
      </c>
      <c r="AD1680" s="30"/>
      <c r="AE1680" s="192">
        <v>1</v>
      </c>
      <c r="AF1680" s="100" t="s">
        <v>8822</v>
      </c>
      <c r="AG1680" s="100" t="s">
        <v>8932</v>
      </c>
      <c r="AH1680" s="111">
        <v>33</v>
      </c>
      <c r="AK1680" s="241">
        <v>1</v>
      </c>
      <c r="AL1680" s="241" t="s">
        <v>9576</v>
      </c>
      <c r="AM1680" s="241">
        <v>1</v>
      </c>
      <c r="AN1680" s="241">
        <v>1</v>
      </c>
      <c r="AO1680" s="241" t="s">
        <v>9576</v>
      </c>
      <c r="AP1680" s="241">
        <v>1</v>
      </c>
      <c r="AR1680" s="241">
        <v>2</v>
      </c>
      <c r="AS1680" s="241" t="s">
        <v>9582</v>
      </c>
    </row>
    <row r="1681" spans="1:45" s="32" customFormat="1" ht="69.95" hidden="1" customHeight="1">
      <c r="A1681" s="29" t="s">
        <v>8653</v>
      </c>
      <c r="B1681" s="29" t="s">
        <v>8652</v>
      </c>
      <c r="C1681" s="69" t="s">
        <v>41</v>
      </c>
      <c r="D1681" s="69" t="s">
        <v>9398</v>
      </c>
      <c r="E1681" s="57" t="s">
        <v>8158</v>
      </c>
      <c r="F1681" s="121" t="s">
        <v>317</v>
      </c>
      <c r="G1681" s="29" t="s">
        <v>3291</v>
      </c>
      <c r="H1681" s="29"/>
      <c r="I1681" s="29"/>
      <c r="J1681" s="29">
        <f t="shared" si="123"/>
        <v>1</v>
      </c>
      <c r="K1681" s="187">
        <v>1667</v>
      </c>
      <c r="L1681" s="43" t="s">
        <v>8000</v>
      </c>
      <c r="M1681" s="128" t="s">
        <v>417</v>
      </c>
      <c r="N1681" s="44" t="s">
        <v>7978</v>
      </c>
      <c r="O1681" s="126" t="str">
        <f t="shared" si="124"/>
        <v>PE-M1-1C240-07</v>
      </c>
      <c r="P1681" s="51" t="s">
        <v>1613</v>
      </c>
      <c r="Q1681" s="43">
        <v>1400</v>
      </c>
      <c r="R1681" s="43" t="s">
        <v>49</v>
      </c>
      <c r="S1681" s="43">
        <v>60</v>
      </c>
      <c r="T1681" s="46" t="s">
        <v>7981</v>
      </c>
      <c r="U1681" s="47" t="s">
        <v>7995</v>
      </c>
      <c r="V1681" s="46" t="s">
        <v>8679</v>
      </c>
      <c r="W1681" s="46" t="s">
        <v>8680</v>
      </c>
      <c r="X1681" s="47" t="s">
        <v>305</v>
      </c>
      <c r="Y1681" s="43" t="s">
        <v>6319</v>
      </c>
      <c r="Z1681" s="43" t="s">
        <v>6320</v>
      </c>
      <c r="AA1681" s="43" t="s">
        <v>3931</v>
      </c>
      <c r="AB1681" s="47" t="s">
        <v>308</v>
      </c>
      <c r="AC1681" s="186" t="s">
        <v>9306</v>
      </c>
      <c r="AD1681" s="30"/>
      <c r="AE1681" s="192">
        <v>1</v>
      </c>
      <c r="AF1681" s="100" t="s">
        <v>8822</v>
      </c>
      <c r="AG1681" s="100" t="s">
        <v>8932</v>
      </c>
      <c r="AH1681" s="111">
        <v>33</v>
      </c>
      <c r="AK1681" s="241">
        <v>1</v>
      </c>
      <c r="AL1681" s="241" t="s">
        <v>9576</v>
      </c>
      <c r="AM1681" s="241">
        <v>1</v>
      </c>
      <c r="AN1681" s="241">
        <v>1</v>
      </c>
      <c r="AO1681" s="241" t="s">
        <v>9576</v>
      </c>
      <c r="AP1681" s="241">
        <v>1</v>
      </c>
      <c r="AR1681" s="241">
        <v>2</v>
      </c>
      <c r="AS1681" s="241" t="s">
        <v>9582</v>
      </c>
    </row>
    <row r="1682" spans="1:45" s="32" customFormat="1" ht="69.95" hidden="1" customHeight="1">
      <c r="A1682" s="29" t="s">
        <v>8653</v>
      </c>
      <c r="B1682" s="29" t="s">
        <v>8652</v>
      </c>
      <c r="C1682" s="69" t="s">
        <v>42</v>
      </c>
      <c r="D1682" s="69" t="s">
        <v>9398</v>
      </c>
      <c r="E1682" s="57" t="s">
        <v>8158</v>
      </c>
      <c r="F1682" s="121" t="s">
        <v>317</v>
      </c>
      <c r="G1682" s="29" t="s">
        <v>3291</v>
      </c>
      <c r="H1682" s="29"/>
      <c r="I1682" s="29"/>
      <c r="J1682" s="29">
        <f t="shared" si="123"/>
        <v>1</v>
      </c>
      <c r="K1682" s="187">
        <v>1668</v>
      </c>
      <c r="L1682" s="43" t="s">
        <v>8001</v>
      </c>
      <c r="M1682" s="128" t="s">
        <v>417</v>
      </c>
      <c r="N1682" s="44" t="s">
        <v>7978</v>
      </c>
      <c r="O1682" s="126" t="str">
        <f t="shared" si="124"/>
        <v>PE-M1-1C240-07</v>
      </c>
      <c r="P1682" s="51" t="s">
        <v>1613</v>
      </c>
      <c r="Q1682" s="43">
        <v>1400</v>
      </c>
      <c r="R1682" s="43" t="s">
        <v>49</v>
      </c>
      <c r="S1682" s="43">
        <v>60</v>
      </c>
      <c r="T1682" s="46" t="s">
        <v>7981</v>
      </c>
      <c r="U1682" s="47" t="s">
        <v>7995</v>
      </c>
      <c r="V1682" s="46" t="s">
        <v>8679</v>
      </c>
      <c r="W1682" s="46" t="s">
        <v>8680</v>
      </c>
      <c r="X1682" s="47" t="s">
        <v>306</v>
      </c>
      <c r="Y1682" s="43" t="s">
        <v>6319</v>
      </c>
      <c r="Z1682" s="43" t="s">
        <v>6320</v>
      </c>
      <c r="AA1682" s="43" t="s">
        <v>3931</v>
      </c>
      <c r="AB1682" s="47" t="s">
        <v>309</v>
      </c>
      <c r="AC1682" s="186" t="s">
        <v>9306</v>
      </c>
      <c r="AD1682" s="30"/>
      <c r="AE1682" s="192">
        <v>1</v>
      </c>
      <c r="AF1682" s="100" t="s">
        <v>8822</v>
      </c>
      <c r="AG1682" s="100" t="s">
        <v>8932</v>
      </c>
      <c r="AH1682" s="111">
        <v>33</v>
      </c>
      <c r="AK1682" s="241">
        <v>1</v>
      </c>
      <c r="AL1682" s="241" t="s">
        <v>9576</v>
      </c>
      <c r="AM1682" s="241">
        <v>1</v>
      </c>
      <c r="AN1682" s="241">
        <v>1</v>
      </c>
      <c r="AO1682" s="241" t="s">
        <v>9576</v>
      </c>
      <c r="AP1682" s="241">
        <v>1</v>
      </c>
      <c r="AR1682" s="241">
        <v>2</v>
      </c>
      <c r="AS1682" s="241" t="s">
        <v>9582</v>
      </c>
    </row>
    <row r="1683" spans="1:45" s="32" customFormat="1" ht="69.95" hidden="1" customHeight="1">
      <c r="A1683" s="29" t="s">
        <v>8653</v>
      </c>
      <c r="B1683" s="29" t="s">
        <v>8652</v>
      </c>
      <c r="C1683" s="69" t="s">
        <v>43</v>
      </c>
      <c r="D1683" s="69" t="s">
        <v>9398</v>
      </c>
      <c r="E1683" s="57" t="s">
        <v>8158</v>
      </c>
      <c r="F1683" s="121" t="s">
        <v>317</v>
      </c>
      <c r="G1683" s="29" t="s">
        <v>3291</v>
      </c>
      <c r="H1683" s="29"/>
      <c r="I1683" s="29"/>
      <c r="J1683" s="29">
        <f t="shared" si="123"/>
        <v>1</v>
      </c>
      <c r="K1683" s="187">
        <v>1669</v>
      </c>
      <c r="L1683" s="43" t="s">
        <v>8002</v>
      </c>
      <c r="M1683" s="128" t="s">
        <v>417</v>
      </c>
      <c r="N1683" s="44" t="s">
        <v>7978</v>
      </c>
      <c r="O1683" s="126" t="str">
        <f t="shared" si="124"/>
        <v>PE-M1-1C240-07</v>
      </c>
      <c r="P1683" s="51" t="s">
        <v>1613</v>
      </c>
      <c r="Q1683" s="43">
        <v>1400</v>
      </c>
      <c r="R1683" s="43" t="s">
        <v>49</v>
      </c>
      <c r="S1683" s="43">
        <v>60</v>
      </c>
      <c r="T1683" s="46" t="s">
        <v>7981</v>
      </c>
      <c r="U1683" s="47" t="s">
        <v>7995</v>
      </c>
      <c r="V1683" s="46" t="s">
        <v>8679</v>
      </c>
      <c r="W1683" s="46" t="s">
        <v>8680</v>
      </c>
      <c r="X1683" s="47" t="s">
        <v>304</v>
      </c>
      <c r="Y1683" s="43" t="s">
        <v>6319</v>
      </c>
      <c r="Z1683" s="43" t="s">
        <v>6320</v>
      </c>
      <c r="AA1683" s="43" t="s">
        <v>3931</v>
      </c>
      <c r="AB1683" s="47" t="s">
        <v>307</v>
      </c>
      <c r="AC1683" s="186" t="s">
        <v>9307</v>
      </c>
      <c r="AD1683" s="30"/>
      <c r="AE1683" s="192">
        <v>1</v>
      </c>
      <c r="AF1683" s="100" t="s">
        <v>8822</v>
      </c>
      <c r="AG1683" s="100" t="s">
        <v>8932</v>
      </c>
      <c r="AH1683" s="111">
        <v>33</v>
      </c>
      <c r="AK1683" s="241">
        <v>1</v>
      </c>
      <c r="AL1683" s="241" t="s">
        <v>9576</v>
      </c>
      <c r="AM1683" s="241">
        <v>1</v>
      </c>
      <c r="AN1683" s="241">
        <v>1</v>
      </c>
      <c r="AO1683" s="241" t="s">
        <v>9576</v>
      </c>
      <c r="AP1683" s="241">
        <v>1</v>
      </c>
      <c r="AR1683" s="241">
        <v>2</v>
      </c>
      <c r="AS1683" s="241" t="s">
        <v>9582</v>
      </c>
    </row>
    <row r="1684" spans="1:45" s="32" customFormat="1" ht="69.95" hidden="1" customHeight="1">
      <c r="A1684" s="29" t="s">
        <v>8653</v>
      </c>
      <c r="B1684" s="29" t="s">
        <v>8652</v>
      </c>
      <c r="C1684" s="69" t="s">
        <v>73</v>
      </c>
      <c r="D1684" s="69" t="s">
        <v>9398</v>
      </c>
      <c r="E1684" s="57" t="s">
        <v>8158</v>
      </c>
      <c r="F1684" s="121" t="s">
        <v>9399</v>
      </c>
      <c r="G1684" s="29" t="s">
        <v>3291</v>
      </c>
      <c r="H1684" s="29"/>
      <c r="I1684" s="29"/>
      <c r="J1684" s="29">
        <f t="shared" si="123"/>
        <v>1</v>
      </c>
      <c r="K1684" s="187">
        <v>1670</v>
      </c>
      <c r="L1684" s="43" t="s">
        <v>8003</v>
      </c>
      <c r="M1684" s="128" t="s">
        <v>417</v>
      </c>
      <c r="N1684" s="44" t="s">
        <v>7978</v>
      </c>
      <c r="O1684" s="126" t="str">
        <f t="shared" si="124"/>
        <v>PE-M1-1C240-08</v>
      </c>
      <c r="P1684" s="51" t="s">
        <v>1613</v>
      </c>
      <c r="Q1684" s="43">
        <v>1400</v>
      </c>
      <c r="R1684" s="43" t="s">
        <v>49</v>
      </c>
      <c r="S1684" s="43">
        <v>60</v>
      </c>
      <c r="T1684" s="46" t="s">
        <v>7981</v>
      </c>
      <c r="U1684" s="47" t="s">
        <v>7995</v>
      </c>
      <c r="V1684" s="46" t="s">
        <v>8679</v>
      </c>
      <c r="W1684" s="46" t="s">
        <v>8680</v>
      </c>
      <c r="X1684" s="47" t="s">
        <v>305</v>
      </c>
      <c r="Y1684" s="43" t="s">
        <v>6319</v>
      </c>
      <c r="Z1684" s="43" t="s">
        <v>6320</v>
      </c>
      <c r="AA1684" s="43" t="s">
        <v>3931</v>
      </c>
      <c r="AB1684" s="47" t="s">
        <v>308</v>
      </c>
      <c r="AC1684" s="186" t="s">
        <v>9307</v>
      </c>
      <c r="AD1684" s="30"/>
      <c r="AE1684" s="192">
        <v>1</v>
      </c>
      <c r="AF1684" s="100" t="s">
        <v>8822</v>
      </c>
      <c r="AG1684" s="100" t="s">
        <v>8932</v>
      </c>
      <c r="AH1684" s="111">
        <v>33</v>
      </c>
      <c r="AK1684" s="241">
        <v>1</v>
      </c>
      <c r="AL1684" s="241" t="s">
        <v>9576</v>
      </c>
      <c r="AM1684" s="241">
        <v>1</v>
      </c>
      <c r="AN1684" s="241">
        <v>1</v>
      </c>
      <c r="AO1684" s="241" t="s">
        <v>9576</v>
      </c>
      <c r="AP1684" s="241">
        <v>1</v>
      </c>
      <c r="AR1684" s="241">
        <v>2</v>
      </c>
      <c r="AS1684" s="241" t="s">
        <v>9582</v>
      </c>
    </row>
    <row r="1685" spans="1:45" s="32" customFormat="1" ht="69.95" hidden="1" customHeight="1">
      <c r="A1685" s="29" t="s">
        <v>8653</v>
      </c>
      <c r="B1685" s="29" t="s">
        <v>8652</v>
      </c>
      <c r="C1685" s="69" t="s">
        <v>75</v>
      </c>
      <c r="D1685" s="69" t="s">
        <v>9398</v>
      </c>
      <c r="E1685" s="57" t="s">
        <v>8158</v>
      </c>
      <c r="F1685" s="121" t="s">
        <v>9399</v>
      </c>
      <c r="G1685" s="29" t="s">
        <v>3291</v>
      </c>
      <c r="H1685" s="29"/>
      <c r="I1685" s="29"/>
      <c r="J1685" s="29">
        <f t="shared" si="123"/>
        <v>1</v>
      </c>
      <c r="K1685" s="187">
        <v>1671</v>
      </c>
      <c r="L1685" s="43" t="s">
        <v>8004</v>
      </c>
      <c r="M1685" s="128" t="s">
        <v>417</v>
      </c>
      <c r="N1685" s="44" t="s">
        <v>7978</v>
      </c>
      <c r="O1685" s="126" t="str">
        <f t="shared" si="124"/>
        <v>PE-M1-1C240-08</v>
      </c>
      <c r="P1685" s="51" t="s">
        <v>1613</v>
      </c>
      <c r="Q1685" s="43">
        <v>1400</v>
      </c>
      <c r="R1685" s="43" t="s">
        <v>49</v>
      </c>
      <c r="S1685" s="43">
        <v>60</v>
      </c>
      <c r="T1685" s="46" t="s">
        <v>7981</v>
      </c>
      <c r="U1685" s="47" t="s">
        <v>7995</v>
      </c>
      <c r="V1685" s="46" t="s">
        <v>8679</v>
      </c>
      <c r="W1685" s="46" t="s">
        <v>8680</v>
      </c>
      <c r="X1685" s="47" t="s">
        <v>306</v>
      </c>
      <c r="Y1685" s="43" t="s">
        <v>6319</v>
      </c>
      <c r="Z1685" s="43" t="s">
        <v>6320</v>
      </c>
      <c r="AA1685" s="43" t="s">
        <v>3931</v>
      </c>
      <c r="AB1685" s="47" t="s">
        <v>309</v>
      </c>
      <c r="AC1685" s="186" t="s">
        <v>9307</v>
      </c>
      <c r="AD1685" s="30"/>
      <c r="AE1685" s="192">
        <v>1</v>
      </c>
      <c r="AF1685" s="100" t="s">
        <v>8822</v>
      </c>
      <c r="AG1685" s="100" t="s">
        <v>8932</v>
      </c>
      <c r="AH1685" s="111">
        <v>33</v>
      </c>
      <c r="AK1685" s="241">
        <v>1</v>
      </c>
      <c r="AL1685" s="241" t="s">
        <v>9576</v>
      </c>
      <c r="AM1685" s="241">
        <v>1</v>
      </c>
      <c r="AN1685" s="241">
        <v>1</v>
      </c>
      <c r="AO1685" s="241" t="s">
        <v>9576</v>
      </c>
      <c r="AP1685" s="241">
        <v>1</v>
      </c>
      <c r="AR1685" s="241">
        <v>2</v>
      </c>
      <c r="AS1685" s="241" t="s">
        <v>9582</v>
      </c>
    </row>
    <row r="1686" spans="1:45" s="32" customFormat="1" ht="69.95" hidden="1" customHeight="1">
      <c r="A1686" s="29" t="s">
        <v>8654</v>
      </c>
      <c r="B1686" s="29" t="s">
        <v>8652</v>
      </c>
      <c r="C1686" s="69" t="s">
        <v>32</v>
      </c>
      <c r="D1686" s="124" t="s">
        <v>9446</v>
      </c>
      <c r="E1686" s="57" t="s">
        <v>8158</v>
      </c>
      <c r="F1686" s="121" t="s">
        <v>317</v>
      </c>
      <c r="G1686" s="29" t="s">
        <v>3311</v>
      </c>
      <c r="H1686" s="191" t="s">
        <v>9569</v>
      </c>
      <c r="I1686" s="124" t="s">
        <v>9121</v>
      </c>
      <c r="J1686" s="29">
        <f t="shared" si="123"/>
        <v>1</v>
      </c>
      <c r="K1686" s="42">
        <v>1672</v>
      </c>
      <c r="L1686" s="152" t="s">
        <v>8007</v>
      </c>
      <c r="M1686" s="128" t="s">
        <v>417</v>
      </c>
      <c r="N1686" s="44" t="s">
        <v>7978</v>
      </c>
      <c r="O1686" s="137" t="str">
        <f t="shared" ref="O1686:O1691" si="125">F1686</f>
        <v>PE-M1-1C240-07</v>
      </c>
      <c r="P1686" s="45" t="s">
        <v>1613</v>
      </c>
      <c r="Q1686" s="44">
        <v>1400</v>
      </c>
      <c r="R1686" s="44" t="s">
        <v>49</v>
      </c>
      <c r="S1686" s="126">
        <v>35</v>
      </c>
      <c r="T1686" s="46" t="s">
        <v>7981</v>
      </c>
      <c r="U1686" s="47" t="s">
        <v>8047</v>
      </c>
      <c r="V1686" s="46" t="s">
        <v>8681</v>
      </c>
      <c r="W1686" s="70" t="s">
        <v>3931</v>
      </c>
      <c r="X1686" s="47" t="s">
        <v>304</v>
      </c>
      <c r="Y1686" s="47" t="s">
        <v>8005</v>
      </c>
      <c r="Z1686" s="46" t="s">
        <v>8006</v>
      </c>
      <c r="AA1686" s="46" t="s">
        <v>8680</v>
      </c>
      <c r="AB1686" s="47" t="s">
        <v>307</v>
      </c>
      <c r="AC1686" s="48" t="s">
        <v>8156</v>
      </c>
      <c r="AD1686" s="30"/>
      <c r="AE1686" s="192">
        <v>1</v>
      </c>
      <c r="AF1686" s="100" t="s">
        <v>8822</v>
      </c>
      <c r="AG1686" s="100" t="s">
        <v>8932</v>
      </c>
      <c r="AH1686" s="111">
        <v>33</v>
      </c>
      <c r="AK1686" s="241">
        <v>1</v>
      </c>
      <c r="AL1686" s="241" t="s">
        <v>9578</v>
      </c>
      <c r="AM1686" s="241">
        <v>2</v>
      </c>
      <c r="AN1686" s="241">
        <v>1</v>
      </c>
      <c r="AO1686" s="241" t="s">
        <v>9576</v>
      </c>
      <c r="AP1686" s="241">
        <v>1</v>
      </c>
      <c r="AR1686" s="241">
        <v>2</v>
      </c>
      <c r="AS1686" s="241" t="s">
        <v>9582</v>
      </c>
    </row>
    <row r="1687" spans="1:45" s="32" customFormat="1" ht="69.95" hidden="1" customHeight="1">
      <c r="A1687" s="29" t="s">
        <v>8654</v>
      </c>
      <c r="B1687" s="29" t="s">
        <v>8652</v>
      </c>
      <c r="C1687" s="69" t="s">
        <v>36</v>
      </c>
      <c r="D1687" s="124" t="s">
        <v>9446</v>
      </c>
      <c r="E1687" s="57" t="s">
        <v>8158</v>
      </c>
      <c r="F1687" s="121" t="s">
        <v>317</v>
      </c>
      <c r="G1687" s="29" t="s">
        <v>3291</v>
      </c>
      <c r="H1687" s="191" t="s">
        <v>9569</v>
      </c>
      <c r="I1687" s="124" t="s">
        <v>9121</v>
      </c>
      <c r="J1687" s="29">
        <f t="shared" si="123"/>
        <v>1</v>
      </c>
      <c r="K1687" s="42">
        <v>1673</v>
      </c>
      <c r="L1687" s="152" t="s">
        <v>8008</v>
      </c>
      <c r="M1687" s="128" t="s">
        <v>417</v>
      </c>
      <c r="N1687" s="44" t="s">
        <v>7978</v>
      </c>
      <c r="O1687" s="137" t="str">
        <f t="shared" si="125"/>
        <v>PE-M1-1C240-07</v>
      </c>
      <c r="P1687" s="51" t="s">
        <v>1613</v>
      </c>
      <c r="Q1687" s="43">
        <v>1400</v>
      </c>
      <c r="R1687" s="43" t="s">
        <v>49</v>
      </c>
      <c r="S1687" s="126">
        <v>35</v>
      </c>
      <c r="T1687" s="46" t="s">
        <v>7981</v>
      </c>
      <c r="U1687" s="47" t="s">
        <v>8047</v>
      </c>
      <c r="V1687" s="46" t="s">
        <v>8681</v>
      </c>
      <c r="W1687" s="70" t="s">
        <v>3931</v>
      </c>
      <c r="X1687" s="47" t="s">
        <v>305</v>
      </c>
      <c r="Y1687" s="47" t="s">
        <v>8005</v>
      </c>
      <c r="Z1687" s="46" t="s">
        <v>8006</v>
      </c>
      <c r="AA1687" s="46" t="s">
        <v>8680</v>
      </c>
      <c r="AB1687" s="47" t="s">
        <v>308</v>
      </c>
      <c r="AC1687" s="48" t="s">
        <v>8156</v>
      </c>
      <c r="AD1687" s="30"/>
      <c r="AE1687" s="192">
        <v>1</v>
      </c>
      <c r="AF1687" s="100" t="s">
        <v>8822</v>
      </c>
      <c r="AG1687" s="100" t="s">
        <v>8932</v>
      </c>
      <c r="AH1687" s="111">
        <v>33</v>
      </c>
      <c r="AK1687" s="241">
        <v>1</v>
      </c>
      <c r="AL1687" s="241" t="s">
        <v>9578</v>
      </c>
      <c r="AM1687" s="241">
        <v>2</v>
      </c>
      <c r="AN1687" s="241">
        <v>1</v>
      </c>
      <c r="AO1687" s="241" t="s">
        <v>9576</v>
      </c>
      <c r="AP1687" s="241">
        <v>1</v>
      </c>
      <c r="AR1687" s="241">
        <v>2</v>
      </c>
      <c r="AS1687" s="241" t="s">
        <v>9582</v>
      </c>
    </row>
    <row r="1688" spans="1:45" s="32" customFormat="1" ht="69.95" hidden="1" customHeight="1">
      <c r="A1688" s="29" t="s">
        <v>8654</v>
      </c>
      <c r="B1688" s="29" t="s">
        <v>8652</v>
      </c>
      <c r="C1688" s="69" t="s">
        <v>38</v>
      </c>
      <c r="D1688" s="124" t="s">
        <v>9446</v>
      </c>
      <c r="E1688" s="57" t="s">
        <v>8158</v>
      </c>
      <c r="F1688" s="121" t="s">
        <v>9399</v>
      </c>
      <c r="G1688" s="29" t="s">
        <v>3291</v>
      </c>
      <c r="H1688" s="191" t="s">
        <v>9569</v>
      </c>
      <c r="I1688" s="124" t="s">
        <v>9121</v>
      </c>
      <c r="J1688" s="29">
        <f t="shared" si="123"/>
        <v>1</v>
      </c>
      <c r="K1688" s="42">
        <v>1674</v>
      </c>
      <c r="L1688" s="152" t="s">
        <v>8009</v>
      </c>
      <c r="M1688" s="128" t="s">
        <v>417</v>
      </c>
      <c r="N1688" s="44" t="s">
        <v>7978</v>
      </c>
      <c r="O1688" s="137" t="str">
        <f t="shared" si="125"/>
        <v>PE-M1-1C240-08</v>
      </c>
      <c r="P1688" s="51" t="s">
        <v>1613</v>
      </c>
      <c r="Q1688" s="43">
        <v>1400</v>
      </c>
      <c r="R1688" s="43" t="s">
        <v>49</v>
      </c>
      <c r="S1688" s="126">
        <v>35</v>
      </c>
      <c r="T1688" s="46" t="s">
        <v>7981</v>
      </c>
      <c r="U1688" s="47" t="s">
        <v>8047</v>
      </c>
      <c r="V1688" s="46" t="s">
        <v>8681</v>
      </c>
      <c r="W1688" s="70" t="s">
        <v>3931</v>
      </c>
      <c r="X1688" s="47" t="s">
        <v>306</v>
      </c>
      <c r="Y1688" s="47" t="s">
        <v>8005</v>
      </c>
      <c r="Z1688" s="46" t="s">
        <v>8006</v>
      </c>
      <c r="AA1688" s="46" t="s">
        <v>8680</v>
      </c>
      <c r="AB1688" s="47" t="s">
        <v>309</v>
      </c>
      <c r="AC1688" s="48" t="s">
        <v>8156</v>
      </c>
      <c r="AD1688" s="30"/>
      <c r="AE1688" s="192">
        <v>1</v>
      </c>
      <c r="AF1688" s="100" t="s">
        <v>8822</v>
      </c>
      <c r="AG1688" s="100" t="s">
        <v>8932</v>
      </c>
      <c r="AH1688" s="111">
        <v>33</v>
      </c>
      <c r="AK1688" s="241">
        <v>1</v>
      </c>
      <c r="AL1688" s="241" t="s">
        <v>9578</v>
      </c>
      <c r="AM1688" s="241">
        <v>2</v>
      </c>
      <c r="AN1688" s="241">
        <v>1</v>
      </c>
      <c r="AO1688" s="241" t="s">
        <v>9576</v>
      </c>
      <c r="AP1688" s="241">
        <v>1</v>
      </c>
      <c r="AR1688" s="241">
        <v>2</v>
      </c>
      <c r="AS1688" s="241" t="s">
        <v>9582</v>
      </c>
    </row>
    <row r="1689" spans="1:45" s="32" customFormat="1" ht="69.95" hidden="1" customHeight="1">
      <c r="A1689" s="29" t="s">
        <v>8654</v>
      </c>
      <c r="B1689" s="29" t="s">
        <v>8652</v>
      </c>
      <c r="C1689" s="69" t="s">
        <v>40</v>
      </c>
      <c r="D1689" s="124" t="s">
        <v>9446</v>
      </c>
      <c r="E1689" s="57" t="s">
        <v>8158</v>
      </c>
      <c r="F1689" s="121" t="s">
        <v>9399</v>
      </c>
      <c r="G1689" s="29" t="s">
        <v>3291</v>
      </c>
      <c r="H1689" s="191" t="s">
        <v>9569</v>
      </c>
      <c r="I1689" s="124" t="s">
        <v>9121</v>
      </c>
      <c r="J1689" s="29">
        <f t="shared" si="123"/>
        <v>1</v>
      </c>
      <c r="K1689" s="187">
        <v>1675</v>
      </c>
      <c r="L1689" s="152" t="s">
        <v>8010</v>
      </c>
      <c r="M1689" s="128" t="s">
        <v>417</v>
      </c>
      <c r="N1689" s="44" t="s">
        <v>7978</v>
      </c>
      <c r="O1689" s="137" t="str">
        <f t="shared" si="125"/>
        <v>PE-M1-1C240-08</v>
      </c>
      <c r="P1689" s="51" t="s">
        <v>1613</v>
      </c>
      <c r="Q1689" s="43">
        <v>1400</v>
      </c>
      <c r="R1689" s="43" t="s">
        <v>49</v>
      </c>
      <c r="S1689" s="126">
        <v>35</v>
      </c>
      <c r="T1689" s="46" t="s">
        <v>7981</v>
      </c>
      <c r="U1689" s="47" t="s">
        <v>8047</v>
      </c>
      <c r="V1689" s="46" t="s">
        <v>8681</v>
      </c>
      <c r="W1689" s="70" t="s">
        <v>3931</v>
      </c>
      <c r="X1689" s="47" t="s">
        <v>304</v>
      </c>
      <c r="Y1689" s="47" t="s">
        <v>8005</v>
      </c>
      <c r="Z1689" s="46" t="s">
        <v>8006</v>
      </c>
      <c r="AA1689" s="46" t="s">
        <v>8680</v>
      </c>
      <c r="AB1689" s="47" t="s">
        <v>307</v>
      </c>
      <c r="AC1689" s="186" t="s">
        <v>9308</v>
      </c>
      <c r="AD1689" s="30"/>
      <c r="AE1689" s="192">
        <v>1</v>
      </c>
      <c r="AF1689" s="100" t="s">
        <v>8822</v>
      </c>
      <c r="AG1689" s="100" t="s">
        <v>8932</v>
      </c>
      <c r="AH1689" s="111">
        <v>33</v>
      </c>
      <c r="AK1689" s="241">
        <v>1</v>
      </c>
      <c r="AL1689" s="241" t="s">
        <v>9578</v>
      </c>
      <c r="AM1689" s="241">
        <v>2</v>
      </c>
      <c r="AN1689" s="241">
        <v>1</v>
      </c>
      <c r="AO1689" s="241" t="s">
        <v>9576</v>
      </c>
      <c r="AP1689" s="241">
        <v>1</v>
      </c>
      <c r="AR1689" s="241">
        <v>2</v>
      </c>
      <c r="AS1689" s="241" t="s">
        <v>9582</v>
      </c>
    </row>
    <row r="1690" spans="1:45" s="32" customFormat="1" ht="69.95" hidden="1" customHeight="1">
      <c r="A1690" s="29" t="s">
        <v>8654</v>
      </c>
      <c r="B1690" s="29" t="s">
        <v>8652</v>
      </c>
      <c r="C1690" s="69" t="s">
        <v>41</v>
      </c>
      <c r="D1690" s="124" t="s">
        <v>9446</v>
      </c>
      <c r="E1690" s="57" t="s">
        <v>8158</v>
      </c>
      <c r="F1690" s="121" t="s">
        <v>9401</v>
      </c>
      <c r="G1690" s="29" t="s">
        <v>3291</v>
      </c>
      <c r="H1690" s="191" t="s">
        <v>9569</v>
      </c>
      <c r="I1690" s="124" t="s">
        <v>9121</v>
      </c>
      <c r="J1690" s="29">
        <f t="shared" si="123"/>
        <v>1</v>
      </c>
      <c r="K1690" s="187">
        <v>1676</v>
      </c>
      <c r="L1690" s="152" t="s">
        <v>8011</v>
      </c>
      <c r="M1690" s="128" t="s">
        <v>417</v>
      </c>
      <c r="N1690" s="44" t="s">
        <v>7978</v>
      </c>
      <c r="O1690" s="137" t="str">
        <f t="shared" si="125"/>
        <v>PE-M1-1C240-09</v>
      </c>
      <c r="P1690" s="51" t="s">
        <v>1613</v>
      </c>
      <c r="Q1690" s="43">
        <v>1400</v>
      </c>
      <c r="R1690" s="43" t="s">
        <v>49</v>
      </c>
      <c r="S1690" s="126">
        <v>35</v>
      </c>
      <c r="T1690" s="46" t="s">
        <v>7981</v>
      </c>
      <c r="U1690" s="47" t="s">
        <v>8047</v>
      </c>
      <c r="V1690" s="46" t="s">
        <v>8681</v>
      </c>
      <c r="W1690" s="70" t="s">
        <v>3931</v>
      </c>
      <c r="X1690" s="47" t="s">
        <v>305</v>
      </c>
      <c r="Y1690" s="47" t="s">
        <v>8005</v>
      </c>
      <c r="Z1690" s="46" t="s">
        <v>8006</v>
      </c>
      <c r="AA1690" s="46" t="s">
        <v>8680</v>
      </c>
      <c r="AB1690" s="47" t="s">
        <v>308</v>
      </c>
      <c r="AC1690" s="186" t="s">
        <v>9308</v>
      </c>
      <c r="AD1690" s="30"/>
      <c r="AE1690" s="192">
        <v>1</v>
      </c>
      <c r="AF1690" s="100" t="s">
        <v>8822</v>
      </c>
      <c r="AG1690" s="100" t="s">
        <v>8932</v>
      </c>
      <c r="AH1690" s="111">
        <v>33</v>
      </c>
      <c r="AK1690" s="241">
        <v>1</v>
      </c>
      <c r="AL1690" s="241" t="s">
        <v>9578</v>
      </c>
      <c r="AM1690" s="241">
        <v>2</v>
      </c>
      <c r="AN1690" s="241">
        <v>1</v>
      </c>
      <c r="AO1690" s="241" t="s">
        <v>9576</v>
      </c>
      <c r="AP1690" s="241">
        <v>1</v>
      </c>
      <c r="AR1690" s="241">
        <v>2</v>
      </c>
      <c r="AS1690" s="241" t="s">
        <v>9582</v>
      </c>
    </row>
    <row r="1691" spans="1:45" s="32" customFormat="1" ht="69.95" hidden="1" customHeight="1">
      <c r="A1691" s="29" t="s">
        <v>8654</v>
      </c>
      <c r="B1691" s="29" t="s">
        <v>8652</v>
      </c>
      <c r="C1691" s="69" t="s">
        <v>42</v>
      </c>
      <c r="D1691" s="124" t="s">
        <v>9446</v>
      </c>
      <c r="E1691" s="57" t="s">
        <v>8158</v>
      </c>
      <c r="F1691" s="121" t="s">
        <v>9401</v>
      </c>
      <c r="G1691" s="29" t="s">
        <v>3291</v>
      </c>
      <c r="H1691" s="191" t="s">
        <v>9569</v>
      </c>
      <c r="I1691" s="124" t="s">
        <v>9121</v>
      </c>
      <c r="J1691" s="29">
        <f t="shared" si="123"/>
        <v>1</v>
      </c>
      <c r="K1691" s="187">
        <v>1677</v>
      </c>
      <c r="L1691" s="152" t="s">
        <v>8012</v>
      </c>
      <c r="M1691" s="128" t="s">
        <v>417</v>
      </c>
      <c r="N1691" s="44" t="s">
        <v>7978</v>
      </c>
      <c r="O1691" s="137" t="str">
        <f t="shared" si="125"/>
        <v>PE-M1-1C240-09</v>
      </c>
      <c r="P1691" s="51" t="s">
        <v>1613</v>
      </c>
      <c r="Q1691" s="43">
        <v>1400</v>
      </c>
      <c r="R1691" s="43" t="s">
        <v>49</v>
      </c>
      <c r="S1691" s="126">
        <v>35</v>
      </c>
      <c r="T1691" s="46" t="s">
        <v>7981</v>
      </c>
      <c r="U1691" s="47" t="s">
        <v>8047</v>
      </c>
      <c r="V1691" s="46" t="s">
        <v>8681</v>
      </c>
      <c r="W1691" s="70" t="s">
        <v>3931</v>
      </c>
      <c r="X1691" s="47" t="s">
        <v>306</v>
      </c>
      <c r="Y1691" s="47" t="s">
        <v>8005</v>
      </c>
      <c r="Z1691" s="46" t="s">
        <v>8006</v>
      </c>
      <c r="AA1691" s="46" t="s">
        <v>8680</v>
      </c>
      <c r="AB1691" s="47" t="s">
        <v>309</v>
      </c>
      <c r="AC1691" s="186" t="s">
        <v>9308</v>
      </c>
      <c r="AD1691" s="30"/>
      <c r="AE1691" s="192">
        <v>1</v>
      </c>
      <c r="AF1691" s="100" t="s">
        <v>8822</v>
      </c>
      <c r="AG1691" s="100" t="s">
        <v>8932</v>
      </c>
      <c r="AH1691" s="111">
        <v>33</v>
      </c>
      <c r="AK1691" s="241">
        <v>1</v>
      </c>
      <c r="AL1691" s="241" t="s">
        <v>9578</v>
      </c>
      <c r="AM1691" s="241">
        <v>2</v>
      </c>
      <c r="AN1691" s="241">
        <v>1</v>
      </c>
      <c r="AO1691" s="241" t="s">
        <v>9576</v>
      </c>
      <c r="AP1691" s="241">
        <v>1</v>
      </c>
      <c r="AR1691" s="241">
        <v>2</v>
      </c>
      <c r="AS1691" s="241" t="s">
        <v>9582</v>
      </c>
    </row>
    <row r="1692" spans="1:45" s="32" customFormat="1" ht="69.95" hidden="1" customHeight="1">
      <c r="A1692" s="29" t="s">
        <v>8654</v>
      </c>
      <c r="B1692" s="29" t="s">
        <v>8652</v>
      </c>
      <c r="C1692" s="69" t="s">
        <v>43</v>
      </c>
      <c r="D1692" s="124" t="s">
        <v>9446</v>
      </c>
      <c r="E1692" s="57" t="s">
        <v>8159</v>
      </c>
      <c r="F1692" s="121" t="s">
        <v>9401</v>
      </c>
      <c r="G1692" s="29" t="s">
        <v>3291</v>
      </c>
      <c r="H1692" s="191" t="s">
        <v>9569</v>
      </c>
      <c r="I1692" s="124" t="s">
        <v>9121</v>
      </c>
      <c r="J1692" s="29">
        <f t="shared" si="123"/>
        <v>1</v>
      </c>
      <c r="K1692" s="187">
        <v>1678</v>
      </c>
      <c r="L1692" s="152" t="s">
        <v>8013</v>
      </c>
      <c r="M1692" s="128" t="s">
        <v>417</v>
      </c>
      <c r="N1692" s="44" t="s">
        <v>7978</v>
      </c>
      <c r="O1692" s="137" t="str">
        <f t="shared" ref="O1692:O1694" si="126">F1692</f>
        <v>PE-M1-1C240-09</v>
      </c>
      <c r="P1692" s="51" t="s">
        <v>1613</v>
      </c>
      <c r="Q1692" s="43">
        <v>1400</v>
      </c>
      <c r="R1692" s="43" t="s">
        <v>49</v>
      </c>
      <c r="S1692" s="126">
        <v>35</v>
      </c>
      <c r="T1692" s="46" t="s">
        <v>7981</v>
      </c>
      <c r="U1692" s="47" t="s">
        <v>8047</v>
      </c>
      <c r="V1692" s="46" t="s">
        <v>8681</v>
      </c>
      <c r="W1692" s="70" t="s">
        <v>3931</v>
      </c>
      <c r="X1692" s="47" t="s">
        <v>304</v>
      </c>
      <c r="Y1692" s="47" t="s">
        <v>8005</v>
      </c>
      <c r="Z1692" s="46" t="s">
        <v>8006</v>
      </c>
      <c r="AA1692" s="46" t="s">
        <v>8680</v>
      </c>
      <c r="AB1692" s="47" t="s">
        <v>307</v>
      </c>
      <c r="AC1692" s="186" t="s">
        <v>9309</v>
      </c>
      <c r="AD1692" s="30"/>
      <c r="AE1692" s="192">
        <v>1</v>
      </c>
      <c r="AF1692" s="100" t="s">
        <v>8822</v>
      </c>
      <c r="AG1692" s="100" t="s">
        <v>8932</v>
      </c>
      <c r="AH1692" s="111">
        <v>33</v>
      </c>
      <c r="AK1692" s="241">
        <v>1</v>
      </c>
      <c r="AL1692" s="241" t="s">
        <v>9578</v>
      </c>
      <c r="AM1692" s="241">
        <v>2</v>
      </c>
      <c r="AN1692" s="241">
        <v>1</v>
      </c>
      <c r="AO1692" s="241" t="s">
        <v>9576</v>
      </c>
      <c r="AP1692" s="241">
        <v>1</v>
      </c>
      <c r="AR1692" s="241">
        <v>2</v>
      </c>
      <c r="AS1692" s="241" t="s">
        <v>9582</v>
      </c>
    </row>
    <row r="1693" spans="1:45" s="32" customFormat="1" ht="69.95" hidden="1" customHeight="1">
      <c r="A1693" s="29" t="s">
        <v>8654</v>
      </c>
      <c r="B1693" s="29" t="s">
        <v>8652</v>
      </c>
      <c r="C1693" s="69" t="s">
        <v>73</v>
      </c>
      <c r="D1693" s="124" t="s">
        <v>9446</v>
      </c>
      <c r="E1693" s="57" t="s">
        <v>8159</v>
      </c>
      <c r="F1693" s="121" t="s">
        <v>9401</v>
      </c>
      <c r="G1693" s="29" t="s">
        <v>3291</v>
      </c>
      <c r="H1693" s="191" t="s">
        <v>9569</v>
      </c>
      <c r="I1693" s="124" t="s">
        <v>9121</v>
      </c>
      <c r="J1693" s="29">
        <f t="shared" si="123"/>
        <v>1</v>
      </c>
      <c r="K1693" s="187">
        <v>1679</v>
      </c>
      <c r="L1693" s="152" t="s">
        <v>8014</v>
      </c>
      <c r="M1693" s="128" t="s">
        <v>417</v>
      </c>
      <c r="N1693" s="44" t="s">
        <v>7978</v>
      </c>
      <c r="O1693" s="137" t="str">
        <f t="shared" si="126"/>
        <v>PE-M1-1C240-09</v>
      </c>
      <c r="P1693" s="51" t="s">
        <v>1613</v>
      </c>
      <c r="Q1693" s="43">
        <v>1400</v>
      </c>
      <c r="R1693" s="43" t="s">
        <v>49</v>
      </c>
      <c r="S1693" s="126">
        <v>35</v>
      </c>
      <c r="T1693" s="46" t="s">
        <v>7981</v>
      </c>
      <c r="U1693" s="47" t="s">
        <v>8047</v>
      </c>
      <c r="V1693" s="46" t="s">
        <v>8681</v>
      </c>
      <c r="W1693" s="70" t="s">
        <v>3931</v>
      </c>
      <c r="X1693" s="47" t="s">
        <v>305</v>
      </c>
      <c r="Y1693" s="47" t="s">
        <v>8005</v>
      </c>
      <c r="Z1693" s="46" t="s">
        <v>8006</v>
      </c>
      <c r="AA1693" s="46" t="s">
        <v>8680</v>
      </c>
      <c r="AB1693" s="47" t="s">
        <v>308</v>
      </c>
      <c r="AC1693" s="186" t="s">
        <v>9309</v>
      </c>
      <c r="AD1693" s="30"/>
      <c r="AE1693" s="192">
        <v>1</v>
      </c>
      <c r="AF1693" s="100" t="s">
        <v>8822</v>
      </c>
      <c r="AG1693" s="100" t="s">
        <v>8932</v>
      </c>
      <c r="AH1693" s="111">
        <v>33</v>
      </c>
      <c r="AK1693" s="241">
        <v>1</v>
      </c>
      <c r="AL1693" s="241" t="s">
        <v>9578</v>
      </c>
      <c r="AM1693" s="241">
        <v>2</v>
      </c>
      <c r="AN1693" s="241">
        <v>1</v>
      </c>
      <c r="AO1693" s="241" t="s">
        <v>9576</v>
      </c>
      <c r="AP1693" s="241">
        <v>1</v>
      </c>
      <c r="AR1693" s="241">
        <v>2</v>
      </c>
      <c r="AS1693" s="241" t="s">
        <v>9582</v>
      </c>
    </row>
    <row r="1694" spans="1:45" s="32" customFormat="1" ht="69.95" hidden="1" customHeight="1">
      <c r="A1694" s="29" t="s">
        <v>8654</v>
      </c>
      <c r="B1694" s="29" t="s">
        <v>8652</v>
      </c>
      <c r="C1694" s="69" t="s">
        <v>75</v>
      </c>
      <c r="D1694" s="124" t="s">
        <v>9446</v>
      </c>
      <c r="E1694" s="57" t="s">
        <v>8159</v>
      </c>
      <c r="F1694" s="121" t="s">
        <v>9401</v>
      </c>
      <c r="G1694" s="29" t="s">
        <v>3291</v>
      </c>
      <c r="H1694" s="191" t="s">
        <v>9569</v>
      </c>
      <c r="I1694" s="124" t="s">
        <v>9121</v>
      </c>
      <c r="J1694" s="29">
        <f t="shared" si="123"/>
        <v>1</v>
      </c>
      <c r="K1694" s="187">
        <v>1680</v>
      </c>
      <c r="L1694" s="152" t="s">
        <v>8015</v>
      </c>
      <c r="M1694" s="128" t="s">
        <v>417</v>
      </c>
      <c r="N1694" s="44" t="s">
        <v>7978</v>
      </c>
      <c r="O1694" s="137" t="str">
        <f t="shared" si="126"/>
        <v>PE-M1-1C240-09</v>
      </c>
      <c r="P1694" s="51" t="s">
        <v>1613</v>
      </c>
      <c r="Q1694" s="43">
        <v>1400</v>
      </c>
      <c r="R1694" s="43" t="s">
        <v>49</v>
      </c>
      <c r="S1694" s="126">
        <v>35</v>
      </c>
      <c r="T1694" s="46" t="s">
        <v>7981</v>
      </c>
      <c r="U1694" s="47" t="s">
        <v>8047</v>
      </c>
      <c r="V1694" s="46" t="s">
        <v>8681</v>
      </c>
      <c r="W1694" s="70" t="s">
        <v>3931</v>
      </c>
      <c r="X1694" s="47" t="s">
        <v>306</v>
      </c>
      <c r="Y1694" s="47" t="s">
        <v>8005</v>
      </c>
      <c r="Z1694" s="46" t="s">
        <v>8006</v>
      </c>
      <c r="AA1694" s="46" t="s">
        <v>8680</v>
      </c>
      <c r="AB1694" s="47" t="s">
        <v>309</v>
      </c>
      <c r="AC1694" s="186" t="s">
        <v>9309</v>
      </c>
      <c r="AD1694" s="30"/>
      <c r="AE1694" s="192">
        <v>1</v>
      </c>
      <c r="AF1694" s="100" t="s">
        <v>8822</v>
      </c>
      <c r="AG1694" s="100" t="s">
        <v>8932</v>
      </c>
      <c r="AH1694" s="111">
        <v>33</v>
      </c>
      <c r="AK1694" s="241">
        <v>1</v>
      </c>
      <c r="AL1694" s="241" t="s">
        <v>9578</v>
      </c>
      <c r="AM1694" s="241">
        <v>2</v>
      </c>
      <c r="AN1694" s="241">
        <v>1</v>
      </c>
      <c r="AO1694" s="241" t="s">
        <v>9576</v>
      </c>
      <c r="AP1694" s="241">
        <v>1</v>
      </c>
      <c r="AR1694" s="241">
        <v>2</v>
      </c>
      <c r="AS1694" s="241" t="s">
        <v>9582</v>
      </c>
    </row>
    <row r="1695" spans="1:45" s="32" customFormat="1" ht="69.95" hidden="1" customHeight="1">
      <c r="A1695" s="29" t="s">
        <v>7171</v>
      </c>
      <c r="B1695" s="29" t="s">
        <v>3769</v>
      </c>
      <c r="C1695" s="32">
        <v>11</v>
      </c>
      <c r="E1695" s="57" t="s">
        <v>8149</v>
      </c>
      <c r="F1695" s="57" t="s">
        <v>8149</v>
      </c>
      <c r="G1695" s="29" t="s">
        <v>3312</v>
      </c>
      <c r="H1695" s="124" t="s">
        <v>9154</v>
      </c>
      <c r="I1695" s="124" t="s">
        <v>9121</v>
      </c>
      <c r="J1695" s="29">
        <f t="shared" si="123"/>
        <v>1</v>
      </c>
      <c r="K1695" s="42">
        <v>1681</v>
      </c>
      <c r="L1695" s="152" t="s">
        <v>8834</v>
      </c>
      <c r="M1695" s="44" t="s">
        <v>405</v>
      </c>
      <c r="N1695" s="44" t="s">
        <v>7984</v>
      </c>
      <c r="O1695" s="101" t="str">
        <f t="shared" ref="O1695:O1712" si="127">F1695</f>
        <v>PE-L1-3C4-18</v>
      </c>
      <c r="P1695" s="45">
        <v>1.2</v>
      </c>
      <c r="Q1695" s="44">
        <v>230</v>
      </c>
      <c r="R1695" s="44" t="s">
        <v>49</v>
      </c>
      <c r="S1695" s="101">
        <v>40</v>
      </c>
      <c r="T1695" s="46" t="s">
        <v>7981</v>
      </c>
      <c r="U1695" s="46" t="s">
        <v>7171</v>
      </c>
      <c r="V1695" s="46" t="s">
        <v>8678</v>
      </c>
      <c r="W1695" s="46" t="s">
        <v>381</v>
      </c>
      <c r="X1695" s="172" t="s">
        <v>9167</v>
      </c>
      <c r="Y1695" s="47" t="s">
        <v>7172</v>
      </c>
      <c r="Z1695" s="46" t="s">
        <v>8048</v>
      </c>
      <c r="AA1695" s="46" t="s">
        <v>3931</v>
      </c>
      <c r="AB1695" s="172" t="s">
        <v>9167</v>
      </c>
      <c r="AC1695" s="48" t="s">
        <v>7174</v>
      </c>
      <c r="AD1695" s="30"/>
      <c r="AE1695" s="192">
        <v>1</v>
      </c>
      <c r="AF1695" s="100" t="s">
        <v>8722</v>
      </c>
      <c r="AG1695" s="100" t="s">
        <v>8925</v>
      </c>
      <c r="AH1695" s="100">
        <v>13</v>
      </c>
    </row>
    <row r="1696" spans="1:45" s="32" customFormat="1" ht="69.95" hidden="1" customHeight="1">
      <c r="A1696" s="29" t="s">
        <v>7175</v>
      </c>
      <c r="B1696" s="29" t="s">
        <v>3769</v>
      </c>
      <c r="C1696" s="32">
        <v>12</v>
      </c>
      <c r="E1696" s="57" t="s">
        <v>220</v>
      </c>
      <c r="F1696" s="57" t="s">
        <v>220</v>
      </c>
      <c r="G1696" s="29" t="s">
        <v>3313</v>
      </c>
      <c r="H1696" s="29"/>
      <c r="I1696" s="124" t="s">
        <v>9121</v>
      </c>
      <c r="J1696" s="29">
        <f t="shared" si="123"/>
        <v>1</v>
      </c>
      <c r="K1696" s="42">
        <v>1682</v>
      </c>
      <c r="L1696" s="152" t="s">
        <v>3314</v>
      </c>
      <c r="M1696" s="44" t="s">
        <v>405</v>
      </c>
      <c r="N1696" s="44" t="s">
        <v>8293</v>
      </c>
      <c r="O1696" s="101" t="str">
        <f t="shared" si="127"/>
        <v>PE-L1-5C6-01</v>
      </c>
      <c r="P1696" s="45">
        <v>15</v>
      </c>
      <c r="Q1696" s="44">
        <v>400</v>
      </c>
      <c r="R1696" s="44" t="s">
        <v>49</v>
      </c>
      <c r="S1696" s="101">
        <v>195</v>
      </c>
      <c r="T1696" s="46" t="s">
        <v>7981</v>
      </c>
      <c r="U1696" s="46" t="s">
        <v>7175</v>
      </c>
      <c r="V1696" s="46" t="s">
        <v>8678</v>
      </c>
      <c r="W1696" s="46" t="s">
        <v>381</v>
      </c>
      <c r="X1696" s="47" t="s">
        <v>9310</v>
      </c>
      <c r="Y1696" s="47" t="s">
        <v>7176</v>
      </c>
      <c r="Z1696" s="46" t="s">
        <v>8049</v>
      </c>
      <c r="AA1696" s="46" t="s">
        <v>3931</v>
      </c>
      <c r="AB1696" s="47" t="s">
        <v>9310</v>
      </c>
      <c r="AC1696" s="48" t="s">
        <v>7178</v>
      </c>
      <c r="AD1696" s="206" t="s">
        <v>8843</v>
      </c>
      <c r="AE1696" s="192">
        <v>1</v>
      </c>
      <c r="AF1696" s="100" t="s">
        <v>8921</v>
      </c>
      <c r="AG1696" s="100" t="s">
        <v>8931</v>
      </c>
      <c r="AH1696" s="100">
        <v>17</v>
      </c>
    </row>
    <row r="1697" spans="1:34" s="32" customFormat="1" ht="69.95" hidden="1" customHeight="1">
      <c r="A1697" s="29" t="s">
        <v>7179</v>
      </c>
      <c r="B1697" s="29" t="s">
        <v>3769</v>
      </c>
      <c r="C1697" s="32">
        <v>13</v>
      </c>
      <c r="E1697" s="56" t="s">
        <v>220</v>
      </c>
      <c r="F1697" s="56" t="s">
        <v>220</v>
      </c>
      <c r="G1697" s="29" t="s">
        <v>3315</v>
      </c>
      <c r="H1697" s="29"/>
      <c r="I1697" s="124" t="s">
        <v>9121</v>
      </c>
      <c r="J1697" s="29">
        <f t="shared" si="123"/>
        <v>1</v>
      </c>
      <c r="K1697" s="42">
        <v>1683</v>
      </c>
      <c r="L1697" s="152" t="s">
        <v>3316</v>
      </c>
      <c r="M1697" s="44" t="s">
        <v>405</v>
      </c>
      <c r="N1697" s="44" t="s">
        <v>1972</v>
      </c>
      <c r="O1697" s="101" t="str">
        <f t="shared" si="127"/>
        <v>PE-L1-5C6-01</v>
      </c>
      <c r="P1697" s="45">
        <v>11</v>
      </c>
      <c r="Q1697" s="44">
        <v>400</v>
      </c>
      <c r="R1697" s="44" t="s">
        <v>49</v>
      </c>
      <c r="S1697" s="101">
        <v>115</v>
      </c>
      <c r="T1697" s="46" t="s">
        <v>7981</v>
      </c>
      <c r="U1697" s="46" t="s">
        <v>7179</v>
      </c>
      <c r="V1697" s="46" t="s">
        <v>8678</v>
      </c>
      <c r="W1697" s="46" t="s">
        <v>381</v>
      </c>
      <c r="X1697" s="47" t="s">
        <v>8731</v>
      </c>
      <c r="Y1697" s="47" t="s">
        <v>7180</v>
      </c>
      <c r="Z1697" s="46" t="s">
        <v>8050</v>
      </c>
      <c r="AA1697" s="46" t="s">
        <v>3931</v>
      </c>
      <c r="AB1697" s="47" t="s">
        <v>8731</v>
      </c>
      <c r="AC1697" s="48" t="s">
        <v>7182</v>
      </c>
      <c r="AD1697" s="206" t="s">
        <v>8844</v>
      </c>
      <c r="AE1697" s="192">
        <v>1</v>
      </c>
      <c r="AF1697" s="100" t="s">
        <v>8824</v>
      </c>
      <c r="AG1697" s="100" t="s">
        <v>8931</v>
      </c>
      <c r="AH1697" s="100">
        <v>17</v>
      </c>
    </row>
    <row r="1698" spans="1:34" s="32" customFormat="1" ht="69.95" hidden="1" customHeight="1">
      <c r="A1698" s="29" t="s">
        <v>7183</v>
      </c>
      <c r="B1698" s="29" t="s">
        <v>3769</v>
      </c>
      <c r="C1698" s="32">
        <v>14</v>
      </c>
      <c r="E1698" s="57" t="s">
        <v>229</v>
      </c>
      <c r="F1698" s="57" t="s">
        <v>8147</v>
      </c>
      <c r="G1698" s="29" t="s">
        <v>3317</v>
      </c>
      <c r="H1698" s="29"/>
      <c r="I1698" s="124" t="s">
        <v>9121</v>
      </c>
      <c r="J1698" s="29">
        <f t="shared" si="123"/>
        <v>1</v>
      </c>
      <c r="K1698" s="42">
        <v>1684</v>
      </c>
      <c r="L1698" s="152" t="s">
        <v>3318</v>
      </c>
      <c r="M1698" s="44" t="s">
        <v>405</v>
      </c>
      <c r="N1698" s="44" t="s">
        <v>8938</v>
      </c>
      <c r="O1698" s="101" t="str">
        <f t="shared" si="127"/>
        <v>PE-L1-5C4-02</v>
      </c>
      <c r="P1698" s="45">
        <v>5.2</v>
      </c>
      <c r="Q1698" s="44">
        <v>400</v>
      </c>
      <c r="R1698" s="44" t="s">
        <v>49</v>
      </c>
      <c r="S1698" s="101">
        <v>110</v>
      </c>
      <c r="T1698" s="46" t="s">
        <v>7981</v>
      </c>
      <c r="U1698" s="46" t="s">
        <v>7183</v>
      </c>
      <c r="V1698" s="46" t="s">
        <v>8678</v>
      </c>
      <c r="W1698" s="46" t="s">
        <v>381</v>
      </c>
      <c r="X1698" s="47" t="s">
        <v>8731</v>
      </c>
      <c r="Y1698" s="47" t="s">
        <v>7184</v>
      </c>
      <c r="Z1698" s="46" t="s">
        <v>8051</v>
      </c>
      <c r="AA1698" s="46" t="s">
        <v>3931</v>
      </c>
      <c r="AB1698" s="47" t="s">
        <v>8731</v>
      </c>
      <c r="AC1698" s="48" t="s">
        <v>7186</v>
      </c>
      <c r="AD1698" s="30"/>
      <c r="AE1698" s="202">
        <v>1</v>
      </c>
      <c r="AF1698" s="109" t="s">
        <v>8722</v>
      </c>
      <c r="AG1698" s="109" t="s">
        <v>8925</v>
      </c>
      <c r="AH1698" s="111">
        <v>15</v>
      </c>
    </row>
    <row r="1699" spans="1:34" s="32" customFormat="1" ht="69.95" hidden="1" customHeight="1">
      <c r="A1699" s="29" t="s">
        <v>7187</v>
      </c>
      <c r="B1699" s="29" t="s">
        <v>3769</v>
      </c>
      <c r="C1699" s="32">
        <v>15</v>
      </c>
      <c r="E1699" s="58" t="s">
        <v>8291</v>
      </c>
      <c r="F1699" s="58" t="s">
        <v>8291</v>
      </c>
      <c r="G1699" s="29" t="s">
        <v>3319</v>
      </c>
      <c r="H1699" s="29"/>
      <c r="I1699" s="124" t="s">
        <v>9121</v>
      </c>
      <c r="J1699" s="29">
        <f t="shared" si="123"/>
        <v>1</v>
      </c>
      <c r="K1699" s="42">
        <v>1685</v>
      </c>
      <c r="L1699" s="152" t="s">
        <v>3320</v>
      </c>
      <c r="M1699" s="44" t="s">
        <v>405</v>
      </c>
      <c r="N1699" s="44" t="s">
        <v>8151</v>
      </c>
      <c r="O1699" s="101" t="str">
        <f t="shared" si="127"/>
        <v>PE-L1-5C25/16-02</v>
      </c>
      <c r="P1699" s="45">
        <v>40</v>
      </c>
      <c r="Q1699" s="44">
        <v>400</v>
      </c>
      <c r="R1699" s="44" t="s">
        <v>49</v>
      </c>
      <c r="S1699" s="101">
        <v>85</v>
      </c>
      <c r="T1699" s="46" t="s">
        <v>7981</v>
      </c>
      <c r="U1699" s="46" t="s">
        <v>7187</v>
      </c>
      <c r="V1699" s="46" t="s">
        <v>8678</v>
      </c>
      <c r="W1699" s="46" t="s">
        <v>381</v>
      </c>
      <c r="X1699" s="47" t="s">
        <v>8731</v>
      </c>
      <c r="Y1699" s="47" t="s">
        <v>7188</v>
      </c>
      <c r="Z1699" s="46" t="s">
        <v>8052</v>
      </c>
      <c r="AA1699" s="46" t="s">
        <v>3931</v>
      </c>
      <c r="AB1699" s="47" t="s">
        <v>8731</v>
      </c>
      <c r="AC1699" s="48" t="s">
        <v>7190</v>
      </c>
      <c r="AD1699" s="206" t="s">
        <v>8845</v>
      </c>
      <c r="AE1699" s="192">
        <v>1</v>
      </c>
      <c r="AF1699" s="100" t="s">
        <v>8822</v>
      </c>
      <c r="AG1699" s="100" t="s">
        <v>8932</v>
      </c>
      <c r="AH1699" s="108">
        <v>25.5</v>
      </c>
    </row>
    <row r="1700" spans="1:34" s="32" customFormat="1" ht="69.95" hidden="1" customHeight="1">
      <c r="A1700" s="29" t="s">
        <v>7191</v>
      </c>
      <c r="B1700" s="29" t="s">
        <v>3769</v>
      </c>
      <c r="C1700" s="32">
        <v>16</v>
      </c>
      <c r="E1700" s="57" t="s">
        <v>220</v>
      </c>
      <c r="F1700" s="57" t="s">
        <v>220</v>
      </c>
      <c r="G1700" s="29" t="s">
        <v>3321</v>
      </c>
      <c r="H1700" s="29"/>
      <c r="I1700" s="124" t="s">
        <v>9121</v>
      </c>
      <c r="J1700" s="29">
        <f t="shared" si="123"/>
        <v>1</v>
      </c>
      <c r="K1700" s="42">
        <v>1686</v>
      </c>
      <c r="L1700" s="152" t="s">
        <v>3322</v>
      </c>
      <c r="M1700" s="44" t="s">
        <v>405</v>
      </c>
      <c r="N1700" s="44" t="s">
        <v>8293</v>
      </c>
      <c r="O1700" s="101" t="str">
        <f t="shared" si="127"/>
        <v>PE-L1-5C6-01</v>
      </c>
      <c r="P1700" s="45">
        <v>18</v>
      </c>
      <c r="Q1700" s="44">
        <v>400</v>
      </c>
      <c r="R1700" s="44" t="s">
        <v>49</v>
      </c>
      <c r="S1700" s="101">
        <v>105</v>
      </c>
      <c r="T1700" s="46" t="s">
        <v>7981</v>
      </c>
      <c r="U1700" s="46" t="s">
        <v>7191</v>
      </c>
      <c r="V1700" s="46" t="s">
        <v>8678</v>
      </c>
      <c r="W1700" s="46" t="s">
        <v>381</v>
      </c>
      <c r="X1700" s="47" t="s">
        <v>8731</v>
      </c>
      <c r="Y1700" s="47" t="s">
        <v>7192</v>
      </c>
      <c r="Z1700" s="46" t="s">
        <v>8053</v>
      </c>
      <c r="AA1700" s="46" t="s">
        <v>3931</v>
      </c>
      <c r="AB1700" s="47" t="s">
        <v>8731</v>
      </c>
      <c r="AC1700" s="48" t="s">
        <v>7194</v>
      </c>
      <c r="AD1700" s="206" t="s">
        <v>8846</v>
      </c>
      <c r="AE1700" s="192">
        <v>1</v>
      </c>
      <c r="AF1700" s="100" t="s">
        <v>8824</v>
      </c>
      <c r="AG1700" s="100" t="s">
        <v>8931</v>
      </c>
      <c r="AH1700" s="100">
        <v>17</v>
      </c>
    </row>
    <row r="1701" spans="1:34" s="32" customFormat="1" ht="69.95" hidden="1" customHeight="1">
      <c r="A1701" s="29" t="s">
        <v>7195</v>
      </c>
      <c r="B1701" s="29" t="s">
        <v>3769</v>
      </c>
      <c r="C1701" s="32">
        <v>17</v>
      </c>
      <c r="E1701" s="57" t="s">
        <v>8149</v>
      </c>
      <c r="F1701" s="57" t="s">
        <v>8149</v>
      </c>
      <c r="G1701" s="29" t="s">
        <v>3323</v>
      </c>
      <c r="H1701" s="29"/>
      <c r="I1701" s="124" t="s">
        <v>9121</v>
      </c>
      <c r="J1701" s="29">
        <f t="shared" si="123"/>
        <v>1</v>
      </c>
      <c r="K1701" s="42">
        <v>1687</v>
      </c>
      <c r="L1701" s="152" t="s">
        <v>3324</v>
      </c>
      <c r="M1701" s="44" t="s">
        <v>405</v>
      </c>
      <c r="N1701" s="101" t="s">
        <v>426</v>
      </c>
      <c r="O1701" s="101" t="str">
        <f t="shared" si="127"/>
        <v>PE-L1-3C4-18</v>
      </c>
      <c r="P1701" s="45">
        <v>1.6</v>
      </c>
      <c r="Q1701" s="44">
        <v>230</v>
      </c>
      <c r="R1701" s="44" t="s">
        <v>49</v>
      </c>
      <c r="S1701" s="101">
        <v>120</v>
      </c>
      <c r="T1701" s="46" t="s">
        <v>7981</v>
      </c>
      <c r="U1701" s="46" t="s">
        <v>7195</v>
      </c>
      <c r="V1701" s="46" t="s">
        <v>8678</v>
      </c>
      <c r="W1701" s="46" t="s">
        <v>381</v>
      </c>
      <c r="X1701" s="172" t="s">
        <v>9167</v>
      </c>
      <c r="Y1701" s="47" t="s">
        <v>7196</v>
      </c>
      <c r="Z1701" s="46" t="s">
        <v>8054</v>
      </c>
      <c r="AA1701" s="46" t="s">
        <v>3931</v>
      </c>
      <c r="AB1701" s="172" t="s">
        <v>9167</v>
      </c>
      <c r="AC1701" s="48" t="s">
        <v>7198</v>
      </c>
      <c r="AD1701" s="30" t="s">
        <v>382</v>
      </c>
      <c r="AE1701" s="192">
        <v>1</v>
      </c>
      <c r="AF1701" s="100" t="s">
        <v>8722</v>
      </c>
      <c r="AG1701" s="100" t="s">
        <v>8925</v>
      </c>
      <c r="AH1701" s="100">
        <v>13</v>
      </c>
    </row>
    <row r="1702" spans="1:34" s="32" customFormat="1" ht="69.95" hidden="1" customHeight="1">
      <c r="A1702" s="29" t="s">
        <v>8655</v>
      </c>
      <c r="B1702" s="29" t="s">
        <v>3769</v>
      </c>
      <c r="C1702" s="32">
        <v>18</v>
      </c>
      <c r="D1702" s="173" t="s">
        <v>9131</v>
      </c>
      <c r="E1702" s="57" t="s">
        <v>8160</v>
      </c>
      <c r="F1702" s="121" t="s">
        <v>250</v>
      </c>
      <c r="G1702" s="29" t="s">
        <v>3325</v>
      </c>
      <c r="H1702" s="29"/>
      <c r="I1702" s="124" t="s">
        <v>9121</v>
      </c>
      <c r="J1702" s="29">
        <f t="shared" si="123"/>
        <v>1</v>
      </c>
      <c r="K1702" s="42">
        <v>1688</v>
      </c>
      <c r="L1702" s="43" t="s">
        <v>3326</v>
      </c>
      <c r="M1702" s="44" t="s">
        <v>405</v>
      </c>
      <c r="N1702" s="44" t="s">
        <v>8576</v>
      </c>
      <c r="O1702" s="121" t="str">
        <f t="shared" si="127"/>
        <v>PE-L1-2C4-06</v>
      </c>
      <c r="P1702" s="45">
        <v>5.5E-2</v>
      </c>
      <c r="Q1702" s="44">
        <v>220</v>
      </c>
      <c r="R1702" s="44" t="s">
        <v>509</v>
      </c>
      <c r="S1702" s="44">
        <v>70</v>
      </c>
      <c r="T1702" s="46" t="s">
        <v>7981</v>
      </c>
      <c r="U1702" s="46" t="s">
        <v>8173</v>
      </c>
      <c r="V1702" s="46" t="s">
        <v>8682</v>
      </c>
      <c r="W1702" s="46" t="s">
        <v>381</v>
      </c>
      <c r="X1702" s="47" t="s">
        <v>8738</v>
      </c>
      <c r="Y1702" s="47" t="s">
        <v>7199</v>
      </c>
      <c r="Z1702" s="46" t="s">
        <v>8055</v>
      </c>
      <c r="AA1702" s="46" t="s">
        <v>3931</v>
      </c>
      <c r="AB1702" s="47" t="s">
        <v>8738</v>
      </c>
      <c r="AC1702" s="48" t="s">
        <v>7201</v>
      </c>
      <c r="AD1702" s="206" t="s">
        <v>8847</v>
      </c>
      <c r="AE1702" s="192">
        <v>1</v>
      </c>
      <c r="AF1702" s="100" t="s">
        <v>8722</v>
      </c>
      <c r="AG1702" s="100" t="s">
        <v>8925</v>
      </c>
      <c r="AH1702" s="108">
        <v>12.5</v>
      </c>
    </row>
    <row r="1703" spans="1:34" s="32" customFormat="1" ht="69.95" hidden="1" customHeight="1">
      <c r="A1703" s="29" t="s">
        <v>7202</v>
      </c>
      <c r="B1703" s="29" t="s">
        <v>3769</v>
      </c>
      <c r="C1703" s="32">
        <v>19</v>
      </c>
      <c r="D1703" s="173" t="s">
        <v>9131</v>
      </c>
      <c r="E1703" s="57" t="s">
        <v>81</v>
      </c>
      <c r="F1703" s="121" t="s">
        <v>250</v>
      </c>
      <c r="G1703" s="29" t="s">
        <v>3327</v>
      </c>
      <c r="H1703" s="29"/>
      <c r="I1703" s="124" t="s">
        <v>9121</v>
      </c>
      <c r="J1703" s="29">
        <f t="shared" si="123"/>
        <v>1</v>
      </c>
      <c r="K1703" s="42">
        <v>1689</v>
      </c>
      <c r="L1703" s="43" t="s">
        <v>3328</v>
      </c>
      <c r="M1703" s="44" t="s">
        <v>405</v>
      </c>
      <c r="N1703" s="44" t="s">
        <v>578</v>
      </c>
      <c r="O1703" s="121" t="str">
        <f t="shared" si="127"/>
        <v>PE-L1-2C4-06</v>
      </c>
      <c r="P1703" s="45">
        <v>4.8000000000000001E-2</v>
      </c>
      <c r="Q1703" s="44">
        <v>220</v>
      </c>
      <c r="R1703" s="44" t="s">
        <v>509</v>
      </c>
      <c r="S1703" s="44">
        <v>60</v>
      </c>
      <c r="T1703" s="46" t="s">
        <v>7981</v>
      </c>
      <c r="U1703" s="46" t="s">
        <v>7202</v>
      </c>
      <c r="V1703" s="46" t="s">
        <v>8682</v>
      </c>
      <c r="W1703" s="46" t="s">
        <v>381</v>
      </c>
      <c r="X1703" s="47" t="s">
        <v>8738</v>
      </c>
      <c r="Y1703" s="47" t="s">
        <v>7203</v>
      </c>
      <c r="Z1703" s="46" t="s">
        <v>8056</v>
      </c>
      <c r="AA1703" s="46" t="s">
        <v>3931</v>
      </c>
      <c r="AB1703" s="47" t="s">
        <v>8738</v>
      </c>
      <c r="AC1703" s="48" t="s">
        <v>7205</v>
      </c>
      <c r="AD1703" s="206" t="s">
        <v>8848</v>
      </c>
      <c r="AE1703" s="192">
        <v>1</v>
      </c>
      <c r="AF1703" s="100" t="s">
        <v>8722</v>
      </c>
      <c r="AG1703" s="100" t="s">
        <v>8925</v>
      </c>
      <c r="AH1703" s="108">
        <v>12.5</v>
      </c>
    </row>
    <row r="1704" spans="1:34" s="32" customFormat="1" ht="69.95" hidden="1" customHeight="1">
      <c r="A1704" s="29" t="s">
        <v>7206</v>
      </c>
      <c r="B1704" s="29" t="s">
        <v>3769</v>
      </c>
      <c r="C1704" s="32">
        <v>20</v>
      </c>
      <c r="D1704" s="173" t="s">
        <v>9131</v>
      </c>
      <c r="E1704" s="57" t="s">
        <v>81</v>
      </c>
      <c r="F1704" s="121" t="s">
        <v>250</v>
      </c>
      <c r="G1704" s="29" t="s">
        <v>3329</v>
      </c>
      <c r="H1704" s="29"/>
      <c r="I1704" s="124" t="s">
        <v>9121</v>
      </c>
      <c r="J1704" s="29">
        <f t="shared" si="123"/>
        <v>1</v>
      </c>
      <c r="K1704" s="42">
        <v>1690</v>
      </c>
      <c r="L1704" s="43" t="s">
        <v>3330</v>
      </c>
      <c r="M1704" s="44" t="s">
        <v>405</v>
      </c>
      <c r="N1704" s="44" t="s">
        <v>578</v>
      </c>
      <c r="O1704" s="121" t="str">
        <f t="shared" si="127"/>
        <v>PE-L1-2C4-06</v>
      </c>
      <c r="P1704" s="45">
        <v>4.8000000000000001E-2</v>
      </c>
      <c r="Q1704" s="44">
        <v>220</v>
      </c>
      <c r="R1704" s="44" t="s">
        <v>509</v>
      </c>
      <c r="S1704" s="44">
        <v>60</v>
      </c>
      <c r="T1704" s="46" t="s">
        <v>7981</v>
      </c>
      <c r="U1704" s="46" t="s">
        <v>7206</v>
      </c>
      <c r="V1704" s="46" t="s">
        <v>8682</v>
      </c>
      <c r="W1704" s="46" t="s">
        <v>381</v>
      </c>
      <c r="X1704" s="47" t="s">
        <v>8738</v>
      </c>
      <c r="Y1704" s="47" t="s">
        <v>7207</v>
      </c>
      <c r="Z1704" s="46" t="s">
        <v>8057</v>
      </c>
      <c r="AA1704" s="46" t="s">
        <v>3931</v>
      </c>
      <c r="AB1704" s="47" t="s">
        <v>8738</v>
      </c>
      <c r="AC1704" s="48" t="s">
        <v>7209</v>
      </c>
      <c r="AD1704" s="206" t="s">
        <v>8849</v>
      </c>
      <c r="AE1704" s="192">
        <v>1</v>
      </c>
      <c r="AF1704" s="100" t="s">
        <v>8722</v>
      </c>
      <c r="AG1704" s="100" t="s">
        <v>8925</v>
      </c>
      <c r="AH1704" s="108">
        <v>12.5</v>
      </c>
    </row>
    <row r="1705" spans="1:34" s="32" customFormat="1" ht="69.95" hidden="1" customHeight="1">
      <c r="A1705" s="29" t="s">
        <v>7210</v>
      </c>
      <c r="B1705" s="29" t="s">
        <v>3769</v>
      </c>
      <c r="C1705" s="32">
        <v>21</v>
      </c>
      <c r="D1705" s="124" t="s">
        <v>9447</v>
      </c>
      <c r="E1705" s="89" t="s">
        <v>229</v>
      </c>
      <c r="F1705" s="89" t="s">
        <v>8741</v>
      </c>
      <c r="G1705" s="29" t="s">
        <v>3331</v>
      </c>
      <c r="H1705" s="29"/>
      <c r="I1705" s="124" t="s">
        <v>9400</v>
      </c>
      <c r="J1705" s="29">
        <f t="shared" si="123"/>
        <v>1</v>
      </c>
      <c r="K1705" s="42">
        <v>1691</v>
      </c>
      <c r="L1705" s="180" t="s">
        <v>3332</v>
      </c>
      <c r="M1705" s="44" t="s">
        <v>405</v>
      </c>
      <c r="N1705" s="90" t="s">
        <v>8638</v>
      </c>
      <c r="O1705" s="90" t="str">
        <f t="shared" si="127"/>
        <v>PE-L1-5C4-02</v>
      </c>
      <c r="P1705" s="45">
        <v>0.13</v>
      </c>
      <c r="Q1705" s="44">
        <v>220</v>
      </c>
      <c r="R1705" s="44" t="s">
        <v>509</v>
      </c>
      <c r="S1705" s="44">
        <v>120</v>
      </c>
      <c r="T1705" s="46" t="s">
        <v>7981</v>
      </c>
      <c r="U1705" s="46" t="s">
        <v>7210</v>
      </c>
      <c r="V1705" s="46" t="s">
        <v>8682</v>
      </c>
      <c r="W1705" s="46" t="s">
        <v>381</v>
      </c>
      <c r="X1705" s="87" t="s">
        <v>8740</v>
      </c>
      <c r="Y1705" s="47" t="s">
        <v>7211</v>
      </c>
      <c r="Z1705" s="46" t="s">
        <v>8058</v>
      </c>
      <c r="AA1705" s="46" t="s">
        <v>3931</v>
      </c>
      <c r="AB1705" s="87" t="s">
        <v>8739</v>
      </c>
      <c r="AC1705" s="48" t="s">
        <v>7213</v>
      </c>
      <c r="AD1705" s="206"/>
      <c r="AE1705" s="192">
        <v>1</v>
      </c>
      <c r="AF1705" s="100" t="s">
        <v>8722</v>
      </c>
      <c r="AG1705" s="100" t="s">
        <v>8925</v>
      </c>
      <c r="AH1705" s="108">
        <v>15</v>
      </c>
    </row>
    <row r="1706" spans="1:34" s="32" customFormat="1" ht="69.95" hidden="1" customHeight="1">
      <c r="A1706" s="29" t="s">
        <v>7214</v>
      </c>
      <c r="B1706" s="29" t="s">
        <v>3769</v>
      </c>
      <c r="C1706" s="32">
        <v>22</v>
      </c>
      <c r="E1706" s="57" t="s">
        <v>81</v>
      </c>
      <c r="F1706" s="57" t="s">
        <v>81</v>
      </c>
      <c r="G1706" s="29" t="s">
        <v>3333</v>
      </c>
      <c r="H1706" s="29"/>
      <c r="I1706" s="124" t="s">
        <v>9121</v>
      </c>
      <c r="J1706" s="29">
        <f t="shared" si="123"/>
        <v>1</v>
      </c>
      <c r="K1706" s="42">
        <v>1692</v>
      </c>
      <c r="L1706" s="152" t="s">
        <v>3334</v>
      </c>
      <c r="M1706" s="44" t="s">
        <v>405</v>
      </c>
      <c r="N1706" s="44" t="s">
        <v>578</v>
      </c>
      <c r="O1706" s="101" t="str">
        <f t="shared" si="127"/>
        <v>PE-L1-2C4-04</v>
      </c>
      <c r="P1706" s="45">
        <v>4.8000000000000001E-2</v>
      </c>
      <c r="Q1706" s="44">
        <v>220</v>
      </c>
      <c r="R1706" s="44" t="s">
        <v>509</v>
      </c>
      <c r="S1706" s="101">
        <v>120</v>
      </c>
      <c r="T1706" s="46" t="s">
        <v>7981</v>
      </c>
      <c r="U1706" s="46" t="s">
        <v>7214</v>
      </c>
      <c r="V1706" s="46" t="s">
        <v>8682</v>
      </c>
      <c r="W1706" s="46" t="s">
        <v>381</v>
      </c>
      <c r="X1706" s="47" t="s">
        <v>8738</v>
      </c>
      <c r="Y1706" s="47" t="s">
        <v>7215</v>
      </c>
      <c r="Z1706" s="46" t="s">
        <v>8059</v>
      </c>
      <c r="AA1706" s="46" t="s">
        <v>3931</v>
      </c>
      <c r="AB1706" s="47" t="s">
        <v>8738</v>
      </c>
      <c r="AC1706" s="48" t="s">
        <v>7217</v>
      </c>
      <c r="AD1706" s="206" t="s">
        <v>8850</v>
      </c>
      <c r="AE1706" s="192">
        <v>1</v>
      </c>
      <c r="AF1706" s="100" t="s">
        <v>8722</v>
      </c>
      <c r="AG1706" s="100" t="s">
        <v>8925</v>
      </c>
      <c r="AH1706" s="108">
        <v>12.5</v>
      </c>
    </row>
    <row r="1707" spans="1:34" s="32" customFormat="1" ht="69.95" hidden="1" customHeight="1">
      <c r="A1707" s="29" t="s">
        <v>7218</v>
      </c>
      <c r="B1707" s="29" t="s">
        <v>3769</v>
      </c>
      <c r="C1707" s="32">
        <v>23</v>
      </c>
      <c r="D1707" s="124" t="s">
        <v>9447</v>
      </c>
      <c r="E1707" s="89" t="s">
        <v>230</v>
      </c>
      <c r="F1707" s="89" t="s">
        <v>230</v>
      </c>
      <c r="G1707" s="29" t="s">
        <v>3335</v>
      </c>
      <c r="H1707" s="29"/>
      <c r="I1707" s="124" t="s">
        <v>9400</v>
      </c>
      <c r="J1707" s="29">
        <f t="shared" si="123"/>
        <v>1</v>
      </c>
      <c r="K1707" s="42">
        <v>1693</v>
      </c>
      <c r="L1707" s="180" t="s">
        <v>3336</v>
      </c>
      <c r="M1707" s="44" t="s">
        <v>405</v>
      </c>
      <c r="N1707" s="90" t="s">
        <v>8638</v>
      </c>
      <c r="O1707" s="90" t="str">
        <f t="shared" si="127"/>
        <v>PE-L1-5C4-02</v>
      </c>
      <c r="P1707" s="45">
        <v>0.13</v>
      </c>
      <c r="Q1707" s="44">
        <v>220</v>
      </c>
      <c r="R1707" s="44" t="s">
        <v>509</v>
      </c>
      <c r="S1707" s="44">
        <v>120</v>
      </c>
      <c r="T1707" s="46" t="s">
        <v>7981</v>
      </c>
      <c r="U1707" s="46" t="s">
        <v>7218</v>
      </c>
      <c r="V1707" s="46" t="s">
        <v>8682</v>
      </c>
      <c r="W1707" s="46" t="s">
        <v>381</v>
      </c>
      <c r="X1707" s="87" t="s">
        <v>8740</v>
      </c>
      <c r="Y1707" s="47" t="s">
        <v>9501</v>
      </c>
      <c r="Z1707" s="46" t="s">
        <v>8060</v>
      </c>
      <c r="AA1707" s="46" t="s">
        <v>3931</v>
      </c>
      <c r="AB1707" s="87" t="s">
        <v>8739</v>
      </c>
      <c r="AC1707" s="48" t="s">
        <v>7220</v>
      </c>
      <c r="AD1707" s="206"/>
      <c r="AE1707" s="192">
        <v>1</v>
      </c>
      <c r="AF1707" s="100" t="s">
        <v>8722</v>
      </c>
      <c r="AG1707" s="100" t="s">
        <v>8925</v>
      </c>
      <c r="AH1707" s="108">
        <v>15</v>
      </c>
    </row>
    <row r="1708" spans="1:34" s="32" customFormat="1" ht="69.95" hidden="1" customHeight="1">
      <c r="A1708" s="29" t="s">
        <v>7221</v>
      </c>
      <c r="B1708" s="29" t="s">
        <v>3769</v>
      </c>
      <c r="C1708" s="32">
        <v>24</v>
      </c>
      <c r="E1708" s="57" t="s">
        <v>252</v>
      </c>
      <c r="F1708" s="57" t="s">
        <v>252</v>
      </c>
      <c r="G1708" s="29" t="s">
        <v>3337</v>
      </c>
      <c r="H1708" s="29"/>
      <c r="I1708" s="124" t="s">
        <v>9121</v>
      </c>
      <c r="J1708" s="29">
        <f t="shared" si="123"/>
        <v>1</v>
      </c>
      <c r="K1708" s="42">
        <v>1694</v>
      </c>
      <c r="L1708" s="152" t="s">
        <v>3338</v>
      </c>
      <c r="M1708" s="44" t="s">
        <v>405</v>
      </c>
      <c r="N1708" s="44" t="s">
        <v>578</v>
      </c>
      <c r="O1708" s="101" t="str">
        <f t="shared" si="127"/>
        <v>PE-L1-2C4-05</v>
      </c>
      <c r="P1708" s="45">
        <v>4.8000000000000001E-2</v>
      </c>
      <c r="Q1708" s="44">
        <v>220</v>
      </c>
      <c r="R1708" s="44" t="s">
        <v>509</v>
      </c>
      <c r="S1708" s="101">
        <v>120</v>
      </c>
      <c r="T1708" s="46" t="s">
        <v>7981</v>
      </c>
      <c r="U1708" s="46" t="s">
        <v>7221</v>
      </c>
      <c r="V1708" s="46" t="s">
        <v>8682</v>
      </c>
      <c r="W1708" s="46" t="s">
        <v>381</v>
      </c>
      <c r="X1708" s="47" t="s">
        <v>8738</v>
      </c>
      <c r="Y1708" s="47" t="s">
        <v>7222</v>
      </c>
      <c r="Z1708" s="46" t="s">
        <v>8061</v>
      </c>
      <c r="AA1708" s="46" t="s">
        <v>3931</v>
      </c>
      <c r="AB1708" s="47" t="s">
        <v>8738</v>
      </c>
      <c r="AC1708" s="48" t="s">
        <v>7224</v>
      </c>
      <c r="AD1708" s="206" t="s">
        <v>8851</v>
      </c>
      <c r="AE1708" s="192">
        <v>1</v>
      </c>
      <c r="AF1708" s="100" t="s">
        <v>8722</v>
      </c>
      <c r="AG1708" s="100" t="s">
        <v>8925</v>
      </c>
      <c r="AH1708" s="108">
        <v>12.5</v>
      </c>
    </row>
    <row r="1709" spans="1:34" s="32" customFormat="1" ht="69.95" hidden="1" customHeight="1">
      <c r="A1709" s="29" t="s">
        <v>7225</v>
      </c>
      <c r="B1709" s="29" t="s">
        <v>3769</v>
      </c>
      <c r="C1709" s="32">
        <v>25</v>
      </c>
      <c r="E1709" s="57" t="s">
        <v>252</v>
      </c>
      <c r="F1709" s="57" t="s">
        <v>252</v>
      </c>
      <c r="G1709" s="29" t="s">
        <v>3339</v>
      </c>
      <c r="H1709" s="29"/>
      <c r="I1709" s="124" t="s">
        <v>9121</v>
      </c>
      <c r="J1709" s="29">
        <f t="shared" si="123"/>
        <v>1</v>
      </c>
      <c r="K1709" s="42">
        <v>1695</v>
      </c>
      <c r="L1709" s="152" t="s">
        <v>3340</v>
      </c>
      <c r="M1709" s="44" t="s">
        <v>405</v>
      </c>
      <c r="N1709" s="44" t="s">
        <v>578</v>
      </c>
      <c r="O1709" s="101" t="str">
        <f t="shared" si="127"/>
        <v>PE-L1-2C4-05</v>
      </c>
      <c r="P1709" s="45">
        <v>4.8000000000000001E-2</v>
      </c>
      <c r="Q1709" s="44">
        <v>220</v>
      </c>
      <c r="R1709" s="44" t="s">
        <v>509</v>
      </c>
      <c r="S1709" s="101">
        <v>120</v>
      </c>
      <c r="T1709" s="46" t="s">
        <v>7981</v>
      </c>
      <c r="U1709" s="46" t="s">
        <v>7225</v>
      </c>
      <c r="V1709" s="46" t="s">
        <v>8682</v>
      </c>
      <c r="W1709" s="46" t="s">
        <v>381</v>
      </c>
      <c r="X1709" s="47" t="s">
        <v>8738</v>
      </c>
      <c r="Y1709" s="47" t="s">
        <v>7226</v>
      </c>
      <c r="Z1709" s="46" t="s">
        <v>8062</v>
      </c>
      <c r="AA1709" s="46" t="s">
        <v>3931</v>
      </c>
      <c r="AB1709" s="47" t="s">
        <v>8738</v>
      </c>
      <c r="AC1709" s="48" t="s">
        <v>7228</v>
      </c>
      <c r="AD1709" s="206" t="s">
        <v>8852</v>
      </c>
      <c r="AE1709" s="192">
        <v>1</v>
      </c>
      <c r="AF1709" s="100" t="s">
        <v>8722</v>
      </c>
      <c r="AG1709" s="100" t="s">
        <v>8925</v>
      </c>
      <c r="AH1709" s="108">
        <v>12.5</v>
      </c>
    </row>
    <row r="1710" spans="1:34" s="32" customFormat="1" ht="69.95" hidden="1" customHeight="1">
      <c r="A1710" s="29" t="s">
        <v>7229</v>
      </c>
      <c r="B1710" s="29" t="s">
        <v>3769</v>
      </c>
      <c r="C1710" s="32">
        <v>26</v>
      </c>
      <c r="D1710" s="124" t="s">
        <v>9448</v>
      </c>
      <c r="E1710" s="89" t="s">
        <v>230</v>
      </c>
      <c r="F1710" s="89" t="s">
        <v>230</v>
      </c>
      <c r="G1710" s="29" t="s">
        <v>3341</v>
      </c>
      <c r="H1710" s="29"/>
      <c r="I1710" s="124" t="s">
        <v>9400</v>
      </c>
      <c r="J1710" s="29">
        <f t="shared" si="123"/>
        <v>1</v>
      </c>
      <c r="K1710" s="42">
        <v>1696</v>
      </c>
      <c r="L1710" s="180" t="s">
        <v>3342</v>
      </c>
      <c r="M1710" s="44" t="s">
        <v>405</v>
      </c>
      <c r="N1710" s="90" t="s">
        <v>8638</v>
      </c>
      <c r="O1710" s="90" t="str">
        <f t="shared" si="127"/>
        <v>PE-L1-5C4-02</v>
      </c>
      <c r="P1710" s="45">
        <v>0.13</v>
      </c>
      <c r="Q1710" s="44">
        <v>220</v>
      </c>
      <c r="R1710" s="44" t="s">
        <v>509</v>
      </c>
      <c r="S1710" s="44">
        <v>120</v>
      </c>
      <c r="T1710" s="46" t="s">
        <v>7981</v>
      </c>
      <c r="U1710" s="46" t="s">
        <v>7229</v>
      </c>
      <c r="V1710" s="46" t="s">
        <v>8682</v>
      </c>
      <c r="W1710" s="46" t="s">
        <v>381</v>
      </c>
      <c r="X1710" s="87" t="s">
        <v>8740</v>
      </c>
      <c r="Y1710" s="47" t="s">
        <v>7230</v>
      </c>
      <c r="Z1710" s="46" t="s">
        <v>8063</v>
      </c>
      <c r="AA1710" s="46" t="s">
        <v>3931</v>
      </c>
      <c r="AB1710" s="87" t="s">
        <v>8739</v>
      </c>
      <c r="AC1710" s="48" t="s">
        <v>7232</v>
      </c>
      <c r="AD1710" s="207" t="s">
        <v>8743</v>
      </c>
      <c r="AE1710" s="192">
        <v>1</v>
      </c>
      <c r="AF1710" s="100" t="s">
        <v>8722</v>
      </c>
      <c r="AG1710" s="100" t="s">
        <v>8925</v>
      </c>
      <c r="AH1710" s="108">
        <v>15</v>
      </c>
    </row>
    <row r="1711" spans="1:34" s="32" customFormat="1" ht="69.95" hidden="1" customHeight="1">
      <c r="A1711" s="29" t="s">
        <v>7233</v>
      </c>
      <c r="B1711" s="29" t="s">
        <v>3769</v>
      </c>
      <c r="C1711" s="32">
        <v>27</v>
      </c>
      <c r="E1711" s="57" t="s">
        <v>252</v>
      </c>
      <c r="F1711" s="57" t="s">
        <v>252</v>
      </c>
      <c r="G1711" s="29" t="s">
        <v>3343</v>
      </c>
      <c r="H1711" s="29"/>
      <c r="I1711" s="124" t="s">
        <v>9121</v>
      </c>
      <c r="J1711" s="29">
        <f t="shared" si="123"/>
        <v>1</v>
      </c>
      <c r="K1711" s="42">
        <v>1697</v>
      </c>
      <c r="L1711" s="152" t="s">
        <v>3344</v>
      </c>
      <c r="M1711" s="44" t="s">
        <v>405</v>
      </c>
      <c r="N1711" s="44" t="s">
        <v>578</v>
      </c>
      <c r="O1711" s="101" t="str">
        <f t="shared" si="127"/>
        <v>PE-L1-2C4-05</v>
      </c>
      <c r="P1711" s="45">
        <v>5.2999999999999999E-2</v>
      </c>
      <c r="Q1711" s="44">
        <v>220</v>
      </c>
      <c r="R1711" s="44" t="s">
        <v>509</v>
      </c>
      <c r="S1711" s="101">
        <v>120</v>
      </c>
      <c r="T1711" s="46" t="s">
        <v>7981</v>
      </c>
      <c r="U1711" s="46" t="s">
        <v>7233</v>
      </c>
      <c r="V1711" s="46" t="s">
        <v>8682</v>
      </c>
      <c r="W1711" s="46" t="s">
        <v>381</v>
      </c>
      <c r="X1711" s="47" t="s">
        <v>8738</v>
      </c>
      <c r="Y1711" s="47" t="s">
        <v>7234</v>
      </c>
      <c r="Z1711" s="46" t="s">
        <v>8064</v>
      </c>
      <c r="AA1711" s="46" t="s">
        <v>3931</v>
      </c>
      <c r="AB1711" s="47" t="s">
        <v>8738</v>
      </c>
      <c r="AC1711" s="48" t="s">
        <v>7236</v>
      </c>
      <c r="AD1711" s="206" t="s">
        <v>8853</v>
      </c>
      <c r="AE1711" s="192">
        <v>1</v>
      </c>
      <c r="AF1711" s="100" t="s">
        <v>8722</v>
      </c>
      <c r="AG1711" s="100" t="s">
        <v>8925</v>
      </c>
      <c r="AH1711" s="108">
        <v>12.5</v>
      </c>
    </row>
    <row r="1712" spans="1:34" s="32" customFormat="1" ht="69.95" hidden="1" customHeight="1">
      <c r="A1712" s="29" t="s">
        <v>7237</v>
      </c>
      <c r="B1712" s="29" t="s">
        <v>3769</v>
      </c>
      <c r="C1712" s="32">
        <v>28</v>
      </c>
      <c r="D1712" s="124" t="s">
        <v>9447</v>
      </c>
      <c r="E1712" s="89" t="s">
        <v>230</v>
      </c>
      <c r="F1712" s="89" t="s">
        <v>230</v>
      </c>
      <c r="G1712" s="29" t="s">
        <v>3345</v>
      </c>
      <c r="H1712" s="29"/>
      <c r="I1712" s="124" t="s">
        <v>9400</v>
      </c>
      <c r="J1712" s="29">
        <f t="shared" si="123"/>
        <v>1</v>
      </c>
      <c r="K1712" s="42">
        <v>1698</v>
      </c>
      <c r="L1712" s="180" t="s">
        <v>3346</v>
      </c>
      <c r="M1712" s="44" t="s">
        <v>405</v>
      </c>
      <c r="N1712" s="90" t="s">
        <v>8638</v>
      </c>
      <c r="O1712" s="90" t="str">
        <f t="shared" si="127"/>
        <v>PE-L1-5C4-02</v>
      </c>
      <c r="P1712" s="45">
        <v>0.13</v>
      </c>
      <c r="Q1712" s="44">
        <v>220</v>
      </c>
      <c r="R1712" s="44" t="s">
        <v>509</v>
      </c>
      <c r="S1712" s="44">
        <v>120</v>
      </c>
      <c r="T1712" s="46" t="s">
        <v>7981</v>
      </c>
      <c r="U1712" s="46" t="s">
        <v>7237</v>
      </c>
      <c r="V1712" s="46" t="s">
        <v>8682</v>
      </c>
      <c r="W1712" s="46" t="s">
        <v>381</v>
      </c>
      <c r="X1712" s="87" t="s">
        <v>8740</v>
      </c>
      <c r="Y1712" s="47" t="s">
        <v>7238</v>
      </c>
      <c r="Z1712" s="46" t="s">
        <v>8065</v>
      </c>
      <c r="AA1712" s="46" t="s">
        <v>3931</v>
      </c>
      <c r="AB1712" s="87" t="s">
        <v>8739</v>
      </c>
      <c r="AC1712" s="48" t="s">
        <v>7240</v>
      </c>
      <c r="AD1712" s="207" t="s">
        <v>8744</v>
      </c>
      <c r="AE1712" s="192">
        <v>1</v>
      </c>
      <c r="AF1712" s="100" t="s">
        <v>8722</v>
      </c>
      <c r="AG1712" s="100" t="s">
        <v>8925</v>
      </c>
      <c r="AH1712" s="108">
        <v>15</v>
      </c>
    </row>
    <row r="1713" spans="1:34" s="32" customFormat="1" ht="69.95" hidden="1" customHeight="1">
      <c r="A1713" s="29" t="s">
        <v>7241</v>
      </c>
      <c r="B1713" s="29" t="s">
        <v>3769</v>
      </c>
      <c r="C1713" s="32">
        <v>29</v>
      </c>
      <c r="E1713" s="57" t="s">
        <v>252</v>
      </c>
      <c r="F1713" s="57" t="s">
        <v>252</v>
      </c>
      <c r="G1713" s="29" t="s">
        <v>3347</v>
      </c>
      <c r="H1713" s="124" t="s">
        <v>9445</v>
      </c>
      <c r="I1713" s="124" t="s">
        <v>9121</v>
      </c>
      <c r="J1713" s="29">
        <f t="shared" si="123"/>
        <v>1</v>
      </c>
      <c r="K1713" s="42">
        <v>1699</v>
      </c>
      <c r="L1713" s="152" t="s">
        <v>3348</v>
      </c>
      <c r="M1713" s="44" t="s">
        <v>405</v>
      </c>
      <c r="N1713" s="44" t="s">
        <v>578</v>
      </c>
      <c r="O1713" s="101" t="str">
        <f t="shared" ref="O1713:O1714" si="128">F1713</f>
        <v>PE-L1-2C4-05</v>
      </c>
      <c r="P1713" s="45">
        <v>5.2999999999999999E-2</v>
      </c>
      <c r="Q1713" s="44">
        <v>220</v>
      </c>
      <c r="R1713" s="44" t="s">
        <v>509</v>
      </c>
      <c r="S1713" s="101">
        <v>70</v>
      </c>
      <c r="T1713" s="46" t="s">
        <v>7981</v>
      </c>
      <c r="U1713" s="46" t="s">
        <v>7241</v>
      </c>
      <c r="V1713" s="46" t="s">
        <v>8682</v>
      </c>
      <c r="W1713" s="46" t="s">
        <v>381</v>
      </c>
      <c r="X1713" s="47" t="s">
        <v>8738</v>
      </c>
      <c r="Y1713" s="47" t="s">
        <v>7242</v>
      </c>
      <c r="Z1713" s="46" t="s">
        <v>8066</v>
      </c>
      <c r="AA1713" s="46" t="s">
        <v>3931</v>
      </c>
      <c r="AB1713" s="47" t="s">
        <v>8738</v>
      </c>
      <c r="AC1713" s="48" t="s">
        <v>7244</v>
      </c>
      <c r="AD1713" s="206" t="s">
        <v>8854</v>
      </c>
      <c r="AE1713" s="192">
        <v>1</v>
      </c>
      <c r="AF1713" s="100" t="s">
        <v>8722</v>
      </c>
      <c r="AG1713" s="100" t="s">
        <v>8925</v>
      </c>
      <c r="AH1713" s="108">
        <v>12.5</v>
      </c>
    </row>
    <row r="1714" spans="1:34" s="32" customFormat="1" ht="69.95" hidden="1" customHeight="1">
      <c r="A1714" s="29" t="s">
        <v>7245</v>
      </c>
      <c r="B1714" s="29" t="s">
        <v>3769</v>
      </c>
      <c r="C1714" s="32">
        <v>30</v>
      </c>
      <c r="E1714" s="56" t="s">
        <v>252</v>
      </c>
      <c r="F1714" s="56" t="s">
        <v>252</v>
      </c>
      <c r="G1714" s="29" t="s">
        <v>3349</v>
      </c>
      <c r="H1714" s="124" t="s">
        <v>9445</v>
      </c>
      <c r="I1714" s="124" t="s">
        <v>9121</v>
      </c>
      <c r="J1714" s="29">
        <f t="shared" si="123"/>
        <v>1</v>
      </c>
      <c r="K1714" s="42">
        <v>1700</v>
      </c>
      <c r="L1714" s="152" t="s">
        <v>3350</v>
      </c>
      <c r="M1714" s="44" t="s">
        <v>405</v>
      </c>
      <c r="N1714" s="44" t="s">
        <v>578</v>
      </c>
      <c r="O1714" s="101" t="str">
        <f t="shared" si="128"/>
        <v>PE-L1-2C4-05</v>
      </c>
      <c r="P1714" s="45">
        <v>4.8000000000000001E-2</v>
      </c>
      <c r="Q1714" s="44">
        <v>220</v>
      </c>
      <c r="R1714" s="44" t="s">
        <v>509</v>
      </c>
      <c r="S1714" s="101">
        <v>70</v>
      </c>
      <c r="T1714" s="46" t="s">
        <v>7981</v>
      </c>
      <c r="U1714" s="46" t="s">
        <v>7245</v>
      </c>
      <c r="V1714" s="46" t="s">
        <v>8682</v>
      </c>
      <c r="W1714" s="46" t="s">
        <v>381</v>
      </c>
      <c r="X1714" s="47" t="s">
        <v>8738</v>
      </c>
      <c r="Y1714" s="47" t="s">
        <v>7246</v>
      </c>
      <c r="Z1714" s="46" t="s">
        <v>8067</v>
      </c>
      <c r="AA1714" s="46" t="s">
        <v>3931</v>
      </c>
      <c r="AB1714" s="47" t="s">
        <v>8738</v>
      </c>
      <c r="AC1714" s="48" t="s">
        <v>7248</v>
      </c>
      <c r="AD1714" s="206" t="s">
        <v>8855</v>
      </c>
      <c r="AE1714" s="192">
        <v>1</v>
      </c>
      <c r="AF1714" s="100" t="s">
        <v>8722</v>
      </c>
      <c r="AG1714" s="100" t="s">
        <v>8925</v>
      </c>
      <c r="AH1714" s="108">
        <v>12.5</v>
      </c>
    </row>
    <row r="1715" spans="1:34" s="32" customFormat="1" ht="69.95" hidden="1" customHeight="1">
      <c r="A1715" s="29" t="s">
        <v>7249</v>
      </c>
      <c r="B1715" s="29" t="s">
        <v>3769</v>
      </c>
      <c r="C1715" s="32">
        <v>31</v>
      </c>
      <c r="D1715" s="173" t="s">
        <v>9131</v>
      </c>
      <c r="E1715" s="57" t="s">
        <v>88</v>
      </c>
      <c r="F1715" s="121" t="s">
        <v>8036</v>
      </c>
      <c r="G1715" s="29" t="s">
        <v>3351</v>
      </c>
      <c r="H1715" s="29"/>
      <c r="I1715" s="124" t="s">
        <v>9121</v>
      </c>
      <c r="J1715" s="29">
        <f t="shared" si="123"/>
        <v>1</v>
      </c>
      <c r="K1715" s="42">
        <v>1701</v>
      </c>
      <c r="L1715" s="43" t="s">
        <v>3352</v>
      </c>
      <c r="M1715" s="44" t="s">
        <v>405</v>
      </c>
      <c r="N1715" s="44" t="s">
        <v>536</v>
      </c>
      <c r="O1715" s="121" t="str">
        <f>F1715</f>
        <v>PE-L1-4C4-02</v>
      </c>
      <c r="P1715" s="45">
        <v>1.1000000000000001</v>
      </c>
      <c r="Q1715" s="44">
        <v>400</v>
      </c>
      <c r="R1715" s="44" t="s">
        <v>49</v>
      </c>
      <c r="S1715" s="44">
        <v>60</v>
      </c>
      <c r="T1715" s="46" t="s">
        <v>7981</v>
      </c>
      <c r="U1715" s="46" t="s">
        <v>7249</v>
      </c>
      <c r="V1715" s="46" t="s">
        <v>8678</v>
      </c>
      <c r="W1715" s="46" t="s">
        <v>381</v>
      </c>
      <c r="X1715" s="47" t="s">
        <v>8721</v>
      </c>
      <c r="Y1715" s="47" t="s">
        <v>7250</v>
      </c>
      <c r="Z1715" s="46" t="s">
        <v>8068</v>
      </c>
      <c r="AA1715" s="46" t="s">
        <v>3931</v>
      </c>
      <c r="AB1715" s="47" t="s">
        <v>8721</v>
      </c>
      <c r="AC1715" s="48" t="s">
        <v>7252</v>
      </c>
      <c r="AD1715" s="30"/>
      <c r="AE1715" s="192">
        <v>1</v>
      </c>
      <c r="AF1715" s="100" t="s">
        <v>8722</v>
      </c>
      <c r="AG1715" s="100" t="s">
        <v>8925</v>
      </c>
      <c r="AH1715" s="100">
        <v>14</v>
      </c>
    </row>
    <row r="1716" spans="1:34" s="32" customFormat="1" ht="69.95" hidden="1" customHeight="1">
      <c r="A1716" s="29" t="s">
        <v>7253</v>
      </c>
      <c r="B1716" s="29" t="s">
        <v>3769</v>
      </c>
      <c r="C1716" s="32">
        <v>32</v>
      </c>
      <c r="E1716" s="56" t="s">
        <v>69</v>
      </c>
      <c r="F1716" s="56" t="s">
        <v>69</v>
      </c>
      <c r="G1716" s="29" t="s">
        <v>3353</v>
      </c>
      <c r="H1716" s="29"/>
      <c r="I1716" s="124" t="s">
        <v>9121</v>
      </c>
      <c r="J1716" s="29">
        <f t="shared" si="123"/>
        <v>1</v>
      </c>
      <c r="K1716" s="42">
        <v>1702</v>
      </c>
      <c r="L1716" s="152" t="s">
        <v>3354</v>
      </c>
      <c r="M1716" s="44" t="s">
        <v>405</v>
      </c>
      <c r="N1716" s="44" t="s">
        <v>546</v>
      </c>
      <c r="O1716" s="101" t="str">
        <f>F1716</f>
        <v>PE-L1-4C6-01</v>
      </c>
      <c r="P1716" s="45">
        <v>11</v>
      </c>
      <c r="Q1716" s="44">
        <v>400</v>
      </c>
      <c r="R1716" s="44" t="s">
        <v>49</v>
      </c>
      <c r="S1716" s="101">
        <v>60</v>
      </c>
      <c r="T1716" s="46" t="s">
        <v>7981</v>
      </c>
      <c r="U1716" s="46" t="s">
        <v>7253</v>
      </c>
      <c r="V1716" s="46" t="s">
        <v>8678</v>
      </c>
      <c r="W1716" s="46" t="s">
        <v>381</v>
      </c>
      <c r="X1716" s="47" t="s">
        <v>8721</v>
      </c>
      <c r="Y1716" s="47" t="s">
        <v>7254</v>
      </c>
      <c r="Z1716" s="46" t="s">
        <v>8069</v>
      </c>
      <c r="AA1716" s="46" t="s">
        <v>3931</v>
      </c>
      <c r="AB1716" s="47" t="s">
        <v>8721</v>
      </c>
      <c r="AC1716" s="48" t="s">
        <v>7256</v>
      </c>
      <c r="AD1716" s="30"/>
      <c r="AE1716" s="192">
        <v>1</v>
      </c>
      <c r="AF1716" s="100" t="s">
        <v>8722</v>
      </c>
      <c r="AG1716" s="100" t="s">
        <v>8925</v>
      </c>
      <c r="AH1716" s="108">
        <v>15.5</v>
      </c>
    </row>
    <row r="1717" spans="1:34" s="32" customFormat="1" ht="69.95" hidden="1" customHeight="1">
      <c r="A1717" s="29" t="s">
        <v>7257</v>
      </c>
      <c r="B1717" s="29" t="s">
        <v>3769</v>
      </c>
      <c r="C1717" s="32">
        <v>33</v>
      </c>
      <c r="D1717" s="173" t="s">
        <v>9131</v>
      </c>
      <c r="E1717" s="57" t="s">
        <v>252</v>
      </c>
      <c r="F1717" s="121" t="s">
        <v>250</v>
      </c>
      <c r="G1717" s="29" t="s">
        <v>3355</v>
      </c>
      <c r="H1717" s="29"/>
      <c r="I1717" s="124" t="s">
        <v>9121</v>
      </c>
      <c r="J1717" s="29">
        <f t="shared" si="123"/>
        <v>1</v>
      </c>
      <c r="K1717" s="42">
        <v>1703</v>
      </c>
      <c r="L1717" s="43" t="s">
        <v>3356</v>
      </c>
      <c r="M1717" s="44" t="s">
        <v>405</v>
      </c>
      <c r="N1717" s="44" t="s">
        <v>578</v>
      </c>
      <c r="O1717" s="121" t="str">
        <f>F1717</f>
        <v>PE-L1-2C4-06</v>
      </c>
      <c r="P1717" s="45">
        <v>7.8E-2</v>
      </c>
      <c r="Q1717" s="44">
        <v>220</v>
      </c>
      <c r="R1717" s="44" t="s">
        <v>509</v>
      </c>
      <c r="S1717" s="44">
        <v>70</v>
      </c>
      <c r="T1717" s="46" t="s">
        <v>7981</v>
      </c>
      <c r="U1717" s="46" t="s">
        <v>7257</v>
      </c>
      <c r="V1717" s="46" t="s">
        <v>8682</v>
      </c>
      <c r="W1717" s="46" t="s">
        <v>381</v>
      </c>
      <c r="X1717" s="47" t="s">
        <v>8738</v>
      </c>
      <c r="Y1717" s="47" t="s">
        <v>7258</v>
      </c>
      <c r="Z1717" s="46" t="s">
        <v>8070</v>
      </c>
      <c r="AA1717" s="46" t="s">
        <v>3931</v>
      </c>
      <c r="AB1717" s="47" t="s">
        <v>8738</v>
      </c>
      <c r="AC1717" s="48" t="s">
        <v>7260</v>
      </c>
      <c r="AD1717" s="206" t="s">
        <v>8856</v>
      </c>
      <c r="AE1717" s="192">
        <v>1</v>
      </c>
      <c r="AF1717" s="100" t="s">
        <v>8722</v>
      </c>
      <c r="AG1717" s="100" t="s">
        <v>8925</v>
      </c>
      <c r="AH1717" s="108">
        <v>12.5</v>
      </c>
    </row>
    <row r="1718" spans="1:34" s="32" customFormat="1" ht="69.95" hidden="1" customHeight="1">
      <c r="A1718" s="29" t="s">
        <v>7261</v>
      </c>
      <c r="B1718" s="29" t="s">
        <v>3769</v>
      </c>
      <c r="C1718" s="32">
        <v>34</v>
      </c>
      <c r="D1718" s="173" t="s">
        <v>9131</v>
      </c>
      <c r="E1718" s="57" t="s">
        <v>252</v>
      </c>
      <c r="F1718" s="121" t="s">
        <v>250</v>
      </c>
      <c r="G1718" s="29" t="s">
        <v>3357</v>
      </c>
      <c r="H1718" s="29"/>
      <c r="I1718" s="124" t="s">
        <v>9121</v>
      </c>
      <c r="J1718" s="29">
        <f t="shared" si="123"/>
        <v>1</v>
      </c>
      <c r="K1718" s="42">
        <v>1704</v>
      </c>
      <c r="L1718" s="43" t="s">
        <v>3358</v>
      </c>
      <c r="M1718" s="44" t="s">
        <v>405</v>
      </c>
      <c r="N1718" s="44" t="s">
        <v>578</v>
      </c>
      <c r="O1718" s="121" t="str">
        <f>F1718</f>
        <v>PE-L1-2C4-06</v>
      </c>
      <c r="P1718" s="45">
        <v>7.8E-2</v>
      </c>
      <c r="Q1718" s="44">
        <v>220</v>
      </c>
      <c r="R1718" s="44" t="s">
        <v>509</v>
      </c>
      <c r="S1718" s="44">
        <v>70</v>
      </c>
      <c r="T1718" s="46" t="s">
        <v>7981</v>
      </c>
      <c r="U1718" s="46" t="s">
        <v>7261</v>
      </c>
      <c r="V1718" s="46" t="s">
        <v>8682</v>
      </c>
      <c r="W1718" s="46" t="s">
        <v>381</v>
      </c>
      <c r="X1718" s="47" t="s">
        <v>8738</v>
      </c>
      <c r="Y1718" s="47" t="s">
        <v>7262</v>
      </c>
      <c r="Z1718" s="46" t="s">
        <v>8071</v>
      </c>
      <c r="AA1718" s="46" t="s">
        <v>3931</v>
      </c>
      <c r="AB1718" s="47" t="s">
        <v>8738</v>
      </c>
      <c r="AC1718" s="48" t="s">
        <v>7264</v>
      </c>
      <c r="AD1718" s="206" t="s">
        <v>8857</v>
      </c>
      <c r="AE1718" s="192">
        <v>1</v>
      </c>
      <c r="AF1718" s="100" t="s">
        <v>8722</v>
      </c>
      <c r="AG1718" s="100" t="s">
        <v>8925</v>
      </c>
      <c r="AH1718" s="108">
        <v>12.5</v>
      </c>
    </row>
    <row r="1719" spans="1:34" s="32" customFormat="1" ht="69.95" hidden="1" customHeight="1">
      <c r="A1719" s="29" t="s">
        <v>7265</v>
      </c>
      <c r="B1719" s="29" t="s">
        <v>3769</v>
      </c>
      <c r="C1719" s="32">
        <v>35</v>
      </c>
      <c r="E1719" s="57" t="s">
        <v>252</v>
      </c>
      <c r="F1719" s="57" t="s">
        <v>252</v>
      </c>
      <c r="G1719" s="29" t="s">
        <v>3359</v>
      </c>
      <c r="H1719" s="124" t="s">
        <v>9445</v>
      </c>
      <c r="I1719" s="124" t="s">
        <v>9121</v>
      </c>
      <c r="J1719" s="29">
        <f t="shared" si="123"/>
        <v>1</v>
      </c>
      <c r="K1719" s="42">
        <v>1705</v>
      </c>
      <c r="L1719" s="152" t="s">
        <v>3360</v>
      </c>
      <c r="M1719" s="44" t="s">
        <v>405</v>
      </c>
      <c r="N1719" s="44" t="s">
        <v>578</v>
      </c>
      <c r="O1719" s="101" t="str">
        <f t="shared" ref="O1719:O1721" si="129">F1719</f>
        <v>PE-L1-2C4-05</v>
      </c>
      <c r="P1719" s="45">
        <v>0.20499999999999999</v>
      </c>
      <c r="Q1719" s="44">
        <v>220</v>
      </c>
      <c r="R1719" s="44" t="s">
        <v>509</v>
      </c>
      <c r="S1719" s="101">
        <v>50</v>
      </c>
      <c r="T1719" s="46" t="s">
        <v>8304</v>
      </c>
      <c r="U1719" s="46" t="s">
        <v>7265</v>
      </c>
      <c r="V1719" s="46" t="s">
        <v>8682</v>
      </c>
      <c r="W1719" s="46" t="s">
        <v>381</v>
      </c>
      <c r="X1719" s="47" t="s">
        <v>8738</v>
      </c>
      <c r="Y1719" s="47" t="s">
        <v>7266</v>
      </c>
      <c r="Z1719" s="46" t="s">
        <v>8072</v>
      </c>
      <c r="AA1719" s="46" t="s">
        <v>3931</v>
      </c>
      <c r="AB1719" s="47" t="s">
        <v>8738</v>
      </c>
      <c r="AC1719" s="48" t="s">
        <v>7268</v>
      </c>
      <c r="AD1719" s="207" t="s">
        <v>8858</v>
      </c>
      <c r="AE1719" s="192">
        <v>1</v>
      </c>
      <c r="AF1719" s="100" t="s">
        <v>8722</v>
      </c>
      <c r="AG1719" s="100" t="s">
        <v>8925</v>
      </c>
      <c r="AH1719" s="108">
        <v>12.5</v>
      </c>
    </row>
    <row r="1720" spans="1:34" s="32" customFormat="1" ht="69.95" hidden="1" customHeight="1">
      <c r="A1720" s="29" t="s">
        <v>7269</v>
      </c>
      <c r="B1720" s="29" t="s">
        <v>3769</v>
      </c>
      <c r="C1720" s="32">
        <v>36</v>
      </c>
      <c r="E1720" s="57" t="s">
        <v>252</v>
      </c>
      <c r="F1720" s="57" t="s">
        <v>252</v>
      </c>
      <c r="G1720" s="29" t="s">
        <v>3361</v>
      </c>
      <c r="H1720" s="124" t="s">
        <v>9445</v>
      </c>
      <c r="I1720" s="124" t="s">
        <v>9121</v>
      </c>
      <c r="J1720" s="29">
        <f t="shared" si="123"/>
        <v>1</v>
      </c>
      <c r="K1720" s="42">
        <v>1706</v>
      </c>
      <c r="L1720" s="152" t="s">
        <v>3362</v>
      </c>
      <c r="M1720" s="44" t="s">
        <v>405</v>
      </c>
      <c r="N1720" s="44" t="s">
        <v>578</v>
      </c>
      <c r="O1720" s="101" t="str">
        <f t="shared" si="129"/>
        <v>PE-L1-2C4-05</v>
      </c>
      <c r="P1720" s="45">
        <v>0.20499999999999999</v>
      </c>
      <c r="Q1720" s="44">
        <v>220</v>
      </c>
      <c r="R1720" s="44" t="s">
        <v>509</v>
      </c>
      <c r="S1720" s="101">
        <v>50</v>
      </c>
      <c r="T1720" s="46" t="s">
        <v>8304</v>
      </c>
      <c r="U1720" s="46" t="s">
        <v>7269</v>
      </c>
      <c r="V1720" s="46" t="s">
        <v>8682</v>
      </c>
      <c r="W1720" s="46" t="s">
        <v>381</v>
      </c>
      <c r="X1720" s="47" t="s">
        <v>8738</v>
      </c>
      <c r="Y1720" s="47" t="s">
        <v>7270</v>
      </c>
      <c r="Z1720" s="46" t="s">
        <v>8073</v>
      </c>
      <c r="AA1720" s="46" t="s">
        <v>3931</v>
      </c>
      <c r="AB1720" s="47" t="s">
        <v>8738</v>
      </c>
      <c r="AC1720" s="48" t="s">
        <v>7272</v>
      </c>
      <c r="AD1720" s="206" t="s">
        <v>8859</v>
      </c>
      <c r="AE1720" s="192">
        <v>1</v>
      </c>
      <c r="AF1720" s="100" t="s">
        <v>8722</v>
      </c>
      <c r="AG1720" s="100" t="s">
        <v>8925</v>
      </c>
      <c r="AH1720" s="108">
        <v>12.5</v>
      </c>
    </row>
    <row r="1721" spans="1:34" s="32" customFormat="1" ht="69.95" hidden="1" customHeight="1">
      <c r="A1721" s="29" t="s">
        <v>7273</v>
      </c>
      <c r="B1721" s="29" t="s">
        <v>3769</v>
      </c>
      <c r="C1721" s="32">
        <v>37</v>
      </c>
      <c r="E1721" s="57" t="s">
        <v>252</v>
      </c>
      <c r="F1721" s="57" t="s">
        <v>252</v>
      </c>
      <c r="G1721" s="29" t="s">
        <v>3363</v>
      </c>
      <c r="H1721" s="124" t="s">
        <v>9445</v>
      </c>
      <c r="I1721" s="124" t="s">
        <v>9121</v>
      </c>
      <c r="J1721" s="29">
        <f t="shared" si="123"/>
        <v>1</v>
      </c>
      <c r="K1721" s="42">
        <v>1707</v>
      </c>
      <c r="L1721" s="152" t="s">
        <v>3364</v>
      </c>
      <c r="M1721" s="44" t="s">
        <v>405</v>
      </c>
      <c r="N1721" s="44" t="s">
        <v>578</v>
      </c>
      <c r="O1721" s="101" t="str">
        <f t="shared" si="129"/>
        <v>PE-L1-2C4-05</v>
      </c>
      <c r="P1721" s="45">
        <v>0.20499999999999999</v>
      </c>
      <c r="Q1721" s="44">
        <v>220</v>
      </c>
      <c r="R1721" s="44" t="s">
        <v>509</v>
      </c>
      <c r="S1721" s="101">
        <v>50</v>
      </c>
      <c r="T1721" s="46" t="s">
        <v>8304</v>
      </c>
      <c r="U1721" s="46" t="s">
        <v>7273</v>
      </c>
      <c r="V1721" s="46" t="s">
        <v>8682</v>
      </c>
      <c r="W1721" s="46" t="s">
        <v>381</v>
      </c>
      <c r="X1721" s="47" t="s">
        <v>8738</v>
      </c>
      <c r="Y1721" s="47" t="s">
        <v>7274</v>
      </c>
      <c r="Z1721" s="46" t="s">
        <v>8074</v>
      </c>
      <c r="AA1721" s="46" t="s">
        <v>3931</v>
      </c>
      <c r="AB1721" s="47" t="s">
        <v>8738</v>
      </c>
      <c r="AC1721" s="48" t="s">
        <v>7276</v>
      </c>
      <c r="AD1721" s="206" t="s">
        <v>8860</v>
      </c>
      <c r="AE1721" s="192">
        <v>1</v>
      </c>
      <c r="AF1721" s="100" t="s">
        <v>8722</v>
      </c>
      <c r="AG1721" s="100" t="s">
        <v>8925</v>
      </c>
      <c r="AH1721" s="108">
        <v>12.5</v>
      </c>
    </row>
    <row r="1722" spans="1:34" s="32" customFormat="1" ht="69.95" hidden="1" customHeight="1">
      <c r="A1722" s="29" t="s">
        <v>7277</v>
      </c>
      <c r="B1722" s="29" t="s">
        <v>3769</v>
      </c>
      <c r="C1722" s="32">
        <v>38</v>
      </c>
      <c r="E1722" s="89" t="s">
        <v>8107</v>
      </c>
      <c r="F1722" s="89" t="s">
        <v>8107</v>
      </c>
      <c r="G1722" s="29" t="s">
        <v>3365</v>
      </c>
      <c r="H1722" s="29"/>
      <c r="I1722" s="29"/>
      <c r="J1722" s="29">
        <f t="shared" si="123"/>
        <v>1</v>
      </c>
      <c r="K1722" s="42">
        <v>1708</v>
      </c>
      <c r="L1722" s="43" t="s">
        <v>3366</v>
      </c>
      <c r="M1722" s="44" t="s">
        <v>405</v>
      </c>
      <c r="N1722" s="90" t="s">
        <v>7984</v>
      </c>
      <c r="O1722" s="90" t="str">
        <f t="shared" ref="O1722:O1733" si="130">F1722</f>
        <v>PE-L1-3C4-01</v>
      </c>
      <c r="P1722" s="45">
        <v>8.0000000000000002E-3</v>
      </c>
      <c r="Q1722" s="44">
        <v>220</v>
      </c>
      <c r="R1722" s="44" t="s">
        <v>509</v>
      </c>
      <c r="S1722" s="44">
        <v>60</v>
      </c>
      <c r="T1722" s="46" t="s">
        <v>8304</v>
      </c>
      <c r="U1722" s="46" t="s">
        <v>7277</v>
      </c>
      <c r="V1722" s="46" t="s">
        <v>8682</v>
      </c>
      <c r="W1722" s="46" t="s">
        <v>381</v>
      </c>
      <c r="X1722" s="87" t="s">
        <v>8760</v>
      </c>
      <c r="Y1722" s="47" t="s">
        <v>7278</v>
      </c>
      <c r="Z1722" s="46" t="s">
        <v>8075</v>
      </c>
      <c r="AA1722" s="46" t="s">
        <v>3931</v>
      </c>
      <c r="AB1722" s="87" t="s">
        <v>8754</v>
      </c>
      <c r="AC1722" s="48" t="s">
        <v>7280</v>
      </c>
      <c r="AD1722" s="206" t="s">
        <v>8861</v>
      </c>
      <c r="AE1722" s="202">
        <v>1</v>
      </c>
      <c r="AF1722" s="109" t="s">
        <v>8722</v>
      </c>
      <c r="AG1722" s="109" t="s">
        <v>8925</v>
      </c>
      <c r="AH1722" s="109">
        <v>13</v>
      </c>
    </row>
    <row r="1723" spans="1:34" s="32" customFormat="1" ht="69.95" hidden="1" customHeight="1">
      <c r="A1723" s="29" t="s">
        <v>7277</v>
      </c>
      <c r="B1723" s="29" t="s">
        <v>3769</v>
      </c>
      <c r="C1723" s="40">
        <v>39</v>
      </c>
      <c r="D1723" s="40"/>
      <c r="E1723" s="89" t="s">
        <v>8089</v>
      </c>
      <c r="F1723" s="89" t="s">
        <v>8089</v>
      </c>
      <c r="G1723" s="29" t="s">
        <v>3367</v>
      </c>
      <c r="H1723" s="29"/>
      <c r="I1723" s="29"/>
      <c r="J1723" s="29">
        <f t="shared" si="123"/>
        <v>1</v>
      </c>
      <c r="K1723" s="42">
        <v>1709</v>
      </c>
      <c r="L1723" s="43" t="s">
        <v>3368</v>
      </c>
      <c r="M1723" s="44" t="s">
        <v>405</v>
      </c>
      <c r="N1723" s="90" t="s">
        <v>8638</v>
      </c>
      <c r="O1723" s="90" t="str">
        <f t="shared" si="130"/>
        <v>PE-L1-5C4-01</v>
      </c>
      <c r="P1723" s="45">
        <v>0.13</v>
      </c>
      <c r="Q1723" s="44">
        <v>220</v>
      </c>
      <c r="R1723" s="44" t="s">
        <v>509</v>
      </c>
      <c r="S1723" s="44">
        <v>60</v>
      </c>
      <c r="T1723" s="46" t="s">
        <v>8304</v>
      </c>
      <c r="U1723" s="46" t="s">
        <v>7277</v>
      </c>
      <c r="V1723" s="46" t="s">
        <v>8682</v>
      </c>
      <c r="W1723" s="46" t="s">
        <v>381</v>
      </c>
      <c r="X1723" s="87" t="s">
        <v>8740</v>
      </c>
      <c r="Y1723" s="47" t="s">
        <v>7281</v>
      </c>
      <c r="Z1723" s="46" t="s">
        <v>7279</v>
      </c>
      <c r="AA1723" s="46" t="s">
        <v>3931</v>
      </c>
      <c r="AB1723" s="87" t="s">
        <v>8739</v>
      </c>
      <c r="AC1723" s="48" t="s">
        <v>7282</v>
      </c>
      <c r="AD1723" s="206" t="s">
        <v>8862</v>
      </c>
      <c r="AE1723" s="192">
        <v>1</v>
      </c>
      <c r="AF1723" s="100" t="s">
        <v>8722</v>
      </c>
      <c r="AG1723" s="100" t="s">
        <v>8925</v>
      </c>
      <c r="AH1723" s="108">
        <v>15</v>
      </c>
    </row>
    <row r="1724" spans="1:34" s="32" customFormat="1" ht="69.95" hidden="1" customHeight="1">
      <c r="A1724" s="29" t="s">
        <v>7283</v>
      </c>
      <c r="B1724" s="29" t="s">
        <v>3769</v>
      </c>
      <c r="C1724" s="32">
        <v>40</v>
      </c>
      <c r="E1724" s="89" t="s">
        <v>8107</v>
      </c>
      <c r="F1724" s="89" t="s">
        <v>8107</v>
      </c>
      <c r="G1724" s="29" t="s">
        <v>3369</v>
      </c>
      <c r="H1724" s="29"/>
      <c r="I1724" s="29"/>
      <c r="J1724" s="29">
        <f t="shared" si="123"/>
        <v>1</v>
      </c>
      <c r="K1724" s="42">
        <v>1710</v>
      </c>
      <c r="L1724" s="43" t="s">
        <v>3370</v>
      </c>
      <c r="M1724" s="44" t="s">
        <v>405</v>
      </c>
      <c r="N1724" s="90" t="s">
        <v>7984</v>
      </c>
      <c r="O1724" s="90" t="str">
        <f t="shared" si="130"/>
        <v>PE-L1-3C4-01</v>
      </c>
      <c r="P1724" s="45">
        <v>8.0000000000000002E-3</v>
      </c>
      <c r="Q1724" s="44">
        <v>220</v>
      </c>
      <c r="R1724" s="44" t="s">
        <v>509</v>
      </c>
      <c r="S1724" s="44">
        <v>60</v>
      </c>
      <c r="T1724" s="46" t="s">
        <v>8304</v>
      </c>
      <c r="U1724" s="46" t="s">
        <v>7283</v>
      </c>
      <c r="V1724" s="46" t="s">
        <v>8682</v>
      </c>
      <c r="W1724" s="46" t="s">
        <v>381</v>
      </c>
      <c r="X1724" s="87" t="s">
        <v>8760</v>
      </c>
      <c r="Y1724" s="47" t="s">
        <v>7284</v>
      </c>
      <c r="Z1724" s="46" t="s">
        <v>8305</v>
      </c>
      <c r="AA1724" s="46" t="s">
        <v>3931</v>
      </c>
      <c r="AB1724" s="87" t="s">
        <v>8754</v>
      </c>
      <c r="AC1724" s="48" t="s">
        <v>7286</v>
      </c>
      <c r="AD1724" s="206" t="s">
        <v>8863</v>
      </c>
      <c r="AE1724" s="192">
        <v>1</v>
      </c>
      <c r="AF1724" s="100" t="s">
        <v>8722</v>
      </c>
      <c r="AG1724" s="100" t="s">
        <v>8925</v>
      </c>
      <c r="AH1724" s="100">
        <v>13</v>
      </c>
    </row>
    <row r="1725" spans="1:34" s="32" customFormat="1" ht="69.95" hidden="1" customHeight="1">
      <c r="A1725" s="29" t="s">
        <v>7283</v>
      </c>
      <c r="B1725" s="29" t="s">
        <v>3769</v>
      </c>
      <c r="C1725" s="32">
        <v>41</v>
      </c>
      <c r="E1725" s="89" t="s">
        <v>8089</v>
      </c>
      <c r="F1725" s="89" t="s">
        <v>8089</v>
      </c>
      <c r="G1725" s="29" t="s">
        <v>3371</v>
      </c>
      <c r="H1725" s="29"/>
      <c r="I1725" s="29"/>
      <c r="J1725" s="29">
        <f t="shared" si="123"/>
        <v>1</v>
      </c>
      <c r="K1725" s="42">
        <v>1711</v>
      </c>
      <c r="L1725" s="43" t="s">
        <v>3372</v>
      </c>
      <c r="M1725" s="44" t="s">
        <v>405</v>
      </c>
      <c r="N1725" s="90" t="s">
        <v>8638</v>
      </c>
      <c r="O1725" s="90" t="str">
        <f t="shared" si="130"/>
        <v>PE-L1-5C4-01</v>
      </c>
      <c r="P1725" s="45">
        <v>0.13</v>
      </c>
      <c r="Q1725" s="44">
        <v>220</v>
      </c>
      <c r="R1725" s="44" t="s">
        <v>509</v>
      </c>
      <c r="S1725" s="44">
        <v>60</v>
      </c>
      <c r="T1725" s="46" t="s">
        <v>8304</v>
      </c>
      <c r="U1725" s="46" t="s">
        <v>7283</v>
      </c>
      <c r="V1725" s="46" t="s">
        <v>8682</v>
      </c>
      <c r="W1725" s="46" t="s">
        <v>381</v>
      </c>
      <c r="X1725" s="87" t="s">
        <v>8740</v>
      </c>
      <c r="Y1725" s="47" t="s">
        <v>7287</v>
      </c>
      <c r="Z1725" s="46" t="s">
        <v>8305</v>
      </c>
      <c r="AA1725" s="46" t="s">
        <v>3931</v>
      </c>
      <c r="AB1725" s="87" t="s">
        <v>8739</v>
      </c>
      <c r="AC1725" s="48" t="s">
        <v>7288</v>
      </c>
      <c r="AD1725" s="206" t="s">
        <v>8864</v>
      </c>
      <c r="AE1725" s="192">
        <v>1</v>
      </c>
      <c r="AF1725" s="100" t="s">
        <v>8722</v>
      </c>
      <c r="AG1725" s="100" t="s">
        <v>8925</v>
      </c>
      <c r="AH1725" s="108">
        <v>15</v>
      </c>
    </row>
    <row r="1726" spans="1:34" s="32" customFormat="1" ht="69.95" hidden="1" customHeight="1">
      <c r="A1726" s="29" t="s">
        <v>7289</v>
      </c>
      <c r="B1726" s="29" t="s">
        <v>3769</v>
      </c>
      <c r="C1726" s="32">
        <v>42</v>
      </c>
      <c r="E1726" s="89" t="s">
        <v>8107</v>
      </c>
      <c r="F1726" s="89" t="s">
        <v>8107</v>
      </c>
      <c r="G1726" s="29" t="s">
        <v>3373</v>
      </c>
      <c r="H1726" s="29"/>
      <c r="I1726" s="29"/>
      <c r="J1726" s="29">
        <f t="shared" si="123"/>
        <v>1</v>
      </c>
      <c r="K1726" s="42">
        <v>1712</v>
      </c>
      <c r="L1726" s="43" t="s">
        <v>3374</v>
      </c>
      <c r="M1726" s="44" t="s">
        <v>405</v>
      </c>
      <c r="N1726" s="90" t="s">
        <v>7984</v>
      </c>
      <c r="O1726" s="90" t="str">
        <f t="shared" si="130"/>
        <v>PE-L1-3C4-01</v>
      </c>
      <c r="P1726" s="45">
        <v>8.0000000000000002E-3</v>
      </c>
      <c r="Q1726" s="44">
        <v>220</v>
      </c>
      <c r="R1726" s="44" t="s">
        <v>509</v>
      </c>
      <c r="S1726" s="44">
        <v>60</v>
      </c>
      <c r="T1726" s="46" t="s">
        <v>8304</v>
      </c>
      <c r="U1726" s="46" t="s">
        <v>7289</v>
      </c>
      <c r="V1726" s="46" t="s">
        <v>8682</v>
      </c>
      <c r="W1726" s="46" t="s">
        <v>381</v>
      </c>
      <c r="X1726" s="87" t="s">
        <v>8760</v>
      </c>
      <c r="Y1726" s="47" t="s">
        <v>7290</v>
      </c>
      <c r="Z1726" s="46" t="s">
        <v>8076</v>
      </c>
      <c r="AA1726" s="46" t="s">
        <v>3931</v>
      </c>
      <c r="AB1726" s="87" t="s">
        <v>8754</v>
      </c>
      <c r="AC1726" s="48" t="s">
        <v>7292</v>
      </c>
      <c r="AD1726" s="206" t="s">
        <v>8865</v>
      </c>
      <c r="AE1726" s="192">
        <v>1</v>
      </c>
      <c r="AF1726" s="100" t="s">
        <v>8722</v>
      </c>
      <c r="AG1726" s="100" t="s">
        <v>8925</v>
      </c>
      <c r="AH1726" s="100">
        <v>13</v>
      </c>
    </row>
    <row r="1727" spans="1:34" s="32" customFormat="1" ht="69.95" hidden="1" customHeight="1">
      <c r="A1727" s="29" t="s">
        <v>7289</v>
      </c>
      <c r="B1727" s="29" t="s">
        <v>3769</v>
      </c>
      <c r="C1727" s="32">
        <v>43</v>
      </c>
      <c r="E1727" s="89" t="s">
        <v>8089</v>
      </c>
      <c r="F1727" s="89" t="s">
        <v>8089</v>
      </c>
      <c r="G1727" s="29" t="s">
        <v>3375</v>
      </c>
      <c r="H1727" s="29"/>
      <c r="I1727" s="29"/>
      <c r="J1727" s="29">
        <f t="shared" si="123"/>
        <v>1</v>
      </c>
      <c r="K1727" s="42">
        <v>1713</v>
      </c>
      <c r="L1727" s="43" t="s">
        <v>3376</v>
      </c>
      <c r="M1727" s="44" t="s">
        <v>405</v>
      </c>
      <c r="N1727" s="90" t="s">
        <v>8638</v>
      </c>
      <c r="O1727" s="90" t="str">
        <f t="shared" si="130"/>
        <v>PE-L1-5C4-01</v>
      </c>
      <c r="P1727" s="45">
        <v>0.13</v>
      </c>
      <c r="Q1727" s="44">
        <v>220</v>
      </c>
      <c r="R1727" s="44" t="s">
        <v>509</v>
      </c>
      <c r="S1727" s="44">
        <v>60</v>
      </c>
      <c r="T1727" s="46" t="s">
        <v>8304</v>
      </c>
      <c r="U1727" s="46" t="s">
        <v>7289</v>
      </c>
      <c r="V1727" s="46" t="s">
        <v>8682</v>
      </c>
      <c r="W1727" s="46" t="s">
        <v>381</v>
      </c>
      <c r="X1727" s="87" t="s">
        <v>8740</v>
      </c>
      <c r="Y1727" s="47" t="s">
        <v>7293</v>
      </c>
      <c r="Z1727" s="46" t="s">
        <v>7291</v>
      </c>
      <c r="AA1727" s="46" t="s">
        <v>3931</v>
      </c>
      <c r="AB1727" s="87" t="s">
        <v>8739</v>
      </c>
      <c r="AC1727" s="48" t="s">
        <v>7294</v>
      </c>
      <c r="AD1727" s="206" t="s">
        <v>8866</v>
      </c>
      <c r="AE1727" s="192">
        <v>1</v>
      </c>
      <c r="AF1727" s="100" t="s">
        <v>8722</v>
      </c>
      <c r="AG1727" s="100" t="s">
        <v>8925</v>
      </c>
      <c r="AH1727" s="108">
        <v>15</v>
      </c>
    </row>
    <row r="1728" spans="1:34" s="32" customFormat="1" ht="69.95" hidden="1" customHeight="1">
      <c r="A1728" s="29" t="s">
        <v>7295</v>
      </c>
      <c r="B1728" s="29" t="s">
        <v>3769</v>
      </c>
      <c r="C1728" s="32">
        <v>44</v>
      </c>
      <c r="E1728" s="89" t="s">
        <v>8107</v>
      </c>
      <c r="F1728" s="89" t="s">
        <v>8107</v>
      </c>
      <c r="G1728" s="29" t="s">
        <v>3377</v>
      </c>
      <c r="H1728" s="29"/>
      <c r="I1728" s="29"/>
      <c r="J1728" s="29">
        <f t="shared" si="123"/>
        <v>1</v>
      </c>
      <c r="K1728" s="42">
        <v>1714</v>
      </c>
      <c r="L1728" s="43" t="s">
        <v>3378</v>
      </c>
      <c r="M1728" s="44" t="s">
        <v>405</v>
      </c>
      <c r="N1728" s="90" t="s">
        <v>7984</v>
      </c>
      <c r="O1728" s="90" t="str">
        <f t="shared" si="130"/>
        <v>PE-L1-3C4-01</v>
      </c>
      <c r="P1728" s="45">
        <v>8.0000000000000002E-3</v>
      </c>
      <c r="Q1728" s="44">
        <v>220</v>
      </c>
      <c r="R1728" s="44" t="s">
        <v>509</v>
      </c>
      <c r="S1728" s="44">
        <v>60</v>
      </c>
      <c r="T1728" s="46" t="s">
        <v>8304</v>
      </c>
      <c r="U1728" s="46" t="s">
        <v>7295</v>
      </c>
      <c r="V1728" s="46" t="s">
        <v>8682</v>
      </c>
      <c r="W1728" s="46" t="s">
        <v>381</v>
      </c>
      <c r="X1728" s="87" t="s">
        <v>8760</v>
      </c>
      <c r="Y1728" s="47" t="s">
        <v>7296</v>
      </c>
      <c r="Z1728" s="46" t="s">
        <v>8306</v>
      </c>
      <c r="AA1728" s="46" t="s">
        <v>3931</v>
      </c>
      <c r="AB1728" s="87" t="s">
        <v>8754</v>
      </c>
      <c r="AC1728" s="48" t="s">
        <v>7298</v>
      </c>
      <c r="AD1728" s="206" t="s">
        <v>8767</v>
      </c>
      <c r="AE1728" s="192">
        <v>1</v>
      </c>
      <c r="AF1728" s="100" t="s">
        <v>8722</v>
      </c>
      <c r="AG1728" s="100" t="s">
        <v>8925</v>
      </c>
      <c r="AH1728" s="100">
        <v>13</v>
      </c>
    </row>
    <row r="1729" spans="1:34" s="32" customFormat="1" ht="69.95" hidden="1" customHeight="1">
      <c r="A1729" s="29" t="s">
        <v>7295</v>
      </c>
      <c r="B1729" s="29" t="s">
        <v>3769</v>
      </c>
      <c r="C1729" s="32">
        <v>45</v>
      </c>
      <c r="E1729" s="89" t="s">
        <v>8089</v>
      </c>
      <c r="F1729" s="89" t="s">
        <v>8089</v>
      </c>
      <c r="G1729" s="29" t="s">
        <v>3379</v>
      </c>
      <c r="H1729" s="29"/>
      <c r="I1729" s="29"/>
      <c r="J1729" s="29">
        <f t="shared" si="123"/>
        <v>1</v>
      </c>
      <c r="K1729" s="42">
        <v>1715</v>
      </c>
      <c r="L1729" s="43" t="s">
        <v>3380</v>
      </c>
      <c r="M1729" s="44" t="s">
        <v>405</v>
      </c>
      <c r="N1729" s="90" t="s">
        <v>8638</v>
      </c>
      <c r="O1729" s="90" t="str">
        <f t="shared" si="130"/>
        <v>PE-L1-5C4-01</v>
      </c>
      <c r="P1729" s="45">
        <v>0.13</v>
      </c>
      <c r="Q1729" s="44">
        <v>220</v>
      </c>
      <c r="R1729" s="44" t="s">
        <v>509</v>
      </c>
      <c r="S1729" s="44">
        <v>60</v>
      </c>
      <c r="T1729" s="46" t="s">
        <v>8304</v>
      </c>
      <c r="U1729" s="46" t="s">
        <v>7295</v>
      </c>
      <c r="V1729" s="46" t="s">
        <v>8682</v>
      </c>
      <c r="W1729" s="46" t="s">
        <v>381</v>
      </c>
      <c r="X1729" s="87" t="s">
        <v>8740</v>
      </c>
      <c r="Y1729" s="47" t="s">
        <v>7299</v>
      </c>
      <c r="Z1729" s="46" t="s">
        <v>7297</v>
      </c>
      <c r="AA1729" s="46" t="s">
        <v>3931</v>
      </c>
      <c r="AB1729" s="87" t="s">
        <v>8739</v>
      </c>
      <c r="AC1729" s="48" t="s">
        <v>7300</v>
      </c>
      <c r="AD1729" s="206" t="s">
        <v>8768</v>
      </c>
      <c r="AE1729" s="192">
        <v>1</v>
      </c>
      <c r="AF1729" s="100" t="s">
        <v>8722</v>
      </c>
      <c r="AG1729" s="100" t="s">
        <v>8925</v>
      </c>
      <c r="AH1729" s="108">
        <v>15</v>
      </c>
    </row>
    <row r="1730" spans="1:34" s="32" customFormat="1" ht="69.95" hidden="1" customHeight="1">
      <c r="A1730" s="29" t="s">
        <v>7301</v>
      </c>
      <c r="B1730" s="29" t="s">
        <v>3769</v>
      </c>
      <c r="C1730" s="32">
        <v>46</v>
      </c>
      <c r="E1730" s="89" t="s">
        <v>8107</v>
      </c>
      <c r="F1730" s="89" t="s">
        <v>8107</v>
      </c>
      <c r="G1730" s="29" t="s">
        <v>3381</v>
      </c>
      <c r="H1730" s="29"/>
      <c r="I1730" s="29"/>
      <c r="J1730" s="29">
        <f t="shared" si="123"/>
        <v>1</v>
      </c>
      <c r="K1730" s="42">
        <v>1716</v>
      </c>
      <c r="L1730" s="43" t="s">
        <v>3382</v>
      </c>
      <c r="M1730" s="44" t="s">
        <v>405</v>
      </c>
      <c r="N1730" s="90" t="s">
        <v>7984</v>
      </c>
      <c r="O1730" s="90" t="str">
        <f t="shared" si="130"/>
        <v>PE-L1-3C4-01</v>
      </c>
      <c r="P1730" s="45">
        <v>8.0000000000000002E-3</v>
      </c>
      <c r="Q1730" s="44">
        <v>220</v>
      </c>
      <c r="R1730" s="44" t="s">
        <v>509</v>
      </c>
      <c r="S1730" s="44">
        <v>60</v>
      </c>
      <c r="T1730" s="46" t="s">
        <v>8304</v>
      </c>
      <c r="U1730" s="46" t="s">
        <v>7301</v>
      </c>
      <c r="V1730" s="46" t="s">
        <v>8682</v>
      </c>
      <c r="W1730" s="46" t="s">
        <v>381</v>
      </c>
      <c r="X1730" s="87" t="s">
        <v>8760</v>
      </c>
      <c r="Y1730" s="47" t="s">
        <v>7302</v>
      </c>
      <c r="Z1730" s="46" t="s">
        <v>8077</v>
      </c>
      <c r="AA1730" s="46" t="s">
        <v>3931</v>
      </c>
      <c r="AB1730" s="87" t="s">
        <v>8754</v>
      </c>
      <c r="AC1730" s="48" t="s">
        <v>7304</v>
      </c>
      <c r="AD1730" s="206" t="s">
        <v>8775</v>
      </c>
      <c r="AE1730" s="192">
        <v>1</v>
      </c>
      <c r="AF1730" s="100" t="s">
        <v>8722</v>
      </c>
      <c r="AG1730" s="100" t="s">
        <v>8925</v>
      </c>
      <c r="AH1730" s="100">
        <v>13</v>
      </c>
    </row>
    <row r="1731" spans="1:34" s="32" customFormat="1" ht="69.95" hidden="1" customHeight="1">
      <c r="A1731" s="29" t="s">
        <v>7301</v>
      </c>
      <c r="B1731" s="29" t="s">
        <v>3769</v>
      </c>
      <c r="C1731" s="32">
        <v>47</v>
      </c>
      <c r="E1731" s="89" t="s">
        <v>72</v>
      </c>
      <c r="F1731" s="89" t="s">
        <v>72</v>
      </c>
      <c r="G1731" s="29" t="s">
        <v>3383</v>
      </c>
      <c r="H1731" s="29"/>
      <c r="I1731" s="29"/>
      <c r="J1731" s="29">
        <f t="shared" si="123"/>
        <v>1</v>
      </c>
      <c r="K1731" s="42">
        <v>1717</v>
      </c>
      <c r="L1731" s="43" t="s">
        <v>3384</v>
      </c>
      <c r="M1731" s="44" t="s">
        <v>405</v>
      </c>
      <c r="N1731" s="90" t="s">
        <v>8638</v>
      </c>
      <c r="O1731" s="90" t="str">
        <f t="shared" si="130"/>
        <v>PE-L1-5C4-01</v>
      </c>
      <c r="P1731" s="45">
        <v>0.13</v>
      </c>
      <c r="Q1731" s="44">
        <v>220</v>
      </c>
      <c r="R1731" s="44" t="s">
        <v>509</v>
      </c>
      <c r="S1731" s="44">
        <v>60</v>
      </c>
      <c r="T1731" s="46" t="s">
        <v>8304</v>
      </c>
      <c r="U1731" s="46" t="s">
        <v>7301</v>
      </c>
      <c r="V1731" s="46" t="s">
        <v>8682</v>
      </c>
      <c r="W1731" s="46" t="s">
        <v>381</v>
      </c>
      <c r="X1731" s="87" t="s">
        <v>8740</v>
      </c>
      <c r="Y1731" s="47" t="s">
        <v>7305</v>
      </c>
      <c r="Z1731" s="46" t="s">
        <v>7303</v>
      </c>
      <c r="AA1731" s="46" t="s">
        <v>3931</v>
      </c>
      <c r="AB1731" s="87" t="s">
        <v>8739</v>
      </c>
      <c r="AC1731" s="48" t="s">
        <v>7306</v>
      </c>
      <c r="AD1731" s="206" t="s">
        <v>8776</v>
      </c>
      <c r="AE1731" s="192">
        <v>1</v>
      </c>
      <c r="AF1731" s="100" t="s">
        <v>8722</v>
      </c>
      <c r="AG1731" s="100" t="s">
        <v>8925</v>
      </c>
      <c r="AH1731" s="108">
        <v>15</v>
      </c>
    </row>
    <row r="1732" spans="1:34" s="32" customFormat="1" ht="69.95" hidden="1" customHeight="1">
      <c r="A1732" s="29" t="s">
        <v>7307</v>
      </c>
      <c r="B1732" s="29" t="s">
        <v>3769</v>
      </c>
      <c r="C1732" s="32">
        <v>48</v>
      </c>
      <c r="E1732" s="89" t="s">
        <v>8107</v>
      </c>
      <c r="F1732" s="89" t="s">
        <v>8107</v>
      </c>
      <c r="G1732" s="29" t="s">
        <v>3385</v>
      </c>
      <c r="H1732" s="29"/>
      <c r="I1732" s="29"/>
      <c r="J1732" s="29">
        <f t="shared" si="123"/>
        <v>1</v>
      </c>
      <c r="K1732" s="42">
        <v>1718</v>
      </c>
      <c r="L1732" s="43" t="s">
        <v>3386</v>
      </c>
      <c r="M1732" s="44" t="s">
        <v>405</v>
      </c>
      <c r="N1732" s="90" t="s">
        <v>7984</v>
      </c>
      <c r="O1732" s="90" t="str">
        <f t="shared" si="130"/>
        <v>PE-L1-3C4-01</v>
      </c>
      <c r="P1732" s="45">
        <v>8.0000000000000002E-3</v>
      </c>
      <c r="Q1732" s="44">
        <v>220</v>
      </c>
      <c r="R1732" s="44" t="s">
        <v>509</v>
      </c>
      <c r="S1732" s="44">
        <v>60</v>
      </c>
      <c r="T1732" s="46" t="s">
        <v>8304</v>
      </c>
      <c r="U1732" s="46" t="s">
        <v>7307</v>
      </c>
      <c r="V1732" s="46" t="s">
        <v>8682</v>
      </c>
      <c r="W1732" s="46" t="s">
        <v>381</v>
      </c>
      <c r="X1732" s="87" t="s">
        <v>8760</v>
      </c>
      <c r="Y1732" s="47" t="s">
        <v>7308</v>
      </c>
      <c r="Z1732" s="46" t="s">
        <v>8078</v>
      </c>
      <c r="AA1732" s="46" t="s">
        <v>3931</v>
      </c>
      <c r="AB1732" s="87" t="s">
        <v>8754</v>
      </c>
      <c r="AC1732" s="48" t="s">
        <v>7310</v>
      </c>
      <c r="AD1732" s="206" t="s">
        <v>8784</v>
      </c>
      <c r="AE1732" s="202">
        <v>1</v>
      </c>
      <c r="AF1732" s="109" t="s">
        <v>8722</v>
      </c>
      <c r="AG1732" s="109" t="s">
        <v>8925</v>
      </c>
      <c r="AH1732" s="109">
        <v>13</v>
      </c>
    </row>
    <row r="1733" spans="1:34" s="32" customFormat="1" ht="69.95" hidden="1" customHeight="1">
      <c r="A1733" s="29" t="s">
        <v>7307</v>
      </c>
      <c r="B1733" s="29" t="s">
        <v>3769</v>
      </c>
      <c r="C1733" s="32">
        <v>49</v>
      </c>
      <c r="E1733" s="89" t="s">
        <v>8089</v>
      </c>
      <c r="F1733" s="89" t="s">
        <v>8089</v>
      </c>
      <c r="G1733" s="29" t="s">
        <v>3387</v>
      </c>
      <c r="H1733" s="29"/>
      <c r="I1733" s="29"/>
      <c r="J1733" s="29">
        <f t="shared" si="123"/>
        <v>1</v>
      </c>
      <c r="K1733" s="42">
        <v>1719</v>
      </c>
      <c r="L1733" s="43" t="s">
        <v>3388</v>
      </c>
      <c r="M1733" s="44" t="s">
        <v>405</v>
      </c>
      <c r="N1733" s="90" t="s">
        <v>8638</v>
      </c>
      <c r="O1733" s="90" t="str">
        <f t="shared" si="130"/>
        <v>PE-L1-5C4-01</v>
      </c>
      <c r="P1733" s="45">
        <v>0.13</v>
      </c>
      <c r="Q1733" s="44">
        <v>220</v>
      </c>
      <c r="R1733" s="44" t="s">
        <v>509</v>
      </c>
      <c r="S1733" s="44">
        <v>60</v>
      </c>
      <c r="T1733" s="46" t="s">
        <v>8304</v>
      </c>
      <c r="U1733" s="46" t="s">
        <v>7307</v>
      </c>
      <c r="V1733" s="46" t="s">
        <v>8682</v>
      </c>
      <c r="W1733" s="46" t="s">
        <v>381</v>
      </c>
      <c r="X1733" s="87" t="s">
        <v>8740</v>
      </c>
      <c r="Y1733" s="47" t="s">
        <v>7311</v>
      </c>
      <c r="Z1733" s="46" t="s">
        <v>7309</v>
      </c>
      <c r="AA1733" s="46" t="s">
        <v>3931</v>
      </c>
      <c r="AB1733" s="87" t="s">
        <v>8739</v>
      </c>
      <c r="AC1733" s="48" t="s">
        <v>7312</v>
      </c>
      <c r="AD1733" s="206" t="s">
        <v>8785</v>
      </c>
      <c r="AE1733" s="202">
        <v>1</v>
      </c>
      <c r="AF1733" s="109" t="s">
        <v>8722</v>
      </c>
      <c r="AG1733" s="109" t="s">
        <v>8925</v>
      </c>
      <c r="AH1733" s="111">
        <v>15</v>
      </c>
    </row>
    <row r="1734" spans="1:34" s="32" customFormat="1" ht="69.95" hidden="1" customHeight="1">
      <c r="A1734" s="29" t="s">
        <v>7313</v>
      </c>
      <c r="B1734" s="29" t="s">
        <v>3769</v>
      </c>
      <c r="C1734" s="32">
        <v>50</v>
      </c>
      <c r="D1734" s="124" t="s">
        <v>9444</v>
      </c>
      <c r="E1734" s="57" t="s">
        <v>8597</v>
      </c>
      <c r="F1734" s="57" t="s">
        <v>8597</v>
      </c>
      <c r="G1734" s="29" t="s">
        <v>3389</v>
      </c>
      <c r="H1734" s="124" t="s">
        <v>9445</v>
      </c>
      <c r="I1734" s="124" t="s">
        <v>9121</v>
      </c>
      <c r="J1734" s="29">
        <f t="shared" si="123"/>
        <v>1</v>
      </c>
      <c r="K1734" s="42">
        <v>1720</v>
      </c>
      <c r="L1734" s="152" t="s">
        <v>3390</v>
      </c>
      <c r="M1734" s="44" t="s">
        <v>405</v>
      </c>
      <c r="N1734" s="44" t="s">
        <v>426</v>
      </c>
      <c r="O1734" s="101" t="str">
        <f t="shared" ref="O1734:O1737" si="131">F1734</f>
        <v>PE-L1-3C4-03</v>
      </c>
      <c r="P1734" s="45">
        <v>0.16</v>
      </c>
      <c r="Q1734" s="44">
        <v>230</v>
      </c>
      <c r="R1734" s="44" t="s">
        <v>49</v>
      </c>
      <c r="S1734" s="101">
        <v>50</v>
      </c>
      <c r="T1734" s="46" t="s">
        <v>7981</v>
      </c>
      <c r="U1734" s="46" t="s">
        <v>7313</v>
      </c>
      <c r="V1734" s="46" t="s">
        <v>8678</v>
      </c>
      <c r="W1734" s="46" t="s">
        <v>381</v>
      </c>
      <c r="X1734" s="172" t="s">
        <v>9167</v>
      </c>
      <c r="Y1734" s="47" t="s">
        <v>7314</v>
      </c>
      <c r="Z1734" s="46" t="s">
        <v>8079</v>
      </c>
      <c r="AA1734" s="46" t="s">
        <v>3931</v>
      </c>
      <c r="AB1734" s="172" t="s">
        <v>9167</v>
      </c>
      <c r="AC1734" s="48" t="s">
        <v>7316</v>
      </c>
      <c r="AD1734" s="206" t="s">
        <v>8867</v>
      </c>
      <c r="AE1734" s="192">
        <v>1</v>
      </c>
      <c r="AF1734" s="100" t="s">
        <v>8722</v>
      </c>
      <c r="AG1734" s="100" t="s">
        <v>8925</v>
      </c>
      <c r="AH1734" s="100">
        <v>13</v>
      </c>
    </row>
    <row r="1735" spans="1:34" s="32" customFormat="1" ht="69.95" hidden="1" customHeight="1">
      <c r="A1735" s="29" t="s">
        <v>7317</v>
      </c>
      <c r="B1735" s="29" t="s">
        <v>3769</v>
      </c>
      <c r="C1735" s="32">
        <v>51</v>
      </c>
      <c r="D1735" s="124" t="s">
        <v>9444</v>
      </c>
      <c r="E1735" s="57" t="s">
        <v>8597</v>
      </c>
      <c r="F1735" s="57" t="s">
        <v>8597</v>
      </c>
      <c r="G1735" s="29" t="s">
        <v>3391</v>
      </c>
      <c r="H1735" s="124" t="s">
        <v>9445</v>
      </c>
      <c r="I1735" s="124" t="s">
        <v>9121</v>
      </c>
      <c r="J1735" s="29">
        <f t="shared" si="123"/>
        <v>1</v>
      </c>
      <c r="K1735" s="42">
        <v>1721</v>
      </c>
      <c r="L1735" s="152" t="s">
        <v>3392</v>
      </c>
      <c r="M1735" s="44" t="s">
        <v>405</v>
      </c>
      <c r="N1735" s="44" t="s">
        <v>426</v>
      </c>
      <c r="O1735" s="101" t="str">
        <f t="shared" si="131"/>
        <v>PE-L1-3C4-03</v>
      </c>
      <c r="P1735" s="45">
        <v>0.125</v>
      </c>
      <c r="Q1735" s="44">
        <v>230</v>
      </c>
      <c r="R1735" s="44" t="s">
        <v>49</v>
      </c>
      <c r="S1735" s="101">
        <v>60</v>
      </c>
      <c r="T1735" s="46" t="s">
        <v>7981</v>
      </c>
      <c r="U1735" s="46" t="s">
        <v>7317</v>
      </c>
      <c r="V1735" s="46" t="s">
        <v>8678</v>
      </c>
      <c r="W1735" s="46" t="s">
        <v>381</v>
      </c>
      <c r="X1735" s="172" t="s">
        <v>9167</v>
      </c>
      <c r="Y1735" s="47" t="s">
        <v>7318</v>
      </c>
      <c r="Z1735" s="46" t="s">
        <v>7319</v>
      </c>
      <c r="AA1735" s="46" t="s">
        <v>3931</v>
      </c>
      <c r="AB1735" s="172" t="s">
        <v>9167</v>
      </c>
      <c r="AC1735" s="48" t="s">
        <v>7320</v>
      </c>
      <c r="AD1735" s="206" t="s">
        <v>8868</v>
      </c>
      <c r="AE1735" s="192">
        <v>1</v>
      </c>
      <c r="AF1735" s="100" t="s">
        <v>8722</v>
      </c>
      <c r="AG1735" s="100" t="s">
        <v>8925</v>
      </c>
      <c r="AH1735" s="100">
        <v>13</v>
      </c>
    </row>
    <row r="1736" spans="1:34" s="32" customFormat="1" ht="69.95" hidden="1" customHeight="1">
      <c r="A1736" s="29" t="s">
        <v>7321</v>
      </c>
      <c r="B1736" s="29" t="s">
        <v>3769</v>
      </c>
      <c r="C1736" s="32">
        <v>54</v>
      </c>
      <c r="E1736" s="57" t="s">
        <v>68</v>
      </c>
      <c r="F1736" s="57" t="s">
        <v>68</v>
      </c>
      <c r="G1736" s="29" t="s">
        <v>3393</v>
      </c>
      <c r="H1736" s="124" t="s">
        <v>9445</v>
      </c>
      <c r="I1736" s="124" t="s">
        <v>9121</v>
      </c>
      <c r="J1736" s="29">
        <f t="shared" ref="J1736:J1799" si="132">COUNTIF(L:L,L1736)</f>
        <v>1</v>
      </c>
      <c r="K1736" s="42">
        <v>1722</v>
      </c>
      <c r="L1736" s="152" t="s">
        <v>3394</v>
      </c>
      <c r="M1736" s="44" t="s">
        <v>405</v>
      </c>
      <c r="N1736" s="44" t="s">
        <v>543</v>
      </c>
      <c r="O1736" s="101" t="str">
        <f t="shared" si="131"/>
        <v>PE-L1-4C10-01</v>
      </c>
      <c r="P1736" s="45">
        <v>22</v>
      </c>
      <c r="Q1736" s="44">
        <v>400</v>
      </c>
      <c r="R1736" s="44" t="s">
        <v>412</v>
      </c>
      <c r="S1736" s="101">
        <v>60</v>
      </c>
      <c r="T1736" s="46" t="s">
        <v>8304</v>
      </c>
      <c r="U1736" s="46" t="s">
        <v>7321</v>
      </c>
      <c r="V1736" s="46" t="s">
        <v>8683</v>
      </c>
      <c r="W1736" s="46" t="s">
        <v>381</v>
      </c>
      <c r="X1736" s="47" t="s">
        <v>9305</v>
      </c>
      <c r="Y1736" s="47" t="s">
        <v>7322</v>
      </c>
      <c r="Z1736" s="46" t="s">
        <v>8031</v>
      </c>
      <c r="AA1736" s="46" t="s">
        <v>3931</v>
      </c>
      <c r="AB1736" s="47" t="s">
        <v>9305</v>
      </c>
      <c r="AC1736" s="48" t="s">
        <v>7324</v>
      </c>
      <c r="AD1736" s="30"/>
      <c r="AE1736" s="192">
        <v>1</v>
      </c>
      <c r="AF1736" s="100" t="s">
        <v>8930</v>
      </c>
      <c r="AG1736" s="100" t="s">
        <v>8931</v>
      </c>
      <c r="AH1736" s="100">
        <v>18</v>
      </c>
    </row>
    <row r="1737" spans="1:34" s="32" customFormat="1" ht="69.95" hidden="1" customHeight="1">
      <c r="A1737" s="29" t="s">
        <v>7325</v>
      </c>
      <c r="B1737" s="29" t="s">
        <v>3769</v>
      </c>
      <c r="C1737" s="32">
        <v>55</v>
      </c>
      <c r="E1737" s="57" t="s">
        <v>68</v>
      </c>
      <c r="F1737" s="57" t="s">
        <v>68</v>
      </c>
      <c r="G1737" s="29" t="s">
        <v>3395</v>
      </c>
      <c r="H1737" s="124" t="s">
        <v>9445</v>
      </c>
      <c r="I1737" s="124" t="s">
        <v>9121</v>
      </c>
      <c r="J1737" s="29">
        <f t="shared" si="132"/>
        <v>1</v>
      </c>
      <c r="K1737" s="42">
        <v>1723</v>
      </c>
      <c r="L1737" s="152" t="s">
        <v>3396</v>
      </c>
      <c r="M1737" s="44" t="s">
        <v>405</v>
      </c>
      <c r="N1737" s="44" t="s">
        <v>543</v>
      </c>
      <c r="O1737" s="101" t="str">
        <f t="shared" si="131"/>
        <v>PE-L1-4C10-01</v>
      </c>
      <c r="P1737" s="45">
        <v>22</v>
      </c>
      <c r="Q1737" s="44">
        <v>400</v>
      </c>
      <c r="R1737" s="44" t="s">
        <v>49</v>
      </c>
      <c r="S1737" s="101">
        <v>60</v>
      </c>
      <c r="T1737" s="46" t="s">
        <v>8304</v>
      </c>
      <c r="U1737" s="46" t="s">
        <v>7325</v>
      </c>
      <c r="V1737" s="46" t="s">
        <v>8678</v>
      </c>
      <c r="W1737" s="46" t="s">
        <v>381</v>
      </c>
      <c r="X1737" s="47" t="s">
        <v>9305</v>
      </c>
      <c r="Y1737" s="47" t="s">
        <v>7326</v>
      </c>
      <c r="Z1737" s="46" t="s">
        <v>7327</v>
      </c>
      <c r="AA1737" s="46" t="s">
        <v>3931</v>
      </c>
      <c r="AB1737" s="47" t="s">
        <v>9305</v>
      </c>
      <c r="AC1737" s="48" t="s">
        <v>7328</v>
      </c>
      <c r="AD1737" s="30"/>
      <c r="AE1737" s="192">
        <v>1</v>
      </c>
      <c r="AF1737" s="100" t="s">
        <v>8824</v>
      </c>
      <c r="AG1737" s="100" t="s">
        <v>8931</v>
      </c>
      <c r="AH1737" s="100">
        <v>18</v>
      </c>
    </row>
    <row r="1738" spans="1:34" s="32" customFormat="1" ht="69.95" hidden="1" customHeight="1">
      <c r="A1738" s="29" t="s">
        <v>7329</v>
      </c>
      <c r="B1738" s="29" t="s">
        <v>3769</v>
      </c>
      <c r="C1738" s="32">
        <v>56</v>
      </c>
      <c r="E1738" s="89" t="s">
        <v>8017</v>
      </c>
      <c r="F1738" s="89" t="s">
        <v>8017</v>
      </c>
      <c r="G1738" s="29" t="s">
        <v>3397</v>
      </c>
      <c r="H1738" s="29"/>
      <c r="I1738" s="29"/>
      <c r="J1738" s="29">
        <f t="shared" si="132"/>
        <v>1</v>
      </c>
      <c r="K1738" s="42">
        <v>1724</v>
      </c>
      <c r="L1738" s="43" t="s">
        <v>3398</v>
      </c>
      <c r="M1738" s="44" t="s">
        <v>405</v>
      </c>
      <c r="N1738" s="90" t="s">
        <v>7984</v>
      </c>
      <c r="O1738" s="90" t="str">
        <f>F1738</f>
        <v>PE-L1-3C4-01</v>
      </c>
      <c r="P1738" s="45">
        <v>0.1</v>
      </c>
      <c r="Q1738" s="44">
        <v>220</v>
      </c>
      <c r="R1738" s="44" t="s">
        <v>509</v>
      </c>
      <c r="S1738" s="44">
        <v>40</v>
      </c>
      <c r="T1738" s="46" t="s">
        <v>7981</v>
      </c>
      <c r="U1738" s="46" t="s">
        <v>8172</v>
      </c>
      <c r="V1738" s="46" t="s">
        <v>8682</v>
      </c>
      <c r="W1738" s="46" t="s">
        <v>381</v>
      </c>
      <c r="X1738" s="87" t="s">
        <v>8800</v>
      </c>
      <c r="Y1738" s="47" t="s">
        <v>7330</v>
      </c>
      <c r="Z1738" s="46" t="s">
        <v>8032</v>
      </c>
      <c r="AA1738" s="46" t="s">
        <v>3931</v>
      </c>
      <c r="AB1738" s="87" t="s">
        <v>8754</v>
      </c>
      <c r="AC1738" s="48" t="s">
        <v>7332</v>
      </c>
      <c r="AD1738" s="30"/>
      <c r="AE1738" s="192">
        <v>1</v>
      </c>
      <c r="AF1738" s="100" t="s">
        <v>8722</v>
      </c>
      <c r="AG1738" s="100" t="s">
        <v>8925</v>
      </c>
      <c r="AH1738" s="100">
        <v>13</v>
      </c>
    </row>
    <row r="1739" spans="1:34" s="32" customFormat="1" ht="69.95" hidden="1" customHeight="1">
      <c r="A1739" s="29" t="s">
        <v>7329</v>
      </c>
      <c r="B1739" s="29" t="s">
        <v>3769</v>
      </c>
      <c r="C1739" s="32">
        <v>57</v>
      </c>
      <c r="E1739" s="89" t="s">
        <v>8804</v>
      </c>
      <c r="F1739" s="89" t="s">
        <v>8804</v>
      </c>
      <c r="G1739" s="29" t="s">
        <v>3399</v>
      </c>
      <c r="H1739" s="29"/>
      <c r="I1739" s="29"/>
      <c r="J1739" s="29">
        <f t="shared" si="132"/>
        <v>1</v>
      </c>
      <c r="K1739" s="42">
        <v>1725</v>
      </c>
      <c r="L1739" s="43" t="s">
        <v>3400</v>
      </c>
      <c r="M1739" s="44" t="s">
        <v>405</v>
      </c>
      <c r="N1739" s="90" t="s">
        <v>8628</v>
      </c>
      <c r="O1739" s="90" t="str">
        <f>F1739</f>
        <v>PE-L1-4C6-01</v>
      </c>
      <c r="P1739" s="45">
        <v>3.7</v>
      </c>
      <c r="Q1739" s="44">
        <v>220</v>
      </c>
      <c r="R1739" s="44" t="s">
        <v>509</v>
      </c>
      <c r="S1739" s="44">
        <v>40</v>
      </c>
      <c r="T1739" s="46" t="s">
        <v>7981</v>
      </c>
      <c r="U1739" s="46" t="s">
        <v>7329</v>
      </c>
      <c r="V1739" s="46" t="s">
        <v>8682</v>
      </c>
      <c r="W1739" s="46" t="s">
        <v>381</v>
      </c>
      <c r="X1739" s="87" t="s">
        <v>8801</v>
      </c>
      <c r="Y1739" s="47" t="s">
        <v>7333</v>
      </c>
      <c r="Z1739" s="46" t="s">
        <v>7331</v>
      </c>
      <c r="AA1739" s="46" t="s">
        <v>3931</v>
      </c>
      <c r="AB1739" s="87" t="s">
        <v>8798</v>
      </c>
      <c r="AC1739" s="48" t="s">
        <v>7334</v>
      </c>
      <c r="AD1739" s="30"/>
      <c r="AE1739" s="192">
        <v>1</v>
      </c>
      <c r="AF1739" s="100" t="s">
        <v>8722</v>
      </c>
      <c r="AG1739" s="100" t="s">
        <v>8925</v>
      </c>
      <c r="AH1739" s="108">
        <v>15.5</v>
      </c>
    </row>
    <row r="1740" spans="1:34" s="32" customFormat="1" ht="69.95" hidden="1" customHeight="1">
      <c r="A1740" s="29" t="s">
        <v>7329</v>
      </c>
      <c r="B1740" s="29" t="s">
        <v>3769</v>
      </c>
      <c r="C1740" s="32">
        <v>58</v>
      </c>
      <c r="E1740" s="89" t="s">
        <v>8805</v>
      </c>
      <c r="F1740" s="89" t="s">
        <v>8805</v>
      </c>
      <c r="G1740" s="29" t="s">
        <v>3401</v>
      </c>
      <c r="H1740" s="29"/>
      <c r="I1740" s="29"/>
      <c r="J1740" s="29">
        <f t="shared" si="132"/>
        <v>1</v>
      </c>
      <c r="K1740" s="42">
        <v>1726</v>
      </c>
      <c r="L1740" s="43" t="s">
        <v>3402</v>
      </c>
      <c r="M1740" s="44" t="s">
        <v>405</v>
      </c>
      <c r="N1740" s="90" t="s">
        <v>8803</v>
      </c>
      <c r="O1740" s="90" t="str">
        <f>F1740</f>
        <v>PE-L1-3C95/50-01</v>
      </c>
      <c r="P1740" s="45">
        <v>3.7</v>
      </c>
      <c r="Q1740" s="44">
        <v>220</v>
      </c>
      <c r="R1740" s="44" t="s">
        <v>509</v>
      </c>
      <c r="S1740" s="44">
        <v>40</v>
      </c>
      <c r="T1740" s="46" t="s">
        <v>7981</v>
      </c>
      <c r="U1740" s="46" t="s">
        <v>7329</v>
      </c>
      <c r="V1740" s="46" t="s">
        <v>8682</v>
      </c>
      <c r="W1740" s="46" t="s">
        <v>381</v>
      </c>
      <c r="X1740" s="87" t="s">
        <v>8802</v>
      </c>
      <c r="Y1740" s="47" t="s">
        <v>7335</v>
      </c>
      <c r="Z1740" s="46" t="s">
        <v>8308</v>
      </c>
      <c r="AA1740" s="46" t="s">
        <v>3931</v>
      </c>
      <c r="AB1740" s="87" t="s">
        <v>8799</v>
      </c>
      <c r="AC1740" s="48" t="s">
        <v>7336</v>
      </c>
      <c r="AD1740" s="30"/>
      <c r="AE1740" s="192">
        <v>1</v>
      </c>
      <c r="AF1740" s="100" t="s">
        <v>8924</v>
      </c>
      <c r="AG1740" s="100" t="s">
        <v>8936</v>
      </c>
      <c r="AH1740" s="108">
        <v>34.5</v>
      </c>
    </row>
    <row r="1741" spans="1:34" s="32" customFormat="1" ht="69.95" hidden="1" customHeight="1">
      <c r="A1741" s="29" t="s">
        <v>7337</v>
      </c>
      <c r="B1741" s="29" t="s">
        <v>3769</v>
      </c>
      <c r="C1741" s="32">
        <v>59</v>
      </c>
      <c r="E1741" s="57" t="s">
        <v>144</v>
      </c>
      <c r="F1741" s="57" t="s">
        <v>144</v>
      </c>
      <c r="G1741" s="29" t="s">
        <v>3403</v>
      </c>
      <c r="H1741" s="29"/>
      <c r="I1741" s="29"/>
      <c r="J1741" s="29">
        <f t="shared" si="132"/>
        <v>1</v>
      </c>
      <c r="K1741" s="42">
        <v>1727</v>
      </c>
      <c r="L1741" s="43" t="s">
        <v>3404</v>
      </c>
      <c r="M1741" s="44" t="s">
        <v>405</v>
      </c>
      <c r="N1741" s="44" t="s">
        <v>1091</v>
      </c>
      <c r="O1741" s="44" t="str">
        <f t="shared" ref="O1741:O1751" si="133">F1741</f>
        <v>PE-L1-4C35/25-01</v>
      </c>
      <c r="P1741" s="45">
        <v>50.6</v>
      </c>
      <c r="Q1741" s="44">
        <v>400</v>
      </c>
      <c r="R1741" s="44" t="s">
        <v>412</v>
      </c>
      <c r="S1741" s="44">
        <v>60</v>
      </c>
      <c r="T1741" s="46" t="s">
        <v>8304</v>
      </c>
      <c r="U1741" s="46" t="s">
        <v>7337</v>
      </c>
      <c r="V1741" s="46" t="s">
        <v>8683</v>
      </c>
      <c r="W1741" s="46" t="s">
        <v>381</v>
      </c>
      <c r="X1741" s="47" t="s">
        <v>8721</v>
      </c>
      <c r="Y1741" s="47" t="s">
        <v>7338</v>
      </c>
      <c r="Z1741" s="46" t="s">
        <v>8080</v>
      </c>
      <c r="AA1741" s="46" t="s">
        <v>3931</v>
      </c>
      <c r="AB1741" s="47" t="s">
        <v>8721</v>
      </c>
      <c r="AC1741" s="48" t="s">
        <v>7340</v>
      </c>
      <c r="AD1741" s="30"/>
      <c r="AE1741" s="192">
        <v>1</v>
      </c>
      <c r="AF1741" s="100" t="s">
        <v>8822</v>
      </c>
      <c r="AG1741" s="100" t="s">
        <v>8932</v>
      </c>
      <c r="AH1741" s="108">
        <v>25.5</v>
      </c>
    </row>
    <row r="1742" spans="1:34" s="32" customFormat="1" ht="69.95" hidden="1" customHeight="1">
      <c r="A1742" s="29" t="s">
        <v>7341</v>
      </c>
      <c r="B1742" s="29" t="s">
        <v>3769</v>
      </c>
      <c r="C1742" s="32">
        <v>60</v>
      </c>
      <c r="E1742" s="57" t="s">
        <v>144</v>
      </c>
      <c r="F1742" s="57" t="s">
        <v>144</v>
      </c>
      <c r="G1742" s="29" t="s">
        <v>3405</v>
      </c>
      <c r="H1742" s="29"/>
      <c r="I1742" s="29"/>
      <c r="J1742" s="29">
        <f t="shared" si="132"/>
        <v>1</v>
      </c>
      <c r="K1742" s="42">
        <v>1728</v>
      </c>
      <c r="L1742" s="43" t="s">
        <v>3406</v>
      </c>
      <c r="M1742" s="44" t="s">
        <v>405</v>
      </c>
      <c r="N1742" s="44" t="s">
        <v>1091</v>
      </c>
      <c r="O1742" s="44" t="str">
        <f t="shared" si="133"/>
        <v>PE-L1-4C35/25-01</v>
      </c>
      <c r="P1742" s="45">
        <v>50.6</v>
      </c>
      <c r="Q1742" s="44">
        <v>400</v>
      </c>
      <c r="R1742" s="44" t="s">
        <v>49</v>
      </c>
      <c r="S1742" s="44">
        <v>40</v>
      </c>
      <c r="T1742" s="46" t="s">
        <v>8304</v>
      </c>
      <c r="U1742" s="46" t="s">
        <v>7341</v>
      </c>
      <c r="V1742" s="46" t="s">
        <v>8678</v>
      </c>
      <c r="W1742" s="46" t="s">
        <v>381</v>
      </c>
      <c r="X1742" s="47" t="s">
        <v>8721</v>
      </c>
      <c r="Y1742" s="47" t="s">
        <v>7342</v>
      </c>
      <c r="Z1742" s="46" t="s">
        <v>7343</v>
      </c>
      <c r="AA1742" s="46" t="s">
        <v>3931</v>
      </c>
      <c r="AB1742" s="47" t="s">
        <v>8721</v>
      </c>
      <c r="AC1742" s="48" t="s">
        <v>7344</v>
      </c>
      <c r="AD1742" s="30"/>
      <c r="AE1742" s="192">
        <v>1</v>
      </c>
      <c r="AF1742" s="100" t="s">
        <v>8822</v>
      </c>
      <c r="AG1742" s="100" t="s">
        <v>8932</v>
      </c>
      <c r="AH1742" s="108">
        <v>25.5</v>
      </c>
    </row>
    <row r="1743" spans="1:34" s="32" customFormat="1" ht="69.95" hidden="1" customHeight="1">
      <c r="A1743" s="29" t="s">
        <v>7345</v>
      </c>
      <c r="B1743" s="29" t="s">
        <v>3769</v>
      </c>
      <c r="C1743" s="32">
        <v>61</v>
      </c>
      <c r="E1743" s="57" t="s">
        <v>88</v>
      </c>
      <c r="F1743" s="57" t="s">
        <v>8283</v>
      </c>
      <c r="G1743" s="29" t="s">
        <v>3407</v>
      </c>
      <c r="H1743" s="29"/>
      <c r="I1743" s="29"/>
      <c r="J1743" s="29">
        <f t="shared" si="132"/>
        <v>1</v>
      </c>
      <c r="K1743" s="42">
        <v>1729</v>
      </c>
      <c r="L1743" s="43" t="s">
        <v>3408</v>
      </c>
      <c r="M1743" s="44" t="s">
        <v>405</v>
      </c>
      <c r="N1743" s="44" t="s">
        <v>536</v>
      </c>
      <c r="O1743" s="44" t="str">
        <f t="shared" si="133"/>
        <v>PE-L1-4C4-01</v>
      </c>
      <c r="P1743" s="45">
        <v>2.2000000000000002</v>
      </c>
      <c r="Q1743" s="44">
        <v>400</v>
      </c>
      <c r="R1743" s="44" t="s">
        <v>412</v>
      </c>
      <c r="S1743" s="44">
        <v>60</v>
      </c>
      <c r="T1743" s="46" t="s">
        <v>8304</v>
      </c>
      <c r="U1743" s="46" t="s">
        <v>7345</v>
      </c>
      <c r="V1743" s="46" t="s">
        <v>8683</v>
      </c>
      <c r="W1743" s="46" t="s">
        <v>381</v>
      </c>
      <c r="X1743" s="47" t="s">
        <v>8721</v>
      </c>
      <c r="Y1743" s="47" t="s">
        <v>7346</v>
      </c>
      <c r="Z1743" s="46" t="s">
        <v>8081</v>
      </c>
      <c r="AA1743" s="46" t="s">
        <v>3931</v>
      </c>
      <c r="AB1743" s="47" t="s">
        <v>8721</v>
      </c>
      <c r="AC1743" s="48" t="s">
        <v>7348</v>
      </c>
      <c r="AD1743" s="30"/>
      <c r="AE1743" s="192">
        <v>1</v>
      </c>
      <c r="AF1743" s="100" t="s">
        <v>8722</v>
      </c>
      <c r="AG1743" s="100" t="s">
        <v>8925</v>
      </c>
      <c r="AH1743" s="100">
        <v>14</v>
      </c>
    </row>
    <row r="1744" spans="1:34" s="32" customFormat="1" ht="69.95" hidden="1" customHeight="1">
      <c r="A1744" s="29" t="s">
        <v>7349</v>
      </c>
      <c r="B1744" s="29" t="s">
        <v>3769</v>
      </c>
      <c r="C1744" s="32">
        <v>62</v>
      </c>
      <c r="E1744" s="57" t="s">
        <v>8312</v>
      </c>
      <c r="F1744" s="57" t="s">
        <v>8312</v>
      </c>
      <c r="G1744" s="29" t="s">
        <v>3409</v>
      </c>
      <c r="H1744" s="29"/>
      <c r="I1744" s="29"/>
      <c r="J1744" s="29">
        <f t="shared" si="132"/>
        <v>1</v>
      </c>
      <c r="K1744" s="42">
        <v>1730</v>
      </c>
      <c r="L1744" s="43" t="s">
        <v>3410</v>
      </c>
      <c r="M1744" s="44" t="s">
        <v>405</v>
      </c>
      <c r="N1744" s="44" t="s">
        <v>536</v>
      </c>
      <c r="O1744" s="44" t="str">
        <f t="shared" si="133"/>
        <v>PE-L1-4C4-01</v>
      </c>
      <c r="P1744" s="45">
        <v>2.2000000000000002</v>
      </c>
      <c r="Q1744" s="44">
        <v>400</v>
      </c>
      <c r="R1744" s="44" t="s">
        <v>49</v>
      </c>
      <c r="S1744" s="44">
        <v>50</v>
      </c>
      <c r="T1744" s="46" t="s">
        <v>8304</v>
      </c>
      <c r="U1744" s="46" t="s">
        <v>7349</v>
      </c>
      <c r="V1744" s="46" t="s">
        <v>8678</v>
      </c>
      <c r="W1744" s="46" t="s">
        <v>381</v>
      </c>
      <c r="X1744" s="47" t="s">
        <v>8721</v>
      </c>
      <c r="Y1744" s="47" t="s">
        <v>7350</v>
      </c>
      <c r="Z1744" s="46" t="s">
        <v>8311</v>
      </c>
      <c r="AA1744" s="46" t="s">
        <v>3931</v>
      </c>
      <c r="AB1744" s="47" t="s">
        <v>8721</v>
      </c>
      <c r="AC1744" s="48" t="s">
        <v>7352</v>
      </c>
      <c r="AD1744" s="30"/>
      <c r="AE1744" s="192">
        <v>1</v>
      </c>
      <c r="AF1744" s="100" t="s">
        <v>8722</v>
      </c>
      <c r="AG1744" s="100" t="s">
        <v>8925</v>
      </c>
      <c r="AH1744" s="100">
        <v>14</v>
      </c>
    </row>
    <row r="1745" spans="1:42" s="32" customFormat="1" ht="69.95" hidden="1" customHeight="1">
      <c r="A1745" s="29" t="s">
        <v>7353</v>
      </c>
      <c r="B1745" s="29" t="s">
        <v>3769</v>
      </c>
      <c r="C1745" s="69">
        <v>63</v>
      </c>
      <c r="D1745" s="69"/>
      <c r="E1745" s="57" t="s">
        <v>88</v>
      </c>
      <c r="F1745" s="57" t="s">
        <v>8145</v>
      </c>
      <c r="G1745" s="29" t="s">
        <v>3411</v>
      </c>
      <c r="H1745" s="29"/>
      <c r="I1745" s="29"/>
      <c r="J1745" s="29">
        <f t="shared" si="132"/>
        <v>1</v>
      </c>
      <c r="K1745" s="42">
        <v>1731</v>
      </c>
      <c r="L1745" s="43" t="s">
        <v>3412</v>
      </c>
      <c r="M1745" s="44" t="s">
        <v>405</v>
      </c>
      <c r="N1745" s="44" t="s">
        <v>8090</v>
      </c>
      <c r="O1745" s="44" t="str">
        <f t="shared" si="133"/>
        <v>PE-L1-4C4-01</v>
      </c>
      <c r="P1745" s="45">
        <v>1</v>
      </c>
      <c r="Q1745" s="44">
        <v>400</v>
      </c>
      <c r="R1745" s="44" t="s">
        <v>49</v>
      </c>
      <c r="S1745" s="44">
        <v>50</v>
      </c>
      <c r="T1745" s="46" t="s">
        <v>8304</v>
      </c>
      <c r="U1745" s="46" t="s">
        <v>7353</v>
      </c>
      <c r="V1745" s="46" t="s">
        <v>8678</v>
      </c>
      <c r="W1745" s="46" t="s">
        <v>381</v>
      </c>
      <c r="X1745" s="47" t="s">
        <v>8721</v>
      </c>
      <c r="Y1745" s="47" t="s">
        <v>7354</v>
      </c>
      <c r="Z1745" s="46" t="s">
        <v>8082</v>
      </c>
      <c r="AA1745" s="46" t="s">
        <v>3931</v>
      </c>
      <c r="AB1745" s="47" t="s">
        <v>8721</v>
      </c>
      <c r="AC1745" s="48" t="s">
        <v>7356</v>
      </c>
      <c r="AD1745" s="30"/>
      <c r="AE1745" s="192">
        <v>1</v>
      </c>
      <c r="AF1745" s="100" t="s">
        <v>8722</v>
      </c>
      <c r="AG1745" s="100" t="s">
        <v>8925</v>
      </c>
      <c r="AH1745" s="100">
        <v>14</v>
      </c>
    </row>
    <row r="1746" spans="1:42" s="32" customFormat="1" ht="69.95" hidden="1" customHeight="1">
      <c r="A1746" s="29" t="s">
        <v>7357</v>
      </c>
      <c r="B1746" s="29" t="s">
        <v>3769</v>
      </c>
      <c r="C1746" s="69">
        <v>64</v>
      </c>
      <c r="D1746" s="69"/>
      <c r="E1746" s="57" t="s">
        <v>88</v>
      </c>
      <c r="F1746" s="57" t="s">
        <v>88</v>
      </c>
      <c r="G1746" s="29" t="s">
        <v>3413</v>
      </c>
      <c r="H1746" s="29"/>
      <c r="I1746" s="29"/>
      <c r="J1746" s="29">
        <f t="shared" si="132"/>
        <v>1</v>
      </c>
      <c r="K1746" s="42">
        <v>1732</v>
      </c>
      <c r="L1746" s="43" t="s">
        <v>3414</v>
      </c>
      <c r="M1746" s="44" t="s">
        <v>405</v>
      </c>
      <c r="N1746" s="44" t="s">
        <v>8090</v>
      </c>
      <c r="O1746" s="44" t="str">
        <f t="shared" si="133"/>
        <v>PE-L1-4C4-01</v>
      </c>
      <c r="P1746" s="45">
        <v>1</v>
      </c>
      <c r="Q1746" s="44">
        <v>400</v>
      </c>
      <c r="R1746" s="44" t="s">
        <v>49</v>
      </c>
      <c r="S1746" s="44">
        <v>50</v>
      </c>
      <c r="T1746" s="46" t="s">
        <v>8304</v>
      </c>
      <c r="U1746" s="46" t="s">
        <v>7357</v>
      </c>
      <c r="V1746" s="46" t="s">
        <v>8678</v>
      </c>
      <c r="W1746" s="46" t="s">
        <v>381</v>
      </c>
      <c r="X1746" s="47" t="s">
        <v>8721</v>
      </c>
      <c r="Y1746" s="47" t="s">
        <v>7358</v>
      </c>
      <c r="Z1746" s="46" t="s">
        <v>7359</v>
      </c>
      <c r="AA1746" s="46" t="s">
        <v>3931</v>
      </c>
      <c r="AB1746" s="47" t="s">
        <v>8721</v>
      </c>
      <c r="AC1746" s="48" t="s">
        <v>7360</v>
      </c>
      <c r="AD1746" s="30"/>
      <c r="AE1746" s="192">
        <v>1</v>
      </c>
      <c r="AF1746" s="100" t="s">
        <v>8722</v>
      </c>
      <c r="AG1746" s="100" t="s">
        <v>8925</v>
      </c>
      <c r="AH1746" s="100">
        <v>14</v>
      </c>
    </row>
    <row r="1747" spans="1:42" s="32" customFormat="1" ht="69.95" hidden="1" customHeight="1">
      <c r="A1747" s="29" t="s">
        <v>7361</v>
      </c>
      <c r="B1747" s="29" t="s">
        <v>3769</v>
      </c>
      <c r="C1747" s="32">
        <v>65</v>
      </c>
      <c r="E1747" s="57" t="s">
        <v>88</v>
      </c>
      <c r="F1747" s="57" t="s">
        <v>88</v>
      </c>
      <c r="G1747" s="29" t="s">
        <v>3415</v>
      </c>
      <c r="H1747" s="29"/>
      <c r="I1747" s="29"/>
      <c r="J1747" s="29">
        <f t="shared" si="132"/>
        <v>1</v>
      </c>
      <c r="K1747" s="42">
        <v>1733</v>
      </c>
      <c r="L1747" s="43" t="s">
        <v>3416</v>
      </c>
      <c r="M1747" s="44" t="s">
        <v>405</v>
      </c>
      <c r="N1747" s="44" t="s">
        <v>536</v>
      </c>
      <c r="O1747" s="44" t="str">
        <f t="shared" si="133"/>
        <v>PE-L1-4C4-01</v>
      </c>
      <c r="P1747" s="45">
        <v>7.5</v>
      </c>
      <c r="Q1747" s="44">
        <v>400</v>
      </c>
      <c r="R1747" s="44" t="s">
        <v>49</v>
      </c>
      <c r="S1747" s="44">
        <v>60</v>
      </c>
      <c r="T1747" s="46" t="s">
        <v>8304</v>
      </c>
      <c r="U1747" s="46" t="s">
        <v>7361</v>
      </c>
      <c r="V1747" s="46" t="s">
        <v>8678</v>
      </c>
      <c r="W1747" s="46" t="s">
        <v>381</v>
      </c>
      <c r="X1747" s="47" t="s">
        <v>8721</v>
      </c>
      <c r="Y1747" s="47" t="s">
        <v>7362</v>
      </c>
      <c r="Z1747" s="46" t="s">
        <v>8083</v>
      </c>
      <c r="AA1747" s="46" t="s">
        <v>3931</v>
      </c>
      <c r="AB1747" s="47" t="s">
        <v>8721</v>
      </c>
      <c r="AC1747" s="48" t="s">
        <v>7364</v>
      </c>
      <c r="AD1747" s="30"/>
      <c r="AE1747" s="192">
        <v>1</v>
      </c>
      <c r="AF1747" s="100" t="s">
        <v>8722</v>
      </c>
      <c r="AG1747" s="100" t="s">
        <v>8925</v>
      </c>
      <c r="AH1747" s="100">
        <v>14</v>
      </c>
    </row>
    <row r="1748" spans="1:42" s="32" customFormat="1" ht="69.95" hidden="1" customHeight="1">
      <c r="A1748" s="29" t="s">
        <v>7365</v>
      </c>
      <c r="B1748" s="29" t="s">
        <v>3769</v>
      </c>
      <c r="C1748" s="32">
        <v>66</v>
      </c>
      <c r="E1748" s="57" t="s">
        <v>88</v>
      </c>
      <c r="F1748" s="57" t="s">
        <v>88</v>
      </c>
      <c r="G1748" s="29" t="s">
        <v>3417</v>
      </c>
      <c r="H1748" s="29"/>
      <c r="I1748" s="29"/>
      <c r="J1748" s="29">
        <f t="shared" si="132"/>
        <v>1</v>
      </c>
      <c r="K1748" s="42">
        <v>1734</v>
      </c>
      <c r="L1748" s="43" t="s">
        <v>3418</v>
      </c>
      <c r="M1748" s="44" t="s">
        <v>405</v>
      </c>
      <c r="N1748" s="44" t="s">
        <v>536</v>
      </c>
      <c r="O1748" s="44" t="str">
        <f t="shared" si="133"/>
        <v>PE-L1-4C4-01</v>
      </c>
      <c r="P1748" s="45">
        <v>7.5</v>
      </c>
      <c r="Q1748" s="44">
        <v>400</v>
      </c>
      <c r="R1748" s="44" t="s">
        <v>49</v>
      </c>
      <c r="S1748" s="44">
        <v>50</v>
      </c>
      <c r="T1748" s="46" t="s">
        <v>8304</v>
      </c>
      <c r="U1748" s="46" t="s">
        <v>7365</v>
      </c>
      <c r="V1748" s="46" t="s">
        <v>8678</v>
      </c>
      <c r="W1748" s="46" t="s">
        <v>381</v>
      </c>
      <c r="X1748" s="47" t="s">
        <v>8721</v>
      </c>
      <c r="Y1748" s="47" t="s">
        <v>7366</v>
      </c>
      <c r="Z1748" s="46" t="s">
        <v>7367</v>
      </c>
      <c r="AA1748" s="46" t="s">
        <v>3931</v>
      </c>
      <c r="AB1748" s="47" t="s">
        <v>8721</v>
      </c>
      <c r="AC1748" s="48" t="s">
        <v>7368</v>
      </c>
      <c r="AD1748" s="30"/>
      <c r="AE1748" s="192">
        <v>1</v>
      </c>
      <c r="AF1748" s="100" t="s">
        <v>8722</v>
      </c>
      <c r="AG1748" s="100" t="s">
        <v>8925</v>
      </c>
      <c r="AH1748" s="100">
        <v>14</v>
      </c>
    </row>
    <row r="1749" spans="1:42" s="32" customFormat="1" ht="69.95" hidden="1" customHeight="1">
      <c r="A1749" s="29" t="s">
        <v>7369</v>
      </c>
      <c r="B1749" s="29" t="s">
        <v>3769</v>
      </c>
      <c r="C1749" s="32">
        <v>67</v>
      </c>
      <c r="E1749" s="57" t="s">
        <v>8312</v>
      </c>
      <c r="F1749" s="57" t="s">
        <v>8312</v>
      </c>
      <c r="G1749" s="29" t="s">
        <v>3419</v>
      </c>
      <c r="H1749" s="29"/>
      <c r="I1749" s="29"/>
      <c r="J1749" s="29">
        <f t="shared" si="132"/>
        <v>1</v>
      </c>
      <c r="K1749" s="42">
        <v>1735</v>
      </c>
      <c r="L1749" s="43" t="s">
        <v>3420</v>
      </c>
      <c r="M1749" s="44" t="s">
        <v>405</v>
      </c>
      <c r="N1749" s="44" t="s">
        <v>536</v>
      </c>
      <c r="O1749" s="44" t="str">
        <f t="shared" si="133"/>
        <v>PE-L1-4C4-01</v>
      </c>
      <c r="P1749" s="45">
        <v>0.18</v>
      </c>
      <c r="Q1749" s="44">
        <v>400</v>
      </c>
      <c r="R1749" s="44" t="s">
        <v>49</v>
      </c>
      <c r="S1749" s="44">
        <v>60</v>
      </c>
      <c r="T1749" s="46" t="s">
        <v>8304</v>
      </c>
      <c r="U1749" s="46" t="s">
        <v>7369</v>
      </c>
      <c r="V1749" s="46" t="s">
        <v>8678</v>
      </c>
      <c r="W1749" s="46" t="s">
        <v>381</v>
      </c>
      <c r="X1749" s="47" t="s">
        <v>8721</v>
      </c>
      <c r="Y1749" s="47" t="s">
        <v>7370</v>
      </c>
      <c r="Z1749" s="46" t="s">
        <v>8084</v>
      </c>
      <c r="AA1749" s="46" t="s">
        <v>3931</v>
      </c>
      <c r="AB1749" s="47" t="s">
        <v>8721</v>
      </c>
      <c r="AC1749" s="48" t="s">
        <v>7372</v>
      </c>
      <c r="AD1749" s="30"/>
      <c r="AE1749" s="192">
        <v>1</v>
      </c>
      <c r="AF1749" s="100" t="s">
        <v>8722</v>
      </c>
      <c r="AG1749" s="100" t="s">
        <v>8925</v>
      </c>
      <c r="AH1749" s="100">
        <v>14</v>
      </c>
    </row>
    <row r="1750" spans="1:42" s="32" customFormat="1" ht="69.95" hidden="1" customHeight="1">
      <c r="A1750" s="29" t="s">
        <v>7373</v>
      </c>
      <c r="B1750" s="29" t="s">
        <v>3769</v>
      </c>
      <c r="C1750" s="69">
        <v>68</v>
      </c>
      <c r="D1750" s="69"/>
      <c r="E1750" s="56" t="s">
        <v>93</v>
      </c>
      <c r="F1750" s="56" t="s">
        <v>93</v>
      </c>
      <c r="G1750" s="29" t="s">
        <v>3421</v>
      </c>
      <c r="H1750" s="124" t="s">
        <v>9445</v>
      </c>
      <c r="I1750" s="124" t="s">
        <v>9121</v>
      </c>
      <c r="J1750" s="29">
        <f t="shared" si="132"/>
        <v>1</v>
      </c>
      <c r="K1750" s="42">
        <v>1736</v>
      </c>
      <c r="L1750" s="152" t="s">
        <v>3422</v>
      </c>
      <c r="M1750" s="44" t="s">
        <v>405</v>
      </c>
      <c r="N1750" s="44" t="s">
        <v>8314</v>
      </c>
      <c r="O1750" s="101" t="str">
        <f t="shared" si="133"/>
        <v>PE-L1-4C16-01</v>
      </c>
      <c r="P1750" s="45">
        <v>28</v>
      </c>
      <c r="Q1750" s="44">
        <v>400</v>
      </c>
      <c r="R1750" s="44" t="s">
        <v>49</v>
      </c>
      <c r="S1750" s="101">
        <v>40</v>
      </c>
      <c r="T1750" s="46" t="s">
        <v>8304</v>
      </c>
      <c r="U1750" s="46" t="s">
        <v>7373</v>
      </c>
      <c r="V1750" s="46" t="s">
        <v>8678</v>
      </c>
      <c r="W1750" s="46" t="s">
        <v>381</v>
      </c>
      <c r="X1750" s="47" t="s">
        <v>8721</v>
      </c>
      <c r="Y1750" s="47" t="s">
        <v>7374</v>
      </c>
      <c r="Z1750" s="46" t="s">
        <v>8085</v>
      </c>
      <c r="AA1750" s="46" t="s">
        <v>3931</v>
      </c>
      <c r="AB1750" s="47" t="s">
        <v>8721</v>
      </c>
      <c r="AC1750" s="48" t="s">
        <v>7376</v>
      </c>
      <c r="AD1750" s="206" t="s">
        <v>8808</v>
      </c>
      <c r="AE1750" s="192">
        <v>1</v>
      </c>
      <c r="AF1750" s="100" t="s">
        <v>8824</v>
      </c>
      <c r="AG1750" s="100" t="s">
        <v>8931</v>
      </c>
      <c r="AH1750" s="108">
        <v>19.5</v>
      </c>
    </row>
    <row r="1751" spans="1:42" s="32" customFormat="1" ht="69.95" hidden="1" customHeight="1">
      <c r="A1751" s="29" t="s">
        <v>7377</v>
      </c>
      <c r="B1751" s="29" t="s">
        <v>3769</v>
      </c>
      <c r="C1751" s="32">
        <v>69</v>
      </c>
      <c r="E1751" s="57" t="s">
        <v>8089</v>
      </c>
      <c r="F1751" s="57" t="s">
        <v>8089</v>
      </c>
      <c r="G1751" s="29" t="s">
        <v>3423</v>
      </c>
      <c r="H1751" s="29"/>
      <c r="I1751" s="29"/>
      <c r="J1751" s="29">
        <f t="shared" si="132"/>
        <v>1</v>
      </c>
      <c r="K1751" s="42">
        <v>1737</v>
      </c>
      <c r="L1751" s="43" t="s">
        <v>3424</v>
      </c>
      <c r="M1751" s="44" t="s">
        <v>405</v>
      </c>
      <c r="N1751" s="44" t="s">
        <v>566</v>
      </c>
      <c r="O1751" s="44" t="str">
        <f t="shared" si="133"/>
        <v>PE-L1-5C4-01</v>
      </c>
      <c r="P1751" s="45">
        <v>9</v>
      </c>
      <c r="Q1751" s="44">
        <v>400</v>
      </c>
      <c r="R1751" s="44" t="s">
        <v>49</v>
      </c>
      <c r="S1751" s="44">
        <v>70</v>
      </c>
      <c r="T1751" s="46" t="s">
        <v>8304</v>
      </c>
      <c r="U1751" s="46" t="s">
        <v>7377</v>
      </c>
      <c r="V1751" s="46" t="s">
        <v>8678</v>
      </c>
      <c r="W1751" s="46" t="s">
        <v>381</v>
      </c>
      <c r="X1751" s="47" t="s">
        <v>8731</v>
      </c>
      <c r="Y1751" s="47" t="s">
        <v>7378</v>
      </c>
      <c r="Z1751" s="46" t="s">
        <v>8086</v>
      </c>
      <c r="AA1751" s="46" t="s">
        <v>3931</v>
      </c>
      <c r="AB1751" s="47" t="s">
        <v>8731</v>
      </c>
      <c r="AC1751" s="48" t="s">
        <v>7380</v>
      </c>
      <c r="AD1751" s="206" t="s">
        <v>8869</v>
      </c>
      <c r="AE1751" s="192">
        <v>1</v>
      </c>
      <c r="AF1751" s="100" t="s">
        <v>8722</v>
      </c>
      <c r="AG1751" s="100" t="s">
        <v>8925</v>
      </c>
      <c r="AH1751" s="108">
        <v>15</v>
      </c>
    </row>
    <row r="1752" spans="1:42" s="32" customFormat="1" ht="69.95" hidden="1" customHeight="1">
      <c r="A1752" s="29" t="s">
        <v>7381</v>
      </c>
      <c r="B1752" s="29" t="s">
        <v>3769</v>
      </c>
      <c r="C1752" s="32">
        <v>70</v>
      </c>
      <c r="E1752" s="89" t="s">
        <v>8089</v>
      </c>
      <c r="F1752" s="89" t="s">
        <v>8089</v>
      </c>
      <c r="G1752" s="29" t="s">
        <v>8829</v>
      </c>
      <c r="H1752" s="124" t="s">
        <v>9445</v>
      </c>
      <c r="I1752" s="124" t="s">
        <v>9121</v>
      </c>
      <c r="J1752" s="29">
        <f t="shared" si="132"/>
        <v>1</v>
      </c>
      <c r="K1752" s="42">
        <v>1738</v>
      </c>
      <c r="L1752" s="152" t="s">
        <v>3425</v>
      </c>
      <c r="M1752" s="44" t="s">
        <v>405</v>
      </c>
      <c r="N1752" s="44" t="s">
        <v>566</v>
      </c>
      <c r="O1752" s="101" t="str">
        <f t="shared" ref="O1752:O1765" si="134">F1752</f>
        <v>PE-L1-5C4-01</v>
      </c>
      <c r="P1752" s="45">
        <v>7</v>
      </c>
      <c r="Q1752" s="44">
        <v>400</v>
      </c>
      <c r="R1752" s="44" t="s">
        <v>49</v>
      </c>
      <c r="S1752" s="101">
        <v>60</v>
      </c>
      <c r="T1752" s="46" t="s">
        <v>8088</v>
      </c>
      <c r="U1752" s="46" t="s">
        <v>7381</v>
      </c>
      <c r="V1752" s="46" t="s">
        <v>8678</v>
      </c>
      <c r="W1752" s="46" t="s">
        <v>381</v>
      </c>
      <c r="X1752" s="47" t="s">
        <v>8731</v>
      </c>
      <c r="Y1752" s="47" t="s">
        <v>7382</v>
      </c>
      <c r="Z1752" s="46" t="s">
        <v>8087</v>
      </c>
      <c r="AA1752" s="46" t="s">
        <v>3931</v>
      </c>
      <c r="AB1752" s="47" t="s">
        <v>8731</v>
      </c>
      <c r="AC1752" s="48" t="s">
        <v>7384</v>
      </c>
      <c r="AD1752" s="206" t="s">
        <v>8870</v>
      </c>
      <c r="AE1752" s="192">
        <v>1</v>
      </c>
      <c r="AF1752" s="100" t="s">
        <v>8722</v>
      </c>
      <c r="AG1752" s="100" t="s">
        <v>8925</v>
      </c>
      <c r="AH1752" s="108">
        <v>15</v>
      </c>
    </row>
    <row r="1753" spans="1:42" s="32" customFormat="1" ht="69.95" hidden="1" customHeight="1">
      <c r="A1753" s="29" t="s">
        <v>7385</v>
      </c>
      <c r="B1753" s="29" t="s">
        <v>3769</v>
      </c>
      <c r="C1753" s="32">
        <v>71</v>
      </c>
      <c r="E1753" s="58" t="s">
        <v>88</v>
      </c>
      <c r="F1753" s="58" t="s">
        <v>88</v>
      </c>
      <c r="G1753" s="29" t="s">
        <v>3426</v>
      </c>
      <c r="H1753" s="29"/>
      <c r="I1753" s="29"/>
      <c r="J1753" s="29">
        <f t="shared" si="132"/>
        <v>1</v>
      </c>
      <c r="K1753" s="42">
        <v>1739</v>
      </c>
      <c r="L1753" s="43" t="s">
        <v>3427</v>
      </c>
      <c r="M1753" s="44" t="s">
        <v>405</v>
      </c>
      <c r="N1753" s="44" t="s">
        <v>8090</v>
      </c>
      <c r="O1753" s="44" t="str">
        <f t="shared" si="134"/>
        <v>PE-L1-4C4-01</v>
      </c>
      <c r="P1753" s="45">
        <v>3.2</v>
      </c>
      <c r="Q1753" s="44">
        <v>400</v>
      </c>
      <c r="R1753" s="44" t="s">
        <v>49</v>
      </c>
      <c r="S1753" s="44">
        <v>40</v>
      </c>
      <c r="T1753" s="46" t="s">
        <v>8088</v>
      </c>
      <c r="U1753" s="46" t="s">
        <v>7385</v>
      </c>
      <c r="V1753" s="46" t="s">
        <v>8678</v>
      </c>
      <c r="W1753" s="46" t="s">
        <v>381</v>
      </c>
      <c r="X1753" s="47" t="s">
        <v>8721</v>
      </c>
      <c r="Y1753" s="47" t="s">
        <v>7386</v>
      </c>
      <c r="Z1753" s="46" t="s">
        <v>7976</v>
      </c>
      <c r="AA1753" s="46" t="s">
        <v>3931</v>
      </c>
      <c r="AB1753" s="47" t="s">
        <v>8721</v>
      </c>
      <c r="AC1753" s="48" t="s">
        <v>7388</v>
      </c>
      <c r="AD1753" s="30"/>
      <c r="AE1753" s="192">
        <v>1</v>
      </c>
      <c r="AF1753" s="100" t="s">
        <v>8722</v>
      </c>
      <c r="AG1753" s="100" t="s">
        <v>8925</v>
      </c>
      <c r="AH1753" s="100">
        <v>14</v>
      </c>
    </row>
    <row r="1754" spans="1:42" s="32" customFormat="1" ht="69.95" hidden="1" customHeight="1">
      <c r="A1754" s="29" t="s">
        <v>7389</v>
      </c>
      <c r="B1754" s="29" t="s">
        <v>3769</v>
      </c>
      <c r="C1754" s="69">
        <v>74</v>
      </c>
      <c r="D1754" s="69"/>
      <c r="E1754" s="71" t="s">
        <v>258</v>
      </c>
      <c r="F1754" s="71" t="s">
        <v>258</v>
      </c>
      <c r="G1754" s="29" t="s">
        <v>3428</v>
      </c>
      <c r="H1754" s="124" t="s">
        <v>9445</v>
      </c>
      <c r="I1754" s="124" t="s">
        <v>9121</v>
      </c>
      <c r="J1754" s="29">
        <f t="shared" si="132"/>
        <v>1</v>
      </c>
      <c r="K1754" s="42">
        <v>1740</v>
      </c>
      <c r="L1754" s="152" t="s">
        <v>7986</v>
      </c>
      <c r="M1754" s="44" t="s">
        <v>405</v>
      </c>
      <c r="N1754" s="44" t="s">
        <v>7978</v>
      </c>
      <c r="O1754" s="101" t="str">
        <f t="shared" si="134"/>
        <v>PE-L1-1C240-01</v>
      </c>
      <c r="P1754" s="45">
        <v>1100</v>
      </c>
      <c r="Q1754" s="44">
        <v>550</v>
      </c>
      <c r="R1754" s="44" t="s">
        <v>49</v>
      </c>
      <c r="S1754" s="101">
        <v>50</v>
      </c>
      <c r="T1754" s="46" t="s">
        <v>7981</v>
      </c>
      <c r="U1754" s="47" t="s">
        <v>7389</v>
      </c>
      <c r="V1754" s="46" t="s">
        <v>8091</v>
      </c>
      <c r="W1754" s="46" t="s">
        <v>3931</v>
      </c>
      <c r="X1754" s="47" t="s">
        <v>35</v>
      </c>
      <c r="Y1754" s="46" t="s">
        <v>7979</v>
      </c>
      <c r="Z1754" s="46" t="s">
        <v>7980</v>
      </c>
      <c r="AA1754" s="46" t="s">
        <v>8680</v>
      </c>
      <c r="AB1754" s="47" t="s">
        <v>44</v>
      </c>
      <c r="AC1754" s="48" t="s">
        <v>8157</v>
      </c>
      <c r="AD1754" s="30"/>
      <c r="AE1754" s="192">
        <v>1</v>
      </c>
      <c r="AF1754" s="100" t="s">
        <v>8822</v>
      </c>
      <c r="AG1754" s="100" t="s">
        <v>8932</v>
      </c>
      <c r="AH1754" s="108">
        <v>25.5</v>
      </c>
      <c r="AK1754" s="241">
        <v>1</v>
      </c>
      <c r="AL1754" s="241" t="s">
        <v>9577</v>
      </c>
      <c r="AM1754" s="241">
        <v>2</v>
      </c>
      <c r="AN1754" s="241">
        <v>1</v>
      </c>
      <c r="AO1754" s="241" t="s">
        <v>9581</v>
      </c>
      <c r="AP1754" s="241">
        <v>1</v>
      </c>
    </row>
    <row r="1755" spans="1:42" s="32" customFormat="1" ht="69.95" hidden="1" customHeight="1">
      <c r="A1755" s="29" t="s">
        <v>7389</v>
      </c>
      <c r="B1755" s="29" t="s">
        <v>3769</v>
      </c>
      <c r="C1755" s="69">
        <v>75</v>
      </c>
      <c r="D1755" s="69"/>
      <c r="E1755" s="71" t="s">
        <v>258</v>
      </c>
      <c r="F1755" s="71" t="s">
        <v>258</v>
      </c>
      <c r="G1755" s="29" t="s">
        <v>3291</v>
      </c>
      <c r="H1755" s="124" t="s">
        <v>9445</v>
      </c>
      <c r="I1755" s="124" t="s">
        <v>9121</v>
      </c>
      <c r="J1755" s="29">
        <f t="shared" si="132"/>
        <v>1</v>
      </c>
      <c r="K1755" s="42">
        <v>1741</v>
      </c>
      <c r="L1755" s="152" t="s">
        <v>7987</v>
      </c>
      <c r="M1755" s="43" t="s">
        <v>405</v>
      </c>
      <c r="N1755" s="44" t="s">
        <v>7978</v>
      </c>
      <c r="O1755" s="101" t="str">
        <f t="shared" si="134"/>
        <v>PE-L1-1C240-01</v>
      </c>
      <c r="P1755" s="45">
        <v>1100</v>
      </c>
      <c r="Q1755" s="43">
        <v>550</v>
      </c>
      <c r="R1755" s="43" t="s">
        <v>49</v>
      </c>
      <c r="S1755" s="101">
        <v>50</v>
      </c>
      <c r="T1755" s="46" t="s">
        <v>7981</v>
      </c>
      <c r="U1755" s="47" t="s">
        <v>7389</v>
      </c>
      <c r="V1755" s="46" t="s">
        <v>8091</v>
      </c>
      <c r="W1755" s="46" t="s">
        <v>3931</v>
      </c>
      <c r="X1755" s="47" t="s">
        <v>37</v>
      </c>
      <c r="Y1755" s="46" t="s">
        <v>7979</v>
      </c>
      <c r="Z1755" s="46" t="s">
        <v>7980</v>
      </c>
      <c r="AA1755" s="46" t="s">
        <v>8680</v>
      </c>
      <c r="AB1755" s="47" t="s">
        <v>45</v>
      </c>
      <c r="AC1755" s="48" t="s">
        <v>8157</v>
      </c>
      <c r="AD1755" s="30"/>
      <c r="AE1755" s="192">
        <v>1</v>
      </c>
      <c r="AF1755" s="100" t="s">
        <v>8822</v>
      </c>
      <c r="AG1755" s="100" t="s">
        <v>8932</v>
      </c>
      <c r="AH1755" s="108">
        <v>25.5</v>
      </c>
      <c r="AK1755" s="241">
        <v>1</v>
      </c>
      <c r="AL1755" s="241" t="s">
        <v>9577</v>
      </c>
      <c r="AM1755" s="241">
        <v>2</v>
      </c>
      <c r="AN1755" s="241">
        <v>1</v>
      </c>
      <c r="AO1755" s="241" t="s">
        <v>9581</v>
      </c>
      <c r="AP1755" s="241">
        <v>1</v>
      </c>
    </row>
    <row r="1756" spans="1:42" s="32" customFormat="1" ht="69.95" hidden="1" customHeight="1">
      <c r="A1756" s="29" t="s">
        <v>7389</v>
      </c>
      <c r="B1756" s="29" t="s">
        <v>3769</v>
      </c>
      <c r="C1756" s="69">
        <v>76</v>
      </c>
      <c r="D1756" s="69"/>
      <c r="E1756" s="71" t="s">
        <v>258</v>
      </c>
      <c r="F1756" s="71" t="s">
        <v>258</v>
      </c>
      <c r="G1756" s="29" t="s">
        <v>3291</v>
      </c>
      <c r="H1756" s="124" t="s">
        <v>9445</v>
      </c>
      <c r="I1756" s="124" t="s">
        <v>9121</v>
      </c>
      <c r="J1756" s="29">
        <f t="shared" si="132"/>
        <v>1</v>
      </c>
      <c r="K1756" s="42">
        <v>1742</v>
      </c>
      <c r="L1756" s="152" t="s">
        <v>7988</v>
      </c>
      <c r="M1756" s="43" t="s">
        <v>405</v>
      </c>
      <c r="N1756" s="44" t="s">
        <v>7978</v>
      </c>
      <c r="O1756" s="101" t="str">
        <f t="shared" si="134"/>
        <v>PE-L1-1C240-01</v>
      </c>
      <c r="P1756" s="45">
        <v>1100</v>
      </c>
      <c r="Q1756" s="43">
        <v>550</v>
      </c>
      <c r="R1756" s="43" t="s">
        <v>49</v>
      </c>
      <c r="S1756" s="101">
        <v>50</v>
      </c>
      <c r="T1756" s="46" t="s">
        <v>7981</v>
      </c>
      <c r="U1756" s="47" t="s">
        <v>7389</v>
      </c>
      <c r="V1756" s="46" t="s">
        <v>8091</v>
      </c>
      <c r="W1756" s="46" t="s">
        <v>3931</v>
      </c>
      <c r="X1756" s="47" t="s">
        <v>39</v>
      </c>
      <c r="Y1756" s="46" t="s">
        <v>7979</v>
      </c>
      <c r="Z1756" s="46" t="s">
        <v>7980</v>
      </c>
      <c r="AA1756" s="46" t="s">
        <v>8680</v>
      </c>
      <c r="AB1756" s="47" t="s">
        <v>46</v>
      </c>
      <c r="AC1756" s="48" t="s">
        <v>8157</v>
      </c>
      <c r="AD1756" s="30"/>
      <c r="AE1756" s="192">
        <v>1</v>
      </c>
      <c r="AF1756" s="100" t="s">
        <v>8822</v>
      </c>
      <c r="AG1756" s="100" t="s">
        <v>8932</v>
      </c>
      <c r="AH1756" s="108">
        <v>25.5</v>
      </c>
      <c r="AK1756" s="241">
        <v>1</v>
      </c>
      <c r="AL1756" s="241" t="s">
        <v>9577</v>
      </c>
      <c r="AM1756" s="241">
        <v>2</v>
      </c>
      <c r="AN1756" s="241">
        <v>1</v>
      </c>
      <c r="AO1756" s="241" t="s">
        <v>9581</v>
      </c>
      <c r="AP1756" s="241">
        <v>1</v>
      </c>
    </row>
    <row r="1757" spans="1:42" s="32" customFormat="1" ht="69.95" hidden="1" customHeight="1">
      <c r="A1757" s="29" t="s">
        <v>7389</v>
      </c>
      <c r="B1757" s="29" t="s">
        <v>3769</v>
      </c>
      <c r="C1757" s="69">
        <v>77</v>
      </c>
      <c r="D1757" s="69"/>
      <c r="E1757" s="71" t="s">
        <v>258</v>
      </c>
      <c r="F1757" s="71" t="s">
        <v>258</v>
      </c>
      <c r="G1757" s="29" t="s">
        <v>3291</v>
      </c>
      <c r="H1757" s="124" t="s">
        <v>9445</v>
      </c>
      <c r="I1757" s="124" t="s">
        <v>9121</v>
      </c>
      <c r="J1757" s="29">
        <f t="shared" si="132"/>
        <v>1</v>
      </c>
      <c r="K1757" s="42">
        <v>1743</v>
      </c>
      <c r="L1757" s="152" t="s">
        <v>7989</v>
      </c>
      <c r="M1757" s="43" t="s">
        <v>405</v>
      </c>
      <c r="N1757" s="44" t="s">
        <v>7978</v>
      </c>
      <c r="O1757" s="101" t="str">
        <f t="shared" si="134"/>
        <v>PE-L1-1C240-01</v>
      </c>
      <c r="P1757" s="45">
        <v>1100</v>
      </c>
      <c r="Q1757" s="43">
        <v>550</v>
      </c>
      <c r="R1757" s="43" t="s">
        <v>49</v>
      </c>
      <c r="S1757" s="152">
        <v>50</v>
      </c>
      <c r="T1757" s="46" t="s">
        <v>7981</v>
      </c>
      <c r="U1757" s="47" t="s">
        <v>7389</v>
      </c>
      <c r="V1757" s="46" t="s">
        <v>8091</v>
      </c>
      <c r="W1757" s="46" t="s">
        <v>3931</v>
      </c>
      <c r="X1757" s="47" t="s">
        <v>35</v>
      </c>
      <c r="Y1757" s="46" t="s">
        <v>7979</v>
      </c>
      <c r="Z1757" s="46" t="s">
        <v>7980</v>
      </c>
      <c r="AA1757" s="46" t="s">
        <v>8680</v>
      </c>
      <c r="AB1757" s="47" t="s">
        <v>44</v>
      </c>
      <c r="AC1757" s="186" t="s">
        <v>9312</v>
      </c>
      <c r="AD1757" s="30"/>
      <c r="AE1757" s="192">
        <v>1</v>
      </c>
      <c r="AF1757" s="100" t="s">
        <v>8822</v>
      </c>
      <c r="AG1757" s="100" t="s">
        <v>8932</v>
      </c>
      <c r="AH1757" s="108">
        <v>25.5</v>
      </c>
      <c r="AK1757" s="241">
        <v>1</v>
      </c>
      <c r="AL1757" s="241" t="s">
        <v>9577</v>
      </c>
      <c r="AM1757" s="241">
        <v>2</v>
      </c>
      <c r="AN1757" s="241">
        <v>1</v>
      </c>
      <c r="AO1757" s="241" t="s">
        <v>9581</v>
      </c>
      <c r="AP1757" s="241">
        <v>1</v>
      </c>
    </row>
    <row r="1758" spans="1:42" s="32" customFormat="1" ht="69.95" hidden="1" customHeight="1">
      <c r="A1758" s="29" t="s">
        <v>7389</v>
      </c>
      <c r="B1758" s="29" t="s">
        <v>3769</v>
      </c>
      <c r="C1758" s="69">
        <v>78</v>
      </c>
      <c r="D1758" s="69"/>
      <c r="E1758" s="71" t="s">
        <v>258</v>
      </c>
      <c r="F1758" s="71" t="s">
        <v>258</v>
      </c>
      <c r="G1758" s="29" t="s">
        <v>3291</v>
      </c>
      <c r="H1758" s="124" t="s">
        <v>9445</v>
      </c>
      <c r="I1758" s="124" t="s">
        <v>9121</v>
      </c>
      <c r="J1758" s="29">
        <f t="shared" si="132"/>
        <v>1</v>
      </c>
      <c r="K1758" s="42">
        <v>1744</v>
      </c>
      <c r="L1758" s="152" t="s">
        <v>7990</v>
      </c>
      <c r="M1758" s="43" t="s">
        <v>405</v>
      </c>
      <c r="N1758" s="44" t="s">
        <v>7978</v>
      </c>
      <c r="O1758" s="101" t="str">
        <f t="shared" si="134"/>
        <v>PE-L1-1C240-01</v>
      </c>
      <c r="P1758" s="45">
        <v>1100</v>
      </c>
      <c r="Q1758" s="43">
        <v>550</v>
      </c>
      <c r="R1758" s="43" t="s">
        <v>49</v>
      </c>
      <c r="S1758" s="152">
        <v>50</v>
      </c>
      <c r="T1758" s="46" t="s">
        <v>7981</v>
      </c>
      <c r="U1758" s="47" t="s">
        <v>7389</v>
      </c>
      <c r="V1758" s="46" t="s">
        <v>8091</v>
      </c>
      <c r="W1758" s="46" t="s">
        <v>3931</v>
      </c>
      <c r="X1758" s="47" t="s">
        <v>37</v>
      </c>
      <c r="Y1758" s="46" t="s">
        <v>7979</v>
      </c>
      <c r="Z1758" s="46" t="s">
        <v>7980</v>
      </c>
      <c r="AA1758" s="46" t="s">
        <v>8680</v>
      </c>
      <c r="AB1758" s="47" t="s">
        <v>45</v>
      </c>
      <c r="AC1758" s="186" t="s">
        <v>9312</v>
      </c>
      <c r="AD1758" s="30"/>
      <c r="AE1758" s="192">
        <v>1</v>
      </c>
      <c r="AF1758" s="100" t="s">
        <v>8822</v>
      </c>
      <c r="AG1758" s="100" t="s">
        <v>8932</v>
      </c>
      <c r="AH1758" s="108">
        <v>25.5</v>
      </c>
      <c r="AK1758" s="241">
        <v>1</v>
      </c>
      <c r="AL1758" s="241" t="s">
        <v>9577</v>
      </c>
      <c r="AM1758" s="241">
        <v>2</v>
      </c>
      <c r="AN1758" s="241">
        <v>1</v>
      </c>
      <c r="AO1758" s="241" t="s">
        <v>9581</v>
      </c>
      <c r="AP1758" s="241">
        <v>1</v>
      </c>
    </row>
    <row r="1759" spans="1:42" s="32" customFormat="1" ht="69.95" hidden="1" customHeight="1">
      <c r="A1759" s="29" t="s">
        <v>7389</v>
      </c>
      <c r="B1759" s="29" t="s">
        <v>3769</v>
      </c>
      <c r="C1759" s="69">
        <v>79</v>
      </c>
      <c r="D1759" s="69"/>
      <c r="E1759" s="71" t="s">
        <v>258</v>
      </c>
      <c r="F1759" s="71" t="s">
        <v>258</v>
      </c>
      <c r="G1759" s="29" t="s">
        <v>3291</v>
      </c>
      <c r="H1759" s="124" t="s">
        <v>9445</v>
      </c>
      <c r="I1759" s="124" t="s">
        <v>9121</v>
      </c>
      <c r="J1759" s="29">
        <f t="shared" si="132"/>
        <v>1</v>
      </c>
      <c r="K1759" s="42">
        <v>1745</v>
      </c>
      <c r="L1759" s="152" t="s">
        <v>7991</v>
      </c>
      <c r="M1759" s="43" t="s">
        <v>405</v>
      </c>
      <c r="N1759" s="44" t="s">
        <v>7978</v>
      </c>
      <c r="O1759" s="101" t="str">
        <f t="shared" si="134"/>
        <v>PE-L1-1C240-01</v>
      </c>
      <c r="P1759" s="45">
        <v>1100</v>
      </c>
      <c r="Q1759" s="43">
        <v>550</v>
      </c>
      <c r="R1759" s="43" t="s">
        <v>49</v>
      </c>
      <c r="S1759" s="152">
        <v>50</v>
      </c>
      <c r="T1759" s="46" t="s">
        <v>7981</v>
      </c>
      <c r="U1759" s="47" t="s">
        <v>7389</v>
      </c>
      <c r="V1759" s="46" t="s">
        <v>8091</v>
      </c>
      <c r="W1759" s="46" t="s">
        <v>3931</v>
      </c>
      <c r="X1759" s="47" t="s">
        <v>39</v>
      </c>
      <c r="Y1759" s="46" t="s">
        <v>7979</v>
      </c>
      <c r="Z1759" s="46" t="s">
        <v>7980</v>
      </c>
      <c r="AA1759" s="46" t="s">
        <v>8680</v>
      </c>
      <c r="AB1759" s="47" t="s">
        <v>46</v>
      </c>
      <c r="AC1759" s="186" t="s">
        <v>9312</v>
      </c>
      <c r="AD1759" s="30"/>
      <c r="AE1759" s="192">
        <v>1</v>
      </c>
      <c r="AF1759" s="100" t="s">
        <v>8822</v>
      </c>
      <c r="AG1759" s="100" t="s">
        <v>8932</v>
      </c>
      <c r="AH1759" s="108">
        <v>25.5</v>
      </c>
      <c r="AK1759" s="241">
        <v>1</v>
      </c>
      <c r="AL1759" s="241" t="s">
        <v>9577</v>
      </c>
      <c r="AM1759" s="241">
        <v>2</v>
      </c>
      <c r="AN1759" s="241">
        <v>1</v>
      </c>
      <c r="AO1759" s="241" t="s">
        <v>9581</v>
      </c>
      <c r="AP1759" s="241">
        <v>1</v>
      </c>
    </row>
    <row r="1760" spans="1:42" s="32" customFormat="1" ht="69.95" hidden="1" customHeight="1">
      <c r="A1760" s="29" t="s">
        <v>7389</v>
      </c>
      <c r="B1760" s="29" t="s">
        <v>3769</v>
      </c>
      <c r="C1760" s="69">
        <v>82</v>
      </c>
      <c r="D1760" s="69"/>
      <c r="E1760" s="71" t="s">
        <v>258</v>
      </c>
      <c r="F1760" s="71" t="s">
        <v>258</v>
      </c>
      <c r="G1760" s="29" t="s">
        <v>3291</v>
      </c>
      <c r="H1760" s="124" t="s">
        <v>9445</v>
      </c>
      <c r="I1760" s="124" t="s">
        <v>9121</v>
      </c>
      <c r="J1760" s="29">
        <f t="shared" si="132"/>
        <v>1</v>
      </c>
      <c r="K1760" s="42">
        <v>1746</v>
      </c>
      <c r="L1760" s="152" t="s">
        <v>7992</v>
      </c>
      <c r="M1760" s="43" t="s">
        <v>405</v>
      </c>
      <c r="N1760" s="44" t="s">
        <v>7978</v>
      </c>
      <c r="O1760" s="101" t="str">
        <f t="shared" si="134"/>
        <v>PE-L1-1C240-01</v>
      </c>
      <c r="P1760" s="45">
        <v>1100</v>
      </c>
      <c r="Q1760" s="43">
        <v>550</v>
      </c>
      <c r="R1760" s="43" t="s">
        <v>49</v>
      </c>
      <c r="S1760" s="152">
        <v>50</v>
      </c>
      <c r="T1760" s="46" t="s">
        <v>7981</v>
      </c>
      <c r="U1760" s="47" t="s">
        <v>7389</v>
      </c>
      <c r="V1760" s="46" t="s">
        <v>8091</v>
      </c>
      <c r="W1760" s="46" t="s">
        <v>3931</v>
      </c>
      <c r="X1760" s="47" t="s">
        <v>35</v>
      </c>
      <c r="Y1760" s="46" t="s">
        <v>7979</v>
      </c>
      <c r="Z1760" s="46" t="s">
        <v>7980</v>
      </c>
      <c r="AA1760" s="46" t="s">
        <v>8680</v>
      </c>
      <c r="AB1760" s="47" t="s">
        <v>44</v>
      </c>
      <c r="AC1760" s="186" t="s">
        <v>9313</v>
      </c>
      <c r="AD1760" s="30"/>
      <c r="AE1760" s="192">
        <v>1</v>
      </c>
      <c r="AF1760" s="100" t="s">
        <v>8822</v>
      </c>
      <c r="AG1760" s="100" t="s">
        <v>8932</v>
      </c>
      <c r="AH1760" s="108">
        <v>25.5</v>
      </c>
      <c r="AK1760" s="241">
        <v>1</v>
      </c>
      <c r="AL1760" s="241" t="s">
        <v>9577</v>
      </c>
      <c r="AM1760" s="241">
        <v>2</v>
      </c>
      <c r="AN1760" s="241">
        <v>1</v>
      </c>
      <c r="AO1760" s="241" t="s">
        <v>9581</v>
      </c>
      <c r="AP1760" s="241">
        <v>1</v>
      </c>
    </row>
    <row r="1761" spans="1:43" s="32" customFormat="1" ht="69.95" hidden="1" customHeight="1">
      <c r="A1761" s="29" t="s">
        <v>7389</v>
      </c>
      <c r="B1761" s="29" t="s">
        <v>3769</v>
      </c>
      <c r="C1761" s="69">
        <v>83</v>
      </c>
      <c r="D1761" s="69"/>
      <c r="E1761" s="71" t="s">
        <v>258</v>
      </c>
      <c r="F1761" s="71" t="s">
        <v>258</v>
      </c>
      <c r="G1761" s="29" t="s">
        <v>3291</v>
      </c>
      <c r="H1761" s="124" t="s">
        <v>9445</v>
      </c>
      <c r="I1761" s="124" t="s">
        <v>9121</v>
      </c>
      <c r="J1761" s="29">
        <f t="shared" si="132"/>
        <v>1</v>
      </c>
      <c r="K1761" s="42">
        <v>1747</v>
      </c>
      <c r="L1761" s="152" t="s">
        <v>7993</v>
      </c>
      <c r="M1761" s="43" t="s">
        <v>405</v>
      </c>
      <c r="N1761" s="44" t="s">
        <v>7978</v>
      </c>
      <c r="O1761" s="101" t="str">
        <f t="shared" si="134"/>
        <v>PE-L1-1C240-01</v>
      </c>
      <c r="P1761" s="45">
        <v>1100</v>
      </c>
      <c r="Q1761" s="43">
        <v>550</v>
      </c>
      <c r="R1761" s="43" t="s">
        <v>49</v>
      </c>
      <c r="S1761" s="152">
        <v>50</v>
      </c>
      <c r="T1761" s="46" t="s">
        <v>7981</v>
      </c>
      <c r="U1761" s="47" t="s">
        <v>7389</v>
      </c>
      <c r="V1761" s="46" t="s">
        <v>8091</v>
      </c>
      <c r="W1761" s="46" t="s">
        <v>3931</v>
      </c>
      <c r="X1761" s="47" t="s">
        <v>37</v>
      </c>
      <c r="Y1761" s="46" t="s">
        <v>7979</v>
      </c>
      <c r="Z1761" s="46" t="s">
        <v>7980</v>
      </c>
      <c r="AA1761" s="46" t="s">
        <v>8680</v>
      </c>
      <c r="AB1761" s="47" t="s">
        <v>45</v>
      </c>
      <c r="AC1761" s="186" t="s">
        <v>9313</v>
      </c>
      <c r="AD1761" s="30"/>
      <c r="AE1761" s="192">
        <v>1</v>
      </c>
      <c r="AF1761" s="100" t="s">
        <v>8822</v>
      </c>
      <c r="AG1761" s="100" t="s">
        <v>8932</v>
      </c>
      <c r="AH1761" s="108">
        <v>25.5</v>
      </c>
      <c r="AK1761" s="241">
        <v>1</v>
      </c>
      <c r="AL1761" s="241" t="s">
        <v>9577</v>
      </c>
      <c r="AM1761" s="241">
        <v>2</v>
      </c>
      <c r="AN1761" s="241">
        <v>1</v>
      </c>
      <c r="AO1761" s="241" t="s">
        <v>9581</v>
      </c>
      <c r="AP1761" s="241">
        <v>1</v>
      </c>
    </row>
    <row r="1762" spans="1:43" s="32" customFormat="1" ht="69.95" hidden="1" customHeight="1">
      <c r="A1762" s="29" t="s">
        <v>7389</v>
      </c>
      <c r="B1762" s="29" t="s">
        <v>3769</v>
      </c>
      <c r="C1762" s="69">
        <v>84</v>
      </c>
      <c r="D1762" s="69"/>
      <c r="E1762" s="71" t="s">
        <v>258</v>
      </c>
      <c r="F1762" s="71" t="s">
        <v>258</v>
      </c>
      <c r="G1762" s="29" t="s">
        <v>3291</v>
      </c>
      <c r="H1762" s="124" t="s">
        <v>9445</v>
      </c>
      <c r="I1762" s="124" t="s">
        <v>9121</v>
      </c>
      <c r="J1762" s="29">
        <f t="shared" si="132"/>
        <v>1</v>
      </c>
      <c r="K1762" s="42">
        <v>1748</v>
      </c>
      <c r="L1762" s="152" t="s">
        <v>7994</v>
      </c>
      <c r="M1762" s="43" t="s">
        <v>405</v>
      </c>
      <c r="N1762" s="44" t="s">
        <v>7978</v>
      </c>
      <c r="O1762" s="101" t="str">
        <f t="shared" si="134"/>
        <v>PE-L1-1C240-01</v>
      </c>
      <c r="P1762" s="45">
        <v>1100</v>
      </c>
      <c r="Q1762" s="43">
        <v>550</v>
      </c>
      <c r="R1762" s="43" t="s">
        <v>49</v>
      </c>
      <c r="S1762" s="152">
        <v>50</v>
      </c>
      <c r="T1762" s="46" t="s">
        <v>7981</v>
      </c>
      <c r="U1762" s="47" t="s">
        <v>7389</v>
      </c>
      <c r="V1762" s="46" t="s">
        <v>8091</v>
      </c>
      <c r="W1762" s="46" t="s">
        <v>3931</v>
      </c>
      <c r="X1762" s="47" t="s">
        <v>39</v>
      </c>
      <c r="Y1762" s="46" t="s">
        <v>7979</v>
      </c>
      <c r="Z1762" s="46" t="s">
        <v>7980</v>
      </c>
      <c r="AA1762" s="46" t="s">
        <v>8680</v>
      </c>
      <c r="AB1762" s="47" t="s">
        <v>46</v>
      </c>
      <c r="AC1762" s="186" t="s">
        <v>9313</v>
      </c>
      <c r="AD1762" s="30"/>
      <c r="AE1762" s="192">
        <v>1</v>
      </c>
      <c r="AF1762" s="100" t="s">
        <v>8822</v>
      </c>
      <c r="AG1762" s="100" t="s">
        <v>8932</v>
      </c>
      <c r="AH1762" s="108">
        <v>25.5</v>
      </c>
      <c r="AK1762" s="241">
        <v>1</v>
      </c>
      <c r="AL1762" s="241" t="s">
        <v>9577</v>
      </c>
      <c r="AM1762" s="241">
        <v>2</v>
      </c>
      <c r="AN1762" s="241">
        <v>1</v>
      </c>
      <c r="AO1762" s="241" t="s">
        <v>9581</v>
      </c>
      <c r="AP1762" s="241">
        <v>1</v>
      </c>
    </row>
    <row r="1763" spans="1:43" s="32" customFormat="1" ht="69.95" hidden="1" customHeight="1">
      <c r="A1763" s="29" t="s">
        <v>7390</v>
      </c>
      <c r="B1763" s="29" t="s">
        <v>3769</v>
      </c>
      <c r="C1763" s="32">
        <v>90</v>
      </c>
      <c r="E1763" s="56" t="s">
        <v>8597</v>
      </c>
      <c r="F1763" s="56" t="s">
        <v>8597</v>
      </c>
      <c r="G1763" s="29" t="s">
        <v>3429</v>
      </c>
      <c r="H1763" s="124" t="s">
        <v>9154</v>
      </c>
      <c r="I1763" s="124" t="s">
        <v>9121</v>
      </c>
      <c r="J1763" s="29">
        <f t="shared" si="132"/>
        <v>1</v>
      </c>
      <c r="K1763" s="42">
        <v>1749</v>
      </c>
      <c r="L1763" s="152" t="s">
        <v>8833</v>
      </c>
      <c r="M1763" s="44" t="s">
        <v>405</v>
      </c>
      <c r="N1763" s="44" t="s">
        <v>7984</v>
      </c>
      <c r="O1763" s="101" t="str">
        <f t="shared" si="134"/>
        <v>PE-L1-3C4-03</v>
      </c>
      <c r="P1763" s="45">
        <v>1.2</v>
      </c>
      <c r="Q1763" s="44">
        <v>230</v>
      </c>
      <c r="R1763" s="44" t="s">
        <v>49</v>
      </c>
      <c r="S1763" s="101">
        <v>50</v>
      </c>
      <c r="T1763" s="46" t="s">
        <v>7981</v>
      </c>
      <c r="U1763" s="46" t="s">
        <v>7390</v>
      </c>
      <c r="V1763" s="46" t="s">
        <v>8678</v>
      </c>
      <c r="W1763" s="46" t="s">
        <v>8684</v>
      </c>
      <c r="X1763" s="172" t="s">
        <v>9167</v>
      </c>
      <c r="Y1763" s="47" t="s">
        <v>7391</v>
      </c>
      <c r="Z1763" s="46" t="s">
        <v>8106</v>
      </c>
      <c r="AA1763" s="46" t="s">
        <v>3931</v>
      </c>
      <c r="AB1763" s="172" t="s">
        <v>9167</v>
      </c>
      <c r="AC1763" s="48" t="s">
        <v>7393</v>
      </c>
      <c r="AD1763" s="30"/>
      <c r="AE1763" s="192">
        <v>1</v>
      </c>
      <c r="AF1763" s="100" t="s">
        <v>8722</v>
      </c>
      <c r="AG1763" s="100" t="s">
        <v>8925</v>
      </c>
      <c r="AH1763" s="100">
        <v>13</v>
      </c>
    </row>
    <row r="1764" spans="1:43" s="32" customFormat="1" ht="69.95" hidden="1" customHeight="1">
      <c r="A1764" s="29" t="s">
        <v>7394</v>
      </c>
      <c r="B1764" s="29" t="s">
        <v>3769</v>
      </c>
      <c r="C1764" s="69">
        <v>91</v>
      </c>
      <c r="D1764" s="145"/>
      <c r="E1764" s="121" t="s">
        <v>8089</v>
      </c>
      <c r="F1764" s="121" t="s">
        <v>8089</v>
      </c>
      <c r="G1764" s="29" t="s">
        <v>3430</v>
      </c>
      <c r="H1764" s="124" t="s">
        <v>9445</v>
      </c>
      <c r="I1764" s="124" t="s">
        <v>9121</v>
      </c>
      <c r="J1764" s="29">
        <f t="shared" si="132"/>
        <v>1</v>
      </c>
      <c r="K1764" s="42">
        <v>1750</v>
      </c>
      <c r="L1764" s="152" t="s">
        <v>9510</v>
      </c>
      <c r="M1764" s="44" t="s">
        <v>405</v>
      </c>
      <c r="N1764" s="44" t="s">
        <v>8685</v>
      </c>
      <c r="O1764" s="101" t="str">
        <f t="shared" si="134"/>
        <v>PE-L1-5C4-01</v>
      </c>
      <c r="P1764" s="45">
        <v>1.1499999999999999</v>
      </c>
      <c r="Q1764" s="44">
        <v>400</v>
      </c>
      <c r="R1764" s="44" t="s">
        <v>49</v>
      </c>
      <c r="S1764" s="101">
        <v>50</v>
      </c>
      <c r="T1764" s="46" t="s">
        <v>7981</v>
      </c>
      <c r="U1764" s="46" t="s">
        <v>7394</v>
      </c>
      <c r="V1764" s="46" t="s">
        <v>8678</v>
      </c>
      <c r="W1764" s="46" t="s">
        <v>381</v>
      </c>
      <c r="X1764" s="47" t="s">
        <v>9310</v>
      </c>
      <c r="Y1764" s="47" t="s">
        <v>7395</v>
      </c>
      <c r="Z1764" s="46" t="s">
        <v>8108</v>
      </c>
      <c r="AA1764" s="46" t="s">
        <v>3931</v>
      </c>
      <c r="AB1764" s="47" t="s">
        <v>9310</v>
      </c>
      <c r="AC1764" s="48" t="s">
        <v>7393</v>
      </c>
      <c r="AD1764" s="206" t="s">
        <v>8818</v>
      </c>
      <c r="AE1764" s="192">
        <v>1</v>
      </c>
      <c r="AF1764" s="100" t="s">
        <v>8722</v>
      </c>
      <c r="AG1764" s="100" t="s">
        <v>8925</v>
      </c>
      <c r="AH1764" s="108">
        <v>15</v>
      </c>
    </row>
    <row r="1765" spans="1:43" s="32" customFormat="1" ht="69.95" hidden="1" customHeight="1">
      <c r="A1765" s="29" t="s">
        <v>7397</v>
      </c>
      <c r="B1765" s="29" t="s">
        <v>3769</v>
      </c>
      <c r="C1765" s="32">
        <v>92</v>
      </c>
      <c r="E1765" s="58" t="s">
        <v>8149</v>
      </c>
      <c r="F1765" s="57" t="s">
        <v>8149</v>
      </c>
      <c r="G1765" s="29" t="s">
        <v>3431</v>
      </c>
      <c r="H1765" s="124" t="s">
        <v>9445</v>
      </c>
      <c r="I1765" s="124" t="s">
        <v>9121</v>
      </c>
      <c r="J1765" s="29">
        <f t="shared" si="132"/>
        <v>1</v>
      </c>
      <c r="K1765" s="42">
        <v>1751</v>
      </c>
      <c r="L1765" s="152" t="s">
        <v>9516</v>
      </c>
      <c r="M1765" s="44" t="s">
        <v>405</v>
      </c>
      <c r="N1765" s="44" t="s">
        <v>7984</v>
      </c>
      <c r="O1765" s="101" t="str">
        <f t="shared" si="134"/>
        <v>PE-L1-3C4-18</v>
      </c>
      <c r="P1765" s="45">
        <v>0.22</v>
      </c>
      <c r="Q1765" s="44">
        <v>230</v>
      </c>
      <c r="R1765" s="44" t="s">
        <v>49</v>
      </c>
      <c r="S1765" s="101">
        <v>50</v>
      </c>
      <c r="T1765" s="46" t="s">
        <v>7981</v>
      </c>
      <c r="U1765" s="46" t="s">
        <v>7397</v>
      </c>
      <c r="V1765" s="46" t="s">
        <v>8678</v>
      </c>
      <c r="W1765" s="46" t="s">
        <v>381</v>
      </c>
      <c r="X1765" s="172" t="s">
        <v>9167</v>
      </c>
      <c r="Y1765" s="47" t="s">
        <v>7398</v>
      </c>
      <c r="Z1765" s="46" t="s">
        <v>8109</v>
      </c>
      <c r="AA1765" s="46" t="s">
        <v>3931</v>
      </c>
      <c r="AB1765" s="172" t="s">
        <v>9167</v>
      </c>
      <c r="AC1765" s="48" t="s">
        <v>7393</v>
      </c>
      <c r="AD1765" s="30"/>
      <c r="AE1765" s="192">
        <v>1</v>
      </c>
      <c r="AF1765" s="100" t="s">
        <v>8722</v>
      </c>
      <c r="AG1765" s="100" t="s">
        <v>8925</v>
      </c>
      <c r="AH1765" s="100">
        <v>13</v>
      </c>
    </row>
    <row r="1766" spans="1:43" s="32" customFormat="1" ht="69.95" hidden="1" customHeight="1">
      <c r="A1766" s="29" t="s">
        <v>8656</v>
      </c>
      <c r="B1766" s="29" t="s">
        <v>3769</v>
      </c>
      <c r="C1766" s="32">
        <v>93</v>
      </c>
      <c r="E1766" s="71" t="s">
        <v>8319</v>
      </c>
      <c r="F1766" s="71" t="s">
        <v>8319</v>
      </c>
      <c r="G1766" s="29" t="s">
        <v>3432</v>
      </c>
      <c r="H1766" s="124" t="s">
        <v>9509</v>
      </c>
      <c r="I1766" s="124" t="s">
        <v>9121</v>
      </c>
      <c r="J1766" s="29">
        <f t="shared" si="132"/>
        <v>1</v>
      </c>
      <c r="K1766" s="42">
        <v>1752</v>
      </c>
      <c r="L1766" s="152" t="s">
        <v>8112</v>
      </c>
      <c r="M1766" s="44" t="s">
        <v>405</v>
      </c>
      <c r="N1766" s="44" t="s">
        <v>8120</v>
      </c>
      <c r="O1766" s="101" t="str">
        <f t="shared" ref="O1766:O1773" si="135">F1766</f>
        <v>PE-L1-1C240-01</v>
      </c>
      <c r="P1766" s="45" t="s">
        <v>3433</v>
      </c>
      <c r="Q1766" s="44">
        <v>700</v>
      </c>
      <c r="R1766" s="44" t="s">
        <v>509</v>
      </c>
      <c r="S1766" s="101">
        <v>40</v>
      </c>
      <c r="T1766" s="46" t="s">
        <v>7981</v>
      </c>
      <c r="U1766" s="46" t="s">
        <v>7979</v>
      </c>
      <c r="V1766" s="46" t="s">
        <v>7980</v>
      </c>
      <c r="W1766" s="46" t="s">
        <v>8680</v>
      </c>
      <c r="X1766" s="47" t="s">
        <v>8116</v>
      </c>
      <c r="Y1766" s="47" t="s">
        <v>7400</v>
      </c>
      <c r="Z1766" s="46" t="s">
        <v>8110</v>
      </c>
      <c r="AA1766" s="46" t="s">
        <v>8111</v>
      </c>
      <c r="AB1766" s="47" t="s">
        <v>8116</v>
      </c>
      <c r="AC1766" s="48" t="s">
        <v>7402</v>
      </c>
      <c r="AD1766" s="30"/>
      <c r="AE1766" s="192">
        <v>1</v>
      </c>
      <c r="AF1766" s="100" t="s">
        <v>8822</v>
      </c>
      <c r="AG1766" s="100" t="s">
        <v>8932</v>
      </c>
      <c r="AH1766" s="108">
        <v>25.5</v>
      </c>
      <c r="AK1766" s="241">
        <v>1</v>
      </c>
      <c r="AL1766" s="241" t="s">
        <v>9576</v>
      </c>
      <c r="AM1766" s="241">
        <v>1</v>
      </c>
      <c r="AN1766" s="241">
        <v>1</v>
      </c>
      <c r="AO1766" s="241" t="s">
        <v>9576</v>
      </c>
      <c r="AP1766" s="243">
        <v>1</v>
      </c>
      <c r="AQ1766" s="242" t="s">
        <v>9580</v>
      </c>
    </row>
    <row r="1767" spans="1:43" s="32" customFormat="1" ht="69.95" hidden="1" customHeight="1">
      <c r="A1767" s="29" t="s">
        <v>8656</v>
      </c>
      <c r="B1767" s="29" t="s">
        <v>3769</v>
      </c>
      <c r="C1767" s="32">
        <v>94</v>
      </c>
      <c r="E1767" s="71" t="s">
        <v>8319</v>
      </c>
      <c r="F1767" s="71" t="s">
        <v>8319</v>
      </c>
      <c r="G1767" s="29" t="s">
        <v>3291</v>
      </c>
      <c r="H1767" s="124" t="s">
        <v>9509</v>
      </c>
      <c r="I1767" s="124" t="s">
        <v>9121</v>
      </c>
      <c r="J1767" s="29">
        <f t="shared" si="132"/>
        <v>1</v>
      </c>
      <c r="K1767" s="42">
        <v>1753</v>
      </c>
      <c r="L1767" s="152" t="s">
        <v>8113</v>
      </c>
      <c r="M1767" s="43" t="s">
        <v>405</v>
      </c>
      <c r="N1767" s="44" t="s">
        <v>8120</v>
      </c>
      <c r="O1767" s="101" t="str">
        <f t="shared" si="135"/>
        <v>PE-L1-1C240-01</v>
      </c>
      <c r="P1767" s="51" t="s">
        <v>3433</v>
      </c>
      <c r="Q1767" s="43">
        <v>700</v>
      </c>
      <c r="R1767" s="43" t="s">
        <v>509</v>
      </c>
      <c r="S1767" s="152">
        <v>40</v>
      </c>
      <c r="T1767" s="46" t="s">
        <v>7981</v>
      </c>
      <c r="U1767" s="46" t="s">
        <v>7979</v>
      </c>
      <c r="V1767" s="46" t="s">
        <v>7980</v>
      </c>
      <c r="W1767" s="46" t="s">
        <v>8680</v>
      </c>
      <c r="X1767" s="47" t="s">
        <v>8116</v>
      </c>
      <c r="Y1767" s="43" t="s">
        <v>7400</v>
      </c>
      <c r="Z1767" s="43" t="s">
        <v>7401</v>
      </c>
      <c r="AA1767" s="43" t="s">
        <v>3931</v>
      </c>
      <c r="AB1767" s="47" t="s">
        <v>8116</v>
      </c>
      <c r="AC1767" s="52" t="s">
        <v>7402</v>
      </c>
      <c r="AD1767" s="30"/>
      <c r="AE1767" s="192">
        <v>1</v>
      </c>
      <c r="AF1767" s="100" t="s">
        <v>8822</v>
      </c>
      <c r="AG1767" s="100" t="s">
        <v>8932</v>
      </c>
      <c r="AH1767" s="108">
        <v>25.5</v>
      </c>
      <c r="AK1767" s="241">
        <v>1</v>
      </c>
      <c r="AL1767" s="241" t="s">
        <v>9576</v>
      </c>
      <c r="AM1767" s="241">
        <v>1</v>
      </c>
      <c r="AN1767" s="241">
        <v>1</v>
      </c>
      <c r="AO1767" s="241" t="s">
        <v>9576</v>
      </c>
      <c r="AP1767" s="243">
        <v>1</v>
      </c>
      <c r="AQ1767" s="242" t="s">
        <v>9580</v>
      </c>
    </row>
    <row r="1768" spans="1:43" s="32" customFormat="1" ht="69.95" hidden="1" customHeight="1">
      <c r="A1768" s="29" t="s">
        <v>8656</v>
      </c>
      <c r="B1768" s="29" t="s">
        <v>3769</v>
      </c>
      <c r="C1768" s="32">
        <v>95</v>
      </c>
      <c r="E1768" s="71" t="s">
        <v>8319</v>
      </c>
      <c r="F1768" s="71" t="s">
        <v>8319</v>
      </c>
      <c r="G1768" s="29" t="s">
        <v>3291</v>
      </c>
      <c r="H1768" s="124" t="s">
        <v>9509</v>
      </c>
      <c r="I1768" s="124" t="s">
        <v>9121</v>
      </c>
      <c r="J1768" s="29">
        <f t="shared" si="132"/>
        <v>1</v>
      </c>
      <c r="K1768" s="42">
        <v>1754</v>
      </c>
      <c r="L1768" s="152" t="s">
        <v>8114</v>
      </c>
      <c r="M1768" s="43" t="s">
        <v>405</v>
      </c>
      <c r="N1768" s="44" t="s">
        <v>8120</v>
      </c>
      <c r="O1768" s="101" t="str">
        <f t="shared" si="135"/>
        <v>PE-L1-1C240-01</v>
      </c>
      <c r="P1768" s="51" t="s">
        <v>3433</v>
      </c>
      <c r="Q1768" s="43">
        <v>700</v>
      </c>
      <c r="R1768" s="43" t="s">
        <v>509</v>
      </c>
      <c r="S1768" s="152">
        <v>40</v>
      </c>
      <c r="T1768" s="46" t="s">
        <v>7981</v>
      </c>
      <c r="U1768" s="46" t="s">
        <v>7979</v>
      </c>
      <c r="V1768" s="46" t="s">
        <v>7980</v>
      </c>
      <c r="W1768" s="46" t="s">
        <v>8680</v>
      </c>
      <c r="X1768" s="47" t="s">
        <v>8116</v>
      </c>
      <c r="Y1768" s="43" t="s">
        <v>7400</v>
      </c>
      <c r="Z1768" s="43" t="s">
        <v>7401</v>
      </c>
      <c r="AA1768" s="43" t="s">
        <v>3931</v>
      </c>
      <c r="AB1768" s="47" t="s">
        <v>8116</v>
      </c>
      <c r="AC1768" s="48" t="s">
        <v>7402</v>
      </c>
      <c r="AD1768" s="30"/>
      <c r="AE1768" s="192">
        <v>1</v>
      </c>
      <c r="AF1768" s="100" t="s">
        <v>8822</v>
      </c>
      <c r="AG1768" s="100" t="s">
        <v>8932</v>
      </c>
      <c r="AH1768" s="108">
        <v>25.5</v>
      </c>
      <c r="AK1768" s="241">
        <v>1</v>
      </c>
      <c r="AL1768" s="241" t="s">
        <v>9576</v>
      </c>
      <c r="AM1768" s="241">
        <v>1</v>
      </c>
      <c r="AN1768" s="241">
        <v>1</v>
      </c>
      <c r="AO1768" s="241" t="s">
        <v>9576</v>
      </c>
      <c r="AP1768" s="243">
        <v>1</v>
      </c>
      <c r="AQ1768" s="242" t="s">
        <v>9580</v>
      </c>
    </row>
    <row r="1769" spans="1:43" s="32" customFormat="1" ht="69.95" hidden="1" customHeight="1">
      <c r="A1769" s="29" t="s">
        <v>8656</v>
      </c>
      <c r="B1769" s="29" t="s">
        <v>3769</v>
      </c>
      <c r="C1769" s="32">
        <v>96</v>
      </c>
      <c r="E1769" s="71" t="s">
        <v>8319</v>
      </c>
      <c r="F1769" s="71" t="s">
        <v>8319</v>
      </c>
      <c r="G1769" s="29" t="s">
        <v>3291</v>
      </c>
      <c r="H1769" s="124" t="s">
        <v>9509</v>
      </c>
      <c r="I1769" s="124" t="s">
        <v>9121</v>
      </c>
      <c r="J1769" s="29">
        <f t="shared" si="132"/>
        <v>1</v>
      </c>
      <c r="K1769" s="42">
        <v>1755</v>
      </c>
      <c r="L1769" s="152" t="s">
        <v>8115</v>
      </c>
      <c r="M1769" s="43" t="s">
        <v>405</v>
      </c>
      <c r="N1769" s="44" t="s">
        <v>8120</v>
      </c>
      <c r="O1769" s="101" t="str">
        <f t="shared" si="135"/>
        <v>PE-L1-1C240-01</v>
      </c>
      <c r="P1769" s="51" t="s">
        <v>3433</v>
      </c>
      <c r="Q1769" s="43">
        <v>700</v>
      </c>
      <c r="R1769" s="43" t="s">
        <v>509</v>
      </c>
      <c r="S1769" s="152">
        <v>40</v>
      </c>
      <c r="T1769" s="46" t="s">
        <v>7981</v>
      </c>
      <c r="U1769" s="46" t="s">
        <v>7979</v>
      </c>
      <c r="V1769" s="46" t="s">
        <v>7980</v>
      </c>
      <c r="W1769" s="46" t="s">
        <v>8680</v>
      </c>
      <c r="X1769" s="47" t="s">
        <v>8116</v>
      </c>
      <c r="Y1769" s="43" t="s">
        <v>7400</v>
      </c>
      <c r="Z1769" s="43" t="s">
        <v>7401</v>
      </c>
      <c r="AA1769" s="43" t="s">
        <v>3931</v>
      </c>
      <c r="AB1769" s="47" t="s">
        <v>8116</v>
      </c>
      <c r="AC1769" s="52" t="s">
        <v>7402</v>
      </c>
      <c r="AD1769" s="30"/>
      <c r="AE1769" s="192">
        <v>1</v>
      </c>
      <c r="AF1769" s="100" t="s">
        <v>8822</v>
      </c>
      <c r="AG1769" s="100" t="s">
        <v>8932</v>
      </c>
      <c r="AH1769" s="108">
        <v>25.5</v>
      </c>
      <c r="AK1769" s="241">
        <v>1</v>
      </c>
      <c r="AL1769" s="241" t="s">
        <v>9576</v>
      </c>
      <c r="AM1769" s="241">
        <v>1</v>
      </c>
      <c r="AN1769" s="241">
        <v>1</v>
      </c>
      <c r="AO1769" s="241" t="s">
        <v>9576</v>
      </c>
      <c r="AP1769" s="243">
        <v>1</v>
      </c>
      <c r="AQ1769" s="242" t="s">
        <v>9580</v>
      </c>
    </row>
    <row r="1770" spans="1:43" s="32" customFormat="1" ht="69.95" hidden="1" customHeight="1">
      <c r="A1770" s="29" t="s">
        <v>8656</v>
      </c>
      <c r="B1770" s="29" t="s">
        <v>3769</v>
      </c>
      <c r="C1770" s="32">
        <v>97</v>
      </c>
      <c r="E1770" s="71" t="s">
        <v>8319</v>
      </c>
      <c r="F1770" s="71" t="s">
        <v>8319</v>
      </c>
      <c r="G1770" s="29" t="s">
        <v>3291</v>
      </c>
      <c r="H1770" s="124" t="s">
        <v>9509</v>
      </c>
      <c r="I1770" s="124" t="s">
        <v>9121</v>
      </c>
      <c r="J1770" s="29">
        <f t="shared" si="132"/>
        <v>1</v>
      </c>
      <c r="K1770" s="42">
        <v>1756</v>
      </c>
      <c r="L1770" s="152" t="s">
        <v>8118</v>
      </c>
      <c r="M1770" s="43" t="s">
        <v>405</v>
      </c>
      <c r="N1770" s="44" t="s">
        <v>8120</v>
      </c>
      <c r="O1770" s="101" t="str">
        <f t="shared" si="135"/>
        <v>PE-L1-1C240-01</v>
      </c>
      <c r="P1770" s="51" t="s">
        <v>3433</v>
      </c>
      <c r="Q1770" s="43">
        <v>700</v>
      </c>
      <c r="R1770" s="43" t="s">
        <v>509</v>
      </c>
      <c r="S1770" s="152">
        <v>40</v>
      </c>
      <c r="T1770" s="46" t="s">
        <v>7981</v>
      </c>
      <c r="U1770" s="46" t="s">
        <v>7979</v>
      </c>
      <c r="V1770" s="46" t="s">
        <v>7980</v>
      </c>
      <c r="W1770" s="46" t="s">
        <v>8680</v>
      </c>
      <c r="X1770" s="47" t="s">
        <v>8117</v>
      </c>
      <c r="Y1770" s="43" t="s">
        <v>7400</v>
      </c>
      <c r="Z1770" s="43" t="s">
        <v>7401</v>
      </c>
      <c r="AA1770" s="43" t="s">
        <v>3931</v>
      </c>
      <c r="AB1770" s="47" t="s">
        <v>8117</v>
      </c>
      <c r="AC1770" s="48" t="s">
        <v>7402</v>
      </c>
      <c r="AD1770" s="30"/>
      <c r="AE1770" s="192">
        <v>1</v>
      </c>
      <c r="AF1770" s="100" t="s">
        <v>8822</v>
      </c>
      <c r="AG1770" s="100" t="s">
        <v>8932</v>
      </c>
      <c r="AH1770" s="108">
        <v>25.5</v>
      </c>
      <c r="AK1770" s="241">
        <v>1</v>
      </c>
      <c r="AL1770" s="241" t="s">
        <v>9576</v>
      </c>
      <c r="AM1770" s="241">
        <v>1</v>
      </c>
      <c r="AN1770" s="241">
        <v>1</v>
      </c>
      <c r="AO1770" s="241" t="s">
        <v>9576</v>
      </c>
      <c r="AP1770" s="243">
        <v>1</v>
      </c>
      <c r="AQ1770" s="242" t="s">
        <v>9580</v>
      </c>
    </row>
    <row r="1771" spans="1:43" s="32" customFormat="1" ht="69.95" hidden="1" customHeight="1">
      <c r="A1771" s="29" t="s">
        <v>8656</v>
      </c>
      <c r="B1771" s="29" t="s">
        <v>3769</v>
      </c>
      <c r="C1771" s="32">
        <v>98</v>
      </c>
      <c r="E1771" s="71" t="s">
        <v>8319</v>
      </c>
      <c r="F1771" s="71" t="s">
        <v>8319</v>
      </c>
      <c r="G1771" s="29" t="s">
        <v>3291</v>
      </c>
      <c r="H1771" s="124" t="s">
        <v>9509</v>
      </c>
      <c r="I1771" s="124" t="s">
        <v>9121</v>
      </c>
      <c r="J1771" s="29">
        <f t="shared" si="132"/>
        <v>1</v>
      </c>
      <c r="K1771" s="42">
        <v>1757</v>
      </c>
      <c r="L1771" s="152" t="s">
        <v>8119</v>
      </c>
      <c r="M1771" s="43" t="s">
        <v>405</v>
      </c>
      <c r="N1771" s="44" t="s">
        <v>8120</v>
      </c>
      <c r="O1771" s="101" t="str">
        <f t="shared" si="135"/>
        <v>PE-L1-1C240-01</v>
      </c>
      <c r="P1771" s="51" t="s">
        <v>3433</v>
      </c>
      <c r="Q1771" s="43">
        <v>700</v>
      </c>
      <c r="R1771" s="43" t="s">
        <v>509</v>
      </c>
      <c r="S1771" s="152">
        <v>40</v>
      </c>
      <c r="T1771" s="46" t="s">
        <v>7981</v>
      </c>
      <c r="U1771" s="46" t="s">
        <v>7979</v>
      </c>
      <c r="V1771" s="46" t="s">
        <v>7980</v>
      </c>
      <c r="W1771" s="46" t="s">
        <v>8680</v>
      </c>
      <c r="X1771" s="47" t="s">
        <v>8117</v>
      </c>
      <c r="Y1771" s="43" t="s">
        <v>7400</v>
      </c>
      <c r="Z1771" s="43" t="s">
        <v>7401</v>
      </c>
      <c r="AA1771" s="43" t="s">
        <v>3931</v>
      </c>
      <c r="AB1771" s="47" t="s">
        <v>8117</v>
      </c>
      <c r="AC1771" s="52" t="s">
        <v>7402</v>
      </c>
      <c r="AD1771" s="30"/>
      <c r="AE1771" s="192">
        <v>1</v>
      </c>
      <c r="AF1771" s="100" t="s">
        <v>8822</v>
      </c>
      <c r="AG1771" s="100" t="s">
        <v>8932</v>
      </c>
      <c r="AH1771" s="108">
        <v>25.5</v>
      </c>
      <c r="AK1771" s="241">
        <v>1</v>
      </c>
      <c r="AL1771" s="241" t="s">
        <v>9576</v>
      </c>
      <c r="AM1771" s="241">
        <v>1</v>
      </c>
      <c r="AN1771" s="241">
        <v>1</v>
      </c>
      <c r="AO1771" s="241" t="s">
        <v>9576</v>
      </c>
      <c r="AP1771" s="243">
        <v>1</v>
      </c>
      <c r="AQ1771" s="242" t="s">
        <v>9580</v>
      </c>
    </row>
    <row r="1772" spans="1:43" s="32" customFormat="1" ht="69.95" hidden="1" customHeight="1">
      <c r="A1772" s="29" t="s">
        <v>8656</v>
      </c>
      <c r="B1772" s="29" t="s">
        <v>3769</v>
      </c>
      <c r="C1772" s="32">
        <v>98</v>
      </c>
      <c r="E1772" s="71" t="s">
        <v>8319</v>
      </c>
      <c r="F1772" s="71" t="s">
        <v>8319</v>
      </c>
      <c r="G1772" s="29" t="s">
        <v>3291</v>
      </c>
      <c r="H1772" s="124" t="s">
        <v>9509</v>
      </c>
      <c r="I1772" s="124" t="s">
        <v>9121</v>
      </c>
      <c r="J1772" s="29">
        <f t="shared" si="132"/>
        <v>1</v>
      </c>
      <c r="K1772" s="42">
        <v>1758</v>
      </c>
      <c r="L1772" s="152" t="s">
        <v>8122</v>
      </c>
      <c r="M1772" s="43" t="s">
        <v>405</v>
      </c>
      <c r="N1772" s="44" t="s">
        <v>8120</v>
      </c>
      <c r="O1772" s="101" t="str">
        <f t="shared" si="135"/>
        <v>PE-L1-1C240-01</v>
      </c>
      <c r="P1772" s="51" t="s">
        <v>3433</v>
      </c>
      <c r="Q1772" s="43">
        <v>700</v>
      </c>
      <c r="R1772" s="43" t="s">
        <v>509</v>
      </c>
      <c r="S1772" s="152">
        <v>40</v>
      </c>
      <c r="T1772" s="46" t="s">
        <v>7981</v>
      </c>
      <c r="U1772" s="46" t="s">
        <v>7979</v>
      </c>
      <c r="V1772" s="46" t="s">
        <v>7980</v>
      </c>
      <c r="W1772" s="46" t="s">
        <v>8680</v>
      </c>
      <c r="X1772" s="47" t="s">
        <v>8117</v>
      </c>
      <c r="Y1772" s="43" t="s">
        <v>7400</v>
      </c>
      <c r="Z1772" s="43" t="s">
        <v>7401</v>
      </c>
      <c r="AA1772" s="43" t="s">
        <v>3931</v>
      </c>
      <c r="AB1772" s="47" t="s">
        <v>8117</v>
      </c>
      <c r="AC1772" s="52" t="s">
        <v>7402</v>
      </c>
      <c r="AD1772" s="30"/>
      <c r="AE1772" s="192">
        <v>1</v>
      </c>
      <c r="AF1772" s="100" t="s">
        <v>8822</v>
      </c>
      <c r="AG1772" s="100" t="s">
        <v>8932</v>
      </c>
      <c r="AH1772" s="108">
        <v>25.5</v>
      </c>
      <c r="AK1772" s="241">
        <v>1</v>
      </c>
      <c r="AL1772" s="241" t="s">
        <v>9576</v>
      </c>
      <c r="AM1772" s="241">
        <v>1</v>
      </c>
      <c r="AN1772" s="241">
        <v>1</v>
      </c>
      <c r="AO1772" s="241" t="s">
        <v>9576</v>
      </c>
      <c r="AP1772" s="243">
        <v>1</v>
      </c>
      <c r="AQ1772" s="242" t="s">
        <v>9580</v>
      </c>
    </row>
    <row r="1773" spans="1:43" s="32" customFormat="1" ht="69.95" hidden="1" customHeight="1">
      <c r="A1773" s="29" t="s">
        <v>8656</v>
      </c>
      <c r="B1773" s="29" t="s">
        <v>3769</v>
      </c>
      <c r="C1773" s="32">
        <v>98</v>
      </c>
      <c r="E1773" s="71" t="s">
        <v>8319</v>
      </c>
      <c r="F1773" s="71" t="s">
        <v>8319</v>
      </c>
      <c r="G1773" s="29" t="s">
        <v>3291</v>
      </c>
      <c r="H1773" s="124" t="s">
        <v>9509</v>
      </c>
      <c r="I1773" s="124" t="s">
        <v>9121</v>
      </c>
      <c r="J1773" s="29">
        <f t="shared" si="132"/>
        <v>1</v>
      </c>
      <c r="K1773" s="42">
        <v>1759</v>
      </c>
      <c r="L1773" s="152" t="s">
        <v>8244</v>
      </c>
      <c r="M1773" s="43" t="s">
        <v>405</v>
      </c>
      <c r="N1773" s="44" t="s">
        <v>8120</v>
      </c>
      <c r="O1773" s="101" t="str">
        <f t="shared" si="135"/>
        <v>PE-L1-1C240-01</v>
      </c>
      <c r="P1773" s="51" t="s">
        <v>3433</v>
      </c>
      <c r="Q1773" s="43">
        <v>700</v>
      </c>
      <c r="R1773" s="43" t="s">
        <v>509</v>
      </c>
      <c r="S1773" s="152">
        <v>40</v>
      </c>
      <c r="T1773" s="46" t="s">
        <v>7981</v>
      </c>
      <c r="U1773" s="46" t="s">
        <v>7979</v>
      </c>
      <c r="V1773" s="46" t="s">
        <v>8132</v>
      </c>
      <c r="W1773" s="46" t="s">
        <v>8680</v>
      </c>
      <c r="X1773" s="47" t="s">
        <v>8117</v>
      </c>
      <c r="Y1773" s="43" t="s">
        <v>7400</v>
      </c>
      <c r="Z1773" s="43" t="s">
        <v>7401</v>
      </c>
      <c r="AA1773" s="43" t="s">
        <v>3931</v>
      </c>
      <c r="AB1773" s="47" t="s">
        <v>8117</v>
      </c>
      <c r="AC1773" s="52" t="s">
        <v>7402</v>
      </c>
      <c r="AD1773" s="30"/>
      <c r="AE1773" s="192">
        <v>1</v>
      </c>
      <c r="AF1773" s="100" t="s">
        <v>8822</v>
      </c>
      <c r="AG1773" s="100" t="s">
        <v>8932</v>
      </c>
      <c r="AH1773" s="108">
        <v>25.5</v>
      </c>
      <c r="AK1773" s="241">
        <v>1</v>
      </c>
      <c r="AL1773" s="241" t="s">
        <v>9576</v>
      </c>
      <c r="AM1773" s="241">
        <v>1</v>
      </c>
      <c r="AN1773" s="241">
        <v>1</v>
      </c>
      <c r="AO1773" s="241" t="s">
        <v>9576</v>
      </c>
      <c r="AP1773" s="243">
        <v>1</v>
      </c>
      <c r="AQ1773" s="242" t="s">
        <v>9580</v>
      </c>
    </row>
    <row r="1774" spans="1:43" s="32" customFormat="1" ht="69.95" hidden="1" customHeight="1">
      <c r="A1774" s="29" t="s">
        <v>8657</v>
      </c>
      <c r="B1774" s="29" t="s">
        <v>3769</v>
      </c>
      <c r="C1774" s="32">
        <v>99</v>
      </c>
      <c r="E1774" s="57" t="s">
        <v>250</v>
      </c>
      <c r="F1774" s="57" t="s">
        <v>250</v>
      </c>
      <c r="G1774" s="29" t="s">
        <v>3434</v>
      </c>
      <c r="H1774" s="124" t="s">
        <v>9445</v>
      </c>
      <c r="I1774" s="124" t="s">
        <v>9121</v>
      </c>
      <c r="J1774" s="29">
        <f t="shared" si="132"/>
        <v>1</v>
      </c>
      <c r="K1774" s="42">
        <v>1760</v>
      </c>
      <c r="L1774" s="152" t="s">
        <v>9511</v>
      </c>
      <c r="M1774" s="44" t="s">
        <v>405</v>
      </c>
      <c r="N1774" s="44" t="s">
        <v>578</v>
      </c>
      <c r="O1774" s="101" t="str">
        <f>F1774</f>
        <v>PE-L1-2C4-06</v>
      </c>
      <c r="P1774" s="45">
        <v>1</v>
      </c>
      <c r="Q1774" s="44">
        <v>220</v>
      </c>
      <c r="R1774" s="44" t="s">
        <v>509</v>
      </c>
      <c r="S1774" s="101">
        <v>120</v>
      </c>
      <c r="T1774" s="46" t="s">
        <v>7981</v>
      </c>
      <c r="U1774" s="46" t="s">
        <v>8134</v>
      </c>
      <c r="V1774" s="46" t="s">
        <v>8682</v>
      </c>
      <c r="W1774" s="46" t="s">
        <v>381</v>
      </c>
      <c r="X1774" s="47" t="s">
        <v>8738</v>
      </c>
      <c r="Y1774" s="47" t="s">
        <v>7403</v>
      </c>
      <c r="Z1774" s="46" t="s">
        <v>8133</v>
      </c>
      <c r="AA1774" s="46" t="s">
        <v>3931</v>
      </c>
      <c r="AB1774" s="47" t="s">
        <v>8738</v>
      </c>
      <c r="AC1774" s="48" t="s">
        <v>7405</v>
      </c>
      <c r="AD1774" s="30"/>
      <c r="AE1774" s="192">
        <v>1</v>
      </c>
      <c r="AF1774" s="100" t="s">
        <v>8722</v>
      </c>
      <c r="AG1774" s="100" t="s">
        <v>8925</v>
      </c>
      <c r="AH1774" s="108">
        <v>12.5</v>
      </c>
    </row>
    <row r="1775" spans="1:43" s="32" customFormat="1" ht="69.95" hidden="1" customHeight="1">
      <c r="A1775" s="29" t="s">
        <v>7406</v>
      </c>
      <c r="B1775" s="29" t="s">
        <v>8658</v>
      </c>
      <c r="C1775" s="32">
        <v>100</v>
      </c>
      <c r="E1775" s="57" t="s">
        <v>8149</v>
      </c>
      <c r="F1775" s="57" t="s">
        <v>8149</v>
      </c>
      <c r="G1775" s="29" t="s">
        <v>3435</v>
      </c>
      <c r="H1775" s="124" t="s">
        <v>9445</v>
      </c>
      <c r="I1775" s="124" t="s">
        <v>9121</v>
      </c>
      <c r="J1775" s="29">
        <f t="shared" si="132"/>
        <v>1</v>
      </c>
      <c r="K1775" s="42">
        <v>1761</v>
      </c>
      <c r="L1775" s="152" t="s">
        <v>9512</v>
      </c>
      <c r="M1775" s="44" t="s">
        <v>405</v>
      </c>
      <c r="N1775" s="44" t="s">
        <v>7984</v>
      </c>
      <c r="O1775" s="101" t="str">
        <f>F1775</f>
        <v>PE-L1-3C4-18</v>
      </c>
      <c r="P1775" s="45">
        <v>1</v>
      </c>
      <c r="Q1775" s="44">
        <v>230</v>
      </c>
      <c r="R1775" s="44" t="s">
        <v>49</v>
      </c>
      <c r="S1775" s="101">
        <v>120</v>
      </c>
      <c r="T1775" s="46" t="s">
        <v>7981</v>
      </c>
      <c r="U1775" s="46" t="s">
        <v>7406</v>
      </c>
      <c r="V1775" s="46" t="s">
        <v>8678</v>
      </c>
      <c r="W1775" s="46" t="s">
        <v>381</v>
      </c>
      <c r="X1775" s="172" t="s">
        <v>9167</v>
      </c>
      <c r="Y1775" s="47" t="s">
        <v>7407</v>
      </c>
      <c r="Z1775" s="46" t="s">
        <v>8138</v>
      </c>
      <c r="AA1775" s="46" t="s">
        <v>3931</v>
      </c>
      <c r="AB1775" s="172" t="s">
        <v>9167</v>
      </c>
      <c r="AC1775" s="48" t="s">
        <v>7409</v>
      </c>
      <c r="AD1775" s="30"/>
      <c r="AE1775" s="192">
        <v>1</v>
      </c>
      <c r="AF1775" s="100" t="s">
        <v>8722</v>
      </c>
      <c r="AG1775" s="100" t="s">
        <v>8925</v>
      </c>
      <c r="AH1775" s="100">
        <v>13</v>
      </c>
    </row>
    <row r="1776" spans="1:43" s="32" customFormat="1" ht="69.95" hidden="1" customHeight="1">
      <c r="A1776" s="29" t="s">
        <v>7410</v>
      </c>
      <c r="B1776" s="29" t="s">
        <v>8658</v>
      </c>
      <c r="C1776" s="32">
        <v>101</v>
      </c>
      <c r="E1776" s="57" t="s">
        <v>250</v>
      </c>
      <c r="F1776" s="57" t="s">
        <v>250</v>
      </c>
      <c r="G1776" s="29" t="s">
        <v>3436</v>
      </c>
      <c r="H1776" s="124" t="s">
        <v>9445</v>
      </c>
      <c r="I1776" s="124" t="s">
        <v>9121</v>
      </c>
      <c r="J1776" s="29">
        <f t="shared" si="132"/>
        <v>1</v>
      </c>
      <c r="K1776" s="42">
        <v>1762</v>
      </c>
      <c r="L1776" s="152" t="s">
        <v>3437</v>
      </c>
      <c r="M1776" s="44" t="s">
        <v>405</v>
      </c>
      <c r="N1776" s="44" t="s">
        <v>8148</v>
      </c>
      <c r="O1776" s="101" t="str">
        <f t="shared" ref="O1776:O1782" si="136">F1776</f>
        <v>PE-L1-2C4-06</v>
      </c>
      <c r="P1776" s="45">
        <v>0.22</v>
      </c>
      <c r="Q1776" s="44">
        <v>220</v>
      </c>
      <c r="R1776" s="44" t="s">
        <v>509</v>
      </c>
      <c r="S1776" s="101">
        <v>40</v>
      </c>
      <c r="T1776" s="46" t="s">
        <v>7981</v>
      </c>
      <c r="U1776" s="46" t="s">
        <v>7410</v>
      </c>
      <c r="V1776" s="46" t="s">
        <v>8682</v>
      </c>
      <c r="W1776" s="46" t="s">
        <v>381</v>
      </c>
      <c r="X1776" s="47" t="s">
        <v>8738</v>
      </c>
      <c r="Y1776" s="47" t="s">
        <v>7411</v>
      </c>
      <c r="Z1776" s="46" t="s">
        <v>8139</v>
      </c>
      <c r="AA1776" s="46" t="s">
        <v>3931</v>
      </c>
      <c r="AB1776" s="47" t="s">
        <v>8738</v>
      </c>
      <c r="AC1776" s="48" t="s">
        <v>7413</v>
      </c>
      <c r="AD1776" s="30"/>
      <c r="AE1776" s="192">
        <v>1</v>
      </c>
      <c r="AF1776" s="100" t="s">
        <v>8722</v>
      </c>
      <c r="AG1776" s="100" t="s">
        <v>8925</v>
      </c>
      <c r="AH1776" s="108">
        <v>12.5</v>
      </c>
    </row>
    <row r="1777" spans="1:45" s="32" customFormat="1" ht="69.95" hidden="1" customHeight="1">
      <c r="A1777" s="29" t="s">
        <v>7414</v>
      </c>
      <c r="B1777" s="29" t="s">
        <v>8658</v>
      </c>
      <c r="C1777" s="32">
        <v>102</v>
      </c>
      <c r="E1777" s="57" t="s">
        <v>8149</v>
      </c>
      <c r="F1777" s="57" t="s">
        <v>8149</v>
      </c>
      <c r="G1777" s="29" t="s">
        <v>3438</v>
      </c>
      <c r="H1777" s="29"/>
      <c r="I1777" s="29"/>
      <c r="J1777" s="29">
        <f t="shared" si="132"/>
        <v>1</v>
      </c>
      <c r="K1777" s="42">
        <v>1763</v>
      </c>
      <c r="L1777" s="43" t="s">
        <v>3439</v>
      </c>
      <c r="M1777" s="44" t="s">
        <v>405</v>
      </c>
      <c r="N1777" s="44" t="s">
        <v>7984</v>
      </c>
      <c r="O1777" s="44" t="str">
        <f t="shared" si="136"/>
        <v>PE-L1-3C4-18</v>
      </c>
      <c r="P1777" s="45">
        <v>1</v>
      </c>
      <c r="Q1777" s="44">
        <v>230</v>
      </c>
      <c r="R1777" s="44" t="s">
        <v>49</v>
      </c>
      <c r="S1777" s="44">
        <v>40</v>
      </c>
      <c r="T1777" s="46" t="s">
        <v>7981</v>
      </c>
      <c r="U1777" s="46" t="s">
        <v>7414</v>
      </c>
      <c r="V1777" s="46" t="s">
        <v>8678</v>
      </c>
      <c r="W1777" s="46" t="s">
        <v>381</v>
      </c>
      <c r="X1777" s="172" t="s">
        <v>9167</v>
      </c>
      <c r="Y1777" s="47" t="s">
        <v>7415</v>
      </c>
      <c r="Z1777" s="46" t="s">
        <v>8140</v>
      </c>
      <c r="AA1777" s="46" t="s">
        <v>3931</v>
      </c>
      <c r="AB1777" s="172" t="s">
        <v>9167</v>
      </c>
      <c r="AC1777" s="48" t="s">
        <v>7417</v>
      </c>
      <c r="AD1777" s="30"/>
      <c r="AE1777" s="192">
        <v>1</v>
      </c>
      <c r="AF1777" s="100" t="s">
        <v>8722</v>
      </c>
      <c r="AG1777" s="100" t="s">
        <v>8925</v>
      </c>
      <c r="AH1777" s="100">
        <v>13</v>
      </c>
    </row>
    <row r="1778" spans="1:45" s="32" customFormat="1" ht="69.95" hidden="1" customHeight="1">
      <c r="A1778" s="29" t="s">
        <v>7418</v>
      </c>
      <c r="B1778" s="29" t="s">
        <v>8658</v>
      </c>
      <c r="C1778" s="32">
        <v>103</v>
      </c>
      <c r="E1778" s="57" t="s">
        <v>250</v>
      </c>
      <c r="F1778" s="57" t="s">
        <v>250</v>
      </c>
      <c r="G1778" s="29" t="s">
        <v>3440</v>
      </c>
      <c r="H1778" s="124" t="s">
        <v>9445</v>
      </c>
      <c r="I1778" s="124" t="s">
        <v>9121</v>
      </c>
      <c r="J1778" s="29">
        <f t="shared" si="132"/>
        <v>1</v>
      </c>
      <c r="K1778" s="42">
        <v>1764</v>
      </c>
      <c r="L1778" s="152" t="s">
        <v>3441</v>
      </c>
      <c r="M1778" s="44" t="s">
        <v>405</v>
      </c>
      <c r="N1778" s="44" t="s">
        <v>578</v>
      </c>
      <c r="O1778" s="101" t="str">
        <f t="shared" si="136"/>
        <v>PE-L1-2C4-06</v>
      </c>
      <c r="P1778" s="45">
        <v>0.44</v>
      </c>
      <c r="Q1778" s="44">
        <v>220</v>
      </c>
      <c r="R1778" s="44" t="s">
        <v>509</v>
      </c>
      <c r="S1778" s="101">
        <v>30</v>
      </c>
      <c r="T1778" s="46" t="s">
        <v>7981</v>
      </c>
      <c r="U1778" s="46" t="s">
        <v>7418</v>
      </c>
      <c r="V1778" s="46" t="s">
        <v>8682</v>
      </c>
      <c r="W1778" s="46" t="s">
        <v>381</v>
      </c>
      <c r="X1778" s="47" t="s">
        <v>8738</v>
      </c>
      <c r="Y1778" s="47" t="s">
        <v>7419</v>
      </c>
      <c r="Z1778" s="46" t="s">
        <v>8141</v>
      </c>
      <c r="AA1778" s="46" t="s">
        <v>3931</v>
      </c>
      <c r="AB1778" s="47" t="s">
        <v>8738</v>
      </c>
      <c r="AC1778" s="48" t="s">
        <v>7136</v>
      </c>
      <c r="AD1778" s="30"/>
      <c r="AE1778" s="192">
        <v>1</v>
      </c>
      <c r="AF1778" s="100" t="s">
        <v>8722</v>
      </c>
      <c r="AG1778" s="100" t="s">
        <v>8925</v>
      </c>
      <c r="AH1778" s="108">
        <v>12.5</v>
      </c>
    </row>
    <row r="1779" spans="1:45" s="32" customFormat="1" ht="69.95" hidden="1" customHeight="1">
      <c r="A1779" s="29" t="s">
        <v>7421</v>
      </c>
      <c r="B1779" s="29" t="s">
        <v>8658</v>
      </c>
      <c r="C1779" s="32">
        <v>104</v>
      </c>
      <c r="E1779" s="56" t="s">
        <v>8107</v>
      </c>
      <c r="F1779" s="56" t="s">
        <v>8107</v>
      </c>
      <c r="G1779" s="29" t="s">
        <v>3442</v>
      </c>
      <c r="H1779" s="124" t="s">
        <v>9445</v>
      </c>
      <c r="I1779" s="124" t="s">
        <v>9121</v>
      </c>
      <c r="J1779" s="29">
        <f t="shared" si="132"/>
        <v>1</v>
      </c>
      <c r="K1779" s="42">
        <v>1765</v>
      </c>
      <c r="L1779" s="152" t="s">
        <v>3443</v>
      </c>
      <c r="M1779" s="44" t="s">
        <v>405</v>
      </c>
      <c r="N1779" s="44" t="s">
        <v>7984</v>
      </c>
      <c r="O1779" s="101" t="str">
        <f t="shared" si="136"/>
        <v>PE-L1-3C4-01</v>
      </c>
      <c r="P1779" s="45">
        <v>1</v>
      </c>
      <c r="Q1779" s="44">
        <v>230</v>
      </c>
      <c r="R1779" s="44" t="s">
        <v>49</v>
      </c>
      <c r="S1779" s="101">
        <v>30</v>
      </c>
      <c r="T1779" s="46" t="s">
        <v>7981</v>
      </c>
      <c r="U1779" s="46" t="s">
        <v>7421</v>
      </c>
      <c r="V1779" s="46" t="s">
        <v>8678</v>
      </c>
      <c r="W1779" s="46" t="s">
        <v>381</v>
      </c>
      <c r="X1779" s="172" t="s">
        <v>9167</v>
      </c>
      <c r="Y1779" s="47" t="s">
        <v>7422</v>
      </c>
      <c r="Z1779" s="46" t="s">
        <v>8143</v>
      </c>
      <c r="AA1779" s="46" t="s">
        <v>3931</v>
      </c>
      <c r="AB1779" s="172" t="s">
        <v>9167</v>
      </c>
      <c r="AC1779" s="48" t="s">
        <v>7136</v>
      </c>
      <c r="AD1779" s="30"/>
      <c r="AE1779" s="192">
        <v>1</v>
      </c>
      <c r="AF1779" s="100" t="s">
        <v>8722</v>
      </c>
      <c r="AG1779" s="100" t="s">
        <v>8925</v>
      </c>
      <c r="AH1779" s="100">
        <v>13</v>
      </c>
    </row>
    <row r="1780" spans="1:45" s="32" customFormat="1" ht="69.95" customHeight="1">
      <c r="A1780" s="29" t="s">
        <v>8659</v>
      </c>
      <c r="B1780" s="29" t="s">
        <v>8658</v>
      </c>
      <c r="C1780" s="32">
        <v>105</v>
      </c>
      <c r="E1780" s="57" t="s">
        <v>88</v>
      </c>
      <c r="F1780" s="57" t="s">
        <v>8145</v>
      </c>
      <c r="G1780" s="29" t="s">
        <v>3444</v>
      </c>
      <c r="H1780" s="29"/>
      <c r="I1780" s="29"/>
      <c r="J1780" s="29">
        <f t="shared" si="132"/>
        <v>1</v>
      </c>
      <c r="K1780" s="42">
        <v>1766</v>
      </c>
      <c r="L1780" s="43" t="s">
        <v>3445</v>
      </c>
      <c r="M1780" s="44" t="s">
        <v>405</v>
      </c>
      <c r="N1780" s="44" t="s">
        <v>536</v>
      </c>
      <c r="O1780" s="44" t="str">
        <f t="shared" si="136"/>
        <v>PE-L1-4C4-01</v>
      </c>
      <c r="P1780" s="45">
        <v>0.55000000000000004</v>
      </c>
      <c r="Q1780" s="44">
        <v>400</v>
      </c>
      <c r="R1780" s="44" t="s">
        <v>412</v>
      </c>
      <c r="S1780" s="44">
        <v>60</v>
      </c>
      <c r="T1780" s="46" t="s">
        <v>7981</v>
      </c>
      <c r="U1780" s="46" t="s">
        <v>8176</v>
      </c>
      <c r="V1780" s="46" t="s">
        <v>8683</v>
      </c>
      <c r="W1780" s="46" t="s">
        <v>381</v>
      </c>
      <c r="X1780" s="47" t="s">
        <v>8721</v>
      </c>
      <c r="Y1780" s="47" t="s">
        <v>7424</v>
      </c>
      <c r="Z1780" s="46" t="s">
        <v>8144</v>
      </c>
      <c r="AA1780" s="46" t="s">
        <v>3931</v>
      </c>
      <c r="AB1780" s="47" t="s">
        <v>8721</v>
      </c>
      <c r="AC1780" s="48" t="s">
        <v>7425</v>
      </c>
      <c r="AD1780" s="30"/>
      <c r="AE1780" s="192">
        <v>1</v>
      </c>
      <c r="AF1780" s="100" t="s">
        <v>8722</v>
      </c>
      <c r="AG1780" s="100" t="s">
        <v>8925</v>
      </c>
      <c r="AH1780" s="100">
        <v>14</v>
      </c>
    </row>
    <row r="1781" spans="1:45" s="32" customFormat="1" ht="69.95" customHeight="1">
      <c r="A1781" s="29" t="s">
        <v>7353</v>
      </c>
      <c r="B1781" s="29" t="s">
        <v>8658</v>
      </c>
      <c r="C1781" s="32">
        <v>106</v>
      </c>
      <c r="E1781" s="57" t="s">
        <v>88</v>
      </c>
      <c r="F1781" s="57" t="s">
        <v>8145</v>
      </c>
      <c r="G1781" s="29" t="s">
        <v>3446</v>
      </c>
      <c r="H1781" s="29"/>
      <c r="I1781" s="29"/>
      <c r="J1781" s="29">
        <f t="shared" si="132"/>
        <v>1</v>
      </c>
      <c r="K1781" s="42">
        <v>1767</v>
      </c>
      <c r="L1781" s="249" t="s">
        <v>3447</v>
      </c>
      <c r="M1781" s="44" t="s">
        <v>405</v>
      </c>
      <c r="N1781" s="44" t="s">
        <v>536</v>
      </c>
      <c r="O1781" s="44" t="str">
        <f t="shared" si="136"/>
        <v>PE-L1-4C4-01</v>
      </c>
      <c r="P1781" s="45">
        <v>0.55000000000000004</v>
      </c>
      <c r="Q1781" s="44">
        <v>400</v>
      </c>
      <c r="R1781" s="44" t="s">
        <v>8323</v>
      </c>
      <c r="S1781" s="44">
        <v>60</v>
      </c>
      <c r="T1781" s="46" t="s">
        <v>7981</v>
      </c>
      <c r="U1781" s="250" t="s">
        <v>9598</v>
      </c>
      <c r="V1781" s="250" t="s">
        <v>8683</v>
      </c>
      <c r="W1781" s="250" t="s">
        <v>9599</v>
      </c>
      <c r="X1781" s="47" t="s">
        <v>8721</v>
      </c>
      <c r="Y1781" s="47" t="s">
        <v>9597</v>
      </c>
      <c r="Z1781" s="46" t="s">
        <v>400</v>
      </c>
      <c r="AA1781" s="46" t="s">
        <v>3931</v>
      </c>
      <c r="AB1781" s="47" t="s">
        <v>8721</v>
      </c>
      <c r="AC1781" s="48" t="s">
        <v>7426</v>
      </c>
      <c r="AD1781" s="30"/>
      <c r="AE1781" s="192">
        <v>1</v>
      </c>
      <c r="AF1781" s="100" t="s">
        <v>8722</v>
      </c>
      <c r="AG1781" s="100" t="s">
        <v>8925</v>
      </c>
      <c r="AH1781" s="100">
        <v>14</v>
      </c>
    </row>
    <row r="1782" spans="1:45" s="32" customFormat="1" ht="69.95" hidden="1" customHeight="1">
      <c r="A1782" s="29" t="s">
        <v>8660</v>
      </c>
      <c r="B1782" s="29" t="s">
        <v>3769</v>
      </c>
      <c r="C1782" s="69" t="s">
        <v>32</v>
      </c>
      <c r="D1782" s="124" t="s">
        <v>9444</v>
      </c>
      <c r="E1782" s="57" t="s">
        <v>8149</v>
      </c>
      <c r="F1782" s="57" t="s">
        <v>8149</v>
      </c>
      <c r="G1782" s="29" t="s">
        <v>3448</v>
      </c>
      <c r="H1782" s="124" t="s">
        <v>9445</v>
      </c>
      <c r="I1782" s="124" t="s">
        <v>9121</v>
      </c>
      <c r="J1782" s="29">
        <f t="shared" si="132"/>
        <v>1</v>
      </c>
      <c r="K1782" s="42">
        <v>1768</v>
      </c>
      <c r="L1782" s="152" t="s">
        <v>3449</v>
      </c>
      <c r="M1782" s="44" t="s">
        <v>405</v>
      </c>
      <c r="N1782" s="44" t="s">
        <v>426</v>
      </c>
      <c r="O1782" s="44" t="str">
        <f t="shared" si="136"/>
        <v>PE-L1-3C4-18</v>
      </c>
      <c r="P1782" s="45">
        <v>0.15</v>
      </c>
      <c r="Q1782" s="44">
        <v>230</v>
      </c>
      <c r="R1782" s="44" t="s">
        <v>49</v>
      </c>
      <c r="S1782" s="44">
        <v>30</v>
      </c>
      <c r="T1782" s="46" t="s">
        <v>7981</v>
      </c>
      <c r="U1782" s="46" t="s">
        <v>8167</v>
      </c>
      <c r="V1782" s="46" t="s">
        <v>8686</v>
      </c>
      <c r="W1782" s="46" t="s">
        <v>384</v>
      </c>
      <c r="X1782" s="172" t="s">
        <v>9167</v>
      </c>
      <c r="Y1782" s="47" t="s">
        <v>7427</v>
      </c>
      <c r="Z1782" s="46" t="s">
        <v>8146</v>
      </c>
      <c r="AA1782" s="46" t="s">
        <v>3968</v>
      </c>
      <c r="AB1782" s="172" t="s">
        <v>9167</v>
      </c>
      <c r="AC1782" s="48" t="s">
        <v>7428</v>
      </c>
      <c r="AD1782" s="30"/>
      <c r="AE1782" s="192">
        <v>1</v>
      </c>
      <c r="AF1782" s="100" t="s">
        <v>8722</v>
      </c>
      <c r="AG1782" s="100" t="s">
        <v>8925</v>
      </c>
      <c r="AH1782" s="100">
        <v>13</v>
      </c>
    </row>
    <row r="1783" spans="1:45" s="32" customFormat="1" ht="69.95" hidden="1" customHeight="1">
      <c r="A1783" s="29" t="s">
        <v>7429</v>
      </c>
      <c r="B1783" s="29" t="s">
        <v>3769</v>
      </c>
      <c r="C1783" s="69" t="s">
        <v>36</v>
      </c>
      <c r="D1783" s="69"/>
      <c r="E1783" s="57" t="s">
        <v>8149</v>
      </c>
      <c r="F1783" s="57" t="s">
        <v>8149</v>
      </c>
      <c r="G1783" s="29" t="s">
        <v>3450</v>
      </c>
      <c r="H1783" s="124" t="s">
        <v>9445</v>
      </c>
      <c r="I1783" s="124" t="s">
        <v>9121</v>
      </c>
      <c r="J1783" s="29">
        <f t="shared" si="132"/>
        <v>1</v>
      </c>
      <c r="K1783" s="42">
        <v>1769</v>
      </c>
      <c r="L1783" s="152" t="s">
        <v>9513</v>
      </c>
      <c r="M1783" s="44" t="s">
        <v>405</v>
      </c>
      <c r="N1783" s="44" t="s">
        <v>426</v>
      </c>
      <c r="O1783" s="101" t="str">
        <f t="shared" ref="O1783:O1789" si="137">F1783</f>
        <v>PE-L1-3C4-18</v>
      </c>
      <c r="P1783" s="45">
        <v>7.2999999999999995E-2</v>
      </c>
      <c r="Q1783" s="44">
        <v>230</v>
      </c>
      <c r="R1783" s="44" t="s">
        <v>49</v>
      </c>
      <c r="S1783" s="101">
        <v>120</v>
      </c>
      <c r="T1783" s="46" t="s">
        <v>7981</v>
      </c>
      <c r="U1783" s="46" t="s">
        <v>7429</v>
      </c>
      <c r="V1783" s="46" t="s">
        <v>8686</v>
      </c>
      <c r="W1783" s="46" t="s">
        <v>384</v>
      </c>
      <c r="X1783" s="172" t="s">
        <v>9167</v>
      </c>
      <c r="Y1783" s="47" t="s">
        <v>7430</v>
      </c>
      <c r="Z1783" s="46" t="s">
        <v>7139</v>
      </c>
      <c r="AA1783" s="46" t="s">
        <v>3968</v>
      </c>
      <c r="AB1783" s="172" t="s">
        <v>9167</v>
      </c>
      <c r="AC1783" s="48" t="s">
        <v>7431</v>
      </c>
      <c r="AD1783" s="206" t="s">
        <v>8871</v>
      </c>
      <c r="AE1783" s="192">
        <v>1</v>
      </c>
      <c r="AF1783" s="100" t="s">
        <v>8722</v>
      </c>
      <c r="AG1783" s="100" t="s">
        <v>8925</v>
      </c>
      <c r="AH1783" s="100">
        <v>13</v>
      </c>
    </row>
    <row r="1784" spans="1:45" s="32" customFormat="1" ht="69.95" hidden="1" customHeight="1">
      <c r="A1784" s="29" t="s">
        <v>7432</v>
      </c>
      <c r="B1784" s="29" t="s">
        <v>3769</v>
      </c>
      <c r="C1784" s="69" t="s">
        <v>38</v>
      </c>
      <c r="D1784" s="69"/>
      <c r="E1784" s="57" t="s">
        <v>8149</v>
      </c>
      <c r="F1784" s="57" t="s">
        <v>8149</v>
      </c>
      <c r="G1784" s="29" t="s">
        <v>3451</v>
      </c>
      <c r="H1784" s="124" t="s">
        <v>9445</v>
      </c>
      <c r="I1784" s="124" t="s">
        <v>9121</v>
      </c>
      <c r="J1784" s="29">
        <f t="shared" si="132"/>
        <v>1</v>
      </c>
      <c r="K1784" s="42">
        <v>1770</v>
      </c>
      <c r="L1784" s="152" t="s">
        <v>3452</v>
      </c>
      <c r="M1784" s="44" t="s">
        <v>405</v>
      </c>
      <c r="N1784" s="44" t="s">
        <v>426</v>
      </c>
      <c r="O1784" s="101" t="str">
        <f t="shared" si="137"/>
        <v>PE-L1-3C4-18</v>
      </c>
      <c r="P1784" s="45">
        <v>7.2999999999999995E-2</v>
      </c>
      <c r="Q1784" s="44">
        <v>230</v>
      </c>
      <c r="R1784" s="44" t="s">
        <v>49</v>
      </c>
      <c r="S1784" s="101">
        <v>120</v>
      </c>
      <c r="T1784" s="46" t="s">
        <v>7981</v>
      </c>
      <c r="U1784" s="46" t="s">
        <v>7432</v>
      </c>
      <c r="V1784" s="46" t="s">
        <v>8686</v>
      </c>
      <c r="W1784" s="46" t="s">
        <v>384</v>
      </c>
      <c r="X1784" s="172" t="s">
        <v>9167</v>
      </c>
      <c r="Y1784" s="47" t="s">
        <v>7433</v>
      </c>
      <c r="Z1784" s="46" t="s">
        <v>7143</v>
      </c>
      <c r="AA1784" s="46" t="s">
        <v>3968</v>
      </c>
      <c r="AB1784" s="172" t="s">
        <v>9167</v>
      </c>
      <c r="AC1784" s="48" t="s">
        <v>7431</v>
      </c>
      <c r="AD1784" s="206" t="s">
        <v>8872</v>
      </c>
      <c r="AE1784" s="192">
        <v>1</v>
      </c>
      <c r="AF1784" s="100" t="s">
        <v>8722</v>
      </c>
      <c r="AG1784" s="100" t="s">
        <v>8925</v>
      </c>
      <c r="AH1784" s="100">
        <v>13</v>
      </c>
    </row>
    <row r="1785" spans="1:45" s="32" customFormat="1" ht="69.95" hidden="1" customHeight="1">
      <c r="A1785" s="29" t="s">
        <v>7434</v>
      </c>
      <c r="B1785" s="29" t="s">
        <v>3769</v>
      </c>
      <c r="C1785" s="69" t="s">
        <v>40</v>
      </c>
      <c r="D1785" s="69"/>
      <c r="E1785" s="57" t="s">
        <v>8149</v>
      </c>
      <c r="F1785" s="57" t="s">
        <v>8149</v>
      </c>
      <c r="G1785" s="29" t="s">
        <v>3453</v>
      </c>
      <c r="H1785" s="124" t="s">
        <v>9445</v>
      </c>
      <c r="I1785" s="124" t="s">
        <v>9121</v>
      </c>
      <c r="J1785" s="29">
        <f t="shared" si="132"/>
        <v>1</v>
      </c>
      <c r="K1785" s="42">
        <v>1771</v>
      </c>
      <c r="L1785" s="152" t="s">
        <v>3454</v>
      </c>
      <c r="M1785" s="44" t="s">
        <v>405</v>
      </c>
      <c r="N1785" s="44" t="s">
        <v>426</v>
      </c>
      <c r="O1785" s="101" t="str">
        <f t="shared" si="137"/>
        <v>PE-L1-3C4-18</v>
      </c>
      <c r="P1785" s="45">
        <v>7.2999999999999995E-2</v>
      </c>
      <c r="Q1785" s="44">
        <v>230</v>
      </c>
      <c r="R1785" s="44" t="s">
        <v>49</v>
      </c>
      <c r="S1785" s="101">
        <v>120</v>
      </c>
      <c r="T1785" s="46" t="s">
        <v>7981</v>
      </c>
      <c r="U1785" s="46" t="s">
        <v>7434</v>
      </c>
      <c r="V1785" s="46" t="s">
        <v>8686</v>
      </c>
      <c r="W1785" s="46" t="s">
        <v>384</v>
      </c>
      <c r="X1785" s="172" t="s">
        <v>9167</v>
      </c>
      <c r="Y1785" s="47" t="s">
        <v>7435</v>
      </c>
      <c r="Z1785" s="46" t="s">
        <v>7146</v>
      </c>
      <c r="AA1785" s="46" t="s">
        <v>3968</v>
      </c>
      <c r="AB1785" s="172" t="s">
        <v>9167</v>
      </c>
      <c r="AC1785" s="48" t="s">
        <v>7431</v>
      </c>
      <c r="AD1785" s="206" t="s">
        <v>8873</v>
      </c>
      <c r="AE1785" s="192">
        <v>1</v>
      </c>
      <c r="AF1785" s="100" t="s">
        <v>8722</v>
      </c>
      <c r="AG1785" s="100" t="s">
        <v>8925</v>
      </c>
      <c r="AH1785" s="100">
        <v>13</v>
      </c>
    </row>
    <row r="1786" spans="1:45" s="32" customFormat="1" ht="69.95" hidden="1" customHeight="1">
      <c r="A1786" s="29" t="s">
        <v>7436</v>
      </c>
      <c r="B1786" s="29" t="s">
        <v>3769</v>
      </c>
      <c r="C1786" s="69" t="s">
        <v>41</v>
      </c>
      <c r="D1786" s="69"/>
      <c r="E1786" s="57" t="s">
        <v>76</v>
      </c>
      <c r="F1786" s="57" t="s">
        <v>8166</v>
      </c>
      <c r="G1786" s="29" t="s">
        <v>3455</v>
      </c>
      <c r="H1786" s="124" t="s">
        <v>9445</v>
      </c>
      <c r="I1786" s="124" t="s">
        <v>9121</v>
      </c>
      <c r="J1786" s="29">
        <f t="shared" si="132"/>
        <v>1</v>
      </c>
      <c r="K1786" s="42">
        <v>1772</v>
      </c>
      <c r="L1786" s="152" t="s">
        <v>3456</v>
      </c>
      <c r="M1786" s="44" t="s">
        <v>405</v>
      </c>
      <c r="N1786" s="44" t="s">
        <v>9132</v>
      </c>
      <c r="O1786" s="101" t="str">
        <f t="shared" si="137"/>
        <v>PE-L1-4C4-02</v>
      </c>
      <c r="P1786" s="45">
        <v>4.9000000000000004</v>
      </c>
      <c r="Q1786" s="44">
        <v>400</v>
      </c>
      <c r="R1786" s="44" t="s">
        <v>49</v>
      </c>
      <c r="S1786" s="101">
        <v>120</v>
      </c>
      <c r="T1786" s="46" t="s">
        <v>7981</v>
      </c>
      <c r="U1786" s="46" t="s">
        <v>7436</v>
      </c>
      <c r="V1786" s="46" t="s">
        <v>8686</v>
      </c>
      <c r="W1786" s="46" t="s">
        <v>384</v>
      </c>
      <c r="X1786" s="47" t="s">
        <v>8721</v>
      </c>
      <c r="Y1786" s="47" t="s">
        <v>7437</v>
      </c>
      <c r="Z1786" s="46" t="s">
        <v>7149</v>
      </c>
      <c r="AA1786" s="46" t="s">
        <v>3968</v>
      </c>
      <c r="AB1786" s="47" t="s">
        <v>8721</v>
      </c>
      <c r="AC1786" s="48" t="s">
        <v>7438</v>
      </c>
      <c r="AD1786" s="30"/>
      <c r="AE1786" s="202">
        <v>1</v>
      </c>
      <c r="AF1786" s="109" t="s">
        <v>8922</v>
      </c>
      <c r="AG1786" s="109" t="s">
        <v>8925</v>
      </c>
      <c r="AH1786" s="109">
        <v>14</v>
      </c>
    </row>
    <row r="1787" spans="1:45" s="32" customFormat="1" ht="69.95" hidden="1" customHeight="1">
      <c r="A1787" s="29" t="s">
        <v>7439</v>
      </c>
      <c r="B1787" s="29" t="s">
        <v>3769</v>
      </c>
      <c r="C1787" s="69" t="s">
        <v>42</v>
      </c>
      <c r="D1787" s="69"/>
      <c r="E1787" s="57" t="s">
        <v>8149</v>
      </c>
      <c r="F1787" s="57" t="s">
        <v>8149</v>
      </c>
      <c r="G1787" s="29" t="s">
        <v>3457</v>
      </c>
      <c r="H1787" s="124" t="s">
        <v>9445</v>
      </c>
      <c r="I1787" s="124" t="s">
        <v>9121</v>
      </c>
      <c r="J1787" s="29">
        <f t="shared" si="132"/>
        <v>1</v>
      </c>
      <c r="K1787" s="42">
        <v>1773</v>
      </c>
      <c r="L1787" s="152" t="s">
        <v>3458</v>
      </c>
      <c r="M1787" s="44" t="s">
        <v>405</v>
      </c>
      <c r="N1787" s="44" t="s">
        <v>426</v>
      </c>
      <c r="O1787" s="101" t="str">
        <f t="shared" si="137"/>
        <v>PE-L1-3C4-18</v>
      </c>
      <c r="P1787" s="45">
        <v>0.5</v>
      </c>
      <c r="Q1787" s="44">
        <v>230</v>
      </c>
      <c r="R1787" s="44" t="s">
        <v>49</v>
      </c>
      <c r="S1787" s="101">
        <v>120</v>
      </c>
      <c r="T1787" s="46" t="s">
        <v>7981</v>
      </c>
      <c r="U1787" s="46" t="s">
        <v>7439</v>
      </c>
      <c r="V1787" s="46" t="s">
        <v>8686</v>
      </c>
      <c r="W1787" s="46" t="s">
        <v>384</v>
      </c>
      <c r="X1787" s="172" t="s">
        <v>9167</v>
      </c>
      <c r="Y1787" s="47" t="s">
        <v>7440</v>
      </c>
      <c r="Z1787" s="46" t="s">
        <v>7153</v>
      </c>
      <c r="AA1787" s="46" t="s">
        <v>3968</v>
      </c>
      <c r="AB1787" s="172" t="s">
        <v>9167</v>
      </c>
      <c r="AC1787" s="48" t="s">
        <v>7441</v>
      </c>
      <c r="AD1787" s="30"/>
      <c r="AE1787" s="192">
        <v>1</v>
      </c>
      <c r="AF1787" s="100" t="s">
        <v>8722</v>
      </c>
      <c r="AG1787" s="100" t="s">
        <v>8925</v>
      </c>
      <c r="AH1787" s="100">
        <v>13</v>
      </c>
    </row>
    <row r="1788" spans="1:45" s="32" customFormat="1" ht="69.95" hidden="1" customHeight="1">
      <c r="A1788" s="29" t="s">
        <v>7442</v>
      </c>
      <c r="B1788" s="29" t="s">
        <v>3769</v>
      </c>
      <c r="C1788" s="69" t="s">
        <v>43</v>
      </c>
      <c r="D1788" s="69"/>
      <c r="E1788" s="57" t="s">
        <v>8149</v>
      </c>
      <c r="F1788" s="57" t="s">
        <v>8149</v>
      </c>
      <c r="G1788" s="29" t="s">
        <v>3459</v>
      </c>
      <c r="H1788" s="124" t="s">
        <v>9445</v>
      </c>
      <c r="I1788" s="124" t="s">
        <v>9121</v>
      </c>
      <c r="J1788" s="29">
        <f t="shared" si="132"/>
        <v>1</v>
      </c>
      <c r="K1788" s="42">
        <v>1774</v>
      </c>
      <c r="L1788" s="152" t="s">
        <v>9514</v>
      </c>
      <c r="M1788" s="44" t="s">
        <v>405</v>
      </c>
      <c r="N1788" s="44" t="s">
        <v>7984</v>
      </c>
      <c r="O1788" s="101" t="str">
        <f t="shared" si="137"/>
        <v>PE-L1-3C4-18</v>
      </c>
      <c r="P1788" s="45">
        <v>0.5</v>
      </c>
      <c r="Q1788" s="44">
        <v>230</v>
      </c>
      <c r="R1788" s="44" t="s">
        <v>49</v>
      </c>
      <c r="S1788" s="101">
        <v>120</v>
      </c>
      <c r="T1788" s="46" t="s">
        <v>7981</v>
      </c>
      <c r="U1788" s="46" t="s">
        <v>7442</v>
      </c>
      <c r="V1788" s="46" t="s">
        <v>8686</v>
      </c>
      <c r="W1788" s="46" t="s">
        <v>384</v>
      </c>
      <c r="X1788" s="172" t="s">
        <v>9167</v>
      </c>
      <c r="Y1788" s="47" t="s">
        <v>7443</v>
      </c>
      <c r="Z1788" s="46" t="s">
        <v>7157</v>
      </c>
      <c r="AA1788" s="46" t="s">
        <v>3968</v>
      </c>
      <c r="AB1788" s="172" t="s">
        <v>9167</v>
      </c>
      <c r="AC1788" s="48" t="s">
        <v>7444</v>
      </c>
      <c r="AD1788" s="30"/>
      <c r="AE1788" s="192">
        <v>1</v>
      </c>
      <c r="AF1788" s="100" t="s">
        <v>8722</v>
      </c>
      <c r="AG1788" s="100" t="s">
        <v>8925</v>
      </c>
      <c r="AH1788" s="100">
        <v>13</v>
      </c>
    </row>
    <row r="1789" spans="1:45" s="32" customFormat="1" ht="69.95" hidden="1" customHeight="1">
      <c r="A1789" s="29" t="s">
        <v>7445</v>
      </c>
      <c r="B1789" s="29" t="s">
        <v>3769</v>
      </c>
      <c r="C1789" s="69" t="s">
        <v>73</v>
      </c>
      <c r="D1789" s="69"/>
      <c r="E1789" s="57" t="s">
        <v>8180</v>
      </c>
      <c r="F1789" s="57" t="s">
        <v>8180</v>
      </c>
      <c r="G1789" s="29" t="s">
        <v>3460</v>
      </c>
      <c r="H1789" s="124" t="s">
        <v>9445</v>
      </c>
      <c r="I1789" s="124" t="s">
        <v>9121</v>
      </c>
      <c r="J1789" s="29">
        <f t="shared" si="132"/>
        <v>1</v>
      </c>
      <c r="K1789" s="42">
        <v>1775</v>
      </c>
      <c r="L1789" s="152" t="s">
        <v>3461</v>
      </c>
      <c r="M1789" s="44" t="s">
        <v>405</v>
      </c>
      <c r="N1789" s="44" t="s">
        <v>426</v>
      </c>
      <c r="O1789" s="101" t="str">
        <f t="shared" si="137"/>
        <v>PE-L1-3C4-17</v>
      </c>
      <c r="P1789" s="45">
        <v>0.5</v>
      </c>
      <c r="Q1789" s="44">
        <v>230</v>
      </c>
      <c r="R1789" s="44" t="s">
        <v>49</v>
      </c>
      <c r="S1789" s="101">
        <v>120</v>
      </c>
      <c r="T1789" s="46" t="s">
        <v>7981</v>
      </c>
      <c r="U1789" s="46" t="s">
        <v>7445</v>
      </c>
      <c r="V1789" s="46" t="s">
        <v>8686</v>
      </c>
      <c r="W1789" s="46" t="s">
        <v>384</v>
      </c>
      <c r="X1789" s="172" t="s">
        <v>9167</v>
      </c>
      <c r="Y1789" s="47" t="s">
        <v>7446</v>
      </c>
      <c r="Z1789" s="46" t="s">
        <v>7161</v>
      </c>
      <c r="AA1789" s="46" t="s">
        <v>3968</v>
      </c>
      <c r="AB1789" s="172" t="s">
        <v>9167</v>
      </c>
      <c r="AC1789" s="48" t="s">
        <v>7447</v>
      </c>
      <c r="AD1789" s="30"/>
      <c r="AE1789" s="192">
        <v>1</v>
      </c>
      <c r="AF1789" s="100" t="s">
        <v>8722</v>
      </c>
      <c r="AG1789" s="100" t="s">
        <v>8925</v>
      </c>
      <c r="AH1789" s="100">
        <v>13</v>
      </c>
    </row>
    <row r="1790" spans="1:45" s="32" customFormat="1" ht="69.95" hidden="1" customHeight="1">
      <c r="A1790" s="29" t="s">
        <v>7448</v>
      </c>
      <c r="B1790" s="29" t="s">
        <v>3769</v>
      </c>
      <c r="C1790" s="69" t="s">
        <v>75</v>
      </c>
      <c r="D1790" s="69"/>
      <c r="E1790" s="57" t="s">
        <v>88</v>
      </c>
      <c r="F1790" s="57" t="s">
        <v>8283</v>
      </c>
      <c r="G1790" s="29" t="s">
        <v>3462</v>
      </c>
      <c r="H1790" s="29"/>
      <c r="I1790" s="29"/>
      <c r="J1790" s="29">
        <f t="shared" si="132"/>
        <v>1</v>
      </c>
      <c r="K1790" s="42">
        <v>1776</v>
      </c>
      <c r="L1790" s="43" t="s">
        <v>3463</v>
      </c>
      <c r="M1790" s="44" t="s">
        <v>405</v>
      </c>
      <c r="N1790" s="44" t="s">
        <v>536</v>
      </c>
      <c r="O1790" s="44" t="str">
        <f t="shared" ref="O1790:O1809" si="138">F1790</f>
        <v>PE-L1-4C4-01</v>
      </c>
      <c r="P1790" s="45">
        <v>2.2000000000000002</v>
      </c>
      <c r="Q1790" s="44">
        <v>400</v>
      </c>
      <c r="R1790" s="44" t="s">
        <v>49</v>
      </c>
      <c r="S1790" s="44">
        <v>50</v>
      </c>
      <c r="T1790" s="46" t="s">
        <v>7981</v>
      </c>
      <c r="U1790" s="46" t="s">
        <v>7448</v>
      </c>
      <c r="V1790" s="46" t="s">
        <v>8686</v>
      </c>
      <c r="W1790" s="46" t="s">
        <v>384</v>
      </c>
      <c r="X1790" s="47" t="s">
        <v>9305</v>
      </c>
      <c r="Y1790" s="47" t="s">
        <v>7449</v>
      </c>
      <c r="Z1790" s="46" t="s">
        <v>7165</v>
      </c>
      <c r="AA1790" s="46" t="s">
        <v>3968</v>
      </c>
      <c r="AB1790" s="47" t="s">
        <v>9305</v>
      </c>
      <c r="AC1790" s="48" t="s">
        <v>7450</v>
      </c>
      <c r="AD1790" s="30"/>
      <c r="AE1790" s="192">
        <v>1</v>
      </c>
      <c r="AF1790" s="100" t="s">
        <v>8722</v>
      </c>
      <c r="AG1790" s="100" t="s">
        <v>8925</v>
      </c>
      <c r="AH1790" s="100">
        <v>14</v>
      </c>
    </row>
    <row r="1791" spans="1:45" s="32" customFormat="1" ht="69.95" hidden="1" customHeight="1">
      <c r="A1791" s="29" t="s">
        <v>7451</v>
      </c>
      <c r="B1791" s="29" t="s">
        <v>3769</v>
      </c>
      <c r="C1791" s="32">
        <v>10</v>
      </c>
      <c r="E1791" s="57" t="s">
        <v>88</v>
      </c>
      <c r="F1791" s="57" t="s">
        <v>8283</v>
      </c>
      <c r="G1791" s="29" t="s">
        <v>3464</v>
      </c>
      <c r="H1791" s="29"/>
      <c r="I1791" s="29"/>
      <c r="J1791" s="29">
        <f t="shared" si="132"/>
        <v>1</v>
      </c>
      <c r="K1791" s="42">
        <v>1777</v>
      </c>
      <c r="L1791" s="43" t="s">
        <v>3465</v>
      </c>
      <c r="M1791" s="44" t="s">
        <v>405</v>
      </c>
      <c r="N1791" s="44" t="s">
        <v>536</v>
      </c>
      <c r="O1791" s="44" t="str">
        <f t="shared" si="138"/>
        <v>PE-L1-4C4-01</v>
      </c>
      <c r="P1791" s="45">
        <v>2.2000000000000002</v>
      </c>
      <c r="Q1791" s="44">
        <v>400</v>
      </c>
      <c r="R1791" s="44" t="s">
        <v>49</v>
      </c>
      <c r="S1791" s="44">
        <v>60</v>
      </c>
      <c r="T1791" s="46" t="s">
        <v>7981</v>
      </c>
      <c r="U1791" s="46" t="s">
        <v>7451</v>
      </c>
      <c r="V1791" s="46" t="s">
        <v>8686</v>
      </c>
      <c r="W1791" s="46" t="s">
        <v>384</v>
      </c>
      <c r="X1791" s="47" t="s">
        <v>8721</v>
      </c>
      <c r="Y1791" s="47" t="s">
        <v>7452</v>
      </c>
      <c r="Z1791" s="46" t="s">
        <v>7169</v>
      </c>
      <c r="AA1791" s="46" t="s">
        <v>3968</v>
      </c>
      <c r="AB1791" s="47" t="s">
        <v>8721</v>
      </c>
      <c r="AC1791" s="48" t="s">
        <v>7453</v>
      </c>
      <c r="AD1791" s="30"/>
      <c r="AE1791" s="192">
        <v>1</v>
      </c>
      <c r="AF1791" s="100" t="s">
        <v>8722</v>
      </c>
      <c r="AG1791" s="100" t="s">
        <v>8925</v>
      </c>
      <c r="AH1791" s="100">
        <v>14</v>
      </c>
    </row>
    <row r="1792" spans="1:45" s="32" customFormat="1" ht="69.95" hidden="1" customHeight="1">
      <c r="A1792" s="29" t="s">
        <v>8661</v>
      </c>
      <c r="B1792" s="29" t="s">
        <v>8652</v>
      </c>
      <c r="C1792" s="69" t="s">
        <v>32</v>
      </c>
      <c r="D1792" s="69" t="s">
        <v>9398</v>
      </c>
      <c r="E1792" s="57" t="s">
        <v>8159</v>
      </c>
      <c r="F1792" s="121" t="s">
        <v>9399</v>
      </c>
      <c r="G1792" s="29" t="s">
        <v>3466</v>
      </c>
      <c r="H1792" s="29"/>
      <c r="I1792" s="29"/>
      <c r="J1792" s="29">
        <f t="shared" si="132"/>
        <v>1</v>
      </c>
      <c r="K1792" s="42">
        <v>1778</v>
      </c>
      <c r="L1792" s="43" t="s">
        <v>8255</v>
      </c>
      <c r="M1792" s="128" t="s">
        <v>417</v>
      </c>
      <c r="N1792" s="44" t="s">
        <v>7978</v>
      </c>
      <c r="O1792" s="126" t="str">
        <f t="shared" si="138"/>
        <v>PE-M1-1C240-08</v>
      </c>
      <c r="P1792" s="45" t="s">
        <v>1613</v>
      </c>
      <c r="Q1792" s="44">
        <v>1400</v>
      </c>
      <c r="R1792" s="44" t="s">
        <v>49</v>
      </c>
      <c r="S1792" s="44">
        <v>60</v>
      </c>
      <c r="T1792" s="46" t="s">
        <v>7981</v>
      </c>
      <c r="U1792" s="47" t="s">
        <v>8181</v>
      </c>
      <c r="V1792" s="46" t="s">
        <v>8687</v>
      </c>
      <c r="W1792" s="46" t="s">
        <v>8688</v>
      </c>
      <c r="X1792" s="47" t="s">
        <v>304</v>
      </c>
      <c r="Y1792" s="46" t="s">
        <v>6328</v>
      </c>
      <c r="Z1792" s="43" t="s">
        <v>8182</v>
      </c>
      <c r="AA1792" s="46" t="s">
        <v>3968</v>
      </c>
      <c r="AB1792" s="47" t="s">
        <v>307</v>
      </c>
      <c r="AC1792" s="52" t="s">
        <v>8183</v>
      </c>
      <c r="AD1792" s="30"/>
      <c r="AE1792" s="192">
        <v>1</v>
      </c>
      <c r="AF1792" s="100" t="s">
        <v>8822</v>
      </c>
      <c r="AG1792" s="100" t="s">
        <v>8932</v>
      </c>
      <c r="AH1792" s="111">
        <v>33</v>
      </c>
      <c r="AK1792" s="241">
        <v>1</v>
      </c>
      <c r="AL1792" s="241" t="s">
        <v>9576</v>
      </c>
      <c r="AM1792" s="241">
        <v>1</v>
      </c>
      <c r="AN1792" s="241">
        <v>1</v>
      </c>
      <c r="AO1792" s="241" t="s">
        <v>9576</v>
      </c>
      <c r="AP1792" s="241">
        <v>1</v>
      </c>
      <c r="AR1792" s="241">
        <v>2</v>
      </c>
      <c r="AS1792" s="241" t="s">
        <v>9582</v>
      </c>
    </row>
    <row r="1793" spans="1:45" s="32" customFormat="1" ht="69.95" hidden="1" customHeight="1">
      <c r="A1793" s="29" t="s">
        <v>8661</v>
      </c>
      <c r="B1793" s="29" t="s">
        <v>8652</v>
      </c>
      <c r="C1793" s="69" t="s">
        <v>36</v>
      </c>
      <c r="D1793" s="69" t="s">
        <v>9398</v>
      </c>
      <c r="E1793" s="57" t="s">
        <v>8159</v>
      </c>
      <c r="F1793" s="121" t="s">
        <v>9399</v>
      </c>
      <c r="G1793" s="29" t="s">
        <v>8152</v>
      </c>
      <c r="H1793" s="29"/>
      <c r="I1793" s="29"/>
      <c r="J1793" s="29">
        <f t="shared" si="132"/>
        <v>1</v>
      </c>
      <c r="K1793" s="42">
        <v>1779</v>
      </c>
      <c r="L1793" s="43" t="s">
        <v>8256</v>
      </c>
      <c r="M1793" s="128" t="s">
        <v>417</v>
      </c>
      <c r="N1793" s="44" t="s">
        <v>7978</v>
      </c>
      <c r="O1793" s="126" t="str">
        <f t="shared" si="138"/>
        <v>PE-M1-1C240-08</v>
      </c>
      <c r="P1793" s="51" t="s">
        <v>1613</v>
      </c>
      <c r="Q1793" s="43">
        <v>1400</v>
      </c>
      <c r="R1793" s="43" t="s">
        <v>49</v>
      </c>
      <c r="S1793" s="43">
        <v>60</v>
      </c>
      <c r="T1793" s="46" t="s">
        <v>7981</v>
      </c>
      <c r="U1793" s="47" t="s">
        <v>8181</v>
      </c>
      <c r="V1793" s="46" t="s">
        <v>8687</v>
      </c>
      <c r="W1793" s="46" t="s">
        <v>8688</v>
      </c>
      <c r="X1793" s="47" t="s">
        <v>305</v>
      </c>
      <c r="Y1793" s="46" t="s">
        <v>6328</v>
      </c>
      <c r="Z1793" s="43" t="s">
        <v>8182</v>
      </c>
      <c r="AA1793" s="46" t="s">
        <v>3968</v>
      </c>
      <c r="AB1793" s="47" t="s">
        <v>308</v>
      </c>
      <c r="AC1793" s="52" t="s">
        <v>8183</v>
      </c>
      <c r="AD1793" s="30"/>
      <c r="AE1793" s="192">
        <v>1</v>
      </c>
      <c r="AF1793" s="100" t="s">
        <v>8822</v>
      </c>
      <c r="AG1793" s="100" t="s">
        <v>8932</v>
      </c>
      <c r="AH1793" s="111">
        <v>33</v>
      </c>
      <c r="AK1793" s="241">
        <v>1</v>
      </c>
      <c r="AL1793" s="241" t="s">
        <v>9576</v>
      </c>
      <c r="AM1793" s="241">
        <v>1</v>
      </c>
      <c r="AN1793" s="241">
        <v>1</v>
      </c>
      <c r="AO1793" s="241" t="s">
        <v>9576</v>
      </c>
      <c r="AP1793" s="241">
        <v>1</v>
      </c>
      <c r="AR1793" s="241">
        <v>2</v>
      </c>
      <c r="AS1793" s="241" t="s">
        <v>9582</v>
      </c>
    </row>
    <row r="1794" spans="1:45" s="32" customFormat="1" ht="69.95" hidden="1" customHeight="1">
      <c r="A1794" s="29" t="s">
        <v>8661</v>
      </c>
      <c r="B1794" s="29" t="s">
        <v>8652</v>
      </c>
      <c r="C1794" s="69" t="s">
        <v>38</v>
      </c>
      <c r="D1794" s="69" t="s">
        <v>9398</v>
      </c>
      <c r="E1794" s="57" t="s">
        <v>8159</v>
      </c>
      <c r="F1794" s="121" t="s">
        <v>9399</v>
      </c>
      <c r="G1794" s="29" t="s">
        <v>8152</v>
      </c>
      <c r="H1794" s="29"/>
      <c r="I1794" s="29"/>
      <c r="J1794" s="29">
        <f t="shared" si="132"/>
        <v>1</v>
      </c>
      <c r="K1794" s="42">
        <v>1780</v>
      </c>
      <c r="L1794" s="43" t="s">
        <v>8257</v>
      </c>
      <c r="M1794" s="128" t="s">
        <v>417</v>
      </c>
      <c r="N1794" s="44" t="s">
        <v>7978</v>
      </c>
      <c r="O1794" s="126" t="str">
        <f t="shared" si="138"/>
        <v>PE-M1-1C240-08</v>
      </c>
      <c r="P1794" s="51" t="s">
        <v>1613</v>
      </c>
      <c r="Q1794" s="43">
        <v>1400</v>
      </c>
      <c r="R1794" s="43" t="s">
        <v>49</v>
      </c>
      <c r="S1794" s="43">
        <v>60</v>
      </c>
      <c r="T1794" s="46" t="s">
        <v>7981</v>
      </c>
      <c r="U1794" s="47" t="s">
        <v>8181</v>
      </c>
      <c r="V1794" s="46" t="s">
        <v>8687</v>
      </c>
      <c r="W1794" s="46" t="s">
        <v>8688</v>
      </c>
      <c r="X1794" s="47" t="s">
        <v>306</v>
      </c>
      <c r="Y1794" s="46" t="s">
        <v>6328</v>
      </c>
      <c r="Z1794" s="43" t="s">
        <v>8182</v>
      </c>
      <c r="AA1794" s="46" t="s">
        <v>3968</v>
      </c>
      <c r="AB1794" s="47" t="s">
        <v>309</v>
      </c>
      <c r="AC1794" s="52" t="s">
        <v>8183</v>
      </c>
      <c r="AD1794" s="30"/>
      <c r="AE1794" s="192">
        <v>1</v>
      </c>
      <c r="AF1794" s="100" t="s">
        <v>8822</v>
      </c>
      <c r="AG1794" s="100" t="s">
        <v>8932</v>
      </c>
      <c r="AH1794" s="111">
        <v>33</v>
      </c>
      <c r="AK1794" s="241">
        <v>1</v>
      </c>
      <c r="AL1794" s="241" t="s">
        <v>9576</v>
      </c>
      <c r="AM1794" s="241">
        <v>1</v>
      </c>
      <c r="AN1794" s="241">
        <v>1</v>
      </c>
      <c r="AO1794" s="241" t="s">
        <v>9576</v>
      </c>
      <c r="AP1794" s="241">
        <v>1</v>
      </c>
      <c r="AR1794" s="241">
        <v>2</v>
      </c>
      <c r="AS1794" s="241" t="s">
        <v>9582</v>
      </c>
    </row>
    <row r="1795" spans="1:45" s="32" customFormat="1" ht="69.95" hidden="1" customHeight="1">
      <c r="A1795" s="29" t="s">
        <v>8661</v>
      </c>
      <c r="B1795" s="29" t="s">
        <v>8652</v>
      </c>
      <c r="C1795" s="69" t="s">
        <v>40</v>
      </c>
      <c r="D1795" s="69" t="s">
        <v>9398</v>
      </c>
      <c r="E1795" s="57" t="s">
        <v>8159</v>
      </c>
      <c r="F1795" s="121" t="s">
        <v>9399</v>
      </c>
      <c r="G1795" s="29" t="s">
        <v>8152</v>
      </c>
      <c r="H1795" s="29"/>
      <c r="I1795" s="29"/>
      <c r="J1795" s="29">
        <f t="shared" si="132"/>
        <v>1</v>
      </c>
      <c r="K1795" s="42">
        <v>1781</v>
      </c>
      <c r="L1795" s="43" t="s">
        <v>8258</v>
      </c>
      <c r="M1795" s="128" t="s">
        <v>417</v>
      </c>
      <c r="N1795" s="44" t="s">
        <v>7978</v>
      </c>
      <c r="O1795" s="126" t="str">
        <f t="shared" si="138"/>
        <v>PE-M1-1C240-08</v>
      </c>
      <c r="P1795" s="51" t="s">
        <v>1613</v>
      </c>
      <c r="Q1795" s="43">
        <v>1400</v>
      </c>
      <c r="R1795" s="43" t="s">
        <v>49</v>
      </c>
      <c r="S1795" s="43">
        <v>60</v>
      </c>
      <c r="T1795" s="46" t="s">
        <v>7981</v>
      </c>
      <c r="U1795" s="47" t="s">
        <v>8181</v>
      </c>
      <c r="V1795" s="46" t="s">
        <v>8687</v>
      </c>
      <c r="W1795" s="46" t="s">
        <v>8688</v>
      </c>
      <c r="X1795" s="47" t="s">
        <v>304</v>
      </c>
      <c r="Y1795" s="46" t="s">
        <v>6328</v>
      </c>
      <c r="Z1795" s="43" t="s">
        <v>8182</v>
      </c>
      <c r="AA1795" s="46" t="s">
        <v>3968</v>
      </c>
      <c r="AB1795" s="47" t="s">
        <v>307</v>
      </c>
      <c r="AC1795" s="52" t="s">
        <v>8184</v>
      </c>
      <c r="AD1795" s="30"/>
      <c r="AE1795" s="192">
        <v>1</v>
      </c>
      <c r="AF1795" s="100" t="s">
        <v>8822</v>
      </c>
      <c r="AG1795" s="100" t="s">
        <v>8932</v>
      </c>
      <c r="AH1795" s="111">
        <v>33</v>
      </c>
      <c r="AK1795" s="241">
        <v>1</v>
      </c>
      <c r="AL1795" s="241" t="s">
        <v>9576</v>
      </c>
      <c r="AM1795" s="241">
        <v>1</v>
      </c>
      <c r="AN1795" s="241">
        <v>1</v>
      </c>
      <c r="AO1795" s="241" t="s">
        <v>9576</v>
      </c>
      <c r="AP1795" s="241">
        <v>1</v>
      </c>
      <c r="AR1795" s="241">
        <v>2</v>
      </c>
      <c r="AS1795" s="241" t="s">
        <v>9582</v>
      </c>
    </row>
    <row r="1796" spans="1:45" s="32" customFormat="1" ht="69.95" hidden="1" customHeight="1">
      <c r="A1796" s="29" t="s">
        <v>8661</v>
      </c>
      <c r="B1796" s="29" t="s">
        <v>8652</v>
      </c>
      <c r="C1796" s="69" t="s">
        <v>41</v>
      </c>
      <c r="D1796" s="69" t="s">
        <v>9398</v>
      </c>
      <c r="E1796" s="57" t="s">
        <v>8159</v>
      </c>
      <c r="F1796" s="121" t="s">
        <v>9399</v>
      </c>
      <c r="G1796" s="29" t="s">
        <v>8152</v>
      </c>
      <c r="H1796" s="29"/>
      <c r="I1796" s="29"/>
      <c r="J1796" s="29">
        <f t="shared" si="132"/>
        <v>1</v>
      </c>
      <c r="K1796" s="42">
        <v>1782</v>
      </c>
      <c r="L1796" s="43" t="s">
        <v>8259</v>
      </c>
      <c r="M1796" s="128" t="s">
        <v>417</v>
      </c>
      <c r="N1796" s="44" t="s">
        <v>7978</v>
      </c>
      <c r="O1796" s="126" t="str">
        <f t="shared" si="138"/>
        <v>PE-M1-1C240-08</v>
      </c>
      <c r="P1796" s="51" t="s">
        <v>1613</v>
      </c>
      <c r="Q1796" s="43">
        <v>1400</v>
      </c>
      <c r="R1796" s="43" t="s">
        <v>49</v>
      </c>
      <c r="S1796" s="43">
        <v>60</v>
      </c>
      <c r="T1796" s="46" t="s">
        <v>7981</v>
      </c>
      <c r="U1796" s="47" t="s">
        <v>8181</v>
      </c>
      <c r="V1796" s="46" t="s">
        <v>8687</v>
      </c>
      <c r="W1796" s="46" t="s">
        <v>8688</v>
      </c>
      <c r="X1796" s="47" t="s">
        <v>305</v>
      </c>
      <c r="Y1796" s="46" t="s">
        <v>6328</v>
      </c>
      <c r="Z1796" s="43" t="s">
        <v>8182</v>
      </c>
      <c r="AA1796" s="46" t="s">
        <v>3968</v>
      </c>
      <c r="AB1796" s="47" t="s">
        <v>308</v>
      </c>
      <c r="AC1796" s="52" t="s">
        <v>8184</v>
      </c>
      <c r="AD1796" s="30"/>
      <c r="AE1796" s="192">
        <v>1</v>
      </c>
      <c r="AF1796" s="100" t="s">
        <v>8822</v>
      </c>
      <c r="AG1796" s="100" t="s">
        <v>8932</v>
      </c>
      <c r="AH1796" s="111">
        <v>33</v>
      </c>
      <c r="AK1796" s="241">
        <v>1</v>
      </c>
      <c r="AL1796" s="241" t="s">
        <v>9576</v>
      </c>
      <c r="AM1796" s="241">
        <v>1</v>
      </c>
      <c r="AN1796" s="241">
        <v>1</v>
      </c>
      <c r="AO1796" s="241" t="s">
        <v>9576</v>
      </c>
      <c r="AP1796" s="241">
        <v>1</v>
      </c>
      <c r="AR1796" s="241">
        <v>2</v>
      </c>
      <c r="AS1796" s="241" t="s">
        <v>9582</v>
      </c>
    </row>
    <row r="1797" spans="1:45" s="32" customFormat="1" ht="69.95" hidden="1" customHeight="1">
      <c r="A1797" s="29" t="s">
        <v>8661</v>
      </c>
      <c r="B1797" s="29" t="s">
        <v>8652</v>
      </c>
      <c r="C1797" s="69" t="s">
        <v>42</v>
      </c>
      <c r="D1797" s="69" t="s">
        <v>9398</v>
      </c>
      <c r="E1797" s="57" t="s">
        <v>8159</v>
      </c>
      <c r="F1797" s="121" t="s">
        <v>9401</v>
      </c>
      <c r="G1797" s="29" t="s">
        <v>8152</v>
      </c>
      <c r="H1797" s="29"/>
      <c r="I1797" s="29"/>
      <c r="J1797" s="29">
        <f t="shared" si="132"/>
        <v>1</v>
      </c>
      <c r="K1797" s="42">
        <v>1783</v>
      </c>
      <c r="L1797" s="43" t="s">
        <v>8260</v>
      </c>
      <c r="M1797" s="128" t="s">
        <v>417</v>
      </c>
      <c r="N1797" s="44" t="s">
        <v>7978</v>
      </c>
      <c r="O1797" s="126" t="str">
        <f t="shared" si="138"/>
        <v>PE-M1-1C240-09</v>
      </c>
      <c r="P1797" s="51" t="s">
        <v>1613</v>
      </c>
      <c r="Q1797" s="43">
        <v>1400</v>
      </c>
      <c r="R1797" s="43" t="s">
        <v>49</v>
      </c>
      <c r="S1797" s="43">
        <v>60</v>
      </c>
      <c r="T1797" s="46" t="s">
        <v>7981</v>
      </c>
      <c r="U1797" s="47" t="s">
        <v>8181</v>
      </c>
      <c r="V1797" s="46" t="s">
        <v>8687</v>
      </c>
      <c r="W1797" s="46" t="s">
        <v>8688</v>
      </c>
      <c r="X1797" s="47" t="s">
        <v>306</v>
      </c>
      <c r="Y1797" s="46" t="s">
        <v>6328</v>
      </c>
      <c r="Z1797" s="43" t="s">
        <v>8182</v>
      </c>
      <c r="AA1797" s="46" t="s">
        <v>3968</v>
      </c>
      <c r="AB1797" s="47" t="s">
        <v>309</v>
      </c>
      <c r="AC1797" s="52" t="s">
        <v>8184</v>
      </c>
      <c r="AD1797" s="30"/>
      <c r="AE1797" s="192">
        <v>1</v>
      </c>
      <c r="AF1797" s="100" t="s">
        <v>8822</v>
      </c>
      <c r="AG1797" s="100" t="s">
        <v>8932</v>
      </c>
      <c r="AH1797" s="111">
        <v>33</v>
      </c>
      <c r="AK1797" s="241">
        <v>1</v>
      </c>
      <c r="AL1797" s="241" t="s">
        <v>9576</v>
      </c>
      <c r="AM1797" s="241">
        <v>1</v>
      </c>
      <c r="AN1797" s="241">
        <v>1</v>
      </c>
      <c r="AO1797" s="241" t="s">
        <v>9576</v>
      </c>
      <c r="AP1797" s="241">
        <v>1</v>
      </c>
      <c r="AR1797" s="241">
        <v>2</v>
      </c>
      <c r="AS1797" s="241" t="s">
        <v>9582</v>
      </c>
    </row>
    <row r="1798" spans="1:45" s="32" customFormat="1" ht="69.95" hidden="1" customHeight="1">
      <c r="A1798" s="29" t="s">
        <v>8661</v>
      </c>
      <c r="B1798" s="29" t="s">
        <v>8652</v>
      </c>
      <c r="C1798" s="69" t="s">
        <v>43</v>
      </c>
      <c r="D1798" s="69" t="s">
        <v>9398</v>
      </c>
      <c r="E1798" s="57" t="s">
        <v>8159</v>
      </c>
      <c r="F1798" s="121" t="s">
        <v>9401</v>
      </c>
      <c r="G1798" s="29" t="s">
        <v>8152</v>
      </c>
      <c r="H1798" s="29"/>
      <c r="I1798" s="29"/>
      <c r="J1798" s="29">
        <f t="shared" si="132"/>
        <v>1</v>
      </c>
      <c r="K1798" s="42">
        <v>1784</v>
      </c>
      <c r="L1798" s="43" t="s">
        <v>8261</v>
      </c>
      <c r="M1798" s="128" t="s">
        <v>417</v>
      </c>
      <c r="N1798" s="44" t="s">
        <v>7978</v>
      </c>
      <c r="O1798" s="126" t="str">
        <f t="shared" si="138"/>
        <v>PE-M1-1C240-09</v>
      </c>
      <c r="P1798" s="51" t="s">
        <v>1613</v>
      </c>
      <c r="Q1798" s="43">
        <v>1400</v>
      </c>
      <c r="R1798" s="43" t="s">
        <v>49</v>
      </c>
      <c r="S1798" s="43">
        <v>60</v>
      </c>
      <c r="T1798" s="46" t="s">
        <v>7981</v>
      </c>
      <c r="U1798" s="47" t="s">
        <v>8181</v>
      </c>
      <c r="V1798" s="46" t="s">
        <v>8687</v>
      </c>
      <c r="W1798" s="46" t="s">
        <v>8688</v>
      </c>
      <c r="X1798" s="47" t="s">
        <v>304</v>
      </c>
      <c r="Y1798" s="46" t="s">
        <v>6328</v>
      </c>
      <c r="Z1798" s="43" t="s">
        <v>8182</v>
      </c>
      <c r="AA1798" s="46" t="s">
        <v>3968</v>
      </c>
      <c r="AB1798" s="47" t="s">
        <v>307</v>
      </c>
      <c r="AC1798" s="52" t="s">
        <v>8185</v>
      </c>
      <c r="AD1798" s="30"/>
      <c r="AE1798" s="192">
        <v>1</v>
      </c>
      <c r="AF1798" s="100" t="s">
        <v>8822</v>
      </c>
      <c r="AG1798" s="100" t="s">
        <v>8932</v>
      </c>
      <c r="AH1798" s="111">
        <v>33</v>
      </c>
      <c r="AK1798" s="241">
        <v>1</v>
      </c>
      <c r="AL1798" s="241" t="s">
        <v>9576</v>
      </c>
      <c r="AM1798" s="241">
        <v>1</v>
      </c>
      <c r="AN1798" s="241">
        <v>1</v>
      </c>
      <c r="AO1798" s="241" t="s">
        <v>9576</v>
      </c>
      <c r="AP1798" s="241">
        <v>1</v>
      </c>
      <c r="AR1798" s="241">
        <v>2</v>
      </c>
      <c r="AS1798" s="241" t="s">
        <v>9582</v>
      </c>
    </row>
    <row r="1799" spans="1:45" s="32" customFormat="1" ht="69.95" hidden="1" customHeight="1">
      <c r="A1799" s="29" t="s">
        <v>8661</v>
      </c>
      <c r="B1799" s="29" t="s">
        <v>8652</v>
      </c>
      <c r="C1799" s="69" t="s">
        <v>73</v>
      </c>
      <c r="D1799" s="69" t="s">
        <v>9398</v>
      </c>
      <c r="E1799" s="57" t="s">
        <v>8159</v>
      </c>
      <c r="F1799" s="121" t="s">
        <v>9401</v>
      </c>
      <c r="G1799" s="29" t="s">
        <v>8152</v>
      </c>
      <c r="H1799" s="29"/>
      <c r="I1799" s="29"/>
      <c r="J1799" s="29">
        <f t="shared" si="132"/>
        <v>1</v>
      </c>
      <c r="K1799" s="42">
        <v>1785</v>
      </c>
      <c r="L1799" s="43" t="s">
        <v>8262</v>
      </c>
      <c r="M1799" s="128" t="s">
        <v>417</v>
      </c>
      <c r="N1799" s="44" t="s">
        <v>7978</v>
      </c>
      <c r="O1799" s="126" t="str">
        <f t="shared" si="138"/>
        <v>PE-M1-1C240-09</v>
      </c>
      <c r="P1799" s="51" t="s">
        <v>1613</v>
      </c>
      <c r="Q1799" s="43">
        <v>1400</v>
      </c>
      <c r="R1799" s="43" t="s">
        <v>49</v>
      </c>
      <c r="S1799" s="43">
        <v>60</v>
      </c>
      <c r="T1799" s="46" t="s">
        <v>7981</v>
      </c>
      <c r="U1799" s="47" t="s">
        <v>8181</v>
      </c>
      <c r="V1799" s="46" t="s">
        <v>8687</v>
      </c>
      <c r="W1799" s="46" t="s">
        <v>8688</v>
      </c>
      <c r="X1799" s="47" t="s">
        <v>305</v>
      </c>
      <c r="Y1799" s="46" t="s">
        <v>6328</v>
      </c>
      <c r="Z1799" s="43" t="s">
        <v>8182</v>
      </c>
      <c r="AA1799" s="46" t="s">
        <v>3968</v>
      </c>
      <c r="AB1799" s="47" t="s">
        <v>308</v>
      </c>
      <c r="AC1799" s="52" t="s">
        <v>8185</v>
      </c>
      <c r="AD1799" s="30"/>
      <c r="AE1799" s="192">
        <v>1</v>
      </c>
      <c r="AF1799" s="100" t="s">
        <v>8822</v>
      </c>
      <c r="AG1799" s="100" t="s">
        <v>8932</v>
      </c>
      <c r="AH1799" s="111">
        <v>33</v>
      </c>
      <c r="AK1799" s="241">
        <v>1</v>
      </c>
      <c r="AL1799" s="241" t="s">
        <v>9576</v>
      </c>
      <c r="AM1799" s="241">
        <v>1</v>
      </c>
      <c r="AN1799" s="241">
        <v>1</v>
      </c>
      <c r="AO1799" s="241" t="s">
        <v>9576</v>
      </c>
      <c r="AP1799" s="241">
        <v>1</v>
      </c>
      <c r="AR1799" s="241">
        <v>2</v>
      </c>
      <c r="AS1799" s="241" t="s">
        <v>9582</v>
      </c>
    </row>
    <row r="1800" spans="1:45" s="32" customFormat="1" ht="69.95" hidden="1" customHeight="1">
      <c r="A1800" s="29" t="s">
        <v>8661</v>
      </c>
      <c r="B1800" s="29" t="s">
        <v>8652</v>
      </c>
      <c r="C1800" s="69" t="s">
        <v>75</v>
      </c>
      <c r="D1800" s="69" t="s">
        <v>9398</v>
      </c>
      <c r="E1800" s="57" t="s">
        <v>8159</v>
      </c>
      <c r="F1800" s="121" t="s">
        <v>9401</v>
      </c>
      <c r="G1800" s="29" t="s">
        <v>8152</v>
      </c>
      <c r="H1800" s="29"/>
      <c r="I1800" s="29"/>
      <c r="J1800" s="29">
        <f t="shared" ref="J1800:J1863" si="139">COUNTIF(L:L,L1800)</f>
        <v>1</v>
      </c>
      <c r="K1800" s="42">
        <v>1786</v>
      </c>
      <c r="L1800" s="43" t="s">
        <v>8263</v>
      </c>
      <c r="M1800" s="128" t="s">
        <v>417</v>
      </c>
      <c r="N1800" s="44" t="s">
        <v>7978</v>
      </c>
      <c r="O1800" s="126" t="str">
        <f t="shared" si="138"/>
        <v>PE-M1-1C240-09</v>
      </c>
      <c r="P1800" s="51" t="s">
        <v>1613</v>
      </c>
      <c r="Q1800" s="43">
        <v>1400</v>
      </c>
      <c r="R1800" s="43" t="s">
        <v>49</v>
      </c>
      <c r="S1800" s="43">
        <v>60</v>
      </c>
      <c r="T1800" s="46" t="s">
        <v>7981</v>
      </c>
      <c r="U1800" s="47" t="s">
        <v>8181</v>
      </c>
      <c r="V1800" s="46" t="s">
        <v>8687</v>
      </c>
      <c r="W1800" s="46" t="s">
        <v>8688</v>
      </c>
      <c r="X1800" s="47" t="s">
        <v>306</v>
      </c>
      <c r="Y1800" s="46" t="s">
        <v>6328</v>
      </c>
      <c r="Z1800" s="43" t="s">
        <v>8182</v>
      </c>
      <c r="AA1800" s="46" t="s">
        <v>3968</v>
      </c>
      <c r="AB1800" s="47" t="s">
        <v>309</v>
      </c>
      <c r="AC1800" s="52" t="s">
        <v>8185</v>
      </c>
      <c r="AD1800" s="30"/>
      <c r="AE1800" s="192">
        <v>1</v>
      </c>
      <c r="AF1800" s="100" t="s">
        <v>8822</v>
      </c>
      <c r="AG1800" s="100" t="s">
        <v>8932</v>
      </c>
      <c r="AH1800" s="111">
        <v>33</v>
      </c>
      <c r="AK1800" s="241">
        <v>1</v>
      </c>
      <c r="AL1800" s="241" t="s">
        <v>9576</v>
      </c>
      <c r="AM1800" s="241">
        <v>1</v>
      </c>
      <c r="AN1800" s="241">
        <v>1</v>
      </c>
      <c r="AO1800" s="241" t="s">
        <v>9576</v>
      </c>
      <c r="AP1800" s="241">
        <v>1</v>
      </c>
      <c r="AR1800" s="241">
        <v>2</v>
      </c>
      <c r="AS1800" s="241" t="s">
        <v>9582</v>
      </c>
    </row>
    <row r="1801" spans="1:45" s="32" customFormat="1" ht="69.95" hidden="1" customHeight="1">
      <c r="A1801" s="29" t="s">
        <v>8662</v>
      </c>
      <c r="B1801" s="29" t="s">
        <v>8652</v>
      </c>
      <c r="C1801" s="69" t="s">
        <v>32</v>
      </c>
      <c r="D1801" s="124" t="s">
        <v>9446</v>
      </c>
      <c r="E1801" s="57" t="s">
        <v>8159</v>
      </c>
      <c r="F1801" s="121" t="s">
        <v>9401</v>
      </c>
      <c r="G1801" s="29" t="s">
        <v>3467</v>
      </c>
      <c r="H1801" s="29"/>
      <c r="I1801" s="124" t="s">
        <v>9400</v>
      </c>
      <c r="J1801" s="29">
        <f t="shared" si="139"/>
        <v>1</v>
      </c>
      <c r="K1801" s="42">
        <v>1787</v>
      </c>
      <c r="L1801" s="43" t="s">
        <v>8983</v>
      </c>
      <c r="M1801" s="128" t="s">
        <v>417</v>
      </c>
      <c r="N1801" s="44" t="s">
        <v>7978</v>
      </c>
      <c r="O1801" s="137" t="str">
        <f t="shared" si="138"/>
        <v>PE-M1-1C240-09</v>
      </c>
      <c r="P1801" s="45" t="s">
        <v>1613</v>
      </c>
      <c r="Q1801" s="44">
        <v>1400</v>
      </c>
      <c r="R1801" s="44" t="s">
        <v>49</v>
      </c>
      <c r="S1801" s="126">
        <v>35</v>
      </c>
      <c r="T1801" s="46" t="s">
        <v>7981</v>
      </c>
      <c r="U1801" s="47" t="s">
        <v>8193</v>
      </c>
      <c r="V1801" s="46" t="s">
        <v>8689</v>
      </c>
      <c r="W1801" s="70" t="s">
        <v>8194</v>
      </c>
      <c r="X1801" s="47" t="s">
        <v>304</v>
      </c>
      <c r="Y1801" s="47" t="s">
        <v>8195</v>
      </c>
      <c r="Z1801" s="46" t="s">
        <v>8196</v>
      </c>
      <c r="AA1801" s="46" t="s">
        <v>8688</v>
      </c>
      <c r="AB1801" s="47" t="s">
        <v>307</v>
      </c>
      <c r="AC1801" s="52" t="s">
        <v>8197</v>
      </c>
      <c r="AD1801" s="30"/>
      <c r="AE1801" s="192">
        <v>1</v>
      </c>
      <c r="AF1801" s="100" t="s">
        <v>8822</v>
      </c>
      <c r="AG1801" s="100" t="s">
        <v>8932</v>
      </c>
      <c r="AH1801" s="111">
        <v>33</v>
      </c>
      <c r="AK1801" s="241">
        <v>1</v>
      </c>
      <c r="AL1801" s="241" t="s">
        <v>9578</v>
      </c>
      <c r="AM1801" s="241">
        <v>2</v>
      </c>
      <c r="AN1801" s="241">
        <v>1</v>
      </c>
      <c r="AO1801" s="241" t="s">
        <v>9576</v>
      </c>
      <c r="AP1801" s="241">
        <v>1</v>
      </c>
      <c r="AR1801" s="241">
        <v>2</v>
      </c>
      <c r="AS1801" s="241" t="s">
        <v>9582</v>
      </c>
    </row>
    <row r="1802" spans="1:45" s="32" customFormat="1" ht="69.95" hidden="1" customHeight="1">
      <c r="A1802" s="29" t="s">
        <v>8662</v>
      </c>
      <c r="B1802" s="29" t="s">
        <v>8652</v>
      </c>
      <c r="C1802" s="69" t="s">
        <v>36</v>
      </c>
      <c r="D1802" s="124" t="s">
        <v>9446</v>
      </c>
      <c r="E1802" s="57" t="s">
        <v>8287</v>
      </c>
      <c r="F1802" s="121" t="s">
        <v>9402</v>
      </c>
      <c r="G1802" s="29" t="s">
        <v>8152</v>
      </c>
      <c r="H1802" s="29"/>
      <c r="I1802" s="124" t="s">
        <v>9400</v>
      </c>
      <c r="J1802" s="29">
        <f t="shared" si="139"/>
        <v>1</v>
      </c>
      <c r="K1802" s="42">
        <v>1788</v>
      </c>
      <c r="L1802" s="43" t="s">
        <v>8984</v>
      </c>
      <c r="M1802" s="128" t="s">
        <v>417</v>
      </c>
      <c r="N1802" s="44" t="s">
        <v>7978</v>
      </c>
      <c r="O1802" s="137" t="str">
        <f t="shared" si="138"/>
        <v>PE-M1-1C240-10</v>
      </c>
      <c r="P1802" s="51" t="s">
        <v>1613</v>
      </c>
      <c r="Q1802" s="43">
        <v>1400</v>
      </c>
      <c r="R1802" s="43" t="s">
        <v>49</v>
      </c>
      <c r="S1802" s="126">
        <v>35</v>
      </c>
      <c r="T1802" s="46" t="s">
        <v>7981</v>
      </c>
      <c r="U1802" s="47" t="s">
        <v>8193</v>
      </c>
      <c r="V1802" s="46" t="s">
        <v>8689</v>
      </c>
      <c r="W1802" s="70" t="s">
        <v>8194</v>
      </c>
      <c r="X1802" s="47" t="s">
        <v>305</v>
      </c>
      <c r="Y1802" s="47" t="s">
        <v>8195</v>
      </c>
      <c r="Z1802" s="46" t="s">
        <v>8196</v>
      </c>
      <c r="AA1802" s="46" t="s">
        <v>8688</v>
      </c>
      <c r="AB1802" s="47" t="s">
        <v>308</v>
      </c>
      <c r="AC1802" s="52" t="s">
        <v>8197</v>
      </c>
      <c r="AD1802" s="30"/>
      <c r="AE1802" s="192">
        <v>1</v>
      </c>
      <c r="AF1802" s="100" t="s">
        <v>8822</v>
      </c>
      <c r="AG1802" s="100" t="s">
        <v>8932</v>
      </c>
      <c r="AH1802" s="111">
        <v>33</v>
      </c>
      <c r="AK1802" s="241">
        <v>1</v>
      </c>
      <c r="AL1802" s="241" t="s">
        <v>9578</v>
      </c>
      <c r="AM1802" s="241">
        <v>2</v>
      </c>
      <c r="AN1802" s="241">
        <v>1</v>
      </c>
      <c r="AO1802" s="241" t="s">
        <v>9576</v>
      </c>
      <c r="AP1802" s="241">
        <v>1</v>
      </c>
      <c r="AR1802" s="241">
        <v>2</v>
      </c>
      <c r="AS1802" s="241" t="s">
        <v>9582</v>
      </c>
    </row>
    <row r="1803" spans="1:45" s="32" customFormat="1" ht="69.95" hidden="1" customHeight="1">
      <c r="A1803" s="29" t="s">
        <v>8662</v>
      </c>
      <c r="B1803" s="29" t="s">
        <v>8652</v>
      </c>
      <c r="C1803" s="69" t="s">
        <v>38</v>
      </c>
      <c r="D1803" s="124" t="s">
        <v>9446</v>
      </c>
      <c r="E1803" s="57" t="s">
        <v>8287</v>
      </c>
      <c r="F1803" s="121" t="s">
        <v>9402</v>
      </c>
      <c r="G1803" s="29" t="s">
        <v>8152</v>
      </c>
      <c r="H1803" s="29"/>
      <c r="I1803" s="124" t="s">
        <v>9400</v>
      </c>
      <c r="J1803" s="29">
        <f t="shared" si="139"/>
        <v>1</v>
      </c>
      <c r="K1803" s="42">
        <v>1789</v>
      </c>
      <c r="L1803" s="43" t="s">
        <v>8985</v>
      </c>
      <c r="M1803" s="128" t="s">
        <v>417</v>
      </c>
      <c r="N1803" s="44" t="s">
        <v>7978</v>
      </c>
      <c r="O1803" s="137" t="str">
        <f t="shared" si="138"/>
        <v>PE-M1-1C240-10</v>
      </c>
      <c r="P1803" s="51" t="s">
        <v>1613</v>
      </c>
      <c r="Q1803" s="43">
        <v>1400</v>
      </c>
      <c r="R1803" s="43" t="s">
        <v>49</v>
      </c>
      <c r="S1803" s="126">
        <v>35</v>
      </c>
      <c r="T1803" s="46" t="s">
        <v>7981</v>
      </c>
      <c r="U1803" s="47" t="s">
        <v>8193</v>
      </c>
      <c r="V1803" s="46" t="s">
        <v>8689</v>
      </c>
      <c r="W1803" s="70" t="s">
        <v>8194</v>
      </c>
      <c r="X1803" s="47" t="s">
        <v>306</v>
      </c>
      <c r="Y1803" s="47" t="s">
        <v>8195</v>
      </c>
      <c r="Z1803" s="46" t="s">
        <v>8196</v>
      </c>
      <c r="AA1803" s="46" t="s">
        <v>8688</v>
      </c>
      <c r="AB1803" s="47" t="s">
        <v>309</v>
      </c>
      <c r="AC1803" s="52" t="s">
        <v>8197</v>
      </c>
      <c r="AD1803" s="30"/>
      <c r="AE1803" s="192">
        <v>1</v>
      </c>
      <c r="AF1803" s="100" t="s">
        <v>8822</v>
      </c>
      <c r="AG1803" s="100" t="s">
        <v>8932</v>
      </c>
      <c r="AH1803" s="111">
        <v>33</v>
      </c>
      <c r="AK1803" s="241">
        <v>1</v>
      </c>
      <c r="AL1803" s="241" t="s">
        <v>9578</v>
      </c>
      <c r="AM1803" s="241">
        <v>2</v>
      </c>
      <c r="AN1803" s="241">
        <v>1</v>
      </c>
      <c r="AO1803" s="241" t="s">
        <v>9576</v>
      </c>
      <c r="AP1803" s="241">
        <v>1</v>
      </c>
      <c r="AR1803" s="241">
        <v>2</v>
      </c>
      <c r="AS1803" s="241" t="s">
        <v>9582</v>
      </c>
    </row>
    <row r="1804" spans="1:45" s="32" customFormat="1" ht="69.95" hidden="1" customHeight="1">
      <c r="A1804" s="29" t="s">
        <v>8662</v>
      </c>
      <c r="B1804" s="29" t="s">
        <v>8652</v>
      </c>
      <c r="C1804" s="69" t="s">
        <v>40</v>
      </c>
      <c r="D1804" s="124" t="s">
        <v>9446</v>
      </c>
      <c r="E1804" s="57" t="s">
        <v>8287</v>
      </c>
      <c r="F1804" s="121" t="s">
        <v>9402</v>
      </c>
      <c r="G1804" s="29" t="s">
        <v>8152</v>
      </c>
      <c r="H1804" s="29"/>
      <c r="I1804" s="124" t="s">
        <v>9400</v>
      </c>
      <c r="J1804" s="29">
        <f t="shared" si="139"/>
        <v>1</v>
      </c>
      <c r="K1804" s="42">
        <v>1790</v>
      </c>
      <c r="L1804" s="43" t="s">
        <v>8986</v>
      </c>
      <c r="M1804" s="128" t="s">
        <v>417</v>
      </c>
      <c r="N1804" s="44" t="s">
        <v>7978</v>
      </c>
      <c r="O1804" s="137" t="str">
        <f t="shared" si="138"/>
        <v>PE-M1-1C240-10</v>
      </c>
      <c r="P1804" s="51" t="s">
        <v>1613</v>
      </c>
      <c r="Q1804" s="43">
        <v>1400</v>
      </c>
      <c r="R1804" s="43" t="s">
        <v>49</v>
      </c>
      <c r="S1804" s="126">
        <v>35</v>
      </c>
      <c r="T1804" s="46" t="s">
        <v>7981</v>
      </c>
      <c r="U1804" s="47" t="s">
        <v>8193</v>
      </c>
      <c r="V1804" s="46" t="s">
        <v>8689</v>
      </c>
      <c r="W1804" s="70" t="s">
        <v>8194</v>
      </c>
      <c r="X1804" s="47" t="s">
        <v>304</v>
      </c>
      <c r="Y1804" s="47" t="s">
        <v>8195</v>
      </c>
      <c r="Z1804" s="46" t="s">
        <v>8196</v>
      </c>
      <c r="AA1804" s="46" t="s">
        <v>8688</v>
      </c>
      <c r="AB1804" s="47" t="s">
        <v>307</v>
      </c>
      <c r="AC1804" s="52" t="s">
        <v>8198</v>
      </c>
      <c r="AD1804" s="30"/>
      <c r="AE1804" s="192">
        <v>1</v>
      </c>
      <c r="AF1804" s="100" t="s">
        <v>8822</v>
      </c>
      <c r="AG1804" s="100" t="s">
        <v>8932</v>
      </c>
      <c r="AH1804" s="111">
        <v>33</v>
      </c>
      <c r="AK1804" s="241">
        <v>1</v>
      </c>
      <c r="AL1804" s="241" t="s">
        <v>9578</v>
      </c>
      <c r="AM1804" s="241">
        <v>2</v>
      </c>
      <c r="AN1804" s="241">
        <v>1</v>
      </c>
      <c r="AO1804" s="241" t="s">
        <v>9576</v>
      </c>
      <c r="AP1804" s="241">
        <v>1</v>
      </c>
      <c r="AR1804" s="241">
        <v>2</v>
      </c>
      <c r="AS1804" s="241" t="s">
        <v>9582</v>
      </c>
    </row>
    <row r="1805" spans="1:45" s="32" customFormat="1" ht="69.95" hidden="1" customHeight="1">
      <c r="A1805" s="29" t="s">
        <v>8662</v>
      </c>
      <c r="B1805" s="29" t="s">
        <v>8652</v>
      </c>
      <c r="C1805" s="69" t="s">
        <v>41</v>
      </c>
      <c r="D1805" s="124" t="s">
        <v>9446</v>
      </c>
      <c r="E1805" s="57" t="s">
        <v>8287</v>
      </c>
      <c r="F1805" s="121" t="s">
        <v>9402</v>
      </c>
      <c r="G1805" s="29" t="s">
        <v>8152</v>
      </c>
      <c r="H1805" s="29"/>
      <c r="I1805" s="124" t="s">
        <v>9400</v>
      </c>
      <c r="J1805" s="29">
        <f t="shared" si="139"/>
        <v>1</v>
      </c>
      <c r="K1805" s="42">
        <v>1791</v>
      </c>
      <c r="L1805" s="43" t="s">
        <v>8987</v>
      </c>
      <c r="M1805" s="128" t="s">
        <v>417</v>
      </c>
      <c r="N1805" s="44" t="s">
        <v>7978</v>
      </c>
      <c r="O1805" s="137" t="str">
        <f t="shared" si="138"/>
        <v>PE-M1-1C240-10</v>
      </c>
      <c r="P1805" s="51" t="s">
        <v>1613</v>
      </c>
      <c r="Q1805" s="43">
        <v>1400</v>
      </c>
      <c r="R1805" s="43" t="s">
        <v>49</v>
      </c>
      <c r="S1805" s="126">
        <v>35</v>
      </c>
      <c r="T1805" s="46" t="s">
        <v>7981</v>
      </c>
      <c r="U1805" s="47" t="s">
        <v>8193</v>
      </c>
      <c r="V1805" s="46" t="s">
        <v>8689</v>
      </c>
      <c r="W1805" s="70" t="s">
        <v>8194</v>
      </c>
      <c r="X1805" s="47" t="s">
        <v>305</v>
      </c>
      <c r="Y1805" s="47" t="s">
        <v>8195</v>
      </c>
      <c r="Z1805" s="46" t="s">
        <v>8196</v>
      </c>
      <c r="AA1805" s="46" t="s">
        <v>8688</v>
      </c>
      <c r="AB1805" s="47" t="s">
        <v>308</v>
      </c>
      <c r="AC1805" s="52" t="s">
        <v>8198</v>
      </c>
      <c r="AD1805" s="30"/>
      <c r="AE1805" s="192">
        <v>1</v>
      </c>
      <c r="AF1805" s="100" t="s">
        <v>8822</v>
      </c>
      <c r="AG1805" s="100" t="s">
        <v>8932</v>
      </c>
      <c r="AH1805" s="111">
        <v>33</v>
      </c>
      <c r="AK1805" s="241">
        <v>1</v>
      </c>
      <c r="AL1805" s="241" t="s">
        <v>9578</v>
      </c>
      <c r="AM1805" s="241">
        <v>2</v>
      </c>
      <c r="AN1805" s="241">
        <v>1</v>
      </c>
      <c r="AO1805" s="241" t="s">
        <v>9576</v>
      </c>
      <c r="AP1805" s="241">
        <v>1</v>
      </c>
      <c r="AR1805" s="241">
        <v>2</v>
      </c>
      <c r="AS1805" s="241" t="s">
        <v>9582</v>
      </c>
    </row>
    <row r="1806" spans="1:45" s="32" customFormat="1" ht="69.95" hidden="1" customHeight="1">
      <c r="A1806" s="29" t="s">
        <v>8662</v>
      </c>
      <c r="B1806" s="29" t="s">
        <v>8652</v>
      </c>
      <c r="C1806" s="69" t="s">
        <v>42</v>
      </c>
      <c r="D1806" s="124" t="s">
        <v>9446</v>
      </c>
      <c r="E1806" s="57" t="s">
        <v>8287</v>
      </c>
      <c r="F1806" s="121" t="s">
        <v>9402</v>
      </c>
      <c r="G1806" s="29" t="s">
        <v>8152</v>
      </c>
      <c r="H1806" s="29"/>
      <c r="I1806" s="124" t="s">
        <v>9400</v>
      </c>
      <c r="J1806" s="29">
        <f t="shared" si="139"/>
        <v>1</v>
      </c>
      <c r="K1806" s="42">
        <v>1792</v>
      </c>
      <c r="L1806" s="43" t="s">
        <v>8988</v>
      </c>
      <c r="M1806" s="128" t="s">
        <v>417</v>
      </c>
      <c r="N1806" s="44" t="s">
        <v>7978</v>
      </c>
      <c r="O1806" s="137" t="str">
        <f t="shared" si="138"/>
        <v>PE-M1-1C240-10</v>
      </c>
      <c r="P1806" s="51" t="s">
        <v>1613</v>
      </c>
      <c r="Q1806" s="43">
        <v>1400</v>
      </c>
      <c r="R1806" s="43" t="s">
        <v>49</v>
      </c>
      <c r="S1806" s="126">
        <v>35</v>
      </c>
      <c r="T1806" s="46" t="s">
        <v>7981</v>
      </c>
      <c r="U1806" s="47" t="s">
        <v>8193</v>
      </c>
      <c r="V1806" s="46" t="s">
        <v>8689</v>
      </c>
      <c r="W1806" s="70" t="s">
        <v>8194</v>
      </c>
      <c r="X1806" s="47" t="s">
        <v>306</v>
      </c>
      <c r="Y1806" s="47" t="s">
        <v>8195</v>
      </c>
      <c r="Z1806" s="46" t="s">
        <v>8196</v>
      </c>
      <c r="AA1806" s="46" t="s">
        <v>8688</v>
      </c>
      <c r="AB1806" s="47" t="s">
        <v>309</v>
      </c>
      <c r="AC1806" s="52" t="s">
        <v>8198</v>
      </c>
      <c r="AD1806" s="30"/>
      <c r="AE1806" s="192">
        <v>1</v>
      </c>
      <c r="AF1806" s="100" t="s">
        <v>8822</v>
      </c>
      <c r="AG1806" s="100" t="s">
        <v>8932</v>
      </c>
      <c r="AH1806" s="111">
        <v>33</v>
      </c>
      <c r="AK1806" s="241">
        <v>1</v>
      </c>
      <c r="AL1806" s="241" t="s">
        <v>9578</v>
      </c>
      <c r="AM1806" s="241">
        <v>2</v>
      </c>
      <c r="AN1806" s="241">
        <v>1</v>
      </c>
      <c r="AO1806" s="241" t="s">
        <v>9576</v>
      </c>
      <c r="AP1806" s="241">
        <v>1</v>
      </c>
      <c r="AR1806" s="241">
        <v>2</v>
      </c>
      <c r="AS1806" s="241" t="s">
        <v>9582</v>
      </c>
    </row>
    <row r="1807" spans="1:45" s="32" customFormat="1" ht="69.95" hidden="1" customHeight="1">
      <c r="A1807" s="29" t="s">
        <v>8662</v>
      </c>
      <c r="B1807" s="29" t="s">
        <v>8652</v>
      </c>
      <c r="C1807" s="69" t="s">
        <v>43</v>
      </c>
      <c r="D1807" s="124" t="s">
        <v>9446</v>
      </c>
      <c r="E1807" s="57" t="s">
        <v>8287</v>
      </c>
      <c r="F1807" s="121" t="s">
        <v>9402</v>
      </c>
      <c r="G1807" s="29" t="s">
        <v>8152</v>
      </c>
      <c r="H1807" s="29"/>
      <c r="I1807" s="124" t="s">
        <v>9400</v>
      </c>
      <c r="J1807" s="29">
        <f t="shared" si="139"/>
        <v>1</v>
      </c>
      <c r="K1807" s="42">
        <v>1793</v>
      </c>
      <c r="L1807" s="43" t="s">
        <v>8989</v>
      </c>
      <c r="M1807" s="128" t="s">
        <v>417</v>
      </c>
      <c r="N1807" s="44" t="s">
        <v>7978</v>
      </c>
      <c r="O1807" s="137" t="str">
        <f t="shared" si="138"/>
        <v>PE-M1-1C240-10</v>
      </c>
      <c r="P1807" s="51" t="s">
        <v>1613</v>
      </c>
      <c r="Q1807" s="43">
        <v>1400</v>
      </c>
      <c r="R1807" s="43" t="s">
        <v>49</v>
      </c>
      <c r="S1807" s="126">
        <v>35</v>
      </c>
      <c r="T1807" s="46" t="s">
        <v>7981</v>
      </c>
      <c r="U1807" s="47" t="s">
        <v>8193</v>
      </c>
      <c r="V1807" s="46" t="s">
        <v>8689</v>
      </c>
      <c r="W1807" s="70" t="s">
        <v>8194</v>
      </c>
      <c r="X1807" s="47" t="s">
        <v>304</v>
      </c>
      <c r="Y1807" s="47" t="s">
        <v>8195</v>
      </c>
      <c r="Z1807" s="46" t="s">
        <v>8196</v>
      </c>
      <c r="AA1807" s="46" t="s">
        <v>8688</v>
      </c>
      <c r="AB1807" s="47" t="s">
        <v>307</v>
      </c>
      <c r="AC1807" s="52" t="s">
        <v>8199</v>
      </c>
      <c r="AD1807" s="30"/>
      <c r="AE1807" s="192">
        <v>1</v>
      </c>
      <c r="AF1807" s="100" t="s">
        <v>8822</v>
      </c>
      <c r="AG1807" s="100" t="s">
        <v>8932</v>
      </c>
      <c r="AH1807" s="111">
        <v>33</v>
      </c>
      <c r="AK1807" s="241">
        <v>1</v>
      </c>
      <c r="AL1807" s="241" t="s">
        <v>9578</v>
      </c>
      <c r="AM1807" s="241">
        <v>2</v>
      </c>
      <c r="AN1807" s="241">
        <v>1</v>
      </c>
      <c r="AO1807" s="241" t="s">
        <v>9576</v>
      </c>
      <c r="AP1807" s="241">
        <v>1</v>
      </c>
      <c r="AR1807" s="241">
        <v>2</v>
      </c>
      <c r="AS1807" s="241" t="s">
        <v>9582</v>
      </c>
    </row>
    <row r="1808" spans="1:45" s="32" customFormat="1" ht="69.95" hidden="1" customHeight="1">
      <c r="A1808" s="29" t="s">
        <v>8662</v>
      </c>
      <c r="B1808" s="29" t="s">
        <v>8652</v>
      </c>
      <c r="C1808" s="69" t="s">
        <v>73</v>
      </c>
      <c r="D1808" s="124" t="s">
        <v>9446</v>
      </c>
      <c r="E1808" s="57" t="s">
        <v>8287</v>
      </c>
      <c r="F1808" s="121" t="s">
        <v>9402</v>
      </c>
      <c r="G1808" s="29" t="s">
        <v>8152</v>
      </c>
      <c r="H1808" s="29"/>
      <c r="I1808" s="124" t="s">
        <v>9400</v>
      </c>
      <c r="J1808" s="29">
        <f t="shared" si="139"/>
        <v>1</v>
      </c>
      <c r="K1808" s="42">
        <v>1794</v>
      </c>
      <c r="L1808" s="43" t="s">
        <v>8990</v>
      </c>
      <c r="M1808" s="128" t="s">
        <v>417</v>
      </c>
      <c r="N1808" s="44" t="s">
        <v>7978</v>
      </c>
      <c r="O1808" s="137" t="str">
        <f t="shared" si="138"/>
        <v>PE-M1-1C240-10</v>
      </c>
      <c r="P1808" s="51" t="s">
        <v>1613</v>
      </c>
      <c r="Q1808" s="43">
        <v>1400</v>
      </c>
      <c r="R1808" s="43" t="s">
        <v>49</v>
      </c>
      <c r="S1808" s="126">
        <v>35</v>
      </c>
      <c r="T1808" s="46" t="s">
        <v>7981</v>
      </c>
      <c r="U1808" s="47" t="s">
        <v>8193</v>
      </c>
      <c r="V1808" s="46" t="s">
        <v>8689</v>
      </c>
      <c r="W1808" s="70" t="s">
        <v>8194</v>
      </c>
      <c r="X1808" s="47" t="s">
        <v>305</v>
      </c>
      <c r="Y1808" s="47" t="s">
        <v>8195</v>
      </c>
      <c r="Z1808" s="46" t="s">
        <v>8196</v>
      </c>
      <c r="AA1808" s="46" t="s">
        <v>8688</v>
      </c>
      <c r="AB1808" s="47" t="s">
        <v>308</v>
      </c>
      <c r="AC1808" s="52" t="s">
        <v>8199</v>
      </c>
      <c r="AD1808" s="30"/>
      <c r="AE1808" s="192">
        <v>1</v>
      </c>
      <c r="AF1808" s="100" t="s">
        <v>8822</v>
      </c>
      <c r="AG1808" s="100" t="s">
        <v>8932</v>
      </c>
      <c r="AH1808" s="111">
        <v>33</v>
      </c>
      <c r="AK1808" s="241">
        <v>1</v>
      </c>
      <c r="AL1808" s="241" t="s">
        <v>9578</v>
      </c>
      <c r="AM1808" s="241">
        <v>2</v>
      </c>
      <c r="AN1808" s="241">
        <v>1</v>
      </c>
      <c r="AO1808" s="241" t="s">
        <v>9576</v>
      </c>
      <c r="AP1808" s="241">
        <v>1</v>
      </c>
      <c r="AR1808" s="241">
        <v>2</v>
      </c>
      <c r="AS1808" s="241" t="s">
        <v>9582</v>
      </c>
    </row>
    <row r="1809" spans="1:46" s="32" customFormat="1" ht="69.95" hidden="1" customHeight="1">
      <c r="A1809" s="29" t="s">
        <v>8662</v>
      </c>
      <c r="B1809" s="29" t="s">
        <v>8652</v>
      </c>
      <c r="C1809" s="69" t="s">
        <v>75</v>
      </c>
      <c r="D1809" s="124" t="s">
        <v>9446</v>
      </c>
      <c r="E1809" s="57" t="s">
        <v>8287</v>
      </c>
      <c r="F1809" s="121" t="s">
        <v>9402</v>
      </c>
      <c r="G1809" s="29" t="s">
        <v>8152</v>
      </c>
      <c r="H1809" s="29"/>
      <c r="I1809" s="124" t="s">
        <v>9400</v>
      </c>
      <c r="J1809" s="29">
        <f t="shared" si="139"/>
        <v>1</v>
      </c>
      <c r="K1809" s="42">
        <v>1795</v>
      </c>
      <c r="L1809" s="43" t="s">
        <v>8192</v>
      </c>
      <c r="M1809" s="128" t="s">
        <v>417</v>
      </c>
      <c r="N1809" s="44" t="s">
        <v>7978</v>
      </c>
      <c r="O1809" s="137" t="str">
        <f t="shared" si="138"/>
        <v>PE-M1-1C240-10</v>
      </c>
      <c r="P1809" s="51" t="s">
        <v>1613</v>
      </c>
      <c r="Q1809" s="43">
        <v>1400</v>
      </c>
      <c r="R1809" s="43" t="s">
        <v>49</v>
      </c>
      <c r="S1809" s="126">
        <v>35</v>
      </c>
      <c r="T1809" s="46" t="s">
        <v>7981</v>
      </c>
      <c r="U1809" s="47" t="s">
        <v>8193</v>
      </c>
      <c r="V1809" s="46" t="s">
        <v>8689</v>
      </c>
      <c r="W1809" s="70" t="s">
        <v>8194</v>
      </c>
      <c r="X1809" s="47" t="s">
        <v>306</v>
      </c>
      <c r="Y1809" s="47" t="s">
        <v>8195</v>
      </c>
      <c r="Z1809" s="46" t="s">
        <v>8196</v>
      </c>
      <c r="AA1809" s="46" t="s">
        <v>8688</v>
      </c>
      <c r="AB1809" s="47" t="s">
        <v>309</v>
      </c>
      <c r="AC1809" s="52" t="s">
        <v>8199</v>
      </c>
      <c r="AD1809" s="30"/>
      <c r="AE1809" s="192">
        <v>1</v>
      </c>
      <c r="AF1809" s="100" t="s">
        <v>8822</v>
      </c>
      <c r="AG1809" s="100" t="s">
        <v>8932</v>
      </c>
      <c r="AH1809" s="111">
        <v>33</v>
      </c>
      <c r="AK1809" s="241">
        <v>1</v>
      </c>
      <c r="AL1809" s="241" t="s">
        <v>9578</v>
      </c>
      <c r="AM1809" s="241">
        <v>2</v>
      </c>
      <c r="AN1809" s="241">
        <v>1</v>
      </c>
      <c r="AO1809" s="241" t="s">
        <v>9576</v>
      </c>
      <c r="AP1809" s="241">
        <v>1</v>
      </c>
      <c r="AR1809" s="241">
        <v>2</v>
      </c>
      <c r="AS1809" s="241" t="s">
        <v>9582</v>
      </c>
      <c r="AT1809" s="32" t="s">
        <v>9589</v>
      </c>
    </row>
    <row r="1810" spans="1:46" s="32" customFormat="1" ht="69.95" hidden="1" customHeight="1">
      <c r="A1810" s="29" t="s">
        <v>8208</v>
      </c>
      <c r="B1810" s="29" t="s">
        <v>3769</v>
      </c>
      <c r="C1810" s="32">
        <v>11</v>
      </c>
      <c r="E1810" s="57" t="s">
        <v>8180</v>
      </c>
      <c r="F1810" s="57" t="s">
        <v>8180</v>
      </c>
      <c r="G1810" s="29" t="s">
        <v>3468</v>
      </c>
      <c r="H1810" s="124" t="s">
        <v>9154</v>
      </c>
      <c r="I1810" s="124" t="s">
        <v>9121</v>
      </c>
      <c r="J1810" s="29">
        <f t="shared" si="139"/>
        <v>1</v>
      </c>
      <c r="K1810" s="42">
        <v>1796</v>
      </c>
      <c r="L1810" s="152" t="s">
        <v>8835</v>
      </c>
      <c r="M1810" s="44" t="s">
        <v>405</v>
      </c>
      <c r="N1810" s="44" t="s">
        <v>7984</v>
      </c>
      <c r="O1810" s="101" t="str">
        <f t="shared" ref="O1810:O1826" si="140">F1810</f>
        <v>PE-L1-3C4-17</v>
      </c>
      <c r="P1810" s="45">
        <v>1.2</v>
      </c>
      <c r="Q1810" s="44">
        <v>230</v>
      </c>
      <c r="R1810" s="44" t="s">
        <v>49</v>
      </c>
      <c r="S1810" s="101">
        <v>40</v>
      </c>
      <c r="T1810" s="46" t="s">
        <v>7981</v>
      </c>
      <c r="U1810" s="46" t="s">
        <v>8208</v>
      </c>
      <c r="V1810" s="46" t="s">
        <v>8686</v>
      </c>
      <c r="W1810" s="46" t="s">
        <v>384</v>
      </c>
      <c r="X1810" s="172" t="s">
        <v>9167</v>
      </c>
      <c r="Y1810" s="47" t="s">
        <v>7454</v>
      </c>
      <c r="Z1810" s="46" t="s">
        <v>7173</v>
      </c>
      <c r="AA1810" s="46" t="s">
        <v>3968</v>
      </c>
      <c r="AB1810" s="172" t="s">
        <v>9167</v>
      </c>
      <c r="AC1810" s="48" t="s">
        <v>7455</v>
      </c>
      <c r="AD1810" s="30"/>
      <c r="AE1810" s="192">
        <v>1</v>
      </c>
      <c r="AF1810" s="100" t="s">
        <v>8722</v>
      </c>
      <c r="AG1810" s="100" t="s">
        <v>8925</v>
      </c>
      <c r="AH1810" s="100">
        <v>13</v>
      </c>
    </row>
    <row r="1811" spans="1:46" s="32" customFormat="1" ht="69.95" hidden="1" customHeight="1">
      <c r="A1811" s="29" t="s">
        <v>7456</v>
      </c>
      <c r="B1811" s="29" t="s">
        <v>3769</v>
      </c>
      <c r="C1811" s="32">
        <v>12</v>
      </c>
      <c r="E1811" s="57" t="s">
        <v>220</v>
      </c>
      <c r="F1811" s="57" t="s">
        <v>220</v>
      </c>
      <c r="G1811" s="29" t="s">
        <v>3469</v>
      </c>
      <c r="H1811" s="29"/>
      <c r="I1811" s="124" t="s">
        <v>9121</v>
      </c>
      <c r="J1811" s="29">
        <f t="shared" si="139"/>
        <v>1</v>
      </c>
      <c r="K1811" s="42">
        <v>1797</v>
      </c>
      <c r="L1811" s="152" t="s">
        <v>3470</v>
      </c>
      <c r="M1811" s="44" t="s">
        <v>405</v>
      </c>
      <c r="N1811" s="44" t="s">
        <v>1972</v>
      </c>
      <c r="O1811" s="101" t="str">
        <f t="shared" si="140"/>
        <v>PE-L1-5C6-01</v>
      </c>
      <c r="P1811" s="45">
        <v>15</v>
      </c>
      <c r="Q1811" s="44">
        <v>400</v>
      </c>
      <c r="R1811" s="44" t="s">
        <v>49</v>
      </c>
      <c r="S1811" s="101">
        <v>165</v>
      </c>
      <c r="T1811" s="46" t="s">
        <v>7981</v>
      </c>
      <c r="U1811" s="46" t="s">
        <v>7456</v>
      </c>
      <c r="V1811" s="46" t="s">
        <v>8686</v>
      </c>
      <c r="W1811" s="46" t="s">
        <v>384</v>
      </c>
      <c r="X1811" s="47" t="s">
        <v>9310</v>
      </c>
      <c r="Y1811" s="47" t="s">
        <v>7457</v>
      </c>
      <c r="Z1811" s="46" t="s">
        <v>7177</v>
      </c>
      <c r="AA1811" s="46" t="s">
        <v>3968</v>
      </c>
      <c r="AB1811" s="47" t="s">
        <v>9310</v>
      </c>
      <c r="AC1811" s="48" t="s">
        <v>7458</v>
      </c>
      <c r="AD1811" s="206" t="s">
        <v>8725</v>
      </c>
      <c r="AE1811" s="192">
        <v>1</v>
      </c>
      <c r="AF1811" s="100" t="s">
        <v>8824</v>
      </c>
      <c r="AG1811" s="100" t="s">
        <v>8931</v>
      </c>
      <c r="AH1811" s="100">
        <v>17</v>
      </c>
    </row>
    <row r="1812" spans="1:46" s="32" customFormat="1" ht="69.95" hidden="1" customHeight="1">
      <c r="A1812" s="29" t="s">
        <v>7459</v>
      </c>
      <c r="B1812" s="29" t="s">
        <v>3769</v>
      </c>
      <c r="C1812" s="32">
        <v>13</v>
      </c>
      <c r="E1812" s="56" t="s">
        <v>220</v>
      </c>
      <c r="F1812" s="56" t="s">
        <v>220</v>
      </c>
      <c r="G1812" s="29" t="s">
        <v>3471</v>
      </c>
      <c r="H1812" s="29"/>
      <c r="I1812" s="124" t="s">
        <v>9121</v>
      </c>
      <c r="J1812" s="29">
        <f t="shared" si="139"/>
        <v>1</v>
      </c>
      <c r="K1812" s="42">
        <v>1798</v>
      </c>
      <c r="L1812" s="152" t="s">
        <v>3472</v>
      </c>
      <c r="M1812" s="44" t="s">
        <v>405</v>
      </c>
      <c r="N1812" s="44" t="s">
        <v>1972</v>
      </c>
      <c r="O1812" s="101" t="str">
        <f t="shared" si="140"/>
        <v>PE-L1-5C6-01</v>
      </c>
      <c r="P1812" s="45">
        <v>11</v>
      </c>
      <c r="Q1812" s="44">
        <v>400</v>
      </c>
      <c r="R1812" s="44" t="s">
        <v>49</v>
      </c>
      <c r="S1812" s="101">
        <v>115</v>
      </c>
      <c r="T1812" s="46" t="s">
        <v>7981</v>
      </c>
      <c r="U1812" s="46" t="s">
        <v>7459</v>
      </c>
      <c r="V1812" s="46" t="s">
        <v>8686</v>
      </c>
      <c r="W1812" s="46" t="s">
        <v>384</v>
      </c>
      <c r="X1812" s="47" t="s">
        <v>8731</v>
      </c>
      <c r="Y1812" s="47" t="s">
        <v>7460</v>
      </c>
      <c r="Z1812" s="46" t="s">
        <v>7181</v>
      </c>
      <c r="AA1812" s="46" t="s">
        <v>3968</v>
      </c>
      <c r="AB1812" s="47" t="s">
        <v>8731</v>
      </c>
      <c r="AC1812" s="48" t="s">
        <v>7461</v>
      </c>
      <c r="AD1812" s="206" t="s">
        <v>8728</v>
      </c>
      <c r="AE1812" s="192">
        <v>1</v>
      </c>
      <c r="AF1812" s="100" t="s">
        <v>8824</v>
      </c>
      <c r="AG1812" s="100" t="s">
        <v>8931</v>
      </c>
      <c r="AH1812" s="100">
        <v>17</v>
      </c>
    </row>
    <row r="1813" spans="1:46" s="32" customFormat="1" ht="69.95" hidden="1" customHeight="1">
      <c r="A1813" s="29" t="s">
        <v>7462</v>
      </c>
      <c r="B1813" s="29" t="s">
        <v>3769</v>
      </c>
      <c r="C1813" s="32">
        <v>14</v>
      </c>
      <c r="E1813" s="57" t="s">
        <v>229</v>
      </c>
      <c r="F1813" s="57" t="s">
        <v>8147</v>
      </c>
      <c r="G1813" s="29" t="s">
        <v>3473</v>
      </c>
      <c r="H1813" s="29"/>
      <c r="I1813" s="124" t="s">
        <v>9121</v>
      </c>
      <c r="J1813" s="29">
        <f t="shared" si="139"/>
        <v>1</v>
      </c>
      <c r="K1813" s="42">
        <v>1799</v>
      </c>
      <c r="L1813" s="152" t="s">
        <v>3474</v>
      </c>
      <c r="M1813" s="44" t="s">
        <v>405</v>
      </c>
      <c r="N1813" s="44" t="s">
        <v>566</v>
      </c>
      <c r="O1813" s="101" t="str">
        <f t="shared" si="140"/>
        <v>PE-L1-5C4-02</v>
      </c>
      <c r="P1813" s="45">
        <v>5.2</v>
      </c>
      <c r="Q1813" s="44">
        <v>400</v>
      </c>
      <c r="R1813" s="44" t="s">
        <v>49</v>
      </c>
      <c r="S1813" s="101">
        <v>110</v>
      </c>
      <c r="T1813" s="46" t="s">
        <v>7981</v>
      </c>
      <c r="U1813" s="46" t="s">
        <v>7462</v>
      </c>
      <c r="V1813" s="46" t="s">
        <v>8686</v>
      </c>
      <c r="W1813" s="46" t="s">
        <v>384</v>
      </c>
      <c r="X1813" s="47" t="s">
        <v>8731</v>
      </c>
      <c r="Y1813" s="47" t="s">
        <v>7463</v>
      </c>
      <c r="Z1813" s="46" t="s">
        <v>7185</v>
      </c>
      <c r="AA1813" s="46" t="s">
        <v>3968</v>
      </c>
      <c r="AB1813" s="47" t="s">
        <v>8731</v>
      </c>
      <c r="AC1813" s="48" t="s">
        <v>7464</v>
      </c>
      <c r="AD1813" s="30"/>
      <c r="AE1813" s="202">
        <v>1</v>
      </c>
      <c r="AF1813" s="109" t="s">
        <v>8722</v>
      </c>
      <c r="AG1813" s="109" t="s">
        <v>8925</v>
      </c>
      <c r="AH1813" s="111">
        <v>15</v>
      </c>
    </row>
    <row r="1814" spans="1:46" s="32" customFormat="1" ht="69.95" hidden="1" customHeight="1">
      <c r="A1814" s="29" t="s">
        <v>7465</v>
      </c>
      <c r="B1814" s="29" t="s">
        <v>3769</v>
      </c>
      <c r="C1814" s="32">
        <v>15</v>
      </c>
      <c r="E1814" s="58" t="s">
        <v>8291</v>
      </c>
      <c r="F1814" s="58" t="s">
        <v>8291</v>
      </c>
      <c r="G1814" s="29" t="s">
        <v>3475</v>
      </c>
      <c r="H1814" s="29"/>
      <c r="I1814" s="124" t="s">
        <v>9121</v>
      </c>
      <c r="J1814" s="29">
        <f t="shared" si="139"/>
        <v>1</v>
      </c>
      <c r="K1814" s="42">
        <v>1800</v>
      </c>
      <c r="L1814" s="152" t="s">
        <v>3476</v>
      </c>
      <c r="M1814" s="44" t="s">
        <v>405</v>
      </c>
      <c r="N1814" s="44" t="s">
        <v>8151</v>
      </c>
      <c r="O1814" s="101" t="str">
        <f t="shared" si="140"/>
        <v>PE-L1-5C25/16-02</v>
      </c>
      <c r="P1814" s="45">
        <v>40</v>
      </c>
      <c r="Q1814" s="44">
        <v>400</v>
      </c>
      <c r="R1814" s="44" t="s">
        <v>49</v>
      </c>
      <c r="S1814" s="101">
        <v>85</v>
      </c>
      <c r="T1814" s="46" t="s">
        <v>7981</v>
      </c>
      <c r="U1814" s="46" t="s">
        <v>7465</v>
      </c>
      <c r="V1814" s="46" t="s">
        <v>8686</v>
      </c>
      <c r="W1814" s="46" t="s">
        <v>384</v>
      </c>
      <c r="X1814" s="47" t="s">
        <v>8731</v>
      </c>
      <c r="Y1814" s="47" t="s">
        <v>7466</v>
      </c>
      <c r="Z1814" s="46" t="s">
        <v>7189</v>
      </c>
      <c r="AA1814" s="46" t="s">
        <v>3968</v>
      </c>
      <c r="AB1814" s="47" t="s">
        <v>8731</v>
      </c>
      <c r="AC1814" s="48" t="s">
        <v>7467</v>
      </c>
      <c r="AD1814" s="206" t="s">
        <v>8732</v>
      </c>
      <c r="AE1814" s="192">
        <v>1</v>
      </c>
      <c r="AF1814" s="100" t="s">
        <v>8822</v>
      </c>
      <c r="AG1814" s="100" t="s">
        <v>8932</v>
      </c>
      <c r="AH1814" s="108">
        <v>25.5</v>
      </c>
    </row>
    <row r="1815" spans="1:46" s="32" customFormat="1" ht="69.95" hidden="1" customHeight="1">
      <c r="A1815" s="29" t="s">
        <v>7468</v>
      </c>
      <c r="B1815" s="29" t="s">
        <v>3769</v>
      </c>
      <c r="C1815" s="32">
        <v>16</v>
      </c>
      <c r="E1815" s="57" t="s">
        <v>220</v>
      </c>
      <c r="F1815" s="57" t="s">
        <v>220</v>
      </c>
      <c r="G1815" s="29" t="s">
        <v>3477</v>
      </c>
      <c r="H1815" s="29"/>
      <c r="I1815" s="124" t="s">
        <v>9121</v>
      </c>
      <c r="J1815" s="29">
        <f t="shared" si="139"/>
        <v>1</v>
      </c>
      <c r="K1815" s="42">
        <v>1801</v>
      </c>
      <c r="L1815" s="152" t="s">
        <v>3478</v>
      </c>
      <c r="M1815" s="44" t="s">
        <v>405</v>
      </c>
      <c r="N1815" s="44" t="s">
        <v>1972</v>
      </c>
      <c r="O1815" s="101" t="str">
        <f t="shared" si="140"/>
        <v>PE-L1-5C6-01</v>
      </c>
      <c r="P1815" s="45">
        <v>18</v>
      </c>
      <c r="Q1815" s="44">
        <v>400</v>
      </c>
      <c r="R1815" s="44" t="s">
        <v>49</v>
      </c>
      <c r="S1815" s="101">
        <v>105</v>
      </c>
      <c r="T1815" s="46" t="s">
        <v>7981</v>
      </c>
      <c r="U1815" s="46" t="s">
        <v>7468</v>
      </c>
      <c r="V1815" s="46" t="s">
        <v>8686</v>
      </c>
      <c r="W1815" s="46" t="s">
        <v>384</v>
      </c>
      <c r="X1815" s="47" t="s">
        <v>8731</v>
      </c>
      <c r="Y1815" s="47" t="s">
        <v>7469</v>
      </c>
      <c r="Z1815" s="46" t="s">
        <v>7193</v>
      </c>
      <c r="AA1815" s="46" t="s">
        <v>3968</v>
      </c>
      <c r="AB1815" s="47" t="s">
        <v>8731</v>
      </c>
      <c r="AC1815" s="48" t="s">
        <v>7470</v>
      </c>
      <c r="AD1815" s="206" t="s">
        <v>8735</v>
      </c>
      <c r="AE1815" s="192">
        <v>1</v>
      </c>
      <c r="AF1815" s="100" t="s">
        <v>8824</v>
      </c>
      <c r="AG1815" s="100" t="s">
        <v>8931</v>
      </c>
      <c r="AH1815" s="100">
        <v>17</v>
      </c>
    </row>
    <row r="1816" spans="1:46" s="32" customFormat="1" ht="69.95" hidden="1" customHeight="1">
      <c r="A1816" s="29" t="s">
        <v>7471</v>
      </c>
      <c r="B1816" s="29" t="s">
        <v>3769</v>
      </c>
      <c r="C1816" s="32">
        <v>17</v>
      </c>
      <c r="E1816" s="57" t="s">
        <v>8149</v>
      </c>
      <c r="F1816" s="57" t="s">
        <v>8149</v>
      </c>
      <c r="G1816" s="29" t="s">
        <v>3479</v>
      </c>
      <c r="H1816" s="29"/>
      <c r="I1816" s="124" t="s">
        <v>9121</v>
      </c>
      <c r="J1816" s="29">
        <f t="shared" si="139"/>
        <v>1</v>
      </c>
      <c r="K1816" s="42">
        <v>1802</v>
      </c>
      <c r="L1816" s="152" t="s">
        <v>3480</v>
      </c>
      <c r="M1816" s="44" t="s">
        <v>405</v>
      </c>
      <c r="N1816" s="44" t="s">
        <v>426</v>
      </c>
      <c r="O1816" s="101" t="str">
        <f t="shared" si="140"/>
        <v>PE-L1-3C4-18</v>
      </c>
      <c r="P1816" s="45">
        <v>1.6</v>
      </c>
      <c r="Q1816" s="44">
        <v>230</v>
      </c>
      <c r="R1816" s="44" t="s">
        <v>49</v>
      </c>
      <c r="S1816" s="101">
        <v>120</v>
      </c>
      <c r="T1816" s="46" t="s">
        <v>7981</v>
      </c>
      <c r="U1816" s="46" t="s">
        <v>7471</v>
      </c>
      <c r="V1816" s="46" t="s">
        <v>8686</v>
      </c>
      <c r="W1816" s="46" t="s">
        <v>384</v>
      </c>
      <c r="X1816" s="172" t="s">
        <v>9167</v>
      </c>
      <c r="Y1816" s="47" t="s">
        <v>7472</v>
      </c>
      <c r="Z1816" s="46" t="s">
        <v>7197</v>
      </c>
      <c r="AA1816" s="46" t="s">
        <v>3968</v>
      </c>
      <c r="AB1816" s="172" t="s">
        <v>9167</v>
      </c>
      <c r="AC1816" s="48" t="s">
        <v>7473</v>
      </c>
      <c r="AD1816" s="30" t="s">
        <v>383</v>
      </c>
      <c r="AE1816" s="192">
        <v>1</v>
      </c>
      <c r="AF1816" s="100" t="s">
        <v>8722</v>
      </c>
      <c r="AG1816" s="100" t="s">
        <v>8925</v>
      </c>
      <c r="AH1816" s="100">
        <v>13</v>
      </c>
    </row>
    <row r="1817" spans="1:46" s="32" customFormat="1" ht="69.95" hidden="1" customHeight="1">
      <c r="A1817" s="29" t="s">
        <v>8663</v>
      </c>
      <c r="B1817" s="29" t="s">
        <v>3769</v>
      </c>
      <c r="C1817" s="32">
        <v>18</v>
      </c>
      <c r="D1817" s="173" t="s">
        <v>9131</v>
      </c>
      <c r="E1817" s="57" t="s">
        <v>8142</v>
      </c>
      <c r="F1817" s="121" t="s">
        <v>250</v>
      </c>
      <c r="G1817" s="29" t="s">
        <v>3481</v>
      </c>
      <c r="H1817" s="29"/>
      <c r="I1817" s="124" t="s">
        <v>9121</v>
      </c>
      <c r="J1817" s="29">
        <f t="shared" si="139"/>
        <v>1</v>
      </c>
      <c r="K1817" s="42">
        <v>1803</v>
      </c>
      <c r="L1817" s="43" t="s">
        <v>3482</v>
      </c>
      <c r="M1817" s="44" t="s">
        <v>405</v>
      </c>
      <c r="N1817" s="44" t="s">
        <v>578</v>
      </c>
      <c r="O1817" s="121" t="str">
        <f t="shared" si="140"/>
        <v>PE-L1-2C4-06</v>
      </c>
      <c r="P1817" s="45">
        <v>5.5E-2</v>
      </c>
      <c r="Q1817" s="44">
        <v>220</v>
      </c>
      <c r="R1817" s="44" t="s">
        <v>509</v>
      </c>
      <c r="S1817" s="44">
        <v>90</v>
      </c>
      <c r="T1817" s="46" t="s">
        <v>7981</v>
      </c>
      <c r="U1817" s="46" t="s">
        <v>8174</v>
      </c>
      <c r="V1817" s="46" t="s">
        <v>8136</v>
      </c>
      <c r="W1817" s="46" t="s">
        <v>384</v>
      </c>
      <c r="X1817" s="47" t="s">
        <v>8738</v>
      </c>
      <c r="Y1817" s="47" t="s">
        <v>7474</v>
      </c>
      <c r="Z1817" s="46" t="s">
        <v>8575</v>
      </c>
      <c r="AA1817" s="46" t="s">
        <v>3968</v>
      </c>
      <c r="AB1817" s="47" t="s">
        <v>8738</v>
      </c>
      <c r="AC1817" s="48" t="s">
        <v>7475</v>
      </c>
      <c r="AD1817" s="206" t="s">
        <v>8874</v>
      </c>
      <c r="AE1817" s="192">
        <v>1</v>
      </c>
      <c r="AF1817" s="100" t="s">
        <v>8722</v>
      </c>
      <c r="AG1817" s="100" t="s">
        <v>8925</v>
      </c>
      <c r="AH1817" s="108">
        <v>12.5</v>
      </c>
    </row>
    <row r="1818" spans="1:46" s="32" customFormat="1" ht="69.95" hidden="1" customHeight="1">
      <c r="A1818" s="29" t="s">
        <v>7476</v>
      </c>
      <c r="B1818" s="29" t="s">
        <v>3769</v>
      </c>
      <c r="C1818" s="32">
        <v>19</v>
      </c>
      <c r="D1818" s="173" t="s">
        <v>9131</v>
      </c>
      <c r="E1818" s="57" t="s">
        <v>8142</v>
      </c>
      <c r="F1818" s="121" t="s">
        <v>250</v>
      </c>
      <c r="G1818" s="29" t="s">
        <v>3483</v>
      </c>
      <c r="H1818" s="29"/>
      <c r="I1818" s="124" t="s">
        <v>9121</v>
      </c>
      <c r="J1818" s="29">
        <f t="shared" si="139"/>
        <v>1</v>
      </c>
      <c r="K1818" s="42">
        <v>1804</v>
      </c>
      <c r="L1818" s="43" t="s">
        <v>3484</v>
      </c>
      <c r="M1818" s="44" t="s">
        <v>405</v>
      </c>
      <c r="N1818" s="44" t="s">
        <v>578</v>
      </c>
      <c r="O1818" s="121" t="str">
        <f t="shared" si="140"/>
        <v>PE-L1-2C4-06</v>
      </c>
      <c r="P1818" s="45">
        <v>4.8000000000000001E-2</v>
      </c>
      <c r="Q1818" s="44">
        <v>220</v>
      </c>
      <c r="R1818" s="44" t="s">
        <v>509</v>
      </c>
      <c r="S1818" s="44">
        <v>80</v>
      </c>
      <c r="T1818" s="46" t="s">
        <v>7981</v>
      </c>
      <c r="U1818" s="46" t="s">
        <v>7476</v>
      </c>
      <c r="V1818" s="46" t="s">
        <v>8136</v>
      </c>
      <c r="W1818" s="46" t="s">
        <v>384</v>
      </c>
      <c r="X1818" s="47" t="s">
        <v>8738</v>
      </c>
      <c r="Y1818" s="47" t="s">
        <v>7477</v>
      </c>
      <c r="Z1818" s="46" t="s">
        <v>7204</v>
      </c>
      <c r="AA1818" s="46" t="s">
        <v>3968</v>
      </c>
      <c r="AB1818" s="47" t="s">
        <v>8738</v>
      </c>
      <c r="AC1818" s="48" t="s">
        <v>7478</v>
      </c>
      <c r="AD1818" s="206" t="s">
        <v>8875</v>
      </c>
      <c r="AE1818" s="192">
        <v>1</v>
      </c>
      <c r="AF1818" s="100" t="s">
        <v>8722</v>
      </c>
      <c r="AG1818" s="100" t="s">
        <v>8925</v>
      </c>
      <c r="AH1818" s="108">
        <v>12.5</v>
      </c>
    </row>
    <row r="1819" spans="1:46" s="32" customFormat="1" ht="69.95" hidden="1" customHeight="1">
      <c r="A1819" s="29" t="s">
        <v>7479</v>
      </c>
      <c r="B1819" s="29" t="s">
        <v>3769</v>
      </c>
      <c r="C1819" s="32">
        <v>20</v>
      </c>
      <c r="D1819" s="173" t="s">
        <v>9131</v>
      </c>
      <c r="E1819" s="57" t="s">
        <v>8142</v>
      </c>
      <c r="F1819" s="121" t="s">
        <v>250</v>
      </c>
      <c r="G1819" s="29" t="s">
        <v>3485</v>
      </c>
      <c r="H1819" s="29"/>
      <c r="I1819" s="124" t="s">
        <v>9121</v>
      </c>
      <c r="J1819" s="29">
        <f t="shared" si="139"/>
        <v>1</v>
      </c>
      <c r="K1819" s="42">
        <v>1805</v>
      </c>
      <c r="L1819" s="43" t="s">
        <v>3486</v>
      </c>
      <c r="M1819" s="44" t="s">
        <v>405</v>
      </c>
      <c r="N1819" s="44" t="s">
        <v>578</v>
      </c>
      <c r="O1819" s="121" t="str">
        <f t="shared" si="140"/>
        <v>PE-L1-2C4-06</v>
      </c>
      <c r="P1819" s="45">
        <v>4.8000000000000001E-2</v>
      </c>
      <c r="Q1819" s="44">
        <v>220</v>
      </c>
      <c r="R1819" s="44" t="s">
        <v>509</v>
      </c>
      <c r="S1819" s="44">
        <v>80</v>
      </c>
      <c r="T1819" s="46" t="s">
        <v>7981</v>
      </c>
      <c r="U1819" s="46" t="s">
        <v>7479</v>
      </c>
      <c r="V1819" s="46" t="s">
        <v>8136</v>
      </c>
      <c r="W1819" s="46" t="s">
        <v>384</v>
      </c>
      <c r="X1819" s="47" t="s">
        <v>8738</v>
      </c>
      <c r="Y1819" s="47" t="s">
        <v>7480</v>
      </c>
      <c r="Z1819" s="46" t="s">
        <v>7208</v>
      </c>
      <c r="AA1819" s="46" t="s">
        <v>3968</v>
      </c>
      <c r="AB1819" s="47" t="s">
        <v>8738</v>
      </c>
      <c r="AC1819" s="48" t="s">
        <v>7481</v>
      </c>
      <c r="AD1819" s="206" t="s">
        <v>8876</v>
      </c>
      <c r="AE1819" s="192">
        <v>1</v>
      </c>
      <c r="AF1819" s="100" t="s">
        <v>8722</v>
      </c>
      <c r="AG1819" s="100" t="s">
        <v>8925</v>
      </c>
      <c r="AH1819" s="108">
        <v>12.5</v>
      </c>
    </row>
    <row r="1820" spans="1:46" s="32" customFormat="1" ht="69.95" hidden="1" customHeight="1">
      <c r="A1820" s="29" t="s">
        <v>7482</v>
      </c>
      <c r="B1820" s="29" t="s">
        <v>3769</v>
      </c>
      <c r="C1820" s="32">
        <v>21</v>
      </c>
      <c r="D1820" s="124" t="s">
        <v>9447</v>
      </c>
      <c r="E1820" s="89" t="s">
        <v>230</v>
      </c>
      <c r="F1820" s="89" t="s">
        <v>230</v>
      </c>
      <c r="G1820" s="29" t="s">
        <v>3487</v>
      </c>
      <c r="H1820" s="29"/>
      <c r="I1820" s="124" t="s">
        <v>9400</v>
      </c>
      <c r="J1820" s="29">
        <f t="shared" si="139"/>
        <v>1</v>
      </c>
      <c r="K1820" s="42">
        <v>1806</v>
      </c>
      <c r="L1820" s="180" t="s">
        <v>3488</v>
      </c>
      <c r="M1820" s="44" t="s">
        <v>405</v>
      </c>
      <c r="N1820" s="90" t="s">
        <v>8638</v>
      </c>
      <c r="O1820" s="44" t="str">
        <f t="shared" si="140"/>
        <v>PE-L1-5C4-02</v>
      </c>
      <c r="P1820" s="45">
        <v>0.13</v>
      </c>
      <c r="Q1820" s="44">
        <v>220</v>
      </c>
      <c r="R1820" s="44" t="s">
        <v>509</v>
      </c>
      <c r="S1820" s="44">
        <v>120</v>
      </c>
      <c r="T1820" s="46" t="s">
        <v>7981</v>
      </c>
      <c r="U1820" s="46" t="s">
        <v>7482</v>
      </c>
      <c r="V1820" s="46" t="s">
        <v>8136</v>
      </c>
      <c r="W1820" s="46" t="s">
        <v>384</v>
      </c>
      <c r="X1820" s="87" t="s">
        <v>8740</v>
      </c>
      <c r="Y1820" s="47" t="s">
        <v>7483</v>
      </c>
      <c r="Z1820" s="46" t="s">
        <v>7212</v>
      </c>
      <c r="AA1820" s="46" t="s">
        <v>3968</v>
      </c>
      <c r="AB1820" s="87" t="s">
        <v>8739</v>
      </c>
      <c r="AC1820" s="48" t="s">
        <v>7484</v>
      </c>
      <c r="AD1820" s="206"/>
      <c r="AE1820" s="192">
        <v>1</v>
      </c>
      <c r="AF1820" s="100" t="s">
        <v>8722</v>
      </c>
      <c r="AG1820" s="100" t="s">
        <v>8925</v>
      </c>
      <c r="AH1820" s="108">
        <v>15</v>
      </c>
    </row>
    <row r="1821" spans="1:46" s="32" customFormat="1" ht="69.95" hidden="1" customHeight="1">
      <c r="A1821" s="29" t="s">
        <v>7485</v>
      </c>
      <c r="B1821" s="29" t="s">
        <v>3769</v>
      </c>
      <c r="C1821" s="69">
        <v>22</v>
      </c>
      <c r="D1821" s="69"/>
      <c r="E1821" s="57" t="s">
        <v>8142</v>
      </c>
      <c r="F1821" s="57" t="s">
        <v>8142</v>
      </c>
      <c r="G1821" s="29" t="s">
        <v>3489</v>
      </c>
      <c r="H1821" s="29"/>
      <c r="I1821" s="124" t="s">
        <v>9121</v>
      </c>
      <c r="J1821" s="29">
        <f t="shared" si="139"/>
        <v>1</v>
      </c>
      <c r="K1821" s="42">
        <v>1807</v>
      </c>
      <c r="L1821" s="152" t="s">
        <v>3490</v>
      </c>
      <c r="M1821" s="44" t="s">
        <v>405</v>
      </c>
      <c r="N1821" s="44" t="s">
        <v>578</v>
      </c>
      <c r="O1821" s="101" t="str">
        <f t="shared" si="140"/>
        <v>PE-L1-2C4-01</v>
      </c>
      <c r="P1821" s="45">
        <v>4.8000000000000001E-2</v>
      </c>
      <c r="Q1821" s="44">
        <v>220</v>
      </c>
      <c r="R1821" s="44" t="s">
        <v>509</v>
      </c>
      <c r="S1821" s="101">
        <v>120</v>
      </c>
      <c r="T1821" s="46" t="s">
        <v>7981</v>
      </c>
      <c r="U1821" s="46" t="s">
        <v>7485</v>
      </c>
      <c r="V1821" s="46" t="s">
        <v>8136</v>
      </c>
      <c r="W1821" s="46" t="s">
        <v>384</v>
      </c>
      <c r="X1821" s="47" t="s">
        <v>8738</v>
      </c>
      <c r="Y1821" s="47" t="s">
        <v>7486</v>
      </c>
      <c r="Z1821" s="46" t="s">
        <v>7216</v>
      </c>
      <c r="AA1821" s="46" t="s">
        <v>3968</v>
      </c>
      <c r="AB1821" s="47" t="s">
        <v>8738</v>
      </c>
      <c r="AC1821" s="48" t="s">
        <v>7487</v>
      </c>
      <c r="AD1821" s="206" t="s">
        <v>8877</v>
      </c>
      <c r="AE1821" s="192">
        <v>1</v>
      </c>
      <c r="AF1821" s="100" t="s">
        <v>8722</v>
      </c>
      <c r="AG1821" s="100" t="s">
        <v>8925</v>
      </c>
      <c r="AH1821" s="108">
        <v>12.5</v>
      </c>
    </row>
    <row r="1822" spans="1:46" s="32" customFormat="1" ht="69.95" hidden="1" customHeight="1">
      <c r="A1822" s="29" t="s">
        <v>7488</v>
      </c>
      <c r="B1822" s="29" t="s">
        <v>3769</v>
      </c>
      <c r="C1822" s="69">
        <v>23</v>
      </c>
      <c r="D1822" s="124" t="s">
        <v>9447</v>
      </c>
      <c r="E1822" s="89" t="s">
        <v>230</v>
      </c>
      <c r="F1822" s="89" t="s">
        <v>230</v>
      </c>
      <c r="G1822" s="29" t="s">
        <v>3491</v>
      </c>
      <c r="H1822" s="29"/>
      <c r="I1822" s="124" t="s">
        <v>9400</v>
      </c>
      <c r="J1822" s="29">
        <f t="shared" si="139"/>
        <v>1</v>
      </c>
      <c r="K1822" s="42">
        <v>1808</v>
      </c>
      <c r="L1822" s="180" t="s">
        <v>3492</v>
      </c>
      <c r="M1822" s="44" t="s">
        <v>405</v>
      </c>
      <c r="N1822" s="90" t="s">
        <v>8638</v>
      </c>
      <c r="O1822" s="44" t="str">
        <f t="shared" si="140"/>
        <v>PE-L1-5C4-02</v>
      </c>
      <c r="P1822" s="45">
        <v>0.13</v>
      </c>
      <c r="Q1822" s="44">
        <v>220</v>
      </c>
      <c r="R1822" s="44" t="s">
        <v>509</v>
      </c>
      <c r="S1822" s="44">
        <v>120</v>
      </c>
      <c r="T1822" s="46" t="s">
        <v>7981</v>
      </c>
      <c r="U1822" s="46" t="s">
        <v>7488</v>
      </c>
      <c r="V1822" s="46" t="s">
        <v>8136</v>
      </c>
      <c r="W1822" s="46" t="s">
        <v>384</v>
      </c>
      <c r="X1822" s="87" t="s">
        <v>8740</v>
      </c>
      <c r="Y1822" s="47" t="s">
        <v>7489</v>
      </c>
      <c r="Z1822" s="46" t="s">
        <v>8328</v>
      </c>
      <c r="AA1822" s="46" t="s">
        <v>3968</v>
      </c>
      <c r="AB1822" s="87" t="s">
        <v>8739</v>
      </c>
      <c r="AC1822" s="48" t="s">
        <v>7490</v>
      </c>
      <c r="AD1822" s="206"/>
      <c r="AE1822" s="192">
        <v>1</v>
      </c>
      <c r="AF1822" s="100" t="s">
        <v>8722</v>
      </c>
      <c r="AG1822" s="100" t="s">
        <v>8925</v>
      </c>
      <c r="AH1822" s="108">
        <v>15</v>
      </c>
    </row>
    <row r="1823" spans="1:46" s="32" customFormat="1" ht="69.95" hidden="1" customHeight="1">
      <c r="A1823" s="29" t="s">
        <v>7491</v>
      </c>
      <c r="B1823" s="29" t="s">
        <v>3769</v>
      </c>
      <c r="C1823" s="69">
        <v>24</v>
      </c>
      <c r="D1823" s="69"/>
      <c r="E1823" s="57" t="s">
        <v>8142</v>
      </c>
      <c r="F1823" s="57" t="s">
        <v>8142</v>
      </c>
      <c r="G1823" s="29" t="s">
        <v>3493</v>
      </c>
      <c r="H1823" s="29"/>
      <c r="I1823" s="124" t="s">
        <v>9121</v>
      </c>
      <c r="J1823" s="29">
        <f t="shared" si="139"/>
        <v>1</v>
      </c>
      <c r="K1823" s="42">
        <v>1809</v>
      </c>
      <c r="L1823" s="152" t="s">
        <v>3494</v>
      </c>
      <c r="M1823" s="44" t="s">
        <v>405</v>
      </c>
      <c r="N1823" s="44" t="s">
        <v>578</v>
      </c>
      <c r="O1823" s="101" t="str">
        <f t="shared" si="140"/>
        <v>PE-L1-2C4-01</v>
      </c>
      <c r="P1823" s="45">
        <v>4.8000000000000001E-2</v>
      </c>
      <c r="Q1823" s="44">
        <v>220</v>
      </c>
      <c r="R1823" s="44" t="s">
        <v>509</v>
      </c>
      <c r="S1823" s="101">
        <v>120</v>
      </c>
      <c r="T1823" s="46" t="s">
        <v>7981</v>
      </c>
      <c r="U1823" s="46" t="s">
        <v>7491</v>
      </c>
      <c r="V1823" s="46" t="s">
        <v>8136</v>
      </c>
      <c r="W1823" s="46" t="s">
        <v>384</v>
      </c>
      <c r="X1823" s="47" t="s">
        <v>8738</v>
      </c>
      <c r="Y1823" s="47" t="s">
        <v>7492</v>
      </c>
      <c r="Z1823" s="46" t="s">
        <v>7223</v>
      </c>
      <c r="AA1823" s="46" t="s">
        <v>3968</v>
      </c>
      <c r="AB1823" s="47" t="s">
        <v>8738</v>
      </c>
      <c r="AC1823" s="48" t="s">
        <v>7493</v>
      </c>
      <c r="AD1823" s="206" t="s">
        <v>8878</v>
      </c>
      <c r="AE1823" s="192">
        <v>1</v>
      </c>
      <c r="AF1823" s="100" t="s">
        <v>8722</v>
      </c>
      <c r="AG1823" s="100" t="s">
        <v>8925</v>
      </c>
      <c r="AH1823" s="108">
        <v>12.5</v>
      </c>
    </row>
    <row r="1824" spans="1:46" s="32" customFormat="1" ht="69.95" hidden="1" customHeight="1">
      <c r="A1824" s="29" t="s">
        <v>7494</v>
      </c>
      <c r="B1824" s="29" t="s">
        <v>3769</v>
      </c>
      <c r="C1824" s="69">
        <v>25</v>
      </c>
      <c r="D1824" s="69"/>
      <c r="E1824" s="57" t="s">
        <v>8142</v>
      </c>
      <c r="F1824" s="57" t="s">
        <v>8142</v>
      </c>
      <c r="G1824" s="29" t="s">
        <v>3495</v>
      </c>
      <c r="H1824" s="29"/>
      <c r="I1824" s="124" t="s">
        <v>9121</v>
      </c>
      <c r="J1824" s="29">
        <f t="shared" si="139"/>
        <v>1</v>
      </c>
      <c r="K1824" s="42">
        <v>1810</v>
      </c>
      <c r="L1824" s="152" t="s">
        <v>3496</v>
      </c>
      <c r="M1824" s="44" t="s">
        <v>405</v>
      </c>
      <c r="N1824" s="44" t="s">
        <v>578</v>
      </c>
      <c r="O1824" s="101" t="str">
        <f t="shared" si="140"/>
        <v>PE-L1-2C4-01</v>
      </c>
      <c r="P1824" s="45">
        <v>4.8000000000000001E-2</v>
      </c>
      <c r="Q1824" s="44">
        <v>220</v>
      </c>
      <c r="R1824" s="44" t="s">
        <v>509</v>
      </c>
      <c r="S1824" s="101">
        <v>120</v>
      </c>
      <c r="T1824" s="46" t="s">
        <v>7981</v>
      </c>
      <c r="U1824" s="46" t="s">
        <v>7494</v>
      </c>
      <c r="V1824" s="46" t="s">
        <v>8136</v>
      </c>
      <c r="W1824" s="46" t="s">
        <v>384</v>
      </c>
      <c r="X1824" s="47" t="s">
        <v>8738</v>
      </c>
      <c r="Y1824" s="47" t="s">
        <v>7495</v>
      </c>
      <c r="Z1824" s="46" t="s">
        <v>7227</v>
      </c>
      <c r="AA1824" s="46" t="s">
        <v>3968</v>
      </c>
      <c r="AB1824" s="47" t="s">
        <v>8738</v>
      </c>
      <c r="AC1824" s="48" t="s">
        <v>7496</v>
      </c>
      <c r="AD1824" s="206" t="s">
        <v>8879</v>
      </c>
      <c r="AE1824" s="192">
        <v>1</v>
      </c>
      <c r="AF1824" s="100" t="s">
        <v>8722</v>
      </c>
      <c r="AG1824" s="100" t="s">
        <v>8925</v>
      </c>
      <c r="AH1824" s="108">
        <v>12.5</v>
      </c>
    </row>
    <row r="1825" spans="1:34" s="32" customFormat="1" ht="69.95" hidden="1" customHeight="1">
      <c r="A1825" s="29" t="s">
        <v>7497</v>
      </c>
      <c r="B1825" s="29" t="s">
        <v>3769</v>
      </c>
      <c r="C1825" s="69">
        <v>26</v>
      </c>
      <c r="D1825" s="124" t="s">
        <v>9447</v>
      </c>
      <c r="E1825" s="89" t="s">
        <v>230</v>
      </c>
      <c r="F1825" s="89" t="s">
        <v>230</v>
      </c>
      <c r="G1825" s="29" t="s">
        <v>3497</v>
      </c>
      <c r="H1825" s="29"/>
      <c r="I1825" s="124" t="s">
        <v>9400</v>
      </c>
      <c r="J1825" s="29">
        <f t="shared" si="139"/>
        <v>1</v>
      </c>
      <c r="K1825" s="42">
        <v>1811</v>
      </c>
      <c r="L1825" s="180" t="s">
        <v>3498</v>
      </c>
      <c r="M1825" s="44" t="s">
        <v>405</v>
      </c>
      <c r="N1825" s="90" t="s">
        <v>8638</v>
      </c>
      <c r="O1825" s="44" t="str">
        <f t="shared" si="140"/>
        <v>PE-L1-5C4-02</v>
      </c>
      <c r="P1825" s="45">
        <v>0.13</v>
      </c>
      <c r="Q1825" s="44">
        <v>220</v>
      </c>
      <c r="R1825" s="44" t="s">
        <v>509</v>
      </c>
      <c r="S1825" s="44">
        <v>120</v>
      </c>
      <c r="T1825" s="46" t="s">
        <v>7981</v>
      </c>
      <c r="U1825" s="46" t="s">
        <v>7497</v>
      </c>
      <c r="V1825" s="46" t="s">
        <v>8136</v>
      </c>
      <c r="W1825" s="46" t="s">
        <v>384</v>
      </c>
      <c r="X1825" s="87" t="s">
        <v>8740</v>
      </c>
      <c r="Y1825" s="47" t="s">
        <v>7498</v>
      </c>
      <c r="Z1825" s="46" t="s">
        <v>7231</v>
      </c>
      <c r="AA1825" s="46" t="s">
        <v>3968</v>
      </c>
      <c r="AB1825" s="87" t="s">
        <v>8739</v>
      </c>
      <c r="AC1825" s="48" t="s">
        <v>7499</v>
      </c>
      <c r="AD1825" s="207" t="s">
        <v>8743</v>
      </c>
      <c r="AE1825" s="192">
        <v>1</v>
      </c>
      <c r="AF1825" s="100" t="s">
        <v>8722</v>
      </c>
      <c r="AG1825" s="100" t="s">
        <v>8925</v>
      </c>
      <c r="AH1825" s="108">
        <v>15</v>
      </c>
    </row>
    <row r="1826" spans="1:34" s="32" customFormat="1" ht="69.95" hidden="1" customHeight="1">
      <c r="A1826" s="29" t="s">
        <v>7500</v>
      </c>
      <c r="B1826" s="29" t="s">
        <v>3769</v>
      </c>
      <c r="C1826" s="69">
        <v>27</v>
      </c>
      <c r="D1826" s="69"/>
      <c r="E1826" s="57" t="s">
        <v>8142</v>
      </c>
      <c r="F1826" s="57" t="s">
        <v>8142</v>
      </c>
      <c r="G1826" s="29" t="s">
        <v>3499</v>
      </c>
      <c r="H1826" s="29"/>
      <c r="I1826" s="124" t="s">
        <v>9121</v>
      </c>
      <c r="J1826" s="29">
        <f t="shared" si="139"/>
        <v>1</v>
      </c>
      <c r="K1826" s="42">
        <v>1812</v>
      </c>
      <c r="L1826" s="152" t="s">
        <v>3500</v>
      </c>
      <c r="M1826" s="44" t="s">
        <v>405</v>
      </c>
      <c r="N1826" s="44" t="s">
        <v>578</v>
      </c>
      <c r="O1826" s="101" t="str">
        <f t="shared" si="140"/>
        <v>PE-L1-2C4-01</v>
      </c>
      <c r="P1826" s="45">
        <v>5.2999999999999999E-2</v>
      </c>
      <c r="Q1826" s="44">
        <v>220</v>
      </c>
      <c r="R1826" s="44" t="s">
        <v>509</v>
      </c>
      <c r="S1826" s="101">
        <v>120</v>
      </c>
      <c r="T1826" s="46" t="s">
        <v>7981</v>
      </c>
      <c r="U1826" s="46" t="s">
        <v>7500</v>
      </c>
      <c r="V1826" s="46" t="s">
        <v>8136</v>
      </c>
      <c r="W1826" s="46" t="s">
        <v>384</v>
      </c>
      <c r="X1826" s="47" t="s">
        <v>8738</v>
      </c>
      <c r="Y1826" s="47" t="s">
        <v>7501</v>
      </c>
      <c r="Z1826" s="46" t="s">
        <v>7235</v>
      </c>
      <c r="AA1826" s="46" t="s">
        <v>3968</v>
      </c>
      <c r="AB1826" s="47" t="s">
        <v>8738</v>
      </c>
      <c r="AC1826" s="48" t="s">
        <v>7502</v>
      </c>
      <c r="AD1826" s="206" t="s">
        <v>8880</v>
      </c>
      <c r="AE1826" s="192">
        <v>1</v>
      </c>
      <c r="AF1826" s="100" t="s">
        <v>8722</v>
      </c>
      <c r="AG1826" s="100" t="s">
        <v>8925</v>
      </c>
      <c r="AH1826" s="108">
        <v>12.5</v>
      </c>
    </row>
    <row r="1827" spans="1:34" s="32" customFormat="1" ht="69.95" hidden="1" customHeight="1">
      <c r="A1827" s="29" t="s">
        <v>7503</v>
      </c>
      <c r="B1827" s="29" t="s">
        <v>3769</v>
      </c>
      <c r="C1827" s="69">
        <v>28</v>
      </c>
      <c r="D1827" s="124" t="s">
        <v>9447</v>
      </c>
      <c r="E1827" s="89" t="s">
        <v>230</v>
      </c>
      <c r="F1827" s="89" t="s">
        <v>230</v>
      </c>
      <c r="G1827" s="29" t="s">
        <v>3501</v>
      </c>
      <c r="H1827" s="29"/>
      <c r="I1827" s="124" t="s">
        <v>9400</v>
      </c>
      <c r="J1827" s="29">
        <f t="shared" si="139"/>
        <v>1</v>
      </c>
      <c r="K1827" s="42">
        <v>1813</v>
      </c>
      <c r="L1827" s="180" t="s">
        <v>3502</v>
      </c>
      <c r="M1827" s="44" t="s">
        <v>405</v>
      </c>
      <c r="N1827" s="90" t="s">
        <v>8638</v>
      </c>
      <c r="O1827" s="44" t="str">
        <f t="shared" ref="O1827:O1829" si="141">F1827</f>
        <v>PE-L1-5C4-02</v>
      </c>
      <c r="P1827" s="45">
        <v>0.13</v>
      </c>
      <c r="Q1827" s="44">
        <v>220</v>
      </c>
      <c r="R1827" s="44" t="s">
        <v>509</v>
      </c>
      <c r="S1827" s="44">
        <v>120</v>
      </c>
      <c r="T1827" s="46" t="s">
        <v>7981</v>
      </c>
      <c r="U1827" s="46" t="s">
        <v>7503</v>
      </c>
      <c r="V1827" s="46" t="s">
        <v>8136</v>
      </c>
      <c r="W1827" s="46" t="s">
        <v>384</v>
      </c>
      <c r="X1827" s="87" t="s">
        <v>8740</v>
      </c>
      <c r="Y1827" s="47" t="s">
        <v>7504</v>
      </c>
      <c r="Z1827" s="46" t="s">
        <v>7239</v>
      </c>
      <c r="AA1827" s="46" t="s">
        <v>3968</v>
      </c>
      <c r="AB1827" s="87" t="s">
        <v>8739</v>
      </c>
      <c r="AC1827" s="48" t="s">
        <v>7505</v>
      </c>
      <c r="AD1827" s="207" t="s">
        <v>8745</v>
      </c>
      <c r="AE1827" s="192">
        <v>1</v>
      </c>
      <c r="AF1827" s="100" t="s">
        <v>8722</v>
      </c>
      <c r="AG1827" s="100" t="s">
        <v>8925</v>
      </c>
      <c r="AH1827" s="108">
        <v>15</v>
      </c>
    </row>
    <row r="1828" spans="1:34" s="32" customFormat="1" ht="69.95" hidden="1" customHeight="1">
      <c r="A1828" s="29" t="s">
        <v>7506</v>
      </c>
      <c r="B1828" s="29" t="s">
        <v>3769</v>
      </c>
      <c r="C1828" s="69">
        <v>29</v>
      </c>
      <c r="D1828" s="69"/>
      <c r="E1828" s="57" t="s">
        <v>8142</v>
      </c>
      <c r="F1828" s="57" t="s">
        <v>8142</v>
      </c>
      <c r="G1828" s="29" t="s">
        <v>3503</v>
      </c>
      <c r="H1828" s="124" t="s">
        <v>9445</v>
      </c>
      <c r="I1828" s="124" t="s">
        <v>9121</v>
      </c>
      <c r="J1828" s="29">
        <f t="shared" si="139"/>
        <v>1</v>
      </c>
      <c r="K1828" s="42">
        <v>1814</v>
      </c>
      <c r="L1828" s="152" t="s">
        <v>3504</v>
      </c>
      <c r="M1828" s="44" t="s">
        <v>405</v>
      </c>
      <c r="N1828" s="44" t="s">
        <v>578</v>
      </c>
      <c r="O1828" s="101" t="str">
        <f t="shared" si="141"/>
        <v>PE-L1-2C4-01</v>
      </c>
      <c r="P1828" s="45">
        <v>5.2999999999999999E-2</v>
      </c>
      <c r="Q1828" s="44">
        <v>220</v>
      </c>
      <c r="R1828" s="44" t="s">
        <v>509</v>
      </c>
      <c r="S1828" s="101">
        <v>70</v>
      </c>
      <c r="T1828" s="46" t="s">
        <v>7981</v>
      </c>
      <c r="U1828" s="46" t="s">
        <v>7506</v>
      </c>
      <c r="V1828" s="46" t="s">
        <v>8136</v>
      </c>
      <c r="W1828" s="46" t="s">
        <v>384</v>
      </c>
      <c r="X1828" s="47" t="s">
        <v>8738</v>
      </c>
      <c r="Y1828" s="47" t="s">
        <v>7507</v>
      </c>
      <c r="Z1828" s="46" t="s">
        <v>7243</v>
      </c>
      <c r="AA1828" s="46" t="s">
        <v>3968</v>
      </c>
      <c r="AB1828" s="47" t="s">
        <v>8738</v>
      </c>
      <c r="AC1828" s="48" t="s">
        <v>7508</v>
      </c>
      <c r="AD1828" s="206" t="s">
        <v>8881</v>
      </c>
      <c r="AE1828" s="192">
        <v>1</v>
      </c>
      <c r="AF1828" s="100" t="s">
        <v>8722</v>
      </c>
      <c r="AG1828" s="100" t="s">
        <v>8925</v>
      </c>
      <c r="AH1828" s="108">
        <v>12.5</v>
      </c>
    </row>
    <row r="1829" spans="1:34" s="32" customFormat="1" ht="69.95" hidden="1" customHeight="1">
      <c r="A1829" s="29" t="s">
        <v>7509</v>
      </c>
      <c r="B1829" s="29" t="s">
        <v>3769</v>
      </c>
      <c r="C1829" s="69">
        <v>30</v>
      </c>
      <c r="D1829" s="69"/>
      <c r="E1829" s="56" t="s">
        <v>8142</v>
      </c>
      <c r="F1829" s="56" t="s">
        <v>8142</v>
      </c>
      <c r="G1829" s="29" t="s">
        <v>3505</v>
      </c>
      <c r="H1829" s="124" t="s">
        <v>9445</v>
      </c>
      <c r="I1829" s="124" t="s">
        <v>9121</v>
      </c>
      <c r="J1829" s="29">
        <f t="shared" si="139"/>
        <v>1</v>
      </c>
      <c r="K1829" s="42">
        <v>1815</v>
      </c>
      <c r="L1829" s="152" t="s">
        <v>3506</v>
      </c>
      <c r="M1829" s="44" t="s">
        <v>405</v>
      </c>
      <c r="N1829" s="44" t="s">
        <v>578</v>
      </c>
      <c r="O1829" s="101" t="str">
        <f t="shared" si="141"/>
        <v>PE-L1-2C4-01</v>
      </c>
      <c r="P1829" s="45">
        <v>4.8000000000000001E-2</v>
      </c>
      <c r="Q1829" s="44">
        <v>220</v>
      </c>
      <c r="R1829" s="44" t="s">
        <v>509</v>
      </c>
      <c r="S1829" s="101">
        <v>70</v>
      </c>
      <c r="T1829" s="46" t="s">
        <v>7981</v>
      </c>
      <c r="U1829" s="46" t="s">
        <v>7509</v>
      </c>
      <c r="V1829" s="46" t="s">
        <v>8136</v>
      </c>
      <c r="W1829" s="46" t="s">
        <v>384</v>
      </c>
      <c r="X1829" s="47" t="s">
        <v>8738</v>
      </c>
      <c r="Y1829" s="47" t="s">
        <v>7510</v>
      </c>
      <c r="Z1829" s="46" t="s">
        <v>7247</v>
      </c>
      <c r="AA1829" s="46" t="s">
        <v>3968</v>
      </c>
      <c r="AB1829" s="47" t="s">
        <v>8738</v>
      </c>
      <c r="AC1829" s="48" t="s">
        <v>7511</v>
      </c>
      <c r="AD1829" s="206" t="s">
        <v>8882</v>
      </c>
      <c r="AE1829" s="192">
        <v>1</v>
      </c>
      <c r="AF1829" s="100" t="s">
        <v>8722</v>
      </c>
      <c r="AG1829" s="100" t="s">
        <v>8925</v>
      </c>
      <c r="AH1829" s="108">
        <v>12.5</v>
      </c>
    </row>
    <row r="1830" spans="1:34" s="32" customFormat="1" ht="69.95" hidden="1" customHeight="1">
      <c r="A1830" s="29" t="s">
        <v>7512</v>
      </c>
      <c r="B1830" s="29" t="s">
        <v>3769</v>
      </c>
      <c r="C1830" s="69">
        <v>31</v>
      </c>
      <c r="D1830" s="173" t="s">
        <v>9131</v>
      </c>
      <c r="E1830" s="57" t="s">
        <v>88</v>
      </c>
      <c r="F1830" s="121" t="s">
        <v>8036</v>
      </c>
      <c r="G1830" s="29" t="s">
        <v>3507</v>
      </c>
      <c r="H1830" s="29"/>
      <c r="I1830" s="124" t="s">
        <v>9121</v>
      </c>
      <c r="J1830" s="29">
        <f t="shared" si="139"/>
        <v>1</v>
      </c>
      <c r="K1830" s="42">
        <v>1816</v>
      </c>
      <c r="L1830" s="43" t="s">
        <v>3508</v>
      </c>
      <c r="M1830" s="44" t="s">
        <v>405</v>
      </c>
      <c r="N1830" s="44" t="s">
        <v>536</v>
      </c>
      <c r="O1830" s="121" t="str">
        <f>F1830</f>
        <v>PE-L1-4C4-02</v>
      </c>
      <c r="P1830" s="45">
        <v>1.1000000000000001</v>
      </c>
      <c r="Q1830" s="44">
        <v>400</v>
      </c>
      <c r="R1830" s="44" t="s">
        <v>49</v>
      </c>
      <c r="S1830" s="44">
        <v>80</v>
      </c>
      <c r="T1830" s="46" t="s">
        <v>7981</v>
      </c>
      <c r="U1830" s="46" t="s">
        <v>7512</v>
      </c>
      <c r="V1830" s="46" t="s">
        <v>8686</v>
      </c>
      <c r="W1830" s="46" t="s">
        <v>384</v>
      </c>
      <c r="X1830" s="47" t="s">
        <v>8721</v>
      </c>
      <c r="Y1830" s="47" t="s">
        <v>7513</v>
      </c>
      <c r="Z1830" s="46" t="s">
        <v>7251</v>
      </c>
      <c r="AA1830" s="46" t="s">
        <v>3968</v>
      </c>
      <c r="AB1830" s="47" t="s">
        <v>8721</v>
      </c>
      <c r="AC1830" s="48" t="s">
        <v>7514</v>
      </c>
      <c r="AD1830" s="30"/>
      <c r="AE1830" s="192">
        <v>1</v>
      </c>
      <c r="AF1830" s="100" t="s">
        <v>8722</v>
      </c>
      <c r="AG1830" s="100" t="s">
        <v>8925</v>
      </c>
      <c r="AH1830" s="100">
        <v>14</v>
      </c>
    </row>
    <row r="1831" spans="1:34" s="32" customFormat="1" ht="69.95" hidden="1" customHeight="1">
      <c r="A1831" s="29" t="s">
        <v>7515</v>
      </c>
      <c r="B1831" s="29" t="s">
        <v>3769</v>
      </c>
      <c r="C1831" s="32">
        <v>32</v>
      </c>
      <c r="E1831" s="56" t="s">
        <v>69</v>
      </c>
      <c r="F1831" s="56" t="s">
        <v>69</v>
      </c>
      <c r="G1831" s="29" t="s">
        <v>3509</v>
      </c>
      <c r="H1831" s="29"/>
      <c r="I1831" s="124" t="s">
        <v>9121</v>
      </c>
      <c r="J1831" s="29">
        <f t="shared" si="139"/>
        <v>1</v>
      </c>
      <c r="K1831" s="42">
        <v>1817</v>
      </c>
      <c r="L1831" s="152" t="s">
        <v>3510</v>
      </c>
      <c r="M1831" s="44" t="s">
        <v>405</v>
      </c>
      <c r="N1831" s="44" t="s">
        <v>546</v>
      </c>
      <c r="O1831" s="101" t="str">
        <f>F1831</f>
        <v>PE-L1-4C6-01</v>
      </c>
      <c r="P1831" s="45">
        <v>11</v>
      </c>
      <c r="Q1831" s="44">
        <v>400</v>
      </c>
      <c r="R1831" s="44" t="s">
        <v>49</v>
      </c>
      <c r="S1831" s="101">
        <v>80</v>
      </c>
      <c r="T1831" s="46" t="s">
        <v>7981</v>
      </c>
      <c r="U1831" s="46" t="s">
        <v>7515</v>
      </c>
      <c r="V1831" s="46" t="s">
        <v>8686</v>
      </c>
      <c r="W1831" s="46" t="s">
        <v>384</v>
      </c>
      <c r="X1831" s="47" t="s">
        <v>8721</v>
      </c>
      <c r="Y1831" s="47" t="s">
        <v>7516</v>
      </c>
      <c r="Z1831" s="46" t="s">
        <v>8329</v>
      </c>
      <c r="AA1831" s="46" t="s">
        <v>3968</v>
      </c>
      <c r="AB1831" s="47" t="s">
        <v>8721</v>
      </c>
      <c r="AC1831" s="48" t="s">
        <v>7517</v>
      </c>
      <c r="AD1831" s="30"/>
      <c r="AE1831" s="192">
        <v>1</v>
      </c>
      <c r="AF1831" s="100" t="s">
        <v>8722</v>
      </c>
      <c r="AG1831" s="100" t="s">
        <v>8925</v>
      </c>
      <c r="AH1831" s="108">
        <v>15.5</v>
      </c>
    </row>
    <row r="1832" spans="1:34" s="32" customFormat="1" ht="69.95" hidden="1" customHeight="1">
      <c r="A1832" s="29" t="s">
        <v>7518</v>
      </c>
      <c r="B1832" s="29" t="s">
        <v>3769</v>
      </c>
      <c r="C1832" s="32">
        <v>33</v>
      </c>
      <c r="D1832" s="173" t="s">
        <v>9131</v>
      </c>
      <c r="E1832" s="57" t="s">
        <v>8142</v>
      </c>
      <c r="F1832" s="121" t="s">
        <v>250</v>
      </c>
      <c r="G1832" s="29" t="s">
        <v>3511</v>
      </c>
      <c r="H1832" s="29"/>
      <c r="I1832" s="124" t="s">
        <v>9121</v>
      </c>
      <c r="J1832" s="29">
        <f t="shared" si="139"/>
        <v>1</v>
      </c>
      <c r="K1832" s="42">
        <v>1818</v>
      </c>
      <c r="L1832" s="43" t="s">
        <v>3512</v>
      </c>
      <c r="M1832" s="44" t="s">
        <v>405</v>
      </c>
      <c r="N1832" s="44" t="s">
        <v>578</v>
      </c>
      <c r="O1832" s="121" t="str">
        <f>F1832</f>
        <v>PE-L1-2C4-06</v>
      </c>
      <c r="P1832" s="45">
        <v>7.8E-2</v>
      </c>
      <c r="Q1832" s="44">
        <v>220</v>
      </c>
      <c r="R1832" s="44" t="s">
        <v>509</v>
      </c>
      <c r="S1832" s="44">
        <v>90</v>
      </c>
      <c r="T1832" s="46" t="s">
        <v>7981</v>
      </c>
      <c r="U1832" s="46" t="s">
        <v>7518</v>
      </c>
      <c r="V1832" s="46" t="s">
        <v>8136</v>
      </c>
      <c r="W1832" s="46" t="s">
        <v>384</v>
      </c>
      <c r="X1832" s="47" t="s">
        <v>8738</v>
      </c>
      <c r="Y1832" s="47" t="s">
        <v>7519</v>
      </c>
      <c r="Z1832" s="46" t="s">
        <v>7259</v>
      </c>
      <c r="AA1832" s="46" t="s">
        <v>3968</v>
      </c>
      <c r="AB1832" s="47" t="s">
        <v>8738</v>
      </c>
      <c r="AC1832" s="48" t="s">
        <v>7520</v>
      </c>
      <c r="AD1832" s="206" t="s">
        <v>8883</v>
      </c>
      <c r="AE1832" s="192">
        <v>1</v>
      </c>
      <c r="AF1832" s="100" t="s">
        <v>8722</v>
      </c>
      <c r="AG1832" s="100" t="s">
        <v>8925</v>
      </c>
      <c r="AH1832" s="108">
        <v>12.5</v>
      </c>
    </row>
    <row r="1833" spans="1:34" s="32" customFormat="1" ht="69.95" hidden="1" customHeight="1">
      <c r="A1833" s="29" t="s">
        <v>7521</v>
      </c>
      <c r="B1833" s="29" t="s">
        <v>3769</v>
      </c>
      <c r="C1833" s="32">
        <v>34</v>
      </c>
      <c r="D1833" s="173" t="s">
        <v>9131</v>
      </c>
      <c r="E1833" s="57" t="s">
        <v>8142</v>
      </c>
      <c r="F1833" s="121" t="s">
        <v>250</v>
      </c>
      <c r="G1833" s="29" t="s">
        <v>3513</v>
      </c>
      <c r="H1833" s="29"/>
      <c r="I1833" s="124" t="s">
        <v>9121</v>
      </c>
      <c r="J1833" s="29">
        <f t="shared" si="139"/>
        <v>1</v>
      </c>
      <c r="K1833" s="42">
        <v>1819</v>
      </c>
      <c r="L1833" s="43" t="s">
        <v>3514</v>
      </c>
      <c r="M1833" s="44" t="s">
        <v>405</v>
      </c>
      <c r="N1833" s="44" t="s">
        <v>578</v>
      </c>
      <c r="O1833" s="121" t="str">
        <f>F1833</f>
        <v>PE-L1-2C4-06</v>
      </c>
      <c r="P1833" s="45">
        <v>7.8E-2</v>
      </c>
      <c r="Q1833" s="44">
        <v>220</v>
      </c>
      <c r="R1833" s="44" t="s">
        <v>509</v>
      </c>
      <c r="S1833" s="44">
        <v>90</v>
      </c>
      <c r="T1833" s="46" t="s">
        <v>7981</v>
      </c>
      <c r="U1833" s="46" t="s">
        <v>7521</v>
      </c>
      <c r="V1833" s="46" t="s">
        <v>8136</v>
      </c>
      <c r="W1833" s="46" t="s">
        <v>384</v>
      </c>
      <c r="X1833" s="47" t="s">
        <v>8738</v>
      </c>
      <c r="Y1833" s="47" t="s">
        <v>7522</v>
      </c>
      <c r="Z1833" s="46" t="s">
        <v>7263</v>
      </c>
      <c r="AA1833" s="46" t="s">
        <v>3968</v>
      </c>
      <c r="AB1833" s="47" t="s">
        <v>8738</v>
      </c>
      <c r="AC1833" s="48" t="s">
        <v>7523</v>
      </c>
      <c r="AD1833" s="206" t="s">
        <v>8884</v>
      </c>
      <c r="AE1833" s="192">
        <v>1</v>
      </c>
      <c r="AF1833" s="100" t="s">
        <v>8722</v>
      </c>
      <c r="AG1833" s="100" t="s">
        <v>8925</v>
      </c>
      <c r="AH1833" s="108">
        <v>12.5</v>
      </c>
    </row>
    <row r="1834" spans="1:34" s="32" customFormat="1" ht="69.95" hidden="1" customHeight="1">
      <c r="A1834" s="29" t="s">
        <v>7524</v>
      </c>
      <c r="B1834" s="29" t="s">
        <v>3769</v>
      </c>
      <c r="C1834" s="32">
        <v>35</v>
      </c>
      <c r="E1834" s="57" t="s">
        <v>8142</v>
      </c>
      <c r="F1834" s="57" t="s">
        <v>8142</v>
      </c>
      <c r="G1834" s="29" t="s">
        <v>3515</v>
      </c>
      <c r="H1834" s="124" t="s">
        <v>9445</v>
      </c>
      <c r="I1834" s="124" t="s">
        <v>9121</v>
      </c>
      <c r="J1834" s="29">
        <f t="shared" si="139"/>
        <v>1</v>
      </c>
      <c r="K1834" s="42">
        <v>1820</v>
      </c>
      <c r="L1834" s="152" t="s">
        <v>3516</v>
      </c>
      <c r="M1834" s="44" t="s">
        <v>405</v>
      </c>
      <c r="N1834" s="44" t="s">
        <v>578</v>
      </c>
      <c r="O1834" s="101" t="str">
        <f t="shared" ref="O1834:O1836" si="142">F1834</f>
        <v>PE-L1-2C4-01</v>
      </c>
      <c r="P1834" s="45">
        <v>0.20499999999999999</v>
      </c>
      <c r="Q1834" s="44">
        <v>220</v>
      </c>
      <c r="R1834" s="44" t="s">
        <v>509</v>
      </c>
      <c r="S1834" s="101">
        <v>40</v>
      </c>
      <c r="T1834" s="46" t="s">
        <v>8304</v>
      </c>
      <c r="U1834" s="46" t="s">
        <v>7524</v>
      </c>
      <c r="V1834" s="46" t="s">
        <v>8136</v>
      </c>
      <c r="W1834" s="46" t="s">
        <v>384</v>
      </c>
      <c r="X1834" s="47" t="s">
        <v>8738</v>
      </c>
      <c r="Y1834" s="47" t="s">
        <v>7525</v>
      </c>
      <c r="Z1834" s="46" t="s">
        <v>7267</v>
      </c>
      <c r="AA1834" s="46" t="s">
        <v>3968</v>
      </c>
      <c r="AB1834" s="47" t="s">
        <v>8738</v>
      </c>
      <c r="AC1834" s="48" t="s">
        <v>7526</v>
      </c>
      <c r="AD1834" s="207" t="s">
        <v>8885</v>
      </c>
      <c r="AE1834" s="192">
        <v>1</v>
      </c>
      <c r="AF1834" s="100" t="s">
        <v>8722</v>
      </c>
      <c r="AG1834" s="100" t="s">
        <v>8925</v>
      </c>
      <c r="AH1834" s="108">
        <v>12.5</v>
      </c>
    </row>
    <row r="1835" spans="1:34" s="32" customFormat="1" ht="69.95" hidden="1" customHeight="1">
      <c r="A1835" s="29" t="s">
        <v>7527</v>
      </c>
      <c r="B1835" s="29" t="s">
        <v>3769</v>
      </c>
      <c r="C1835" s="32">
        <v>36</v>
      </c>
      <c r="E1835" s="57" t="s">
        <v>8142</v>
      </c>
      <c r="F1835" s="57" t="s">
        <v>8142</v>
      </c>
      <c r="G1835" s="29" t="s">
        <v>3517</v>
      </c>
      <c r="H1835" s="124" t="s">
        <v>9445</v>
      </c>
      <c r="I1835" s="124" t="s">
        <v>9121</v>
      </c>
      <c r="J1835" s="29">
        <f t="shared" si="139"/>
        <v>1</v>
      </c>
      <c r="K1835" s="42">
        <v>1821</v>
      </c>
      <c r="L1835" s="152" t="s">
        <v>3518</v>
      </c>
      <c r="M1835" s="44" t="s">
        <v>405</v>
      </c>
      <c r="N1835" s="44" t="s">
        <v>578</v>
      </c>
      <c r="O1835" s="101" t="str">
        <f t="shared" si="142"/>
        <v>PE-L1-2C4-01</v>
      </c>
      <c r="P1835" s="45">
        <v>0.20499999999999999</v>
      </c>
      <c r="Q1835" s="44">
        <v>220</v>
      </c>
      <c r="R1835" s="44" t="s">
        <v>509</v>
      </c>
      <c r="S1835" s="101">
        <v>40</v>
      </c>
      <c r="T1835" s="46" t="s">
        <v>8304</v>
      </c>
      <c r="U1835" s="46" t="s">
        <v>7527</v>
      </c>
      <c r="V1835" s="46" t="s">
        <v>8136</v>
      </c>
      <c r="W1835" s="46" t="s">
        <v>384</v>
      </c>
      <c r="X1835" s="47" t="s">
        <v>8738</v>
      </c>
      <c r="Y1835" s="47" t="s">
        <v>7528</v>
      </c>
      <c r="Z1835" s="46" t="s">
        <v>7271</v>
      </c>
      <c r="AA1835" s="46" t="s">
        <v>3968</v>
      </c>
      <c r="AB1835" s="47" t="s">
        <v>8738</v>
      </c>
      <c r="AC1835" s="48" t="s">
        <v>7529</v>
      </c>
      <c r="AD1835" s="206" t="s">
        <v>8886</v>
      </c>
      <c r="AE1835" s="192">
        <v>1</v>
      </c>
      <c r="AF1835" s="100" t="s">
        <v>8722</v>
      </c>
      <c r="AG1835" s="100" t="s">
        <v>8925</v>
      </c>
      <c r="AH1835" s="108">
        <v>12.5</v>
      </c>
    </row>
    <row r="1836" spans="1:34" s="32" customFormat="1" ht="69.95" hidden="1" customHeight="1">
      <c r="A1836" s="29" t="s">
        <v>7530</v>
      </c>
      <c r="B1836" s="29" t="s">
        <v>3769</v>
      </c>
      <c r="C1836" s="32">
        <v>37</v>
      </c>
      <c r="E1836" s="57" t="s">
        <v>8142</v>
      </c>
      <c r="F1836" s="57" t="s">
        <v>8142</v>
      </c>
      <c r="G1836" s="29" t="s">
        <v>3519</v>
      </c>
      <c r="H1836" s="124" t="s">
        <v>9445</v>
      </c>
      <c r="I1836" s="124" t="s">
        <v>9121</v>
      </c>
      <c r="J1836" s="29">
        <f t="shared" si="139"/>
        <v>1</v>
      </c>
      <c r="K1836" s="42">
        <v>1822</v>
      </c>
      <c r="L1836" s="152" t="s">
        <v>3520</v>
      </c>
      <c r="M1836" s="44" t="s">
        <v>405</v>
      </c>
      <c r="N1836" s="44" t="s">
        <v>578</v>
      </c>
      <c r="O1836" s="101" t="str">
        <f t="shared" si="142"/>
        <v>PE-L1-2C4-01</v>
      </c>
      <c r="P1836" s="45">
        <v>0.20499999999999999</v>
      </c>
      <c r="Q1836" s="44">
        <v>220</v>
      </c>
      <c r="R1836" s="44" t="s">
        <v>509</v>
      </c>
      <c r="S1836" s="101">
        <v>40</v>
      </c>
      <c r="T1836" s="46" t="s">
        <v>8304</v>
      </c>
      <c r="U1836" s="46" t="s">
        <v>7530</v>
      </c>
      <c r="V1836" s="46" t="s">
        <v>8136</v>
      </c>
      <c r="W1836" s="46" t="s">
        <v>384</v>
      </c>
      <c r="X1836" s="47" t="s">
        <v>8738</v>
      </c>
      <c r="Y1836" s="47" t="s">
        <v>7531</v>
      </c>
      <c r="Z1836" s="46" t="s">
        <v>7275</v>
      </c>
      <c r="AA1836" s="46" t="s">
        <v>3968</v>
      </c>
      <c r="AB1836" s="47" t="s">
        <v>8738</v>
      </c>
      <c r="AC1836" s="48" t="s">
        <v>7532</v>
      </c>
      <c r="AD1836" s="206" t="s">
        <v>8887</v>
      </c>
      <c r="AE1836" s="192">
        <v>1</v>
      </c>
      <c r="AF1836" s="100" t="s">
        <v>8722</v>
      </c>
      <c r="AG1836" s="100" t="s">
        <v>8925</v>
      </c>
      <c r="AH1836" s="108">
        <v>12.5</v>
      </c>
    </row>
    <row r="1837" spans="1:34" s="32" customFormat="1" ht="69.95" hidden="1" customHeight="1">
      <c r="A1837" s="29" t="s">
        <v>7533</v>
      </c>
      <c r="B1837" s="29" t="s">
        <v>3769</v>
      </c>
      <c r="C1837" s="32">
        <v>38</v>
      </c>
      <c r="E1837" s="89" t="s">
        <v>8107</v>
      </c>
      <c r="F1837" s="89" t="s">
        <v>8107</v>
      </c>
      <c r="G1837" s="29" t="s">
        <v>3521</v>
      </c>
      <c r="H1837" s="29"/>
      <c r="I1837" s="29"/>
      <c r="J1837" s="29">
        <f t="shared" si="139"/>
        <v>1</v>
      </c>
      <c r="K1837" s="42">
        <v>1823</v>
      </c>
      <c r="L1837" s="43" t="s">
        <v>3522</v>
      </c>
      <c r="M1837" s="44" t="s">
        <v>405</v>
      </c>
      <c r="N1837" s="90" t="s">
        <v>7984</v>
      </c>
      <c r="O1837" s="90" t="str">
        <f t="shared" ref="O1837:O1850" si="143">F1837</f>
        <v>PE-L1-3C4-01</v>
      </c>
      <c r="P1837" s="45">
        <v>8.0000000000000002E-3</v>
      </c>
      <c r="Q1837" s="44">
        <v>220</v>
      </c>
      <c r="R1837" s="44" t="s">
        <v>509</v>
      </c>
      <c r="S1837" s="44">
        <v>60</v>
      </c>
      <c r="T1837" s="46" t="s">
        <v>8304</v>
      </c>
      <c r="U1837" s="46" t="s">
        <v>7533</v>
      </c>
      <c r="V1837" s="46" t="s">
        <v>8136</v>
      </c>
      <c r="W1837" s="46" t="s">
        <v>384</v>
      </c>
      <c r="X1837" s="87" t="s">
        <v>9311</v>
      </c>
      <c r="Y1837" s="47" t="s">
        <v>7534</v>
      </c>
      <c r="Z1837" s="46" t="s">
        <v>7279</v>
      </c>
      <c r="AA1837" s="46" t="s">
        <v>3968</v>
      </c>
      <c r="AB1837" s="87" t="s">
        <v>8754</v>
      </c>
      <c r="AC1837" s="48" t="s">
        <v>7535</v>
      </c>
      <c r="AD1837" s="206" t="s">
        <v>8748</v>
      </c>
      <c r="AE1837" s="192">
        <v>1</v>
      </c>
      <c r="AF1837" s="100" t="s">
        <v>8722</v>
      </c>
      <c r="AG1837" s="100" t="s">
        <v>8925</v>
      </c>
      <c r="AH1837" s="100">
        <v>13</v>
      </c>
    </row>
    <row r="1838" spans="1:34" s="32" customFormat="1" ht="69.95" hidden="1" customHeight="1">
      <c r="A1838" s="29" t="s">
        <v>7533</v>
      </c>
      <c r="B1838" s="29" t="s">
        <v>3769</v>
      </c>
      <c r="C1838" s="32">
        <v>39</v>
      </c>
      <c r="E1838" s="89" t="s">
        <v>229</v>
      </c>
      <c r="F1838" s="89" t="s">
        <v>229</v>
      </c>
      <c r="G1838" s="29" t="s">
        <v>3523</v>
      </c>
      <c r="H1838" s="29"/>
      <c r="I1838" s="29"/>
      <c r="J1838" s="29">
        <f t="shared" si="139"/>
        <v>1</v>
      </c>
      <c r="K1838" s="42">
        <v>1824</v>
      </c>
      <c r="L1838" s="43" t="s">
        <v>8831</v>
      </c>
      <c r="M1838" s="44" t="s">
        <v>405</v>
      </c>
      <c r="N1838" s="90" t="s">
        <v>8638</v>
      </c>
      <c r="O1838" s="90" t="str">
        <f t="shared" si="143"/>
        <v>PE-L1-5C4-02</v>
      </c>
      <c r="P1838" s="45">
        <v>0.13</v>
      </c>
      <c r="Q1838" s="44">
        <v>220</v>
      </c>
      <c r="R1838" s="44" t="s">
        <v>509</v>
      </c>
      <c r="S1838" s="44">
        <v>60</v>
      </c>
      <c r="T1838" s="46" t="s">
        <v>8304</v>
      </c>
      <c r="U1838" s="46" t="s">
        <v>7533</v>
      </c>
      <c r="V1838" s="46" t="s">
        <v>8136</v>
      </c>
      <c r="W1838" s="46" t="s">
        <v>384</v>
      </c>
      <c r="X1838" s="87" t="s">
        <v>8740</v>
      </c>
      <c r="Y1838" s="47" t="s">
        <v>7536</v>
      </c>
      <c r="Z1838" s="46" t="s">
        <v>7279</v>
      </c>
      <c r="AA1838" s="46" t="s">
        <v>3968</v>
      </c>
      <c r="AB1838" s="87" t="s">
        <v>8739</v>
      </c>
      <c r="AC1838" s="48" t="s">
        <v>7537</v>
      </c>
      <c r="AD1838" s="206" t="s">
        <v>8749</v>
      </c>
      <c r="AE1838" s="192">
        <v>1</v>
      </c>
      <c r="AF1838" s="100" t="s">
        <v>8722</v>
      </c>
      <c r="AG1838" s="100" t="s">
        <v>8925</v>
      </c>
      <c r="AH1838" s="108">
        <v>15</v>
      </c>
    </row>
    <row r="1839" spans="1:34" s="32" customFormat="1" ht="69.95" hidden="1" customHeight="1">
      <c r="A1839" s="29" t="s">
        <v>7538</v>
      </c>
      <c r="B1839" s="29" t="s">
        <v>3769</v>
      </c>
      <c r="C1839" s="32">
        <v>40</v>
      </c>
      <c r="E1839" s="89" t="s">
        <v>8107</v>
      </c>
      <c r="F1839" s="89" t="s">
        <v>8107</v>
      </c>
      <c r="G1839" s="29" t="s">
        <v>3524</v>
      </c>
      <c r="H1839" s="29"/>
      <c r="I1839" s="29"/>
      <c r="J1839" s="29">
        <f t="shared" si="139"/>
        <v>1</v>
      </c>
      <c r="K1839" s="42">
        <v>1825</v>
      </c>
      <c r="L1839" s="43" t="s">
        <v>3525</v>
      </c>
      <c r="M1839" s="44" t="s">
        <v>405</v>
      </c>
      <c r="N1839" s="90" t="s">
        <v>7984</v>
      </c>
      <c r="O1839" s="90" t="str">
        <f t="shared" si="143"/>
        <v>PE-L1-3C4-01</v>
      </c>
      <c r="P1839" s="45">
        <v>8.0000000000000002E-3</v>
      </c>
      <c r="Q1839" s="44">
        <v>220</v>
      </c>
      <c r="R1839" s="44" t="s">
        <v>509</v>
      </c>
      <c r="S1839" s="44">
        <v>60</v>
      </c>
      <c r="T1839" s="46" t="s">
        <v>8304</v>
      </c>
      <c r="U1839" s="46" t="s">
        <v>7538</v>
      </c>
      <c r="V1839" s="46" t="s">
        <v>8136</v>
      </c>
      <c r="W1839" s="46" t="s">
        <v>384</v>
      </c>
      <c r="X1839" s="87" t="s">
        <v>8760</v>
      </c>
      <c r="Y1839" s="47" t="s">
        <v>7539</v>
      </c>
      <c r="Z1839" s="46" t="s">
        <v>7285</v>
      </c>
      <c r="AA1839" s="46" t="s">
        <v>3968</v>
      </c>
      <c r="AB1839" s="87" t="s">
        <v>8754</v>
      </c>
      <c r="AC1839" s="48" t="s">
        <v>7540</v>
      </c>
      <c r="AD1839" s="206" t="s">
        <v>8757</v>
      </c>
      <c r="AE1839" s="192">
        <v>1</v>
      </c>
      <c r="AF1839" s="100" t="s">
        <v>8722</v>
      </c>
      <c r="AG1839" s="100" t="s">
        <v>8925</v>
      </c>
      <c r="AH1839" s="100">
        <v>13</v>
      </c>
    </row>
    <row r="1840" spans="1:34" s="32" customFormat="1" ht="69.95" hidden="1" customHeight="1">
      <c r="A1840" s="29" t="s">
        <v>7538</v>
      </c>
      <c r="B1840" s="29" t="s">
        <v>3769</v>
      </c>
      <c r="C1840" s="32">
        <v>41</v>
      </c>
      <c r="E1840" s="86" t="s">
        <v>229</v>
      </c>
      <c r="F1840" s="86" t="s">
        <v>229</v>
      </c>
      <c r="G1840" s="29" t="s">
        <v>3526</v>
      </c>
      <c r="H1840" s="29"/>
      <c r="I1840" s="29"/>
      <c r="J1840" s="29">
        <f t="shared" si="139"/>
        <v>1</v>
      </c>
      <c r="K1840" s="42">
        <v>1826</v>
      </c>
      <c r="L1840" s="43" t="s">
        <v>3527</v>
      </c>
      <c r="M1840" s="44" t="s">
        <v>405</v>
      </c>
      <c r="N1840" s="90" t="s">
        <v>8638</v>
      </c>
      <c r="O1840" s="90" t="str">
        <f t="shared" si="143"/>
        <v>PE-L1-5C4-02</v>
      </c>
      <c r="P1840" s="45">
        <v>0.13</v>
      </c>
      <c r="Q1840" s="44">
        <v>220</v>
      </c>
      <c r="R1840" s="44" t="s">
        <v>509</v>
      </c>
      <c r="S1840" s="44">
        <v>60</v>
      </c>
      <c r="T1840" s="46" t="s">
        <v>8304</v>
      </c>
      <c r="U1840" s="46" t="s">
        <v>7538</v>
      </c>
      <c r="V1840" s="46" t="s">
        <v>8136</v>
      </c>
      <c r="W1840" s="46" t="s">
        <v>384</v>
      </c>
      <c r="X1840" s="87" t="s">
        <v>8740</v>
      </c>
      <c r="Y1840" s="47" t="s">
        <v>7541</v>
      </c>
      <c r="Z1840" s="46" t="s">
        <v>7285</v>
      </c>
      <c r="AA1840" s="46" t="s">
        <v>3968</v>
      </c>
      <c r="AB1840" s="87" t="s">
        <v>8739</v>
      </c>
      <c r="AC1840" s="48" t="s">
        <v>7542</v>
      </c>
      <c r="AD1840" s="206" t="s">
        <v>9498</v>
      </c>
      <c r="AE1840" s="192">
        <v>1</v>
      </c>
      <c r="AF1840" s="100" t="s">
        <v>8722</v>
      </c>
      <c r="AG1840" s="100" t="s">
        <v>8925</v>
      </c>
      <c r="AH1840" s="108">
        <v>15</v>
      </c>
    </row>
    <row r="1841" spans="1:34" s="32" customFormat="1" ht="69.95" hidden="1" customHeight="1">
      <c r="A1841" s="29" t="s">
        <v>7543</v>
      </c>
      <c r="B1841" s="29" t="s">
        <v>3769</v>
      </c>
      <c r="C1841" s="32">
        <v>42</v>
      </c>
      <c r="E1841" s="89" t="s">
        <v>8107</v>
      </c>
      <c r="F1841" s="89" t="s">
        <v>8107</v>
      </c>
      <c r="G1841" s="29" t="s">
        <v>3528</v>
      </c>
      <c r="H1841" s="29"/>
      <c r="I1841" s="29"/>
      <c r="J1841" s="29">
        <f t="shared" si="139"/>
        <v>1</v>
      </c>
      <c r="K1841" s="42">
        <v>1827</v>
      </c>
      <c r="L1841" s="43" t="s">
        <v>3529</v>
      </c>
      <c r="M1841" s="44" t="s">
        <v>405</v>
      </c>
      <c r="N1841" s="90" t="s">
        <v>7984</v>
      </c>
      <c r="O1841" s="90" t="str">
        <f t="shared" si="143"/>
        <v>PE-L1-3C4-01</v>
      </c>
      <c r="P1841" s="45">
        <v>8.0000000000000002E-3</v>
      </c>
      <c r="Q1841" s="44">
        <v>220</v>
      </c>
      <c r="R1841" s="44" t="s">
        <v>509</v>
      </c>
      <c r="S1841" s="44">
        <v>60</v>
      </c>
      <c r="T1841" s="46" t="s">
        <v>8304</v>
      </c>
      <c r="U1841" s="46" t="s">
        <v>7543</v>
      </c>
      <c r="V1841" s="46" t="s">
        <v>8136</v>
      </c>
      <c r="W1841" s="46" t="s">
        <v>384</v>
      </c>
      <c r="X1841" s="87" t="s">
        <v>8760</v>
      </c>
      <c r="Y1841" s="47" t="s">
        <v>7544</v>
      </c>
      <c r="Z1841" s="46" t="s">
        <v>7291</v>
      </c>
      <c r="AA1841" s="46" t="s">
        <v>3968</v>
      </c>
      <c r="AB1841" s="87" t="s">
        <v>8754</v>
      </c>
      <c r="AC1841" s="48" t="s">
        <v>7545</v>
      </c>
      <c r="AD1841" s="206" t="s">
        <v>8761</v>
      </c>
      <c r="AE1841" s="192">
        <v>1</v>
      </c>
      <c r="AF1841" s="100" t="s">
        <v>8722</v>
      </c>
      <c r="AG1841" s="100" t="s">
        <v>8925</v>
      </c>
      <c r="AH1841" s="100">
        <v>13</v>
      </c>
    </row>
    <row r="1842" spans="1:34" s="32" customFormat="1" ht="69.95" hidden="1" customHeight="1">
      <c r="A1842" s="29" t="s">
        <v>7543</v>
      </c>
      <c r="B1842" s="29" t="s">
        <v>3769</v>
      </c>
      <c r="C1842" s="32">
        <v>43</v>
      </c>
      <c r="E1842" s="86" t="s">
        <v>229</v>
      </c>
      <c r="F1842" s="86" t="s">
        <v>229</v>
      </c>
      <c r="G1842" s="29" t="s">
        <v>3530</v>
      </c>
      <c r="H1842" s="29"/>
      <c r="I1842" s="29"/>
      <c r="J1842" s="29">
        <f t="shared" si="139"/>
        <v>1</v>
      </c>
      <c r="K1842" s="42">
        <v>1828</v>
      </c>
      <c r="L1842" s="43" t="s">
        <v>3531</v>
      </c>
      <c r="M1842" s="44" t="s">
        <v>405</v>
      </c>
      <c r="N1842" s="90" t="s">
        <v>8638</v>
      </c>
      <c r="O1842" s="90" t="str">
        <f t="shared" si="143"/>
        <v>PE-L1-5C4-02</v>
      </c>
      <c r="P1842" s="45">
        <v>0.13</v>
      </c>
      <c r="Q1842" s="44">
        <v>220</v>
      </c>
      <c r="R1842" s="44" t="s">
        <v>509</v>
      </c>
      <c r="S1842" s="44">
        <v>60</v>
      </c>
      <c r="T1842" s="46" t="s">
        <v>8304</v>
      </c>
      <c r="U1842" s="46" t="s">
        <v>7543</v>
      </c>
      <c r="V1842" s="46" t="s">
        <v>8136</v>
      </c>
      <c r="W1842" s="46" t="s">
        <v>384</v>
      </c>
      <c r="X1842" s="87" t="s">
        <v>8740</v>
      </c>
      <c r="Y1842" s="47" t="s">
        <v>7546</v>
      </c>
      <c r="Z1842" s="46" t="s">
        <v>7291</v>
      </c>
      <c r="AA1842" s="46" t="s">
        <v>3968</v>
      </c>
      <c r="AB1842" s="87" t="s">
        <v>8739</v>
      </c>
      <c r="AC1842" s="48" t="s">
        <v>7547</v>
      </c>
      <c r="AD1842" s="206" t="s">
        <v>8762</v>
      </c>
      <c r="AE1842" s="192">
        <v>1</v>
      </c>
      <c r="AF1842" s="100" t="s">
        <v>8722</v>
      </c>
      <c r="AG1842" s="100" t="s">
        <v>8925</v>
      </c>
      <c r="AH1842" s="108">
        <v>15</v>
      </c>
    </row>
    <row r="1843" spans="1:34" s="32" customFormat="1" ht="69.95" hidden="1" customHeight="1">
      <c r="A1843" s="29" t="s">
        <v>7548</v>
      </c>
      <c r="B1843" s="29" t="s">
        <v>3769</v>
      </c>
      <c r="C1843" s="32">
        <v>44</v>
      </c>
      <c r="E1843" s="89" t="s">
        <v>8107</v>
      </c>
      <c r="F1843" s="89" t="s">
        <v>8107</v>
      </c>
      <c r="G1843" s="29" t="s">
        <v>3532</v>
      </c>
      <c r="H1843" s="29"/>
      <c r="I1843" s="29"/>
      <c r="J1843" s="29">
        <f t="shared" si="139"/>
        <v>1</v>
      </c>
      <c r="K1843" s="42">
        <v>1829</v>
      </c>
      <c r="L1843" s="43" t="s">
        <v>3533</v>
      </c>
      <c r="M1843" s="44" t="s">
        <v>405</v>
      </c>
      <c r="N1843" s="90" t="s">
        <v>7984</v>
      </c>
      <c r="O1843" s="90" t="str">
        <f t="shared" si="143"/>
        <v>PE-L1-3C4-01</v>
      </c>
      <c r="P1843" s="45">
        <v>8.0000000000000002E-3</v>
      </c>
      <c r="Q1843" s="44">
        <v>220</v>
      </c>
      <c r="R1843" s="44" t="s">
        <v>509</v>
      </c>
      <c r="S1843" s="44">
        <v>60</v>
      </c>
      <c r="T1843" s="46" t="s">
        <v>8304</v>
      </c>
      <c r="U1843" s="46" t="s">
        <v>7548</v>
      </c>
      <c r="V1843" s="46" t="s">
        <v>8136</v>
      </c>
      <c r="W1843" s="46" t="s">
        <v>384</v>
      </c>
      <c r="X1843" s="87" t="s">
        <v>8760</v>
      </c>
      <c r="Y1843" s="47" t="s">
        <v>7549</v>
      </c>
      <c r="Z1843" s="46" t="s">
        <v>7297</v>
      </c>
      <c r="AA1843" s="46" t="s">
        <v>3968</v>
      </c>
      <c r="AB1843" s="87" t="s">
        <v>8754</v>
      </c>
      <c r="AC1843" s="48" t="s">
        <v>7550</v>
      </c>
      <c r="AD1843" s="206" t="s">
        <v>8769</v>
      </c>
      <c r="AE1843" s="192">
        <v>1</v>
      </c>
      <c r="AF1843" s="100" t="s">
        <v>8722</v>
      </c>
      <c r="AG1843" s="100" t="s">
        <v>8925</v>
      </c>
      <c r="AH1843" s="100">
        <v>13</v>
      </c>
    </row>
    <row r="1844" spans="1:34" s="32" customFormat="1" ht="69.95" hidden="1" customHeight="1">
      <c r="A1844" s="29" t="s">
        <v>7548</v>
      </c>
      <c r="B1844" s="29" t="s">
        <v>3769</v>
      </c>
      <c r="C1844" s="32">
        <v>45</v>
      </c>
      <c r="E1844" s="86" t="s">
        <v>229</v>
      </c>
      <c r="F1844" s="86" t="s">
        <v>229</v>
      </c>
      <c r="G1844" s="29" t="s">
        <v>3534</v>
      </c>
      <c r="H1844" s="29"/>
      <c r="I1844" s="29"/>
      <c r="J1844" s="29">
        <f t="shared" si="139"/>
        <v>1</v>
      </c>
      <c r="K1844" s="42">
        <v>1830</v>
      </c>
      <c r="L1844" s="43" t="s">
        <v>3535</v>
      </c>
      <c r="M1844" s="44" t="s">
        <v>405</v>
      </c>
      <c r="N1844" s="90" t="s">
        <v>8638</v>
      </c>
      <c r="O1844" s="90" t="str">
        <f t="shared" si="143"/>
        <v>PE-L1-5C4-02</v>
      </c>
      <c r="P1844" s="45">
        <v>0.13</v>
      </c>
      <c r="Q1844" s="44">
        <v>220</v>
      </c>
      <c r="R1844" s="44" t="s">
        <v>509</v>
      </c>
      <c r="S1844" s="44">
        <v>60</v>
      </c>
      <c r="T1844" s="46" t="s">
        <v>8304</v>
      </c>
      <c r="U1844" s="46" t="s">
        <v>7548</v>
      </c>
      <c r="V1844" s="46" t="s">
        <v>8136</v>
      </c>
      <c r="W1844" s="46" t="s">
        <v>384</v>
      </c>
      <c r="X1844" s="87" t="s">
        <v>8740</v>
      </c>
      <c r="Y1844" s="47" t="s">
        <v>7551</v>
      </c>
      <c r="Z1844" s="46" t="s">
        <v>7297</v>
      </c>
      <c r="AA1844" s="46" t="s">
        <v>3968</v>
      </c>
      <c r="AB1844" s="87" t="s">
        <v>8739</v>
      </c>
      <c r="AC1844" s="48" t="s">
        <v>7552</v>
      </c>
      <c r="AD1844" s="206" t="s">
        <v>8770</v>
      </c>
      <c r="AE1844" s="192">
        <v>1</v>
      </c>
      <c r="AF1844" s="100" t="s">
        <v>8722</v>
      </c>
      <c r="AG1844" s="100" t="s">
        <v>8925</v>
      </c>
      <c r="AH1844" s="108">
        <v>15</v>
      </c>
    </row>
    <row r="1845" spans="1:34" s="32" customFormat="1" ht="69.95" hidden="1" customHeight="1">
      <c r="A1845" s="29" t="s">
        <v>7553</v>
      </c>
      <c r="B1845" s="29" t="s">
        <v>3769</v>
      </c>
      <c r="C1845" s="32">
        <v>46</v>
      </c>
      <c r="E1845" s="89" t="s">
        <v>8107</v>
      </c>
      <c r="F1845" s="89" t="s">
        <v>8107</v>
      </c>
      <c r="G1845" s="29" t="s">
        <v>3536</v>
      </c>
      <c r="H1845" s="29"/>
      <c r="I1845" s="29"/>
      <c r="J1845" s="29">
        <f t="shared" si="139"/>
        <v>1</v>
      </c>
      <c r="K1845" s="42">
        <v>1831</v>
      </c>
      <c r="L1845" s="43" t="s">
        <v>3537</v>
      </c>
      <c r="M1845" s="44" t="s">
        <v>405</v>
      </c>
      <c r="N1845" s="90" t="s">
        <v>7984</v>
      </c>
      <c r="O1845" s="90" t="str">
        <f t="shared" si="143"/>
        <v>PE-L1-3C4-01</v>
      </c>
      <c r="P1845" s="45">
        <v>8.0000000000000002E-3</v>
      </c>
      <c r="Q1845" s="44">
        <v>220</v>
      </c>
      <c r="R1845" s="44" t="s">
        <v>509</v>
      </c>
      <c r="S1845" s="44">
        <v>60</v>
      </c>
      <c r="T1845" s="46" t="s">
        <v>8304</v>
      </c>
      <c r="U1845" s="46" t="s">
        <v>7553</v>
      </c>
      <c r="V1845" s="46" t="s">
        <v>8136</v>
      </c>
      <c r="W1845" s="46" t="s">
        <v>384</v>
      </c>
      <c r="X1845" s="87" t="s">
        <v>8760</v>
      </c>
      <c r="Y1845" s="47" t="s">
        <v>7554</v>
      </c>
      <c r="Z1845" s="46" t="s">
        <v>7303</v>
      </c>
      <c r="AA1845" s="46" t="s">
        <v>3968</v>
      </c>
      <c r="AB1845" s="87" t="s">
        <v>8754</v>
      </c>
      <c r="AC1845" s="48" t="s">
        <v>7555</v>
      </c>
      <c r="AD1845" s="206" t="s">
        <v>8777</v>
      </c>
      <c r="AE1845" s="192">
        <v>1</v>
      </c>
      <c r="AF1845" s="100" t="s">
        <v>8722</v>
      </c>
      <c r="AG1845" s="100" t="s">
        <v>8925</v>
      </c>
      <c r="AH1845" s="100">
        <v>13</v>
      </c>
    </row>
    <row r="1846" spans="1:34" s="32" customFormat="1" ht="69.95" hidden="1" customHeight="1">
      <c r="A1846" s="29" t="s">
        <v>7553</v>
      </c>
      <c r="B1846" s="29" t="s">
        <v>3769</v>
      </c>
      <c r="C1846" s="32">
        <v>47</v>
      </c>
      <c r="E1846" s="86" t="s">
        <v>229</v>
      </c>
      <c r="F1846" s="86" t="s">
        <v>229</v>
      </c>
      <c r="G1846" s="29" t="s">
        <v>3538</v>
      </c>
      <c r="H1846" s="29"/>
      <c r="I1846" s="29"/>
      <c r="J1846" s="29">
        <f t="shared" si="139"/>
        <v>1</v>
      </c>
      <c r="K1846" s="42">
        <v>1832</v>
      </c>
      <c r="L1846" s="43" t="s">
        <v>3539</v>
      </c>
      <c r="M1846" s="44" t="s">
        <v>405</v>
      </c>
      <c r="N1846" s="90" t="s">
        <v>8638</v>
      </c>
      <c r="O1846" s="90" t="str">
        <f t="shared" si="143"/>
        <v>PE-L1-5C4-02</v>
      </c>
      <c r="P1846" s="45">
        <v>0.13</v>
      </c>
      <c r="Q1846" s="44">
        <v>220</v>
      </c>
      <c r="R1846" s="44" t="s">
        <v>509</v>
      </c>
      <c r="S1846" s="44">
        <v>60</v>
      </c>
      <c r="T1846" s="46" t="s">
        <v>8304</v>
      </c>
      <c r="U1846" s="46" t="s">
        <v>7553</v>
      </c>
      <c r="V1846" s="46" t="s">
        <v>8136</v>
      </c>
      <c r="W1846" s="46" t="s">
        <v>384</v>
      </c>
      <c r="X1846" s="87" t="s">
        <v>8740</v>
      </c>
      <c r="Y1846" s="47" t="s">
        <v>7556</v>
      </c>
      <c r="Z1846" s="46" t="s">
        <v>7303</v>
      </c>
      <c r="AA1846" s="46" t="s">
        <v>3968</v>
      </c>
      <c r="AB1846" s="87" t="s">
        <v>8739</v>
      </c>
      <c r="AC1846" s="48" t="s">
        <v>7557</v>
      </c>
      <c r="AD1846" s="206" t="s">
        <v>8778</v>
      </c>
      <c r="AE1846" s="192">
        <v>1</v>
      </c>
      <c r="AF1846" s="100" t="s">
        <v>8722</v>
      </c>
      <c r="AG1846" s="100" t="s">
        <v>8925</v>
      </c>
      <c r="AH1846" s="108">
        <v>15</v>
      </c>
    </row>
    <row r="1847" spans="1:34" s="32" customFormat="1" ht="69.95" hidden="1" customHeight="1">
      <c r="A1847" s="29" t="s">
        <v>7558</v>
      </c>
      <c r="B1847" s="29" t="s">
        <v>3769</v>
      </c>
      <c r="C1847" s="32">
        <v>48</v>
      </c>
      <c r="E1847" s="89" t="s">
        <v>8022</v>
      </c>
      <c r="F1847" s="89" t="s">
        <v>8022</v>
      </c>
      <c r="G1847" s="29" t="s">
        <v>3540</v>
      </c>
      <c r="H1847" s="29"/>
      <c r="I1847" s="29"/>
      <c r="J1847" s="29">
        <f t="shared" si="139"/>
        <v>1</v>
      </c>
      <c r="K1847" s="42">
        <v>1833</v>
      </c>
      <c r="L1847" s="43" t="s">
        <v>3541</v>
      </c>
      <c r="M1847" s="44" t="s">
        <v>405</v>
      </c>
      <c r="N1847" s="90" t="s">
        <v>7984</v>
      </c>
      <c r="O1847" s="90" t="str">
        <f t="shared" si="143"/>
        <v>PE-L1-3C4-06</v>
      </c>
      <c r="P1847" s="45">
        <v>8.0000000000000002E-3</v>
      </c>
      <c r="Q1847" s="44">
        <v>220</v>
      </c>
      <c r="R1847" s="44" t="s">
        <v>509</v>
      </c>
      <c r="S1847" s="44">
        <v>60</v>
      </c>
      <c r="T1847" s="46" t="s">
        <v>8304</v>
      </c>
      <c r="U1847" s="46" t="s">
        <v>7558</v>
      </c>
      <c r="V1847" s="46" t="s">
        <v>8136</v>
      </c>
      <c r="W1847" s="46" t="s">
        <v>384</v>
      </c>
      <c r="X1847" s="87" t="s">
        <v>8760</v>
      </c>
      <c r="Y1847" s="47" t="s">
        <v>7559</v>
      </c>
      <c r="Z1847" s="46" t="s">
        <v>7309</v>
      </c>
      <c r="AA1847" s="46" t="s">
        <v>3968</v>
      </c>
      <c r="AB1847" s="87" t="s">
        <v>8754</v>
      </c>
      <c r="AC1847" s="48" t="s">
        <v>7560</v>
      </c>
      <c r="AD1847" s="206" t="s">
        <v>8786</v>
      </c>
      <c r="AE1847" s="202">
        <v>1</v>
      </c>
      <c r="AF1847" s="109" t="s">
        <v>8722</v>
      </c>
      <c r="AG1847" s="109" t="s">
        <v>8925</v>
      </c>
      <c r="AH1847" s="109">
        <v>13</v>
      </c>
    </row>
    <row r="1848" spans="1:34" s="32" customFormat="1" ht="69.95" hidden="1" customHeight="1">
      <c r="A1848" s="29" t="s">
        <v>7558</v>
      </c>
      <c r="B1848" s="29" t="s">
        <v>3769</v>
      </c>
      <c r="C1848" s="32">
        <v>49</v>
      </c>
      <c r="E1848" s="86" t="s">
        <v>229</v>
      </c>
      <c r="F1848" s="86" t="s">
        <v>229</v>
      </c>
      <c r="G1848" s="29" t="s">
        <v>3542</v>
      </c>
      <c r="H1848" s="29"/>
      <c r="I1848" s="29"/>
      <c r="J1848" s="29">
        <f t="shared" si="139"/>
        <v>1</v>
      </c>
      <c r="K1848" s="42">
        <v>1834</v>
      </c>
      <c r="L1848" s="43" t="s">
        <v>3543</v>
      </c>
      <c r="M1848" s="44" t="s">
        <v>405</v>
      </c>
      <c r="N1848" s="90" t="s">
        <v>8638</v>
      </c>
      <c r="O1848" s="90" t="str">
        <f t="shared" si="143"/>
        <v>PE-L1-5C4-02</v>
      </c>
      <c r="P1848" s="45">
        <v>0.13</v>
      </c>
      <c r="Q1848" s="44">
        <v>220</v>
      </c>
      <c r="R1848" s="44" t="s">
        <v>509</v>
      </c>
      <c r="S1848" s="44">
        <v>60</v>
      </c>
      <c r="T1848" s="46" t="s">
        <v>8304</v>
      </c>
      <c r="U1848" s="46" t="s">
        <v>7558</v>
      </c>
      <c r="V1848" s="46" t="s">
        <v>8136</v>
      </c>
      <c r="W1848" s="46" t="s">
        <v>384</v>
      </c>
      <c r="X1848" s="87" t="s">
        <v>8740</v>
      </c>
      <c r="Y1848" s="47" t="s">
        <v>7561</v>
      </c>
      <c r="Z1848" s="46" t="s">
        <v>7309</v>
      </c>
      <c r="AA1848" s="46" t="s">
        <v>3968</v>
      </c>
      <c r="AB1848" s="87" t="s">
        <v>8739</v>
      </c>
      <c r="AC1848" s="48" t="s">
        <v>7562</v>
      </c>
      <c r="AD1848" s="206" t="s">
        <v>8787</v>
      </c>
      <c r="AE1848" s="202">
        <v>1</v>
      </c>
      <c r="AF1848" s="109" t="s">
        <v>8722</v>
      </c>
      <c r="AG1848" s="109" t="s">
        <v>8925</v>
      </c>
      <c r="AH1848" s="111">
        <v>15</v>
      </c>
    </row>
    <row r="1849" spans="1:34" s="32" customFormat="1" ht="69.95" hidden="1" customHeight="1">
      <c r="A1849" s="29" t="s">
        <v>7563</v>
      </c>
      <c r="B1849" s="29" t="s">
        <v>3769</v>
      </c>
      <c r="C1849" s="32">
        <v>50</v>
      </c>
      <c r="D1849" s="124" t="s">
        <v>9444</v>
      </c>
      <c r="E1849" s="56" t="s">
        <v>8307</v>
      </c>
      <c r="F1849" s="57" t="s">
        <v>8307</v>
      </c>
      <c r="G1849" s="29" t="s">
        <v>3544</v>
      </c>
      <c r="H1849" s="124" t="s">
        <v>9445</v>
      </c>
      <c r="I1849" s="124" t="s">
        <v>9121</v>
      </c>
      <c r="J1849" s="29">
        <f t="shared" si="139"/>
        <v>1</v>
      </c>
      <c r="K1849" s="42">
        <v>1835</v>
      </c>
      <c r="L1849" s="152" t="s">
        <v>3545</v>
      </c>
      <c r="M1849" s="44" t="s">
        <v>405</v>
      </c>
      <c r="N1849" s="44" t="s">
        <v>426</v>
      </c>
      <c r="O1849" s="44" t="str">
        <f t="shared" si="143"/>
        <v>PE-L1-3C4-15</v>
      </c>
      <c r="P1849" s="45">
        <v>0.16</v>
      </c>
      <c r="Q1849" s="44">
        <v>230</v>
      </c>
      <c r="R1849" s="44" t="s">
        <v>49</v>
      </c>
      <c r="S1849" s="44">
        <v>50</v>
      </c>
      <c r="T1849" s="46" t="s">
        <v>7981</v>
      </c>
      <c r="U1849" s="46" t="s">
        <v>7563</v>
      </c>
      <c r="V1849" s="46" t="s">
        <v>8686</v>
      </c>
      <c r="W1849" s="46" t="s">
        <v>384</v>
      </c>
      <c r="X1849" s="172" t="s">
        <v>9167</v>
      </c>
      <c r="Y1849" s="47" t="s">
        <v>7564</v>
      </c>
      <c r="Z1849" s="46" t="s">
        <v>7315</v>
      </c>
      <c r="AA1849" s="46" t="s">
        <v>3968</v>
      </c>
      <c r="AB1849" s="172" t="s">
        <v>9167</v>
      </c>
      <c r="AC1849" s="48" t="s">
        <v>7565</v>
      </c>
      <c r="AD1849" s="206" t="s">
        <v>8792</v>
      </c>
      <c r="AE1849" s="192">
        <v>1</v>
      </c>
      <c r="AF1849" s="100" t="s">
        <v>8722</v>
      </c>
      <c r="AG1849" s="100" t="s">
        <v>8925</v>
      </c>
      <c r="AH1849" s="100">
        <v>13</v>
      </c>
    </row>
    <row r="1850" spans="1:34" s="32" customFormat="1" ht="69.95" hidden="1" customHeight="1">
      <c r="A1850" s="29" t="s">
        <v>7566</v>
      </c>
      <c r="B1850" s="29" t="s">
        <v>3769</v>
      </c>
      <c r="C1850" s="32">
        <v>51</v>
      </c>
      <c r="D1850" s="181" t="s">
        <v>9449</v>
      </c>
      <c r="E1850" s="89" t="s">
        <v>8022</v>
      </c>
      <c r="F1850" s="121" t="s">
        <v>189</v>
      </c>
      <c r="G1850" s="29" t="s">
        <v>3546</v>
      </c>
      <c r="H1850" s="124" t="s">
        <v>9445</v>
      </c>
      <c r="I1850" s="124" t="s">
        <v>9121</v>
      </c>
      <c r="J1850" s="29">
        <f t="shared" si="139"/>
        <v>1</v>
      </c>
      <c r="K1850" s="42">
        <v>1836</v>
      </c>
      <c r="L1850" s="152" t="s">
        <v>9135</v>
      </c>
      <c r="M1850" s="44" t="s">
        <v>405</v>
      </c>
      <c r="N1850" s="44" t="s">
        <v>426</v>
      </c>
      <c r="O1850" s="121" t="str">
        <f t="shared" si="143"/>
        <v>PE-L1-3C4-13</v>
      </c>
      <c r="P1850" s="45">
        <v>0.125</v>
      </c>
      <c r="Q1850" s="44">
        <v>230</v>
      </c>
      <c r="R1850" s="44" t="s">
        <v>49</v>
      </c>
      <c r="S1850" s="101">
        <v>60</v>
      </c>
      <c r="T1850" s="46" t="s">
        <v>7981</v>
      </c>
      <c r="U1850" s="46" t="s">
        <v>7566</v>
      </c>
      <c r="V1850" s="46" t="s">
        <v>8686</v>
      </c>
      <c r="W1850" s="46" t="s">
        <v>384</v>
      </c>
      <c r="X1850" s="172" t="s">
        <v>9167</v>
      </c>
      <c r="Y1850" s="47" t="s">
        <v>7567</v>
      </c>
      <c r="Z1850" s="46" t="s">
        <v>7319</v>
      </c>
      <c r="AA1850" s="46" t="s">
        <v>3968</v>
      </c>
      <c r="AB1850" s="172" t="s">
        <v>9167</v>
      </c>
      <c r="AC1850" s="48" t="s">
        <v>7568</v>
      </c>
      <c r="AD1850" s="206" t="s">
        <v>8795</v>
      </c>
      <c r="AE1850" s="192">
        <v>1</v>
      </c>
      <c r="AF1850" s="100" t="s">
        <v>8722</v>
      </c>
      <c r="AG1850" s="100" t="s">
        <v>8925</v>
      </c>
      <c r="AH1850" s="100">
        <v>13</v>
      </c>
    </row>
    <row r="1851" spans="1:34" s="32" customFormat="1" ht="69.95" hidden="1" customHeight="1">
      <c r="A1851" s="29" t="s">
        <v>8664</v>
      </c>
      <c r="B1851" s="29" t="s">
        <v>3769</v>
      </c>
      <c r="C1851" s="32">
        <v>54</v>
      </c>
      <c r="E1851" s="58" t="s">
        <v>68</v>
      </c>
      <c r="F1851" s="57" t="s">
        <v>68</v>
      </c>
      <c r="G1851" s="29" t="s">
        <v>3547</v>
      </c>
      <c r="H1851" s="124" t="s">
        <v>9445</v>
      </c>
      <c r="I1851" s="124" t="s">
        <v>9121</v>
      </c>
      <c r="J1851" s="29">
        <f t="shared" si="139"/>
        <v>1</v>
      </c>
      <c r="K1851" s="42">
        <v>1837</v>
      </c>
      <c r="L1851" s="152" t="s">
        <v>3548</v>
      </c>
      <c r="M1851" s="44" t="s">
        <v>405</v>
      </c>
      <c r="N1851" s="44" t="s">
        <v>543</v>
      </c>
      <c r="O1851" s="101" t="str">
        <f t="shared" ref="O1851:O1852" si="144">F1851</f>
        <v>PE-L1-4C10-01</v>
      </c>
      <c r="P1851" s="45">
        <v>22</v>
      </c>
      <c r="Q1851" s="44">
        <v>400</v>
      </c>
      <c r="R1851" s="44" t="s">
        <v>412</v>
      </c>
      <c r="S1851" s="101">
        <v>60</v>
      </c>
      <c r="T1851" s="46" t="s">
        <v>7981</v>
      </c>
      <c r="U1851" s="46" t="s">
        <v>8177</v>
      </c>
      <c r="V1851" s="46" t="s">
        <v>8690</v>
      </c>
      <c r="W1851" s="46" t="s">
        <v>384</v>
      </c>
      <c r="X1851" s="47" t="s">
        <v>9305</v>
      </c>
      <c r="Y1851" s="47" t="s">
        <v>7569</v>
      </c>
      <c r="Z1851" s="46" t="s">
        <v>8031</v>
      </c>
      <c r="AA1851" s="46" t="s">
        <v>3968</v>
      </c>
      <c r="AB1851" s="47" t="s">
        <v>9305</v>
      </c>
      <c r="AC1851" s="48" t="s">
        <v>7570</v>
      </c>
      <c r="AD1851" s="30"/>
      <c r="AE1851" s="192">
        <v>1</v>
      </c>
      <c r="AF1851" s="100" t="s">
        <v>8824</v>
      </c>
      <c r="AG1851" s="100" t="s">
        <v>8931</v>
      </c>
      <c r="AH1851" s="100">
        <v>18</v>
      </c>
    </row>
    <row r="1852" spans="1:34" s="32" customFormat="1" ht="69.95" hidden="1" customHeight="1">
      <c r="A1852" s="29" t="s">
        <v>7571</v>
      </c>
      <c r="B1852" s="29" t="s">
        <v>3769</v>
      </c>
      <c r="C1852" s="32">
        <v>55</v>
      </c>
      <c r="E1852" s="57" t="s">
        <v>68</v>
      </c>
      <c r="F1852" s="57" t="s">
        <v>68</v>
      </c>
      <c r="G1852" s="29" t="s">
        <v>3549</v>
      </c>
      <c r="H1852" s="124" t="s">
        <v>9445</v>
      </c>
      <c r="I1852" s="124" t="s">
        <v>9121</v>
      </c>
      <c r="J1852" s="29">
        <f t="shared" si="139"/>
        <v>1</v>
      </c>
      <c r="K1852" s="42">
        <v>1838</v>
      </c>
      <c r="L1852" s="152" t="s">
        <v>3550</v>
      </c>
      <c r="M1852" s="44" t="s">
        <v>405</v>
      </c>
      <c r="N1852" s="44" t="s">
        <v>543</v>
      </c>
      <c r="O1852" s="101" t="str">
        <f t="shared" si="144"/>
        <v>PE-L1-4C10-01</v>
      </c>
      <c r="P1852" s="45">
        <v>22</v>
      </c>
      <c r="Q1852" s="44">
        <v>400</v>
      </c>
      <c r="R1852" s="44" t="s">
        <v>49</v>
      </c>
      <c r="S1852" s="101">
        <v>60</v>
      </c>
      <c r="T1852" s="46" t="s">
        <v>7981</v>
      </c>
      <c r="U1852" s="46" t="s">
        <v>7571</v>
      </c>
      <c r="V1852" s="46" t="s">
        <v>8686</v>
      </c>
      <c r="W1852" s="46" t="s">
        <v>384</v>
      </c>
      <c r="X1852" s="47" t="s">
        <v>9305</v>
      </c>
      <c r="Y1852" s="47" t="s">
        <v>7572</v>
      </c>
      <c r="Z1852" s="46" t="s">
        <v>7327</v>
      </c>
      <c r="AA1852" s="46" t="s">
        <v>3968</v>
      </c>
      <c r="AB1852" s="47" t="s">
        <v>9305</v>
      </c>
      <c r="AC1852" s="48" t="s">
        <v>7573</v>
      </c>
      <c r="AD1852" s="30"/>
      <c r="AE1852" s="192">
        <v>1</v>
      </c>
      <c r="AF1852" s="100" t="s">
        <v>8824</v>
      </c>
      <c r="AG1852" s="100" t="s">
        <v>8931</v>
      </c>
      <c r="AH1852" s="100">
        <v>18</v>
      </c>
    </row>
    <row r="1853" spans="1:34" s="32" customFormat="1" ht="69.95" hidden="1" customHeight="1">
      <c r="A1853" s="29" t="s">
        <v>7574</v>
      </c>
      <c r="B1853" s="29" t="s">
        <v>3769</v>
      </c>
      <c r="C1853" s="32">
        <v>56</v>
      </c>
      <c r="E1853" s="89" t="s">
        <v>8022</v>
      </c>
      <c r="F1853" s="89" t="s">
        <v>8022</v>
      </c>
      <c r="G1853" s="29" t="s">
        <v>3551</v>
      </c>
      <c r="H1853" s="29"/>
      <c r="I1853" s="29"/>
      <c r="J1853" s="29">
        <f t="shared" si="139"/>
        <v>1</v>
      </c>
      <c r="K1853" s="42">
        <v>1839</v>
      </c>
      <c r="L1853" s="43" t="s">
        <v>3552</v>
      </c>
      <c r="M1853" s="44" t="s">
        <v>405</v>
      </c>
      <c r="N1853" s="90" t="s">
        <v>7984</v>
      </c>
      <c r="O1853" s="90" t="str">
        <f>F1853</f>
        <v>PE-L1-3C4-06</v>
      </c>
      <c r="P1853" s="45">
        <v>0.1</v>
      </c>
      <c r="Q1853" s="44">
        <v>220</v>
      </c>
      <c r="R1853" s="44" t="s">
        <v>509</v>
      </c>
      <c r="S1853" s="44">
        <v>40</v>
      </c>
      <c r="T1853" s="46" t="s">
        <v>7981</v>
      </c>
      <c r="U1853" s="46" t="s">
        <v>7574</v>
      </c>
      <c r="V1853" s="46" t="s">
        <v>8136</v>
      </c>
      <c r="W1853" s="46" t="s">
        <v>384</v>
      </c>
      <c r="X1853" s="87" t="s">
        <v>8800</v>
      </c>
      <c r="Y1853" s="47" t="s">
        <v>7575</v>
      </c>
      <c r="Z1853" s="46" t="s">
        <v>8171</v>
      </c>
      <c r="AA1853" s="46" t="s">
        <v>3968</v>
      </c>
      <c r="AB1853" s="87" t="s">
        <v>8754</v>
      </c>
      <c r="AC1853" s="48" t="s">
        <v>7576</v>
      </c>
      <c r="AD1853" s="30"/>
      <c r="AE1853" s="192">
        <v>1</v>
      </c>
      <c r="AF1853" s="100" t="s">
        <v>8722</v>
      </c>
      <c r="AG1853" s="100" t="s">
        <v>8925</v>
      </c>
      <c r="AH1853" s="100">
        <v>13</v>
      </c>
    </row>
    <row r="1854" spans="1:34" s="32" customFormat="1" ht="69.95" hidden="1" customHeight="1">
      <c r="A1854" s="29" t="s">
        <v>7574</v>
      </c>
      <c r="B1854" s="29" t="s">
        <v>3769</v>
      </c>
      <c r="C1854" s="32">
        <v>57</v>
      </c>
      <c r="E1854" s="89" t="s">
        <v>8804</v>
      </c>
      <c r="F1854" s="89" t="s">
        <v>8804</v>
      </c>
      <c r="G1854" s="29" t="s">
        <v>3553</v>
      </c>
      <c r="H1854" s="29"/>
      <c r="I1854" s="29"/>
      <c r="J1854" s="29">
        <f t="shared" si="139"/>
        <v>1</v>
      </c>
      <c r="K1854" s="42">
        <v>1840</v>
      </c>
      <c r="L1854" s="43" t="s">
        <v>3554</v>
      </c>
      <c r="M1854" s="44" t="s">
        <v>405</v>
      </c>
      <c r="N1854" s="90" t="s">
        <v>8628</v>
      </c>
      <c r="O1854" s="90" t="str">
        <f>F1854</f>
        <v>PE-L1-4C6-01</v>
      </c>
      <c r="P1854" s="45">
        <v>3.7</v>
      </c>
      <c r="Q1854" s="44">
        <v>220</v>
      </c>
      <c r="R1854" s="44" t="s">
        <v>509</v>
      </c>
      <c r="S1854" s="44">
        <v>40</v>
      </c>
      <c r="T1854" s="46" t="s">
        <v>7981</v>
      </c>
      <c r="U1854" s="46" t="s">
        <v>7574</v>
      </c>
      <c r="V1854" s="46" t="s">
        <v>8136</v>
      </c>
      <c r="W1854" s="46" t="s">
        <v>384</v>
      </c>
      <c r="X1854" s="87" t="s">
        <v>8801</v>
      </c>
      <c r="Y1854" s="47" t="s">
        <v>7577</v>
      </c>
      <c r="Z1854" s="46" t="s">
        <v>7331</v>
      </c>
      <c r="AA1854" s="46" t="s">
        <v>3968</v>
      </c>
      <c r="AB1854" s="87" t="s">
        <v>8798</v>
      </c>
      <c r="AC1854" s="48" t="s">
        <v>7578</v>
      </c>
      <c r="AD1854" s="30"/>
      <c r="AE1854" s="192">
        <v>1</v>
      </c>
      <c r="AF1854" s="100" t="s">
        <v>8722</v>
      </c>
      <c r="AG1854" s="100" t="s">
        <v>8925</v>
      </c>
      <c r="AH1854" s="108">
        <v>15.5</v>
      </c>
    </row>
    <row r="1855" spans="1:34" s="32" customFormat="1" ht="69.95" hidden="1" customHeight="1">
      <c r="A1855" s="29" t="s">
        <v>7574</v>
      </c>
      <c r="B1855" s="29" t="s">
        <v>3769</v>
      </c>
      <c r="C1855" s="32">
        <v>58</v>
      </c>
      <c r="E1855" s="89" t="s">
        <v>8805</v>
      </c>
      <c r="F1855" s="89" t="s">
        <v>8805</v>
      </c>
      <c r="G1855" s="29" t="s">
        <v>3555</v>
      </c>
      <c r="H1855" s="29"/>
      <c r="I1855" s="29"/>
      <c r="J1855" s="29">
        <f t="shared" si="139"/>
        <v>1</v>
      </c>
      <c r="K1855" s="42">
        <v>1841</v>
      </c>
      <c r="L1855" s="43" t="s">
        <v>3556</v>
      </c>
      <c r="M1855" s="44" t="s">
        <v>405</v>
      </c>
      <c r="N1855" s="90" t="s">
        <v>8803</v>
      </c>
      <c r="O1855" s="90" t="str">
        <f>F1855</f>
        <v>PE-L1-3C95/50-01</v>
      </c>
      <c r="P1855" s="45">
        <v>3.7</v>
      </c>
      <c r="Q1855" s="44">
        <v>220</v>
      </c>
      <c r="R1855" s="44" t="s">
        <v>509</v>
      </c>
      <c r="S1855" s="44">
        <v>40</v>
      </c>
      <c r="T1855" s="46" t="s">
        <v>7981</v>
      </c>
      <c r="U1855" s="46" t="s">
        <v>7574</v>
      </c>
      <c r="V1855" s="46" t="s">
        <v>8136</v>
      </c>
      <c r="W1855" s="46" t="s">
        <v>384</v>
      </c>
      <c r="X1855" s="87" t="s">
        <v>8802</v>
      </c>
      <c r="Y1855" s="47" t="s">
        <v>7579</v>
      </c>
      <c r="Z1855" s="46" t="s">
        <v>7331</v>
      </c>
      <c r="AA1855" s="46" t="s">
        <v>3968</v>
      </c>
      <c r="AB1855" s="87" t="s">
        <v>8799</v>
      </c>
      <c r="AC1855" s="48" t="s">
        <v>7580</v>
      </c>
      <c r="AD1855" s="30"/>
      <c r="AE1855" s="192">
        <v>1</v>
      </c>
      <c r="AF1855" s="100" t="s">
        <v>8823</v>
      </c>
      <c r="AG1855" s="100" t="s">
        <v>8936</v>
      </c>
      <c r="AH1855" s="108">
        <v>34.5</v>
      </c>
    </row>
    <row r="1856" spans="1:34" s="32" customFormat="1" ht="69.95" hidden="1" customHeight="1">
      <c r="A1856" s="29" t="s">
        <v>7581</v>
      </c>
      <c r="B1856" s="29" t="s">
        <v>3769</v>
      </c>
      <c r="C1856" s="32">
        <v>59</v>
      </c>
      <c r="E1856" s="57" t="s">
        <v>144</v>
      </c>
      <c r="F1856" s="57" t="s">
        <v>144</v>
      </c>
      <c r="G1856" s="29" t="s">
        <v>3557</v>
      </c>
      <c r="H1856" s="29"/>
      <c r="I1856" s="29"/>
      <c r="J1856" s="29">
        <f t="shared" si="139"/>
        <v>1</v>
      </c>
      <c r="K1856" s="42">
        <v>1842</v>
      </c>
      <c r="L1856" s="43" t="s">
        <v>3558</v>
      </c>
      <c r="M1856" s="44" t="s">
        <v>405</v>
      </c>
      <c r="N1856" s="44" t="s">
        <v>1091</v>
      </c>
      <c r="O1856" s="44" t="str">
        <f t="shared" ref="O1856:O1865" si="145">F1856</f>
        <v>PE-L1-4C35/25-01</v>
      </c>
      <c r="P1856" s="45">
        <v>50.6</v>
      </c>
      <c r="Q1856" s="44">
        <v>400</v>
      </c>
      <c r="R1856" s="44" t="s">
        <v>412</v>
      </c>
      <c r="S1856" s="44">
        <v>60</v>
      </c>
      <c r="T1856" s="46" t="s">
        <v>7981</v>
      </c>
      <c r="U1856" s="46" t="s">
        <v>7581</v>
      </c>
      <c r="V1856" s="46" t="s">
        <v>8690</v>
      </c>
      <c r="W1856" s="46" t="s">
        <v>384</v>
      </c>
      <c r="X1856" s="47" t="s">
        <v>8721</v>
      </c>
      <c r="Y1856" s="47" t="s">
        <v>7582</v>
      </c>
      <c r="Z1856" s="46" t="s">
        <v>7339</v>
      </c>
      <c r="AA1856" s="46" t="s">
        <v>3968</v>
      </c>
      <c r="AB1856" s="47" t="s">
        <v>8721</v>
      </c>
      <c r="AC1856" s="48" t="s">
        <v>7583</v>
      </c>
      <c r="AD1856" s="30"/>
      <c r="AE1856" s="192">
        <v>1</v>
      </c>
      <c r="AF1856" s="100" t="s">
        <v>8822</v>
      </c>
      <c r="AG1856" s="100" t="s">
        <v>8932</v>
      </c>
      <c r="AH1856" s="108">
        <v>25.5</v>
      </c>
    </row>
    <row r="1857" spans="1:42" s="32" customFormat="1" ht="69.95" hidden="1" customHeight="1">
      <c r="A1857" s="29" t="s">
        <v>7584</v>
      </c>
      <c r="B1857" s="29" t="s">
        <v>3769</v>
      </c>
      <c r="C1857" s="32">
        <v>60</v>
      </c>
      <c r="E1857" s="57" t="s">
        <v>144</v>
      </c>
      <c r="F1857" s="57" t="s">
        <v>144</v>
      </c>
      <c r="G1857" s="29" t="s">
        <v>3559</v>
      </c>
      <c r="H1857" s="29"/>
      <c r="I1857" s="29"/>
      <c r="J1857" s="29">
        <f t="shared" si="139"/>
        <v>1</v>
      </c>
      <c r="K1857" s="42">
        <v>1843</v>
      </c>
      <c r="L1857" s="43" t="s">
        <v>3560</v>
      </c>
      <c r="M1857" s="44" t="s">
        <v>405</v>
      </c>
      <c r="N1857" s="44" t="s">
        <v>1091</v>
      </c>
      <c r="O1857" s="44" t="str">
        <f t="shared" si="145"/>
        <v>PE-L1-4C35/25-01</v>
      </c>
      <c r="P1857" s="45">
        <v>50.6</v>
      </c>
      <c r="Q1857" s="44">
        <v>400</v>
      </c>
      <c r="R1857" s="44" t="s">
        <v>49</v>
      </c>
      <c r="S1857" s="44">
        <v>40</v>
      </c>
      <c r="T1857" s="46" t="s">
        <v>7981</v>
      </c>
      <c r="U1857" s="46" t="s">
        <v>7584</v>
      </c>
      <c r="V1857" s="46" t="s">
        <v>8686</v>
      </c>
      <c r="W1857" s="46" t="s">
        <v>384</v>
      </c>
      <c r="X1857" s="47" t="s">
        <v>8721</v>
      </c>
      <c r="Y1857" s="47" t="s">
        <v>7585</v>
      </c>
      <c r="Z1857" s="46" t="s">
        <v>7343</v>
      </c>
      <c r="AA1857" s="46" t="s">
        <v>3968</v>
      </c>
      <c r="AB1857" s="47" t="s">
        <v>8721</v>
      </c>
      <c r="AC1857" s="48" t="s">
        <v>7586</v>
      </c>
      <c r="AD1857" s="30"/>
      <c r="AE1857" s="192">
        <v>1</v>
      </c>
      <c r="AF1857" s="100" t="s">
        <v>8822</v>
      </c>
      <c r="AG1857" s="100" t="s">
        <v>8932</v>
      </c>
      <c r="AH1857" s="108">
        <v>25.5</v>
      </c>
    </row>
    <row r="1858" spans="1:42" s="32" customFormat="1" ht="69.95" hidden="1" customHeight="1">
      <c r="A1858" s="29" t="s">
        <v>7587</v>
      </c>
      <c r="B1858" s="29" t="s">
        <v>3769</v>
      </c>
      <c r="C1858" s="32">
        <v>61</v>
      </c>
      <c r="E1858" s="57" t="s">
        <v>88</v>
      </c>
      <c r="F1858" s="57" t="s">
        <v>8283</v>
      </c>
      <c r="G1858" s="29" t="s">
        <v>3561</v>
      </c>
      <c r="H1858" s="29"/>
      <c r="I1858" s="29"/>
      <c r="J1858" s="29">
        <f t="shared" si="139"/>
        <v>1</v>
      </c>
      <c r="K1858" s="42">
        <v>1844</v>
      </c>
      <c r="L1858" s="43" t="s">
        <v>3562</v>
      </c>
      <c r="M1858" s="44" t="s">
        <v>405</v>
      </c>
      <c r="N1858" s="44" t="s">
        <v>536</v>
      </c>
      <c r="O1858" s="44" t="str">
        <f t="shared" si="145"/>
        <v>PE-L1-4C4-01</v>
      </c>
      <c r="P1858" s="45">
        <v>2.2000000000000002</v>
      </c>
      <c r="Q1858" s="44">
        <v>400</v>
      </c>
      <c r="R1858" s="44" t="s">
        <v>412</v>
      </c>
      <c r="S1858" s="44">
        <v>60</v>
      </c>
      <c r="T1858" s="46" t="s">
        <v>7981</v>
      </c>
      <c r="U1858" s="46" t="s">
        <v>7587</v>
      </c>
      <c r="V1858" s="46" t="s">
        <v>8690</v>
      </c>
      <c r="W1858" s="46" t="s">
        <v>384</v>
      </c>
      <c r="X1858" s="47" t="s">
        <v>8721</v>
      </c>
      <c r="Y1858" s="47" t="s">
        <v>7588</v>
      </c>
      <c r="Z1858" s="46" t="s">
        <v>7347</v>
      </c>
      <c r="AA1858" s="46" t="s">
        <v>3968</v>
      </c>
      <c r="AB1858" s="47" t="s">
        <v>8721</v>
      </c>
      <c r="AC1858" s="48" t="s">
        <v>7589</v>
      </c>
      <c r="AD1858" s="30"/>
      <c r="AE1858" s="192">
        <v>1</v>
      </c>
      <c r="AF1858" s="100" t="s">
        <v>8722</v>
      </c>
      <c r="AG1858" s="100" t="s">
        <v>8925</v>
      </c>
      <c r="AH1858" s="100">
        <v>14</v>
      </c>
    </row>
    <row r="1859" spans="1:42" s="32" customFormat="1" ht="69.95" hidden="1" customHeight="1">
      <c r="A1859" s="29" t="s">
        <v>7590</v>
      </c>
      <c r="B1859" s="29" t="s">
        <v>3769</v>
      </c>
      <c r="C1859" s="32">
        <v>62</v>
      </c>
      <c r="E1859" s="57" t="s">
        <v>8312</v>
      </c>
      <c r="F1859" s="57" t="s">
        <v>8312</v>
      </c>
      <c r="G1859" s="29" t="s">
        <v>3563</v>
      </c>
      <c r="H1859" s="29"/>
      <c r="I1859" s="29"/>
      <c r="J1859" s="29">
        <f t="shared" si="139"/>
        <v>1</v>
      </c>
      <c r="K1859" s="42">
        <v>1845</v>
      </c>
      <c r="L1859" s="43" t="s">
        <v>3564</v>
      </c>
      <c r="M1859" s="44" t="s">
        <v>405</v>
      </c>
      <c r="N1859" s="44" t="s">
        <v>536</v>
      </c>
      <c r="O1859" s="44" t="str">
        <f t="shared" si="145"/>
        <v>PE-L1-4C4-01</v>
      </c>
      <c r="P1859" s="45">
        <v>2.2000000000000002</v>
      </c>
      <c r="Q1859" s="44">
        <v>400</v>
      </c>
      <c r="R1859" s="44" t="s">
        <v>49</v>
      </c>
      <c r="S1859" s="44">
        <v>50</v>
      </c>
      <c r="T1859" s="46" t="s">
        <v>7981</v>
      </c>
      <c r="U1859" s="46" t="s">
        <v>7590</v>
      </c>
      <c r="V1859" s="46" t="s">
        <v>8686</v>
      </c>
      <c r="W1859" s="46" t="s">
        <v>384</v>
      </c>
      <c r="X1859" s="47" t="s">
        <v>8721</v>
      </c>
      <c r="Y1859" s="47" t="s">
        <v>7591</v>
      </c>
      <c r="Z1859" s="46" t="s">
        <v>7351</v>
      </c>
      <c r="AA1859" s="46" t="s">
        <v>3968</v>
      </c>
      <c r="AB1859" s="47" t="s">
        <v>8721</v>
      </c>
      <c r="AC1859" s="48" t="s">
        <v>7592</v>
      </c>
      <c r="AD1859" s="30"/>
      <c r="AE1859" s="192">
        <v>1</v>
      </c>
      <c r="AF1859" s="100" t="s">
        <v>8722</v>
      </c>
      <c r="AG1859" s="100" t="s">
        <v>8925</v>
      </c>
      <c r="AH1859" s="100">
        <v>14</v>
      </c>
    </row>
    <row r="1860" spans="1:42" s="32" customFormat="1" ht="69.95" hidden="1" customHeight="1">
      <c r="A1860" s="29" t="s">
        <v>7593</v>
      </c>
      <c r="B1860" s="29" t="s">
        <v>3769</v>
      </c>
      <c r="C1860" s="69">
        <v>63</v>
      </c>
      <c r="D1860" s="69"/>
      <c r="E1860" s="57" t="s">
        <v>88</v>
      </c>
      <c r="F1860" s="57" t="s">
        <v>88</v>
      </c>
      <c r="G1860" s="29" t="s">
        <v>3565</v>
      </c>
      <c r="H1860" s="29"/>
      <c r="I1860" s="29"/>
      <c r="J1860" s="29">
        <f t="shared" si="139"/>
        <v>1</v>
      </c>
      <c r="K1860" s="42">
        <v>1846</v>
      </c>
      <c r="L1860" s="43" t="s">
        <v>3566</v>
      </c>
      <c r="M1860" s="44" t="s">
        <v>405</v>
      </c>
      <c r="N1860" s="44" t="s">
        <v>8090</v>
      </c>
      <c r="O1860" s="44" t="str">
        <f t="shared" si="145"/>
        <v>PE-L1-4C4-01</v>
      </c>
      <c r="P1860" s="45">
        <v>1</v>
      </c>
      <c r="Q1860" s="44">
        <v>400</v>
      </c>
      <c r="R1860" s="44" t="s">
        <v>49</v>
      </c>
      <c r="S1860" s="44">
        <v>50</v>
      </c>
      <c r="T1860" s="46" t="s">
        <v>7981</v>
      </c>
      <c r="U1860" s="46" t="s">
        <v>7593</v>
      </c>
      <c r="V1860" s="46" t="s">
        <v>8686</v>
      </c>
      <c r="W1860" s="46" t="s">
        <v>384</v>
      </c>
      <c r="X1860" s="47" t="s">
        <v>8721</v>
      </c>
      <c r="Y1860" s="47" t="s">
        <v>7594</v>
      </c>
      <c r="Z1860" s="46" t="s">
        <v>7355</v>
      </c>
      <c r="AA1860" s="46" t="s">
        <v>3968</v>
      </c>
      <c r="AB1860" s="47" t="s">
        <v>8721</v>
      </c>
      <c r="AC1860" s="48" t="s">
        <v>7595</v>
      </c>
      <c r="AD1860" s="30"/>
      <c r="AE1860" s="192">
        <v>1</v>
      </c>
      <c r="AF1860" s="100" t="s">
        <v>8722</v>
      </c>
      <c r="AG1860" s="100" t="s">
        <v>8925</v>
      </c>
      <c r="AH1860" s="100">
        <v>14</v>
      </c>
    </row>
    <row r="1861" spans="1:42" s="32" customFormat="1" ht="69.95" hidden="1" customHeight="1">
      <c r="A1861" s="29" t="s">
        <v>7596</v>
      </c>
      <c r="B1861" s="29" t="s">
        <v>3769</v>
      </c>
      <c r="C1861" s="69">
        <v>64</v>
      </c>
      <c r="D1861" s="69"/>
      <c r="E1861" s="57" t="s">
        <v>88</v>
      </c>
      <c r="F1861" s="57" t="s">
        <v>88</v>
      </c>
      <c r="G1861" s="29" t="s">
        <v>3567</v>
      </c>
      <c r="H1861" s="29"/>
      <c r="I1861" s="29"/>
      <c r="J1861" s="29">
        <f t="shared" si="139"/>
        <v>1</v>
      </c>
      <c r="K1861" s="42">
        <v>1847</v>
      </c>
      <c r="L1861" s="43" t="s">
        <v>3568</v>
      </c>
      <c r="M1861" s="44" t="s">
        <v>405</v>
      </c>
      <c r="N1861" s="44" t="s">
        <v>8090</v>
      </c>
      <c r="O1861" s="44" t="str">
        <f t="shared" si="145"/>
        <v>PE-L1-4C4-01</v>
      </c>
      <c r="P1861" s="45">
        <v>1</v>
      </c>
      <c r="Q1861" s="44">
        <v>400</v>
      </c>
      <c r="R1861" s="44" t="s">
        <v>49</v>
      </c>
      <c r="S1861" s="44">
        <v>50</v>
      </c>
      <c r="T1861" s="46" t="s">
        <v>7981</v>
      </c>
      <c r="U1861" s="46" t="s">
        <v>7596</v>
      </c>
      <c r="V1861" s="46" t="s">
        <v>8686</v>
      </c>
      <c r="W1861" s="46" t="s">
        <v>384</v>
      </c>
      <c r="X1861" s="47" t="s">
        <v>8721</v>
      </c>
      <c r="Y1861" s="47" t="s">
        <v>7597</v>
      </c>
      <c r="Z1861" s="46" t="s">
        <v>7359</v>
      </c>
      <c r="AA1861" s="46" t="s">
        <v>3968</v>
      </c>
      <c r="AB1861" s="47" t="s">
        <v>8721</v>
      </c>
      <c r="AC1861" s="48" t="s">
        <v>7598</v>
      </c>
      <c r="AD1861" s="30"/>
      <c r="AE1861" s="192">
        <v>1</v>
      </c>
      <c r="AF1861" s="100" t="s">
        <v>8722</v>
      </c>
      <c r="AG1861" s="100" t="s">
        <v>8925</v>
      </c>
      <c r="AH1861" s="100">
        <v>14</v>
      </c>
    </row>
    <row r="1862" spans="1:42" s="32" customFormat="1" ht="69.95" hidden="1" customHeight="1">
      <c r="A1862" s="29" t="s">
        <v>7599</v>
      </c>
      <c r="B1862" s="29" t="s">
        <v>3769</v>
      </c>
      <c r="C1862" s="32">
        <v>65</v>
      </c>
      <c r="E1862" s="57" t="s">
        <v>88</v>
      </c>
      <c r="F1862" s="57" t="s">
        <v>88</v>
      </c>
      <c r="G1862" s="29" t="s">
        <v>3569</v>
      </c>
      <c r="H1862" s="29"/>
      <c r="I1862" s="29"/>
      <c r="J1862" s="29">
        <f t="shared" si="139"/>
        <v>1</v>
      </c>
      <c r="K1862" s="42">
        <v>1848</v>
      </c>
      <c r="L1862" s="43" t="s">
        <v>3570</v>
      </c>
      <c r="M1862" s="44" t="s">
        <v>405</v>
      </c>
      <c r="N1862" s="44" t="s">
        <v>536</v>
      </c>
      <c r="O1862" s="44" t="str">
        <f t="shared" si="145"/>
        <v>PE-L1-4C4-01</v>
      </c>
      <c r="P1862" s="45">
        <v>7.5</v>
      </c>
      <c r="Q1862" s="44">
        <v>400</v>
      </c>
      <c r="R1862" s="44" t="s">
        <v>49</v>
      </c>
      <c r="S1862" s="44">
        <v>60</v>
      </c>
      <c r="T1862" s="46" t="s">
        <v>7981</v>
      </c>
      <c r="U1862" s="46" t="s">
        <v>7599</v>
      </c>
      <c r="V1862" s="46" t="s">
        <v>8686</v>
      </c>
      <c r="W1862" s="46" t="s">
        <v>384</v>
      </c>
      <c r="X1862" s="47" t="s">
        <v>8721</v>
      </c>
      <c r="Y1862" s="47" t="s">
        <v>7600</v>
      </c>
      <c r="Z1862" s="46" t="s">
        <v>7363</v>
      </c>
      <c r="AA1862" s="46" t="s">
        <v>3968</v>
      </c>
      <c r="AB1862" s="47" t="s">
        <v>8721</v>
      </c>
      <c r="AC1862" s="48" t="s">
        <v>7601</v>
      </c>
      <c r="AD1862" s="30"/>
      <c r="AE1862" s="192">
        <v>1</v>
      </c>
      <c r="AF1862" s="100" t="s">
        <v>8722</v>
      </c>
      <c r="AG1862" s="100" t="s">
        <v>8925</v>
      </c>
      <c r="AH1862" s="100">
        <v>14</v>
      </c>
    </row>
    <row r="1863" spans="1:42" s="32" customFormat="1" ht="69.95" hidden="1" customHeight="1">
      <c r="A1863" s="29" t="s">
        <v>7602</v>
      </c>
      <c r="B1863" s="29" t="s">
        <v>3769</v>
      </c>
      <c r="C1863" s="32">
        <v>66</v>
      </c>
      <c r="E1863" s="57" t="s">
        <v>88</v>
      </c>
      <c r="F1863" s="57" t="s">
        <v>88</v>
      </c>
      <c r="G1863" s="29" t="s">
        <v>3571</v>
      </c>
      <c r="H1863" s="29"/>
      <c r="I1863" s="29"/>
      <c r="J1863" s="29">
        <f t="shared" si="139"/>
        <v>1</v>
      </c>
      <c r="K1863" s="42">
        <v>1849</v>
      </c>
      <c r="L1863" s="43" t="s">
        <v>3572</v>
      </c>
      <c r="M1863" s="44" t="s">
        <v>405</v>
      </c>
      <c r="N1863" s="44" t="s">
        <v>536</v>
      </c>
      <c r="O1863" s="44" t="str">
        <f t="shared" si="145"/>
        <v>PE-L1-4C4-01</v>
      </c>
      <c r="P1863" s="45">
        <v>7.5</v>
      </c>
      <c r="Q1863" s="44">
        <v>400</v>
      </c>
      <c r="R1863" s="44" t="s">
        <v>49</v>
      </c>
      <c r="S1863" s="44">
        <v>60</v>
      </c>
      <c r="T1863" s="46" t="s">
        <v>7981</v>
      </c>
      <c r="U1863" s="46" t="s">
        <v>7602</v>
      </c>
      <c r="V1863" s="46" t="s">
        <v>8686</v>
      </c>
      <c r="W1863" s="46" t="s">
        <v>384</v>
      </c>
      <c r="X1863" s="47" t="s">
        <v>8721</v>
      </c>
      <c r="Y1863" s="47" t="s">
        <v>7603</v>
      </c>
      <c r="Z1863" s="46" t="s">
        <v>7367</v>
      </c>
      <c r="AA1863" s="46" t="s">
        <v>3968</v>
      </c>
      <c r="AB1863" s="47" t="s">
        <v>8721</v>
      </c>
      <c r="AC1863" s="48" t="s">
        <v>7604</v>
      </c>
      <c r="AD1863" s="30"/>
      <c r="AE1863" s="192">
        <v>1</v>
      </c>
      <c r="AF1863" s="100" t="s">
        <v>8722</v>
      </c>
      <c r="AG1863" s="100" t="s">
        <v>8925</v>
      </c>
      <c r="AH1863" s="100">
        <v>14</v>
      </c>
    </row>
    <row r="1864" spans="1:42" s="32" customFormat="1" ht="69.95" hidden="1" customHeight="1">
      <c r="A1864" s="29" t="s">
        <v>7605</v>
      </c>
      <c r="B1864" s="29" t="s">
        <v>3769</v>
      </c>
      <c r="C1864" s="32">
        <v>67</v>
      </c>
      <c r="E1864" s="57" t="s">
        <v>8312</v>
      </c>
      <c r="F1864" s="57" t="s">
        <v>8312</v>
      </c>
      <c r="G1864" s="29" t="s">
        <v>3573</v>
      </c>
      <c r="H1864" s="29"/>
      <c r="I1864" s="29"/>
      <c r="J1864" s="29">
        <f t="shared" ref="J1864:J1927" si="146">COUNTIF(L:L,L1864)</f>
        <v>1</v>
      </c>
      <c r="K1864" s="42">
        <v>1850</v>
      </c>
      <c r="L1864" s="43" t="s">
        <v>3574</v>
      </c>
      <c r="M1864" s="44" t="s">
        <v>405</v>
      </c>
      <c r="N1864" s="44" t="s">
        <v>536</v>
      </c>
      <c r="O1864" s="44" t="str">
        <f t="shared" si="145"/>
        <v>PE-L1-4C4-01</v>
      </c>
      <c r="P1864" s="45">
        <v>0.18</v>
      </c>
      <c r="Q1864" s="44">
        <v>400</v>
      </c>
      <c r="R1864" s="44" t="s">
        <v>49</v>
      </c>
      <c r="S1864" s="44">
        <v>60</v>
      </c>
      <c r="T1864" s="46" t="s">
        <v>7981</v>
      </c>
      <c r="U1864" s="46" t="s">
        <v>7605</v>
      </c>
      <c r="V1864" s="46" t="s">
        <v>8686</v>
      </c>
      <c r="W1864" s="46" t="s">
        <v>384</v>
      </c>
      <c r="X1864" s="47" t="s">
        <v>8721</v>
      </c>
      <c r="Y1864" s="47" t="s">
        <v>7606</v>
      </c>
      <c r="Z1864" s="46" t="s">
        <v>7371</v>
      </c>
      <c r="AA1864" s="46" t="s">
        <v>3968</v>
      </c>
      <c r="AB1864" s="47" t="s">
        <v>8721</v>
      </c>
      <c r="AC1864" s="48" t="s">
        <v>7607</v>
      </c>
      <c r="AD1864" s="30"/>
      <c r="AE1864" s="192">
        <v>1</v>
      </c>
      <c r="AF1864" s="100" t="s">
        <v>8722</v>
      </c>
      <c r="AG1864" s="100" t="s">
        <v>8925</v>
      </c>
      <c r="AH1864" s="100">
        <v>14</v>
      </c>
    </row>
    <row r="1865" spans="1:42" s="32" customFormat="1" ht="69.95" hidden="1" customHeight="1">
      <c r="A1865" s="29" t="s">
        <v>7608</v>
      </c>
      <c r="B1865" s="29" t="s">
        <v>3769</v>
      </c>
      <c r="C1865" s="69">
        <v>68</v>
      </c>
      <c r="D1865" s="69"/>
      <c r="E1865" s="56" t="s">
        <v>93</v>
      </c>
      <c r="F1865" s="56" t="s">
        <v>93</v>
      </c>
      <c r="G1865" s="29" t="s">
        <v>3575</v>
      </c>
      <c r="H1865" s="124" t="s">
        <v>9445</v>
      </c>
      <c r="I1865" s="124" t="s">
        <v>9121</v>
      </c>
      <c r="J1865" s="29">
        <f t="shared" si="146"/>
        <v>1</v>
      </c>
      <c r="K1865" s="42">
        <v>1851</v>
      </c>
      <c r="L1865" s="152" t="s">
        <v>3576</v>
      </c>
      <c r="M1865" s="44" t="s">
        <v>405</v>
      </c>
      <c r="N1865" s="44" t="s">
        <v>8314</v>
      </c>
      <c r="O1865" s="101" t="str">
        <f t="shared" si="145"/>
        <v>PE-L1-4C16-01</v>
      </c>
      <c r="P1865" s="45">
        <v>28</v>
      </c>
      <c r="Q1865" s="44">
        <v>400</v>
      </c>
      <c r="R1865" s="44" t="s">
        <v>49</v>
      </c>
      <c r="S1865" s="101">
        <v>40</v>
      </c>
      <c r="T1865" s="46" t="s">
        <v>7981</v>
      </c>
      <c r="U1865" s="46" t="s">
        <v>7608</v>
      </c>
      <c r="V1865" s="46" t="s">
        <v>8686</v>
      </c>
      <c r="W1865" s="46" t="s">
        <v>384</v>
      </c>
      <c r="X1865" s="47" t="s">
        <v>8721</v>
      </c>
      <c r="Y1865" s="47" t="s">
        <v>7609</v>
      </c>
      <c r="Z1865" s="46" t="s">
        <v>7375</v>
      </c>
      <c r="AA1865" s="46" t="s">
        <v>3968</v>
      </c>
      <c r="AB1865" s="47" t="s">
        <v>8721</v>
      </c>
      <c r="AC1865" s="48" t="s">
        <v>7610</v>
      </c>
      <c r="AD1865" s="206" t="s">
        <v>8809</v>
      </c>
      <c r="AE1865" s="192">
        <v>1</v>
      </c>
      <c r="AF1865" s="100" t="s">
        <v>8824</v>
      </c>
      <c r="AG1865" s="100" t="s">
        <v>8931</v>
      </c>
      <c r="AH1865" s="108">
        <v>19.5</v>
      </c>
    </row>
    <row r="1866" spans="1:42" s="32" customFormat="1" ht="69.95" hidden="1" customHeight="1">
      <c r="A1866" s="29" t="s">
        <v>7611</v>
      </c>
      <c r="B1866" s="29" t="s">
        <v>3769</v>
      </c>
      <c r="C1866" s="32">
        <v>69</v>
      </c>
      <c r="E1866" s="86" t="s">
        <v>229</v>
      </c>
      <c r="F1866" s="86" t="s">
        <v>229</v>
      </c>
      <c r="G1866" s="29" t="s">
        <v>3577</v>
      </c>
      <c r="H1866" s="29"/>
      <c r="I1866" s="29"/>
      <c r="J1866" s="29">
        <f t="shared" si="146"/>
        <v>1</v>
      </c>
      <c r="K1866" s="42">
        <v>1852</v>
      </c>
      <c r="L1866" s="43" t="s">
        <v>3578</v>
      </c>
      <c r="M1866" s="44" t="s">
        <v>405</v>
      </c>
      <c r="N1866" s="44" t="s">
        <v>566</v>
      </c>
      <c r="O1866" s="90" t="str">
        <f t="shared" ref="O1866:O1880" si="147">F1866</f>
        <v>PE-L1-5C4-02</v>
      </c>
      <c r="P1866" s="45">
        <v>9</v>
      </c>
      <c r="Q1866" s="44">
        <v>400</v>
      </c>
      <c r="R1866" s="44" t="s">
        <v>49</v>
      </c>
      <c r="S1866" s="44">
        <v>90</v>
      </c>
      <c r="T1866" s="46" t="s">
        <v>7981</v>
      </c>
      <c r="U1866" s="46" t="s">
        <v>7611</v>
      </c>
      <c r="V1866" s="46" t="s">
        <v>8686</v>
      </c>
      <c r="W1866" s="46" t="s">
        <v>384</v>
      </c>
      <c r="X1866" s="47" t="s">
        <v>8731</v>
      </c>
      <c r="Y1866" s="47" t="s">
        <v>7612</v>
      </c>
      <c r="Z1866" s="46" t="s">
        <v>7379</v>
      </c>
      <c r="AA1866" s="46" t="s">
        <v>3968</v>
      </c>
      <c r="AB1866" s="47" t="s">
        <v>8731</v>
      </c>
      <c r="AC1866" s="48" t="s">
        <v>7613</v>
      </c>
      <c r="AD1866" s="206" t="s">
        <v>8812</v>
      </c>
      <c r="AE1866" s="192">
        <v>1</v>
      </c>
      <c r="AF1866" s="100" t="s">
        <v>8722</v>
      </c>
      <c r="AG1866" s="100" t="s">
        <v>8925</v>
      </c>
      <c r="AH1866" s="108">
        <v>15</v>
      </c>
    </row>
    <row r="1867" spans="1:42" s="32" customFormat="1" ht="69.95" hidden="1" customHeight="1">
      <c r="A1867" s="29" t="s">
        <v>7614</v>
      </c>
      <c r="B1867" s="29" t="s">
        <v>3769</v>
      </c>
      <c r="C1867" s="32">
        <v>70</v>
      </c>
      <c r="D1867" s="124" t="s">
        <v>9444</v>
      </c>
      <c r="E1867" s="86" t="s">
        <v>229</v>
      </c>
      <c r="F1867" s="86" t="s">
        <v>229</v>
      </c>
      <c r="G1867" s="29" t="s">
        <v>3579</v>
      </c>
      <c r="H1867" s="124" t="s">
        <v>9445</v>
      </c>
      <c r="I1867" s="124" t="s">
        <v>9121</v>
      </c>
      <c r="J1867" s="29">
        <f t="shared" si="146"/>
        <v>1</v>
      </c>
      <c r="K1867" s="42">
        <v>1853</v>
      </c>
      <c r="L1867" s="152" t="s">
        <v>3580</v>
      </c>
      <c r="M1867" s="44" t="s">
        <v>405</v>
      </c>
      <c r="N1867" s="44" t="s">
        <v>566</v>
      </c>
      <c r="O1867" s="90" t="str">
        <f t="shared" si="147"/>
        <v>PE-L1-5C4-02</v>
      </c>
      <c r="P1867" s="45">
        <v>7</v>
      </c>
      <c r="Q1867" s="44">
        <v>400</v>
      </c>
      <c r="R1867" s="44" t="s">
        <v>49</v>
      </c>
      <c r="S1867" s="101">
        <v>60</v>
      </c>
      <c r="T1867" s="46" t="s">
        <v>7981</v>
      </c>
      <c r="U1867" s="46" t="s">
        <v>7614</v>
      </c>
      <c r="V1867" s="46" t="s">
        <v>8686</v>
      </c>
      <c r="W1867" s="46" t="s">
        <v>384</v>
      </c>
      <c r="X1867" s="47" t="s">
        <v>8731</v>
      </c>
      <c r="Y1867" s="47" t="s">
        <v>7615</v>
      </c>
      <c r="Z1867" s="46" t="s">
        <v>7383</v>
      </c>
      <c r="AA1867" s="46" t="s">
        <v>3968</v>
      </c>
      <c r="AB1867" s="47" t="s">
        <v>8731</v>
      </c>
      <c r="AC1867" s="48" t="s">
        <v>7616</v>
      </c>
      <c r="AD1867" s="206" t="s">
        <v>8815</v>
      </c>
      <c r="AE1867" s="192">
        <v>1</v>
      </c>
      <c r="AF1867" s="100" t="s">
        <v>8722</v>
      </c>
      <c r="AG1867" s="100" t="s">
        <v>8925</v>
      </c>
      <c r="AH1867" s="108">
        <v>15</v>
      </c>
    </row>
    <row r="1868" spans="1:42" s="32" customFormat="1" ht="69.95" hidden="1" customHeight="1">
      <c r="A1868" s="29" t="s">
        <v>7617</v>
      </c>
      <c r="B1868" s="29" t="s">
        <v>3769</v>
      </c>
      <c r="C1868" s="32">
        <v>71</v>
      </c>
      <c r="E1868" s="58" t="s">
        <v>88</v>
      </c>
      <c r="F1868" s="58" t="s">
        <v>88</v>
      </c>
      <c r="G1868" s="29" t="s">
        <v>3581</v>
      </c>
      <c r="H1868" s="29"/>
      <c r="I1868" s="29"/>
      <c r="J1868" s="29">
        <f t="shared" si="146"/>
        <v>1</v>
      </c>
      <c r="K1868" s="42">
        <v>1854</v>
      </c>
      <c r="L1868" s="43" t="s">
        <v>3582</v>
      </c>
      <c r="M1868" s="44" t="s">
        <v>405</v>
      </c>
      <c r="N1868" s="44" t="s">
        <v>8090</v>
      </c>
      <c r="O1868" s="44" t="str">
        <f t="shared" si="147"/>
        <v>PE-L1-4C4-01</v>
      </c>
      <c r="P1868" s="45">
        <v>3.2</v>
      </c>
      <c r="Q1868" s="44">
        <v>400</v>
      </c>
      <c r="R1868" s="44" t="s">
        <v>49</v>
      </c>
      <c r="S1868" s="44">
        <v>40</v>
      </c>
      <c r="T1868" s="46" t="s">
        <v>7981</v>
      </c>
      <c r="U1868" s="46" t="s">
        <v>7617</v>
      </c>
      <c r="V1868" s="46" t="s">
        <v>8686</v>
      </c>
      <c r="W1868" s="46" t="s">
        <v>384</v>
      </c>
      <c r="X1868" s="47" t="s">
        <v>8721</v>
      </c>
      <c r="Y1868" s="47" t="s">
        <v>7618</v>
      </c>
      <c r="Z1868" s="46" t="s">
        <v>7387</v>
      </c>
      <c r="AA1868" s="46" t="s">
        <v>3968</v>
      </c>
      <c r="AB1868" s="47" t="s">
        <v>8721</v>
      </c>
      <c r="AC1868" s="48" t="s">
        <v>7619</v>
      </c>
      <c r="AD1868" s="30"/>
      <c r="AE1868" s="192">
        <v>1</v>
      </c>
      <c r="AF1868" s="100" t="s">
        <v>8722</v>
      </c>
      <c r="AG1868" s="100" t="s">
        <v>8925</v>
      </c>
      <c r="AH1868" s="100">
        <v>14</v>
      </c>
    </row>
    <row r="1869" spans="1:42" s="32" customFormat="1" ht="69.95" hidden="1" customHeight="1">
      <c r="A1869" s="29" t="s">
        <v>7620</v>
      </c>
      <c r="B1869" s="29" t="s">
        <v>3769</v>
      </c>
      <c r="C1869" s="32">
        <v>74</v>
      </c>
      <c r="E1869" s="71" t="s">
        <v>8317</v>
      </c>
      <c r="F1869" s="71" t="s">
        <v>8317</v>
      </c>
      <c r="G1869" s="29" t="s">
        <v>3583</v>
      </c>
      <c r="H1869" s="29"/>
      <c r="I1869" s="124" t="s">
        <v>9121</v>
      </c>
      <c r="J1869" s="29">
        <f t="shared" si="146"/>
        <v>1</v>
      </c>
      <c r="K1869" s="42">
        <v>1855</v>
      </c>
      <c r="L1869" s="152" t="s">
        <v>8097</v>
      </c>
      <c r="M1869" s="44" t="s">
        <v>405</v>
      </c>
      <c r="N1869" s="44" t="s">
        <v>7978</v>
      </c>
      <c r="O1869" s="101" t="str">
        <f t="shared" si="147"/>
        <v>PE-L1-1C240-02</v>
      </c>
      <c r="P1869" s="45">
        <v>1100</v>
      </c>
      <c r="Q1869" s="44">
        <v>550</v>
      </c>
      <c r="R1869" s="44" t="s">
        <v>49</v>
      </c>
      <c r="S1869" s="101">
        <v>50</v>
      </c>
      <c r="T1869" s="46" t="s">
        <v>7981</v>
      </c>
      <c r="U1869" s="47" t="s">
        <v>7620</v>
      </c>
      <c r="V1869" s="43" t="s">
        <v>8092</v>
      </c>
      <c r="W1869" s="46" t="s">
        <v>3968</v>
      </c>
      <c r="X1869" s="47" t="s">
        <v>35</v>
      </c>
      <c r="Y1869" s="46" t="s">
        <v>8094</v>
      </c>
      <c r="Z1869" s="46" t="s">
        <v>8096</v>
      </c>
      <c r="AA1869" s="46" t="s">
        <v>8688</v>
      </c>
      <c r="AB1869" s="47" t="s">
        <v>44</v>
      </c>
      <c r="AC1869" s="52" t="s">
        <v>8209</v>
      </c>
      <c r="AD1869" s="30"/>
      <c r="AE1869" s="192">
        <v>1</v>
      </c>
      <c r="AF1869" s="100" t="s">
        <v>8822</v>
      </c>
      <c r="AG1869" s="100" t="s">
        <v>8932</v>
      </c>
      <c r="AH1869" s="108">
        <v>25.5</v>
      </c>
      <c r="AK1869" s="241">
        <v>1</v>
      </c>
      <c r="AL1869" s="241" t="s">
        <v>9577</v>
      </c>
      <c r="AM1869" s="241">
        <v>2</v>
      </c>
      <c r="AN1869" s="241">
        <v>1</v>
      </c>
      <c r="AO1869" s="241" t="s">
        <v>9581</v>
      </c>
      <c r="AP1869" s="241">
        <v>1</v>
      </c>
    </row>
    <row r="1870" spans="1:42" s="32" customFormat="1" ht="69.95" hidden="1" customHeight="1">
      <c r="A1870" s="29" t="s">
        <v>7620</v>
      </c>
      <c r="B1870" s="29" t="s">
        <v>3769</v>
      </c>
      <c r="C1870" s="32">
        <v>75</v>
      </c>
      <c r="E1870" s="71" t="s">
        <v>8317</v>
      </c>
      <c r="F1870" s="71" t="s">
        <v>8317</v>
      </c>
      <c r="G1870" s="29" t="s">
        <v>8152</v>
      </c>
      <c r="H1870" s="29"/>
      <c r="I1870" s="124" t="s">
        <v>9121</v>
      </c>
      <c r="J1870" s="29">
        <f t="shared" si="146"/>
        <v>1</v>
      </c>
      <c r="K1870" s="42">
        <v>1856</v>
      </c>
      <c r="L1870" s="152" t="s">
        <v>8098</v>
      </c>
      <c r="M1870" s="43" t="s">
        <v>405</v>
      </c>
      <c r="N1870" s="44" t="s">
        <v>7978</v>
      </c>
      <c r="O1870" s="101" t="str">
        <f t="shared" si="147"/>
        <v>PE-L1-1C240-02</v>
      </c>
      <c r="P1870" s="45">
        <v>1100</v>
      </c>
      <c r="Q1870" s="43">
        <v>550</v>
      </c>
      <c r="R1870" s="43" t="s">
        <v>49</v>
      </c>
      <c r="S1870" s="152">
        <v>50</v>
      </c>
      <c r="T1870" s="46" t="s">
        <v>7981</v>
      </c>
      <c r="U1870" s="47" t="s">
        <v>7620</v>
      </c>
      <c r="V1870" s="43" t="s">
        <v>8092</v>
      </c>
      <c r="W1870" s="46" t="s">
        <v>3968</v>
      </c>
      <c r="X1870" s="47" t="s">
        <v>37</v>
      </c>
      <c r="Y1870" s="46" t="s">
        <v>8094</v>
      </c>
      <c r="Z1870" s="46" t="s">
        <v>8096</v>
      </c>
      <c r="AA1870" s="46" t="s">
        <v>8688</v>
      </c>
      <c r="AB1870" s="47" t="s">
        <v>45</v>
      </c>
      <c r="AC1870" s="52" t="s">
        <v>8209</v>
      </c>
      <c r="AD1870" s="30"/>
      <c r="AE1870" s="192">
        <v>1</v>
      </c>
      <c r="AF1870" s="100" t="s">
        <v>8822</v>
      </c>
      <c r="AG1870" s="100" t="s">
        <v>8932</v>
      </c>
      <c r="AH1870" s="108">
        <v>25.5</v>
      </c>
      <c r="AK1870" s="241">
        <v>1</v>
      </c>
      <c r="AL1870" s="241" t="s">
        <v>9577</v>
      </c>
      <c r="AM1870" s="241">
        <v>2</v>
      </c>
      <c r="AN1870" s="241">
        <v>1</v>
      </c>
      <c r="AO1870" s="241" t="s">
        <v>9581</v>
      </c>
      <c r="AP1870" s="241">
        <v>1</v>
      </c>
    </row>
    <row r="1871" spans="1:42" s="32" customFormat="1" ht="69.95" hidden="1" customHeight="1">
      <c r="A1871" s="29" t="s">
        <v>7620</v>
      </c>
      <c r="B1871" s="29" t="s">
        <v>3769</v>
      </c>
      <c r="C1871" s="32">
        <v>76</v>
      </c>
      <c r="E1871" s="71" t="s">
        <v>8317</v>
      </c>
      <c r="F1871" s="71" t="s">
        <v>8317</v>
      </c>
      <c r="G1871" s="29" t="s">
        <v>8152</v>
      </c>
      <c r="H1871" s="29"/>
      <c r="I1871" s="124" t="s">
        <v>9121</v>
      </c>
      <c r="J1871" s="29">
        <f t="shared" si="146"/>
        <v>1</v>
      </c>
      <c r="K1871" s="42">
        <v>1857</v>
      </c>
      <c r="L1871" s="152" t="s">
        <v>8099</v>
      </c>
      <c r="M1871" s="43" t="s">
        <v>405</v>
      </c>
      <c r="N1871" s="44" t="s">
        <v>7978</v>
      </c>
      <c r="O1871" s="101" t="str">
        <f t="shared" si="147"/>
        <v>PE-L1-1C240-02</v>
      </c>
      <c r="P1871" s="45">
        <v>1100</v>
      </c>
      <c r="Q1871" s="43">
        <v>550</v>
      </c>
      <c r="R1871" s="43" t="s">
        <v>49</v>
      </c>
      <c r="S1871" s="152">
        <v>50</v>
      </c>
      <c r="T1871" s="46" t="s">
        <v>7981</v>
      </c>
      <c r="U1871" s="47" t="s">
        <v>7620</v>
      </c>
      <c r="V1871" s="43" t="s">
        <v>8092</v>
      </c>
      <c r="W1871" s="46" t="s">
        <v>3968</v>
      </c>
      <c r="X1871" s="47" t="s">
        <v>39</v>
      </c>
      <c r="Y1871" s="46" t="s">
        <v>8094</v>
      </c>
      <c r="Z1871" s="46" t="s">
        <v>8096</v>
      </c>
      <c r="AA1871" s="46" t="s">
        <v>8688</v>
      </c>
      <c r="AB1871" s="47" t="s">
        <v>46</v>
      </c>
      <c r="AC1871" s="52" t="s">
        <v>8209</v>
      </c>
      <c r="AD1871" s="30"/>
      <c r="AE1871" s="192">
        <v>1</v>
      </c>
      <c r="AF1871" s="100" t="s">
        <v>8822</v>
      </c>
      <c r="AG1871" s="100" t="s">
        <v>8932</v>
      </c>
      <c r="AH1871" s="108">
        <v>25.5</v>
      </c>
      <c r="AK1871" s="241">
        <v>1</v>
      </c>
      <c r="AL1871" s="241" t="s">
        <v>9577</v>
      </c>
      <c r="AM1871" s="241">
        <v>2</v>
      </c>
      <c r="AN1871" s="241">
        <v>1</v>
      </c>
      <c r="AO1871" s="241" t="s">
        <v>9581</v>
      </c>
      <c r="AP1871" s="241">
        <v>1</v>
      </c>
    </row>
    <row r="1872" spans="1:42" s="32" customFormat="1" ht="69.95" hidden="1" customHeight="1">
      <c r="A1872" s="29" t="s">
        <v>7620</v>
      </c>
      <c r="B1872" s="29" t="s">
        <v>3769</v>
      </c>
      <c r="C1872" s="32">
        <v>77</v>
      </c>
      <c r="E1872" s="71" t="s">
        <v>8317</v>
      </c>
      <c r="F1872" s="71" t="s">
        <v>8317</v>
      </c>
      <c r="G1872" s="29" t="s">
        <v>8152</v>
      </c>
      <c r="H1872" s="29"/>
      <c r="I1872" s="124" t="s">
        <v>9121</v>
      </c>
      <c r="J1872" s="29">
        <f t="shared" si="146"/>
        <v>1</v>
      </c>
      <c r="K1872" s="42">
        <v>1858</v>
      </c>
      <c r="L1872" s="152" t="s">
        <v>8100</v>
      </c>
      <c r="M1872" s="43" t="s">
        <v>405</v>
      </c>
      <c r="N1872" s="44" t="s">
        <v>7978</v>
      </c>
      <c r="O1872" s="101" t="str">
        <f t="shared" si="147"/>
        <v>PE-L1-1C240-02</v>
      </c>
      <c r="P1872" s="45">
        <v>1100</v>
      </c>
      <c r="Q1872" s="43">
        <v>550</v>
      </c>
      <c r="R1872" s="43" t="s">
        <v>49</v>
      </c>
      <c r="S1872" s="152">
        <v>50</v>
      </c>
      <c r="T1872" s="46" t="s">
        <v>7981</v>
      </c>
      <c r="U1872" s="47" t="s">
        <v>7620</v>
      </c>
      <c r="V1872" s="43" t="s">
        <v>8092</v>
      </c>
      <c r="W1872" s="46" t="s">
        <v>3968</v>
      </c>
      <c r="X1872" s="47" t="s">
        <v>35</v>
      </c>
      <c r="Y1872" s="46" t="s">
        <v>8094</v>
      </c>
      <c r="Z1872" s="46" t="s">
        <v>8096</v>
      </c>
      <c r="AA1872" s="46" t="s">
        <v>8688</v>
      </c>
      <c r="AB1872" s="47" t="s">
        <v>44</v>
      </c>
      <c r="AC1872" s="52" t="s">
        <v>8210</v>
      </c>
      <c r="AD1872" s="30"/>
      <c r="AE1872" s="192">
        <v>1</v>
      </c>
      <c r="AF1872" s="100" t="s">
        <v>8822</v>
      </c>
      <c r="AG1872" s="100" t="s">
        <v>8932</v>
      </c>
      <c r="AH1872" s="108">
        <v>25.5</v>
      </c>
      <c r="AK1872" s="241">
        <v>1</v>
      </c>
      <c r="AL1872" s="241" t="s">
        <v>9577</v>
      </c>
      <c r="AM1872" s="241">
        <v>2</v>
      </c>
      <c r="AN1872" s="241">
        <v>1</v>
      </c>
      <c r="AO1872" s="241" t="s">
        <v>9581</v>
      </c>
      <c r="AP1872" s="241">
        <v>1</v>
      </c>
    </row>
    <row r="1873" spans="1:43" s="32" customFormat="1" ht="69.95" hidden="1" customHeight="1">
      <c r="A1873" s="29" t="s">
        <v>7620</v>
      </c>
      <c r="B1873" s="29" t="s">
        <v>3769</v>
      </c>
      <c r="C1873" s="32">
        <v>78</v>
      </c>
      <c r="E1873" s="71" t="s">
        <v>8317</v>
      </c>
      <c r="F1873" s="71" t="s">
        <v>8317</v>
      </c>
      <c r="G1873" s="29" t="s">
        <v>8152</v>
      </c>
      <c r="H1873" s="29"/>
      <c r="I1873" s="124" t="s">
        <v>9121</v>
      </c>
      <c r="J1873" s="29">
        <f t="shared" si="146"/>
        <v>1</v>
      </c>
      <c r="K1873" s="42">
        <v>1859</v>
      </c>
      <c r="L1873" s="152" t="s">
        <v>8101</v>
      </c>
      <c r="M1873" s="43" t="s">
        <v>405</v>
      </c>
      <c r="N1873" s="44" t="s">
        <v>7978</v>
      </c>
      <c r="O1873" s="101" t="str">
        <f t="shared" si="147"/>
        <v>PE-L1-1C240-02</v>
      </c>
      <c r="P1873" s="45">
        <v>1100</v>
      </c>
      <c r="Q1873" s="43">
        <v>550</v>
      </c>
      <c r="R1873" s="43" t="s">
        <v>49</v>
      </c>
      <c r="S1873" s="152">
        <v>50</v>
      </c>
      <c r="T1873" s="46" t="s">
        <v>7981</v>
      </c>
      <c r="U1873" s="47" t="s">
        <v>7620</v>
      </c>
      <c r="V1873" s="43" t="s">
        <v>8092</v>
      </c>
      <c r="W1873" s="46" t="s">
        <v>3968</v>
      </c>
      <c r="X1873" s="47" t="s">
        <v>37</v>
      </c>
      <c r="Y1873" s="46" t="s">
        <v>8094</v>
      </c>
      <c r="Z1873" s="46" t="s">
        <v>8096</v>
      </c>
      <c r="AA1873" s="46" t="s">
        <v>8688</v>
      </c>
      <c r="AB1873" s="47" t="s">
        <v>45</v>
      </c>
      <c r="AC1873" s="52" t="s">
        <v>8210</v>
      </c>
      <c r="AD1873" s="30"/>
      <c r="AE1873" s="192">
        <v>1</v>
      </c>
      <c r="AF1873" s="100" t="s">
        <v>8822</v>
      </c>
      <c r="AG1873" s="100" t="s">
        <v>8932</v>
      </c>
      <c r="AH1873" s="108">
        <v>25.5</v>
      </c>
      <c r="AK1873" s="241">
        <v>1</v>
      </c>
      <c r="AL1873" s="241" t="s">
        <v>9577</v>
      </c>
      <c r="AM1873" s="241">
        <v>2</v>
      </c>
      <c r="AN1873" s="241">
        <v>1</v>
      </c>
      <c r="AO1873" s="241" t="s">
        <v>9581</v>
      </c>
      <c r="AP1873" s="241">
        <v>1</v>
      </c>
    </row>
    <row r="1874" spans="1:43" s="32" customFormat="1" ht="69.95" hidden="1" customHeight="1">
      <c r="A1874" s="29" t="s">
        <v>7620</v>
      </c>
      <c r="B1874" s="29" t="s">
        <v>3769</v>
      </c>
      <c r="C1874" s="32">
        <v>79</v>
      </c>
      <c r="E1874" s="71" t="s">
        <v>8317</v>
      </c>
      <c r="F1874" s="71" t="s">
        <v>8317</v>
      </c>
      <c r="G1874" s="29" t="s">
        <v>8152</v>
      </c>
      <c r="H1874" s="29"/>
      <c r="I1874" s="124" t="s">
        <v>9121</v>
      </c>
      <c r="J1874" s="29">
        <f t="shared" si="146"/>
        <v>1</v>
      </c>
      <c r="K1874" s="42">
        <v>1860</v>
      </c>
      <c r="L1874" s="152" t="s">
        <v>8102</v>
      </c>
      <c r="M1874" s="43" t="s">
        <v>405</v>
      </c>
      <c r="N1874" s="44" t="s">
        <v>7978</v>
      </c>
      <c r="O1874" s="101" t="str">
        <f t="shared" si="147"/>
        <v>PE-L1-1C240-02</v>
      </c>
      <c r="P1874" s="45">
        <v>1100</v>
      </c>
      <c r="Q1874" s="43">
        <v>550</v>
      </c>
      <c r="R1874" s="43" t="s">
        <v>49</v>
      </c>
      <c r="S1874" s="152">
        <v>50</v>
      </c>
      <c r="T1874" s="46" t="s">
        <v>7981</v>
      </c>
      <c r="U1874" s="47" t="s">
        <v>7620</v>
      </c>
      <c r="V1874" s="43" t="s">
        <v>8092</v>
      </c>
      <c r="W1874" s="46" t="s">
        <v>3968</v>
      </c>
      <c r="X1874" s="47" t="s">
        <v>39</v>
      </c>
      <c r="Y1874" s="46" t="s">
        <v>8094</v>
      </c>
      <c r="Z1874" s="46" t="s">
        <v>8096</v>
      </c>
      <c r="AA1874" s="46" t="s">
        <v>8688</v>
      </c>
      <c r="AB1874" s="47" t="s">
        <v>46</v>
      </c>
      <c r="AC1874" s="52" t="s">
        <v>8210</v>
      </c>
      <c r="AD1874" s="30"/>
      <c r="AE1874" s="192">
        <v>1</v>
      </c>
      <c r="AF1874" s="100" t="s">
        <v>8822</v>
      </c>
      <c r="AG1874" s="100" t="s">
        <v>8932</v>
      </c>
      <c r="AH1874" s="108">
        <v>25.5</v>
      </c>
      <c r="AK1874" s="241">
        <v>1</v>
      </c>
      <c r="AL1874" s="241" t="s">
        <v>9577</v>
      </c>
      <c r="AM1874" s="241">
        <v>2</v>
      </c>
      <c r="AN1874" s="241">
        <v>1</v>
      </c>
      <c r="AO1874" s="241" t="s">
        <v>9581</v>
      </c>
      <c r="AP1874" s="241">
        <v>1</v>
      </c>
    </row>
    <row r="1875" spans="1:43" s="32" customFormat="1" ht="69.95" hidden="1" customHeight="1">
      <c r="A1875" s="29" t="s">
        <v>7620</v>
      </c>
      <c r="B1875" s="29" t="s">
        <v>3769</v>
      </c>
      <c r="C1875" s="32">
        <v>82</v>
      </c>
      <c r="E1875" s="71" t="s">
        <v>8317</v>
      </c>
      <c r="F1875" s="71" t="s">
        <v>8317</v>
      </c>
      <c r="G1875" s="29" t="s">
        <v>8152</v>
      </c>
      <c r="H1875" s="29"/>
      <c r="I1875" s="124" t="s">
        <v>9121</v>
      </c>
      <c r="J1875" s="29">
        <f t="shared" si="146"/>
        <v>1</v>
      </c>
      <c r="K1875" s="42">
        <v>1861</v>
      </c>
      <c r="L1875" s="152" t="s">
        <v>8103</v>
      </c>
      <c r="M1875" s="43" t="s">
        <v>405</v>
      </c>
      <c r="N1875" s="44" t="s">
        <v>7978</v>
      </c>
      <c r="O1875" s="101" t="str">
        <f t="shared" si="147"/>
        <v>PE-L1-1C240-02</v>
      </c>
      <c r="P1875" s="45">
        <v>1100</v>
      </c>
      <c r="Q1875" s="43">
        <v>550</v>
      </c>
      <c r="R1875" s="43" t="s">
        <v>49</v>
      </c>
      <c r="S1875" s="152">
        <v>50</v>
      </c>
      <c r="T1875" s="46" t="s">
        <v>7981</v>
      </c>
      <c r="U1875" s="47" t="s">
        <v>7620</v>
      </c>
      <c r="V1875" s="43" t="s">
        <v>8092</v>
      </c>
      <c r="W1875" s="46" t="s">
        <v>3968</v>
      </c>
      <c r="X1875" s="47" t="s">
        <v>35</v>
      </c>
      <c r="Y1875" s="46" t="s">
        <v>8094</v>
      </c>
      <c r="Z1875" s="46" t="s">
        <v>8096</v>
      </c>
      <c r="AA1875" s="46" t="s">
        <v>8688</v>
      </c>
      <c r="AB1875" s="47" t="s">
        <v>44</v>
      </c>
      <c r="AC1875" s="52" t="s">
        <v>8211</v>
      </c>
      <c r="AD1875" s="30"/>
      <c r="AE1875" s="192">
        <v>1</v>
      </c>
      <c r="AF1875" s="100" t="s">
        <v>8822</v>
      </c>
      <c r="AG1875" s="100" t="s">
        <v>8932</v>
      </c>
      <c r="AH1875" s="108">
        <v>25.5</v>
      </c>
      <c r="AK1875" s="241">
        <v>1</v>
      </c>
      <c r="AL1875" s="241" t="s">
        <v>9577</v>
      </c>
      <c r="AM1875" s="241">
        <v>2</v>
      </c>
      <c r="AN1875" s="241">
        <v>1</v>
      </c>
      <c r="AO1875" s="241" t="s">
        <v>9581</v>
      </c>
      <c r="AP1875" s="241">
        <v>1</v>
      </c>
    </row>
    <row r="1876" spans="1:43" s="32" customFormat="1" ht="69.95" hidden="1" customHeight="1">
      <c r="A1876" s="29" t="s">
        <v>7620</v>
      </c>
      <c r="B1876" s="29" t="s">
        <v>3769</v>
      </c>
      <c r="C1876" s="32">
        <v>83</v>
      </c>
      <c r="E1876" s="71" t="s">
        <v>8317</v>
      </c>
      <c r="F1876" s="71" t="s">
        <v>8317</v>
      </c>
      <c r="G1876" s="29" t="s">
        <v>8152</v>
      </c>
      <c r="H1876" s="29"/>
      <c r="I1876" s="124" t="s">
        <v>9121</v>
      </c>
      <c r="J1876" s="29">
        <f t="shared" si="146"/>
        <v>1</v>
      </c>
      <c r="K1876" s="42">
        <v>1862</v>
      </c>
      <c r="L1876" s="152" t="s">
        <v>8104</v>
      </c>
      <c r="M1876" s="43" t="s">
        <v>405</v>
      </c>
      <c r="N1876" s="44" t="s">
        <v>7978</v>
      </c>
      <c r="O1876" s="101" t="str">
        <f t="shared" si="147"/>
        <v>PE-L1-1C240-02</v>
      </c>
      <c r="P1876" s="45">
        <v>1100</v>
      </c>
      <c r="Q1876" s="43">
        <v>550</v>
      </c>
      <c r="R1876" s="43" t="s">
        <v>49</v>
      </c>
      <c r="S1876" s="152">
        <v>50</v>
      </c>
      <c r="T1876" s="46" t="s">
        <v>7981</v>
      </c>
      <c r="U1876" s="47" t="s">
        <v>7620</v>
      </c>
      <c r="V1876" s="43" t="s">
        <v>8092</v>
      </c>
      <c r="W1876" s="46" t="s">
        <v>3968</v>
      </c>
      <c r="X1876" s="47" t="s">
        <v>37</v>
      </c>
      <c r="Y1876" s="46" t="s">
        <v>8094</v>
      </c>
      <c r="Z1876" s="46" t="s">
        <v>8096</v>
      </c>
      <c r="AA1876" s="46" t="s">
        <v>8688</v>
      </c>
      <c r="AB1876" s="47" t="s">
        <v>45</v>
      </c>
      <c r="AC1876" s="52" t="s">
        <v>8211</v>
      </c>
      <c r="AD1876" s="30"/>
      <c r="AE1876" s="192">
        <v>1</v>
      </c>
      <c r="AF1876" s="100" t="s">
        <v>8822</v>
      </c>
      <c r="AG1876" s="100" t="s">
        <v>8932</v>
      </c>
      <c r="AH1876" s="108">
        <v>25.5</v>
      </c>
      <c r="AK1876" s="241">
        <v>1</v>
      </c>
      <c r="AL1876" s="241" t="s">
        <v>9577</v>
      </c>
      <c r="AM1876" s="241">
        <v>2</v>
      </c>
      <c r="AN1876" s="241">
        <v>1</v>
      </c>
      <c r="AO1876" s="241" t="s">
        <v>9581</v>
      </c>
      <c r="AP1876" s="241">
        <v>1</v>
      </c>
    </row>
    <row r="1877" spans="1:43" s="32" customFormat="1" ht="69.95" hidden="1" customHeight="1">
      <c r="A1877" s="29" t="s">
        <v>7620</v>
      </c>
      <c r="B1877" s="29" t="s">
        <v>3769</v>
      </c>
      <c r="C1877" s="32">
        <v>84</v>
      </c>
      <c r="E1877" s="71" t="s">
        <v>8317</v>
      </c>
      <c r="F1877" s="71" t="s">
        <v>8317</v>
      </c>
      <c r="G1877" s="29" t="s">
        <v>8152</v>
      </c>
      <c r="H1877" s="29"/>
      <c r="I1877" s="124" t="s">
        <v>9121</v>
      </c>
      <c r="J1877" s="29">
        <f t="shared" si="146"/>
        <v>1</v>
      </c>
      <c r="K1877" s="42">
        <v>1863</v>
      </c>
      <c r="L1877" s="152" t="s">
        <v>8105</v>
      </c>
      <c r="M1877" s="43" t="s">
        <v>405</v>
      </c>
      <c r="N1877" s="44" t="s">
        <v>7978</v>
      </c>
      <c r="O1877" s="101" t="str">
        <f t="shared" si="147"/>
        <v>PE-L1-1C240-02</v>
      </c>
      <c r="P1877" s="45">
        <v>1100</v>
      </c>
      <c r="Q1877" s="43">
        <v>550</v>
      </c>
      <c r="R1877" s="43" t="s">
        <v>49</v>
      </c>
      <c r="S1877" s="152">
        <v>50</v>
      </c>
      <c r="T1877" s="46" t="s">
        <v>7981</v>
      </c>
      <c r="U1877" s="47" t="s">
        <v>7620</v>
      </c>
      <c r="V1877" s="43" t="s">
        <v>8092</v>
      </c>
      <c r="W1877" s="46" t="s">
        <v>3968</v>
      </c>
      <c r="X1877" s="47" t="s">
        <v>39</v>
      </c>
      <c r="Y1877" s="46" t="s">
        <v>8094</v>
      </c>
      <c r="Z1877" s="46" t="s">
        <v>8096</v>
      </c>
      <c r="AA1877" s="46" t="s">
        <v>8688</v>
      </c>
      <c r="AB1877" s="47" t="s">
        <v>46</v>
      </c>
      <c r="AC1877" s="52" t="s">
        <v>8211</v>
      </c>
      <c r="AD1877" s="30"/>
      <c r="AE1877" s="192">
        <v>1</v>
      </c>
      <c r="AF1877" s="100" t="s">
        <v>8822</v>
      </c>
      <c r="AG1877" s="100" t="s">
        <v>8932</v>
      </c>
      <c r="AH1877" s="108">
        <v>25.5</v>
      </c>
      <c r="AK1877" s="241">
        <v>1</v>
      </c>
      <c r="AL1877" s="241" t="s">
        <v>9577</v>
      </c>
      <c r="AM1877" s="241">
        <v>2</v>
      </c>
      <c r="AN1877" s="241">
        <v>1</v>
      </c>
      <c r="AO1877" s="241" t="s">
        <v>9581</v>
      </c>
      <c r="AP1877" s="241">
        <v>1</v>
      </c>
    </row>
    <row r="1878" spans="1:43" s="32" customFormat="1" ht="69.95" hidden="1" customHeight="1">
      <c r="A1878" s="29" t="s">
        <v>7621</v>
      </c>
      <c r="B1878" s="29" t="s">
        <v>3769</v>
      </c>
      <c r="C1878" s="32">
        <v>90</v>
      </c>
      <c r="D1878" s="124" t="s">
        <v>9450</v>
      </c>
      <c r="E1878" s="89" t="s">
        <v>8022</v>
      </c>
      <c r="F1878" s="89" t="s">
        <v>8022</v>
      </c>
      <c r="G1878" s="29" t="s">
        <v>3584</v>
      </c>
      <c r="H1878" s="124" t="s">
        <v>9155</v>
      </c>
      <c r="I1878" s="124" t="s">
        <v>9121</v>
      </c>
      <c r="J1878" s="29">
        <f t="shared" si="146"/>
        <v>1</v>
      </c>
      <c r="K1878" s="42">
        <v>1864</v>
      </c>
      <c r="L1878" s="152" t="s">
        <v>9439</v>
      </c>
      <c r="M1878" s="44" t="s">
        <v>405</v>
      </c>
      <c r="N1878" s="44" t="s">
        <v>7984</v>
      </c>
      <c r="O1878" s="44" t="str">
        <f t="shared" si="147"/>
        <v>PE-L1-3C4-06</v>
      </c>
      <c r="P1878" s="45">
        <v>1.2</v>
      </c>
      <c r="Q1878" s="44">
        <v>230</v>
      </c>
      <c r="R1878" s="44" t="s">
        <v>49</v>
      </c>
      <c r="S1878" s="101">
        <v>40</v>
      </c>
      <c r="T1878" s="46" t="s">
        <v>7981</v>
      </c>
      <c r="U1878" s="46" t="s">
        <v>7621</v>
      </c>
      <c r="V1878" s="46" t="s">
        <v>8686</v>
      </c>
      <c r="W1878" s="46" t="s">
        <v>8691</v>
      </c>
      <c r="X1878" s="172" t="s">
        <v>9167</v>
      </c>
      <c r="Y1878" s="47" t="s">
        <v>7622</v>
      </c>
      <c r="Z1878" s="46" t="s">
        <v>7392</v>
      </c>
      <c r="AA1878" s="46" t="s">
        <v>3968</v>
      </c>
      <c r="AB1878" s="172" t="s">
        <v>9167</v>
      </c>
      <c r="AC1878" s="48" t="s">
        <v>7623</v>
      </c>
      <c r="AD1878" s="30"/>
      <c r="AE1878" s="192">
        <v>1</v>
      </c>
      <c r="AF1878" s="100" t="s">
        <v>8722</v>
      </c>
      <c r="AG1878" s="100" t="s">
        <v>8925</v>
      </c>
      <c r="AH1878" s="100">
        <v>13</v>
      </c>
    </row>
    <row r="1879" spans="1:43" s="32" customFormat="1" ht="69.95" hidden="1" customHeight="1">
      <c r="A1879" s="29" t="s">
        <v>7624</v>
      </c>
      <c r="B1879" s="29" t="s">
        <v>3769</v>
      </c>
      <c r="C1879" s="69">
        <v>91</v>
      </c>
      <c r="D1879" s="173" t="s">
        <v>9131</v>
      </c>
      <c r="E1879" s="86" t="s">
        <v>229</v>
      </c>
      <c r="F1879" s="121" t="s">
        <v>72</v>
      </c>
      <c r="G1879" s="29" t="s">
        <v>3585</v>
      </c>
      <c r="H1879" s="29"/>
      <c r="I1879" s="124" t="s">
        <v>9121</v>
      </c>
      <c r="J1879" s="29">
        <f t="shared" si="146"/>
        <v>1</v>
      </c>
      <c r="K1879" s="42">
        <v>1865</v>
      </c>
      <c r="L1879" s="43" t="s">
        <v>3586</v>
      </c>
      <c r="M1879" s="44" t="s">
        <v>405</v>
      </c>
      <c r="N1879" s="44" t="s">
        <v>8685</v>
      </c>
      <c r="O1879" s="121" t="str">
        <f t="shared" si="147"/>
        <v>PE-L1-5C4-01</v>
      </c>
      <c r="P1879" s="45">
        <v>1.1499999999999999</v>
      </c>
      <c r="Q1879" s="44">
        <v>400</v>
      </c>
      <c r="R1879" s="44" t="s">
        <v>49</v>
      </c>
      <c r="S1879" s="44">
        <v>60</v>
      </c>
      <c r="T1879" s="46" t="s">
        <v>7981</v>
      </c>
      <c r="U1879" s="46" t="s">
        <v>7624</v>
      </c>
      <c r="V1879" s="46" t="s">
        <v>8686</v>
      </c>
      <c r="W1879" s="46" t="s">
        <v>384</v>
      </c>
      <c r="X1879" s="47" t="s">
        <v>9310</v>
      </c>
      <c r="Y1879" s="47" t="s">
        <v>7625</v>
      </c>
      <c r="Z1879" s="46" t="s">
        <v>7396</v>
      </c>
      <c r="AA1879" s="46" t="s">
        <v>3968</v>
      </c>
      <c r="AB1879" s="47" t="s">
        <v>9310</v>
      </c>
      <c r="AC1879" s="48" t="s">
        <v>7626</v>
      </c>
      <c r="AD1879" s="206" t="s">
        <v>8819</v>
      </c>
      <c r="AE1879" s="192">
        <v>1</v>
      </c>
      <c r="AF1879" s="100" t="s">
        <v>8722</v>
      </c>
      <c r="AG1879" s="100" t="s">
        <v>8925</v>
      </c>
      <c r="AH1879" s="108">
        <v>15</v>
      </c>
    </row>
    <row r="1880" spans="1:43" s="32" customFormat="1" ht="69.95" hidden="1" customHeight="1">
      <c r="A1880" s="29" t="s">
        <v>7627</v>
      </c>
      <c r="B1880" s="29" t="s">
        <v>3769</v>
      </c>
      <c r="C1880" s="32">
        <v>92</v>
      </c>
      <c r="D1880" s="173" t="s">
        <v>9131</v>
      </c>
      <c r="E1880" s="89" t="s">
        <v>8022</v>
      </c>
      <c r="F1880" s="121" t="s">
        <v>54</v>
      </c>
      <c r="G1880" s="29" t="s">
        <v>3587</v>
      </c>
      <c r="H1880" s="29"/>
      <c r="I1880" s="124" t="s">
        <v>9121</v>
      </c>
      <c r="J1880" s="29">
        <f t="shared" si="146"/>
        <v>1</v>
      </c>
      <c r="K1880" s="42">
        <v>1866</v>
      </c>
      <c r="L1880" s="43" t="s">
        <v>3588</v>
      </c>
      <c r="M1880" s="44" t="s">
        <v>405</v>
      </c>
      <c r="N1880" s="44" t="s">
        <v>7984</v>
      </c>
      <c r="O1880" s="121" t="str">
        <f t="shared" si="147"/>
        <v>PE-L1-3C4-01</v>
      </c>
      <c r="P1880" s="45">
        <v>0.22</v>
      </c>
      <c r="Q1880" s="44">
        <v>230</v>
      </c>
      <c r="R1880" s="44" t="s">
        <v>49</v>
      </c>
      <c r="S1880" s="44">
        <v>40</v>
      </c>
      <c r="T1880" s="46" t="s">
        <v>7981</v>
      </c>
      <c r="U1880" s="46" t="s">
        <v>7627</v>
      </c>
      <c r="V1880" s="46" t="s">
        <v>8686</v>
      </c>
      <c r="W1880" s="46" t="s">
        <v>384</v>
      </c>
      <c r="X1880" s="172" t="s">
        <v>9167</v>
      </c>
      <c r="Y1880" s="47" t="s">
        <v>7628</v>
      </c>
      <c r="Z1880" s="46" t="s">
        <v>7399</v>
      </c>
      <c r="AA1880" s="46" t="s">
        <v>3968</v>
      </c>
      <c r="AB1880" s="172" t="s">
        <v>9167</v>
      </c>
      <c r="AC1880" s="48" t="s">
        <v>7623</v>
      </c>
      <c r="AD1880" s="30"/>
      <c r="AE1880" s="192">
        <v>1</v>
      </c>
      <c r="AF1880" s="100" t="s">
        <v>8722</v>
      </c>
      <c r="AG1880" s="100" t="s">
        <v>8925</v>
      </c>
      <c r="AH1880" s="100">
        <v>13</v>
      </c>
    </row>
    <row r="1881" spans="1:43" s="32" customFormat="1" ht="69.95" hidden="1" customHeight="1">
      <c r="A1881" s="29" t="s">
        <v>8093</v>
      </c>
      <c r="B1881" s="29" t="s">
        <v>3769</v>
      </c>
      <c r="C1881" s="32">
        <v>93</v>
      </c>
      <c r="E1881" s="71" t="s">
        <v>8121</v>
      </c>
      <c r="F1881" s="71" t="s">
        <v>8121</v>
      </c>
      <c r="G1881" s="29" t="s">
        <v>3589</v>
      </c>
      <c r="H1881" s="29"/>
      <c r="I1881" s="29"/>
      <c r="J1881" s="29">
        <f t="shared" si="146"/>
        <v>1</v>
      </c>
      <c r="K1881" s="42">
        <v>1867</v>
      </c>
      <c r="L1881" s="43" t="s">
        <v>8125</v>
      </c>
      <c r="M1881" s="44" t="s">
        <v>405</v>
      </c>
      <c r="N1881" s="44" t="s">
        <v>8120</v>
      </c>
      <c r="O1881" s="44" t="str">
        <f t="shared" ref="O1881:O1888" si="148">F1881</f>
        <v>PE-L1-1C240-01</v>
      </c>
      <c r="P1881" s="45" t="s">
        <v>3433</v>
      </c>
      <c r="Q1881" s="44">
        <v>700</v>
      </c>
      <c r="R1881" s="44" t="s">
        <v>509</v>
      </c>
      <c r="S1881" s="44">
        <v>40</v>
      </c>
      <c r="T1881" s="46" t="s">
        <v>7981</v>
      </c>
      <c r="U1881" s="46" t="s">
        <v>8093</v>
      </c>
      <c r="V1881" s="46" t="s">
        <v>8095</v>
      </c>
      <c r="W1881" s="46" t="s">
        <v>8123</v>
      </c>
      <c r="X1881" s="47" t="s">
        <v>8116</v>
      </c>
      <c r="Y1881" s="47" t="s">
        <v>7629</v>
      </c>
      <c r="Z1881" s="46" t="s">
        <v>7401</v>
      </c>
      <c r="AA1881" s="46" t="s">
        <v>3968</v>
      </c>
      <c r="AB1881" s="47" t="s">
        <v>8116</v>
      </c>
      <c r="AC1881" s="48" t="s">
        <v>7630</v>
      </c>
      <c r="AD1881" s="30"/>
      <c r="AE1881" s="192">
        <v>1</v>
      </c>
      <c r="AF1881" s="100" t="s">
        <v>8822</v>
      </c>
      <c r="AG1881" s="100" t="s">
        <v>8932</v>
      </c>
      <c r="AH1881" s="108">
        <v>25.5</v>
      </c>
      <c r="AK1881" s="241">
        <v>1</v>
      </c>
      <c r="AL1881" s="241" t="s">
        <v>9576</v>
      </c>
      <c r="AM1881" s="241">
        <v>1</v>
      </c>
      <c r="AN1881" s="241">
        <v>1</v>
      </c>
      <c r="AO1881" s="241" t="s">
        <v>9576</v>
      </c>
      <c r="AP1881" s="243">
        <v>1</v>
      </c>
      <c r="AQ1881" s="242" t="s">
        <v>9580</v>
      </c>
    </row>
    <row r="1882" spans="1:43" s="32" customFormat="1" ht="69.95" hidden="1" customHeight="1">
      <c r="A1882" s="29" t="s">
        <v>8093</v>
      </c>
      <c r="B1882" s="29" t="s">
        <v>3769</v>
      </c>
      <c r="C1882" s="32">
        <v>94</v>
      </c>
      <c r="E1882" s="71" t="s">
        <v>8121</v>
      </c>
      <c r="F1882" s="71" t="s">
        <v>8121</v>
      </c>
      <c r="G1882" s="29" t="s">
        <v>8152</v>
      </c>
      <c r="H1882" s="29"/>
      <c r="I1882" s="29"/>
      <c r="J1882" s="29">
        <f t="shared" si="146"/>
        <v>1</v>
      </c>
      <c r="K1882" s="42">
        <v>1868</v>
      </c>
      <c r="L1882" s="43" t="s">
        <v>8126</v>
      </c>
      <c r="M1882" s="43" t="s">
        <v>405</v>
      </c>
      <c r="N1882" s="44" t="s">
        <v>8120</v>
      </c>
      <c r="O1882" s="44" t="str">
        <f t="shared" si="148"/>
        <v>PE-L1-1C240-01</v>
      </c>
      <c r="P1882" s="51" t="s">
        <v>3433</v>
      </c>
      <c r="Q1882" s="43">
        <v>700</v>
      </c>
      <c r="R1882" s="43" t="s">
        <v>509</v>
      </c>
      <c r="S1882" s="43">
        <v>40</v>
      </c>
      <c r="T1882" s="46" t="s">
        <v>7981</v>
      </c>
      <c r="U1882" s="46" t="s">
        <v>8093</v>
      </c>
      <c r="V1882" s="46" t="s">
        <v>8095</v>
      </c>
      <c r="W1882" s="46" t="s">
        <v>8123</v>
      </c>
      <c r="X1882" s="47" t="s">
        <v>8116</v>
      </c>
      <c r="Y1882" s="43" t="s">
        <v>7629</v>
      </c>
      <c r="Z1882" s="43" t="s">
        <v>7401</v>
      </c>
      <c r="AA1882" s="43" t="s">
        <v>3968</v>
      </c>
      <c r="AB1882" s="47" t="s">
        <v>8116</v>
      </c>
      <c r="AC1882" s="52" t="s">
        <v>7630</v>
      </c>
      <c r="AD1882" s="30"/>
      <c r="AE1882" s="192">
        <v>1</v>
      </c>
      <c r="AF1882" s="100" t="s">
        <v>8822</v>
      </c>
      <c r="AG1882" s="100" t="s">
        <v>8932</v>
      </c>
      <c r="AH1882" s="108">
        <v>25.5</v>
      </c>
      <c r="AK1882" s="241">
        <v>1</v>
      </c>
      <c r="AL1882" s="241" t="s">
        <v>9576</v>
      </c>
      <c r="AM1882" s="241">
        <v>1</v>
      </c>
      <c r="AN1882" s="241">
        <v>1</v>
      </c>
      <c r="AO1882" s="241" t="s">
        <v>9576</v>
      </c>
      <c r="AP1882" s="243">
        <v>1</v>
      </c>
      <c r="AQ1882" s="242" t="s">
        <v>9580</v>
      </c>
    </row>
    <row r="1883" spans="1:43" s="32" customFormat="1" ht="69.95" hidden="1" customHeight="1">
      <c r="A1883" s="29" t="s">
        <v>8093</v>
      </c>
      <c r="B1883" s="29" t="s">
        <v>3769</v>
      </c>
      <c r="C1883" s="32">
        <v>95</v>
      </c>
      <c r="E1883" s="71" t="s">
        <v>8121</v>
      </c>
      <c r="F1883" s="71" t="s">
        <v>8121</v>
      </c>
      <c r="G1883" s="29" t="s">
        <v>8152</v>
      </c>
      <c r="H1883" s="29"/>
      <c r="I1883" s="29"/>
      <c r="J1883" s="29">
        <f t="shared" si="146"/>
        <v>1</v>
      </c>
      <c r="K1883" s="42">
        <v>1869</v>
      </c>
      <c r="L1883" s="43" t="s">
        <v>8127</v>
      </c>
      <c r="M1883" s="43" t="s">
        <v>405</v>
      </c>
      <c r="N1883" s="44" t="s">
        <v>8120</v>
      </c>
      <c r="O1883" s="44" t="str">
        <f t="shared" si="148"/>
        <v>PE-L1-1C240-01</v>
      </c>
      <c r="P1883" s="51" t="s">
        <v>3433</v>
      </c>
      <c r="Q1883" s="43">
        <v>700</v>
      </c>
      <c r="R1883" s="43" t="s">
        <v>509</v>
      </c>
      <c r="S1883" s="43">
        <v>40</v>
      </c>
      <c r="T1883" s="46" t="s">
        <v>7981</v>
      </c>
      <c r="U1883" s="46" t="s">
        <v>8093</v>
      </c>
      <c r="V1883" s="46" t="s">
        <v>8095</v>
      </c>
      <c r="W1883" s="46" t="s">
        <v>8123</v>
      </c>
      <c r="X1883" s="47" t="s">
        <v>8116</v>
      </c>
      <c r="Y1883" s="43" t="s">
        <v>7629</v>
      </c>
      <c r="Z1883" s="43" t="s">
        <v>7401</v>
      </c>
      <c r="AA1883" s="43" t="s">
        <v>3968</v>
      </c>
      <c r="AB1883" s="47" t="s">
        <v>8116</v>
      </c>
      <c r="AC1883" s="48" t="s">
        <v>7630</v>
      </c>
      <c r="AD1883" s="30"/>
      <c r="AE1883" s="192">
        <v>1</v>
      </c>
      <c r="AF1883" s="100" t="s">
        <v>8822</v>
      </c>
      <c r="AG1883" s="100" t="s">
        <v>8932</v>
      </c>
      <c r="AH1883" s="108">
        <v>25.5</v>
      </c>
      <c r="AK1883" s="241">
        <v>1</v>
      </c>
      <c r="AL1883" s="241" t="s">
        <v>9576</v>
      </c>
      <c r="AM1883" s="241">
        <v>1</v>
      </c>
      <c r="AN1883" s="241">
        <v>1</v>
      </c>
      <c r="AO1883" s="241" t="s">
        <v>9576</v>
      </c>
      <c r="AP1883" s="243">
        <v>1</v>
      </c>
      <c r="AQ1883" s="242" t="s">
        <v>9580</v>
      </c>
    </row>
    <row r="1884" spans="1:43" s="32" customFormat="1" ht="69.95" hidden="1" customHeight="1">
      <c r="A1884" s="29" t="s">
        <v>8093</v>
      </c>
      <c r="B1884" s="29" t="s">
        <v>3769</v>
      </c>
      <c r="C1884" s="32">
        <v>96</v>
      </c>
      <c r="E1884" s="71" t="s">
        <v>8121</v>
      </c>
      <c r="F1884" s="71" t="s">
        <v>8121</v>
      </c>
      <c r="G1884" s="29" t="s">
        <v>8152</v>
      </c>
      <c r="H1884" s="29"/>
      <c r="I1884" s="29"/>
      <c r="J1884" s="29">
        <f t="shared" si="146"/>
        <v>1</v>
      </c>
      <c r="K1884" s="42">
        <v>1870</v>
      </c>
      <c r="L1884" s="43" t="s">
        <v>8128</v>
      </c>
      <c r="M1884" s="43" t="s">
        <v>405</v>
      </c>
      <c r="N1884" s="44" t="s">
        <v>8120</v>
      </c>
      <c r="O1884" s="44" t="str">
        <f t="shared" si="148"/>
        <v>PE-L1-1C240-01</v>
      </c>
      <c r="P1884" s="51" t="s">
        <v>3433</v>
      </c>
      <c r="Q1884" s="43">
        <v>700</v>
      </c>
      <c r="R1884" s="43" t="s">
        <v>509</v>
      </c>
      <c r="S1884" s="43">
        <v>40</v>
      </c>
      <c r="T1884" s="46" t="s">
        <v>7981</v>
      </c>
      <c r="U1884" s="46" t="s">
        <v>8093</v>
      </c>
      <c r="V1884" s="46" t="s">
        <v>8095</v>
      </c>
      <c r="W1884" s="46" t="s">
        <v>8123</v>
      </c>
      <c r="X1884" s="47" t="s">
        <v>8116</v>
      </c>
      <c r="Y1884" s="43" t="s">
        <v>7629</v>
      </c>
      <c r="Z1884" s="43" t="s">
        <v>7401</v>
      </c>
      <c r="AA1884" s="43" t="s">
        <v>3968</v>
      </c>
      <c r="AB1884" s="47" t="s">
        <v>8116</v>
      </c>
      <c r="AC1884" s="52" t="s">
        <v>7630</v>
      </c>
      <c r="AD1884" s="30"/>
      <c r="AE1884" s="192">
        <v>1</v>
      </c>
      <c r="AF1884" s="100" t="s">
        <v>8822</v>
      </c>
      <c r="AG1884" s="100" t="s">
        <v>8932</v>
      </c>
      <c r="AH1884" s="108">
        <v>25.5</v>
      </c>
      <c r="AK1884" s="241">
        <v>1</v>
      </c>
      <c r="AL1884" s="241" t="s">
        <v>9576</v>
      </c>
      <c r="AM1884" s="241">
        <v>1</v>
      </c>
      <c r="AN1884" s="241">
        <v>1</v>
      </c>
      <c r="AO1884" s="241" t="s">
        <v>9576</v>
      </c>
      <c r="AP1884" s="243">
        <v>1</v>
      </c>
      <c r="AQ1884" s="242" t="s">
        <v>9580</v>
      </c>
    </row>
    <row r="1885" spans="1:43" s="32" customFormat="1" ht="69.95" hidden="1" customHeight="1">
      <c r="A1885" s="29" t="s">
        <v>8093</v>
      </c>
      <c r="B1885" s="29" t="s">
        <v>3769</v>
      </c>
      <c r="C1885" s="32">
        <v>97</v>
      </c>
      <c r="E1885" s="71" t="s">
        <v>8121</v>
      </c>
      <c r="F1885" s="71" t="s">
        <v>8121</v>
      </c>
      <c r="G1885" s="29" t="s">
        <v>8152</v>
      </c>
      <c r="H1885" s="29"/>
      <c r="I1885" s="29"/>
      <c r="J1885" s="29">
        <f t="shared" si="146"/>
        <v>1</v>
      </c>
      <c r="K1885" s="42">
        <v>1871</v>
      </c>
      <c r="L1885" s="43" t="s">
        <v>8129</v>
      </c>
      <c r="M1885" s="43" t="s">
        <v>405</v>
      </c>
      <c r="N1885" s="44" t="s">
        <v>8120</v>
      </c>
      <c r="O1885" s="44" t="str">
        <f t="shared" si="148"/>
        <v>PE-L1-1C240-01</v>
      </c>
      <c r="P1885" s="51" t="s">
        <v>3433</v>
      </c>
      <c r="Q1885" s="43">
        <v>700</v>
      </c>
      <c r="R1885" s="43" t="s">
        <v>509</v>
      </c>
      <c r="S1885" s="43">
        <v>40</v>
      </c>
      <c r="T1885" s="46" t="s">
        <v>7981</v>
      </c>
      <c r="U1885" s="46" t="s">
        <v>8093</v>
      </c>
      <c r="V1885" s="46" t="s">
        <v>8095</v>
      </c>
      <c r="W1885" s="46" t="s">
        <v>8123</v>
      </c>
      <c r="X1885" s="47" t="s">
        <v>8117</v>
      </c>
      <c r="Y1885" s="43" t="s">
        <v>7629</v>
      </c>
      <c r="Z1885" s="43" t="s">
        <v>7401</v>
      </c>
      <c r="AA1885" s="43" t="s">
        <v>3968</v>
      </c>
      <c r="AB1885" s="47" t="s">
        <v>8117</v>
      </c>
      <c r="AC1885" s="48" t="s">
        <v>7630</v>
      </c>
      <c r="AD1885" s="30"/>
      <c r="AE1885" s="192">
        <v>1</v>
      </c>
      <c r="AF1885" s="100" t="s">
        <v>8822</v>
      </c>
      <c r="AG1885" s="100" t="s">
        <v>8932</v>
      </c>
      <c r="AH1885" s="108">
        <v>25.5</v>
      </c>
      <c r="AK1885" s="241">
        <v>1</v>
      </c>
      <c r="AL1885" s="241" t="s">
        <v>9576</v>
      </c>
      <c r="AM1885" s="241">
        <v>1</v>
      </c>
      <c r="AN1885" s="241">
        <v>1</v>
      </c>
      <c r="AO1885" s="241" t="s">
        <v>9576</v>
      </c>
      <c r="AP1885" s="243">
        <v>1</v>
      </c>
      <c r="AQ1885" s="242" t="s">
        <v>9580</v>
      </c>
    </row>
    <row r="1886" spans="1:43" s="32" customFormat="1" ht="69.95" hidden="1" customHeight="1">
      <c r="A1886" s="29" t="s">
        <v>8093</v>
      </c>
      <c r="B1886" s="29" t="s">
        <v>3769</v>
      </c>
      <c r="C1886" s="32">
        <v>98</v>
      </c>
      <c r="E1886" s="71" t="s">
        <v>8121</v>
      </c>
      <c r="F1886" s="71" t="s">
        <v>8121</v>
      </c>
      <c r="G1886" s="29" t="s">
        <v>8152</v>
      </c>
      <c r="H1886" s="29"/>
      <c r="I1886" s="29"/>
      <c r="J1886" s="29">
        <f t="shared" si="146"/>
        <v>1</v>
      </c>
      <c r="K1886" s="42">
        <v>1872</v>
      </c>
      <c r="L1886" s="43" t="s">
        <v>8130</v>
      </c>
      <c r="M1886" s="43" t="s">
        <v>405</v>
      </c>
      <c r="N1886" s="44" t="s">
        <v>8120</v>
      </c>
      <c r="O1886" s="44" t="str">
        <f t="shared" si="148"/>
        <v>PE-L1-1C240-01</v>
      </c>
      <c r="P1886" s="51" t="s">
        <v>3433</v>
      </c>
      <c r="Q1886" s="43">
        <v>700</v>
      </c>
      <c r="R1886" s="43" t="s">
        <v>509</v>
      </c>
      <c r="S1886" s="43">
        <v>40</v>
      </c>
      <c r="T1886" s="46" t="s">
        <v>7981</v>
      </c>
      <c r="U1886" s="46" t="s">
        <v>8093</v>
      </c>
      <c r="V1886" s="46" t="s">
        <v>8095</v>
      </c>
      <c r="W1886" s="46" t="s">
        <v>8123</v>
      </c>
      <c r="X1886" s="47" t="s">
        <v>8117</v>
      </c>
      <c r="Y1886" s="43" t="s">
        <v>7629</v>
      </c>
      <c r="Z1886" s="43" t="s">
        <v>7401</v>
      </c>
      <c r="AA1886" s="43" t="s">
        <v>3968</v>
      </c>
      <c r="AB1886" s="47" t="s">
        <v>8117</v>
      </c>
      <c r="AC1886" s="52" t="s">
        <v>7630</v>
      </c>
      <c r="AD1886" s="30"/>
      <c r="AE1886" s="192">
        <v>1</v>
      </c>
      <c r="AF1886" s="100" t="s">
        <v>8822</v>
      </c>
      <c r="AG1886" s="100" t="s">
        <v>8932</v>
      </c>
      <c r="AH1886" s="108">
        <v>25.5</v>
      </c>
      <c r="AK1886" s="241">
        <v>1</v>
      </c>
      <c r="AL1886" s="241" t="s">
        <v>9576</v>
      </c>
      <c r="AM1886" s="241">
        <v>1</v>
      </c>
      <c r="AN1886" s="241">
        <v>1</v>
      </c>
      <c r="AO1886" s="241" t="s">
        <v>9576</v>
      </c>
      <c r="AP1886" s="243">
        <v>1</v>
      </c>
      <c r="AQ1886" s="242" t="s">
        <v>9580</v>
      </c>
    </row>
    <row r="1887" spans="1:43" s="32" customFormat="1" ht="69.95" hidden="1" customHeight="1">
      <c r="A1887" s="29" t="s">
        <v>8093</v>
      </c>
      <c r="B1887" s="29" t="s">
        <v>3769</v>
      </c>
      <c r="C1887" s="32">
        <v>98</v>
      </c>
      <c r="E1887" s="71" t="s">
        <v>8121</v>
      </c>
      <c r="F1887" s="71" t="s">
        <v>8121</v>
      </c>
      <c r="G1887" s="29" t="s">
        <v>8152</v>
      </c>
      <c r="H1887" s="29"/>
      <c r="I1887" s="29"/>
      <c r="J1887" s="29">
        <f t="shared" si="146"/>
        <v>1</v>
      </c>
      <c r="K1887" s="42">
        <v>1873</v>
      </c>
      <c r="L1887" s="43" t="s">
        <v>8131</v>
      </c>
      <c r="M1887" s="43" t="s">
        <v>405</v>
      </c>
      <c r="N1887" s="44" t="s">
        <v>8120</v>
      </c>
      <c r="O1887" s="44" t="str">
        <f t="shared" si="148"/>
        <v>PE-L1-1C240-01</v>
      </c>
      <c r="P1887" s="51" t="s">
        <v>3433</v>
      </c>
      <c r="Q1887" s="43">
        <v>700</v>
      </c>
      <c r="R1887" s="43" t="s">
        <v>509</v>
      </c>
      <c r="S1887" s="43">
        <v>40</v>
      </c>
      <c r="T1887" s="46" t="s">
        <v>7981</v>
      </c>
      <c r="U1887" s="46" t="s">
        <v>8093</v>
      </c>
      <c r="V1887" s="46" t="s">
        <v>8095</v>
      </c>
      <c r="W1887" s="46" t="s">
        <v>8123</v>
      </c>
      <c r="X1887" s="47" t="s">
        <v>8117</v>
      </c>
      <c r="Y1887" s="43" t="s">
        <v>7629</v>
      </c>
      <c r="Z1887" s="43" t="s">
        <v>7401</v>
      </c>
      <c r="AA1887" s="43" t="s">
        <v>3968</v>
      </c>
      <c r="AB1887" s="47" t="s">
        <v>8117</v>
      </c>
      <c r="AC1887" s="52" t="s">
        <v>7630</v>
      </c>
      <c r="AD1887" s="30"/>
      <c r="AE1887" s="192">
        <v>1</v>
      </c>
      <c r="AF1887" s="100" t="s">
        <v>8822</v>
      </c>
      <c r="AG1887" s="100" t="s">
        <v>8932</v>
      </c>
      <c r="AH1887" s="108">
        <v>25.5</v>
      </c>
      <c r="AK1887" s="241">
        <v>1</v>
      </c>
      <c r="AL1887" s="241" t="s">
        <v>9576</v>
      </c>
      <c r="AM1887" s="241">
        <v>1</v>
      </c>
      <c r="AN1887" s="241">
        <v>1</v>
      </c>
      <c r="AO1887" s="241" t="s">
        <v>9576</v>
      </c>
      <c r="AP1887" s="243">
        <v>1</v>
      </c>
      <c r="AQ1887" s="242" t="s">
        <v>9580</v>
      </c>
    </row>
    <row r="1888" spans="1:43" s="32" customFormat="1" ht="69.95" hidden="1" customHeight="1">
      <c r="A1888" s="29" t="s">
        <v>8093</v>
      </c>
      <c r="B1888" s="29" t="s">
        <v>3769</v>
      </c>
      <c r="C1888" s="32">
        <v>98</v>
      </c>
      <c r="E1888" s="71" t="s">
        <v>8121</v>
      </c>
      <c r="F1888" s="71" t="s">
        <v>8121</v>
      </c>
      <c r="G1888" s="29" t="s">
        <v>8152</v>
      </c>
      <c r="H1888" s="29"/>
      <c r="I1888" s="29"/>
      <c r="J1888" s="29">
        <f t="shared" si="146"/>
        <v>1</v>
      </c>
      <c r="K1888" s="42">
        <v>1874</v>
      </c>
      <c r="L1888" s="43" t="s">
        <v>8124</v>
      </c>
      <c r="M1888" s="43" t="s">
        <v>405</v>
      </c>
      <c r="N1888" s="44" t="s">
        <v>8120</v>
      </c>
      <c r="O1888" s="44" t="str">
        <f t="shared" si="148"/>
        <v>PE-L1-1C240-01</v>
      </c>
      <c r="P1888" s="51" t="s">
        <v>3433</v>
      </c>
      <c r="Q1888" s="43">
        <v>700</v>
      </c>
      <c r="R1888" s="43" t="s">
        <v>509</v>
      </c>
      <c r="S1888" s="43">
        <v>40</v>
      </c>
      <c r="T1888" s="46" t="s">
        <v>7981</v>
      </c>
      <c r="U1888" s="46" t="s">
        <v>8093</v>
      </c>
      <c r="V1888" s="46" t="s">
        <v>8135</v>
      </c>
      <c r="W1888" s="46" t="s">
        <v>8123</v>
      </c>
      <c r="X1888" s="47" t="s">
        <v>8117</v>
      </c>
      <c r="Y1888" s="43" t="s">
        <v>7629</v>
      </c>
      <c r="Z1888" s="43" t="s">
        <v>7401</v>
      </c>
      <c r="AA1888" s="43" t="s">
        <v>3968</v>
      </c>
      <c r="AB1888" s="47" t="s">
        <v>8117</v>
      </c>
      <c r="AC1888" s="52" t="s">
        <v>7630</v>
      </c>
      <c r="AD1888" s="30"/>
      <c r="AE1888" s="192">
        <v>1</v>
      </c>
      <c r="AF1888" s="100" t="s">
        <v>8822</v>
      </c>
      <c r="AG1888" s="100" t="s">
        <v>8932</v>
      </c>
      <c r="AH1888" s="108">
        <v>25.5</v>
      </c>
      <c r="AK1888" s="241">
        <v>1</v>
      </c>
      <c r="AL1888" s="241" t="s">
        <v>9576</v>
      </c>
      <c r="AM1888" s="241">
        <v>1</v>
      </c>
      <c r="AN1888" s="241">
        <v>1</v>
      </c>
      <c r="AO1888" s="241" t="s">
        <v>9576</v>
      </c>
      <c r="AP1888" s="243">
        <v>1</v>
      </c>
      <c r="AQ1888" s="242" t="s">
        <v>9580</v>
      </c>
    </row>
    <row r="1889" spans="1:34" s="32" customFormat="1" ht="69.95" hidden="1" customHeight="1">
      <c r="A1889" s="29" t="s">
        <v>7631</v>
      </c>
      <c r="B1889" s="29" t="s">
        <v>3769</v>
      </c>
      <c r="C1889" s="32">
        <v>99</v>
      </c>
      <c r="E1889" s="57" t="s">
        <v>250</v>
      </c>
      <c r="F1889" s="57" t="s">
        <v>250</v>
      </c>
      <c r="G1889" s="29" t="s">
        <v>3590</v>
      </c>
      <c r="H1889" s="29"/>
      <c r="I1889" s="124" t="s">
        <v>9121</v>
      </c>
      <c r="J1889" s="29">
        <f t="shared" si="146"/>
        <v>1</v>
      </c>
      <c r="K1889" s="42">
        <v>1875</v>
      </c>
      <c r="L1889" s="152" t="s">
        <v>3591</v>
      </c>
      <c r="M1889" s="44" t="s">
        <v>405</v>
      </c>
      <c r="N1889" s="44" t="s">
        <v>578</v>
      </c>
      <c r="O1889" s="101" t="str">
        <f t="shared" ref="O1889:O1894" si="149">F1889</f>
        <v>PE-L1-2C4-06</v>
      </c>
      <c r="P1889" s="45">
        <v>1</v>
      </c>
      <c r="Q1889" s="44">
        <v>220</v>
      </c>
      <c r="R1889" s="44" t="s">
        <v>509</v>
      </c>
      <c r="S1889" s="101">
        <v>120</v>
      </c>
      <c r="T1889" s="46" t="s">
        <v>7981</v>
      </c>
      <c r="U1889" s="46" t="s">
        <v>7631</v>
      </c>
      <c r="V1889" s="46" t="s">
        <v>8136</v>
      </c>
      <c r="W1889" s="46" t="s">
        <v>384</v>
      </c>
      <c r="X1889" s="47" t="s">
        <v>8738</v>
      </c>
      <c r="Y1889" s="47" t="s">
        <v>7632</v>
      </c>
      <c r="Z1889" s="46" t="s">
        <v>8133</v>
      </c>
      <c r="AA1889" s="46" t="s">
        <v>3968</v>
      </c>
      <c r="AB1889" s="47" t="s">
        <v>8738</v>
      </c>
      <c r="AC1889" s="48" t="s">
        <v>7633</v>
      </c>
      <c r="AD1889" s="30"/>
      <c r="AE1889" s="192">
        <v>1</v>
      </c>
      <c r="AF1889" s="100" t="s">
        <v>8722</v>
      </c>
      <c r="AG1889" s="100" t="s">
        <v>8925</v>
      </c>
      <c r="AH1889" s="108">
        <v>12.5</v>
      </c>
    </row>
    <row r="1890" spans="1:34" s="32" customFormat="1" ht="69.95" hidden="1" customHeight="1">
      <c r="A1890" s="29" t="s">
        <v>7634</v>
      </c>
      <c r="B1890" s="29" t="s">
        <v>8658</v>
      </c>
      <c r="C1890" s="32">
        <v>100</v>
      </c>
      <c r="E1890" s="57" t="s">
        <v>8149</v>
      </c>
      <c r="F1890" s="57" t="s">
        <v>8149</v>
      </c>
      <c r="G1890" s="29" t="s">
        <v>3592</v>
      </c>
      <c r="H1890" s="29"/>
      <c r="I1890" s="124" t="s">
        <v>9121</v>
      </c>
      <c r="J1890" s="29">
        <f t="shared" si="146"/>
        <v>1</v>
      </c>
      <c r="K1890" s="42">
        <v>1876</v>
      </c>
      <c r="L1890" s="152" t="s">
        <v>3593</v>
      </c>
      <c r="M1890" s="44" t="s">
        <v>405</v>
      </c>
      <c r="N1890" s="44" t="s">
        <v>7984</v>
      </c>
      <c r="O1890" s="101" t="str">
        <f t="shared" si="149"/>
        <v>PE-L1-3C4-18</v>
      </c>
      <c r="P1890" s="45">
        <v>1</v>
      </c>
      <c r="Q1890" s="44">
        <v>230</v>
      </c>
      <c r="R1890" s="44" t="s">
        <v>49</v>
      </c>
      <c r="S1890" s="101">
        <v>120</v>
      </c>
      <c r="T1890" s="46" t="s">
        <v>7981</v>
      </c>
      <c r="U1890" s="46" t="s">
        <v>7634</v>
      </c>
      <c r="V1890" s="46" t="s">
        <v>8686</v>
      </c>
      <c r="W1890" s="46" t="s">
        <v>384</v>
      </c>
      <c r="X1890" s="172" t="s">
        <v>9167</v>
      </c>
      <c r="Y1890" s="47" t="s">
        <v>7635</v>
      </c>
      <c r="Z1890" s="46" t="s">
        <v>7408</v>
      </c>
      <c r="AA1890" s="46" t="s">
        <v>3968</v>
      </c>
      <c r="AB1890" s="172" t="s">
        <v>9167</v>
      </c>
      <c r="AC1890" s="48" t="s">
        <v>7636</v>
      </c>
      <c r="AD1890" s="30"/>
      <c r="AE1890" s="192">
        <v>1</v>
      </c>
      <c r="AF1890" s="100" t="s">
        <v>8722</v>
      </c>
      <c r="AG1890" s="100" t="s">
        <v>8925</v>
      </c>
      <c r="AH1890" s="100">
        <v>13</v>
      </c>
    </row>
    <row r="1891" spans="1:34" s="32" customFormat="1" ht="69.95" hidden="1" customHeight="1">
      <c r="A1891" s="29" t="s">
        <v>7637</v>
      </c>
      <c r="B1891" s="29" t="s">
        <v>8658</v>
      </c>
      <c r="C1891" s="32">
        <v>101</v>
      </c>
      <c r="E1891" s="56" t="s">
        <v>250</v>
      </c>
      <c r="F1891" s="57" t="s">
        <v>250</v>
      </c>
      <c r="G1891" s="29" t="s">
        <v>3594</v>
      </c>
      <c r="H1891" s="124" t="s">
        <v>9445</v>
      </c>
      <c r="I1891" s="124" t="s">
        <v>9121</v>
      </c>
      <c r="J1891" s="29">
        <f t="shared" si="146"/>
        <v>1</v>
      </c>
      <c r="K1891" s="42">
        <v>1877</v>
      </c>
      <c r="L1891" s="152" t="s">
        <v>3595</v>
      </c>
      <c r="M1891" s="44" t="s">
        <v>405</v>
      </c>
      <c r="N1891" s="44" t="s">
        <v>8148</v>
      </c>
      <c r="O1891" s="101" t="str">
        <f t="shared" si="149"/>
        <v>PE-L1-2C4-06</v>
      </c>
      <c r="P1891" s="45">
        <v>0.22</v>
      </c>
      <c r="Q1891" s="44">
        <v>220</v>
      </c>
      <c r="R1891" s="44" t="s">
        <v>509</v>
      </c>
      <c r="S1891" s="101">
        <v>40</v>
      </c>
      <c r="T1891" s="46" t="s">
        <v>7981</v>
      </c>
      <c r="U1891" s="46" t="s">
        <v>7637</v>
      </c>
      <c r="V1891" s="46" t="s">
        <v>8136</v>
      </c>
      <c r="W1891" s="46" t="s">
        <v>384</v>
      </c>
      <c r="X1891" s="47" t="s">
        <v>8738</v>
      </c>
      <c r="Y1891" s="47" t="s">
        <v>7638</v>
      </c>
      <c r="Z1891" s="46" t="s">
        <v>7412</v>
      </c>
      <c r="AA1891" s="46" t="s">
        <v>3968</v>
      </c>
      <c r="AB1891" s="47" t="s">
        <v>8738</v>
      </c>
      <c r="AC1891" s="48" t="s">
        <v>7639</v>
      </c>
      <c r="AD1891" s="30"/>
      <c r="AE1891" s="192">
        <v>1</v>
      </c>
      <c r="AF1891" s="100" t="s">
        <v>8722</v>
      </c>
      <c r="AG1891" s="100" t="s">
        <v>8925</v>
      </c>
      <c r="AH1891" s="108">
        <v>12.5</v>
      </c>
    </row>
    <row r="1892" spans="1:34" s="32" customFormat="1" ht="69.95" hidden="1" customHeight="1">
      <c r="A1892" s="29" t="s">
        <v>7640</v>
      </c>
      <c r="B1892" s="29" t="s">
        <v>8658</v>
      </c>
      <c r="C1892" s="32">
        <v>102</v>
      </c>
      <c r="D1892" s="173" t="s">
        <v>9131</v>
      </c>
      <c r="E1892" s="89" t="s">
        <v>8022</v>
      </c>
      <c r="F1892" s="121" t="s">
        <v>233</v>
      </c>
      <c r="G1892" s="29" t="s">
        <v>3596</v>
      </c>
      <c r="H1892" s="29"/>
      <c r="I1892" s="29"/>
      <c r="J1892" s="29">
        <f t="shared" si="146"/>
        <v>1</v>
      </c>
      <c r="K1892" s="42">
        <v>1878</v>
      </c>
      <c r="L1892" s="43" t="s">
        <v>3597</v>
      </c>
      <c r="M1892" s="44" t="s">
        <v>405</v>
      </c>
      <c r="N1892" s="44" t="s">
        <v>7984</v>
      </c>
      <c r="O1892" s="121" t="str">
        <f t="shared" si="149"/>
        <v>PE-L1-3C4-14</v>
      </c>
      <c r="P1892" s="45">
        <v>1</v>
      </c>
      <c r="Q1892" s="44">
        <v>230</v>
      </c>
      <c r="R1892" s="44" t="s">
        <v>49</v>
      </c>
      <c r="S1892" s="144">
        <v>40</v>
      </c>
      <c r="T1892" s="46" t="s">
        <v>7981</v>
      </c>
      <c r="U1892" s="46" t="s">
        <v>7640</v>
      </c>
      <c r="V1892" s="46" t="s">
        <v>8686</v>
      </c>
      <c r="W1892" s="46" t="s">
        <v>384</v>
      </c>
      <c r="X1892" s="172" t="s">
        <v>9167</v>
      </c>
      <c r="Y1892" s="47" t="s">
        <v>7641</v>
      </c>
      <c r="Z1892" s="46" t="s">
        <v>7416</v>
      </c>
      <c r="AA1892" s="46" t="s">
        <v>3968</v>
      </c>
      <c r="AB1892" s="172" t="s">
        <v>9167</v>
      </c>
      <c r="AC1892" s="48" t="s">
        <v>7642</v>
      </c>
      <c r="AD1892" s="30"/>
      <c r="AE1892" s="192">
        <v>1</v>
      </c>
      <c r="AF1892" s="100" t="s">
        <v>8722</v>
      </c>
      <c r="AG1892" s="100" t="s">
        <v>8925</v>
      </c>
      <c r="AH1892" s="100">
        <v>13</v>
      </c>
    </row>
    <row r="1893" spans="1:34" s="32" customFormat="1" ht="69.95" hidden="1" customHeight="1">
      <c r="A1893" s="29" t="s">
        <v>7643</v>
      </c>
      <c r="B1893" s="29" t="s">
        <v>8658</v>
      </c>
      <c r="C1893" s="32">
        <v>103</v>
      </c>
      <c r="E1893" s="59" t="s">
        <v>250</v>
      </c>
      <c r="F1893" s="57" t="s">
        <v>250</v>
      </c>
      <c r="G1893" s="29" t="s">
        <v>3598</v>
      </c>
      <c r="H1893" s="124" t="s">
        <v>9445</v>
      </c>
      <c r="I1893" s="124" t="s">
        <v>9121</v>
      </c>
      <c r="J1893" s="29">
        <f t="shared" si="146"/>
        <v>1</v>
      </c>
      <c r="K1893" s="42">
        <v>1879</v>
      </c>
      <c r="L1893" s="152" t="s">
        <v>3599</v>
      </c>
      <c r="M1893" s="44" t="s">
        <v>405</v>
      </c>
      <c r="N1893" s="44" t="s">
        <v>578</v>
      </c>
      <c r="O1893" s="101" t="str">
        <f t="shared" si="149"/>
        <v>PE-L1-2C4-06</v>
      </c>
      <c r="P1893" s="45">
        <v>0.44</v>
      </c>
      <c r="Q1893" s="44">
        <v>220</v>
      </c>
      <c r="R1893" s="44" t="s">
        <v>509</v>
      </c>
      <c r="S1893" s="101">
        <v>30</v>
      </c>
      <c r="T1893" s="46" t="s">
        <v>7981</v>
      </c>
      <c r="U1893" s="46" t="s">
        <v>7643</v>
      </c>
      <c r="V1893" s="46" t="s">
        <v>8136</v>
      </c>
      <c r="W1893" s="46" t="s">
        <v>384</v>
      </c>
      <c r="X1893" s="47" t="s">
        <v>8738</v>
      </c>
      <c r="Y1893" s="47" t="s">
        <v>7644</v>
      </c>
      <c r="Z1893" s="46" t="s">
        <v>8309</v>
      </c>
      <c r="AA1893" s="46" t="s">
        <v>3968</v>
      </c>
      <c r="AB1893" s="47" t="s">
        <v>8738</v>
      </c>
      <c r="AC1893" s="48" t="s">
        <v>8321</v>
      </c>
      <c r="AD1893" s="30"/>
      <c r="AE1893" s="192">
        <v>1</v>
      </c>
      <c r="AF1893" s="100" t="s">
        <v>8722</v>
      </c>
      <c r="AG1893" s="100" t="s">
        <v>8925</v>
      </c>
      <c r="AH1893" s="108">
        <v>12.5</v>
      </c>
    </row>
    <row r="1894" spans="1:34" s="32" customFormat="1" ht="69.95" hidden="1" customHeight="1">
      <c r="A1894" s="29" t="s">
        <v>7645</v>
      </c>
      <c r="B1894" s="29" t="s">
        <v>8658</v>
      </c>
      <c r="C1894" s="32">
        <v>104</v>
      </c>
      <c r="D1894" s="124" t="s">
        <v>9452</v>
      </c>
      <c r="E1894" s="89" t="s">
        <v>8022</v>
      </c>
      <c r="F1894" s="121" t="s">
        <v>233</v>
      </c>
      <c r="G1894" s="29" t="s">
        <v>3600</v>
      </c>
      <c r="H1894" s="124" t="s">
        <v>9445</v>
      </c>
      <c r="I1894" s="124" t="s">
        <v>9121</v>
      </c>
      <c r="J1894" s="29">
        <f t="shared" si="146"/>
        <v>1</v>
      </c>
      <c r="K1894" s="42">
        <v>1880</v>
      </c>
      <c r="L1894" s="152" t="s">
        <v>3601</v>
      </c>
      <c r="M1894" s="44" t="s">
        <v>405</v>
      </c>
      <c r="N1894" s="44" t="s">
        <v>7984</v>
      </c>
      <c r="O1894" s="121" t="str">
        <f t="shared" si="149"/>
        <v>PE-L1-3C4-14</v>
      </c>
      <c r="P1894" s="45">
        <v>1</v>
      </c>
      <c r="Q1894" s="44">
        <v>230</v>
      </c>
      <c r="R1894" s="44" t="s">
        <v>49</v>
      </c>
      <c r="S1894" s="182">
        <v>30</v>
      </c>
      <c r="T1894" s="46" t="s">
        <v>7981</v>
      </c>
      <c r="U1894" s="46" t="s">
        <v>7645</v>
      </c>
      <c r="V1894" s="46" t="s">
        <v>8686</v>
      </c>
      <c r="W1894" s="46" t="s">
        <v>384</v>
      </c>
      <c r="X1894" s="172" t="s">
        <v>9167</v>
      </c>
      <c r="Y1894" s="47" t="s">
        <v>7646</v>
      </c>
      <c r="Z1894" s="46" t="s">
        <v>8322</v>
      </c>
      <c r="AA1894" s="46" t="s">
        <v>3968</v>
      </c>
      <c r="AB1894" s="172" t="s">
        <v>9167</v>
      </c>
      <c r="AC1894" s="48" t="s">
        <v>8321</v>
      </c>
      <c r="AD1894" s="30"/>
      <c r="AE1894" s="192">
        <v>1</v>
      </c>
      <c r="AF1894" s="100" t="s">
        <v>8722</v>
      </c>
      <c r="AG1894" s="100" t="s">
        <v>8925</v>
      </c>
      <c r="AH1894" s="100">
        <v>13</v>
      </c>
    </row>
    <row r="1895" spans="1:34" s="32" customFormat="1" ht="69.95" customHeight="1">
      <c r="A1895" s="29" t="s">
        <v>7647</v>
      </c>
      <c r="B1895" s="29" t="s">
        <v>8658</v>
      </c>
      <c r="C1895" s="32">
        <v>105</v>
      </c>
      <c r="E1895" s="58" t="s">
        <v>88</v>
      </c>
      <c r="F1895" s="57" t="s">
        <v>8145</v>
      </c>
      <c r="G1895" s="29" t="s">
        <v>3602</v>
      </c>
      <c r="H1895" s="29"/>
      <c r="I1895" s="29"/>
      <c r="J1895" s="29">
        <f t="shared" si="146"/>
        <v>1</v>
      </c>
      <c r="K1895" s="42">
        <v>1881</v>
      </c>
      <c r="L1895" s="43" t="s">
        <v>3603</v>
      </c>
      <c r="M1895" s="44" t="s">
        <v>405</v>
      </c>
      <c r="N1895" s="44" t="s">
        <v>536</v>
      </c>
      <c r="O1895" s="44" t="str">
        <f t="shared" ref="O1895:O1927" si="150">F1895</f>
        <v>PE-L1-4C4-01</v>
      </c>
      <c r="P1895" s="45">
        <v>0.55000000000000004</v>
      </c>
      <c r="Q1895" s="44">
        <v>400</v>
      </c>
      <c r="R1895" s="44" t="s">
        <v>412</v>
      </c>
      <c r="S1895" s="44">
        <v>60</v>
      </c>
      <c r="T1895" s="46" t="s">
        <v>7981</v>
      </c>
      <c r="U1895" s="46" t="s">
        <v>7647</v>
      </c>
      <c r="V1895" s="46" t="s">
        <v>8690</v>
      </c>
      <c r="W1895" s="46" t="s">
        <v>384</v>
      </c>
      <c r="X1895" s="47" t="s">
        <v>8721</v>
      </c>
      <c r="Y1895" s="47" t="s">
        <v>7648</v>
      </c>
      <c r="Z1895" s="46" t="s">
        <v>400</v>
      </c>
      <c r="AA1895" s="46" t="s">
        <v>3968</v>
      </c>
      <c r="AB1895" s="47" t="s">
        <v>8721</v>
      </c>
      <c r="AC1895" s="48" t="s">
        <v>7649</v>
      </c>
      <c r="AD1895" s="30"/>
      <c r="AE1895" s="192">
        <v>1</v>
      </c>
      <c r="AF1895" s="100" t="s">
        <v>8722</v>
      </c>
      <c r="AG1895" s="100" t="s">
        <v>8925</v>
      </c>
      <c r="AH1895" s="100">
        <v>14</v>
      </c>
    </row>
    <row r="1896" spans="1:34" s="32" customFormat="1" ht="69.95" customHeight="1">
      <c r="A1896" s="29" t="s">
        <v>7593</v>
      </c>
      <c r="B1896" s="29" t="s">
        <v>8658</v>
      </c>
      <c r="C1896" s="32">
        <v>106</v>
      </c>
      <c r="E1896" s="57" t="s">
        <v>88</v>
      </c>
      <c r="F1896" s="57" t="s">
        <v>88</v>
      </c>
      <c r="G1896" s="29" t="s">
        <v>3604</v>
      </c>
      <c r="H1896" s="29"/>
      <c r="I1896" s="29"/>
      <c r="J1896" s="29">
        <f t="shared" si="146"/>
        <v>1</v>
      </c>
      <c r="K1896" s="42">
        <v>1882</v>
      </c>
      <c r="L1896" s="249" t="s">
        <v>3605</v>
      </c>
      <c r="M1896" s="44" t="s">
        <v>405</v>
      </c>
      <c r="N1896" s="44" t="s">
        <v>536</v>
      </c>
      <c r="O1896" s="44" t="str">
        <f t="shared" si="150"/>
        <v>PE-L1-4C4-01</v>
      </c>
      <c r="P1896" s="45">
        <v>0.55000000000000004</v>
      </c>
      <c r="Q1896" s="44">
        <v>400</v>
      </c>
      <c r="R1896" s="44" t="s">
        <v>8323</v>
      </c>
      <c r="S1896" s="44">
        <v>60</v>
      </c>
      <c r="T1896" s="46" t="s">
        <v>7981</v>
      </c>
      <c r="U1896" s="250" t="s">
        <v>9600</v>
      </c>
      <c r="V1896" s="250" t="s">
        <v>8690</v>
      </c>
      <c r="W1896" s="46" t="s">
        <v>384</v>
      </c>
      <c r="X1896" s="47" t="s">
        <v>8721</v>
      </c>
      <c r="Y1896" s="47" t="s">
        <v>7650</v>
      </c>
      <c r="Z1896" s="46" t="s">
        <v>400</v>
      </c>
      <c r="AA1896" s="46" t="s">
        <v>3968</v>
      </c>
      <c r="AB1896" s="47" t="s">
        <v>8721</v>
      </c>
      <c r="AC1896" s="48" t="s">
        <v>7651</v>
      </c>
      <c r="AD1896" s="30"/>
      <c r="AE1896" s="192">
        <v>1</v>
      </c>
      <c r="AF1896" s="100" t="s">
        <v>8722</v>
      </c>
      <c r="AG1896" s="100" t="s">
        <v>8925</v>
      </c>
      <c r="AH1896" s="100">
        <v>14</v>
      </c>
    </row>
    <row r="1897" spans="1:34" s="32" customFormat="1" ht="69.95" hidden="1" customHeight="1">
      <c r="A1897" s="29" t="s">
        <v>8665</v>
      </c>
      <c r="B1897" s="29" t="s">
        <v>3769</v>
      </c>
      <c r="C1897" s="69" t="s">
        <v>32</v>
      </c>
      <c r="D1897" s="69"/>
      <c r="E1897" s="57" t="s">
        <v>8162</v>
      </c>
      <c r="F1897" s="57" t="s">
        <v>8162</v>
      </c>
      <c r="G1897" s="29" t="s">
        <v>3606</v>
      </c>
      <c r="H1897" s="29"/>
      <c r="I1897" s="29"/>
      <c r="J1897" s="29">
        <f t="shared" si="146"/>
        <v>1</v>
      </c>
      <c r="K1897" s="42">
        <v>1883</v>
      </c>
      <c r="L1897" s="43" t="s">
        <v>3607</v>
      </c>
      <c r="M1897" s="44" t="s">
        <v>405</v>
      </c>
      <c r="N1897" s="44" t="s">
        <v>426</v>
      </c>
      <c r="O1897" s="44" t="str">
        <f t="shared" si="150"/>
        <v>PE-L1-3C4-22</v>
      </c>
      <c r="P1897" s="45">
        <v>0.15</v>
      </c>
      <c r="Q1897" s="44">
        <v>230</v>
      </c>
      <c r="R1897" s="44" t="s">
        <v>49</v>
      </c>
      <c r="S1897" s="44">
        <v>30</v>
      </c>
      <c r="T1897" s="46" t="s">
        <v>7981</v>
      </c>
      <c r="U1897" s="46" t="s">
        <v>8168</v>
      </c>
      <c r="V1897" s="46" t="s">
        <v>8692</v>
      </c>
      <c r="W1897" s="46" t="s">
        <v>386</v>
      </c>
      <c r="X1897" s="172" t="s">
        <v>9167</v>
      </c>
      <c r="Y1897" s="47" t="s">
        <v>7652</v>
      </c>
      <c r="Z1897" s="46" t="s">
        <v>7135</v>
      </c>
      <c r="AA1897" s="46" t="s">
        <v>4003</v>
      </c>
      <c r="AB1897" s="172" t="s">
        <v>9167</v>
      </c>
      <c r="AC1897" s="48" t="s">
        <v>7653</v>
      </c>
      <c r="AD1897" s="30"/>
      <c r="AE1897" s="192">
        <v>1</v>
      </c>
      <c r="AF1897" s="100" t="s">
        <v>8722</v>
      </c>
      <c r="AG1897" s="100" t="s">
        <v>8925</v>
      </c>
      <c r="AH1897" s="100">
        <v>13</v>
      </c>
    </row>
    <row r="1898" spans="1:34" s="32" customFormat="1" ht="69.95" hidden="1" customHeight="1">
      <c r="A1898" s="29" t="s">
        <v>7654</v>
      </c>
      <c r="B1898" s="29" t="s">
        <v>3769</v>
      </c>
      <c r="C1898" s="69" t="s">
        <v>36</v>
      </c>
      <c r="D1898" s="69"/>
      <c r="E1898" s="57" t="s">
        <v>8162</v>
      </c>
      <c r="F1898" s="57" t="s">
        <v>8162</v>
      </c>
      <c r="G1898" s="29" t="s">
        <v>3608</v>
      </c>
      <c r="H1898" s="29"/>
      <c r="I1898" s="29"/>
      <c r="J1898" s="29">
        <f t="shared" si="146"/>
        <v>1</v>
      </c>
      <c r="K1898" s="42">
        <v>1884</v>
      </c>
      <c r="L1898" s="43" t="s">
        <v>3609</v>
      </c>
      <c r="M1898" s="44" t="s">
        <v>405</v>
      </c>
      <c r="N1898" s="44" t="s">
        <v>426</v>
      </c>
      <c r="O1898" s="44" t="str">
        <f t="shared" si="150"/>
        <v>PE-L1-3C4-22</v>
      </c>
      <c r="P1898" s="45">
        <v>7.2999999999999995E-2</v>
      </c>
      <c r="Q1898" s="44">
        <v>230</v>
      </c>
      <c r="R1898" s="44" t="s">
        <v>49</v>
      </c>
      <c r="S1898" s="44">
        <v>120</v>
      </c>
      <c r="T1898" s="46" t="s">
        <v>7981</v>
      </c>
      <c r="U1898" s="46" t="s">
        <v>7654</v>
      </c>
      <c r="V1898" s="46" t="s">
        <v>8692</v>
      </c>
      <c r="W1898" s="46" t="s">
        <v>386</v>
      </c>
      <c r="X1898" s="172" t="s">
        <v>9167</v>
      </c>
      <c r="Y1898" s="47" t="s">
        <v>7655</v>
      </c>
      <c r="Z1898" s="46" t="s">
        <v>7139</v>
      </c>
      <c r="AA1898" s="46" t="s">
        <v>4003</v>
      </c>
      <c r="AB1898" s="172" t="s">
        <v>9167</v>
      </c>
      <c r="AC1898" s="48" t="s">
        <v>7656</v>
      </c>
      <c r="AD1898" s="206" t="s">
        <v>8888</v>
      </c>
      <c r="AE1898" s="192">
        <v>1</v>
      </c>
      <c r="AF1898" s="100" t="s">
        <v>8722</v>
      </c>
      <c r="AG1898" s="100" t="s">
        <v>8925</v>
      </c>
      <c r="AH1898" s="100">
        <v>13</v>
      </c>
    </row>
    <row r="1899" spans="1:34" s="32" customFormat="1" ht="69.95" hidden="1" customHeight="1">
      <c r="A1899" s="29" t="s">
        <v>7657</v>
      </c>
      <c r="B1899" s="29" t="s">
        <v>3769</v>
      </c>
      <c r="C1899" s="69" t="s">
        <v>38</v>
      </c>
      <c r="D1899" s="69"/>
      <c r="E1899" s="57" t="s">
        <v>8162</v>
      </c>
      <c r="F1899" s="57" t="s">
        <v>8162</v>
      </c>
      <c r="G1899" s="29" t="s">
        <v>3610</v>
      </c>
      <c r="H1899" s="29"/>
      <c r="I1899" s="29"/>
      <c r="J1899" s="29">
        <f t="shared" si="146"/>
        <v>1</v>
      </c>
      <c r="K1899" s="42">
        <v>1885</v>
      </c>
      <c r="L1899" s="43" t="s">
        <v>3611</v>
      </c>
      <c r="M1899" s="44" t="s">
        <v>405</v>
      </c>
      <c r="N1899" s="44" t="s">
        <v>426</v>
      </c>
      <c r="O1899" s="44" t="str">
        <f t="shared" si="150"/>
        <v>PE-L1-3C4-22</v>
      </c>
      <c r="P1899" s="45">
        <v>7.2999999999999995E-2</v>
      </c>
      <c r="Q1899" s="44">
        <v>230</v>
      </c>
      <c r="R1899" s="44" t="s">
        <v>49</v>
      </c>
      <c r="S1899" s="44">
        <v>120</v>
      </c>
      <c r="T1899" s="46" t="s">
        <v>7981</v>
      </c>
      <c r="U1899" s="46" t="s">
        <v>7657</v>
      </c>
      <c r="V1899" s="46" t="s">
        <v>8692</v>
      </c>
      <c r="W1899" s="46" t="s">
        <v>386</v>
      </c>
      <c r="X1899" s="172" t="s">
        <v>9167</v>
      </c>
      <c r="Y1899" s="47" t="s">
        <v>7658</v>
      </c>
      <c r="Z1899" s="46" t="s">
        <v>7143</v>
      </c>
      <c r="AA1899" s="46" t="s">
        <v>4003</v>
      </c>
      <c r="AB1899" s="172" t="s">
        <v>9167</v>
      </c>
      <c r="AC1899" s="48" t="s">
        <v>7656</v>
      </c>
      <c r="AD1899" s="206" t="s">
        <v>8889</v>
      </c>
      <c r="AE1899" s="192">
        <v>1</v>
      </c>
      <c r="AF1899" s="100" t="s">
        <v>8722</v>
      </c>
      <c r="AG1899" s="100" t="s">
        <v>8925</v>
      </c>
      <c r="AH1899" s="100">
        <v>13</v>
      </c>
    </row>
    <row r="1900" spans="1:34" s="32" customFormat="1" ht="69.95" hidden="1" customHeight="1">
      <c r="A1900" s="29" t="s">
        <v>7659</v>
      </c>
      <c r="B1900" s="29" t="s">
        <v>3769</v>
      </c>
      <c r="C1900" s="69" t="s">
        <v>40</v>
      </c>
      <c r="D1900" s="69"/>
      <c r="E1900" s="57" t="s">
        <v>8162</v>
      </c>
      <c r="F1900" s="57" t="s">
        <v>8162</v>
      </c>
      <c r="G1900" s="29" t="s">
        <v>3612</v>
      </c>
      <c r="H1900" s="29"/>
      <c r="I1900" s="29"/>
      <c r="J1900" s="29">
        <f t="shared" si="146"/>
        <v>1</v>
      </c>
      <c r="K1900" s="42">
        <v>1886</v>
      </c>
      <c r="L1900" s="43" t="s">
        <v>3613</v>
      </c>
      <c r="M1900" s="44" t="s">
        <v>405</v>
      </c>
      <c r="N1900" s="44" t="s">
        <v>426</v>
      </c>
      <c r="O1900" s="44" t="str">
        <f t="shared" si="150"/>
        <v>PE-L1-3C4-22</v>
      </c>
      <c r="P1900" s="45">
        <v>7.2999999999999995E-2</v>
      </c>
      <c r="Q1900" s="44">
        <v>230</v>
      </c>
      <c r="R1900" s="44" t="s">
        <v>49</v>
      </c>
      <c r="S1900" s="44">
        <v>120</v>
      </c>
      <c r="T1900" s="46" t="s">
        <v>7981</v>
      </c>
      <c r="U1900" s="46" t="s">
        <v>7659</v>
      </c>
      <c r="V1900" s="46" t="s">
        <v>8692</v>
      </c>
      <c r="W1900" s="46" t="s">
        <v>386</v>
      </c>
      <c r="X1900" s="172" t="s">
        <v>9167</v>
      </c>
      <c r="Y1900" s="47" t="s">
        <v>7660</v>
      </c>
      <c r="Z1900" s="46" t="s">
        <v>7146</v>
      </c>
      <c r="AA1900" s="46" t="s">
        <v>4003</v>
      </c>
      <c r="AB1900" s="172" t="s">
        <v>9167</v>
      </c>
      <c r="AC1900" s="48" t="s">
        <v>7656</v>
      </c>
      <c r="AD1900" s="206" t="s">
        <v>8890</v>
      </c>
      <c r="AE1900" s="192">
        <v>1</v>
      </c>
      <c r="AF1900" s="100" t="s">
        <v>8722</v>
      </c>
      <c r="AG1900" s="100" t="s">
        <v>8925</v>
      </c>
      <c r="AH1900" s="100">
        <v>13</v>
      </c>
    </row>
    <row r="1901" spans="1:34" s="32" customFormat="1" ht="69.95" hidden="1" customHeight="1">
      <c r="A1901" s="29" t="s">
        <v>7661</v>
      </c>
      <c r="B1901" s="29" t="s">
        <v>3769</v>
      </c>
      <c r="C1901" s="69" t="s">
        <v>41</v>
      </c>
      <c r="D1901" s="69"/>
      <c r="E1901" s="57" t="s">
        <v>8282</v>
      </c>
      <c r="F1901" s="57" t="s">
        <v>8282</v>
      </c>
      <c r="G1901" s="29" t="s">
        <v>3614</v>
      </c>
      <c r="H1901" s="29"/>
      <c r="I1901" s="29"/>
      <c r="J1901" s="29">
        <f t="shared" si="146"/>
        <v>1</v>
      </c>
      <c r="K1901" s="42">
        <v>1887</v>
      </c>
      <c r="L1901" s="43" t="s">
        <v>3615</v>
      </c>
      <c r="M1901" s="44" t="s">
        <v>405</v>
      </c>
      <c r="N1901" s="44" t="s">
        <v>536</v>
      </c>
      <c r="O1901" s="44" t="str">
        <f t="shared" si="150"/>
        <v>PE-L1-4C4-23</v>
      </c>
      <c r="P1901" s="45">
        <v>4.9000000000000004</v>
      </c>
      <c r="Q1901" s="44">
        <v>400</v>
      </c>
      <c r="R1901" s="44" t="s">
        <v>49</v>
      </c>
      <c r="S1901" s="44">
        <v>120</v>
      </c>
      <c r="T1901" s="46" t="s">
        <v>7981</v>
      </c>
      <c r="U1901" s="46" t="s">
        <v>7661</v>
      </c>
      <c r="V1901" s="46" t="s">
        <v>8692</v>
      </c>
      <c r="W1901" s="46" t="s">
        <v>386</v>
      </c>
      <c r="X1901" s="47" t="s">
        <v>8721</v>
      </c>
      <c r="Y1901" s="47" t="s">
        <v>7662</v>
      </c>
      <c r="Z1901" s="46" t="s">
        <v>7149</v>
      </c>
      <c r="AA1901" s="46" t="s">
        <v>4003</v>
      </c>
      <c r="AB1901" s="47" t="s">
        <v>8721</v>
      </c>
      <c r="AC1901" s="48" t="s">
        <v>8390</v>
      </c>
      <c r="AD1901" s="30"/>
      <c r="AE1901" s="202">
        <v>1</v>
      </c>
      <c r="AF1901" s="109" t="s">
        <v>8922</v>
      </c>
      <c r="AG1901" s="109" t="s">
        <v>8925</v>
      </c>
      <c r="AH1901" s="109">
        <v>14</v>
      </c>
    </row>
    <row r="1902" spans="1:34" s="32" customFormat="1" ht="69.95" hidden="1" customHeight="1">
      <c r="A1902" s="29" t="s">
        <v>7663</v>
      </c>
      <c r="B1902" s="29" t="s">
        <v>3769</v>
      </c>
      <c r="C1902" s="69" t="s">
        <v>42</v>
      </c>
      <c r="D1902" s="69"/>
      <c r="E1902" s="57" t="s">
        <v>8162</v>
      </c>
      <c r="F1902" s="57" t="s">
        <v>8162</v>
      </c>
      <c r="G1902" s="29" t="s">
        <v>3616</v>
      </c>
      <c r="H1902" s="29"/>
      <c r="I1902" s="29"/>
      <c r="J1902" s="29">
        <f t="shared" si="146"/>
        <v>1</v>
      </c>
      <c r="K1902" s="42">
        <v>1888</v>
      </c>
      <c r="L1902" s="43" t="s">
        <v>3617</v>
      </c>
      <c r="M1902" s="44" t="s">
        <v>405</v>
      </c>
      <c r="N1902" s="44" t="s">
        <v>426</v>
      </c>
      <c r="O1902" s="44" t="str">
        <f t="shared" si="150"/>
        <v>PE-L1-3C4-22</v>
      </c>
      <c r="P1902" s="45">
        <v>0.5</v>
      </c>
      <c r="Q1902" s="44">
        <v>230</v>
      </c>
      <c r="R1902" s="44" t="s">
        <v>49</v>
      </c>
      <c r="S1902" s="44">
        <v>120</v>
      </c>
      <c r="T1902" s="46" t="s">
        <v>7981</v>
      </c>
      <c r="U1902" s="46" t="s">
        <v>7663</v>
      </c>
      <c r="V1902" s="46" t="s">
        <v>8692</v>
      </c>
      <c r="W1902" s="46" t="s">
        <v>386</v>
      </c>
      <c r="X1902" s="172" t="s">
        <v>9167</v>
      </c>
      <c r="Y1902" s="47" t="s">
        <v>7664</v>
      </c>
      <c r="Z1902" s="46" t="s">
        <v>7153</v>
      </c>
      <c r="AA1902" s="46" t="s">
        <v>4003</v>
      </c>
      <c r="AB1902" s="172" t="s">
        <v>9167</v>
      </c>
      <c r="AC1902" s="48" t="s">
        <v>8391</v>
      </c>
      <c r="AD1902" s="30"/>
      <c r="AE1902" s="192">
        <v>1</v>
      </c>
      <c r="AF1902" s="100" t="s">
        <v>8722</v>
      </c>
      <c r="AG1902" s="100" t="s">
        <v>8925</v>
      </c>
      <c r="AH1902" s="100">
        <v>13</v>
      </c>
    </row>
    <row r="1903" spans="1:34" s="32" customFormat="1" ht="69.95" hidden="1" customHeight="1">
      <c r="A1903" s="29" t="s">
        <v>7665</v>
      </c>
      <c r="B1903" s="29" t="s">
        <v>3769</v>
      </c>
      <c r="C1903" s="69" t="s">
        <v>43</v>
      </c>
      <c r="D1903" s="69"/>
      <c r="E1903" s="57" t="s">
        <v>8162</v>
      </c>
      <c r="F1903" s="57" t="s">
        <v>8162</v>
      </c>
      <c r="G1903" s="29" t="s">
        <v>3618</v>
      </c>
      <c r="H1903" s="29"/>
      <c r="I1903" s="29"/>
      <c r="J1903" s="29">
        <f t="shared" si="146"/>
        <v>1</v>
      </c>
      <c r="K1903" s="42">
        <v>1889</v>
      </c>
      <c r="L1903" s="43" t="s">
        <v>3619</v>
      </c>
      <c r="M1903" s="44" t="s">
        <v>405</v>
      </c>
      <c r="N1903" s="44" t="s">
        <v>7984</v>
      </c>
      <c r="O1903" s="44" t="str">
        <f t="shared" si="150"/>
        <v>PE-L1-3C4-22</v>
      </c>
      <c r="P1903" s="45">
        <v>0.5</v>
      </c>
      <c r="Q1903" s="44">
        <v>230</v>
      </c>
      <c r="R1903" s="44" t="s">
        <v>49</v>
      </c>
      <c r="S1903" s="44">
        <v>120</v>
      </c>
      <c r="T1903" s="46" t="s">
        <v>7981</v>
      </c>
      <c r="U1903" s="46" t="s">
        <v>7665</v>
      </c>
      <c r="V1903" s="46" t="s">
        <v>8692</v>
      </c>
      <c r="W1903" s="46" t="s">
        <v>386</v>
      </c>
      <c r="X1903" s="172" t="s">
        <v>9167</v>
      </c>
      <c r="Y1903" s="47" t="s">
        <v>7666</v>
      </c>
      <c r="Z1903" s="46" t="s">
        <v>7157</v>
      </c>
      <c r="AA1903" s="46" t="s">
        <v>4003</v>
      </c>
      <c r="AB1903" s="172" t="s">
        <v>9167</v>
      </c>
      <c r="AC1903" s="48" t="s">
        <v>8392</v>
      </c>
      <c r="AD1903" s="30"/>
      <c r="AE1903" s="192">
        <v>1</v>
      </c>
      <c r="AF1903" s="100" t="s">
        <v>8722</v>
      </c>
      <c r="AG1903" s="100" t="s">
        <v>8925</v>
      </c>
      <c r="AH1903" s="100">
        <v>13</v>
      </c>
    </row>
    <row r="1904" spans="1:34" s="32" customFormat="1" ht="69.95" hidden="1" customHeight="1">
      <c r="A1904" s="29" t="s">
        <v>7667</v>
      </c>
      <c r="B1904" s="29" t="s">
        <v>3769</v>
      </c>
      <c r="C1904" s="69" t="s">
        <v>73</v>
      </c>
      <c r="D1904" s="69"/>
      <c r="E1904" s="57" t="s">
        <v>8162</v>
      </c>
      <c r="F1904" s="57" t="s">
        <v>8162</v>
      </c>
      <c r="G1904" s="29" t="s">
        <v>3620</v>
      </c>
      <c r="H1904" s="29"/>
      <c r="I1904" s="29"/>
      <c r="J1904" s="29">
        <f t="shared" si="146"/>
        <v>1</v>
      </c>
      <c r="K1904" s="42">
        <v>1890</v>
      </c>
      <c r="L1904" s="43" t="s">
        <v>3621</v>
      </c>
      <c r="M1904" s="44" t="s">
        <v>405</v>
      </c>
      <c r="N1904" s="44" t="s">
        <v>426</v>
      </c>
      <c r="O1904" s="44" t="str">
        <f t="shared" si="150"/>
        <v>PE-L1-3C4-22</v>
      </c>
      <c r="P1904" s="45">
        <v>0.5</v>
      </c>
      <c r="Q1904" s="44">
        <v>230</v>
      </c>
      <c r="R1904" s="44" t="s">
        <v>49</v>
      </c>
      <c r="S1904" s="44">
        <v>120</v>
      </c>
      <c r="T1904" s="46" t="s">
        <v>7981</v>
      </c>
      <c r="U1904" s="46" t="s">
        <v>7667</v>
      </c>
      <c r="V1904" s="46" t="s">
        <v>8692</v>
      </c>
      <c r="W1904" s="46" t="s">
        <v>386</v>
      </c>
      <c r="X1904" s="172" t="s">
        <v>9167</v>
      </c>
      <c r="Y1904" s="47" t="s">
        <v>7668</v>
      </c>
      <c r="Z1904" s="46" t="s">
        <v>7161</v>
      </c>
      <c r="AA1904" s="46" t="s">
        <v>4003</v>
      </c>
      <c r="AB1904" s="172" t="s">
        <v>9167</v>
      </c>
      <c r="AC1904" s="48" t="s">
        <v>8393</v>
      </c>
      <c r="AD1904" s="30"/>
      <c r="AE1904" s="192">
        <v>1</v>
      </c>
      <c r="AF1904" s="100" t="s">
        <v>8722</v>
      </c>
      <c r="AG1904" s="100" t="s">
        <v>8925</v>
      </c>
      <c r="AH1904" s="100">
        <v>13</v>
      </c>
    </row>
    <row r="1905" spans="1:45" s="32" customFormat="1" ht="69.95" hidden="1" customHeight="1">
      <c r="A1905" s="29" t="s">
        <v>7669</v>
      </c>
      <c r="B1905" s="29" t="s">
        <v>3769</v>
      </c>
      <c r="C1905" s="69" t="s">
        <v>75</v>
      </c>
      <c r="D1905" s="69"/>
      <c r="E1905" s="57" t="s">
        <v>8284</v>
      </c>
      <c r="F1905" s="57" t="s">
        <v>8284</v>
      </c>
      <c r="G1905" s="29" t="s">
        <v>3622</v>
      </c>
      <c r="H1905" s="29"/>
      <c r="I1905" s="29"/>
      <c r="J1905" s="29">
        <f t="shared" si="146"/>
        <v>1</v>
      </c>
      <c r="K1905" s="42">
        <v>1891</v>
      </c>
      <c r="L1905" s="43" t="s">
        <v>3623</v>
      </c>
      <c r="M1905" s="44" t="s">
        <v>405</v>
      </c>
      <c r="N1905" s="44" t="s">
        <v>536</v>
      </c>
      <c r="O1905" s="44" t="str">
        <f t="shared" si="150"/>
        <v>PE-L1-4C4-23</v>
      </c>
      <c r="P1905" s="45">
        <v>2.2000000000000002</v>
      </c>
      <c r="Q1905" s="44">
        <v>400</v>
      </c>
      <c r="R1905" s="44" t="s">
        <v>49</v>
      </c>
      <c r="S1905" s="44">
        <v>50</v>
      </c>
      <c r="T1905" s="46" t="s">
        <v>7981</v>
      </c>
      <c r="U1905" s="46" t="s">
        <v>7669</v>
      </c>
      <c r="V1905" s="46" t="s">
        <v>8692</v>
      </c>
      <c r="W1905" s="46" t="s">
        <v>386</v>
      </c>
      <c r="X1905" s="47" t="s">
        <v>9305</v>
      </c>
      <c r="Y1905" s="47" t="s">
        <v>7670</v>
      </c>
      <c r="Z1905" s="46" t="s">
        <v>7165</v>
      </c>
      <c r="AA1905" s="46" t="s">
        <v>4003</v>
      </c>
      <c r="AB1905" s="47" t="s">
        <v>9305</v>
      </c>
      <c r="AC1905" s="48" t="s">
        <v>8394</v>
      </c>
      <c r="AD1905" s="30"/>
      <c r="AE1905" s="192">
        <v>1</v>
      </c>
      <c r="AF1905" s="100" t="s">
        <v>8722</v>
      </c>
      <c r="AG1905" s="100" t="s">
        <v>8925</v>
      </c>
      <c r="AH1905" s="100">
        <v>14</v>
      </c>
    </row>
    <row r="1906" spans="1:45" s="32" customFormat="1" ht="69.95" hidden="1" customHeight="1">
      <c r="A1906" s="29" t="s">
        <v>7671</v>
      </c>
      <c r="B1906" s="29" t="s">
        <v>3769</v>
      </c>
      <c r="C1906" s="32">
        <v>10</v>
      </c>
      <c r="E1906" s="57" t="s">
        <v>8284</v>
      </c>
      <c r="F1906" s="57" t="s">
        <v>8284</v>
      </c>
      <c r="G1906" s="29" t="s">
        <v>3624</v>
      </c>
      <c r="H1906" s="29"/>
      <c r="I1906" s="29"/>
      <c r="J1906" s="29">
        <f t="shared" si="146"/>
        <v>1</v>
      </c>
      <c r="K1906" s="42">
        <v>1892</v>
      </c>
      <c r="L1906" s="43" t="s">
        <v>3625</v>
      </c>
      <c r="M1906" s="44" t="s">
        <v>405</v>
      </c>
      <c r="N1906" s="44" t="s">
        <v>536</v>
      </c>
      <c r="O1906" s="44" t="str">
        <f t="shared" si="150"/>
        <v>PE-L1-4C4-23</v>
      </c>
      <c r="P1906" s="45">
        <v>2.2000000000000002</v>
      </c>
      <c r="Q1906" s="44">
        <v>400</v>
      </c>
      <c r="R1906" s="44" t="s">
        <v>49</v>
      </c>
      <c r="S1906" s="44">
        <v>50</v>
      </c>
      <c r="T1906" s="46" t="s">
        <v>7981</v>
      </c>
      <c r="U1906" s="46" t="s">
        <v>7671</v>
      </c>
      <c r="V1906" s="46" t="s">
        <v>8692</v>
      </c>
      <c r="W1906" s="46" t="s">
        <v>386</v>
      </c>
      <c r="X1906" s="47" t="s">
        <v>8721</v>
      </c>
      <c r="Y1906" s="47" t="s">
        <v>7672</v>
      </c>
      <c r="Z1906" s="46" t="s">
        <v>7169</v>
      </c>
      <c r="AA1906" s="46" t="s">
        <v>4003</v>
      </c>
      <c r="AB1906" s="47" t="s">
        <v>8721</v>
      </c>
      <c r="AC1906" s="48" t="s">
        <v>8395</v>
      </c>
      <c r="AD1906" s="30"/>
      <c r="AE1906" s="192">
        <v>1</v>
      </c>
      <c r="AF1906" s="100" t="s">
        <v>8722</v>
      </c>
      <c r="AG1906" s="100" t="s">
        <v>8925</v>
      </c>
      <c r="AH1906" s="100">
        <v>14</v>
      </c>
    </row>
    <row r="1907" spans="1:45" s="32" customFormat="1" ht="69.95" hidden="1" customHeight="1">
      <c r="A1907" s="29" t="s">
        <v>8666</v>
      </c>
      <c r="B1907" s="29" t="s">
        <v>8652</v>
      </c>
      <c r="C1907" s="69" t="s">
        <v>32</v>
      </c>
      <c r="D1907" s="69"/>
      <c r="E1907" s="57" t="s">
        <v>8159</v>
      </c>
      <c r="F1907" s="218" t="s">
        <v>9401</v>
      </c>
      <c r="G1907" s="29" t="s">
        <v>3626</v>
      </c>
      <c r="H1907" s="29"/>
      <c r="I1907" s="29"/>
      <c r="J1907" s="29">
        <f t="shared" si="146"/>
        <v>1</v>
      </c>
      <c r="K1907" s="42">
        <v>1893</v>
      </c>
      <c r="L1907" s="43" t="s">
        <v>8264</v>
      </c>
      <c r="M1907" s="220" t="s">
        <v>417</v>
      </c>
      <c r="N1907" s="44" t="s">
        <v>7978</v>
      </c>
      <c r="O1907" s="188" t="str">
        <f t="shared" si="150"/>
        <v>PE-M1-1C240-09</v>
      </c>
      <c r="P1907" s="45" t="s">
        <v>1613</v>
      </c>
      <c r="Q1907" s="44">
        <v>1400</v>
      </c>
      <c r="R1907" s="44" t="s">
        <v>49</v>
      </c>
      <c r="S1907" s="44">
        <v>60</v>
      </c>
      <c r="T1907" s="46" t="s">
        <v>7981</v>
      </c>
      <c r="U1907" s="47" t="s">
        <v>8186</v>
      </c>
      <c r="V1907" s="46" t="s">
        <v>8693</v>
      </c>
      <c r="W1907" s="46" t="s">
        <v>8694</v>
      </c>
      <c r="X1907" s="47" t="s">
        <v>304</v>
      </c>
      <c r="Y1907" s="46" t="s">
        <v>6338</v>
      </c>
      <c r="Z1907" s="43" t="s">
        <v>8187</v>
      </c>
      <c r="AA1907" s="46" t="s">
        <v>8188</v>
      </c>
      <c r="AB1907" s="47" t="s">
        <v>307</v>
      </c>
      <c r="AC1907" s="52" t="s">
        <v>8396</v>
      </c>
      <c r="AD1907" s="30"/>
      <c r="AE1907" s="192">
        <v>1</v>
      </c>
      <c r="AF1907" s="100" t="s">
        <v>8822</v>
      </c>
      <c r="AG1907" s="100" t="s">
        <v>8932</v>
      </c>
      <c r="AH1907" s="111">
        <v>33</v>
      </c>
      <c r="AK1907" s="241">
        <v>1</v>
      </c>
      <c r="AL1907" s="241" t="s">
        <v>9576</v>
      </c>
      <c r="AM1907" s="241">
        <v>1</v>
      </c>
      <c r="AN1907" s="241">
        <v>1</v>
      </c>
      <c r="AO1907" s="241" t="s">
        <v>9576</v>
      </c>
      <c r="AP1907" s="241">
        <v>1</v>
      </c>
      <c r="AR1907" s="241">
        <v>2</v>
      </c>
      <c r="AS1907" s="241" t="s">
        <v>9582</v>
      </c>
    </row>
    <row r="1908" spans="1:45" s="32" customFormat="1" ht="69.95" hidden="1" customHeight="1">
      <c r="A1908" s="29" t="s">
        <v>8666</v>
      </c>
      <c r="B1908" s="29" t="s">
        <v>8652</v>
      </c>
      <c r="C1908" s="69" t="s">
        <v>36</v>
      </c>
      <c r="D1908" s="69"/>
      <c r="E1908" s="57" t="s">
        <v>8286</v>
      </c>
      <c r="F1908" s="218" t="s">
        <v>9402</v>
      </c>
      <c r="G1908" s="29" t="s">
        <v>8154</v>
      </c>
      <c r="H1908" s="29"/>
      <c r="I1908" s="29"/>
      <c r="J1908" s="29">
        <f t="shared" si="146"/>
        <v>1</v>
      </c>
      <c r="K1908" s="42">
        <v>1894</v>
      </c>
      <c r="L1908" s="43" t="s">
        <v>8265</v>
      </c>
      <c r="M1908" s="220" t="s">
        <v>417</v>
      </c>
      <c r="N1908" s="44" t="s">
        <v>7978</v>
      </c>
      <c r="O1908" s="188" t="str">
        <f t="shared" si="150"/>
        <v>PE-M1-1C240-10</v>
      </c>
      <c r="P1908" s="51" t="s">
        <v>1613</v>
      </c>
      <c r="Q1908" s="43">
        <v>1400</v>
      </c>
      <c r="R1908" s="43" t="s">
        <v>49</v>
      </c>
      <c r="S1908" s="44">
        <v>60</v>
      </c>
      <c r="T1908" s="46" t="s">
        <v>7981</v>
      </c>
      <c r="U1908" s="47" t="s">
        <v>8186</v>
      </c>
      <c r="V1908" s="46" t="s">
        <v>8693</v>
      </c>
      <c r="W1908" s="46" t="s">
        <v>8694</v>
      </c>
      <c r="X1908" s="47" t="s">
        <v>305</v>
      </c>
      <c r="Y1908" s="46" t="s">
        <v>6338</v>
      </c>
      <c r="Z1908" s="43" t="s">
        <v>8187</v>
      </c>
      <c r="AA1908" s="46" t="s">
        <v>8188</v>
      </c>
      <c r="AB1908" s="47" t="s">
        <v>308</v>
      </c>
      <c r="AC1908" s="52" t="s">
        <v>8396</v>
      </c>
      <c r="AD1908" s="30"/>
      <c r="AE1908" s="192">
        <v>1</v>
      </c>
      <c r="AF1908" s="100" t="s">
        <v>8822</v>
      </c>
      <c r="AG1908" s="100" t="s">
        <v>8932</v>
      </c>
      <c r="AH1908" s="111">
        <v>33</v>
      </c>
      <c r="AK1908" s="241">
        <v>1</v>
      </c>
      <c r="AL1908" s="241" t="s">
        <v>9576</v>
      </c>
      <c r="AM1908" s="241">
        <v>1</v>
      </c>
      <c r="AN1908" s="241">
        <v>1</v>
      </c>
      <c r="AO1908" s="241" t="s">
        <v>9576</v>
      </c>
      <c r="AP1908" s="241">
        <v>1</v>
      </c>
      <c r="AR1908" s="241">
        <v>2</v>
      </c>
      <c r="AS1908" s="241" t="s">
        <v>9582</v>
      </c>
    </row>
    <row r="1909" spans="1:45" s="32" customFormat="1" ht="69.95" hidden="1" customHeight="1">
      <c r="A1909" s="29" t="s">
        <v>8666</v>
      </c>
      <c r="B1909" s="29" t="s">
        <v>8652</v>
      </c>
      <c r="C1909" s="69" t="s">
        <v>38</v>
      </c>
      <c r="D1909" s="69"/>
      <c r="E1909" s="57" t="s">
        <v>8286</v>
      </c>
      <c r="F1909" s="218" t="s">
        <v>9402</v>
      </c>
      <c r="G1909" s="29" t="s">
        <v>8154</v>
      </c>
      <c r="H1909" s="29"/>
      <c r="I1909" s="29"/>
      <c r="J1909" s="29">
        <f t="shared" si="146"/>
        <v>1</v>
      </c>
      <c r="K1909" s="42">
        <v>1895</v>
      </c>
      <c r="L1909" s="43" t="s">
        <v>8266</v>
      </c>
      <c r="M1909" s="220" t="s">
        <v>417</v>
      </c>
      <c r="N1909" s="44" t="s">
        <v>7978</v>
      </c>
      <c r="O1909" s="188" t="str">
        <f t="shared" si="150"/>
        <v>PE-M1-1C240-10</v>
      </c>
      <c r="P1909" s="51" t="s">
        <v>1613</v>
      </c>
      <c r="Q1909" s="43">
        <v>1400</v>
      </c>
      <c r="R1909" s="43" t="s">
        <v>49</v>
      </c>
      <c r="S1909" s="44">
        <v>60</v>
      </c>
      <c r="T1909" s="46" t="s">
        <v>7981</v>
      </c>
      <c r="U1909" s="47" t="s">
        <v>8186</v>
      </c>
      <c r="V1909" s="46" t="s">
        <v>8693</v>
      </c>
      <c r="W1909" s="46" t="s">
        <v>8694</v>
      </c>
      <c r="X1909" s="47" t="s">
        <v>306</v>
      </c>
      <c r="Y1909" s="46" t="s">
        <v>6338</v>
      </c>
      <c r="Z1909" s="43" t="s">
        <v>8187</v>
      </c>
      <c r="AA1909" s="46" t="s">
        <v>8188</v>
      </c>
      <c r="AB1909" s="47" t="s">
        <v>309</v>
      </c>
      <c r="AC1909" s="52" t="s">
        <v>8396</v>
      </c>
      <c r="AD1909" s="30"/>
      <c r="AE1909" s="192">
        <v>1</v>
      </c>
      <c r="AF1909" s="100" t="s">
        <v>8822</v>
      </c>
      <c r="AG1909" s="100" t="s">
        <v>8932</v>
      </c>
      <c r="AH1909" s="111">
        <v>33</v>
      </c>
      <c r="AK1909" s="241">
        <v>1</v>
      </c>
      <c r="AL1909" s="241" t="s">
        <v>9576</v>
      </c>
      <c r="AM1909" s="241">
        <v>1</v>
      </c>
      <c r="AN1909" s="241">
        <v>1</v>
      </c>
      <c r="AO1909" s="241" t="s">
        <v>9576</v>
      </c>
      <c r="AP1909" s="241">
        <v>1</v>
      </c>
      <c r="AR1909" s="241">
        <v>2</v>
      </c>
      <c r="AS1909" s="241" t="s">
        <v>9582</v>
      </c>
    </row>
    <row r="1910" spans="1:45" s="32" customFormat="1" ht="69.95" hidden="1" customHeight="1">
      <c r="A1910" s="29" t="s">
        <v>8666</v>
      </c>
      <c r="B1910" s="29" t="s">
        <v>8652</v>
      </c>
      <c r="C1910" s="69" t="s">
        <v>40</v>
      </c>
      <c r="D1910" s="69"/>
      <c r="E1910" s="57" t="s">
        <v>8286</v>
      </c>
      <c r="F1910" s="218" t="s">
        <v>9402</v>
      </c>
      <c r="G1910" s="29" t="s">
        <v>8154</v>
      </c>
      <c r="H1910" s="29"/>
      <c r="I1910" s="29"/>
      <c r="J1910" s="29">
        <f t="shared" si="146"/>
        <v>1</v>
      </c>
      <c r="K1910" s="42">
        <v>1896</v>
      </c>
      <c r="L1910" s="43" t="s">
        <v>8267</v>
      </c>
      <c r="M1910" s="220" t="s">
        <v>417</v>
      </c>
      <c r="N1910" s="44" t="s">
        <v>7978</v>
      </c>
      <c r="O1910" s="188" t="str">
        <f t="shared" si="150"/>
        <v>PE-M1-1C240-10</v>
      </c>
      <c r="P1910" s="51" t="s">
        <v>1613</v>
      </c>
      <c r="Q1910" s="43">
        <v>1400</v>
      </c>
      <c r="R1910" s="43" t="s">
        <v>49</v>
      </c>
      <c r="S1910" s="44">
        <v>60</v>
      </c>
      <c r="T1910" s="46" t="s">
        <v>7981</v>
      </c>
      <c r="U1910" s="47" t="s">
        <v>8186</v>
      </c>
      <c r="V1910" s="46" t="s">
        <v>8693</v>
      </c>
      <c r="W1910" s="46" t="s">
        <v>8694</v>
      </c>
      <c r="X1910" s="47" t="s">
        <v>304</v>
      </c>
      <c r="Y1910" s="46" t="s">
        <v>6338</v>
      </c>
      <c r="Z1910" s="43" t="s">
        <v>8187</v>
      </c>
      <c r="AA1910" s="46" t="s">
        <v>8188</v>
      </c>
      <c r="AB1910" s="47" t="s">
        <v>307</v>
      </c>
      <c r="AC1910" s="237" t="s">
        <v>9314</v>
      </c>
      <c r="AD1910" s="30"/>
      <c r="AE1910" s="192">
        <v>1</v>
      </c>
      <c r="AF1910" s="100" t="s">
        <v>8822</v>
      </c>
      <c r="AG1910" s="100" t="s">
        <v>8932</v>
      </c>
      <c r="AH1910" s="111">
        <v>33</v>
      </c>
      <c r="AK1910" s="241">
        <v>1</v>
      </c>
      <c r="AL1910" s="241" t="s">
        <v>9576</v>
      </c>
      <c r="AM1910" s="241">
        <v>1</v>
      </c>
      <c r="AN1910" s="241">
        <v>1</v>
      </c>
      <c r="AO1910" s="241" t="s">
        <v>9576</v>
      </c>
      <c r="AP1910" s="241">
        <v>1</v>
      </c>
      <c r="AR1910" s="241">
        <v>2</v>
      </c>
      <c r="AS1910" s="241" t="s">
        <v>9582</v>
      </c>
    </row>
    <row r="1911" spans="1:45" s="32" customFormat="1" ht="69.95" hidden="1" customHeight="1">
      <c r="A1911" s="29" t="s">
        <v>8666</v>
      </c>
      <c r="B1911" s="29" t="s">
        <v>8652</v>
      </c>
      <c r="C1911" s="69" t="s">
        <v>41</v>
      </c>
      <c r="D1911" s="69"/>
      <c r="E1911" s="57" t="s">
        <v>8286</v>
      </c>
      <c r="F1911" s="218" t="s">
        <v>9570</v>
      </c>
      <c r="G1911" s="29" t="s">
        <v>8154</v>
      </c>
      <c r="H1911" s="29"/>
      <c r="I1911" s="29"/>
      <c r="J1911" s="29">
        <f t="shared" si="146"/>
        <v>1</v>
      </c>
      <c r="K1911" s="42">
        <v>1897</v>
      </c>
      <c r="L1911" s="43" t="s">
        <v>8268</v>
      </c>
      <c r="M1911" s="220" t="s">
        <v>417</v>
      </c>
      <c r="N1911" s="44" t="s">
        <v>7978</v>
      </c>
      <c r="O1911" s="188" t="str">
        <f t="shared" si="150"/>
        <v>PE-M1-1C240-11</v>
      </c>
      <c r="P1911" s="51" t="s">
        <v>1613</v>
      </c>
      <c r="Q1911" s="43">
        <v>1400</v>
      </c>
      <c r="R1911" s="43" t="s">
        <v>49</v>
      </c>
      <c r="S1911" s="44">
        <v>60</v>
      </c>
      <c r="T1911" s="46" t="s">
        <v>7981</v>
      </c>
      <c r="U1911" s="47" t="s">
        <v>8186</v>
      </c>
      <c r="V1911" s="46" t="s">
        <v>8693</v>
      </c>
      <c r="W1911" s="46" t="s">
        <v>8694</v>
      </c>
      <c r="X1911" s="47" t="s">
        <v>305</v>
      </c>
      <c r="Y1911" s="46" t="s">
        <v>6338</v>
      </c>
      <c r="Z1911" s="43" t="s">
        <v>8187</v>
      </c>
      <c r="AA1911" s="46" t="s">
        <v>8188</v>
      </c>
      <c r="AB1911" s="47" t="s">
        <v>308</v>
      </c>
      <c r="AC1911" s="237" t="s">
        <v>9314</v>
      </c>
      <c r="AD1911" s="30"/>
      <c r="AE1911" s="192">
        <v>1</v>
      </c>
      <c r="AF1911" s="100" t="s">
        <v>8822</v>
      </c>
      <c r="AG1911" s="100" t="s">
        <v>8932</v>
      </c>
      <c r="AH1911" s="111">
        <v>33</v>
      </c>
      <c r="AK1911" s="241">
        <v>1</v>
      </c>
      <c r="AL1911" s="241" t="s">
        <v>9576</v>
      </c>
      <c r="AM1911" s="241">
        <v>1</v>
      </c>
      <c r="AN1911" s="241">
        <v>1</v>
      </c>
      <c r="AO1911" s="241" t="s">
        <v>9576</v>
      </c>
      <c r="AP1911" s="241">
        <v>1</v>
      </c>
      <c r="AR1911" s="241">
        <v>2</v>
      </c>
      <c r="AS1911" s="241" t="s">
        <v>9582</v>
      </c>
    </row>
    <row r="1912" spans="1:45" s="32" customFormat="1" ht="69.95" hidden="1" customHeight="1">
      <c r="A1912" s="29" t="s">
        <v>8666</v>
      </c>
      <c r="B1912" s="29" t="s">
        <v>8652</v>
      </c>
      <c r="C1912" s="69" t="s">
        <v>42</v>
      </c>
      <c r="D1912" s="69"/>
      <c r="E1912" s="57" t="s">
        <v>8286</v>
      </c>
      <c r="F1912" s="218" t="s">
        <v>9570</v>
      </c>
      <c r="G1912" s="29" t="s">
        <v>8154</v>
      </c>
      <c r="H1912" s="29"/>
      <c r="I1912" s="29"/>
      <c r="J1912" s="29">
        <f t="shared" si="146"/>
        <v>1</v>
      </c>
      <c r="K1912" s="42">
        <v>1898</v>
      </c>
      <c r="L1912" s="43" t="s">
        <v>8269</v>
      </c>
      <c r="M1912" s="220" t="s">
        <v>417</v>
      </c>
      <c r="N1912" s="44" t="s">
        <v>7978</v>
      </c>
      <c r="O1912" s="188" t="str">
        <f t="shared" si="150"/>
        <v>PE-M1-1C240-11</v>
      </c>
      <c r="P1912" s="51" t="s">
        <v>1613</v>
      </c>
      <c r="Q1912" s="43">
        <v>1400</v>
      </c>
      <c r="R1912" s="43" t="s">
        <v>49</v>
      </c>
      <c r="S1912" s="44">
        <v>60</v>
      </c>
      <c r="T1912" s="46" t="s">
        <v>7981</v>
      </c>
      <c r="U1912" s="47" t="s">
        <v>8186</v>
      </c>
      <c r="V1912" s="46" t="s">
        <v>8693</v>
      </c>
      <c r="W1912" s="46" t="s">
        <v>8694</v>
      </c>
      <c r="X1912" s="47" t="s">
        <v>306</v>
      </c>
      <c r="Y1912" s="46" t="s">
        <v>6338</v>
      </c>
      <c r="Z1912" s="43" t="s">
        <v>8187</v>
      </c>
      <c r="AA1912" s="46" t="s">
        <v>8188</v>
      </c>
      <c r="AB1912" s="47" t="s">
        <v>309</v>
      </c>
      <c r="AC1912" s="237" t="s">
        <v>9314</v>
      </c>
      <c r="AD1912" s="30"/>
      <c r="AE1912" s="192">
        <v>1</v>
      </c>
      <c r="AF1912" s="100" t="s">
        <v>8822</v>
      </c>
      <c r="AG1912" s="100" t="s">
        <v>8932</v>
      </c>
      <c r="AH1912" s="111">
        <v>33</v>
      </c>
      <c r="AK1912" s="241">
        <v>1</v>
      </c>
      <c r="AL1912" s="241" t="s">
        <v>9576</v>
      </c>
      <c r="AM1912" s="241">
        <v>1</v>
      </c>
      <c r="AN1912" s="241">
        <v>1</v>
      </c>
      <c r="AO1912" s="241" t="s">
        <v>9576</v>
      </c>
      <c r="AP1912" s="241">
        <v>1</v>
      </c>
      <c r="AR1912" s="241">
        <v>2</v>
      </c>
      <c r="AS1912" s="241" t="s">
        <v>9582</v>
      </c>
    </row>
    <row r="1913" spans="1:45" s="32" customFormat="1" ht="69.95" hidden="1" customHeight="1">
      <c r="A1913" s="29" t="s">
        <v>8666</v>
      </c>
      <c r="B1913" s="29" t="s">
        <v>8652</v>
      </c>
      <c r="C1913" s="69" t="s">
        <v>43</v>
      </c>
      <c r="D1913" s="69"/>
      <c r="E1913" s="57" t="s">
        <v>8286</v>
      </c>
      <c r="F1913" s="218" t="s">
        <v>9570</v>
      </c>
      <c r="G1913" s="29" t="s">
        <v>8154</v>
      </c>
      <c r="H1913" s="29"/>
      <c r="I1913" s="29"/>
      <c r="J1913" s="29">
        <f t="shared" si="146"/>
        <v>1</v>
      </c>
      <c r="K1913" s="42">
        <v>1899</v>
      </c>
      <c r="L1913" s="43" t="s">
        <v>8270</v>
      </c>
      <c r="M1913" s="220" t="s">
        <v>417</v>
      </c>
      <c r="N1913" s="44" t="s">
        <v>7978</v>
      </c>
      <c r="O1913" s="188" t="str">
        <f t="shared" si="150"/>
        <v>PE-M1-1C240-11</v>
      </c>
      <c r="P1913" s="51" t="s">
        <v>1613</v>
      </c>
      <c r="Q1913" s="43">
        <v>1400</v>
      </c>
      <c r="R1913" s="43" t="s">
        <v>49</v>
      </c>
      <c r="S1913" s="44">
        <v>60</v>
      </c>
      <c r="T1913" s="46" t="s">
        <v>7981</v>
      </c>
      <c r="U1913" s="47" t="s">
        <v>8186</v>
      </c>
      <c r="V1913" s="46" t="s">
        <v>8693</v>
      </c>
      <c r="W1913" s="46" t="s">
        <v>8694</v>
      </c>
      <c r="X1913" s="47" t="s">
        <v>304</v>
      </c>
      <c r="Y1913" s="46" t="s">
        <v>6338</v>
      </c>
      <c r="Z1913" s="43" t="s">
        <v>8187</v>
      </c>
      <c r="AA1913" s="46" t="s">
        <v>8188</v>
      </c>
      <c r="AB1913" s="47" t="s">
        <v>307</v>
      </c>
      <c r="AC1913" s="237" t="s">
        <v>9315</v>
      </c>
      <c r="AD1913" s="30"/>
      <c r="AE1913" s="192">
        <v>1</v>
      </c>
      <c r="AF1913" s="100" t="s">
        <v>8822</v>
      </c>
      <c r="AG1913" s="100" t="s">
        <v>8932</v>
      </c>
      <c r="AH1913" s="111">
        <v>33</v>
      </c>
      <c r="AK1913" s="241">
        <v>1</v>
      </c>
      <c r="AL1913" s="241" t="s">
        <v>9576</v>
      </c>
      <c r="AM1913" s="241">
        <v>1</v>
      </c>
      <c r="AN1913" s="241">
        <v>1</v>
      </c>
      <c r="AO1913" s="241" t="s">
        <v>9576</v>
      </c>
      <c r="AP1913" s="241">
        <v>1</v>
      </c>
      <c r="AR1913" s="241">
        <v>2</v>
      </c>
      <c r="AS1913" s="241" t="s">
        <v>9582</v>
      </c>
    </row>
    <row r="1914" spans="1:45" s="32" customFormat="1" ht="69.95" hidden="1" customHeight="1">
      <c r="A1914" s="29" t="s">
        <v>8666</v>
      </c>
      <c r="B1914" s="29" t="s">
        <v>8652</v>
      </c>
      <c r="C1914" s="69" t="s">
        <v>73</v>
      </c>
      <c r="D1914" s="69"/>
      <c r="E1914" s="57" t="s">
        <v>8286</v>
      </c>
      <c r="F1914" s="218" t="s">
        <v>9570</v>
      </c>
      <c r="G1914" s="29" t="s">
        <v>8154</v>
      </c>
      <c r="H1914" s="29"/>
      <c r="I1914" s="29"/>
      <c r="J1914" s="29">
        <f t="shared" si="146"/>
        <v>1</v>
      </c>
      <c r="K1914" s="42">
        <v>1900</v>
      </c>
      <c r="L1914" s="43" t="s">
        <v>8271</v>
      </c>
      <c r="M1914" s="220" t="s">
        <v>417</v>
      </c>
      <c r="N1914" s="44" t="s">
        <v>7978</v>
      </c>
      <c r="O1914" s="188" t="str">
        <f t="shared" si="150"/>
        <v>PE-M1-1C240-11</v>
      </c>
      <c r="P1914" s="51" t="s">
        <v>1613</v>
      </c>
      <c r="Q1914" s="43">
        <v>1400</v>
      </c>
      <c r="R1914" s="43" t="s">
        <v>49</v>
      </c>
      <c r="S1914" s="44">
        <v>60</v>
      </c>
      <c r="T1914" s="46" t="s">
        <v>7981</v>
      </c>
      <c r="U1914" s="47" t="s">
        <v>8186</v>
      </c>
      <c r="V1914" s="46" t="s">
        <v>8693</v>
      </c>
      <c r="W1914" s="46" t="s">
        <v>8694</v>
      </c>
      <c r="X1914" s="47" t="s">
        <v>305</v>
      </c>
      <c r="Y1914" s="46" t="s">
        <v>6338</v>
      </c>
      <c r="Z1914" s="43" t="s">
        <v>8187</v>
      </c>
      <c r="AA1914" s="46" t="s">
        <v>8188</v>
      </c>
      <c r="AB1914" s="47" t="s">
        <v>308</v>
      </c>
      <c r="AC1914" s="237" t="s">
        <v>9315</v>
      </c>
      <c r="AD1914" s="30"/>
      <c r="AE1914" s="192">
        <v>1</v>
      </c>
      <c r="AF1914" s="100" t="s">
        <v>8822</v>
      </c>
      <c r="AG1914" s="100" t="s">
        <v>8932</v>
      </c>
      <c r="AH1914" s="111">
        <v>33</v>
      </c>
      <c r="AK1914" s="241">
        <v>1</v>
      </c>
      <c r="AL1914" s="241" t="s">
        <v>9576</v>
      </c>
      <c r="AM1914" s="241">
        <v>1</v>
      </c>
      <c r="AN1914" s="241">
        <v>1</v>
      </c>
      <c r="AO1914" s="241" t="s">
        <v>9576</v>
      </c>
      <c r="AP1914" s="241">
        <v>1</v>
      </c>
      <c r="AR1914" s="241">
        <v>2</v>
      </c>
      <c r="AS1914" s="241" t="s">
        <v>9582</v>
      </c>
    </row>
    <row r="1915" spans="1:45" s="32" customFormat="1" ht="69.95" hidden="1" customHeight="1">
      <c r="A1915" s="29" t="s">
        <v>8666</v>
      </c>
      <c r="B1915" s="29" t="s">
        <v>8652</v>
      </c>
      <c r="C1915" s="69" t="s">
        <v>75</v>
      </c>
      <c r="D1915" s="69"/>
      <c r="E1915" s="57" t="s">
        <v>8286</v>
      </c>
      <c r="F1915" s="218" t="s">
        <v>9570</v>
      </c>
      <c r="G1915" s="29" t="s">
        <v>8154</v>
      </c>
      <c r="H1915" s="29"/>
      <c r="I1915" s="29"/>
      <c r="J1915" s="29">
        <f t="shared" si="146"/>
        <v>1</v>
      </c>
      <c r="K1915" s="42">
        <v>1901</v>
      </c>
      <c r="L1915" s="43" t="s">
        <v>8272</v>
      </c>
      <c r="M1915" s="220" t="s">
        <v>417</v>
      </c>
      <c r="N1915" s="44" t="s">
        <v>7978</v>
      </c>
      <c r="O1915" s="188" t="str">
        <f t="shared" si="150"/>
        <v>PE-M1-1C240-11</v>
      </c>
      <c r="P1915" s="51" t="s">
        <v>1613</v>
      </c>
      <c r="Q1915" s="43">
        <v>1400</v>
      </c>
      <c r="R1915" s="43" t="s">
        <v>49</v>
      </c>
      <c r="S1915" s="44">
        <v>60</v>
      </c>
      <c r="T1915" s="46" t="s">
        <v>7981</v>
      </c>
      <c r="U1915" s="47" t="s">
        <v>8186</v>
      </c>
      <c r="V1915" s="46" t="s">
        <v>8693</v>
      </c>
      <c r="W1915" s="46" t="s">
        <v>8694</v>
      </c>
      <c r="X1915" s="47" t="s">
        <v>306</v>
      </c>
      <c r="Y1915" s="46" t="s">
        <v>6338</v>
      </c>
      <c r="Z1915" s="43" t="s">
        <v>8187</v>
      </c>
      <c r="AA1915" s="46" t="s">
        <v>8188</v>
      </c>
      <c r="AB1915" s="47" t="s">
        <v>309</v>
      </c>
      <c r="AC1915" s="237" t="s">
        <v>9315</v>
      </c>
      <c r="AD1915" s="30"/>
      <c r="AE1915" s="192">
        <v>1</v>
      </c>
      <c r="AF1915" s="100" t="s">
        <v>8822</v>
      </c>
      <c r="AG1915" s="100" t="s">
        <v>8932</v>
      </c>
      <c r="AH1915" s="111">
        <v>33</v>
      </c>
      <c r="AK1915" s="241">
        <v>1</v>
      </c>
      <c r="AL1915" s="241" t="s">
        <v>9576</v>
      </c>
      <c r="AM1915" s="241">
        <v>1</v>
      </c>
      <c r="AN1915" s="241">
        <v>1</v>
      </c>
      <c r="AO1915" s="241" t="s">
        <v>9576</v>
      </c>
      <c r="AP1915" s="241">
        <v>1</v>
      </c>
      <c r="AR1915" s="241">
        <v>2</v>
      </c>
      <c r="AS1915" s="241" t="s">
        <v>9582</v>
      </c>
    </row>
    <row r="1916" spans="1:45" s="32" customFormat="1" ht="69.95" hidden="1" customHeight="1">
      <c r="A1916" s="29" t="s">
        <v>8667</v>
      </c>
      <c r="B1916" s="29" t="s">
        <v>8652</v>
      </c>
      <c r="C1916" s="69" t="s">
        <v>32</v>
      </c>
      <c r="D1916" s="69"/>
      <c r="E1916" s="57" t="s">
        <v>8287</v>
      </c>
      <c r="F1916" s="121" t="s">
        <v>9571</v>
      </c>
      <c r="G1916" s="29" t="s">
        <v>3627</v>
      </c>
      <c r="H1916" s="29"/>
      <c r="I1916" s="29"/>
      <c r="J1916" s="29">
        <f t="shared" si="146"/>
        <v>1</v>
      </c>
      <c r="K1916" s="42">
        <v>1902</v>
      </c>
      <c r="L1916" s="43" t="s">
        <v>8991</v>
      </c>
      <c r="M1916" s="220" t="s">
        <v>417</v>
      </c>
      <c r="N1916" s="44" t="s">
        <v>7978</v>
      </c>
      <c r="O1916" s="188" t="str">
        <f t="shared" si="150"/>
        <v>PE-M1-1C240-12</v>
      </c>
      <c r="P1916" s="45" t="s">
        <v>1613</v>
      </c>
      <c r="Q1916" s="44">
        <v>1400</v>
      </c>
      <c r="R1916" s="44" t="s">
        <v>49</v>
      </c>
      <c r="S1916" s="126">
        <v>35</v>
      </c>
      <c r="T1916" s="46" t="s">
        <v>7981</v>
      </c>
      <c r="U1916" s="47" t="s">
        <v>8201</v>
      </c>
      <c r="V1916" s="46" t="s">
        <v>8695</v>
      </c>
      <c r="W1916" s="70" t="s">
        <v>8188</v>
      </c>
      <c r="X1916" s="47" t="s">
        <v>304</v>
      </c>
      <c r="Y1916" s="47" t="s">
        <v>8202</v>
      </c>
      <c r="Z1916" s="46" t="s">
        <v>8203</v>
      </c>
      <c r="AA1916" s="46" t="s">
        <v>8694</v>
      </c>
      <c r="AB1916" s="47" t="s">
        <v>307</v>
      </c>
      <c r="AC1916" s="48" t="s">
        <v>8397</v>
      </c>
      <c r="AD1916" s="30"/>
      <c r="AE1916" s="192">
        <v>1</v>
      </c>
      <c r="AF1916" s="100" t="s">
        <v>8822</v>
      </c>
      <c r="AG1916" s="100" t="s">
        <v>8932</v>
      </c>
      <c r="AH1916" s="111">
        <v>33</v>
      </c>
      <c r="AK1916" s="241">
        <v>1</v>
      </c>
      <c r="AL1916" s="241" t="s">
        <v>9578</v>
      </c>
      <c r="AM1916" s="241">
        <v>2</v>
      </c>
      <c r="AN1916" s="241">
        <v>1</v>
      </c>
      <c r="AO1916" s="241" t="s">
        <v>9576</v>
      </c>
      <c r="AP1916" s="241">
        <v>1</v>
      </c>
      <c r="AR1916" s="241">
        <v>2</v>
      </c>
      <c r="AS1916" s="241" t="s">
        <v>9582</v>
      </c>
    </row>
    <row r="1917" spans="1:45" s="32" customFormat="1" ht="69.95" hidden="1" customHeight="1">
      <c r="A1917" s="29" t="s">
        <v>8667</v>
      </c>
      <c r="B1917" s="29" t="s">
        <v>8652</v>
      </c>
      <c r="C1917" s="69" t="s">
        <v>36</v>
      </c>
      <c r="D1917" s="69"/>
      <c r="E1917" s="57" t="s">
        <v>8287</v>
      </c>
      <c r="F1917" s="121" t="s">
        <v>9571</v>
      </c>
      <c r="G1917" s="29" t="s">
        <v>8154</v>
      </c>
      <c r="H1917" s="29"/>
      <c r="I1917" s="29"/>
      <c r="J1917" s="29">
        <f t="shared" si="146"/>
        <v>1</v>
      </c>
      <c r="K1917" s="42">
        <v>1903</v>
      </c>
      <c r="L1917" s="43" t="s">
        <v>8992</v>
      </c>
      <c r="M1917" s="220" t="s">
        <v>417</v>
      </c>
      <c r="N1917" s="44" t="s">
        <v>7978</v>
      </c>
      <c r="O1917" s="188" t="str">
        <f t="shared" si="150"/>
        <v>PE-M1-1C240-12</v>
      </c>
      <c r="P1917" s="51" t="s">
        <v>1613</v>
      </c>
      <c r="Q1917" s="43">
        <v>1400</v>
      </c>
      <c r="R1917" s="43" t="s">
        <v>49</v>
      </c>
      <c r="S1917" s="126">
        <v>35</v>
      </c>
      <c r="T1917" s="46" t="s">
        <v>7981</v>
      </c>
      <c r="U1917" s="47" t="s">
        <v>8201</v>
      </c>
      <c r="V1917" s="46" t="s">
        <v>8695</v>
      </c>
      <c r="W1917" s="70" t="s">
        <v>8188</v>
      </c>
      <c r="X1917" s="47" t="s">
        <v>305</v>
      </c>
      <c r="Y1917" s="47" t="s">
        <v>8202</v>
      </c>
      <c r="Z1917" s="46" t="s">
        <v>8203</v>
      </c>
      <c r="AA1917" s="46" t="s">
        <v>8694</v>
      </c>
      <c r="AB1917" s="47" t="s">
        <v>308</v>
      </c>
      <c r="AC1917" s="52" t="s">
        <v>8397</v>
      </c>
      <c r="AD1917" s="30"/>
      <c r="AE1917" s="192">
        <v>1</v>
      </c>
      <c r="AF1917" s="100" t="s">
        <v>8822</v>
      </c>
      <c r="AG1917" s="100" t="s">
        <v>8932</v>
      </c>
      <c r="AH1917" s="111">
        <v>33</v>
      </c>
      <c r="AK1917" s="241">
        <v>1</v>
      </c>
      <c r="AL1917" s="241" t="s">
        <v>9578</v>
      </c>
      <c r="AM1917" s="241">
        <v>2</v>
      </c>
      <c r="AN1917" s="241">
        <v>1</v>
      </c>
      <c r="AO1917" s="241" t="s">
        <v>9576</v>
      </c>
      <c r="AP1917" s="241">
        <v>1</v>
      </c>
      <c r="AR1917" s="241">
        <v>2</v>
      </c>
      <c r="AS1917" s="241" t="s">
        <v>9582</v>
      </c>
    </row>
    <row r="1918" spans="1:45" s="32" customFormat="1" ht="69.95" hidden="1" customHeight="1">
      <c r="A1918" s="29" t="s">
        <v>8667</v>
      </c>
      <c r="B1918" s="29" t="s">
        <v>8652</v>
      </c>
      <c r="C1918" s="69" t="s">
        <v>38</v>
      </c>
      <c r="D1918" s="69"/>
      <c r="E1918" s="57" t="s">
        <v>8287</v>
      </c>
      <c r="F1918" s="121" t="s">
        <v>9571</v>
      </c>
      <c r="G1918" s="29" t="s">
        <v>8154</v>
      </c>
      <c r="H1918" s="29"/>
      <c r="I1918" s="29"/>
      <c r="J1918" s="29">
        <f t="shared" si="146"/>
        <v>1</v>
      </c>
      <c r="K1918" s="42">
        <v>1904</v>
      </c>
      <c r="L1918" s="43" t="s">
        <v>8993</v>
      </c>
      <c r="M1918" s="220" t="s">
        <v>417</v>
      </c>
      <c r="N1918" s="44" t="s">
        <v>7978</v>
      </c>
      <c r="O1918" s="188" t="str">
        <f t="shared" si="150"/>
        <v>PE-M1-1C240-12</v>
      </c>
      <c r="P1918" s="51" t="s">
        <v>1613</v>
      </c>
      <c r="Q1918" s="43">
        <v>1400</v>
      </c>
      <c r="R1918" s="43" t="s">
        <v>49</v>
      </c>
      <c r="S1918" s="126">
        <v>35</v>
      </c>
      <c r="T1918" s="46" t="s">
        <v>7981</v>
      </c>
      <c r="U1918" s="47" t="s">
        <v>8201</v>
      </c>
      <c r="V1918" s="46" t="s">
        <v>8695</v>
      </c>
      <c r="W1918" s="70" t="s">
        <v>8188</v>
      </c>
      <c r="X1918" s="47" t="s">
        <v>306</v>
      </c>
      <c r="Y1918" s="47" t="s">
        <v>8202</v>
      </c>
      <c r="Z1918" s="46" t="s">
        <v>8203</v>
      </c>
      <c r="AA1918" s="46" t="s">
        <v>8694</v>
      </c>
      <c r="AB1918" s="47" t="s">
        <v>309</v>
      </c>
      <c r="AC1918" s="52" t="s">
        <v>8397</v>
      </c>
      <c r="AD1918" s="30"/>
      <c r="AE1918" s="192">
        <v>1</v>
      </c>
      <c r="AF1918" s="100" t="s">
        <v>8822</v>
      </c>
      <c r="AG1918" s="100" t="s">
        <v>8932</v>
      </c>
      <c r="AH1918" s="111">
        <v>33</v>
      </c>
      <c r="AK1918" s="241">
        <v>1</v>
      </c>
      <c r="AL1918" s="241" t="s">
        <v>9578</v>
      </c>
      <c r="AM1918" s="241">
        <v>2</v>
      </c>
      <c r="AN1918" s="241">
        <v>1</v>
      </c>
      <c r="AO1918" s="241" t="s">
        <v>9576</v>
      </c>
      <c r="AP1918" s="241">
        <v>1</v>
      </c>
      <c r="AR1918" s="241">
        <v>2</v>
      </c>
      <c r="AS1918" s="241" t="s">
        <v>9582</v>
      </c>
    </row>
    <row r="1919" spans="1:45" s="32" customFormat="1" ht="69.95" hidden="1" customHeight="1">
      <c r="A1919" s="29" t="s">
        <v>8667</v>
      </c>
      <c r="B1919" s="29" t="s">
        <v>8652</v>
      </c>
      <c r="C1919" s="69" t="s">
        <v>40</v>
      </c>
      <c r="D1919" s="69"/>
      <c r="E1919" s="57" t="s">
        <v>8288</v>
      </c>
      <c r="F1919" s="121" t="s">
        <v>9571</v>
      </c>
      <c r="G1919" s="29" t="s">
        <v>8154</v>
      </c>
      <c r="H1919" s="29"/>
      <c r="I1919" s="29"/>
      <c r="J1919" s="29">
        <f t="shared" si="146"/>
        <v>1</v>
      </c>
      <c r="K1919" s="42">
        <v>1905</v>
      </c>
      <c r="L1919" s="43" t="s">
        <v>8994</v>
      </c>
      <c r="M1919" s="220" t="s">
        <v>417</v>
      </c>
      <c r="N1919" s="44" t="s">
        <v>7978</v>
      </c>
      <c r="O1919" s="188" t="str">
        <f t="shared" si="150"/>
        <v>PE-M1-1C240-12</v>
      </c>
      <c r="P1919" s="51" t="s">
        <v>1613</v>
      </c>
      <c r="Q1919" s="43">
        <v>1400</v>
      </c>
      <c r="R1919" s="43" t="s">
        <v>49</v>
      </c>
      <c r="S1919" s="126">
        <v>35</v>
      </c>
      <c r="T1919" s="46" t="s">
        <v>7981</v>
      </c>
      <c r="U1919" s="47" t="s">
        <v>8201</v>
      </c>
      <c r="V1919" s="46" t="s">
        <v>8695</v>
      </c>
      <c r="W1919" s="70" t="s">
        <v>8188</v>
      </c>
      <c r="X1919" s="47" t="s">
        <v>304</v>
      </c>
      <c r="Y1919" s="47" t="s">
        <v>8202</v>
      </c>
      <c r="Z1919" s="46" t="s">
        <v>8203</v>
      </c>
      <c r="AA1919" s="46" t="s">
        <v>8694</v>
      </c>
      <c r="AB1919" s="47" t="s">
        <v>307</v>
      </c>
      <c r="AC1919" s="48" t="s">
        <v>8398</v>
      </c>
      <c r="AD1919" s="30"/>
      <c r="AE1919" s="192">
        <v>1</v>
      </c>
      <c r="AF1919" s="100" t="s">
        <v>8822</v>
      </c>
      <c r="AG1919" s="100" t="s">
        <v>8932</v>
      </c>
      <c r="AH1919" s="111">
        <v>33</v>
      </c>
      <c r="AK1919" s="241">
        <v>1</v>
      </c>
      <c r="AL1919" s="241" t="s">
        <v>9578</v>
      </c>
      <c r="AM1919" s="241">
        <v>2</v>
      </c>
      <c r="AN1919" s="241">
        <v>1</v>
      </c>
      <c r="AO1919" s="241" t="s">
        <v>9576</v>
      </c>
      <c r="AP1919" s="241">
        <v>1</v>
      </c>
      <c r="AR1919" s="241">
        <v>2</v>
      </c>
      <c r="AS1919" s="241" t="s">
        <v>9582</v>
      </c>
    </row>
    <row r="1920" spans="1:45" s="32" customFormat="1" ht="69.95" hidden="1" customHeight="1">
      <c r="A1920" s="29" t="s">
        <v>8667</v>
      </c>
      <c r="B1920" s="29" t="s">
        <v>8652</v>
      </c>
      <c r="C1920" s="69" t="s">
        <v>41</v>
      </c>
      <c r="D1920" s="69"/>
      <c r="E1920" s="57" t="s">
        <v>8288</v>
      </c>
      <c r="F1920" s="121" t="s">
        <v>9572</v>
      </c>
      <c r="G1920" s="29" t="s">
        <v>8154</v>
      </c>
      <c r="H1920" s="29"/>
      <c r="I1920" s="29"/>
      <c r="J1920" s="29">
        <f t="shared" si="146"/>
        <v>1</v>
      </c>
      <c r="K1920" s="42">
        <v>1906</v>
      </c>
      <c r="L1920" s="43" t="s">
        <v>8995</v>
      </c>
      <c r="M1920" s="220" t="s">
        <v>417</v>
      </c>
      <c r="N1920" s="44" t="s">
        <v>7978</v>
      </c>
      <c r="O1920" s="188" t="str">
        <f t="shared" si="150"/>
        <v>PE-M1-1C240-13</v>
      </c>
      <c r="P1920" s="51" t="s">
        <v>1613</v>
      </c>
      <c r="Q1920" s="43">
        <v>1400</v>
      </c>
      <c r="R1920" s="43" t="s">
        <v>49</v>
      </c>
      <c r="S1920" s="126">
        <v>35</v>
      </c>
      <c r="T1920" s="46" t="s">
        <v>7981</v>
      </c>
      <c r="U1920" s="47" t="s">
        <v>8201</v>
      </c>
      <c r="V1920" s="46" t="s">
        <v>8695</v>
      </c>
      <c r="W1920" s="70" t="s">
        <v>8188</v>
      </c>
      <c r="X1920" s="47" t="s">
        <v>305</v>
      </c>
      <c r="Y1920" s="47" t="s">
        <v>8202</v>
      </c>
      <c r="Z1920" s="46" t="s">
        <v>8203</v>
      </c>
      <c r="AA1920" s="46" t="s">
        <v>8694</v>
      </c>
      <c r="AB1920" s="47" t="s">
        <v>308</v>
      </c>
      <c r="AC1920" s="52" t="s">
        <v>8398</v>
      </c>
      <c r="AD1920" s="30"/>
      <c r="AE1920" s="192">
        <v>1</v>
      </c>
      <c r="AF1920" s="100" t="s">
        <v>8822</v>
      </c>
      <c r="AG1920" s="100" t="s">
        <v>8932</v>
      </c>
      <c r="AH1920" s="111">
        <v>33</v>
      </c>
      <c r="AK1920" s="241">
        <v>1</v>
      </c>
      <c r="AL1920" s="241" t="s">
        <v>9578</v>
      </c>
      <c r="AM1920" s="241">
        <v>2</v>
      </c>
      <c r="AN1920" s="241">
        <v>1</v>
      </c>
      <c r="AO1920" s="241" t="s">
        <v>9576</v>
      </c>
      <c r="AP1920" s="241">
        <v>1</v>
      </c>
      <c r="AR1920" s="241">
        <v>2</v>
      </c>
      <c r="AS1920" s="241" t="s">
        <v>9582</v>
      </c>
    </row>
    <row r="1921" spans="1:45" s="32" customFormat="1" ht="69.95" hidden="1" customHeight="1">
      <c r="A1921" s="29" t="s">
        <v>8667</v>
      </c>
      <c r="B1921" s="29" t="s">
        <v>8652</v>
      </c>
      <c r="C1921" s="69" t="s">
        <v>42</v>
      </c>
      <c r="D1921" s="69"/>
      <c r="E1921" s="57" t="s">
        <v>8288</v>
      </c>
      <c r="F1921" s="121" t="s">
        <v>9572</v>
      </c>
      <c r="G1921" s="29" t="s">
        <v>8154</v>
      </c>
      <c r="H1921" s="29"/>
      <c r="I1921" s="29"/>
      <c r="J1921" s="29">
        <f t="shared" si="146"/>
        <v>1</v>
      </c>
      <c r="K1921" s="42">
        <v>1907</v>
      </c>
      <c r="L1921" s="43" t="s">
        <v>8996</v>
      </c>
      <c r="M1921" s="220" t="s">
        <v>417</v>
      </c>
      <c r="N1921" s="44" t="s">
        <v>7978</v>
      </c>
      <c r="O1921" s="188" t="str">
        <f t="shared" si="150"/>
        <v>PE-M1-1C240-13</v>
      </c>
      <c r="P1921" s="51" t="s">
        <v>1613</v>
      </c>
      <c r="Q1921" s="43">
        <v>1400</v>
      </c>
      <c r="R1921" s="43" t="s">
        <v>49</v>
      </c>
      <c r="S1921" s="126">
        <v>35</v>
      </c>
      <c r="T1921" s="46" t="s">
        <v>7981</v>
      </c>
      <c r="U1921" s="47" t="s">
        <v>8201</v>
      </c>
      <c r="V1921" s="46" t="s">
        <v>8695</v>
      </c>
      <c r="W1921" s="70" t="s">
        <v>8188</v>
      </c>
      <c r="X1921" s="47" t="s">
        <v>306</v>
      </c>
      <c r="Y1921" s="47" t="s">
        <v>8202</v>
      </c>
      <c r="Z1921" s="46" t="s">
        <v>8203</v>
      </c>
      <c r="AA1921" s="46" t="s">
        <v>8694</v>
      </c>
      <c r="AB1921" s="47" t="s">
        <v>309</v>
      </c>
      <c r="AC1921" s="52" t="s">
        <v>8398</v>
      </c>
      <c r="AD1921" s="30"/>
      <c r="AE1921" s="192">
        <v>1</v>
      </c>
      <c r="AF1921" s="100" t="s">
        <v>8822</v>
      </c>
      <c r="AG1921" s="100" t="s">
        <v>8932</v>
      </c>
      <c r="AH1921" s="111">
        <v>33</v>
      </c>
      <c r="AK1921" s="241">
        <v>1</v>
      </c>
      <c r="AL1921" s="241" t="s">
        <v>9578</v>
      </c>
      <c r="AM1921" s="241">
        <v>2</v>
      </c>
      <c r="AN1921" s="241">
        <v>1</v>
      </c>
      <c r="AO1921" s="241" t="s">
        <v>9576</v>
      </c>
      <c r="AP1921" s="241">
        <v>1</v>
      </c>
      <c r="AR1921" s="241">
        <v>2</v>
      </c>
      <c r="AS1921" s="241" t="s">
        <v>9582</v>
      </c>
    </row>
    <row r="1922" spans="1:45" s="32" customFormat="1" ht="69.95" hidden="1" customHeight="1">
      <c r="A1922" s="29" t="s">
        <v>8667</v>
      </c>
      <c r="B1922" s="29" t="s">
        <v>8652</v>
      </c>
      <c r="C1922" s="69" t="s">
        <v>43</v>
      </c>
      <c r="D1922" s="69"/>
      <c r="E1922" s="57" t="s">
        <v>8288</v>
      </c>
      <c r="F1922" s="121" t="s">
        <v>9572</v>
      </c>
      <c r="G1922" s="29" t="s">
        <v>8154</v>
      </c>
      <c r="H1922" s="29"/>
      <c r="I1922" s="29"/>
      <c r="J1922" s="29">
        <f t="shared" si="146"/>
        <v>1</v>
      </c>
      <c r="K1922" s="42">
        <v>1908</v>
      </c>
      <c r="L1922" s="43" t="s">
        <v>8997</v>
      </c>
      <c r="M1922" s="220" t="s">
        <v>417</v>
      </c>
      <c r="N1922" s="44" t="s">
        <v>7978</v>
      </c>
      <c r="O1922" s="188" t="str">
        <f t="shared" si="150"/>
        <v>PE-M1-1C240-13</v>
      </c>
      <c r="P1922" s="51" t="s">
        <v>1613</v>
      </c>
      <c r="Q1922" s="43">
        <v>1400</v>
      </c>
      <c r="R1922" s="43" t="s">
        <v>49</v>
      </c>
      <c r="S1922" s="126">
        <v>35</v>
      </c>
      <c r="T1922" s="46" t="s">
        <v>7981</v>
      </c>
      <c r="U1922" s="47" t="s">
        <v>8201</v>
      </c>
      <c r="V1922" s="46" t="s">
        <v>8695</v>
      </c>
      <c r="W1922" s="70" t="s">
        <v>8188</v>
      </c>
      <c r="X1922" s="47" t="s">
        <v>304</v>
      </c>
      <c r="Y1922" s="47" t="s">
        <v>8202</v>
      </c>
      <c r="Z1922" s="46" t="s">
        <v>8203</v>
      </c>
      <c r="AA1922" s="46" t="s">
        <v>8694</v>
      </c>
      <c r="AB1922" s="47" t="s">
        <v>307</v>
      </c>
      <c r="AC1922" s="48" t="s">
        <v>8399</v>
      </c>
      <c r="AD1922" s="30"/>
      <c r="AE1922" s="192">
        <v>1</v>
      </c>
      <c r="AF1922" s="100" t="s">
        <v>8822</v>
      </c>
      <c r="AG1922" s="100" t="s">
        <v>8932</v>
      </c>
      <c r="AH1922" s="111">
        <v>33</v>
      </c>
      <c r="AK1922" s="241">
        <v>1</v>
      </c>
      <c r="AL1922" s="241" t="s">
        <v>9578</v>
      </c>
      <c r="AM1922" s="241">
        <v>2</v>
      </c>
      <c r="AN1922" s="241">
        <v>1</v>
      </c>
      <c r="AO1922" s="241" t="s">
        <v>9576</v>
      </c>
      <c r="AP1922" s="241">
        <v>1</v>
      </c>
      <c r="AR1922" s="241">
        <v>2</v>
      </c>
      <c r="AS1922" s="241" t="s">
        <v>9582</v>
      </c>
    </row>
    <row r="1923" spans="1:45" s="32" customFormat="1" ht="69.95" hidden="1" customHeight="1">
      <c r="A1923" s="29" t="s">
        <v>8667</v>
      </c>
      <c r="B1923" s="29" t="s">
        <v>8652</v>
      </c>
      <c r="C1923" s="69" t="s">
        <v>73</v>
      </c>
      <c r="D1923" s="69"/>
      <c r="E1923" s="57" t="s">
        <v>8288</v>
      </c>
      <c r="F1923" s="121" t="s">
        <v>9572</v>
      </c>
      <c r="G1923" s="29" t="s">
        <v>8154</v>
      </c>
      <c r="H1923" s="29"/>
      <c r="I1923" s="29"/>
      <c r="J1923" s="29">
        <f t="shared" si="146"/>
        <v>1</v>
      </c>
      <c r="K1923" s="42">
        <v>1909</v>
      </c>
      <c r="L1923" s="43" t="s">
        <v>8998</v>
      </c>
      <c r="M1923" s="220" t="s">
        <v>417</v>
      </c>
      <c r="N1923" s="44" t="s">
        <v>7978</v>
      </c>
      <c r="O1923" s="188" t="str">
        <f t="shared" si="150"/>
        <v>PE-M1-1C240-13</v>
      </c>
      <c r="P1923" s="51" t="s">
        <v>1613</v>
      </c>
      <c r="Q1923" s="43">
        <v>1400</v>
      </c>
      <c r="R1923" s="43" t="s">
        <v>49</v>
      </c>
      <c r="S1923" s="126">
        <v>35</v>
      </c>
      <c r="T1923" s="46" t="s">
        <v>7981</v>
      </c>
      <c r="U1923" s="47" t="s">
        <v>8201</v>
      </c>
      <c r="V1923" s="46" t="s">
        <v>8695</v>
      </c>
      <c r="W1923" s="70" t="s">
        <v>8188</v>
      </c>
      <c r="X1923" s="47" t="s">
        <v>305</v>
      </c>
      <c r="Y1923" s="47" t="s">
        <v>8202</v>
      </c>
      <c r="Z1923" s="46" t="s">
        <v>8203</v>
      </c>
      <c r="AA1923" s="46" t="s">
        <v>8694</v>
      </c>
      <c r="AB1923" s="47" t="s">
        <v>308</v>
      </c>
      <c r="AC1923" s="52" t="s">
        <v>8399</v>
      </c>
      <c r="AD1923" s="30"/>
      <c r="AE1923" s="192">
        <v>1</v>
      </c>
      <c r="AF1923" s="100" t="s">
        <v>8822</v>
      </c>
      <c r="AG1923" s="100" t="s">
        <v>8932</v>
      </c>
      <c r="AH1923" s="111">
        <v>33</v>
      </c>
      <c r="AK1923" s="241">
        <v>1</v>
      </c>
      <c r="AL1923" s="241" t="s">
        <v>9578</v>
      </c>
      <c r="AM1923" s="241">
        <v>2</v>
      </c>
      <c r="AN1923" s="241">
        <v>1</v>
      </c>
      <c r="AO1923" s="241" t="s">
        <v>9576</v>
      </c>
      <c r="AP1923" s="241">
        <v>1</v>
      </c>
      <c r="AR1923" s="241">
        <v>2</v>
      </c>
      <c r="AS1923" s="241" t="s">
        <v>9582</v>
      </c>
    </row>
    <row r="1924" spans="1:45" s="32" customFormat="1" ht="69.95" hidden="1" customHeight="1">
      <c r="A1924" s="29" t="s">
        <v>8667</v>
      </c>
      <c r="B1924" s="29" t="s">
        <v>8652</v>
      </c>
      <c r="C1924" s="69" t="s">
        <v>75</v>
      </c>
      <c r="D1924" s="69"/>
      <c r="E1924" s="57" t="s">
        <v>8288</v>
      </c>
      <c r="F1924" s="121" t="s">
        <v>9572</v>
      </c>
      <c r="G1924" s="29" t="s">
        <v>8154</v>
      </c>
      <c r="H1924" s="29"/>
      <c r="I1924" s="29"/>
      <c r="J1924" s="29">
        <f t="shared" si="146"/>
        <v>1</v>
      </c>
      <c r="K1924" s="42">
        <v>1910</v>
      </c>
      <c r="L1924" s="43" t="s">
        <v>8200</v>
      </c>
      <c r="M1924" s="220" t="s">
        <v>417</v>
      </c>
      <c r="N1924" s="44" t="s">
        <v>7978</v>
      </c>
      <c r="O1924" s="188" t="str">
        <f t="shared" si="150"/>
        <v>PE-M1-1C240-13</v>
      </c>
      <c r="P1924" s="51" t="s">
        <v>1613</v>
      </c>
      <c r="Q1924" s="43">
        <v>1400</v>
      </c>
      <c r="R1924" s="43" t="s">
        <v>49</v>
      </c>
      <c r="S1924" s="126">
        <v>35</v>
      </c>
      <c r="T1924" s="46" t="s">
        <v>7981</v>
      </c>
      <c r="U1924" s="47" t="s">
        <v>8201</v>
      </c>
      <c r="V1924" s="46" t="s">
        <v>8695</v>
      </c>
      <c r="W1924" s="70" t="s">
        <v>8188</v>
      </c>
      <c r="X1924" s="47" t="s">
        <v>306</v>
      </c>
      <c r="Y1924" s="47" t="s">
        <v>8202</v>
      </c>
      <c r="Z1924" s="46" t="s">
        <v>8203</v>
      </c>
      <c r="AA1924" s="46" t="s">
        <v>8694</v>
      </c>
      <c r="AB1924" s="47" t="s">
        <v>309</v>
      </c>
      <c r="AC1924" s="52" t="s">
        <v>8399</v>
      </c>
      <c r="AD1924" s="30"/>
      <c r="AE1924" s="192">
        <v>1</v>
      </c>
      <c r="AF1924" s="100" t="s">
        <v>8822</v>
      </c>
      <c r="AG1924" s="100" t="s">
        <v>8932</v>
      </c>
      <c r="AH1924" s="111">
        <v>33</v>
      </c>
      <c r="AK1924" s="241">
        <v>1</v>
      </c>
      <c r="AL1924" s="241" t="s">
        <v>9578</v>
      </c>
      <c r="AM1924" s="241">
        <v>2</v>
      </c>
      <c r="AN1924" s="241">
        <v>1</v>
      </c>
      <c r="AO1924" s="241" t="s">
        <v>9576</v>
      </c>
      <c r="AP1924" s="241">
        <v>1</v>
      </c>
      <c r="AR1924" s="241">
        <v>2</v>
      </c>
      <c r="AS1924" s="241" t="s">
        <v>9582</v>
      </c>
    </row>
    <row r="1925" spans="1:45" s="32" customFormat="1" ht="69.95" hidden="1" customHeight="1">
      <c r="A1925" s="29" t="s">
        <v>7673</v>
      </c>
      <c r="B1925" s="29" t="s">
        <v>3769</v>
      </c>
      <c r="C1925" s="32">
        <v>11</v>
      </c>
      <c r="E1925" s="57" t="s">
        <v>8162</v>
      </c>
      <c r="F1925" s="57" t="s">
        <v>8162</v>
      </c>
      <c r="G1925" s="29" t="s">
        <v>3628</v>
      </c>
      <c r="H1925" s="29"/>
      <c r="I1925" s="29"/>
      <c r="J1925" s="29">
        <f t="shared" si="146"/>
        <v>1</v>
      </c>
      <c r="K1925" s="42">
        <v>1911</v>
      </c>
      <c r="L1925" s="95" t="s">
        <v>8836</v>
      </c>
      <c r="M1925" s="44" t="s">
        <v>405</v>
      </c>
      <c r="N1925" s="44" t="s">
        <v>7984</v>
      </c>
      <c r="O1925" s="44" t="str">
        <f t="shared" si="150"/>
        <v>PE-L1-3C4-22</v>
      </c>
      <c r="P1925" s="45">
        <v>1.2</v>
      </c>
      <c r="Q1925" s="44">
        <v>230</v>
      </c>
      <c r="R1925" s="44" t="s">
        <v>49</v>
      </c>
      <c r="S1925" s="44">
        <v>40</v>
      </c>
      <c r="T1925" s="46" t="s">
        <v>7981</v>
      </c>
      <c r="U1925" s="46" t="s">
        <v>7673</v>
      </c>
      <c r="V1925" s="46" t="s">
        <v>8692</v>
      </c>
      <c r="W1925" s="46" t="s">
        <v>386</v>
      </c>
      <c r="X1925" s="172" t="s">
        <v>9167</v>
      </c>
      <c r="Y1925" s="47" t="s">
        <v>7674</v>
      </c>
      <c r="Z1925" s="46" t="s">
        <v>7173</v>
      </c>
      <c r="AA1925" s="46" t="s">
        <v>4003</v>
      </c>
      <c r="AB1925" s="172" t="s">
        <v>9167</v>
      </c>
      <c r="AC1925" s="48" t="s">
        <v>7675</v>
      </c>
      <c r="AD1925" s="30"/>
      <c r="AE1925" s="192">
        <v>1</v>
      </c>
      <c r="AF1925" s="100" t="s">
        <v>8722</v>
      </c>
      <c r="AG1925" s="100" t="s">
        <v>8925</v>
      </c>
      <c r="AH1925" s="100">
        <v>13</v>
      </c>
    </row>
    <row r="1926" spans="1:45" s="32" customFormat="1" ht="69.95" hidden="1" customHeight="1">
      <c r="A1926" s="29" t="s">
        <v>7676</v>
      </c>
      <c r="B1926" s="29" t="s">
        <v>3769</v>
      </c>
      <c r="C1926" s="32">
        <v>12</v>
      </c>
      <c r="E1926" s="57" t="s">
        <v>8289</v>
      </c>
      <c r="F1926" s="57" t="s">
        <v>8289</v>
      </c>
      <c r="G1926" s="29" t="s">
        <v>3629</v>
      </c>
      <c r="H1926" s="29"/>
      <c r="I1926" s="29"/>
      <c r="J1926" s="29">
        <f t="shared" si="146"/>
        <v>1</v>
      </c>
      <c r="K1926" s="42">
        <v>1912</v>
      </c>
      <c r="L1926" s="43" t="s">
        <v>3630</v>
      </c>
      <c r="M1926" s="44" t="s">
        <v>405</v>
      </c>
      <c r="N1926" s="44" t="s">
        <v>1972</v>
      </c>
      <c r="O1926" s="44" t="str">
        <f t="shared" si="150"/>
        <v>PE-L1-5C6-02</v>
      </c>
      <c r="P1926" s="45">
        <v>15</v>
      </c>
      <c r="Q1926" s="44">
        <v>400</v>
      </c>
      <c r="R1926" s="44" t="s">
        <v>49</v>
      </c>
      <c r="S1926" s="44">
        <v>200</v>
      </c>
      <c r="T1926" s="46" t="s">
        <v>7981</v>
      </c>
      <c r="U1926" s="46" t="s">
        <v>7676</v>
      </c>
      <c r="V1926" s="46" t="s">
        <v>8692</v>
      </c>
      <c r="W1926" s="46" t="s">
        <v>386</v>
      </c>
      <c r="X1926" s="47" t="s">
        <v>9310</v>
      </c>
      <c r="Y1926" s="47" t="s">
        <v>7677</v>
      </c>
      <c r="Z1926" s="46" t="s">
        <v>7177</v>
      </c>
      <c r="AA1926" s="46" t="s">
        <v>4003</v>
      </c>
      <c r="AB1926" s="47" t="s">
        <v>9310</v>
      </c>
      <c r="AC1926" s="48" t="s">
        <v>7678</v>
      </c>
      <c r="AD1926" s="206" t="s">
        <v>8726</v>
      </c>
      <c r="AE1926" s="192">
        <v>1</v>
      </c>
      <c r="AF1926" s="100" t="s">
        <v>8824</v>
      </c>
      <c r="AG1926" s="100" t="s">
        <v>8931</v>
      </c>
      <c r="AH1926" s="100">
        <v>17</v>
      </c>
    </row>
    <row r="1927" spans="1:45" s="32" customFormat="1" ht="69.95" hidden="1" customHeight="1">
      <c r="A1927" s="29" t="s">
        <v>7679</v>
      </c>
      <c r="B1927" s="29" t="s">
        <v>3769</v>
      </c>
      <c r="C1927" s="32">
        <v>13</v>
      </c>
      <c r="E1927" s="56" t="s">
        <v>8289</v>
      </c>
      <c r="F1927" s="56" t="s">
        <v>8289</v>
      </c>
      <c r="G1927" s="29" t="s">
        <v>3631</v>
      </c>
      <c r="H1927" s="29"/>
      <c r="I1927" s="29"/>
      <c r="J1927" s="29">
        <f t="shared" si="146"/>
        <v>1</v>
      </c>
      <c r="K1927" s="42">
        <v>1913</v>
      </c>
      <c r="L1927" s="43" t="s">
        <v>3632</v>
      </c>
      <c r="M1927" s="44" t="s">
        <v>405</v>
      </c>
      <c r="N1927" s="44" t="s">
        <v>1972</v>
      </c>
      <c r="O1927" s="44" t="str">
        <f t="shared" si="150"/>
        <v>PE-L1-5C6-02</v>
      </c>
      <c r="P1927" s="45">
        <v>11</v>
      </c>
      <c r="Q1927" s="44">
        <v>400</v>
      </c>
      <c r="R1927" s="44" t="s">
        <v>49</v>
      </c>
      <c r="S1927" s="44">
        <v>120</v>
      </c>
      <c r="T1927" s="46" t="s">
        <v>7981</v>
      </c>
      <c r="U1927" s="46" t="s">
        <v>7679</v>
      </c>
      <c r="V1927" s="46" t="s">
        <v>8692</v>
      </c>
      <c r="W1927" s="46" t="s">
        <v>386</v>
      </c>
      <c r="X1927" s="47" t="s">
        <v>8731</v>
      </c>
      <c r="Y1927" s="47" t="s">
        <v>7680</v>
      </c>
      <c r="Z1927" s="46" t="s">
        <v>7181</v>
      </c>
      <c r="AA1927" s="46" t="s">
        <v>4003</v>
      </c>
      <c r="AB1927" s="47" t="s">
        <v>8731</v>
      </c>
      <c r="AC1927" s="48" t="s">
        <v>8400</v>
      </c>
      <c r="AD1927" s="206" t="s">
        <v>8729</v>
      </c>
      <c r="AE1927" s="192">
        <v>1</v>
      </c>
      <c r="AF1927" s="100" t="s">
        <v>8824</v>
      </c>
      <c r="AG1927" s="100" t="s">
        <v>8931</v>
      </c>
      <c r="AH1927" s="100">
        <v>17</v>
      </c>
    </row>
    <row r="1928" spans="1:45" s="32" customFormat="1" ht="69.95" hidden="1" customHeight="1">
      <c r="A1928" s="29" t="s">
        <v>7681</v>
      </c>
      <c r="B1928" s="29" t="s">
        <v>3769</v>
      </c>
      <c r="C1928" s="32">
        <v>14</v>
      </c>
      <c r="E1928" s="86" t="s">
        <v>8828</v>
      </c>
      <c r="F1928" s="86" t="s">
        <v>8828</v>
      </c>
      <c r="G1928" s="29" t="s">
        <v>3633</v>
      </c>
      <c r="H1928" s="29"/>
      <c r="I1928" s="29"/>
      <c r="J1928" s="29">
        <f t="shared" ref="J1928:J1991" si="151">COUNTIF(L:L,L1928)</f>
        <v>1</v>
      </c>
      <c r="K1928" s="42">
        <v>1914</v>
      </c>
      <c r="L1928" s="43" t="s">
        <v>3634</v>
      </c>
      <c r="M1928" s="44" t="s">
        <v>405</v>
      </c>
      <c r="N1928" s="44" t="s">
        <v>566</v>
      </c>
      <c r="O1928" s="90" t="str">
        <f>F1928</f>
        <v>PE-L1-5C4-04</v>
      </c>
      <c r="P1928" s="45">
        <v>5.2</v>
      </c>
      <c r="Q1928" s="44">
        <v>400</v>
      </c>
      <c r="R1928" s="44" t="s">
        <v>49</v>
      </c>
      <c r="S1928" s="44">
        <v>110</v>
      </c>
      <c r="T1928" s="46" t="s">
        <v>7981</v>
      </c>
      <c r="U1928" s="46" t="s">
        <v>7681</v>
      </c>
      <c r="V1928" s="46" t="s">
        <v>8692</v>
      </c>
      <c r="W1928" s="46" t="s">
        <v>386</v>
      </c>
      <c r="X1928" s="47" t="s">
        <v>8731</v>
      </c>
      <c r="Y1928" s="47" t="s">
        <v>7682</v>
      </c>
      <c r="Z1928" s="46" t="s">
        <v>7185</v>
      </c>
      <c r="AA1928" s="46" t="s">
        <v>4003</v>
      </c>
      <c r="AB1928" s="47" t="s">
        <v>8731</v>
      </c>
      <c r="AC1928" s="48" t="s">
        <v>8401</v>
      </c>
      <c r="AD1928" s="30"/>
      <c r="AE1928" s="202">
        <v>1</v>
      </c>
      <c r="AF1928" s="109" t="s">
        <v>8722</v>
      </c>
      <c r="AG1928" s="109" t="s">
        <v>8925</v>
      </c>
      <c r="AH1928" s="111">
        <v>15</v>
      </c>
    </row>
    <row r="1929" spans="1:45" s="32" customFormat="1" ht="69.95" hidden="1" customHeight="1">
      <c r="A1929" s="29" t="s">
        <v>7683</v>
      </c>
      <c r="B1929" s="29" t="s">
        <v>3769</v>
      </c>
      <c r="C1929" s="32">
        <v>15</v>
      </c>
      <c r="E1929" s="58" t="s">
        <v>8291</v>
      </c>
      <c r="F1929" s="58" t="s">
        <v>8291</v>
      </c>
      <c r="G1929" s="29" t="s">
        <v>3635</v>
      </c>
      <c r="H1929" s="29"/>
      <c r="I1929" s="29"/>
      <c r="J1929" s="29">
        <f t="shared" si="151"/>
        <v>1</v>
      </c>
      <c r="K1929" s="42">
        <v>1915</v>
      </c>
      <c r="L1929" s="43" t="s">
        <v>3636</v>
      </c>
      <c r="M1929" s="44" t="s">
        <v>405</v>
      </c>
      <c r="N1929" s="44" t="s">
        <v>8151</v>
      </c>
      <c r="O1929" s="44" t="str">
        <f t="shared" ref="O1929:O1934" si="152">F1929</f>
        <v>PE-L1-5C25/16-02</v>
      </c>
      <c r="P1929" s="45">
        <v>40</v>
      </c>
      <c r="Q1929" s="44">
        <v>400</v>
      </c>
      <c r="R1929" s="44" t="s">
        <v>49</v>
      </c>
      <c r="S1929" s="44">
        <v>85</v>
      </c>
      <c r="T1929" s="46" t="s">
        <v>7981</v>
      </c>
      <c r="U1929" s="46" t="s">
        <v>7683</v>
      </c>
      <c r="V1929" s="46" t="s">
        <v>8692</v>
      </c>
      <c r="W1929" s="46" t="s">
        <v>386</v>
      </c>
      <c r="X1929" s="47" t="s">
        <v>8731</v>
      </c>
      <c r="Y1929" s="47" t="s">
        <v>7684</v>
      </c>
      <c r="Z1929" s="46" t="s">
        <v>7189</v>
      </c>
      <c r="AA1929" s="46" t="s">
        <v>4003</v>
      </c>
      <c r="AB1929" s="47" t="s">
        <v>8731</v>
      </c>
      <c r="AC1929" s="48" t="s">
        <v>7685</v>
      </c>
      <c r="AD1929" s="206" t="s">
        <v>8733</v>
      </c>
      <c r="AE1929" s="192">
        <v>1</v>
      </c>
      <c r="AF1929" s="100" t="s">
        <v>8822</v>
      </c>
      <c r="AG1929" s="100" t="s">
        <v>8932</v>
      </c>
      <c r="AH1929" s="108">
        <v>25.5</v>
      </c>
    </row>
    <row r="1930" spans="1:45" s="32" customFormat="1" ht="69.95" hidden="1" customHeight="1">
      <c r="A1930" s="29" t="s">
        <v>7686</v>
      </c>
      <c r="B1930" s="29" t="s">
        <v>3769</v>
      </c>
      <c r="C1930" s="32">
        <v>16</v>
      </c>
      <c r="E1930" s="57" t="s">
        <v>8292</v>
      </c>
      <c r="F1930" s="57" t="s">
        <v>8292</v>
      </c>
      <c r="G1930" s="29" t="s">
        <v>3637</v>
      </c>
      <c r="H1930" s="29"/>
      <c r="I1930" s="29"/>
      <c r="J1930" s="29">
        <f t="shared" si="151"/>
        <v>1</v>
      </c>
      <c r="K1930" s="42">
        <v>1916</v>
      </c>
      <c r="L1930" s="43" t="s">
        <v>3638</v>
      </c>
      <c r="M1930" s="44" t="s">
        <v>405</v>
      </c>
      <c r="N1930" s="44" t="s">
        <v>1972</v>
      </c>
      <c r="O1930" s="44" t="str">
        <f t="shared" si="152"/>
        <v>PE-L1-5C6-02</v>
      </c>
      <c r="P1930" s="45">
        <v>18</v>
      </c>
      <c r="Q1930" s="44">
        <v>400</v>
      </c>
      <c r="R1930" s="44" t="s">
        <v>49</v>
      </c>
      <c r="S1930" s="44">
        <v>110</v>
      </c>
      <c r="T1930" s="46" t="s">
        <v>7981</v>
      </c>
      <c r="U1930" s="46" t="s">
        <v>7686</v>
      </c>
      <c r="V1930" s="46" t="s">
        <v>8692</v>
      </c>
      <c r="W1930" s="46" t="s">
        <v>386</v>
      </c>
      <c r="X1930" s="47" t="s">
        <v>8731</v>
      </c>
      <c r="Y1930" s="47" t="s">
        <v>7687</v>
      </c>
      <c r="Z1930" s="46" t="s">
        <v>7193</v>
      </c>
      <c r="AA1930" s="46" t="s">
        <v>4003</v>
      </c>
      <c r="AB1930" s="47" t="s">
        <v>8731</v>
      </c>
      <c r="AC1930" s="48" t="s">
        <v>8402</v>
      </c>
      <c r="AD1930" s="206" t="s">
        <v>8736</v>
      </c>
      <c r="AE1930" s="192">
        <v>1</v>
      </c>
      <c r="AF1930" s="100" t="s">
        <v>8824</v>
      </c>
      <c r="AG1930" s="100" t="s">
        <v>8931</v>
      </c>
      <c r="AH1930" s="100">
        <v>17</v>
      </c>
    </row>
    <row r="1931" spans="1:45" s="32" customFormat="1" ht="69.95" hidden="1" customHeight="1">
      <c r="A1931" s="29" t="s">
        <v>7688</v>
      </c>
      <c r="B1931" s="29" t="s">
        <v>3769</v>
      </c>
      <c r="C1931" s="32">
        <v>17</v>
      </c>
      <c r="E1931" s="57" t="s">
        <v>8296</v>
      </c>
      <c r="F1931" s="57" t="s">
        <v>8299</v>
      </c>
      <c r="G1931" s="29" t="s">
        <v>3639</v>
      </c>
      <c r="H1931" s="29"/>
      <c r="I1931" s="29"/>
      <c r="J1931" s="29">
        <f t="shared" si="151"/>
        <v>1</v>
      </c>
      <c r="K1931" s="42">
        <v>1917</v>
      </c>
      <c r="L1931" s="43" t="s">
        <v>3640</v>
      </c>
      <c r="M1931" s="44" t="s">
        <v>405</v>
      </c>
      <c r="N1931" s="44" t="s">
        <v>426</v>
      </c>
      <c r="O1931" s="44" t="str">
        <f t="shared" si="152"/>
        <v>PE-L1-3C4-23</v>
      </c>
      <c r="P1931" s="45">
        <v>1.6</v>
      </c>
      <c r="Q1931" s="44">
        <v>230</v>
      </c>
      <c r="R1931" s="44" t="s">
        <v>49</v>
      </c>
      <c r="S1931" s="44">
        <v>120</v>
      </c>
      <c r="T1931" s="46" t="s">
        <v>7981</v>
      </c>
      <c r="U1931" s="46" t="s">
        <v>7688</v>
      </c>
      <c r="V1931" s="46" t="s">
        <v>8692</v>
      </c>
      <c r="W1931" s="46" t="s">
        <v>386</v>
      </c>
      <c r="X1931" s="172" t="s">
        <v>9167</v>
      </c>
      <c r="Y1931" s="47" t="s">
        <v>7689</v>
      </c>
      <c r="Z1931" s="46" t="s">
        <v>7197</v>
      </c>
      <c r="AA1931" s="46" t="s">
        <v>4003</v>
      </c>
      <c r="AB1931" s="172" t="s">
        <v>9167</v>
      </c>
      <c r="AC1931" s="48" t="s">
        <v>8403</v>
      </c>
      <c r="AD1931" s="30" t="s">
        <v>385</v>
      </c>
      <c r="AE1931" s="192">
        <v>1</v>
      </c>
      <c r="AF1931" s="100" t="s">
        <v>8722</v>
      </c>
      <c r="AG1931" s="100" t="s">
        <v>8925</v>
      </c>
      <c r="AH1931" s="100">
        <v>13</v>
      </c>
    </row>
    <row r="1932" spans="1:45" s="32" customFormat="1" ht="69.95" hidden="1" customHeight="1">
      <c r="A1932" s="29" t="s">
        <v>8668</v>
      </c>
      <c r="B1932" s="29" t="s">
        <v>3769</v>
      </c>
      <c r="C1932" s="32">
        <v>18</v>
      </c>
      <c r="E1932" s="57" t="s">
        <v>8164</v>
      </c>
      <c r="F1932" s="57" t="s">
        <v>8164</v>
      </c>
      <c r="G1932" s="29" t="s">
        <v>3641</v>
      </c>
      <c r="H1932" s="29"/>
      <c r="I1932" s="29"/>
      <c r="J1932" s="29">
        <f t="shared" si="151"/>
        <v>1</v>
      </c>
      <c r="K1932" s="42">
        <v>1918</v>
      </c>
      <c r="L1932" s="43" t="s">
        <v>3642</v>
      </c>
      <c r="M1932" s="44" t="s">
        <v>405</v>
      </c>
      <c r="N1932" s="44" t="s">
        <v>578</v>
      </c>
      <c r="O1932" s="44" t="str">
        <f t="shared" si="152"/>
        <v>PE-L1-2C4-07</v>
      </c>
      <c r="P1932" s="45">
        <v>5.5E-2</v>
      </c>
      <c r="Q1932" s="44">
        <v>220</v>
      </c>
      <c r="R1932" s="44" t="s">
        <v>509</v>
      </c>
      <c r="S1932" s="44">
        <v>70</v>
      </c>
      <c r="T1932" s="46" t="s">
        <v>7981</v>
      </c>
      <c r="U1932" s="46" t="s">
        <v>8170</v>
      </c>
      <c r="V1932" s="46" t="s">
        <v>8137</v>
      </c>
      <c r="W1932" s="46" t="s">
        <v>386</v>
      </c>
      <c r="X1932" s="47" t="s">
        <v>8738</v>
      </c>
      <c r="Y1932" s="47" t="s">
        <v>7690</v>
      </c>
      <c r="Z1932" s="46" t="s">
        <v>7200</v>
      </c>
      <c r="AA1932" s="46" t="s">
        <v>4003</v>
      </c>
      <c r="AB1932" s="47" t="s">
        <v>8738</v>
      </c>
      <c r="AC1932" s="48" t="s">
        <v>8404</v>
      </c>
      <c r="AD1932" s="206" t="s">
        <v>8891</v>
      </c>
      <c r="AE1932" s="192">
        <v>1</v>
      </c>
      <c r="AF1932" s="100" t="s">
        <v>8722</v>
      </c>
      <c r="AG1932" s="100" t="s">
        <v>8925</v>
      </c>
      <c r="AH1932" s="108">
        <v>12.5</v>
      </c>
    </row>
    <row r="1933" spans="1:45" s="32" customFormat="1" ht="69.95" hidden="1" customHeight="1">
      <c r="A1933" s="29" t="s">
        <v>7691</v>
      </c>
      <c r="B1933" s="29" t="s">
        <v>3769</v>
      </c>
      <c r="C1933" s="32">
        <v>19</v>
      </c>
      <c r="E1933" s="57" t="s">
        <v>8164</v>
      </c>
      <c r="F1933" s="57" t="s">
        <v>8164</v>
      </c>
      <c r="G1933" s="29" t="s">
        <v>3643</v>
      </c>
      <c r="H1933" s="29"/>
      <c r="I1933" s="29"/>
      <c r="J1933" s="29">
        <f t="shared" si="151"/>
        <v>1</v>
      </c>
      <c r="K1933" s="42">
        <v>1919</v>
      </c>
      <c r="L1933" s="43" t="s">
        <v>3644</v>
      </c>
      <c r="M1933" s="44" t="s">
        <v>405</v>
      </c>
      <c r="N1933" s="44" t="s">
        <v>578</v>
      </c>
      <c r="O1933" s="44" t="str">
        <f t="shared" si="152"/>
        <v>PE-L1-2C4-07</v>
      </c>
      <c r="P1933" s="45">
        <v>4.8000000000000001E-2</v>
      </c>
      <c r="Q1933" s="44">
        <v>220</v>
      </c>
      <c r="R1933" s="44" t="s">
        <v>509</v>
      </c>
      <c r="S1933" s="44">
        <v>60</v>
      </c>
      <c r="T1933" s="46" t="s">
        <v>7981</v>
      </c>
      <c r="U1933" s="46" t="s">
        <v>7691</v>
      </c>
      <c r="V1933" s="46" t="s">
        <v>8137</v>
      </c>
      <c r="W1933" s="46" t="s">
        <v>386</v>
      </c>
      <c r="X1933" s="47" t="s">
        <v>8738</v>
      </c>
      <c r="Y1933" s="47" t="s">
        <v>7692</v>
      </c>
      <c r="Z1933" s="46" t="s">
        <v>7204</v>
      </c>
      <c r="AA1933" s="46" t="s">
        <v>4003</v>
      </c>
      <c r="AB1933" s="47" t="s">
        <v>8738</v>
      </c>
      <c r="AC1933" s="48" t="s">
        <v>8405</v>
      </c>
      <c r="AD1933" s="206" t="s">
        <v>8892</v>
      </c>
      <c r="AE1933" s="192">
        <v>1</v>
      </c>
      <c r="AF1933" s="100" t="s">
        <v>8722</v>
      </c>
      <c r="AG1933" s="100" t="s">
        <v>8925</v>
      </c>
      <c r="AH1933" s="108">
        <v>12.5</v>
      </c>
    </row>
    <row r="1934" spans="1:45" s="32" customFormat="1" ht="69.95" hidden="1" customHeight="1">
      <c r="A1934" s="29" t="s">
        <v>7693</v>
      </c>
      <c r="B1934" s="29" t="s">
        <v>3769</v>
      </c>
      <c r="C1934" s="32">
        <v>20</v>
      </c>
      <c r="E1934" s="57" t="s">
        <v>8164</v>
      </c>
      <c r="F1934" s="57" t="s">
        <v>8164</v>
      </c>
      <c r="G1934" s="29" t="s">
        <v>3645</v>
      </c>
      <c r="H1934" s="29"/>
      <c r="I1934" s="29"/>
      <c r="J1934" s="29">
        <f t="shared" si="151"/>
        <v>1</v>
      </c>
      <c r="K1934" s="42">
        <v>1920</v>
      </c>
      <c r="L1934" s="43" t="s">
        <v>3646</v>
      </c>
      <c r="M1934" s="44" t="s">
        <v>405</v>
      </c>
      <c r="N1934" s="44" t="s">
        <v>578</v>
      </c>
      <c r="O1934" s="44" t="str">
        <f t="shared" si="152"/>
        <v>PE-L1-2C4-07</v>
      </c>
      <c r="P1934" s="45">
        <v>4.8000000000000001E-2</v>
      </c>
      <c r="Q1934" s="44">
        <v>220</v>
      </c>
      <c r="R1934" s="44" t="s">
        <v>509</v>
      </c>
      <c r="S1934" s="44">
        <v>60</v>
      </c>
      <c r="T1934" s="46" t="s">
        <v>7981</v>
      </c>
      <c r="U1934" s="46" t="s">
        <v>7693</v>
      </c>
      <c r="V1934" s="46" t="s">
        <v>8137</v>
      </c>
      <c r="W1934" s="46" t="s">
        <v>386</v>
      </c>
      <c r="X1934" s="47" t="s">
        <v>8738</v>
      </c>
      <c r="Y1934" s="47" t="s">
        <v>7694</v>
      </c>
      <c r="Z1934" s="46" t="s">
        <v>7208</v>
      </c>
      <c r="AA1934" s="46" t="s">
        <v>4003</v>
      </c>
      <c r="AB1934" s="47" t="s">
        <v>8738</v>
      </c>
      <c r="AC1934" s="48" t="s">
        <v>8406</v>
      </c>
      <c r="AD1934" s="206" t="s">
        <v>8893</v>
      </c>
      <c r="AE1934" s="192">
        <v>1</v>
      </c>
      <c r="AF1934" s="100" t="s">
        <v>8722</v>
      </c>
      <c r="AG1934" s="100" t="s">
        <v>8925</v>
      </c>
      <c r="AH1934" s="108">
        <v>12.5</v>
      </c>
    </row>
    <row r="1935" spans="1:45" s="32" customFormat="1" ht="69.95" hidden="1" customHeight="1">
      <c r="A1935" s="29" t="s">
        <v>7695</v>
      </c>
      <c r="B1935" s="29" t="s">
        <v>3769</v>
      </c>
      <c r="C1935" s="32">
        <v>21</v>
      </c>
      <c r="E1935" s="89" t="s">
        <v>8742</v>
      </c>
      <c r="F1935" s="89" t="s">
        <v>8742</v>
      </c>
      <c r="G1935" s="29" t="s">
        <v>3647</v>
      </c>
      <c r="H1935" s="29"/>
      <c r="I1935" s="29"/>
      <c r="J1935" s="29">
        <f t="shared" si="151"/>
        <v>1</v>
      </c>
      <c r="K1935" s="42">
        <v>1921</v>
      </c>
      <c r="L1935" s="43" t="s">
        <v>3648</v>
      </c>
      <c r="M1935" s="44" t="s">
        <v>405</v>
      </c>
      <c r="N1935" s="90" t="s">
        <v>8638</v>
      </c>
      <c r="O1935" s="90" t="str">
        <f>F1935</f>
        <v>PE-L1-5C4-03</v>
      </c>
      <c r="P1935" s="45">
        <v>0.13</v>
      </c>
      <c r="Q1935" s="44">
        <v>220</v>
      </c>
      <c r="R1935" s="44" t="s">
        <v>509</v>
      </c>
      <c r="S1935" s="44">
        <v>120</v>
      </c>
      <c r="T1935" s="46" t="s">
        <v>7981</v>
      </c>
      <c r="U1935" s="46" t="s">
        <v>7695</v>
      </c>
      <c r="V1935" s="46" t="s">
        <v>8137</v>
      </c>
      <c r="W1935" s="46" t="s">
        <v>386</v>
      </c>
      <c r="X1935" s="87" t="s">
        <v>8740</v>
      </c>
      <c r="Y1935" s="47" t="s">
        <v>7696</v>
      </c>
      <c r="Z1935" s="46" t="s">
        <v>7212</v>
      </c>
      <c r="AA1935" s="46" t="s">
        <v>4003</v>
      </c>
      <c r="AB1935" s="87" t="s">
        <v>8739</v>
      </c>
      <c r="AC1935" s="48" t="s">
        <v>8407</v>
      </c>
      <c r="AD1935" s="206"/>
      <c r="AE1935" s="192">
        <v>1</v>
      </c>
      <c r="AF1935" s="100" t="s">
        <v>8722</v>
      </c>
      <c r="AG1935" s="100" t="s">
        <v>8925</v>
      </c>
      <c r="AH1935" s="108">
        <v>15</v>
      </c>
    </row>
    <row r="1936" spans="1:45" s="32" customFormat="1" ht="69.95" hidden="1" customHeight="1">
      <c r="A1936" s="29" t="s">
        <v>7697</v>
      </c>
      <c r="B1936" s="29" t="s">
        <v>3769</v>
      </c>
      <c r="C1936" s="32">
        <v>22</v>
      </c>
      <c r="E1936" s="57" t="s">
        <v>8164</v>
      </c>
      <c r="F1936" s="57" t="s">
        <v>8164</v>
      </c>
      <c r="G1936" s="29" t="s">
        <v>3649</v>
      </c>
      <c r="H1936" s="29"/>
      <c r="I1936" s="29"/>
      <c r="J1936" s="29">
        <f t="shared" si="151"/>
        <v>1</v>
      </c>
      <c r="K1936" s="42">
        <v>1922</v>
      </c>
      <c r="L1936" s="43" t="s">
        <v>3650</v>
      </c>
      <c r="M1936" s="44" t="s">
        <v>405</v>
      </c>
      <c r="N1936" s="44" t="s">
        <v>578</v>
      </c>
      <c r="O1936" s="44" t="str">
        <f>F1936</f>
        <v>PE-L1-2C4-07</v>
      </c>
      <c r="P1936" s="45">
        <v>4.8000000000000001E-2</v>
      </c>
      <c r="Q1936" s="44">
        <v>220</v>
      </c>
      <c r="R1936" s="44" t="s">
        <v>509</v>
      </c>
      <c r="S1936" s="44">
        <v>120</v>
      </c>
      <c r="T1936" s="46" t="s">
        <v>7981</v>
      </c>
      <c r="U1936" s="46" t="s">
        <v>7697</v>
      </c>
      <c r="V1936" s="46" t="s">
        <v>8137</v>
      </c>
      <c r="W1936" s="46" t="s">
        <v>386</v>
      </c>
      <c r="X1936" s="47" t="s">
        <v>8738</v>
      </c>
      <c r="Y1936" s="47" t="s">
        <v>7698</v>
      </c>
      <c r="Z1936" s="46" t="s">
        <v>7216</v>
      </c>
      <c r="AA1936" s="46" t="s">
        <v>4003</v>
      </c>
      <c r="AB1936" s="47" t="s">
        <v>8738</v>
      </c>
      <c r="AC1936" s="48" t="s">
        <v>8408</v>
      </c>
      <c r="AD1936" s="206" t="s">
        <v>8894</v>
      </c>
      <c r="AE1936" s="192">
        <v>1</v>
      </c>
      <c r="AF1936" s="100" t="s">
        <v>8722</v>
      </c>
      <c r="AG1936" s="100" t="s">
        <v>8925</v>
      </c>
      <c r="AH1936" s="108">
        <v>12.5</v>
      </c>
    </row>
    <row r="1937" spans="1:34" s="32" customFormat="1" ht="69.95" hidden="1" customHeight="1">
      <c r="A1937" s="29" t="s">
        <v>7699</v>
      </c>
      <c r="B1937" s="29" t="s">
        <v>3769</v>
      </c>
      <c r="C1937" s="32">
        <v>23</v>
      </c>
      <c r="E1937" s="89" t="s">
        <v>8742</v>
      </c>
      <c r="F1937" s="89" t="s">
        <v>8742</v>
      </c>
      <c r="G1937" s="29" t="s">
        <v>3651</v>
      </c>
      <c r="H1937" s="29"/>
      <c r="I1937" s="29"/>
      <c r="J1937" s="29">
        <f t="shared" si="151"/>
        <v>1</v>
      </c>
      <c r="K1937" s="42">
        <v>1923</v>
      </c>
      <c r="L1937" s="43" t="s">
        <v>3652</v>
      </c>
      <c r="M1937" s="44" t="s">
        <v>405</v>
      </c>
      <c r="N1937" s="90" t="s">
        <v>8638</v>
      </c>
      <c r="O1937" s="90" t="str">
        <f>F1937</f>
        <v>PE-L1-5C4-03</v>
      </c>
      <c r="P1937" s="45">
        <v>0.13</v>
      </c>
      <c r="Q1937" s="44">
        <v>220</v>
      </c>
      <c r="R1937" s="44" t="s">
        <v>509</v>
      </c>
      <c r="S1937" s="44">
        <v>120</v>
      </c>
      <c r="T1937" s="46" t="s">
        <v>7981</v>
      </c>
      <c r="U1937" s="46" t="s">
        <v>7699</v>
      </c>
      <c r="V1937" s="46" t="s">
        <v>8137</v>
      </c>
      <c r="W1937" s="46" t="s">
        <v>386</v>
      </c>
      <c r="X1937" s="87" t="s">
        <v>8740</v>
      </c>
      <c r="Y1937" s="47" t="s">
        <v>7700</v>
      </c>
      <c r="Z1937" s="46" t="s">
        <v>7219</v>
      </c>
      <c r="AA1937" s="46" t="s">
        <v>4003</v>
      </c>
      <c r="AB1937" s="87" t="s">
        <v>8739</v>
      </c>
      <c r="AC1937" s="48" t="s">
        <v>8409</v>
      </c>
      <c r="AD1937" s="206"/>
      <c r="AE1937" s="192">
        <v>1</v>
      </c>
      <c r="AF1937" s="100" t="s">
        <v>8722</v>
      </c>
      <c r="AG1937" s="100" t="s">
        <v>8925</v>
      </c>
      <c r="AH1937" s="108">
        <v>15</v>
      </c>
    </row>
    <row r="1938" spans="1:34" s="32" customFormat="1" ht="69.95" hidden="1" customHeight="1">
      <c r="A1938" s="29" t="s">
        <v>7701</v>
      </c>
      <c r="B1938" s="29" t="s">
        <v>3769</v>
      </c>
      <c r="C1938" s="32">
        <v>24</v>
      </c>
      <c r="E1938" s="57" t="s">
        <v>8164</v>
      </c>
      <c r="F1938" s="57" t="s">
        <v>8164</v>
      </c>
      <c r="G1938" s="29" t="s">
        <v>3653</v>
      </c>
      <c r="H1938" s="29"/>
      <c r="I1938" s="29"/>
      <c r="J1938" s="29">
        <f t="shared" si="151"/>
        <v>1</v>
      </c>
      <c r="K1938" s="42">
        <v>1924</v>
      </c>
      <c r="L1938" s="43" t="s">
        <v>3654</v>
      </c>
      <c r="M1938" s="44" t="s">
        <v>405</v>
      </c>
      <c r="N1938" s="44" t="s">
        <v>578</v>
      </c>
      <c r="O1938" s="44" t="str">
        <f t="shared" ref="O1938:O1939" si="153">F1938</f>
        <v>PE-L1-2C4-07</v>
      </c>
      <c r="P1938" s="45">
        <v>4.8000000000000001E-2</v>
      </c>
      <c r="Q1938" s="44">
        <v>220</v>
      </c>
      <c r="R1938" s="44" t="s">
        <v>509</v>
      </c>
      <c r="S1938" s="44">
        <v>120</v>
      </c>
      <c r="T1938" s="46" t="s">
        <v>7981</v>
      </c>
      <c r="U1938" s="46" t="s">
        <v>7701</v>
      </c>
      <c r="V1938" s="46" t="s">
        <v>8137</v>
      </c>
      <c r="W1938" s="46" t="s">
        <v>386</v>
      </c>
      <c r="X1938" s="47" t="s">
        <v>8738</v>
      </c>
      <c r="Y1938" s="47" t="s">
        <v>7702</v>
      </c>
      <c r="Z1938" s="46" t="s">
        <v>7223</v>
      </c>
      <c r="AA1938" s="46" t="s">
        <v>4003</v>
      </c>
      <c r="AB1938" s="47" t="s">
        <v>8738</v>
      </c>
      <c r="AC1938" s="48" t="s">
        <v>8410</v>
      </c>
      <c r="AD1938" s="206" t="s">
        <v>8895</v>
      </c>
      <c r="AE1938" s="192">
        <v>1</v>
      </c>
      <c r="AF1938" s="100" t="s">
        <v>8722</v>
      </c>
      <c r="AG1938" s="100" t="s">
        <v>8925</v>
      </c>
      <c r="AH1938" s="108">
        <v>12.5</v>
      </c>
    </row>
    <row r="1939" spans="1:34" s="32" customFormat="1" ht="69.95" hidden="1" customHeight="1">
      <c r="A1939" s="29" t="s">
        <v>7703</v>
      </c>
      <c r="B1939" s="29" t="s">
        <v>3769</v>
      </c>
      <c r="C1939" s="32">
        <v>25</v>
      </c>
      <c r="E1939" s="57" t="s">
        <v>8164</v>
      </c>
      <c r="F1939" s="57" t="s">
        <v>8164</v>
      </c>
      <c r="G1939" s="29" t="s">
        <v>3655</v>
      </c>
      <c r="H1939" s="29"/>
      <c r="I1939" s="29"/>
      <c r="J1939" s="29">
        <f t="shared" si="151"/>
        <v>1</v>
      </c>
      <c r="K1939" s="42">
        <v>1925</v>
      </c>
      <c r="L1939" s="43" t="s">
        <v>3656</v>
      </c>
      <c r="M1939" s="44" t="s">
        <v>405</v>
      </c>
      <c r="N1939" s="44" t="s">
        <v>578</v>
      </c>
      <c r="O1939" s="44" t="str">
        <f t="shared" si="153"/>
        <v>PE-L1-2C4-07</v>
      </c>
      <c r="P1939" s="45">
        <v>4.8000000000000001E-2</v>
      </c>
      <c r="Q1939" s="44">
        <v>220</v>
      </c>
      <c r="R1939" s="44" t="s">
        <v>509</v>
      </c>
      <c r="S1939" s="44">
        <v>120</v>
      </c>
      <c r="T1939" s="46" t="s">
        <v>7981</v>
      </c>
      <c r="U1939" s="46" t="s">
        <v>7703</v>
      </c>
      <c r="V1939" s="46" t="s">
        <v>8137</v>
      </c>
      <c r="W1939" s="46" t="s">
        <v>386</v>
      </c>
      <c r="X1939" s="47" t="s">
        <v>8738</v>
      </c>
      <c r="Y1939" s="47" t="s">
        <v>7704</v>
      </c>
      <c r="Z1939" s="46" t="s">
        <v>7227</v>
      </c>
      <c r="AA1939" s="46" t="s">
        <v>4003</v>
      </c>
      <c r="AB1939" s="47" t="s">
        <v>8738</v>
      </c>
      <c r="AC1939" s="48" t="s">
        <v>8411</v>
      </c>
      <c r="AD1939" s="206" t="s">
        <v>8896</v>
      </c>
      <c r="AE1939" s="192">
        <v>1</v>
      </c>
      <c r="AF1939" s="100" t="s">
        <v>8722</v>
      </c>
      <c r="AG1939" s="100" t="s">
        <v>8925</v>
      </c>
      <c r="AH1939" s="108">
        <v>12.5</v>
      </c>
    </row>
    <row r="1940" spans="1:34" s="32" customFormat="1" ht="69.95" hidden="1" customHeight="1">
      <c r="A1940" s="29" t="s">
        <v>7705</v>
      </c>
      <c r="B1940" s="29" t="s">
        <v>3769</v>
      </c>
      <c r="C1940" s="32">
        <v>26</v>
      </c>
      <c r="E1940" s="89" t="s">
        <v>8742</v>
      </c>
      <c r="F1940" s="89" t="s">
        <v>8742</v>
      </c>
      <c r="G1940" s="29" t="s">
        <v>3657</v>
      </c>
      <c r="H1940" s="29"/>
      <c r="I1940" s="29"/>
      <c r="J1940" s="29">
        <f t="shared" si="151"/>
        <v>1</v>
      </c>
      <c r="K1940" s="42">
        <v>1926</v>
      </c>
      <c r="L1940" s="43" t="s">
        <v>3658</v>
      </c>
      <c r="M1940" s="44" t="s">
        <v>405</v>
      </c>
      <c r="N1940" s="90" t="s">
        <v>8638</v>
      </c>
      <c r="O1940" s="90" t="str">
        <f>F1940</f>
        <v>PE-L1-5C4-03</v>
      </c>
      <c r="P1940" s="45">
        <v>0.13</v>
      </c>
      <c r="Q1940" s="44">
        <v>220</v>
      </c>
      <c r="R1940" s="44" t="s">
        <v>509</v>
      </c>
      <c r="S1940" s="44">
        <v>120</v>
      </c>
      <c r="T1940" s="46" t="s">
        <v>7981</v>
      </c>
      <c r="U1940" s="46" t="s">
        <v>7705</v>
      </c>
      <c r="V1940" s="46" t="s">
        <v>8137</v>
      </c>
      <c r="W1940" s="46" t="s">
        <v>386</v>
      </c>
      <c r="X1940" s="87" t="s">
        <v>8740</v>
      </c>
      <c r="Y1940" s="47" t="s">
        <v>7706</v>
      </c>
      <c r="Z1940" s="46" t="s">
        <v>7231</v>
      </c>
      <c r="AA1940" s="46" t="s">
        <v>4003</v>
      </c>
      <c r="AB1940" s="87" t="s">
        <v>8739</v>
      </c>
      <c r="AC1940" s="48" t="s">
        <v>8412</v>
      </c>
      <c r="AD1940" s="207" t="s">
        <v>8743</v>
      </c>
      <c r="AE1940" s="192">
        <v>1</v>
      </c>
      <c r="AF1940" s="100" t="s">
        <v>8722</v>
      </c>
      <c r="AG1940" s="100" t="s">
        <v>8925</v>
      </c>
      <c r="AH1940" s="108">
        <v>15</v>
      </c>
    </row>
    <row r="1941" spans="1:34" s="32" customFormat="1" ht="69.95" hidden="1" customHeight="1">
      <c r="A1941" s="29" t="s">
        <v>7707</v>
      </c>
      <c r="B1941" s="29" t="s">
        <v>3769</v>
      </c>
      <c r="C1941" s="32">
        <v>27</v>
      </c>
      <c r="E1941" s="57" t="s">
        <v>8164</v>
      </c>
      <c r="F1941" s="57" t="s">
        <v>8164</v>
      </c>
      <c r="G1941" s="29" t="s">
        <v>3659</v>
      </c>
      <c r="H1941" s="29"/>
      <c r="I1941" s="29"/>
      <c r="J1941" s="29">
        <f t="shared" si="151"/>
        <v>1</v>
      </c>
      <c r="K1941" s="42">
        <v>1927</v>
      </c>
      <c r="L1941" s="43" t="s">
        <v>3660</v>
      </c>
      <c r="M1941" s="44" t="s">
        <v>405</v>
      </c>
      <c r="N1941" s="44" t="s">
        <v>578</v>
      </c>
      <c r="O1941" s="44" t="str">
        <f>F1941</f>
        <v>PE-L1-2C4-07</v>
      </c>
      <c r="P1941" s="45">
        <v>5.2999999999999999E-2</v>
      </c>
      <c r="Q1941" s="44">
        <v>220</v>
      </c>
      <c r="R1941" s="44" t="s">
        <v>509</v>
      </c>
      <c r="S1941" s="44">
        <v>120</v>
      </c>
      <c r="T1941" s="46" t="s">
        <v>7981</v>
      </c>
      <c r="U1941" s="46" t="s">
        <v>7707</v>
      </c>
      <c r="V1941" s="46" t="s">
        <v>8137</v>
      </c>
      <c r="W1941" s="46" t="s">
        <v>386</v>
      </c>
      <c r="X1941" s="47" t="s">
        <v>8738</v>
      </c>
      <c r="Y1941" s="47" t="s">
        <v>7708</v>
      </c>
      <c r="Z1941" s="46" t="s">
        <v>7235</v>
      </c>
      <c r="AA1941" s="46" t="s">
        <v>4003</v>
      </c>
      <c r="AB1941" s="47" t="s">
        <v>8738</v>
      </c>
      <c r="AC1941" s="48" t="s">
        <v>8413</v>
      </c>
      <c r="AD1941" s="206" t="s">
        <v>8897</v>
      </c>
      <c r="AE1941" s="192">
        <v>1</v>
      </c>
      <c r="AF1941" s="100" t="s">
        <v>8722</v>
      </c>
      <c r="AG1941" s="100" t="s">
        <v>8925</v>
      </c>
      <c r="AH1941" s="108">
        <v>12.5</v>
      </c>
    </row>
    <row r="1942" spans="1:34" s="32" customFormat="1" ht="69.95" hidden="1" customHeight="1">
      <c r="A1942" s="29" t="s">
        <v>7709</v>
      </c>
      <c r="B1942" s="29" t="s">
        <v>3769</v>
      </c>
      <c r="C1942" s="32">
        <v>28</v>
      </c>
      <c r="E1942" s="89" t="s">
        <v>8742</v>
      </c>
      <c r="F1942" s="89" t="s">
        <v>8742</v>
      </c>
      <c r="G1942" s="29" t="s">
        <v>3661</v>
      </c>
      <c r="H1942" s="29"/>
      <c r="I1942" s="29"/>
      <c r="J1942" s="29">
        <f t="shared" si="151"/>
        <v>1</v>
      </c>
      <c r="K1942" s="42">
        <v>1928</v>
      </c>
      <c r="L1942" s="43" t="s">
        <v>3662</v>
      </c>
      <c r="M1942" s="44" t="s">
        <v>405</v>
      </c>
      <c r="N1942" s="90" t="s">
        <v>8638</v>
      </c>
      <c r="O1942" s="90" t="str">
        <f>F1942</f>
        <v>PE-L1-5C4-03</v>
      </c>
      <c r="P1942" s="45">
        <v>0.13</v>
      </c>
      <c r="Q1942" s="44">
        <v>220</v>
      </c>
      <c r="R1942" s="44" t="s">
        <v>509</v>
      </c>
      <c r="S1942" s="44">
        <v>120</v>
      </c>
      <c r="T1942" s="46" t="s">
        <v>7981</v>
      </c>
      <c r="U1942" s="46" t="s">
        <v>7709</v>
      </c>
      <c r="V1942" s="46" t="s">
        <v>8137</v>
      </c>
      <c r="W1942" s="46" t="s">
        <v>386</v>
      </c>
      <c r="X1942" s="87" t="s">
        <v>8740</v>
      </c>
      <c r="Y1942" s="47" t="s">
        <v>7710</v>
      </c>
      <c r="Z1942" s="46" t="s">
        <v>7239</v>
      </c>
      <c r="AA1942" s="46" t="s">
        <v>4003</v>
      </c>
      <c r="AB1942" s="87" t="s">
        <v>8739</v>
      </c>
      <c r="AC1942" s="48" t="s">
        <v>8414</v>
      </c>
      <c r="AD1942" s="207" t="s">
        <v>8746</v>
      </c>
      <c r="AE1942" s="192">
        <v>1</v>
      </c>
      <c r="AF1942" s="100" t="s">
        <v>8722</v>
      </c>
      <c r="AG1942" s="100" t="s">
        <v>8925</v>
      </c>
      <c r="AH1942" s="108">
        <v>15</v>
      </c>
    </row>
    <row r="1943" spans="1:34" s="32" customFormat="1" ht="69.95" hidden="1" customHeight="1">
      <c r="A1943" s="29" t="s">
        <v>7711</v>
      </c>
      <c r="B1943" s="29" t="s">
        <v>3769</v>
      </c>
      <c r="C1943" s="32">
        <v>29</v>
      </c>
      <c r="E1943" s="57" t="s">
        <v>8164</v>
      </c>
      <c r="F1943" s="57" t="s">
        <v>8164</v>
      </c>
      <c r="G1943" s="29" t="s">
        <v>3663</v>
      </c>
      <c r="H1943" s="29"/>
      <c r="I1943" s="29"/>
      <c r="J1943" s="29">
        <f t="shared" si="151"/>
        <v>1</v>
      </c>
      <c r="K1943" s="42">
        <v>1929</v>
      </c>
      <c r="L1943" s="43" t="s">
        <v>3664</v>
      </c>
      <c r="M1943" s="44" t="s">
        <v>405</v>
      </c>
      <c r="N1943" s="44" t="s">
        <v>578</v>
      </c>
      <c r="O1943" s="44" t="str">
        <f t="shared" ref="O1943:O1951" si="154">F1943</f>
        <v>PE-L1-2C4-07</v>
      </c>
      <c r="P1943" s="45">
        <v>5.2999999999999999E-2</v>
      </c>
      <c r="Q1943" s="44">
        <v>220</v>
      </c>
      <c r="R1943" s="44" t="s">
        <v>509</v>
      </c>
      <c r="S1943" s="44">
        <v>70</v>
      </c>
      <c r="T1943" s="46" t="s">
        <v>7981</v>
      </c>
      <c r="U1943" s="46" t="s">
        <v>7711</v>
      </c>
      <c r="V1943" s="46" t="s">
        <v>8137</v>
      </c>
      <c r="W1943" s="46" t="s">
        <v>386</v>
      </c>
      <c r="X1943" s="47" t="s">
        <v>8738</v>
      </c>
      <c r="Y1943" s="47" t="s">
        <v>7712</v>
      </c>
      <c r="Z1943" s="46" t="s">
        <v>7243</v>
      </c>
      <c r="AA1943" s="46" t="s">
        <v>4003</v>
      </c>
      <c r="AB1943" s="47" t="s">
        <v>8738</v>
      </c>
      <c r="AC1943" s="48" t="s">
        <v>8415</v>
      </c>
      <c r="AD1943" s="206" t="s">
        <v>8898</v>
      </c>
      <c r="AE1943" s="192">
        <v>1</v>
      </c>
      <c r="AF1943" s="100" t="s">
        <v>8722</v>
      </c>
      <c r="AG1943" s="100" t="s">
        <v>8925</v>
      </c>
      <c r="AH1943" s="108">
        <v>12.5</v>
      </c>
    </row>
    <row r="1944" spans="1:34" s="32" customFormat="1" ht="69.95" hidden="1" customHeight="1">
      <c r="A1944" s="29" t="s">
        <v>7713</v>
      </c>
      <c r="B1944" s="29" t="s">
        <v>3769</v>
      </c>
      <c r="C1944" s="32">
        <v>30</v>
      </c>
      <c r="E1944" s="56" t="s">
        <v>8164</v>
      </c>
      <c r="F1944" s="56" t="s">
        <v>8164</v>
      </c>
      <c r="G1944" s="29" t="s">
        <v>3665</v>
      </c>
      <c r="H1944" s="29"/>
      <c r="I1944" s="29"/>
      <c r="J1944" s="29">
        <f t="shared" si="151"/>
        <v>1</v>
      </c>
      <c r="K1944" s="42">
        <v>1930</v>
      </c>
      <c r="L1944" s="43" t="s">
        <v>3666</v>
      </c>
      <c r="M1944" s="44" t="s">
        <v>405</v>
      </c>
      <c r="N1944" s="44" t="s">
        <v>578</v>
      </c>
      <c r="O1944" s="44" t="str">
        <f t="shared" si="154"/>
        <v>PE-L1-2C4-07</v>
      </c>
      <c r="P1944" s="45">
        <v>4.8000000000000001E-2</v>
      </c>
      <c r="Q1944" s="44">
        <v>220</v>
      </c>
      <c r="R1944" s="44" t="s">
        <v>509</v>
      </c>
      <c r="S1944" s="44">
        <v>70</v>
      </c>
      <c r="T1944" s="46" t="s">
        <v>7981</v>
      </c>
      <c r="U1944" s="46" t="s">
        <v>7713</v>
      </c>
      <c r="V1944" s="46" t="s">
        <v>8137</v>
      </c>
      <c r="W1944" s="46" t="s">
        <v>386</v>
      </c>
      <c r="X1944" s="47" t="s">
        <v>8738</v>
      </c>
      <c r="Y1944" s="47" t="s">
        <v>7714</v>
      </c>
      <c r="Z1944" s="46" t="s">
        <v>7247</v>
      </c>
      <c r="AA1944" s="46" t="s">
        <v>4003</v>
      </c>
      <c r="AB1944" s="47" t="s">
        <v>8738</v>
      </c>
      <c r="AC1944" s="48" t="s">
        <v>8416</v>
      </c>
      <c r="AD1944" s="206" t="s">
        <v>8899</v>
      </c>
      <c r="AE1944" s="192">
        <v>1</v>
      </c>
      <c r="AF1944" s="100" t="s">
        <v>8722</v>
      </c>
      <c r="AG1944" s="100" t="s">
        <v>8925</v>
      </c>
      <c r="AH1944" s="108">
        <v>12.5</v>
      </c>
    </row>
    <row r="1945" spans="1:34" s="32" customFormat="1" ht="69.95" hidden="1" customHeight="1">
      <c r="A1945" s="29" t="s">
        <v>7715</v>
      </c>
      <c r="B1945" s="29" t="s">
        <v>3769</v>
      </c>
      <c r="C1945" s="32">
        <v>31</v>
      </c>
      <c r="E1945" s="57" t="s">
        <v>8284</v>
      </c>
      <c r="F1945" s="57" t="s">
        <v>8284</v>
      </c>
      <c r="G1945" s="29" t="s">
        <v>3667</v>
      </c>
      <c r="H1945" s="29"/>
      <c r="I1945" s="29"/>
      <c r="J1945" s="29">
        <f t="shared" si="151"/>
        <v>1</v>
      </c>
      <c r="K1945" s="42">
        <v>1931</v>
      </c>
      <c r="L1945" s="43" t="s">
        <v>3668</v>
      </c>
      <c r="M1945" s="44" t="s">
        <v>405</v>
      </c>
      <c r="N1945" s="44" t="s">
        <v>536</v>
      </c>
      <c r="O1945" s="44" t="str">
        <f t="shared" si="154"/>
        <v>PE-L1-4C4-23</v>
      </c>
      <c r="P1945" s="45">
        <v>1.1000000000000001</v>
      </c>
      <c r="Q1945" s="44">
        <v>400</v>
      </c>
      <c r="R1945" s="44" t="s">
        <v>49</v>
      </c>
      <c r="S1945" s="44">
        <v>60</v>
      </c>
      <c r="T1945" s="46" t="s">
        <v>7981</v>
      </c>
      <c r="U1945" s="46" t="s">
        <v>7715</v>
      </c>
      <c r="V1945" s="46" t="s">
        <v>8692</v>
      </c>
      <c r="W1945" s="46" t="s">
        <v>386</v>
      </c>
      <c r="X1945" s="47" t="s">
        <v>8721</v>
      </c>
      <c r="Y1945" s="47" t="s">
        <v>7716</v>
      </c>
      <c r="Z1945" s="46" t="s">
        <v>7251</v>
      </c>
      <c r="AA1945" s="46" t="s">
        <v>4003</v>
      </c>
      <c r="AB1945" s="47" t="s">
        <v>8721</v>
      </c>
      <c r="AC1945" s="48" t="s">
        <v>8417</v>
      </c>
      <c r="AD1945" s="30"/>
      <c r="AE1945" s="192">
        <v>1</v>
      </c>
      <c r="AF1945" s="100" t="s">
        <v>8722</v>
      </c>
      <c r="AG1945" s="100" t="s">
        <v>8925</v>
      </c>
      <c r="AH1945" s="100">
        <v>14</v>
      </c>
    </row>
    <row r="1946" spans="1:34" s="32" customFormat="1" ht="69.95" hidden="1" customHeight="1">
      <c r="A1946" s="29" t="s">
        <v>7717</v>
      </c>
      <c r="B1946" s="29" t="s">
        <v>3769</v>
      </c>
      <c r="C1946" s="32">
        <v>32</v>
      </c>
      <c r="E1946" s="57" t="s">
        <v>8302</v>
      </c>
      <c r="F1946" s="57" t="s">
        <v>8302</v>
      </c>
      <c r="G1946" s="29" t="s">
        <v>3669</v>
      </c>
      <c r="H1946" s="29"/>
      <c r="I1946" s="29"/>
      <c r="J1946" s="29">
        <f t="shared" si="151"/>
        <v>1</v>
      </c>
      <c r="K1946" s="42">
        <v>1932</v>
      </c>
      <c r="L1946" s="43" t="s">
        <v>3670</v>
      </c>
      <c r="M1946" s="44" t="s">
        <v>405</v>
      </c>
      <c r="N1946" s="44" t="s">
        <v>546</v>
      </c>
      <c r="O1946" s="44" t="str">
        <f t="shared" si="154"/>
        <v>PE-L1-4C6-02</v>
      </c>
      <c r="P1946" s="45">
        <v>11</v>
      </c>
      <c r="Q1946" s="44">
        <v>400</v>
      </c>
      <c r="R1946" s="44" t="s">
        <v>49</v>
      </c>
      <c r="S1946" s="44">
        <v>70</v>
      </c>
      <c r="T1946" s="46" t="s">
        <v>7981</v>
      </c>
      <c r="U1946" s="46" t="s">
        <v>7717</v>
      </c>
      <c r="V1946" s="46" t="s">
        <v>8692</v>
      </c>
      <c r="W1946" s="46" t="s">
        <v>386</v>
      </c>
      <c r="X1946" s="47" t="s">
        <v>8721</v>
      </c>
      <c r="Y1946" s="47" t="s">
        <v>7718</v>
      </c>
      <c r="Z1946" s="46" t="s">
        <v>7255</v>
      </c>
      <c r="AA1946" s="46" t="s">
        <v>4003</v>
      </c>
      <c r="AB1946" s="47" t="s">
        <v>8721</v>
      </c>
      <c r="AC1946" s="48" t="s">
        <v>8418</v>
      </c>
      <c r="AD1946" s="30"/>
      <c r="AE1946" s="192">
        <v>1</v>
      </c>
      <c r="AF1946" s="100" t="s">
        <v>8722</v>
      </c>
      <c r="AG1946" s="100" t="s">
        <v>8925</v>
      </c>
      <c r="AH1946" s="108">
        <v>15.5</v>
      </c>
    </row>
    <row r="1947" spans="1:34" s="32" customFormat="1" ht="69.95" hidden="1" customHeight="1">
      <c r="A1947" s="29" t="s">
        <v>7719</v>
      </c>
      <c r="B1947" s="29" t="s">
        <v>3769</v>
      </c>
      <c r="C1947" s="32">
        <v>33</v>
      </c>
      <c r="E1947" s="57" t="s">
        <v>8164</v>
      </c>
      <c r="F1947" s="57" t="s">
        <v>8164</v>
      </c>
      <c r="G1947" s="29" t="s">
        <v>3671</v>
      </c>
      <c r="H1947" s="29"/>
      <c r="I1947" s="29"/>
      <c r="J1947" s="29">
        <f t="shared" si="151"/>
        <v>1</v>
      </c>
      <c r="K1947" s="42">
        <v>1933</v>
      </c>
      <c r="L1947" s="43" t="s">
        <v>3672</v>
      </c>
      <c r="M1947" s="44" t="s">
        <v>405</v>
      </c>
      <c r="N1947" s="44" t="s">
        <v>578</v>
      </c>
      <c r="O1947" s="44" t="str">
        <f t="shared" si="154"/>
        <v>PE-L1-2C4-07</v>
      </c>
      <c r="P1947" s="45">
        <v>7.8E-2</v>
      </c>
      <c r="Q1947" s="44">
        <v>220</v>
      </c>
      <c r="R1947" s="44" t="s">
        <v>509</v>
      </c>
      <c r="S1947" s="44">
        <v>70</v>
      </c>
      <c r="T1947" s="46" t="s">
        <v>7981</v>
      </c>
      <c r="U1947" s="46" t="s">
        <v>7719</v>
      </c>
      <c r="V1947" s="46" t="s">
        <v>8137</v>
      </c>
      <c r="W1947" s="46" t="s">
        <v>386</v>
      </c>
      <c r="X1947" s="47" t="s">
        <v>8738</v>
      </c>
      <c r="Y1947" s="47" t="s">
        <v>7720</v>
      </c>
      <c r="Z1947" s="46" t="s">
        <v>8070</v>
      </c>
      <c r="AA1947" s="46" t="s">
        <v>4003</v>
      </c>
      <c r="AB1947" s="47" t="s">
        <v>8738</v>
      </c>
      <c r="AC1947" s="48" t="s">
        <v>8419</v>
      </c>
      <c r="AD1947" s="206" t="s">
        <v>8900</v>
      </c>
      <c r="AE1947" s="192">
        <v>1</v>
      </c>
      <c r="AF1947" s="100" t="s">
        <v>8722</v>
      </c>
      <c r="AG1947" s="100" t="s">
        <v>8925</v>
      </c>
      <c r="AH1947" s="108">
        <v>12.5</v>
      </c>
    </row>
    <row r="1948" spans="1:34" s="32" customFormat="1" ht="69.95" hidden="1" customHeight="1">
      <c r="A1948" s="29" t="s">
        <v>7721</v>
      </c>
      <c r="B1948" s="29" t="s">
        <v>3769</v>
      </c>
      <c r="C1948" s="32">
        <v>34</v>
      </c>
      <c r="E1948" s="57" t="s">
        <v>8164</v>
      </c>
      <c r="F1948" s="57" t="s">
        <v>8164</v>
      </c>
      <c r="G1948" s="29" t="s">
        <v>3673</v>
      </c>
      <c r="H1948" s="29"/>
      <c r="I1948" s="29"/>
      <c r="J1948" s="29">
        <f t="shared" si="151"/>
        <v>1</v>
      </c>
      <c r="K1948" s="42">
        <v>1934</v>
      </c>
      <c r="L1948" s="43" t="s">
        <v>3674</v>
      </c>
      <c r="M1948" s="44" t="s">
        <v>405</v>
      </c>
      <c r="N1948" s="44" t="s">
        <v>578</v>
      </c>
      <c r="O1948" s="44" t="str">
        <f t="shared" si="154"/>
        <v>PE-L1-2C4-07</v>
      </c>
      <c r="P1948" s="45">
        <v>7.8E-2</v>
      </c>
      <c r="Q1948" s="44">
        <v>220</v>
      </c>
      <c r="R1948" s="44" t="s">
        <v>509</v>
      </c>
      <c r="S1948" s="44">
        <v>70</v>
      </c>
      <c r="T1948" s="46" t="s">
        <v>7981</v>
      </c>
      <c r="U1948" s="46" t="s">
        <v>7721</v>
      </c>
      <c r="V1948" s="46" t="s">
        <v>8137</v>
      </c>
      <c r="W1948" s="46" t="s">
        <v>386</v>
      </c>
      <c r="X1948" s="47" t="s">
        <v>8738</v>
      </c>
      <c r="Y1948" s="47" t="s">
        <v>7722</v>
      </c>
      <c r="Z1948" s="46" t="s">
        <v>7263</v>
      </c>
      <c r="AA1948" s="46" t="s">
        <v>4003</v>
      </c>
      <c r="AB1948" s="47" t="s">
        <v>8738</v>
      </c>
      <c r="AC1948" s="48" t="s">
        <v>8420</v>
      </c>
      <c r="AD1948" s="206" t="s">
        <v>8901</v>
      </c>
      <c r="AE1948" s="192">
        <v>1</v>
      </c>
      <c r="AF1948" s="100" t="s">
        <v>8722</v>
      </c>
      <c r="AG1948" s="100" t="s">
        <v>8925</v>
      </c>
      <c r="AH1948" s="108">
        <v>12.5</v>
      </c>
    </row>
    <row r="1949" spans="1:34" s="32" customFormat="1" ht="69.95" hidden="1" customHeight="1">
      <c r="A1949" s="29" t="s">
        <v>8670</v>
      </c>
      <c r="B1949" s="29" t="s">
        <v>3769</v>
      </c>
      <c r="C1949" s="32">
        <v>35</v>
      </c>
      <c r="E1949" s="57" t="s">
        <v>8175</v>
      </c>
      <c r="F1949" s="57" t="s">
        <v>8303</v>
      </c>
      <c r="G1949" s="29" t="s">
        <v>3675</v>
      </c>
      <c r="H1949" s="29"/>
      <c r="I1949" s="29"/>
      <c r="J1949" s="29">
        <f t="shared" si="151"/>
        <v>1</v>
      </c>
      <c r="K1949" s="42">
        <v>1935</v>
      </c>
      <c r="L1949" s="43" t="s">
        <v>3676</v>
      </c>
      <c r="M1949" s="44" t="s">
        <v>405</v>
      </c>
      <c r="N1949" s="44" t="s">
        <v>578</v>
      </c>
      <c r="O1949" s="44" t="str">
        <f t="shared" si="154"/>
        <v>PE-L1-2C4-08</v>
      </c>
      <c r="P1949" s="45">
        <v>0.20499999999999999</v>
      </c>
      <c r="Q1949" s="44">
        <v>220</v>
      </c>
      <c r="R1949" s="44" t="s">
        <v>509</v>
      </c>
      <c r="S1949" s="44">
        <v>50</v>
      </c>
      <c r="T1949" s="46" t="s">
        <v>8304</v>
      </c>
      <c r="U1949" s="46" t="s">
        <v>8178</v>
      </c>
      <c r="V1949" s="46" t="s">
        <v>8137</v>
      </c>
      <c r="W1949" s="46" t="s">
        <v>386</v>
      </c>
      <c r="X1949" s="47" t="s">
        <v>8738</v>
      </c>
      <c r="Y1949" s="47" t="s">
        <v>7723</v>
      </c>
      <c r="Z1949" s="46" t="s">
        <v>7267</v>
      </c>
      <c r="AA1949" s="46" t="s">
        <v>4003</v>
      </c>
      <c r="AB1949" s="47" t="s">
        <v>8738</v>
      </c>
      <c r="AC1949" s="48" t="s">
        <v>8421</v>
      </c>
      <c r="AD1949" s="207" t="s">
        <v>8902</v>
      </c>
      <c r="AE1949" s="192">
        <v>1</v>
      </c>
      <c r="AF1949" s="100" t="s">
        <v>8722</v>
      </c>
      <c r="AG1949" s="100" t="s">
        <v>8925</v>
      </c>
      <c r="AH1949" s="108">
        <v>12.5</v>
      </c>
    </row>
    <row r="1950" spans="1:34" s="32" customFormat="1" ht="69.95" hidden="1" customHeight="1">
      <c r="A1950" s="29" t="s">
        <v>7724</v>
      </c>
      <c r="B1950" s="29" t="s">
        <v>3769</v>
      </c>
      <c r="C1950" s="32">
        <v>36</v>
      </c>
      <c r="E1950" s="57" t="s">
        <v>8175</v>
      </c>
      <c r="F1950" s="57" t="s">
        <v>8303</v>
      </c>
      <c r="G1950" s="29" t="s">
        <v>3677</v>
      </c>
      <c r="H1950" s="29"/>
      <c r="I1950" s="29"/>
      <c r="J1950" s="29">
        <f t="shared" si="151"/>
        <v>1</v>
      </c>
      <c r="K1950" s="42">
        <v>1936</v>
      </c>
      <c r="L1950" s="43" t="s">
        <v>3678</v>
      </c>
      <c r="M1950" s="44" t="s">
        <v>405</v>
      </c>
      <c r="N1950" s="44" t="s">
        <v>578</v>
      </c>
      <c r="O1950" s="44" t="str">
        <f t="shared" si="154"/>
        <v>PE-L1-2C4-08</v>
      </c>
      <c r="P1950" s="45">
        <v>0.20499999999999999</v>
      </c>
      <c r="Q1950" s="44">
        <v>220</v>
      </c>
      <c r="R1950" s="44" t="s">
        <v>509</v>
      </c>
      <c r="S1950" s="44">
        <v>50</v>
      </c>
      <c r="T1950" s="46" t="s">
        <v>8304</v>
      </c>
      <c r="U1950" s="46" t="s">
        <v>7724</v>
      </c>
      <c r="V1950" s="46" t="s">
        <v>8137</v>
      </c>
      <c r="W1950" s="46" t="s">
        <v>386</v>
      </c>
      <c r="X1950" s="47" t="s">
        <v>8738</v>
      </c>
      <c r="Y1950" s="47" t="s">
        <v>7725</v>
      </c>
      <c r="Z1950" s="46" t="s">
        <v>7271</v>
      </c>
      <c r="AA1950" s="46" t="s">
        <v>4003</v>
      </c>
      <c r="AB1950" s="47" t="s">
        <v>8738</v>
      </c>
      <c r="AC1950" s="48" t="s">
        <v>8422</v>
      </c>
      <c r="AD1950" s="206" t="s">
        <v>8903</v>
      </c>
      <c r="AE1950" s="192">
        <v>1</v>
      </c>
      <c r="AF1950" s="100" t="s">
        <v>8722</v>
      </c>
      <c r="AG1950" s="100" t="s">
        <v>8925</v>
      </c>
      <c r="AH1950" s="108">
        <v>12.5</v>
      </c>
    </row>
    <row r="1951" spans="1:34" s="32" customFormat="1" ht="69.95" hidden="1" customHeight="1">
      <c r="A1951" s="29" t="s">
        <v>7726</v>
      </c>
      <c r="B1951" s="29" t="s">
        <v>3769</v>
      </c>
      <c r="C1951" s="32">
        <v>37</v>
      </c>
      <c r="E1951" s="57" t="s">
        <v>8175</v>
      </c>
      <c r="F1951" s="57" t="s">
        <v>8303</v>
      </c>
      <c r="G1951" s="29" t="s">
        <v>3679</v>
      </c>
      <c r="H1951" s="29"/>
      <c r="I1951" s="29"/>
      <c r="J1951" s="29">
        <f t="shared" si="151"/>
        <v>1</v>
      </c>
      <c r="K1951" s="42">
        <v>1937</v>
      </c>
      <c r="L1951" s="43" t="s">
        <v>3680</v>
      </c>
      <c r="M1951" s="44" t="s">
        <v>405</v>
      </c>
      <c r="N1951" s="44" t="s">
        <v>578</v>
      </c>
      <c r="O1951" s="44" t="str">
        <f t="shared" si="154"/>
        <v>PE-L1-2C4-08</v>
      </c>
      <c r="P1951" s="45">
        <v>0.20499999999999999</v>
      </c>
      <c r="Q1951" s="44">
        <v>220</v>
      </c>
      <c r="R1951" s="44" t="s">
        <v>509</v>
      </c>
      <c r="S1951" s="44">
        <v>50</v>
      </c>
      <c r="T1951" s="46" t="s">
        <v>8304</v>
      </c>
      <c r="U1951" s="46" t="s">
        <v>7726</v>
      </c>
      <c r="V1951" s="46" t="s">
        <v>8137</v>
      </c>
      <c r="W1951" s="46" t="s">
        <v>386</v>
      </c>
      <c r="X1951" s="47" t="s">
        <v>8738</v>
      </c>
      <c r="Y1951" s="47" t="s">
        <v>7727</v>
      </c>
      <c r="Z1951" s="46" t="s">
        <v>7275</v>
      </c>
      <c r="AA1951" s="46" t="s">
        <v>4003</v>
      </c>
      <c r="AB1951" s="47" t="s">
        <v>8738</v>
      </c>
      <c r="AC1951" s="48" t="s">
        <v>8423</v>
      </c>
      <c r="AD1951" s="206" t="s">
        <v>8904</v>
      </c>
      <c r="AE1951" s="192">
        <v>1</v>
      </c>
      <c r="AF1951" s="100" t="s">
        <v>8722</v>
      </c>
      <c r="AG1951" s="100" t="s">
        <v>8925</v>
      </c>
      <c r="AH1951" s="108">
        <v>12.5</v>
      </c>
    </row>
    <row r="1952" spans="1:34" s="32" customFormat="1" ht="69.95" hidden="1" customHeight="1">
      <c r="A1952" s="29" t="s">
        <v>7728</v>
      </c>
      <c r="B1952" s="29" t="s">
        <v>3769</v>
      </c>
      <c r="C1952" s="32">
        <v>38</v>
      </c>
      <c r="E1952" s="89" t="s">
        <v>8755</v>
      </c>
      <c r="F1952" s="89" t="s">
        <v>8755</v>
      </c>
      <c r="G1952" s="29" t="s">
        <v>3681</v>
      </c>
      <c r="H1952" s="29"/>
      <c r="I1952" s="29"/>
      <c r="J1952" s="29">
        <f t="shared" si="151"/>
        <v>1</v>
      </c>
      <c r="K1952" s="42">
        <v>1938</v>
      </c>
      <c r="L1952" s="43" t="s">
        <v>3682</v>
      </c>
      <c r="M1952" s="44" t="s">
        <v>405</v>
      </c>
      <c r="N1952" s="90" t="s">
        <v>7984</v>
      </c>
      <c r="O1952" s="90" t="str">
        <f t="shared" ref="O1952:O1963" si="155">F1952</f>
        <v>PE-L1-3C4-29</v>
      </c>
      <c r="P1952" s="45">
        <v>8.0000000000000002E-3</v>
      </c>
      <c r="Q1952" s="44">
        <v>220</v>
      </c>
      <c r="R1952" s="44" t="s">
        <v>509</v>
      </c>
      <c r="S1952" s="44">
        <v>60</v>
      </c>
      <c r="T1952" s="46" t="s">
        <v>8304</v>
      </c>
      <c r="U1952" s="46" t="s">
        <v>7728</v>
      </c>
      <c r="V1952" s="46" t="s">
        <v>8137</v>
      </c>
      <c r="W1952" s="46" t="s">
        <v>386</v>
      </c>
      <c r="X1952" s="87" t="s">
        <v>8760</v>
      </c>
      <c r="Y1952" s="47" t="s">
        <v>7729</v>
      </c>
      <c r="Z1952" s="46" t="s">
        <v>7279</v>
      </c>
      <c r="AA1952" s="46" t="s">
        <v>4003</v>
      </c>
      <c r="AB1952" s="87" t="s">
        <v>8754</v>
      </c>
      <c r="AC1952" s="48" t="s">
        <v>8424</v>
      </c>
      <c r="AD1952" s="206" t="s">
        <v>8750</v>
      </c>
      <c r="AE1952" s="192">
        <v>1</v>
      </c>
      <c r="AF1952" s="100" t="s">
        <v>8722</v>
      </c>
      <c r="AG1952" s="100" t="s">
        <v>8925</v>
      </c>
      <c r="AH1952" s="100">
        <v>13</v>
      </c>
    </row>
    <row r="1953" spans="1:34" s="32" customFormat="1" ht="69.95" hidden="1" customHeight="1">
      <c r="A1953" s="29" t="s">
        <v>7728</v>
      </c>
      <c r="B1953" s="29" t="s">
        <v>3769</v>
      </c>
      <c r="C1953" s="32">
        <v>39</v>
      </c>
      <c r="E1953" s="89" t="s">
        <v>8756</v>
      </c>
      <c r="F1953" s="89" t="s">
        <v>8756</v>
      </c>
      <c r="G1953" s="29" t="s">
        <v>3683</v>
      </c>
      <c r="H1953" s="29"/>
      <c r="I1953" s="29"/>
      <c r="J1953" s="29">
        <f t="shared" si="151"/>
        <v>1</v>
      </c>
      <c r="K1953" s="42">
        <v>1939</v>
      </c>
      <c r="L1953" s="43" t="s">
        <v>3684</v>
      </c>
      <c r="M1953" s="44" t="s">
        <v>405</v>
      </c>
      <c r="N1953" s="90" t="s">
        <v>8638</v>
      </c>
      <c r="O1953" s="90" t="str">
        <f t="shared" si="155"/>
        <v>PE-L1-5C4-03</v>
      </c>
      <c r="P1953" s="45">
        <v>0.13</v>
      </c>
      <c r="Q1953" s="44">
        <v>220</v>
      </c>
      <c r="R1953" s="44" t="s">
        <v>509</v>
      </c>
      <c r="S1953" s="44">
        <v>60</v>
      </c>
      <c r="T1953" s="46" t="s">
        <v>8304</v>
      </c>
      <c r="U1953" s="46" t="s">
        <v>7728</v>
      </c>
      <c r="V1953" s="46" t="s">
        <v>8137</v>
      </c>
      <c r="W1953" s="46" t="s">
        <v>386</v>
      </c>
      <c r="X1953" s="87" t="s">
        <v>8740</v>
      </c>
      <c r="Y1953" s="47" t="s">
        <v>7730</v>
      </c>
      <c r="Z1953" s="46" t="s">
        <v>7279</v>
      </c>
      <c r="AA1953" s="46" t="s">
        <v>4003</v>
      </c>
      <c r="AB1953" s="87" t="s">
        <v>8739</v>
      </c>
      <c r="AC1953" s="48" t="s">
        <v>8425</v>
      </c>
      <c r="AD1953" s="206" t="s">
        <v>8751</v>
      </c>
      <c r="AE1953" s="192">
        <v>1</v>
      </c>
      <c r="AF1953" s="100" t="s">
        <v>8722</v>
      </c>
      <c r="AG1953" s="100" t="s">
        <v>8925</v>
      </c>
      <c r="AH1953" s="108">
        <v>15</v>
      </c>
    </row>
    <row r="1954" spans="1:34" s="32" customFormat="1" ht="69.95" hidden="1" customHeight="1">
      <c r="A1954" s="29" t="s">
        <v>7731</v>
      </c>
      <c r="B1954" s="29" t="s">
        <v>3769</v>
      </c>
      <c r="C1954" s="32">
        <v>40</v>
      </c>
      <c r="E1954" s="89" t="s">
        <v>8755</v>
      </c>
      <c r="F1954" s="89" t="s">
        <v>8755</v>
      </c>
      <c r="G1954" s="29" t="s">
        <v>3685</v>
      </c>
      <c r="H1954" s="29"/>
      <c r="I1954" s="29"/>
      <c r="J1954" s="29">
        <f t="shared" si="151"/>
        <v>1</v>
      </c>
      <c r="K1954" s="42">
        <v>1940</v>
      </c>
      <c r="L1954" s="43" t="s">
        <v>3686</v>
      </c>
      <c r="M1954" s="44" t="s">
        <v>405</v>
      </c>
      <c r="N1954" s="90" t="s">
        <v>7984</v>
      </c>
      <c r="O1954" s="90" t="str">
        <f t="shared" si="155"/>
        <v>PE-L1-3C4-29</v>
      </c>
      <c r="P1954" s="45">
        <v>8.0000000000000002E-3</v>
      </c>
      <c r="Q1954" s="44">
        <v>220</v>
      </c>
      <c r="R1954" s="44" t="s">
        <v>509</v>
      </c>
      <c r="S1954" s="44">
        <v>60</v>
      </c>
      <c r="T1954" s="46" t="s">
        <v>8304</v>
      </c>
      <c r="U1954" s="46" t="s">
        <v>7731</v>
      </c>
      <c r="V1954" s="46" t="s">
        <v>8137</v>
      </c>
      <c r="W1954" s="46" t="s">
        <v>386</v>
      </c>
      <c r="X1954" s="87" t="s">
        <v>8760</v>
      </c>
      <c r="Y1954" s="47" t="s">
        <v>7732</v>
      </c>
      <c r="Z1954" s="46" t="s">
        <v>7285</v>
      </c>
      <c r="AA1954" s="46" t="s">
        <v>4003</v>
      </c>
      <c r="AB1954" s="87" t="s">
        <v>8754</v>
      </c>
      <c r="AC1954" s="48" t="s">
        <v>8426</v>
      </c>
      <c r="AD1954" s="206" t="s">
        <v>8758</v>
      </c>
      <c r="AE1954" s="192">
        <v>1</v>
      </c>
      <c r="AF1954" s="100" t="s">
        <v>8722</v>
      </c>
      <c r="AG1954" s="100" t="s">
        <v>8925</v>
      </c>
      <c r="AH1954" s="100">
        <v>13</v>
      </c>
    </row>
    <row r="1955" spans="1:34" s="32" customFormat="1" ht="69.95" hidden="1" customHeight="1">
      <c r="A1955" s="29" t="s">
        <v>7731</v>
      </c>
      <c r="B1955" s="29" t="s">
        <v>3769</v>
      </c>
      <c r="C1955" s="32">
        <v>41</v>
      </c>
      <c r="E1955" s="89" t="s">
        <v>8742</v>
      </c>
      <c r="F1955" s="89" t="s">
        <v>8742</v>
      </c>
      <c r="G1955" s="29" t="s">
        <v>3687</v>
      </c>
      <c r="H1955" s="29"/>
      <c r="I1955" s="29"/>
      <c r="J1955" s="29">
        <f t="shared" si="151"/>
        <v>1</v>
      </c>
      <c r="K1955" s="42">
        <v>1941</v>
      </c>
      <c r="L1955" s="43" t="s">
        <v>3688</v>
      </c>
      <c r="M1955" s="44" t="s">
        <v>405</v>
      </c>
      <c r="N1955" s="90" t="s">
        <v>8638</v>
      </c>
      <c r="O1955" s="90" t="str">
        <f t="shared" si="155"/>
        <v>PE-L1-5C4-03</v>
      </c>
      <c r="P1955" s="45">
        <v>0.13</v>
      </c>
      <c r="Q1955" s="44">
        <v>220</v>
      </c>
      <c r="R1955" s="44" t="s">
        <v>509</v>
      </c>
      <c r="S1955" s="44">
        <v>60</v>
      </c>
      <c r="T1955" s="46" t="s">
        <v>8304</v>
      </c>
      <c r="U1955" s="46" t="s">
        <v>7731</v>
      </c>
      <c r="V1955" s="46" t="s">
        <v>8137</v>
      </c>
      <c r="W1955" s="46" t="s">
        <v>386</v>
      </c>
      <c r="X1955" s="87" t="s">
        <v>8740</v>
      </c>
      <c r="Y1955" s="47" t="s">
        <v>7733</v>
      </c>
      <c r="Z1955" s="46" t="s">
        <v>7285</v>
      </c>
      <c r="AA1955" s="46" t="s">
        <v>4003</v>
      </c>
      <c r="AB1955" s="87" t="s">
        <v>8739</v>
      </c>
      <c r="AC1955" s="48" t="s">
        <v>8427</v>
      </c>
      <c r="AD1955" s="206" t="s">
        <v>9499</v>
      </c>
      <c r="AE1955" s="192">
        <v>1</v>
      </c>
      <c r="AF1955" s="100" t="s">
        <v>8722</v>
      </c>
      <c r="AG1955" s="100" t="s">
        <v>8925</v>
      </c>
      <c r="AH1955" s="108">
        <v>15</v>
      </c>
    </row>
    <row r="1956" spans="1:34" s="32" customFormat="1" ht="69.95" hidden="1" customHeight="1">
      <c r="A1956" s="29" t="s">
        <v>7734</v>
      </c>
      <c r="B1956" s="29" t="s">
        <v>3769</v>
      </c>
      <c r="C1956" s="32">
        <v>42</v>
      </c>
      <c r="E1956" s="89" t="s">
        <v>8755</v>
      </c>
      <c r="F1956" s="89" t="s">
        <v>8755</v>
      </c>
      <c r="G1956" s="29" t="s">
        <v>3689</v>
      </c>
      <c r="H1956" s="29"/>
      <c r="I1956" s="29"/>
      <c r="J1956" s="29">
        <f t="shared" si="151"/>
        <v>1</v>
      </c>
      <c r="K1956" s="42">
        <v>1942</v>
      </c>
      <c r="L1956" s="43" t="s">
        <v>3690</v>
      </c>
      <c r="M1956" s="44" t="s">
        <v>405</v>
      </c>
      <c r="N1956" s="90" t="s">
        <v>7984</v>
      </c>
      <c r="O1956" s="90" t="str">
        <f t="shared" si="155"/>
        <v>PE-L1-3C4-29</v>
      </c>
      <c r="P1956" s="45">
        <v>8.0000000000000002E-3</v>
      </c>
      <c r="Q1956" s="44">
        <v>220</v>
      </c>
      <c r="R1956" s="44" t="s">
        <v>509</v>
      </c>
      <c r="S1956" s="44">
        <v>60</v>
      </c>
      <c r="T1956" s="46" t="s">
        <v>8304</v>
      </c>
      <c r="U1956" s="46" t="s">
        <v>7734</v>
      </c>
      <c r="V1956" s="46" t="s">
        <v>8137</v>
      </c>
      <c r="W1956" s="46" t="s">
        <v>386</v>
      </c>
      <c r="X1956" s="87" t="s">
        <v>8760</v>
      </c>
      <c r="Y1956" s="47" t="s">
        <v>7735</v>
      </c>
      <c r="Z1956" s="46" t="s">
        <v>7291</v>
      </c>
      <c r="AA1956" s="46" t="s">
        <v>4003</v>
      </c>
      <c r="AB1956" s="87" t="s">
        <v>8754</v>
      </c>
      <c r="AC1956" s="48" t="s">
        <v>8428</v>
      </c>
      <c r="AD1956" s="206" t="s">
        <v>8763</v>
      </c>
      <c r="AE1956" s="192">
        <v>1</v>
      </c>
      <c r="AF1956" s="100" t="s">
        <v>8722</v>
      </c>
      <c r="AG1956" s="100" t="s">
        <v>8925</v>
      </c>
      <c r="AH1956" s="100">
        <v>13</v>
      </c>
    </row>
    <row r="1957" spans="1:34" s="32" customFormat="1" ht="69.95" hidden="1" customHeight="1">
      <c r="A1957" s="29" t="s">
        <v>7734</v>
      </c>
      <c r="B1957" s="29" t="s">
        <v>3769</v>
      </c>
      <c r="C1957" s="32">
        <v>43</v>
      </c>
      <c r="E1957" s="89" t="s">
        <v>8742</v>
      </c>
      <c r="F1957" s="89" t="s">
        <v>8742</v>
      </c>
      <c r="G1957" s="29" t="s">
        <v>3691</v>
      </c>
      <c r="H1957" s="29"/>
      <c r="I1957" s="29"/>
      <c r="J1957" s="29">
        <f t="shared" si="151"/>
        <v>1</v>
      </c>
      <c r="K1957" s="42">
        <v>1943</v>
      </c>
      <c r="L1957" s="43" t="s">
        <v>3692</v>
      </c>
      <c r="M1957" s="44" t="s">
        <v>405</v>
      </c>
      <c r="N1957" s="90" t="s">
        <v>8638</v>
      </c>
      <c r="O1957" s="90" t="str">
        <f t="shared" si="155"/>
        <v>PE-L1-5C4-03</v>
      </c>
      <c r="P1957" s="45">
        <v>0.13</v>
      </c>
      <c r="Q1957" s="44">
        <v>220</v>
      </c>
      <c r="R1957" s="44" t="s">
        <v>509</v>
      </c>
      <c r="S1957" s="44">
        <v>60</v>
      </c>
      <c r="T1957" s="46" t="s">
        <v>8304</v>
      </c>
      <c r="U1957" s="46" t="s">
        <v>7734</v>
      </c>
      <c r="V1957" s="46" t="s">
        <v>8137</v>
      </c>
      <c r="W1957" s="46" t="s">
        <v>386</v>
      </c>
      <c r="X1957" s="87" t="s">
        <v>8740</v>
      </c>
      <c r="Y1957" s="47" t="s">
        <v>7736</v>
      </c>
      <c r="Z1957" s="46" t="s">
        <v>7291</v>
      </c>
      <c r="AA1957" s="46" t="s">
        <v>4003</v>
      </c>
      <c r="AB1957" s="87" t="s">
        <v>8739</v>
      </c>
      <c r="AC1957" s="48" t="s">
        <v>8429</v>
      </c>
      <c r="AD1957" s="206" t="s">
        <v>8764</v>
      </c>
      <c r="AE1957" s="192">
        <v>1</v>
      </c>
      <c r="AF1957" s="100" t="s">
        <v>8722</v>
      </c>
      <c r="AG1957" s="100" t="s">
        <v>8925</v>
      </c>
      <c r="AH1957" s="108">
        <v>15</v>
      </c>
    </row>
    <row r="1958" spans="1:34" s="32" customFormat="1" ht="69.95" hidden="1" customHeight="1">
      <c r="A1958" s="29" t="s">
        <v>7737</v>
      </c>
      <c r="B1958" s="29" t="s">
        <v>3769</v>
      </c>
      <c r="C1958" s="69">
        <v>44</v>
      </c>
      <c r="D1958" s="69"/>
      <c r="E1958" s="89" t="s">
        <v>8755</v>
      </c>
      <c r="F1958" s="89" t="s">
        <v>8755</v>
      </c>
      <c r="G1958" s="29" t="s">
        <v>3693</v>
      </c>
      <c r="H1958" s="29"/>
      <c r="I1958" s="29"/>
      <c r="J1958" s="29">
        <f t="shared" si="151"/>
        <v>1</v>
      </c>
      <c r="K1958" s="42">
        <v>1944</v>
      </c>
      <c r="L1958" s="43" t="s">
        <v>3694</v>
      </c>
      <c r="M1958" s="44" t="s">
        <v>405</v>
      </c>
      <c r="N1958" s="90" t="s">
        <v>7984</v>
      </c>
      <c r="O1958" s="90" t="str">
        <f t="shared" si="155"/>
        <v>PE-L1-3C4-29</v>
      </c>
      <c r="P1958" s="45">
        <v>8.0000000000000002E-3</v>
      </c>
      <c r="Q1958" s="44">
        <v>220</v>
      </c>
      <c r="R1958" s="44" t="s">
        <v>509</v>
      </c>
      <c r="S1958" s="44">
        <v>60</v>
      </c>
      <c r="T1958" s="46" t="s">
        <v>8304</v>
      </c>
      <c r="U1958" s="46" t="s">
        <v>7737</v>
      </c>
      <c r="V1958" s="46" t="s">
        <v>8137</v>
      </c>
      <c r="W1958" s="46" t="s">
        <v>386</v>
      </c>
      <c r="X1958" s="87" t="s">
        <v>8760</v>
      </c>
      <c r="Y1958" s="47" t="s">
        <v>7738</v>
      </c>
      <c r="Z1958" s="46" t="s">
        <v>7297</v>
      </c>
      <c r="AA1958" s="46" t="s">
        <v>4003</v>
      </c>
      <c r="AB1958" s="87" t="s">
        <v>8754</v>
      </c>
      <c r="AC1958" s="48" t="s">
        <v>8430</v>
      </c>
      <c r="AD1958" s="206" t="s">
        <v>8771</v>
      </c>
      <c r="AE1958" s="192">
        <v>1</v>
      </c>
      <c r="AF1958" s="100" t="s">
        <v>8722</v>
      </c>
      <c r="AG1958" s="100" t="s">
        <v>8925</v>
      </c>
      <c r="AH1958" s="100">
        <v>13</v>
      </c>
    </row>
    <row r="1959" spans="1:34" s="32" customFormat="1" ht="69.95" hidden="1" customHeight="1">
      <c r="A1959" s="29" t="s">
        <v>7737</v>
      </c>
      <c r="B1959" s="29" t="s">
        <v>3769</v>
      </c>
      <c r="C1959" s="69">
        <v>45</v>
      </c>
      <c r="D1959" s="69"/>
      <c r="E1959" s="89" t="s">
        <v>8742</v>
      </c>
      <c r="F1959" s="89" t="s">
        <v>8742</v>
      </c>
      <c r="G1959" s="29" t="s">
        <v>3695</v>
      </c>
      <c r="H1959" s="29"/>
      <c r="I1959" s="29"/>
      <c r="J1959" s="29">
        <f t="shared" si="151"/>
        <v>1</v>
      </c>
      <c r="K1959" s="42">
        <v>1945</v>
      </c>
      <c r="L1959" s="43" t="s">
        <v>3696</v>
      </c>
      <c r="M1959" s="44" t="s">
        <v>405</v>
      </c>
      <c r="N1959" s="90" t="s">
        <v>8638</v>
      </c>
      <c r="O1959" s="90" t="str">
        <f t="shared" si="155"/>
        <v>PE-L1-5C4-03</v>
      </c>
      <c r="P1959" s="45">
        <v>0.13</v>
      </c>
      <c r="Q1959" s="44">
        <v>220</v>
      </c>
      <c r="R1959" s="44" t="s">
        <v>509</v>
      </c>
      <c r="S1959" s="44">
        <v>60</v>
      </c>
      <c r="T1959" s="46" t="s">
        <v>8304</v>
      </c>
      <c r="U1959" s="46" t="s">
        <v>7737</v>
      </c>
      <c r="V1959" s="46" t="s">
        <v>8137</v>
      </c>
      <c r="W1959" s="46" t="s">
        <v>386</v>
      </c>
      <c r="X1959" s="87" t="s">
        <v>8740</v>
      </c>
      <c r="Y1959" s="47" t="s">
        <v>7739</v>
      </c>
      <c r="Z1959" s="46" t="s">
        <v>7297</v>
      </c>
      <c r="AA1959" s="46" t="s">
        <v>4003</v>
      </c>
      <c r="AB1959" s="87" t="s">
        <v>8739</v>
      </c>
      <c r="AC1959" s="48" t="s">
        <v>8431</v>
      </c>
      <c r="AD1959" s="206" t="s">
        <v>8772</v>
      </c>
      <c r="AE1959" s="192">
        <v>1</v>
      </c>
      <c r="AF1959" s="100" t="s">
        <v>8722</v>
      </c>
      <c r="AG1959" s="100" t="s">
        <v>8925</v>
      </c>
      <c r="AH1959" s="108">
        <v>15</v>
      </c>
    </row>
    <row r="1960" spans="1:34" s="32" customFormat="1" ht="69.95" hidden="1" customHeight="1">
      <c r="A1960" s="29" t="s">
        <v>7740</v>
      </c>
      <c r="B1960" s="29" t="s">
        <v>3769</v>
      </c>
      <c r="C1960" s="69">
        <v>46</v>
      </c>
      <c r="D1960" s="69"/>
      <c r="E1960" s="89" t="s">
        <v>8783</v>
      </c>
      <c r="F1960" s="89" t="s">
        <v>8783</v>
      </c>
      <c r="G1960" s="29" t="s">
        <v>3697</v>
      </c>
      <c r="H1960" s="29"/>
      <c r="I1960" s="29"/>
      <c r="J1960" s="29">
        <f t="shared" si="151"/>
        <v>1</v>
      </c>
      <c r="K1960" s="42">
        <v>1946</v>
      </c>
      <c r="L1960" s="43" t="s">
        <v>3698</v>
      </c>
      <c r="M1960" s="44" t="s">
        <v>405</v>
      </c>
      <c r="N1960" s="90" t="s">
        <v>7984</v>
      </c>
      <c r="O1960" s="90" t="str">
        <f t="shared" si="155"/>
        <v>PE-L1-3C4-29</v>
      </c>
      <c r="P1960" s="45">
        <v>8.0000000000000002E-3</v>
      </c>
      <c r="Q1960" s="44">
        <v>220</v>
      </c>
      <c r="R1960" s="44" t="s">
        <v>509</v>
      </c>
      <c r="S1960" s="44">
        <v>60</v>
      </c>
      <c r="T1960" s="46" t="s">
        <v>8304</v>
      </c>
      <c r="U1960" s="46" t="s">
        <v>7740</v>
      </c>
      <c r="V1960" s="46" t="s">
        <v>8137</v>
      </c>
      <c r="W1960" s="46" t="s">
        <v>386</v>
      </c>
      <c r="X1960" s="87" t="s">
        <v>8760</v>
      </c>
      <c r="Y1960" s="47" t="s">
        <v>7741</v>
      </c>
      <c r="Z1960" s="46" t="s">
        <v>7303</v>
      </c>
      <c r="AA1960" s="46" t="s">
        <v>4003</v>
      </c>
      <c r="AB1960" s="87" t="s">
        <v>8754</v>
      </c>
      <c r="AC1960" s="48" t="s">
        <v>8432</v>
      </c>
      <c r="AD1960" s="206" t="s">
        <v>8779</v>
      </c>
      <c r="AE1960" s="192">
        <v>1</v>
      </c>
      <c r="AF1960" s="100" t="s">
        <v>8722</v>
      </c>
      <c r="AG1960" s="100" t="s">
        <v>8925</v>
      </c>
      <c r="AH1960" s="100">
        <v>13</v>
      </c>
    </row>
    <row r="1961" spans="1:34" s="32" customFormat="1" ht="69.95" hidden="1" customHeight="1">
      <c r="A1961" s="29" t="s">
        <v>7740</v>
      </c>
      <c r="B1961" s="29" t="s">
        <v>3769</v>
      </c>
      <c r="C1961" s="69">
        <v>47</v>
      </c>
      <c r="D1961" s="69"/>
      <c r="E1961" s="89" t="s">
        <v>8742</v>
      </c>
      <c r="F1961" s="89" t="s">
        <v>8742</v>
      </c>
      <c r="G1961" s="29" t="s">
        <v>3699</v>
      </c>
      <c r="H1961" s="29"/>
      <c r="I1961" s="29"/>
      <c r="J1961" s="29">
        <f t="shared" si="151"/>
        <v>1</v>
      </c>
      <c r="K1961" s="42">
        <v>1947</v>
      </c>
      <c r="L1961" s="43" t="s">
        <v>3700</v>
      </c>
      <c r="M1961" s="44" t="s">
        <v>405</v>
      </c>
      <c r="N1961" s="90" t="s">
        <v>8638</v>
      </c>
      <c r="O1961" s="90" t="str">
        <f t="shared" si="155"/>
        <v>PE-L1-5C4-03</v>
      </c>
      <c r="P1961" s="45">
        <v>0.13</v>
      </c>
      <c r="Q1961" s="44">
        <v>220</v>
      </c>
      <c r="R1961" s="44" t="s">
        <v>509</v>
      </c>
      <c r="S1961" s="44">
        <v>60</v>
      </c>
      <c r="T1961" s="46" t="s">
        <v>8304</v>
      </c>
      <c r="U1961" s="46" t="s">
        <v>7740</v>
      </c>
      <c r="V1961" s="46" t="s">
        <v>8137</v>
      </c>
      <c r="W1961" s="46" t="s">
        <v>386</v>
      </c>
      <c r="X1961" s="87" t="s">
        <v>8740</v>
      </c>
      <c r="Y1961" s="47" t="s">
        <v>7742</v>
      </c>
      <c r="Z1961" s="46" t="s">
        <v>7303</v>
      </c>
      <c r="AA1961" s="46" t="s">
        <v>4003</v>
      </c>
      <c r="AB1961" s="87" t="s">
        <v>8739</v>
      </c>
      <c r="AC1961" s="48" t="s">
        <v>8433</v>
      </c>
      <c r="AD1961" s="206" t="s">
        <v>8780</v>
      </c>
      <c r="AE1961" s="192">
        <v>1</v>
      </c>
      <c r="AF1961" s="100" t="s">
        <v>8722</v>
      </c>
      <c r="AG1961" s="100" t="s">
        <v>8925</v>
      </c>
      <c r="AH1961" s="108">
        <v>15</v>
      </c>
    </row>
    <row r="1962" spans="1:34" s="32" customFormat="1" ht="69.95" hidden="1" customHeight="1">
      <c r="A1962" s="29" t="s">
        <v>7743</v>
      </c>
      <c r="B1962" s="29" t="s">
        <v>3769</v>
      </c>
      <c r="C1962" s="69">
        <v>48</v>
      </c>
      <c r="D1962" s="69"/>
      <c r="E1962" s="89" t="s">
        <v>8755</v>
      </c>
      <c r="F1962" s="89" t="s">
        <v>8755</v>
      </c>
      <c r="G1962" s="29" t="s">
        <v>3701</v>
      </c>
      <c r="H1962" s="29"/>
      <c r="I1962" s="29"/>
      <c r="J1962" s="29">
        <f t="shared" si="151"/>
        <v>1</v>
      </c>
      <c r="K1962" s="42">
        <v>1948</v>
      </c>
      <c r="L1962" s="43" t="s">
        <v>3702</v>
      </c>
      <c r="M1962" s="44" t="s">
        <v>405</v>
      </c>
      <c r="N1962" s="90" t="s">
        <v>7984</v>
      </c>
      <c r="O1962" s="90" t="str">
        <f t="shared" si="155"/>
        <v>PE-L1-3C4-29</v>
      </c>
      <c r="P1962" s="45">
        <v>8.0000000000000002E-3</v>
      </c>
      <c r="Q1962" s="44">
        <v>220</v>
      </c>
      <c r="R1962" s="44" t="s">
        <v>509</v>
      </c>
      <c r="S1962" s="44">
        <v>60</v>
      </c>
      <c r="T1962" s="46" t="s">
        <v>8304</v>
      </c>
      <c r="U1962" s="46" t="s">
        <v>7743</v>
      </c>
      <c r="V1962" s="46" t="s">
        <v>8137</v>
      </c>
      <c r="W1962" s="46" t="s">
        <v>386</v>
      </c>
      <c r="X1962" s="87" t="s">
        <v>8760</v>
      </c>
      <c r="Y1962" s="47" t="s">
        <v>7744</v>
      </c>
      <c r="Z1962" s="46" t="s">
        <v>7309</v>
      </c>
      <c r="AA1962" s="46" t="s">
        <v>4003</v>
      </c>
      <c r="AB1962" s="87" t="s">
        <v>8754</v>
      </c>
      <c r="AC1962" s="48" t="s">
        <v>8434</v>
      </c>
      <c r="AD1962" s="206" t="s">
        <v>8788</v>
      </c>
      <c r="AE1962" s="202">
        <v>1</v>
      </c>
      <c r="AF1962" s="109" t="s">
        <v>8722</v>
      </c>
      <c r="AG1962" s="109" t="s">
        <v>8925</v>
      </c>
      <c r="AH1962" s="109">
        <v>13</v>
      </c>
    </row>
    <row r="1963" spans="1:34" s="32" customFormat="1" ht="69.95" hidden="1" customHeight="1">
      <c r="A1963" s="29" t="s">
        <v>7743</v>
      </c>
      <c r="B1963" s="29" t="s">
        <v>3769</v>
      </c>
      <c r="C1963" s="69">
        <v>49</v>
      </c>
      <c r="D1963" s="69"/>
      <c r="E1963" s="89" t="s">
        <v>8742</v>
      </c>
      <c r="F1963" s="89" t="s">
        <v>8742</v>
      </c>
      <c r="G1963" s="29" t="s">
        <v>3703</v>
      </c>
      <c r="H1963" s="29"/>
      <c r="I1963" s="29"/>
      <c r="J1963" s="29">
        <f t="shared" si="151"/>
        <v>1</v>
      </c>
      <c r="K1963" s="42">
        <v>1949</v>
      </c>
      <c r="L1963" s="43" t="s">
        <v>3704</v>
      </c>
      <c r="M1963" s="44" t="s">
        <v>405</v>
      </c>
      <c r="N1963" s="90" t="s">
        <v>8638</v>
      </c>
      <c r="O1963" s="90" t="str">
        <f t="shared" si="155"/>
        <v>PE-L1-5C4-03</v>
      </c>
      <c r="P1963" s="45">
        <v>0.13</v>
      </c>
      <c r="Q1963" s="44">
        <v>220</v>
      </c>
      <c r="R1963" s="44" t="s">
        <v>509</v>
      </c>
      <c r="S1963" s="44">
        <v>60</v>
      </c>
      <c r="T1963" s="46" t="s">
        <v>8304</v>
      </c>
      <c r="U1963" s="46" t="s">
        <v>7743</v>
      </c>
      <c r="V1963" s="46" t="s">
        <v>8137</v>
      </c>
      <c r="W1963" s="46" t="s">
        <v>386</v>
      </c>
      <c r="X1963" s="87" t="s">
        <v>8740</v>
      </c>
      <c r="Y1963" s="47" t="s">
        <v>7745</v>
      </c>
      <c r="Z1963" s="46" t="s">
        <v>7309</v>
      </c>
      <c r="AA1963" s="46" t="s">
        <v>4003</v>
      </c>
      <c r="AB1963" s="87" t="s">
        <v>8739</v>
      </c>
      <c r="AC1963" s="48" t="s">
        <v>8435</v>
      </c>
      <c r="AD1963" s="206" t="s">
        <v>8789</v>
      </c>
      <c r="AE1963" s="202">
        <v>1</v>
      </c>
      <c r="AF1963" s="109" t="s">
        <v>8722</v>
      </c>
      <c r="AG1963" s="109" t="s">
        <v>8925</v>
      </c>
      <c r="AH1963" s="111">
        <v>15</v>
      </c>
    </row>
    <row r="1964" spans="1:34" s="32" customFormat="1" ht="69.95" hidden="1" customHeight="1">
      <c r="A1964" s="29" t="s">
        <v>7746</v>
      </c>
      <c r="B1964" s="29" t="s">
        <v>3769</v>
      </c>
      <c r="C1964" s="69">
        <v>50</v>
      </c>
      <c r="D1964" s="69"/>
      <c r="E1964" s="57" t="s">
        <v>8297</v>
      </c>
      <c r="F1964" s="57" t="s">
        <v>8300</v>
      </c>
      <c r="G1964" s="29" t="s">
        <v>3705</v>
      </c>
      <c r="H1964" s="29"/>
      <c r="I1964" s="29"/>
      <c r="J1964" s="29">
        <f t="shared" si="151"/>
        <v>1</v>
      </c>
      <c r="K1964" s="42">
        <v>1950</v>
      </c>
      <c r="L1964" s="43" t="s">
        <v>3706</v>
      </c>
      <c r="M1964" s="44" t="s">
        <v>405</v>
      </c>
      <c r="N1964" s="44" t="s">
        <v>426</v>
      </c>
      <c r="O1964" s="44" t="str">
        <f t="shared" ref="O1964:O1967" si="156">F1964</f>
        <v>PE-L1-3C4-24</v>
      </c>
      <c r="P1964" s="45">
        <v>0.16</v>
      </c>
      <c r="Q1964" s="44">
        <v>230</v>
      </c>
      <c r="R1964" s="44" t="s">
        <v>49</v>
      </c>
      <c r="S1964" s="44">
        <v>50</v>
      </c>
      <c r="T1964" s="46" t="s">
        <v>7981</v>
      </c>
      <c r="U1964" s="46" t="s">
        <v>7746</v>
      </c>
      <c r="V1964" s="46" t="s">
        <v>8692</v>
      </c>
      <c r="W1964" s="46" t="s">
        <v>386</v>
      </c>
      <c r="X1964" s="172" t="s">
        <v>9167</v>
      </c>
      <c r="Y1964" s="47" t="s">
        <v>7747</v>
      </c>
      <c r="Z1964" s="46" t="s">
        <v>7315</v>
      </c>
      <c r="AA1964" s="46" t="s">
        <v>4003</v>
      </c>
      <c r="AB1964" s="172" t="s">
        <v>9167</v>
      </c>
      <c r="AC1964" s="48" t="s">
        <v>8436</v>
      </c>
      <c r="AD1964" s="206" t="s">
        <v>8793</v>
      </c>
      <c r="AE1964" s="192">
        <v>1</v>
      </c>
      <c r="AF1964" s="100" t="s">
        <v>8722</v>
      </c>
      <c r="AG1964" s="100" t="s">
        <v>8925</v>
      </c>
      <c r="AH1964" s="100">
        <v>13</v>
      </c>
    </row>
    <row r="1965" spans="1:34" s="32" customFormat="1" ht="69.95" hidden="1" customHeight="1">
      <c r="A1965" s="29" t="s">
        <v>7748</v>
      </c>
      <c r="B1965" s="29" t="s">
        <v>3769</v>
      </c>
      <c r="C1965" s="69">
        <v>51</v>
      </c>
      <c r="D1965" s="69"/>
      <c r="E1965" s="57" t="s">
        <v>8297</v>
      </c>
      <c r="F1965" s="57" t="s">
        <v>8300</v>
      </c>
      <c r="G1965" s="29" t="s">
        <v>3707</v>
      </c>
      <c r="H1965" s="29"/>
      <c r="I1965" s="29"/>
      <c r="J1965" s="29">
        <f t="shared" si="151"/>
        <v>1</v>
      </c>
      <c r="K1965" s="42">
        <v>1951</v>
      </c>
      <c r="L1965" s="43" t="s">
        <v>3708</v>
      </c>
      <c r="M1965" s="44" t="s">
        <v>405</v>
      </c>
      <c r="N1965" s="44" t="s">
        <v>426</v>
      </c>
      <c r="O1965" s="44" t="str">
        <f t="shared" si="156"/>
        <v>PE-L1-3C4-24</v>
      </c>
      <c r="P1965" s="45">
        <v>0.125</v>
      </c>
      <c r="Q1965" s="44">
        <v>230</v>
      </c>
      <c r="R1965" s="44" t="s">
        <v>49</v>
      </c>
      <c r="S1965" s="44">
        <v>60</v>
      </c>
      <c r="T1965" s="46" t="s">
        <v>7981</v>
      </c>
      <c r="U1965" s="46" t="s">
        <v>7748</v>
      </c>
      <c r="V1965" s="46" t="s">
        <v>8692</v>
      </c>
      <c r="W1965" s="46" t="s">
        <v>386</v>
      </c>
      <c r="X1965" s="172" t="s">
        <v>9167</v>
      </c>
      <c r="Y1965" s="47" t="s">
        <v>7749</v>
      </c>
      <c r="Z1965" s="46" t="s">
        <v>7319</v>
      </c>
      <c r="AA1965" s="46" t="s">
        <v>4003</v>
      </c>
      <c r="AB1965" s="172" t="s">
        <v>9167</v>
      </c>
      <c r="AC1965" s="48" t="s">
        <v>8437</v>
      </c>
      <c r="AD1965" s="206" t="s">
        <v>8796</v>
      </c>
      <c r="AE1965" s="192">
        <v>1</v>
      </c>
      <c r="AF1965" s="100" t="s">
        <v>8722</v>
      </c>
      <c r="AG1965" s="100" t="s">
        <v>8925</v>
      </c>
      <c r="AH1965" s="100">
        <v>13</v>
      </c>
    </row>
    <row r="1966" spans="1:34" s="32" customFormat="1" ht="69.95" hidden="1" customHeight="1">
      <c r="A1966" s="29" t="s">
        <v>7750</v>
      </c>
      <c r="B1966" s="29" t="s">
        <v>3769</v>
      </c>
      <c r="C1966" s="69">
        <v>54</v>
      </c>
      <c r="D1966" s="69"/>
      <c r="E1966" s="57" t="s">
        <v>68</v>
      </c>
      <c r="F1966" s="57" t="s">
        <v>68</v>
      </c>
      <c r="G1966" s="29" t="s">
        <v>3709</v>
      </c>
      <c r="H1966" s="29"/>
      <c r="I1966" s="29"/>
      <c r="J1966" s="29">
        <f t="shared" si="151"/>
        <v>1</v>
      </c>
      <c r="K1966" s="42">
        <v>1952</v>
      </c>
      <c r="L1966" s="43" t="s">
        <v>3710</v>
      </c>
      <c r="M1966" s="44" t="s">
        <v>405</v>
      </c>
      <c r="N1966" s="44" t="s">
        <v>543</v>
      </c>
      <c r="O1966" s="44" t="str">
        <f t="shared" si="156"/>
        <v>PE-L1-4C10-01</v>
      </c>
      <c r="P1966" s="45">
        <v>22</v>
      </c>
      <c r="Q1966" s="44">
        <v>400</v>
      </c>
      <c r="R1966" s="44" t="s">
        <v>412</v>
      </c>
      <c r="S1966" s="44">
        <v>55</v>
      </c>
      <c r="T1966" s="46" t="s">
        <v>8304</v>
      </c>
      <c r="U1966" s="46" t="s">
        <v>7750</v>
      </c>
      <c r="V1966" s="46" t="s">
        <v>8696</v>
      </c>
      <c r="W1966" s="46" t="s">
        <v>386</v>
      </c>
      <c r="X1966" s="47" t="s">
        <v>9305</v>
      </c>
      <c r="Y1966" s="47" t="s">
        <v>7751</v>
      </c>
      <c r="Z1966" s="46" t="s">
        <v>7323</v>
      </c>
      <c r="AA1966" s="46" t="s">
        <v>4003</v>
      </c>
      <c r="AB1966" s="47" t="s">
        <v>9305</v>
      </c>
      <c r="AC1966" s="48" t="s">
        <v>8438</v>
      </c>
      <c r="AD1966" s="30"/>
      <c r="AE1966" s="192">
        <v>1</v>
      </c>
      <c r="AF1966" s="100" t="s">
        <v>8824</v>
      </c>
      <c r="AG1966" s="100" t="s">
        <v>8931</v>
      </c>
      <c r="AH1966" s="100">
        <v>18</v>
      </c>
    </row>
    <row r="1967" spans="1:34" s="32" customFormat="1" ht="69.95" hidden="1" customHeight="1">
      <c r="A1967" s="29" t="s">
        <v>7752</v>
      </c>
      <c r="B1967" s="29" t="s">
        <v>3769</v>
      </c>
      <c r="C1967" s="69">
        <v>55</v>
      </c>
      <c r="D1967" s="69"/>
      <c r="E1967" s="57" t="s">
        <v>68</v>
      </c>
      <c r="F1967" s="57" t="s">
        <v>68</v>
      </c>
      <c r="G1967" s="29" t="s">
        <v>3711</v>
      </c>
      <c r="H1967" s="29"/>
      <c r="I1967" s="29"/>
      <c r="J1967" s="29">
        <f t="shared" si="151"/>
        <v>1</v>
      </c>
      <c r="K1967" s="42">
        <v>1953</v>
      </c>
      <c r="L1967" s="43" t="s">
        <v>3712</v>
      </c>
      <c r="M1967" s="44" t="s">
        <v>405</v>
      </c>
      <c r="N1967" s="44" t="s">
        <v>543</v>
      </c>
      <c r="O1967" s="44" t="str">
        <f t="shared" si="156"/>
        <v>PE-L1-4C10-01</v>
      </c>
      <c r="P1967" s="45">
        <v>22</v>
      </c>
      <c r="Q1967" s="44">
        <v>400</v>
      </c>
      <c r="R1967" s="44" t="s">
        <v>49</v>
      </c>
      <c r="S1967" s="44">
        <v>55</v>
      </c>
      <c r="T1967" s="46" t="s">
        <v>7981</v>
      </c>
      <c r="U1967" s="46" t="s">
        <v>7752</v>
      </c>
      <c r="V1967" s="46" t="s">
        <v>8692</v>
      </c>
      <c r="W1967" s="46" t="s">
        <v>386</v>
      </c>
      <c r="X1967" s="47" t="s">
        <v>9305</v>
      </c>
      <c r="Y1967" s="47" t="s">
        <v>7753</v>
      </c>
      <c r="Z1967" s="46" t="s">
        <v>7327</v>
      </c>
      <c r="AA1967" s="46" t="s">
        <v>4003</v>
      </c>
      <c r="AB1967" s="47" t="s">
        <v>9305</v>
      </c>
      <c r="AC1967" s="48" t="s">
        <v>8439</v>
      </c>
      <c r="AD1967" s="30"/>
      <c r="AE1967" s="192">
        <v>1</v>
      </c>
      <c r="AF1967" s="100" t="s">
        <v>8824</v>
      </c>
      <c r="AG1967" s="100" t="s">
        <v>8931</v>
      </c>
      <c r="AH1967" s="100">
        <v>18</v>
      </c>
    </row>
    <row r="1968" spans="1:34" s="32" customFormat="1" ht="69.95" hidden="1" customHeight="1">
      <c r="A1968" s="29" t="s">
        <v>7754</v>
      </c>
      <c r="B1968" s="29" t="s">
        <v>3769</v>
      </c>
      <c r="C1968" s="32">
        <v>56</v>
      </c>
      <c r="E1968" s="89" t="s">
        <v>8806</v>
      </c>
      <c r="F1968" s="89" t="s">
        <v>8806</v>
      </c>
      <c r="G1968" s="29" t="s">
        <v>3713</v>
      </c>
      <c r="H1968" s="29"/>
      <c r="I1968" s="29"/>
      <c r="J1968" s="29">
        <f t="shared" si="151"/>
        <v>1</v>
      </c>
      <c r="K1968" s="42">
        <v>1954</v>
      </c>
      <c r="L1968" s="43" t="s">
        <v>3714</v>
      </c>
      <c r="M1968" s="44" t="s">
        <v>405</v>
      </c>
      <c r="N1968" s="90" t="s">
        <v>7984</v>
      </c>
      <c r="O1968" s="90" t="str">
        <f>F1968</f>
        <v>PE-L1-3C4-29</v>
      </c>
      <c r="P1968" s="45">
        <v>0.1</v>
      </c>
      <c r="Q1968" s="44">
        <v>220</v>
      </c>
      <c r="R1968" s="44" t="s">
        <v>509</v>
      </c>
      <c r="S1968" s="44">
        <v>40</v>
      </c>
      <c r="T1968" s="46" t="s">
        <v>7981</v>
      </c>
      <c r="U1968" s="46" t="s">
        <v>7754</v>
      </c>
      <c r="V1968" s="46" t="s">
        <v>8137</v>
      </c>
      <c r="W1968" s="46" t="s">
        <v>386</v>
      </c>
      <c r="X1968" s="87" t="s">
        <v>8800</v>
      </c>
      <c r="Y1968" s="47" t="s">
        <v>7755</v>
      </c>
      <c r="Z1968" s="46" t="s">
        <v>8032</v>
      </c>
      <c r="AA1968" s="46" t="s">
        <v>4003</v>
      </c>
      <c r="AB1968" s="87" t="s">
        <v>8754</v>
      </c>
      <c r="AC1968" s="48" t="s">
        <v>8440</v>
      </c>
      <c r="AD1968" s="30"/>
      <c r="AE1968" s="192">
        <v>1</v>
      </c>
      <c r="AF1968" s="100" t="s">
        <v>8722</v>
      </c>
      <c r="AG1968" s="100" t="s">
        <v>8925</v>
      </c>
      <c r="AH1968" s="100">
        <v>13</v>
      </c>
    </row>
    <row r="1969" spans="1:42" s="32" customFormat="1" ht="69.95" hidden="1" customHeight="1">
      <c r="A1969" s="29" t="s">
        <v>7754</v>
      </c>
      <c r="B1969" s="29" t="s">
        <v>3769</v>
      </c>
      <c r="C1969" s="32">
        <v>57</v>
      </c>
      <c r="E1969" s="89" t="s">
        <v>8807</v>
      </c>
      <c r="F1969" s="89" t="s">
        <v>8807</v>
      </c>
      <c r="G1969" s="29" t="s">
        <v>3715</v>
      </c>
      <c r="H1969" s="29"/>
      <c r="I1969" s="29"/>
      <c r="J1969" s="29">
        <f t="shared" si="151"/>
        <v>1</v>
      </c>
      <c r="K1969" s="42">
        <v>1955</v>
      </c>
      <c r="L1969" s="43" t="s">
        <v>3716</v>
      </c>
      <c r="M1969" s="44" t="s">
        <v>405</v>
      </c>
      <c r="N1969" s="90" t="s">
        <v>8628</v>
      </c>
      <c r="O1969" s="90" t="str">
        <f>F1969</f>
        <v>PE-L1-4C6-03</v>
      </c>
      <c r="P1969" s="45">
        <v>3.7</v>
      </c>
      <c r="Q1969" s="44">
        <v>220</v>
      </c>
      <c r="R1969" s="44" t="s">
        <v>509</v>
      </c>
      <c r="S1969" s="44">
        <v>40</v>
      </c>
      <c r="T1969" s="46" t="s">
        <v>7981</v>
      </c>
      <c r="U1969" s="46" t="s">
        <v>7754</v>
      </c>
      <c r="V1969" s="46" t="s">
        <v>8137</v>
      </c>
      <c r="W1969" s="46" t="s">
        <v>386</v>
      </c>
      <c r="X1969" s="87" t="s">
        <v>8801</v>
      </c>
      <c r="Y1969" s="47" t="s">
        <v>7756</v>
      </c>
      <c r="Z1969" s="46" t="s">
        <v>8308</v>
      </c>
      <c r="AA1969" s="46" t="s">
        <v>4003</v>
      </c>
      <c r="AB1969" s="87" t="s">
        <v>8798</v>
      </c>
      <c r="AC1969" s="48" t="s">
        <v>8441</v>
      </c>
      <c r="AD1969" s="30"/>
      <c r="AE1969" s="192">
        <v>1</v>
      </c>
      <c r="AF1969" s="100" t="s">
        <v>8722</v>
      </c>
      <c r="AG1969" s="100" t="s">
        <v>8925</v>
      </c>
      <c r="AH1969" s="108">
        <v>15.5</v>
      </c>
    </row>
    <row r="1970" spans="1:42" s="32" customFormat="1" ht="69.95" hidden="1" customHeight="1">
      <c r="A1970" s="29" t="s">
        <v>7754</v>
      </c>
      <c r="B1970" s="29" t="s">
        <v>3769</v>
      </c>
      <c r="C1970" s="32">
        <v>58</v>
      </c>
      <c r="E1970" s="89" t="s">
        <v>8805</v>
      </c>
      <c r="F1970" s="89" t="s">
        <v>8805</v>
      </c>
      <c r="G1970" s="29" t="s">
        <v>3717</v>
      </c>
      <c r="H1970" s="29"/>
      <c r="I1970" s="29"/>
      <c r="J1970" s="29">
        <f t="shared" si="151"/>
        <v>1</v>
      </c>
      <c r="K1970" s="42">
        <v>1956</v>
      </c>
      <c r="L1970" s="43" t="s">
        <v>3718</v>
      </c>
      <c r="M1970" s="44" t="s">
        <v>405</v>
      </c>
      <c r="N1970" s="90" t="s">
        <v>8803</v>
      </c>
      <c r="O1970" s="90" t="str">
        <f>F1970</f>
        <v>PE-L1-3C95/50-01</v>
      </c>
      <c r="P1970" s="45">
        <v>3.7</v>
      </c>
      <c r="Q1970" s="44">
        <v>220</v>
      </c>
      <c r="R1970" s="44" t="s">
        <v>509</v>
      </c>
      <c r="S1970" s="44">
        <v>40</v>
      </c>
      <c r="T1970" s="46" t="s">
        <v>7981</v>
      </c>
      <c r="U1970" s="46" t="s">
        <v>7754</v>
      </c>
      <c r="V1970" s="46" t="s">
        <v>8137</v>
      </c>
      <c r="W1970" s="46" t="s">
        <v>386</v>
      </c>
      <c r="X1970" s="87" t="s">
        <v>8802</v>
      </c>
      <c r="Y1970" s="47" t="s">
        <v>7757</v>
      </c>
      <c r="Z1970" s="46" t="s">
        <v>7331</v>
      </c>
      <c r="AA1970" s="46" t="s">
        <v>4003</v>
      </c>
      <c r="AB1970" s="87" t="s">
        <v>8799</v>
      </c>
      <c r="AC1970" s="48" t="s">
        <v>8442</v>
      </c>
      <c r="AD1970" s="30"/>
      <c r="AE1970" s="192">
        <v>1</v>
      </c>
      <c r="AF1970" s="100" t="s">
        <v>8823</v>
      </c>
      <c r="AG1970" s="100" t="s">
        <v>8936</v>
      </c>
      <c r="AH1970" s="108">
        <v>34.5</v>
      </c>
    </row>
    <row r="1971" spans="1:42" s="32" customFormat="1" ht="69.95" hidden="1" customHeight="1">
      <c r="A1971" s="29" t="s">
        <v>7758</v>
      </c>
      <c r="B1971" s="29" t="s">
        <v>3769</v>
      </c>
      <c r="C1971" s="32">
        <v>59</v>
      </c>
      <c r="E1971" s="57" t="s">
        <v>8310</v>
      </c>
      <c r="F1971" s="57" t="s">
        <v>8310</v>
      </c>
      <c r="G1971" s="29" t="s">
        <v>3719</v>
      </c>
      <c r="H1971" s="29"/>
      <c r="I1971" s="29"/>
      <c r="J1971" s="29">
        <f t="shared" si="151"/>
        <v>1</v>
      </c>
      <c r="K1971" s="42">
        <v>1957</v>
      </c>
      <c r="L1971" s="43" t="s">
        <v>3720</v>
      </c>
      <c r="M1971" s="44" t="s">
        <v>405</v>
      </c>
      <c r="N1971" s="44" t="s">
        <v>1091</v>
      </c>
      <c r="O1971" s="44" t="str">
        <f t="shared" ref="O1971:O1980" si="157">F1971</f>
        <v>PE-L1-4C35/25-02</v>
      </c>
      <c r="P1971" s="45">
        <v>50.6</v>
      </c>
      <c r="Q1971" s="44">
        <v>400</v>
      </c>
      <c r="R1971" s="44" t="s">
        <v>412</v>
      </c>
      <c r="S1971" s="44">
        <v>60</v>
      </c>
      <c r="T1971" s="46" t="s">
        <v>7981</v>
      </c>
      <c r="U1971" s="46" t="s">
        <v>7758</v>
      </c>
      <c r="V1971" s="46" t="s">
        <v>8696</v>
      </c>
      <c r="W1971" s="46" t="s">
        <v>386</v>
      </c>
      <c r="X1971" s="47" t="s">
        <v>8721</v>
      </c>
      <c r="Y1971" s="47" t="s">
        <v>7759</v>
      </c>
      <c r="Z1971" s="46" t="s">
        <v>7339</v>
      </c>
      <c r="AA1971" s="46" t="s">
        <v>4003</v>
      </c>
      <c r="AB1971" s="47" t="s">
        <v>8721</v>
      </c>
      <c r="AC1971" s="48" t="s">
        <v>8443</v>
      </c>
      <c r="AD1971" s="30"/>
      <c r="AE1971" s="192">
        <v>1</v>
      </c>
      <c r="AF1971" s="100" t="s">
        <v>8822</v>
      </c>
      <c r="AG1971" s="100" t="s">
        <v>8932</v>
      </c>
      <c r="AH1971" s="108">
        <v>25.5</v>
      </c>
    </row>
    <row r="1972" spans="1:42" s="32" customFormat="1" ht="69.95" hidden="1" customHeight="1">
      <c r="A1972" s="29" t="s">
        <v>7760</v>
      </c>
      <c r="B1972" s="29" t="s">
        <v>3769</v>
      </c>
      <c r="C1972" s="32">
        <v>60</v>
      </c>
      <c r="E1972" s="57" t="s">
        <v>8310</v>
      </c>
      <c r="F1972" s="57" t="s">
        <v>8310</v>
      </c>
      <c r="G1972" s="29" t="s">
        <v>3721</v>
      </c>
      <c r="H1972" s="29"/>
      <c r="I1972" s="29"/>
      <c r="J1972" s="29">
        <f t="shared" si="151"/>
        <v>1</v>
      </c>
      <c r="K1972" s="42">
        <v>1958</v>
      </c>
      <c r="L1972" s="43" t="s">
        <v>3722</v>
      </c>
      <c r="M1972" s="44" t="s">
        <v>405</v>
      </c>
      <c r="N1972" s="44" t="s">
        <v>1091</v>
      </c>
      <c r="O1972" s="44" t="str">
        <f t="shared" si="157"/>
        <v>PE-L1-4C35/25-02</v>
      </c>
      <c r="P1972" s="45">
        <v>50.6</v>
      </c>
      <c r="Q1972" s="44">
        <v>400</v>
      </c>
      <c r="R1972" s="44" t="s">
        <v>49</v>
      </c>
      <c r="S1972" s="44">
        <v>40</v>
      </c>
      <c r="T1972" s="46" t="s">
        <v>7981</v>
      </c>
      <c r="U1972" s="46" t="s">
        <v>7760</v>
      </c>
      <c r="V1972" s="46" t="s">
        <v>8692</v>
      </c>
      <c r="W1972" s="46" t="s">
        <v>386</v>
      </c>
      <c r="X1972" s="47" t="s">
        <v>8721</v>
      </c>
      <c r="Y1972" s="47" t="s">
        <v>7761</v>
      </c>
      <c r="Z1972" s="46" t="s">
        <v>7343</v>
      </c>
      <c r="AA1972" s="46" t="s">
        <v>4003</v>
      </c>
      <c r="AB1972" s="47" t="s">
        <v>8721</v>
      </c>
      <c r="AC1972" s="48" t="s">
        <v>8444</v>
      </c>
      <c r="AD1972" s="30"/>
      <c r="AE1972" s="192">
        <v>1</v>
      </c>
      <c r="AF1972" s="100" t="s">
        <v>8822</v>
      </c>
      <c r="AG1972" s="100" t="s">
        <v>8932</v>
      </c>
      <c r="AH1972" s="108">
        <v>25.5</v>
      </c>
    </row>
    <row r="1973" spans="1:42" s="32" customFormat="1" ht="69.95" hidden="1" customHeight="1">
      <c r="A1973" s="29" t="s">
        <v>7762</v>
      </c>
      <c r="B1973" s="29" t="s">
        <v>3769</v>
      </c>
      <c r="C1973" s="32">
        <v>61</v>
      </c>
      <c r="E1973" s="57" t="s">
        <v>8284</v>
      </c>
      <c r="F1973" s="57" t="s">
        <v>8284</v>
      </c>
      <c r="G1973" s="29" t="s">
        <v>3723</v>
      </c>
      <c r="H1973" s="29"/>
      <c r="I1973" s="29"/>
      <c r="J1973" s="29">
        <f t="shared" si="151"/>
        <v>1</v>
      </c>
      <c r="K1973" s="42">
        <v>1959</v>
      </c>
      <c r="L1973" s="43" t="s">
        <v>3724</v>
      </c>
      <c r="M1973" s="44" t="s">
        <v>405</v>
      </c>
      <c r="N1973" s="44" t="s">
        <v>536</v>
      </c>
      <c r="O1973" s="44" t="str">
        <f t="shared" si="157"/>
        <v>PE-L1-4C4-23</v>
      </c>
      <c r="P1973" s="45">
        <v>2.2000000000000002</v>
      </c>
      <c r="Q1973" s="44">
        <v>400</v>
      </c>
      <c r="R1973" s="44" t="s">
        <v>412</v>
      </c>
      <c r="S1973" s="44">
        <v>60</v>
      </c>
      <c r="T1973" s="46" t="s">
        <v>7981</v>
      </c>
      <c r="U1973" s="46" t="s">
        <v>7762</v>
      </c>
      <c r="V1973" s="46" t="s">
        <v>8696</v>
      </c>
      <c r="W1973" s="46" t="s">
        <v>386</v>
      </c>
      <c r="X1973" s="47" t="s">
        <v>8721</v>
      </c>
      <c r="Y1973" s="47" t="s">
        <v>7763</v>
      </c>
      <c r="Z1973" s="46" t="s">
        <v>7347</v>
      </c>
      <c r="AA1973" s="46" t="s">
        <v>4003</v>
      </c>
      <c r="AB1973" s="47" t="s">
        <v>8721</v>
      </c>
      <c r="AC1973" s="48" t="s">
        <v>8445</v>
      </c>
      <c r="AD1973" s="30"/>
      <c r="AE1973" s="192">
        <v>1</v>
      </c>
      <c r="AF1973" s="100" t="s">
        <v>8722</v>
      </c>
      <c r="AG1973" s="100" t="s">
        <v>8925</v>
      </c>
      <c r="AH1973" s="100">
        <v>14</v>
      </c>
    </row>
    <row r="1974" spans="1:42" s="32" customFormat="1" ht="69.95" hidden="1" customHeight="1">
      <c r="A1974" s="29" t="s">
        <v>7764</v>
      </c>
      <c r="B1974" s="29" t="s">
        <v>3769</v>
      </c>
      <c r="C1974" s="32">
        <v>62</v>
      </c>
      <c r="E1974" s="57" t="s">
        <v>8282</v>
      </c>
      <c r="F1974" s="57" t="s">
        <v>8282</v>
      </c>
      <c r="G1974" s="29" t="s">
        <v>3725</v>
      </c>
      <c r="H1974" s="29"/>
      <c r="I1974" s="29"/>
      <c r="J1974" s="29">
        <f t="shared" si="151"/>
        <v>1</v>
      </c>
      <c r="K1974" s="42">
        <v>1960</v>
      </c>
      <c r="L1974" s="43" t="s">
        <v>3726</v>
      </c>
      <c r="M1974" s="44" t="s">
        <v>405</v>
      </c>
      <c r="N1974" s="44" t="s">
        <v>536</v>
      </c>
      <c r="O1974" s="44" t="str">
        <f t="shared" si="157"/>
        <v>PE-L1-4C4-23</v>
      </c>
      <c r="P1974" s="45">
        <v>2.2000000000000002</v>
      </c>
      <c r="Q1974" s="44">
        <v>400</v>
      </c>
      <c r="R1974" s="44" t="s">
        <v>49</v>
      </c>
      <c r="S1974" s="44">
        <v>50</v>
      </c>
      <c r="T1974" s="46" t="s">
        <v>7981</v>
      </c>
      <c r="U1974" s="46" t="s">
        <v>7764</v>
      </c>
      <c r="V1974" s="46" t="s">
        <v>8692</v>
      </c>
      <c r="W1974" s="46" t="s">
        <v>386</v>
      </c>
      <c r="X1974" s="47" t="s">
        <v>8721</v>
      </c>
      <c r="Y1974" s="47" t="s">
        <v>7765</v>
      </c>
      <c r="Z1974" s="46" t="s">
        <v>7351</v>
      </c>
      <c r="AA1974" s="46" t="s">
        <v>4003</v>
      </c>
      <c r="AB1974" s="47" t="s">
        <v>8721</v>
      </c>
      <c r="AC1974" s="48" t="s">
        <v>8446</v>
      </c>
      <c r="AD1974" s="30"/>
      <c r="AE1974" s="192">
        <v>1</v>
      </c>
      <c r="AF1974" s="100" t="s">
        <v>8722</v>
      </c>
      <c r="AG1974" s="100" t="s">
        <v>8925</v>
      </c>
      <c r="AH1974" s="100">
        <v>14</v>
      </c>
    </row>
    <row r="1975" spans="1:42" s="32" customFormat="1" ht="69.95" hidden="1" customHeight="1">
      <c r="A1975" s="29" t="s">
        <v>7766</v>
      </c>
      <c r="B1975" s="29" t="s">
        <v>3769</v>
      </c>
      <c r="C1975" s="69">
        <v>63</v>
      </c>
      <c r="D1975" s="69"/>
      <c r="E1975" s="57" t="s">
        <v>8284</v>
      </c>
      <c r="F1975" s="57" t="s">
        <v>8313</v>
      </c>
      <c r="G1975" s="29" t="s">
        <v>3727</v>
      </c>
      <c r="H1975" s="29"/>
      <c r="I1975" s="29"/>
      <c r="J1975" s="29">
        <f t="shared" si="151"/>
        <v>1</v>
      </c>
      <c r="K1975" s="42">
        <v>1961</v>
      </c>
      <c r="L1975" s="43" t="s">
        <v>3728</v>
      </c>
      <c r="M1975" s="44" t="s">
        <v>405</v>
      </c>
      <c r="N1975" s="44" t="s">
        <v>8090</v>
      </c>
      <c r="O1975" s="44" t="str">
        <f t="shared" si="157"/>
        <v>PE-L1-4C4-23</v>
      </c>
      <c r="P1975" s="45">
        <v>1</v>
      </c>
      <c r="Q1975" s="44">
        <v>400</v>
      </c>
      <c r="R1975" s="44" t="s">
        <v>49</v>
      </c>
      <c r="S1975" s="44">
        <v>50</v>
      </c>
      <c r="T1975" s="46" t="s">
        <v>7981</v>
      </c>
      <c r="U1975" s="46" t="s">
        <v>7766</v>
      </c>
      <c r="V1975" s="46" t="s">
        <v>8692</v>
      </c>
      <c r="W1975" s="46" t="s">
        <v>386</v>
      </c>
      <c r="X1975" s="47" t="s">
        <v>8721</v>
      </c>
      <c r="Y1975" s="47" t="s">
        <v>7767</v>
      </c>
      <c r="Z1975" s="46" t="s">
        <v>7355</v>
      </c>
      <c r="AA1975" s="46" t="s">
        <v>4003</v>
      </c>
      <c r="AB1975" s="47" t="s">
        <v>8721</v>
      </c>
      <c r="AC1975" s="48" t="s">
        <v>8447</v>
      </c>
      <c r="AD1975" s="30"/>
      <c r="AE1975" s="192">
        <v>1</v>
      </c>
      <c r="AF1975" s="100" t="s">
        <v>8722</v>
      </c>
      <c r="AG1975" s="100" t="s">
        <v>8925</v>
      </c>
      <c r="AH1975" s="100">
        <v>14</v>
      </c>
    </row>
    <row r="1976" spans="1:42" s="32" customFormat="1" ht="69.95" hidden="1" customHeight="1">
      <c r="A1976" s="29" t="s">
        <v>7768</v>
      </c>
      <c r="B1976" s="29" t="s">
        <v>3769</v>
      </c>
      <c r="C1976" s="69">
        <v>64</v>
      </c>
      <c r="D1976" s="69"/>
      <c r="E1976" s="57" t="s">
        <v>8284</v>
      </c>
      <c r="F1976" s="57" t="s">
        <v>8313</v>
      </c>
      <c r="G1976" s="29" t="s">
        <v>3729</v>
      </c>
      <c r="H1976" s="29"/>
      <c r="I1976" s="29"/>
      <c r="J1976" s="29">
        <f t="shared" si="151"/>
        <v>1</v>
      </c>
      <c r="K1976" s="187">
        <v>1962</v>
      </c>
      <c r="L1976" s="43" t="s">
        <v>9548</v>
      </c>
      <c r="M1976" s="44" t="s">
        <v>405</v>
      </c>
      <c r="N1976" s="44" t="s">
        <v>8090</v>
      </c>
      <c r="O1976" s="44" t="str">
        <f t="shared" si="157"/>
        <v>PE-L1-4C4-23</v>
      </c>
      <c r="P1976" s="45">
        <v>1</v>
      </c>
      <c r="Q1976" s="44">
        <v>400</v>
      </c>
      <c r="R1976" s="44" t="s">
        <v>49</v>
      </c>
      <c r="S1976" s="44">
        <v>50</v>
      </c>
      <c r="T1976" s="46" t="s">
        <v>7981</v>
      </c>
      <c r="U1976" s="46" t="s">
        <v>7768</v>
      </c>
      <c r="V1976" s="46" t="s">
        <v>8692</v>
      </c>
      <c r="W1976" s="46" t="s">
        <v>386</v>
      </c>
      <c r="X1976" s="47" t="s">
        <v>8721</v>
      </c>
      <c r="Y1976" s="47" t="s">
        <v>7769</v>
      </c>
      <c r="Z1976" s="46" t="s">
        <v>7359</v>
      </c>
      <c r="AA1976" s="46" t="s">
        <v>4003</v>
      </c>
      <c r="AB1976" s="47" t="s">
        <v>8721</v>
      </c>
      <c r="AC1976" s="186" t="s">
        <v>9549</v>
      </c>
      <c r="AD1976" s="30"/>
      <c r="AE1976" s="192">
        <v>1</v>
      </c>
      <c r="AF1976" s="100" t="s">
        <v>8722</v>
      </c>
      <c r="AG1976" s="100" t="s">
        <v>8925</v>
      </c>
      <c r="AH1976" s="100">
        <v>14</v>
      </c>
    </row>
    <row r="1977" spans="1:42" s="32" customFormat="1" ht="69.95" hidden="1" customHeight="1">
      <c r="A1977" s="29" t="s">
        <v>7770</v>
      </c>
      <c r="B1977" s="29" t="s">
        <v>3769</v>
      </c>
      <c r="C1977" s="32">
        <v>65</v>
      </c>
      <c r="E1977" s="57" t="s">
        <v>8284</v>
      </c>
      <c r="F1977" s="57" t="s">
        <v>8313</v>
      </c>
      <c r="G1977" s="29" t="s">
        <v>3730</v>
      </c>
      <c r="H1977" s="29"/>
      <c r="I1977" s="29"/>
      <c r="J1977" s="29">
        <f t="shared" si="151"/>
        <v>1</v>
      </c>
      <c r="K1977" s="42">
        <v>1963</v>
      </c>
      <c r="L1977" s="43" t="s">
        <v>3731</v>
      </c>
      <c r="M1977" s="44" t="s">
        <v>405</v>
      </c>
      <c r="N1977" s="44" t="s">
        <v>536</v>
      </c>
      <c r="O1977" s="44" t="str">
        <f t="shared" si="157"/>
        <v>PE-L1-4C4-23</v>
      </c>
      <c r="P1977" s="45">
        <v>7.5</v>
      </c>
      <c r="Q1977" s="44">
        <v>400</v>
      </c>
      <c r="R1977" s="44" t="s">
        <v>49</v>
      </c>
      <c r="S1977" s="44">
        <v>60</v>
      </c>
      <c r="T1977" s="46" t="s">
        <v>7981</v>
      </c>
      <c r="U1977" s="46" t="s">
        <v>7770</v>
      </c>
      <c r="V1977" s="46" t="s">
        <v>8692</v>
      </c>
      <c r="W1977" s="46" t="s">
        <v>386</v>
      </c>
      <c r="X1977" s="47" t="s">
        <v>8721</v>
      </c>
      <c r="Y1977" s="47" t="s">
        <v>7771</v>
      </c>
      <c r="Z1977" s="46" t="s">
        <v>7363</v>
      </c>
      <c r="AA1977" s="46" t="s">
        <v>4003</v>
      </c>
      <c r="AB1977" s="47" t="s">
        <v>8721</v>
      </c>
      <c r="AC1977" s="48" t="s">
        <v>8448</v>
      </c>
      <c r="AD1977" s="30"/>
      <c r="AE1977" s="192">
        <v>1</v>
      </c>
      <c r="AF1977" s="100" t="s">
        <v>8722</v>
      </c>
      <c r="AG1977" s="100" t="s">
        <v>8925</v>
      </c>
      <c r="AH1977" s="100">
        <v>14</v>
      </c>
    </row>
    <row r="1978" spans="1:42" s="32" customFormat="1" ht="69.95" hidden="1" customHeight="1">
      <c r="A1978" s="29" t="s">
        <v>7772</v>
      </c>
      <c r="B1978" s="29" t="s">
        <v>3769</v>
      </c>
      <c r="C1978" s="32">
        <v>66</v>
      </c>
      <c r="E1978" s="57" t="s">
        <v>8284</v>
      </c>
      <c r="F1978" s="57" t="s">
        <v>8313</v>
      </c>
      <c r="G1978" s="29" t="s">
        <v>3732</v>
      </c>
      <c r="H1978" s="29"/>
      <c r="I1978" s="29"/>
      <c r="J1978" s="29">
        <f t="shared" si="151"/>
        <v>1</v>
      </c>
      <c r="K1978" s="42">
        <v>1964</v>
      </c>
      <c r="L1978" s="43" t="s">
        <v>3733</v>
      </c>
      <c r="M1978" s="44" t="s">
        <v>405</v>
      </c>
      <c r="N1978" s="44" t="s">
        <v>536</v>
      </c>
      <c r="O1978" s="44" t="str">
        <f t="shared" si="157"/>
        <v>PE-L1-4C4-23</v>
      </c>
      <c r="P1978" s="45">
        <v>7.5</v>
      </c>
      <c r="Q1978" s="44">
        <v>400</v>
      </c>
      <c r="R1978" s="44" t="s">
        <v>49</v>
      </c>
      <c r="S1978" s="44">
        <v>50</v>
      </c>
      <c r="T1978" s="46" t="s">
        <v>7981</v>
      </c>
      <c r="U1978" s="46" t="s">
        <v>7772</v>
      </c>
      <c r="V1978" s="46" t="s">
        <v>8692</v>
      </c>
      <c r="W1978" s="46" t="s">
        <v>386</v>
      </c>
      <c r="X1978" s="47" t="s">
        <v>8721</v>
      </c>
      <c r="Y1978" s="47" t="s">
        <v>7773</v>
      </c>
      <c r="Z1978" s="46" t="s">
        <v>7367</v>
      </c>
      <c r="AA1978" s="46" t="s">
        <v>4003</v>
      </c>
      <c r="AB1978" s="47" t="s">
        <v>8721</v>
      </c>
      <c r="AC1978" s="48" t="s">
        <v>8449</v>
      </c>
      <c r="AD1978" s="30"/>
      <c r="AE1978" s="192">
        <v>1</v>
      </c>
      <c r="AF1978" s="100" t="s">
        <v>8722</v>
      </c>
      <c r="AG1978" s="100" t="s">
        <v>8925</v>
      </c>
      <c r="AH1978" s="100">
        <v>14</v>
      </c>
    </row>
    <row r="1979" spans="1:42" s="32" customFormat="1" ht="69.95" hidden="1" customHeight="1">
      <c r="A1979" s="29" t="s">
        <v>7774</v>
      </c>
      <c r="B1979" s="29" t="s">
        <v>3769</v>
      </c>
      <c r="C1979" s="32">
        <v>67</v>
      </c>
      <c r="E1979" s="57" t="s">
        <v>8037</v>
      </c>
      <c r="F1979" s="57" t="s">
        <v>8037</v>
      </c>
      <c r="G1979" s="29" t="s">
        <v>3734</v>
      </c>
      <c r="H1979" s="29"/>
      <c r="I1979" s="29"/>
      <c r="J1979" s="29">
        <f t="shared" si="151"/>
        <v>1</v>
      </c>
      <c r="K1979" s="42">
        <v>1965</v>
      </c>
      <c r="L1979" s="43" t="s">
        <v>3735</v>
      </c>
      <c r="M1979" s="44" t="s">
        <v>405</v>
      </c>
      <c r="N1979" s="44" t="s">
        <v>536</v>
      </c>
      <c r="O1979" s="44" t="str">
        <f t="shared" si="157"/>
        <v>PE-L1-4C4-24</v>
      </c>
      <c r="P1979" s="45">
        <v>0.18</v>
      </c>
      <c r="Q1979" s="44">
        <v>400</v>
      </c>
      <c r="R1979" s="44" t="s">
        <v>49</v>
      </c>
      <c r="S1979" s="44">
        <v>60</v>
      </c>
      <c r="T1979" s="46" t="s">
        <v>7981</v>
      </c>
      <c r="U1979" s="46" t="s">
        <v>7774</v>
      </c>
      <c r="V1979" s="46" t="s">
        <v>8692</v>
      </c>
      <c r="W1979" s="46" t="s">
        <v>386</v>
      </c>
      <c r="X1979" s="47" t="s">
        <v>8721</v>
      </c>
      <c r="Y1979" s="47" t="s">
        <v>7775</v>
      </c>
      <c r="Z1979" s="46" t="s">
        <v>7371</v>
      </c>
      <c r="AA1979" s="46" t="s">
        <v>4003</v>
      </c>
      <c r="AB1979" s="47" t="s">
        <v>8721</v>
      </c>
      <c r="AC1979" s="48" t="s">
        <v>8450</v>
      </c>
      <c r="AD1979" s="30"/>
      <c r="AE1979" s="192">
        <v>1</v>
      </c>
      <c r="AF1979" s="100" t="s">
        <v>8722</v>
      </c>
      <c r="AG1979" s="100" t="s">
        <v>8925</v>
      </c>
      <c r="AH1979" s="100">
        <v>14</v>
      </c>
    </row>
    <row r="1980" spans="1:42" s="32" customFormat="1" ht="69.95" hidden="1" customHeight="1">
      <c r="A1980" s="29" t="s">
        <v>7776</v>
      </c>
      <c r="B1980" s="29" t="s">
        <v>3769</v>
      </c>
      <c r="C1980" s="32">
        <v>68</v>
      </c>
      <c r="E1980" s="56" t="s">
        <v>8315</v>
      </c>
      <c r="F1980" s="56" t="s">
        <v>8315</v>
      </c>
      <c r="G1980" s="29" t="s">
        <v>3736</v>
      </c>
      <c r="H1980" s="29"/>
      <c r="I1980" s="29"/>
      <c r="J1980" s="29">
        <f t="shared" si="151"/>
        <v>1</v>
      </c>
      <c r="K1980" s="42">
        <v>1966</v>
      </c>
      <c r="L1980" s="43" t="s">
        <v>3737</v>
      </c>
      <c r="M1980" s="44" t="s">
        <v>405</v>
      </c>
      <c r="N1980" s="44" t="s">
        <v>8314</v>
      </c>
      <c r="O1980" s="44" t="str">
        <f t="shared" si="157"/>
        <v>PE-L1-4C16-02</v>
      </c>
      <c r="P1980" s="45">
        <v>28</v>
      </c>
      <c r="Q1980" s="44">
        <v>400</v>
      </c>
      <c r="R1980" s="44" t="s">
        <v>49</v>
      </c>
      <c r="S1980" s="44">
        <v>50</v>
      </c>
      <c r="T1980" s="46" t="s">
        <v>7981</v>
      </c>
      <c r="U1980" s="46" t="s">
        <v>7776</v>
      </c>
      <c r="V1980" s="46" t="s">
        <v>8692</v>
      </c>
      <c r="W1980" s="46" t="s">
        <v>386</v>
      </c>
      <c r="X1980" s="47" t="s">
        <v>8721</v>
      </c>
      <c r="Y1980" s="47" t="s">
        <v>7777</v>
      </c>
      <c r="Z1980" s="46" t="s">
        <v>7375</v>
      </c>
      <c r="AA1980" s="46" t="s">
        <v>4003</v>
      </c>
      <c r="AB1980" s="47" t="s">
        <v>8721</v>
      </c>
      <c r="AC1980" s="48" t="s">
        <v>8451</v>
      </c>
      <c r="AD1980" s="206" t="s">
        <v>8810</v>
      </c>
      <c r="AE1980" s="192">
        <v>1</v>
      </c>
      <c r="AF1980" s="100" t="s">
        <v>8824</v>
      </c>
      <c r="AG1980" s="100" t="s">
        <v>8931</v>
      </c>
      <c r="AH1980" s="108">
        <v>19.5</v>
      </c>
    </row>
    <row r="1981" spans="1:42" s="32" customFormat="1" ht="69.95" hidden="1" customHeight="1">
      <c r="A1981" s="29" t="s">
        <v>7778</v>
      </c>
      <c r="B1981" s="29" t="s">
        <v>3769</v>
      </c>
      <c r="C1981" s="32">
        <v>69</v>
      </c>
      <c r="E1981" s="86" t="s">
        <v>8828</v>
      </c>
      <c r="F1981" s="86" t="s">
        <v>8828</v>
      </c>
      <c r="G1981" s="29" t="s">
        <v>3738</v>
      </c>
      <c r="H1981" s="29"/>
      <c r="I1981" s="29"/>
      <c r="J1981" s="29">
        <f t="shared" si="151"/>
        <v>1</v>
      </c>
      <c r="K1981" s="42">
        <v>1967</v>
      </c>
      <c r="L1981" s="43" t="s">
        <v>3739</v>
      </c>
      <c r="M1981" s="44" t="s">
        <v>405</v>
      </c>
      <c r="N1981" s="44" t="s">
        <v>566</v>
      </c>
      <c r="O1981" s="90" t="str">
        <f>F1981</f>
        <v>PE-L1-5C4-04</v>
      </c>
      <c r="P1981" s="45">
        <v>9</v>
      </c>
      <c r="Q1981" s="44">
        <v>400</v>
      </c>
      <c r="R1981" s="44" t="s">
        <v>49</v>
      </c>
      <c r="S1981" s="44">
        <v>70</v>
      </c>
      <c r="T1981" s="46" t="s">
        <v>7981</v>
      </c>
      <c r="U1981" s="46" t="s">
        <v>7778</v>
      </c>
      <c r="V1981" s="46" t="s">
        <v>8692</v>
      </c>
      <c r="W1981" s="46" t="s">
        <v>386</v>
      </c>
      <c r="X1981" s="47" t="s">
        <v>8731</v>
      </c>
      <c r="Y1981" s="47" t="s">
        <v>7779</v>
      </c>
      <c r="Z1981" s="46" t="s">
        <v>7379</v>
      </c>
      <c r="AA1981" s="46" t="s">
        <v>4003</v>
      </c>
      <c r="AB1981" s="47" t="s">
        <v>8731</v>
      </c>
      <c r="AC1981" s="48" t="s">
        <v>8452</v>
      </c>
      <c r="AD1981" s="206" t="s">
        <v>8813</v>
      </c>
      <c r="AE1981" s="192">
        <v>1</v>
      </c>
      <c r="AF1981" s="100" t="s">
        <v>8722</v>
      </c>
      <c r="AG1981" s="100" t="s">
        <v>8925</v>
      </c>
      <c r="AH1981" s="108">
        <v>15</v>
      </c>
    </row>
    <row r="1982" spans="1:42" s="32" customFormat="1" ht="69.95" hidden="1" customHeight="1">
      <c r="A1982" s="29" t="s">
        <v>7780</v>
      </c>
      <c r="B1982" s="29" t="s">
        <v>3769</v>
      </c>
      <c r="C1982" s="32">
        <v>70</v>
      </c>
      <c r="E1982" s="86" t="s">
        <v>8828</v>
      </c>
      <c r="F1982" s="86" t="s">
        <v>8828</v>
      </c>
      <c r="G1982" s="29" t="s">
        <v>3740</v>
      </c>
      <c r="H1982" s="29"/>
      <c r="I1982" s="29"/>
      <c r="J1982" s="29">
        <f t="shared" si="151"/>
        <v>1</v>
      </c>
      <c r="K1982" s="42">
        <v>1968</v>
      </c>
      <c r="L1982" s="43" t="s">
        <v>3741</v>
      </c>
      <c r="M1982" s="44" t="s">
        <v>405</v>
      </c>
      <c r="N1982" s="44" t="s">
        <v>566</v>
      </c>
      <c r="O1982" s="90" t="str">
        <f>F1982</f>
        <v>PE-L1-5C4-04</v>
      </c>
      <c r="P1982" s="45">
        <v>7</v>
      </c>
      <c r="Q1982" s="44">
        <v>400</v>
      </c>
      <c r="R1982" s="44" t="s">
        <v>49</v>
      </c>
      <c r="S1982" s="44">
        <v>60</v>
      </c>
      <c r="T1982" s="46" t="s">
        <v>7981</v>
      </c>
      <c r="U1982" s="46" t="s">
        <v>7780</v>
      </c>
      <c r="V1982" s="46" t="s">
        <v>8692</v>
      </c>
      <c r="W1982" s="46" t="s">
        <v>386</v>
      </c>
      <c r="X1982" s="47" t="s">
        <v>8731</v>
      </c>
      <c r="Y1982" s="47" t="s">
        <v>7781</v>
      </c>
      <c r="Z1982" s="46" t="s">
        <v>7383</v>
      </c>
      <c r="AA1982" s="46" t="s">
        <v>4003</v>
      </c>
      <c r="AB1982" s="47" t="s">
        <v>8731</v>
      </c>
      <c r="AC1982" s="48" t="s">
        <v>8453</v>
      </c>
      <c r="AD1982" s="206" t="s">
        <v>8816</v>
      </c>
      <c r="AE1982" s="192">
        <v>1</v>
      </c>
      <c r="AF1982" s="100" t="s">
        <v>8722</v>
      </c>
      <c r="AG1982" s="100" t="s">
        <v>8925</v>
      </c>
      <c r="AH1982" s="108">
        <v>15</v>
      </c>
    </row>
    <row r="1983" spans="1:42" s="32" customFormat="1" ht="69.95" hidden="1" customHeight="1">
      <c r="A1983" s="29" t="s">
        <v>7782</v>
      </c>
      <c r="B1983" s="29" t="s">
        <v>3769</v>
      </c>
      <c r="C1983" s="32">
        <v>71</v>
      </c>
      <c r="E1983" s="58" t="s">
        <v>8165</v>
      </c>
      <c r="F1983" s="58" t="s">
        <v>8165</v>
      </c>
      <c r="G1983" s="29" t="s">
        <v>3742</v>
      </c>
      <c r="H1983" s="29"/>
      <c r="I1983" s="29"/>
      <c r="J1983" s="29">
        <f t="shared" si="151"/>
        <v>1</v>
      </c>
      <c r="K1983" s="42">
        <v>1969</v>
      </c>
      <c r="L1983" s="43" t="s">
        <v>3743</v>
      </c>
      <c r="M1983" s="44" t="s">
        <v>405</v>
      </c>
      <c r="N1983" s="44" t="s">
        <v>8090</v>
      </c>
      <c r="O1983" s="44" t="str">
        <f t="shared" ref="O1983:O1993" si="158">F1983</f>
        <v>PE-L1-4C4-24</v>
      </c>
      <c r="P1983" s="45">
        <v>3.2</v>
      </c>
      <c r="Q1983" s="44">
        <v>400</v>
      </c>
      <c r="R1983" s="44" t="s">
        <v>49</v>
      </c>
      <c r="S1983" s="44">
        <v>40</v>
      </c>
      <c r="T1983" s="46" t="s">
        <v>7981</v>
      </c>
      <c r="U1983" s="46" t="s">
        <v>7782</v>
      </c>
      <c r="V1983" s="46" t="s">
        <v>8692</v>
      </c>
      <c r="W1983" s="46" t="s">
        <v>386</v>
      </c>
      <c r="X1983" s="47" t="s">
        <v>8721</v>
      </c>
      <c r="Y1983" s="47" t="s">
        <v>7783</v>
      </c>
      <c r="Z1983" s="46" t="s">
        <v>7387</v>
      </c>
      <c r="AA1983" s="46" t="s">
        <v>4003</v>
      </c>
      <c r="AB1983" s="47" t="s">
        <v>8721</v>
      </c>
      <c r="AC1983" s="48" t="s">
        <v>7784</v>
      </c>
      <c r="AD1983" s="30"/>
      <c r="AE1983" s="192">
        <v>1</v>
      </c>
      <c r="AF1983" s="100" t="s">
        <v>8722</v>
      </c>
      <c r="AG1983" s="100" t="s">
        <v>8925</v>
      </c>
      <c r="AH1983" s="100">
        <v>14</v>
      </c>
    </row>
    <row r="1984" spans="1:42" s="32" customFormat="1" ht="69.95" hidden="1" customHeight="1">
      <c r="A1984" s="29" t="s">
        <v>7785</v>
      </c>
      <c r="B1984" s="29" t="s">
        <v>3769</v>
      </c>
      <c r="C1984" s="32">
        <v>74</v>
      </c>
      <c r="E1984" s="71" t="s">
        <v>8317</v>
      </c>
      <c r="F1984" s="71" t="s">
        <v>8317</v>
      </c>
      <c r="G1984" s="29" t="s">
        <v>3744</v>
      </c>
      <c r="H1984" s="29"/>
      <c r="I1984" s="29"/>
      <c r="J1984" s="29">
        <f t="shared" si="151"/>
        <v>1</v>
      </c>
      <c r="K1984" s="42">
        <v>1970</v>
      </c>
      <c r="L1984" s="43" t="s">
        <v>8212</v>
      </c>
      <c r="M1984" s="44" t="s">
        <v>405</v>
      </c>
      <c r="N1984" s="44" t="s">
        <v>7978</v>
      </c>
      <c r="O1984" s="44" t="str">
        <f t="shared" si="158"/>
        <v>PE-L1-1C240-02</v>
      </c>
      <c r="P1984" s="45">
        <v>1100</v>
      </c>
      <c r="Q1984" s="44">
        <v>550</v>
      </c>
      <c r="R1984" s="44" t="s">
        <v>49</v>
      </c>
      <c r="S1984" s="44">
        <v>50</v>
      </c>
      <c r="T1984" s="46" t="s">
        <v>7981</v>
      </c>
      <c r="U1984" s="47" t="s">
        <v>8231</v>
      </c>
      <c r="V1984" s="43" t="s">
        <v>8230</v>
      </c>
      <c r="W1984" s="46" t="s">
        <v>8188</v>
      </c>
      <c r="X1984" s="47" t="s">
        <v>35</v>
      </c>
      <c r="Y1984" s="46" t="s">
        <v>8234</v>
      </c>
      <c r="Z1984" s="46" t="s">
        <v>8236</v>
      </c>
      <c r="AA1984" s="46" t="s">
        <v>8694</v>
      </c>
      <c r="AB1984" s="47" t="s">
        <v>44</v>
      </c>
      <c r="AC1984" s="48" t="s">
        <v>8454</v>
      </c>
      <c r="AD1984" s="30"/>
      <c r="AE1984" s="192">
        <v>1</v>
      </c>
      <c r="AF1984" s="100" t="s">
        <v>8822</v>
      </c>
      <c r="AG1984" s="100" t="s">
        <v>8932</v>
      </c>
      <c r="AH1984" s="108">
        <v>25.5</v>
      </c>
      <c r="AK1984" s="241">
        <v>1</v>
      </c>
      <c r="AL1984" s="241" t="s">
        <v>9577</v>
      </c>
      <c r="AM1984" s="241">
        <v>2</v>
      </c>
      <c r="AN1984" s="241">
        <v>1</v>
      </c>
      <c r="AO1984" s="241" t="s">
        <v>9581</v>
      </c>
      <c r="AP1984" s="241">
        <v>1</v>
      </c>
    </row>
    <row r="1985" spans="1:43" s="32" customFormat="1" ht="69.95" hidden="1" customHeight="1">
      <c r="A1985" s="29" t="s">
        <v>7785</v>
      </c>
      <c r="B1985" s="29" t="s">
        <v>3769</v>
      </c>
      <c r="C1985" s="32">
        <v>75</v>
      </c>
      <c r="E1985" s="71" t="s">
        <v>8317</v>
      </c>
      <c r="F1985" s="71" t="s">
        <v>8317</v>
      </c>
      <c r="G1985" s="29" t="s">
        <v>8154</v>
      </c>
      <c r="H1985" s="29"/>
      <c r="I1985" s="29"/>
      <c r="J1985" s="29">
        <f t="shared" si="151"/>
        <v>1</v>
      </c>
      <c r="K1985" s="42">
        <v>1971</v>
      </c>
      <c r="L1985" s="43" t="s">
        <v>8213</v>
      </c>
      <c r="M1985" s="43" t="s">
        <v>405</v>
      </c>
      <c r="N1985" s="44" t="s">
        <v>7978</v>
      </c>
      <c r="O1985" s="44" t="str">
        <f t="shared" si="158"/>
        <v>PE-L1-1C240-02</v>
      </c>
      <c r="P1985" s="45">
        <v>1100</v>
      </c>
      <c r="Q1985" s="43">
        <v>550</v>
      </c>
      <c r="R1985" s="43" t="s">
        <v>49</v>
      </c>
      <c r="S1985" s="44">
        <v>50</v>
      </c>
      <c r="T1985" s="46" t="s">
        <v>7981</v>
      </c>
      <c r="U1985" s="47" t="s">
        <v>8231</v>
      </c>
      <c r="V1985" s="43" t="s">
        <v>8230</v>
      </c>
      <c r="W1985" s="46" t="s">
        <v>8188</v>
      </c>
      <c r="X1985" s="47" t="s">
        <v>37</v>
      </c>
      <c r="Y1985" s="46" t="s">
        <v>8234</v>
      </c>
      <c r="Z1985" s="46" t="s">
        <v>8236</v>
      </c>
      <c r="AA1985" s="46" t="s">
        <v>8694</v>
      </c>
      <c r="AB1985" s="47" t="s">
        <v>45</v>
      </c>
      <c r="AC1985" s="52" t="s">
        <v>8454</v>
      </c>
      <c r="AD1985" s="30"/>
      <c r="AE1985" s="192">
        <v>1</v>
      </c>
      <c r="AF1985" s="100" t="s">
        <v>8822</v>
      </c>
      <c r="AG1985" s="100" t="s">
        <v>8932</v>
      </c>
      <c r="AH1985" s="108">
        <v>25.5</v>
      </c>
      <c r="AK1985" s="241">
        <v>1</v>
      </c>
      <c r="AL1985" s="241" t="s">
        <v>9577</v>
      </c>
      <c r="AM1985" s="241">
        <v>2</v>
      </c>
      <c r="AN1985" s="241">
        <v>1</v>
      </c>
      <c r="AO1985" s="241" t="s">
        <v>9581</v>
      </c>
      <c r="AP1985" s="241">
        <v>1</v>
      </c>
    </row>
    <row r="1986" spans="1:43" s="32" customFormat="1" ht="69.95" hidden="1" customHeight="1">
      <c r="A1986" s="29" t="s">
        <v>7785</v>
      </c>
      <c r="B1986" s="29" t="s">
        <v>3769</v>
      </c>
      <c r="C1986" s="32">
        <v>76</v>
      </c>
      <c r="E1986" s="71" t="s">
        <v>8317</v>
      </c>
      <c r="F1986" s="71" t="s">
        <v>8317</v>
      </c>
      <c r="G1986" s="29" t="s">
        <v>8154</v>
      </c>
      <c r="H1986" s="29"/>
      <c r="I1986" s="29"/>
      <c r="J1986" s="29">
        <f t="shared" si="151"/>
        <v>1</v>
      </c>
      <c r="K1986" s="42">
        <v>1972</v>
      </c>
      <c r="L1986" s="43" t="s">
        <v>8214</v>
      </c>
      <c r="M1986" s="43" t="s">
        <v>405</v>
      </c>
      <c r="N1986" s="44" t="s">
        <v>7978</v>
      </c>
      <c r="O1986" s="44" t="str">
        <f t="shared" si="158"/>
        <v>PE-L1-1C240-02</v>
      </c>
      <c r="P1986" s="45">
        <v>1100</v>
      </c>
      <c r="Q1986" s="43">
        <v>550</v>
      </c>
      <c r="R1986" s="43" t="s">
        <v>49</v>
      </c>
      <c r="S1986" s="44">
        <v>50</v>
      </c>
      <c r="T1986" s="46" t="s">
        <v>7981</v>
      </c>
      <c r="U1986" s="47" t="s">
        <v>8231</v>
      </c>
      <c r="V1986" s="43" t="s">
        <v>8230</v>
      </c>
      <c r="W1986" s="46" t="s">
        <v>8188</v>
      </c>
      <c r="X1986" s="47" t="s">
        <v>39</v>
      </c>
      <c r="Y1986" s="46" t="s">
        <v>8234</v>
      </c>
      <c r="Z1986" s="46" t="s">
        <v>8236</v>
      </c>
      <c r="AA1986" s="46" t="s">
        <v>8694</v>
      </c>
      <c r="AB1986" s="47" t="s">
        <v>46</v>
      </c>
      <c r="AC1986" s="52" t="s">
        <v>8454</v>
      </c>
      <c r="AD1986" s="30"/>
      <c r="AE1986" s="192">
        <v>1</v>
      </c>
      <c r="AF1986" s="100" t="s">
        <v>8822</v>
      </c>
      <c r="AG1986" s="100" t="s">
        <v>8932</v>
      </c>
      <c r="AH1986" s="108">
        <v>25.5</v>
      </c>
      <c r="AK1986" s="241">
        <v>1</v>
      </c>
      <c r="AL1986" s="241" t="s">
        <v>9577</v>
      </c>
      <c r="AM1986" s="241">
        <v>2</v>
      </c>
      <c r="AN1986" s="241">
        <v>1</v>
      </c>
      <c r="AO1986" s="241" t="s">
        <v>9581</v>
      </c>
      <c r="AP1986" s="241">
        <v>1</v>
      </c>
    </row>
    <row r="1987" spans="1:43" s="32" customFormat="1" ht="69.95" hidden="1" customHeight="1">
      <c r="A1987" s="29" t="s">
        <v>7785</v>
      </c>
      <c r="B1987" s="29" t="s">
        <v>3769</v>
      </c>
      <c r="C1987" s="32">
        <v>77</v>
      </c>
      <c r="E1987" s="71" t="s">
        <v>8317</v>
      </c>
      <c r="F1987" s="71" t="s">
        <v>8317</v>
      </c>
      <c r="G1987" s="29" t="s">
        <v>8154</v>
      </c>
      <c r="H1987" s="29"/>
      <c r="I1987" s="29"/>
      <c r="J1987" s="29">
        <f t="shared" si="151"/>
        <v>1</v>
      </c>
      <c r="K1987" s="42">
        <v>1973</v>
      </c>
      <c r="L1987" s="43" t="s">
        <v>8215</v>
      </c>
      <c r="M1987" s="43" t="s">
        <v>405</v>
      </c>
      <c r="N1987" s="44" t="s">
        <v>7978</v>
      </c>
      <c r="O1987" s="44" t="str">
        <f t="shared" si="158"/>
        <v>PE-L1-1C240-02</v>
      </c>
      <c r="P1987" s="45">
        <v>1100</v>
      </c>
      <c r="Q1987" s="43">
        <v>550</v>
      </c>
      <c r="R1987" s="43" t="s">
        <v>49</v>
      </c>
      <c r="S1987" s="43">
        <v>50</v>
      </c>
      <c r="T1987" s="46" t="s">
        <v>7981</v>
      </c>
      <c r="U1987" s="47" t="s">
        <v>8231</v>
      </c>
      <c r="V1987" s="43" t="s">
        <v>8230</v>
      </c>
      <c r="W1987" s="46" t="s">
        <v>8188</v>
      </c>
      <c r="X1987" s="47" t="s">
        <v>35</v>
      </c>
      <c r="Y1987" s="46" t="s">
        <v>8234</v>
      </c>
      <c r="Z1987" s="46" t="s">
        <v>8236</v>
      </c>
      <c r="AA1987" s="46" t="s">
        <v>8694</v>
      </c>
      <c r="AB1987" s="47" t="s">
        <v>44</v>
      </c>
      <c r="AC1987" s="48" t="s">
        <v>8455</v>
      </c>
      <c r="AD1987" s="30"/>
      <c r="AE1987" s="192">
        <v>1</v>
      </c>
      <c r="AF1987" s="100" t="s">
        <v>8822</v>
      </c>
      <c r="AG1987" s="100" t="s">
        <v>8932</v>
      </c>
      <c r="AH1987" s="108">
        <v>25.5</v>
      </c>
      <c r="AK1987" s="241">
        <v>1</v>
      </c>
      <c r="AL1987" s="241" t="s">
        <v>9577</v>
      </c>
      <c r="AM1987" s="241">
        <v>2</v>
      </c>
      <c r="AN1987" s="241">
        <v>1</v>
      </c>
      <c r="AO1987" s="241" t="s">
        <v>9581</v>
      </c>
      <c r="AP1987" s="241">
        <v>1</v>
      </c>
    </row>
    <row r="1988" spans="1:43" s="32" customFormat="1" ht="69.95" hidden="1" customHeight="1">
      <c r="A1988" s="29" t="s">
        <v>7785</v>
      </c>
      <c r="B1988" s="29" t="s">
        <v>3769</v>
      </c>
      <c r="C1988" s="32">
        <v>78</v>
      </c>
      <c r="E1988" s="71" t="s">
        <v>8317</v>
      </c>
      <c r="F1988" s="71" t="s">
        <v>8317</v>
      </c>
      <c r="G1988" s="29" t="s">
        <v>8154</v>
      </c>
      <c r="H1988" s="29"/>
      <c r="I1988" s="29"/>
      <c r="J1988" s="29">
        <f t="shared" si="151"/>
        <v>1</v>
      </c>
      <c r="K1988" s="42">
        <v>1974</v>
      </c>
      <c r="L1988" s="43" t="s">
        <v>8216</v>
      </c>
      <c r="M1988" s="43" t="s">
        <v>405</v>
      </c>
      <c r="N1988" s="44" t="s">
        <v>7978</v>
      </c>
      <c r="O1988" s="44" t="str">
        <f t="shared" si="158"/>
        <v>PE-L1-1C240-02</v>
      </c>
      <c r="P1988" s="45">
        <v>1100</v>
      </c>
      <c r="Q1988" s="43">
        <v>550</v>
      </c>
      <c r="R1988" s="43" t="s">
        <v>49</v>
      </c>
      <c r="S1988" s="43">
        <v>50</v>
      </c>
      <c r="T1988" s="46" t="s">
        <v>7981</v>
      </c>
      <c r="U1988" s="47" t="s">
        <v>8231</v>
      </c>
      <c r="V1988" s="43" t="s">
        <v>8230</v>
      </c>
      <c r="W1988" s="46" t="s">
        <v>8188</v>
      </c>
      <c r="X1988" s="47" t="s">
        <v>37</v>
      </c>
      <c r="Y1988" s="46" t="s">
        <v>8234</v>
      </c>
      <c r="Z1988" s="46" t="s">
        <v>8236</v>
      </c>
      <c r="AA1988" s="46" t="s">
        <v>8694</v>
      </c>
      <c r="AB1988" s="47" t="s">
        <v>45</v>
      </c>
      <c r="AC1988" s="52" t="s">
        <v>8455</v>
      </c>
      <c r="AD1988" s="30"/>
      <c r="AE1988" s="192">
        <v>1</v>
      </c>
      <c r="AF1988" s="100" t="s">
        <v>8822</v>
      </c>
      <c r="AG1988" s="100" t="s">
        <v>8932</v>
      </c>
      <c r="AH1988" s="108">
        <v>25.5</v>
      </c>
      <c r="AK1988" s="241">
        <v>1</v>
      </c>
      <c r="AL1988" s="241" t="s">
        <v>9577</v>
      </c>
      <c r="AM1988" s="241">
        <v>2</v>
      </c>
      <c r="AN1988" s="241">
        <v>1</v>
      </c>
      <c r="AO1988" s="241" t="s">
        <v>9581</v>
      </c>
      <c r="AP1988" s="241">
        <v>1</v>
      </c>
    </row>
    <row r="1989" spans="1:43" s="32" customFormat="1" ht="69.95" hidden="1" customHeight="1">
      <c r="A1989" s="29" t="s">
        <v>7785</v>
      </c>
      <c r="B1989" s="29" t="s">
        <v>3769</v>
      </c>
      <c r="C1989" s="32">
        <v>79</v>
      </c>
      <c r="E1989" s="71" t="s">
        <v>8317</v>
      </c>
      <c r="F1989" s="71" t="s">
        <v>8317</v>
      </c>
      <c r="G1989" s="29" t="s">
        <v>8154</v>
      </c>
      <c r="H1989" s="29"/>
      <c r="I1989" s="29"/>
      <c r="J1989" s="29">
        <f t="shared" si="151"/>
        <v>1</v>
      </c>
      <c r="K1989" s="42">
        <v>1975</v>
      </c>
      <c r="L1989" s="43" t="s">
        <v>8217</v>
      </c>
      <c r="M1989" s="43" t="s">
        <v>405</v>
      </c>
      <c r="N1989" s="44" t="s">
        <v>7978</v>
      </c>
      <c r="O1989" s="44" t="str">
        <f t="shared" si="158"/>
        <v>PE-L1-1C240-02</v>
      </c>
      <c r="P1989" s="45">
        <v>1100</v>
      </c>
      <c r="Q1989" s="43">
        <v>550</v>
      </c>
      <c r="R1989" s="43" t="s">
        <v>49</v>
      </c>
      <c r="S1989" s="43">
        <v>50</v>
      </c>
      <c r="T1989" s="46" t="s">
        <v>7981</v>
      </c>
      <c r="U1989" s="47" t="s">
        <v>8231</v>
      </c>
      <c r="V1989" s="43" t="s">
        <v>8230</v>
      </c>
      <c r="W1989" s="46" t="s">
        <v>8188</v>
      </c>
      <c r="X1989" s="47" t="s">
        <v>39</v>
      </c>
      <c r="Y1989" s="46" t="s">
        <v>8234</v>
      </c>
      <c r="Z1989" s="46" t="s">
        <v>8236</v>
      </c>
      <c r="AA1989" s="46" t="s">
        <v>8694</v>
      </c>
      <c r="AB1989" s="47" t="s">
        <v>46</v>
      </c>
      <c r="AC1989" s="52" t="s">
        <v>8455</v>
      </c>
      <c r="AD1989" s="30"/>
      <c r="AE1989" s="192">
        <v>1</v>
      </c>
      <c r="AF1989" s="100" t="s">
        <v>8822</v>
      </c>
      <c r="AG1989" s="100" t="s">
        <v>8932</v>
      </c>
      <c r="AH1989" s="108">
        <v>25.5</v>
      </c>
      <c r="AK1989" s="241">
        <v>1</v>
      </c>
      <c r="AL1989" s="241" t="s">
        <v>9577</v>
      </c>
      <c r="AM1989" s="241">
        <v>2</v>
      </c>
      <c r="AN1989" s="241">
        <v>1</v>
      </c>
      <c r="AO1989" s="241" t="s">
        <v>9581</v>
      </c>
      <c r="AP1989" s="241">
        <v>1</v>
      </c>
    </row>
    <row r="1990" spans="1:43" s="32" customFormat="1" ht="69.95" hidden="1" customHeight="1">
      <c r="A1990" s="29" t="s">
        <v>7785</v>
      </c>
      <c r="B1990" s="29" t="s">
        <v>3769</v>
      </c>
      <c r="C1990" s="32">
        <v>82</v>
      </c>
      <c r="E1990" s="71" t="s">
        <v>8317</v>
      </c>
      <c r="F1990" s="71" t="s">
        <v>8317</v>
      </c>
      <c r="G1990" s="29" t="s">
        <v>8154</v>
      </c>
      <c r="H1990" s="29"/>
      <c r="I1990" s="29"/>
      <c r="J1990" s="29">
        <f t="shared" si="151"/>
        <v>1</v>
      </c>
      <c r="K1990" s="42">
        <v>1976</v>
      </c>
      <c r="L1990" s="43" t="s">
        <v>8218</v>
      </c>
      <c r="M1990" s="43" t="s">
        <v>405</v>
      </c>
      <c r="N1990" s="44" t="s">
        <v>7978</v>
      </c>
      <c r="O1990" s="44" t="str">
        <f t="shared" si="158"/>
        <v>PE-L1-1C240-02</v>
      </c>
      <c r="P1990" s="45">
        <v>1100</v>
      </c>
      <c r="Q1990" s="43">
        <v>550</v>
      </c>
      <c r="R1990" s="43" t="s">
        <v>49</v>
      </c>
      <c r="S1990" s="43">
        <v>50</v>
      </c>
      <c r="T1990" s="46" t="s">
        <v>7981</v>
      </c>
      <c r="U1990" s="47" t="s">
        <v>8231</v>
      </c>
      <c r="V1990" s="43" t="s">
        <v>8230</v>
      </c>
      <c r="W1990" s="46" t="s">
        <v>8188</v>
      </c>
      <c r="X1990" s="47" t="s">
        <v>35</v>
      </c>
      <c r="Y1990" s="46" t="s">
        <v>8234</v>
      </c>
      <c r="Z1990" s="46" t="s">
        <v>8236</v>
      </c>
      <c r="AA1990" s="46" t="s">
        <v>8694</v>
      </c>
      <c r="AB1990" s="47" t="s">
        <v>44</v>
      </c>
      <c r="AC1990" s="48" t="s">
        <v>8456</v>
      </c>
      <c r="AD1990" s="171"/>
      <c r="AE1990" s="192">
        <v>1</v>
      </c>
      <c r="AF1990" s="100" t="s">
        <v>8822</v>
      </c>
      <c r="AG1990" s="100" t="s">
        <v>8932</v>
      </c>
      <c r="AH1990" s="108">
        <v>25.5</v>
      </c>
      <c r="AK1990" s="241">
        <v>1</v>
      </c>
      <c r="AL1990" s="241" t="s">
        <v>9577</v>
      </c>
      <c r="AM1990" s="241">
        <v>2</v>
      </c>
      <c r="AN1990" s="241">
        <v>1</v>
      </c>
      <c r="AO1990" s="241" t="s">
        <v>9581</v>
      </c>
      <c r="AP1990" s="241">
        <v>1</v>
      </c>
    </row>
    <row r="1991" spans="1:43" s="32" customFormat="1" ht="69.95" hidden="1" customHeight="1">
      <c r="A1991" s="29" t="s">
        <v>7785</v>
      </c>
      <c r="B1991" s="29" t="s">
        <v>3769</v>
      </c>
      <c r="C1991" s="32">
        <v>83</v>
      </c>
      <c r="E1991" s="71" t="s">
        <v>8317</v>
      </c>
      <c r="F1991" s="71" t="s">
        <v>8317</v>
      </c>
      <c r="G1991" s="29" t="s">
        <v>8154</v>
      </c>
      <c r="H1991" s="29"/>
      <c r="I1991" s="29"/>
      <c r="J1991" s="29">
        <f t="shared" si="151"/>
        <v>1</v>
      </c>
      <c r="K1991" s="42">
        <v>1977</v>
      </c>
      <c r="L1991" s="43" t="s">
        <v>8219</v>
      </c>
      <c r="M1991" s="43" t="s">
        <v>405</v>
      </c>
      <c r="N1991" s="44" t="s">
        <v>7978</v>
      </c>
      <c r="O1991" s="44" t="str">
        <f t="shared" si="158"/>
        <v>PE-L1-1C240-02</v>
      </c>
      <c r="P1991" s="45">
        <v>1100</v>
      </c>
      <c r="Q1991" s="43">
        <v>550</v>
      </c>
      <c r="R1991" s="43" t="s">
        <v>49</v>
      </c>
      <c r="S1991" s="43">
        <v>50</v>
      </c>
      <c r="T1991" s="46" t="s">
        <v>7981</v>
      </c>
      <c r="U1991" s="47" t="s">
        <v>8231</v>
      </c>
      <c r="V1991" s="43" t="s">
        <v>8230</v>
      </c>
      <c r="W1991" s="46" t="s">
        <v>8188</v>
      </c>
      <c r="X1991" s="47" t="s">
        <v>37</v>
      </c>
      <c r="Y1991" s="46" t="s">
        <v>8234</v>
      </c>
      <c r="Z1991" s="46" t="s">
        <v>8236</v>
      </c>
      <c r="AA1991" s="46" t="s">
        <v>8694</v>
      </c>
      <c r="AB1991" s="47" t="s">
        <v>45</v>
      </c>
      <c r="AC1991" s="52" t="s">
        <v>8456</v>
      </c>
      <c r="AD1991" s="30"/>
      <c r="AE1991" s="192">
        <v>1</v>
      </c>
      <c r="AF1991" s="100" t="s">
        <v>8822</v>
      </c>
      <c r="AG1991" s="100" t="s">
        <v>8932</v>
      </c>
      <c r="AH1991" s="108">
        <v>25.5</v>
      </c>
      <c r="AK1991" s="241">
        <v>1</v>
      </c>
      <c r="AL1991" s="241" t="s">
        <v>9577</v>
      </c>
      <c r="AM1991" s="241">
        <v>2</v>
      </c>
      <c r="AN1991" s="241">
        <v>1</v>
      </c>
      <c r="AO1991" s="241" t="s">
        <v>9581</v>
      </c>
      <c r="AP1991" s="241">
        <v>1</v>
      </c>
    </row>
    <row r="1992" spans="1:43" s="32" customFormat="1" ht="69.95" hidden="1" customHeight="1">
      <c r="A1992" s="29" t="s">
        <v>7785</v>
      </c>
      <c r="B1992" s="29" t="s">
        <v>3769</v>
      </c>
      <c r="C1992" s="32">
        <v>84</v>
      </c>
      <c r="E1992" s="71" t="s">
        <v>8318</v>
      </c>
      <c r="F1992" s="71" t="s">
        <v>8318</v>
      </c>
      <c r="G1992" s="29" t="s">
        <v>8154</v>
      </c>
      <c r="H1992" s="29"/>
      <c r="I1992" s="29"/>
      <c r="J1992" s="29">
        <f t="shared" ref="J1992:J2055" si="159">COUNTIF(L:L,L1992)</f>
        <v>1</v>
      </c>
      <c r="K1992" s="42">
        <v>1978</v>
      </c>
      <c r="L1992" s="43" t="s">
        <v>8220</v>
      </c>
      <c r="M1992" s="43" t="s">
        <v>405</v>
      </c>
      <c r="N1992" s="44" t="s">
        <v>7978</v>
      </c>
      <c r="O1992" s="44" t="str">
        <f t="shared" si="158"/>
        <v>PE-L1-1C240-03</v>
      </c>
      <c r="P1992" s="45">
        <v>1100</v>
      </c>
      <c r="Q1992" s="43">
        <v>550</v>
      </c>
      <c r="R1992" s="43" t="s">
        <v>49</v>
      </c>
      <c r="S1992" s="43">
        <v>50</v>
      </c>
      <c r="T1992" s="46" t="s">
        <v>7981</v>
      </c>
      <c r="U1992" s="47" t="s">
        <v>8231</v>
      </c>
      <c r="V1992" s="43" t="s">
        <v>8230</v>
      </c>
      <c r="W1992" s="46" t="s">
        <v>8188</v>
      </c>
      <c r="X1992" s="47" t="s">
        <v>39</v>
      </c>
      <c r="Y1992" s="46" t="s">
        <v>8234</v>
      </c>
      <c r="Z1992" s="46" t="s">
        <v>8236</v>
      </c>
      <c r="AA1992" s="46" t="s">
        <v>8694</v>
      </c>
      <c r="AB1992" s="47" t="s">
        <v>46</v>
      </c>
      <c r="AC1992" s="52" t="s">
        <v>8456</v>
      </c>
      <c r="AD1992" s="30"/>
      <c r="AE1992" s="192">
        <v>1</v>
      </c>
      <c r="AF1992" s="100" t="s">
        <v>8822</v>
      </c>
      <c r="AG1992" s="100" t="s">
        <v>8932</v>
      </c>
      <c r="AH1992" s="108">
        <v>25.5</v>
      </c>
      <c r="AK1992" s="241">
        <v>1</v>
      </c>
      <c r="AL1992" s="241" t="s">
        <v>9577</v>
      </c>
      <c r="AM1992" s="241">
        <v>2</v>
      </c>
      <c r="AN1992" s="241">
        <v>1</v>
      </c>
      <c r="AO1992" s="241" t="s">
        <v>9581</v>
      </c>
      <c r="AP1992" s="241">
        <v>1</v>
      </c>
    </row>
    <row r="1993" spans="1:43" s="32" customFormat="1" ht="69.95" hidden="1" customHeight="1">
      <c r="A1993" s="29" t="s">
        <v>7786</v>
      </c>
      <c r="B1993" s="29" t="s">
        <v>3769</v>
      </c>
      <c r="C1993" s="32">
        <v>90</v>
      </c>
      <c r="E1993" s="56" t="s">
        <v>8297</v>
      </c>
      <c r="F1993" s="56" t="s">
        <v>8300</v>
      </c>
      <c r="G1993" s="29" t="s">
        <v>3745</v>
      </c>
      <c r="H1993" s="29"/>
      <c r="I1993" s="29"/>
      <c r="J1993" s="29">
        <f t="shared" si="159"/>
        <v>1</v>
      </c>
      <c r="K1993" s="42">
        <v>1979</v>
      </c>
      <c r="L1993" s="95" t="s">
        <v>8832</v>
      </c>
      <c r="M1993" s="44" t="s">
        <v>405</v>
      </c>
      <c r="N1993" s="44" t="s">
        <v>7984</v>
      </c>
      <c r="O1993" s="44" t="str">
        <f t="shared" si="158"/>
        <v>PE-L1-3C4-24</v>
      </c>
      <c r="P1993" s="45">
        <v>1.2</v>
      </c>
      <c r="Q1993" s="44">
        <v>230</v>
      </c>
      <c r="R1993" s="44" t="s">
        <v>49</v>
      </c>
      <c r="S1993" s="44">
        <v>50</v>
      </c>
      <c r="T1993" s="46" t="s">
        <v>7981</v>
      </c>
      <c r="U1993" s="46" t="s">
        <v>7786</v>
      </c>
      <c r="V1993" s="46" t="s">
        <v>8692</v>
      </c>
      <c r="W1993" s="46" t="s">
        <v>8697</v>
      </c>
      <c r="X1993" s="172" t="s">
        <v>9167</v>
      </c>
      <c r="Y1993" s="47" t="s">
        <v>7787</v>
      </c>
      <c r="Z1993" s="46" t="s">
        <v>7392</v>
      </c>
      <c r="AA1993" s="46" t="s">
        <v>4003</v>
      </c>
      <c r="AB1993" s="172" t="s">
        <v>9167</v>
      </c>
      <c r="AC1993" s="48" t="s">
        <v>7788</v>
      </c>
      <c r="AD1993" s="30"/>
      <c r="AE1993" s="192">
        <v>1</v>
      </c>
      <c r="AF1993" s="100" t="s">
        <v>8722</v>
      </c>
      <c r="AG1993" s="100" t="s">
        <v>8925</v>
      </c>
      <c r="AH1993" s="100">
        <v>13</v>
      </c>
    </row>
    <row r="1994" spans="1:43" s="32" customFormat="1" ht="69.95" hidden="1" customHeight="1">
      <c r="A1994" s="29" t="s">
        <v>7789</v>
      </c>
      <c r="B1994" s="29" t="s">
        <v>3769</v>
      </c>
      <c r="C1994" s="69">
        <v>91</v>
      </c>
      <c r="D1994" s="69"/>
      <c r="E1994" s="86" t="s">
        <v>8828</v>
      </c>
      <c r="F1994" s="86" t="s">
        <v>8828</v>
      </c>
      <c r="G1994" s="29" t="s">
        <v>3746</v>
      </c>
      <c r="H1994" s="29"/>
      <c r="I1994" s="29"/>
      <c r="J1994" s="29">
        <f t="shared" si="159"/>
        <v>1</v>
      </c>
      <c r="K1994" s="42">
        <v>1980</v>
      </c>
      <c r="L1994" s="43" t="s">
        <v>3747</v>
      </c>
      <c r="M1994" s="44" t="s">
        <v>405</v>
      </c>
      <c r="N1994" s="44" t="s">
        <v>8685</v>
      </c>
      <c r="O1994" s="90" t="str">
        <f>F1994</f>
        <v>PE-L1-5C4-04</v>
      </c>
      <c r="P1994" s="45">
        <v>1.1499999999999999</v>
      </c>
      <c r="Q1994" s="44">
        <v>400</v>
      </c>
      <c r="R1994" s="44" t="s">
        <v>49</v>
      </c>
      <c r="S1994" s="44">
        <v>50</v>
      </c>
      <c r="T1994" s="46" t="s">
        <v>7981</v>
      </c>
      <c r="U1994" s="46" t="s">
        <v>7789</v>
      </c>
      <c r="V1994" s="46" t="s">
        <v>8692</v>
      </c>
      <c r="W1994" s="46" t="s">
        <v>386</v>
      </c>
      <c r="X1994" s="47" t="s">
        <v>9310</v>
      </c>
      <c r="Y1994" s="47" t="s">
        <v>7790</v>
      </c>
      <c r="Z1994" s="46" t="s">
        <v>7396</v>
      </c>
      <c r="AA1994" s="46" t="s">
        <v>4003</v>
      </c>
      <c r="AB1994" s="47" t="s">
        <v>9310</v>
      </c>
      <c r="AC1994" s="48" t="s">
        <v>7788</v>
      </c>
      <c r="AD1994" s="206" t="s">
        <v>8820</v>
      </c>
      <c r="AE1994" s="192">
        <v>1</v>
      </c>
      <c r="AF1994" s="100" t="s">
        <v>8722</v>
      </c>
      <c r="AG1994" s="100" t="s">
        <v>8925</v>
      </c>
      <c r="AH1994" s="108">
        <v>15</v>
      </c>
    </row>
    <row r="1995" spans="1:43" s="32" customFormat="1" ht="69.95" hidden="1" customHeight="1">
      <c r="A1995" s="29" t="s">
        <v>7791</v>
      </c>
      <c r="B1995" s="29" t="s">
        <v>3769</v>
      </c>
      <c r="C1995" s="32">
        <v>92</v>
      </c>
      <c r="E1995" s="71" t="s">
        <v>139</v>
      </c>
      <c r="F1995" s="71" t="s">
        <v>139</v>
      </c>
      <c r="G1995" s="29" t="s">
        <v>3748</v>
      </c>
      <c r="H1995" s="29"/>
      <c r="I1995" s="29"/>
      <c r="J1995" s="29">
        <f t="shared" si="159"/>
        <v>1</v>
      </c>
      <c r="K1995" s="42">
        <v>1981</v>
      </c>
      <c r="L1995" s="43" t="s">
        <v>3749</v>
      </c>
      <c r="M1995" s="44" t="s">
        <v>405</v>
      </c>
      <c r="N1995" s="44" t="s">
        <v>7984</v>
      </c>
      <c r="O1995" s="44" t="str">
        <f t="shared" ref="O1995:O2042" si="160">F1995</f>
        <v>PE-L1-3C4-24</v>
      </c>
      <c r="P1995" s="45">
        <v>0.22</v>
      </c>
      <c r="Q1995" s="44">
        <v>230</v>
      </c>
      <c r="R1995" s="44" t="s">
        <v>49</v>
      </c>
      <c r="S1995" s="44">
        <v>50</v>
      </c>
      <c r="T1995" s="46" t="s">
        <v>7981</v>
      </c>
      <c r="U1995" s="46" t="s">
        <v>7791</v>
      </c>
      <c r="V1995" s="46" t="s">
        <v>8692</v>
      </c>
      <c r="W1995" s="46" t="s">
        <v>386</v>
      </c>
      <c r="X1995" s="172" t="s">
        <v>9167</v>
      </c>
      <c r="Y1995" s="47" t="s">
        <v>7792</v>
      </c>
      <c r="Z1995" s="46" t="s">
        <v>7399</v>
      </c>
      <c r="AA1995" s="46" t="s">
        <v>4003</v>
      </c>
      <c r="AB1995" s="172" t="s">
        <v>9167</v>
      </c>
      <c r="AC1995" s="48" t="s">
        <v>7793</v>
      </c>
      <c r="AD1995" s="30"/>
      <c r="AE1995" s="192">
        <v>1</v>
      </c>
      <c r="AF1995" s="100" t="s">
        <v>8722</v>
      </c>
      <c r="AG1995" s="100" t="s">
        <v>8925</v>
      </c>
      <c r="AH1995" s="100">
        <v>13</v>
      </c>
    </row>
    <row r="1996" spans="1:43" s="32" customFormat="1" ht="69.95" hidden="1" customHeight="1">
      <c r="A1996" s="29" t="s">
        <v>8671</v>
      </c>
      <c r="B1996" s="29" t="s">
        <v>3769</v>
      </c>
      <c r="C1996" s="32">
        <v>93</v>
      </c>
      <c r="E1996" s="71" t="s">
        <v>245</v>
      </c>
      <c r="F1996" s="71" t="s">
        <v>245</v>
      </c>
      <c r="G1996" s="29" t="s">
        <v>3750</v>
      </c>
      <c r="H1996" s="29"/>
      <c r="I1996" s="29"/>
      <c r="J1996" s="29">
        <f t="shared" si="159"/>
        <v>1</v>
      </c>
      <c r="K1996" s="42">
        <v>1982</v>
      </c>
      <c r="L1996" s="43" t="s">
        <v>8238</v>
      </c>
      <c r="M1996" s="44" t="s">
        <v>405</v>
      </c>
      <c r="N1996" s="44" t="s">
        <v>7978</v>
      </c>
      <c r="O1996" s="44" t="str">
        <f t="shared" si="160"/>
        <v>PE-L1-1C240-02</v>
      </c>
      <c r="P1996" s="45" t="s">
        <v>3433</v>
      </c>
      <c r="Q1996" s="44">
        <v>700</v>
      </c>
      <c r="R1996" s="44" t="s">
        <v>509</v>
      </c>
      <c r="S1996" s="44">
        <v>40</v>
      </c>
      <c r="T1996" s="46" t="s">
        <v>7981</v>
      </c>
      <c r="U1996" s="46" t="s">
        <v>8234</v>
      </c>
      <c r="V1996" s="46" t="s">
        <v>8236</v>
      </c>
      <c r="W1996" s="46" t="s">
        <v>8694</v>
      </c>
      <c r="X1996" s="47" t="s">
        <v>8116</v>
      </c>
      <c r="Y1996" s="47" t="s">
        <v>7794</v>
      </c>
      <c r="Z1996" s="46" t="s">
        <v>7401</v>
      </c>
      <c r="AA1996" s="46" t="s">
        <v>4003</v>
      </c>
      <c r="AB1996" s="47" t="s">
        <v>8116</v>
      </c>
      <c r="AC1996" s="48" t="s">
        <v>7795</v>
      </c>
      <c r="AD1996" s="30"/>
      <c r="AE1996" s="192">
        <v>1</v>
      </c>
      <c r="AF1996" s="100" t="s">
        <v>8822</v>
      </c>
      <c r="AG1996" s="100" t="s">
        <v>8932</v>
      </c>
      <c r="AH1996" s="108">
        <v>25.5</v>
      </c>
      <c r="AK1996" s="241">
        <v>1</v>
      </c>
      <c r="AL1996" s="241" t="s">
        <v>9576</v>
      </c>
      <c r="AM1996" s="241">
        <v>1</v>
      </c>
      <c r="AN1996" s="241">
        <v>1</v>
      </c>
      <c r="AO1996" s="241" t="s">
        <v>9576</v>
      </c>
      <c r="AP1996" s="243">
        <v>1</v>
      </c>
      <c r="AQ1996" s="242" t="s">
        <v>9580</v>
      </c>
    </row>
    <row r="1997" spans="1:43" s="32" customFormat="1" ht="69.95" hidden="1" customHeight="1">
      <c r="A1997" s="29" t="s">
        <v>8671</v>
      </c>
      <c r="B1997" s="29" t="s">
        <v>3769</v>
      </c>
      <c r="C1997" s="32">
        <v>94</v>
      </c>
      <c r="E1997" s="71" t="s">
        <v>245</v>
      </c>
      <c r="F1997" s="71" t="s">
        <v>245</v>
      </c>
      <c r="G1997" s="29" t="s">
        <v>8154</v>
      </c>
      <c r="H1997" s="29"/>
      <c r="I1997" s="29"/>
      <c r="J1997" s="29">
        <f t="shared" si="159"/>
        <v>1</v>
      </c>
      <c r="K1997" s="42">
        <v>1983</v>
      </c>
      <c r="L1997" s="43" t="s">
        <v>8239</v>
      </c>
      <c r="M1997" s="43" t="s">
        <v>405</v>
      </c>
      <c r="N1997" s="44" t="s">
        <v>7978</v>
      </c>
      <c r="O1997" s="44" t="str">
        <f t="shared" si="160"/>
        <v>PE-L1-1C240-02</v>
      </c>
      <c r="P1997" s="51" t="s">
        <v>3433</v>
      </c>
      <c r="Q1997" s="43">
        <v>700</v>
      </c>
      <c r="R1997" s="43" t="s">
        <v>509</v>
      </c>
      <c r="S1997" s="43">
        <v>40</v>
      </c>
      <c r="T1997" s="46" t="s">
        <v>7981</v>
      </c>
      <c r="U1997" s="46" t="s">
        <v>8234</v>
      </c>
      <c r="V1997" s="46" t="s">
        <v>8236</v>
      </c>
      <c r="W1997" s="46" t="s">
        <v>8694</v>
      </c>
      <c r="X1997" s="47" t="s">
        <v>8116</v>
      </c>
      <c r="Y1997" s="43" t="s">
        <v>7794</v>
      </c>
      <c r="Z1997" s="43" t="s">
        <v>7401</v>
      </c>
      <c r="AA1997" s="43" t="s">
        <v>4003</v>
      </c>
      <c r="AB1997" s="47" t="s">
        <v>8116</v>
      </c>
      <c r="AC1997" s="52" t="s">
        <v>7795</v>
      </c>
      <c r="AD1997" s="30"/>
      <c r="AE1997" s="192">
        <v>1</v>
      </c>
      <c r="AF1997" s="100" t="s">
        <v>8822</v>
      </c>
      <c r="AG1997" s="100" t="s">
        <v>8932</v>
      </c>
      <c r="AH1997" s="108">
        <v>25.5</v>
      </c>
      <c r="AK1997" s="241">
        <v>1</v>
      </c>
      <c r="AL1997" s="241" t="s">
        <v>9576</v>
      </c>
      <c r="AM1997" s="241">
        <v>1</v>
      </c>
      <c r="AN1997" s="241">
        <v>1</v>
      </c>
      <c r="AO1997" s="241" t="s">
        <v>9576</v>
      </c>
      <c r="AP1997" s="243">
        <v>1</v>
      </c>
      <c r="AQ1997" s="242" t="s">
        <v>9580</v>
      </c>
    </row>
    <row r="1998" spans="1:43" s="32" customFormat="1" ht="69.95" hidden="1" customHeight="1">
      <c r="A1998" s="29" t="s">
        <v>8671</v>
      </c>
      <c r="B1998" s="29" t="s">
        <v>3769</v>
      </c>
      <c r="C1998" s="32">
        <v>95</v>
      </c>
      <c r="E1998" s="71" t="s">
        <v>245</v>
      </c>
      <c r="F1998" s="71" t="s">
        <v>245</v>
      </c>
      <c r="G1998" s="29" t="s">
        <v>8154</v>
      </c>
      <c r="H1998" s="29"/>
      <c r="I1998" s="29"/>
      <c r="J1998" s="29">
        <f t="shared" si="159"/>
        <v>1</v>
      </c>
      <c r="K1998" s="42">
        <v>1984</v>
      </c>
      <c r="L1998" s="43" t="s">
        <v>8240</v>
      </c>
      <c r="M1998" s="43" t="s">
        <v>405</v>
      </c>
      <c r="N1998" s="44" t="s">
        <v>7978</v>
      </c>
      <c r="O1998" s="44" t="str">
        <f t="shared" si="160"/>
        <v>PE-L1-1C240-02</v>
      </c>
      <c r="P1998" s="51" t="s">
        <v>3433</v>
      </c>
      <c r="Q1998" s="43">
        <v>700</v>
      </c>
      <c r="R1998" s="43" t="s">
        <v>509</v>
      </c>
      <c r="S1998" s="43">
        <v>40</v>
      </c>
      <c r="T1998" s="46" t="s">
        <v>7981</v>
      </c>
      <c r="U1998" s="46" t="s">
        <v>8234</v>
      </c>
      <c r="V1998" s="46" t="s">
        <v>8236</v>
      </c>
      <c r="W1998" s="46" t="s">
        <v>8694</v>
      </c>
      <c r="X1998" s="47" t="s">
        <v>8116</v>
      </c>
      <c r="Y1998" s="43" t="s">
        <v>7794</v>
      </c>
      <c r="Z1998" s="43" t="s">
        <v>7401</v>
      </c>
      <c r="AA1998" s="43" t="s">
        <v>4003</v>
      </c>
      <c r="AB1998" s="47" t="s">
        <v>8116</v>
      </c>
      <c r="AC1998" s="48" t="s">
        <v>7795</v>
      </c>
      <c r="AD1998" s="30"/>
      <c r="AE1998" s="192">
        <v>1</v>
      </c>
      <c r="AF1998" s="100" t="s">
        <v>8822</v>
      </c>
      <c r="AG1998" s="100" t="s">
        <v>8932</v>
      </c>
      <c r="AH1998" s="108">
        <v>25.5</v>
      </c>
      <c r="AK1998" s="241">
        <v>1</v>
      </c>
      <c r="AL1998" s="241" t="s">
        <v>9576</v>
      </c>
      <c r="AM1998" s="241">
        <v>1</v>
      </c>
      <c r="AN1998" s="241">
        <v>1</v>
      </c>
      <c r="AO1998" s="241" t="s">
        <v>9576</v>
      </c>
      <c r="AP1998" s="243">
        <v>1</v>
      </c>
      <c r="AQ1998" s="242" t="s">
        <v>9580</v>
      </c>
    </row>
    <row r="1999" spans="1:43" s="32" customFormat="1" ht="69.95" hidden="1" customHeight="1">
      <c r="A1999" s="29" t="s">
        <v>8671</v>
      </c>
      <c r="B1999" s="29" t="s">
        <v>3769</v>
      </c>
      <c r="C1999" s="32">
        <v>96</v>
      </c>
      <c r="E1999" s="71" t="s">
        <v>245</v>
      </c>
      <c r="F1999" s="71" t="s">
        <v>245</v>
      </c>
      <c r="G1999" s="29" t="s">
        <v>8154</v>
      </c>
      <c r="H1999" s="29"/>
      <c r="I1999" s="29"/>
      <c r="J1999" s="29">
        <f t="shared" si="159"/>
        <v>1</v>
      </c>
      <c r="K1999" s="42">
        <v>1985</v>
      </c>
      <c r="L1999" s="43" t="s">
        <v>8241</v>
      </c>
      <c r="M1999" s="43" t="s">
        <v>405</v>
      </c>
      <c r="N1999" s="44" t="s">
        <v>7978</v>
      </c>
      <c r="O1999" s="44" t="str">
        <f t="shared" si="160"/>
        <v>PE-L1-1C240-02</v>
      </c>
      <c r="P1999" s="51" t="s">
        <v>3433</v>
      </c>
      <c r="Q1999" s="43">
        <v>700</v>
      </c>
      <c r="R1999" s="43" t="s">
        <v>509</v>
      </c>
      <c r="S1999" s="43">
        <v>40</v>
      </c>
      <c r="T1999" s="46" t="s">
        <v>7981</v>
      </c>
      <c r="U1999" s="46" t="s">
        <v>8234</v>
      </c>
      <c r="V1999" s="46" t="s">
        <v>8236</v>
      </c>
      <c r="W1999" s="46" t="s">
        <v>8694</v>
      </c>
      <c r="X1999" s="47" t="s">
        <v>8116</v>
      </c>
      <c r="Y1999" s="43" t="s">
        <v>7794</v>
      </c>
      <c r="Z1999" s="43" t="s">
        <v>7401</v>
      </c>
      <c r="AA1999" s="43" t="s">
        <v>4003</v>
      </c>
      <c r="AB1999" s="47" t="s">
        <v>8116</v>
      </c>
      <c r="AC1999" s="52" t="s">
        <v>7795</v>
      </c>
      <c r="AD1999" s="30"/>
      <c r="AE1999" s="192">
        <v>1</v>
      </c>
      <c r="AF1999" s="100" t="s">
        <v>8822</v>
      </c>
      <c r="AG1999" s="100" t="s">
        <v>8932</v>
      </c>
      <c r="AH1999" s="108">
        <v>25.5</v>
      </c>
      <c r="AK1999" s="241">
        <v>1</v>
      </c>
      <c r="AL1999" s="241" t="s">
        <v>9576</v>
      </c>
      <c r="AM1999" s="241">
        <v>1</v>
      </c>
      <c r="AN1999" s="241">
        <v>1</v>
      </c>
      <c r="AO1999" s="241" t="s">
        <v>9576</v>
      </c>
      <c r="AP1999" s="243">
        <v>1</v>
      </c>
      <c r="AQ1999" s="242" t="s">
        <v>9580</v>
      </c>
    </row>
    <row r="2000" spans="1:43" s="32" customFormat="1" ht="69.95" hidden="1" customHeight="1">
      <c r="A2000" s="29" t="s">
        <v>8671</v>
      </c>
      <c r="B2000" s="29" t="s">
        <v>3769</v>
      </c>
      <c r="C2000" s="32">
        <v>97</v>
      </c>
      <c r="E2000" s="71" t="s">
        <v>245</v>
      </c>
      <c r="F2000" s="71" t="s">
        <v>245</v>
      </c>
      <c r="G2000" s="29" t="s">
        <v>8154</v>
      </c>
      <c r="H2000" s="29"/>
      <c r="I2000" s="29"/>
      <c r="J2000" s="29">
        <f t="shared" si="159"/>
        <v>1</v>
      </c>
      <c r="K2000" s="42">
        <v>1986</v>
      </c>
      <c r="L2000" s="43" t="s">
        <v>8242</v>
      </c>
      <c r="M2000" s="43" t="s">
        <v>405</v>
      </c>
      <c r="N2000" s="44" t="s">
        <v>7978</v>
      </c>
      <c r="O2000" s="44" t="str">
        <f t="shared" si="160"/>
        <v>PE-L1-1C240-02</v>
      </c>
      <c r="P2000" s="51" t="s">
        <v>3433</v>
      </c>
      <c r="Q2000" s="43">
        <v>700</v>
      </c>
      <c r="R2000" s="43" t="s">
        <v>509</v>
      </c>
      <c r="S2000" s="43">
        <v>40</v>
      </c>
      <c r="T2000" s="46" t="s">
        <v>7981</v>
      </c>
      <c r="U2000" s="46" t="s">
        <v>8234</v>
      </c>
      <c r="V2000" s="46" t="s">
        <v>8236</v>
      </c>
      <c r="W2000" s="46" t="s">
        <v>8694</v>
      </c>
      <c r="X2000" s="47" t="s">
        <v>8117</v>
      </c>
      <c r="Y2000" s="43" t="s">
        <v>7794</v>
      </c>
      <c r="Z2000" s="43" t="s">
        <v>7401</v>
      </c>
      <c r="AA2000" s="43" t="s">
        <v>4003</v>
      </c>
      <c r="AB2000" s="47" t="s">
        <v>8117</v>
      </c>
      <c r="AC2000" s="48" t="s">
        <v>7795</v>
      </c>
      <c r="AD2000" s="30"/>
      <c r="AE2000" s="192">
        <v>1</v>
      </c>
      <c r="AF2000" s="100" t="s">
        <v>8822</v>
      </c>
      <c r="AG2000" s="100" t="s">
        <v>8932</v>
      </c>
      <c r="AH2000" s="108">
        <v>25.5</v>
      </c>
      <c r="AK2000" s="241">
        <v>1</v>
      </c>
      <c r="AL2000" s="241" t="s">
        <v>9576</v>
      </c>
      <c r="AM2000" s="241">
        <v>1</v>
      </c>
      <c r="AN2000" s="241">
        <v>1</v>
      </c>
      <c r="AO2000" s="241" t="s">
        <v>9576</v>
      </c>
      <c r="AP2000" s="243">
        <v>1</v>
      </c>
      <c r="AQ2000" s="242" t="s">
        <v>9580</v>
      </c>
    </row>
    <row r="2001" spans="1:43" s="32" customFormat="1" ht="69.95" hidden="1" customHeight="1">
      <c r="A2001" s="29" t="s">
        <v>8671</v>
      </c>
      <c r="B2001" s="29" t="s">
        <v>3769</v>
      </c>
      <c r="C2001" s="32">
        <v>98</v>
      </c>
      <c r="E2001" s="71" t="s">
        <v>245</v>
      </c>
      <c r="F2001" s="71" t="s">
        <v>245</v>
      </c>
      <c r="G2001" s="29" t="s">
        <v>8154</v>
      </c>
      <c r="H2001" s="29"/>
      <c r="I2001" s="29"/>
      <c r="J2001" s="29">
        <f t="shared" si="159"/>
        <v>1</v>
      </c>
      <c r="K2001" s="42">
        <v>1987</v>
      </c>
      <c r="L2001" s="43" t="s">
        <v>8243</v>
      </c>
      <c r="M2001" s="43" t="s">
        <v>405</v>
      </c>
      <c r="N2001" s="44" t="s">
        <v>7978</v>
      </c>
      <c r="O2001" s="44" t="str">
        <f t="shared" si="160"/>
        <v>PE-L1-1C240-02</v>
      </c>
      <c r="P2001" s="51" t="s">
        <v>3433</v>
      </c>
      <c r="Q2001" s="43">
        <v>700</v>
      </c>
      <c r="R2001" s="43" t="s">
        <v>509</v>
      </c>
      <c r="S2001" s="43">
        <v>40</v>
      </c>
      <c r="T2001" s="46" t="s">
        <v>7981</v>
      </c>
      <c r="U2001" s="46" t="s">
        <v>8234</v>
      </c>
      <c r="V2001" s="46" t="s">
        <v>8236</v>
      </c>
      <c r="W2001" s="46" t="s">
        <v>8694</v>
      </c>
      <c r="X2001" s="47" t="s">
        <v>8117</v>
      </c>
      <c r="Y2001" s="43" t="s">
        <v>7794</v>
      </c>
      <c r="Z2001" s="43" t="s">
        <v>7401</v>
      </c>
      <c r="AA2001" s="43" t="s">
        <v>4003</v>
      </c>
      <c r="AB2001" s="47" t="s">
        <v>8117</v>
      </c>
      <c r="AC2001" s="52" t="s">
        <v>7795</v>
      </c>
      <c r="AD2001" s="30"/>
      <c r="AE2001" s="192">
        <v>1</v>
      </c>
      <c r="AF2001" s="100" t="s">
        <v>8822</v>
      </c>
      <c r="AG2001" s="100" t="s">
        <v>8932</v>
      </c>
      <c r="AH2001" s="108">
        <v>25.5</v>
      </c>
      <c r="AK2001" s="241">
        <v>1</v>
      </c>
      <c r="AL2001" s="241" t="s">
        <v>9576</v>
      </c>
      <c r="AM2001" s="241">
        <v>1</v>
      </c>
      <c r="AN2001" s="241">
        <v>1</v>
      </c>
      <c r="AO2001" s="241" t="s">
        <v>9576</v>
      </c>
      <c r="AP2001" s="243">
        <v>1</v>
      </c>
      <c r="AQ2001" s="242" t="s">
        <v>9580</v>
      </c>
    </row>
    <row r="2002" spans="1:43" s="32" customFormat="1" ht="69.95" hidden="1" customHeight="1">
      <c r="A2002" s="29" t="s">
        <v>8671</v>
      </c>
      <c r="B2002" s="29" t="s">
        <v>3769</v>
      </c>
      <c r="C2002" s="32">
        <v>98</v>
      </c>
      <c r="E2002" s="71" t="s">
        <v>245</v>
      </c>
      <c r="F2002" s="71" t="s">
        <v>245</v>
      </c>
      <c r="G2002" s="29" t="s">
        <v>8154</v>
      </c>
      <c r="H2002" s="29"/>
      <c r="I2002" s="29"/>
      <c r="J2002" s="29">
        <f t="shared" si="159"/>
        <v>1</v>
      </c>
      <c r="K2002" s="42">
        <v>1988</v>
      </c>
      <c r="L2002" s="43" t="s">
        <v>8245</v>
      </c>
      <c r="M2002" s="43" t="s">
        <v>405</v>
      </c>
      <c r="N2002" s="44" t="s">
        <v>7978</v>
      </c>
      <c r="O2002" s="44" t="str">
        <f t="shared" si="160"/>
        <v>PE-L1-1C240-02</v>
      </c>
      <c r="P2002" s="51" t="s">
        <v>3433</v>
      </c>
      <c r="Q2002" s="43">
        <v>700</v>
      </c>
      <c r="R2002" s="43" t="s">
        <v>509</v>
      </c>
      <c r="S2002" s="43">
        <v>40</v>
      </c>
      <c r="T2002" s="46" t="s">
        <v>7981</v>
      </c>
      <c r="U2002" s="46" t="s">
        <v>8234</v>
      </c>
      <c r="V2002" s="46" t="s">
        <v>8236</v>
      </c>
      <c r="W2002" s="46" t="s">
        <v>8694</v>
      </c>
      <c r="X2002" s="47" t="s">
        <v>8117</v>
      </c>
      <c r="Y2002" s="43" t="s">
        <v>7794</v>
      </c>
      <c r="Z2002" s="43" t="s">
        <v>7401</v>
      </c>
      <c r="AA2002" s="43" t="s">
        <v>4003</v>
      </c>
      <c r="AB2002" s="47" t="s">
        <v>8117</v>
      </c>
      <c r="AC2002" s="52" t="s">
        <v>7795</v>
      </c>
      <c r="AD2002" s="30"/>
      <c r="AE2002" s="192">
        <v>1</v>
      </c>
      <c r="AF2002" s="100" t="s">
        <v>8822</v>
      </c>
      <c r="AG2002" s="100" t="s">
        <v>8932</v>
      </c>
      <c r="AH2002" s="108">
        <v>25.5</v>
      </c>
      <c r="AK2002" s="241">
        <v>1</v>
      </c>
      <c r="AL2002" s="241" t="s">
        <v>9576</v>
      </c>
      <c r="AM2002" s="241">
        <v>1</v>
      </c>
      <c r="AN2002" s="241">
        <v>1</v>
      </c>
      <c r="AO2002" s="241" t="s">
        <v>9576</v>
      </c>
      <c r="AP2002" s="243">
        <v>1</v>
      </c>
      <c r="AQ2002" s="242" t="s">
        <v>9580</v>
      </c>
    </row>
    <row r="2003" spans="1:43" s="32" customFormat="1" ht="69.95" hidden="1" customHeight="1">
      <c r="A2003" s="29" t="s">
        <v>8671</v>
      </c>
      <c r="B2003" s="29" t="s">
        <v>3769</v>
      </c>
      <c r="C2003" s="32">
        <v>98</v>
      </c>
      <c r="E2003" s="71" t="s">
        <v>245</v>
      </c>
      <c r="F2003" s="71" t="s">
        <v>245</v>
      </c>
      <c r="G2003" s="29" t="s">
        <v>8154</v>
      </c>
      <c r="H2003" s="29"/>
      <c r="I2003" s="29"/>
      <c r="J2003" s="29">
        <f t="shared" si="159"/>
        <v>1</v>
      </c>
      <c r="K2003" s="42">
        <v>1989</v>
      </c>
      <c r="L2003" s="43" t="s">
        <v>8246</v>
      </c>
      <c r="M2003" s="43" t="s">
        <v>405</v>
      </c>
      <c r="N2003" s="44" t="s">
        <v>7978</v>
      </c>
      <c r="O2003" s="44" t="str">
        <f t="shared" si="160"/>
        <v>PE-L1-1C240-02</v>
      </c>
      <c r="P2003" s="51" t="s">
        <v>3433</v>
      </c>
      <c r="Q2003" s="43">
        <v>700</v>
      </c>
      <c r="R2003" s="43" t="s">
        <v>509</v>
      </c>
      <c r="S2003" s="43">
        <v>40</v>
      </c>
      <c r="T2003" s="46" t="s">
        <v>7981</v>
      </c>
      <c r="U2003" s="46" t="s">
        <v>8234</v>
      </c>
      <c r="V2003" s="46" t="s">
        <v>8236</v>
      </c>
      <c r="W2003" s="46" t="s">
        <v>8694</v>
      </c>
      <c r="X2003" s="47" t="s">
        <v>8117</v>
      </c>
      <c r="Y2003" s="43" t="s">
        <v>7794</v>
      </c>
      <c r="Z2003" s="43" t="s">
        <v>7401</v>
      </c>
      <c r="AA2003" s="43" t="s">
        <v>4003</v>
      </c>
      <c r="AB2003" s="47" t="s">
        <v>8117</v>
      </c>
      <c r="AC2003" s="52" t="s">
        <v>7795</v>
      </c>
      <c r="AD2003" s="30"/>
      <c r="AE2003" s="192">
        <v>1</v>
      </c>
      <c r="AF2003" s="100" t="s">
        <v>8822</v>
      </c>
      <c r="AG2003" s="100" t="s">
        <v>8932</v>
      </c>
      <c r="AH2003" s="108">
        <v>25.5</v>
      </c>
      <c r="AK2003" s="241">
        <v>1</v>
      </c>
      <c r="AL2003" s="241" t="s">
        <v>9576</v>
      </c>
      <c r="AM2003" s="241">
        <v>1</v>
      </c>
      <c r="AN2003" s="241">
        <v>1</v>
      </c>
      <c r="AO2003" s="241" t="s">
        <v>9576</v>
      </c>
      <c r="AP2003" s="243">
        <v>1</v>
      </c>
      <c r="AQ2003" s="242" t="s">
        <v>9580</v>
      </c>
    </row>
    <row r="2004" spans="1:43" s="32" customFormat="1" ht="69.95" hidden="1" customHeight="1">
      <c r="A2004" s="29" t="s">
        <v>7796</v>
      </c>
      <c r="B2004" s="29" t="s">
        <v>3769</v>
      </c>
      <c r="C2004" s="32">
        <v>99</v>
      </c>
      <c r="E2004" s="57" t="s">
        <v>8164</v>
      </c>
      <c r="F2004" s="57" t="s">
        <v>8164</v>
      </c>
      <c r="G2004" s="29" t="s">
        <v>3751</v>
      </c>
      <c r="H2004" s="29"/>
      <c r="I2004" s="29"/>
      <c r="J2004" s="29">
        <f t="shared" si="159"/>
        <v>1</v>
      </c>
      <c r="K2004" s="42">
        <v>1990</v>
      </c>
      <c r="L2004" s="43" t="s">
        <v>3752</v>
      </c>
      <c r="M2004" s="44" t="s">
        <v>405</v>
      </c>
      <c r="N2004" s="44" t="s">
        <v>578</v>
      </c>
      <c r="O2004" s="44" t="str">
        <f t="shared" si="160"/>
        <v>PE-L1-2C4-07</v>
      </c>
      <c r="P2004" s="45">
        <v>1</v>
      </c>
      <c r="Q2004" s="44">
        <v>220</v>
      </c>
      <c r="R2004" s="44" t="s">
        <v>509</v>
      </c>
      <c r="S2004" s="44">
        <v>130</v>
      </c>
      <c r="T2004" s="46" t="s">
        <v>7981</v>
      </c>
      <c r="U2004" s="46" t="s">
        <v>7796</v>
      </c>
      <c r="V2004" s="46" t="s">
        <v>8137</v>
      </c>
      <c r="W2004" s="46" t="s">
        <v>386</v>
      </c>
      <c r="X2004" s="47" t="s">
        <v>8738</v>
      </c>
      <c r="Y2004" s="47" t="s">
        <v>7797</v>
      </c>
      <c r="Z2004" s="46" t="s">
        <v>7404</v>
      </c>
      <c r="AA2004" s="46" t="s">
        <v>4003</v>
      </c>
      <c r="AB2004" s="47" t="s">
        <v>8738</v>
      </c>
      <c r="AC2004" s="48" t="s">
        <v>8457</v>
      </c>
      <c r="AD2004" s="30"/>
      <c r="AE2004" s="192">
        <v>1</v>
      </c>
      <c r="AF2004" s="100" t="s">
        <v>8722</v>
      </c>
      <c r="AG2004" s="100" t="s">
        <v>8925</v>
      </c>
      <c r="AH2004" s="108">
        <v>12.5</v>
      </c>
    </row>
    <row r="2005" spans="1:43" s="32" customFormat="1" ht="69.95" hidden="1" customHeight="1">
      <c r="A2005" s="29" t="s">
        <v>7798</v>
      </c>
      <c r="B2005" s="29" t="s">
        <v>8658</v>
      </c>
      <c r="C2005" s="32">
        <v>100</v>
      </c>
      <c r="E2005" s="57" t="s">
        <v>8297</v>
      </c>
      <c r="F2005" s="57" t="s">
        <v>8300</v>
      </c>
      <c r="G2005" s="29" t="s">
        <v>3753</v>
      </c>
      <c r="H2005" s="29"/>
      <c r="I2005" s="29"/>
      <c r="J2005" s="29">
        <f t="shared" si="159"/>
        <v>1</v>
      </c>
      <c r="K2005" s="42">
        <v>1991</v>
      </c>
      <c r="L2005" s="43" t="s">
        <v>3754</v>
      </c>
      <c r="M2005" s="44" t="s">
        <v>405</v>
      </c>
      <c r="N2005" s="44" t="s">
        <v>7984</v>
      </c>
      <c r="O2005" s="44" t="str">
        <f t="shared" si="160"/>
        <v>PE-L1-3C4-24</v>
      </c>
      <c r="P2005" s="45">
        <v>1</v>
      </c>
      <c r="Q2005" s="44">
        <v>230</v>
      </c>
      <c r="R2005" s="44" t="s">
        <v>49</v>
      </c>
      <c r="S2005" s="44">
        <v>130</v>
      </c>
      <c r="T2005" s="46" t="s">
        <v>7981</v>
      </c>
      <c r="U2005" s="46" t="s">
        <v>7798</v>
      </c>
      <c r="V2005" s="46" t="s">
        <v>8692</v>
      </c>
      <c r="W2005" s="46" t="s">
        <v>386</v>
      </c>
      <c r="X2005" s="172" t="s">
        <v>9167</v>
      </c>
      <c r="Y2005" s="47" t="s">
        <v>7799</v>
      </c>
      <c r="Z2005" s="46" t="s">
        <v>7408</v>
      </c>
      <c r="AA2005" s="46" t="s">
        <v>4003</v>
      </c>
      <c r="AB2005" s="172" t="s">
        <v>9167</v>
      </c>
      <c r="AC2005" s="48" t="s">
        <v>8458</v>
      </c>
      <c r="AD2005" s="30"/>
      <c r="AE2005" s="192">
        <v>1</v>
      </c>
      <c r="AF2005" s="100" t="s">
        <v>8722</v>
      </c>
      <c r="AG2005" s="100" t="s">
        <v>8925</v>
      </c>
      <c r="AH2005" s="100">
        <v>13</v>
      </c>
    </row>
    <row r="2006" spans="1:43" s="32" customFormat="1" ht="69.95" hidden="1" customHeight="1">
      <c r="A2006" s="29" t="s">
        <v>7800</v>
      </c>
      <c r="B2006" s="29" t="s">
        <v>8658</v>
      </c>
      <c r="C2006" s="32">
        <v>101</v>
      </c>
      <c r="E2006" s="57" t="s">
        <v>8164</v>
      </c>
      <c r="F2006" s="57" t="s">
        <v>8164</v>
      </c>
      <c r="G2006" s="29" t="s">
        <v>3755</v>
      </c>
      <c r="H2006" s="29"/>
      <c r="I2006" s="29"/>
      <c r="J2006" s="29">
        <f t="shared" si="159"/>
        <v>1</v>
      </c>
      <c r="K2006" s="42">
        <v>1992</v>
      </c>
      <c r="L2006" s="43" t="s">
        <v>3756</v>
      </c>
      <c r="M2006" s="44" t="s">
        <v>405</v>
      </c>
      <c r="N2006" s="44" t="s">
        <v>8148</v>
      </c>
      <c r="O2006" s="44" t="str">
        <f t="shared" si="160"/>
        <v>PE-L1-2C4-07</v>
      </c>
      <c r="P2006" s="45">
        <v>0.22</v>
      </c>
      <c r="Q2006" s="44">
        <v>220</v>
      </c>
      <c r="R2006" s="44" t="s">
        <v>509</v>
      </c>
      <c r="S2006" s="44">
        <v>40</v>
      </c>
      <c r="T2006" s="46" t="s">
        <v>7981</v>
      </c>
      <c r="U2006" s="46" t="s">
        <v>7800</v>
      </c>
      <c r="V2006" s="46" t="s">
        <v>8137</v>
      </c>
      <c r="W2006" s="46" t="s">
        <v>386</v>
      </c>
      <c r="X2006" s="47" t="s">
        <v>8738</v>
      </c>
      <c r="Y2006" s="47" t="s">
        <v>7801</v>
      </c>
      <c r="Z2006" s="46" t="s">
        <v>7412</v>
      </c>
      <c r="AA2006" s="46" t="s">
        <v>4003</v>
      </c>
      <c r="AB2006" s="47" t="s">
        <v>8738</v>
      </c>
      <c r="AC2006" s="48" t="s">
        <v>7802</v>
      </c>
      <c r="AD2006" s="30"/>
      <c r="AE2006" s="192">
        <v>1</v>
      </c>
      <c r="AF2006" s="100" t="s">
        <v>8722</v>
      </c>
      <c r="AG2006" s="100" t="s">
        <v>8925</v>
      </c>
      <c r="AH2006" s="108">
        <v>12.5</v>
      </c>
    </row>
    <row r="2007" spans="1:43" s="32" customFormat="1" ht="69.95" hidden="1" customHeight="1">
      <c r="A2007" s="29" t="s">
        <v>7803</v>
      </c>
      <c r="B2007" s="29" t="s">
        <v>8658</v>
      </c>
      <c r="C2007" s="32">
        <v>102</v>
      </c>
      <c r="E2007" s="57" t="s">
        <v>8297</v>
      </c>
      <c r="F2007" s="57" t="s">
        <v>8300</v>
      </c>
      <c r="G2007" s="29" t="s">
        <v>3757</v>
      </c>
      <c r="H2007" s="29"/>
      <c r="I2007" s="29"/>
      <c r="J2007" s="29">
        <f t="shared" si="159"/>
        <v>1</v>
      </c>
      <c r="K2007" s="42">
        <v>1993</v>
      </c>
      <c r="L2007" s="43" t="s">
        <v>3758</v>
      </c>
      <c r="M2007" s="44" t="s">
        <v>405</v>
      </c>
      <c r="N2007" s="44" t="s">
        <v>7984</v>
      </c>
      <c r="O2007" s="44" t="str">
        <f t="shared" si="160"/>
        <v>PE-L1-3C4-24</v>
      </c>
      <c r="P2007" s="45">
        <v>1</v>
      </c>
      <c r="Q2007" s="44">
        <v>230</v>
      </c>
      <c r="R2007" s="44" t="s">
        <v>49</v>
      </c>
      <c r="S2007" s="44">
        <v>40</v>
      </c>
      <c r="T2007" s="46" t="s">
        <v>7981</v>
      </c>
      <c r="U2007" s="46" t="s">
        <v>7803</v>
      </c>
      <c r="V2007" s="46" t="s">
        <v>8692</v>
      </c>
      <c r="W2007" s="46" t="s">
        <v>386</v>
      </c>
      <c r="X2007" s="172" t="s">
        <v>9167</v>
      </c>
      <c r="Y2007" s="47" t="s">
        <v>7804</v>
      </c>
      <c r="Z2007" s="46" t="s">
        <v>7416</v>
      </c>
      <c r="AA2007" s="46" t="s">
        <v>4003</v>
      </c>
      <c r="AB2007" s="172" t="s">
        <v>9167</v>
      </c>
      <c r="AC2007" s="48" t="s">
        <v>7805</v>
      </c>
      <c r="AD2007" s="30"/>
      <c r="AE2007" s="192">
        <v>1</v>
      </c>
      <c r="AF2007" s="100" t="s">
        <v>8722</v>
      </c>
      <c r="AG2007" s="100" t="s">
        <v>8925</v>
      </c>
      <c r="AH2007" s="100">
        <v>13</v>
      </c>
    </row>
    <row r="2008" spans="1:43" s="32" customFormat="1" ht="69.95" hidden="1" customHeight="1">
      <c r="A2008" s="29" t="s">
        <v>8672</v>
      </c>
      <c r="B2008" s="29" t="s">
        <v>8658</v>
      </c>
      <c r="C2008" s="32">
        <v>103</v>
      </c>
      <c r="E2008" s="57" t="s">
        <v>8164</v>
      </c>
      <c r="F2008" s="57" t="s">
        <v>8164</v>
      </c>
      <c r="G2008" s="29" t="s">
        <v>3759</v>
      </c>
      <c r="H2008" s="29"/>
      <c r="I2008" s="29"/>
      <c r="J2008" s="29">
        <f t="shared" si="159"/>
        <v>1</v>
      </c>
      <c r="K2008" s="42">
        <v>1994</v>
      </c>
      <c r="L2008" s="43" t="s">
        <v>3760</v>
      </c>
      <c r="M2008" s="44" t="s">
        <v>405</v>
      </c>
      <c r="N2008" s="44" t="s">
        <v>578</v>
      </c>
      <c r="O2008" s="44" t="str">
        <f t="shared" si="160"/>
        <v>PE-L1-2C4-07</v>
      </c>
      <c r="P2008" s="45">
        <v>0.44</v>
      </c>
      <c r="Q2008" s="44">
        <v>220</v>
      </c>
      <c r="R2008" s="44" t="s">
        <v>509</v>
      </c>
      <c r="S2008" s="44">
        <v>30</v>
      </c>
      <c r="T2008" s="46" t="s">
        <v>7981</v>
      </c>
      <c r="U2008" s="46" t="s">
        <v>8169</v>
      </c>
      <c r="V2008" s="46" t="s">
        <v>8137</v>
      </c>
      <c r="W2008" s="46" t="s">
        <v>386</v>
      </c>
      <c r="X2008" s="47" t="s">
        <v>8738</v>
      </c>
      <c r="Y2008" s="47" t="s">
        <v>7806</v>
      </c>
      <c r="Z2008" s="46" t="s">
        <v>8309</v>
      </c>
      <c r="AA2008" s="46" t="s">
        <v>4003</v>
      </c>
      <c r="AB2008" s="47" t="s">
        <v>8738</v>
      </c>
      <c r="AC2008" s="48" t="s">
        <v>7653</v>
      </c>
      <c r="AD2008" s="30"/>
      <c r="AE2008" s="192">
        <v>1</v>
      </c>
      <c r="AF2008" s="100" t="s">
        <v>8722</v>
      </c>
      <c r="AG2008" s="100" t="s">
        <v>8925</v>
      </c>
      <c r="AH2008" s="108">
        <v>12.5</v>
      </c>
    </row>
    <row r="2009" spans="1:43" s="32" customFormat="1" ht="69.95" hidden="1" customHeight="1">
      <c r="A2009" s="29" t="s">
        <v>7807</v>
      </c>
      <c r="B2009" s="29" t="s">
        <v>8658</v>
      </c>
      <c r="C2009" s="32">
        <v>104</v>
      </c>
      <c r="E2009" s="56" t="s">
        <v>8297</v>
      </c>
      <c r="F2009" s="56" t="s">
        <v>8300</v>
      </c>
      <c r="G2009" s="29" t="s">
        <v>3761</v>
      </c>
      <c r="H2009" s="29"/>
      <c r="I2009" s="29"/>
      <c r="J2009" s="29">
        <f t="shared" si="159"/>
        <v>1</v>
      </c>
      <c r="K2009" s="42">
        <v>1995</v>
      </c>
      <c r="L2009" s="43" t="s">
        <v>3762</v>
      </c>
      <c r="M2009" s="44" t="s">
        <v>405</v>
      </c>
      <c r="N2009" s="44" t="s">
        <v>7984</v>
      </c>
      <c r="O2009" s="44" t="str">
        <f t="shared" si="160"/>
        <v>PE-L1-3C4-24</v>
      </c>
      <c r="P2009" s="45">
        <v>1</v>
      </c>
      <c r="Q2009" s="44">
        <v>230</v>
      </c>
      <c r="R2009" s="44" t="s">
        <v>49</v>
      </c>
      <c r="S2009" s="44">
        <v>30</v>
      </c>
      <c r="T2009" s="46" t="s">
        <v>7981</v>
      </c>
      <c r="U2009" s="46" t="s">
        <v>7807</v>
      </c>
      <c r="V2009" s="46" t="s">
        <v>8692</v>
      </c>
      <c r="W2009" s="46" t="s">
        <v>386</v>
      </c>
      <c r="X2009" s="172" t="s">
        <v>9167</v>
      </c>
      <c r="Y2009" s="47" t="s">
        <v>7808</v>
      </c>
      <c r="Z2009" s="46" t="s">
        <v>8322</v>
      </c>
      <c r="AA2009" s="46" t="s">
        <v>4003</v>
      </c>
      <c r="AB2009" s="172" t="s">
        <v>9167</v>
      </c>
      <c r="AC2009" s="48" t="s">
        <v>7653</v>
      </c>
      <c r="AD2009" s="30"/>
      <c r="AE2009" s="192">
        <v>1</v>
      </c>
      <c r="AF2009" s="100" t="s">
        <v>8722</v>
      </c>
      <c r="AG2009" s="100" t="s">
        <v>8925</v>
      </c>
      <c r="AH2009" s="100">
        <v>13</v>
      </c>
    </row>
    <row r="2010" spans="1:43" s="32" customFormat="1" ht="69.95" customHeight="1">
      <c r="A2010" s="29" t="s">
        <v>7809</v>
      </c>
      <c r="B2010" s="29" t="s">
        <v>8658</v>
      </c>
      <c r="C2010" s="32">
        <v>105</v>
      </c>
      <c r="E2010" s="57" t="s">
        <v>8165</v>
      </c>
      <c r="F2010" s="57" t="s">
        <v>8165</v>
      </c>
      <c r="G2010" s="29" t="s">
        <v>3763</v>
      </c>
      <c r="H2010" s="29"/>
      <c r="I2010" s="29"/>
      <c r="J2010" s="29">
        <f t="shared" si="159"/>
        <v>1</v>
      </c>
      <c r="K2010" s="42">
        <v>1996</v>
      </c>
      <c r="L2010" s="43" t="s">
        <v>3764</v>
      </c>
      <c r="M2010" s="44" t="s">
        <v>405</v>
      </c>
      <c r="N2010" s="44" t="s">
        <v>536</v>
      </c>
      <c r="O2010" s="44" t="str">
        <f t="shared" si="160"/>
        <v>PE-L1-4C4-24</v>
      </c>
      <c r="P2010" s="45">
        <v>0.55000000000000004</v>
      </c>
      <c r="Q2010" s="44">
        <v>400</v>
      </c>
      <c r="R2010" s="44" t="s">
        <v>412</v>
      </c>
      <c r="S2010" s="44">
        <v>60</v>
      </c>
      <c r="T2010" s="46" t="s">
        <v>7981</v>
      </c>
      <c r="U2010" s="46" t="s">
        <v>7809</v>
      </c>
      <c r="V2010" s="46" t="s">
        <v>8696</v>
      </c>
      <c r="W2010" s="46" t="s">
        <v>386</v>
      </c>
      <c r="X2010" s="47" t="s">
        <v>8721</v>
      </c>
      <c r="Y2010" s="47" t="s">
        <v>7810</v>
      </c>
      <c r="Z2010" s="46" t="s">
        <v>400</v>
      </c>
      <c r="AA2010" s="46" t="s">
        <v>4003</v>
      </c>
      <c r="AB2010" s="47" t="s">
        <v>8721</v>
      </c>
      <c r="AC2010" s="48" t="s">
        <v>8459</v>
      </c>
      <c r="AD2010" s="30"/>
      <c r="AE2010" s="192">
        <v>1</v>
      </c>
      <c r="AF2010" s="100" t="s">
        <v>8722</v>
      </c>
      <c r="AG2010" s="100" t="s">
        <v>8925</v>
      </c>
      <c r="AH2010" s="100">
        <v>14</v>
      </c>
    </row>
    <row r="2011" spans="1:43" s="32" customFormat="1" ht="69.95" customHeight="1">
      <c r="A2011" s="29" t="s">
        <v>7766</v>
      </c>
      <c r="B2011" s="29" t="s">
        <v>8658</v>
      </c>
      <c r="C2011" s="32">
        <v>106</v>
      </c>
      <c r="E2011" s="57" t="s">
        <v>8165</v>
      </c>
      <c r="F2011" s="57" t="s">
        <v>8165</v>
      </c>
      <c r="G2011" s="29" t="s">
        <v>3765</v>
      </c>
      <c r="H2011" s="29"/>
      <c r="I2011" s="29"/>
      <c r="J2011" s="29">
        <f t="shared" si="159"/>
        <v>1</v>
      </c>
      <c r="K2011" s="42">
        <v>1997</v>
      </c>
      <c r="L2011" s="249" t="s">
        <v>3766</v>
      </c>
      <c r="M2011" s="44" t="s">
        <v>405</v>
      </c>
      <c r="N2011" s="44" t="s">
        <v>536</v>
      </c>
      <c r="O2011" s="44" t="str">
        <f t="shared" si="160"/>
        <v>PE-L1-4C4-24</v>
      </c>
      <c r="P2011" s="45">
        <v>0.55000000000000004</v>
      </c>
      <c r="Q2011" s="44">
        <v>400</v>
      </c>
      <c r="R2011" s="44" t="s">
        <v>8323</v>
      </c>
      <c r="S2011" s="44">
        <v>60</v>
      </c>
      <c r="T2011" s="46" t="s">
        <v>7981</v>
      </c>
      <c r="U2011" s="250" t="s">
        <v>9601</v>
      </c>
      <c r="V2011" s="250" t="s">
        <v>8696</v>
      </c>
      <c r="W2011" s="46" t="s">
        <v>386</v>
      </c>
      <c r="X2011" s="47" t="s">
        <v>8721</v>
      </c>
      <c r="Y2011" s="47" t="s">
        <v>7811</v>
      </c>
      <c r="Z2011" s="46" t="s">
        <v>400</v>
      </c>
      <c r="AA2011" s="46" t="s">
        <v>4003</v>
      </c>
      <c r="AB2011" s="47" t="s">
        <v>8721</v>
      </c>
      <c r="AC2011" s="48" t="s">
        <v>8460</v>
      </c>
      <c r="AD2011" s="30"/>
      <c r="AE2011" s="192">
        <v>1</v>
      </c>
      <c r="AF2011" s="100" t="s">
        <v>8722</v>
      </c>
      <c r="AG2011" s="100" t="s">
        <v>8925</v>
      </c>
      <c r="AH2011" s="100">
        <v>14</v>
      </c>
    </row>
    <row r="2012" spans="1:43" s="32" customFormat="1" ht="69.95" hidden="1" customHeight="1">
      <c r="A2012" s="29" t="s">
        <v>7812</v>
      </c>
      <c r="B2012" s="29" t="s">
        <v>3769</v>
      </c>
      <c r="C2012" s="69" t="s">
        <v>32</v>
      </c>
      <c r="D2012" s="69"/>
      <c r="E2012" s="57" t="s">
        <v>8162</v>
      </c>
      <c r="F2012" s="57" t="s">
        <v>8162</v>
      </c>
      <c r="G2012" s="29" t="s">
        <v>3767</v>
      </c>
      <c r="H2012" s="29"/>
      <c r="I2012" s="29"/>
      <c r="J2012" s="29">
        <f t="shared" si="159"/>
        <v>1</v>
      </c>
      <c r="K2012" s="42">
        <v>1998</v>
      </c>
      <c r="L2012" s="43" t="s">
        <v>3768</v>
      </c>
      <c r="M2012" s="44" t="s">
        <v>405</v>
      </c>
      <c r="N2012" s="44" t="s">
        <v>426</v>
      </c>
      <c r="O2012" s="44" t="str">
        <f t="shared" si="160"/>
        <v>PE-L1-3C4-22</v>
      </c>
      <c r="P2012" s="45">
        <v>0.15</v>
      </c>
      <c r="Q2012" s="44">
        <v>230</v>
      </c>
      <c r="R2012" s="44" t="s">
        <v>49</v>
      </c>
      <c r="S2012" s="44">
        <v>30</v>
      </c>
      <c r="T2012" s="46" t="s">
        <v>7981</v>
      </c>
      <c r="U2012" s="46" t="s">
        <v>7812</v>
      </c>
      <c r="V2012" s="46" t="s">
        <v>8698</v>
      </c>
      <c r="W2012" s="46" t="s">
        <v>7813</v>
      </c>
      <c r="X2012" s="172" t="s">
        <v>9167</v>
      </c>
      <c r="Y2012" s="47" t="s">
        <v>7814</v>
      </c>
      <c r="Z2012" s="46" t="s">
        <v>7135</v>
      </c>
      <c r="AA2012" s="46" t="s">
        <v>401</v>
      </c>
      <c r="AB2012" s="172" t="s">
        <v>9167</v>
      </c>
      <c r="AC2012" s="48" t="s">
        <v>7815</v>
      </c>
      <c r="AD2012" s="30"/>
      <c r="AE2012" s="192">
        <v>1</v>
      </c>
      <c r="AF2012" s="100" t="s">
        <v>8722</v>
      </c>
      <c r="AG2012" s="100" t="s">
        <v>8925</v>
      </c>
      <c r="AH2012" s="100">
        <v>13</v>
      </c>
    </row>
    <row r="2013" spans="1:43" s="32" customFormat="1" ht="69.95" hidden="1" customHeight="1">
      <c r="A2013" s="29" t="s">
        <v>7816</v>
      </c>
      <c r="B2013" s="29" t="s">
        <v>3769</v>
      </c>
      <c r="C2013" s="69" t="s">
        <v>36</v>
      </c>
      <c r="D2013" s="69"/>
      <c r="E2013" s="57" t="s">
        <v>8162</v>
      </c>
      <c r="F2013" s="57" t="s">
        <v>8162</v>
      </c>
      <c r="G2013" s="29" t="s">
        <v>3770</v>
      </c>
      <c r="H2013" s="29"/>
      <c r="I2013" s="29"/>
      <c r="J2013" s="29">
        <f t="shared" si="159"/>
        <v>1</v>
      </c>
      <c r="K2013" s="42">
        <v>1999</v>
      </c>
      <c r="L2013" s="43" t="s">
        <v>3771</v>
      </c>
      <c r="M2013" s="44" t="s">
        <v>405</v>
      </c>
      <c r="N2013" s="44" t="s">
        <v>426</v>
      </c>
      <c r="O2013" s="44" t="str">
        <f t="shared" si="160"/>
        <v>PE-L1-3C4-22</v>
      </c>
      <c r="P2013" s="45">
        <v>7.2999999999999995E-2</v>
      </c>
      <c r="Q2013" s="44">
        <v>230</v>
      </c>
      <c r="R2013" s="44" t="s">
        <v>49</v>
      </c>
      <c r="S2013" s="44">
        <v>120</v>
      </c>
      <c r="T2013" s="46" t="s">
        <v>7981</v>
      </c>
      <c r="U2013" s="46" t="s">
        <v>7816</v>
      </c>
      <c r="V2013" s="46" t="s">
        <v>8698</v>
      </c>
      <c r="W2013" s="46" t="s">
        <v>7813</v>
      </c>
      <c r="X2013" s="172" t="s">
        <v>9167</v>
      </c>
      <c r="Y2013" s="47" t="s">
        <v>7817</v>
      </c>
      <c r="Z2013" s="46" t="s">
        <v>7139</v>
      </c>
      <c r="AA2013" s="46" t="s">
        <v>401</v>
      </c>
      <c r="AB2013" s="172" t="s">
        <v>9167</v>
      </c>
      <c r="AC2013" s="48" t="s">
        <v>7818</v>
      </c>
      <c r="AD2013" s="206" t="s">
        <v>8905</v>
      </c>
      <c r="AE2013" s="192">
        <v>1</v>
      </c>
      <c r="AF2013" s="100" t="s">
        <v>8722</v>
      </c>
      <c r="AG2013" s="100" t="s">
        <v>8925</v>
      </c>
      <c r="AH2013" s="100">
        <v>13</v>
      </c>
    </row>
    <row r="2014" spans="1:43" s="32" customFormat="1" ht="69.95" hidden="1" customHeight="1">
      <c r="A2014" s="29" t="s">
        <v>7819</v>
      </c>
      <c r="B2014" s="29" t="s">
        <v>3769</v>
      </c>
      <c r="C2014" s="69" t="s">
        <v>38</v>
      </c>
      <c r="D2014" s="69"/>
      <c r="E2014" s="57" t="s">
        <v>8162</v>
      </c>
      <c r="F2014" s="57" t="s">
        <v>8162</v>
      </c>
      <c r="G2014" s="29" t="s">
        <v>3772</v>
      </c>
      <c r="H2014" s="29"/>
      <c r="I2014" s="29"/>
      <c r="J2014" s="29">
        <f t="shared" si="159"/>
        <v>1</v>
      </c>
      <c r="K2014" s="42">
        <v>2000</v>
      </c>
      <c r="L2014" s="43" t="s">
        <v>3773</v>
      </c>
      <c r="M2014" s="44" t="s">
        <v>405</v>
      </c>
      <c r="N2014" s="44" t="s">
        <v>426</v>
      </c>
      <c r="O2014" s="44" t="str">
        <f t="shared" si="160"/>
        <v>PE-L1-3C4-22</v>
      </c>
      <c r="P2014" s="45">
        <v>7.2999999999999995E-2</v>
      </c>
      <c r="Q2014" s="44">
        <v>230</v>
      </c>
      <c r="R2014" s="44" t="s">
        <v>49</v>
      </c>
      <c r="S2014" s="44">
        <v>120</v>
      </c>
      <c r="T2014" s="46" t="s">
        <v>7981</v>
      </c>
      <c r="U2014" s="46" t="s">
        <v>7819</v>
      </c>
      <c r="V2014" s="46" t="s">
        <v>8698</v>
      </c>
      <c r="W2014" s="46" t="s">
        <v>7813</v>
      </c>
      <c r="X2014" s="172" t="s">
        <v>9167</v>
      </c>
      <c r="Y2014" s="47" t="s">
        <v>7820</v>
      </c>
      <c r="Z2014" s="46" t="s">
        <v>7143</v>
      </c>
      <c r="AA2014" s="46" t="s">
        <v>401</v>
      </c>
      <c r="AB2014" s="172" t="s">
        <v>9167</v>
      </c>
      <c r="AC2014" s="48" t="s">
        <v>7818</v>
      </c>
      <c r="AD2014" s="206" t="s">
        <v>8906</v>
      </c>
      <c r="AE2014" s="192">
        <v>1</v>
      </c>
      <c r="AF2014" s="100" t="s">
        <v>8722</v>
      </c>
      <c r="AG2014" s="100" t="s">
        <v>8925</v>
      </c>
      <c r="AH2014" s="100">
        <v>13</v>
      </c>
    </row>
    <row r="2015" spans="1:43" s="32" customFormat="1" ht="69.95" hidden="1" customHeight="1">
      <c r="A2015" s="29" t="s">
        <v>7821</v>
      </c>
      <c r="B2015" s="29" t="s">
        <v>3769</v>
      </c>
      <c r="C2015" s="69" t="s">
        <v>40</v>
      </c>
      <c r="D2015" s="69"/>
      <c r="E2015" s="57" t="s">
        <v>8162</v>
      </c>
      <c r="F2015" s="57" t="s">
        <v>8162</v>
      </c>
      <c r="G2015" s="29" t="s">
        <v>3774</v>
      </c>
      <c r="H2015" s="29"/>
      <c r="I2015" s="29"/>
      <c r="J2015" s="29">
        <f t="shared" si="159"/>
        <v>1</v>
      </c>
      <c r="K2015" s="42">
        <v>2001</v>
      </c>
      <c r="L2015" s="43" t="s">
        <v>3775</v>
      </c>
      <c r="M2015" s="44" t="s">
        <v>405</v>
      </c>
      <c r="N2015" s="44" t="s">
        <v>426</v>
      </c>
      <c r="O2015" s="44" t="str">
        <f t="shared" si="160"/>
        <v>PE-L1-3C4-22</v>
      </c>
      <c r="P2015" s="45">
        <v>7.2999999999999995E-2</v>
      </c>
      <c r="Q2015" s="44">
        <v>230</v>
      </c>
      <c r="R2015" s="44" t="s">
        <v>49</v>
      </c>
      <c r="S2015" s="44">
        <v>120</v>
      </c>
      <c r="T2015" s="46" t="s">
        <v>7981</v>
      </c>
      <c r="U2015" s="46" t="s">
        <v>7821</v>
      </c>
      <c r="V2015" s="46" t="s">
        <v>8698</v>
      </c>
      <c r="W2015" s="46" t="s">
        <v>7813</v>
      </c>
      <c r="X2015" s="172" t="s">
        <v>9167</v>
      </c>
      <c r="Y2015" s="47" t="s">
        <v>7822</v>
      </c>
      <c r="Z2015" s="46" t="s">
        <v>7146</v>
      </c>
      <c r="AA2015" s="46" t="s">
        <v>401</v>
      </c>
      <c r="AB2015" s="172" t="s">
        <v>9167</v>
      </c>
      <c r="AC2015" s="48" t="s">
        <v>7818</v>
      </c>
      <c r="AD2015" s="206" t="s">
        <v>8907</v>
      </c>
      <c r="AE2015" s="192">
        <v>1</v>
      </c>
      <c r="AF2015" s="100" t="s">
        <v>8722</v>
      </c>
      <c r="AG2015" s="100" t="s">
        <v>8925</v>
      </c>
      <c r="AH2015" s="100">
        <v>13</v>
      </c>
    </row>
    <row r="2016" spans="1:43" s="32" customFormat="1" ht="69.95" hidden="1" customHeight="1">
      <c r="A2016" s="29" t="s">
        <v>7823</v>
      </c>
      <c r="B2016" s="29" t="s">
        <v>3769</v>
      </c>
      <c r="C2016" s="69" t="s">
        <v>41</v>
      </c>
      <c r="D2016" s="69"/>
      <c r="E2016" s="57" t="s">
        <v>8282</v>
      </c>
      <c r="F2016" s="57" t="s">
        <v>8282</v>
      </c>
      <c r="G2016" s="29" t="s">
        <v>3776</v>
      </c>
      <c r="H2016" s="29"/>
      <c r="I2016" s="29"/>
      <c r="J2016" s="29">
        <f t="shared" si="159"/>
        <v>1</v>
      </c>
      <c r="K2016" s="42">
        <v>2002</v>
      </c>
      <c r="L2016" s="43" t="s">
        <v>3777</v>
      </c>
      <c r="M2016" s="44" t="s">
        <v>405</v>
      </c>
      <c r="N2016" s="44" t="s">
        <v>536</v>
      </c>
      <c r="O2016" s="44" t="str">
        <f t="shared" si="160"/>
        <v>PE-L1-4C4-23</v>
      </c>
      <c r="P2016" s="45">
        <v>4.9000000000000004</v>
      </c>
      <c r="Q2016" s="44">
        <v>400</v>
      </c>
      <c r="R2016" s="44" t="s">
        <v>49</v>
      </c>
      <c r="S2016" s="44">
        <v>120</v>
      </c>
      <c r="T2016" s="46" t="s">
        <v>7981</v>
      </c>
      <c r="U2016" s="46" t="s">
        <v>7823</v>
      </c>
      <c r="V2016" s="46" t="s">
        <v>8698</v>
      </c>
      <c r="W2016" s="46" t="s">
        <v>7813</v>
      </c>
      <c r="X2016" s="47" t="s">
        <v>8721</v>
      </c>
      <c r="Y2016" s="47" t="s">
        <v>7824</v>
      </c>
      <c r="Z2016" s="46" t="s">
        <v>7149</v>
      </c>
      <c r="AA2016" s="46" t="s">
        <v>401</v>
      </c>
      <c r="AB2016" s="47" t="s">
        <v>8721</v>
      </c>
      <c r="AC2016" s="48" t="s">
        <v>8461</v>
      </c>
      <c r="AD2016" s="30"/>
      <c r="AE2016" s="202">
        <v>1</v>
      </c>
      <c r="AF2016" s="109" t="s">
        <v>8922</v>
      </c>
      <c r="AG2016" s="109" t="s">
        <v>8925</v>
      </c>
      <c r="AH2016" s="109">
        <v>14</v>
      </c>
    </row>
    <row r="2017" spans="1:45" s="32" customFormat="1" ht="69.95" hidden="1" customHeight="1">
      <c r="A2017" s="29" t="s">
        <v>7825</v>
      </c>
      <c r="B2017" s="29" t="s">
        <v>3769</v>
      </c>
      <c r="C2017" s="69" t="s">
        <v>42</v>
      </c>
      <c r="D2017" s="69"/>
      <c r="E2017" s="57" t="s">
        <v>8162</v>
      </c>
      <c r="F2017" s="57" t="s">
        <v>8162</v>
      </c>
      <c r="G2017" s="29" t="s">
        <v>3778</v>
      </c>
      <c r="H2017" s="29"/>
      <c r="I2017" s="29"/>
      <c r="J2017" s="29">
        <f t="shared" si="159"/>
        <v>1</v>
      </c>
      <c r="K2017" s="42">
        <v>2003</v>
      </c>
      <c r="L2017" s="43" t="s">
        <v>3779</v>
      </c>
      <c r="M2017" s="44" t="s">
        <v>405</v>
      </c>
      <c r="N2017" s="44" t="s">
        <v>426</v>
      </c>
      <c r="O2017" s="44" t="str">
        <f t="shared" si="160"/>
        <v>PE-L1-3C4-22</v>
      </c>
      <c r="P2017" s="45">
        <v>0.5</v>
      </c>
      <c r="Q2017" s="44">
        <v>230</v>
      </c>
      <c r="R2017" s="44" t="s">
        <v>49</v>
      </c>
      <c r="S2017" s="44">
        <v>120</v>
      </c>
      <c r="T2017" s="46" t="s">
        <v>7981</v>
      </c>
      <c r="U2017" s="46" t="s">
        <v>7825</v>
      </c>
      <c r="V2017" s="46" t="s">
        <v>8698</v>
      </c>
      <c r="W2017" s="46" t="s">
        <v>7813</v>
      </c>
      <c r="X2017" s="172" t="s">
        <v>9167</v>
      </c>
      <c r="Y2017" s="47" t="s">
        <v>7826</v>
      </c>
      <c r="Z2017" s="46" t="s">
        <v>7153</v>
      </c>
      <c r="AA2017" s="46" t="s">
        <v>401</v>
      </c>
      <c r="AB2017" s="172" t="s">
        <v>9167</v>
      </c>
      <c r="AC2017" s="48" t="s">
        <v>8462</v>
      </c>
      <c r="AD2017" s="30"/>
      <c r="AE2017" s="192">
        <v>1</v>
      </c>
      <c r="AF2017" s="100" t="s">
        <v>8722</v>
      </c>
      <c r="AG2017" s="100" t="s">
        <v>8925</v>
      </c>
      <c r="AH2017" s="100">
        <v>13</v>
      </c>
    </row>
    <row r="2018" spans="1:45" s="32" customFormat="1" ht="69.95" hidden="1" customHeight="1">
      <c r="A2018" s="29" t="s">
        <v>7827</v>
      </c>
      <c r="B2018" s="29" t="s">
        <v>3769</v>
      </c>
      <c r="C2018" s="69" t="s">
        <v>43</v>
      </c>
      <c r="D2018" s="69"/>
      <c r="E2018" s="57" t="s">
        <v>8162</v>
      </c>
      <c r="F2018" s="57" t="s">
        <v>8162</v>
      </c>
      <c r="G2018" s="29" t="s">
        <v>3780</v>
      </c>
      <c r="H2018" s="29"/>
      <c r="I2018" s="29"/>
      <c r="J2018" s="29">
        <f t="shared" si="159"/>
        <v>1</v>
      </c>
      <c r="K2018" s="42">
        <v>2004</v>
      </c>
      <c r="L2018" s="43" t="s">
        <v>3781</v>
      </c>
      <c r="M2018" s="44" t="s">
        <v>405</v>
      </c>
      <c r="N2018" s="44" t="s">
        <v>7984</v>
      </c>
      <c r="O2018" s="44" t="str">
        <f t="shared" si="160"/>
        <v>PE-L1-3C4-22</v>
      </c>
      <c r="P2018" s="45">
        <v>0.5</v>
      </c>
      <c r="Q2018" s="44">
        <v>230</v>
      </c>
      <c r="R2018" s="44" t="s">
        <v>49</v>
      </c>
      <c r="S2018" s="44">
        <v>120</v>
      </c>
      <c r="T2018" s="46" t="s">
        <v>7981</v>
      </c>
      <c r="U2018" s="46" t="s">
        <v>7827</v>
      </c>
      <c r="V2018" s="46" t="s">
        <v>8698</v>
      </c>
      <c r="W2018" s="46" t="s">
        <v>7813</v>
      </c>
      <c r="X2018" s="172" t="s">
        <v>9167</v>
      </c>
      <c r="Y2018" s="47" t="s">
        <v>7828</v>
      </c>
      <c r="Z2018" s="46" t="s">
        <v>7157</v>
      </c>
      <c r="AA2018" s="46" t="s">
        <v>401</v>
      </c>
      <c r="AB2018" s="172" t="s">
        <v>9167</v>
      </c>
      <c r="AC2018" s="48" t="s">
        <v>8463</v>
      </c>
      <c r="AD2018" s="30"/>
      <c r="AE2018" s="192">
        <v>1</v>
      </c>
      <c r="AF2018" s="100" t="s">
        <v>8722</v>
      </c>
      <c r="AG2018" s="100" t="s">
        <v>8925</v>
      </c>
      <c r="AH2018" s="100">
        <v>13</v>
      </c>
    </row>
    <row r="2019" spans="1:45" s="32" customFormat="1" ht="69.95" hidden="1" customHeight="1">
      <c r="A2019" s="29" t="s">
        <v>7829</v>
      </c>
      <c r="B2019" s="29" t="s">
        <v>3769</v>
      </c>
      <c r="C2019" s="69" t="s">
        <v>73</v>
      </c>
      <c r="D2019" s="69"/>
      <c r="E2019" s="57" t="s">
        <v>8162</v>
      </c>
      <c r="F2019" s="57" t="s">
        <v>8162</v>
      </c>
      <c r="G2019" s="29" t="s">
        <v>3782</v>
      </c>
      <c r="H2019" s="29"/>
      <c r="I2019" s="29"/>
      <c r="J2019" s="29">
        <f t="shared" si="159"/>
        <v>1</v>
      </c>
      <c r="K2019" s="42">
        <v>2005</v>
      </c>
      <c r="L2019" s="43" t="s">
        <v>3783</v>
      </c>
      <c r="M2019" s="44" t="s">
        <v>405</v>
      </c>
      <c r="N2019" s="44" t="s">
        <v>426</v>
      </c>
      <c r="O2019" s="44" t="str">
        <f t="shared" si="160"/>
        <v>PE-L1-3C4-22</v>
      </c>
      <c r="P2019" s="45">
        <v>0.5</v>
      </c>
      <c r="Q2019" s="44">
        <v>230</v>
      </c>
      <c r="R2019" s="44" t="s">
        <v>49</v>
      </c>
      <c r="S2019" s="44">
        <v>120</v>
      </c>
      <c r="T2019" s="46" t="s">
        <v>7981</v>
      </c>
      <c r="U2019" s="46" t="s">
        <v>7829</v>
      </c>
      <c r="V2019" s="46" t="s">
        <v>8698</v>
      </c>
      <c r="W2019" s="46" t="s">
        <v>7813</v>
      </c>
      <c r="X2019" s="172" t="s">
        <v>9167</v>
      </c>
      <c r="Y2019" s="47" t="s">
        <v>7830</v>
      </c>
      <c r="Z2019" s="46" t="s">
        <v>7161</v>
      </c>
      <c r="AA2019" s="46" t="s">
        <v>401</v>
      </c>
      <c r="AB2019" s="172" t="s">
        <v>9167</v>
      </c>
      <c r="AC2019" s="48" t="s">
        <v>8464</v>
      </c>
      <c r="AD2019" s="30"/>
      <c r="AE2019" s="192">
        <v>1</v>
      </c>
      <c r="AF2019" s="100" t="s">
        <v>8722</v>
      </c>
      <c r="AG2019" s="100" t="s">
        <v>8925</v>
      </c>
      <c r="AH2019" s="100">
        <v>13</v>
      </c>
    </row>
    <row r="2020" spans="1:45" s="32" customFormat="1" ht="69.95" hidden="1" customHeight="1">
      <c r="A2020" s="29" t="s">
        <v>7831</v>
      </c>
      <c r="B2020" s="29" t="s">
        <v>3769</v>
      </c>
      <c r="C2020" s="69" t="s">
        <v>75</v>
      </c>
      <c r="D2020" s="69"/>
      <c r="E2020" s="57" t="s">
        <v>8284</v>
      </c>
      <c r="F2020" s="57" t="s">
        <v>8284</v>
      </c>
      <c r="G2020" s="29" t="s">
        <v>3784</v>
      </c>
      <c r="H2020" s="29"/>
      <c r="I2020" s="29"/>
      <c r="J2020" s="29">
        <f t="shared" si="159"/>
        <v>1</v>
      </c>
      <c r="K2020" s="42">
        <v>2006</v>
      </c>
      <c r="L2020" s="43" t="s">
        <v>3785</v>
      </c>
      <c r="M2020" s="44" t="s">
        <v>405</v>
      </c>
      <c r="N2020" s="44" t="s">
        <v>536</v>
      </c>
      <c r="O2020" s="44" t="str">
        <f t="shared" si="160"/>
        <v>PE-L1-4C4-23</v>
      </c>
      <c r="P2020" s="45">
        <v>2.2000000000000002</v>
      </c>
      <c r="Q2020" s="44">
        <v>400</v>
      </c>
      <c r="R2020" s="44" t="s">
        <v>49</v>
      </c>
      <c r="S2020" s="44">
        <v>50</v>
      </c>
      <c r="T2020" s="46" t="s">
        <v>7981</v>
      </c>
      <c r="U2020" s="46" t="s">
        <v>7831</v>
      </c>
      <c r="V2020" s="46" t="s">
        <v>8698</v>
      </c>
      <c r="W2020" s="46" t="s">
        <v>7813</v>
      </c>
      <c r="X2020" s="47" t="s">
        <v>9305</v>
      </c>
      <c r="Y2020" s="47" t="s">
        <v>7832</v>
      </c>
      <c r="Z2020" s="46" t="s">
        <v>7165</v>
      </c>
      <c r="AA2020" s="46" t="s">
        <v>401</v>
      </c>
      <c r="AB2020" s="47" t="s">
        <v>9305</v>
      </c>
      <c r="AC2020" s="48" t="s">
        <v>8465</v>
      </c>
      <c r="AD2020" s="30"/>
      <c r="AE2020" s="192">
        <v>1</v>
      </c>
      <c r="AF2020" s="100" t="s">
        <v>8722</v>
      </c>
      <c r="AG2020" s="100" t="s">
        <v>8925</v>
      </c>
      <c r="AH2020" s="100">
        <v>14</v>
      </c>
    </row>
    <row r="2021" spans="1:45" s="32" customFormat="1" ht="69.95" hidden="1" customHeight="1">
      <c r="A2021" s="29" t="s">
        <v>7833</v>
      </c>
      <c r="B2021" s="29" t="s">
        <v>3769</v>
      </c>
      <c r="C2021" s="32">
        <v>10</v>
      </c>
      <c r="E2021" s="57" t="s">
        <v>8284</v>
      </c>
      <c r="F2021" s="57" t="s">
        <v>8284</v>
      </c>
      <c r="G2021" s="29" t="s">
        <v>3786</v>
      </c>
      <c r="H2021" s="29"/>
      <c r="I2021" s="29"/>
      <c r="J2021" s="29">
        <f t="shared" si="159"/>
        <v>1</v>
      </c>
      <c r="K2021" s="42">
        <v>2007</v>
      </c>
      <c r="L2021" s="43" t="s">
        <v>3787</v>
      </c>
      <c r="M2021" s="44" t="s">
        <v>405</v>
      </c>
      <c r="N2021" s="44" t="s">
        <v>536</v>
      </c>
      <c r="O2021" s="44" t="str">
        <f t="shared" si="160"/>
        <v>PE-L1-4C4-23</v>
      </c>
      <c r="P2021" s="45">
        <v>2.2000000000000002</v>
      </c>
      <c r="Q2021" s="44">
        <v>400</v>
      </c>
      <c r="R2021" s="44" t="s">
        <v>49</v>
      </c>
      <c r="S2021" s="44">
        <v>60</v>
      </c>
      <c r="T2021" s="46" t="s">
        <v>7981</v>
      </c>
      <c r="U2021" s="46" t="s">
        <v>7833</v>
      </c>
      <c r="V2021" s="46" t="s">
        <v>8698</v>
      </c>
      <c r="W2021" s="46" t="s">
        <v>7813</v>
      </c>
      <c r="X2021" s="47" t="s">
        <v>8721</v>
      </c>
      <c r="Y2021" s="47" t="s">
        <v>7834</v>
      </c>
      <c r="Z2021" s="46" t="s">
        <v>7169</v>
      </c>
      <c r="AA2021" s="46" t="s">
        <v>401</v>
      </c>
      <c r="AB2021" s="47" t="s">
        <v>8721</v>
      </c>
      <c r="AC2021" s="48" t="s">
        <v>8466</v>
      </c>
      <c r="AD2021" s="30"/>
      <c r="AE2021" s="202">
        <v>1</v>
      </c>
      <c r="AF2021" s="109" t="s">
        <v>8922</v>
      </c>
      <c r="AG2021" s="109" t="s">
        <v>8925</v>
      </c>
      <c r="AH2021" s="109">
        <v>14</v>
      </c>
    </row>
    <row r="2022" spans="1:45" s="32" customFormat="1" ht="69.95" hidden="1" customHeight="1">
      <c r="A2022" s="29" t="s">
        <v>8673</v>
      </c>
      <c r="B2022" s="29" t="s">
        <v>8652</v>
      </c>
      <c r="C2022" s="69" t="s">
        <v>32</v>
      </c>
      <c r="D2022" s="69"/>
      <c r="E2022" s="57" t="s">
        <v>8286</v>
      </c>
      <c r="F2022" s="218" t="s">
        <v>9570</v>
      </c>
      <c r="G2022" s="29" t="s">
        <v>3788</v>
      </c>
      <c r="H2022" s="29"/>
      <c r="I2022" s="29"/>
      <c r="J2022" s="29">
        <f t="shared" si="159"/>
        <v>1</v>
      </c>
      <c r="K2022" s="42">
        <v>2008</v>
      </c>
      <c r="L2022" s="43" t="s">
        <v>8273</v>
      </c>
      <c r="M2022" s="220" t="s">
        <v>417</v>
      </c>
      <c r="N2022" s="44" t="s">
        <v>7978</v>
      </c>
      <c r="O2022" s="188" t="str">
        <f t="shared" si="160"/>
        <v>PE-M1-1C240-11</v>
      </c>
      <c r="P2022" s="45" t="s">
        <v>1613</v>
      </c>
      <c r="Q2022" s="44">
        <v>1400</v>
      </c>
      <c r="R2022" s="44" t="s">
        <v>49</v>
      </c>
      <c r="S2022" s="44">
        <v>60</v>
      </c>
      <c r="T2022" s="46" t="s">
        <v>7981</v>
      </c>
      <c r="U2022" s="47" t="s">
        <v>8189</v>
      </c>
      <c r="V2022" s="46" t="s">
        <v>8699</v>
      </c>
      <c r="W2022" s="46" t="s">
        <v>8700</v>
      </c>
      <c r="X2022" s="47" t="s">
        <v>304</v>
      </c>
      <c r="Y2022" s="46" t="s">
        <v>6347</v>
      </c>
      <c r="Z2022" s="43" t="s">
        <v>8190</v>
      </c>
      <c r="AA2022" s="46" t="s">
        <v>8191</v>
      </c>
      <c r="AB2022" s="47" t="s">
        <v>307</v>
      </c>
      <c r="AC2022" s="48" t="s">
        <v>8467</v>
      </c>
      <c r="AD2022" s="30"/>
      <c r="AE2022" s="192">
        <v>1</v>
      </c>
      <c r="AF2022" s="100" t="s">
        <v>8822</v>
      </c>
      <c r="AG2022" s="100" t="s">
        <v>8932</v>
      </c>
      <c r="AH2022" s="111">
        <v>33</v>
      </c>
      <c r="AK2022" s="241">
        <v>1</v>
      </c>
      <c r="AL2022" s="241" t="s">
        <v>9576</v>
      </c>
      <c r="AM2022" s="241">
        <v>1</v>
      </c>
      <c r="AN2022" s="241">
        <v>1</v>
      </c>
      <c r="AO2022" s="241" t="s">
        <v>9576</v>
      </c>
      <c r="AP2022" s="241">
        <v>1</v>
      </c>
      <c r="AR2022" s="241">
        <v>2</v>
      </c>
      <c r="AS2022" s="241" t="s">
        <v>9582</v>
      </c>
    </row>
    <row r="2023" spans="1:45" s="32" customFormat="1" ht="69.95" hidden="1" customHeight="1">
      <c r="A2023" s="29" t="s">
        <v>8673</v>
      </c>
      <c r="B2023" s="29" t="s">
        <v>8652</v>
      </c>
      <c r="C2023" s="69" t="s">
        <v>36</v>
      </c>
      <c r="D2023" s="69"/>
      <c r="E2023" s="57" t="s">
        <v>8286</v>
      </c>
      <c r="F2023" s="218" t="s">
        <v>9570</v>
      </c>
      <c r="G2023" s="29" t="s">
        <v>8153</v>
      </c>
      <c r="H2023" s="29"/>
      <c r="I2023" s="29"/>
      <c r="J2023" s="29">
        <f t="shared" si="159"/>
        <v>1</v>
      </c>
      <c r="K2023" s="42">
        <v>2009</v>
      </c>
      <c r="L2023" s="43" t="s">
        <v>8274</v>
      </c>
      <c r="M2023" s="220" t="s">
        <v>417</v>
      </c>
      <c r="N2023" s="44" t="s">
        <v>7978</v>
      </c>
      <c r="O2023" s="188" t="str">
        <f t="shared" si="160"/>
        <v>PE-M1-1C240-11</v>
      </c>
      <c r="P2023" s="51" t="s">
        <v>1613</v>
      </c>
      <c r="Q2023" s="43">
        <v>1400</v>
      </c>
      <c r="R2023" s="43" t="s">
        <v>49</v>
      </c>
      <c r="S2023" s="44">
        <v>60</v>
      </c>
      <c r="T2023" s="46" t="s">
        <v>7981</v>
      </c>
      <c r="U2023" s="47" t="s">
        <v>8189</v>
      </c>
      <c r="V2023" s="46" t="s">
        <v>8699</v>
      </c>
      <c r="W2023" s="46" t="s">
        <v>8700</v>
      </c>
      <c r="X2023" s="47" t="s">
        <v>305</v>
      </c>
      <c r="Y2023" s="46" t="s">
        <v>6347</v>
      </c>
      <c r="Z2023" s="43" t="s">
        <v>8190</v>
      </c>
      <c r="AA2023" s="46" t="s">
        <v>8191</v>
      </c>
      <c r="AB2023" s="47" t="s">
        <v>308</v>
      </c>
      <c r="AC2023" s="52" t="s">
        <v>8467</v>
      </c>
      <c r="AD2023" s="30"/>
      <c r="AE2023" s="192">
        <v>1</v>
      </c>
      <c r="AF2023" s="100" t="s">
        <v>8822</v>
      </c>
      <c r="AG2023" s="100" t="s">
        <v>8932</v>
      </c>
      <c r="AH2023" s="111">
        <v>33</v>
      </c>
      <c r="AK2023" s="241">
        <v>1</v>
      </c>
      <c r="AL2023" s="241" t="s">
        <v>9576</v>
      </c>
      <c r="AM2023" s="241">
        <v>1</v>
      </c>
      <c r="AN2023" s="241">
        <v>1</v>
      </c>
      <c r="AO2023" s="241" t="s">
        <v>9576</v>
      </c>
      <c r="AP2023" s="241">
        <v>1</v>
      </c>
      <c r="AR2023" s="241">
        <v>2</v>
      </c>
      <c r="AS2023" s="241" t="s">
        <v>9582</v>
      </c>
    </row>
    <row r="2024" spans="1:45" s="32" customFormat="1" ht="69.95" hidden="1" customHeight="1">
      <c r="A2024" s="29" t="s">
        <v>8673</v>
      </c>
      <c r="B2024" s="29" t="s">
        <v>8652</v>
      </c>
      <c r="C2024" s="69" t="s">
        <v>38</v>
      </c>
      <c r="D2024" s="69"/>
      <c r="E2024" s="57" t="s">
        <v>8286</v>
      </c>
      <c r="F2024" s="218" t="s">
        <v>9570</v>
      </c>
      <c r="G2024" s="29" t="s">
        <v>8153</v>
      </c>
      <c r="H2024" s="29"/>
      <c r="I2024" s="29"/>
      <c r="J2024" s="29">
        <f t="shared" si="159"/>
        <v>1</v>
      </c>
      <c r="K2024" s="42">
        <v>2010</v>
      </c>
      <c r="L2024" s="43" t="s">
        <v>8275</v>
      </c>
      <c r="M2024" s="220" t="s">
        <v>417</v>
      </c>
      <c r="N2024" s="44" t="s">
        <v>7978</v>
      </c>
      <c r="O2024" s="188" t="str">
        <f t="shared" si="160"/>
        <v>PE-M1-1C240-11</v>
      </c>
      <c r="P2024" s="51" t="s">
        <v>1613</v>
      </c>
      <c r="Q2024" s="43">
        <v>1400</v>
      </c>
      <c r="R2024" s="43" t="s">
        <v>49</v>
      </c>
      <c r="S2024" s="44">
        <v>60</v>
      </c>
      <c r="T2024" s="46" t="s">
        <v>7981</v>
      </c>
      <c r="U2024" s="47" t="s">
        <v>8189</v>
      </c>
      <c r="V2024" s="46" t="s">
        <v>8699</v>
      </c>
      <c r="W2024" s="46" t="s">
        <v>8700</v>
      </c>
      <c r="X2024" s="47" t="s">
        <v>306</v>
      </c>
      <c r="Y2024" s="46" t="s">
        <v>6347</v>
      </c>
      <c r="Z2024" s="43" t="s">
        <v>8190</v>
      </c>
      <c r="AA2024" s="46" t="s">
        <v>8191</v>
      </c>
      <c r="AB2024" s="47" t="s">
        <v>309</v>
      </c>
      <c r="AC2024" s="52" t="s">
        <v>8467</v>
      </c>
      <c r="AD2024" s="30"/>
      <c r="AE2024" s="192">
        <v>1</v>
      </c>
      <c r="AF2024" s="100" t="s">
        <v>8923</v>
      </c>
      <c r="AG2024" s="100" t="s">
        <v>8932</v>
      </c>
      <c r="AH2024" s="111">
        <v>33</v>
      </c>
      <c r="AK2024" s="241">
        <v>1</v>
      </c>
      <c r="AL2024" s="241" t="s">
        <v>9576</v>
      </c>
      <c r="AM2024" s="241">
        <v>1</v>
      </c>
      <c r="AN2024" s="241">
        <v>1</v>
      </c>
      <c r="AO2024" s="241" t="s">
        <v>9576</v>
      </c>
      <c r="AP2024" s="241">
        <v>1</v>
      </c>
      <c r="AR2024" s="241">
        <v>2</v>
      </c>
      <c r="AS2024" s="241" t="s">
        <v>9582</v>
      </c>
    </row>
    <row r="2025" spans="1:45" s="32" customFormat="1" ht="69.95" hidden="1" customHeight="1">
      <c r="A2025" s="29" t="s">
        <v>8673</v>
      </c>
      <c r="B2025" s="29" t="s">
        <v>8652</v>
      </c>
      <c r="C2025" s="69" t="s">
        <v>40</v>
      </c>
      <c r="D2025" s="69"/>
      <c r="E2025" s="57" t="s">
        <v>8287</v>
      </c>
      <c r="F2025" s="218" t="s">
        <v>9571</v>
      </c>
      <c r="G2025" s="29" t="s">
        <v>8153</v>
      </c>
      <c r="H2025" s="29"/>
      <c r="I2025" s="29"/>
      <c r="J2025" s="29">
        <f t="shared" si="159"/>
        <v>1</v>
      </c>
      <c r="K2025" s="42">
        <v>2011</v>
      </c>
      <c r="L2025" s="43" t="s">
        <v>8276</v>
      </c>
      <c r="M2025" s="220" t="s">
        <v>417</v>
      </c>
      <c r="N2025" s="44" t="s">
        <v>7978</v>
      </c>
      <c r="O2025" s="188" t="str">
        <f t="shared" si="160"/>
        <v>PE-M1-1C240-12</v>
      </c>
      <c r="P2025" s="51" t="s">
        <v>1613</v>
      </c>
      <c r="Q2025" s="43">
        <v>1400</v>
      </c>
      <c r="R2025" s="43" t="s">
        <v>49</v>
      </c>
      <c r="S2025" s="44">
        <v>60</v>
      </c>
      <c r="T2025" s="46" t="s">
        <v>7981</v>
      </c>
      <c r="U2025" s="47" t="s">
        <v>8189</v>
      </c>
      <c r="V2025" s="46" t="s">
        <v>8699</v>
      </c>
      <c r="W2025" s="46" t="s">
        <v>8700</v>
      </c>
      <c r="X2025" s="47" t="s">
        <v>304</v>
      </c>
      <c r="Y2025" s="46" t="s">
        <v>6347</v>
      </c>
      <c r="Z2025" s="43" t="s">
        <v>8190</v>
      </c>
      <c r="AA2025" s="46" t="s">
        <v>8191</v>
      </c>
      <c r="AB2025" s="47" t="s">
        <v>307</v>
      </c>
      <c r="AC2025" s="186" t="s">
        <v>9316</v>
      </c>
      <c r="AD2025" s="30"/>
      <c r="AE2025" s="192">
        <v>1</v>
      </c>
      <c r="AF2025" s="100" t="s">
        <v>8822</v>
      </c>
      <c r="AG2025" s="100" t="s">
        <v>8932</v>
      </c>
      <c r="AH2025" s="111">
        <v>33</v>
      </c>
      <c r="AK2025" s="241">
        <v>1</v>
      </c>
      <c r="AL2025" s="241" t="s">
        <v>9576</v>
      </c>
      <c r="AM2025" s="241">
        <v>1</v>
      </c>
      <c r="AN2025" s="241">
        <v>1</v>
      </c>
      <c r="AO2025" s="241" t="s">
        <v>9576</v>
      </c>
      <c r="AP2025" s="241">
        <v>1</v>
      </c>
      <c r="AR2025" s="241">
        <v>2</v>
      </c>
      <c r="AS2025" s="241" t="s">
        <v>9582</v>
      </c>
    </row>
    <row r="2026" spans="1:45" s="32" customFormat="1" ht="69.95" hidden="1" customHeight="1">
      <c r="A2026" s="29" t="s">
        <v>8673</v>
      </c>
      <c r="B2026" s="29" t="s">
        <v>8652</v>
      </c>
      <c r="C2026" s="69" t="s">
        <v>41</v>
      </c>
      <c r="D2026" s="69"/>
      <c r="E2026" s="57" t="s">
        <v>8287</v>
      </c>
      <c r="F2026" s="218" t="s">
        <v>9571</v>
      </c>
      <c r="G2026" s="29" t="s">
        <v>8153</v>
      </c>
      <c r="H2026" s="29"/>
      <c r="I2026" s="29"/>
      <c r="J2026" s="29">
        <f t="shared" si="159"/>
        <v>1</v>
      </c>
      <c r="K2026" s="42">
        <v>2012</v>
      </c>
      <c r="L2026" s="43" t="s">
        <v>8277</v>
      </c>
      <c r="M2026" s="220" t="s">
        <v>417</v>
      </c>
      <c r="N2026" s="44" t="s">
        <v>7978</v>
      </c>
      <c r="O2026" s="188" t="str">
        <f t="shared" si="160"/>
        <v>PE-M1-1C240-12</v>
      </c>
      <c r="P2026" s="51" t="s">
        <v>1613</v>
      </c>
      <c r="Q2026" s="43">
        <v>1400</v>
      </c>
      <c r="R2026" s="43" t="s">
        <v>49</v>
      </c>
      <c r="S2026" s="44">
        <v>60</v>
      </c>
      <c r="T2026" s="46" t="s">
        <v>7981</v>
      </c>
      <c r="U2026" s="47" t="s">
        <v>8189</v>
      </c>
      <c r="V2026" s="46" t="s">
        <v>8699</v>
      </c>
      <c r="W2026" s="46" t="s">
        <v>8700</v>
      </c>
      <c r="X2026" s="47" t="s">
        <v>305</v>
      </c>
      <c r="Y2026" s="46" t="s">
        <v>6347</v>
      </c>
      <c r="Z2026" s="43" t="s">
        <v>8190</v>
      </c>
      <c r="AA2026" s="46" t="s">
        <v>8191</v>
      </c>
      <c r="AB2026" s="47" t="s">
        <v>308</v>
      </c>
      <c r="AC2026" s="237" t="s">
        <v>9316</v>
      </c>
      <c r="AD2026" s="30"/>
      <c r="AE2026" s="192">
        <v>1</v>
      </c>
      <c r="AF2026" s="100" t="s">
        <v>8822</v>
      </c>
      <c r="AG2026" s="100" t="s">
        <v>8932</v>
      </c>
      <c r="AH2026" s="111">
        <v>33</v>
      </c>
      <c r="AK2026" s="241">
        <v>1</v>
      </c>
      <c r="AL2026" s="241" t="s">
        <v>9576</v>
      </c>
      <c r="AM2026" s="241">
        <v>1</v>
      </c>
      <c r="AN2026" s="241">
        <v>1</v>
      </c>
      <c r="AO2026" s="241" t="s">
        <v>9576</v>
      </c>
      <c r="AP2026" s="241">
        <v>1</v>
      </c>
      <c r="AR2026" s="241">
        <v>2</v>
      </c>
      <c r="AS2026" s="241" t="s">
        <v>9582</v>
      </c>
    </row>
    <row r="2027" spans="1:45" s="32" customFormat="1" ht="69.95" hidden="1" customHeight="1">
      <c r="A2027" s="29" t="s">
        <v>8673</v>
      </c>
      <c r="B2027" s="29" t="s">
        <v>8652</v>
      </c>
      <c r="C2027" s="69" t="s">
        <v>42</v>
      </c>
      <c r="D2027" s="69"/>
      <c r="E2027" s="57" t="s">
        <v>8287</v>
      </c>
      <c r="F2027" s="218" t="s">
        <v>9571</v>
      </c>
      <c r="G2027" s="29" t="s">
        <v>8153</v>
      </c>
      <c r="H2027" s="29"/>
      <c r="I2027" s="29"/>
      <c r="J2027" s="29">
        <f t="shared" si="159"/>
        <v>1</v>
      </c>
      <c r="K2027" s="42">
        <v>2013</v>
      </c>
      <c r="L2027" s="43" t="s">
        <v>8278</v>
      </c>
      <c r="M2027" s="220" t="s">
        <v>417</v>
      </c>
      <c r="N2027" s="44" t="s">
        <v>7978</v>
      </c>
      <c r="O2027" s="188" t="str">
        <f t="shared" si="160"/>
        <v>PE-M1-1C240-12</v>
      </c>
      <c r="P2027" s="51" t="s">
        <v>1613</v>
      </c>
      <c r="Q2027" s="43">
        <v>1400</v>
      </c>
      <c r="R2027" s="43" t="s">
        <v>49</v>
      </c>
      <c r="S2027" s="44">
        <v>60</v>
      </c>
      <c r="T2027" s="46" t="s">
        <v>7981</v>
      </c>
      <c r="U2027" s="47" t="s">
        <v>8189</v>
      </c>
      <c r="V2027" s="46" t="s">
        <v>8699</v>
      </c>
      <c r="W2027" s="46" t="s">
        <v>8700</v>
      </c>
      <c r="X2027" s="47" t="s">
        <v>306</v>
      </c>
      <c r="Y2027" s="46" t="s">
        <v>6347</v>
      </c>
      <c r="Z2027" s="43" t="s">
        <v>8190</v>
      </c>
      <c r="AA2027" s="46" t="s">
        <v>8191</v>
      </c>
      <c r="AB2027" s="47" t="s">
        <v>309</v>
      </c>
      <c r="AC2027" s="237" t="s">
        <v>9316</v>
      </c>
      <c r="AD2027" s="30"/>
      <c r="AE2027" s="192">
        <v>1</v>
      </c>
      <c r="AF2027" s="100" t="s">
        <v>8822</v>
      </c>
      <c r="AG2027" s="100" t="s">
        <v>8932</v>
      </c>
      <c r="AH2027" s="111">
        <v>33</v>
      </c>
      <c r="AK2027" s="241">
        <v>1</v>
      </c>
      <c r="AL2027" s="241" t="s">
        <v>9576</v>
      </c>
      <c r="AM2027" s="241">
        <v>1</v>
      </c>
      <c r="AN2027" s="241">
        <v>1</v>
      </c>
      <c r="AO2027" s="241" t="s">
        <v>9576</v>
      </c>
      <c r="AP2027" s="241">
        <v>1</v>
      </c>
      <c r="AR2027" s="241">
        <v>2</v>
      </c>
      <c r="AS2027" s="241" t="s">
        <v>9582</v>
      </c>
    </row>
    <row r="2028" spans="1:45" s="32" customFormat="1" ht="69.95" hidden="1" customHeight="1">
      <c r="A2028" s="29" t="s">
        <v>8673</v>
      </c>
      <c r="B2028" s="29" t="s">
        <v>8652</v>
      </c>
      <c r="C2028" s="69" t="s">
        <v>43</v>
      </c>
      <c r="D2028" s="69"/>
      <c r="E2028" s="57" t="s">
        <v>8287</v>
      </c>
      <c r="F2028" s="218" t="s">
        <v>9571</v>
      </c>
      <c r="G2028" s="29" t="s">
        <v>8153</v>
      </c>
      <c r="H2028" s="29"/>
      <c r="I2028" s="29"/>
      <c r="J2028" s="29">
        <f t="shared" si="159"/>
        <v>1</v>
      </c>
      <c r="K2028" s="42">
        <v>2014</v>
      </c>
      <c r="L2028" s="43" t="s">
        <v>8279</v>
      </c>
      <c r="M2028" s="220" t="s">
        <v>417</v>
      </c>
      <c r="N2028" s="44" t="s">
        <v>7978</v>
      </c>
      <c r="O2028" s="188" t="str">
        <f t="shared" si="160"/>
        <v>PE-M1-1C240-12</v>
      </c>
      <c r="P2028" s="51" t="s">
        <v>1613</v>
      </c>
      <c r="Q2028" s="43">
        <v>1400</v>
      </c>
      <c r="R2028" s="43" t="s">
        <v>49</v>
      </c>
      <c r="S2028" s="44">
        <v>60</v>
      </c>
      <c r="T2028" s="46" t="s">
        <v>7981</v>
      </c>
      <c r="U2028" s="47" t="s">
        <v>8189</v>
      </c>
      <c r="V2028" s="46" t="s">
        <v>8699</v>
      </c>
      <c r="W2028" s="46" t="s">
        <v>8700</v>
      </c>
      <c r="X2028" s="47" t="s">
        <v>304</v>
      </c>
      <c r="Y2028" s="46" t="s">
        <v>6347</v>
      </c>
      <c r="Z2028" s="43" t="s">
        <v>8190</v>
      </c>
      <c r="AA2028" s="46" t="s">
        <v>8191</v>
      </c>
      <c r="AB2028" s="47" t="s">
        <v>307</v>
      </c>
      <c r="AC2028" s="186" t="s">
        <v>9317</v>
      </c>
      <c r="AD2028" s="30"/>
      <c r="AE2028" s="192">
        <v>1</v>
      </c>
      <c r="AF2028" s="100" t="s">
        <v>8822</v>
      </c>
      <c r="AG2028" s="100" t="s">
        <v>8932</v>
      </c>
      <c r="AH2028" s="111">
        <v>33</v>
      </c>
      <c r="AK2028" s="241">
        <v>1</v>
      </c>
      <c r="AL2028" s="241" t="s">
        <v>9576</v>
      </c>
      <c r="AM2028" s="241">
        <v>1</v>
      </c>
      <c r="AN2028" s="241">
        <v>1</v>
      </c>
      <c r="AO2028" s="241" t="s">
        <v>9576</v>
      </c>
      <c r="AP2028" s="241">
        <v>1</v>
      </c>
      <c r="AR2028" s="241">
        <v>2</v>
      </c>
      <c r="AS2028" s="241" t="s">
        <v>9582</v>
      </c>
    </row>
    <row r="2029" spans="1:45" s="32" customFormat="1" ht="69.95" hidden="1" customHeight="1">
      <c r="A2029" s="29" t="s">
        <v>8673</v>
      </c>
      <c r="B2029" s="29" t="s">
        <v>8652</v>
      </c>
      <c r="C2029" s="69" t="s">
        <v>73</v>
      </c>
      <c r="D2029" s="69"/>
      <c r="E2029" s="57" t="s">
        <v>8287</v>
      </c>
      <c r="F2029" s="218" t="s">
        <v>9571</v>
      </c>
      <c r="G2029" s="29" t="s">
        <v>8153</v>
      </c>
      <c r="H2029" s="29"/>
      <c r="I2029" s="29"/>
      <c r="J2029" s="29">
        <f t="shared" si="159"/>
        <v>1</v>
      </c>
      <c r="K2029" s="42">
        <v>2015</v>
      </c>
      <c r="L2029" s="43" t="s">
        <v>8280</v>
      </c>
      <c r="M2029" s="220" t="s">
        <v>417</v>
      </c>
      <c r="N2029" s="44" t="s">
        <v>7978</v>
      </c>
      <c r="O2029" s="188" t="str">
        <f t="shared" si="160"/>
        <v>PE-M1-1C240-12</v>
      </c>
      <c r="P2029" s="51" t="s">
        <v>1613</v>
      </c>
      <c r="Q2029" s="43">
        <v>1400</v>
      </c>
      <c r="R2029" s="43" t="s">
        <v>49</v>
      </c>
      <c r="S2029" s="44">
        <v>60</v>
      </c>
      <c r="T2029" s="46" t="s">
        <v>7981</v>
      </c>
      <c r="U2029" s="47" t="s">
        <v>8189</v>
      </c>
      <c r="V2029" s="46" t="s">
        <v>8699</v>
      </c>
      <c r="W2029" s="46" t="s">
        <v>8700</v>
      </c>
      <c r="X2029" s="47" t="s">
        <v>305</v>
      </c>
      <c r="Y2029" s="46" t="s">
        <v>6347</v>
      </c>
      <c r="Z2029" s="43" t="s">
        <v>8190</v>
      </c>
      <c r="AA2029" s="46" t="s">
        <v>8191</v>
      </c>
      <c r="AB2029" s="47" t="s">
        <v>308</v>
      </c>
      <c r="AC2029" s="237" t="s">
        <v>9317</v>
      </c>
      <c r="AD2029" s="30"/>
      <c r="AE2029" s="192">
        <v>1</v>
      </c>
      <c r="AF2029" s="100" t="s">
        <v>8822</v>
      </c>
      <c r="AG2029" s="100" t="s">
        <v>8932</v>
      </c>
      <c r="AH2029" s="111">
        <v>33</v>
      </c>
      <c r="AK2029" s="241">
        <v>1</v>
      </c>
      <c r="AL2029" s="241" t="s">
        <v>9576</v>
      </c>
      <c r="AM2029" s="241">
        <v>1</v>
      </c>
      <c r="AN2029" s="241">
        <v>1</v>
      </c>
      <c r="AO2029" s="241" t="s">
        <v>9576</v>
      </c>
      <c r="AP2029" s="241">
        <v>1</v>
      </c>
      <c r="AR2029" s="241">
        <v>2</v>
      </c>
      <c r="AS2029" s="241" t="s">
        <v>9582</v>
      </c>
    </row>
    <row r="2030" spans="1:45" s="32" customFormat="1" ht="69.95" hidden="1" customHeight="1">
      <c r="A2030" s="29" t="s">
        <v>8673</v>
      </c>
      <c r="B2030" s="29" t="s">
        <v>8652</v>
      </c>
      <c r="C2030" s="69" t="s">
        <v>75</v>
      </c>
      <c r="D2030" s="69"/>
      <c r="E2030" s="57" t="s">
        <v>8288</v>
      </c>
      <c r="F2030" s="218" t="s">
        <v>9571</v>
      </c>
      <c r="G2030" s="29" t="s">
        <v>8153</v>
      </c>
      <c r="H2030" s="29"/>
      <c r="I2030" s="29"/>
      <c r="J2030" s="29">
        <f t="shared" si="159"/>
        <v>1</v>
      </c>
      <c r="K2030" s="42">
        <v>2016</v>
      </c>
      <c r="L2030" s="43" t="s">
        <v>8281</v>
      </c>
      <c r="M2030" s="220" t="s">
        <v>417</v>
      </c>
      <c r="N2030" s="44" t="s">
        <v>7978</v>
      </c>
      <c r="O2030" s="188" t="str">
        <f t="shared" si="160"/>
        <v>PE-M1-1C240-12</v>
      </c>
      <c r="P2030" s="51" t="s">
        <v>1613</v>
      </c>
      <c r="Q2030" s="43">
        <v>1400</v>
      </c>
      <c r="R2030" s="43" t="s">
        <v>49</v>
      </c>
      <c r="S2030" s="44">
        <v>60</v>
      </c>
      <c r="T2030" s="46" t="s">
        <v>7981</v>
      </c>
      <c r="U2030" s="47" t="s">
        <v>8189</v>
      </c>
      <c r="V2030" s="46" t="s">
        <v>8699</v>
      </c>
      <c r="W2030" s="46" t="s">
        <v>8700</v>
      </c>
      <c r="X2030" s="47" t="s">
        <v>306</v>
      </c>
      <c r="Y2030" s="46" t="s">
        <v>6347</v>
      </c>
      <c r="Z2030" s="43" t="s">
        <v>8190</v>
      </c>
      <c r="AA2030" s="46" t="s">
        <v>8191</v>
      </c>
      <c r="AB2030" s="47" t="s">
        <v>309</v>
      </c>
      <c r="AC2030" s="237" t="s">
        <v>9317</v>
      </c>
      <c r="AD2030" s="30"/>
      <c r="AE2030" s="192">
        <v>1</v>
      </c>
      <c r="AF2030" s="100" t="s">
        <v>8822</v>
      </c>
      <c r="AG2030" s="100" t="s">
        <v>8932</v>
      </c>
      <c r="AH2030" s="111">
        <v>33</v>
      </c>
      <c r="AK2030" s="241">
        <v>1</v>
      </c>
      <c r="AL2030" s="241" t="s">
        <v>9576</v>
      </c>
      <c r="AM2030" s="241">
        <v>1</v>
      </c>
      <c r="AN2030" s="241">
        <v>1</v>
      </c>
      <c r="AO2030" s="241" t="s">
        <v>9576</v>
      </c>
      <c r="AP2030" s="241">
        <v>1</v>
      </c>
      <c r="AR2030" s="241">
        <v>2</v>
      </c>
      <c r="AS2030" s="241" t="s">
        <v>9582</v>
      </c>
    </row>
    <row r="2031" spans="1:45" s="32" customFormat="1" ht="69.95" hidden="1" customHeight="1">
      <c r="A2031" s="29" t="s">
        <v>8674</v>
      </c>
      <c r="B2031" s="29" t="s">
        <v>8652</v>
      </c>
      <c r="C2031" s="69" t="s">
        <v>32</v>
      </c>
      <c r="D2031" s="69"/>
      <c r="E2031" s="57" t="s">
        <v>8288</v>
      </c>
      <c r="F2031" s="121" t="s">
        <v>9572</v>
      </c>
      <c r="G2031" s="29" t="s">
        <v>3789</v>
      </c>
      <c r="H2031" s="29"/>
      <c r="I2031" s="29"/>
      <c r="J2031" s="29">
        <f t="shared" si="159"/>
        <v>1</v>
      </c>
      <c r="K2031" s="42">
        <v>2017</v>
      </c>
      <c r="L2031" s="43" t="s">
        <v>8999</v>
      </c>
      <c r="M2031" s="220" t="s">
        <v>417</v>
      </c>
      <c r="N2031" s="44" t="s">
        <v>7978</v>
      </c>
      <c r="O2031" s="188" t="str">
        <f t="shared" si="160"/>
        <v>PE-M1-1C240-13</v>
      </c>
      <c r="P2031" s="45" t="s">
        <v>1613</v>
      </c>
      <c r="Q2031" s="44">
        <v>1400</v>
      </c>
      <c r="R2031" s="44" t="s">
        <v>49</v>
      </c>
      <c r="S2031" s="126">
        <v>35</v>
      </c>
      <c r="T2031" s="46" t="s">
        <v>7981</v>
      </c>
      <c r="U2031" s="47" t="s">
        <v>8205</v>
      </c>
      <c r="V2031" s="46" t="s">
        <v>8701</v>
      </c>
      <c r="W2031" s="70" t="s">
        <v>8191</v>
      </c>
      <c r="X2031" s="47" t="s">
        <v>304</v>
      </c>
      <c r="Y2031" s="47" t="s">
        <v>8206</v>
      </c>
      <c r="Z2031" s="46" t="s">
        <v>8207</v>
      </c>
      <c r="AA2031" s="46" t="s">
        <v>8700</v>
      </c>
      <c r="AB2031" s="47" t="s">
        <v>307</v>
      </c>
      <c r="AC2031" s="48" t="s">
        <v>8468</v>
      </c>
      <c r="AD2031" s="30"/>
      <c r="AE2031" s="192">
        <v>1</v>
      </c>
      <c r="AF2031" s="100" t="s">
        <v>8822</v>
      </c>
      <c r="AG2031" s="100" t="s">
        <v>8932</v>
      </c>
      <c r="AH2031" s="111">
        <v>33</v>
      </c>
      <c r="AK2031" s="241">
        <v>1</v>
      </c>
      <c r="AL2031" s="241" t="s">
        <v>9578</v>
      </c>
      <c r="AM2031" s="241">
        <v>2</v>
      </c>
      <c r="AN2031" s="241">
        <v>1</v>
      </c>
      <c r="AO2031" s="241" t="s">
        <v>9576</v>
      </c>
      <c r="AP2031" s="241">
        <v>1</v>
      </c>
      <c r="AR2031" s="241">
        <v>2</v>
      </c>
      <c r="AS2031" s="241" t="s">
        <v>9582</v>
      </c>
    </row>
    <row r="2032" spans="1:45" s="32" customFormat="1" ht="69.95" hidden="1" customHeight="1">
      <c r="A2032" s="29" t="s">
        <v>8674</v>
      </c>
      <c r="B2032" s="29" t="s">
        <v>8652</v>
      </c>
      <c r="C2032" s="69" t="s">
        <v>36</v>
      </c>
      <c r="D2032" s="69"/>
      <c r="E2032" s="57" t="s">
        <v>8288</v>
      </c>
      <c r="F2032" s="121" t="s">
        <v>9572</v>
      </c>
      <c r="G2032" s="29" t="s">
        <v>8153</v>
      </c>
      <c r="H2032" s="29"/>
      <c r="I2032" s="29"/>
      <c r="J2032" s="29">
        <f t="shared" si="159"/>
        <v>1</v>
      </c>
      <c r="K2032" s="42">
        <v>2018</v>
      </c>
      <c r="L2032" s="43" t="s">
        <v>9000</v>
      </c>
      <c r="M2032" s="220" t="s">
        <v>417</v>
      </c>
      <c r="N2032" s="44" t="s">
        <v>7978</v>
      </c>
      <c r="O2032" s="188" t="str">
        <f t="shared" si="160"/>
        <v>PE-M1-1C240-13</v>
      </c>
      <c r="P2032" s="51" t="s">
        <v>1613</v>
      </c>
      <c r="Q2032" s="43">
        <v>1400</v>
      </c>
      <c r="R2032" s="43" t="s">
        <v>49</v>
      </c>
      <c r="S2032" s="126">
        <v>35</v>
      </c>
      <c r="T2032" s="46" t="s">
        <v>7981</v>
      </c>
      <c r="U2032" s="47" t="s">
        <v>8205</v>
      </c>
      <c r="V2032" s="46" t="s">
        <v>8701</v>
      </c>
      <c r="W2032" s="70" t="s">
        <v>8191</v>
      </c>
      <c r="X2032" s="47" t="s">
        <v>305</v>
      </c>
      <c r="Y2032" s="47" t="s">
        <v>8206</v>
      </c>
      <c r="Z2032" s="46" t="s">
        <v>8207</v>
      </c>
      <c r="AA2032" s="46" t="s">
        <v>8700</v>
      </c>
      <c r="AB2032" s="47" t="s">
        <v>308</v>
      </c>
      <c r="AC2032" s="52" t="s">
        <v>8468</v>
      </c>
      <c r="AD2032" s="30"/>
      <c r="AE2032" s="192">
        <v>1</v>
      </c>
      <c r="AF2032" s="100" t="s">
        <v>8822</v>
      </c>
      <c r="AG2032" s="100" t="s">
        <v>8932</v>
      </c>
      <c r="AH2032" s="111">
        <v>33</v>
      </c>
      <c r="AK2032" s="241">
        <v>1</v>
      </c>
      <c r="AL2032" s="241" t="s">
        <v>9578</v>
      </c>
      <c r="AM2032" s="241">
        <v>2</v>
      </c>
      <c r="AN2032" s="241">
        <v>1</v>
      </c>
      <c r="AO2032" s="241" t="s">
        <v>9576</v>
      </c>
      <c r="AP2032" s="241">
        <v>1</v>
      </c>
      <c r="AR2032" s="241">
        <v>2</v>
      </c>
      <c r="AS2032" s="241" t="s">
        <v>9582</v>
      </c>
    </row>
    <row r="2033" spans="1:45" s="32" customFormat="1" ht="69.95" hidden="1" customHeight="1">
      <c r="A2033" s="29" t="s">
        <v>8674</v>
      </c>
      <c r="B2033" s="29" t="s">
        <v>8652</v>
      </c>
      <c r="C2033" s="69" t="s">
        <v>38</v>
      </c>
      <c r="D2033" s="69"/>
      <c r="E2033" s="57" t="s">
        <v>8288</v>
      </c>
      <c r="F2033" s="121" t="s">
        <v>9572</v>
      </c>
      <c r="G2033" s="29" t="s">
        <v>8153</v>
      </c>
      <c r="H2033" s="29"/>
      <c r="I2033" s="29"/>
      <c r="J2033" s="29">
        <f t="shared" si="159"/>
        <v>1</v>
      </c>
      <c r="K2033" s="42">
        <v>2019</v>
      </c>
      <c r="L2033" s="43" t="s">
        <v>9001</v>
      </c>
      <c r="M2033" s="220" t="s">
        <v>417</v>
      </c>
      <c r="N2033" s="44" t="s">
        <v>7978</v>
      </c>
      <c r="O2033" s="188" t="str">
        <f t="shared" si="160"/>
        <v>PE-M1-1C240-13</v>
      </c>
      <c r="P2033" s="51" t="s">
        <v>1613</v>
      </c>
      <c r="Q2033" s="43">
        <v>1400</v>
      </c>
      <c r="R2033" s="43" t="s">
        <v>49</v>
      </c>
      <c r="S2033" s="126">
        <v>35</v>
      </c>
      <c r="T2033" s="46" t="s">
        <v>7981</v>
      </c>
      <c r="U2033" s="47" t="s">
        <v>8205</v>
      </c>
      <c r="V2033" s="46" t="s">
        <v>8701</v>
      </c>
      <c r="W2033" s="70" t="s">
        <v>8191</v>
      </c>
      <c r="X2033" s="47" t="s">
        <v>306</v>
      </c>
      <c r="Y2033" s="47" t="s">
        <v>8206</v>
      </c>
      <c r="Z2033" s="46" t="s">
        <v>8207</v>
      </c>
      <c r="AA2033" s="46" t="s">
        <v>8700</v>
      </c>
      <c r="AB2033" s="47" t="s">
        <v>309</v>
      </c>
      <c r="AC2033" s="52" t="s">
        <v>8468</v>
      </c>
      <c r="AD2033" s="30"/>
      <c r="AE2033" s="192">
        <v>1</v>
      </c>
      <c r="AF2033" s="100" t="s">
        <v>8822</v>
      </c>
      <c r="AG2033" s="100" t="s">
        <v>8932</v>
      </c>
      <c r="AH2033" s="111">
        <v>33</v>
      </c>
      <c r="AK2033" s="241">
        <v>1</v>
      </c>
      <c r="AL2033" s="241" t="s">
        <v>9578</v>
      </c>
      <c r="AM2033" s="241">
        <v>2</v>
      </c>
      <c r="AN2033" s="241">
        <v>1</v>
      </c>
      <c r="AO2033" s="241" t="s">
        <v>9576</v>
      </c>
      <c r="AP2033" s="241">
        <v>1</v>
      </c>
      <c r="AR2033" s="241">
        <v>2</v>
      </c>
      <c r="AS2033" s="241" t="s">
        <v>9582</v>
      </c>
    </row>
    <row r="2034" spans="1:45" s="32" customFormat="1" ht="69.95" hidden="1" customHeight="1">
      <c r="A2034" s="29" t="s">
        <v>8674</v>
      </c>
      <c r="B2034" s="29" t="s">
        <v>8652</v>
      </c>
      <c r="C2034" s="69" t="s">
        <v>40</v>
      </c>
      <c r="D2034" s="69"/>
      <c r="E2034" s="57" t="s">
        <v>8288</v>
      </c>
      <c r="F2034" s="121" t="s">
        <v>9572</v>
      </c>
      <c r="G2034" s="29" t="s">
        <v>8153</v>
      </c>
      <c r="H2034" s="29"/>
      <c r="I2034" s="29"/>
      <c r="J2034" s="29">
        <f t="shared" si="159"/>
        <v>1</v>
      </c>
      <c r="K2034" s="42">
        <v>2020</v>
      </c>
      <c r="L2034" s="43" t="s">
        <v>9002</v>
      </c>
      <c r="M2034" s="220" t="s">
        <v>417</v>
      </c>
      <c r="N2034" s="44" t="s">
        <v>7978</v>
      </c>
      <c r="O2034" s="188" t="str">
        <f t="shared" si="160"/>
        <v>PE-M1-1C240-13</v>
      </c>
      <c r="P2034" s="51" t="s">
        <v>1613</v>
      </c>
      <c r="Q2034" s="43">
        <v>1400</v>
      </c>
      <c r="R2034" s="43" t="s">
        <v>49</v>
      </c>
      <c r="S2034" s="126">
        <v>35</v>
      </c>
      <c r="T2034" s="46" t="s">
        <v>7981</v>
      </c>
      <c r="U2034" s="47" t="s">
        <v>8205</v>
      </c>
      <c r="V2034" s="46" t="s">
        <v>8701</v>
      </c>
      <c r="W2034" s="70" t="s">
        <v>8191</v>
      </c>
      <c r="X2034" s="47" t="s">
        <v>304</v>
      </c>
      <c r="Y2034" s="47" t="s">
        <v>8206</v>
      </c>
      <c r="Z2034" s="46" t="s">
        <v>8207</v>
      </c>
      <c r="AA2034" s="46" t="s">
        <v>8700</v>
      </c>
      <c r="AB2034" s="47" t="s">
        <v>307</v>
      </c>
      <c r="AC2034" s="48" t="s">
        <v>8469</v>
      </c>
      <c r="AD2034" s="30"/>
      <c r="AE2034" s="192">
        <v>1</v>
      </c>
      <c r="AF2034" s="100" t="s">
        <v>8822</v>
      </c>
      <c r="AG2034" s="100" t="s">
        <v>8932</v>
      </c>
      <c r="AH2034" s="111">
        <v>33</v>
      </c>
      <c r="AK2034" s="241">
        <v>1</v>
      </c>
      <c r="AL2034" s="241" t="s">
        <v>9578</v>
      </c>
      <c r="AM2034" s="241">
        <v>2</v>
      </c>
      <c r="AN2034" s="241">
        <v>1</v>
      </c>
      <c r="AO2034" s="241" t="s">
        <v>9576</v>
      </c>
      <c r="AP2034" s="241">
        <v>1</v>
      </c>
      <c r="AR2034" s="241">
        <v>2</v>
      </c>
      <c r="AS2034" s="241" t="s">
        <v>9582</v>
      </c>
    </row>
    <row r="2035" spans="1:45" s="32" customFormat="1" ht="69.95" hidden="1" customHeight="1">
      <c r="A2035" s="29" t="s">
        <v>8674</v>
      </c>
      <c r="B2035" s="29" t="s">
        <v>8652</v>
      </c>
      <c r="C2035" s="69" t="s">
        <v>41</v>
      </c>
      <c r="D2035" s="69"/>
      <c r="E2035" s="57" t="s">
        <v>8288</v>
      </c>
      <c r="F2035" s="121" t="s">
        <v>9572</v>
      </c>
      <c r="G2035" s="29" t="s">
        <v>8153</v>
      </c>
      <c r="H2035" s="29"/>
      <c r="I2035" s="29"/>
      <c r="J2035" s="29">
        <f t="shared" si="159"/>
        <v>1</v>
      </c>
      <c r="K2035" s="42">
        <v>2021</v>
      </c>
      <c r="L2035" s="43" t="s">
        <v>9003</v>
      </c>
      <c r="M2035" s="220" t="s">
        <v>417</v>
      </c>
      <c r="N2035" s="44" t="s">
        <v>7978</v>
      </c>
      <c r="O2035" s="188" t="str">
        <f t="shared" si="160"/>
        <v>PE-M1-1C240-13</v>
      </c>
      <c r="P2035" s="51" t="s">
        <v>1613</v>
      </c>
      <c r="Q2035" s="43">
        <v>1400</v>
      </c>
      <c r="R2035" s="43" t="s">
        <v>49</v>
      </c>
      <c r="S2035" s="126">
        <v>35</v>
      </c>
      <c r="T2035" s="46" t="s">
        <v>7981</v>
      </c>
      <c r="U2035" s="47" t="s">
        <v>8205</v>
      </c>
      <c r="V2035" s="46" t="s">
        <v>8701</v>
      </c>
      <c r="W2035" s="70" t="s">
        <v>8191</v>
      </c>
      <c r="X2035" s="47" t="s">
        <v>305</v>
      </c>
      <c r="Y2035" s="47" t="s">
        <v>8206</v>
      </c>
      <c r="Z2035" s="46" t="s">
        <v>8207</v>
      </c>
      <c r="AA2035" s="46" t="s">
        <v>8700</v>
      </c>
      <c r="AB2035" s="47" t="s">
        <v>308</v>
      </c>
      <c r="AC2035" s="52" t="s">
        <v>8469</v>
      </c>
      <c r="AD2035" s="30"/>
      <c r="AE2035" s="192">
        <v>1</v>
      </c>
      <c r="AF2035" s="100" t="s">
        <v>8822</v>
      </c>
      <c r="AG2035" s="100" t="s">
        <v>8932</v>
      </c>
      <c r="AH2035" s="111">
        <v>33</v>
      </c>
      <c r="AK2035" s="241">
        <v>1</v>
      </c>
      <c r="AL2035" s="241" t="s">
        <v>9578</v>
      </c>
      <c r="AM2035" s="241">
        <v>2</v>
      </c>
      <c r="AN2035" s="241">
        <v>1</v>
      </c>
      <c r="AO2035" s="241" t="s">
        <v>9576</v>
      </c>
      <c r="AP2035" s="241">
        <v>1</v>
      </c>
      <c r="AR2035" s="241">
        <v>2</v>
      </c>
      <c r="AS2035" s="241" t="s">
        <v>9582</v>
      </c>
    </row>
    <row r="2036" spans="1:45" s="32" customFormat="1" ht="69.95" hidden="1" customHeight="1">
      <c r="A2036" s="29" t="s">
        <v>8674</v>
      </c>
      <c r="B2036" s="29" t="s">
        <v>8652</v>
      </c>
      <c r="C2036" s="69" t="s">
        <v>42</v>
      </c>
      <c r="D2036" s="69"/>
      <c r="E2036" s="57" t="s">
        <v>8288</v>
      </c>
      <c r="F2036" s="121" t="s">
        <v>9572</v>
      </c>
      <c r="G2036" s="29" t="s">
        <v>8153</v>
      </c>
      <c r="H2036" s="29"/>
      <c r="I2036" s="29"/>
      <c r="J2036" s="29">
        <f t="shared" si="159"/>
        <v>1</v>
      </c>
      <c r="K2036" s="42">
        <v>2022</v>
      </c>
      <c r="L2036" s="43" t="s">
        <v>9004</v>
      </c>
      <c r="M2036" s="220" t="s">
        <v>417</v>
      </c>
      <c r="N2036" s="44" t="s">
        <v>7978</v>
      </c>
      <c r="O2036" s="188" t="str">
        <f t="shared" si="160"/>
        <v>PE-M1-1C240-13</v>
      </c>
      <c r="P2036" s="51" t="s">
        <v>1613</v>
      </c>
      <c r="Q2036" s="43">
        <v>1400</v>
      </c>
      <c r="R2036" s="43" t="s">
        <v>49</v>
      </c>
      <c r="S2036" s="126">
        <v>35</v>
      </c>
      <c r="T2036" s="46" t="s">
        <v>7981</v>
      </c>
      <c r="U2036" s="47" t="s">
        <v>8205</v>
      </c>
      <c r="V2036" s="46" t="s">
        <v>8701</v>
      </c>
      <c r="W2036" s="70" t="s">
        <v>8191</v>
      </c>
      <c r="X2036" s="47" t="s">
        <v>306</v>
      </c>
      <c r="Y2036" s="47" t="s">
        <v>8206</v>
      </c>
      <c r="Z2036" s="46" t="s">
        <v>8207</v>
      </c>
      <c r="AA2036" s="46" t="s">
        <v>8700</v>
      </c>
      <c r="AB2036" s="47" t="s">
        <v>309</v>
      </c>
      <c r="AC2036" s="52" t="s">
        <v>8469</v>
      </c>
      <c r="AD2036" s="30"/>
      <c r="AE2036" s="192">
        <v>1</v>
      </c>
      <c r="AF2036" s="100" t="s">
        <v>8822</v>
      </c>
      <c r="AG2036" s="100" t="s">
        <v>8932</v>
      </c>
      <c r="AH2036" s="111">
        <v>33</v>
      </c>
      <c r="AK2036" s="241">
        <v>1</v>
      </c>
      <c r="AL2036" s="241" t="s">
        <v>9578</v>
      </c>
      <c r="AM2036" s="241">
        <v>2</v>
      </c>
      <c r="AN2036" s="241">
        <v>1</v>
      </c>
      <c r="AO2036" s="241" t="s">
        <v>9576</v>
      </c>
      <c r="AP2036" s="241">
        <v>1</v>
      </c>
      <c r="AR2036" s="241">
        <v>2</v>
      </c>
      <c r="AS2036" s="241" t="s">
        <v>9582</v>
      </c>
    </row>
    <row r="2037" spans="1:45" s="32" customFormat="1" ht="69.95" hidden="1" customHeight="1">
      <c r="A2037" s="29" t="s">
        <v>8674</v>
      </c>
      <c r="B2037" s="29" t="s">
        <v>8652</v>
      </c>
      <c r="C2037" s="69" t="s">
        <v>43</v>
      </c>
      <c r="D2037" s="69"/>
      <c r="E2037" s="57" t="s">
        <v>8288</v>
      </c>
      <c r="F2037" s="121" t="s">
        <v>9572</v>
      </c>
      <c r="G2037" s="29" t="s">
        <v>8153</v>
      </c>
      <c r="H2037" s="29"/>
      <c r="I2037" s="29"/>
      <c r="J2037" s="29">
        <f t="shared" si="159"/>
        <v>1</v>
      </c>
      <c r="K2037" s="42">
        <v>2023</v>
      </c>
      <c r="L2037" s="43" t="s">
        <v>9005</v>
      </c>
      <c r="M2037" s="220" t="s">
        <v>417</v>
      </c>
      <c r="N2037" s="44" t="s">
        <v>7978</v>
      </c>
      <c r="O2037" s="188" t="str">
        <f t="shared" si="160"/>
        <v>PE-M1-1C240-13</v>
      </c>
      <c r="P2037" s="51" t="s">
        <v>1613</v>
      </c>
      <c r="Q2037" s="43">
        <v>1400</v>
      </c>
      <c r="R2037" s="43" t="s">
        <v>49</v>
      </c>
      <c r="S2037" s="126">
        <v>35</v>
      </c>
      <c r="T2037" s="46" t="s">
        <v>7981</v>
      </c>
      <c r="U2037" s="47" t="s">
        <v>8205</v>
      </c>
      <c r="V2037" s="46" t="s">
        <v>8701</v>
      </c>
      <c r="W2037" s="70" t="s">
        <v>8191</v>
      </c>
      <c r="X2037" s="47" t="s">
        <v>304</v>
      </c>
      <c r="Y2037" s="47" t="s">
        <v>8206</v>
      </c>
      <c r="Z2037" s="46" t="s">
        <v>8207</v>
      </c>
      <c r="AA2037" s="46" t="s">
        <v>8700</v>
      </c>
      <c r="AB2037" s="47" t="s">
        <v>307</v>
      </c>
      <c r="AC2037" s="48" t="s">
        <v>8470</v>
      </c>
      <c r="AD2037" s="30"/>
      <c r="AE2037" s="192">
        <v>1</v>
      </c>
      <c r="AF2037" s="100" t="s">
        <v>8822</v>
      </c>
      <c r="AG2037" s="100" t="s">
        <v>8932</v>
      </c>
      <c r="AH2037" s="111">
        <v>33</v>
      </c>
      <c r="AK2037" s="241">
        <v>1</v>
      </c>
      <c r="AL2037" s="241" t="s">
        <v>9578</v>
      </c>
      <c r="AM2037" s="241">
        <v>2</v>
      </c>
      <c r="AN2037" s="241">
        <v>1</v>
      </c>
      <c r="AO2037" s="241" t="s">
        <v>9576</v>
      </c>
      <c r="AP2037" s="241">
        <v>1</v>
      </c>
      <c r="AR2037" s="241">
        <v>2</v>
      </c>
      <c r="AS2037" s="241" t="s">
        <v>9582</v>
      </c>
    </row>
    <row r="2038" spans="1:45" s="32" customFormat="1" ht="69.95" hidden="1" customHeight="1">
      <c r="A2038" s="29" t="s">
        <v>8674</v>
      </c>
      <c r="B2038" s="29" t="s">
        <v>8652</v>
      </c>
      <c r="C2038" s="69" t="s">
        <v>73</v>
      </c>
      <c r="D2038" s="69"/>
      <c r="E2038" s="57" t="s">
        <v>8288</v>
      </c>
      <c r="F2038" s="121" t="s">
        <v>9572</v>
      </c>
      <c r="G2038" s="29" t="s">
        <v>8153</v>
      </c>
      <c r="H2038" s="29"/>
      <c r="I2038" s="29"/>
      <c r="J2038" s="29">
        <f t="shared" si="159"/>
        <v>1</v>
      </c>
      <c r="K2038" s="42">
        <v>2024</v>
      </c>
      <c r="L2038" s="43" t="s">
        <v>9006</v>
      </c>
      <c r="M2038" s="220" t="s">
        <v>417</v>
      </c>
      <c r="N2038" s="44" t="s">
        <v>7978</v>
      </c>
      <c r="O2038" s="188" t="str">
        <f t="shared" si="160"/>
        <v>PE-M1-1C240-13</v>
      </c>
      <c r="P2038" s="51" t="s">
        <v>1613</v>
      </c>
      <c r="Q2038" s="43">
        <v>1400</v>
      </c>
      <c r="R2038" s="43" t="s">
        <v>49</v>
      </c>
      <c r="S2038" s="126">
        <v>35</v>
      </c>
      <c r="T2038" s="46" t="s">
        <v>7981</v>
      </c>
      <c r="U2038" s="47" t="s">
        <v>8205</v>
      </c>
      <c r="V2038" s="46" t="s">
        <v>8701</v>
      </c>
      <c r="W2038" s="70" t="s">
        <v>8191</v>
      </c>
      <c r="X2038" s="47" t="s">
        <v>305</v>
      </c>
      <c r="Y2038" s="47" t="s">
        <v>8206</v>
      </c>
      <c r="Z2038" s="46" t="s">
        <v>8207</v>
      </c>
      <c r="AA2038" s="46" t="s">
        <v>8700</v>
      </c>
      <c r="AB2038" s="47" t="s">
        <v>308</v>
      </c>
      <c r="AC2038" s="52" t="s">
        <v>8470</v>
      </c>
      <c r="AD2038" s="30"/>
      <c r="AE2038" s="192">
        <v>1</v>
      </c>
      <c r="AF2038" s="100" t="s">
        <v>8822</v>
      </c>
      <c r="AG2038" s="100" t="s">
        <v>8932</v>
      </c>
      <c r="AH2038" s="111">
        <v>33</v>
      </c>
      <c r="AK2038" s="241">
        <v>1</v>
      </c>
      <c r="AL2038" s="241" t="s">
        <v>9578</v>
      </c>
      <c r="AM2038" s="241">
        <v>2</v>
      </c>
      <c r="AN2038" s="241">
        <v>1</v>
      </c>
      <c r="AO2038" s="241" t="s">
        <v>9576</v>
      </c>
      <c r="AP2038" s="241">
        <v>1</v>
      </c>
      <c r="AR2038" s="241">
        <v>2</v>
      </c>
      <c r="AS2038" s="241" t="s">
        <v>9582</v>
      </c>
    </row>
    <row r="2039" spans="1:45" s="32" customFormat="1" ht="69.95" hidden="1" customHeight="1">
      <c r="A2039" s="29" t="s">
        <v>8674</v>
      </c>
      <c r="B2039" s="29" t="s">
        <v>8652</v>
      </c>
      <c r="C2039" s="69" t="s">
        <v>75</v>
      </c>
      <c r="D2039" s="69"/>
      <c r="E2039" s="57" t="s">
        <v>8288</v>
      </c>
      <c r="F2039" s="121" t="s">
        <v>9572</v>
      </c>
      <c r="G2039" s="29" t="s">
        <v>8153</v>
      </c>
      <c r="H2039" s="29"/>
      <c r="I2039" s="29"/>
      <c r="J2039" s="29">
        <f t="shared" si="159"/>
        <v>1</v>
      </c>
      <c r="K2039" s="42">
        <v>2025</v>
      </c>
      <c r="L2039" s="43" t="s">
        <v>8204</v>
      </c>
      <c r="M2039" s="220" t="s">
        <v>417</v>
      </c>
      <c r="N2039" s="44" t="s">
        <v>7978</v>
      </c>
      <c r="O2039" s="188" t="str">
        <f t="shared" si="160"/>
        <v>PE-M1-1C240-13</v>
      </c>
      <c r="P2039" s="51" t="s">
        <v>1613</v>
      </c>
      <c r="Q2039" s="43">
        <v>1400</v>
      </c>
      <c r="R2039" s="43" t="s">
        <v>49</v>
      </c>
      <c r="S2039" s="126">
        <v>35</v>
      </c>
      <c r="T2039" s="46" t="s">
        <v>7981</v>
      </c>
      <c r="U2039" s="47" t="s">
        <v>8205</v>
      </c>
      <c r="V2039" s="46" t="s">
        <v>8701</v>
      </c>
      <c r="W2039" s="70" t="s">
        <v>8191</v>
      </c>
      <c r="X2039" s="47" t="s">
        <v>306</v>
      </c>
      <c r="Y2039" s="47" t="s">
        <v>8206</v>
      </c>
      <c r="Z2039" s="46" t="s">
        <v>8207</v>
      </c>
      <c r="AA2039" s="46" t="s">
        <v>8700</v>
      </c>
      <c r="AB2039" s="47" t="s">
        <v>309</v>
      </c>
      <c r="AC2039" s="52" t="s">
        <v>8470</v>
      </c>
      <c r="AD2039" s="30"/>
      <c r="AE2039" s="192">
        <v>1</v>
      </c>
      <c r="AF2039" s="100" t="s">
        <v>8822</v>
      </c>
      <c r="AG2039" s="100" t="s">
        <v>8932</v>
      </c>
      <c r="AH2039" s="111">
        <v>33</v>
      </c>
      <c r="AK2039" s="241">
        <v>1</v>
      </c>
      <c r="AL2039" s="241" t="s">
        <v>9578</v>
      </c>
      <c r="AM2039" s="241">
        <v>2</v>
      </c>
      <c r="AN2039" s="241">
        <v>1</v>
      </c>
      <c r="AO2039" s="241" t="s">
        <v>9576</v>
      </c>
      <c r="AP2039" s="241">
        <v>1</v>
      </c>
      <c r="AR2039" s="241">
        <v>2</v>
      </c>
      <c r="AS2039" s="241" t="s">
        <v>9582</v>
      </c>
    </row>
    <row r="2040" spans="1:45" s="32" customFormat="1" ht="69.95" hidden="1" customHeight="1">
      <c r="A2040" s="29" t="s">
        <v>7835</v>
      </c>
      <c r="B2040" s="29" t="s">
        <v>3769</v>
      </c>
      <c r="C2040" s="32">
        <v>11</v>
      </c>
      <c r="E2040" s="57" t="s">
        <v>8162</v>
      </c>
      <c r="F2040" s="57" t="s">
        <v>8162</v>
      </c>
      <c r="G2040" s="29" t="s">
        <v>3790</v>
      </c>
      <c r="H2040" s="29"/>
      <c r="I2040" s="29"/>
      <c r="J2040" s="29">
        <f t="shared" si="159"/>
        <v>1</v>
      </c>
      <c r="K2040" s="42">
        <v>2026</v>
      </c>
      <c r="L2040" s="128" t="s">
        <v>8837</v>
      </c>
      <c r="M2040" s="44" t="s">
        <v>405</v>
      </c>
      <c r="N2040" s="44" t="s">
        <v>7984</v>
      </c>
      <c r="O2040" s="44" t="str">
        <f t="shared" si="160"/>
        <v>PE-L1-3C4-22</v>
      </c>
      <c r="P2040" s="45">
        <v>1.2</v>
      </c>
      <c r="Q2040" s="44">
        <v>230</v>
      </c>
      <c r="R2040" s="44" t="s">
        <v>49</v>
      </c>
      <c r="S2040" s="44">
        <v>40</v>
      </c>
      <c r="T2040" s="46" t="s">
        <v>7981</v>
      </c>
      <c r="U2040" s="46" t="s">
        <v>7835</v>
      </c>
      <c r="V2040" s="46" t="s">
        <v>8698</v>
      </c>
      <c r="W2040" s="46" t="s">
        <v>7813</v>
      </c>
      <c r="X2040" s="172" t="s">
        <v>9167</v>
      </c>
      <c r="Y2040" s="47" t="s">
        <v>7836</v>
      </c>
      <c r="Z2040" s="46" t="s">
        <v>7173</v>
      </c>
      <c r="AA2040" s="46" t="s">
        <v>401</v>
      </c>
      <c r="AB2040" s="172" t="s">
        <v>9167</v>
      </c>
      <c r="AC2040" s="48" t="s">
        <v>7837</v>
      </c>
      <c r="AD2040" s="30"/>
      <c r="AE2040" s="192">
        <v>1</v>
      </c>
      <c r="AF2040" s="100" t="s">
        <v>8722</v>
      </c>
      <c r="AG2040" s="100" t="s">
        <v>8925</v>
      </c>
      <c r="AH2040" s="100">
        <v>13</v>
      </c>
    </row>
    <row r="2041" spans="1:45" s="32" customFormat="1" ht="69.95" hidden="1" customHeight="1">
      <c r="A2041" s="29" t="s">
        <v>7838</v>
      </c>
      <c r="B2041" s="29" t="s">
        <v>3769</v>
      </c>
      <c r="C2041" s="32">
        <v>12</v>
      </c>
      <c r="E2041" s="57" t="s">
        <v>8289</v>
      </c>
      <c r="F2041" s="57" t="s">
        <v>8289</v>
      </c>
      <c r="G2041" s="29" t="s">
        <v>3791</v>
      </c>
      <c r="H2041" s="29"/>
      <c r="I2041" s="29"/>
      <c r="J2041" s="29">
        <f t="shared" si="159"/>
        <v>1</v>
      </c>
      <c r="K2041" s="42">
        <v>2027</v>
      </c>
      <c r="L2041" s="43" t="s">
        <v>3792</v>
      </c>
      <c r="M2041" s="44" t="s">
        <v>405</v>
      </c>
      <c r="N2041" s="44" t="s">
        <v>1972</v>
      </c>
      <c r="O2041" s="44" t="str">
        <f t="shared" si="160"/>
        <v>PE-L1-5C6-02</v>
      </c>
      <c r="P2041" s="45">
        <v>15</v>
      </c>
      <c r="Q2041" s="44">
        <v>400</v>
      </c>
      <c r="R2041" s="44" t="s">
        <v>49</v>
      </c>
      <c r="S2041" s="44">
        <v>170</v>
      </c>
      <c r="T2041" s="46" t="s">
        <v>7981</v>
      </c>
      <c r="U2041" s="46" t="s">
        <v>7838</v>
      </c>
      <c r="V2041" s="46" t="s">
        <v>8698</v>
      </c>
      <c r="W2041" s="46" t="s">
        <v>7813</v>
      </c>
      <c r="X2041" s="47" t="s">
        <v>9310</v>
      </c>
      <c r="Y2041" s="47" t="s">
        <v>7839</v>
      </c>
      <c r="Z2041" s="46" t="s">
        <v>7177</v>
      </c>
      <c r="AA2041" s="46" t="s">
        <v>401</v>
      </c>
      <c r="AB2041" s="47" t="s">
        <v>9310</v>
      </c>
      <c r="AC2041" s="48" t="s">
        <v>7840</v>
      </c>
      <c r="AD2041" s="206" t="s">
        <v>8727</v>
      </c>
      <c r="AE2041" s="192">
        <v>1</v>
      </c>
      <c r="AF2041" s="100" t="s">
        <v>8824</v>
      </c>
      <c r="AG2041" s="100" t="s">
        <v>8931</v>
      </c>
      <c r="AH2041" s="100">
        <v>17</v>
      </c>
    </row>
    <row r="2042" spans="1:45" s="32" customFormat="1" ht="69.95" hidden="1" customHeight="1">
      <c r="A2042" s="29" t="s">
        <v>7841</v>
      </c>
      <c r="B2042" s="29" t="s">
        <v>3769</v>
      </c>
      <c r="C2042" s="32">
        <v>13</v>
      </c>
      <c r="E2042" s="56" t="s">
        <v>8289</v>
      </c>
      <c r="F2042" s="56" t="s">
        <v>8289</v>
      </c>
      <c r="G2042" s="29" t="s">
        <v>3793</v>
      </c>
      <c r="H2042" s="29"/>
      <c r="I2042" s="29"/>
      <c r="J2042" s="29">
        <f t="shared" si="159"/>
        <v>1</v>
      </c>
      <c r="K2042" s="42">
        <v>2028</v>
      </c>
      <c r="L2042" s="43" t="s">
        <v>3794</v>
      </c>
      <c r="M2042" s="44" t="s">
        <v>405</v>
      </c>
      <c r="N2042" s="44" t="s">
        <v>1972</v>
      </c>
      <c r="O2042" s="44" t="str">
        <f t="shared" si="160"/>
        <v>PE-L1-5C6-02</v>
      </c>
      <c r="P2042" s="45">
        <v>11</v>
      </c>
      <c r="Q2042" s="44">
        <v>400</v>
      </c>
      <c r="R2042" s="44" t="s">
        <v>49</v>
      </c>
      <c r="S2042" s="44">
        <v>120</v>
      </c>
      <c r="T2042" s="46" t="s">
        <v>7981</v>
      </c>
      <c r="U2042" s="46" t="s">
        <v>7841</v>
      </c>
      <c r="V2042" s="46" t="s">
        <v>8698</v>
      </c>
      <c r="W2042" s="46" t="s">
        <v>7813</v>
      </c>
      <c r="X2042" s="47" t="s">
        <v>8731</v>
      </c>
      <c r="Y2042" s="47" t="s">
        <v>7842</v>
      </c>
      <c r="Z2042" s="46" t="s">
        <v>7181</v>
      </c>
      <c r="AA2042" s="46" t="s">
        <v>401</v>
      </c>
      <c r="AB2042" s="47" t="s">
        <v>8731</v>
      </c>
      <c r="AC2042" s="48" t="s">
        <v>8471</v>
      </c>
      <c r="AD2042" s="206" t="s">
        <v>8730</v>
      </c>
      <c r="AE2042" s="192">
        <v>1</v>
      </c>
      <c r="AF2042" s="100" t="s">
        <v>8824</v>
      </c>
      <c r="AG2042" s="100" t="s">
        <v>8931</v>
      </c>
      <c r="AH2042" s="100">
        <v>17</v>
      </c>
    </row>
    <row r="2043" spans="1:45" s="32" customFormat="1" ht="69.95" hidden="1" customHeight="1">
      <c r="A2043" s="29" t="s">
        <v>7843</v>
      </c>
      <c r="B2043" s="29" t="s">
        <v>3769</v>
      </c>
      <c r="C2043" s="32">
        <v>14</v>
      </c>
      <c r="E2043" s="86" t="s">
        <v>229</v>
      </c>
      <c r="F2043" s="86" t="s">
        <v>229</v>
      </c>
      <c r="G2043" s="29" t="s">
        <v>3795</v>
      </c>
      <c r="H2043" s="29"/>
      <c r="I2043" s="29"/>
      <c r="J2043" s="29">
        <f t="shared" si="159"/>
        <v>1</v>
      </c>
      <c r="K2043" s="42">
        <v>2029</v>
      </c>
      <c r="L2043" s="43" t="s">
        <v>3796</v>
      </c>
      <c r="M2043" s="44" t="s">
        <v>405</v>
      </c>
      <c r="N2043" s="44" t="s">
        <v>566</v>
      </c>
      <c r="O2043" s="90" t="str">
        <f>F2043</f>
        <v>PE-L1-5C4-02</v>
      </c>
      <c r="P2043" s="45">
        <v>5.2</v>
      </c>
      <c r="Q2043" s="44">
        <v>400</v>
      </c>
      <c r="R2043" s="44" t="s">
        <v>49</v>
      </c>
      <c r="S2043" s="44">
        <v>110</v>
      </c>
      <c r="T2043" s="46" t="s">
        <v>7981</v>
      </c>
      <c r="U2043" s="46" t="s">
        <v>7843</v>
      </c>
      <c r="V2043" s="46" t="s">
        <v>8698</v>
      </c>
      <c r="W2043" s="46" t="s">
        <v>7813</v>
      </c>
      <c r="X2043" s="47" t="s">
        <v>8731</v>
      </c>
      <c r="Y2043" s="47" t="s">
        <v>7844</v>
      </c>
      <c r="Z2043" s="46" t="s">
        <v>7185</v>
      </c>
      <c r="AA2043" s="46" t="s">
        <v>401</v>
      </c>
      <c r="AB2043" s="47" t="s">
        <v>8731</v>
      </c>
      <c r="AC2043" s="48" t="s">
        <v>8472</v>
      </c>
      <c r="AD2043" s="30" t="s">
        <v>9318</v>
      </c>
      <c r="AE2043" s="202">
        <v>1</v>
      </c>
      <c r="AF2043" s="109" t="s">
        <v>8722</v>
      </c>
      <c r="AG2043" s="109" t="s">
        <v>8925</v>
      </c>
      <c r="AH2043" s="111">
        <v>15</v>
      </c>
    </row>
    <row r="2044" spans="1:45" s="32" customFormat="1" ht="69.95" hidden="1" customHeight="1">
      <c r="A2044" s="29" t="s">
        <v>7845</v>
      </c>
      <c r="B2044" s="29" t="s">
        <v>3769</v>
      </c>
      <c r="C2044" s="32">
        <v>15</v>
      </c>
      <c r="E2044" s="58" t="s">
        <v>8291</v>
      </c>
      <c r="F2044" s="58" t="s">
        <v>8291</v>
      </c>
      <c r="G2044" s="29" t="s">
        <v>3797</v>
      </c>
      <c r="H2044" s="29"/>
      <c r="I2044" s="29"/>
      <c r="J2044" s="29">
        <f t="shared" si="159"/>
        <v>1</v>
      </c>
      <c r="K2044" s="42">
        <v>2030</v>
      </c>
      <c r="L2044" s="43" t="s">
        <v>3798</v>
      </c>
      <c r="M2044" s="44" t="s">
        <v>405</v>
      </c>
      <c r="N2044" s="44" t="s">
        <v>8151</v>
      </c>
      <c r="O2044" s="44" t="str">
        <f t="shared" ref="O2044:O2049" si="161">F2044</f>
        <v>PE-L1-5C25/16-02</v>
      </c>
      <c r="P2044" s="45">
        <v>40</v>
      </c>
      <c r="Q2044" s="44">
        <v>400</v>
      </c>
      <c r="R2044" s="44" t="s">
        <v>49</v>
      </c>
      <c r="S2044" s="44">
        <v>85</v>
      </c>
      <c r="T2044" s="46" t="s">
        <v>7981</v>
      </c>
      <c r="U2044" s="46" t="s">
        <v>7845</v>
      </c>
      <c r="V2044" s="46" t="s">
        <v>8698</v>
      </c>
      <c r="W2044" s="46" t="s">
        <v>7813</v>
      </c>
      <c r="X2044" s="47" t="s">
        <v>8731</v>
      </c>
      <c r="Y2044" s="47" t="s">
        <v>7846</v>
      </c>
      <c r="Z2044" s="46" t="s">
        <v>7189</v>
      </c>
      <c r="AA2044" s="46" t="s">
        <v>401</v>
      </c>
      <c r="AB2044" s="47" t="s">
        <v>8731</v>
      </c>
      <c r="AC2044" s="48" t="s">
        <v>7847</v>
      </c>
      <c r="AD2044" s="206" t="s">
        <v>8734</v>
      </c>
      <c r="AE2044" s="192">
        <v>1</v>
      </c>
      <c r="AF2044" s="100" t="s">
        <v>8822</v>
      </c>
      <c r="AG2044" s="100" t="s">
        <v>8932</v>
      </c>
      <c r="AH2044" s="108">
        <v>25.5</v>
      </c>
    </row>
    <row r="2045" spans="1:45" s="32" customFormat="1" ht="69.95" hidden="1" customHeight="1">
      <c r="A2045" s="29" t="s">
        <v>7848</v>
      </c>
      <c r="B2045" s="29" t="s">
        <v>3769</v>
      </c>
      <c r="C2045" s="32">
        <v>16</v>
      </c>
      <c r="E2045" s="57" t="s">
        <v>8292</v>
      </c>
      <c r="F2045" s="57" t="s">
        <v>8292</v>
      </c>
      <c r="G2045" s="29" t="s">
        <v>3799</v>
      </c>
      <c r="H2045" s="29"/>
      <c r="I2045" s="29"/>
      <c r="J2045" s="29">
        <f t="shared" si="159"/>
        <v>1</v>
      </c>
      <c r="K2045" s="42">
        <v>2031</v>
      </c>
      <c r="L2045" s="43" t="s">
        <v>3800</v>
      </c>
      <c r="M2045" s="44" t="s">
        <v>405</v>
      </c>
      <c r="N2045" s="44" t="s">
        <v>1972</v>
      </c>
      <c r="O2045" s="44" t="str">
        <f t="shared" si="161"/>
        <v>PE-L1-5C6-02</v>
      </c>
      <c r="P2045" s="45">
        <v>18</v>
      </c>
      <c r="Q2045" s="44">
        <v>400</v>
      </c>
      <c r="R2045" s="44" t="s">
        <v>49</v>
      </c>
      <c r="S2045" s="44">
        <v>110</v>
      </c>
      <c r="T2045" s="46" t="s">
        <v>7981</v>
      </c>
      <c r="U2045" s="46" t="s">
        <v>7848</v>
      </c>
      <c r="V2045" s="46" t="s">
        <v>8698</v>
      </c>
      <c r="W2045" s="46" t="s">
        <v>7813</v>
      </c>
      <c r="X2045" s="47" t="s">
        <v>8731</v>
      </c>
      <c r="Y2045" s="47" t="s">
        <v>7849</v>
      </c>
      <c r="Z2045" s="46" t="s">
        <v>7193</v>
      </c>
      <c r="AA2045" s="46" t="s">
        <v>401</v>
      </c>
      <c r="AB2045" s="47" t="s">
        <v>8731</v>
      </c>
      <c r="AC2045" s="186" t="s">
        <v>8473</v>
      </c>
      <c r="AD2045" s="206" t="s">
        <v>8737</v>
      </c>
      <c r="AE2045" s="192">
        <v>1</v>
      </c>
      <c r="AF2045" s="100" t="s">
        <v>8824</v>
      </c>
      <c r="AG2045" s="100" t="s">
        <v>8931</v>
      </c>
      <c r="AH2045" s="100">
        <v>17</v>
      </c>
    </row>
    <row r="2046" spans="1:45" s="32" customFormat="1" ht="69.95" hidden="1" customHeight="1">
      <c r="A2046" s="29" t="s">
        <v>7850</v>
      </c>
      <c r="B2046" s="29" t="s">
        <v>3769</v>
      </c>
      <c r="C2046" s="32">
        <v>17</v>
      </c>
      <c r="E2046" s="57" t="s">
        <v>8297</v>
      </c>
      <c r="F2046" s="57" t="s">
        <v>8300</v>
      </c>
      <c r="G2046" s="29" t="s">
        <v>3801</v>
      </c>
      <c r="H2046" s="29"/>
      <c r="I2046" s="29"/>
      <c r="J2046" s="29">
        <f t="shared" si="159"/>
        <v>1</v>
      </c>
      <c r="K2046" s="42">
        <v>2032</v>
      </c>
      <c r="L2046" s="43" t="s">
        <v>3802</v>
      </c>
      <c r="M2046" s="44" t="s">
        <v>405</v>
      </c>
      <c r="N2046" s="44" t="s">
        <v>426</v>
      </c>
      <c r="O2046" s="44" t="str">
        <f t="shared" si="161"/>
        <v>PE-L1-3C4-24</v>
      </c>
      <c r="P2046" s="45">
        <v>1.6</v>
      </c>
      <c r="Q2046" s="44">
        <v>230</v>
      </c>
      <c r="R2046" s="44" t="s">
        <v>49</v>
      </c>
      <c r="S2046" s="44">
        <v>120</v>
      </c>
      <c r="T2046" s="46" t="s">
        <v>7981</v>
      </c>
      <c r="U2046" s="46" t="s">
        <v>7850</v>
      </c>
      <c r="V2046" s="46" t="s">
        <v>8698</v>
      </c>
      <c r="W2046" s="46" t="s">
        <v>7813</v>
      </c>
      <c r="X2046" s="172" t="s">
        <v>9167</v>
      </c>
      <c r="Y2046" s="47" t="s">
        <v>7851</v>
      </c>
      <c r="Z2046" s="46" t="s">
        <v>7197</v>
      </c>
      <c r="AA2046" s="46" t="s">
        <v>401</v>
      </c>
      <c r="AB2046" s="172" t="s">
        <v>9167</v>
      </c>
      <c r="AC2046" s="48" t="s">
        <v>8474</v>
      </c>
      <c r="AD2046" s="30" t="s">
        <v>387</v>
      </c>
      <c r="AE2046" s="192">
        <v>1</v>
      </c>
      <c r="AF2046" s="100" t="s">
        <v>8722</v>
      </c>
      <c r="AG2046" s="100" t="s">
        <v>8925</v>
      </c>
      <c r="AH2046" s="100">
        <v>13</v>
      </c>
    </row>
    <row r="2047" spans="1:45" s="32" customFormat="1" ht="69.95" hidden="1" customHeight="1">
      <c r="A2047" s="29" t="s">
        <v>7852</v>
      </c>
      <c r="B2047" s="29" t="s">
        <v>3769</v>
      </c>
      <c r="C2047" s="32">
        <v>18</v>
      </c>
      <c r="E2047" s="57" t="s">
        <v>8164</v>
      </c>
      <c r="F2047" s="57" t="s">
        <v>8164</v>
      </c>
      <c r="G2047" s="29" t="s">
        <v>3803</v>
      </c>
      <c r="H2047" s="29"/>
      <c r="I2047" s="29"/>
      <c r="J2047" s="29">
        <f t="shared" si="159"/>
        <v>1</v>
      </c>
      <c r="K2047" s="42">
        <v>2033</v>
      </c>
      <c r="L2047" s="43" t="s">
        <v>3804</v>
      </c>
      <c r="M2047" s="44" t="s">
        <v>405</v>
      </c>
      <c r="N2047" s="44" t="s">
        <v>578</v>
      </c>
      <c r="O2047" s="44" t="str">
        <f t="shared" si="161"/>
        <v>PE-L1-2C4-07</v>
      </c>
      <c r="P2047" s="45">
        <v>5.5E-2</v>
      </c>
      <c r="Q2047" s="44">
        <v>220</v>
      </c>
      <c r="R2047" s="44" t="s">
        <v>509</v>
      </c>
      <c r="S2047" s="44">
        <v>90</v>
      </c>
      <c r="T2047" s="46" t="s">
        <v>7981</v>
      </c>
      <c r="U2047" s="46" t="s">
        <v>7852</v>
      </c>
      <c r="V2047" s="46" t="s">
        <v>8702</v>
      </c>
      <c r="W2047" s="46" t="s">
        <v>7813</v>
      </c>
      <c r="X2047" s="47" t="s">
        <v>8738</v>
      </c>
      <c r="Y2047" s="47" t="s">
        <v>7853</v>
      </c>
      <c r="Z2047" s="46" t="s">
        <v>7200</v>
      </c>
      <c r="AA2047" s="46" t="s">
        <v>401</v>
      </c>
      <c r="AB2047" s="47" t="s">
        <v>8738</v>
      </c>
      <c r="AC2047" s="48" t="s">
        <v>8475</v>
      </c>
      <c r="AD2047" s="206" t="s">
        <v>8908</v>
      </c>
      <c r="AE2047" s="192">
        <v>1</v>
      </c>
      <c r="AF2047" s="100" t="s">
        <v>8722</v>
      </c>
      <c r="AG2047" s="100" t="s">
        <v>8925</v>
      </c>
      <c r="AH2047" s="108">
        <v>12.5</v>
      </c>
    </row>
    <row r="2048" spans="1:45" s="32" customFormat="1" ht="69.95" hidden="1" customHeight="1">
      <c r="A2048" s="29" t="s">
        <v>7854</v>
      </c>
      <c r="B2048" s="29" t="s">
        <v>3769</v>
      </c>
      <c r="C2048" s="32">
        <v>19</v>
      </c>
      <c r="E2048" s="57" t="s">
        <v>8164</v>
      </c>
      <c r="F2048" s="57" t="s">
        <v>8164</v>
      </c>
      <c r="G2048" s="29" t="s">
        <v>3805</v>
      </c>
      <c r="H2048" s="29"/>
      <c r="I2048" s="29"/>
      <c r="J2048" s="29">
        <f t="shared" si="159"/>
        <v>1</v>
      </c>
      <c r="K2048" s="42">
        <v>2034</v>
      </c>
      <c r="L2048" s="43" t="s">
        <v>3806</v>
      </c>
      <c r="M2048" s="44" t="s">
        <v>405</v>
      </c>
      <c r="N2048" s="44" t="s">
        <v>578</v>
      </c>
      <c r="O2048" s="44" t="str">
        <f t="shared" si="161"/>
        <v>PE-L1-2C4-07</v>
      </c>
      <c r="P2048" s="45">
        <v>4.8000000000000001E-2</v>
      </c>
      <c r="Q2048" s="44">
        <v>220</v>
      </c>
      <c r="R2048" s="44" t="s">
        <v>509</v>
      </c>
      <c r="S2048" s="44">
        <v>80</v>
      </c>
      <c r="T2048" s="46" t="s">
        <v>7981</v>
      </c>
      <c r="U2048" s="46" t="s">
        <v>7854</v>
      </c>
      <c r="V2048" s="46" t="s">
        <v>8702</v>
      </c>
      <c r="W2048" s="46" t="s">
        <v>7813</v>
      </c>
      <c r="X2048" s="47" t="s">
        <v>8738</v>
      </c>
      <c r="Y2048" s="47" t="s">
        <v>7855</v>
      </c>
      <c r="Z2048" s="46" t="s">
        <v>7204</v>
      </c>
      <c r="AA2048" s="46" t="s">
        <v>401</v>
      </c>
      <c r="AB2048" s="47" t="s">
        <v>8738</v>
      </c>
      <c r="AC2048" s="48" t="s">
        <v>8476</v>
      </c>
      <c r="AD2048" s="206" t="s">
        <v>8909</v>
      </c>
      <c r="AE2048" s="192">
        <v>1</v>
      </c>
      <c r="AF2048" s="100" t="s">
        <v>8722</v>
      </c>
      <c r="AG2048" s="100" t="s">
        <v>8925</v>
      </c>
      <c r="AH2048" s="108">
        <v>12.5</v>
      </c>
    </row>
    <row r="2049" spans="1:34" s="32" customFormat="1" ht="69.95" hidden="1" customHeight="1">
      <c r="A2049" s="29" t="s">
        <v>7856</v>
      </c>
      <c r="B2049" s="29" t="s">
        <v>3769</v>
      </c>
      <c r="C2049" s="32">
        <v>20</v>
      </c>
      <c r="E2049" s="57" t="s">
        <v>8164</v>
      </c>
      <c r="F2049" s="57" t="s">
        <v>8164</v>
      </c>
      <c r="G2049" s="29" t="s">
        <v>3807</v>
      </c>
      <c r="H2049" s="29"/>
      <c r="I2049" s="29"/>
      <c r="J2049" s="29">
        <f t="shared" si="159"/>
        <v>1</v>
      </c>
      <c r="K2049" s="42">
        <v>2035</v>
      </c>
      <c r="L2049" s="43" t="s">
        <v>3808</v>
      </c>
      <c r="M2049" s="44" t="s">
        <v>405</v>
      </c>
      <c r="N2049" s="44" t="s">
        <v>578</v>
      </c>
      <c r="O2049" s="44" t="str">
        <f t="shared" si="161"/>
        <v>PE-L1-2C4-07</v>
      </c>
      <c r="P2049" s="45">
        <v>4.8000000000000001E-2</v>
      </c>
      <c r="Q2049" s="44">
        <v>220</v>
      </c>
      <c r="R2049" s="44" t="s">
        <v>509</v>
      </c>
      <c r="S2049" s="44">
        <v>80</v>
      </c>
      <c r="T2049" s="46" t="s">
        <v>7981</v>
      </c>
      <c r="U2049" s="46" t="s">
        <v>7856</v>
      </c>
      <c r="V2049" s="46" t="s">
        <v>8702</v>
      </c>
      <c r="W2049" s="46" t="s">
        <v>7813</v>
      </c>
      <c r="X2049" s="47" t="s">
        <v>8738</v>
      </c>
      <c r="Y2049" s="47" t="s">
        <v>7857</v>
      </c>
      <c r="Z2049" s="46" t="s">
        <v>7208</v>
      </c>
      <c r="AA2049" s="46" t="s">
        <v>401</v>
      </c>
      <c r="AB2049" s="47" t="s">
        <v>8738</v>
      </c>
      <c r="AC2049" s="48" t="s">
        <v>8477</v>
      </c>
      <c r="AD2049" s="206" t="s">
        <v>8910</v>
      </c>
      <c r="AE2049" s="192">
        <v>1</v>
      </c>
      <c r="AF2049" s="100" t="s">
        <v>8722</v>
      </c>
      <c r="AG2049" s="100" t="s">
        <v>8925</v>
      </c>
      <c r="AH2049" s="108">
        <v>12.5</v>
      </c>
    </row>
    <row r="2050" spans="1:34" s="32" customFormat="1" ht="69.95" hidden="1" customHeight="1">
      <c r="A2050" s="29" t="s">
        <v>7858</v>
      </c>
      <c r="B2050" s="29" t="s">
        <v>3769</v>
      </c>
      <c r="C2050" s="32">
        <v>21</v>
      </c>
      <c r="E2050" s="89" t="s">
        <v>8742</v>
      </c>
      <c r="F2050" s="89" t="s">
        <v>8742</v>
      </c>
      <c r="G2050" s="29" t="s">
        <v>3809</v>
      </c>
      <c r="H2050" s="29"/>
      <c r="I2050" s="29"/>
      <c r="J2050" s="29">
        <f t="shared" si="159"/>
        <v>1</v>
      </c>
      <c r="K2050" s="42">
        <v>2036</v>
      </c>
      <c r="L2050" s="43" t="s">
        <v>3810</v>
      </c>
      <c r="M2050" s="44" t="s">
        <v>405</v>
      </c>
      <c r="N2050" s="90" t="s">
        <v>8638</v>
      </c>
      <c r="O2050" s="90" t="str">
        <f>F2050</f>
        <v>PE-L1-5C4-03</v>
      </c>
      <c r="P2050" s="45">
        <v>0.13</v>
      </c>
      <c r="Q2050" s="44">
        <v>220</v>
      </c>
      <c r="R2050" s="44" t="s">
        <v>509</v>
      </c>
      <c r="S2050" s="44">
        <v>120</v>
      </c>
      <c r="T2050" s="46" t="s">
        <v>7981</v>
      </c>
      <c r="U2050" s="46" t="s">
        <v>7858</v>
      </c>
      <c r="V2050" s="46" t="s">
        <v>8702</v>
      </c>
      <c r="W2050" s="46" t="s">
        <v>7813</v>
      </c>
      <c r="X2050" s="87" t="s">
        <v>8740</v>
      </c>
      <c r="Y2050" s="47" t="s">
        <v>7859</v>
      </c>
      <c r="Z2050" s="46" t="s">
        <v>7212</v>
      </c>
      <c r="AA2050" s="46" t="s">
        <v>401</v>
      </c>
      <c r="AB2050" s="87" t="s">
        <v>8739</v>
      </c>
      <c r="AC2050" s="48" t="s">
        <v>8478</v>
      </c>
      <c r="AD2050" s="206"/>
      <c r="AE2050" s="192">
        <v>1</v>
      </c>
      <c r="AF2050" s="100" t="s">
        <v>8722</v>
      </c>
      <c r="AG2050" s="100" t="s">
        <v>8925</v>
      </c>
      <c r="AH2050" s="108">
        <v>15</v>
      </c>
    </row>
    <row r="2051" spans="1:34" s="32" customFormat="1" ht="69.95" hidden="1" customHeight="1">
      <c r="A2051" s="29" t="s">
        <v>7860</v>
      </c>
      <c r="B2051" s="29" t="s">
        <v>3769</v>
      </c>
      <c r="C2051" s="32">
        <v>22</v>
      </c>
      <c r="E2051" s="57" t="s">
        <v>8577</v>
      </c>
      <c r="F2051" s="57" t="s">
        <v>8577</v>
      </c>
      <c r="G2051" s="29" t="s">
        <v>3811</v>
      </c>
      <c r="H2051" s="29"/>
      <c r="I2051" s="29"/>
      <c r="J2051" s="29">
        <f t="shared" si="159"/>
        <v>1</v>
      </c>
      <c r="K2051" s="42">
        <v>2037</v>
      </c>
      <c r="L2051" s="43" t="s">
        <v>3812</v>
      </c>
      <c r="M2051" s="44" t="s">
        <v>405</v>
      </c>
      <c r="N2051" s="44" t="s">
        <v>578</v>
      </c>
      <c r="O2051" s="44" t="str">
        <f>F2051</f>
        <v>PE-L1-2C4-09</v>
      </c>
      <c r="P2051" s="45">
        <v>4.8000000000000001E-2</v>
      </c>
      <c r="Q2051" s="44">
        <v>220</v>
      </c>
      <c r="R2051" s="44" t="s">
        <v>509</v>
      </c>
      <c r="S2051" s="44">
        <v>120</v>
      </c>
      <c r="T2051" s="46" t="s">
        <v>7981</v>
      </c>
      <c r="U2051" s="46" t="s">
        <v>7860</v>
      </c>
      <c r="V2051" s="46" t="s">
        <v>8702</v>
      </c>
      <c r="W2051" s="46" t="s">
        <v>7813</v>
      </c>
      <c r="X2051" s="47" t="s">
        <v>8738</v>
      </c>
      <c r="Y2051" s="47" t="s">
        <v>7861</v>
      </c>
      <c r="Z2051" s="46" t="s">
        <v>7216</v>
      </c>
      <c r="AA2051" s="46" t="s">
        <v>401</v>
      </c>
      <c r="AB2051" s="47" t="s">
        <v>8738</v>
      </c>
      <c r="AC2051" s="48" t="s">
        <v>8479</v>
      </c>
      <c r="AD2051" s="206" t="s">
        <v>8911</v>
      </c>
      <c r="AE2051" s="192">
        <v>1</v>
      </c>
      <c r="AF2051" s="100" t="s">
        <v>8722</v>
      </c>
      <c r="AG2051" s="100" t="s">
        <v>8925</v>
      </c>
      <c r="AH2051" s="108">
        <v>12.5</v>
      </c>
    </row>
    <row r="2052" spans="1:34" s="32" customFormat="1" ht="69.95" hidden="1" customHeight="1">
      <c r="A2052" s="29" t="s">
        <v>7862</v>
      </c>
      <c r="B2052" s="29" t="s">
        <v>3769</v>
      </c>
      <c r="C2052" s="32">
        <v>23</v>
      </c>
      <c r="E2052" s="89" t="s">
        <v>8742</v>
      </c>
      <c r="F2052" s="89" t="s">
        <v>8742</v>
      </c>
      <c r="G2052" s="29" t="s">
        <v>3813</v>
      </c>
      <c r="H2052" s="29"/>
      <c r="I2052" s="29"/>
      <c r="J2052" s="29">
        <f t="shared" si="159"/>
        <v>1</v>
      </c>
      <c r="K2052" s="42">
        <v>2038</v>
      </c>
      <c r="L2052" s="43" t="s">
        <v>3814</v>
      </c>
      <c r="M2052" s="44" t="s">
        <v>405</v>
      </c>
      <c r="N2052" s="90" t="s">
        <v>8638</v>
      </c>
      <c r="O2052" s="90" t="str">
        <f>F2052</f>
        <v>PE-L1-5C4-03</v>
      </c>
      <c r="P2052" s="45">
        <v>0.13</v>
      </c>
      <c r="Q2052" s="44">
        <v>220</v>
      </c>
      <c r="R2052" s="44" t="s">
        <v>509</v>
      </c>
      <c r="S2052" s="44">
        <v>120</v>
      </c>
      <c r="T2052" s="46" t="s">
        <v>7981</v>
      </c>
      <c r="U2052" s="46" t="s">
        <v>7862</v>
      </c>
      <c r="V2052" s="46" t="s">
        <v>8702</v>
      </c>
      <c r="W2052" s="46" t="s">
        <v>7813</v>
      </c>
      <c r="X2052" s="87" t="s">
        <v>8740</v>
      </c>
      <c r="Y2052" s="47" t="s">
        <v>7863</v>
      </c>
      <c r="Z2052" s="46" t="s">
        <v>7219</v>
      </c>
      <c r="AA2052" s="46" t="s">
        <v>401</v>
      </c>
      <c r="AB2052" s="87" t="s">
        <v>8739</v>
      </c>
      <c r="AC2052" s="48" t="s">
        <v>8480</v>
      </c>
      <c r="AD2052" s="206"/>
      <c r="AE2052" s="192">
        <v>1</v>
      </c>
      <c r="AF2052" s="100" t="s">
        <v>8722</v>
      </c>
      <c r="AG2052" s="100" t="s">
        <v>8925</v>
      </c>
      <c r="AH2052" s="108">
        <v>15</v>
      </c>
    </row>
    <row r="2053" spans="1:34" s="32" customFormat="1" ht="69.95" hidden="1" customHeight="1">
      <c r="A2053" s="29" t="s">
        <v>7864</v>
      </c>
      <c r="B2053" s="29" t="s">
        <v>3769</v>
      </c>
      <c r="C2053" s="32">
        <v>24</v>
      </c>
      <c r="E2053" s="57" t="s">
        <v>8577</v>
      </c>
      <c r="F2053" s="57" t="s">
        <v>8577</v>
      </c>
      <c r="G2053" s="29" t="s">
        <v>3815</v>
      </c>
      <c r="H2053" s="29"/>
      <c r="I2053" s="29"/>
      <c r="J2053" s="29">
        <f t="shared" si="159"/>
        <v>1</v>
      </c>
      <c r="K2053" s="42">
        <v>2039</v>
      </c>
      <c r="L2053" s="43" t="s">
        <v>3816</v>
      </c>
      <c r="M2053" s="44" t="s">
        <v>405</v>
      </c>
      <c r="N2053" s="44" t="s">
        <v>578</v>
      </c>
      <c r="O2053" s="44" t="str">
        <f t="shared" ref="O2053:O2054" si="162">F2053</f>
        <v>PE-L1-2C4-09</v>
      </c>
      <c r="P2053" s="45">
        <v>4.8000000000000001E-2</v>
      </c>
      <c r="Q2053" s="44">
        <v>220</v>
      </c>
      <c r="R2053" s="44" t="s">
        <v>509</v>
      </c>
      <c r="S2053" s="44">
        <v>120</v>
      </c>
      <c r="T2053" s="46" t="s">
        <v>7981</v>
      </c>
      <c r="U2053" s="46" t="s">
        <v>7864</v>
      </c>
      <c r="V2053" s="46" t="s">
        <v>8702</v>
      </c>
      <c r="W2053" s="46" t="s">
        <v>7813</v>
      </c>
      <c r="X2053" s="47" t="s">
        <v>8738</v>
      </c>
      <c r="Y2053" s="47" t="s">
        <v>7865</v>
      </c>
      <c r="Z2053" s="46" t="s">
        <v>7223</v>
      </c>
      <c r="AA2053" s="46" t="s">
        <v>401</v>
      </c>
      <c r="AB2053" s="47" t="s">
        <v>8738</v>
      </c>
      <c r="AC2053" s="48" t="s">
        <v>8481</v>
      </c>
      <c r="AD2053" s="206" t="s">
        <v>8895</v>
      </c>
      <c r="AE2053" s="192">
        <v>1</v>
      </c>
      <c r="AF2053" s="100" t="s">
        <v>8722</v>
      </c>
      <c r="AG2053" s="100" t="s">
        <v>8925</v>
      </c>
      <c r="AH2053" s="108">
        <v>12.5</v>
      </c>
    </row>
    <row r="2054" spans="1:34" s="32" customFormat="1" ht="69.95" hidden="1" customHeight="1">
      <c r="A2054" s="29" t="s">
        <v>7866</v>
      </c>
      <c r="B2054" s="29" t="s">
        <v>3769</v>
      </c>
      <c r="C2054" s="32">
        <v>25</v>
      </c>
      <c r="E2054" s="57" t="s">
        <v>8577</v>
      </c>
      <c r="F2054" s="57" t="s">
        <v>8577</v>
      </c>
      <c r="G2054" s="29" t="s">
        <v>3817</v>
      </c>
      <c r="H2054" s="29"/>
      <c r="I2054" s="29"/>
      <c r="J2054" s="29">
        <f t="shared" si="159"/>
        <v>1</v>
      </c>
      <c r="K2054" s="42">
        <v>2040</v>
      </c>
      <c r="L2054" s="43" t="s">
        <v>3818</v>
      </c>
      <c r="M2054" s="44" t="s">
        <v>405</v>
      </c>
      <c r="N2054" s="44" t="s">
        <v>578</v>
      </c>
      <c r="O2054" s="44" t="str">
        <f t="shared" si="162"/>
        <v>PE-L1-2C4-09</v>
      </c>
      <c r="P2054" s="45">
        <v>4.8000000000000001E-2</v>
      </c>
      <c r="Q2054" s="44">
        <v>220</v>
      </c>
      <c r="R2054" s="44" t="s">
        <v>509</v>
      </c>
      <c r="S2054" s="44">
        <v>120</v>
      </c>
      <c r="T2054" s="46" t="s">
        <v>7981</v>
      </c>
      <c r="U2054" s="46" t="s">
        <v>7866</v>
      </c>
      <c r="V2054" s="46" t="s">
        <v>8702</v>
      </c>
      <c r="W2054" s="46" t="s">
        <v>7813</v>
      </c>
      <c r="X2054" s="47" t="s">
        <v>8738</v>
      </c>
      <c r="Y2054" s="47" t="s">
        <v>7867</v>
      </c>
      <c r="Z2054" s="46" t="s">
        <v>7227</v>
      </c>
      <c r="AA2054" s="46" t="s">
        <v>401</v>
      </c>
      <c r="AB2054" s="47" t="s">
        <v>8738</v>
      </c>
      <c r="AC2054" s="48" t="s">
        <v>8482</v>
      </c>
      <c r="AD2054" s="206" t="s">
        <v>8912</v>
      </c>
      <c r="AE2054" s="192">
        <v>1</v>
      </c>
      <c r="AF2054" s="100" t="s">
        <v>8722</v>
      </c>
      <c r="AG2054" s="100" t="s">
        <v>8925</v>
      </c>
      <c r="AH2054" s="108">
        <v>12.5</v>
      </c>
    </row>
    <row r="2055" spans="1:34" s="32" customFormat="1" ht="69.95" hidden="1" customHeight="1">
      <c r="A2055" s="29" t="s">
        <v>7868</v>
      </c>
      <c r="B2055" s="29" t="s">
        <v>3769</v>
      </c>
      <c r="C2055" s="32">
        <v>26</v>
      </c>
      <c r="E2055" s="89" t="s">
        <v>8742</v>
      </c>
      <c r="F2055" s="89" t="s">
        <v>8742</v>
      </c>
      <c r="G2055" s="29" t="s">
        <v>3819</v>
      </c>
      <c r="H2055" s="29"/>
      <c r="I2055" s="29"/>
      <c r="J2055" s="29">
        <f t="shared" si="159"/>
        <v>1</v>
      </c>
      <c r="K2055" s="42">
        <v>2041</v>
      </c>
      <c r="L2055" s="43" t="s">
        <v>3820</v>
      </c>
      <c r="M2055" s="44" t="s">
        <v>405</v>
      </c>
      <c r="N2055" s="90" t="s">
        <v>8638</v>
      </c>
      <c r="O2055" s="90" t="str">
        <f>F2055</f>
        <v>PE-L1-5C4-03</v>
      </c>
      <c r="P2055" s="45">
        <v>0.13</v>
      </c>
      <c r="Q2055" s="44">
        <v>220</v>
      </c>
      <c r="R2055" s="44" t="s">
        <v>509</v>
      </c>
      <c r="S2055" s="44">
        <v>120</v>
      </c>
      <c r="T2055" s="46" t="s">
        <v>7981</v>
      </c>
      <c r="U2055" s="46" t="s">
        <v>7868</v>
      </c>
      <c r="V2055" s="46" t="s">
        <v>8702</v>
      </c>
      <c r="W2055" s="46" t="s">
        <v>7813</v>
      </c>
      <c r="X2055" s="87" t="s">
        <v>8740</v>
      </c>
      <c r="Y2055" s="47" t="s">
        <v>7869</v>
      </c>
      <c r="Z2055" s="46" t="s">
        <v>7231</v>
      </c>
      <c r="AA2055" s="46" t="s">
        <v>401</v>
      </c>
      <c r="AB2055" s="87" t="s">
        <v>8739</v>
      </c>
      <c r="AC2055" s="48" t="s">
        <v>8483</v>
      </c>
      <c r="AD2055" s="207" t="s">
        <v>8743</v>
      </c>
      <c r="AE2055" s="192">
        <v>1</v>
      </c>
      <c r="AF2055" s="100" t="s">
        <v>8722</v>
      </c>
      <c r="AG2055" s="100" t="s">
        <v>8925</v>
      </c>
      <c r="AH2055" s="108">
        <v>15</v>
      </c>
    </row>
    <row r="2056" spans="1:34" s="32" customFormat="1" ht="69.95" hidden="1" customHeight="1">
      <c r="A2056" s="29" t="s">
        <v>7870</v>
      </c>
      <c r="B2056" s="29" t="s">
        <v>3769</v>
      </c>
      <c r="C2056" s="32">
        <v>27</v>
      </c>
      <c r="E2056" s="57" t="s">
        <v>8577</v>
      </c>
      <c r="F2056" s="57" t="s">
        <v>8577</v>
      </c>
      <c r="G2056" s="29" t="s">
        <v>3821</v>
      </c>
      <c r="H2056" s="29"/>
      <c r="I2056" s="29"/>
      <c r="J2056" s="29">
        <f t="shared" ref="J2056:J2119" si="163">COUNTIF(L:L,L2056)</f>
        <v>1</v>
      </c>
      <c r="K2056" s="42">
        <v>2042</v>
      </c>
      <c r="L2056" s="43" t="s">
        <v>3822</v>
      </c>
      <c r="M2056" s="44" t="s">
        <v>405</v>
      </c>
      <c r="N2056" s="44" t="s">
        <v>578</v>
      </c>
      <c r="O2056" s="44" t="str">
        <f>F2056</f>
        <v>PE-L1-2C4-09</v>
      </c>
      <c r="P2056" s="45">
        <v>5.2999999999999999E-2</v>
      </c>
      <c r="Q2056" s="44">
        <v>220</v>
      </c>
      <c r="R2056" s="44" t="s">
        <v>509</v>
      </c>
      <c r="S2056" s="44">
        <v>120</v>
      </c>
      <c r="T2056" s="46" t="s">
        <v>7981</v>
      </c>
      <c r="U2056" s="46" t="s">
        <v>7870</v>
      </c>
      <c r="V2056" s="46" t="s">
        <v>8702</v>
      </c>
      <c r="W2056" s="46" t="s">
        <v>7813</v>
      </c>
      <c r="X2056" s="47" t="s">
        <v>8738</v>
      </c>
      <c r="Y2056" s="47" t="s">
        <v>7871</v>
      </c>
      <c r="Z2056" s="46" t="s">
        <v>7235</v>
      </c>
      <c r="AA2056" s="46" t="s">
        <v>401</v>
      </c>
      <c r="AB2056" s="47" t="s">
        <v>8738</v>
      </c>
      <c r="AC2056" s="48" t="s">
        <v>8484</v>
      </c>
      <c r="AD2056" s="206" t="s">
        <v>8913</v>
      </c>
      <c r="AE2056" s="192">
        <v>1</v>
      </c>
      <c r="AF2056" s="100" t="s">
        <v>8722</v>
      </c>
      <c r="AG2056" s="100" t="s">
        <v>8925</v>
      </c>
      <c r="AH2056" s="108">
        <v>12.5</v>
      </c>
    </row>
    <row r="2057" spans="1:34" s="32" customFormat="1" ht="69.95" hidden="1" customHeight="1">
      <c r="A2057" s="29" t="s">
        <v>7872</v>
      </c>
      <c r="B2057" s="29" t="s">
        <v>3769</v>
      </c>
      <c r="C2057" s="32">
        <v>28</v>
      </c>
      <c r="E2057" s="89" t="s">
        <v>8742</v>
      </c>
      <c r="F2057" s="89" t="s">
        <v>8742</v>
      </c>
      <c r="G2057" s="29" t="s">
        <v>3823</v>
      </c>
      <c r="H2057" s="29"/>
      <c r="I2057" s="29"/>
      <c r="J2057" s="29">
        <f t="shared" si="163"/>
        <v>1</v>
      </c>
      <c r="K2057" s="42">
        <v>2043</v>
      </c>
      <c r="L2057" s="43" t="s">
        <v>3824</v>
      </c>
      <c r="M2057" s="44" t="s">
        <v>405</v>
      </c>
      <c r="N2057" s="90" t="s">
        <v>8638</v>
      </c>
      <c r="O2057" s="90" t="str">
        <f>F2057</f>
        <v>PE-L1-5C4-03</v>
      </c>
      <c r="P2057" s="45">
        <v>0.13</v>
      </c>
      <c r="Q2057" s="44">
        <v>220</v>
      </c>
      <c r="R2057" s="44" t="s">
        <v>509</v>
      </c>
      <c r="S2057" s="44">
        <v>120</v>
      </c>
      <c r="T2057" s="46" t="s">
        <v>7981</v>
      </c>
      <c r="U2057" s="46" t="s">
        <v>7872</v>
      </c>
      <c r="V2057" s="46" t="s">
        <v>8702</v>
      </c>
      <c r="W2057" s="46" t="s">
        <v>7813</v>
      </c>
      <c r="X2057" s="87" t="s">
        <v>8740</v>
      </c>
      <c r="Y2057" s="47" t="s">
        <v>7873</v>
      </c>
      <c r="Z2057" s="46" t="s">
        <v>7239</v>
      </c>
      <c r="AA2057" s="46" t="s">
        <v>401</v>
      </c>
      <c r="AB2057" s="87" t="s">
        <v>8739</v>
      </c>
      <c r="AC2057" s="48" t="s">
        <v>8485</v>
      </c>
      <c r="AD2057" s="207" t="s">
        <v>8747</v>
      </c>
      <c r="AE2057" s="192">
        <v>1</v>
      </c>
      <c r="AF2057" s="100" t="s">
        <v>8722</v>
      </c>
      <c r="AG2057" s="100" t="s">
        <v>8925</v>
      </c>
      <c r="AH2057" s="108">
        <v>15</v>
      </c>
    </row>
    <row r="2058" spans="1:34" s="32" customFormat="1" ht="69.95" hidden="1" customHeight="1">
      <c r="A2058" s="29" t="s">
        <v>7874</v>
      </c>
      <c r="B2058" s="29" t="s">
        <v>3769</v>
      </c>
      <c r="C2058" s="32">
        <v>29</v>
      </c>
      <c r="E2058" s="57" t="s">
        <v>8577</v>
      </c>
      <c r="F2058" s="57" t="s">
        <v>8577</v>
      </c>
      <c r="G2058" s="29" t="s">
        <v>3825</v>
      </c>
      <c r="H2058" s="29"/>
      <c r="I2058" s="29"/>
      <c r="J2058" s="29">
        <f t="shared" si="163"/>
        <v>1</v>
      </c>
      <c r="K2058" s="42">
        <v>2044</v>
      </c>
      <c r="L2058" s="43" t="s">
        <v>3826</v>
      </c>
      <c r="M2058" s="44" t="s">
        <v>405</v>
      </c>
      <c r="N2058" s="44" t="s">
        <v>578</v>
      </c>
      <c r="O2058" s="44" t="str">
        <f t="shared" ref="O2058:O2066" si="164">F2058</f>
        <v>PE-L1-2C4-09</v>
      </c>
      <c r="P2058" s="45">
        <v>5.2999999999999999E-2</v>
      </c>
      <c r="Q2058" s="44">
        <v>220</v>
      </c>
      <c r="R2058" s="44" t="s">
        <v>509</v>
      </c>
      <c r="S2058" s="44">
        <v>70</v>
      </c>
      <c r="T2058" s="46" t="s">
        <v>7981</v>
      </c>
      <c r="U2058" s="46" t="s">
        <v>7874</v>
      </c>
      <c r="V2058" s="46" t="s">
        <v>8702</v>
      </c>
      <c r="W2058" s="46" t="s">
        <v>7813</v>
      </c>
      <c r="X2058" s="47" t="s">
        <v>8738</v>
      </c>
      <c r="Y2058" s="47" t="s">
        <v>7875</v>
      </c>
      <c r="Z2058" s="46" t="s">
        <v>7243</v>
      </c>
      <c r="AA2058" s="46" t="s">
        <v>401</v>
      </c>
      <c r="AB2058" s="47" t="s">
        <v>8738</v>
      </c>
      <c r="AC2058" s="48" t="s">
        <v>8486</v>
      </c>
      <c r="AD2058" s="206" t="s">
        <v>8914</v>
      </c>
      <c r="AE2058" s="192">
        <v>1</v>
      </c>
      <c r="AF2058" s="100" t="s">
        <v>8722</v>
      </c>
      <c r="AG2058" s="100" t="s">
        <v>8925</v>
      </c>
      <c r="AH2058" s="108">
        <v>12.5</v>
      </c>
    </row>
    <row r="2059" spans="1:34" s="32" customFormat="1" ht="69.95" hidden="1" customHeight="1">
      <c r="A2059" s="29" t="s">
        <v>7876</v>
      </c>
      <c r="B2059" s="29" t="s">
        <v>3769</v>
      </c>
      <c r="C2059" s="32">
        <v>30</v>
      </c>
      <c r="E2059" s="56" t="s">
        <v>8577</v>
      </c>
      <c r="F2059" s="56" t="s">
        <v>8577</v>
      </c>
      <c r="G2059" s="29" t="s">
        <v>3827</v>
      </c>
      <c r="H2059" s="29"/>
      <c r="I2059" s="29"/>
      <c r="J2059" s="29">
        <f t="shared" si="163"/>
        <v>1</v>
      </c>
      <c r="K2059" s="42">
        <v>2045</v>
      </c>
      <c r="L2059" s="43" t="s">
        <v>3828</v>
      </c>
      <c r="M2059" s="44" t="s">
        <v>405</v>
      </c>
      <c r="N2059" s="44" t="s">
        <v>578</v>
      </c>
      <c r="O2059" s="44" t="str">
        <f t="shared" si="164"/>
        <v>PE-L1-2C4-09</v>
      </c>
      <c r="P2059" s="45">
        <v>4.8000000000000001E-2</v>
      </c>
      <c r="Q2059" s="44">
        <v>220</v>
      </c>
      <c r="R2059" s="44" t="s">
        <v>509</v>
      </c>
      <c r="S2059" s="44">
        <v>70</v>
      </c>
      <c r="T2059" s="46" t="s">
        <v>7981</v>
      </c>
      <c r="U2059" s="46" t="s">
        <v>7876</v>
      </c>
      <c r="V2059" s="46" t="s">
        <v>8702</v>
      </c>
      <c r="W2059" s="46" t="s">
        <v>7813</v>
      </c>
      <c r="X2059" s="47" t="s">
        <v>8738</v>
      </c>
      <c r="Y2059" s="47" t="s">
        <v>7877</v>
      </c>
      <c r="Z2059" s="46" t="s">
        <v>7247</v>
      </c>
      <c r="AA2059" s="46" t="s">
        <v>401</v>
      </c>
      <c r="AB2059" s="47" t="s">
        <v>8738</v>
      </c>
      <c r="AC2059" s="48" t="s">
        <v>8487</v>
      </c>
      <c r="AD2059" s="206" t="s">
        <v>8915</v>
      </c>
      <c r="AE2059" s="192">
        <v>1</v>
      </c>
      <c r="AF2059" s="100" t="s">
        <v>8722</v>
      </c>
      <c r="AG2059" s="100" t="s">
        <v>8925</v>
      </c>
      <c r="AH2059" s="108">
        <v>12.5</v>
      </c>
    </row>
    <row r="2060" spans="1:34" s="32" customFormat="1" ht="69.95" hidden="1" customHeight="1">
      <c r="A2060" s="29" t="s">
        <v>7878</v>
      </c>
      <c r="B2060" s="29" t="s">
        <v>3769</v>
      </c>
      <c r="C2060" s="32">
        <v>31</v>
      </c>
      <c r="E2060" s="57" t="s">
        <v>8284</v>
      </c>
      <c r="F2060" s="57" t="s">
        <v>8284</v>
      </c>
      <c r="G2060" s="29" t="s">
        <v>3829</v>
      </c>
      <c r="H2060" s="29"/>
      <c r="I2060" s="29"/>
      <c r="J2060" s="29">
        <f t="shared" si="163"/>
        <v>1</v>
      </c>
      <c r="K2060" s="42">
        <v>2046</v>
      </c>
      <c r="L2060" s="43" t="s">
        <v>3830</v>
      </c>
      <c r="M2060" s="44" t="s">
        <v>405</v>
      </c>
      <c r="N2060" s="44" t="s">
        <v>536</v>
      </c>
      <c r="O2060" s="44" t="str">
        <f t="shared" si="164"/>
        <v>PE-L1-4C4-23</v>
      </c>
      <c r="P2060" s="45">
        <v>1.1000000000000001</v>
      </c>
      <c r="Q2060" s="44">
        <v>400</v>
      </c>
      <c r="R2060" s="44" t="s">
        <v>49</v>
      </c>
      <c r="S2060" s="44">
        <v>80</v>
      </c>
      <c r="T2060" s="46" t="s">
        <v>7981</v>
      </c>
      <c r="U2060" s="46" t="s">
        <v>7878</v>
      </c>
      <c r="V2060" s="46" t="s">
        <v>8698</v>
      </c>
      <c r="W2060" s="46" t="s">
        <v>7813</v>
      </c>
      <c r="X2060" s="47" t="s">
        <v>8721</v>
      </c>
      <c r="Y2060" s="47" t="s">
        <v>7879</v>
      </c>
      <c r="Z2060" s="46" t="s">
        <v>7251</v>
      </c>
      <c r="AA2060" s="46" t="s">
        <v>401</v>
      </c>
      <c r="AB2060" s="47" t="s">
        <v>8721</v>
      </c>
      <c r="AC2060" s="48" t="s">
        <v>8488</v>
      </c>
      <c r="AD2060" s="30"/>
      <c r="AE2060" s="192">
        <v>1</v>
      </c>
      <c r="AF2060" s="100" t="s">
        <v>8722</v>
      </c>
      <c r="AG2060" s="100" t="s">
        <v>8925</v>
      </c>
      <c r="AH2060" s="100">
        <v>14</v>
      </c>
    </row>
    <row r="2061" spans="1:34" s="32" customFormat="1" ht="69.95" hidden="1" customHeight="1">
      <c r="A2061" s="29" t="s">
        <v>7880</v>
      </c>
      <c r="B2061" s="29" t="s">
        <v>3769</v>
      </c>
      <c r="C2061" s="32">
        <v>32</v>
      </c>
      <c r="E2061" s="57" t="s">
        <v>8302</v>
      </c>
      <c r="F2061" s="57" t="s">
        <v>8302</v>
      </c>
      <c r="G2061" s="29" t="s">
        <v>3831</v>
      </c>
      <c r="H2061" s="29"/>
      <c r="I2061" s="29"/>
      <c r="J2061" s="29">
        <f t="shared" si="163"/>
        <v>1</v>
      </c>
      <c r="K2061" s="42">
        <v>2047</v>
      </c>
      <c r="L2061" s="43" t="s">
        <v>3832</v>
      </c>
      <c r="M2061" s="44" t="s">
        <v>405</v>
      </c>
      <c r="N2061" s="44" t="s">
        <v>546</v>
      </c>
      <c r="O2061" s="44" t="str">
        <f t="shared" si="164"/>
        <v>PE-L1-4C6-02</v>
      </c>
      <c r="P2061" s="45">
        <v>11</v>
      </c>
      <c r="Q2061" s="44">
        <v>400</v>
      </c>
      <c r="R2061" s="44" t="s">
        <v>49</v>
      </c>
      <c r="S2061" s="44">
        <v>80</v>
      </c>
      <c r="T2061" s="46" t="s">
        <v>7981</v>
      </c>
      <c r="U2061" s="46" t="s">
        <v>7880</v>
      </c>
      <c r="V2061" s="46" t="s">
        <v>8698</v>
      </c>
      <c r="W2061" s="46" t="s">
        <v>7813</v>
      </c>
      <c r="X2061" s="47" t="s">
        <v>8721</v>
      </c>
      <c r="Y2061" s="47" t="s">
        <v>7881</v>
      </c>
      <c r="Z2061" s="46" t="s">
        <v>7255</v>
      </c>
      <c r="AA2061" s="46" t="s">
        <v>401</v>
      </c>
      <c r="AB2061" s="47" t="s">
        <v>8721</v>
      </c>
      <c r="AC2061" s="48" t="s">
        <v>8489</v>
      </c>
      <c r="AD2061" s="30"/>
      <c r="AE2061" s="192">
        <v>1</v>
      </c>
      <c r="AF2061" s="100" t="s">
        <v>8722</v>
      </c>
      <c r="AG2061" s="100" t="s">
        <v>8925</v>
      </c>
      <c r="AH2061" s="108">
        <v>15.5</v>
      </c>
    </row>
    <row r="2062" spans="1:34" s="32" customFormat="1" ht="69.95" hidden="1" customHeight="1">
      <c r="A2062" s="29" t="s">
        <v>7882</v>
      </c>
      <c r="B2062" s="29" t="s">
        <v>3769</v>
      </c>
      <c r="C2062" s="32">
        <v>33</v>
      </c>
      <c r="E2062" s="57" t="s">
        <v>8175</v>
      </c>
      <c r="F2062" s="57" t="s">
        <v>8175</v>
      </c>
      <c r="G2062" s="29" t="s">
        <v>3833</v>
      </c>
      <c r="H2062" s="29"/>
      <c r="I2062" s="29"/>
      <c r="J2062" s="29">
        <f t="shared" si="163"/>
        <v>1</v>
      </c>
      <c r="K2062" s="42">
        <v>2048</v>
      </c>
      <c r="L2062" s="43" t="s">
        <v>3834</v>
      </c>
      <c r="M2062" s="44" t="s">
        <v>405</v>
      </c>
      <c r="N2062" s="44" t="s">
        <v>578</v>
      </c>
      <c r="O2062" s="44" t="str">
        <f t="shared" si="164"/>
        <v>PE-L1-2C4-08</v>
      </c>
      <c r="P2062" s="45">
        <v>7.8E-2</v>
      </c>
      <c r="Q2062" s="44">
        <v>220</v>
      </c>
      <c r="R2062" s="44" t="s">
        <v>509</v>
      </c>
      <c r="S2062" s="44">
        <v>90</v>
      </c>
      <c r="T2062" s="46" t="s">
        <v>7981</v>
      </c>
      <c r="U2062" s="46" t="s">
        <v>7882</v>
      </c>
      <c r="V2062" s="46" t="s">
        <v>8702</v>
      </c>
      <c r="W2062" s="46" t="s">
        <v>7813</v>
      </c>
      <c r="X2062" s="47" t="s">
        <v>8738</v>
      </c>
      <c r="Y2062" s="47" t="s">
        <v>7883</v>
      </c>
      <c r="Z2062" s="46" t="s">
        <v>7259</v>
      </c>
      <c r="AA2062" s="46" t="s">
        <v>401</v>
      </c>
      <c r="AB2062" s="47" t="s">
        <v>8738</v>
      </c>
      <c r="AC2062" s="48" t="s">
        <v>8490</v>
      </c>
      <c r="AD2062" s="206" t="s">
        <v>8916</v>
      </c>
      <c r="AE2062" s="192">
        <v>1</v>
      </c>
      <c r="AF2062" s="100" t="s">
        <v>8722</v>
      </c>
      <c r="AG2062" s="100" t="s">
        <v>8925</v>
      </c>
      <c r="AH2062" s="108">
        <v>12.5</v>
      </c>
    </row>
    <row r="2063" spans="1:34" s="32" customFormat="1" ht="69.95" hidden="1" customHeight="1">
      <c r="A2063" s="29" t="s">
        <v>7884</v>
      </c>
      <c r="B2063" s="29" t="s">
        <v>3769</v>
      </c>
      <c r="C2063" s="32">
        <v>34</v>
      </c>
      <c r="E2063" s="57" t="s">
        <v>8175</v>
      </c>
      <c r="F2063" s="57" t="s">
        <v>8175</v>
      </c>
      <c r="G2063" s="29" t="s">
        <v>3835</v>
      </c>
      <c r="H2063" s="29"/>
      <c r="I2063" s="29"/>
      <c r="J2063" s="29">
        <f t="shared" si="163"/>
        <v>1</v>
      </c>
      <c r="K2063" s="42">
        <v>2049</v>
      </c>
      <c r="L2063" s="43" t="s">
        <v>3836</v>
      </c>
      <c r="M2063" s="44" t="s">
        <v>405</v>
      </c>
      <c r="N2063" s="44" t="s">
        <v>578</v>
      </c>
      <c r="O2063" s="44" t="str">
        <f t="shared" si="164"/>
        <v>PE-L1-2C4-08</v>
      </c>
      <c r="P2063" s="45">
        <v>7.8E-2</v>
      </c>
      <c r="Q2063" s="44">
        <v>220</v>
      </c>
      <c r="R2063" s="44" t="s">
        <v>509</v>
      </c>
      <c r="S2063" s="44">
        <v>90</v>
      </c>
      <c r="T2063" s="46" t="s">
        <v>7981</v>
      </c>
      <c r="U2063" s="46" t="s">
        <v>7884</v>
      </c>
      <c r="V2063" s="46" t="s">
        <v>8702</v>
      </c>
      <c r="W2063" s="46" t="s">
        <v>7813</v>
      </c>
      <c r="X2063" s="47" t="s">
        <v>8738</v>
      </c>
      <c r="Y2063" s="47" t="s">
        <v>7885</v>
      </c>
      <c r="Z2063" s="46" t="s">
        <v>7263</v>
      </c>
      <c r="AA2063" s="46" t="s">
        <v>401</v>
      </c>
      <c r="AB2063" s="47" t="s">
        <v>8738</v>
      </c>
      <c r="AC2063" s="48" t="s">
        <v>8491</v>
      </c>
      <c r="AD2063" s="206" t="s">
        <v>8917</v>
      </c>
      <c r="AE2063" s="192">
        <v>1</v>
      </c>
      <c r="AF2063" s="100" t="s">
        <v>8722</v>
      </c>
      <c r="AG2063" s="100" t="s">
        <v>8925</v>
      </c>
      <c r="AH2063" s="108">
        <v>12.5</v>
      </c>
    </row>
    <row r="2064" spans="1:34" s="32" customFormat="1" ht="69.95" hidden="1" customHeight="1">
      <c r="A2064" s="29" t="s">
        <v>8675</v>
      </c>
      <c r="B2064" s="29" t="s">
        <v>3769</v>
      </c>
      <c r="C2064" s="32">
        <v>35</v>
      </c>
      <c r="E2064" s="57" t="s">
        <v>8175</v>
      </c>
      <c r="F2064" s="57" t="s">
        <v>8303</v>
      </c>
      <c r="G2064" s="29" t="s">
        <v>3837</v>
      </c>
      <c r="H2064" s="29"/>
      <c r="I2064" s="29"/>
      <c r="J2064" s="29">
        <f t="shared" si="163"/>
        <v>1</v>
      </c>
      <c r="K2064" s="42">
        <v>2050</v>
      </c>
      <c r="L2064" s="43" t="s">
        <v>3838</v>
      </c>
      <c r="M2064" s="44" t="s">
        <v>405</v>
      </c>
      <c r="N2064" s="44" t="s">
        <v>578</v>
      </c>
      <c r="O2064" s="44" t="str">
        <f t="shared" si="164"/>
        <v>PE-L1-2C4-08</v>
      </c>
      <c r="P2064" s="45">
        <v>0.20499999999999999</v>
      </c>
      <c r="Q2064" s="44">
        <v>220</v>
      </c>
      <c r="R2064" s="44" t="s">
        <v>509</v>
      </c>
      <c r="S2064" s="44">
        <v>40</v>
      </c>
      <c r="T2064" s="46" t="s">
        <v>8304</v>
      </c>
      <c r="U2064" s="46" t="s">
        <v>8179</v>
      </c>
      <c r="V2064" s="46" t="s">
        <v>8702</v>
      </c>
      <c r="W2064" s="46" t="s">
        <v>7813</v>
      </c>
      <c r="X2064" s="47" t="s">
        <v>8738</v>
      </c>
      <c r="Y2064" s="47" t="s">
        <v>7886</v>
      </c>
      <c r="Z2064" s="46" t="s">
        <v>7267</v>
      </c>
      <c r="AA2064" s="46" t="s">
        <v>401</v>
      </c>
      <c r="AB2064" s="47" t="s">
        <v>8738</v>
      </c>
      <c r="AC2064" s="48" t="s">
        <v>8492</v>
      </c>
      <c r="AD2064" s="207" t="s">
        <v>8918</v>
      </c>
      <c r="AE2064" s="192">
        <v>1</v>
      </c>
      <c r="AF2064" s="100" t="s">
        <v>8722</v>
      </c>
      <c r="AG2064" s="100" t="s">
        <v>8925</v>
      </c>
      <c r="AH2064" s="108">
        <v>12.5</v>
      </c>
    </row>
    <row r="2065" spans="1:34" s="32" customFormat="1" ht="69.95" hidden="1" customHeight="1">
      <c r="A2065" s="29" t="s">
        <v>7887</v>
      </c>
      <c r="B2065" s="29" t="s">
        <v>3769</v>
      </c>
      <c r="C2065" s="32">
        <v>36</v>
      </c>
      <c r="E2065" s="57" t="s">
        <v>8175</v>
      </c>
      <c r="F2065" s="57" t="s">
        <v>8303</v>
      </c>
      <c r="G2065" s="29" t="s">
        <v>3839</v>
      </c>
      <c r="H2065" s="29"/>
      <c r="I2065" s="29"/>
      <c r="J2065" s="29">
        <f t="shared" si="163"/>
        <v>1</v>
      </c>
      <c r="K2065" s="42">
        <v>2051</v>
      </c>
      <c r="L2065" s="43" t="s">
        <v>3840</v>
      </c>
      <c r="M2065" s="44" t="s">
        <v>405</v>
      </c>
      <c r="N2065" s="44" t="s">
        <v>578</v>
      </c>
      <c r="O2065" s="44" t="str">
        <f t="shared" si="164"/>
        <v>PE-L1-2C4-08</v>
      </c>
      <c r="P2065" s="45">
        <v>0.20499999999999999</v>
      </c>
      <c r="Q2065" s="44">
        <v>220</v>
      </c>
      <c r="R2065" s="44" t="s">
        <v>509</v>
      </c>
      <c r="S2065" s="44">
        <v>40</v>
      </c>
      <c r="T2065" s="46" t="s">
        <v>8304</v>
      </c>
      <c r="U2065" s="46" t="s">
        <v>7887</v>
      </c>
      <c r="V2065" s="46" t="s">
        <v>8702</v>
      </c>
      <c r="W2065" s="46" t="s">
        <v>7813</v>
      </c>
      <c r="X2065" s="47" t="s">
        <v>8738</v>
      </c>
      <c r="Y2065" s="47" t="s">
        <v>7888</v>
      </c>
      <c r="Z2065" s="46" t="s">
        <v>7271</v>
      </c>
      <c r="AA2065" s="46" t="s">
        <v>401</v>
      </c>
      <c r="AB2065" s="47" t="s">
        <v>8738</v>
      </c>
      <c r="AC2065" s="48" t="s">
        <v>8493</v>
      </c>
      <c r="AD2065" s="206" t="s">
        <v>8919</v>
      </c>
      <c r="AE2065" s="192">
        <v>1</v>
      </c>
      <c r="AF2065" s="100" t="s">
        <v>8722</v>
      </c>
      <c r="AG2065" s="100" t="s">
        <v>8925</v>
      </c>
      <c r="AH2065" s="108">
        <v>12.5</v>
      </c>
    </row>
    <row r="2066" spans="1:34" s="32" customFormat="1" ht="69.95" hidden="1" customHeight="1">
      <c r="A2066" s="29" t="s">
        <v>7889</v>
      </c>
      <c r="B2066" s="29" t="s">
        <v>3769</v>
      </c>
      <c r="C2066" s="32">
        <v>37</v>
      </c>
      <c r="E2066" s="57" t="s">
        <v>8175</v>
      </c>
      <c r="F2066" s="57" t="s">
        <v>8303</v>
      </c>
      <c r="G2066" s="29" t="s">
        <v>3841</v>
      </c>
      <c r="H2066" s="29"/>
      <c r="I2066" s="29"/>
      <c r="J2066" s="29">
        <f t="shared" si="163"/>
        <v>1</v>
      </c>
      <c r="K2066" s="42">
        <v>2052</v>
      </c>
      <c r="L2066" s="43" t="s">
        <v>3842</v>
      </c>
      <c r="M2066" s="44" t="s">
        <v>405</v>
      </c>
      <c r="N2066" s="44" t="s">
        <v>578</v>
      </c>
      <c r="O2066" s="44" t="str">
        <f t="shared" si="164"/>
        <v>PE-L1-2C4-08</v>
      </c>
      <c r="P2066" s="45">
        <v>0.20499999999999999</v>
      </c>
      <c r="Q2066" s="44">
        <v>220</v>
      </c>
      <c r="R2066" s="44" t="s">
        <v>509</v>
      </c>
      <c r="S2066" s="44">
        <v>40</v>
      </c>
      <c r="T2066" s="46" t="s">
        <v>8304</v>
      </c>
      <c r="U2066" s="46" t="s">
        <v>7889</v>
      </c>
      <c r="V2066" s="46" t="s">
        <v>8702</v>
      </c>
      <c r="W2066" s="46" t="s">
        <v>7813</v>
      </c>
      <c r="X2066" s="47" t="s">
        <v>8738</v>
      </c>
      <c r="Y2066" s="47" t="s">
        <v>7890</v>
      </c>
      <c r="Z2066" s="46" t="s">
        <v>7275</v>
      </c>
      <c r="AA2066" s="46" t="s">
        <v>401</v>
      </c>
      <c r="AB2066" s="47" t="s">
        <v>8738</v>
      </c>
      <c r="AC2066" s="48" t="s">
        <v>8494</v>
      </c>
      <c r="AD2066" s="206" t="s">
        <v>8920</v>
      </c>
      <c r="AE2066" s="192">
        <v>1</v>
      </c>
      <c r="AF2066" s="100" t="s">
        <v>8722</v>
      </c>
      <c r="AG2066" s="100" t="s">
        <v>8925</v>
      </c>
      <c r="AH2066" s="108">
        <v>12.5</v>
      </c>
    </row>
    <row r="2067" spans="1:34" s="32" customFormat="1" ht="69.95" hidden="1" customHeight="1">
      <c r="A2067" s="29" t="s">
        <v>7891</v>
      </c>
      <c r="B2067" s="29" t="s">
        <v>3769</v>
      </c>
      <c r="C2067" s="32">
        <v>38</v>
      </c>
      <c r="E2067" s="89" t="s">
        <v>8755</v>
      </c>
      <c r="F2067" s="89" t="s">
        <v>8755</v>
      </c>
      <c r="G2067" s="29" t="s">
        <v>8941</v>
      </c>
      <c r="H2067" s="29"/>
      <c r="I2067" s="29"/>
      <c r="J2067" s="29">
        <f t="shared" si="163"/>
        <v>1</v>
      </c>
      <c r="K2067" s="42">
        <v>2053</v>
      </c>
      <c r="L2067" s="43" t="s">
        <v>8940</v>
      </c>
      <c r="M2067" s="44" t="s">
        <v>405</v>
      </c>
      <c r="N2067" s="90" t="s">
        <v>7984</v>
      </c>
      <c r="O2067" s="90" t="str">
        <f t="shared" ref="O2067:O2078" si="165">F2067</f>
        <v>PE-L1-3C4-29</v>
      </c>
      <c r="P2067" s="45">
        <v>8.0000000000000002E-3</v>
      </c>
      <c r="Q2067" s="44">
        <v>220</v>
      </c>
      <c r="R2067" s="44" t="s">
        <v>509</v>
      </c>
      <c r="S2067" s="44">
        <v>60</v>
      </c>
      <c r="T2067" s="46" t="s">
        <v>8304</v>
      </c>
      <c r="U2067" s="46" t="s">
        <v>7891</v>
      </c>
      <c r="V2067" s="46" t="s">
        <v>8702</v>
      </c>
      <c r="W2067" s="46" t="s">
        <v>7813</v>
      </c>
      <c r="X2067" s="87" t="s">
        <v>8760</v>
      </c>
      <c r="Y2067" s="47" t="s">
        <v>7892</v>
      </c>
      <c r="Z2067" s="46" t="s">
        <v>7279</v>
      </c>
      <c r="AA2067" s="46" t="s">
        <v>401</v>
      </c>
      <c r="AB2067" s="87" t="s">
        <v>8754</v>
      </c>
      <c r="AC2067" s="48" t="s">
        <v>8495</v>
      </c>
      <c r="AD2067" s="206" t="s">
        <v>8752</v>
      </c>
      <c r="AE2067" s="192">
        <v>1</v>
      </c>
      <c r="AF2067" s="100" t="s">
        <v>8722</v>
      </c>
      <c r="AG2067" s="100" t="s">
        <v>8925</v>
      </c>
      <c r="AH2067" s="100">
        <v>13</v>
      </c>
    </row>
    <row r="2068" spans="1:34" s="32" customFormat="1" ht="69.95" hidden="1" customHeight="1">
      <c r="A2068" s="29" t="s">
        <v>7891</v>
      </c>
      <c r="B2068" s="29" t="s">
        <v>3769</v>
      </c>
      <c r="C2068" s="32">
        <v>39</v>
      </c>
      <c r="E2068" s="89" t="s">
        <v>8756</v>
      </c>
      <c r="F2068" s="89" t="s">
        <v>8756</v>
      </c>
      <c r="G2068" s="29" t="s">
        <v>3843</v>
      </c>
      <c r="H2068" s="29"/>
      <c r="I2068" s="29"/>
      <c r="J2068" s="29">
        <f t="shared" si="163"/>
        <v>1</v>
      </c>
      <c r="K2068" s="42">
        <v>2054</v>
      </c>
      <c r="L2068" s="43" t="s">
        <v>3844</v>
      </c>
      <c r="M2068" s="44" t="s">
        <v>405</v>
      </c>
      <c r="N2068" s="90" t="s">
        <v>8638</v>
      </c>
      <c r="O2068" s="90" t="str">
        <f t="shared" si="165"/>
        <v>PE-L1-5C4-03</v>
      </c>
      <c r="P2068" s="45">
        <v>0.13</v>
      </c>
      <c r="Q2068" s="44">
        <v>220</v>
      </c>
      <c r="R2068" s="44" t="s">
        <v>509</v>
      </c>
      <c r="S2068" s="44">
        <v>60</v>
      </c>
      <c r="T2068" s="46" t="s">
        <v>8304</v>
      </c>
      <c r="U2068" s="46" t="s">
        <v>7891</v>
      </c>
      <c r="V2068" s="46" t="s">
        <v>8702</v>
      </c>
      <c r="W2068" s="46" t="s">
        <v>7813</v>
      </c>
      <c r="X2068" s="87" t="s">
        <v>8740</v>
      </c>
      <c r="Y2068" s="47" t="s">
        <v>7893</v>
      </c>
      <c r="Z2068" s="46" t="s">
        <v>7279</v>
      </c>
      <c r="AA2068" s="46" t="s">
        <v>401</v>
      </c>
      <c r="AB2068" s="87" t="s">
        <v>8739</v>
      </c>
      <c r="AC2068" s="48" t="s">
        <v>8496</v>
      </c>
      <c r="AD2068" s="206" t="s">
        <v>8753</v>
      </c>
      <c r="AE2068" s="192">
        <v>1</v>
      </c>
      <c r="AF2068" s="100" t="s">
        <v>8722</v>
      </c>
      <c r="AG2068" s="100" t="s">
        <v>8925</v>
      </c>
      <c r="AH2068" s="108">
        <v>15</v>
      </c>
    </row>
    <row r="2069" spans="1:34" s="32" customFormat="1" ht="69.95" hidden="1" customHeight="1">
      <c r="A2069" s="29" t="s">
        <v>7894</v>
      </c>
      <c r="B2069" s="29" t="s">
        <v>3769</v>
      </c>
      <c r="C2069" s="32">
        <v>40</v>
      </c>
      <c r="E2069" s="89" t="s">
        <v>8755</v>
      </c>
      <c r="F2069" s="89" t="s">
        <v>8755</v>
      </c>
      <c r="G2069" s="29" t="s">
        <v>3845</v>
      </c>
      <c r="H2069" s="29"/>
      <c r="I2069" s="29"/>
      <c r="J2069" s="29">
        <f t="shared" si="163"/>
        <v>1</v>
      </c>
      <c r="K2069" s="42">
        <v>2055</v>
      </c>
      <c r="L2069" s="43" t="s">
        <v>3846</v>
      </c>
      <c r="M2069" s="44" t="s">
        <v>405</v>
      </c>
      <c r="N2069" s="90" t="s">
        <v>7984</v>
      </c>
      <c r="O2069" s="90" t="str">
        <f t="shared" si="165"/>
        <v>PE-L1-3C4-29</v>
      </c>
      <c r="P2069" s="45">
        <v>8.0000000000000002E-3</v>
      </c>
      <c r="Q2069" s="44">
        <v>220</v>
      </c>
      <c r="R2069" s="44" t="s">
        <v>509</v>
      </c>
      <c r="S2069" s="44">
        <v>60</v>
      </c>
      <c r="T2069" s="46" t="s">
        <v>8304</v>
      </c>
      <c r="U2069" s="46" t="s">
        <v>7894</v>
      </c>
      <c r="V2069" s="46" t="s">
        <v>8702</v>
      </c>
      <c r="W2069" s="46" t="s">
        <v>7813</v>
      </c>
      <c r="X2069" s="87" t="s">
        <v>8760</v>
      </c>
      <c r="Y2069" s="47" t="s">
        <v>7895</v>
      </c>
      <c r="Z2069" s="46" t="s">
        <v>7285</v>
      </c>
      <c r="AA2069" s="46" t="s">
        <v>401</v>
      </c>
      <c r="AB2069" s="87" t="s">
        <v>8754</v>
      </c>
      <c r="AC2069" s="48" t="s">
        <v>8497</v>
      </c>
      <c r="AD2069" s="206" t="s">
        <v>8759</v>
      </c>
      <c r="AE2069" s="192">
        <v>1</v>
      </c>
      <c r="AF2069" s="100" t="s">
        <v>8722</v>
      </c>
      <c r="AG2069" s="100" t="s">
        <v>8925</v>
      </c>
      <c r="AH2069" s="100">
        <v>13</v>
      </c>
    </row>
    <row r="2070" spans="1:34" s="32" customFormat="1" ht="69.95" hidden="1" customHeight="1">
      <c r="A2070" s="29" t="s">
        <v>7894</v>
      </c>
      <c r="B2070" s="29" t="s">
        <v>3769</v>
      </c>
      <c r="C2070" s="32">
        <v>41</v>
      </c>
      <c r="E2070" s="89" t="s">
        <v>8742</v>
      </c>
      <c r="F2070" s="89" t="s">
        <v>8742</v>
      </c>
      <c r="G2070" s="29" t="s">
        <v>3847</v>
      </c>
      <c r="H2070" s="29"/>
      <c r="I2070" s="29"/>
      <c r="J2070" s="29">
        <f t="shared" si="163"/>
        <v>1</v>
      </c>
      <c r="K2070" s="42">
        <v>2056</v>
      </c>
      <c r="L2070" s="43" t="s">
        <v>3848</v>
      </c>
      <c r="M2070" s="44" t="s">
        <v>405</v>
      </c>
      <c r="N2070" s="90" t="s">
        <v>8638</v>
      </c>
      <c r="O2070" s="90" t="str">
        <f t="shared" si="165"/>
        <v>PE-L1-5C4-03</v>
      </c>
      <c r="P2070" s="45">
        <v>0.13</v>
      </c>
      <c r="Q2070" s="44">
        <v>220</v>
      </c>
      <c r="R2070" s="44" t="s">
        <v>509</v>
      </c>
      <c r="S2070" s="44">
        <v>60</v>
      </c>
      <c r="T2070" s="46" t="s">
        <v>8304</v>
      </c>
      <c r="U2070" s="46" t="s">
        <v>7894</v>
      </c>
      <c r="V2070" s="46" t="s">
        <v>8702</v>
      </c>
      <c r="W2070" s="46" t="s">
        <v>7813</v>
      </c>
      <c r="X2070" s="87" t="s">
        <v>8740</v>
      </c>
      <c r="Y2070" s="47" t="s">
        <v>7896</v>
      </c>
      <c r="Z2070" s="46" t="s">
        <v>7285</v>
      </c>
      <c r="AA2070" s="46" t="s">
        <v>401</v>
      </c>
      <c r="AB2070" s="87" t="s">
        <v>8739</v>
      </c>
      <c r="AC2070" s="48" t="s">
        <v>8498</v>
      </c>
      <c r="AD2070" s="206" t="s">
        <v>9500</v>
      </c>
      <c r="AE2070" s="192">
        <v>1</v>
      </c>
      <c r="AF2070" s="100" t="s">
        <v>8722</v>
      </c>
      <c r="AG2070" s="100" t="s">
        <v>8925</v>
      </c>
      <c r="AH2070" s="108">
        <v>15</v>
      </c>
    </row>
    <row r="2071" spans="1:34" s="32" customFormat="1" ht="69.95" hidden="1" customHeight="1">
      <c r="A2071" s="29" t="s">
        <v>7897</v>
      </c>
      <c r="B2071" s="29" t="s">
        <v>3769</v>
      </c>
      <c r="C2071" s="32">
        <v>42</v>
      </c>
      <c r="E2071" s="89" t="s">
        <v>8755</v>
      </c>
      <c r="F2071" s="89" t="s">
        <v>8755</v>
      </c>
      <c r="G2071" s="29" t="s">
        <v>3849</v>
      </c>
      <c r="H2071" s="29"/>
      <c r="I2071" s="29"/>
      <c r="J2071" s="29">
        <f t="shared" si="163"/>
        <v>1</v>
      </c>
      <c r="K2071" s="42">
        <v>2057</v>
      </c>
      <c r="L2071" s="43" t="s">
        <v>3850</v>
      </c>
      <c r="M2071" s="44" t="s">
        <v>405</v>
      </c>
      <c r="N2071" s="90" t="s">
        <v>7984</v>
      </c>
      <c r="O2071" s="90" t="str">
        <f t="shared" si="165"/>
        <v>PE-L1-3C4-29</v>
      </c>
      <c r="P2071" s="45">
        <v>8.0000000000000002E-3</v>
      </c>
      <c r="Q2071" s="44">
        <v>220</v>
      </c>
      <c r="R2071" s="44" t="s">
        <v>509</v>
      </c>
      <c r="S2071" s="44">
        <v>60</v>
      </c>
      <c r="T2071" s="46" t="s">
        <v>8304</v>
      </c>
      <c r="U2071" s="46" t="s">
        <v>7897</v>
      </c>
      <c r="V2071" s="46" t="s">
        <v>8702</v>
      </c>
      <c r="W2071" s="46" t="s">
        <v>7813</v>
      </c>
      <c r="X2071" s="87" t="s">
        <v>8760</v>
      </c>
      <c r="Y2071" s="47" t="s">
        <v>7898</v>
      </c>
      <c r="Z2071" s="46" t="s">
        <v>7291</v>
      </c>
      <c r="AA2071" s="46" t="s">
        <v>401</v>
      </c>
      <c r="AB2071" s="87" t="s">
        <v>8754</v>
      </c>
      <c r="AC2071" s="48" t="s">
        <v>8499</v>
      </c>
      <c r="AD2071" s="206" t="s">
        <v>8765</v>
      </c>
      <c r="AE2071" s="192">
        <v>1</v>
      </c>
      <c r="AF2071" s="100" t="s">
        <v>8722</v>
      </c>
      <c r="AG2071" s="100" t="s">
        <v>8925</v>
      </c>
      <c r="AH2071" s="100">
        <v>13</v>
      </c>
    </row>
    <row r="2072" spans="1:34" s="32" customFormat="1" ht="69.95" hidden="1" customHeight="1">
      <c r="A2072" s="29" t="s">
        <v>7897</v>
      </c>
      <c r="B2072" s="29" t="s">
        <v>3769</v>
      </c>
      <c r="C2072" s="32">
        <v>43</v>
      </c>
      <c r="E2072" s="89" t="s">
        <v>8742</v>
      </c>
      <c r="F2072" s="89" t="s">
        <v>8742</v>
      </c>
      <c r="G2072" s="29" t="s">
        <v>3851</v>
      </c>
      <c r="H2072" s="29"/>
      <c r="I2072" s="29"/>
      <c r="J2072" s="29">
        <f t="shared" si="163"/>
        <v>1</v>
      </c>
      <c r="K2072" s="42">
        <v>2058</v>
      </c>
      <c r="L2072" s="43" t="s">
        <v>3852</v>
      </c>
      <c r="M2072" s="44" t="s">
        <v>405</v>
      </c>
      <c r="N2072" s="90" t="s">
        <v>8638</v>
      </c>
      <c r="O2072" s="90" t="str">
        <f t="shared" si="165"/>
        <v>PE-L1-5C4-03</v>
      </c>
      <c r="P2072" s="45">
        <v>0.13</v>
      </c>
      <c r="Q2072" s="44">
        <v>220</v>
      </c>
      <c r="R2072" s="44" t="s">
        <v>509</v>
      </c>
      <c r="S2072" s="44">
        <v>60</v>
      </c>
      <c r="T2072" s="46" t="s">
        <v>8304</v>
      </c>
      <c r="U2072" s="46" t="s">
        <v>7897</v>
      </c>
      <c r="V2072" s="46" t="s">
        <v>8702</v>
      </c>
      <c r="W2072" s="46" t="s">
        <v>7813</v>
      </c>
      <c r="X2072" s="87" t="s">
        <v>8740</v>
      </c>
      <c r="Y2072" s="47" t="s">
        <v>7899</v>
      </c>
      <c r="Z2072" s="46" t="s">
        <v>7291</v>
      </c>
      <c r="AA2072" s="46" t="s">
        <v>401</v>
      </c>
      <c r="AB2072" s="87" t="s">
        <v>8739</v>
      </c>
      <c r="AC2072" s="48" t="s">
        <v>8500</v>
      </c>
      <c r="AD2072" s="206" t="s">
        <v>8766</v>
      </c>
      <c r="AE2072" s="192">
        <v>1</v>
      </c>
      <c r="AF2072" s="100" t="s">
        <v>8722</v>
      </c>
      <c r="AG2072" s="100" t="s">
        <v>8925</v>
      </c>
      <c r="AH2072" s="108">
        <v>15</v>
      </c>
    </row>
    <row r="2073" spans="1:34" s="32" customFormat="1" ht="69.95" hidden="1" customHeight="1">
      <c r="A2073" s="29" t="s">
        <v>7900</v>
      </c>
      <c r="B2073" s="29" t="s">
        <v>3769</v>
      </c>
      <c r="C2073" s="32">
        <v>44</v>
      </c>
      <c r="E2073" s="89" t="s">
        <v>8755</v>
      </c>
      <c r="F2073" s="89" t="s">
        <v>8755</v>
      </c>
      <c r="G2073" s="29" t="s">
        <v>3853</v>
      </c>
      <c r="H2073" s="29"/>
      <c r="I2073" s="29"/>
      <c r="J2073" s="29">
        <f t="shared" si="163"/>
        <v>1</v>
      </c>
      <c r="K2073" s="42">
        <v>2059</v>
      </c>
      <c r="L2073" s="43" t="s">
        <v>3854</v>
      </c>
      <c r="M2073" s="44" t="s">
        <v>405</v>
      </c>
      <c r="N2073" s="90" t="s">
        <v>7984</v>
      </c>
      <c r="O2073" s="90" t="str">
        <f t="shared" si="165"/>
        <v>PE-L1-3C4-29</v>
      </c>
      <c r="P2073" s="45">
        <v>8.0000000000000002E-3</v>
      </c>
      <c r="Q2073" s="44">
        <v>220</v>
      </c>
      <c r="R2073" s="44" t="s">
        <v>509</v>
      </c>
      <c r="S2073" s="44">
        <v>60</v>
      </c>
      <c r="T2073" s="46" t="s">
        <v>8304</v>
      </c>
      <c r="U2073" s="46" t="s">
        <v>7900</v>
      </c>
      <c r="V2073" s="46" t="s">
        <v>8702</v>
      </c>
      <c r="W2073" s="46" t="s">
        <v>7813</v>
      </c>
      <c r="X2073" s="87" t="s">
        <v>8760</v>
      </c>
      <c r="Y2073" s="47" t="s">
        <v>7901</v>
      </c>
      <c r="Z2073" s="46" t="s">
        <v>7297</v>
      </c>
      <c r="AA2073" s="46" t="s">
        <v>401</v>
      </c>
      <c r="AB2073" s="87" t="s">
        <v>8754</v>
      </c>
      <c r="AC2073" s="48" t="s">
        <v>8501</v>
      </c>
      <c r="AD2073" s="206" t="s">
        <v>8773</v>
      </c>
      <c r="AE2073" s="192">
        <v>1</v>
      </c>
      <c r="AF2073" s="100" t="s">
        <v>8929</v>
      </c>
      <c r="AG2073" s="100" t="s">
        <v>8925</v>
      </c>
      <c r="AH2073" s="100">
        <v>13</v>
      </c>
    </row>
    <row r="2074" spans="1:34" s="32" customFormat="1" ht="69.95" hidden="1" customHeight="1">
      <c r="A2074" s="29" t="s">
        <v>7900</v>
      </c>
      <c r="B2074" s="29" t="s">
        <v>3769</v>
      </c>
      <c r="C2074" s="32">
        <v>45</v>
      </c>
      <c r="E2074" s="89" t="s">
        <v>8742</v>
      </c>
      <c r="F2074" s="89" t="s">
        <v>8742</v>
      </c>
      <c r="G2074" s="29" t="s">
        <v>3855</v>
      </c>
      <c r="H2074" s="29"/>
      <c r="I2074" s="29"/>
      <c r="J2074" s="29">
        <f t="shared" si="163"/>
        <v>1</v>
      </c>
      <c r="K2074" s="42">
        <v>2060</v>
      </c>
      <c r="L2074" s="43" t="s">
        <v>3856</v>
      </c>
      <c r="M2074" s="44" t="s">
        <v>405</v>
      </c>
      <c r="N2074" s="90" t="s">
        <v>8638</v>
      </c>
      <c r="O2074" s="90" t="str">
        <f t="shared" si="165"/>
        <v>PE-L1-5C4-03</v>
      </c>
      <c r="P2074" s="45">
        <v>0.13</v>
      </c>
      <c r="Q2074" s="44">
        <v>220</v>
      </c>
      <c r="R2074" s="44" t="s">
        <v>509</v>
      </c>
      <c r="S2074" s="44">
        <v>60</v>
      </c>
      <c r="T2074" s="46" t="s">
        <v>8304</v>
      </c>
      <c r="U2074" s="46" t="s">
        <v>7900</v>
      </c>
      <c r="V2074" s="46" t="s">
        <v>8702</v>
      </c>
      <c r="W2074" s="46" t="s">
        <v>7813</v>
      </c>
      <c r="X2074" s="87" t="s">
        <v>8740</v>
      </c>
      <c r="Y2074" s="47" t="s">
        <v>7902</v>
      </c>
      <c r="Z2074" s="46" t="s">
        <v>7297</v>
      </c>
      <c r="AA2074" s="46" t="s">
        <v>401</v>
      </c>
      <c r="AB2074" s="87" t="s">
        <v>8739</v>
      </c>
      <c r="AC2074" s="48" t="s">
        <v>8502</v>
      </c>
      <c r="AD2074" s="206" t="s">
        <v>8774</v>
      </c>
      <c r="AE2074" s="192">
        <v>1</v>
      </c>
      <c r="AF2074" s="100" t="s">
        <v>8722</v>
      </c>
      <c r="AG2074" s="100" t="s">
        <v>8925</v>
      </c>
      <c r="AH2074" s="108">
        <v>15</v>
      </c>
    </row>
    <row r="2075" spans="1:34" s="32" customFormat="1" ht="69.95" hidden="1" customHeight="1">
      <c r="A2075" s="29" t="s">
        <v>7903</v>
      </c>
      <c r="B2075" s="29" t="s">
        <v>3769</v>
      </c>
      <c r="C2075" s="32">
        <v>46</v>
      </c>
      <c r="E2075" s="89" t="s">
        <v>8783</v>
      </c>
      <c r="F2075" s="89" t="s">
        <v>8783</v>
      </c>
      <c r="G2075" s="29" t="s">
        <v>3857</v>
      </c>
      <c r="H2075" s="29"/>
      <c r="I2075" s="29"/>
      <c r="J2075" s="29">
        <f t="shared" si="163"/>
        <v>1</v>
      </c>
      <c r="K2075" s="42">
        <v>2061</v>
      </c>
      <c r="L2075" s="43" t="s">
        <v>3858</v>
      </c>
      <c r="M2075" s="44" t="s">
        <v>405</v>
      </c>
      <c r="N2075" s="90" t="s">
        <v>7984</v>
      </c>
      <c r="O2075" s="90" t="str">
        <f t="shared" si="165"/>
        <v>PE-L1-3C4-29</v>
      </c>
      <c r="P2075" s="45">
        <v>8.0000000000000002E-3</v>
      </c>
      <c r="Q2075" s="44">
        <v>220</v>
      </c>
      <c r="R2075" s="44" t="s">
        <v>509</v>
      </c>
      <c r="S2075" s="44">
        <v>60</v>
      </c>
      <c r="T2075" s="46" t="s">
        <v>8304</v>
      </c>
      <c r="U2075" s="46" t="s">
        <v>7903</v>
      </c>
      <c r="V2075" s="46" t="s">
        <v>8702</v>
      </c>
      <c r="W2075" s="46" t="s">
        <v>7813</v>
      </c>
      <c r="X2075" s="87" t="s">
        <v>8760</v>
      </c>
      <c r="Y2075" s="47" t="s">
        <v>7904</v>
      </c>
      <c r="Z2075" s="46" t="s">
        <v>7303</v>
      </c>
      <c r="AA2075" s="46" t="s">
        <v>401</v>
      </c>
      <c r="AB2075" s="87" t="s">
        <v>8754</v>
      </c>
      <c r="AC2075" s="48" t="s">
        <v>8503</v>
      </c>
      <c r="AD2075" s="206" t="s">
        <v>8781</v>
      </c>
      <c r="AE2075" s="192">
        <v>1</v>
      </c>
      <c r="AF2075" s="100" t="s">
        <v>8722</v>
      </c>
      <c r="AG2075" s="100" t="s">
        <v>8925</v>
      </c>
      <c r="AH2075" s="100">
        <v>13</v>
      </c>
    </row>
    <row r="2076" spans="1:34" s="32" customFormat="1" ht="69.95" hidden="1" customHeight="1">
      <c r="A2076" s="29" t="s">
        <v>7903</v>
      </c>
      <c r="B2076" s="29" t="s">
        <v>3769</v>
      </c>
      <c r="C2076" s="32">
        <v>47</v>
      </c>
      <c r="E2076" s="89" t="s">
        <v>8742</v>
      </c>
      <c r="F2076" s="89" t="s">
        <v>8742</v>
      </c>
      <c r="G2076" s="29" t="s">
        <v>3859</v>
      </c>
      <c r="H2076" s="29"/>
      <c r="I2076" s="29"/>
      <c r="J2076" s="29">
        <f t="shared" si="163"/>
        <v>1</v>
      </c>
      <c r="K2076" s="42">
        <v>2062</v>
      </c>
      <c r="L2076" s="43" t="s">
        <v>3860</v>
      </c>
      <c r="M2076" s="44" t="s">
        <v>405</v>
      </c>
      <c r="N2076" s="90" t="s">
        <v>8638</v>
      </c>
      <c r="O2076" s="90" t="str">
        <f t="shared" si="165"/>
        <v>PE-L1-5C4-03</v>
      </c>
      <c r="P2076" s="45">
        <v>0.13</v>
      </c>
      <c r="Q2076" s="44">
        <v>220</v>
      </c>
      <c r="R2076" s="44" t="s">
        <v>509</v>
      </c>
      <c r="S2076" s="44">
        <v>60</v>
      </c>
      <c r="T2076" s="46" t="s">
        <v>8304</v>
      </c>
      <c r="U2076" s="46" t="s">
        <v>7903</v>
      </c>
      <c r="V2076" s="46" t="s">
        <v>8702</v>
      </c>
      <c r="W2076" s="46" t="s">
        <v>7813</v>
      </c>
      <c r="X2076" s="87" t="s">
        <v>8740</v>
      </c>
      <c r="Y2076" s="47" t="s">
        <v>7905</v>
      </c>
      <c r="Z2076" s="46" t="s">
        <v>7303</v>
      </c>
      <c r="AA2076" s="46" t="s">
        <v>401</v>
      </c>
      <c r="AB2076" s="87" t="s">
        <v>8739</v>
      </c>
      <c r="AC2076" s="48" t="s">
        <v>8504</v>
      </c>
      <c r="AD2076" s="206" t="s">
        <v>8782</v>
      </c>
      <c r="AE2076" s="192">
        <v>1</v>
      </c>
      <c r="AF2076" s="100" t="s">
        <v>8722</v>
      </c>
      <c r="AG2076" s="100" t="s">
        <v>8925</v>
      </c>
      <c r="AH2076" s="108">
        <v>15</v>
      </c>
    </row>
    <row r="2077" spans="1:34" s="32" customFormat="1" ht="69.95" hidden="1" customHeight="1">
      <c r="A2077" s="29" t="s">
        <v>7906</v>
      </c>
      <c r="B2077" s="29" t="s">
        <v>3769</v>
      </c>
      <c r="C2077" s="32">
        <v>48</v>
      </c>
      <c r="E2077" s="89" t="s">
        <v>8755</v>
      </c>
      <c r="F2077" s="89" t="s">
        <v>8755</v>
      </c>
      <c r="G2077" s="29" t="s">
        <v>3861</v>
      </c>
      <c r="H2077" s="29"/>
      <c r="I2077" s="29"/>
      <c r="J2077" s="29">
        <f t="shared" si="163"/>
        <v>1</v>
      </c>
      <c r="K2077" s="42">
        <v>2063</v>
      </c>
      <c r="L2077" s="43" t="s">
        <v>3862</v>
      </c>
      <c r="M2077" s="44" t="s">
        <v>405</v>
      </c>
      <c r="N2077" s="90" t="s">
        <v>7984</v>
      </c>
      <c r="O2077" s="90" t="str">
        <f t="shared" si="165"/>
        <v>PE-L1-3C4-29</v>
      </c>
      <c r="P2077" s="45">
        <v>8.0000000000000002E-3</v>
      </c>
      <c r="Q2077" s="44">
        <v>220</v>
      </c>
      <c r="R2077" s="44" t="s">
        <v>509</v>
      </c>
      <c r="S2077" s="44">
        <v>60</v>
      </c>
      <c r="T2077" s="46" t="s">
        <v>8304</v>
      </c>
      <c r="U2077" s="46" t="s">
        <v>7906</v>
      </c>
      <c r="V2077" s="46" t="s">
        <v>8702</v>
      </c>
      <c r="W2077" s="46" t="s">
        <v>7813</v>
      </c>
      <c r="X2077" s="87" t="s">
        <v>8760</v>
      </c>
      <c r="Y2077" s="47" t="s">
        <v>7907</v>
      </c>
      <c r="Z2077" s="46" t="s">
        <v>7309</v>
      </c>
      <c r="AA2077" s="46" t="s">
        <v>401</v>
      </c>
      <c r="AB2077" s="87" t="s">
        <v>8754</v>
      </c>
      <c r="AC2077" s="48" t="s">
        <v>8505</v>
      </c>
      <c r="AD2077" s="206" t="s">
        <v>8790</v>
      </c>
      <c r="AE2077" s="202">
        <v>1</v>
      </c>
      <c r="AF2077" s="109" t="s">
        <v>8722</v>
      </c>
      <c r="AG2077" s="109" t="s">
        <v>8925</v>
      </c>
      <c r="AH2077" s="109">
        <v>13</v>
      </c>
    </row>
    <row r="2078" spans="1:34" s="32" customFormat="1" ht="69.95" hidden="1" customHeight="1">
      <c r="A2078" s="29" t="s">
        <v>7906</v>
      </c>
      <c r="B2078" s="29" t="s">
        <v>3769</v>
      </c>
      <c r="C2078" s="32">
        <v>49</v>
      </c>
      <c r="E2078" s="89" t="s">
        <v>8742</v>
      </c>
      <c r="F2078" s="89" t="s">
        <v>8742</v>
      </c>
      <c r="G2078" s="29" t="s">
        <v>3863</v>
      </c>
      <c r="H2078" s="29"/>
      <c r="I2078" s="29"/>
      <c r="J2078" s="29">
        <f t="shared" si="163"/>
        <v>1</v>
      </c>
      <c r="K2078" s="42">
        <v>2064</v>
      </c>
      <c r="L2078" s="43" t="s">
        <v>3864</v>
      </c>
      <c r="M2078" s="44" t="s">
        <v>405</v>
      </c>
      <c r="N2078" s="90" t="s">
        <v>8638</v>
      </c>
      <c r="O2078" s="90" t="str">
        <f t="shared" si="165"/>
        <v>PE-L1-5C4-03</v>
      </c>
      <c r="P2078" s="45">
        <v>0.13</v>
      </c>
      <c r="Q2078" s="44">
        <v>220</v>
      </c>
      <c r="R2078" s="44" t="s">
        <v>509</v>
      </c>
      <c r="S2078" s="44">
        <v>60</v>
      </c>
      <c r="T2078" s="46" t="s">
        <v>8304</v>
      </c>
      <c r="U2078" s="46" t="s">
        <v>7906</v>
      </c>
      <c r="V2078" s="46" t="s">
        <v>8702</v>
      </c>
      <c r="W2078" s="46" t="s">
        <v>7813</v>
      </c>
      <c r="X2078" s="87" t="s">
        <v>8740</v>
      </c>
      <c r="Y2078" s="47" t="s">
        <v>7908</v>
      </c>
      <c r="Z2078" s="46" t="s">
        <v>7309</v>
      </c>
      <c r="AA2078" s="46" t="s">
        <v>401</v>
      </c>
      <c r="AB2078" s="87" t="s">
        <v>8739</v>
      </c>
      <c r="AC2078" s="48" t="s">
        <v>8506</v>
      </c>
      <c r="AD2078" s="206" t="s">
        <v>8791</v>
      </c>
      <c r="AE2078" s="202">
        <v>1</v>
      </c>
      <c r="AF2078" s="109" t="s">
        <v>8722</v>
      </c>
      <c r="AG2078" s="109" t="s">
        <v>8925</v>
      </c>
      <c r="AH2078" s="111">
        <v>15</v>
      </c>
    </row>
    <row r="2079" spans="1:34" s="32" customFormat="1" ht="69.95" hidden="1" customHeight="1">
      <c r="A2079" s="29" t="s">
        <v>7909</v>
      </c>
      <c r="B2079" s="29" t="s">
        <v>3769</v>
      </c>
      <c r="C2079" s="32">
        <v>50</v>
      </c>
      <c r="E2079" s="57" t="s">
        <v>8297</v>
      </c>
      <c r="F2079" s="57" t="s">
        <v>8300</v>
      </c>
      <c r="G2079" s="29" t="s">
        <v>3865</v>
      </c>
      <c r="H2079" s="29"/>
      <c r="I2079" s="29"/>
      <c r="J2079" s="29">
        <f t="shared" si="163"/>
        <v>1</v>
      </c>
      <c r="K2079" s="42">
        <v>2065</v>
      </c>
      <c r="L2079" s="43" t="s">
        <v>3866</v>
      </c>
      <c r="M2079" s="44" t="s">
        <v>405</v>
      </c>
      <c r="N2079" s="44" t="s">
        <v>426</v>
      </c>
      <c r="O2079" s="44" t="str">
        <f t="shared" ref="O2079:O2082" si="166">F2079</f>
        <v>PE-L1-3C4-24</v>
      </c>
      <c r="P2079" s="45">
        <v>0.16</v>
      </c>
      <c r="Q2079" s="44">
        <v>230</v>
      </c>
      <c r="R2079" s="44" t="s">
        <v>49</v>
      </c>
      <c r="S2079" s="44">
        <v>50</v>
      </c>
      <c r="T2079" s="46" t="s">
        <v>7981</v>
      </c>
      <c r="U2079" s="46" t="s">
        <v>7909</v>
      </c>
      <c r="V2079" s="46" t="s">
        <v>8698</v>
      </c>
      <c r="W2079" s="46" t="s">
        <v>7813</v>
      </c>
      <c r="X2079" s="172" t="s">
        <v>9167</v>
      </c>
      <c r="Y2079" s="47" t="s">
        <v>7910</v>
      </c>
      <c r="Z2079" s="46" t="s">
        <v>7315</v>
      </c>
      <c r="AA2079" s="46" t="s">
        <v>401</v>
      </c>
      <c r="AB2079" s="172" t="s">
        <v>9167</v>
      </c>
      <c r="AC2079" s="48" t="s">
        <v>8507</v>
      </c>
      <c r="AD2079" s="206" t="s">
        <v>8794</v>
      </c>
      <c r="AE2079" s="192">
        <v>1</v>
      </c>
      <c r="AF2079" s="100" t="s">
        <v>8722</v>
      </c>
      <c r="AG2079" s="100" t="s">
        <v>8925</v>
      </c>
      <c r="AH2079" s="100">
        <v>13</v>
      </c>
    </row>
    <row r="2080" spans="1:34" s="32" customFormat="1" ht="69.95" hidden="1" customHeight="1">
      <c r="A2080" s="29" t="s">
        <v>7911</v>
      </c>
      <c r="B2080" s="29" t="s">
        <v>3769</v>
      </c>
      <c r="C2080" s="32">
        <v>51</v>
      </c>
      <c r="E2080" s="57" t="s">
        <v>8297</v>
      </c>
      <c r="F2080" s="57" t="s">
        <v>8300</v>
      </c>
      <c r="G2080" s="29" t="s">
        <v>3867</v>
      </c>
      <c r="H2080" s="29"/>
      <c r="I2080" s="29"/>
      <c r="J2080" s="29">
        <f t="shared" si="163"/>
        <v>1</v>
      </c>
      <c r="K2080" s="42">
        <v>2066</v>
      </c>
      <c r="L2080" s="43" t="s">
        <v>3868</v>
      </c>
      <c r="M2080" s="44" t="s">
        <v>405</v>
      </c>
      <c r="N2080" s="44" t="s">
        <v>426</v>
      </c>
      <c r="O2080" s="44" t="str">
        <f t="shared" si="166"/>
        <v>PE-L1-3C4-24</v>
      </c>
      <c r="P2080" s="45">
        <v>0.125</v>
      </c>
      <c r="Q2080" s="44">
        <v>230</v>
      </c>
      <c r="R2080" s="44" t="s">
        <v>49</v>
      </c>
      <c r="S2080" s="44">
        <v>60</v>
      </c>
      <c r="T2080" s="46" t="s">
        <v>7981</v>
      </c>
      <c r="U2080" s="46" t="s">
        <v>7911</v>
      </c>
      <c r="V2080" s="46" t="s">
        <v>8698</v>
      </c>
      <c r="W2080" s="46" t="s">
        <v>7813</v>
      </c>
      <c r="X2080" s="172" t="s">
        <v>9167</v>
      </c>
      <c r="Y2080" s="47" t="s">
        <v>7912</v>
      </c>
      <c r="Z2080" s="46" t="s">
        <v>7319</v>
      </c>
      <c r="AA2080" s="46" t="s">
        <v>401</v>
      </c>
      <c r="AB2080" s="172" t="s">
        <v>9167</v>
      </c>
      <c r="AC2080" s="48" t="s">
        <v>8508</v>
      </c>
      <c r="AD2080" s="206" t="s">
        <v>8797</v>
      </c>
      <c r="AE2080" s="192">
        <v>1</v>
      </c>
      <c r="AF2080" s="100" t="s">
        <v>8722</v>
      </c>
      <c r="AG2080" s="100" t="s">
        <v>8925</v>
      </c>
      <c r="AH2080" s="100">
        <v>13</v>
      </c>
    </row>
    <row r="2081" spans="1:34" s="32" customFormat="1" ht="69.95" hidden="1" customHeight="1">
      <c r="A2081" s="29" t="s">
        <v>7913</v>
      </c>
      <c r="B2081" s="29" t="s">
        <v>3769</v>
      </c>
      <c r="C2081" s="32">
        <v>54</v>
      </c>
      <c r="E2081" s="57" t="s">
        <v>68</v>
      </c>
      <c r="F2081" s="57" t="s">
        <v>68</v>
      </c>
      <c r="G2081" s="29" t="s">
        <v>3869</v>
      </c>
      <c r="H2081" s="29"/>
      <c r="I2081" s="29"/>
      <c r="J2081" s="29">
        <f t="shared" si="163"/>
        <v>1</v>
      </c>
      <c r="K2081" s="42">
        <v>2067</v>
      </c>
      <c r="L2081" s="43" t="s">
        <v>3870</v>
      </c>
      <c r="M2081" s="44" t="s">
        <v>405</v>
      </c>
      <c r="N2081" s="44" t="s">
        <v>543</v>
      </c>
      <c r="O2081" s="44" t="str">
        <f t="shared" si="166"/>
        <v>PE-L1-4C10-01</v>
      </c>
      <c r="P2081" s="45">
        <v>22</v>
      </c>
      <c r="Q2081" s="44">
        <v>400</v>
      </c>
      <c r="R2081" s="44" t="s">
        <v>412</v>
      </c>
      <c r="S2081" s="44">
        <v>55</v>
      </c>
      <c r="T2081" s="46" t="s">
        <v>7981</v>
      </c>
      <c r="U2081" s="46" t="s">
        <v>7913</v>
      </c>
      <c r="V2081" s="46" t="s">
        <v>8703</v>
      </c>
      <c r="W2081" s="46" t="s">
        <v>7813</v>
      </c>
      <c r="X2081" s="47" t="s">
        <v>9305</v>
      </c>
      <c r="Y2081" s="47" t="s">
        <v>7914</v>
      </c>
      <c r="Z2081" s="46" t="s">
        <v>7323</v>
      </c>
      <c r="AA2081" s="46" t="s">
        <v>401</v>
      </c>
      <c r="AB2081" s="47" t="s">
        <v>9305</v>
      </c>
      <c r="AC2081" s="48" t="s">
        <v>8509</v>
      </c>
      <c r="AD2081" s="30"/>
      <c r="AE2081" s="192">
        <v>1</v>
      </c>
      <c r="AF2081" s="100" t="s">
        <v>8824</v>
      </c>
      <c r="AG2081" s="100" t="s">
        <v>8931</v>
      </c>
      <c r="AH2081" s="100">
        <v>18</v>
      </c>
    </row>
    <row r="2082" spans="1:34" s="32" customFormat="1" ht="69.95" hidden="1" customHeight="1">
      <c r="A2082" s="29" t="s">
        <v>7915</v>
      </c>
      <c r="B2082" s="29" t="s">
        <v>3769</v>
      </c>
      <c r="C2082" s="32">
        <v>55</v>
      </c>
      <c r="E2082" s="57" t="s">
        <v>68</v>
      </c>
      <c r="F2082" s="57" t="s">
        <v>68</v>
      </c>
      <c r="G2082" s="29" t="s">
        <v>3871</v>
      </c>
      <c r="H2082" s="29"/>
      <c r="I2082" s="29"/>
      <c r="J2082" s="29">
        <f t="shared" si="163"/>
        <v>1</v>
      </c>
      <c r="K2082" s="42">
        <v>2068</v>
      </c>
      <c r="L2082" s="43" t="s">
        <v>3872</v>
      </c>
      <c r="M2082" s="44" t="s">
        <v>405</v>
      </c>
      <c r="N2082" s="44" t="s">
        <v>543</v>
      </c>
      <c r="O2082" s="44" t="str">
        <f t="shared" si="166"/>
        <v>PE-L1-4C10-01</v>
      </c>
      <c r="P2082" s="45">
        <v>22</v>
      </c>
      <c r="Q2082" s="44">
        <v>400</v>
      </c>
      <c r="R2082" s="44" t="s">
        <v>49</v>
      </c>
      <c r="S2082" s="44">
        <v>55</v>
      </c>
      <c r="T2082" s="46" t="s">
        <v>7981</v>
      </c>
      <c r="U2082" s="46" t="s">
        <v>7915</v>
      </c>
      <c r="V2082" s="46" t="s">
        <v>8698</v>
      </c>
      <c r="W2082" s="46" t="s">
        <v>7813</v>
      </c>
      <c r="X2082" s="47" t="s">
        <v>9305</v>
      </c>
      <c r="Y2082" s="47" t="s">
        <v>7916</v>
      </c>
      <c r="Z2082" s="46" t="s">
        <v>7327</v>
      </c>
      <c r="AA2082" s="46" t="s">
        <v>401</v>
      </c>
      <c r="AB2082" s="47" t="s">
        <v>9305</v>
      </c>
      <c r="AC2082" s="48" t="s">
        <v>8510</v>
      </c>
      <c r="AD2082" s="30"/>
      <c r="AE2082" s="192">
        <v>1</v>
      </c>
      <c r="AF2082" s="100" t="s">
        <v>8824</v>
      </c>
      <c r="AG2082" s="100" t="s">
        <v>8931</v>
      </c>
      <c r="AH2082" s="100">
        <v>18</v>
      </c>
    </row>
    <row r="2083" spans="1:34" s="32" customFormat="1" ht="69.95" hidden="1" customHeight="1">
      <c r="A2083" s="29" t="s">
        <v>7917</v>
      </c>
      <c r="B2083" s="29" t="s">
        <v>3769</v>
      </c>
      <c r="C2083" s="32">
        <v>56</v>
      </c>
      <c r="E2083" s="89" t="s">
        <v>8806</v>
      </c>
      <c r="F2083" s="89" t="s">
        <v>8806</v>
      </c>
      <c r="G2083" s="29" t="s">
        <v>3873</v>
      </c>
      <c r="H2083" s="29"/>
      <c r="I2083" s="29"/>
      <c r="J2083" s="29">
        <f t="shared" si="163"/>
        <v>1</v>
      </c>
      <c r="K2083" s="42">
        <v>2069</v>
      </c>
      <c r="L2083" s="43" t="s">
        <v>3874</v>
      </c>
      <c r="M2083" s="44" t="s">
        <v>405</v>
      </c>
      <c r="N2083" s="90" t="s">
        <v>7984</v>
      </c>
      <c r="O2083" s="90" t="str">
        <f>F2083</f>
        <v>PE-L1-3C4-29</v>
      </c>
      <c r="P2083" s="45">
        <v>0.1</v>
      </c>
      <c r="Q2083" s="44">
        <v>220</v>
      </c>
      <c r="R2083" s="44" t="s">
        <v>509</v>
      </c>
      <c r="S2083" s="44">
        <v>40</v>
      </c>
      <c r="T2083" s="46" t="s">
        <v>7981</v>
      </c>
      <c r="U2083" s="46" t="s">
        <v>7917</v>
      </c>
      <c r="V2083" s="46" t="s">
        <v>8702</v>
      </c>
      <c r="W2083" s="46" t="s">
        <v>7813</v>
      </c>
      <c r="X2083" s="87" t="s">
        <v>8800</v>
      </c>
      <c r="Y2083" s="47" t="s">
        <v>7918</v>
      </c>
      <c r="Z2083" s="46" t="s">
        <v>7331</v>
      </c>
      <c r="AA2083" s="46" t="s">
        <v>401</v>
      </c>
      <c r="AB2083" s="87" t="s">
        <v>8754</v>
      </c>
      <c r="AC2083" s="48" t="s">
        <v>8511</v>
      </c>
      <c r="AD2083" s="30"/>
      <c r="AE2083" s="192">
        <v>1</v>
      </c>
      <c r="AF2083" s="100" t="s">
        <v>8722</v>
      </c>
      <c r="AG2083" s="100" t="s">
        <v>8925</v>
      </c>
      <c r="AH2083" s="100">
        <v>13</v>
      </c>
    </row>
    <row r="2084" spans="1:34" s="32" customFormat="1" ht="69.95" hidden="1" customHeight="1">
      <c r="A2084" s="29" t="s">
        <v>7917</v>
      </c>
      <c r="B2084" s="29" t="s">
        <v>3769</v>
      </c>
      <c r="C2084" s="32">
        <v>57</v>
      </c>
      <c r="E2084" s="89" t="s">
        <v>8807</v>
      </c>
      <c r="F2084" s="89" t="s">
        <v>8807</v>
      </c>
      <c r="G2084" s="29" t="s">
        <v>3875</v>
      </c>
      <c r="H2084" s="29"/>
      <c r="I2084" s="29"/>
      <c r="J2084" s="29">
        <f t="shared" si="163"/>
        <v>1</v>
      </c>
      <c r="K2084" s="42">
        <v>2070</v>
      </c>
      <c r="L2084" s="43" t="s">
        <v>3876</v>
      </c>
      <c r="M2084" s="44" t="s">
        <v>405</v>
      </c>
      <c r="N2084" s="90" t="s">
        <v>8628</v>
      </c>
      <c r="O2084" s="90" t="str">
        <f>F2084</f>
        <v>PE-L1-4C6-03</v>
      </c>
      <c r="P2084" s="45">
        <v>3.7</v>
      </c>
      <c r="Q2084" s="44">
        <v>220</v>
      </c>
      <c r="R2084" s="44" t="s">
        <v>509</v>
      </c>
      <c r="S2084" s="44">
        <v>40</v>
      </c>
      <c r="T2084" s="46" t="s">
        <v>7981</v>
      </c>
      <c r="U2084" s="46" t="s">
        <v>7917</v>
      </c>
      <c r="V2084" s="46" t="s">
        <v>8702</v>
      </c>
      <c r="W2084" s="46" t="s">
        <v>7813</v>
      </c>
      <c r="X2084" s="87" t="s">
        <v>8801</v>
      </c>
      <c r="Y2084" s="47" t="s">
        <v>7919</v>
      </c>
      <c r="Z2084" s="46" t="s">
        <v>7331</v>
      </c>
      <c r="AA2084" s="46" t="s">
        <v>401</v>
      </c>
      <c r="AB2084" s="87" t="s">
        <v>8798</v>
      </c>
      <c r="AC2084" s="48" t="s">
        <v>8512</v>
      </c>
      <c r="AD2084" s="30"/>
      <c r="AE2084" s="192">
        <v>1</v>
      </c>
      <c r="AF2084" s="100" t="s">
        <v>8722</v>
      </c>
      <c r="AG2084" s="100" t="s">
        <v>8925</v>
      </c>
      <c r="AH2084" s="108">
        <v>15.5</v>
      </c>
    </row>
    <row r="2085" spans="1:34" s="32" customFormat="1" ht="69.95" hidden="1" customHeight="1">
      <c r="A2085" s="29" t="s">
        <v>7917</v>
      </c>
      <c r="B2085" s="29" t="s">
        <v>3769</v>
      </c>
      <c r="C2085" s="32">
        <v>58</v>
      </c>
      <c r="E2085" s="89" t="s">
        <v>8805</v>
      </c>
      <c r="F2085" s="89" t="s">
        <v>8805</v>
      </c>
      <c r="G2085" s="29" t="s">
        <v>3877</v>
      </c>
      <c r="H2085" s="29"/>
      <c r="I2085" s="29"/>
      <c r="J2085" s="29">
        <f t="shared" si="163"/>
        <v>1</v>
      </c>
      <c r="K2085" s="42">
        <v>2071</v>
      </c>
      <c r="L2085" s="43" t="s">
        <v>3878</v>
      </c>
      <c r="M2085" s="44" t="s">
        <v>405</v>
      </c>
      <c r="N2085" s="90" t="s">
        <v>8803</v>
      </c>
      <c r="O2085" s="90" t="str">
        <f>F2085</f>
        <v>PE-L1-3C95/50-01</v>
      </c>
      <c r="P2085" s="45">
        <v>3.7</v>
      </c>
      <c r="Q2085" s="44">
        <v>220</v>
      </c>
      <c r="R2085" s="44" t="s">
        <v>509</v>
      </c>
      <c r="S2085" s="44">
        <v>40</v>
      </c>
      <c r="T2085" s="46" t="s">
        <v>7981</v>
      </c>
      <c r="U2085" s="46" t="s">
        <v>7917</v>
      </c>
      <c r="V2085" s="46" t="s">
        <v>8702</v>
      </c>
      <c r="W2085" s="46" t="s">
        <v>7813</v>
      </c>
      <c r="X2085" s="87" t="s">
        <v>8802</v>
      </c>
      <c r="Y2085" s="47" t="s">
        <v>7920</v>
      </c>
      <c r="Z2085" s="46" t="s">
        <v>7331</v>
      </c>
      <c r="AA2085" s="46" t="s">
        <v>401</v>
      </c>
      <c r="AB2085" s="87" t="s">
        <v>8799</v>
      </c>
      <c r="AC2085" s="48" t="s">
        <v>8513</v>
      </c>
      <c r="AD2085" s="30"/>
      <c r="AE2085" s="192">
        <v>1</v>
      </c>
      <c r="AF2085" s="100" t="s">
        <v>8823</v>
      </c>
      <c r="AG2085" s="100" t="s">
        <v>8936</v>
      </c>
      <c r="AH2085" s="108">
        <v>34.5</v>
      </c>
    </row>
    <row r="2086" spans="1:34" s="32" customFormat="1" ht="69.95" hidden="1" customHeight="1">
      <c r="A2086" s="29" t="s">
        <v>7921</v>
      </c>
      <c r="B2086" s="29" t="s">
        <v>3769</v>
      </c>
      <c r="C2086" s="32">
        <v>59</v>
      </c>
      <c r="E2086" s="57" t="s">
        <v>8310</v>
      </c>
      <c r="F2086" s="57" t="s">
        <v>8310</v>
      </c>
      <c r="G2086" s="29" t="s">
        <v>3879</v>
      </c>
      <c r="H2086" s="29"/>
      <c r="I2086" s="29"/>
      <c r="J2086" s="29">
        <f t="shared" si="163"/>
        <v>1</v>
      </c>
      <c r="K2086" s="42">
        <v>2072</v>
      </c>
      <c r="L2086" s="43" t="s">
        <v>3880</v>
      </c>
      <c r="M2086" s="44" t="s">
        <v>405</v>
      </c>
      <c r="N2086" s="44" t="s">
        <v>1091</v>
      </c>
      <c r="O2086" s="44" t="str">
        <f t="shared" ref="O2086:O2095" si="167">F2086</f>
        <v>PE-L1-4C35/25-02</v>
      </c>
      <c r="P2086" s="45">
        <v>50.6</v>
      </c>
      <c r="Q2086" s="44">
        <v>400</v>
      </c>
      <c r="R2086" s="44" t="s">
        <v>412</v>
      </c>
      <c r="S2086" s="44">
        <v>60</v>
      </c>
      <c r="T2086" s="46" t="s">
        <v>7981</v>
      </c>
      <c r="U2086" s="46" t="s">
        <v>7921</v>
      </c>
      <c r="V2086" s="46" t="s">
        <v>8703</v>
      </c>
      <c r="W2086" s="46" t="s">
        <v>7813</v>
      </c>
      <c r="X2086" s="47" t="s">
        <v>8721</v>
      </c>
      <c r="Y2086" s="47" t="s">
        <v>7922</v>
      </c>
      <c r="Z2086" s="46" t="s">
        <v>7339</v>
      </c>
      <c r="AA2086" s="46" t="s">
        <v>401</v>
      </c>
      <c r="AB2086" s="47" t="s">
        <v>8721</v>
      </c>
      <c r="AC2086" s="48" t="s">
        <v>8514</v>
      </c>
      <c r="AD2086" s="30"/>
      <c r="AE2086" s="192">
        <v>1</v>
      </c>
      <c r="AF2086" s="100" t="s">
        <v>8822</v>
      </c>
      <c r="AG2086" s="100" t="s">
        <v>8932</v>
      </c>
      <c r="AH2086" s="108">
        <v>25.5</v>
      </c>
    </row>
    <row r="2087" spans="1:34" s="32" customFormat="1" ht="69.95" hidden="1" customHeight="1">
      <c r="A2087" s="29" t="s">
        <v>7923</v>
      </c>
      <c r="B2087" s="29" t="s">
        <v>3769</v>
      </c>
      <c r="C2087" s="32">
        <v>60</v>
      </c>
      <c r="E2087" s="57" t="s">
        <v>8310</v>
      </c>
      <c r="F2087" s="57" t="s">
        <v>8310</v>
      </c>
      <c r="G2087" s="29" t="s">
        <v>3881</v>
      </c>
      <c r="H2087" s="29"/>
      <c r="I2087" s="29"/>
      <c r="J2087" s="29">
        <f t="shared" si="163"/>
        <v>1</v>
      </c>
      <c r="K2087" s="42">
        <v>2073</v>
      </c>
      <c r="L2087" s="43" t="s">
        <v>3882</v>
      </c>
      <c r="M2087" s="44" t="s">
        <v>405</v>
      </c>
      <c r="N2087" s="44" t="s">
        <v>1091</v>
      </c>
      <c r="O2087" s="44" t="str">
        <f t="shared" si="167"/>
        <v>PE-L1-4C35/25-02</v>
      </c>
      <c r="P2087" s="45">
        <v>50.6</v>
      </c>
      <c r="Q2087" s="44">
        <v>400</v>
      </c>
      <c r="R2087" s="44" t="s">
        <v>49</v>
      </c>
      <c r="S2087" s="44">
        <v>40</v>
      </c>
      <c r="T2087" s="46" t="s">
        <v>7981</v>
      </c>
      <c r="U2087" s="46" t="s">
        <v>7923</v>
      </c>
      <c r="V2087" s="46" t="s">
        <v>8698</v>
      </c>
      <c r="W2087" s="46" t="s">
        <v>7813</v>
      </c>
      <c r="X2087" s="47" t="s">
        <v>8721</v>
      </c>
      <c r="Y2087" s="47" t="s">
        <v>7924</v>
      </c>
      <c r="Z2087" s="46" t="s">
        <v>7343</v>
      </c>
      <c r="AA2087" s="46" t="s">
        <v>401</v>
      </c>
      <c r="AB2087" s="47" t="s">
        <v>8721</v>
      </c>
      <c r="AC2087" s="48" t="s">
        <v>8515</v>
      </c>
      <c r="AD2087" s="30"/>
      <c r="AE2087" s="192">
        <v>1</v>
      </c>
      <c r="AF2087" s="100" t="s">
        <v>8822</v>
      </c>
      <c r="AG2087" s="100" t="s">
        <v>8932</v>
      </c>
      <c r="AH2087" s="108">
        <v>25.5</v>
      </c>
    </row>
    <row r="2088" spans="1:34" s="32" customFormat="1" ht="69.95" hidden="1" customHeight="1">
      <c r="A2088" s="29" t="s">
        <v>7925</v>
      </c>
      <c r="B2088" s="29" t="s">
        <v>3769</v>
      </c>
      <c r="C2088" s="32">
        <v>61</v>
      </c>
      <c r="E2088" s="57" t="s">
        <v>8284</v>
      </c>
      <c r="F2088" s="57" t="s">
        <v>8284</v>
      </c>
      <c r="G2088" s="29" t="s">
        <v>3883</v>
      </c>
      <c r="H2088" s="29"/>
      <c r="I2088" s="29"/>
      <c r="J2088" s="29">
        <f t="shared" si="163"/>
        <v>1</v>
      </c>
      <c r="K2088" s="42">
        <v>2074</v>
      </c>
      <c r="L2088" s="43" t="s">
        <v>3884</v>
      </c>
      <c r="M2088" s="44" t="s">
        <v>405</v>
      </c>
      <c r="N2088" s="44" t="s">
        <v>536</v>
      </c>
      <c r="O2088" s="44" t="str">
        <f t="shared" si="167"/>
        <v>PE-L1-4C4-23</v>
      </c>
      <c r="P2088" s="45">
        <v>2.2000000000000002</v>
      </c>
      <c r="Q2088" s="44">
        <v>400</v>
      </c>
      <c r="R2088" s="44" t="s">
        <v>412</v>
      </c>
      <c r="S2088" s="44">
        <v>60</v>
      </c>
      <c r="T2088" s="46" t="s">
        <v>7981</v>
      </c>
      <c r="U2088" s="46" t="s">
        <v>7925</v>
      </c>
      <c r="V2088" s="46" t="s">
        <v>8703</v>
      </c>
      <c r="W2088" s="46" t="s">
        <v>7813</v>
      </c>
      <c r="X2088" s="47" t="s">
        <v>8721</v>
      </c>
      <c r="Y2088" s="47" t="s">
        <v>7926</v>
      </c>
      <c r="Z2088" s="46" t="s">
        <v>7347</v>
      </c>
      <c r="AA2088" s="46" t="s">
        <v>401</v>
      </c>
      <c r="AB2088" s="47" t="s">
        <v>8721</v>
      </c>
      <c r="AC2088" s="48" t="s">
        <v>8516</v>
      </c>
      <c r="AD2088" s="30"/>
      <c r="AE2088" s="192">
        <v>1</v>
      </c>
      <c r="AF2088" s="100" t="s">
        <v>8722</v>
      </c>
      <c r="AG2088" s="100" t="s">
        <v>8925</v>
      </c>
      <c r="AH2088" s="100">
        <v>14</v>
      </c>
    </row>
    <row r="2089" spans="1:34" s="32" customFormat="1" ht="69.95" hidden="1" customHeight="1">
      <c r="A2089" s="29" t="s">
        <v>7927</v>
      </c>
      <c r="B2089" s="29" t="s">
        <v>3769</v>
      </c>
      <c r="C2089" s="32">
        <v>62</v>
      </c>
      <c r="E2089" s="57" t="s">
        <v>8282</v>
      </c>
      <c r="F2089" s="57" t="s">
        <v>8282</v>
      </c>
      <c r="G2089" s="29" t="s">
        <v>3885</v>
      </c>
      <c r="H2089" s="29"/>
      <c r="I2089" s="29"/>
      <c r="J2089" s="29">
        <f t="shared" si="163"/>
        <v>1</v>
      </c>
      <c r="K2089" s="42">
        <v>2075</v>
      </c>
      <c r="L2089" s="43" t="s">
        <v>3886</v>
      </c>
      <c r="M2089" s="44" t="s">
        <v>405</v>
      </c>
      <c r="N2089" s="44" t="s">
        <v>536</v>
      </c>
      <c r="O2089" s="44" t="str">
        <f t="shared" si="167"/>
        <v>PE-L1-4C4-23</v>
      </c>
      <c r="P2089" s="45">
        <v>2.2000000000000002</v>
      </c>
      <c r="Q2089" s="44">
        <v>400</v>
      </c>
      <c r="R2089" s="44" t="s">
        <v>49</v>
      </c>
      <c r="S2089" s="44">
        <v>50</v>
      </c>
      <c r="T2089" s="46" t="s">
        <v>7981</v>
      </c>
      <c r="U2089" s="46" t="s">
        <v>7927</v>
      </c>
      <c r="V2089" s="46" t="s">
        <v>8698</v>
      </c>
      <c r="W2089" s="46" t="s">
        <v>7813</v>
      </c>
      <c r="X2089" s="47" t="s">
        <v>8721</v>
      </c>
      <c r="Y2089" s="47" t="s">
        <v>7928</v>
      </c>
      <c r="Z2089" s="46" t="s">
        <v>7351</v>
      </c>
      <c r="AA2089" s="46" t="s">
        <v>401</v>
      </c>
      <c r="AB2089" s="47" t="s">
        <v>8721</v>
      </c>
      <c r="AC2089" s="48" t="s">
        <v>8517</v>
      </c>
      <c r="AD2089" s="30"/>
      <c r="AE2089" s="192">
        <v>1</v>
      </c>
      <c r="AF2089" s="100" t="s">
        <v>8722</v>
      </c>
      <c r="AG2089" s="100" t="s">
        <v>8925</v>
      </c>
      <c r="AH2089" s="100">
        <v>14</v>
      </c>
    </row>
    <row r="2090" spans="1:34" s="32" customFormat="1" ht="69.95" hidden="1" customHeight="1">
      <c r="A2090" s="29" t="s">
        <v>7929</v>
      </c>
      <c r="B2090" s="29" t="s">
        <v>3769</v>
      </c>
      <c r="C2090" s="69">
        <v>63</v>
      </c>
      <c r="D2090" s="69"/>
      <c r="E2090" s="57" t="s">
        <v>8284</v>
      </c>
      <c r="F2090" s="57" t="s">
        <v>8313</v>
      </c>
      <c r="G2090" s="29" t="s">
        <v>3887</v>
      </c>
      <c r="H2090" s="29"/>
      <c r="I2090" s="29"/>
      <c r="J2090" s="29">
        <f t="shared" si="163"/>
        <v>1</v>
      </c>
      <c r="K2090" s="42">
        <v>2076</v>
      </c>
      <c r="L2090" s="43" t="s">
        <v>3888</v>
      </c>
      <c r="M2090" s="44" t="s">
        <v>405</v>
      </c>
      <c r="N2090" s="44" t="s">
        <v>8090</v>
      </c>
      <c r="O2090" s="44" t="str">
        <f t="shared" si="167"/>
        <v>PE-L1-4C4-23</v>
      </c>
      <c r="P2090" s="45">
        <v>1</v>
      </c>
      <c r="Q2090" s="44">
        <v>400</v>
      </c>
      <c r="R2090" s="44" t="s">
        <v>49</v>
      </c>
      <c r="S2090" s="44">
        <v>50</v>
      </c>
      <c r="T2090" s="46" t="s">
        <v>7981</v>
      </c>
      <c r="U2090" s="46" t="s">
        <v>7929</v>
      </c>
      <c r="V2090" s="46" t="s">
        <v>8698</v>
      </c>
      <c r="W2090" s="46" t="s">
        <v>7813</v>
      </c>
      <c r="X2090" s="47" t="s">
        <v>8721</v>
      </c>
      <c r="Y2090" s="47" t="s">
        <v>7930</v>
      </c>
      <c r="Z2090" s="46" t="s">
        <v>7355</v>
      </c>
      <c r="AA2090" s="46" t="s">
        <v>401</v>
      </c>
      <c r="AB2090" s="47" t="s">
        <v>8721</v>
      </c>
      <c r="AC2090" s="48" t="s">
        <v>8518</v>
      </c>
      <c r="AD2090" s="30"/>
      <c r="AE2090" s="192">
        <v>1</v>
      </c>
      <c r="AF2090" s="100" t="s">
        <v>8722</v>
      </c>
      <c r="AG2090" s="100" t="s">
        <v>8925</v>
      </c>
      <c r="AH2090" s="100">
        <v>14</v>
      </c>
    </row>
    <row r="2091" spans="1:34" s="32" customFormat="1" ht="69.95" hidden="1" customHeight="1">
      <c r="A2091" s="29" t="s">
        <v>7931</v>
      </c>
      <c r="B2091" s="29" t="s">
        <v>3769</v>
      </c>
      <c r="C2091" s="69">
        <v>64</v>
      </c>
      <c r="D2091" s="69"/>
      <c r="E2091" s="57" t="s">
        <v>8284</v>
      </c>
      <c r="F2091" s="57" t="s">
        <v>8313</v>
      </c>
      <c r="G2091" s="29" t="s">
        <v>3889</v>
      </c>
      <c r="H2091" s="29"/>
      <c r="I2091" s="29"/>
      <c r="J2091" s="29">
        <f t="shared" si="163"/>
        <v>1</v>
      </c>
      <c r="K2091" s="42">
        <v>2077</v>
      </c>
      <c r="L2091" s="43" t="s">
        <v>3890</v>
      </c>
      <c r="M2091" s="44" t="s">
        <v>405</v>
      </c>
      <c r="N2091" s="44" t="s">
        <v>8090</v>
      </c>
      <c r="O2091" s="44" t="str">
        <f t="shared" si="167"/>
        <v>PE-L1-4C4-23</v>
      </c>
      <c r="P2091" s="45">
        <v>1</v>
      </c>
      <c r="Q2091" s="44">
        <v>400</v>
      </c>
      <c r="R2091" s="44" t="s">
        <v>49</v>
      </c>
      <c r="S2091" s="44">
        <v>50</v>
      </c>
      <c r="T2091" s="46" t="s">
        <v>7981</v>
      </c>
      <c r="U2091" s="46" t="s">
        <v>7931</v>
      </c>
      <c r="V2091" s="46" t="s">
        <v>8698</v>
      </c>
      <c r="W2091" s="46" t="s">
        <v>7813</v>
      </c>
      <c r="X2091" s="47" t="s">
        <v>8721</v>
      </c>
      <c r="Y2091" s="47" t="s">
        <v>7932</v>
      </c>
      <c r="Z2091" s="46" t="s">
        <v>7359</v>
      </c>
      <c r="AA2091" s="46" t="s">
        <v>401</v>
      </c>
      <c r="AB2091" s="47" t="s">
        <v>8721</v>
      </c>
      <c r="AC2091" s="48" t="s">
        <v>8519</v>
      </c>
      <c r="AD2091" s="30"/>
      <c r="AE2091" s="192">
        <v>1</v>
      </c>
      <c r="AF2091" s="100" t="s">
        <v>8722</v>
      </c>
      <c r="AG2091" s="100" t="s">
        <v>8925</v>
      </c>
      <c r="AH2091" s="100">
        <v>14</v>
      </c>
    </row>
    <row r="2092" spans="1:34" s="32" customFormat="1" ht="69.95" hidden="1" customHeight="1">
      <c r="A2092" s="29" t="s">
        <v>7933</v>
      </c>
      <c r="B2092" s="29" t="s">
        <v>3769</v>
      </c>
      <c r="C2092" s="32">
        <v>65</v>
      </c>
      <c r="E2092" s="57" t="s">
        <v>8284</v>
      </c>
      <c r="F2092" s="57" t="s">
        <v>8313</v>
      </c>
      <c r="G2092" s="29" t="s">
        <v>3891</v>
      </c>
      <c r="H2092" s="29"/>
      <c r="I2092" s="29"/>
      <c r="J2092" s="29">
        <f t="shared" si="163"/>
        <v>1</v>
      </c>
      <c r="K2092" s="42">
        <v>2078</v>
      </c>
      <c r="L2092" s="43" t="s">
        <v>3892</v>
      </c>
      <c r="M2092" s="44" t="s">
        <v>405</v>
      </c>
      <c r="N2092" s="44" t="s">
        <v>536</v>
      </c>
      <c r="O2092" s="44" t="str">
        <f t="shared" si="167"/>
        <v>PE-L1-4C4-23</v>
      </c>
      <c r="P2092" s="45">
        <v>7.5</v>
      </c>
      <c r="Q2092" s="44">
        <v>400</v>
      </c>
      <c r="R2092" s="44" t="s">
        <v>49</v>
      </c>
      <c r="S2092" s="44">
        <v>60</v>
      </c>
      <c r="T2092" s="46" t="s">
        <v>7981</v>
      </c>
      <c r="U2092" s="46" t="s">
        <v>7933</v>
      </c>
      <c r="V2092" s="46" t="s">
        <v>8698</v>
      </c>
      <c r="W2092" s="46" t="s">
        <v>7813</v>
      </c>
      <c r="X2092" s="47" t="s">
        <v>8721</v>
      </c>
      <c r="Y2092" s="47" t="s">
        <v>7934</v>
      </c>
      <c r="Z2092" s="46" t="s">
        <v>7363</v>
      </c>
      <c r="AA2092" s="46" t="s">
        <v>401</v>
      </c>
      <c r="AB2092" s="47" t="s">
        <v>8721</v>
      </c>
      <c r="AC2092" s="48" t="s">
        <v>8520</v>
      </c>
      <c r="AD2092" s="30"/>
      <c r="AE2092" s="192">
        <v>1</v>
      </c>
      <c r="AF2092" s="100" t="s">
        <v>8722</v>
      </c>
      <c r="AG2092" s="100" t="s">
        <v>8925</v>
      </c>
      <c r="AH2092" s="100">
        <v>14</v>
      </c>
    </row>
    <row r="2093" spans="1:34" s="32" customFormat="1" ht="69.95" hidden="1" customHeight="1">
      <c r="A2093" s="29" t="s">
        <v>7935</v>
      </c>
      <c r="B2093" s="29" t="s">
        <v>3769</v>
      </c>
      <c r="C2093" s="32">
        <v>66</v>
      </c>
      <c r="E2093" s="57" t="s">
        <v>8284</v>
      </c>
      <c r="F2093" s="57" t="s">
        <v>8313</v>
      </c>
      <c r="G2093" s="29" t="s">
        <v>3893</v>
      </c>
      <c r="H2093" s="29"/>
      <c r="I2093" s="29"/>
      <c r="J2093" s="29">
        <f t="shared" si="163"/>
        <v>1</v>
      </c>
      <c r="K2093" s="42">
        <v>2079</v>
      </c>
      <c r="L2093" s="43" t="s">
        <v>3894</v>
      </c>
      <c r="M2093" s="44" t="s">
        <v>405</v>
      </c>
      <c r="N2093" s="44" t="s">
        <v>536</v>
      </c>
      <c r="O2093" s="44" t="str">
        <f t="shared" si="167"/>
        <v>PE-L1-4C4-23</v>
      </c>
      <c r="P2093" s="45">
        <v>7.5</v>
      </c>
      <c r="Q2093" s="44">
        <v>400</v>
      </c>
      <c r="R2093" s="44" t="s">
        <v>49</v>
      </c>
      <c r="S2093" s="44">
        <v>60</v>
      </c>
      <c r="T2093" s="46" t="s">
        <v>7981</v>
      </c>
      <c r="U2093" s="46" t="s">
        <v>7935</v>
      </c>
      <c r="V2093" s="46" t="s">
        <v>8698</v>
      </c>
      <c r="W2093" s="46" t="s">
        <v>7813</v>
      </c>
      <c r="X2093" s="47" t="s">
        <v>8721</v>
      </c>
      <c r="Y2093" s="47" t="s">
        <v>7936</v>
      </c>
      <c r="Z2093" s="46" t="s">
        <v>7367</v>
      </c>
      <c r="AA2093" s="46" t="s">
        <v>401</v>
      </c>
      <c r="AB2093" s="47" t="s">
        <v>8721</v>
      </c>
      <c r="AC2093" s="48" t="s">
        <v>8521</v>
      </c>
      <c r="AD2093" s="30"/>
      <c r="AE2093" s="192">
        <v>1</v>
      </c>
      <c r="AF2093" s="100" t="s">
        <v>8722</v>
      </c>
      <c r="AG2093" s="100" t="s">
        <v>8925</v>
      </c>
      <c r="AH2093" s="100">
        <v>14</v>
      </c>
    </row>
    <row r="2094" spans="1:34" s="32" customFormat="1" ht="69.95" hidden="1" customHeight="1">
      <c r="A2094" s="29" t="s">
        <v>7937</v>
      </c>
      <c r="B2094" s="29" t="s">
        <v>3769</v>
      </c>
      <c r="C2094" s="32">
        <v>67</v>
      </c>
      <c r="E2094" s="57" t="s">
        <v>8037</v>
      </c>
      <c r="F2094" s="57" t="s">
        <v>8037</v>
      </c>
      <c r="G2094" s="29" t="s">
        <v>3895</v>
      </c>
      <c r="H2094" s="29"/>
      <c r="I2094" s="29"/>
      <c r="J2094" s="29">
        <f t="shared" si="163"/>
        <v>1</v>
      </c>
      <c r="K2094" s="42">
        <v>2080</v>
      </c>
      <c r="L2094" s="43" t="s">
        <v>3896</v>
      </c>
      <c r="M2094" s="44" t="s">
        <v>405</v>
      </c>
      <c r="N2094" s="44" t="s">
        <v>536</v>
      </c>
      <c r="O2094" s="44" t="str">
        <f t="shared" si="167"/>
        <v>PE-L1-4C4-24</v>
      </c>
      <c r="P2094" s="45">
        <v>0.18</v>
      </c>
      <c r="Q2094" s="44">
        <v>400</v>
      </c>
      <c r="R2094" s="44" t="s">
        <v>49</v>
      </c>
      <c r="S2094" s="44">
        <v>60</v>
      </c>
      <c r="T2094" s="46" t="s">
        <v>7981</v>
      </c>
      <c r="U2094" s="46" t="s">
        <v>7937</v>
      </c>
      <c r="V2094" s="46" t="s">
        <v>8698</v>
      </c>
      <c r="W2094" s="46" t="s">
        <v>7813</v>
      </c>
      <c r="X2094" s="47" t="s">
        <v>8721</v>
      </c>
      <c r="Y2094" s="47" t="s">
        <v>7938</v>
      </c>
      <c r="Z2094" s="46" t="s">
        <v>7371</v>
      </c>
      <c r="AA2094" s="46" t="s">
        <v>401</v>
      </c>
      <c r="AB2094" s="47" t="s">
        <v>8721</v>
      </c>
      <c r="AC2094" s="48" t="s">
        <v>8522</v>
      </c>
      <c r="AD2094" s="30"/>
      <c r="AE2094" s="192">
        <v>1</v>
      </c>
      <c r="AF2094" s="100" t="s">
        <v>8722</v>
      </c>
      <c r="AG2094" s="100" t="s">
        <v>8925</v>
      </c>
      <c r="AH2094" s="100">
        <v>14</v>
      </c>
    </row>
    <row r="2095" spans="1:34" s="32" customFormat="1" ht="69.95" hidden="1" customHeight="1">
      <c r="A2095" s="29" t="s">
        <v>7939</v>
      </c>
      <c r="B2095" s="29" t="s">
        <v>3769</v>
      </c>
      <c r="C2095" s="32">
        <v>68</v>
      </c>
      <c r="E2095" s="56" t="s">
        <v>8315</v>
      </c>
      <c r="F2095" s="56" t="s">
        <v>8315</v>
      </c>
      <c r="G2095" s="29" t="s">
        <v>3897</v>
      </c>
      <c r="H2095" s="29"/>
      <c r="I2095" s="29"/>
      <c r="J2095" s="29">
        <f t="shared" si="163"/>
        <v>1</v>
      </c>
      <c r="K2095" s="42">
        <v>2081</v>
      </c>
      <c r="L2095" s="43" t="s">
        <v>3898</v>
      </c>
      <c r="M2095" s="44" t="s">
        <v>405</v>
      </c>
      <c r="N2095" s="44" t="s">
        <v>8314</v>
      </c>
      <c r="O2095" s="44" t="str">
        <f t="shared" si="167"/>
        <v>PE-L1-4C16-02</v>
      </c>
      <c r="P2095" s="45">
        <v>28</v>
      </c>
      <c r="Q2095" s="44">
        <v>400</v>
      </c>
      <c r="R2095" s="44" t="s">
        <v>49</v>
      </c>
      <c r="S2095" s="44">
        <v>50</v>
      </c>
      <c r="T2095" s="46" t="s">
        <v>7981</v>
      </c>
      <c r="U2095" s="46" t="s">
        <v>7939</v>
      </c>
      <c r="V2095" s="46" t="s">
        <v>8698</v>
      </c>
      <c r="W2095" s="46" t="s">
        <v>7813</v>
      </c>
      <c r="X2095" s="47" t="s">
        <v>8721</v>
      </c>
      <c r="Y2095" s="47" t="s">
        <v>7940</v>
      </c>
      <c r="Z2095" s="46" t="s">
        <v>7375</v>
      </c>
      <c r="AA2095" s="46" t="s">
        <v>401</v>
      </c>
      <c r="AB2095" s="47" t="s">
        <v>8721</v>
      </c>
      <c r="AC2095" s="48" t="s">
        <v>8523</v>
      </c>
      <c r="AD2095" s="206" t="s">
        <v>8811</v>
      </c>
      <c r="AE2095" s="192">
        <v>1</v>
      </c>
      <c r="AF2095" s="100" t="s">
        <v>8824</v>
      </c>
      <c r="AG2095" s="100" t="s">
        <v>8931</v>
      </c>
      <c r="AH2095" s="108">
        <v>19.5</v>
      </c>
    </row>
    <row r="2096" spans="1:34" s="32" customFormat="1" ht="69.95" hidden="1" customHeight="1">
      <c r="A2096" s="29" t="s">
        <v>7941</v>
      </c>
      <c r="B2096" s="29" t="s">
        <v>3769</v>
      </c>
      <c r="C2096" s="32">
        <v>69</v>
      </c>
      <c r="E2096" s="86" t="s">
        <v>8828</v>
      </c>
      <c r="F2096" s="86" t="s">
        <v>8828</v>
      </c>
      <c r="G2096" s="29" t="s">
        <v>8830</v>
      </c>
      <c r="H2096" s="29"/>
      <c r="I2096" s="29"/>
      <c r="J2096" s="29">
        <f t="shared" si="163"/>
        <v>1</v>
      </c>
      <c r="K2096" s="42">
        <v>2082</v>
      </c>
      <c r="L2096" s="43" t="s">
        <v>3899</v>
      </c>
      <c r="M2096" s="44" t="s">
        <v>405</v>
      </c>
      <c r="N2096" s="44" t="s">
        <v>566</v>
      </c>
      <c r="O2096" s="90" t="str">
        <f>F2096</f>
        <v>PE-L1-5C4-04</v>
      </c>
      <c r="P2096" s="45">
        <v>9</v>
      </c>
      <c r="Q2096" s="44">
        <v>400</v>
      </c>
      <c r="R2096" s="44" t="s">
        <v>49</v>
      </c>
      <c r="S2096" s="44">
        <v>90</v>
      </c>
      <c r="T2096" s="46" t="s">
        <v>7981</v>
      </c>
      <c r="U2096" s="46" t="s">
        <v>7941</v>
      </c>
      <c r="V2096" s="46" t="s">
        <v>8698</v>
      </c>
      <c r="W2096" s="46" t="s">
        <v>7813</v>
      </c>
      <c r="X2096" s="47" t="s">
        <v>8731</v>
      </c>
      <c r="Y2096" s="47" t="s">
        <v>7942</v>
      </c>
      <c r="Z2096" s="46" t="s">
        <v>7379</v>
      </c>
      <c r="AA2096" s="46" t="s">
        <v>401</v>
      </c>
      <c r="AB2096" s="47" t="s">
        <v>8731</v>
      </c>
      <c r="AC2096" s="48" t="s">
        <v>8524</v>
      </c>
      <c r="AD2096" s="206" t="s">
        <v>8814</v>
      </c>
      <c r="AE2096" s="192">
        <v>1</v>
      </c>
      <c r="AF2096" s="100" t="s">
        <v>8722</v>
      </c>
      <c r="AG2096" s="100" t="s">
        <v>8925</v>
      </c>
      <c r="AH2096" s="108">
        <v>15</v>
      </c>
    </row>
    <row r="2097" spans="1:43" s="32" customFormat="1" ht="69.95" hidden="1" customHeight="1">
      <c r="A2097" s="29" t="s">
        <v>7943</v>
      </c>
      <c r="B2097" s="29" t="s">
        <v>3769</v>
      </c>
      <c r="C2097" s="32">
        <v>70</v>
      </c>
      <c r="E2097" s="86" t="s">
        <v>229</v>
      </c>
      <c r="F2097" s="86" t="s">
        <v>229</v>
      </c>
      <c r="G2097" s="29" t="s">
        <v>3900</v>
      </c>
      <c r="H2097" s="29"/>
      <c r="I2097" s="29"/>
      <c r="J2097" s="29">
        <f t="shared" si="163"/>
        <v>1</v>
      </c>
      <c r="K2097" s="42">
        <v>2083</v>
      </c>
      <c r="L2097" s="43" t="s">
        <v>8838</v>
      </c>
      <c r="M2097" s="44" t="s">
        <v>405</v>
      </c>
      <c r="N2097" s="44" t="s">
        <v>566</v>
      </c>
      <c r="O2097" s="90" t="str">
        <f>F2097</f>
        <v>PE-L1-5C4-02</v>
      </c>
      <c r="P2097" s="45">
        <v>7</v>
      </c>
      <c r="Q2097" s="44">
        <v>400</v>
      </c>
      <c r="R2097" s="44" t="s">
        <v>49</v>
      </c>
      <c r="S2097" s="44">
        <v>60</v>
      </c>
      <c r="T2097" s="46" t="s">
        <v>7981</v>
      </c>
      <c r="U2097" s="46" t="s">
        <v>7943</v>
      </c>
      <c r="V2097" s="46" t="s">
        <v>8698</v>
      </c>
      <c r="W2097" s="46" t="s">
        <v>7813</v>
      </c>
      <c r="X2097" s="47" t="s">
        <v>8731</v>
      </c>
      <c r="Y2097" s="47" t="s">
        <v>7944</v>
      </c>
      <c r="Z2097" s="46" t="s">
        <v>7383</v>
      </c>
      <c r="AA2097" s="46" t="s">
        <v>401</v>
      </c>
      <c r="AB2097" s="47" t="s">
        <v>8731</v>
      </c>
      <c r="AC2097" s="48" t="s">
        <v>8525</v>
      </c>
      <c r="AD2097" s="206" t="s">
        <v>8817</v>
      </c>
      <c r="AE2097" s="192">
        <v>1</v>
      </c>
      <c r="AF2097" s="100" t="s">
        <v>8722</v>
      </c>
      <c r="AG2097" s="100" t="s">
        <v>8925</v>
      </c>
      <c r="AH2097" s="108">
        <v>15</v>
      </c>
    </row>
    <row r="2098" spans="1:43" s="32" customFormat="1" ht="69.95" hidden="1" customHeight="1">
      <c r="A2098" s="29" t="s">
        <v>7945</v>
      </c>
      <c r="B2098" s="29" t="s">
        <v>3769</v>
      </c>
      <c r="C2098" s="69">
        <v>71</v>
      </c>
      <c r="D2098" s="69"/>
      <c r="E2098" s="58" t="s">
        <v>8165</v>
      </c>
      <c r="F2098" s="58" t="s">
        <v>8165</v>
      </c>
      <c r="G2098" s="29" t="s">
        <v>3901</v>
      </c>
      <c r="H2098" s="29"/>
      <c r="I2098" s="29"/>
      <c r="J2098" s="29">
        <f t="shared" si="163"/>
        <v>1</v>
      </c>
      <c r="K2098" s="42">
        <v>2084</v>
      </c>
      <c r="L2098" s="43" t="s">
        <v>3902</v>
      </c>
      <c r="M2098" s="44" t="s">
        <v>405</v>
      </c>
      <c r="N2098" s="44" t="s">
        <v>8090</v>
      </c>
      <c r="O2098" s="44" t="str">
        <f t="shared" ref="O2098:O2108" si="168">F2098</f>
        <v>PE-L1-4C4-24</v>
      </c>
      <c r="P2098" s="45">
        <v>3.2</v>
      </c>
      <c r="Q2098" s="44">
        <v>400</v>
      </c>
      <c r="R2098" s="44" t="s">
        <v>49</v>
      </c>
      <c r="S2098" s="44">
        <v>40</v>
      </c>
      <c r="T2098" s="46" t="s">
        <v>7981</v>
      </c>
      <c r="U2098" s="46" t="s">
        <v>7945</v>
      </c>
      <c r="V2098" s="46" t="s">
        <v>8698</v>
      </c>
      <c r="W2098" s="46" t="s">
        <v>7813</v>
      </c>
      <c r="X2098" s="47" t="s">
        <v>8721</v>
      </c>
      <c r="Y2098" s="47" t="s">
        <v>7946</v>
      </c>
      <c r="Z2098" s="46" t="s">
        <v>7387</v>
      </c>
      <c r="AA2098" s="46" t="s">
        <v>401</v>
      </c>
      <c r="AB2098" s="47" t="s">
        <v>8721</v>
      </c>
      <c r="AC2098" s="48" t="s">
        <v>7947</v>
      </c>
      <c r="AD2098" s="30"/>
      <c r="AE2098" s="192">
        <v>1</v>
      </c>
      <c r="AF2098" s="100" t="s">
        <v>8722</v>
      </c>
      <c r="AG2098" s="100" t="s">
        <v>8925</v>
      </c>
      <c r="AH2098" s="100">
        <v>14</v>
      </c>
    </row>
    <row r="2099" spans="1:43" s="32" customFormat="1" ht="69.95" hidden="1" customHeight="1">
      <c r="A2099" s="29" t="s">
        <v>7948</v>
      </c>
      <c r="B2099" s="29" t="s">
        <v>3769</v>
      </c>
      <c r="C2099" s="32">
        <v>74</v>
      </c>
      <c r="E2099" s="71" t="s">
        <v>8318</v>
      </c>
      <c r="F2099" s="71" t="s">
        <v>8318</v>
      </c>
      <c r="G2099" s="29" t="s">
        <v>3903</v>
      </c>
      <c r="H2099" s="29"/>
      <c r="I2099" s="29"/>
      <c r="J2099" s="29">
        <f t="shared" si="163"/>
        <v>1</v>
      </c>
      <c r="K2099" s="42">
        <v>2085</v>
      </c>
      <c r="L2099" s="43" t="s">
        <v>8221</v>
      </c>
      <c r="M2099" s="44" t="s">
        <v>405</v>
      </c>
      <c r="N2099" s="44" t="s">
        <v>7978</v>
      </c>
      <c r="O2099" s="44" t="str">
        <f t="shared" si="168"/>
        <v>PE-L1-1C240-03</v>
      </c>
      <c r="P2099" s="45">
        <v>1100</v>
      </c>
      <c r="Q2099" s="44">
        <v>550</v>
      </c>
      <c r="R2099" s="44" t="s">
        <v>49</v>
      </c>
      <c r="S2099" s="44">
        <v>50</v>
      </c>
      <c r="T2099" s="46" t="s">
        <v>7981</v>
      </c>
      <c r="U2099" s="47" t="s">
        <v>8232</v>
      </c>
      <c r="V2099" s="43" t="s">
        <v>8233</v>
      </c>
      <c r="W2099" s="46" t="s">
        <v>8191</v>
      </c>
      <c r="X2099" s="47" t="s">
        <v>35</v>
      </c>
      <c r="Y2099" s="46" t="s">
        <v>8235</v>
      </c>
      <c r="Z2099" s="46" t="s">
        <v>8237</v>
      </c>
      <c r="AA2099" s="46" t="s">
        <v>8700</v>
      </c>
      <c r="AB2099" s="47" t="s">
        <v>44</v>
      </c>
      <c r="AC2099" s="48" t="s">
        <v>8526</v>
      </c>
      <c r="AD2099" s="30"/>
      <c r="AE2099" s="192">
        <v>1</v>
      </c>
      <c r="AF2099" s="100" t="s">
        <v>8822</v>
      </c>
      <c r="AG2099" s="100" t="s">
        <v>8932</v>
      </c>
      <c r="AH2099" s="108">
        <v>25.5</v>
      </c>
      <c r="AK2099" s="241">
        <v>1</v>
      </c>
      <c r="AL2099" s="241" t="s">
        <v>9577</v>
      </c>
      <c r="AM2099" s="241">
        <v>2</v>
      </c>
      <c r="AN2099" s="241">
        <v>1</v>
      </c>
      <c r="AO2099" s="241" t="s">
        <v>9581</v>
      </c>
      <c r="AP2099" s="241">
        <v>1</v>
      </c>
    </row>
    <row r="2100" spans="1:43" s="32" customFormat="1" ht="69.95" hidden="1" customHeight="1">
      <c r="A2100" s="29" t="s">
        <v>7948</v>
      </c>
      <c r="B2100" s="29" t="s">
        <v>3769</v>
      </c>
      <c r="C2100" s="32">
        <v>75</v>
      </c>
      <c r="E2100" s="71" t="s">
        <v>8318</v>
      </c>
      <c r="F2100" s="71" t="s">
        <v>8318</v>
      </c>
      <c r="G2100" s="29" t="s">
        <v>8153</v>
      </c>
      <c r="H2100" s="29"/>
      <c r="I2100" s="29"/>
      <c r="J2100" s="29">
        <f t="shared" si="163"/>
        <v>1</v>
      </c>
      <c r="K2100" s="42">
        <v>2086</v>
      </c>
      <c r="L2100" s="43" t="s">
        <v>8222</v>
      </c>
      <c r="M2100" s="43" t="s">
        <v>405</v>
      </c>
      <c r="N2100" s="44" t="s">
        <v>7978</v>
      </c>
      <c r="O2100" s="44" t="str">
        <f t="shared" si="168"/>
        <v>PE-L1-1C240-03</v>
      </c>
      <c r="P2100" s="45">
        <v>1100</v>
      </c>
      <c r="Q2100" s="43">
        <v>550</v>
      </c>
      <c r="R2100" s="43" t="s">
        <v>49</v>
      </c>
      <c r="S2100" s="43">
        <v>50</v>
      </c>
      <c r="T2100" s="46" t="s">
        <v>7981</v>
      </c>
      <c r="U2100" s="47" t="s">
        <v>8232</v>
      </c>
      <c r="V2100" s="43" t="s">
        <v>8233</v>
      </c>
      <c r="W2100" s="46" t="s">
        <v>8191</v>
      </c>
      <c r="X2100" s="47" t="s">
        <v>37</v>
      </c>
      <c r="Y2100" s="46" t="s">
        <v>8235</v>
      </c>
      <c r="Z2100" s="46" t="s">
        <v>8237</v>
      </c>
      <c r="AA2100" s="46" t="s">
        <v>8700</v>
      </c>
      <c r="AB2100" s="47" t="s">
        <v>45</v>
      </c>
      <c r="AC2100" s="52" t="s">
        <v>8526</v>
      </c>
      <c r="AD2100" s="30"/>
      <c r="AE2100" s="192">
        <v>1</v>
      </c>
      <c r="AF2100" s="100" t="s">
        <v>8822</v>
      </c>
      <c r="AG2100" s="100" t="s">
        <v>8932</v>
      </c>
      <c r="AH2100" s="108">
        <v>25.5</v>
      </c>
      <c r="AK2100" s="241">
        <v>1</v>
      </c>
      <c r="AL2100" s="241" t="s">
        <v>9577</v>
      </c>
      <c r="AM2100" s="241">
        <v>2</v>
      </c>
      <c r="AN2100" s="241">
        <v>1</v>
      </c>
      <c r="AO2100" s="241" t="s">
        <v>9581</v>
      </c>
      <c r="AP2100" s="241">
        <v>1</v>
      </c>
    </row>
    <row r="2101" spans="1:43" s="32" customFormat="1" ht="69.95" hidden="1" customHeight="1">
      <c r="A2101" s="29" t="s">
        <v>7948</v>
      </c>
      <c r="B2101" s="29" t="s">
        <v>3769</v>
      </c>
      <c r="C2101" s="32">
        <v>76</v>
      </c>
      <c r="E2101" s="71" t="s">
        <v>8318</v>
      </c>
      <c r="F2101" s="71" t="s">
        <v>8318</v>
      </c>
      <c r="G2101" s="29" t="s">
        <v>8153</v>
      </c>
      <c r="H2101" s="29"/>
      <c r="I2101" s="29"/>
      <c r="J2101" s="29">
        <f t="shared" si="163"/>
        <v>1</v>
      </c>
      <c r="K2101" s="42">
        <v>2087</v>
      </c>
      <c r="L2101" s="43" t="s">
        <v>8223</v>
      </c>
      <c r="M2101" s="43" t="s">
        <v>405</v>
      </c>
      <c r="N2101" s="44" t="s">
        <v>7978</v>
      </c>
      <c r="O2101" s="44" t="str">
        <f t="shared" si="168"/>
        <v>PE-L1-1C240-03</v>
      </c>
      <c r="P2101" s="45">
        <v>1100</v>
      </c>
      <c r="Q2101" s="43">
        <v>550</v>
      </c>
      <c r="R2101" s="43" t="s">
        <v>49</v>
      </c>
      <c r="S2101" s="43">
        <v>50</v>
      </c>
      <c r="T2101" s="46" t="s">
        <v>7981</v>
      </c>
      <c r="U2101" s="47" t="s">
        <v>8232</v>
      </c>
      <c r="V2101" s="43" t="s">
        <v>8233</v>
      </c>
      <c r="W2101" s="46" t="s">
        <v>8191</v>
      </c>
      <c r="X2101" s="47" t="s">
        <v>39</v>
      </c>
      <c r="Y2101" s="46" t="s">
        <v>8235</v>
      </c>
      <c r="Z2101" s="46" t="s">
        <v>8237</v>
      </c>
      <c r="AA2101" s="46" t="s">
        <v>8700</v>
      </c>
      <c r="AB2101" s="47" t="s">
        <v>46</v>
      </c>
      <c r="AC2101" s="52" t="s">
        <v>8526</v>
      </c>
      <c r="AD2101" s="30"/>
      <c r="AE2101" s="192">
        <v>1</v>
      </c>
      <c r="AF2101" s="100" t="s">
        <v>8822</v>
      </c>
      <c r="AG2101" s="100" t="s">
        <v>8932</v>
      </c>
      <c r="AH2101" s="108">
        <v>25.5</v>
      </c>
      <c r="AK2101" s="241">
        <v>1</v>
      </c>
      <c r="AL2101" s="241" t="s">
        <v>9577</v>
      </c>
      <c r="AM2101" s="241">
        <v>2</v>
      </c>
      <c r="AN2101" s="241">
        <v>1</v>
      </c>
      <c r="AO2101" s="241" t="s">
        <v>9581</v>
      </c>
      <c r="AP2101" s="241">
        <v>1</v>
      </c>
    </row>
    <row r="2102" spans="1:43" s="32" customFormat="1" ht="69.95" hidden="1" customHeight="1">
      <c r="A2102" s="29" t="s">
        <v>7948</v>
      </c>
      <c r="B2102" s="29" t="s">
        <v>3769</v>
      </c>
      <c r="C2102" s="32">
        <v>77</v>
      </c>
      <c r="E2102" s="71" t="s">
        <v>8318</v>
      </c>
      <c r="F2102" s="71" t="s">
        <v>8318</v>
      </c>
      <c r="G2102" s="29" t="s">
        <v>8153</v>
      </c>
      <c r="H2102" s="29"/>
      <c r="I2102" s="29"/>
      <c r="J2102" s="29">
        <f t="shared" si="163"/>
        <v>1</v>
      </c>
      <c r="K2102" s="42">
        <v>2088</v>
      </c>
      <c r="L2102" s="43" t="s">
        <v>8224</v>
      </c>
      <c r="M2102" s="43" t="s">
        <v>405</v>
      </c>
      <c r="N2102" s="44" t="s">
        <v>7978</v>
      </c>
      <c r="O2102" s="44" t="str">
        <f t="shared" si="168"/>
        <v>PE-L1-1C240-03</v>
      </c>
      <c r="P2102" s="45">
        <v>1100</v>
      </c>
      <c r="Q2102" s="43">
        <v>550</v>
      </c>
      <c r="R2102" s="43" t="s">
        <v>49</v>
      </c>
      <c r="S2102" s="43">
        <v>50</v>
      </c>
      <c r="T2102" s="46" t="s">
        <v>7981</v>
      </c>
      <c r="U2102" s="47" t="s">
        <v>8232</v>
      </c>
      <c r="V2102" s="43" t="s">
        <v>8233</v>
      </c>
      <c r="W2102" s="46" t="s">
        <v>8191</v>
      </c>
      <c r="X2102" s="47" t="s">
        <v>35</v>
      </c>
      <c r="Y2102" s="46" t="s">
        <v>8235</v>
      </c>
      <c r="Z2102" s="46" t="s">
        <v>8237</v>
      </c>
      <c r="AA2102" s="46" t="s">
        <v>8700</v>
      </c>
      <c r="AB2102" s="47" t="s">
        <v>44</v>
      </c>
      <c r="AC2102" s="48" t="s">
        <v>8527</v>
      </c>
      <c r="AD2102" s="30"/>
      <c r="AE2102" s="192">
        <v>1</v>
      </c>
      <c r="AF2102" s="100" t="s">
        <v>8822</v>
      </c>
      <c r="AG2102" s="100" t="s">
        <v>8932</v>
      </c>
      <c r="AH2102" s="108">
        <v>25.5</v>
      </c>
      <c r="AK2102" s="241">
        <v>1</v>
      </c>
      <c r="AL2102" s="241" t="s">
        <v>9577</v>
      </c>
      <c r="AM2102" s="241">
        <v>2</v>
      </c>
      <c r="AN2102" s="241">
        <v>1</v>
      </c>
      <c r="AO2102" s="241" t="s">
        <v>9581</v>
      </c>
      <c r="AP2102" s="241">
        <v>1</v>
      </c>
    </row>
    <row r="2103" spans="1:43" s="32" customFormat="1" ht="69.95" hidden="1" customHeight="1">
      <c r="A2103" s="29" t="s">
        <v>7948</v>
      </c>
      <c r="B2103" s="29" t="s">
        <v>3769</v>
      </c>
      <c r="C2103" s="32">
        <v>78</v>
      </c>
      <c r="E2103" s="71" t="s">
        <v>8318</v>
      </c>
      <c r="F2103" s="71" t="s">
        <v>8318</v>
      </c>
      <c r="G2103" s="29" t="s">
        <v>8153</v>
      </c>
      <c r="H2103" s="29"/>
      <c r="I2103" s="29"/>
      <c r="J2103" s="29">
        <f t="shared" si="163"/>
        <v>1</v>
      </c>
      <c r="K2103" s="42">
        <v>2089</v>
      </c>
      <c r="L2103" s="43" t="s">
        <v>8225</v>
      </c>
      <c r="M2103" s="43" t="s">
        <v>405</v>
      </c>
      <c r="N2103" s="44" t="s">
        <v>7978</v>
      </c>
      <c r="O2103" s="44" t="str">
        <f t="shared" si="168"/>
        <v>PE-L1-1C240-03</v>
      </c>
      <c r="P2103" s="45">
        <v>1100</v>
      </c>
      <c r="Q2103" s="43">
        <v>550</v>
      </c>
      <c r="R2103" s="43" t="s">
        <v>49</v>
      </c>
      <c r="S2103" s="43">
        <v>50</v>
      </c>
      <c r="T2103" s="46" t="s">
        <v>7981</v>
      </c>
      <c r="U2103" s="47" t="s">
        <v>8232</v>
      </c>
      <c r="V2103" s="43" t="s">
        <v>8233</v>
      </c>
      <c r="W2103" s="46" t="s">
        <v>8191</v>
      </c>
      <c r="X2103" s="47" t="s">
        <v>37</v>
      </c>
      <c r="Y2103" s="46" t="s">
        <v>8235</v>
      </c>
      <c r="Z2103" s="46" t="s">
        <v>8237</v>
      </c>
      <c r="AA2103" s="46" t="s">
        <v>8700</v>
      </c>
      <c r="AB2103" s="47" t="s">
        <v>45</v>
      </c>
      <c r="AC2103" s="52" t="s">
        <v>8527</v>
      </c>
      <c r="AD2103" s="30"/>
      <c r="AE2103" s="192">
        <v>1</v>
      </c>
      <c r="AF2103" s="100" t="s">
        <v>8822</v>
      </c>
      <c r="AG2103" s="100" t="s">
        <v>8932</v>
      </c>
      <c r="AH2103" s="108">
        <v>25.5</v>
      </c>
      <c r="AK2103" s="241">
        <v>1</v>
      </c>
      <c r="AL2103" s="241" t="s">
        <v>9577</v>
      </c>
      <c r="AM2103" s="241">
        <v>2</v>
      </c>
      <c r="AN2103" s="241">
        <v>1</v>
      </c>
      <c r="AO2103" s="241" t="s">
        <v>9581</v>
      </c>
      <c r="AP2103" s="241">
        <v>1</v>
      </c>
    </row>
    <row r="2104" spans="1:43" s="32" customFormat="1" ht="69.95" hidden="1" customHeight="1">
      <c r="A2104" s="29" t="s">
        <v>7948</v>
      </c>
      <c r="B2104" s="29" t="s">
        <v>3769</v>
      </c>
      <c r="C2104" s="32">
        <v>79</v>
      </c>
      <c r="E2104" s="71" t="s">
        <v>8318</v>
      </c>
      <c r="F2104" s="71" t="s">
        <v>8318</v>
      </c>
      <c r="G2104" s="29" t="s">
        <v>8153</v>
      </c>
      <c r="H2104" s="29"/>
      <c r="I2104" s="29"/>
      <c r="J2104" s="29">
        <f t="shared" si="163"/>
        <v>1</v>
      </c>
      <c r="K2104" s="42">
        <v>2090</v>
      </c>
      <c r="L2104" s="43" t="s">
        <v>8226</v>
      </c>
      <c r="M2104" s="43" t="s">
        <v>405</v>
      </c>
      <c r="N2104" s="44" t="s">
        <v>7978</v>
      </c>
      <c r="O2104" s="44" t="str">
        <f t="shared" si="168"/>
        <v>PE-L1-1C240-03</v>
      </c>
      <c r="P2104" s="45">
        <v>1100</v>
      </c>
      <c r="Q2104" s="43">
        <v>550</v>
      </c>
      <c r="R2104" s="43" t="s">
        <v>49</v>
      </c>
      <c r="S2104" s="43">
        <v>50</v>
      </c>
      <c r="T2104" s="46" t="s">
        <v>7981</v>
      </c>
      <c r="U2104" s="47" t="s">
        <v>8232</v>
      </c>
      <c r="V2104" s="43" t="s">
        <v>8233</v>
      </c>
      <c r="W2104" s="46" t="s">
        <v>8191</v>
      </c>
      <c r="X2104" s="47" t="s">
        <v>39</v>
      </c>
      <c r="Y2104" s="46" t="s">
        <v>8235</v>
      </c>
      <c r="Z2104" s="46" t="s">
        <v>8237</v>
      </c>
      <c r="AA2104" s="46" t="s">
        <v>8700</v>
      </c>
      <c r="AB2104" s="47" t="s">
        <v>46</v>
      </c>
      <c r="AC2104" s="52" t="s">
        <v>8527</v>
      </c>
      <c r="AD2104" s="30"/>
      <c r="AE2104" s="192">
        <v>1</v>
      </c>
      <c r="AF2104" s="100" t="s">
        <v>8822</v>
      </c>
      <c r="AG2104" s="100" t="s">
        <v>8932</v>
      </c>
      <c r="AH2104" s="108">
        <v>25.5</v>
      </c>
      <c r="AK2104" s="241">
        <v>1</v>
      </c>
      <c r="AL2104" s="241" t="s">
        <v>9577</v>
      </c>
      <c r="AM2104" s="241">
        <v>2</v>
      </c>
      <c r="AN2104" s="241">
        <v>1</v>
      </c>
      <c r="AO2104" s="241" t="s">
        <v>9581</v>
      </c>
      <c r="AP2104" s="241">
        <v>1</v>
      </c>
    </row>
    <row r="2105" spans="1:43" s="32" customFormat="1" ht="69.95" hidden="1" customHeight="1">
      <c r="A2105" s="29" t="s">
        <v>7948</v>
      </c>
      <c r="B2105" s="29" t="s">
        <v>3769</v>
      </c>
      <c r="C2105" s="32">
        <v>82</v>
      </c>
      <c r="E2105" s="71" t="s">
        <v>8318</v>
      </c>
      <c r="F2105" s="71" t="s">
        <v>8318</v>
      </c>
      <c r="G2105" s="29" t="s">
        <v>8153</v>
      </c>
      <c r="H2105" s="29"/>
      <c r="I2105" s="29"/>
      <c r="J2105" s="29">
        <f t="shared" si="163"/>
        <v>1</v>
      </c>
      <c r="K2105" s="42">
        <v>2091</v>
      </c>
      <c r="L2105" s="43" t="s">
        <v>8227</v>
      </c>
      <c r="M2105" s="43" t="s">
        <v>405</v>
      </c>
      <c r="N2105" s="44" t="s">
        <v>7978</v>
      </c>
      <c r="O2105" s="44" t="str">
        <f t="shared" si="168"/>
        <v>PE-L1-1C240-03</v>
      </c>
      <c r="P2105" s="45">
        <v>1100</v>
      </c>
      <c r="Q2105" s="43">
        <v>550</v>
      </c>
      <c r="R2105" s="43" t="s">
        <v>49</v>
      </c>
      <c r="S2105" s="43">
        <v>50</v>
      </c>
      <c r="T2105" s="46" t="s">
        <v>7981</v>
      </c>
      <c r="U2105" s="47" t="s">
        <v>8232</v>
      </c>
      <c r="V2105" s="43" t="s">
        <v>8233</v>
      </c>
      <c r="W2105" s="46" t="s">
        <v>8191</v>
      </c>
      <c r="X2105" s="47" t="s">
        <v>35</v>
      </c>
      <c r="Y2105" s="46" t="s">
        <v>8235</v>
      </c>
      <c r="Z2105" s="46" t="s">
        <v>8237</v>
      </c>
      <c r="AA2105" s="46" t="s">
        <v>8700</v>
      </c>
      <c r="AB2105" s="47" t="s">
        <v>44</v>
      </c>
      <c r="AC2105" s="48" t="s">
        <v>8528</v>
      </c>
      <c r="AD2105" s="30"/>
      <c r="AE2105" s="192">
        <v>1</v>
      </c>
      <c r="AF2105" s="100" t="s">
        <v>8822</v>
      </c>
      <c r="AG2105" s="100" t="s">
        <v>8932</v>
      </c>
      <c r="AH2105" s="108">
        <v>25.5</v>
      </c>
      <c r="AK2105" s="241">
        <v>1</v>
      </c>
      <c r="AL2105" s="241" t="s">
        <v>9577</v>
      </c>
      <c r="AM2105" s="241">
        <v>2</v>
      </c>
      <c r="AN2105" s="241">
        <v>1</v>
      </c>
      <c r="AO2105" s="241" t="s">
        <v>9581</v>
      </c>
      <c r="AP2105" s="241">
        <v>1</v>
      </c>
    </row>
    <row r="2106" spans="1:43" s="32" customFormat="1" ht="69.95" hidden="1" customHeight="1">
      <c r="A2106" s="29" t="s">
        <v>7948</v>
      </c>
      <c r="B2106" s="29" t="s">
        <v>3769</v>
      </c>
      <c r="C2106" s="32">
        <v>83</v>
      </c>
      <c r="E2106" s="71" t="s">
        <v>8318</v>
      </c>
      <c r="F2106" s="71" t="s">
        <v>8318</v>
      </c>
      <c r="G2106" s="29" t="s">
        <v>8153</v>
      </c>
      <c r="H2106" s="29"/>
      <c r="I2106" s="29"/>
      <c r="J2106" s="29">
        <f t="shared" si="163"/>
        <v>1</v>
      </c>
      <c r="K2106" s="42">
        <v>2092</v>
      </c>
      <c r="L2106" s="43" t="s">
        <v>8228</v>
      </c>
      <c r="M2106" s="43" t="s">
        <v>405</v>
      </c>
      <c r="N2106" s="44" t="s">
        <v>7978</v>
      </c>
      <c r="O2106" s="44" t="str">
        <f t="shared" si="168"/>
        <v>PE-L1-1C240-03</v>
      </c>
      <c r="P2106" s="45">
        <v>1100</v>
      </c>
      <c r="Q2106" s="43">
        <v>550</v>
      </c>
      <c r="R2106" s="43" t="s">
        <v>49</v>
      </c>
      <c r="S2106" s="43">
        <v>50</v>
      </c>
      <c r="T2106" s="46" t="s">
        <v>7981</v>
      </c>
      <c r="U2106" s="47" t="s">
        <v>8232</v>
      </c>
      <c r="V2106" s="43" t="s">
        <v>8233</v>
      </c>
      <c r="W2106" s="46" t="s">
        <v>8191</v>
      </c>
      <c r="X2106" s="47" t="s">
        <v>37</v>
      </c>
      <c r="Y2106" s="46" t="s">
        <v>8235</v>
      </c>
      <c r="Z2106" s="46" t="s">
        <v>8237</v>
      </c>
      <c r="AA2106" s="46" t="s">
        <v>8700</v>
      </c>
      <c r="AB2106" s="47" t="s">
        <v>45</v>
      </c>
      <c r="AC2106" s="52" t="s">
        <v>8528</v>
      </c>
      <c r="AD2106" s="30"/>
      <c r="AE2106" s="192">
        <v>1</v>
      </c>
      <c r="AF2106" s="100" t="s">
        <v>8822</v>
      </c>
      <c r="AG2106" s="100" t="s">
        <v>8932</v>
      </c>
      <c r="AH2106" s="108">
        <v>25.5</v>
      </c>
      <c r="AK2106" s="241">
        <v>1</v>
      </c>
      <c r="AL2106" s="241" t="s">
        <v>9577</v>
      </c>
      <c r="AM2106" s="241">
        <v>2</v>
      </c>
      <c r="AN2106" s="241">
        <v>1</v>
      </c>
      <c r="AO2106" s="241" t="s">
        <v>9581</v>
      </c>
      <c r="AP2106" s="241">
        <v>1</v>
      </c>
    </row>
    <row r="2107" spans="1:43" s="32" customFormat="1" ht="69.95" hidden="1" customHeight="1">
      <c r="A2107" s="29" t="s">
        <v>7948</v>
      </c>
      <c r="B2107" s="29" t="s">
        <v>3769</v>
      </c>
      <c r="C2107" s="32">
        <v>84</v>
      </c>
      <c r="E2107" s="71" t="s">
        <v>8318</v>
      </c>
      <c r="F2107" s="71" t="s">
        <v>8318</v>
      </c>
      <c r="G2107" s="29" t="s">
        <v>8153</v>
      </c>
      <c r="H2107" s="29"/>
      <c r="I2107" s="29"/>
      <c r="J2107" s="29">
        <f t="shared" si="163"/>
        <v>1</v>
      </c>
      <c r="K2107" s="42">
        <v>2093</v>
      </c>
      <c r="L2107" s="43" t="s">
        <v>8229</v>
      </c>
      <c r="M2107" s="43" t="s">
        <v>405</v>
      </c>
      <c r="N2107" s="44" t="s">
        <v>7978</v>
      </c>
      <c r="O2107" s="44" t="str">
        <f t="shared" si="168"/>
        <v>PE-L1-1C240-03</v>
      </c>
      <c r="P2107" s="45">
        <v>1100</v>
      </c>
      <c r="Q2107" s="43">
        <v>550</v>
      </c>
      <c r="R2107" s="43" t="s">
        <v>49</v>
      </c>
      <c r="S2107" s="43">
        <v>50</v>
      </c>
      <c r="T2107" s="46" t="s">
        <v>7981</v>
      </c>
      <c r="U2107" s="47" t="s">
        <v>8232</v>
      </c>
      <c r="V2107" s="43" t="s">
        <v>8233</v>
      </c>
      <c r="W2107" s="46" t="s">
        <v>8191</v>
      </c>
      <c r="X2107" s="47" t="s">
        <v>39</v>
      </c>
      <c r="Y2107" s="46" t="s">
        <v>8235</v>
      </c>
      <c r="Z2107" s="46" t="s">
        <v>8237</v>
      </c>
      <c r="AA2107" s="46" t="s">
        <v>8700</v>
      </c>
      <c r="AB2107" s="47" t="s">
        <v>46</v>
      </c>
      <c r="AC2107" s="52" t="s">
        <v>8528</v>
      </c>
      <c r="AD2107" s="30"/>
      <c r="AE2107" s="192">
        <v>1</v>
      </c>
      <c r="AF2107" s="100" t="s">
        <v>8822</v>
      </c>
      <c r="AG2107" s="100" t="s">
        <v>8932</v>
      </c>
      <c r="AH2107" s="108">
        <v>25.5</v>
      </c>
      <c r="AK2107" s="241">
        <v>1</v>
      </c>
      <c r="AL2107" s="241" t="s">
        <v>9577</v>
      </c>
      <c r="AM2107" s="241">
        <v>2</v>
      </c>
      <c r="AN2107" s="241">
        <v>1</v>
      </c>
      <c r="AO2107" s="241" t="s">
        <v>9581</v>
      </c>
      <c r="AP2107" s="241">
        <v>1</v>
      </c>
    </row>
    <row r="2108" spans="1:43" s="32" customFormat="1" ht="69.95" hidden="1" customHeight="1">
      <c r="A2108" s="29" t="s">
        <v>7949</v>
      </c>
      <c r="B2108" s="29" t="s">
        <v>3769</v>
      </c>
      <c r="C2108" s="69">
        <v>90</v>
      </c>
      <c r="D2108" s="69"/>
      <c r="E2108" s="56" t="s">
        <v>8297</v>
      </c>
      <c r="F2108" s="56" t="s">
        <v>8300</v>
      </c>
      <c r="G2108" s="29" t="s">
        <v>3904</v>
      </c>
      <c r="H2108" s="29"/>
      <c r="I2108" s="29"/>
      <c r="J2108" s="29">
        <f t="shared" si="163"/>
        <v>1</v>
      </c>
      <c r="K2108" s="42">
        <v>2094</v>
      </c>
      <c r="L2108" s="128" t="s">
        <v>9007</v>
      </c>
      <c r="M2108" s="44" t="s">
        <v>405</v>
      </c>
      <c r="N2108" s="44" t="s">
        <v>7984</v>
      </c>
      <c r="O2108" s="44" t="str">
        <f t="shared" si="168"/>
        <v>PE-L1-3C4-24</v>
      </c>
      <c r="P2108" s="45">
        <v>1.2</v>
      </c>
      <c r="Q2108" s="44">
        <v>230</v>
      </c>
      <c r="R2108" s="44" t="s">
        <v>49</v>
      </c>
      <c r="S2108" s="44">
        <v>40</v>
      </c>
      <c r="T2108" s="46" t="s">
        <v>7981</v>
      </c>
      <c r="U2108" s="46" t="s">
        <v>7949</v>
      </c>
      <c r="V2108" s="46" t="s">
        <v>8698</v>
      </c>
      <c r="W2108" s="46" t="s">
        <v>8704</v>
      </c>
      <c r="X2108" s="172" t="s">
        <v>9167</v>
      </c>
      <c r="Y2108" s="47" t="s">
        <v>7950</v>
      </c>
      <c r="Z2108" s="46" t="s">
        <v>8106</v>
      </c>
      <c r="AA2108" s="46" t="s">
        <v>401</v>
      </c>
      <c r="AB2108" s="172" t="s">
        <v>9167</v>
      </c>
      <c r="AC2108" s="48" t="s">
        <v>7951</v>
      </c>
      <c r="AD2108" s="30"/>
      <c r="AE2108" s="192">
        <v>1</v>
      </c>
      <c r="AF2108" s="100" t="s">
        <v>8722</v>
      </c>
      <c r="AG2108" s="100" t="s">
        <v>8925</v>
      </c>
      <c r="AH2108" s="100">
        <v>13</v>
      </c>
    </row>
    <row r="2109" spans="1:43" s="32" customFormat="1" ht="69.95" hidden="1" customHeight="1">
      <c r="A2109" s="29" t="s">
        <v>7952</v>
      </c>
      <c r="B2109" s="29" t="s">
        <v>3769</v>
      </c>
      <c r="C2109" s="69">
        <v>91</v>
      </c>
      <c r="D2109" s="69"/>
      <c r="E2109" s="86" t="s">
        <v>8828</v>
      </c>
      <c r="F2109" s="86" t="s">
        <v>8828</v>
      </c>
      <c r="G2109" s="29" t="s">
        <v>3905</v>
      </c>
      <c r="H2109" s="29"/>
      <c r="I2109" s="29"/>
      <c r="J2109" s="29">
        <f t="shared" si="163"/>
        <v>1</v>
      </c>
      <c r="K2109" s="42">
        <v>2095</v>
      </c>
      <c r="L2109" s="43" t="s">
        <v>3906</v>
      </c>
      <c r="M2109" s="44" t="s">
        <v>405</v>
      </c>
      <c r="N2109" s="44" t="s">
        <v>8685</v>
      </c>
      <c r="O2109" s="90" t="str">
        <f>F2109</f>
        <v>PE-L1-5C4-04</v>
      </c>
      <c r="P2109" s="45">
        <v>1.1499999999999999</v>
      </c>
      <c r="Q2109" s="44">
        <v>400</v>
      </c>
      <c r="R2109" s="44" t="s">
        <v>49</v>
      </c>
      <c r="S2109" s="44">
        <v>60</v>
      </c>
      <c r="T2109" s="46" t="s">
        <v>7981</v>
      </c>
      <c r="U2109" s="46" t="s">
        <v>7952</v>
      </c>
      <c r="V2109" s="46" t="s">
        <v>8698</v>
      </c>
      <c r="W2109" s="46" t="s">
        <v>7813</v>
      </c>
      <c r="X2109" s="47" t="s">
        <v>9310</v>
      </c>
      <c r="Y2109" s="47" t="s">
        <v>7953</v>
      </c>
      <c r="Z2109" s="46" t="s">
        <v>7396</v>
      </c>
      <c r="AA2109" s="46" t="s">
        <v>401</v>
      </c>
      <c r="AB2109" s="47" t="s">
        <v>9310</v>
      </c>
      <c r="AC2109" s="48" t="s">
        <v>7951</v>
      </c>
      <c r="AD2109" s="206" t="s">
        <v>8821</v>
      </c>
      <c r="AE2109" s="192">
        <v>1</v>
      </c>
      <c r="AF2109" s="100" t="s">
        <v>8722</v>
      </c>
      <c r="AG2109" s="100" t="s">
        <v>8925</v>
      </c>
      <c r="AH2109" s="108">
        <v>15</v>
      </c>
    </row>
    <row r="2110" spans="1:43" s="32" customFormat="1" ht="69.95" hidden="1" customHeight="1">
      <c r="A2110" s="29" t="s">
        <v>7954</v>
      </c>
      <c r="B2110" s="29" t="s">
        <v>3769</v>
      </c>
      <c r="C2110" s="69">
        <v>92</v>
      </c>
      <c r="D2110" s="69"/>
      <c r="E2110" s="71" t="s">
        <v>139</v>
      </c>
      <c r="F2110" s="71" t="s">
        <v>139</v>
      </c>
      <c r="G2110" s="29" t="s">
        <v>3907</v>
      </c>
      <c r="H2110" s="29"/>
      <c r="I2110" s="29"/>
      <c r="J2110" s="29">
        <f t="shared" si="163"/>
        <v>1</v>
      </c>
      <c r="K2110" s="42">
        <v>2096</v>
      </c>
      <c r="L2110" s="43" t="s">
        <v>3908</v>
      </c>
      <c r="M2110" s="44" t="s">
        <v>405</v>
      </c>
      <c r="N2110" s="44" t="s">
        <v>7984</v>
      </c>
      <c r="O2110" s="44" t="str">
        <f t="shared" ref="O2110:O2126" si="169">F2110</f>
        <v>PE-L1-3C4-24</v>
      </c>
      <c r="P2110" s="45">
        <v>0.22</v>
      </c>
      <c r="Q2110" s="44">
        <v>230</v>
      </c>
      <c r="R2110" s="44" t="s">
        <v>49</v>
      </c>
      <c r="S2110" s="44">
        <v>40</v>
      </c>
      <c r="T2110" s="46" t="s">
        <v>7981</v>
      </c>
      <c r="U2110" s="46" t="s">
        <v>7954</v>
      </c>
      <c r="V2110" s="46" t="s">
        <v>8698</v>
      </c>
      <c r="W2110" s="46" t="s">
        <v>7813</v>
      </c>
      <c r="X2110" s="172" t="s">
        <v>9167</v>
      </c>
      <c r="Y2110" s="47" t="s">
        <v>7955</v>
      </c>
      <c r="Z2110" s="46" t="s">
        <v>7399</v>
      </c>
      <c r="AA2110" s="46" t="s">
        <v>401</v>
      </c>
      <c r="AB2110" s="172" t="s">
        <v>9167</v>
      </c>
      <c r="AC2110" s="48" t="s">
        <v>7956</v>
      </c>
      <c r="AD2110" s="30"/>
      <c r="AE2110" s="192">
        <v>1</v>
      </c>
      <c r="AF2110" s="100" t="s">
        <v>8722</v>
      </c>
      <c r="AG2110" s="100" t="s">
        <v>8925</v>
      </c>
      <c r="AH2110" s="100">
        <v>13</v>
      </c>
    </row>
    <row r="2111" spans="1:43" s="32" customFormat="1" ht="69.95" hidden="1" customHeight="1">
      <c r="A2111" s="29" t="s">
        <v>8676</v>
      </c>
      <c r="B2111" s="29" t="s">
        <v>3769</v>
      </c>
      <c r="C2111" s="32">
        <v>93</v>
      </c>
      <c r="E2111" s="71" t="s">
        <v>8320</v>
      </c>
      <c r="F2111" s="71" t="s">
        <v>8320</v>
      </c>
      <c r="G2111" s="29" t="s">
        <v>3909</v>
      </c>
      <c r="H2111" s="29"/>
      <c r="I2111" s="29"/>
      <c r="J2111" s="29">
        <f t="shared" si="163"/>
        <v>1</v>
      </c>
      <c r="K2111" s="42">
        <v>2097</v>
      </c>
      <c r="L2111" s="43" t="s">
        <v>8247</v>
      </c>
      <c r="M2111" s="44" t="s">
        <v>405</v>
      </c>
      <c r="N2111" s="44" t="s">
        <v>7978</v>
      </c>
      <c r="O2111" s="44" t="str">
        <f t="shared" si="169"/>
        <v>PE-L1-1C240-03</v>
      </c>
      <c r="P2111" s="45" t="s">
        <v>3433</v>
      </c>
      <c r="Q2111" s="44">
        <v>700</v>
      </c>
      <c r="R2111" s="44" t="s">
        <v>509</v>
      </c>
      <c r="S2111" s="44">
        <v>40</v>
      </c>
      <c r="T2111" s="46" t="s">
        <v>7981</v>
      </c>
      <c r="U2111" s="46" t="s">
        <v>8235</v>
      </c>
      <c r="V2111" s="46" t="s">
        <v>8237</v>
      </c>
      <c r="W2111" s="46" t="s">
        <v>8700</v>
      </c>
      <c r="X2111" s="47" t="s">
        <v>8116</v>
      </c>
      <c r="Y2111" s="47" t="s">
        <v>7957</v>
      </c>
      <c r="Z2111" s="46" t="s">
        <v>7401</v>
      </c>
      <c r="AA2111" s="46" t="s">
        <v>401</v>
      </c>
      <c r="AB2111" s="47" t="s">
        <v>8116</v>
      </c>
      <c r="AC2111" s="48" t="s">
        <v>7958</v>
      </c>
      <c r="AD2111" s="30"/>
      <c r="AE2111" s="192">
        <v>1</v>
      </c>
      <c r="AF2111" s="100" t="s">
        <v>8822</v>
      </c>
      <c r="AG2111" s="100" t="s">
        <v>8932</v>
      </c>
      <c r="AH2111" s="108">
        <v>25.5</v>
      </c>
      <c r="AK2111" s="241">
        <v>1</v>
      </c>
      <c r="AL2111" s="241" t="s">
        <v>9576</v>
      </c>
      <c r="AM2111" s="241">
        <v>1</v>
      </c>
      <c r="AN2111" s="241">
        <v>1</v>
      </c>
      <c r="AO2111" s="241" t="s">
        <v>9576</v>
      </c>
      <c r="AP2111" s="243">
        <v>1</v>
      </c>
      <c r="AQ2111" s="242" t="s">
        <v>9580</v>
      </c>
    </row>
    <row r="2112" spans="1:43" s="32" customFormat="1" ht="69.95" hidden="1" customHeight="1">
      <c r="A2112" s="29" t="s">
        <v>8676</v>
      </c>
      <c r="B2112" s="29" t="s">
        <v>3769</v>
      </c>
      <c r="C2112" s="32">
        <v>94</v>
      </c>
      <c r="E2112" s="71" t="s">
        <v>8320</v>
      </c>
      <c r="F2112" s="71" t="s">
        <v>8320</v>
      </c>
      <c r="G2112" s="29" t="s">
        <v>8153</v>
      </c>
      <c r="H2112" s="29"/>
      <c r="I2112" s="29"/>
      <c r="J2112" s="29">
        <f t="shared" si="163"/>
        <v>1</v>
      </c>
      <c r="K2112" s="42">
        <v>2098</v>
      </c>
      <c r="L2112" s="43" t="s">
        <v>8248</v>
      </c>
      <c r="M2112" s="43" t="s">
        <v>405</v>
      </c>
      <c r="N2112" s="44" t="s">
        <v>7978</v>
      </c>
      <c r="O2112" s="44" t="str">
        <f t="shared" si="169"/>
        <v>PE-L1-1C240-03</v>
      </c>
      <c r="P2112" s="51" t="s">
        <v>3433</v>
      </c>
      <c r="Q2112" s="43">
        <v>700</v>
      </c>
      <c r="R2112" s="43" t="s">
        <v>509</v>
      </c>
      <c r="S2112" s="43">
        <v>40</v>
      </c>
      <c r="T2112" s="46" t="s">
        <v>7981</v>
      </c>
      <c r="U2112" s="46" t="s">
        <v>8235</v>
      </c>
      <c r="V2112" s="46" t="s">
        <v>8237</v>
      </c>
      <c r="W2112" s="46" t="s">
        <v>8700</v>
      </c>
      <c r="X2112" s="47" t="s">
        <v>8116</v>
      </c>
      <c r="Y2112" s="43" t="s">
        <v>7957</v>
      </c>
      <c r="Z2112" s="43" t="s">
        <v>7401</v>
      </c>
      <c r="AA2112" s="43" t="s">
        <v>401</v>
      </c>
      <c r="AB2112" s="47" t="s">
        <v>8116</v>
      </c>
      <c r="AC2112" s="52" t="s">
        <v>7958</v>
      </c>
      <c r="AD2112" s="30"/>
      <c r="AE2112" s="192">
        <v>1</v>
      </c>
      <c r="AF2112" s="100" t="s">
        <v>8822</v>
      </c>
      <c r="AG2112" s="100" t="s">
        <v>8932</v>
      </c>
      <c r="AH2112" s="108">
        <v>25.5</v>
      </c>
      <c r="AK2112" s="241">
        <v>1</v>
      </c>
      <c r="AL2112" s="241" t="s">
        <v>9576</v>
      </c>
      <c r="AM2112" s="241">
        <v>1</v>
      </c>
      <c r="AN2112" s="241">
        <v>1</v>
      </c>
      <c r="AO2112" s="241" t="s">
        <v>9576</v>
      </c>
      <c r="AP2112" s="243">
        <v>1</v>
      </c>
      <c r="AQ2112" s="242" t="s">
        <v>9580</v>
      </c>
    </row>
    <row r="2113" spans="1:43" s="32" customFormat="1" ht="69.95" hidden="1" customHeight="1">
      <c r="A2113" s="29" t="s">
        <v>8676</v>
      </c>
      <c r="B2113" s="29" t="s">
        <v>3769</v>
      </c>
      <c r="C2113" s="32">
        <v>95</v>
      </c>
      <c r="E2113" s="71" t="s">
        <v>8320</v>
      </c>
      <c r="F2113" s="71" t="s">
        <v>8320</v>
      </c>
      <c r="G2113" s="29" t="s">
        <v>8153</v>
      </c>
      <c r="H2113" s="29"/>
      <c r="I2113" s="29"/>
      <c r="J2113" s="29">
        <f t="shared" si="163"/>
        <v>1</v>
      </c>
      <c r="K2113" s="42">
        <v>2099</v>
      </c>
      <c r="L2113" s="43" t="s">
        <v>8249</v>
      </c>
      <c r="M2113" s="43" t="s">
        <v>405</v>
      </c>
      <c r="N2113" s="44" t="s">
        <v>7978</v>
      </c>
      <c r="O2113" s="44" t="str">
        <f t="shared" si="169"/>
        <v>PE-L1-1C240-03</v>
      </c>
      <c r="P2113" s="51" t="s">
        <v>3433</v>
      </c>
      <c r="Q2113" s="43">
        <v>700</v>
      </c>
      <c r="R2113" s="43" t="s">
        <v>509</v>
      </c>
      <c r="S2113" s="43">
        <v>40</v>
      </c>
      <c r="T2113" s="46" t="s">
        <v>7981</v>
      </c>
      <c r="U2113" s="46" t="s">
        <v>8235</v>
      </c>
      <c r="V2113" s="46" t="s">
        <v>8237</v>
      </c>
      <c r="W2113" s="46" t="s">
        <v>8700</v>
      </c>
      <c r="X2113" s="47" t="s">
        <v>8116</v>
      </c>
      <c r="Y2113" s="43" t="s">
        <v>7957</v>
      </c>
      <c r="Z2113" s="43" t="s">
        <v>7401</v>
      </c>
      <c r="AA2113" s="43" t="s">
        <v>401</v>
      </c>
      <c r="AB2113" s="47" t="s">
        <v>8116</v>
      </c>
      <c r="AC2113" s="48" t="s">
        <v>7958</v>
      </c>
      <c r="AD2113" s="30"/>
      <c r="AE2113" s="192">
        <v>1</v>
      </c>
      <c r="AF2113" s="100" t="s">
        <v>8822</v>
      </c>
      <c r="AG2113" s="100" t="s">
        <v>8932</v>
      </c>
      <c r="AH2113" s="108">
        <v>25.5</v>
      </c>
      <c r="AK2113" s="241">
        <v>1</v>
      </c>
      <c r="AL2113" s="241" t="s">
        <v>9576</v>
      </c>
      <c r="AM2113" s="241">
        <v>1</v>
      </c>
      <c r="AN2113" s="241">
        <v>1</v>
      </c>
      <c r="AO2113" s="241" t="s">
        <v>9576</v>
      </c>
      <c r="AP2113" s="243">
        <v>1</v>
      </c>
      <c r="AQ2113" s="242" t="s">
        <v>9580</v>
      </c>
    </row>
    <row r="2114" spans="1:43" s="32" customFormat="1" ht="69.95" hidden="1" customHeight="1">
      <c r="A2114" s="29" t="s">
        <v>8676</v>
      </c>
      <c r="B2114" s="29" t="s">
        <v>3769</v>
      </c>
      <c r="C2114" s="32">
        <v>96</v>
      </c>
      <c r="E2114" s="71" t="s">
        <v>8320</v>
      </c>
      <c r="F2114" s="71" t="s">
        <v>8320</v>
      </c>
      <c r="G2114" s="29" t="s">
        <v>8153</v>
      </c>
      <c r="H2114" s="29"/>
      <c r="I2114" s="29"/>
      <c r="J2114" s="29">
        <f t="shared" si="163"/>
        <v>1</v>
      </c>
      <c r="K2114" s="42">
        <v>2100</v>
      </c>
      <c r="L2114" s="43" t="s">
        <v>8250</v>
      </c>
      <c r="M2114" s="43" t="s">
        <v>405</v>
      </c>
      <c r="N2114" s="44" t="s">
        <v>7978</v>
      </c>
      <c r="O2114" s="44" t="str">
        <f t="shared" si="169"/>
        <v>PE-L1-1C240-03</v>
      </c>
      <c r="P2114" s="51" t="s">
        <v>3433</v>
      </c>
      <c r="Q2114" s="43">
        <v>700</v>
      </c>
      <c r="R2114" s="43" t="s">
        <v>509</v>
      </c>
      <c r="S2114" s="43">
        <v>40</v>
      </c>
      <c r="T2114" s="46" t="s">
        <v>7981</v>
      </c>
      <c r="U2114" s="46" t="s">
        <v>8235</v>
      </c>
      <c r="V2114" s="46" t="s">
        <v>8237</v>
      </c>
      <c r="W2114" s="46" t="s">
        <v>8700</v>
      </c>
      <c r="X2114" s="47" t="s">
        <v>8116</v>
      </c>
      <c r="Y2114" s="43" t="s">
        <v>7957</v>
      </c>
      <c r="Z2114" s="43" t="s">
        <v>7401</v>
      </c>
      <c r="AA2114" s="43" t="s">
        <v>401</v>
      </c>
      <c r="AB2114" s="47" t="s">
        <v>8116</v>
      </c>
      <c r="AC2114" s="52" t="s">
        <v>7958</v>
      </c>
      <c r="AD2114" s="30"/>
      <c r="AE2114" s="192">
        <v>1</v>
      </c>
      <c r="AF2114" s="100" t="s">
        <v>8822</v>
      </c>
      <c r="AG2114" s="100" t="s">
        <v>8932</v>
      </c>
      <c r="AH2114" s="108">
        <v>25.5</v>
      </c>
      <c r="AK2114" s="241">
        <v>1</v>
      </c>
      <c r="AL2114" s="241" t="s">
        <v>9576</v>
      </c>
      <c r="AM2114" s="241">
        <v>1</v>
      </c>
      <c r="AN2114" s="241">
        <v>1</v>
      </c>
      <c r="AO2114" s="241" t="s">
        <v>9576</v>
      </c>
      <c r="AP2114" s="243">
        <v>1</v>
      </c>
      <c r="AQ2114" s="242" t="s">
        <v>9580</v>
      </c>
    </row>
    <row r="2115" spans="1:43" s="32" customFormat="1" ht="69.95" hidden="1" customHeight="1">
      <c r="A2115" s="29" t="s">
        <v>8676</v>
      </c>
      <c r="B2115" s="29" t="s">
        <v>3769</v>
      </c>
      <c r="C2115" s="32">
        <v>97</v>
      </c>
      <c r="E2115" s="71" t="s">
        <v>8320</v>
      </c>
      <c r="F2115" s="71" t="s">
        <v>8320</v>
      </c>
      <c r="G2115" s="29" t="s">
        <v>8153</v>
      </c>
      <c r="H2115" s="29"/>
      <c r="I2115" s="29"/>
      <c r="J2115" s="29">
        <f t="shared" si="163"/>
        <v>1</v>
      </c>
      <c r="K2115" s="42">
        <v>2101</v>
      </c>
      <c r="L2115" s="43" t="s">
        <v>8251</v>
      </c>
      <c r="M2115" s="43" t="s">
        <v>405</v>
      </c>
      <c r="N2115" s="44" t="s">
        <v>7978</v>
      </c>
      <c r="O2115" s="44" t="str">
        <f t="shared" si="169"/>
        <v>PE-L1-1C240-03</v>
      </c>
      <c r="P2115" s="51" t="s">
        <v>3433</v>
      </c>
      <c r="Q2115" s="43">
        <v>700</v>
      </c>
      <c r="R2115" s="43" t="s">
        <v>509</v>
      </c>
      <c r="S2115" s="43">
        <v>40</v>
      </c>
      <c r="T2115" s="46" t="s">
        <v>7981</v>
      </c>
      <c r="U2115" s="46" t="s">
        <v>8235</v>
      </c>
      <c r="V2115" s="46" t="s">
        <v>8237</v>
      </c>
      <c r="W2115" s="46" t="s">
        <v>8700</v>
      </c>
      <c r="X2115" s="47" t="s">
        <v>8117</v>
      </c>
      <c r="Y2115" s="43" t="s">
        <v>7957</v>
      </c>
      <c r="Z2115" s="43" t="s">
        <v>7401</v>
      </c>
      <c r="AA2115" s="43" t="s">
        <v>401</v>
      </c>
      <c r="AB2115" s="47" t="s">
        <v>8117</v>
      </c>
      <c r="AC2115" s="48" t="s">
        <v>7958</v>
      </c>
      <c r="AD2115" s="30"/>
      <c r="AE2115" s="192">
        <v>1</v>
      </c>
      <c r="AF2115" s="100" t="s">
        <v>8822</v>
      </c>
      <c r="AG2115" s="100" t="s">
        <v>8932</v>
      </c>
      <c r="AH2115" s="108">
        <v>25.5</v>
      </c>
      <c r="AK2115" s="241">
        <v>1</v>
      </c>
      <c r="AL2115" s="241" t="s">
        <v>9576</v>
      </c>
      <c r="AM2115" s="241">
        <v>1</v>
      </c>
      <c r="AN2115" s="241">
        <v>1</v>
      </c>
      <c r="AO2115" s="241" t="s">
        <v>9576</v>
      </c>
      <c r="AP2115" s="243">
        <v>1</v>
      </c>
      <c r="AQ2115" s="242" t="s">
        <v>9580</v>
      </c>
    </row>
    <row r="2116" spans="1:43" s="32" customFormat="1" ht="69.95" hidden="1" customHeight="1">
      <c r="A2116" s="29" t="s">
        <v>8676</v>
      </c>
      <c r="B2116" s="29" t="s">
        <v>3769</v>
      </c>
      <c r="C2116" s="32">
        <v>98</v>
      </c>
      <c r="E2116" s="71" t="s">
        <v>8320</v>
      </c>
      <c r="F2116" s="71" t="s">
        <v>8320</v>
      </c>
      <c r="G2116" s="29" t="s">
        <v>8153</v>
      </c>
      <c r="H2116" s="29"/>
      <c r="I2116" s="29"/>
      <c r="J2116" s="29">
        <f t="shared" si="163"/>
        <v>1</v>
      </c>
      <c r="K2116" s="42">
        <v>2102</v>
      </c>
      <c r="L2116" s="43" t="s">
        <v>8252</v>
      </c>
      <c r="M2116" s="43" t="s">
        <v>405</v>
      </c>
      <c r="N2116" s="44" t="s">
        <v>7978</v>
      </c>
      <c r="O2116" s="44" t="str">
        <f t="shared" si="169"/>
        <v>PE-L1-1C240-03</v>
      </c>
      <c r="P2116" s="51" t="s">
        <v>3433</v>
      </c>
      <c r="Q2116" s="43">
        <v>700</v>
      </c>
      <c r="R2116" s="43" t="s">
        <v>509</v>
      </c>
      <c r="S2116" s="43">
        <v>40</v>
      </c>
      <c r="T2116" s="46" t="s">
        <v>7981</v>
      </c>
      <c r="U2116" s="46" t="s">
        <v>8235</v>
      </c>
      <c r="V2116" s="46" t="s">
        <v>8237</v>
      </c>
      <c r="W2116" s="46" t="s">
        <v>8700</v>
      </c>
      <c r="X2116" s="47" t="s">
        <v>8117</v>
      </c>
      <c r="Y2116" s="43" t="s">
        <v>7957</v>
      </c>
      <c r="Z2116" s="43" t="s">
        <v>7401</v>
      </c>
      <c r="AA2116" s="43" t="s">
        <v>401</v>
      </c>
      <c r="AB2116" s="47" t="s">
        <v>8117</v>
      </c>
      <c r="AC2116" s="52" t="s">
        <v>7958</v>
      </c>
      <c r="AD2116" s="30"/>
      <c r="AE2116" s="192">
        <v>1</v>
      </c>
      <c r="AF2116" s="100" t="s">
        <v>8822</v>
      </c>
      <c r="AG2116" s="100" t="s">
        <v>8932</v>
      </c>
      <c r="AH2116" s="108">
        <v>25.5</v>
      </c>
      <c r="AK2116" s="241">
        <v>1</v>
      </c>
      <c r="AL2116" s="241" t="s">
        <v>9576</v>
      </c>
      <c r="AM2116" s="241">
        <v>1</v>
      </c>
      <c r="AN2116" s="241">
        <v>1</v>
      </c>
      <c r="AO2116" s="241" t="s">
        <v>9576</v>
      </c>
      <c r="AP2116" s="243">
        <v>1</v>
      </c>
      <c r="AQ2116" s="242" t="s">
        <v>9580</v>
      </c>
    </row>
    <row r="2117" spans="1:43" s="32" customFormat="1" ht="69.95" hidden="1" customHeight="1">
      <c r="A2117" s="29" t="s">
        <v>8676</v>
      </c>
      <c r="B2117" s="29" t="s">
        <v>3769</v>
      </c>
      <c r="C2117" s="32">
        <v>98</v>
      </c>
      <c r="E2117" s="71" t="s">
        <v>8320</v>
      </c>
      <c r="F2117" s="71" t="s">
        <v>8320</v>
      </c>
      <c r="G2117" s="29" t="s">
        <v>8153</v>
      </c>
      <c r="H2117" s="29"/>
      <c r="I2117" s="29"/>
      <c r="J2117" s="29">
        <f t="shared" si="163"/>
        <v>1</v>
      </c>
      <c r="K2117" s="42">
        <v>2103</v>
      </c>
      <c r="L2117" s="43" t="s">
        <v>8253</v>
      </c>
      <c r="M2117" s="43" t="s">
        <v>405</v>
      </c>
      <c r="N2117" s="44" t="s">
        <v>7978</v>
      </c>
      <c r="O2117" s="44" t="str">
        <f t="shared" si="169"/>
        <v>PE-L1-1C240-03</v>
      </c>
      <c r="P2117" s="51" t="s">
        <v>3433</v>
      </c>
      <c r="Q2117" s="43">
        <v>700</v>
      </c>
      <c r="R2117" s="43" t="s">
        <v>509</v>
      </c>
      <c r="S2117" s="43">
        <v>40</v>
      </c>
      <c r="T2117" s="46" t="s">
        <v>7981</v>
      </c>
      <c r="U2117" s="46" t="s">
        <v>8235</v>
      </c>
      <c r="V2117" s="46" t="s">
        <v>8237</v>
      </c>
      <c r="W2117" s="46" t="s">
        <v>8700</v>
      </c>
      <c r="X2117" s="47" t="s">
        <v>8117</v>
      </c>
      <c r="Y2117" s="43" t="s">
        <v>7957</v>
      </c>
      <c r="Z2117" s="43" t="s">
        <v>7401</v>
      </c>
      <c r="AA2117" s="43" t="s">
        <v>401</v>
      </c>
      <c r="AB2117" s="47" t="s">
        <v>8117</v>
      </c>
      <c r="AC2117" s="52" t="s">
        <v>7958</v>
      </c>
      <c r="AD2117" s="30"/>
      <c r="AE2117" s="192">
        <v>1</v>
      </c>
      <c r="AF2117" s="100" t="s">
        <v>8822</v>
      </c>
      <c r="AG2117" s="100" t="s">
        <v>8932</v>
      </c>
      <c r="AH2117" s="108">
        <v>25.5</v>
      </c>
      <c r="AK2117" s="241">
        <v>1</v>
      </c>
      <c r="AL2117" s="241" t="s">
        <v>9576</v>
      </c>
      <c r="AM2117" s="241">
        <v>1</v>
      </c>
      <c r="AN2117" s="241">
        <v>1</v>
      </c>
      <c r="AO2117" s="241" t="s">
        <v>9576</v>
      </c>
      <c r="AP2117" s="243">
        <v>1</v>
      </c>
      <c r="AQ2117" s="242" t="s">
        <v>9580</v>
      </c>
    </row>
    <row r="2118" spans="1:43" s="32" customFormat="1" ht="69.95" hidden="1" customHeight="1">
      <c r="A2118" s="29" t="s">
        <v>8676</v>
      </c>
      <c r="B2118" s="29" t="s">
        <v>3769</v>
      </c>
      <c r="C2118" s="32">
        <v>98</v>
      </c>
      <c r="E2118" s="71" t="s">
        <v>8320</v>
      </c>
      <c r="F2118" s="71" t="s">
        <v>8320</v>
      </c>
      <c r="G2118" s="29" t="s">
        <v>8153</v>
      </c>
      <c r="H2118" s="29"/>
      <c r="I2118" s="29"/>
      <c r="J2118" s="29">
        <f t="shared" si="163"/>
        <v>1</v>
      </c>
      <c r="K2118" s="42">
        <v>2104</v>
      </c>
      <c r="L2118" s="43" t="s">
        <v>8254</v>
      </c>
      <c r="M2118" s="43" t="s">
        <v>405</v>
      </c>
      <c r="N2118" s="44" t="s">
        <v>7978</v>
      </c>
      <c r="O2118" s="44" t="str">
        <f t="shared" si="169"/>
        <v>PE-L1-1C240-03</v>
      </c>
      <c r="P2118" s="51" t="s">
        <v>3433</v>
      </c>
      <c r="Q2118" s="43">
        <v>700</v>
      </c>
      <c r="R2118" s="43" t="s">
        <v>509</v>
      </c>
      <c r="S2118" s="43">
        <v>40</v>
      </c>
      <c r="T2118" s="46" t="s">
        <v>7981</v>
      </c>
      <c r="U2118" s="46" t="s">
        <v>8235</v>
      </c>
      <c r="V2118" s="46" t="s">
        <v>8237</v>
      </c>
      <c r="W2118" s="46" t="s">
        <v>8700</v>
      </c>
      <c r="X2118" s="47" t="s">
        <v>8117</v>
      </c>
      <c r="Y2118" s="43" t="s">
        <v>7957</v>
      </c>
      <c r="Z2118" s="43" t="s">
        <v>7401</v>
      </c>
      <c r="AA2118" s="43" t="s">
        <v>401</v>
      </c>
      <c r="AB2118" s="47" t="s">
        <v>8117</v>
      </c>
      <c r="AC2118" s="52" t="s">
        <v>7958</v>
      </c>
      <c r="AD2118" s="30"/>
      <c r="AE2118" s="192">
        <v>1</v>
      </c>
      <c r="AF2118" s="100" t="s">
        <v>8822</v>
      </c>
      <c r="AG2118" s="100" t="s">
        <v>8932</v>
      </c>
      <c r="AH2118" s="108">
        <v>25.5</v>
      </c>
      <c r="AK2118" s="241">
        <v>1</v>
      </c>
      <c r="AL2118" s="241" t="s">
        <v>9576</v>
      </c>
      <c r="AM2118" s="241">
        <v>1</v>
      </c>
      <c r="AN2118" s="241">
        <v>1</v>
      </c>
      <c r="AO2118" s="241" t="s">
        <v>9576</v>
      </c>
      <c r="AP2118" s="243">
        <v>1</v>
      </c>
      <c r="AQ2118" s="242" t="s">
        <v>9580</v>
      </c>
    </row>
    <row r="2119" spans="1:43" s="32" customFormat="1" ht="69.95" hidden="1" customHeight="1">
      <c r="A2119" s="29" t="s">
        <v>7959</v>
      </c>
      <c r="B2119" s="29" t="s">
        <v>3769</v>
      </c>
      <c r="C2119" s="69">
        <v>99</v>
      </c>
      <c r="D2119" s="69"/>
      <c r="E2119" s="57" t="s">
        <v>8577</v>
      </c>
      <c r="F2119" s="57" t="s">
        <v>8577</v>
      </c>
      <c r="G2119" s="29" t="s">
        <v>3910</v>
      </c>
      <c r="H2119" s="29"/>
      <c r="I2119" s="29"/>
      <c r="J2119" s="29">
        <f t="shared" si="163"/>
        <v>1</v>
      </c>
      <c r="K2119" s="42">
        <v>2105</v>
      </c>
      <c r="L2119" s="43" t="s">
        <v>3911</v>
      </c>
      <c r="M2119" s="44" t="s">
        <v>405</v>
      </c>
      <c r="N2119" s="44" t="s">
        <v>578</v>
      </c>
      <c r="O2119" s="44" t="str">
        <f t="shared" si="169"/>
        <v>PE-L1-2C4-09</v>
      </c>
      <c r="P2119" s="45">
        <v>1</v>
      </c>
      <c r="Q2119" s="44">
        <v>220</v>
      </c>
      <c r="R2119" s="44" t="s">
        <v>509</v>
      </c>
      <c r="S2119" s="44">
        <v>120</v>
      </c>
      <c r="T2119" s="46" t="s">
        <v>7981</v>
      </c>
      <c r="U2119" s="46" t="s">
        <v>7959</v>
      </c>
      <c r="V2119" s="46" t="s">
        <v>8702</v>
      </c>
      <c r="W2119" s="46" t="s">
        <v>7813</v>
      </c>
      <c r="X2119" s="47" t="s">
        <v>8738</v>
      </c>
      <c r="Y2119" s="47" t="s">
        <v>7960</v>
      </c>
      <c r="Z2119" s="46" t="s">
        <v>7404</v>
      </c>
      <c r="AA2119" s="46" t="s">
        <v>401</v>
      </c>
      <c r="AB2119" s="47" t="s">
        <v>8738</v>
      </c>
      <c r="AC2119" s="48" t="s">
        <v>8529</v>
      </c>
      <c r="AD2119" s="30"/>
      <c r="AE2119" s="192">
        <v>1</v>
      </c>
      <c r="AF2119" s="100" t="s">
        <v>8722</v>
      </c>
      <c r="AG2119" s="100" t="s">
        <v>8925</v>
      </c>
      <c r="AH2119" s="108">
        <v>12.5</v>
      </c>
    </row>
    <row r="2120" spans="1:43" s="32" customFormat="1" ht="69.95" hidden="1" customHeight="1">
      <c r="A2120" s="29" t="s">
        <v>7961</v>
      </c>
      <c r="B2120" s="29" t="s">
        <v>8658</v>
      </c>
      <c r="C2120" s="69">
        <v>100</v>
      </c>
      <c r="D2120" s="69"/>
      <c r="E2120" s="57" t="s">
        <v>8297</v>
      </c>
      <c r="F2120" s="57" t="s">
        <v>8300</v>
      </c>
      <c r="G2120" s="29" t="s">
        <v>3912</v>
      </c>
      <c r="H2120" s="29"/>
      <c r="I2120" s="29"/>
      <c r="J2120" s="29">
        <f t="shared" ref="J2120:J2126" si="170">COUNTIF(L:L,L2120)</f>
        <v>1</v>
      </c>
      <c r="K2120" s="42">
        <v>2106</v>
      </c>
      <c r="L2120" s="43" t="s">
        <v>3913</v>
      </c>
      <c r="M2120" s="44" t="s">
        <v>405</v>
      </c>
      <c r="N2120" s="44" t="s">
        <v>7984</v>
      </c>
      <c r="O2120" s="44" t="str">
        <f t="shared" si="169"/>
        <v>PE-L1-3C4-24</v>
      </c>
      <c r="P2120" s="45">
        <v>1</v>
      </c>
      <c r="Q2120" s="44">
        <v>230</v>
      </c>
      <c r="R2120" s="44" t="s">
        <v>49</v>
      </c>
      <c r="S2120" s="44">
        <v>120</v>
      </c>
      <c r="T2120" s="46" t="s">
        <v>7981</v>
      </c>
      <c r="U2120" s="46" t="s">
        <v>7961</v>
      </c>
      <c r="V2120" s="46" t="s">
        <v>8698</v>
      </c>
      <c r="W2120" s="46" t="s">
        <v>7813</v>
      </c>
      <c r="X2120" s="172" t="s">
        <v>9167</v>
      </c>
      <c r="Y2120" s="47" t="s">
        <v>7962</v>
      </c>
      <c r="Z2120" s="46" t="s">
        <v>7408</v>
      </c>
      <c r="AA2120" s="46" t="s">
        <v>401</v>
      </c>
      <c r="AB2120" s="172" t="s">
        <v>9167</v>
      </c>
      <c r="AC2120" s="48" t="s">
        <v>8530</v>
      </c>
      <c r="AD2120" s="30"/>
      <c r="AE2120" s="192">
        <v>1</v>
      </c>
      <c r="AF2120" s="100" t="s">
        <v>8722</v>
      </c>
      <c r="AG2120" s="100" t="s">
        <v>8925</v>
      </c>
      <c r="AH2120" s="100">
        <v>13</v>
      </c>
    </row>
    <row r="2121" spans="1:43" s="32" customFormat="1" ht="69.95" hidden="1" customHeight="1">
      <c r="A2121" s="29" t="s">
        <v>7963</v>
      </c>
      <c r="B2121" s="29" t="s">
        <v>8658</v>
      </c>
      <c r="C2121" s="69">
        <v>101</v>
      </c>
      <c r="D2121" s="69"/>
      <c r="E2121" s="57" t="s">
        <v>8577</v>
      </c>
      <c r="F2121" s="57" t="s">
        <v>8577</v>
      </c>
      <c r="G2121" s="29" t="s">
        <v>3914</v>
      </c>
      <c r="H2121" s="29"/>
      <c r="I2121" s="29"/>
      <c r="J2121" s="29">
        <f t="shared" si="170"/>
        <v>1</v>
      </c>
      <c r="K2121" s="42">
        <v>2107</v>
      </c>
      <c r="L2121" s="43" t="s">
        <v>3915</v>
      </c>
      <c r="M2121" s="44" t="s">
        <v>405</v>
      </c>
      <c r="N2121" s="44" t="s">
        <v>8148</v>
      </c>
      <c r="O2121" s="44" t="str">
        <f t="shared" si="169"/>
        <v>PE-L1-2C4-09</v>
      </c>
      <c r="P2121" s="45">
        <v>0.22</v>
      </c>
      <c r="Q2121" s="44">
        <v>220</v>
      </c>
      <c r="R2121" s="44" t="s">
        <v>509</v>
      </c>
      <c r="S2121" s="44">
        <v>40</v>
      </c>
      <c r="T2121" s="46" t="s">
        <v>7981</v>
      </c>
      <c r="U2121" s="46" t="s">
        <v>7963</v>
      </c>
      <c r="V2121" s="46" t="s">
        <v>8702</v>
      </c>
      <c r="W2121" s="46" t="s">
        <v>7813</v>
      </c>
      <c r="X2121" s="47" t="s">
        <v>8738</v>
      </c>
      <c r="Y2121" s="47" t="s">
        <v>7964</v>
      </c>
      <c r="Z2121" s="46" t="s">
        <v>7412</v>
      </c>
      <c r="AA2121" s="46" t="s">
        <v>401</v>
      </c>
      <c r="AB2121" s="47" t="s">
        <v>8738</v>
      </c>
      <c r="AC2121" s="48" t="s">
        <v>7965</v>
      </c>
      <c r="AD2121" s="30"/>
      <c r="AE2121" s="192">
        <v>1</v>
      </c>
      <c r="AF2121" s="100" t="s">
        <v>8722</v>
      </c>
      <c r="AG2121" s="100" t="s">
        <v>8925</v>
      </c>
      <c r="AH2121" s="108">
        <v>12.5</v>
      </c>
    </row>
    <row r="2122" spans="1:43" s="32" customFormat="1" ht="69.95" hidden="1" customHeight="1">
      <c r="A2122" s="29" t="s">
        <v>7966</v>
      </c>
      <c r="B2122" s="29" t="s">
        <v>8658</v>
      </c>
      <c r="C2122" s="69">
        <v>102</v>
      </c>
      <c r="D2122" s="69"/>
      <c r="E2122" s="57" t="s">
        <v>8297</v>
      </c>
      <c r="F2122" s="57" t="s">
        <v>8300</v>
      </c>
      <c r="G2122" s="29" t="s">
        <v>3916</v>
      </c>
      <c r="H2122" s="29"/>
      <c r="I2122" s="29"/>
      <c r="J2122" s="29">
        <f t="shared" si="170"/>
        <v>1</v>
      </c>
      <c r="K2122" s="42">
        <v>2108</v>
      </c>
      <c r="L2122" s="43" t="s">
        <v>3917</v>
      </c>
      <c r="M2122" s="44" t="s">
        <v>405</v>
      </c>
      <c r="N2122" s="44" t="s">
        <v>7984</v>
      </c>
      <c r="O2122" s="44" t="str">
        <f t="shared" si="169"/>
        <v>PE-L1-3C4-24</v>
      </c>
      <c r="P2122" s="45">
        <v>1</v>
      </c>
      <c r="Q2122" s="44">
        <v>230</v>
      </c>
      <c r="R2122" s="44" t="s">
        <v>49</v>
      </c>
      <c r="S2122" s="44">
        <v>40</v>
      </c>
      <c r="T2122" s="46" t="s">
        <v>7981</v>
      </c>
      <c r="U2122" s="46" t="s">
        <v>7966</v>
      </c>
      <c r="V2122" s="46" t="s">
        <v>8698</v>
      </c>
      <c r="W2122" s="46" t="s">
        <v>7813</v>
      </c>
      <c r="X2122" s="172" t="s">
        <v>9167</v>
      </c>
      <c r="Y2122" s="47" t="s">
        <v>7967</v>
      </c>
      <c r="Z2122" s="46" t="s">
        <v>7416</v>
      </c>
      <c r="AA2122" s="46" t="s">
        <v>401</v>
      </c>
      <c r="AB2122" s="172" t="s">
        <v>9167</v>
      </c>
      <c r="AC2122" s="48" t="s">
        <v>7968</v>
      </c>
      <c r="AD2122" s="30"/>
      <c r="AE2122" s="192">
        <v>1</v>
      </c>
      <c r="AF2122" s="100" t="s">
        <v>8722</v>
      </c>
      <c r="AG2122" s="100" t="s">
        <v>8925</v>
      </c>
      <c r="AH2122" s="100">
        <v>13</v>
      </c>
    </row>
    <row r="2123" spans="1:43" s="32" customFormat="1" ht="69.95" hidden="1" customHeight="1">
      <c r="A2123" s="29" t="s">
        <v>7969</v>
      </c>
      <c r="B2123" s="29" t="s">
        <v>8658</v>
      </c>
      <c r="C2123" s="69">
        <v>103</v>
      </c>
      <c r="D2123" s="69"/>
      <c r="E2123" s="57" t="s">
        <v>8577</v>
      </c>
      <c r="F2123" s="57" t="s">
        <v>8577</v>
      </c>
      <c r="G2123" s="29" t="s">
        <v>3918</v>
      </c>
      <c r="H2123" s="29"/>
      <c r="I2123" s="29"/>
      <c r="J2123" s="29">
        <f t="shared" si="170"/>
        <v>1</v>
      </c>
      <c r="K2123" s="42">
        <v>2109</v>
      </c>
      <c r="L2123" s="43" t="s">
        <v>3919</v>
      </c>
      <c r="M2123" s="44" t="s">
        <v>405</v>
      </c>
      <c r="N2123" s="44" t="s">
        <v>578</v>
      </c>
      <c r="O2123" s="44" t="str">
        <f t="shared" si="169"/>
        <v>PE-L1-2C4-09</v>
      </c>
      <c r="P2123" s="45">
        <v>0.44</v>
      </c>
      <c r="Q2123" s="44">
        <v>220</v>
      </c>
      <c r="R2123" s="44" t="s">
        <v>509</v>
      </c>
      <c r="S2123" s="44">
        <v>30</v>
      </c>
      <c r="T2123" s="46" t="s">
        <v>7981</v>
      </c>
      <c r="U2123" s="46" t="s">
        <v>7969</v>
      </c>
      <c r="V2123" s="46" t="s">
        <v>8702</v>
      </c>
      <c r="W2123" s="46" t="s">
        <v>7813</v>
      </c>
      <c r="X2123" s="47" t="s">
        <v>8738</v>
      </c>
      <c r="Y2123" s="47" t="s">
        <v>7970</v>
      </c>
      <c r="Z2123" s="46" t="s">
        <v>7420</v>
      </c>
      <c r="AA2123" s="46" t="s">
        <v>401</v>
      </c>
      <c r="AB2123" s="47" t="s">
        <v>8738</v>
      </c>
      <c r="AC2123" s="48" t="s">
        <v>8531</v>
      </c>
      <c r="AD2123" s="30"/>
      <c r="AE2123" s="192">
        <v>1</v>
      </c>
      <c r="AF2123" s="100" t="s">
        <v>8722</v>
      </c>
      <c r="AG2123" s="100" t="s">
        <v>8925</v>
      </c>
      <c r="AH2123" s="108">
        <v>12.5</v>
      </c>
    </row>
    <row r="2124" spans="1:43" s="32" customFormat="1" ht="69.95" hidden="1" customHeight="1">
      <c r="A2124" s="29" t="s">
        <v>7971</v>
      </c>
      <c r="B2124" s="29" t="s">
        <v>8658</v>
      </c>
      <c r="C2124" s="32">
        <v>104</v>
      </c>
      <c r="E2124" s="56" t="s">
        <v>8297</v>
      </c>
      <c r="F2124" s="56" t="s">
        <v>8300</v>
      </c>
      <c r="G2124" s="29" t="s">
        <v>3920</v>
      </c>
      <c r="H2124" s="29"/>
      <c r="I2124" s="29"/>
      <c r="J2124" s="29">
        <f t="shared" si="170"/>
        <v>1</v>
      </c>
      <c r="K2124" s="42">
        <v>2110</v>
      </c>
      <c r="L2124" s="43" t="s">
        <v>3921</v>
      </c>
      <c r="M2124" s="44" t="s">
        <v>405</v>
      </c>
      <c r="N2124" s="44" t="s">
        <v>7984</v>
      </c>
      <c r="O2124" s="44" t="str">
        <f t="shared" si="169"/>
        <v>PE-L1-3C4-24</v>
      </c>
      <c r="P2124" s="45">
        <v>1</v>
      </c>
      <c r="Q2124" s="44">
        <v>230</v>
      </c>
      <c r="R2124" s="44" t="s">
        <v>49</v>
      </c>
      <c r="S2124" s="44">
        <v>30</v>
      </c>
      <c r="T2124" s="46" t="s">
        <v>7981</v>
      </c>
      <c r="U2124" s="46" t="s">
        <v>7971</v>
      </c>
      <c r="V2124" s="46" t="s">
        <v>8698</v>
      </c>
      <c r="W2124" s="46" t="s">
        <v>7813</v>
      </c>
      <c r="X2124" s="172" t="s">
        <v>9167</v>
      </c>
      <c r="Y2124" s="47" t="s">
        <v>7972</v>
      </c>
      <c r="Z2124" s="46" t="s">
        <v>7423</v>
      </c>
      <c r="AA2124" s="46" t="s">
        <v>401</v>
      </c>
      <c r="AB2124" s="172" t="s">
        <v>9167</v>
      </c>
      <c r="AC2124" s="48" t="s">
        <v>8531</v>
      </c>
      <c r="AD2124" s="30"/>
      <c r="AE2124" s="192">
        <v>1</v>
      </c>
      <c r="AF2124" s="100" t="s">
        <v>8722</v>
      </c>
      <c r="AG2124" s="100" t="s">
        <v>8925</v>
      </c>
      <c r="AH2124" s="100">
        <v>13</v>
      </c>
    </row>
    <row r="2125" spans="1:43" s="32" customFormat="1" ht="69.95" customHeight="1">
      <c r="A2125" s="29" t="s">
        <v>7973</v>
      </c>
      <c r="B2125" s="29" t="s">
        <v>8658</v>
      </c>
      <c r="C2125" s="32">
        <v>105</v>
      </c>
      <c r="E2125" s="57" t="s">
        <v>8165</v>
      </c>
      <c r="F2125" s="57" t="s">
        <v>8165</v>
      </c>
      <c r="G2125" s="29" t="s">
        <v>3922</v>
      </c>
      <c r="H2125" s="29"/>
      <c r="I2125" s="29"/>
      <c r="J2125" s="29">
        <f t="shared" si="170"/>
        <v>1</v>
      </c>
      <c r="K2125" s="42">
        <v>2111</v>
      </c>
      <c r="L2125" s="43" t="s">
        <v>3923</v>
      </c>
      <c r="M2125" s="44" t="s">
        <v>405</v>
      </c>
      <c r="N2125" s="44" t="s">
        <v>536</v>
      </c>
      <c r="O2125" s="44" t="str">
        <f t="shared" si="169"/>
        <v>PE-L1-4C4-24</v>
      </c>
      <c r="P2125" s="45">
        <v>0.55000000000000004</v>
      </c>
      <c r="Q2125" s="44">
        <v>400</v>
      </c>
      <c r="R2125" s="44" t="s">
        <v>412</v>
      </c>
      <c r="S2125" s="44">
        <v>60</v>
      </c>
      <c r="T2125" s="46" t="s">
        <v>7981</v>
      </c>
      <c r="U2125" s="46" t="s">
        <v>7973</v>
      </c>
      <c r="V2125" s="46" t="s">
        <v>8703</v>
      </c>
      <c r="W2125" s="46" t="s">
        <v>7813</v>
      </c>
      <c r="X2125" s="47" t="s">
        <v>8721</v>
      </c>
      <c r="Y2125" s="47" t="s">
        <v>7974</v>
      </c>
      <c r="Z2125" s="46" t="s">
        <v>400</v>
      </c>
      <c r="AA2125" s="46" t="s">
        <v>401</v>
      </c>
      <c r="AB2125" s="47" t="s">
        <v>8721</v>
      </c>
      <c r="AC2125" s="48" t="s">
        <v>8532</v>
      </c>
      <c r="AD2125" s="30"/>
      <c r="AE2125" s="192">
        <v>1</v>
      </c>
      <c r="AF2125" s="100" t="s">
        <v>8722</v>
      </c>
      <c r="AG2125" s="100" t="s">
        <v>8925</v>
      </c>
      <c r="AH2125" s="100">
        <v>14</v>
      </c>
    </row>
    <row r="2126" spans="1:43" s="32" customFormat="1" ht="69.95" customHeight="1">
      <c r="A2126" s="29" t="s">
        <v>7929</v>
      </c>
      <c r="B2126" s="29" t="s">
        <v>8658</v>
      </c>
      <c r="C2126" s="32">
        <v>106</v>
      </c>
      <c r="E2126" s="57" t="s">
        <v>8165</v>
      </c>
      <c r="F2126" s="57" t="s">
        <v>8165</v>
      </c>
      <c r="G2126" s="29" t="s">
        <v>3924</v>
      </c>
      <c r="H2126" s="29"/>
      <c r="I2126" s="29"/>
      <c r="J2126" s="29">
        <f t="shared" si="170"/>
        <v>1</v>
      </c>
      <c r="K2126" s="42">
        <v>2112</v>
      </c>
      <c r="L2126" s="249" t="s">
        <v>3925</v>
      </c>
      <c r="M2126" s="44" t="s">
        <v>405</v>
      </c>
      <c r="N2126" s="44" t="s">
        <v>536</v>
      </c>
      <c r="O2126" s="44" t="str">
        <f t="shared" si="169"/>
        <v>PE-L1-4C4-24</v>
      </c>
      <c r="P2126" s="45">
        <v>0.55000000000000004</v>
      </c>
      <c r="Q2126" s="44">
        <v>400</v>
      </c>
      <c r="R2126" s="44" t="s">
        <v>8323</v>
      </c>
      <c r="S2126" s="44">
        <v>60</v>
      </c>
      <c r="T2126" s="46" t="s">
        <v>7981</v>
      </c>
      <c r="U2126" s="250" t="s">
        <v>9602</v>
      </c>
      <c r="V2126" s="250" t="s">
        <v>8703</v>
      </c>
      <c r="W2126" s="46" t="s">
        <v>7813</v>
      </c>
      <c r="X2126" s="47" t="s">
        <v>8721</v>
      </c>
      <c r="Y2126" s="47" t="s">
        <v>7975</v>
      </c>
      <c r="Z2126" s="46" t="s">
        <v>400</v>
      </c>
      <c r="AA2126" s="46" t="s">
        <v>401</v>
      </c>
      <c r="AB2126" s="47" t="s">
        <v>8721</v>
      </c>
      <c r="AC2126" s="48" t="s">
        <v>8533</v>
      </c>
      <c r="AD2126" s="30"/>
      <c r="AE2126" s="192">
        <v>1</v>
      </c>
      <c r="AF2126" s="100" t="s">
        <v>8722</v>
      </c>
      <c r="AG2126" s="100" t="s">
        <v>8925</v>
      </c>
      <c r="AH2126" s="100">
        <v>14</v>
      </c>
    </row>
    <row r="2127" spans="1:43" s="32" customFormat="1" ht="69.95" hidden="1" customHeight="1">
      <c r="F2127" s="121" t="s">
        <v>8598</v>
      </c>
      <c r="G2127" s="178" t="s">
        <v>9158</v>
      </c>
      <c r="H2127" s="29" t="s">
        <v>9105</v>
      </c>
      <c r="I2127" s="29"/>
      <c r="J2127" s="29"/>
      <c r="K2127" s="42">
        <v>2113</v>
      </c>
      <c r="L2127" s="128" t="s">
        <v>9467</v>
      </c>
      <c r="M2127" s="44" t="s">
        <v>405</v>
      </c>
      <c r="N2127" s="44" t="s">
        <v>7984</v>
      </c>
      <c r="O2127" s="126" t="str">
        <f>F2127</f>
        <v>PE-L1-3C4-27</v>
      </c>
      <c r="P2127" s="45">
        <v>1.54</v>
      </c>
      <c r="Q2127" s="44">
        <v>230</v>
      </c>
      <c r="R2127" s="44" t="s">
        <v>49</v>
      </c>
      <c r="S2127" s="177">
        <v>65</v>
      </c>
      <c r="T2127" s="46" t="s">
        <v>3926</v>
      </c>
      <c r="U2127" s="46" t="s">
        <v>9235</v>
      </c>
      <c r="V2127" s="46" t="s">
        <v>9426</v>
      </c>
      <c r="W2127" s="46" t="s">
        <v>55</v>
      </c>
      <c r="X2127" s="172" t="s">
        <v>9167</v>
      </c>
      <c r="Y2127" s="46" t="s">
        <v>9161</v>
      </c>
      <c r="Z2127" s="46" t="s">
        <v>9162</v>
      </c>
      <c r="AA2127" s="46" t="s">
        <v>3957</v>
      </c>
      <c r="AB2127" s="172" t="s">
        <v>9167</v>
      </c>
      <c r="AC2127" s="48" t="s">
        <v>9163</v>
      </c>
      <c r="AD2127" s="30"/>
    </row>
    <row r="2128" spans="1:43" s="32" customFormat="1" ht="69.95" hidden="1" customHeight="1">
      <c r="F2128" s="121" t="s">
        <v>8598</v>
      </c>
      <c r="G2128" s="178" t="s">
        <v>9164</v>
      </c>
      <c r="H2128" s="29" t="s">
        <v>9105</v>
      </c>
      <c r="I2128" s="29"/>
      <c r="J2128" s="29"/>
      <c r="K2128" s="42">
        <v>2114</v>
      </c>
      <c r="L2128" s="128" t="s">
        <v>9413</v>
      </c>
      <c r="M2128" s="44" t="s">
        <v>405</v>
      </c>
      <c r="N2128" s="44" t="s">
        <v>426</v>
      </c>
      <c r="O2128" s="126" t="str">
        <f t="shared" ref="O2128:O2139" si="171">F2128</f>
        <v>PE-L1-3C4-27</v>
      </c>
      <c r="P2128" s="45">
        <v>1.54</v>
      </c>
      <c r="Q2128" s="44">
        <v>230</v>
      </c>
      <c r="R2128" s="44" t="s">
        <v>49</v>
      </c>
      <c r="S2128" s="177">
        <v>65</v>
      </c>
      <c r="T2128" s="46" t="s">
        <v>3926</v>
      </c>
      <c r="U2128" s="46" t="s">
        <v>9235</v>
      </c>
      <c r="V2128" s="46" t="s">
        <v>9160</v>
      </c>
      <c r="W2128" s="46" t="s">
        <v>55</v>
      </c>
      <c r="X2128" s="172" t="s">
        <v>9167</v>
      </c>
      <c r="Y2128" s="46" t="s">
        <v>9165</v>
      </c>
      <c r="Z2128" s="46" t="s">
        <v>9166</v>
      </c>
      <c r="AA2128" s="46" t="s">
        <v>3957</v>
      </c>
      <c r="AB2128" s="172" t="s">
        <v>9167</v>
      </c>
      <c r="AC2128" s="48" t="s">
        <v>9163</v>
      </c>
      <c r="AD2128" s="30"/>
    </row>
    <row r="2129" spans="4:30" s="32" customFormat="1" ht="69.95" hidden="1" customHeight="1">
      <c r="F2129" s="121" t="s">
        <v>8598</v>
      </c>
      <c r="G2129" s="178" t="s">
        <v>9168</v>
      </c>
      <c r="H2129" s="29" t="s">
        <v>9105</v>
      </c>
      <c r="I2129" s="29"/>
      <c r="J2129" s="29"/>
      <c r="K2129" s="42">
        <v>2115</v>
      </c>
      <c r="L2129" s="128" t="s">
        <v>9414</v>
      </c>
      <c r="M2129" s="44" t="s">
        <v>405</v>
      </c>
      <c r="N2129" s="44" t="s">
        <v>426</v>
      </c>
      <c r="O2129" s="126" t="str">
        <f t="shared" si="171"/>
        <v>PE-L1-3C4-27</v>
      </c>
      <c r="P2129" s="45">
        <v>1.54</v>
      </c>
      <c r="Q2129" s="44">
        <v>230</v>
      </c>
      <c r="R2129" s="44" t="s">
        <v>49</v>
      </c>
      <c r="S2129" s="177">
        <v>70</v>
      </c>
      <c r="T2129" s="46" t="s">
        <v>3926</v>
      </c>
      <c r="U2129" s="46" t="s">
        <v>9159</v>
      </c>
      <c r="V2129" s="46" t="s">
        <v>9160</v>
      </c>
      <c r="W2129" s="46" t="s">
        <v>55</v>
      </c>
      <c r="X2129" s="172" t="s">
        <v>9167</v>
      </c>
      <c r="Y2129" s="46" t="s">
        <v>9169</v>
      </c>
      <c r="Z2129" s="46" t="s">
        <v>9170</v>
      </c>
      <c r="AA2129" s="46" t="s">
        <v>3957</v>
      </c>
      <c r="AB2129" s="172" t="s">
        <v>9167</v>
      </c>
      <c r="AC2129" s="48" t="s">
        <v>9171</v>
      </c>
      <c r="AD2129" s="30"/>
    </row>
    <row r="2130" spans="4:30" s="32" customFormat="1" ht="69.95" hidden="1" customHeight="1">
      <c r="F2130" s="121" t="s">
        <v>8598</v>
      </c>
      <c r="G2130" s="178" t="s">
        <v>9173</v>
      </c>
      <c r="H2130" s="29" t="s">
        <v>9105</v>
      </c>
      <c r="I2130" s="29"/>
      <c r="J2130" s="29"/>
      <c r="K2130" s="42">
        <v>2116</v>
      </c>
      <c r="L2130" s="128" t="s">
        <v>9415</v>
      </c>
      <c r="M2130" s="44" t="s">
        <v>405</v>
      </c>
      <c r="N2130" s="44" t="s">
        <v>426</v>
      </c>
      <c r="O2130" s="126" t="str">
        <f t="shared" si="171"/>
        <v>PE-L1-3C4-27</v>
      </c>
      <c r="P2130" s="45">
        <v>1.54</v>
      </c>
      <c r="Q2130" s="44">
        <v>230</v>
      </c>
      <c r="R2130" s="44" t="s">
        <v>49</v>
      </c>
      <c r="S2130" s="177">
        <v>70</v>
      </c>
      <c r="T2130" s="46" t="s">
        <v>3926</v>
      </c>
      <c r="U2130" s="46" t="s">
        <v>9159</v>
      </c>
      <c r="V2130" s="46" t="s">
        <v>9160</v>
      </c>
      <c r="W2130" s="46" t="s">
        <v>55</v>
      </c>
      <c r="X2130" s="172" t="s">
        <v>9167</v>
      </c>
      <c r="Y2130" s="46" t="s">
        <v>9174</v>
      </c>
      <c r="Z2130" s="46" t="s">
        <v>9175</v>
      </c>
      <c r="AA2130" s="46" t="s">
        <v>3957</v>
      </c>
      <c r="AB2130" s="172" t="s">
        <v>9167</v>
      </c>
      <c r="AC2130" s="48" t="s">
        <v>9171</v>
      </c>
      <c r="AD2130" s="30"/>
    </row>
    <row r="2131" spans="4:30" s="32" customFormat="1" ht="69.95" hidden="1" customHeight="1">
      <c r="F2131" s="121" t="s">
        <v>8598</v>
      </c>
      <c r="G2131" s="178" t="s">
        <v>9178</v>
      </c>
      <c r="H2131" s="29" t="s">
        <v>9105</v>
      </c>
      <c r="I2131" s="29"/>
      <c r="J2131" s="29"/>
      <c r="K2131" s="42">
        <v>2117</v>
      </c>
      <c r="L2131" s="128" t="s">
        <v>9416</v>
      </c>
      <c r="M2131" s="44" t="s">
        <v>405</v>
      </c>
      <c r="N2131" s="44" t="s">
        <v>426</v>
      </c>
      <c r="O2131" s="126" t="str">
        <f t="shared" si="171"/>
        <v>PE-L1-3C4-27</v>
      </c>
      <c r="P2131" s="45">
        <v>2.5</v>
      </c>
      <c r="Q2131" s="44">
        <v>230</v>
      </c>
      <c r="R2131" s="44" t="s">
        <v>49</v>
      </c>
      <c r="S2131" s="177">
        <v>65</v>
      </c>
      <c r="T2131" s="46" t="s">
        <v>4083</v>
      </c>
      <c r="U2131" s="46" t="s">
        <v>9159</v>
      </c>
      <c r="V2131" s="46" t="s">
        <v>9160</v>
      </c>
      <c r="W2131" s="46" t="s">
        <v>55</v>
      </c>
      <c r="X2131" s="172" t="s">
        <v>9167</v>
      </c>
      <c r="Y2131" s="46" t="s">
        <v>4264</v>
      </c>
      <c r="Z2131" s="46" t="s">
        <v>9179</v>
      </c>
      <c r="AA2131" s="46" t="s">
        <v>3957</v>
      </c>
      <c r="AB2131" s="172" t="s">
        <v>9167</v>
      </c>
      <c r="AC2131" s="48" t="s">
        <v>9163</v>
      </c>
      <c r="AD2131" s="30"/>
    </row>
    <row r="2132" spans="4:30" s="32" customFormat="1" ht="69.95" hidden="1" customHeight="1">
      <c r="F2132" s="121" t="s">
        <v>8598</v>
      </c>
      <c r="G2132" s="178" t="s">
        <v>9182</v>
      </c>
      <c r="H2132" s="29" t="s">
        <v>9105</v>
      </c>
      <c r="I2132" s="29"/>
      <c r="J2132" s="29"/>
      <c r="K2132" s="42">
        <v>2118</v>
      </c>
      <c r="L2132" s="128" t="s">
        <v>9417</v>
      </c>
      <c r="M2132" s="44" t="s">
        <v>405</v>
      </c>
      <c r="N2132" s="44" t="s">
        <v>426</v>
      </c>
      <c r="O2132" s="126" t="str">
        <f t="shared" si="171"/>
        <v>PE-L1-3C4-27</v>
      </c>
      <c r="P2132" s="45">
        <v>2.5</v>
      </c>
      <c r="Q2132" s="44">
        <v>230</v>
      </c>
      <c r="R2132" s="44" t="s">
        <v>49</v>
      </c>
      <c r="S2132" s="177">
        <v>70</v>
      </c>
      <c r="T2132" s="46" t="s">
        <v>4083</v>
      </c>
      <c r="U2132" s="46" t="s">
        <v>9159</v>
      </c>
      <c r="V2132" s="46" t="s">
        <v>9160</v>
      </c>
      <c r="W2132" s="46" t="s">
        <v>55</v>
      </c>
      <c r="X2132" s="172" t="s">
        <v>9167</v>
      </c>
      <c r="Y2132" s="46" t="s">
        <v>4398</v>
      </c>
      <c r="Z2132" s="46" t="s">
        <v>9179</v>
      </c>
      <c r="AA2132" s="46" t="s">
        <v>3957</v>
      </c>
      <c r="AB2132" s="172" t="s">
        <v>9167</v>
      </c>
      <c r="AC2132" s="48" t="s">
        <v>9171</v>
      </c>
      <c r="AD2132" s="30"/>
    </row>
    <row r="2133" spans="4:30" s="32" customFormat="1" ht="69.95" hidden="1" customHeight="1">
      <c r="F2133" s="121" t="s">
        <v>8598</v>
      </c>
      <c r="G2133" s="178" t="s">
        <v>9187</v>
      </c>
      <c r="H2133" s="29" t="s">
        <v>9105</v>
      </c>
      <c r="I2133" s="29"/>
      <c r="J2133" s="29"/>
      <c r="K2133" s="42">
        <v>2119</v>
      </c>
      <c r="L2133" s="128" t="s">
        <v>9407</v>
      </c>
      <c r="M2133" s="44" t="s">
        <v>405</v>
      </c>
      <c r="N2133" s="44" t="s">
        <v>426</v>
      </c>
      <c r="O2133" s="126" t="str">
        <f t="shared" si="171"/>
        <v>PE-L1-3C4-27</v>
      </c>
      <c r="P2133" s="45">
        <v>0.5</v>
      </c>
      <c r="Q2133" s="44">
        <v>230</v>
      </c>
      <c r="R2133" s="44" t="s">
        <v>428</v>
      </c>
      <c r="S2133" s="177">
        <v>75</v>
      </c>
      <c r="T2133" s="46" t="s">
        <v>4406</v>
      </c>
      <c r="U2133" s="46" t="s">
        <v>9184</v>
      </c>
      <c r="V2133" s="46" t="s">
        <v>9185</v>
      </c>
      <c r="W2133" s="46" t="s">
        <v>55</v>
      </c>
      <c r="X2133" s="172" t="s">
        <v>9167</v>
      </c>
      <c r="Y2133" s="46" t="s">
        <v>9188</v>
      </c>
      <c r="Z2133" s="46" t="s">
        <v>9189</v>
      </c>
      <c r="AA2133" s="46" t="s">
        <v>9186</v>
      </c>
      <c r="AB2133" s="172" t="s">
        <v>9167</v>
      </c>
      <c r="AC2133" s="48" t="s">
        <v>9190</v>
      </c>
      <c r="AD2133" s="30"/>
    </row>
    <row r="2134" spans="4:30" s="32" customFormat="1" ht="69.95" hidden="1" customHeight="1">
      <c r="F2134" s="121" t="s">
        <v>8598</v>
      </c>
      <c r="G2134" s="178" t="s">
        <v>9191</v>
      </c>
      <c r="H2134" s="29" t="s">
        <v>9105</v>
      </c>
      <c r="I2134" s="29"/>
      <c r="J2134" s="29"/>
      <c r="K2134" s="42">
        <v>2120</v>
      </c>
      <c r="L2134" s="128" t="s">
        <v>9404</v>
      </c>
      <c r="M2134" s="44" t="s">
        <v>405</v>
      </c>
      <c r="N2134" s="44" t="s">
        <v>426</v>
      </c>
      <c r="O2134" s="126" t="str">
        <f t="shared" si="171"/>
        <v>PE-L1-3C4-27</v>
      </c>
      <c r="P2134" s="45">
        <v>0.5</v>
      </c>
      <c r="Q2134" s="44">
        <v>230</v>
      </c>
      <c r="R2134" s="44" t="s">
        <v>428</v>
      </c>
      <c r="S2134" s="177">
        <v>75</v>
      </c>
      <c r="T2134" s="46" t="s">
        <v>4406</v>
      </c>
      <c r="U2134" s="46" t="s">
        <v>9403</v>
      </c>
      <c r="V2134" s="46" t="s">
        <v>9185</v>
      </c>
      <c r="W2134" s="46" t="s">
        <v>55</v>
      </c>
      <c r="X2134" s="172" t="s">
        <v>9167</v>
      </c>
      <c r="Y2134" s="46" t="s">
        <v>9193</v>
      </c>
      <c r="Z2134" s="46" t="s">
        <v>9194</v>
      </c>
      <c r="AA2134" s="46" t="s">
        <v>9186</v>
      </c>
      <c r="AB2134" s="172" t="s">
        <v>9167</v>
      </c>
      <c r="AC2134" s="48" t="s">
        <v>9195</v>
      </c>
      <c r="AD2134" s="30"/>
    </row>
    <row r="2135" spans="4:30" s="32" customFormat="1" ht="69.95" hidden="1" customHeight="1">
      <c r="E2135" s="117" t="s">
        <v>59</v>
      </c>
      <c r="F2135" s="117" t="s">
        <v>9508</v>
      </c>
      <c r="G2135" s="178" t="s">
        <v>9234</v>
      </c>
      <c r="H2135" s="29" t="s">
        <v>9105</v>
      </c>
      <c r="I2135" s="29"/>
      <c r="J2135" s="29"/>
      <c r="K2135" s="42">
        <v>2121</v>
      </c>
      <c r="L2135" s="128" t="s">
        <v>9418</v>
      </c>
      <c r="M2135" s="44" t="s">
        <v>405</v>
      </c>
      <c r="N2135" s="44" t="s">
        <v>8582</v>
      </c>
      <c r="O2135" s="126" t="str">
        <f t="shared" si="171"/>
        <v>PE-L1-3C25/16-01</v>
      </c>
      <c r="P2135" s="45">
        <v>11</v>
      </c>
      <c r="Q2135" s="44">
        <v>230</v>
      </c>
      <c r="R2135" s="44" t="s">
        <v>49</v>
      </c>
      <c r="S2135" s="177">
        <v>63</v>
      </c>
      <c r="T2135" s="46" t="s">
        <v>6130</v>
      </c>
      <c r="U2135" s="46" t="s">
        <v>9159</v>
      </c>
      <c r="V2135" s="46" t="s">
        <v>9160</v>
      </c>
      <c r="W2135" s="46" t="s">
        <v>55</v>
      </c>
      <c r="X2135" s="172" t="s">
        <v>9167</v>
      </c>
      <c r="Y2135" s="46" t="s">
        <v>6147</v>
      </c>
      <c r="Z2135" s="46" t="s">
        <v>9236</v>
      </c>
      <c r="AA2135" s="46" t="s">
        <v>6149</v>
      </c>
      <c r="AB2135" s="172" t="s">
        <v>9167</v>
      </c>
      <c r="AC2135" s="48" t="s">
        <v>9171</v>
      </c>
      <c r="AD2135" s="30"/>
    </row>
    <row r="2136" spans="4:30" s="32" customFormat="1" ht="69.95" hidden="1" customHeight="1">
      <c r="D2136" s="124" t="s">
        <v>9506</v>
      </c>
      <c r="E2136" s="121" t="s">
        <v>9427</v>
      </c>
      <c r="F2136" s="161" t="s">
        <v>9505</v>
      </c>
      <c r="G2136" s="178" t="s">
        <v>9237</v>
      </c>
      <c r="H2136" s="29" t="s">
        <v>9105</v>
      </c>
      <c r="I2136" s="29"/>
      <c r="J2136" s="29"/>
      <c r="K2136" s="42">
        <v>2122</v>
      </c>
      <c r="L2136" s="128" t="s">
        <v>9419</v>
      </c>
      <c r="M2136" s="44" t="s">
        <v>405</v>
      </c>
      <c r="N2136" s="44" t="s">
        <v>423</v>
      </c>
      <c r="O2136" s="188" t="str">
        <f t="shared" si="171"/>
        <v>PE-L1-3C25/16-02</v>
      </c>
      <c r="P2136" s="45">
        <v>11</v>
      </c>
      <c r="Q2136" s="44">
        <v>230</v>
      </c>
      <c r="R2136" s="44" t="s">
        <v>49</v>
      </c>
      <c r="S2136" s="177">
        <v>65</v>
      </c>
      <c r="T2136" s="46" t="s">
        <v>6130</v>
      </c>
      <c r="U2136" s="46" t="s">
        <v>9159</v>
      </c>
      <c r="V2136" s="46" t="s">
        <v>9160</v>
      </c>
      <c r="W2136" s="46" t="s">
        <v>55</v>
      </c>
      <c r="X2136" s="172" t="s">
        <v>9167</v>
      </c>
      <c r="Y2136" s="46" t="s">
        <v>6151</v>
      </c>
      <c r="Z2136" s="46" t="s">
        <v>9238</v>
      </c>
      <c r="AA2136" s="46" t="s">
        <v>6149</v>
      </c>
      <c r="AB2136" s="172" t="s">
        <v>9167</v>
      </c>
      <c r="AC2136" s="48" t="s">
        <v>9507</v>
      </c>
      <c r="AD2136" s="30"/>
    </row>
    <row r="2137" spans="4:30" s="32" customFormat="1" ht="69.95" hidden="1" customHeight="1">
      <c r="E2137" s="117" t="s">
        <v>59</v>
      </c>
      <c r="F2137" s="117" t="s">
        <v>59</v>
      </c>
      <c r="G2137" s="178" t="s">
        <v>9239</v>
      </c>
      <c r="H2137" s="29" t="s">
        <v>9105</v>
      </c>
      <c r="I2137" s="29"/>
      <c r="J2137" s="29"/>
      <c r="K2137" s="42">
        <v>2123</v>
      </c>
      <c r="L2137" s="128" t="s">
        <v>9408</v>
      </c>
      <c r="M2137" s="44" t="s">
        <v>405</v>
      </c>
      <c r="N2137" s="44" t="s">
        <v>423</v>
      </c>
      <c r="O2137" s="126" t="str">
        <f t="shared" si="171"/>
        <v>PE-L1-3C25/16-01</v>
      </c>
      <c r="P2137" s="45">
        <v>10</v>
      </c>
      <c r="Q2137" s="44">
        <v>230</v>
      </c>
      <c r="R2137" s="44" t="s">
        <v>428</v>
      </c>
      <c r="S2137" s="177">
        <v>63</v>
      </c>
      <c r="T2137" s="46" t="s">
        <v>6130</v>
      </c>
      <c r="U2137" s="46" t="s">
        <v>9184</v>
      </c>
      <c r="V2137" s="46" t="s">
        <v>9185</v>
      </c>
      <c r="W2137" s="46" t="s">
        <v>55</v>
      </c>
      <c r="X2137" s="172" t="s">
        <v>9167</v>
      </c>
      <c r="Y2137" s="46" t="s">
        <v>9240</v>
      </c>
      <c r="Z2137" s="46" t="s">
        <v>9241</v>
      </c>
      <c r="AA2137" s="46" t="s">
        <v>6149</v>
      </c>
      <c r="AB2137" s="172" t="s">
        <v>9167</v>
      </c>
      <c r="AC2137" s="48" t="s">
        <v>9242</v>
      </c>
      <c r="AD2137" s="30"/>
    </row>
    <row r="2138" spans="4:30" s="32" customFormat="1" ht="69.95" hidden="1" customHeight="1">
      <c r="D2138" s="124" t="s">
        <v>9506</v>
      </c>
      <c r="E2138" s="121" t="s">
        <v>9427</v>
      </c>
      <c r="F2138" s="161" t="s">
        <v>9505</v>
      </c>
      <c r="G2138" s="178" t="s">
        <v>9243</v>
      </c>
      <c r="H2138" s="29" t="s">
        <v>9105</v>
      </c>
      <c r="I2138" s="29"/>
      <c r="J2138" s="29"/>
      <c r="K2138" s="42">
        <v>2124</v>
      </c>
      <c r="L2138" s="128" t="s">
        <v>9405</v>
      </c>
      <c r="M2138" s="44" t="s">
        <v>405</v>
      </c>
      <c r="N2138" s="44" t="s">
        <v>423</v>
      </c>
      <c r="O2138" s="188" t="str">
        <f t="shared" si="171"/>
        <v>PE-L1-3C25/16-02</v>
      </c>
      <c r="P2138" s="45">
        <v>10</v>
      </c>
      <c r="Q2138" s="44">
        <v>230</v>
      </c>
      <c r="R2138" s="44" t="s">
        <v>428</v>
      </c>
      <c r="S2138" s="177">
        <v>65</v>
      </c>
      <c r="T2138" s="46" t="s">
        <v>6130</v>
      </c>
      <c r="U2138" s="46" t="s">
        <v>9192</v>
      </c>
      <c r="V2138" s="46" t="s">
        <v>9185</v>
      </c>
      <c r="W2138" s="46" t="s">
        <v>55</v>
      </c>
      <c r="X2138" s="172" t="s">
        <v>9167</v>
      </c>
      <c r="Y2138" s="46" t="s">
        <v>9240</v>
      </c>
      <c r="Z2138" s="46" t="s">
        <v>9244</v>
      </c>
      <c r="AA2138" s="46" t="s">
        <v>6149</v>
      </c>
      <c r="AB2138" s="172" t="s">
        <v>9167</v>
      </c>
      <c r="AC2138" s="48" t="s">
        <v>9245</v>
      </c>
      <c r="AD2138" s="30"/>
    </row>
    <row r="2139" spans="4:30" s="32" customFormat="1" ht="69.95" hidden="1" customHeight="1">
      <c r="E2139" s="117" t="s">
        <v>59</v>
      </c>
      <c r="F2139" s="117" t="s">
        <v>59</v>
      </c>
      <c r="G2139" s="178" t="s">
        <v>9246</v>
      </c>
      <c r="H2139" s="29" t="s">
        <v>9105</v>
      </c>
      <c r="I2139" s="29"/>
      <c r="J2139" s="29"/>
      <c r="K2139" s="42">
        <v>2125</v>
      </c>
      <c r="L2139" s="128" t="s">
        <v>9420</v>
      </c>
      <c r="M2139" s="44" t="s">
        <v>405</v>
      </c>
      <c r="N2139" s="44" t="s">
        <v>423</v>
      </c>
      <c r="O2139" s="126" t="str">
        <f t="shared" si="171"/>
        <v>PE-L1-3C25/16-01</v>
      </c>
      <c r="P2139" s="45">
        <v>13</v>
      </c>
      <c r="Q2139" s="44">
        <v>230</v>
      </c>
      <c r="R2139" s="44" t="s">
        <v>49</v>
      </c>
      <c r="S2139" s="177">
        <v>63</v>
      </c>
      <c r="T2139" s="46" t="s">
        <v>6130</v>
      </c>
      <c r="U2139" s="46" t="s">
        <v>9235</v>
      </c>
      <c r="V2139" s="46" t="s">
        <v>9160</v>
      </c>
      <c r="W2139" s="46" t="s">
        <v>55</v>
      </c>
      <c r="X2139" s="172" t="s">
        <v>9167</v>
      </c>
      <c r="Y2139" s="46" t="s">
        <v>9240</v>
      </c>
      <c r="Z2139" s="46" t="s">
        <v>9247</v>
      </c>
      <c r="AA2139" s="46" t="s">
        <v>6149</v>
      </c>
      <c r="AB2139" s="172" t="s">
        <v>9167</v>
      </c>
      <c r="AC2139" s="48" t="s">
        <v>9248</v>
      </c>
      <c r="AD2139" s="30"/>
    </row>
    <row r="2140" spans="4:30" s="32" customFormat="1" ht="69.95" hidden="1" customHeight="1">
      <c r="F2140" s="121" t="s">
        <v>8598</v>
      </c>
      <c r="G2140" s="178" t="s">
        <v>9249</v>
      </c>
      <c r="H2140" s="29" t="s">
        <v>9105</v>
      </c>
      <c r="I2140" s="29"/>
      <c r="J2140" s="29"/>
      <c r="K2140" s="42">
        <v>2126</v>
      </c>
      <c r="L2140" s="128" t="s">
        <v>9409</v>
      </c>
      <c r="M2140" s="44" t="s">
        <v>405</v>
      </c>
      <c r="N2140" s="44" t="s">
        <v>426</v>
      </c>
      <c r="O2140" s="126" t="str">
        <f t="shared" ref="O2140:O2145" si="172">F2140</f>
        <v>PE-L1-3C4-27</v>
      </c>
      <c r="P2140" s="45">
        <v>0.5</v>
      </c>
      <c r="Q2140" s="44">
        <v>230</v>
      </c>
      <c r="R2140" s="44" t="s">
        <v>428</v>
      </c>
      <c r="S2140" s="177">
        <v>105</v>
      </c>
      <c r="T2140" s="46" t="s">
        <v>9250</v>
      </c>
      <c r="U2140" s="46" t="s">
        <v>9184</v>
      </c>
      <c r="V2140" s="46" t="s">
        <v>9185</v>
      </c>
      <c r="W2140" s="46" t="s">
        <v>55</v>
      </c>
      <c r="X2140" s="172" t="s">
        <v>9167</v>
      </c>
      <c r="Y2140" s="46" t="s">
        <v>9251</v>
      </c>
      <c r="Z2140" s="46" t="s">
        <v>9252</v>
      </c>
      <c r="AA2140" s="46" t="s">
        <v>9253</v>
      </c>
      <c r="AB2140" s="172" t="s">
        <v>9167</v>
      </c>
      <c r="AC2140" s="48" t="s">
        <v>9254</v>
      </c>
      <c r="AD2140" s="30"/>
    </row>
    <row r="2141" spans="4:30" s="32" customFormat="1" ht="69.95" hidden="1" customHeight="1">
      <c r="F2141" s="121" t="s">
        <v>8598</v>
      </c>
      <c r="G2141" s="178" t="s">
        <v>9258</v>
      </c>
      <c r="H2141" s="29" t="s">
        <v>9105</v>
      </c>
      <c r="I2141" s="29"/>
      <c r="J2141" s="29"/>
      <c r="K2141" s="42">
        <v>2127</v>
      </c>
      <c r="L2141" s="128" t="s">
        <v>9410</v>
      </c>
      <c r="M2141" s="44" t="s">
        <v>405</v>
      </c>
      <c r="N2141" s="44" t="s">
        <v>426</v>
      </c>
      <c r="O2141" s="126" t="str">
        <f t="shared" si="172"/>
        <v>PE-L1-3C4-27</v>
      </c>
      <c r="P2141" s="45">
        <v>1.5</v>
      </c>
      <c r="Q2141" s="44">
        <v>230</v>
      </c>
      <c r="R2141" s="44" t="s">
        <v>428</v>
      </c>
      <c r="S2141" s="177">
        <v>75</v>
      </c>
      <c r="T2141" s="46" t="s">
        <v>6228</v>
      </c>
      <c r="U2141" s="46" t="s">
        <v>9184</v>
      </c>
      <c r="V2141" s="46" t="s">
        <v>9185</v>
      </c>
      <c r="W2141" s="46" t="s">
        <v>55</v>
      </c>
      <c r="X2141" s="172" t="s">
        <v>9167</v>
      </c>
      <c r="Y2141" s="46" t="s">
        <v>9259</v>
      </c>
      <c r="Z2141" s="46" t="s">
        <v>9260</v>
      </c>
      <c r="AA2141" s="46" t="s">
        <v>9261</v>
      </c>
      <c r="AB2141" s="172" t="s">
        <v>9167</v>
      </c>
      <c r="AC2141" s="48" t="s">
        <v>9190</v>
      </c>
      <c r="AD2141" s="30"/>
    </row>
    <row r="2142" spans="4:30" s="32" customFormat="1" ht="69.95" hidden="1" customHeight="1">
      <c r="F2142" s="121" t="s">
        <v>8598</v>
      </c>
      <c r="G2142" s="178" t="s">
        <v>9262</v>
      </c>
      <c r="H2142" s="29" t="s">
        <v>9105</v>
      </c>
      <c r="I2142" s="29"/>
      <c r="J2142" s="29"/>
      <c r="K2142" s="42">
        <v>2128</v>
      </c>
      <c r="L2142" s="128" t="s">
        <v>9406</v>
      </c>
      <c r="M2142" s="44" t="s">
        <v>405</v>
      </c>
      <c r="N2142" s="44" t="s">
        <v>426</v>
      </c>
      <c r="O2142" s="126" t="str">
        <f t="shared" si="172"/>
        <v>PE-L1-3C4-27</v>
      </c>
      <c r="P2142" s="45">
        <v>1.5</v>
      </c>
      <c r="Q2142" s="44">
        <v>230</v>
      </c>
      <c r="R2142" s="44" t="s">
        <v>428</v>
      </c>
      <c r="S2142" s="177">
        <v>75</v>
      </c>
      <c r="T2142" s="46" t="s">
        <v>6228</v>
      </c>
      <c r="U2142" s="46" t="s">
        <v>9192</v>
      </c>
      <c r="V2142" s="46" t="s">
        <v>9185</v>
      </c>
      <c r="W2142" s="46" t="s">
        <v>55</v>
      </c>
      <c r="X2142" s="172" t="s">
        <v>9167</v>
      </c>
      <c r="Y2142" s="46" t="s">
        <v>9259</v>
      </c>
      <c r="Z2142" s="46" t="s">
        <v>9263</v>
      </c>
      <c r="AA2142" s="46" t="s">
        <v>9261</v>
      </c>
      <c r="AB2142" s="172" t="s">
        <v>9167</v>
      </c>
      <c r="AC2142" s="48" t="s">
        <v>9195</v>
      </c>
      <c r="AD2142" s="30"/>
    </row>
    <row r="2143" spans="4:30" s="32" customFormat="1" ht="69.95" hidden="1" customHeight="1">
      <c r="F2143" s="121" t="s">
        <v>8598</v>
      </c>
      <c r="G2143" s="178" t="s">
        <v>9264</v>
      </c>
      <c r="H2143" s="29" t="s">
        <v>9105</v>
      </c>
      <c r="I2143" s="29"/>
      <c r="J2143" s="29"/>
      <c r="K2143" s="42">
        <v>2129</v>
      </c>
      <c r="L2143" s="128" t="s">
        <v>9421</v>
      </c>
      <c r="M2143" s="44" t="s">
        <v>405</v>
      </c>
      <c r="N2143" s="44" t="s">
        <v>426</v>
      </c>
      <c r="O2143" s="126" t="str">
        <f t="shared" si="172"/>
        <v>PE-L1-3C4-27</v>
      </c>
      <c r="P2143" s="45">
        <v>0.5</v>
      </c>
      <c r="Q2143" s="44">
        <v>230</v>
      </c>
      <c r="R2143" s="44" t="s">
        <v>49</v>
      </c>
      <c r="S2143" s="177">
        <v>75</v>
      </c>
      <c r="T2143" s="46" t="s">
        <v>6228</v>
      </c>
      <c r="U2143" s="46" t="s">
        <v>9159</v>
      </c>
      <c r="V2143" s="46" t="s">
        <v>9160</v>
      </c>
      <c r="W2143" s="46" t="s">
        <v>55</v>
      </c>
      <c r="X2143" s="172" t="s">
        <v>9167</v>
      </c>
      <c r="Y2143" s="46" t="s">
        <v>9259</v>
      </c>
      <c r="Z2143" s="46" t="s">
        <v>9265</v>
      </c>
      <c r="AA2143" s="46" t="s">
        <v>9261</v>
      </c>
      <c r="AB2143" s="172" t="s">
        <v>9167</v>
      </c>
      <c r="AC2143" s="48" t="s">
        <v>9266</v>
      </c>
      <c r="AD2143" s="30"/>
    </row>
    <row r="2144" spans="4:30" s="32" customFormat="1" ht="69.95" hidden="1" customHeight="1">
      <c r="F2144" s="121" t="s">
        <v>8598</v>
      </c>
      <c r="G2144" s="178" t="s">
        <v>9279</v>
      </c>
      <c r="H2144" s="29" t="s">
        <v>9105</v>
      </c>
      <c r="I2144" s="29"/>
      <c r="J2144" s="29"/>
      <c r="K2144" s="42">
        <v>2130</v>
      </c>
      <c r="L2144" s="128" t="s">
        <v>9422</v>
      </c>
      <c r="M2144" s="44" t="s">
        <v>405</v>
      </c>
      <c r="N2144" s="44" t="s">
        <v>426</v>
      </c>
      <c r="O2144" s="126" t="str">
        <f t="shared" si="172"/>
        <v>PE-L1-3C4-27</v>
      </c>
      <c r="P2144" s="45">
        <v>0.3</v>
      </c>
      <c r="Q2144" s="44">
        <v>230</v>
      </c>
      <c r="R2144" s="44" t="s">
        <v>49</v>
      </c>
      <c r="S2144" s="177">
        <v>70</v>
      </c>
      <c r="T2144" s="46" t="s">
        <v>6734</v>
      </c>
      <c r="U2144" s="46" t="s">
        <v>9159</v>
      </c>
      <c r="V2144" s="46" t="s">
        <v>9160</v>
      </c>
      <c r="W2144" s="46" t="s">
        <v>55</v>
      </c>
      <c r="X2144" s="172" t="s">
        <v>9167</v>
      </c>
      <c r="Y2144" s="46" t="s">
        <v>3953</v>
      </c>
      <c r="Z2144" s="46" t="s">
        <v>3954</v>
      </c>
      <c r="AA2144" s="46" t="s">
        <v>3957</v>
      </c>
      <c r="AB2144" s="172" t="s">
        <v>9167</v>
      </c>
      <c r="AC2144" s="48" t="s">
        <v>9248</v>
      </c>
      <c r="AD2144" s="30"/>
    </row>
    <row r="2145" spans="5:31" s="32" customFormat="1" ht="69.95" hidden="1" customHeight="1">
      <c r="F2145" s="121" t="s">
        <v>8598</v>
      </c>
      <c r="G2145" s="178" t="s">
        <v>9283</v>
      </c>
      <c r="H2145" s="29" t="s">
        <v>9105</v>
      </c>
      <c r="I2145" s="29"/>
      <c r="J2145" s="29"/>
      <c r="K2145" s="42">
        <v>2131</v>
      </c>
      <c r="L2145" s="128" t="s">
        <v>9469</v>
      </c>
      <c r="M2145" s="44" t="s">
        <v>405</v>
      </c>
      <c r="N2145" s="44" t="s">
        <v>426</v>
      </c>
      <c r="O2145" s="126" t="str">
        <f t="shared" si="172"/>
        <v>PE-L1-3C4-27</v>
      </c>
      <c r="P2145" s="45">
        <v>0.3</v>
      </c>
      <c r="Q2145" s="44">
        <v>230</v>
      </c>
      <c r="R2145" s="44" t="s">
        <v>49</v>
      </c>
      <c r="S2145" s="177">
        <v>70</v>
      </c>
      <c r="T2145" s="46" t="s">
        <v>6734</v>
      </c>
      <c r="U2145" s="46" t="s">
        <v>9159</v>
      </c>
      <c r="V2145" s="46" t="s">
        <v>9160</v>
      </c>
      <c r="W2145" s="46" t="s">
        <v>55</v>
      </c>
      <c r="X2145" s="172" t="s">
        <v>9167</v>
      </c>
      <c r="Y2145" s="46" t="s">
        <v>4025</v>
      </c>
      <c r="Z2145" s="46" t="s">
        <v>4026</v>
      </c>
      <c r="AA2145" s="46" t="s">
        <v>3957</v>
      </c>
      <c r="AB2145" s="172" t="s">
        <v>9167</v>
      </c>
      <c r="AC2145" s="48" t="s">
        <v>9248</v>
      </c>
      <c r="AD2145" s="30"/>
    </row>
    <row r="2146" spans="5:31" s="32" customFormat="1" ht="69.95" hidden="1" customHeight="1">
      <c r="E2146" s="101" t="s">
        <v>8669</v>
      </c>
      <c r="F2146" s="126" t="s">
        <v>8307</v>
      </c>
      <c r="G2146" s="178" t="s">
        <v>9290</v>
      </c>
      <c r="H2146" s="29" t="s">
        <v>9105</v>
      </c>
      <c r="I2146" s="29"/>
      <c r="J2146" s="29"/>
      <c r="K2146" s="42">
        <v>2132</v>
      </c>
      <c r="L2146" s="128" t="s">
        <v>9423</v>
      </c>
      <c r="M2146" s="44" t="s">
        <v>405</v>
      </c>
      <c r="N2146" s="44" t="s">
        <v>7984</v>
      </c>
      <c r="O2146" s="126" t="str">
        <f t="shared" ref="O2146:O2152" si="173">F2146</f>
        <v>PE-L1-3C4-15</v>
      </c>
      <c r="P2146" s="45">
        <v>1.2</v>
      </c>
      <c r="Q2146" s="44">
        <v>230</v>
      </c>
      <c r="R2146" s="44" t="s">
        <v>49</v>
      </c>
      <c r="S2146" s="177">
        <v>70</v>
      </c>
      <c r="T2146" s="46" t="s">
        <v>6963</v>
      </c>
      <c r="U2146" s="46" t="s">
        <v>9159</v>
      </c>
      <c r="V2146" s="46" t="s">
        <v>9160</v>
      </c>
      <c r="W2146" s="46" t="s">
        <v>55</v>
      </c>
      <c r="X2146" s="172" t="s">
        <v>9167</v>
      </c>
      <c r="Y2146" s="46" t="s">
        <v>9291</v>
      </c>
      <c r="Z2146" s="46" t="s">
        <v>9292</v>
      </c>
      <c r="AA2146" s="46" t="s">
        <v>3957</v>
      </c>
      <c r="AB2146" s="172" t="s">
        <v>9167</v>
      </c>
      <c r="AC2146" s="48" t="s">
        <v>9248</v>
      </c>
      <c r="AD2146" s="30"/>
    </row>
    <row r="2147" spans="5:31" s="32" customFormat="1" ht="69.95" hidden="1" customHeight="1">
      <c r="E2147" s="101" t="s">
        <v>8669</v>
      </c>
      <c r="F2147" s="121" t="s">
        <v>8598</v>
      </c>
      <c r="G2147" s="178" t="s">
        <v>9293</v>
      </c>
      <c r="H2147" s="29" t="s">
        <v>9105</v>
      </c>
      <c r="I2147" s="29"/>
      <c r="J2147" s="29"/>
      <c r="K2147" s="42">
        <v>2133</v>
      </c>
      <c r="L2147" s="128" t="s">
        <v>9411</v>
      </c>
      <c r="M2147" s="44" t="s">
        <v>405</v>
      </c>
      <c r="N2147" s="44" t="s">
        <v>7984</v>
      </c>
      <c r="O2147" s="126" t="str">
        <f t="shared" si="173"/>
        <v>PE-L1-3C4-27</v>
      </c>
      <c r="P2147" s="45">
        <v>1.2</v>
      </c>
      <c r="Q2147" s="44">
        <v>230</v>
      </c>
      <c r="R2147" s="44" t="s">
        <v>428</v>
      </c>
      <c r="S2147" s="177">
        <v>70</v>
      </c>
      <c r="T2147" s="46" t="s">
        <v>6963</v>
      </c>
      <c r="U2147" s="46" t="s">
        <v>9184</v>
      </c>
      <c r="V2147" s="46" t="s">
        <v>9185</v>
      </c>
      <c r="W2147" s="46" t="s">
        <v>55</v>
      </c>
      <c r="X2147" s="172" t="s">
        <v>9167</v>
      </c>
      <c r="Y2147" s="46" t="s">
        <v>9291</v>
      </c>
      <c r="Z2147" s="46" t="s">
        <v>9292</v>
      </c>
      <c r="AA2147" s="46" t="s">
        <v>3957</v>
      </c>
      <c r="AB2147" s="172" t="s">
        <v>9167</v>
      </c>
      <c r="AC2147" s="48" t="s">
        <v>9294</v>
      </c>
      <c r="AD2147" s="30"/>
      <c r="AE2147" s="31"/>
    </row>
    <row r="2148" spans="5:31" s="32" customFormat="1" ht="69.95" hidden="1" customHeight="1">
      <c r="E2148" s="101" t="s">
        <v>8669</v>
      </c>
      <c r="F2148" s="126" t="s">
        <v>8307</v>
      </c>
      <c r="G2148" s="178" t="s">
        <v>9295</v>
      </c>
      <c r="H2148" s="29" t="s">
        <v>9105</v>
      </c>
      <c r="I2148" s="29"/>
      <c r="J2148" s="29"/>
      <c r="K2148" s="42">
        <v>2134</v>
      </c>
      <c r="L2148" s="128" t="s">
        <v>9424</v>
      </c>
      <c r="M2148" s="44" t="s">
        <v>405</v>
      </c>
      <c r="N2148" s="44" t="s">
        <v>7984</v>
      </c>
      <c r="O2148" s="126" t="str">
        <f t="shared" si="173"/>
        <v>PE-L1-3C4-15</v>
      </c>
      <c r="P2148" s="45">
        <v>0.01</v>
      </c>
      <c r="Q2148" s="44">
        <v>230</v>
      </c>
      <c r="R2148" s="44" t="s">
        <v>49</v>
      </c>
      <c r="S2148" s="177">
        <v>70</v>
      </c>
      <c r="T2148" s="46" t="s">
        <v>6963</v>
      </c>
      <c r="U2148" s="46" t="s">
        <v>9159</v>
      </c>
      <c r="V2148" s="46" t="s">
        <v>9160</v>
      </c>
      <c r="W2148" s="46" t="s">
        <v>55</v>
      </c>
      <c r="X2148" s="172" t="s">
        <v>9167</v>
      </c>
      <c r="Y2148" s="46" t="s">
        <v>9291</v>
      </c>
      <c r="Z2148" s="46" t="s">
        <v>9292</v>
      </c>
      <c r="AA2148" s="46" t="s">
        <v>3957</v>
      </c>
      <c r="AB2148" s="172" t="s">
        <v>9167</v>
      </c>
      <c r="AC2148" s="48" t="s">
        <v>9248</v>
      </c>
      <c r="AD2148" s="30"/>
      <c r="AE2148" s="31"/>
    </row>
    <row r="2149" spans="5:31" s="32" customFormat="1" ht="69.95" hidden="1" customHeight="1">
      <c r="E2149" s="101" t="s">
        <v>8669</v>
      </c>
      <c r="F2149" s="126" t="s">
        <v>8307</v>
      </c>
      <c r="G2149" s="178" t="s">
        <v>9296</v>
      </c>
      <c r="H2149" s="29" t="s">
        <v>9105</v>
      </c>
      <c r="I2149" s="29"/>
      <c r="J2149" s="29"/>
      <c r="K2149" s="42">
        <v>2135</v>
      </c>
      <c r="L2149" s="128" t="s">
        <v>9425</v>
      </c>
      <c r="M2149" s="44" t="s">
        <v>405</v>
      </c>
      <c r="N2149" s="44" t="s">
        <v>7984</v>
      </c>
      <c r="O2149" s="126" t="str">
        <f t="shared" si="173"/>
        <v>PE-L1-3C4-15</v>
      </c>
      <c r="P2149" s="45">
        <v>2</v>
      </c>
      <c r="Q2149" s="44">
        <v>230</v>
      </c>
      <c r="R2149" s="44" t="s">
        <v>49</v>
      </c>
      <c r="S2149" s="177">
        <v>55</v>
      </c>
      <c r="T2149" s="46" t="s">
        <v>6963</v>
      </c>
      <c r="U2149" s="46" t="s">
        <v>9159</v>
      </c>
      <c r="V2149" s="46" t="s">
        <v>9160</v>
      </c>
      <c r="W2149" s="46" t="s">
        <v>55</v>
      </c>
      <c r="X2149" s="172" t="s">
        <v>9167</v>
      </c>
      <c r="Y2149" s="46" t="s">
        <v>9297</v>
      </c>
      <c r="Z2149" s="46" t="s">
        <v>9298</v>
      </c>
      <c r="AA2149" s="46" t="s">
        <v>3957</v>
      </c>
      <c r="AB2149" s="172" t="s">
        <v>9167</v>
      </c>
      <c r="AC2149" s="48" t="s">
        <v>9299</v>
      </c>
      <c r="AD2149" s="30"/>
      <c r="AE2149" s="31"/>
    </row>
    <row r="2150" spans="5:31" s="32" customFormat="1" ht="69.95" hidden="1" customHeight="1">
      <c r="E2150" s="101" t="s">
        <v>8669</v>
      </c>
      <c r="F2150" s="121" t="s">
        <v>8598</v>
      </c>
      <c r="G2150" s="178" t="s">
        <v>9300</v>
      </c>
      <c r="H2150" s="29" t="s">
        <v>9105</v>
      </c>
      <c r="I2150" s="29"/>
      <c r="J2150" s="29"/>
      <c r="K2150" s="42">
        <v>2136</v>
      </c>
      <c r="L2150" s="128" t="s">
        <v>9412</v>
      </c>
      <c r="M2150" s="44" t="s">
        <v>405</v>
      </c>
      <c r="N2150" s="44" t="s">
        <v>7984</v>
      </c>
      <c r="O2150" s="126" t="str">
        <f t="shared" si="173"/>
        <v>PE-L1-3C4-27</v>
      </c>
      <c r="P2150" s="45">
        <v>2</v>
      </c>
      <c r="Q2150" s="44">
        <v>230</v>
      </c>
      <c r="R2150" s="44" t="s">
        <v>428</v>
      </c>
      <c r="S2150" s="177">
        <v>55</v>
      </c>
      <c r="T2150" s="46" t="s">
        <v>6963</v>
      </c>
      <c r="U2150" s="46" t="s">
        <v>9184</v>
      </c>
      <c r="V2150" s="46" t="s">
        <v>9185</v>
      </c>
      <c r="W2150" s="46" t="s">
        <v>55</v>
      </c>
      <c r="X2150" s="172" t="s">
        <v>9167</v>
      </c>
      <c r="Y2150" s="46" t="s">
        <v>9297</v>
      </c>
      <c r="Z2150" s="46" t="s">
        <v>9298</v>
      </c>
      <c r="AA2150" s="46" t="s">
        <v>3957</v>
      </c>
      <c r="AB2150" s="172" t="s">
        <v>9167</v>
      </c>
      <c r="AC2150" s="48" t="s">
        <v>9301</v>
      </c>
      <c r="AD2150" s="30"/>
      <c r="AE2150" s="31"/>
    </row>
    <row r="2151" spans="5:31" s="32" customFormat="1" ht="69.95" hidden="1" customHeight="1">
      <c r="E2151" s="101" t="s">
        <v>8669</v>
      </c>
      <c r="F2151" s="126" t="s">
        <v>8307</v>
      </c>
      <c r="G2151" s="178" t="s">
        <v>9302</v>
      </c>
      <c r="H2151" s="29" t="s">
        <v>9105</v>
      </c>
      <c r="I2151" s="29"/>
      <c r="J2151" s="29"/>
      <c r="K2151" s="42">
        <v>2137</v>
      </c>
      <c r="L2151" s="128" t="s">
        <v>9468</v>
      </c>
      <c r="M2151" s="44" t="s">
        <v>405</v>
      </c>
      <c r="N2151" s="44" t="s">
        <v>7984</v>
      </c>
      <c r="O2151" s="126" t="str">
        <f t="shared" si="173"/>
        <v>PE-L1-3C4-15</v>
      </c>
      <c r="P2151" s="45">
        <v>0.14000000000000001</v>
      </c>
      <c r="Q2151" s="44">
        <v>230</v>
      </c>
      <c r="R2151" s="44" t="s">
        <v>49</v>
      </c>
      <c r="S2151" s="177">
        <v>55</v>
      </c>
      <c r="T2151" s="46" t="s">
        <v>6963</v>
      </c>
      <c r="U2151" s="46" t="s">
        <v>9159</v>
      </c>
      <c r="V2151" s="46" t="s">
        <v>9160</v>
      </c>
      <c r="W2151" s="46" t="s">
        <v>55</v>
      </c>
      <c r="X2151" s="172" t="s">
        <v>9167</v>
      </c>
      <c r="Y2151" s="46" t="s">
        <v>9297</v>
      </c>
      <c r="Z2151" s="46" t="s">
        <v>9298</v>
      </c>
      <c r="AA2151" s="46" t="s">
        <v>3957</v>
      </c>
      <c r="AB2151" s="172" t="s">
        <v>9167</v>
      </c>
      <c r="AC2151" s="48" t="s">
        <v>9299</v>
      </c>
      <c r="AD2151" s="30"/>
      <c r="AE2151" s="31"/>
    </row>
    <row r="2152" spans="5:31" s="32" customFormat="1" ht="69.95" hidden="1" customHeight="1">
      <c r="E2152" s="101"/>
      <c r="F2152" s="126" t="s">
        <v>66</v>
      </c>
      <c r="G2152" s="116" t="s">
        <v>9376</v>
      </c>
      <c r="H2152" s="124" t="s">
        <v>9563</v>
      </c>
      <c r="I2152" s="124" t="s">
        <v>9121</v>
      </c>
      <c r="J2152" s="29"/>
      <c r="K2152" s="42">
        <v>2138</v>
      </c>
      <c r="L2152" s="152" t="s">
        <v>9319</v>
      </c>
      <c r="M2152" s="44" t="s">
        <v>405</v>
      </c>
      <c r="N2152" s="44" t="s">
        <v>56</v>
      </c>
      <c r="O2152" s="101" t="str">
        <f t="shared" si="173"/>
        <v>PE-L1-1C185-05</v>
      </c>
      <c r="P2152" s="45">
        <v>264</v>
      </c>
      <c r="Q2152" s="44">
        <v>220</v>
      </c>
      <c r="R2152" s="44" t="s">
        <v>509</v>
      </c>
      <c r="S2152" s="101">
        <v>30</v>
      </c>
      <c r="T2152" s="46" t="s">
        <v>6734</v>
      </c>
      <c r="U2152" s="46" t="s">
        <v>6803</v>
      </c>
      <c r="V2152" s="46" t="s">
        <v>6813</v>
      </c>
      <c r="W2152" s="46" t="s">
        <v>335</v>
      </c>
      <c r="X2152" s="47" t="s">
        <v>9274</v>
      </c>
      <c r="Y2152" s="46" t="s">
        <v>6829</v>
      </c>
      <c r="Z2152" s="46" t="s">
        <v>6830</v>
      </c>
      <c r="AA2152" s="46" t="s">
        <v>335</v>
      </c>
      <c r="AB2152" s="47" t="s">
        <v>9274</v>
      </c>
      <c r="AC2152" s="48" t="s">
        <v>9320</v>
      </c>
      <c r="AD2152" s="30"/>
      <c r="AE2152" s="31"/>
    </row>
    <row r="2153" spans="5:31" s="32" customFormat="1" ht="69.95" hidden="1" customHeight="1">
      <c r="E2153" s="101"/>
      <c r="F2153" s="126" t="s">
        <v>66</v>
      </c>
      <c r="G2153" s="116"/>
      <c r="H2153" s="124" t="s">
        <v>9563</v>
      </c>
      <c r="I2153" s="124" t="s">
        <v>9121</v>
      </c>
      <c r="J2153" s="29"/>
      <c r="K2153" s="42">
        <v>2139</v>
      </c>
      <c r="L2153" s="152" t="s">
        <v>9321</v>
      </c>
      <c r="M2153" s="44" t="s">
        <v>405</v>
      </c>
      <c r="N2153" s="44" t="s">
        <v>8937</v>
      </c>
      <c r="O2153" s="101" t="str">
        <f t="shared" ref="O2153:O2199" si="174">F2153</f>
        <v>PE-L1-1C185-05</v>
      </c>
      <c r="P2153" s="45">
        <v>264</v>
      </c>
      <c r="Q2153" s="44">
        <v>220</v>
      </c>
      <c r="R2153" s="44" t="s">
        <v>509</v>
      </c>
      <c r="S2153" s="101">
        <v>30</v>
      </c>
      <c r="T2153" s="46" t="s">
        <v>6734</v>
      </c>
      <c r="U2153" s="46" t="s">
        <v>6803</v>
      </c>
      <c r="V2153" s="46" t="s">
        <v>6813</v>
      </c>
      <c r="W2153" s="46" t="s">
        <v>335</v>
      </c>
      <c r="X2153" s="47" t="s">
        <v>9274</v>
      </c>
      <c r="Y2153" s="46" t="s">
        <v>6829</v>
      </c>
      <c r="Z2153" s="46" t="s">
        <v>6830</v>
      </c>
      <c r="AA2153" s="46" t="s">
        <v>335</v>
      </c>
      <c r="AB2153" s="47" t="s">
        <v>9274</v>
      </c>
      <c r="AC2153" s="48" t="s">
        <v>9320</v>
      </c>
      <c r="AD2153" s="30"/>
      <c r="AE2153" s="31"/>
    </row>
    <row r="2154" spans="5:31" s="32" customFormat="1" ht="69.95" hidden="1" customHeight="1">
      <c r="E2154" s="101"/>
      <c r="F2154" s="126" t="s">
        <v>66</v>
      </c>
      <c r="G2154" s="116"/>
      <c r="H2154" s="124" t="s">
        <v>9563</v>
      </c>
      <c r="I2154" s="124" t="s">
        <v>9121</v>
      </c>
      <c r="J2154" s="29"/>
      <c r="K2154" s="42">
        <v>2140</v>
      </c>
      <c r="L2154" s="152" t="s">
        <v>9322</v>
      </c>
      <c r="M2154" s="44" t="s">
        <v>405</v>
      </c>
      <c r="N2154" s="44" t="s">
        <v>56</v>
      </c>
      <c r="O2154" s="101" t="str">
        <f t="shared" si="174"/>
        <v>PE-L1-1C185-05</v>
      </c>
      <c r="P2154" s="45">
        <v>264</v>
      </c>
      <c r="Q2154" s="44">
        <v>220</v>
      </c>
      <c r="R2154" s="44" t="s">
        <v>509</v>
      </c>
      <c r="S2154" s="101">
        <v>30</v>
      </c>
      <c r="T2154" s="46" t="s">
        <v>6734</v>
      </c>
      <c r="U2154" s="46" t="s">
        <v>6803</v>
      </c>
      <c r="V2154" s="46" t="s">
        <v>6813</v>
      </c>
      <c r="W2154" s="46" t="s">
        <v>335</v>
      </c>
      <c r="X2154" s="47" t="s">
        <v>9274</v>
      </c>
      <c r="Y2154" s="46" t="s">
        <v>6829</v>
      </c>
      <c r="Z2154" s="46" t="s">
        <v>6830</v>
      </c>
      <c r="AA2154" s="46" t="s">
        <v>335</v>
      </c>
      <c r="AB2154" s="47" t="s">
        <v>9274</v>
      </c>
      <c r="AC2154" s="48" t="s">
        <v>9320</v>
      </c>
      <c r="AD2154" s="30"/>
      <c r="AE2154" s="31"/>
    </row>
    <row r="2155" spans="5:31" s="32" customFormat="1" ht="69.95" hidden="1" customHeight="1">
      <c r="E2155" s="101"/>
      <c r="F2155" s="126" t="s">
        <v>66</v>
      </c>
      <c r="G2155" s="116"/>
      <c r="H2155" s="124" t="s">
        <v>9563</v>
      </c>
      <c r="I2155" s="124" t="s">
        <v>9121</v>
      </c>
      <c r="J2155" s="29"/>
      <c r="K2155" s="42">
        <v>2141</v>
      </c>
      <c r="L2155" s="152" t="s">
        <v>9323</v>
      </c>
      <c r="M2155" s="44" t="s">
        <v>405</v>
      </c>
      <c r="N2155" s="44" t="s">
        <v>56</v>
      </c>
      <c r="O2155" s="101" t="str">
        <f t="shared" si="174"/>
        <v>PE-L1-1C185-05</v>
      </c>
      <c r="P2155" s="45">
        <v>264</v>
      </c>
      <c r="Q2155" s="44">
        <v>220</v>
      </c>
      <c r="R2155" s="44" t="s">
        <v>509</v>
      </c>
      <c r="S2155" s="101">
        <v>30</v>
      </c>
      <c r="T2155" s="46" t="s">
        <v>6734</v>
      </c>
      <c r="U2155" s="46" t="s">
        <v>6803</v>
      </c>
      <c r="V2155" s="46" t="s">
        <v>6813</v>
      </c>
      <c r="W2155" s="46" t="s">
        <v>335</v>
      </c>
      <c r="X2155" s="47" t="s">
        <v>9274</v>
      </c>
      <c r="Y2155" s="46" t="s">
        <v>6829</v>
      </c>
      <c r="Z2155" s="46" t="s">
        <v>6830</v>
      </c>
      <c r="AA2155" s="46" t="s">
        <v>335</v>
      </c>
      <c r="AB2155" s="47" t="s">
        <v>9274</v>
      </c>
      <c r="AC2155" s="48" t="s">
        <v>9320</v>
      </c>
      <c r="AD2155" s="30"/>
      <c r="AE2155" s="31"/>
    </row>
    <row r="2156" spans="5:31" s="32" customFormat="1" ht="69.95" hidden="1" customHeight="1">
      <c r="E2156" s="101"/>
      <c r="F2156" s="126" t="s">
        <v>66</v>
      </c>
      <c r="G2156" s="116"/>
      <c r="H2156" s="124" t="s">
        <v>9563</v>
      </c>
      <c r="I2156" s="124" t="s">
        <v>9121</v>
      </c>
      <c r="J2156" s="29"/>
      <c r="K2156" s="42">
        <v>2142</v>
      </c>
      <c r="L2156" s="152" t="s">
        <v>9324</v>
      </c>
      <c r="M2156" s="44" t="s">
        <v>405</v>
      </c>
      <c r="N2156" s="44" t="s">
        <v>56</v>
      </c>
      <c r="O2156" s="101" t="str">
        <f t="shared" si="174"/>
        <v>PE-L1-1C185-05</v>
      </c>
      <c r="P2156" s="45">
        <v>264</v>
      </c>
      <c r="Q2156" s="44">
        <v>220</v>
      </c>
      <c r="R2156" s="44" t="s">
        <v>509</v>
      </c>
      <c r="S2156" s="101">
        <v>30</v>
      </c>
      <c r="T2156" s="46" t="s">
        <v>6734</v>
      </c>
      <c r="U2156" s="46" t="s">
        <v>6803</v>
      </c>
      <c r="V2156" s="46" t="s">
        <v>6813</v>
      </c>
      <c r="W2156" s="46" t="s">
        <v>335</v>
      </c>
      <c r="X2156" s="47" t="s">
        <v>9275</v>
      </c>
      <c r="Y2156" s="46" t="s">
        <v>6829</v>
      </c>
      <c r="Z2156" s="46" t="s">
        <v>6830</v>
      </c>
      <c r="AA2156" s="46" t="s">
        <v>335</v>
      </c>
      <c r="AB2156" s="47" t="s">
        <v>9275</v>
      </c>
      <c r="AC2156" s="48" t="s">
        <v>9320</v>
      </c>
      <c r="AD2156" s="30"/>
      <c r="AE2156" s="31"/>
    </row>
    <row r="2157" spans="5:31" s="32" customFormat="1" ht="69.95" hidden="1" customHeight="1">
      <c r="E2157" s="101"/>
      <c r="F2157" s="126" t="s">
        <v>66</v>
      </c>
      <c r="G2157" s="116"/>
      <c r="H2157" s="124" t="s">
        <v>9563</v>
      </c>
      <c r="I2157" s="124" t="s">
        <v>9121</v>
      </c>
      <c r="J2157" s="29"/>
      <c r="K2157" s="42">
        <v>2143</v>
      </c>
      <c r="L2157" s="152" t="s">
        <v>9325</v>
      </c>
      <c r="M2157" s="44" t="s">
        <v>405</v>
      </c>
      <c r="N2157" s="44" t="s">
        <v>56</v>
      </c>
      <c r="O2157" s="101" t="str">
        <f t="shared" si="174"/>
        <v>PE-L1-1C185-05</v>
      </c>
      <c r="P2157" s="45">
        <v>264</v>
      </c>
      <c r="Q2157" s="44">
        <v>220</v>
      </c>
      <c r="R2157" s="44" t="s">
        <v>509</v>
      </c>
      <c r="S2157" s="101">
        <v>30</v>
      </c>
      <c r="T2157" s="46" t="s">
        <v>6734</v>
      </c>
      <c r="U2157" s="46" t="s">
        <v>6803</v>
      </c>
      <c r="V2157" s="46" t="s">
        <v>6813</v>
      </c>
      <c r="W2157" s="46" t="s">
        <v>335</v>
      </c>
      <c r="X2157" s="47" t="s">
        <v>9275</v>
      </c>
      <c r="Y2157" s="46" t="s">
        <v>6829</v>
      </c>
      <c r="Z2157" s="46" t="s">
        <v>6830</v>
      </c>
      <c r="AA2157" s="46" t="s">
        <v>335</v>
      </c>
      <c r="AB2157" s="47" t="s">
        <v>9275</v>
      </c>
      <c r="AC2157" s="48" t="s">
        <v>9320</v>
      </c>
      <c r="AD2157" s="30"/>
      <c r="AE2157" s="31"/>
    </row>
    <row r="2158" spans="5:31" s="32" customFormat="1" ht="69.95" hidden="1" customHeight="1">
      <c r="E2158" s="101"/>
      <c r="F2158" s="126" t="s">
        <v>66</v>
      </c>
      <c r="G2158" s="116"/>
      <c r="H2158" s="124" t="s">
        <v>9563</v>
      </c>
      <c r="I2158" s="124" t="s">
        <v>9121</v>
      </c>
      <c r="J2158" s="29"/>
      <c r="K2158" s="42">
        <v>2144</v>
      </c>
      <c r="L2158" s="152" t="s">
        <v>9326</v>
      </c>
      <c r="M2158" s="44" t="s">
        <v>405</v>
      </c>
      <c r="N2158" s="44" t="s">
        <v>56</v>
      </c>
      <c r="O2158" s="101" t="str">
        <f t="shared" si="174"/>
        <v>PE-L1-1C185-05</v>
      </c>
      <c r="P2158" s="45">
        <v>264</v>
      </c>
      <c r="Q2158" s="44">
        <v>220</v>
      </c>
      <c r="R2158" s="44" t="s">
        <v>509</v>
      </c>
      <c r="S2158" s="101">
        <v>30</v>
      </c>
      <c r="T2158" s="46" t="s">
        <v>6734</v>
      </c>
      <c r="U2158" s="46" t="s">
        <v>6803</v>
      </c>
      <c r="V2158" s="46" t="s">
        <v>6813</v>
      </c>
      <c r="W2158" s="46" t="s">
        <v>335</v>
      </c>
      <c r="X2158" s="47" t="s">
        <v>9275</v>
      </c>
      <c r="Y2158" s="46" t="s">
        <v>6829</v>
      </c>
      <c r="Z2158" s="46" t="s">
        <v>6830</v>
      </c>
      <c r="AA2158" s="46" t="s">
        <v>335</v>
      </c>
      <c r="AB2158" s="47" t="s">
        <v>9275</v>
      </c>
      <c r="AC2158" s="48" t="s">
        <v>9320</v>
      </c>
      <c r="AD2158" s="30"/>
      <c r="AE2158" s="31"/>
    </row>
    <row r="2159" spans="5:31" s="32" customFormat="1" ht="69.95" hidden="1" customHeight="1">
      <c r="E2159" s="101"/>
      <c r="F2159" s="126" t="s">
        <v>66</v>
      </c>
      <c r="G2159" s="116"/>
      <c r="H2159" s="124" t="s">
        <v>9563</v>
      </c>
      <c r="I2159" s="124" t="s">
        <v>9121</v>
      </c>
      <c r="J2159" s="29"/>
      <c r="K2159" s="42">
        <v>2145</v>
      </c>
      <c r="L2159" s="152" t="s">
        <v>9327</v>
      </c>
      <c r="M2159" s="44" t="s">
        <v>405</v>
      </c>
      <c r="N2159" s="44" t="s">
        <v>56</v>
      </c>
      <c r="O2159" s="101" t="str">
        <f t="shared" si="174"/>
        <v>PE-L1-1C185-05</v>
      </c>
      <c r="P2159" s="45">
        <v>264</v>
      </c>
      <c r="Q2159" s="44">
        <v>220</v>
      </c>
      <c r="R2159" s="44" t="s">
        <v>509</v>
      </c>
      <c r="S2159" s="101">
        <v>30</v>
      </c>
      <c r="T2159" s="46" t="s">
        <v>6734</v>
      </c>
      <c r="U2159" s="46" t="s">
        <v>6803</v>
      </c>
      <c r="V2159" s="46" t="s">
        <v>6813</v>
      </c>
      <c r="W2159" s="46" t="s">
        <v>335</v>
      </c>
      <c r="X2159" s="47" t="s">
        <v>9275</v>
      </c>
      <c r="Y2159" s="46" t="s">
        <v>6829</v>
      </c>
      <c r="Z2159" s="46" t="s">
        <v>9470</v>
      </c>
      <c r="AA2159" s="46" t="s">
        <v>335</v>
      </c>
      <c r="AB2159" s="47" t="s">
        <v>9275</v>
      </c>
      <c r="AC2159" s="48" t="s">
        <v>9320</v>
      </c>
      <c r="AD2159" s="30"/>
      <c r="AE2159" s="31"/>
    </row>
    <row r="2160" spans="5:31" s="32" customFormat="1" ht="69.95" hidden="1" customHeight="1">
      <c r="E2160" s="101"/>
      <c r="F2160" s="126" t="s">
        <v>66</v>
      </c>
      <c r="G2160" s="185" t="s">
        <v>9377</v>
      </c>
      <c r="H2160" s="124" t="s">
        <v>9563</v>
      </c>
      <c r="I2160" s="124" t="s">
        <v>9121</v>
      </c>
      <c r="J2160" s="29"/>
      <c r="K2160" s="42">
        <v>2146</v>
      </c>
      <c r="L2160" s="152" t="s">
        <v>9328</v>
      </c>
      <c r="M2160" s="44" t="s">
        <v>405</v>
      </c>
      <c r="N2160" s="44" t="s">
        <v>56</v>
      </c>
      <c r="O2160" s="101" t="str">
        <f t="shared" si="174"/>
        <v>PE-L1-1C185-05</v>
      </c>
      <c r="P2160" s="45">
        <v>264</v>
      </c>
      <c r="Q2160" s="44">
        <v>220</v>
      </c>
      <c r="R2160" s="144" t="s">
        <v>509</v>
      </c>
      <c r="S2160" s="101">
        <v>40</v>
      </c>
      <c r="T2160" s="46" t="s">
        <v>6734</v>
      </c>
      <c r="U2160" s="46" t="s">
        <v>6829</v>
      </c>
      <c r="V2160" s="46" t="s">
        <v>6830</v>
      </c>
      <c r="W2160" s="46" t="s">
        <v>335</v>
      </c>
      <c r="X2160" s="47" t="s">
        <v>9274</v>
      </c>
      <c r="Y2160" s="46" t="s">
        <v>9329</v>
      </c>
      <c r="Z2160" s="46" t="s">
        <v>9471</v>
      </c>
      <c r="AA2160" s="46" t="s">
        <v>335</v>
      </c>
      <c r="AB2160" s="47" t="s">
        <v>9274</v>
      </c>
      <c r="AC2160" s="48" t="s">
        <v>9330</v>
      </c>
      <c r="AD2160" s="30"/>
      <c r="AE2160" s="31"/>
    </row>
    <row r="2161" spans="5:31" s="32" customFormat="1" ht="69.95" hidden="1" customHeight="1">
      <c r="E2161" s="101"/>
      <c r="F2161" s="126" t="s">
        <v>66</v>
      </c>
      <c r="G2161" s="116"/>
      <c r="H2161" s="124" t="s">
        <v>9563</v>
      </c>
      <c r="I2161" s="124" t="s">
        <v>9121</v>
      </c>
      <c r="J2161" s="29"/>
      <c r="K2161" s="42">
        <v>2147</v>
      </c>
      <c r="L2161" s="152" t="s">
        <v>9331</v>
      </c>
      <c r="M2161" s="44" t="s">
        <v>405</v>
      </c>
      <c r="N2161" s="44" t="s">
        <v>56</v>
      </c>
      <c r="O2161" s="101" t="str">
        <f t="shared" si="174"/>
        <v>PE-L1-1C185-05</v>
      </c>
      <c r="P2161" s="45">
        <v>264</v>
      </c>
      <c r="Q2161" s="44">
        <v>220</v>
      </c>
      <c r="R2161" s="144" t="s">
        <v>509</v>
      </c>
      <c r="S2161" s="101">
        <v>40</v>
      </c>
      <c r="T2161" s="46" t="s">
        <v>6734</v>
      </c>
      <c r="U2161" s="46" t="s">
        <v>6829</v>
      </c>
      <c r="V2161" s="46" t="s">
        <v>6830</v>
      </c>
      <c r="W2161" s="46" t="s">
        <v>335</v>
      </c>
      <c r="X2161" s="47" t="s">
        <v>9274</v>
      </c>
      <c r="Y2161" s="46" t="s">
        <v>9329</v>
      </c>
      <c r="Z2161" s="46" t="s">
        <v>9471</v>
      </c>
      <c r="AA2161" s="46" t="s">
        <v>335</v>
      </c>
      <c r="AB2161" s="47" t="s">
        <v>9274</v>
      </c>
      <c r="AC2161" s="48" t="s">
        <v>9330</v>
      </c>
      <c r="AD2161" s="30"/>
      <c r="AE2161" s="31"/>
    </row>
    <row r="2162" spans="5:31" s="32" customFormat="1" ht="69.95" hidden="1" customHeight="1">
      <c r="E2162" s="101"/>
      <c r="F2162" s="126" t="s">
        <v>66</v>
      </c>
      <c r="G2162" s="116"/>
      <c r="H2162" s="124" t="s">
        <v>9563</v>
      </c>
      <c r="I2162" s="124" t="s">
        <v>9121</v>
      </c>
      <c r="J2162" s="29"/>
      <c r="K2162" s="42">
        <v>2148</v>
      </c>
      <c r="L2162" s="152" t="s">
        <v>9332</v>
      </c>
      <c r="M2162" s="44" t="s">
        <v>405</v>
      </c>
      <c r="N2162" s="44" t="s">
        <v>56</v>
      </c>
      <c r="O2162" s="101" t="str">
        <f t="shared" si="174"/>
        <v>PE-L1-1C185-05</v>
      </c>
      <c r="P2162" s="45">
        <v>264</v>
      </c>
      <c r="Q2162" s="44">
        <v>220</v>
      </c>
      <c r="R2162" s="144" t="s">
        <v>509</v>
      </c>
      <c r="S2162" s="101">
        <v>30</v>
      </c>
      <c r="T2162" s="46" t="s">
        <v>6734</v>
      </c>
      <c r="U2162" s="46" t="s">
        <v>6829</v>
      </c>
      <c r="V2162" s="46" t="s">
        <v>6830</v>
      </c>
      <c r="W2162" s="46" t="s">
        <v>335</v>
      </c>
      <c r="X2162" s="47" t="s">
        <v>9274</v>
      </c>
      <c r="Y2162" s="46" t="s">
        <v>9336</v>
      </c>
      <c r="Z2162" s="46" t="s">
        <v>9472</v>
      </c>
      <c r="AA2162" s="46" t="s">
        <v>335</v>
      </c>
      <c r="AB2162" s="47" t="s">
        <v>9274</v>
      </c>
      <c r="AC2162" s="48" t="s">
        <v>9337</v>
      </c>
      <c r="AD2162" s="30"/>
      <c r="AE2162" s="31"/>
    </row>
    <row r="2163" spans="5:31" s="32" customFormat="1" ht="69.95" hidden="1" customHeight="1">
      <c r="E2163" s="101"/>
      <c r="F2163" s="126" t="s">
        <v>66</v>
      </c>
      <c r="G2163" s="116"/>
      <c r="H2163" s="124" t="s">
        <v>9563</v>
      </c>
      <c r="I2163" s="124" t="s">
        <v>9121</v>
      </c>
      <c r="J2163" s="29"/>
      <c r="K2163" s="42">
        <v>2149</v>
      </c>
      <c r="L2163" s="152" t="s">
        <v>9334</v>
      </c>
      <c r="M2163" s="44" t="s">
        <v>405</v>
      </c>
      <c r="N2163" s="44" t="s">
        <v>56</v>
      </c>
      <c r="O2163" s="101" t="str">
        <f t="shared" si="174"/>
        <v>PE-L1-1C185-05</v>
      </c>
      <c r="P2163" s="45">
        <v>264</v>
      </c>
      <c r="Q2163" s="44">
        <v>220</v>
      </c>
      <c r="R2163" s="144" t="s">
        <v>509</v>
      </c>
      <c r="S2163" s="101">
        <v>30</v>
      </c>
      <c r="T2163" s="46" t="s">
        <v>6734</v>
      </c>
      <c r="U2163" s="46" t="s">
        <v>6829</v>
      </c>
      <c r="V2163" s="46" t="s">
        <v>6830</v>
      </c>
      <c r="W2163" s="46" t="s">
        <v>335</v>
      </c>
      <c r="X2163" s="47" t="s">
        <v>9274</v>
      </c>
      <c r="Y2163" s="46" t="s">
        <v>9336</v>
      </c>
      <c r="Z2163" s="46" t="s">
        <v>9472</v>
      </c>
      <c r="AA2163" s="46" t="s">
        <v>335</v>
      </c>
      <c r="AB2163" s="47" t="s">
        <v>9274</v>
      </c>
      <c r="AC2163" s="48" t="s">
        <v>9337</v>
      </c>
      <c r="AD2163" s="30"/>
      <c r="AE2163" s="31"/>
    </row>
    <row r="2164" spans="5:31" s="32" customFormat="1" ht="69.95" hidden="1" customHeight="1">
      <c r="E2164" s="101"/>
      <c r="F2164" s="126" t="s">
        <v>66</v>
      </c>
      <c r="G2164" s="116"/>
      <c r="H2164" s="124" t="s">
        <v>9563</v>
      </c>
      <c r="I2164" s="124" t="s">
        <v>9121</v>
      </c>
      <c r="J2164" s="29"/>
      <c r="K2164" s="42">
        <v>2150</v>
      </c>
      <c r="L2164" s="152" t="s">
        <v>9335</v>
      </c>
      <c r="M2164" s="44" t="s">
        <v>405</v>
      </c>
      <c r="N2164" s="44" t="s">
        <v>56</v>
      </c>
      <c r="O2164" s="101" t="str">
        <f t="shared" si="174"/>
        <v>PE-L1-1C185-05</v>
      </c>
      <c r="P2164" s="45">
        <v>264</v>
      </c>
      <c r="Q2164" s="44">
        <v>220</v>
      </c>
      <c r="R2164" s="144" t="s">
        <v>509</v>
      </c>
      <c r="S2164" s="101">
        <v>30</v>
      </c>
      <c r="T2164" s="46" t="s">
        <v>6734</v>
      </c>
      <c r="U2164" s="46" t="s">
        <v>6829</v>
      </c>
      <c r="V2164" s="46" t="s">
        <v>6830</v>
      </c>
      <c r="W2164" s="46" t="s">
        <v>335</v>
      </c>
      <c r="X2164" s="47" t="s">
        <v>9275</v>
      </c>
      <c r="Y2164" s="46" t="s">
        <v>9329</v>
      </c>
      <c r="Z2164" s="46" t="s">
        <v>9471</v>
      </c>
      <c r="AA2164" s="46" t="s">
        <v>335</v>
      </c>
      <c r="AB2164" s="47" t="s">
        <v>9275</v>
      </c>
      <c r="AC2164" s="48" t="s">
        <v>9333</v>
      </c>
      <c r="AD2164" s="30"/>
      <c r="AE2164" s="31"/>
    </row>
    <row r="2165" spans="5:31" s="32" customFormat="1" ht="69.95" hidden="1" customHeight="1">
      <c r="E2165" s="101"/>
      <c r="F2165" s="126" t="s">
        <v>66</v>
      </c>
      <c r="G2165" s="116"/>
      <c r="H2165" s="124" t="s">
        <v>9563</v>
      </c>
      <c r="I2165" s="124" t="s">
        <v>9121</v>
      </c>
      <c r="J2165" s="29"/>
      <c r="K2165" s="42">
        <v>2151</v>
      </c>
      <c r="L2165" s="152" t="s">
        <v>9338</v>
      </c>
      <c r="M2165" s="44" t="s">
        <v>405</v>
      </c>
      <c r="N2165" s="44" t="s">
        <v>56</v>
      </c>
      <c r="O2165" s="101" t="str">
        <f t="shared" si="174"/>
        <v>PE-L1-1C185-05</v>
      </c>
      <c r="P2165" s="45">
        <v>264</v>
      </c>
      <c r="Q2165" s="44">
        <v>220</v>
      </c>
      <c r="R2165" s="144" t="s">
        <v>509</v>
      </c>
      <c r="S2165" s="101">
        <v>30</v>
      </c>
      <c r="T2165" s="46" t="s">
        <v>6734</v>
      </c>
      <c r="U2165" s="46" t="s">
        <v>6829</v>
      </c>
      <c r="V2165" s="46" t="s">
        <v>6830</v>
      </c>
      <c r="W2165" s="46" t="s">
        <v>335</v>
      </c>
      <c r="X2165" s="47" t="s">
        <v>9275</v>
      </c>
      <c r="Y2165" s="46" t="s">
        <v>9329</v>
      </c>
      <c r="Z2165" s="46" t="s">
        <v>9471</v>
      </c>
      <c r="AA2165" s="46" t="s">
        <v>335</v>
      </c>
      <c r="AB2165" s="47" t="s">
        <v>9275</v>
      </c>
      <c r="AC2165" s="48" t="s">
        <v>9333</v>
      </c>
      <c r="AD2165" s="30"/>
      <c r="AE2165" s="31"/>
    </row>
    <row r="2166" spans="5:31" s="32" customFormat="1" ht="69.95" hidden="1" customHeight="1">
      <c r="E2166" s="101"/>
      <c r="F2166" s="126" t="s">
        <v>66</v>
      </c>
      <c r="G2166" s="116"/>
      <c r="H2166" s="124" t="s">
        <v>9563</v>
      </c>
      <c r="I2166" s="124" t="s">
        <v>9121</v>
      </c>
      <c r="J2166" s="29"/>
      <c r="K2166" s="42">
        <v>2152</v>
      </c>
      <c r="L2166" s="152" t="s">
        <v>9339</v>
      </c>
      <c r="M2166" s="44" t="s">
        <v>405</v>
      </c>
      <c r="N2166" s="44" t="s">
        <v>56</v>
      </c>
      <c r="O2166" s="101" t="str">
        <f t="shared" si="174"/>
        <v>PE-L1-1C185-05</v>
      </c>
      <c r="P2166" s="45">
        <v>264</v>
      </c>
      <c r="Q2166" s="44">
        <v>220</v>
      </c>
      <c r="R2166" s="144" t="s">
        <v>509</v>
      </c>
      <c r="S2166" s="101">
        <v>30</v>
      </c>
      <c r="T2166" s="46" t="s">
        <v>6734</v>
      </c>
      <c r="U2166" s="46" t="s">
        <v>6829</v>
      </c>
      <c r="V2166" s="46" t="s">
        <v>6830</v>
      </c>
      <c r="W2166" s="46" t="s">
        <v>335</v>
      </c>
      <c r="X2166" s="47" t="s">
        <v>9275</v>
      </c>
      <c r="Y2166" s="46" t="s">
        <v>9336</v>
      </c>
      <c r="Z2166" s="46" t="s">
        <v>9472</v>
      </c>
      <c r="AA2166" s="46" t="s">
        <v>335</v>
      </c>
      <c r="AB2166" s="47" t="s">
        <v>9275</v>
      </c>
      <c r="AC2166" s="48" t="s">
        <v>9340</v>
      </c>
      <c r="AD2166" s="30"/>
      <c r="AE2166" s="31"/>
    </row>
    <row r="2167" spans="5:31" s="32" customFormat="1" ht="69.95" hidden="1" customHeight="1">
      <c r="E2167" s="101"/>
      <c r="F2167" s="126" t="s">
        <v>66</v>
      </c>
      <c r="G2167" s="116"/>
      <c r="H2167" s="124" t="s">
        <v>9563</v>
      </c>
      <c r="I2167" s="124" t="s">
        <v>9121</v>
      </c>
      <c r="J2167" s="29"/>
      <c r="K2167" s="42">
        <v>2153</v>
      </c>
      <c r="L2167" s="152" t="s">
        <v>9341</v>
      </c>
      <c r="M2167" s="44" t="s">
        <v>405</v>
      </c>
      <c r="N2167" s="44" t="s">
        <v>56</v>
      </c>
      <c r="O2167" s="101" t="str">
        <f t="shared" si="174"/>
        <v>PE-L1-1C185-05</v>
      </c>
      <c r="P2167" s="45">
        <v>264</v>
      </c>
      <c r="Q2167" s="44">
        <v>220</v>
      </c>
      <c r="R2167" s="144" t="s">
        <v>509</v>
      </c>
      <c r="S2167" s="101">
        <v>30</v>
      </c>
      <c r="T2167" s="46" t="s">
        <v>6734</v>
      </c>
      <c r="U2167" s="46" t="s">
        <v>6829</v>
      </c>
      <c r="V2167" s="46" t="s">
        <v>6830</v>
      </c>
      <c r="W2167" s="46" t="s">
        <v>335</v>
      </c>
      <c r="X2167" s="47" t="s">
        <v>9275</v>
      </c>
      <c r="Y2167" s="46" t="s">
        <v>9336</v>
      </c>
      <c r="Z2167" s="46" t="s">
        <v>9472</v>
      </c>
      <c r="AA2167" s="46" t="s">
        <v>335</v>
      </c>
      <c r="AB2167" s="47" t="s">
        <v>9275</v>
      </c>
      <c r="AC2167" s="48" t="s">
        <v>9340</v>
      </c>
      <c r="AD2167" s="30"/>
      <c r="AE2167" s="31"/>
    </row>
    <row r="2168" spans="5:31" s="32" customFormat="1" ht="69.95" hidden="1" customHeight="1">
      <c r="E2168" s="101"/>
      <c r="F2168" s="126" t="s">
        <v>66</v>
      </c>
      <c r="G2168" s="185" t="s">
        <v>9378</v>
      </c>
      <c r="H2168" s="124" t="s">
        <v>9563</v>
      </c>
      <c r="I2168" s="124" t="s">
        <v>9121</v>
      </c>
      <c r="J2168" s="29"/>
      <c r="K2168" s="42">
        <v>2154</v>
      </c>
      <c r="L2168" s="152" t="s">
        <v>9342</v>
      </c>
      <c r="M2168" s="44" t="s">
        <v>405</v>
      </c>
      <c r="N2168" s="44" t="s">
        <v>56</v>
      </c>
      <c r="O2168" s="101" t="str">
        <f t="shared" si="174"/>
        <v>PE-L1-1C185-05</v>
      </c>
      <c r="P2168" s="45">
        <v>300</v>
      </c>
      <c r="Q2168" s="44">
        <v>220</v>
      </c>
      <c r="R2168" s="144" t="s">
        <v>509</v>
      </c>
      <c r="S2168" s="101">
        <v>30</v>
      </c>
      <c r="T2168" s="46" t="s">
        <v>6734</v>
      </c>
      <c r="U2168" s="46" t="s">
        <v>6735</v>
      </c>
      <c r="V2168" s="46" t="s">
        <v>8357</v>
      </c>
      <c r="W2168" s="46" t="s">
        <v>335</v>
      </c>
      <c r="X2168" s="47" t="s">
        <v>9274</v>
      </c>
      <c r="Y2168" s="46" t="s">
        <v>6765</v>
      </c>
      <c r="Z2168" s="46" t="s">
        <v>6766</v>
      </c>
      <c r="AA2168" s="46" t="s">
        <v>335</v>
      </c>
      <c r="AB2168" s="47" t="s">
        <v>9274</v>
      </c>
      <c r="AC2168" s="48" t="s">
        <v>9343</v>
      </c>
      <c r="AD2168" s="30"/>
      <c r="AE2168" s="31"/>
    </row>
    <row r="2169" spans="5:31" s="32" customFormat="1" ht="69.95" hidden="1" customHeight="1">
      <c r="E2169" s="101"/>
      <c r="F2169" s="126" t="s">
        <v>66</v>
      </c>
      <c r="G2169" s="116"/>
      <c r="H2169" s="124" t="s">
        <v>9563</v>
      </c>
      <c r="I2169" s="124" t="s">
        <v>9121</v>
      </c>
      <c r="J2169" s="29"/>
      <c r="K2169" s="42">
        <v>2155</v>
      </c>
      <c r="L2169" s="152" t="s">
        <v>9344</v>
      </c>
      <c r="M2169" s="44" t="s">
        <v>405</v>
      </c>
      <c r="N2169" s="44" t="s">
        <v>56</v>
      </c>
      <c r="O2169" s="101" t="str">
        <f t="shared" si="174"/>
        <v>PE-L1-1C185-05</v>
      </c>
      <c r="P2169" s="45">
        <v>300</v>
      </c>
      <c r="Q2169" s="44">
        <v>220</v>
      </c>
      <c r="R2169" s="144" t="s">
        <v>509</v>
      </c>
      <c r="S2169" s="101">
        <v>30</v>
      </c>
      <c r="T2169" s="46" t="s">
        <v>6734</v>
      </c>
      <c r="U2169" s="46" t="s">
        <v>6735</v>
      </c>
      <c r="V2169" s="46" t="s">
        <v>8357</v>
      </c>
      <c r="W2169" s="46" t="s">
        <v>335</v>
      </c>
      <c r="X2169" s="47" t="s">
        <v>9274</v>
      </c>
      <c r="Y2169" s="46" t="s">
        <v>6765</v>
      </c>
      <c r="Z2169" s="46" t="s">
        <v>6766</v>
      </c>
      <c r="AA2169" s="46" t="s">
        <v>335</v>
      </c>
      <c r="AB2169" s="47" t="s">
        <v>9274</v>
      </c>
      <c r="AC2169" s="48" t="s">
        <v>9343</v>
      </c>
      <c r="AD2169" s="30"/>
      <c r="AE2169" s="31"/>
    </row>
    <row r="2170" spans="5:31" s="32" customFormat="1" ht="69.95" hidden="1" customHeight="1">
      <c r="E2170" s="101"/>
      <c r="F2170" s="126" t="s">
        <v>66</v>
      </c>
      <c r="G2170" s="116"/>
      <c r="H2170" s="124" t="s">
        <v>9563</v>
      </c>
      <c r="I2170" s="124" t="s">
        <v>9121</v>
      </c>
      <c r="J2170" s="29"/>
      <c r="K2170" s="42">
        <v>2156</v>
      </c>
      <c r="L2170" s="152" t="s">
        <v>9345</v>
      </c>
      <c r="M2170" s="44" t="s">
        <v>405</v>
      </c>
      <c r="N2170" s="44" t="s">
        <v>56</v>
      </c>
      <c r="O2170" s="101" t="str">
        <f t="shared" si="174"/>
        <v>PE-L1-1C185-05</v>
      </c>
      <c r="P2170" s="45">
        <v>300</v>
      </c>
      <c r="Q2170" s="44">
        <v>220</v>
      </c>
      <c r="R2170" s="144" t="s">
        <v>509</v>
      </c>
      <c r="S2170" s="101">
        <v>30</v>
      </c>
      <c r="T2170" s="46" t="s">
        <v>6734</v>
      </c>
      <c r="U2170" s="46" t="s">
        <v>6735</v>
      </c>
      <c r="V2170" s="46" t="s">
        <v>8357</v>
      </c>
      <c r="W2170" s="46" t="s">
        <v>335</v>
      </c>
      <c r="X2170" s="47" t="s">
        <v>9274</v>
      </c>
      <c r="Y2170" s="46" t="s">
        <v>6765</v>
      </c>
      <c r="Z2170" s="46" t="s">
        <v>6766</v>
      </c>
      <c r="AA2170" s="46" t="s">
        <v>335</v>
      </c>
      <c r="AB2170" s="47" t="s">
        <v>9274</v>
      </c>
      <c r="AC2170" s="48" t="s">
        <v>9343</v>
      </c>
      <c r="AD2170" s="30"/>
      <c r="AE2170" s="31"/>
    </row>
    <row r="2171" spans="5:31" s="32" customFormat="1" ht="69.95" hidden="1" customHeight="1">
      <c r="E2171" s="101"/>
      <c r="F2171" s="126" t="s">
        <v>66</v>
      </c>
      <c r="G2171" s="116"/>
      <c r="H2171" s="124" t="s">
        <v>9563</v>
      </c>
      <c r="I2171" s="124" t="s">
        <v>9121</v>
      </c>
      <c r="J2171" s="29"/>
      <c r="K2171" s="42">
        <v>2157</v>
      </c>
      <c r="L2171" s="152" t="s">
        <v>9346</v>
      </c>
      <c r="M2171" s="44" t="s">
        <v>405</v>
      </c>
      <c r="N2171" s="44" t="s">
        <v>56</v>
      </c>
      <c r="O2171" s="101" t="str">
        <f t="shared" si="174"/>
        <v>PE-L1-1C185-05</v>
      </c>
      <c r="P2171" s="45">
        <v>300</v>
      </c>
      <c r="Q2171" s="44">
        <v>220</v>
      </c>
      <c r="R2171" s="144" t="s">
        <v>509</v>
      </c>
      <c r="S2171" s="101">
        <v>30</v>
      </c>
      <c r="T2171" s="46" t="s">
        <v>6734</v>
      </c>
      <c r="U2171" s="46" t="s">
        <v>6735</v>
      </c>
      <c r="V2171" s="46" t="s">
        <v>8357</v>
      </c>
      <c r="W2171" s="46" t="s">
        <v>335</v>
      </c>
      <c r="X2171" s="47" t="s">
        <v>9274</v>
      </c>
      <c r="Y2171" s="46" t="s">
        <v>6765</v>
      </c>
      <c r="Z2171" s="46" t="s">
        <v>6766</v>
      </c>
      <c r="AA2171" s="46" t="s">
        <v>335</v>
      </c>
      <c r="AB2171" s="47" t="s">
        <v>9274</v>
      </c>
      <c r="AC2171" s="48" t="s">
        <v>9343</v>
      </c>
      <c r="AD2171" s="30"/>
      <c r="AE2171" s="31"/>
    </row>
    <row r="2172" spans="5:31" s="32" customFormat="1" ht="69.95" hidden="1" customHeight="1">
      <c r="E2172" s="101"/>
      <c r="F2172" s="126" t="s">
        <v>66</v>
      </c>
      <c r="G2172" s="116"/>
      <c r="H2172" s="124" t="s">
        <v>9563</v>
      </c>
      <c r="I2172" s="124" t="s">
        <v>9121</v>
      </c>
      <c r="J2172" s="29"/>
      <c r="K2172" s="42">
        <v>2158</v>
      </c>
      <c r="L2172" s="152" t="s">
        <v>9347</v>
      </c>
      <c r="M2172" s="44" t="s">
        <v>405</v>
      </c>
      <c r="N2172" s="44" t="s">
        <v>56</v>
      </c>
      <c r="O2172" s="101" t="str">
        <f t="shared" si="174"/>
        <v>PE-L1-1C185-05</v>
      </c>
      <c r="P2172" s="45">
        <v>300</v>
      </c>
      <c r="Q2172" s="44">
        <v>220</v>
      </c>
      <c r="R2172" s="144" t="s">
        <v>509</v>
      </c>
      <c r="S2172" s="101">
        <v>30</v>
      </c>
      <c r="T2172" s="46" t="s">
        <v>6734</v>
      </c>
      <c r="U2172" s="46" t="s">
        <v>6735</v>
      </c>
      <c r="V2172" s="46" t="s">
        <v>8357</v>
      </c>
      <c r="W2172" s="46" t="s">
        <v>335</v>
      </c>
      <c r="X2172" s="47" t="s">
        <v>9275</v>
      </c>
      <c r="Y2172" s="46" t="s">
        <v>6765</v>
      </c>
      <c r="Z2172" s="46" t="s">
        <v>6766</v>
      </c>
      <c r="AA2172" s="46" t="s">
        <v>335</v>
      </c>
      <c r="AB2172" s="47" t="s">
        <v>9275</v>
      </c>
      <c r="AC2172" s="48" t="s">
        <v>9343</v>
      </c>
      <c r="AD2172" s="30"/>
      <c r="AE2172" s="31"/>
    </row>
    <row r="2173" spans="5:31" s="32" customFormat="1" ht="69.95" hidden="1" customHeight="1">
      <c r="E2173" s="101"/>
      <c r="F2173" s="126" t="s">
        <v>66</v>
      </c>
      <c r="G2173" s="116"/>
      <c r="H2173" s="124" t="s">
        <v>9563</v>
      </c>
      <c r="I2173" s="124" t="s">
        <v>9121</v>
      </c>
      <c r="J2173" s="29"/>
      <c r="K2173" s="42">
        <v>2159</v>
      </c>
      <c r="L2173" s="152" t="s">
        <v>9348</v>
      </c>
      <c r="M2173" s="44" t="s">
        <v>405</v>
      </c>
      <c r="N2173" s="44" t="s">
        <v>56</v>
      </c>
      <c r="O2173" s="101" t="str">
        <f t="shared" si="174"/>
        <v>PE-L1-1C185-05</v>
      </c>
      <c r="P2173" s="45">
        <v>300</v>
      </c>
      <c r="Q2173" s="44">
        <v>220</v>
      </c>
      <c r="R2173" s="144" t="s">
        <v>509</v>
      </c>
      <c r="S2173" s="101">
        <v>30</v>
      </c>
      <c r="T2173" s="46" t="s">
        <v>6734</v>
      </c>
      <c r="U2173" s="46" t="s">
        <v>6735</v>
      </c>
      <c r="V2173" s="46" t="s">
        <v>8357</v>
      </c>
      <c r="W2173" s="46" t="s">
        <v>335</v>
      </c>
      <c r="X2173" s="47" t="s">
        <v>9275</v>
      </c>
      <c r="Y2173" s="46" t="s">
        <v>6765</v>
      </c>
      <c r="Z2173" s="46" t="s">
        <v>6766</v>
      </c>
      <c r="AA2173" s="46" t="s">
        <v>335</v>
      </c>
      <c r="AB2173" s="47" t="s">
        <v>9275</v>
      </c>
      <c r="AC2173" s="48" t="s">
        <v>9343</v>
      </c>
      <c r="AD2173" s="30"/>
      <c r="AE2173" s="31"/>
    </row>
    <row r="2174" spans="5:31" s="32" customFormat="1" ht="69.95" hidden="1" customHeight="1">
      <c r="E2174" s="101"/>
      <c r="F2174" s="126" t="s">
        <v>66</v>
      </c>
      <c r="G2174" s="116"/>
      <c r="H2174" s="124" t="s">
        <v>9563</v>
      </c>
      <c r="I2174" s="124" t="s">
        <v>9121</v>
      </c>
      <c r="J2174" s="29"/>
      <c r="K2174" s="42">
        <v>2160</v>
      </c>
      <c r="L2174" s="152" t="s">
        <v>9349</v>
      </c>
      <c r="M2174" s="44" t="s">
        <v>405</v>
      </c>
      <c r="N2174" s="44" t="s">
        <v>56</v>
      </c>
      <c r="O2174" s="101" t="str">
        <f t="shared" si="174"/>
        <v>PE-L1-1C185-05</v>
      </c>
      <c r="P2174" s="45">
        <v>300</v>
      </c>
      <c r="Q2174" s="44">
        <v>220</v>
      </c>
      <c r="R2174" s="144" t="s">
        <v>509</v>
      </c>
      <c r="S2174" s="101">
        <v>30</v>
      </c>
      <c r="T2174" s="46" t="s">
        <v>6734</v>
      </c>
      <c r="U2174" s="46" t="s">
        <v>6735</v>
      </c>
      <c r="V2174" s="46" t="s">
        <v>8357</v>
      </c>
      <c r="W2174" s="46" t="s">
        <v>335</v>
      </c>
      <c r="X2174" s="47" t="s">
        <v>9275</v>
      </c>
      <c r="Y2174" s="46" t="s">
        <v>6765</v>
      </c>
      <c r="Z2174" s="46" t="s">
        <v>6766</v>
      </c>
      <c r="AA2174" s="46" t="s">
        <v>335</v>
      </c>
      <c r="AB2174" s="47" t="s">
        <v>9275</v>
      </c>
      <c r="AC2174" s="48" t="s">
        <v>9343</v>
      </c>
      <c r="AD2174" s="30"/>
      <c r="AE2174" s="31"/>
    </row>
    <row r="2175" spans="5:31" s="32" customFormat="1" ht="69.95" hidden="1" customHeight="1">
      <c r="E2175" s="101"/>
      <c r="F2175" s="126" t="s">
        <v>66</v>
      </c>
      <c r="G2175" s="116"/>
      <c r="H2175" s="124" t="s">
        <v>9563</v>
      </c>
      <c r="I2175" s="124" t="s">
        <v>9121</v>
      </c>
      <c r="J2175" s="29"/>
      <c r="K2175" s="42">
        <v>2161</v>
      </c>
      <c r="L2175" s="152" t="s">
        <v>9350</v>
      </c>
      <c r="M2175" s="44" t="s">
        <v>405</v>
      </c>
      <c r="N2175" s="44" t="s">
        <v>56</v>
      </c>
      <c r="O2175" s="101" t="str">
        <f t="shared" si="174"/>
        <v>PE-L1-1C185-05</v>
      </c>
      <c r="P2175" s="45">
        <v>300</v>
      </c>
      <c r="Q2175" s="44">
        <v>220</v>
      </c>
      <c r="R2175" s="144" t="s">
        <v>509</v>
      </c>
      <c r="S2175" s="101">
        <v>30</v>
      </c>
      <c r="T2175" s="46" t="s">
        <v>6734</v>
      </c>
      <c r="U2175" s="46" t="s">
        <v>6735</v>
      </c>
      <c r="V2175" s="46" t="s">
        <v>8357</v>
      </c>
      <c r="W2175" s="46" t="s">
        <v>335</v>
      </c>
      <c r="X2175" s="47" t="s">
        <v>9275</v>
      </c>
      <c r="Y2175" s="46" t="s">
        <v>6765</v>
      </c>
      <c r="Z2175" s="46" t="s">
        <v>6766</v>
      </c>
      <c r="AA2175" s="46" t="s">
        <v>335</v>
      </c>
      <c r="AB2175" s="47" t="s">
        <v>9275</v>
      </c>
      <c r="AC2175" s="48" t="s">
        <v>9343</v>
      </c>
      <c r="AD2175" s="30"/>
      <c r="AE2175" s="31"/>
    </row>
    <row r="2176" spans="5:31" s="32" customFormat="1" ht="69.95" hidden="1" customHeight="1">
      <c r="E2176" s="101"/>
      <c r="F2176" s="126" t="s">
        <v>66</v>
      </c>
      <c r="G2176" s="185" t="s">
        <v>9379</v>
      </c>
      <c r="H2176" s="124" t="s">
        <v>9563</v>
      </c>
      <c r="I2176" s="124" t="s">
        <v>9121</v>
      </c>
      <c r="J2176" s="29"/>
      <c r="K2176" s="42">
        <v>2162</v>
      </c>
      <c r="L2176" s="152" t="s">
        <v>9564</v>
      </c>
      <c r="M2176" s="44" t="s">
        <v>405</v>
      </c>
      <c r="N2176" s="44" t="s">
        <v>56</v>
      </c>
      <c r="O2176" s="101" t="str">
        <f t="shared" si="174"/>
        <v>PE-L1-1C185-05</v>
      </c>
      <c r="P2176" s="45">
        <v>300</v>
      </c>
      <c r="Q2176" s="44">
        <v>220</v>
      </c>
      <c r="R2176" s="144" t="s">
        <v>509</v>
      </c>
      <c r="S2176" s="101">
        <v>40</v>
      </c>
      <c r="T2176" s="46" t="s">
        <v>6734</v>
      </c>
      <c r="U2176" s="46" t="s">
        <v>6765</v>
      </c>
      <c r="V2176" s="46" t="s">
        <v>9473</v>
      </c>
      <c r="W2176" s="46" t="s">
        <v>335</v>
      </c>
      <c r="X2176" s="47" t="s">
        <v>9274</v>
      </c>
      <c r="Y2176" s="46" t="s">
        <v>9351</v>
      </c>
      <c r="Z2176" s="46" t="s">
        <v>9474</v>
      </c>
      <c r="AA2176" s="46" t="s">
        <v>335</v>
      </c>
      <c r="AB2176" s="47" t="s">
        <v>9274</v>
      </c>
      <c r="AC2176" s="48" t="s">
        <v>9352</v>
      </c>
      <c r="AD2176" s="30"/>
      <c r="AE2176" s="31"/>
    </row>
    <row r="2177" spans="5:31" s="32" customFormat="1" ht="69.95" hidden="1" customHeight="1">
      <c r="E2177" s="101"/>
      <c r="F2177" s="126" t="s">
        <v>66</v>
      </c>
      <c r="G2177" s="116"/>
      <c r="H2177" s="124" t="s">
        <v>9563</v>
      </c>
      <c r="I2177" s="124" t="s">
        <v>9121</v>
      </c>
      <c r="J2177" s="29"/>
      <c r="K2177" s="42">
        <v>2163</v>
      </c>
      <c r="L2177" s="152" t="s">
        <v>9353</v>
      </c>
      <c r="M2177" s="44" t="s">
        <v>405</v>
      </c>
      <c r="N2177" s="44" t="s">
        <v>56</v>
      </c>
      <c r="O2177" s="101" t="str">
        <f t="shared" si="174"/>
        <v>PE-L1-1C185-05</v>
      </c>
      <c r="P2177" s="45">
        <v>300</v>
      </c>
      <c r="Q2177" s="44">
        <v>220</v>
      </c>
      <c r="R2177" s="144" t="s">
        <v>509</v>
      </c>
      <c r="S2177" s="101">
        <v>40</v>
      </c>
      <c r="T2177" s="46" t="s">
        <v>6734</v>
      </c>
      <c r="U2177" s="46" t="s">
        <v>6765</v>
      </c>
      <c r="V2177" s="46" t="s">
        <v>6766</v>
      </c>
      <c r="W2177" s="46" t="s">
        <v>335</v>
      </c>
      <c r="X2177" s="47" t="s">
        <v>9274</v>
      </c>
      <c r="Y2177" s="46" t="s">
        <v>9351</v>
      </c>
      <c r="Z2177" s="46" t="s">
        <v>9474</v>
      </c>
      <c r="AA2177" s="46" t="s">
        <v>335</v>
      </c>
      <c r="AB2177" s="47" t="s">
        <v>9274</v>
      </c>
      <c r="AC2177" s="48" t="s">
        <v>9352</v>
      </c>
      <c r="AD2177" s="30"/>
      <c r="AE2177" s="31"/>
    </row>
    <row r="2178" spans="5:31" s="32" customFormat="1" ht="69.95" hidden="1" customHeight="1">
      <c r="E2178" s="101"/>
      <c r="F2178" s="126" t="s">
        <v>66</v>
      </c>
      <c r="G2178" s="116"/>
      <c r="H2178" s="124" t="s">
        <v>9563</v>
      </c>
      <c r="I2178" s="124" t="s">
        <v>9121</v>
      </c>
      <c r="J2178" s="29"/>
      <c r="K2178" s="42">
        <v>2164</v>
      </c>
      <c r="L2178" s="152" t="s">
        <v>9354</v>
      </c>
      <c r="M2178" s="44" t="s">
        <v>405</v>
      </c>
      <c r="N2178" s="44" t="s">
        <v>56</v>
      </c>
      <c r="O2178" s="101" t="str">
        <f>F2178</f>
        <v>PE-L1-1C185-05</v>
      </c>
      <c r="P2178" s="45">
        <v>300</v>
      </c>
      <c r="Q2178" s="44">
        <v>220</v>
      </c>
      <c r="R2178" s="144" t="s">
        <v>509</v>
      </c>
      <c r="S2178" s="101">
        <v>30</v>
      </c>
      <c r="T2178" s="46" t="s">
        <v>6734</v>
      </c>
      <c r="U2178" s="46" t="s">
        <v>6765</v>
      </c>
      <c r="V2178" s="46" t="s">
        <v>6766</v>
      </c>
      <c r="W2178" s="46" t="s">
        <v>335</v>
      </c>
      <c r="X2178" s="47" t="s">
        <v>9274</v>
      </c>
      <c r="Y2178" s="46" t="s">
        <v>9358</v>
      </c>
      <c r="Z2178" s="46" t="s">
        <v>9475</v>
      </c>
      <c r="AA2178" s="46" t="s">
        <v>335</v>
      </c>
      <c r="AB2178" s="47" t="s">
        <v>9274</v>
      </c>
      <c r="AC2178" s="48" t="s">
        <v>9359</v>
      </c>
      <c r="AD2178" s="30"/>
      <c r="AE2178" s="31"/>
    </row>
    <row r="2179" spans="5:31" s="32" customFormat="1" ht="69.95" hidden="1" customHeight="1">
      <c r="E2179" s="101"/>
      <c r="F2179" s="126" t="s">
        <v>66</v>
      </c>
      <c r="G2179" s="116"/>
      <c r="H2179" s="124" t="s">
        <v>9563</v>
      </c>
      <c r="I2179" s="124" t="s">
        <v>9121</v>
      </c>
      <c r="J2179" s="29"/>
      <c r="K2179" s="42">
        <v>2165</v>
      </c>
      <c r="L2179" s="152" t="s">
        <v>9356</v>
      </c>
      <c r="M2179" s="44" t="s">
        <v>405</v>
      </c>
      <c r="N2179" s="44" t="s">
        <v>56</v>
      </c>
      <c r="O2179" s="101" t="str">
        <f>F2179</f>
        <v>PE-L1-1C185-05</v>
      </c>
      <c r="P2179" s="45">
        <v>300</v>
      </c>
      <c r="Q2179" s="44">
        <v>220</v>
      </c>
      <c r="R2179" s="144" t="s">
        <v>509</v>
      </c>
      <c r="S2179" s="101">
        <v>30</v>
      </c>
      <c r="T2179" s="46" t="s">
        <v>6734</v>
      </c>
      <c r="U2179" s="46" t="s">
        <v>6765</v>
      </c>
      <c r="V2179" s="46" t="s">
        <v>6766</v>
      </c>
      <c r="W2179" s="46" t="s">
        <v>335</v>
      </c>
      <c r="X2179" s="47" t="s">
        <v>9476</v>
      </c>
      <c r="Y2179" s="46" t="s">
        <v>9358</v>
      </c>
      <c r="Z2179" s="46" t="s">
        <v>9475</v>
      </c>
      <c r="AA2179" s="46" t="s">
        <v>335</v>
      </c>
      <c r="AB2179" s="47" t="s">
        <v>9476</v>
      </c>
      <c r="AC2179" s="48" t="s">
        <v>9359</v>
      </c>
      <c r="AD2179" s="30"/>
      <c r="AE2179" s="31"/>
    </row>
    <row r="2180" spans="5:31" s="32" customFormat="1" ht="69.95" hidden="1" customHeight="1">
      <c r="E2180" s="101"/>
      <c r="F2180" s="126" t="s">
        <v>66</v>
      </c>
      <c r="G2180" s="116"/>
      <c r="H2180" s="124" t="s">
        <v>9563</v>
      </c>
      <c r="I2180" s="124" t="s">
        <v>9121</v>
      </c>
      <c r="J2180" s="29"/>
      <c r="K2180" s="42">
        <v>2166</v>
      </c>
      <c r="L2180" s="152" t="s">
        <v>9357</v>
      </c>
      <c r="M2180" s="44" t="s">
        <v>405</v>
      </c>
      <c r="N2180" s="44" t="s">
        <v>56</v>
      </c>
      <c r="O2180" s="101" t="str">
        <f t="shared" si="174"/>
        <v>PE-L1-1C185-05</v>
      </c>
      <c r="P2180" s="45">
        <v>300</v>
      </c>
      <c r="Q2180" s="44">
        <v>220</v>
      </c>
      <c r="R2180" s="144" t="s">
        <v>509</v>
      </c>
      <c r="S2180" s="101">
        <v>30</v>
      </c>
      <c r="T2180" s="46" t="s">
        <v>6734</v>
      </c>
      <c r="U2180" s="46" t="s">
        <v>6765</v>
      </c>
      <c r="V2180" s="46" t="s">
        <v>6766</v>
      </c>
      <c r="W2180" s="46" t="s">
        <v>335</v>
      </c>
      <c r="X2180" s="47" t="s">
        <v>9275</v>
      </c>
      <c r="Y2180" s="46" t="s">
        <v>9351</v>
      </c>
      <c r="Z2180" s="46" t="s">
        <v>9474</v>
      </c>
      <c r="AA2180" s="46" t="s">
        <v>335</v>
      </c>
      <c r="AB2180" s="47" t="s">
        <v>9275</v>
      </c>
      <c r="AC2180" s="48" t="s">
        <v>9355</v>
      </c>
      <c r="AD2180" s="30"/>
      <c r="AE2180" s="31"/>
    </row>
    <row r="2181" spans="5:31" s="32" customFormat="1" ht="69.95" hidden="1" customHeight="1">
      <c r="E2181" s="101"/>
      <c r="F2181" s="126" t="s">
        <v>66</v>
      </c>
      <c r="G2181" s="116"/>
      <c r="H2181" s="124" t="s">
        <v>9563</v>
      </c>
      <c r="I2181" s="124" t="s">
        <v>9121</v>
      </c>
      <c r="J2181" s="29"/>
      <c r="K2181" s="42">
        <v>2167</v>
      </c>
      <c r="L2181" s="152" t="s">
        <v>9360</v>
      </c>
      <c r="M2181" s="44" t="s">
        <v>405</v>
      </c>
      <c r="N2181" s="44" t="s">
        <v>56</v>
      </c>
      <c r="O2181" s="101" t="str">
        <f t="shared" si="174"/>
        <v>PE-L1-1C185-05</v>
      </c>
      <c r="P2181" s="45">
        <v>300</v>
      </c>
      <c r="Q2181" s="44">
        <v>220</v>
      </c>
      <c r="R2181" s="144" t="s">
        <v>509</v>
      </c>
      <c r="S2181" s="101">
        <v>30</v>
      </c>
      <c r="T2181" s="46" t="s">
        <v>6734</v>
      </c>
      <c r="U2181" s="46" t="s">
        <v>6765</v>
      </c>
      <c r="V2181" s="46" t="s">
        <v>6766</v>
      </c>
      <c r="W2181" s="46" t="s">
        <v>335</v>
      </c>
      <c r="X2181" s="47" t="s">
        <v>9275</v>
      </c>
      <c r="Y2181" s="46" t="s">
        <v>9351</v>
      </c>
      <c r="Z2181" s="46" t="s">
        <v>9474</v>
      </c>
      <c r="AA2181" s="46" t="s">
        <v>335</v>
      </c>
      <c r="AB2181" s="47" t="s">
        <v>9275</v>
      </c>
      <c r="AC2181" s="48" t="s">
        <v>9355</v>
      </c>
      <c r="AD2181" s="30"/>
      <c r="AE2181" s="31"/>
    </row>
    <row r="2182" spans="5:31" s="32" customFormat="1" ht="69.95" hidden="1" customHeight="1">
      <c r="E2182" s="101"/>
      <c r="F2182" s="126" t="s">
        <v>66</v>
      </c>
      <c r="G2182" s="116"/>
      <c r="H2182" s="124" t="s">
        <v>9563</v>
      </c>
      <c r="I2182" s="124" t="s">
        <v>9121</v>
      </c>
      <c r="J2182" s="29"/>
      <c r="K2182" s="42">
        <v>2168</v>
      </c>
      <c r="L2182" s="152" t="s">
        <v>9361</v>
      </c>
      <c r="M2182" s="44" t="s">
        <v>405</v>
      </c>
      <c r="N2182" s="44" t="s">
        <v>56</v>
      </c>
      <c r="O2182" s="101" t="str">
        <f t="shared" si="174"/>
        <v>PE-L1-1C185-05</v>
      </c>
      <c r="P2182" s="45">
        <v>300</v>
      </c>
      <c r="Q2182" s="44">
        <v>220</v>
      </c>
      <c r="R2182" s="144" t="s">
        <v>509</v>
      </c>
      <c r="S2182" s="101">
        <v>40</v>
      </c>
      <c r="T2182" s="46" t="s">
        <v>6734</v>
      </c>
      <c r="U2182" s="46" t="s">
        <v>6765</v>
      </c>
      <c r="V2182" s="46" t="s">
        <v>6766</v>
      </c>
      <c r="W2182" s="46" t="s">
        <v>335</v>
      </c>
      <c r="X2182" s="47" t="s">
        <v>9275</v>
      </c>
      <c r="Y2182" s="46" t="s">
        <v>9358</v>
      </c>
      <c r="Z2182" s="46" t="s">
        <v>9475</v>
      </c>
      <c r="AA2182" s="46" t="s">
        <v>335</v>
      </c>
      <c r="AB2182" s="47" t="s">
        <v>9275</v>
      </c>
      <c r="AC2182" s="48" t="s">
        <v>9362</v>
      </c>
      <c r="AD2182" s="30"/>
      <c r="AE2182" s="31"/>
    </row>
    <row r="2183" spans="5:31" s="32" customFormat="1" ht="69.95" hidden="1" customHeight="1">
      <c r="E2183" s="101"/>
      <c r="F2183" s="126" t="s">
        <v>66</v>
      </c>
      <c r="G2183" s="116"/>
      <c r="H2183" s="124" t="s">
        <v>9563</v>
      </c>
      <c r="I2183" s="124" t="s">
        <v>9121</v>
      </c>
      <c r="J2183" s="29"/>
      <c r="K2183" s="42">
        <v>2169</v>
      </c>
      <c r="L2183" s="152" t="s">
        <v>9363</v>
      </c>
      <c r="M2183" s="44" t="s">
        <v>405</v>
      </c>
      <c r="N2183" s="44" t="s">
        <v>56</v>
      </c>
      <c r="O2183" s="101" t="str">
        <f t="shared" si="174"/>
        <v>PE-L1-1C185-05</v>
      </c>
      <c r="P2183" s="45">
        <v>300</v>
      </c>
      <c r="Q2183" s="44">
        <v>220</v>
      </c>
      <c r="R2183" s="144" t="s">
        <v>509</v>
      </c>
      <c r="S2183" s="101">
        <v>40</v>
      </c>
      <c r="T2183" s="46" t="s">
        <v>6734</v>
      </c>
      <c r="U2183" s="46" t="s">
        <v>6765</v>
      </c>
      <c r="V2183" s="46" t="s">
        <v>6766</v>
      </c>
      <c r="W2183" s="46" t="s">
        <v>335</v>
      </c>
      <c r="X2183" s="47" t="s">
        <v>9275</v>
      </c>
      <c r="Y2183" s="46" t="s">
        <v>9358</v>
      </c>
      <c r="Z2183" s="46" t="s">
        <v>9475</v>
      </c>
      <c r="AA2183" s="46" t="s">
        <v>335</v>
      </c>
      <c r="AB2183" s="47" t="s">
        <v>9275</v>
      </c>
      <c r="AC2183" s="48" t="s">
        <v>9362</v>
      </c>
      <c r="AD2183" s="30"/>
      <c r="AE2183" s="31"/>
    </row>
    <row r="2184" spans="5:31" s="32" customFormat="1" ht="69.95" hidden="1" customHeight="1">
      <c r="E2184" s="101"/>
      <c r="F2184" s="126" t="s">
        <v>66</v>
      </c>
      <c r="G2184" s="185" t="s">
        <v>9380</v>
      </c>
      <c r="H2184" s="29" t="s">
        <v>9105</v>
      </c>
      <c r="I2184" s="29"/>
      <c r="J2184" s="29"/>
      <c r="K2184" s="42">
        <v>2170</v>
      </c>
      <c r="L2184" s="128" t="s">
        <v>9364</v>
      </c>
      <c r="M2184" s="44" t="s">
        <v>405</v>
      </c>
      <c r="N2184" s="44" t="s">
        <v>56</v>
      </c>
      <c r="O2184" s="126" t="str">
        <f t="shared" si="174"/>
        <v>PE-L1-1C185-05</v>
      </c>
      <c r="P2184" s="45">
        <v>300</v>
      </c>
      <c r="Q2184" s="44">
        <v>220</v>
      </c>
      <c r="R2184" s="144" t="s">
        <v>509</v>
      </c>
      <c r="S2184" s="126">
        <v>40</v>
      </c>
      <c r="T2184" s="46" t="s">
        <v>6734</v>
      </c>
      <c r="U2184" s="46" t="s">
        <v>6770</v>
      </c>
      <c r="V2184" s="46" t="s">
        <v>6781</v>
      </c>
      <c r="W2184" s="46" t="s">
        <v>347</v>
      </c>
      <c r="X2184" s="47" t="s">
        <v>9274</v>
      </c>
      <c r="Y2184" s="46" t="s">
        <v>6798</v>
      </c>
      <c r="Z2184" s="46" t="s">
        <v>9365</v>
      </c>
      <c r="AA2184" s="245" t="s">
        <v>347</v>
      </c>
      <c r="AB2184" s="47" t="s">
        <v>9274</v>
      </c>
      <c r="AC2184" s="48" t="s">
        <v>9366</v>
      </c>
      <c r="AD2184" s="30"/>
      <c r="AE2184" s="31"/>
    </row>
    <row r="2185" spans="5:31" s="32" customFormat="1" ht="69.95" hidden="1" customHeight="1">
      <c r="E2185" s="101"/>
      <c r="F2185" s="126" t="s">
        <v>66</v>
      </c>
      <c r="G2185" s="116"/>
      <c r="H2185" s="29" t="s">
        <v>9105</v>
      </c>
      <c r="I2185" s="29"/>
      <c r="J2185" s="29"/>
      <c r="K2185" s="42">
        <v>2171</v>
      </c>
      <c r="L2185" s="128" t="s">
        <v>9367</v>
      </c>
      <c r="M2185" s="44" t="s">
        <v>405</v>
      </c>
      <c r="N2185" s="44" t="s">
        <v>56</v>
      </c>
      <c r="O2185" s="126" t="str">
        <f t="shared" si="174"/>
        <v>PE-L1-1C185-05</v>
      </c>
      <c r="P2185" s="45">
        <v>300</v>
      </c>
      <c r="Q2185" s="44">
        <v>220</v>
      </c>
      <c r="R2185" s="144" t="s">
        <v>509</v>
      </c>
      <c r="S2185" s="126">
        <v>40</v>
      </c>
      <c r="T2185" s="46" t="s">
        <v>6734</v>
      </c>
      <c r="U2185" s="46" t="s">
        <v>6770</v>
      </c>
      <c r="V2185" s="46" t="s">
        <v>6781</v>
      </c>
      <c r="W2185" s="46" t="s">
        <v>347</v>
      </c>
      <c r="X2185" s="47" t="s">
        <v>9274</v>
      </c>
      <c r="Y2185" s="46" t="s">
        <v>6798</v>
      </c>
      <c r="Z2185" s="46" t="s">
        <v>9365</v>
      </c>
      <c r="AA2185" s="245" t="s">
        <v>347</v>
      </c>
      <c r="AB2185" s="47" t="s">
        <v>9274</v>
      </c>
      <c r="AC2185" s="48" t="s">
        <v>9366</v>
      </c>
      <c r="AD2185" s="30"/>
      <c r="AE2185" s="31"/>
    </row>
    <row r="2186" spans="5:31" s="32" customFormat="1" ht="69.95" hidden="1" customHeight="1">
      <c r="E2186" s="101"/>
      <c r="F2186" s="126" t="s">
        <v>66</v>
      </c>
      <c r="G2186" s="116"/>
      <c r="H2186" s="29" t="s">
        <v>9105</v>
      </c>
      <c r="I2186" s="29"/>
      <c r="J2186" s="29"/>
      <c r="K2186" s="42">
        <v>2172</v>
      </c>
      <c r="L2186" s="128" t="s">
        <v>9368</v>
      </c>
      <c r="M2186" s="44" t="s">
        <v>405</v>
      </c>
      <c r="N2186" s="44" t="s">
        <v>56</v>
      </c>
      <c r="O2186" s="126" t="str">
        <f t="shared" si="174"/>
        <v>PE-L1-1C185-05</v>
      </c>
      <c r="P2186" s="45">
        <v>300</v>
      </c>
      <c r="Q2186" s="44">
        <v>220</v>
      </c>
      <c r="R2186" s="144" t="s">
        <v>509</v>
      </c>
      <c r="S2186" s="126">
        <v>40</v>
      </c>
      <c r="T2186" s="46" t="s">
        <v>6734</v>
      </c>
      <c r="U2186" s="46" t="s">
        <v>6770</v>
      </c>
      <c r="V2186" s="46" t="s">
        <v>6781</v>
      </c>
      <c r="W2186" s="46" t="s">
        <v>347</v>
      </c>
      <c r="X2186" s="47" t="s">
        <v>9274</v>
      </c>
      <c r="Y2186" s="46" t="s">
        <v>6798</v>
      </c>
      <c r="Z2186" s="46" t="s">
        <v>9365</v>
      </c>
      <c r="AA2186" s="245" t="s">
        <v>347</v>
      </c>
      <c r="AB2186" s="47" t="s">
        <v>9274</v>
      </c>
      <c r="AC2186" s="48" t="s">
        <v>9366</v>
      </c>
      <c r="AD2186" s="30"/>
      <c r="AE2186" s="31"/>
    </row>
    <row r="2187" spans="5:31" s="32" customFormat="1" ht="69.95" hidden="1" customHeight="1">
      <c r="E2187" s="101"/>
      <c r="F2187" s="126" t="s">
        <v>66</v>
      </c>
      <c r="G2187" s="116"/>
      <c r="H2187" s="29" t="s">
        <v>9105</v>
      </c>
      <c r="I2187" s="29"/>
      <c r="J2187" s="29"/>
      <c r="K2187" s="42">
        <v>2173</v>
      </c>
      <c r="L2187" s="128" t="s">
        <v>9369</v>
      </c>
      <c r="M2187" s="44" t="s">
        <v>405</v>
      </c>
      <c r="N2187" s="44" t="s">
        <v>56</v>
      </c>
      <c r="O2187" s="126" t="str">
        <f t="shared" si="174"/>
        <v>PE-L1-1C185-05</v>
      </c>
      <c r="P2187" s="45">
        <v>300</v>
      </c>
      <c r="Q2187" s="44">
        <v>220</v>
      </c>
      <c r="R2187" s="144" t="s">
        <v>509</v>
      </c>
      <c r="S2187" s="126">
        <v>40</v>
      </c>
      <c r="T2187" s="46" t="s">
        <v>6734</v>
      </c>
      <c r="U2187" s="46" t="s">
        <v>6770</v>
      </c>
      <c r="V2187" s="46" t="s">
        <v>6781</v>
      </c>
      <c r="W2187" s="46" t="s">
        <v>347</v>
      </c>
      <c r="X2187" s="47" t="s">
        <v>9274</v>
      </c>
      <c r="Y2187" s="46" t="s">
        <v>6798</v>
      </c>
      <c r="Z2187" s="46" t="s">
        <v>9365</v>
      </c>
      <c r="AA2187" s="245" t="s">
        <v>347</v>
      </c>
      <c r="AB2187" s="47" t="s">
        <v>9274</v>
      </c>
      <c r="AC2187" s="48" t="s">
        <v>9366</v>
      </c>
      <c r="AD2187" s="30"/>
      <c r="AE2187" s="31"/>
    </row>
    <row r="2188" spans="5:31" s="32" customFormat="1" ht="69.95" hidden="1" customHeight="1">
      <c r="E2188" s="101"/>
      <c r="F2188" s="126" t="s">
        <v>66</v>
      </c>
      <c r="G2188" s="116"/>
      <c r="H2188" s="29" t="s">
        <v>9105</v>
      </c>
      <c r="I2188" s="29"/>
      <c r="J2188" s="29"/>
      <c r="K2188" s="42">
        <v>2174</v>
      </c>
      <c r="L2188" s="128" t="s">
        <v>9477</v>
      </c>
      <c r="M2188" s="44" t="s">
        <v>405</v>
      </c>
      <c r="N2188" s="44" t="s">
        <v>56</v>
      </c>
      <c r="O2188" s="126" t="str">
        <f t="shared" si="174"/>
        <v>PE-L1-1C185-05</v>
      </c>
      <c r="P2188" s="45">
        <v>300</v>
      </c>
      <c r="Q2188" s="44">
        <v>220</v>
      </c>
      <c r="R2188" s="144" t="s">
        <v>509</v>
      </c>
      <c r="S2188" s="126">
        <v>40</v>
      </c>
      <c r="T2188" s="46" t="s">
        <v>6734</v>
      </c>
      <c r="U2188" s="46" t="s">
        <v>6770</v>
      </c>
      <c r="V2188" s="46" t="s">
        <v>6781</v>
      </c>
      <c r="W2188" s="46" t="s">
        <v>347</v>
      </c>
      <c r="X2188" s="47" t="s">
        <v>9275</v>
      </c>
      <c r="Y2188" s="46" t="s">
        <v>6798</v>
      </c>
      <c r="Z2188" s="46" t="s">
        <v>9365</v>
      </c>
      <c r="AA2188" s="245" t="s">
        <v>347</v>
      </c>
      <c r="AB2188" s="47" t="s">
        <v>9275</v>
      </c>
      <c r="AC2188" s="48" t="s">
        <v>9366</v>
      </c>
      <c r="AD2188" s="30"/>
      <c r="AE2188" s="31"/>
    </row>
    <row r="2189" spans="5:31" s="32" customFormat="1" ht="69.95" hidden="1" customHeight="1">
      <c r="E2189" s="101"/>
      <c r="F2189" s="126" t="s">
        <v>66</v>
      </c>
      <c r="G2189" s="116"/>
      <c r="H2189" s="29" t="s">
        <v>9105</v>
      </c>
      <c r="I2189" s="29"/>
      <c r="J2189" s="29"/>
      <c r="K2189" s="42">
        <v>2175</v>
      </c>
      <c r="L2189" s="128" t="s">
        <v>9478</v>
      </c>
      <c r="M2189" s="44" t="s">
        <v>405</v>
      </c>
      <c r="N2189" s="44" t="s">
        <v>56</v>
      </c>
      <c r="O2189" s="126" t="str">
        <f t="shared" si="174"/>
        <v>PE-L1-1C185-05</v>
      </c>
      <c r="P2189" s="45">
        <v>300</v>
      </c>
      <c r="Q2189" s="44">
        <v>220</v>
      </c>
      <c r="R2189" s="144" t="s">
        <v>509</v>
      </c>
      <c r="S2189" s="126">
        <v>40</v>
      </c>
      <c r="T2189" s="46" t="s">
        <v>6734</v>
      </c>
      <c r="U2189" s="46" t="s">
        <v>6770</v>
      </c>
      <c r="V2189" s="46" t="s">
        <v>6781</v>
      </c>
      <c r="W2189" s="46" t="s">
        <v>347</v>
      </c>
      <c r="X2189" s="47" t="s">
        <v>9275</v>
      </c>
      <c r="Y2189" s="46" t="s">
        <v>6798</v>
      </c>
      <c r="Z2189" s="46" t="s">
        <v>9365</v>
      </c>
      <c r="AA2189" s="245" t="s">
        <v>9594</v>
      </c>
      <c r="AB2189" s="47" t="s">
        <v>9275</v>
      </c>
      <c r="AC2189" s="48" t="s">
        <v>9366</v>
      </c>
      <c r="AD2189" s="30"/>
      <c r="AE2189" s="31"/>
    </row>
    <row r="2190" spans="5:31" s="32" customFormat="1" ht="69.95" hidden="1" customHeight="1">
      <c r="E2190" s="101"/>
      <c r="F2190" s="126" t="s">
        <v>66</v>
      </c>
      <c r="G2190" s="116"/>
      <c r="H2190" s="29" t="s">
        <v>9105</v>
      </c>
      <c r="I2190" s="29"/>
      <c r="J2190" s="29"/>
      <c r="K2190" s="42">
        <v>2176</v>
      </c>
      <c r="L2190" s="128" t="s">
        <v>9479</v>
      </c>
      <c r="M2190" s="44" t="s">
        <v>405</v>
      </c>
      <c r="N2190" s="44" t="s">
        <v>56</v>
      </c>
      <c r="O2190" s="126" t="str">
        <f t="shared" si="174"/>
        <v>PE-L1-1C185-05</v>
      </c>
      <c r="P2190" s="45">
        <v>300</v>
      </c>
      <c r="Q2190" s="44">
        <v>220</v>
      </c>
      <c r="R2190" s="144" t="s">
        <v>509</v>
      </c>
      <c r="S2190" s="126">
        <v>40</v>
      </c>
      <c r="T2190" s="46" t="s">
        <v>6734</v>
      </c>
      <c r="U2190" s="46" t="s">
        <v>6770</v>
      </c>
      <c r="V2190" s="46" t="s">
        <v>6781</v>
      </c>
      <c r="W2190" s="46" t="s">
        <v>347</v>
      </c>
      <c r="X2190" s="47" t="s">
        <v>9275</v>
      </c>
      <c r="Y2190" s="46" t="s">
        <v>6798</v>
      </c>
      <c r="Z2190" s="46" t="s">
        <v>9365</v>
      </c>
      <c r="AA2190" s="245" t="s">
        <v>347</v>
      </c>
      <c r="AB2190" s="47" t="s">
        <v>9275</v>
      </c>
      <c r="AC2190" s="48" t="s">
        <v>9366</v>
      </c>
      <c r="AD2190" s="30"/>
      <c r="AE2190" s="31"/>
    </row>
    <row r="2191" spans="5:31" s="32" customFormat="1" ht="69.95" hidden="1" customHeight="1">
      <c r="E2191" s="101"/>
      <c r="F2191" s="126" t="s">
        <v>66</v>
      </c>
      <c r="G2191" s="116"/>
      <c r="H2191" s="29" t="s">
        <v>9105</v>
      </c>
      <c r="I2191" s="29"/>
      <c r="J2191" s="29"/>
      <c r="K2191" s="42">
        <v>2177</v>
      </c>
      <c r="L2191" s="128" t="s">
        <v>9480</v>
      </c>
      <c r="M2191" s="44" t="s">
        <v>405</v>
      </c>
      <c r="N2191" s="44" t="s">
        <v>56</v>
      </c>
      <c r="O2191" s="126" t="str">
        <f t="shared" si="174"/>
        <v>PE-L1-1C185-05</v>
      </c>
      <c r="P2191" s="45">
        <v>300</v>
      </c>
      <c r="Q2191" s="44">
        <v>220</v>
      </c>
      <c r="R2191" s="144" t="s">
        <v>509</v>
      </c>
      <c r="S2191" s="126">
        <v>40</v>
      </c>
      <c r="T2191" s="46" t="s">
        <v>6734</v>
      </c>
      <c r="U2191" s="46" t="s">
        <v>6770</v>
      </c>
      <c r="V2191" s="46" t="s">
        <v>6781</v>
      </c>
      <c r="W2191" s="46" t="s">
        <v>347</v>
      </c>
      <c r="X2191" s="47" t="s">
        <v>9275</v>
      </c>
      <c r="Y2191" s="46" t="s">
        <v>6798</v>
      </c>
      <c r="Z2191" s="46" t="s">
        <v>9365</v>
      </c>
      <c r="AA2191" s="245" t="s">
        <v>347</v>
      </c>
      <c r="AB2191" s="47" t="s">
        <v>9275</v>
      </c>
      <c r="AC2191" s="48" t="s">
        <v>9366</v>
      </c>
      <c r="AD2191" s="30"/>
      <c r="AE2191" s="31"/>
    </row>
    <row r="2192" spans="5:31" s="32" customFormat="1" ht="69.95" hidden="1" customHeight="1">
      <c r="E2192" s="101"/>
      <c r="F2192" s="126" t="s">
        <v>66</v>
      </c>
      <c r="G2192" s="185" t="s">
        <v>9381</v>
      </c>
      <c r="H2192" s="29" t="s">
        <v>9105</v>
      </c>
      <c r="I2192" s="29"/>
      <c r="J2192" s="29"/>
      <c r="K2192" s="42">
        <v>2178</v>
      </c>
      <c r="L2192" s="128" t="s">
        <v>9484</v>
      </c>
      <c r="M2192" s="44" t="s">
        <v>405</v>
      </c>
      <c r="N2192" s="44" t="s">
        <v>56</v>
      </c>
      <c r="O2192" s="126" t="str">
        <f t="shared" si="174"/>
        <v>PE-L1-1C185-05</v>
      </c>
      <c r="P2192" s="45">
        <v>300</v>
      </c>
      <c r="Q2192" s="44">
        <v>220</v>
      </c>
      <c r="R2192" s="144" t="s">
        <v>509</v>
      </c>
      <c r="S2192" s="126">
        <v>40</v>
      </c>
      <c r="T2192" s="46" t="s">
        <v>6734</v>
      </c>
      <c r="U2192" s="46" t="s">
        <v>6798</v>
      </c>
      <c r="V2192" s="46" t="s">
        <v>9481</v>
      </c>
      <c r="W2192" s="46" t="s">
        <v>347</v>
      </c>
      <c r="X2192" s="47" t="s">
        <v>9274</v>
      </c>
      <c r="Y2192" s="46" t="s">
        <v>9370</v>
      </c>
      <c r="Z2192" s="46" t="s">
        <v>9482</v>
      </c>
      <c r="AA2192" s="245" t="s">
        <v>347</v>
      </c>
      <c r="AB2192" s="47" t="s">
        <v>9274</v>
      </c>
      <c r="AC2192" s="48" t="s">
        <v>9371</v>
      </c>
      <c r="AD2192" s="30"/>
      <c r="AE2192" s="31"/>
    </row>
    <row r="2193" spans="5:42" s="32" customFormat="1" ht="69.95" hidden="1" customHeight="1">
      <c r="E2193" s="101"/>
      <c r="F2193" s="126" t="s">
        <v>66</v>
      </c>
      <c r="G2193" s="116"/>
      <c r="H2193" s="29" t="s">
        <v>9105</v>
      </c>
      <c r="I2193" s="29"/>
      <c r="J2193" s="29"/>
      <c r="K2193" s="42">
        <v>2179</v>
      </c>
      <c r="L2193" s="128" t="s">
        <v>9485</v>
      </c>
      <c r="M2193" s="44" t="s">
        <v>405</v>
      </c>
      <c r="N2193" s="44" t="s">
        <v>56</v>
      </c>
      <c r="O2193" s="126" t="str">
        <f t="shared" si="174"/>
        <v>PE-L1-1C185-05</v>
      </c>
      <c r="P2193" s="45">
        <v>300</v>
      </c>
      <c r="Q2193" s="44">
        <v>220</v>
      </c>
      <c r="R2193" s="144" t="s">
        <v>509</v>
      </c>
      <c r="S2193" s="126">
        <v>40</v>
      </c>
      <c r="T2193" s="46" t="s">
        <v>6734</v>
      </c>
      <c r="U2193" s="46" t="s">
        <v>6798</v>
      </c>
      <c r="V2193" s="46" t="s">
        <v>9365</v>
      </c>
      <c r="W2193" s="46" t="s">
        <v>347</v>
      </c>
      <c r="X2193" s="47" t="s">
        <v>9274</v>
      </c>
      <c r="Y2193" s="46" t="s">
        <v>9370</v>
      </c>
      <c r="Z2193" s="46" t="s">
        <v>9482</v>
      </c>
      <c r="AA2193" s="245" t="s">
        <v>347</v>
      </c>
      <c r="AB2193" s="47" t="s">
        <v>9274</v>
      </c>
      <c r="AC2193" s="48" t="s">
        <v>9371</v>
      </c>
      <c r="AD2193" s="30"/>
      <c r="AE2193" s="31"/>
    </row>
    <row r="2194" spans="5:42" s="32" customFormat="1" ht="69.95" hidden="1" customHeight="1">
      <c r="E2194" s="101"/>
      <c r="F2194" s="126" t="s">
        <v>66</v>
      </c>
      <c r="G2194" s="116"/>
      <c r="H2194" s="29" t="s">
        <v>9105</v>
      </c>
      <c r="I2194" s="29"/>
      <c r="J2194" s="29"/>
      <c r="K2194" s="42">
        <v>2180</v>
      </c>
      <c r="L2194" s="128" t="s">
        <v>9486</v>
      </c>
      <c r="M2194" s="44" t="s">
        <v>405</v>
      </c>
      <c r="N2194" s="44" t="s">
        <v>56</v>
      </c>
      <c r="O2194" s="126" t="str">
        <f>F2194</f>
        <v>PE-L1-1C185-05</v>
      </c>
      <c r="P2194" s="45">
        <v>300</v>
      </c>
      <c r="Q2194" s="44">
        <v>220</v>
      </c>
      <c r="R2194" s="144" t="s">
        <v>509</v>
      </c>
      <c r="S2194" s="126">
        <v>30</v>
      </c>
      <c r="T2194" s="46" t="s">
        <v>6734</v>
      </c>
      <c r="U2194" s="46" t="s">
        <v>6798</v>
      </c>
      <c r="V2194" s="46" t="s">
        <v>9365</v>
      </c>
      <c r="W2194" s="46" t="s">
        <v>347</v>
      </c>
      <c r="X2194" s="47" t="s">
        <v>9274</v>
      </c>
      <c r="Y2194" s="46" t="s">
        <v>9373</v>
      </c>
      <c r="Z2194" s="46" t="s">
        <v>9483</v>
      </c>
      <c r="AA2194" s="245" t="s">
        <v>347</v>
      </c>
      <c r="AB2194" s="47" t="s">
        <v>9274</v>
      </c>
      <c r="AC2194" s="48" t="s">
        <v>9374</v>
      </c>
      <c r="AD2194" s="30"/>
      <c r="AE2194" s="31"/>
    </row>
    <row r="2195" spans="5:42" s="32" customFormat="1" ht="69.95" hidden="1" customHeight="1">
      <c r="E2195" s="101"/>
      <c r="F2195" s="126" t="s">
        <v>66</v>
      </c>
      <c r="G2195" s="116"/>
      <c r="H2195" s="29" t="s">
        <v>9105</v>
      </c>
      <c r="I2195" s="29"/>
      <c r="J2195" s="29"/>
      <c r="K2195" s="42">
        <v>2181</v>
      </c>
      <c r="L2195" s="128" t="s">
        <v>9487</v>
      </c>
      <c r="M2195" s="44" t="s">
        <v>405</v>
      </c>
      <c r="N2195" s="44" t="s">
        <v>56</v>
      </c>
      <c r="O2195" s="126" t="str">
        <f>F2195</f>
        <v>PE-L1-1C185-05</v>
      </c>
      <c r="P2195" s="45">
        <v>300</v>
      </c>
      <c r="Q2195" s="44">
        <v>220</v>
      </c>
      <c r="R2195" s="144" t="s">
        <v>509</v>
      </c>
      <c r="S2195" s="126">
        <v>30</v>
      </c>
      <c r="T2195" s="46" t="s">
        <v>6734</v>
      </c>
      <c r="U2195" s="46" t="s">
        <v>6798</v>
      </c>
      <c r="V2195" s="46" t="s">
        <v>9365</v>
      </c>
      <c r="W2195" s="46" t="s">
        <v>347</v>
      </c>
      <c r="X2195" s="47" t="s">
        <v>9274</v>
      </c>
      <c r="Y2195" s="46" t="s">
        <v>9373</v>
      </c>
      <c r="Z2195" s="46" t="s">
        <v>9483</v>
      </c>
      <c r="AA2195" s="245" t="s">
        <v>347</v>
      </c>
      <c r="AB2195" s="47" t="s">
        <v>9274</v>
      </c>
      <c r="AC2195" s="48" t="s">
        <v>9374</v>
      </c>
      <c r="AD2195" s="30"/>
      <c r="AE2195" s="31"/>
    </row>
    <row r="2196" spans="5:42" s="32" customFormat="1" ht="69.95" hidden="1" customHeight="1">
      <c r="E2196" s="101"/>
      <c r="F2196" s="126" t="s">
        <v>9492</v>
      </c>
      <c r="G2196" s="116"/>
      <c r="H2196" s="29" t="s">
        <v>9105</v>
      </c>
      <c r="I2196" s="29"/>
      <c r="J2196" s="29"/>
      <c r="K2196" s="42">
        <v>2182</v>
      </c>
      <c r="L2196" s="128" t="s">
        <v>9488</v>
      </c>
      <c r="M2196" s="44" t="s">
        <v>405</v>
      </c>
      <c r="N2196" s="44" t="s">
        <v>56</v>
      </c>
      <c r="O2196" s="126" t="str">
        <f t="shared" si="174"/>
        <v>PE-L1-1C185-02</v>
      </c>
      <c r="P2196" s="45">
        <v>300</v>
      </c>
      <c r="Q2196" s="44">
        <v>220</v>
      </c>
      <c r="R2196" s="144" t="s">
        <v>509</v>
      </c>
      <c r="S2196" s="126">
        <v>30</v>
      </c>
      <c r="T2196" s="46" t="s">
        <v>6734</v>
      </c>
      <c r="U2196" s="46" t="s">
        <v>6798</v>
      </c>
      <c r="V2196" s="46" t="s">
        <v>9365</v>
      </c>
      <c r="W2196" s="46" t="s">
        <v>347</v>
      </c>
      <c r="X2196" s="47" t="s">
        <v>9275</v>
      </c>
      <c r="Y2196" s="46" t="s">
        <v>9370</v>
      </c>
      <c r="Z2196" s="46" t="s">
        <v>9482</v>
      </c>
      <c r="AA2196" s="245" t="s">
        <v>347</v>
      </c>
      <c r="AB2196" s="47" t="s">
        <v>9275</v>
      </c>
      <c r="AC2196" s="48" t="s">
        <v>9372</v>
      </c>
      <c r="AD2196" s="30"/>
      <c r="AE2196" s="31"/>
    </row>
    <row r="2197" spans="5:42" s="32" customFormat="1" ht="69.95" hidden="1" customHeight="1">
      <c r="E2197" s="101"/>
      <c r="F2197" s="126" t="s">
        <v>8617</v>
      </c>
      <c r="G2197" s="116"/>
      <c r="H2197" s="29" t="s">
        <v>9105</v>
      </c>
      <c r="I2197" s="29"/>
      <c r="J2197" s="29"/>
      <c r="K2197" s="42">
        <v>2183</v>
      </c>
      <c r="L2197" s="128" t="s">
        <v>9489</v>
      </c>
      <c r="M2197" s="44" t="s">
        <v>405</v>
      </c>
      <c r="N2197" s="44" t="s">
        <v>56</v>
      </c>
      <c r="O2197" s="126" t="str">
        <f t="shared" si="174"/>
        <v>PE-L1-1C185-04</v>
      </c>
      <c r="P2197" s="45">
        <v>300</v>
      </c>
      <c r="Q2197" s="44">
        <v>220</v>
      </c>
      <c r="R2197" s="144" t="s">
        <v>509</v>
      </c>
      <c r="S2197" s="126">
        <v>30</v>
      </c>
      <c r="T2197" s="46" t="s">
        <v>6734</v>
      </c>
      <c r="U2197" s="46" t="s">
        <v>6798</v>
      </c>
      <c r="V2197" s="46" t="s">
        <v>9365</v>
      </c>
      <c r="W2197" s="46" t="s">
        <v>347</v>
      </c>
      <c r="X2197" s="47" t="s">
        <v>9275</v>
      </c>
      <c r="Y2197" s="46" t="s">
        <v>9370</v>
      </c>
      <c r="Z2197" s="46" t="s">
        <v>9482</v>
      </c>
      <c r="AA2197" s="245" t="s">
        <v>347</v>
      </c>
      <c r="AB2197" s="47" t="s">
        <v>9275</v>
      </c>
      <c r="AC2197" s="48" t="s">
        <v>9372</v>
      </c>
      <c r="AD2197" s="30"/>
      <c r="AE2197" s="31"/>
    </row>
    <row r="2198" spans="5:42" s="32" customFormat="1" ht="69.95" hidden="1" customHeight="1">
      <c r="E2198" s="101"/>
      <c r="F2198" s="126" t="s">
        <v>9492</v>
      </c>
      <c r="G2198" s="116"/>
      <c r="H2198" s="29" t="s">
        <v>9105</v>
      </c>
      <c r="I2198" s="29"/>
      <c r="J2198" s="29"/>
      <c r="K2198" s="42">
        <v>2184</v>
      </c>
      <c r="L2198" s="128" t="s">
        <v>9490</v>
      </c>
      <c r="M2198" s="44" t="s">
        <v>405</v>
      </c>
      <c r="N2198" s="44" t="s">
        <v>56</v>
      </c>
      <c r="O2198" s="126" t="str">
        <f t="shared" si="174"/>
        <v>PE-L1-1C185-02</v>
      </c>
      <c r="P2198" s="45">
        <v>300</v>
      </c>
      <c r="Q2198" s="44">
        <v>220</v>
      </c>
      <c r="R2198" s="144" t="s">
        <v>509</v>
      </c>
      <c r="S2198" s="126">
        <v>40</v>
      </c>
      <c r="T2198" s="46" t="s">
        <v>6734</v>
      </c>
      <c r="U2198" s="46" t="s">
        <v>6798</v>
      </c>
      <c r="V2198" s="46" t="s">
        <v>9365</v>
      </c>
      <c r="W2198" s="46" t="s">
        <v>347</v>
      </c>
      <c r="X2198" s="47" t="s">
        <v>9275</v>
      </c>
      <c r="Y2198" s="46" t="s">
        <v>9373</v>
      </c>
      <c r="Z2198" s="46" t="s">
        <v>9483</v>
      </c>
      <c r="AA2198" s="245" t="s">
        <v>347</v>
      </c>
      <c r="AB2198" s="47" t="s">
        <v>9275</v>
      </c>
      <c r="AC2198" s="48" t="s">
        <v>9375</v>
      </c>
      <c r="AD2198" s="30"/>
      <c r="AE2198" s="31"/>
    </row>
    <row r="2199" spans="5:42" s="32" customFormat="1" ht="69.95" hidden="1" customHeight="1" thickBot="1">
      <c r="E2199" s="101"/>
      <c r="F2199" s="126" t="s">
        <v>8617</v>
      </c>
      <c r="G2199" s="116"/>
      <c r="H2199" s="29" t="s">
        <v>9105</v>
      </c>
      <c r="I2199" s="29"/>
      <c r="J2199" s="29"/>
      <c r="K2199" s="42">
        <v>2185</v>
      </c>
      <c r="L2199" s="208" t="s">
        <v>9491</v>
      </c>
      <c r="M2199" s="209" t="s">
        <v>405</v>
      </c>
      <c r="N2199" s="209" t="s">
        <v>56</v>
      </c>
      <c r="O2199" s="210" t="str">
        <f t="shared" si="174"/>
        <v>PE-L1-1C185-04</v>
      </c>
      <c r="P2199" s="211">
        <v>300</v>
      </c>
      <c r="Q2199" s="209">
        <v>220</v>
      </c>
      <c r="R2199" s="212" t="s">
        <v>509</v>
      </c>
      <c r="S2199" s="210">
        <v>40</v>
      </c>
      <c r="T2199" s="213" t="s">
        <v>6734</v>
      </c>
      <c r="U2199" s="213" t="s">
        <v>6798</v>
      </c>
      <c r="V2199" s="213" t="s">
        <v>9365</v>
      </c>
      <c r="W2199" s="213" t="s">
        <v>347</v>
      </c>
      <c r="X2199" s="214" t="s">
        <v>9275</v>
      </c>
      <c r="Y2199" s="213" t="s">
        <v>9373</v>
      </c>
      <c r="Z2199" s="213" t="s">
        <v>9483</v>
      </c>
      <c r="AA2199" s="245" t="s">
        <v>347</v>
      </c>
      <c r="AB2199" s="214" t="s">
        <v>9275</v>
      </c>
      <c r="AC2199" s="215" t="s">
        <v>9375</v>
      </c>
      <c r="AD2199" s="216"/>
      <c r="AE2199" s="31"/>
    </row>
    <row r="2200" spans="5:42" s="32" customFormat="1" ht="50.1" hidden="1" customHeight="1">
      <c r="G2200" s="29"/>
      <c r="H2200" s="29"/>
      <c r="I2200" s="29"/>
      <c r="J2200" s="29"/>
      <c r="K2200" s="31"/>
      <c r="L2200" s="31"/>
      <c r="M2200" s="31"/>
      <c r="N2200" s="31"/>
      <c r="O2200" s="31"/>
      <c r="P2200" s="34"/>
      <c r="Q2200" s="31"/>
      <c r="R2200" s="31"/>
      <c r="S2200" s="31"/>
      <c r="T2200" s="31"/>
      <c r="U2200" s="31"/>
      <c r="V2200" s="31"/>
      <c r="W2200" s="31"/>
      <c r="X2200" s="31"/>
      <c r="Y2200" s="31"/>
      <c r="Z2200" s="31"/>
      <c r="AA2200" s="31"/>
      <c r="AB2200" s="31"/>
      <c r="AD2200" s="31"/>
      <c r="AE2200" s="31"/>
    </row>
    <row r="2201" spans="5:42" s="32" customFormat="1" ht="50.1" hidden="1" customHeight="1">
      <c r="G2201" s="29"/>
      <c r="H2201" s="29"/>
      <c r="I2201" s="29"/>
      <c r="J2201" s="29"/>
      <c r="K2201" s="31"/>
      <c r="L2201" s="31"/>
      <c r="M2201" s="31"/>
      <c r="N2201" s="31"/>
      <c r="O2201" s="31"/>
      <c r="P2201" s="34"/>
      <c r="Q2201" s="31"/>
      <c r="R2201" s="31"/>
      <c r="S2201" s="31"/>
      <c r="T2201" s="31"/>
      <c r="U2201" s="31"/>
      <c r="V2201" s="31"/>
      <c r="W2201" s="31"/>
      <c r="X2201" s="31"/>
      <c r="Y2201" s="31"/>
      <c r="Z2201" s="31"/>
      <c r="AA2201" s="31"/>
      <c r="AB2201" s="31"/>
      <c r="AD2201" s="31"/>
      <c r="AE2201" s="31"/>
    </row>
    <row r="2202" spans="5:42" s="32" customFormat="1" ht="50.1" hidden="1" customHeight="1">
      <c r="G2202" s="29"/>
      <c r="H2202" s="29"/>
      <c r="I2202" s="29"/>
      <c r="J2202" s="29"/>
      <c r="K2202" s="31"/>
      <c r="L2202" s="31"/>
      <c r="M2202" s="31"/>
      <c r="N2202" s="31"/>
      <c r="O2202" s="31"/>
      <c r="P2202" s="34"/>
      <c r="Q2202" s="31"/>
      <c r="R2202" s="31"/>
      <c r="S2202" s="31"/>
      <c r="T2202" s="31"/>
      <c r="U2202" s="31"/>
      <c r="V2202" s="31"/>
      <c r="W2202" s="31"/>
      <c r="X2202" s="31"/>
      <c r="Y2202" s="31"/>
      <c r="Z2202" s="31"/>
      <c r="AA2202" s="31"/>
      <c r="AB2202" s="31"/>
      <c r="AD2202" s="31"/>
      <c r="AE2202" s="31"/>
      <c r="AN2202" s="31"/>
      <c r="AO2202" s="31"/>
      <c r="AP2202" s="31"/>
    </row>
    <row r="2203" spans="5:42" s="32" customFormat="1" ht="50.1" hidden="1" customHeight="1">
      <c r="G2203" s="29"/>
      <c r="H2203" s="29"/>
      <c r="I2203" s="29"/>
      <c r="J2203" s="29"/>
      <c r="K2203" s="31"/>
      <c r="L2203" s="31"/>
      <c r="M2203" s="31"/>
      <c r="N2203" s="31"/>
      <c r="O2203" s="31"/>
      <c r="P2203" s="34"/>
      <c r="Q2203" s="31"/>
      <c r="R2203" s="31"/>
      <c r="S2203" s="31"/>
      <c r="T2203" s="31"/>
      <c r="U2203" s="31"/>
      <c r="V2203" s="31"/>
      <c r="W2203" s="31"/>
      <c r="X2203" s="31"/>
      <c r="Y2203" s="31"/>
      <c r="Z2203" s="31"/>
      <c r="AA2203" s="31"/>
      <c r="AB2203" s="31"/>
      <c r="AD2203" s="31"/>
      <c r="AE2203" s="31"/>
      <c r="AN2203" s="31"/>
      <c r="AO2203" s="31"/>
      <c r="AP2203" s="31"/>
    </row>
    <row r="2204" spans="5:42" s="32" customFormat="1" ht="50.1" hidden="1" customHeight="1">
      <c r="G2204" s="29"/>
      <c r="H2204" s="29"/>
      <c r="I2204" s="29"/>
      <c r="J2204" s="29"/>
      <c r="K2204" s="31"/>
      <c r="L2204" s="31"/>
      <c r="M2204" s="31"/>
      <c r="N2204" s="31"/>
      <c r="O2204" s="31"/>
      <c r="P2204" s="34"/>
      <c r="Q2204" s="31"/>
      <c r="R2204" s="31"/>
      <c r="S2204" s="31"/>
      <c r="T2204" s="31"/>
      <c r="U2204" s="31"/>
      <c r="V2204" s="31"/>
      <c r="W2204" s="31"/>
      <c r="X2204" s="31"/>
      <c r="Y2204" s="31"/>
      <c r="Z2204" s="31"/>
      <c r="AA2204" s="31"/>
      <c r="AB2204" s="31"/>
      <c r="AD2204" s="31"/>
      <c r="AE2204" s="31"/>
      <c r="AN2204" s="31"/>
      <c r="AO2204" s="31"/>
      <c r="AP2204" s="31"/>
    </row>
    <row r="2205" spans="5:42" s="32" customFormat="1" ht="50.1" hidden="1" customHeight="1">
      <c r="G2205" s="29"/>
      <c r="H2205" s="29"/>
      <c r="I2205" s="29"/>
      <c r="J2205" s="29"/>
      <c r="K2205" s="31"/>
      <c r="L2205" s="31"/>
      <c r="M2205" s="31"/>
      <c r="N2205" s="31"/>
      <c r="O2205" s="31"/>
      <c r="P2205" s="34"/>
      <c r="Q2205" s="31"/>
      <c r="R2205" s="31"/>
      <c r="S2205" s="31"/>
      <c r="T2205" s="31"/>
      <c r="U2205" s="31"/>
      <c r="V2205" s="31"/>
      <c r="W2205" s="31"/>
      <c r="X2205" s="31"/>
      <c r="Y2205" s="31"/>
      <c r="Z2205" s="31"/>
      <c r="AA2205" s="31"/>
      <c r="AB2205" s="31"/>
      <c r="AD2205" s="31"/>
      <c r="AE2205" s="31"/>
      <c r="AN2205" s="31"/>
      <c r="AO2205" s="31"/>
      <c r="AP2205" s="31"/>
    </row>
    <row r="2206" spans="5:42" s="32" customFormat="1" ht="50.1" hidden="1" customHeight="1">
      <c r="G2206" s="29"/>
      <c r="H2206" s="29"/>
      <c r="I2206" s="29"/>
      <c r="J2206" s="29"/>
      <c r="K2206" s="31"/>
      <c r="L2206" s="31"/>
      <c r="M2206" s="31"/>
      <c r="N2206" s="31"/>
      <c r="O2206" s="31"/>
      <c r="P2206" s="34"/>
      <c r="Q2206" s="31"/>
      <c r="R2206" s="31"/>
      <c r="S2206" s="31"/>
      <c r="T2206" s="31"/>
      <c r="U2206" s="31"/>
      <c r="V2206" s="31"/>
      <c r="W2206" s="31"/>
      <c r="X2206" s="31"/>
      <c r="Y2206" s="31"/>
      <c r="Z2206" s="31"/>
      <c r="AA2206" s="31"/>
      <c r="AB2206" s="31"/>
      <c r="AD2206" s="31"/>
      <c r="AE2206" s="31"/>
      <c r="AN2206" s="31"/>
      <c r="AO2206" s="31"/>
      <c r="AP2206" s="31"/>
    </row>
    <row r="2207" spans="5:42" s="32" customFormat="1" ht="50.1" hidden="1" customHeight="1">
      <c r="G2207" s="29"/>
      <c r="H2207" s="29"/>
      <c r="I2207" s="29"/>
      <c r="J2207" s="29"/>
      <c r="K2207" s="31"/>
      <c r="L2207" s="31"/>
      <c r="M2207" s="31"/>
      <c r="N2207" s="31"/>
      <c r="O2207" s="31"/>
      <c r="P2207" s="34"/>
      <c r="Q2207" s="31"/>
      <c r="R2207" s="31"/>
      <c r="S2207" s="31"/>
      <c r="T2207" s="31"/>
      <c r="U2207" s="31"/>
      <c r="V2207" s="31"/>
      <c r="W2207" s="31"/>
      <c r="X2207" s="31"/>
      <c r="Y2207" s="31"/>
      <c r="Z2207" s="31"/>
      <c r="AA2207" s="31"/>
      <c r="AB2207" s="31"/>
      <c r="AD2207" s="31"/>
      <c r="AE2207" s="31"/>
      <c r="AN2207" s="31"/>
      <c r="AO2207" s="31"/>
      <c r="AP2207" s="31"/>
    </row>
    <row r="2208" spans="5:42" s="32" customFormat="1" ht="50.1" customHeight="1">
      <c r="G2208" s="29"/>
      <c r="H2208" s="29"/>
      <c r="I2208" s="29"/>
      <c r="J2208" s="29"/>
      <c r="K2208" s="31"/>
      <c r="L2208" s="31"/>
      <c r="M2208" s="31"/>
      <c r="N2208" s="31"/>
      <c r="O2208" s="31"/>
      <c r="P2208" s="34"/>
      <c r="Q2208" s="31"/>
      <c r="R2208" s="31"/>
      <c r="S2208" s="31"/>
      <c r="T2208" s="31"/>
      <c r="U2208" s="31"/>
      <c r="V2208" s="31"/>
      <c r="W2208" s="31"/>
      <c r="X2208" s="31"/>
      <c r="Y2208" s="31"/>
      <c r="Z2208" s="31"/>
      <c r="AA2208" s="31"/>
      <c r="AB2208" s="31"/>
      <c r="AD2208" s="31"/>
      <c r="AE2208" s="31"/>
      <c r="AN2208" s="31"/>
      <c r="AO2208" s="31"/>
      <c r="AP2208" s="31"/>
    </row>
    <row r="2209" spans="7:42" s="32" customFormat="1" ht="50.1" customHeight="1">
      <c r="G2209" s="29"/>
      <c r="H2209" s="29"/>
      <c r="I2209" s="29"/>
      <c r="J2209" s="29"/>
      <c r="K2209" s="31"/>
      <c r="L2209" s="31"/>
      <c r="M2209" s="31"/>
      <c r="N2209" s="31"/>
      <c r="O2209" s="31"/>
      <c r="P2209" s="34"/>
      <c r="Q2209" s="31"/>
      <c r="R2209" s="31"/>
      <c r="S2209" s="31"/>
      <c r="T2209" s="31"/>
      <c r="U2209" s="31"/>
      <c r="V2209" s="31"/>
      <c r="W2209" s="31"/>
      <c r="X2209" s="31"/>
      <c r="Y2209" s="31"/>
      <c r="Z2209" s="31"/>
      <c r="AA2209" s="31"/>
      <c r="AB2209" s="31"/>
      <c r="AD2209" s="31"/>
      <c r="AE2209" s="31"/>
      <c r="AN2209" s="31"/>
      <c r="AO2209" s="31"/>
      <c r="AP2209" s="31"/>
    </row>
    <row r="2210" spans="7:42" s="32" customFormat="1" ht="50.1" customHeight="1">
      <c r="G2210" s="29"/>
      <c r="H2210" s="29"/>
      <c r="I2210" s="29"/>
      <c r="J2210" s="29"/>
      <c r="K2210" s="31"/>
      <c r="L2210" s="31"/>
      <c r="M2210" s="31"/>
      <c r="N2210" s="31"/>
      <c r="O2210" s="31"/>
      <c r="P2210" s="34"/>
      <c r="Q2210" s="31"/>
      <c r="R2210" s="31"/>
      <c r="S2210" s="31"/>
      <c r="T2210" s="31"/>
      <c r="U2210" s="31"/>
      <c r="V2210" s="31"/>
      <c r="W2210" s="31"/>
      <c r="X2210" s="31"/>
      <c r="Y2210" s="31"/>
      <c r="Z2210" s="31"/>
      <c r="AA2210" s="31"/>
      <c r="AB2210" s="31"/>
      <c r="AD2210" s="31"/>
      <c r="AE2210" s="31"/>
      <c r="AN2210" s="31"/>
      <c r="AO2210" s="31"/>
      <c r="AP2210" s="31"/>
    </row>
    <row r="2211" spans="7:42" s="32" customFormat="1" ht="50.1" customHeight="1">
      <c r="G2211" s="29"/>
      <c r="H2211" s="29"/>
      <c r="I2211" s="29"/>
      <c r="J2211" s="29"/>
      <c r="K2211" s="31"/>
      <c r="L2211" s="31"/>
      <c r="M2211" s="31"/>
      <c r="N2211" s="31"/>
      <c r="O2211" s="31"/>
      <c r="P2211" s="34"/>
      <c r="Q2211" s="31"/>
      <c r="R2211" s="31"/>
      <c r="S2211" s="31"/>
      <c r="T2211" s="31"/>
      <c r="U2211" s="31"/>
      <c r="V2211" s="31"/>
      <c r="W2211" s="31"/>
      <c r="X2211" s="31"/>
      <c r="Y2211" s="31"/>
      <c r="Z2211" s="31"/>
      <c r="AA2211" s="31"/>
      <c r="AB2211" s="31"/>
      <c r="AD2211" s="31"/>
      <c r="AE2211" s="31"/>
      <c r="AN2211" s="31"/>
      <c r="AO2211" s="31"/>
      <c r="AP2211" s="31"/>
    </row>
    <row r="2212" spans="7:42" s="32" customFormat="1" ht="50.1" customHeight="1">
      <c r="G2212" s="29"/>
      <c r="H2212" s="29"/>
      <c r="I2212" s="29"/>
      <c r="J2212" s="29"/>
      <c r="K2212" s="31"/>
      <c r="L2212" s="31"/>
      <c r="M2212" s="31"/>
      <c r="N2212" s="31"/>
      <c r="O2212" s="31"/>
      <c r="P2212" s="34"/>
      <c r="Q2212" s="31"/>
      <c r="R2212" s="31"/>
      <c r="S2212" s="31"/>
      <c r="T2212" s="31"/>
      <c r="U2212" s="31"/>
      <c r="V2212" s="31"/>
      <c r="W2212" s="31"/>
      <c r="X2212" s="31"/>
      <c r="Y2212" s="31"/>
      <c r="Z2212" s="31"/>
      <c r="AA2212" s="31"/>
      <c r="AB2212" s="31"/>
      <c r="AD2212" s="31"/>
      <c r="AE2212" s="31"/>
      <c r="AN2212" s="31"/>
      <c r="AO2212" s="31"/>
      <c r="AP2212" s="31"/>
    </row>
    <row r="2213" spans="7:42" s="32" customFormat="1" ht="50.1" customHeight="1">
      <c r="G2213" s="29"/>
      <c r="H2213" s="29"/>
      <c r="I2213" s="29"/>
      <c r="J2213" s="29"/>
      <c r="K2213" s="31"/>
      <c r="L2213" s="31"/>
      <c r="M2213" s="31"/>
      <c r="N2213" s="31"/>
      <c r="O2213" s="31"/>
      <c r="P2213" s="34"/>
      <c r="Q2213" s="31"/>
      <c r="R2213" s="31"/>
      <c r="S2213" s="31"/>
      <c r="T2213" s="31"/>
      <c r="U2213" s="31"/>
      <c r="V2213" s="31"/>
      <c r="W2213" s="31"/>
      <c r="X2213" s="31"/>
      <c r="Y2213" s="31"/>
      <c r="Z2213" s="31"/>
      <c r="AA2213" s="31"/>
      <c r="AB2213" s="31"/>
      <c r="AD2213" s="31"/>
      <c r="AE2213" s="31"/>
      <c r="AN2213" s="31"/>
      <c r="AO2213" s="31"/>
      <c r="AP2213" s="31"/>
    </row>
    <row r="2214" spans="7:42" s="32" customFormat="1" ht="50.1" customHeight="1">
      <c r="G2214" s="29"/>
      <c r="H2214" s="29"/>
      <c r="I2214" s="29"/>
      <c r="J2214" s="29"/>
      <c r="K2214" s="31"/>
      <c r="L2214" s="31"/>
      <c r="M2214" s="31"/>
      <c r="N2214" s="31"/>
      <c r="O2214" s="31"/>
      <c r="P2214" s="34"/>
      <c r="Q2214" s="31"/>
      <c r="R2214" s="31"/>
      <c r="S2214" s="31"/>
      <c r="T2214" s="31"/>
      <c r="U2214" s="31"/>
      <c r="V2214" s="31"/>
      <c r="W2214" s="31"/>
      <c r="X2214" s="31"/>
      <c r="Y2214" s="31"/>
      <c r="Z2214" s="31"/>
      <c r="AA2214" s="31"/>
      <c r="AB2214" s="31"/>
      <c r="AD2214" s="31"/>
      <c r="AE2214" s="31"/>
      <c r="AN2214" s="31"/>
      <c r="AO2214" s="31"/>
      <c r="AP2214" s="31"/>
    </row>
    <row r="2215" spans="7:42" s="32" customFormat="1" ht="50.1" customHeight="1">
      <c r="G2215" s="29"/>
      <c r="H2215" s="29"/>
      <c r="I2215" s="29"/>
      <c r="J2215" s="29"/>
      <c r="K2215" s="31"/>
      <c r="L2215" s="31"/>
      <c r="M2215" s="31"/>
      <c r="N2215" s="31"/>
      <c r="O2215" s="31"/>
      <c r="P2215" s="34"/>
      <c r="Q2215" s="31"/>
      <c r="R2215" s="31"/>
      <c r="S2215" s="31"/>
      <c r="T2215" s="31"/>
      <c r="U2215" s="31"/>
      <c r="V2215" s="31"/>
      <c r="W2215" s="31"/>
      <c r="X2215" s="31"/>
      <c r="Y2215" s="31"/>
      <c r="Z2215" s="31"/>
      <c r="AA2215" s="31"/>
      <c r="AB2215" s="31"/>
      <c r="AD2215" s="31"/>
      <c r="AE2215" s="31"/>
      <c r="AN2215" s="31"/>
      <c r="AO2215" s="31"/>
      <c r="AP2215" s="31"/>
    </row>
    <row r="2216" spans="7:42" s="32" customFormat="1" ht="50.1" customHeight="1">
      <c r="G2216" s="29"/>
      <c r="H2216" s="29"/>
      <c r="I2216" s="29"/>
      <c r="J2216" s="29"/>
      <c r="K2216" s="31"/>
      <c r="L2216" s="31"/>
      <c r="M2216" s="31"/>
      <c r="N2216" s="31"/>
      <c r="O2216" s="31"/>
      <c r="P2216" s="34"/>
      <c r="Q2216" s="31"/>
      <c r="R2216" s="31"/>
      <c r="S2216" s="31"/>
      <c r="T2216" s="31"/>
      <c r="U2216" s="31"/>
      <c r="V2216" s="31"/>
      <c r="W2216" s="31"/>
      <c r="X2216" s="31"/>
      <c r="Y2216" s="31"/>
      <c r="Z2216" s="31"/>
      <c r="AA2216" s="31"/>
      <c r="AB2216" s="31"/>
      <c r="AD2216" s="31"/>
      <c r="AE2216" s="31"/>
      <c r="AN2216" s="31"/>
      <c r="AO2216" s="31"/>
      <c r="AP2216" s="31"/>
    </row>
    <row r="2217" spans="7:42" s="32" customFormat="1" ht="50.1" customHeight="1">
      <c r="G2217" s="29"/>
      <c r="H2217" s="29"/>
      <c r="I2217" s="29"/>
      <c r="J2217" s="29"/>
      <c r="K2217" s="31"/>
      <c r="L2217" s="31"/>
      <c r="M2217" s="31"/>
      <c r="N2217" s="31"/>
      <c r="O2217" s="31"/>
      <c r="P2217" s="34"/>
      <c r="Q2217" s="31"/>
      <c r="R2217" s="31"/>
      <c r="S2217" s="31"/>
      <c r="T2217" s="31"/>
      <c r="U2217" s="31"/>
      <c r="V2217" s="31"/>
      <c r="W2217" s="31"/>
      <c r="X2217" s="31"/>
      <c r="Y2217" s="31"/>
      <c r="Z2217" s="31"/>
      <c r="AA2217" s="31"/>
      <c r="AB2217" s="31"/>
      <c r="AD2217" s="31"/>
      <c r="AE2217" s="31"/>
      <c r="AN2217" s="31"/>
      <c r="AO2217" s="31"/>
      <c r="AP2217" s="31"/>
    </row>
    <row r="2218" spans="7:42" s="32" customFormat="1" ht="50.1" customHeight="1">
      <c r="G2218" s="29"/>
      <c r="H2218" s="29"/>
      <c r="I2218" s="29"/>
      <c r="J2218" s="29"/>
      <c r="K2218" s="31"/>
      <c r="L2218" s="31"/>
      <c r="M2218" s="31"/>
      <c r="N2218" s="31"/>
      <c r="O2218" s="31"/>
      <c r="P2218" s="34"/>
      <c r="Q2218" s="31"/>
      <c r="R2218" s="31"/>
      <c r="S2218" s="31"/>
      <c r="T2218" s="31"/>
      <c r="U2218" s="31"/>
      <c r="V2218" s="31"/>
      <c r="W2218" s="31"/>
      <c r="X2218" s="31"/>
      <c r="Y2218" s="31"/>
      <c r="Z2218" s="31"/>
      <c r="AA2218" s="31"/>
      <c r="AB2218" s="31"/>
      <c r="AD2218" s="31"/>
      <c r="AE2218" s="31"/>
      <c r="AN2218" s="31"/>
      <c r="AO2218" s="31"/>
      <c r="AP2218" s="31"/>
    </row>
    <row r="2219" spans="7:42" s="32" customFormat="1" ht="50.1" customHeight="1">
      <c r="G2219" s="29"/>
      <c r="H2219" s="29"/>
      <c r="I2219" s="29"/>
      <c r="J2219" s="29"/>
      <c r="K2219" s="31"/>
      <c r="L2219" s="31"/>
      <c r="M2219" s="31"/>
      <c r="N2219" s="31"/>
      <c r="O2219" s="31"/>
      <c r="P2219" s="34"/>
      <c r="Q2219" s="31"/>
      <c r="R2219" s="31"/>
      <c r="S2219" s="31"/>
      <c r="T2219" s="31"/>
      <c r="U2219" s="31"/>
      <c r="V2219" s="31"/>
      <c r="W2219" s="31"/>
      <c r="X2219" s="31"/>
      <c r="Y2219" s="31"/>
      <c r="Z2219" s="31"/>
      <c r="AA2219" s="31"/>
      <c r="AB2219" s="31"/>
      <c r="AD2219" s="31"/>
      <c r="AE2219" s="31"/>
      <c r="AN2219" s="31"/>
      <c r="AO2219" s="31"/>
      <c r="AP2219" s="31"/>
    </row>
    <row r="2220" spans="7:42" s="32" customFormat="1" ht="50.1" customHeight="1">
      <c r="G2220" s="29"/>
      <c r="H2220" s="29"/>
      <c r="I2220" s="29"/>
      <c r="J2220" s="29"/>
      <c r="K2220" s="31"/>
      <c r="L2220" s="31"/>
      <c r="M2220" s="31"/>
      <c r="N2220" s="31"/>
      <c r="O2220" s="31"/>
      <c r="P2220" s="34"/>
      <c r="Q2220" s="31"/>
      <c r="R2220" s="31"/>
      <c r="S2220" s="31"/>
      <c r="T2220" s="31"/>
      <c r="U2220" s="31"/>
      <c r="V2220" s="31"/>
      <c r="W2220" s="31"/>
      <c r="X2220" s="31"/>
      <c r="Y2220" s="31"/>
      <c r="Z2220" s="31"/>
      <c r="AA2220" s="31"/>
      <c r="AB2220" s="31"/>
      <c r="AD2220" s="31"/>
      <c r="AE2220" s="31"/>
      <c r="AN2220" s="31"/>
      <c r="AO2220" s="31"/>
      <c r="AP2220" s="31"/>
    </row>
    <row r="2221" spans="7:42" s="32" customFormat="1" ht="50.1" customHeight="1">
      <c r="G2221" s="29"/>
      <c r="H2221" s="29"/>
      <c r="I2221" s="29"/>
      <c r="J2221" s="29"/>
      <c r="K2221" s="31"/>
      <c r="L2221" s="31"/>
      <c r="M2221" s="31"/>
      <c r="N2221" s="31"/>
      <c r="O2221" s="31"/>
      <c r="P2221" s="34"/>
      <c r="Q2221" s="31"/>
      <c r="R2221" s="31"/>
      <c r="S2221" s="31"/>
      <c r="T2221" s="31"/>
      <c r="U2221" s="31"/>
      <c r="V2221" s="31"/>
      <c r="W2221" s="31"/>
      <c r="X2221" s="31"/>
      <c r="Y2221" s="31"/>
      <c r="Z2221" s="31"/>
      <c r="AA2221" s="31"/>
      <c r="AB2221" s="31"/>
      <c r="AD2221" s="31"/>
      <c r="AE2221" s="31"/>
      <c r="AN2221" s="31"/>
      <c r="AO2221" s="31"/>
      <c r="AP2221" s="31"/>
    </row>
    <row r="2222" spans="7:42" ht="14.25">
      <c r="G2222" s="33"/>
      <c r="H2222" s="33"/>
      <c r="I2222" s="33"/>
      <c r="J2222" s="33"/>
    </row>
    <row r="2223" spans="7:42" ht="14.25">
      <c r="G2223" s="33"/>
      <c r="H2223" s="33"/>
      <c r="I2223" s="33"/>
      <c r="J2223" s="33"/>
    </row>
    <row r="2224" spans="7:42" ht="14.25">
      <c r="G2224" s="33"/>
      <c r="H2224" s="33"/>
      <c r="I2224" s="33"/>
      <c r="J2224" s="33"/>
    </row>
    <row r="2225" spans="7:10" ht="14.25">
      <c r="G2225" s="33"/>
      <c r="H2225" s="33"/>
      <c r="I2225" s="33"/>
      <c r="J2225" s="33"/>
    </row>
  </sheetData>
  <autoFilter ref="A7:AT2207" xr:uid="{FC115261-3C90-415C-AF61-C0706B4E4041}">
    <filterColumn colId="25">
      <filters>
        <filter val="EXH-AIR FAN FU-GAS ENCL"/>
      </filters>
    </filterColumn>
  </autoFilter>
  <mergeCells count="14">
    <mergeCell ref="K2:AD2"/>
    <mergeCell ref="K5:K6"/>
    <mergeCell ref="L5:N5"/>
    <mergeCell ref="R5:R6"/>
    <mergeCell ref="T5:T6"/>
    <mergeCell ref="U5:X5"/>
    <mergeCell ref="Y5:AA5"/>
    <mergeCell ref="AC5:AC6"/>
    <mergeCell ref="AD5:AD6"/>
    <mergeCell ref="AK5:AM5"/>
    <mergeCell ref="AN5:AP5"/>
    <mergeCell ref="AR5:AS5"/>
    <mergeCell ref="AE5:AG5"/>
    <mergeCell ref="O5:O6"/>
  </mergeCells>
  <phoneticPr fontId="3" type="noConversion"/>
  <pageMargins left="0.70866141732283472" right="0.70866141732283472" top="0.74803149606299213" bottom="0.74803149606299213" header="0.31496062992125984" footer="0.31496062992125984"/>
  <pageSetup paperSize="8" scale="28" orientation="landscape" r:id="rId1"/>
  <headerFooter>
    <oddFooter>&amp;C&amp;P/&amp;N</oddFooter>
  </headerFooter>
</worksheet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Power Cable Schedule</vt:lpstr>
      <vt:lpstr>'Power Cable Schedule'!Print_Area</vt:lpstr>
      <vt:lpstr>'Power Cable Schedule'!Print_Titles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최준호(Junho Choi) 수석 두산에너빌리티</dc:creator>
  <cp:lastModifiedBy>이재욱(Jaewook Lee) 수석 두산에너빌리티</cp:lastModifiedBy>
  <cp:lastPrinted>2026-06-11T09:56:44Z</cp:lastPrinted>
  <dcterms:created xsi:type="dcterms:W3CDTF">2026-06-02T00:10:34Z</dcterms:created>
  <dcterms:modified xsi:type="dcterms:W3CDTF">2026-10-30T05:42:35Z</dcterms:modified>
</cp:coreProperties>
</file>